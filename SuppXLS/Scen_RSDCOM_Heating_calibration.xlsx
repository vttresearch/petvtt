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_models\JRCEU\SuppXLS\"/>
    </mc:Choice>
  </mc:AlternateContent>
  <xr:revisionPtr revIDLastSave="0" documentId="13_ncr:1_{F70A367E-E94A-4DB3-BBE6-C0854BA6620F}" xr6:coauthVersionLast="47" xr6:coauthVersionMax="47" xr10:uidLastSave="{00000000-0000-0000-0000-000000000000}"/>
  <bookViews>
    <workbookView xWindow="-120" yWindow="-120" windowWidth="29040" windowHeight="15720" activeTab="2" xr2:uid="{8C4CA835-2D6E-44EB-982A-7A3FC2BA3A0D}"/>
  </bookViews>
  <sheets>
    <sheet name="RSD" sheetId="1" r:id="rId1"/>
    <sheet name="COM" sheetId="3" r:id="rId2"/>
    <sheet name="Data Rules" sheetId="6" r:id="rId3"/>
    <sheet name="ref" sheetId="4" r:id="rId4"/>
  </sheets>
  <externalReferences>
    <externalReference r:id="rId5"/>
    <externalReference r:id="rId6"/>
    <externalReference r:id="rId7"/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6" l="1"/>
  <c r="G28" i="6"/>
  <c r="G36" i="6" s="1"/>
  <c r="D28" i="6"/>
  <c r="G27" i="6"/>
  <c r="G35" i="6" s="1"/>
  <c r="D27" i="6"/>
  <c r="G26" i="6"/>
  <c r="D26" i="6"/>
  <c r="G25" i="6"/>
  <c r="G33" i="6" s="1"/>
  <c r="D25" i="6"/>
  <c r="G24" i="6"/>
  <c r="G32" i="6" s="1"/>
  <c r="D24" i="6"/>
  <c r="G23" i="6"/>
  <c r="G31" i="6" s="1"/>
  <c r="D23" i="6"/>
  <c r="G22" i="6"/>
  <c r="G30" i="6" s="1"/>
  <c r="D22" i="6"/>
  <c r="G21" i="6"/>
  <c r="G29" i="6" s="1"/>
  <c r="D21" i="6"/>
  <c r="E307" i="3"/>
  <c r="E308" i="3" s="1"/>
  <c r="D307" i="3"/>
  <c r="D308" i="3" s="1"/>
  <c r="C307" i="3"/>
  <c r="C308" i="3" s="1"/>
  <c r="I59" i="3" s="1"/>
  <c r="AD59" i="3" s="1"/>
  <c r="E306" i="3"/>
  <c r="E305" i="3"/>
  <c r="D305" i="3"/>
  <c r="C305" i="3"/>
  <c r="C306" i="3" s="1"/>
  <c r="D299" i="3"/>
  <c r="D298" i="3"/>
  <c r="C298" i="3"/>
  <c r="C299" i="3" s="1"/>
  <c r="H87" i="3" s="1"/>
  <c r="AC87" i="3" s="1"/>
  <c r="D296" i="3"/>
  <c r="D297" i="3" s="1"/>
  <c r="I227" i="3" s="1"/>
  <c r="C296" i="3"/>
  <c r="C297" i="3" s="1"/>
  <c r="H227" i="3" s="1"/>
  <c r="AC227" i="3" s="1"/>
  <c r="D295" i="3"/>
  <c r="D294" i="3"/>
  <c r="C294" i="3"/>
  <c r="C295" i="3" s="1"/>
  <c r="AE293" i="3"/>
  <c r="D293" i="3"/>
  <c r="I31" i="3" s="1"/>
  <c r="AE171" i="3" s="1"/>
  <c r="C293" i="3"/>
  <c r="D292" i="3"/>
  <c r="C292" i="3"/>
  <c r="D291" i="3"/>
  <c r="D290" i="3"/>
  <c r="C290" i="3"/>
  <c r="C291" i="3" s="1"/>
  <c r="H143" i="3" s="1"/>
  <c r="AC143" i="3" s="1"/>
  <c r="D288" i="3"/>
  <c r="D289" i="3" s="1"/>
  <c r="C288" i="3"/>
  <c r="C289" i="3" s="1"/>
  <c r="H171" i="3" s="1"/>
  <c r="AD284" i="3"/>
  <c r="AC284" i="3"/>
  <c r="AB284" i="3"/>
  <c r="AA284" i="3"/>
  <c r="S284" i="3"/>
  <c r="R284" i="3"/>
  <c r="Q284" i="3"/>
  <c r="P284" i="3"/>
  <c r="AD283" i="3"/>
  <c r="AC283" i="3"/>
  <c r="S283" i="3"/>
  <c r="R283" i="3"/>
  <c r="Q283" i="3"/>
  <c r="G283" i="3"/>
  <c r="AB283" i="3" s="1"/>
  <c r="F283" i="3"/>
  <c r="AD282" i="3"/>
  <c r="AB282" i="3"/>
  <c r="AA282" i="3"/>
  <c r="Q282" i="3"/>
  <c r="P282" i="3"/>
  <c r="I282" i="3"/>
  <c r="S282" i="3" s="1"/>
  <c r="H282" i="3"/>
  <c r="G282" i="3"/>
  <c r="F282" i="3"/>
  <c r="I281" i="3"/>
  <c r="AD281" i="3" s="1"/>
  <c r="H281" i="3"/>
  <c r="G281" i="3"/>
  <c r="F281" i="3"/>
  <c r="AB280" i="3"/>
  <c r="AA280" i="3"/>
  <c r="S280" i="3"/>
  <c r="Q280" i="3"/>
  <c r="P280" i="3"/>
  <c r="I280" i="3"/>
  <c r="AD280" i="3" s="1"/>
  <c r="H280" i="3"/>
  <c r="AC280" i="3" s="1"/>
  <c r="G280" i="3"/>
  <c r="F280" i="3"/>
  <c r="AA279" i="3"/>
  <c r="S279" i="3"/>
  <c r="P279" i="3"/>
  <c r="I279" i="3"/>
  <c r="AD279" i="3" s="1"/>
  <c r="H279" i="3"/>
  <c r="G279" i="3"/>
  <c r="F279" i="3"/>
  <c r="AD278" i="3"/>
  <c r="AC278" i="3"/>
  <c r="AB278" i="3"/>
  <c r="AA278" i="3"/>
  <c r="S278" i="3"/>
  <c r="R278" i="3"/>
  <c r="Q278" i="3"/>
  <c r="P278" i="3"/>
  <c r="I278" i="3"/>
  <c r="H278" i="3"/>
  <c r="G278" i="3"/>
  <c r="F278" i="3"/>
  <c r="AC277" i="3"/>
  <c r="AB277" i="3"/>
  <c r="R277" i="3"/>
  <c r="Q277" i="3"/>
  <c r="P277" i="3"/>
  <c r="I277" i="3"/>
  <c r="H277" i="3"/>
  <c r="G277" i="3"/>
  <c r="F277" i="3"/>
  <c r="AA277" i="3" s="1"/>
  <c r="AD276" i="3"/>
  <c r="AC276" i="3"/>
  <c r="AB276" i="3"/>
  <c r="AA276" i="3"/>
  <c r="S276" i="3"/>
  <c r="R276" i="3"/>
  <c r="P276" i="3"/>
  <c r="I276" i="3"/>
  <c r="H276" i="3"/>
  <c r="G276" i="3"/>
  <c r="Q276" i="3" s="1"/>
  <c r="F276" i="3"/>
  <c r="AA275" i="3"/>
  <c r="R275" i="3"/>
  <c r="Q275" i="3"/>
  <c r="P275" i="3"/>
  <c r="I275" i="3"/>
  <c r="H275" i="3"/>
  <c r="AC275" i="3" s="1"/>
  <c r="G275" i="3"/>
  <c r="AB275" i="3" s="1"/>
  <c r="F275" i="3"/>
  <c r="AD274" i="3"/>
  <c r="AC274" i="3"/>
  <c r="AB274" i="3"/>
  <c r="AA274" i="3"/>
  <c r="R274" i="3"/>
  <c r="I274" i="3"/>
  <c r="S274" i="3" s="1"/>
  <c r="H274" i="3"/>
  <c r="G274" i="3"/>
  <c r="Q274" i="3" s="1"/>
  <c r="F274" i="3"/>
  <c r="P274" i="3" s="1"/>
  <c r="AC273" i="3"/>
  <c r="AB273" i="3"/>
  <c r="AA273" i="3"/>
  <c r="S273" i="3"/>
  <c r="R273" i="3"/>
  <c r="I273" i="3"/>
  <c r="AD273" i="3" s="1"/>
  <c r="H273" i="3"/>
  <c r="G273" i="3"/>
  <c r="Q273" i="3" s="1"/>
  <c r="F273" i="3"/>
  <c r="P273" i="3" s="1"/>
  <c r="AD272" i="3"/>
  <c r="AC272" i="3"/>
  <c r="I272" i="3"/>
  <c r="S272" i="3" s="1"/>
  <c r="H272" i="3"/>
  <c r="R272" i="3" s="1"/>
  <c r="G272" i="3"/>
  <c r="AB272" i="3" s="1"/>
  <c r="F272" i="3"/>
  <c r="AA272" i="3" s="1"/>
  <c r="AE271" i="3"/>
  <c r="AD271" i="3"/>
  <c r="AC271" i="3"/>
  <c r="AB271" i="3"/>
  <c r="I271" i="3"/>
  <c r="S271" i="3" s="1"/>
  <c r="H271" i="3"/>
  <c r="R271" i="3" s="1"/>
  <c r="G271" i="3"/>
  <c r="Q271" i="3" s="1"/>
  <c r="F271" i="3"/>
  <c r="AA271" i="3" s="1"/>
  <c r="Q270" i="3"/>
  <c r="P270" i="3"/>
  <c r="I270" i="3"/>
  <c r="AD270" i="3" s="1"/>
  <c r="H270" i="3"/>
  <c r="AC270" i="3" s="1"/>
  <c r="G270" i="3"/>
  <c r="AB270" i="3" s="1"/>
  <c r="F270" i="3"/>
  <c r="AA270" i="3" s="1"/>
  <c r="AA269" i="3"/>
  <c r="S269" i="3"/>
  <c r="R269" i="3"/>
  <c r="Q269" i="3"/>
  <c r="P269" i="3"/>
  <c r="I269" i="3"/>
  <c r="AD269" i="3" s="1"/>
  <c r="H269" i="3"/>
  <c r="AC269" i="3" s="1"/>
  <c r="G269" i="3"/>
  <c r="AB269" i="3" s="1"/>
  <c r="F269" i="3"/>
  <c r="R268" i="3"/>
  <c r="I268" i="3"/>
  <c r="AD268" i="3" s="1"/>
  <c r="H268" i="3"/>
  <c r="AC268" i="3" s="1"/>
  <c r="G268" i="3"/>
  <c r="F268" i="3"/>
  <c r="AD267" i="3"/>
  <c r="AC267" i="3"/>
  <c r="AB267" i="3"/>
  <c r="AA267" i="3"/>
  <c r="S267" i="3"/>
  <c r="R267" i="3"/>
  <c r="Q267" i="3"/>
  <c r="P267" i="3"/>
  <c r="I267" i="3"/>
  <c r="H267" i="3"/>
  <c r="G267" i="3"/>
  <c r="F267" i="3"/>
  <c r="I266" i="3"/>
  <c r="H266" i="3"/>
  <c r="G266" i="3"/>
  <c r="F266" i="3"/>
  <c r="AD265" i="3"/>
  <c r="AC265" i="3"/>
  <c r="AB265" i="3"/>
  <c r="AA265" i="3"/>
  <c r="S265" i="3"/>
  <c r="R265" i="3"/>
  <c r="Q265" i="3"/>
  <c r="I265" i="3"/>
  <c r="H265" i="3"/>
  <c r="G265" i="3"/>
  <c r="F265" i="3"/>
  <c r="P265" i="3" s="1"/>
  <c r="AC264" i="3"/>
  <c r="S264" i="3"/>
  <c r="R264" i="3"/>
  <c r="Q264" i="3"/>
  <c r="P264" i="3"/>
  <c r="I264" i="3"/>
  <c r="AD264" i="3" s="1"/>
  <c r="H264" i="3"/>
  <c r="G264" i="3"/>
  <c r="AB264" i="3" s="1"/>
  <c r="F264" i="3"/>
  <c r="AA264" i="3" s="1"/>
  <c r="AD263" i="3"/>
  <c r="AC263" i="3"/>
  <c r="AB263" i="3"/>
  <c r="AA263" i="3"/>
  <c r="S263" i="3"/>
  <c r="Q263" i="3"/>
  <c r="I263" i="3"/>
  <c r="H263" i="3"/>
  <c r="R263" i="3" s="1"/>
  <c r="G263" i="3"/>
  <c r="F263" i="3"/>
  <c r="P263" i="3" s="1"/>
  <c r="S262" i="3"/>
  <c r="Q262" i="3"/>
  <c r="P262" i="3"/>
  <c r="I262" i="3"/>
  <c r="AD262" i="3" s="1"/>
  <c r="H262" i="3"/>
  <c r="G262" i="3"/>
  <c r="AB262" i="3" s="1"/>
  <c r="F262" i="3"/>
  <c r="AA262" i="3" s="1"/>
  <c r="AD261" i="3"/>
  <c r="AC261" i="3"/>
  <c r="S261" i="3"/>
  <c r="I261" i="3"/>
  <c r="H261" i="3"/>
  <c r="R261" i="3" s="1"/>
  <c r="G261" i="3"/>
  <c r="Q261" i="3" s="1"/>
  <c r="F261" i="3"/>
  <c r="AA261" i="3" s="1"/>
  <c r="AD260" i="3"/>
  <c r="AC260" i="3"/>
  <c r="AB260" i="3"/>
  <c r="AA260" i="3"/>
  <c r="S260" i="3"/>
  <c r="I260" i="3"/>
  <c r="H260" i="3"/>
  <c r="R260" i="3" s="1"/>
  <c r="G260" i="3"/>
  <c r="Q260" i="3" s="1"/>
  <c r="F260" i="3"/>
  <c r="P260" i="3" s="1"/>
  <c r="AD259" i="3"/>
  <c r="I259" i="3"/>
  <c r="S259" i="3" s="1"/>
  <c r="H259" i="3"/>
  <c r="AC259" i="3" s="1"/>
  <c r="G259" i="3"/>
  <c r="AB259" i="3" s="1"/>
  <c r="F259" i="3"/>
  <c r="AC258" i="3"/>
  <c r="AA258" i="3"/>
  <c r="P258" i="3"/>
  <c r="I258" i="3"/>
  <c r="H258" i="3"/>
  <c r="R258" i="3" s="1"/>
  <c r="G258" i="3"/>
  <c r="F258" i="3"/>
  <c r="I257" i="3"/>
  <c r="AD257" i="3" s="1"/>
  <c r="H257" i="3"/>
  <c r="G257" i="3"/>
  <c r="F257" i="3"/>
  <c r="AE256" i="3"/>
  <c r="AB256" i="3"/>
  <c r="AA256" i="3"/>
  <c r="S256" i="3"/>
  <c r="Q256" i="3"/>
  <c r="P256" i="3"/>
  <c r="I256" i="3"/>
  <c r="AD256" i="3" s="1"/>
  <c r="H256" i="3"/>
  <c r="AC256" i="3" s="1"/>
  <c r="G256" i="3"/>
  <c r="F256" i="3"/>
  <c r="AA255" i="3"/>
  <c r="P255" i="3"/>
  <c r="I255" i="3"/>
  <c r="AD255" i="3" s="1"/>
  <c r="G255" i="3"/>
  <c r="F255" i="3"/>
  <c r="AD254" i="3"/>
  <c r="AC254" i="3"/>
  <c r="AB254" i="3"/>
  <c r="AA254" i="3"/>
  <c r="S254" i="3"/>
  <c r="R254" i="3"/>
  <c r="Q254" i="3"/>
  <c r="P254" i="3"/>
  <c r="I254" i="3"/>
  <c r="H254" i="3"/>
  <c r="G254" i="3"/>
  <c r="F254" i="3"/>
  <c r="AC253" i="3"/>
  <c r="R253" i="3"/>
  <c r="Q253" i="3"/>
  <c r="P253" i="3"/>
  <c r="I253" i="3"/>
  <c r="H253" i="3"/>
  <c r="G253" i="3"/>
  <c r="AB253" i="3" s="1"/>
  <c r="F253" i="3"/>
  <c r="AA253" i="3" s="1"/>
  <c r="AD252" i="3"/>
  <c r="AC252" i="3"/>
  <c r="AB252" i="3"/>
  <c r="AA252" i="3"/>
  <c r="S252" i="3"/>
  <c r="R252" i="3"/>
  <c r="P252" i="3"/>
  <c r="I252" i="3"/>
  <c r="H252" i="3"/>
  <c r="G252" i="3"/>
  <c r="Q252" i="3" s="1"/>
  <c r="F252" i="3"/>
  <c r="AD251" i="3"/>
  <c r="AA251" i="3"/>
  <c r="R251" i="3"/>
  <c r="P251" i="3"/>
  <c r="I251" i="3"/>
  <c r="S251" i="3" s="1"/>
  <c r="H251" i="3"/>
  <c r="AC251" i="3" s="1"/>
  <c r="G251" i="3"/>
  <c r="F251" i="3"/>
  <c r="AD250" i="3"/>
  <c r="AC250" i="3"/>
  <c r="AB250" i="3"/>
  <c r="AA250" i="3"/>
  <c r="R250" i="3"/>
  <c r="I250" i="3"/>
  <c r="S250" i="3" s="1"/>
  <c r="H250" i="3"/>
  <c r="G250" i="3"/>
  <c r="Q250" i="3" s="1"/>
  <c r="F250" i="3"/>
  <c r="P250" i="3" s="1"/>
  <c r="AB249" i="3"/>
  <c r="AA249" i="3"/>
  <c r="Q249" i="3"/>
  <c r="I249" i="3"/>
  <c r="AD249" i="3" s="1"/>
  <c r="H249" i="3"/>
  <c r="AC249" i="3" s="1"/>
  <c r="G249" i="3"/>
  <c r="F249" i="3"/>
  <c r="P249" i="3" s="1"/>
  <c r="AC248" i="3"/>
  <c r="I248" i="3"/>
  <c r="S248" i="3" s="1"/>
  <c r="H248" i="3"/>
  <c r="R248" i="3" s="1"/>
  <c r="G248" i="3"/>
  <c r="AB248" i="3" s="1"/>
  <c r="F248" i="3"/>
  <c r="AA248" i="3" s="1"/>
  <c r="I247" i="3"/>
  <c r="H247" i="3"/>
  <c r="G247" i="3"/>
  <c r="F247" i="3"/>
  <c r="P247" i="3" s="1"/>
  <c r="Q246" i="3"/>
  <c r="P246" i="3"/>
  <c r="I246" i="3"/>
  <c r="AD246" i="3" s="1"/>
  <c r="H246" i="3"/>
  <c r="AC246" i="3" s="1"/>
  <c r="G246" i="3"/>
  <c r="AB246" i="3" s="1"/>
  <c r="F246" i="3"/>
  <c r="AA246" i="3" s="1"/>
  <c r="AA245" i="3"/>
  <c r="R245" i="3"/>
  <c r="Q245" i="3"/>
  <c r="P245" i="3"/>
  <c r="I245" i="3"/>
  <c r="H245" i="3"/>
  <c r="AC245" i="3" s="1"/>
  <c r="G245" i="3"/>
  <c r="AB245" i="3" s="1"/>
  <c r="F245" i="3"/>
  <c r="I244" i="3"/>
  <c r="H244" i="3"/>
  <c r="G244" i="3"/>
  <c r="F244" i="3"/>
  <c r="AD243" i="3"/>
  <c r="AC243" i="3"/>
  <c r="AB243" i="3"/>
  <c r="AA243" i="3"/>
  <c r="S243" i="3"/>
  <c r="R243" i="3"/>
  <c r="Q243" i="3"/>
  <c r="P243" i="3"/>
  <c r="I243" i="3"/>
  <c r="H243" i="3"/>
  <c r="G243" i="3"/>
  <c r="F243" i="3"/>
  <c r="AB242" i="3"/>
  <c r="AA242" i="3"/>
  <c r="I242" i="3"/>
  <c r="H242" i="3"/>
  <c r="G242" i="3"/>
  <c r="Q242" i="3" s="1"/>
  <c r="F242" i="3"/>
  <c r="P242" i="3" s="1"/>
  <c r="AD241" i="3"/>
  <c r="AC241" i="3"/>
  <c r="AB241" i="3"/>
  <c r="AA241" i="3"/>
  <c r="S241" i="3"/>
  <c r="R241" i="3"/>
  <c r="Q241" i="3"/>
  <c r="I241" i="3"/>
  <c r="H241" i="3"/>
  <c r="G241" i="3"/>
  <c r="F241" i="3"/>
  <c r="P241" i="3" s="1"/>
  <c r="R240" i="3"/>
  <c r="Q240" i="3"/>
  <c r="P240" i="3"/>
  <c r="I240" i="3"/>
  <c r="H240" i="3"/>
  <c r="AC240" i="3" s="1"/>
  <c r="G240" i="3"/>
  <c r="AB240" i="3" s="1"/>
  <c r="F240" i="3"/>
  <c r="AA240" i="3" s="1"/>
  <c r="AD239" i="3"/>
  <c r="AC239" i="3"/>
  <c r="AB239" i="3"/>
  <c r="S239" i="3"/>
  <c r="R239" i="3"/>
  <c r="Q239" i="3"/>
  <c r="I239" i="3"/>
  <c r="H239" i="3"/>
  <c r="G239" i="3"/>
  <c r="F239" i="3"/>
  <c r="S238" i="3"/>
  <c r="Q238" i="3"/>
  <c r="P238" i="3"/>
  <c r="I238" i="3"/>
  <c r="AD238" i="3" s="1"/>
  <c r="H238" i="3"/>
  <c r="G238" i="3"/>
  <c r="AB238" i="3" s="1"/>
  <c r="F238" i="3"/>
  <c r="AA238" i="3" s="1"/>
  <c r="AD237" i="3"/>
  <c r="AB237" i="3"/>
  <c r="S237" i="3"/>
  <c r="I237" i="3"/>
  <c r="H237" i="3"/>
  <c r="G237" i="3"/>
  <c r="Q237" i="3" s="1"/>
  <c r="F237" i="3"/>
  <c r="AA237" i="3" s="1"/>
  <c r="AD236" i="3"/>
  <c r="AC236" i="3"/>
  <c r="S236" i="3"/>
  <c r="I236" i="3"/>
  <c r="H236" i="3"/>
  <c r="R236" i="3" s="1"/>
  <c r="G236" i="3"/>
  <c r="F236" i="3"/>
  <c r="P236" i="3" s="1"/>
  <c r="AE235" i="3"/>
  <c r="AD235" i="3"/>
  <c r="I235" i="3"/>
  <c r="S235" i="3" s="1"/>
  <c r="H235" i="3"/>
  <c r="AC235" i="3" s="1"/>
  <c r="G235" i="3"/>
  <c r="AB235" i="3" s="1"/>
  <c r="F235" i="3"/>
  <c r="AB234" i="3"/>
  <c r="AA234" i="3"/>
  <c r="R234" i="3"/>
  <c r="Q234" i="3"/>
  <c r="P234" i="3"/>
  <c r="I234" i="3"/>
  <c r="S234" i="3" s="1"/>
  <c r="H234" i="3"/>
  <c r="AC234" i="3" s="1"/>
  <c r="G234" i="3"/>
  <c r="F234" i="3"/>
  <c r="I233" i="3"/>
  <c r="AD233" i="3" s="1"/>
  <c r="H233" i="3"/>
  <c r="G233" i="3"/>
  <c r="F233" i="3"/>
  <c r="AE232" i="3"/>
  <c r="AB232" i="3"/>
  <c r="AA232" i="3"/>
  <c r="S232" i="3"/>
  <c r="R232" i="3"/>
  <c r="Q232" i="3"/>
  <c r="P232" i="3"/>
  <c r="I232" i="3"/>
  <c r="AD232" i="3" s="1"/>
  <c r="H232" i="3"/>
  <c r="AC232" i="3" s="1"/>
  <c r="G232" i="3"/>
  <c r="F232" i="3"/>
  <c r="AA231" i="3"/>
  <c r="P231" i="3"/>
  <c r="I231" i="3"/>
  <c r="H231" i="3"/>
  <c r="G231" i="3"/>
  <c r="F231" i="3"/>
  <c r="AD230" i="3"/>
  <c r="AC230" i="3"/>
  <c r="AB230" i="3"/>
  <c r="AA230" i="3"/>
  <c r="S230" i="3"/>
  <c r="R230" i="3"/>
  <c r="Q230" i="3"/>
  <c r="P230" i="3"/>
  <c r="I230" i="3"/>
  <c r="H230" i="3"/>
  <c r="G230" i="3"/>
  <c r="F230" i="3"/>
  <c r="AC229" i="3"/>
  <c r="AB229" i="3"/>
  <c r="P229" i="3"/>
  <c r="I229" i="3"/>
  <c r="H229" i="3"/>
  <c r="R229" i="3" s="1"/>
  <c r="G229" i="3"/>
  <c r="Q229" i="3" s="1"/>
  <c r="F229" i="3"/>
  <c r="AA229" i="3" s="1"/>
  <c r="AD228" i="3"/>
  <c r="AC228" i="3"/>
  <c r="AB228" i="3"/>
  <c r="AA228" i="3"/>
  <c r="S228" i="3"/>
  <c r="R228" i="3"/>
  <c r="Q228" i="3"/>
  <c r="P228" i="3"/>
  <c r="I228" i="3"/>
  <c r="H228" i="3"/>
  <c r="G228" i="3"/>
  <c r="F228" i="3"/>
  <c r="AA227" i="3"/>
  <c r="R227" i="3"/>
  <c r="G227" i="3"/>
  <c r="AB227" i="3" s="1"/>
  <c r="F227" i="3"/>
  <c r="P227" i="3" s="1"/>
  <c r="AD226" i="3"/>
  <c r="AC226" i="3"/>
  <c r="AB226" i="3"/>
  <c r="AA226" i="3"/>
  <c r="S226" i="3"/>
  <c r="R226" i="3"/>
  <c r="I226" i="3"/>
  <c r="H226" i="3"/>
  <c r="G226" i="3"/>
  <c r="Q226" i="3" s="1"/>
  <c r="F226" i="3"/>
  <c r="P226" i="3" s="1"/>
  <c r="AA225" i="3"/>
  <c r="I225" i="3"/>
  <c r="AD225" i="3" s="1"/>
  <c r="H225" i="3"/>
  <c r="R225" i="3" s="1"/>
  <c r="G225" i="3"/>
  <c r="Q225" i="3" s="1"/>
  <c r="F225" i="3"/>
  <c r="P225" i="3" s="1"/>
  <c r="AD224" i="3"/>
  <c r="AC224" i="3"/>
  <c r="I224" i="3"/>
  <c r="S224" i="3" s="1"/>
  <c r="H224" i="3"/>
  <c r="R224" i="3" s="1"/>
  <c r="G224" i="3"/>
  <c r="AB224" i="3" s="1"/>
  <c r="F224" i="3"/>
  <c r="AA224" i="3" s="1"/>
  <c r="I223" i="3"/>
  <c r="H223" i="3"/>
  <c r="G223" i="3"/>
  <c r="F223" i="3"/>
  <c r="AA223" i="3" s="1"/>
  <c r="AE222" i="3"/>
  <c r="I222" i="3"/>
  <c r="AD222" i="3" s="1"/>
  <c r="H222" i="3"/>
  <c r="AC222" i="3" s="1"/>
  <c r="G222" i="3"/>
  <c r="AB222" i="3" s="1"/>
  <c r="F222" i="3"/>
  <c r="AA222" i="3" s="1"/>
  <c r="AA221" i="3"/>
  <c r="S221" i="3"/>
  <c r="R221" i="3"/>
  <c r="Q221" i="3"/>
  <c r="P221" i="3"/>
  <c r="I221" i="3"/>
  <c r="AD221" i="3" s="1"/>
  <c r="H221" i="3"/>
  <c r="AC221" i="3" s="1"/>
  <c r="G221" i="3"/>
  <c r="AB221" i="3" s="1"/>
  <c r="F221" i="3"/>
  <c r="I220" i="3"/>
  <c r="H220" i="3"/>
  <c r="G220" i="3"/>
  <c r="F220" i="3"/>
  <c r="AD219" i="3"/>
  <c r="AC219" i="3"/>
  <c r="AB219" i="3"/>
  <c r="AA219" i="3"/>
  <c r="S219" i="3"/>
  <c r="R219" i="3"/>
  <c r="Q219" i="3"/>
  <c r="P219" i="3"/>
  <c r="I219" i="3"/>
  <c r="H219" i="3"/>
  <c r="G219" i="3"/>
  <c r="F219" i="3"/>
  <c r="AB218" i="3"/>
  <c r="I218" i="3"/>
  <c r="H218" i="3"/>
  <c r="G218" i="3"/>
  <c r="Q218" i="3" s="1"/>
  <c r="F218" i="3"/>
  <c r="AD217" i="3"/>
  <c r="AC217" i="3"/>
  <c r="AB217" i="3"/>
  <c r="AA217" i="3"/>
  <c r="S217" i="3"/>
  <c r="R217" i="3"/>
  <c r="Q217" i="3"/>
  <c r="P217" i="3"/>
  <c r="I217" i="3"/>
  <c r="H217" i="3"/>
  <c r="G217" i="3"/>
  <c r="F217" i="3"/>
  <c r="AD216" i="3"/>
  <c r="AC216" i="3"/>
  <c r="S216" i="3"/>
  <c r="R216" i="3"/>
  <c r="Q216" i="3"/>
  <c r="I216" i="3"/>
  <c r="H216" i="3"/>
  <c r="G216" i="3"/>
  <c r="AB216" i="3" s="1"/>
  <c r="F216" i="3"/>
  <c r="AD215" i="3"/>
  <c r="AC215" i="3"/>
  <c r="AB215" i="3"/>
  <c r="AA215" i="3"/>
  <c r="S215" i="3"/>
  <c r="R215" i="3"/>
  <c r="Q215" i="3"/>
  <c r="I215" i="3"/>
  <c r="H215" i="3"/>
  <c r="G215" i="3"/>
  <c r="F215" i="3"/>
  <c r="P215" i="3" s="1"/>
  <c r="S214" i="3"/>
  <c r="R214" i="3"/>
  <c r="Q214" i="3"/>
  <c r="P214" i="3"/>
  <c r="I214" i="3"/>
  <c r="AD214" i="3" s="1"/>
  <c r="H214" i="3"/>
  <c r="AC214" i="3" s="1"/>
  <c r="G214" i="3"/>
  <c r="AB214" i="3" s="1"/>
  <c r="F214" i="3"/>
  <c r="AA214" i="3" s="1"/>
  <c r="AD213" i="3"/>
  <c r="AC213" i="3"/>
  <c r="AB213" i="3"/>
  <c r="S213" i="3"/>
  <c r="I213" i="3"/>
  <c r="H213" i="3"/>
  <c r="R213" i="3" s="1"/>
  <c r="G213" i="3"/>
  <c r="Q213" i="3" s="1"/>
  <c r="F213" i="3"/>
  <c r="AA213" i="3" s="1"/>
  <c r="AD212" i="3"/>
  <c r="AC212" i="3"/>
  <c r="I212" i="3"/>
  <c r="S212" i="3" s="1"/>
  <c r="H212" i="3"/>
  <c r="R212" i="3" s="1"/>
  <c r="G212" i="3"/>
  <c r="Q212" i="3" s="1"/>
  <c r="F212" i="3"/>
  <c r="I211" i="3"/>
  <c r="H211" i="3"/>
  <c r="AC211" i="3" s="1"/>
  <c r="G211" i="3"/>
  <c r="AB211" i="3" s="1"/>
  <c r="F211" i="3"/>
  <c r="AC210" i="3"/>
  <c r="AB210" i="3"/>
  <c r="AA210" i="3"/>
  <c r="R210" i="3"/>
  <c r="Q210" i="3"/>
  <c r="P210" i="3"/>
  <c r="I210" i="3"/>
  <c r="S210" i="3" s="1"/>
  <c r="H210" i="3"/>
  <c r="G210" i="3"/>
  <c r="F210" i="3"/>
  <c r="I209" i="3"/>
  <c r="AD209" i="3" s="1"/>
  <c r="H209" i="3"/>
  <c r="G209" i="3"/>
  <c r="F209" i="3"/>
  <c r="AD208" i="3"/>
  <c r="AC208" i="3"/>
  <c r="AB208" i="3"/>
  <c r="AA208" i="3"/>
  <c r="S208" i="3"/>
  <c r="R208" i="3"/>
  <c r="Q208" i="3"/>
  <c r="P208" i="3"/>
  <c r="AD207" i="3"/>
  <c r="AC207" i="3"/>
  <c r="AB207" i="3"/>
  <c r="AA207" i="3"/>
  <c r="S207" i="3"/>
  <c r="R207" i="3"/>
  <c r="Q207" i="3"/>
  <c r="P207" i="3"/>
  <c r="S206" i="3"/>
  <c r="I206" i="3"/>
  <c r="AD206" i="3" s="1"/>
  <c r="H206" i="3"/>
  <c r="AC206" i="3" s="1"/>
  <c r="G206" i="3"/>
  <c r="F206" i="3"/>
  <c r="AE205" i="3"/>
  <c r="AD205" i="3"/>
  <c r="AC205" i="3"/>
  <c r="AB205" i="3"/>
  <c r="AA205" i="3"/>
  <c r="S205" i="3"/>
  <c r="I205" i="3"/>
  <c r="H205" i="3"/>
  <c r="R205" i="3" s="1"/>
  <c r="G205" i="3"/>
  <c r="Q205" i="3" s="1"/>
  <c r="F205" i="3"/>
  <c r="P205" i="3" s="1"/>
  <c r="R204" i="3"/>
  <c r="P204" i="3"/>
  <c r="I204" i="3"/>
  <c r="H204" i="3"/>
  <c r="AC204" i="3" s="1"/>
  <c r="G204" i="3"/>
  <c r="Q204" i="3" s="1"/>
  <c r="F204" i="3"/>
  <c r="AA204" i="3" s="1"/>
  <c r="AC203" i="3"/>
  <c r="I203" i="3"/>
  <c r="H203" i="3"/>
  <c r="R203" i="3" s="1"/>
  <c r="G203" i="3"/>
  <c r="AB203" i="3" s="1"/>
  <c r="F203" i="3"/>
  <c r="AA203" i="3" s="1"/>
  <c r="AD202" i="3"/>
  <c r="AC202" i="3"/>
  <c r="AB202" i="3"/>
  <c r="AA202" i="3"/>
  <c r="I202" i="3"/>
  <c r="S202" i="3" s="1"/>
  <c r="H202" i="3"/>
  <c r="R202" i="3" s="1"/>
  <c r="G202" i="3"/>
  <c r="Q202" i="3" s="1"/>
  <c r="F202" i="3"/>
  <c r="P202" i="3" s="1"/>
  <c r="I201" i="3"/>
  <c r="AD201" i="3" s="1"/>
  <c r="H201" i="3"/>
  <c r="G201" i="3"/>
  <c r="F201" i="3"/>
  <c r="AA200" i="3"/>
  <c r="Q200" i="3"/>
  <c r="P200" i="3"/>
  <c r="I200" i="3"/>
  <c r="AD200" i="3" s="1"/>
  <c r="H200" i="3"/>
  <c r="AC200" i="3" s="1"/>
  <c r="G200" i="3"/>
  <c r="AB200" i="3" s="1"/>
  <c r="F200" i="3"/>
  <c r="P199" i="3"/>
  <c r="I199" i="3"/>
  <c r="H199" i="3"/>
  <c r="G199" i="3"/>
  <c r="F199" i="3"/>
  <c r="AA199" i="3" s="1"/>
  <c r="AC198" i="3"/>
  <c r="AB198" i="3"/>
  <c r="AA198" i="3"/>
  <c r="S198" i="3"/>
  <c r="R198" i="3"/>
  <c r="Q198" i="3"/>
  <c r="P198" i="3"/>
  <c r="I198" i="3"/>
  <c r="AD198" i="3" s="1"/>
  <c r="H198" i="3"/>
  <c r="G198" i="3"/>
  <c r="F198" i="3"/>
  <c r="AC197" i="3"/>
  <c r="R197" i="3"/>
  <c r="P197" i="3"/>
  <c r="I197" i="3"/>
  <c r="H197" i="3"/>
  <c r="G197" i="3"/>
  <c r="Q197" i="3" s="1"/>
  <c r="F197" i="3"/>
  <c r="AA197" i="3" s="1"/>
  <c r="AD196" i="3"/>
  <c r="AC196" i="3"/>
  <c r="AB196" i="3"/>
  <c r="AA196" i="3"/>
  <c r="S196" i="3"/>
  <c r="R196" i="3"/>
  <c r="Q196" i="3"/>
  <c r="P196" i="3"/>
  <c r="I196" i="3"/>
  <c r="H196" i="3"/>
  <c r="G196" i="3"/>
  <c r="F196" i="3"/>
  <c r="AD195" i="3"/>
  <c r="S195" i="3"/>
  <c r="R195" i="3"/>
  <c r="I195" i="3"/>
  <c r="H195" i="3"/>
  <c r="AC195" i="3" s="1"/>
  <c r="G195" i="3"/>
  <c r="F195" i="3"/>
  <c r="AE194" i="3"/>
  <c r="AD194" i="3"/>
  <c r="AC194" i="3"/>
  <c r="S194" i="3"/>
  <c r="R194" i="3"/>
  <c r="I194" i="3"/>
  <c r="H194" i="3"/>
  <c r="G194" i="3"/>
  <c r="F194" i="3"/>
  <c r="AC193" i="3"/>
  <c r="AB193" i="3"/>
  <c r="AA193" i="3"/>
  <c r="S193" i="3"/>
  <c r="R193" i="3"/>
  <c r="Q193" i="3"/>
  <c r="I193" i="3"/>
  <c r="AD193" i="3" s="1"/>
  <c r="H193" i="3"/>
  <c r="G193" i="3"/>
  <c r="F193" i="3"/>
  <c r="P193" i="3" s="1"/>
  <c r="AC192" i="3"/>
  <c r="AB192" i="3"/>
  <c r="I192" i="3"/>
  <c r="S192" i="3" s="1"/>
  <c r="H192" i="3"/>
  <c r="R192" i="3" s="1"/>
  <c r="G192" i="3"/>
  <c r="Q192" i="3" s="1"/>
  <c r="F192" i="3"/>
  <c r="AA192" i="3" s="1"/>
  <c r="AE191" i="3"/>
  <c r="AD191" i="3"/>
  <c r="P191" i="3"/>
  <c r="I191" i="3"/>
  <c r="S191" i="3" s="1"/>
  <c r="H191" i="3"/>
  <c r="R191" i="3" s="1"/>
  <c r="G191" i="3"/>
  <c r="Q191" i="3" s="1"/>
  <c r="F191" i="3"/>
  <c r="AA191" i="3" s="1"/>
  <c r="AD190" i="3"/>
  <c r="I190" i="3"/>
  <c r="S190" i="3" s="1"/>
  <c r="H190" i="3"/>
  <c r="AC190" i="3" s="1"/>
  <c r="G190" i="3"/>
  <c r="F190" i="3"/>
  <c r="S189" i="3"/>
  <c r="I189" i="3"/>
  <c r="AD189" i="3" s="1"/>
  <c r="H189" i="3"/>
  <c r="AC189" i="3" s="1"/>
  <c r="G189" i="3"/>
  <c r="AB189" i="3" s="1"/>
  <c r="F189" i="3"/>
  <c r="AA189" i="3" s="1"/>
  <c r="I188" i="3"/>
  <c r="AD188" i="3" s="1"/>
  <c r="H188" i="3"/>
  <c r="AC188" i="3" s="1"/>
  <c r="G188" i="3"/>
  <c r="F188" i="3"/>
  <c r="AB187" i="3"/>
  <c r="AA187" i="3"/>
  <c r="S187" i="3"/>
  <c r="Q187" i="3"/>
  <c r="P187" i="3"/>
  <c r="I187" i="3"/>
  <c r="AD187" i="3" s="1"/>
  <c r="H187" i="3"/>
  <c r="G187" i="3"/>
  <c r="F187" i="3"/>
  <c r="AB186" i="3"/>
  <c r="AA186" i="3"/>
  <c r="Q186" i="3"/>
  <c r="P186" i="3"/>
  <c r="I186" i="3"/>
  <c r="H186" i="3"/>
  <c r="G186" i="3"/>
  <c r="F186" i="3"/>
  <c r="AD185" i="3"/>
  <c r="AC185" i="3"/>
  <c r="AB185" i="3"/>
  <c r="AA185" i="3"/>
  <c r="S185" i="3"/>
  <c r="R185" i="3"/>
  <c r="Q185" i="3"/>
  <c r="P185" i="3"/>
  <c r="I185" i="3"/>
  <c r="H185" i="3"/>
  <c r="G185" i="3"/>
  <c r="F185" i="3"/>
  <c r="Q184" i="3"/>
  <c r="P184" i="3"/>
  <c r="I184" i="3"/>
  <c r="S184" i="3" s="1"/>
  <c r="H184" i="3"/>
  <c r="AC184" i="3" s="1"/>
  <c r="G184" i="3"/>
  <c r="AB184" i="3" s="1"/>
  <c r="F184" i="3"/>
  <c r="AA184" i="3" s="1"/>
  <c r="AD183" i="3"/>
  <c r="AC183" i="3"/>
  <c r="AB183" i="3"/>
  <c r="S183" i="3"/>
  <c r="R183" i="3"/>
  <c r="Q183" i="3"/>
  <c r="I183" i="3"/>
  <c r="H183" i="3"/>
  <c r="G183" i="3"/>
  <c r="F183" i="3"/>
  <c r="P183" i="3" s="1"/>
  <c r="S182" i="3"/>
  <c r="Q182" i="3"/>
  <c r="P182" i="3"/>
  <c r="I182" i="3"/>
  <c r="AD182" i="3" s="1"/>
  <c r="H182" i="3"/>
  <c r="G182" i="3"/>
  <c r="AB182" i="3" s="1"/>
  <c r="F182" i="3"/>
  <c r="AA182" i="3" s="1"/>
  <c r="AD181" i="3"/>
  <c r="AC181" i="3"/>
  <c r="AB181" i="3"/>
  <c r="AA181" i="3"/>
  <c r="S181" i="3"/>
  <c r="I181" i="3"/>
  <c r="H181" i="3"/>
  <c r="R181" i="3" s="1"/>
  <c r="G181" i="3"/>
  <c r="Q181" i="3" s="1"/>
  <c r="F181" i="3"/>
  <c r="P181" i="3" s="1"/>
  <c r="AD180" i="3"/>
  <c r="AC180" i="3"/>
  <c r="AB180" i="3"/>
  <c r="I180" i="3"/>
  <c r="S180" i="3" s="1"/>
  <c r="H180" i="3"/>
  <c r="R180" i="3" s="1"/>
  <c r="G180" i="3"/>
  <c r="Q180" i="3" s="1"/>
  <c r="F180" i="3"/>
  <c r="AE179" i="3"/>
  <c r="AD179" i="3"/>
  <c r="AC179" i="3"/>
  <c r="I179" i="3"/>
  <c r="S179" i="3" s="1"/>
  <c r="H179" i="3"/>
  <c r="R179" i="3" s="1"/>
  <c r="G179" i="3"/>
  <c r="AB179" i="3" s="1"/>
  <c r="F179" i="3"/>
  <c r="AA179" i="3" s="1"/>
  <c r="R178" i="3"/>
  <c r="Q178" i="3"/>
  <c r="I178" i="3"/>
  <c r="H178" i="3"/>
  <c r="AC178" i="3" s="1"/>
  <c r="G178" i="3"/>
  <c r="AB178" i="3" s="1"/>
  <c r="F178" i="3"/>
  <c r="AA178" i="3" s="1"/>
  <c r="R177" i="3"/>
  <c r="I177" i="3"/>
  <c r="AD177" i="3" s="1"/>
  <c r="H177" i="3"/>
  <c r="AC177" i="3" s="1"/>
  <c r="G177" i="3"/>
  <c r="AB177" i="3" s="1"/>
  <c r="F177" i="3"/>
  <c r="AE176" i="3"/>
  <c r="AD176" i="3"/>
  <c r="AC176" i="3"/>
  <c r="AA176" i="3"/>
  <c r="S176" i="3"/>
  <c r="R176" i="3"/>
  <c r="P176" i="3"/>
  <c r="I176" i="3"/>
  <c r="H176" i="3"/>
  <c r="G176" i="3"/>
  <c r="F176" i="3"/>
  <c r="AA175" i="3"/>
  <c r="S175" i="3"/>
  <c r="I175" i="3"/>
  <c r="AD175" i="3" s="1"/>
  <c r="H175" i="3"/>
  <c r="G175" i="3"/>
  <c r="F175" i="3"/>
  <c r="P175" i="3" s="1"/>
  <c r="AC174" i="3"/>
  <c r="AB174" i="3"/>
  <c r="AA174" i="3"/>
  <c r="R174" i="3"/>
  <c r="Q174" i="3"/>
  <c r="P174" i="3"/>
  <c r="I174" i="3"/>
  <c r="H174" i="3"/>
  <c r="G174" i="3"/>
  <c r="F174" i="3"/>
  <c r="Q173" i="3"/>
  <c r="P173" i="3"/>
  <c r="I173" i="3"/>
  <c r="H173" i="3"/>
  <c r="G173" i="3"/>
  <c r="AB173" i="3" s="1"/>
  <c r="F173" i="3"/>
  <c r="AA173" i="3" s="1"/>
  <c r="AD172" i="3"/>
  <c r="AC172" i="3"/>
  <c r="AB172" i="3"/>
  <c r="AA172" i="3"/>
  <c r="S172" i="3"/>
  <c r="R172" i="3"/>
  <c r="Q172" i="3"/>
  <c r="P172" i="3"/>
  <c r="I172" i="3"/>
  <c r="H172" i="3"/>
  <c r="G172" i="3"/>
  <c r="F172" i="3"/>
  <c r="P171" i="3"/>
  <c r="I171" i="3"/>
  <c r="G171" i="3"/>
  <c r="AB171" i="3" s="1"/>
  <c r="F171" i="3"/>
  <c r="AA171" i="3" s="1"/>
  <c r="AD170" i="3"/>
  <c r="AC170" i="3"/>
  <c r="AB170" i="3"/>
  <c r="AA170" i="3"/>
  <c r="S170" i="3"/>
  <c r="R170" i="3"/>
  <c r="I170" i="3"/>
  <c r="H170" i="3"/>
  <c r="G170" i="3"/>
  <c r="Q170" i="3" s="1"/>
  <c r="F170" i="3"/>
  <c r="P170" i="3" s="1"/>
  <c r="AC169" i="3"/>
  <c r="AB169" i="3"/>
  <c r="AA169" i="3"/>
  <c r="S169" i="3"/>
  <c r="I169" i="3"/>
  <c r="AD169" i="3" s="1"/>
  <c r="H169" i="3"/>
  <c r="R169" i="3" s="1"/>
  <c r="G169" i="3"/>
  <c r="Q169" i="3" s="1"/>
  <c r="F169" i="3"/>
  <c r="P169" i="3" s="1"/>
  <c r="AB168" i="3"/>
  <c r="I168" i="3"/>
  <c r="S168" i="3" s="1"/>
  <c r="H168" i="3"/>
  <c r="G168" i="3"/>
  <c r="Q168" i="3" s="1"/>
  <c r="F168" i="3"/>
  <c r="AA168" i="3" s="1"/>
  <c r="AD167" i="3"/>
  <c r="AC167" i="3"/>
  <c r="AB167" i="3"/>
  <c r="AA167" i="3"/>
  <c r="Q167" i="3"/>
  <c r="P167" i="3"/>
  <c r="I167" i="3"/>
  <c r="S167" i="3" s="1"/>
  <c r="H167" i="3"/>
  <c r="R167" i="3" s="1"/>
  <c r="G167" i="3"/>
  <c r="F167" i="3"/>
  <c r="AD166" i="3"/>
  <c r="AC166" i="3"/>
  <c r="AB166" i="3"/>
  <c r="AA166" i="3"/>
  <c r="R166" i="3"/>
  <c r="Q166" i="3"/>
  <c r="P166" i="3"/>
  <c r="I166" i="3"/>
  <c r="S166" i="3" s="1"/>
  <c r="AD165" i="3"/>
  <c r="AC165" i="3"/>
  <c r="S165" i="3"/>
  <c r="I165" i="3"/>
  <c r="H165" i="3"/>
  <c r="AD164" i="3"/>
  <c r="AC164" i="3"/>
  <c r="I164" i="3"/>
  <c r="S164" i="3" s="1"/>
  <c r="H164" i="3"/>
  <c r="R164" i="3" s="1"/>
  <c r="G164" i="3"/>
  <c r="AB164" i="3" s="1"/>
  <c r="F164" i="3"/>
  <c r="I163" i="3"/>
  <c r="H163" i="3"/>
  <c r="AC163" i="3" s="1"/>
  <c r="G163" i="3"/>
  <c r="AB163" i="3" s="1"/>
  <c r="F163" i="3"/>
  <c r="AA163" i="3" s="1"/>
  <c r="Q162" i="3"/>
  <c r="I162" i="3"/>
  <c r="AD162" i="3" s="1"/>
  <c r="H162" i="3"/>
  <c r="AC162" i="3" s="1"/>
  <c r="G162" i="3"/>
  <c r="AB162" i="3" s="1"/>
  <c r="F162" i="3"/>
  <c r="AA161" i="3"/>
  <c r="S161" i="3"/>
  <c r="R161" i="3"/>
  <c r="Q161" i="3"/>
  <c r="P161" i="3"/>
  <c r="I161" i="3"/>
  <c r="AD161" i="3" s="1"/>
  <c r="H161" i="3"/>
  <c r="AC161" i="3" s="1"/>
  <c r="G161" i="3"/>
  <c r="AB161" i="3" s="1"/>
  <c r="F161" i="3"/>
  <c r="I160" i="3"/>
  <c r="AD160" i="3" s="1"/>
  <c r="H160" i="3"/>
  <c r="G160" i="3"/>
  <c r="AB160" i="3" s="1"/>
  <c r="F160" i="3"/>
  <c r="AA160" i="3" s="1"/>
  <c r="AE159" i="3"/>
  <c r="AC159" i="3"/>
  <c r="AB159" i="3"/>
  <c r="AA159" i="3"/>
  <c r="R159" i="3"/>
  <c r="Q159" i="3"/>
  <c r="P159" i="3"/>
  <c r="I159" i="3"/>
  <c r="H159" i="3"/>
  <c r="G159" i="3"/>
  <c r="F159" i="3"/>
  <c r="P158" i="3"/>
  <c r="I158" i="3"/>
  <c r="AD158" i="3" s="1"/>
  <c r="H158" i="3"/>
  <c r="G158" i="3"/>
  <c r="Q158" i="3" s="1"/>
  <c r="F158" i="3"/>
  <c r="AA158" i="3" s="1"/>
  <c r="AD157" i="3"/>
  <c r="AC157" i="3"/>
  <c r="AB157" i="3"/>
  <c r="AA157" i="3"/>
  <c r="S157" i="3"/>
  <c r="R157" i="3"/>
  <c r="Q157" i="3"/>
  <c r="P157" i="3"/>
  <c r="I157" i="3"/>
  <c r="H157" i="3"/>
  <c r="G157" i="3"/>
  <c r="F157" i="3"/>
  <c r="AA156" i="3"/>
  <c r="S156" i="3"/>
  <c r="R156" i="3"/>
  <c r="I156" i="3"/>
  <c r="AD156" i="3" s="1"/>
  <c r="H156" i="3"/>
  <c r="AC156" i="3" s="1"/>
  <c r="G156" i="3"/>
  <c r="F156" i="3"/>
  <c r="P156" i="3" s="1"/>
  <c r="AD155" i="3"/>
  <c r="AC155" i="3"/>
  <c r="AB155" i="3"/>
  <c r="S155" i="3"/>
  <c r="R155" i="3"/>
  <c r="I155" i="3"/>
  <c r="H155" i="3"/>
  <c r="G155" i="3"/>
  <c r="Q155" i="3" s="1"/>
  <c r="F155" i="3"/>
  <c r="Q154" i="3"/>
  <c r="I154" i="3"/>
  <c r="AE70" i="3" s="1"/>
  <c r="H154" i="3"/>
  <c r="G154" i="3"/>
  <c r="AB154" i="3" s="1"/>
  <c r="F154" i="3"/>
  <c r="P154" i="3" s="1"/>
  <c r="AB153" i="3"/>
  <c r="I153" i="3"/>
  <c r="H153" i="3"/>
  <c r="G153" i="3"/>
  <c r="Q153" i="3" s="1"/>
  <c r="F153" i="3"/>
  <c r="AA152" i="3"/>
  <c r="I152" i="3"/>
  <c r="AD152" i="3" s="1"/>
  <c r="H152" i="3"/>
  <c r="R152" i="3" s="1"/>
  <c r="G152" i="3"/>
  <c r="Q152" i="3" s="1"/>
  <c r="F152" i="3"/>
  <c r="P152" i="3" s="1"/>
  <c r="AD151" i="3"/>
  <c r="Q151" i="3"/>
  <c r="P151" i="3"/>
  <c r="I151" i="3"/>
  <c r="S151" i="3" s="1"/>
  <c r="H151" i="3"/>
  <c r="G151" i="3"/>
  <c r="AB151" i="3" s="1"/>
  <c r="F151" i="3"/>
  <c r="AA151" i="3" s="1"/>
  <c r="Q150" i="3"/>
  <c r="P150" i="3"/>
  <c r="I150" i="3"/>
  <c r="H150" i="3"/>
  <c r="G150" i="3"/>
  <c r="AB150" i="3" s="1"/>
  <c r="F150" i="3"/>
  <c r="AA150" i="3" s="1"/>
  <c r="S149" i="3"/>
  <c r="R149" i="3"/>
  <c r="I149" i="3"/>
  <c r="AD149" i="3" s="1"/>
  <c r="H149" i="3"/>
  <c r="AC149" i="3" s="1"/>
  <c r="G149" i="3"/>
  <c r="F149" i="3"/>
  <c r="AA149" i="3" s="1"/>
  <c r="AD148" i="3"/>
  <c r="AB148" i="3"/>
  <c r="AA148" i="3"/>
  <c r="S148" i="3"/>
  <c r="R148" i="3"/>
  <c r="Q148" i="3"/>
  <c r="P148" i="3"/>
  <c r="I148" i="3"/>
  <c r="H148" i="3"/>
  <c r="AC148" i="3" s="1"/>
  <c r="G148" i="3"/>
  <c r="F148" i="3"/>
  <c r="I147" i="3"/>
  <c r="H147" i="3"/>
  <c r="AC147" i="3" s="1"/>
  <c r="G147" i="3"/>
  <c r="Q147" i="3" s="1"/>
  <c r="F147" i="3"/>
  <c r="P147" i="3" s="1"/>
  <c r="AD146" i="3"/>
  <c r="AC146" i="3"/>
  <c r="AB146" i="3"/>
  <c r="AA146" i="3"/>
  <c r="S146" i="3"/>
  <c r="R146" i="3"/>
  <c r="Q146" i="3"/>
  <c r="P146" i="3"/>
  <c r="I146" i="3"/>
  <c r="H146" i="3"/>
  <c r="G146" i="3"/>
  <c r="F146" i="3"/>
  <c r="S145" i="3"/>
  <c r="I145" i="3"/>
  <c r="AD145" i="3" s="1"/>
  <c r="H145" i="3"/>
  <c r="G145" i="3"/>
  <c r="F145" i="3"/>
  <c r="AE144" i="3"/>
  <c r="AD144" i="3"/>
  <c r="AC144" i="3"/>
  <c r="AB144" i="3"/>
  <c r="AA144" i="3"/>
  <c r="S144" i="3"/>
  <c r="R144" i="3"/>
  <c r="Q144" i="3"/>
  <c r="I144" i="3"/>
  <c r="H144" i="3"/>
  <c r="G144" i="3"/>
  <c r="F144" i="3"/>
  <c r="P144" i="3" s="1"/>
  <c r="AA143" i="3"/>
  <c r="S143" i="3"/>
  <c r="R143" i="3"/>
  <c r="Q143" i="3"/>
  <c r="I143" i="3"/>
  <c r="AD143" i="3" s="1"/>
  <c r="G143" i="3"/>
  <c r="AB143" i="3" s="1"/>
  <c r="F143" i="3"/>
  <c r="P143" i="3" s="1"/>
  <c r="AD142" i="3"/>
  <c r="AA142" i="3"/>
  <c r="S142" i="3"/>
  <c r="I142" i="3"/>
  <c r="H142" i="3"/>
  <c r="R142" i="3" s="1"/>
  <c r="G142" i="3"/>
  <c r="Q142" i="3" s="1"/>
  <c r="F142" i="3"/>
  <c r="P142" i="3" s="1"/>
  <c r="AE141" i="3"/>
  <c r="S141" i="3"/>
  <c r="R141" i="3"/>
  <c r="I141" i="3"/>
  <c r="AD141" i="3" s="1"/>
  <c r="H141" i="3"/>
  <c r="AC141" i="3" s="1"/>
  <c r="G141" i="3"/>
  <c r="AB141" i="3" s="1"/>
  <c r="F141" i="3"/>
  <c r="AC140" i="3"/>
  <c r="I140" i="3"/>
  <c r="S140" i="3" s="1"/>
  <c r="H140" i="3"/>
  <c r="R140" i="3" s="1"/>
  <c r="G140" i="3"/>
  <c r="F140" i="3"/>
  <c r="P139" i="3"/>
  <c r="I139" i="3"/>
  <c r="S139" i="3" s="1"/>
  <c r="H139" i="3"/>
  <c r="R139" i="3" s="1"/>
  <c r="G139" i="3"/>
  <c r="Q139" i="3" s="1"/>
  <c r="F139" i="3"/>
  <c r="AA139" i="3" s="1"/>
  <c r="AB138" i="3"/>
  <c r="I138" i="3"/>
  <c r="H138" i="3"/>
  <c r="AC138" i="3" s="1"/>
  <c r="G138" i="3"/>
  <c r="Q138" i="3" s="1"/>
  <c r="F138" i="3"/>
  <c r="AE137" i="3"/>
  <c r="AD137" i="3"/>
  <c r="AC137" i="3"/>
  <c r="AA137" i="3"/>
  <c r="S137" i="3"/>
  <c r="R137" i="3"/>
  <c r="P137" i="3"/>
  <c r="I137" i="3"/>
  <c r="H137" i="3"/>
  <c r="G137" i="3"/>
  <c r="F137" i="3"/>
  <c r="AA136" i="3"/>
  <c r="P136" i="3"/>
  <c r="I136" i="3"/>
  <c r="S136" i="3" s="1"/>
  <c r="H136" i="3"/>
  <c r="G136" i="3"/>
  <c r="F136" i="3"/>
  <c r="AD135" i="3"/>
  <c r="AC135" i="3"/>
  <c r="AB135" i="3"/>
  <c r="AA135" i="3"/>
  <c r="S135" i="3"/>
  <c r="R135" i="3"/>
  <c r="Q135" i="3"/>
  <c r="P135" i="3"/>
  <c r="I135" i="3"/>
  <c r="H135" i="3"/>
  <c r="G135" i="3"/>
  <c r="F135" i="3"/>
  <c r="AC134" i="3"/>
  <c r="AB134" i="3"/>
  <c r="S134" i="3"/>
  <c r="R134" i="3"/>
  <c r="I134" i="3"/>
  <c r="AD134" i="3" s="1"/>
  <c r="H134" i="3"/>
  <c r="G134" i="3"/>
  <c r="Q134" i="3" s="1"/>
  <c r="F134" i="3"/>
  <c r="AD133" i="3"/>
  <c r="AC133" i="3"/>
  <c r="AB133" i="3"/>
  <c r="AA133" i="3"/>
  <c r="S133" i="3"/>
  <c r="R133" i="3"/>
  <c r="Q133" i="3"/>
  <c r="P133" i="3"/>
  <c r="I133" i="3"/>
  <c r="H133" i="3"/>
  <c r="G133" i="3"/>
  <c r="F133" i="3"/>
  <c r="AA132" i="3"/>
  <c r="P132" i="3"/>
  <c r="I132" i="3"/>
  <c r="AD132" i="3" s="1"/>
  <c r="H132" i="3"/>
  <c r="G132" i="3"/>
  <c r="Q132" i="3" s="1"/>
  <c r="F132" i="3"/>
  <c r="AD131" i="3"/>
  <c r="AC131" i="3"/>
  <c r="AB131" i="3"/>
  <c r="AA131" i="3"/>
  <c r="S131" i="3"/>
  <c r="R131" i="3"/>
  <c r="P131" i="3"/>
  <c r="I131" i="3"/>
  <c r="H131" i="3"/>
  <c r="G131" i="3"/>
  <c r="Q131" i="3" s="1"/>
  <c r="F131" i="3"/>
  <c r="P130" i="3"/>
  <c r="I130" i="3"/>
  <c r="H130" i="3"/>
  <c r="G130" i="3"/>
  <c r="F130" i="3"/>
  <c r="AA130" i="3" s="1"/>
  <c r="AC129" i="3"/>
  <c r="AB129" i="3"/>
  <c r="R129" i="3"/>
  <c r="I129" i="3"/>
  <c r="S129" i="3" s="1"/>
  <c r="H129" i="3"/>
  <c r="G129" i="3"/>
  <c r="Q129" i="3" s="1"/>
  <c r="F129" i="3"/>
  <c r="AA128" i="3"/>
  <c r="S128" i="3"/>
  <c r="R128" i="3"/>
  <c r="Q128" i="3"/>
  <c r="I128" i="3"/>
  <c r="AD128" i="3" s="1"/>
  <c r="H128" i="3"/>
  <c r="AC128" i="3" s="1"/>
  <c r="G128" i="3"/>
  <c r="AB128" i="3" s="1"/>
  <c r="F128" i="3"/>
  <c r="P128" i="3" s="1"/>
  <c r="AD127" i="3"/>
  <c r="AA127" i="3"/>
  <c r="Q127" i="3"/>
  <c r="P127" i="3"/>
  <c r="I127" i="3"/>
  <c r="S127" i="3" s="1"/>
  <c r="H127" i="3"/>
  <c r="G127" i="3"/>
  <c r="AB127" i="3" s="1"/>
  <c r="F127" i="3"/>
  <c r="AD126" i="3"/>
  <c r="R126" i="3"/>
  <c r="Q126" i="3"/>
  <c r="P126" i="3"/>
  <c r="I126" i="3"/>
  <c r="S126" i="3" s="1"/>
  <c r="H126" i="3"/>
  <c r="AC126" i="3" s="1"/>
  <c r="G126" i="3"/>
  <c r="AB126" i="3" s="1"/>
  <c r="F126" i="3"/>
  <c r="AA126" i="3" s="1"/>
  <c r="AC125" i="3"/>
  <c r="S125" i="3"/>
  <c r="R125" i="3"/>
  <c r="I125" i="3"/>
  <c r="AD125" i="3" s="1"/>
  <c r="H125" i="3"/>
  <c r="G125" i="3"/>
  <c r="F125" i="3"/>
  <c r="AA125" i="3" s="1"/>
  <c r="AE124" i="3"/>
  <c r="AD124" i="3"/>
  <c r="AC124" i="3"/>
  <c r="AB124" i="3"/>
  <c r="AA124" i="3"/>
  <c r="Q124" i="3"/>
  <c r="P124" i="3"/>
  <c r="I124" i="3"/>
  <c r="S124" i="3" s="1"/>
  <c r="H124" i="3"/>
  <c r="R124" i="3" s="1"/>
  <c r="G124" i="3"/>
  <c r="F124" i="3"/>
  <c r="AA123" i="3"/>
  <c r="I123" i="3"/>
  <c r="H123" i="3"/>
  <c r="AC123" i="3" s="1"/>
  <c r="G123" i="3"/>
  <c r="F123" i="3"/>
  <c r="P123" i="3" s="1"/>
  <c r="AD122" i="3"/>
  <c r="AC122" i="3"/>
  <c r="AA122" i="3"/>
  <c r="S122" i="3"/>
  <c r="R122" i="3"/>
  <c r="P122" i="3"/>
  <c r="I122" i="3"/>
  <c r="H122" i="3"/>
  <c r="G122" i="3"/>
  <c r="F122" i="3"/>
  <c r="AD121" i="3"/>
  <c r="S121" i="3"/>
  <c r="R121" i="3"/>
  <c r="Q121" i="3"/>
  <c r="P121" i="3"/>
  <c r="I121" i="3"/>
  <c r="H121" i="3"/>
  <c r="AC121" i="3" s="1"/>
  <c r="G121" i="3"/>
  <c r="AB121" i="3" s="1"/>
  <c r="F121" i="3"/>
  <c r="AA121" i="3" s="1"/>
  <c r="AD120" i="3"/>
  <c r="AC120" i="3"/>
  <c r="AB120" i="3"/>
  <c r="S120" i="3"/>
  <c r="R120" i="3"/>
  <c r="Q120" i="3"/>
  <c r="I120" i="3"/>
  <c r="H120" i="3"/>
  <c r="G120" i="3"/>
  <c r="F120" i="3"/>
  <c r="AC119" i="3"/>
  <c r="R119" i="3"/>
  <c r="Q119" i="3"/>
  <c r="P119" i="3"/>
  <c r="I119" i="3"/>
  <c r="AD119" i="3" s="1"/>
  <c r="H119" i="3"/>
  <c r="G119" i="3"/>
  <c r="AB119" i="3" s="1"/>
  <c r="F119" i="3"/>
  <c r="AA119" i="3" s="1"/>
  <c r="AD118" i="3"/>
  <c r="AC118" i="3"/>
  <c r="AB118" i="3"/>
  <c r="AA118" i="3"/>
  <c r="S118" i="3"/>
  <c r="I118" i="3"/>
  <c r="H118" i="3"/>
  <c r="R118" i="3" s="1"/>
  <c r="G118" i="3"/>
  <c r="Q118" i="3" s="1"/>
  <c r="F118" i="3"/>
  <c r="P118" i="3" s="1"/>
  <c r="I117" i="3"/>
  <c r="S117" i="3" s="1"/>
  <c r="H117" i="3"/>
  <c r="R117" i="3" s="1"/>
  <c r="G117" i="3"/>
  <c r="AB117" i="3" s="1"/>
  <c r="F117" i="3"/>
  <c r="AA117" i="3" s="1"/>
  <c r="AE116" i="3"/>
  <c r="AC116" i="3"/>
  <c r="P116" i="3"/>
  <c r="I116" i="3"/>
  <c r="AD116" i="3" s="1"/>
  <c r="H116" i="3"/>
  <c r="R116" i="3" s="1"/>
  <c r="G116" i="3"/>
  <c r="F116" i="3"/>
  <c r="AA116" i="3" s="1"/>
  <c r="Q115" i="3"/>
  <c r="P115" i="3"/>
  <c r="I115" i="3"/>
  <c r="H115" i="3"/>
  <c r="G115" i="3"/>
  <c r="AB115" i="3" s="1"/>
  <c r="F115" i="3"/>
  <c r="AA115" i="3" s="1"/>
  <c r="AB114" i="3"/>
  <c r="Q114" i="3"/>
  <c r="I114" i="3"/>
  <c r="AE114" i="3" s="1"/>
  <c r="H114" i="3"/>
  <c r="AC114" i="3" s="1"/>
  <c r="G114" i="3"/>
  <c r="F114" i="3"/>
  <c r="AA113" i="3"/>
  <c r="S113" i="3"/>
  <c r="R113" i="3"/>
  <c r="Q113" i="3"/>
  <c r="P113" i="3"/>
  <c r="I113" i="3"/>
  <c r="AD113" i="3" s="1"/>
  <c r="H113" i="3"/>
  <c r="AC113" i="3" s="1"/>
  <c r="G113" i="3"/>
  <c r="AB113" i="3" s="1"/>
  <c r="F113" i="3"/>
  <c r="S112" i="3"/>
  <c r="Q112" i="3"/>
  <c r="P112" i="3"/>
  <c r="I112" i="3"/>
  <c r="AD112" i="3" s="1"/>
  <c r="H112" i="3"/>
  <c r="G112" i="3"/>
  <c r="AB112" i="3" s="1"/>
  <c r="F112" i="3"/>
  <c r="AA112" i="3" s="1"/>
  <c r="AD111" i="3"/>
  <c r="AC111" i="3"/>
  <c r="AB111" i="3"/>
  <c r="R111" i="3"/>
  <c r="Q111" i="3"/>
  <c r="I111" i="3"/>
  <c r="S111" i="3" s="1"/>
  <c r="H111" i="3"/>
  <c r="G111" i="3"/>
  <c r="F111" i="3"/>
  <c r="P110" i="3"/>
  <c r="I110" i="3"/>
  <c r="H110" i="3"/>
  <c r="G110" i="3"/>
  <c r="F110" i="3"/>
  <c r="AA110" i="3" s="1"/>
  <c r="AD109" i="3"/>
  <c r="AC109" i="3"/>
  <c r="AB109" i="3"/>
  <c r="AA109" i="3"/>
  <c r="S109" i="3"/>
  <c r="Q109" i="3"/>
  <c r="I109" i="3"/>
  <c r="H109" i="3"/>
  <c r="R109" i="3" s="1"/>
  <c r="G109" i="3"/>
  <c r="F109" i="3"/>
  <c r="P109" i="3" s="1"/>
  <c r="I108" i="3"/>
  <c r="AD108" i="3" s="1"/>
  <c r="H108" i="3"/>
  <c r="G108" i="3"/>
  <c r="Q108" i="3" s="1"/>
  <c r="F108" i="3"/>
  <c r="P108" i="3" s="1"/>
  <c r="AE107" i="3"/>
  <c r="AD107" i="3"/>
  <c r="AC107" i="3"/>
  <c r="S107" i="3"/>
  <c r="I107" i="3"/>
  <c r="H107" i="3"/>
  <c r="R107" i="3" s="1"/>
  <c r="G107" i="3"/>
  <c r="F107" i="3"/>
  <c r="AB106" i="3"/>
  <c r="Q106" i="3"/>
  <c r="P106" i="3"/>
  <c r="I106" i="3"/>
  <c r="H106" i="3"/>
  <c r="G106" i="3"/>
  <c r="F106" i="3"/>
  <c r="AA106" i="3" s="1"/>
  <c r="AD105" i="3"/>
  <c r="AC105" i="3"/>
  <c r="AB105" i="3"/>
  <c r="I105" i="3"/>
  <c r="S105" i="3" s="1"/>
  <c r="H105" i="3"/>
  <c r="R105" i="3" s="1"/>
  <c r="G105" i="3"/>
  <c r="Q105" i="3" s="1"/>
  <c r="F105" i="3"/>
  <c r="AD104" i="3"/>
  <c r="AC104" i="3"/>
  <c r="S104" i="3"/>
  <c r="R104" i="3"/>
  <c r="Q104" i="3"/>
  <c r="P104" i="3"/>
  <c r="I104" i="3"/>
  <c r="H104" i="3"/>
  <c r="G104" i="3"/>
  <c r="AB104" i="3" s="1"/>
  <c r="F104" i="3"/>
  <c r="AA104" i="3" s="1"/>
  <c r="AD103" i="3"/>
  <c r="AA103" i="3"/>
  <c r="Q103" i="3"/>
  <c r="P103" i="3"/>
  <c r="I103" i="3"/>
  <c r="S103" i="3" s="1"/>
  <c r="H103" i="3"/>
  <c r="G103" i="3"/>
  <c r="AB103" i="3" s="1"/>
  <c r="F103" i="3"/>
  <c r="I102" i="3"/>
  <c r="S102" i="3" s="1"/>
  <c r="H102" i="3"/>
  <c r="R102" i="3" s="1"/>
  <c r="G102" i="3"/>
  <c r="Q102" i="3" s="1"/>
  <c r="F102" i="3"/>
  <c r="P102" i="3" s="1"/>
  <c r="AD101" i="3"/>
  <c r="AC101" i="3"/>
  <c r="S101" i="3"/>
  <c r="R101" i="3"/>
  <c r="G101" i="3"/>
  <c r="F101" i="3"/>
  <c r="S100" i="3"/>
  <c r="R100" i="3"/>
  <c r="I100" i="3"/>
  <c r="AD100" i="3" s="1"/>
  <c r="H100" i="3"/>
  <c r="AC100" i="3" s="1"/>
  <c r="G100" i="3"/>
  <c r="F100" i="3"/>
  <c r="I99" i="3"/>
  <c r="AD99" i="3" s="1"/>
  <c r="H99" i="3"/>
  <c r="R99" i="3" s="1"/>
  <c r="G99" i="3"/>
  <c r="F99" i="3"/>
  <c r="AA99" i="3" s="1"/>
  <c r="AE98" i="3"/>
  <c r="AC98" i="3"/>
  <c r="AB98" i="3"/>
  <c r="AA98" i="3"/>
  <c r="Q98" i="3"/>
  <c r="P98" i="3"/>
  <c r="I98" i="3"/>
  <c r="AE210" i="3" s="1"/>
  <c r="H98" i="3"/>
  <c r="R98" i="3" s="1"/>
  <c r="G98" i="3"/>
  <c r="F98" i="3"/>
  <c r="R97" i="3"/>
  <c r="Q97" i="3"/>
  <c r="I97" i="3"/>
  <c r="H97" i="3"/>
  <c r="AC97" i="3" s="1"/>
  <c r="G97" i="3"/>
  <c r="AB97" i="3" s="1"/>
  <c r="F97" i="3"/>
  <c r="AA97" i="3" s="1"/>
  <c r="AE96" i="3"/>
  <c r="AD96" i="3"/>
  <c r="AC96" i="3"/>
  <c r="AB96" i="3"/>
  <c r="AA96" i="3"/>
  <c r="S96" i="3"/>
  <c r="R96" i="3"/>
  <c r="P96" i="3"/>
  <c r="I96" i="3"/>
  <c r="H96" i="3"/>
  <c r="G96" i="3"/>
  <c r="Q96" i="3" s="1"/>
  <c r="F96" i="3"/>
  <c r="I95" i="3"/>
  <c r="H95" i="3"/>
  <c r="G95" i="3"/>
  <c r="F95" i="3"/>
  <c r="AD94" i="3"/>
  <c r="AC94" i="3"/>
  <c r="AB94" i="3"/>
  <c r="AA94" i="3"/>
  <c r="R94" i="3"/>
  <c r="I94" i="3"/>
  <c r="S94" i="3" s="1"/>
  <c r="H94" i="3"/>
  <c r="G94" i="3"/>
  <c r="Q94" i="3" s="1"/>
  <c r="F94" i="3"/>
  <c r="P94" i="3" s="1"/>
  <c r="AC93" i="3"/>
  <c r="S93" i="3"/>
  <c r="R93" i="3"/>
  <c r="Q93" i="3"/>
  <c r="I93" i="3"/>
  <c r="AD93" i="3" s="1"/>
  <c r="H93" i="3"/>
  <c r="G93" i="3"/>
  <c r="AB93" i="3" s="1"/>
  <c r="F93" i="3"/>
  <c r="AA93" i="3" s="1"/>
  <c r="AD92" i="3"/>
  <c r="AC92" i="3"/>
  <c r="AB92" i="3"/>
  <c r="AA92" i="3"/>
  <c r="Q92" i="3"/>
  <c r="I92" i="3"/>
  <c r="S92" i="3" s="1"/>
  <c r="H92" i="3"/>
  <c r="R92" i="3" s="1"/>
  <c r="G92" i="3"/>
  <c r="F92" i="3"/>
  <c r="P92" i="3" s="1"/>
  <c r="AB91" i="3"/>
  <c r="Q91" i="3"/>
  <c r="P91" i="3"/>
  <c r="I91" i="3"/>
  <c r="S91" i="3" s="1"/>
  <c r="H91" i="3"/>
  <c r="G91" i="3"/>
  <c r="F91" i="3"/>
  <c r="AA91" i="3" s="1"/>
  <c r="AC90" i="3"/>
  <c r="P90" i="3"/>
  <c r="I90" i="3"/>
  <c r="AD90" i="3" s="1"/>
  <c r="H90" i="3"/>
  <c r="R90" i="3" s="1"/>
  <c r="G90" i="3"/>
  <c r="F90" i="3"/>
  <c r="AA90" i="3" s="1"/>
  <c r="AC89" i="3"/>
  <c r="AB89" i="3"/>
  <c r="AA89" i="3"/>
  <c r="P89" i="3"/>
  <c r="I89" i="3"/>
  <c r="AD89" i="3" s="1"/>
  <c r="H89" i="3"/>
  <c r="R89" i="3" s="1"/>
  <c r="G89" i="3"/>
  <c r="Q89" i="3" s="1"/>
  <c r="F89" i="3"/>
  <c r="AB88" i="3"/>
  <c r="R88" i="3"/>
  <c r="Q88" i="3"/>
  <c r="I88" i="3"/>
  <c r="H88" i="3"/>
  <c r="AC88" i="3" s="1"/>
  <c r="G88" i="3"/>
  <c r="F88" i="3"/>
  <c r="S87" i="3"/>
  <c r="R87" i="3"/>
  <c r="I87" i="3"/>
  <c r="AD87" i="3" s="1"/>
  <c r="G87" i="3"/>
  <c r="AA86" i="3"/>
  <c r="Q86" i="3"/>
  <c r="P86" i="3"/>
  <c r="I86" i="3"/>
  <c r="S86" i="3" s="1"/>
  <c r="H86" i="3"/>
  <c r="G86" i="3"/>
  <c r="AB86" i="3" s="1"/>
  <c r="F86" i="3"/>
  <c r="AD85" i="3"/>
  <c r="AC85" i="3"/>
  <c r="AB85" i="3"/>
  <c r="R85" i="3"/>
  <c r="Q85" i="3"/>
  <c r="P85" i="3"/>
  <c r="I85" i="3"/>
  <c r="S85" i="3" s="1"/>
  <c r="H85" i="3"/>
  <c r="G85" i="3"/>
  <c r="F85" i="3"/>
  <c r="AA85" i="3" s="1"/>
  <c r="AB84" i="3"/>
  <c r="AA84" i="3"/>
  <c r="S84" i="3"/>
  <c r="R84" i="3"/>
  <c r="Q84" i="3"/>
  <c r="I84" i="3"/>
  <c r="H84" i="3"/>
  <c r="AC84" i="3" s="1"/>
  <c r="G84" i="3"/>
  <c r="F84" i="3"/>
  <c r="P84" i="3" s="1"/>
  <c r="AD83" i="3"/>
  <c r="AC83" i="3"/>
  <c r="AB83" i="3"/>
  <c r="AA83" i="3"/>
  <c r="S83" i="3"/>
  <c r="Q83" i="3"/>
  <c r="P83" i="3"/>
  <c r="I83" i="3"/>
  <c r="H83" i="3"/>
  <c r="R83" i="3" s="1"/>
  <c r="G83" i="3"/>
  <c r="F83" i="3"/>
  <c r="AD82" i="3"/>
  <c r="AC82" i="3"/>
  <c r="AB82" i="3"/>
  <c r="AA82" i="3"/>
  <c r="S82" i="3"/>
  <c r="R82" i="3"/>
  <c r="Q82" i="3"/>
  <c r="P82" i="3"/>
  <c r="I82" i="3"/>
  <c r="H82" i="3"/>
  <c r="G82" i="3"/>
  <c r="F82" i="3"/>
  <c r="AD81" i="3"/>
  <c r="AC81" i="3"/>
  <c r="S81" i="3"/>
  <c r="R81" i="3"/>
  <c r="P81" i="3"/>
  <c r="I81" i="3"/>
  <c r="H81" i="3"/>
  <c r="G81" i="3"/>
  <c r="Q81" i="3" s="1"/>
  <c r="F81" i="3"/>
  <c r="AA81" i="3" s="1"/>
  <c r="I80" i="3"/>
  <c r="AD80" i="3" s="1"/>
  <c r="H80" i="3"/>
  <c r="R80" i="3" s="1"/>
  <c r="G80" i="3"/>
  <c r="AB80" i="3" s="1"/>
  <c r="F80" i="3"/>
  <c r="AA80" i="3" s="1"/>
  <c r="I79" i="3"/>
  <c r="H79" i="3"/>
  <c r="G79" i="3"/>
  <c r="F79" i="3"/>
  <c r="AB78" i="3"/>
  <c r="AA78" i="3"/>
  <c r="I78" i="3"/>
  <c r="AD78" i="3" s="1"/>
  <c r="H78" i="3"/>
  <c r="G78" i="3"/>
  <c r="Q78" i="3" s="1"/>
  <c r="F78" i="3"/>
  <c r="P78" i="3" s="1"/>
  <c r="AD77" i="3"/>
  <c r="I77" i="3"/>
  <c r="S77" i="3" s="1"/>
  <c r="H77" i="3"/>
  <c r="G77" i="3"/>
  <c r="F77" i="3"/>
  <c r="P77" i="3" s="1"/>
  <c r="Q76" i="3"/>
  <c r="P76" i="3"/>
  <c r="I76" i="3"/>
  <c r="AE104" i="3" s="1"/>
  <c r="H76" i="3"/>
  <c r="G76" i="3"/>
  <c r="AB76" i="3" s="1"/>
  <c r="F76" i="3"/>
  <c r="AA76" i="3" s="1"/>
  <c r="AC75" i="3"/>
  <c r="S75" i="3"/>
  <c r="R75" i="3"/>
  <c r="Q75" i="3"/>
  <c r="P75" i="3"/>
  <c r="I75" i="3"/>
  <c r="AD75" i="3" s="1"/>
  <c r="H75" i="3"/>
  <c r="G75" i="3"/>
  <c r="AB75" i="3" s="1"/>
  <c r="F75" i="3"/>
  <c r="AA75" i="3" s="1"/>
  <c r="AD74" i="3"/>
  <c r="AC74" i="3"/>
  <c r="AB74" i="3"/>
  <c r="AA74" i="3"/>
  <c r="R74" i="3"/>
  <c r="Q74" i="3"/>
  <c r="P74" i="3"/>
  <c r="I74" i="3"/>
  <c r="S74" i="3" s="1"/>
  <c r="H74" i="3"/>
  <c r="G74" i="3"/>
  <c r="F74" i="3"/>
  <c r="AE73" i="3"/>
  <c r="AB73" i="3"/>
  <c r="AA73" i="3"/>
  <c r="S73" i="3"/>
  <c r="R73" i="3"/>
  <c r="Q73" i="3"/>
  <c r="P73" i="3"/>
  <c r="I73" i="3"/>
  <c r="AD73" i="3" s="1"/>
  <c r="H73" i="3"/>
  <c r="AC73" i="3" s="1"/>
  <c r="G73" i="3"/>
  <c r="F73" i="3"/>
  <c r="AD72" i="3"/>
  <c r="AC72" i="3"/>
  <c r="AB72" i="3"/>
  <c r="AA72" i="3"/>
  <c r="S72" i="3"/>
  <c r="R72" i="3"/>
  <c r="P72" i="3"/>
  <c r="I72" i="3"/>
  <c r="H72" i="3"/>
  <c r="G72" i="3"/>
  <c r="Q72" i="3" s="1"/>
  <c r="F72" i="3"/>
  <c r="AD71" i="3"/>
  <c r="AC71" i="3"/>
  <c r="AB71" i="3"/>
  <c r="S71" i="3"/>
  <c r="R71" i="3"/>
  <c r="Q71" i="3"/>
  <c r="I71" i="3"/>
  <c r="H71" i="3"/>
  <c r="G71" i="3"/>
  <c r="F71" i="3"/>
  <c r="AD70" i="3"/>
  <c r="AC70" i="3"/>
  <c r="AB70" i="3"/>
  <c r="S70" i="3"/>
  <c r="R70" i="3"/>
  <c r="Q70" i="3"/>
  <c r="I70" i="3"/>
  <c r="H70" i="3"/>
  <c r="G70" i="3"/>
  <c r="F70" i="3"/>
  <c r="AD69" i="3"/>
  <c r="AC69" i="3"/>
  <c r="S69" i="3"/>
  <c r="R69" i="3"/>
  <c r="I69" i="3"/>
  <c r="H69" i="3"/>
  <c r="G69" i="3"/>
  <c r="F69" i="3"/>
  <c r="AD68" i="3"/>
  <c r="AA68" i="3"/>
  <c r="S68" i="3"/>
  <c r="R68" i="3"/>
  <c r="Q68" i="3"/>
  <c r="I68" i="3"/>
  <c r="H68" i="3"/>
  <c r="AC68" i="3" s="1"/>
  <c r="G68" i="3"/>
  <c r="AB68" i="3" s="1"/>
  <c r="F68" i="3"/>
  <c r="P68" i="3" s="1"/>
  <c r="AD67" i="3"/>
  <c r="AC67" i="3"/>
  <c r="AB67" i="3"/>
  <c r="AA67" i="3"/>
  <c r="S67" i="3"/>
  <c r="I67" i="3"/>
  <c r="H67" i="3"/>
  <c r="R67" i="3" s="1"/>
  <c r="G67" i="3"/>
  <c r="Q67" i="3" s="1"/>
  <c r="F67" i="3"/>
  <c r="P67" i="3" s="1"/>
  <c r="AB66" i="3"/>
  <c r="AA66" i="3"/>
  <c r="I66" i="3"/>
  <c r="AD66" i="3" s="1"/>
  <c r="H66" i="3"/>
  <c r="G66" i="3"/>
  <c r="Q66" i="3" s="1"/>
  <c r="F66" i="3"/>
  <c r="P66" i="3" s="1"/>
  <c r="AE65" i="3"/>
  <c r="AD65" i="3"/>
  <c r="AC65" i="3"/>
  <c r="I65" i="3"/>
  <c r="S65" i="3" s="1"/>
  <c r="H65" i="3"/>
  <c r="R65" i="3" s="1"/>
  <c r="G65" i="3"/>
  <c r="Q65" i="3" s="1"/>
  <c r="F65" i="3"/>
  <c r="I64" i="3"/>
  <c r="H64" i="3"/>
  <c r="R64" i="3" s="1"/>
  <c r="G64" i="3"/>
  <c r="F64" i="3"/>
  <c r="AD63" i="3"/>
  <c r="AC63" i="3"/>
  <c r="AB63" i="3"/>
  <c r="P63" i="3"/>
  <c r="I63" i="3"/>
  <c r="H63" i="3"/>
  <c r="R63" i="3" s="1"/>
  <c r="G63" i="3"/>
  <c r="Q63" i="3" s="1"/>
  <c r="F63" i="3"/>
  <c r="AA63" i="3" s="1"/>
  <c r="AD62" i="3"/>
  <c r="S62" i="3"/>
  <c r="R62" i="3"/>
  <c r="I62" i="3"/>
  <c r="H62" i="3"/>
  <c r="AC62" i="3" s="1"/>
  <c r="G62" i="3"/>
  <c r="AB62" i="3" s="1"/>
  <c r="F62" i="3"/>
  <c r="R61" i="3"/>
  <c r="Q61" i="3"/>
  <c r="I61" i="3"/>
  <c r="S61" i="3" s="1"/>
  <c r="H61" i="3"/>
  <c r="AC61" i="3" s="1"/>
  <c r="G61" i="3"/>
  <c r="AB61" i="3" s="1"/>
  <c r="F61" i="3"/>
  <c r="AA61" i="3" s="1"/>
  <c r="AE60" i="3"/>
  <c r="AD60" i="3"/>
  <c r="AB60" i="3"/>
  <c r="S60" i="3"/>
  <c r="R60" i="3"/>
  <c r="Q60" i="3"/>
  <c r="P60" i="3"/>
  <c r="I60" i="3"/>
  <c r="H60" i="3"/>
  <c r="AC60" i="3" s="1"/>
  <c r="G60" i="3"/>
  <c r="F60" i="3"/>
  <c r="AA60" i="3" s="1"/>
  <c r="S59" i="3"/>
  <c r="R59" i="3"/>
  <c r="H59" i="3"/>
  <c r="AC59" i="3" s="1"/>
  <c r="G59" i="3"/>
  <c r="AB59" i="3" s="1"/>
  <c r="F59" i="3"/>
  <c r="AD58" i="3"/>
  <c r="AC58" i="3"/>
  <c r="AB58" i="3"/>
  <c r="AA58" i="3"/>
  <c r="S58" i="3"/>
  <c r="Q58" i="3"/>
  <c r="P58" i="3"/>
  <c r="I58" i="3"/>
  <c r="H58" i="3"/>
  <c r="R58" i="3" s="1"/>
  <c r="G58" i="3"/>
  <c r="F58" i="3"/>
  <c r="I57" i="3"/>
  <c r="H57" i="3"/>
  <c r="G57" i="3"/>
  <c r="F57" i="3"/>
  <c r="AD56" i="3"/>
  <c r="AC56" i="3"/>
  <c r="AB56" i="3"/>
  <c r="AA56" i="3"/>
  <c r="S56" i="3"/>
  <c r="R56" i="3"/>
  <c r="Q56" i="3"/>
  <c r="P56" i="3"/>
  <c r="I56" i="3"/>
  <c r="H56" i="3"/>
  <c r="G56" i="3"/>
  <c r="F56" i="3"/>
  <c r="I55" i="3"/>
  <c r="H55" i="3"/>
  <c r="G55" i="3"/>
  <c r="F55" i="3"/>
  <c r="AD54" i="3"/>
  <c r="AC54" i="3"/>
  <c r="AB54" i="3"/>
  <c r="AA54" i="3"/>
  <c r="S54" i="3"/>
  <c r="R54" i="3"/>
  <c r="I54" i="3"/>
  <c r="H54" i="3"/>
  <c r="G54" i="3"/>
  <c r="Q54" i="3" s="1"/>
  <c r="F54" i="3"/>
  <c r="P54" i="3" s="1"/>
  <c r="AD53" i="3"/>
  <c r="S53" i="3"/>
  <c r="I53" i="3"/>
  <c r="H53" i="3"/>
  <c r="AC53" i="3" s="1"/>
  <c r="G53" i="3"/>
  <c r="F53" i="3"/>
  <c r="P53" i="3" s="1"/>
  <c r="AC52" i="3"/>
  <c r="AB52" i="3"/>
  <c r="AA52" i="3"/>
  <c r="I52" i="3"/>
  <c r="AE52" i="3" s="1"/>
  <c r="H52" i="3"/>
  <c r="R52" i="3" s="1"/>
  <c r="G52" i="3"/>
  <c r="Q52" i="3" s="1"/>
  <c r="F52" i="3"/>
  <c r="P52" i="3" s="1"/>
  <c r="AC51" i="3"/>
  <c r="AA51" i="3"/>
  <c r="R51" i="3"/>
  <c r="Q51" i="3"/>
  <c r="P51" i="3"/>
  <c r="I51" i="3"/>
  <c r="AE219" i="3" s="1"/>
  <c r="H51" i="3"/>
  <c r="G51" i="3"/>
  <c r="AB51" i="3" s="1"/>
  <c r="F51" i="3"/>
  <c r="Q50" i="3"/>
  <c r="P50" i="3"/>
  <c r="I50" i="3"/>
  <c r="AE246" i="3" s="1"/>
  <c r="H50" i="3"/>
  <c r="R50" i="3" s="1"/>
  <c r="G50" i="3"/>
  <c r="AB50" i="3" s="1"/>
  <c r="F50" i="3"/>
  <c r="AA50" i="3" s="1"/>
  <c r="AE49" i="3"/>
  <c r="AD49" i="3"/>
  <c r="AC49" i="3"/>
  <c r="AB49" i="3"/>
  <c r="AA49" i="3"/>
  <c r="P49" i="3"/>
  <c r="I49" i="3"/>
  <c r="S49" i="3" s="1"/>
  <c r="H49" i="3"/>
  <c r="R49" i="3" s="1"/>
  <c r="G49" i="3"/>
  <c r="Q49" i="3" s="1"/>
  <c r="F49" i="3"/>
  <c r="S48" i="3"/>
  <c r="R48" i="3"/>
  <c r="P48" i="3"/>
  <c r="I48" i="3"/>
  <c r="AD48" i="3" s="1"/>
  <c r="H48" i="3"/>
  <c r="AC48" i="3" s="1"/>
  <c r="G48" i="3"/>
  <c r="F48" i="3"/>
  <c r="AA48" i="3" s="1"/>
  <c r="AE47" i="3"/>
  <c r="AD47" i="3"/>
  <c r="AC47" i="3"/>
  <c r="AB47" i="3"/>
  <c r="AA47" i="3"/>
  <c r="S47" i="3"/>
  <c r="R47" i="3"/>
  <c r="P47" i="3"/>
  <c r="I47" i="3"/>
  <c r="H47" i="3"/>
  <c r="G47" i="3"/>
  <c r="Q47" i="3" s="1"/>
  <c r="F47" i="3"/>
  <c r="I46" i="3"/>
  <c r="AD46" i="3" s="1"/>
  <c r="H46" i="3"/>
  <c r="AC46" i="3" s="1"/>
  <c r="G46" i="3"/>
  <c r="Q46" i="3" s="1"/>
  <c r="F46" i="3"/>
  <c r="AC45" i="3"/>
  <c r="AB45" i="3"/>
  <c r="AA45" i="3"/>
  <c r="R45" i="3"/>
  <c r="Q45" i="3"/>
  <c r="P45" i="3"/>
  <c r="I45" i="3"/>
  <c r="AE45" i="3" s="1"/>
  <c r="H45" i="3"/>
  <c r="G45" i="3"/>
  <c r="F45" i="3"/>
  <c r="AD44" i="3"/>
  <c r="AC44" i="3"/>
  <c r="I44" i="3"/>
  <c r="S44" i="3" s="1"/>
  <c r="H44" i="3"/>
  <c r="R44" i="3" s="1"/>
  <c r="G44" i="3"/>
  <c r="Q44" i="3" s="1"/>
  <c r="F44" i="3"/>
  <c r="AD43" i="3"/>
  <c r="AC43" i="3"/>
  <c r="AB43" i="3"/>
  <c r="AA43" i="3"/>
  <c r="S43" i="3"/>
  <c r="R43" i="3"/>
  <c r="Q43" i="3"/>
  <c r="I43" i="3"/>
  <c r="H43" i="3"/>
  <c r="G43" i="3"/>
  <c r="F43" i="3"/>
  <c r="P43" i="3" s="1"/>
  <c r="AD42" i="3"/>
  <c r="AC42" i="3"/>
  <c r="S42" i="3"/>
  <c r="R42" i="3"/>
  <c r="I42" i="3"/>
  <c r="H42" i="3"/>
  <c r="G42" i="3"/>
  <c r="AB42" i="3" s="1"/>
  <c r="F42" i="3"/>
  <c r="AE41" i="3"/>
  <c r="AD41" i="3"/>
  <c r="AC41" i="3"/>
  <c r="S41" i="3"/>
  <c r="I41" i="3"/>
  <c r="H41" i="3"/>
  <c r="R41" i="3" s="1"/>
  <c r="G41" i="3"/>
  <c r="Q41" i="3" s="1"/>
  <c r="F41" i="3"/>
  <c r="P41" i="3" s="1"/>
  <c r="AE40" i="3"/>
  <c r="AA40" i="3"/>
  <c r="R40" i="3"/>
  <c r="Q40" i="3"/>
  <c r="P40" i="3"/>
  <c r="I40" i="3"/>
  <c r="H40" i="3"/>
  <c r="AC40" i="3" s="1"/>
  <c r="G40" i="3"/>
  <c r="AB40" i="3" s="1"/>
  <c r="F40" i="3"/>
  <c r="P39" i="3"/>
  <c r="I39" i="3"/>
  <c r="H39" i="3"/>
  <c r="R39" i="3" s="1"/>
  <c r="G39" i="3"/>
  <c r="AB39" i="3" s="1"/>
  <c r="F39" i="3"/>
  <c r="AA39" i="3" s="1"/>
  <c r="AD38" i="3"/>
  <c r="AA38" i="3"/>
  <c r="P38" i="3"/>
  <c r="I38" i="3"/>
  <c r="S38" i="3" s="1"/>
  <c r="H38" i="3"/>
  <c r="R38" i="3" s="1"/>
  <c r="G38" i="3"/>
  <c r="Q38" i="3" s="1"/>
  <c r="F38" i="3"/>
  <c r="R37" i="3"/>
  <c r="Q37" i="3"/>
  <c r="I37" i="3"/>
  <c r="H37" i="3"/>
  <c r="AC37" i="3" s="1"/>
  <c r="G37" i="3"/>
  <c r="AB37" i="3" s="1"/>
  <c r="F37" i="3"/>
  <c r="AA37" i="3" s="1"/>
  <c r="AE36" i="3"/>
  <c r="AD36" i="3"/>
  <c r="AC36" i="3"/>
  <c r="AB36" i="3"/>
  <c r="AA36" i="3"/>
  <c r="S36" i="3"/>
  <c r="I36" i="3"/>
  <c r="H36" i="3"/>
  <c r="R36" i="3" s="1"/>
  <c r="G36" i="3"/>
  <c r="Q36" i="3" s="1"/>
  <c r="F36" i="3"/>
  <c r="P36" i="3" s="1"/>
  <c r="S35" i="3"/>
  <c r="I35" i="3"/>
  <c r="AD35" i="3" s="1"/>
  <c r="H35" i="3"/>
  <c r="G35" i="3"/>
  <c r="F35" i="3"/>
  <c r="AD34" i="3"/>
  <c r="AC34" i="3"/>
  <c r="AB34" i="3"/>
  <c r="AA34" i="3"/>
  <c r="S34" i="3"/>
  <c r="R34" i="3"/>
  <c r="Q34" i="3"/>
  <c r="P34" i="3"/>
  <c r="I34" i="3"/>
  <c r="H34" i="3"/>
  <c r="G34" i="3"/>
  <c r="F34" i="3"/>
  <c r="AD33" i="3"/>
  <c r="I33" i="3"/>
  <c r="S33" i="3" s="1"/>
  <c r="H33" i="3"/>
  <c r="R33" i="3" s="1"/>
  <c r="G33" i="3"/>
  <c r="F33" i="3"/>
  <c r="AD32" i="3"/>
  <c r="AC32" i="3"/>
  <c r="AB32" i="3"/>
  <c r="AA32" i="3"/>
  <c r="S32" i="3"/>
  <c r="R32" i="3"/>
  <c r="Q32" i="3"/>
  <c r="P32" i="3"/>
  <c r="I32" i="3"/>
  <c r="H32" i="3"/>
  <c r="G32" i="3"/>
  <c r="F32" i="3"/>
  <c r="H31" i="3"/>
  <c r="R31" i="3" s="1"/>
  <c r="G31" i="3"/>
  <c r="F31" i="3"/>
  <c r="AE30" i="3"/>
  <c r="AD30" i="3"/>
  <c r="AC30" i="3"/>
  <c r="AB30" i="3"/>
  <c r="AA30" i="3"/>
  <c r="S30" i="3"/>
  <c r="I30" i="3"/>
  <c r="H30" i="3"/>
  <c r="R30" i="3" s="1"/>
  <c r="G30" i="3"/>
  <c r="Q30" i="3" s="1"/>
  <c r="F30" i="3"/>
  <c r="P30" i="3" s="1"/>
  <c r="AD29" i="3"/>
  <c r="AC29" i="3"/>
  <c r="AB29" i="3"/>
  <c r="AA29" i="3"/>
  <c r="S29" i="3"/>
  <c r="R29" i="3"/>
  <c r="Q29" i="3"/>
  <c r="P29" i="3"/>
  <c r="AD28" i="3"/>
  <c r="AC28" i="3"/>
  <c r="AB28" i="3"/>
  <c r="AA28" i="3"/>
  <c r="S28" i="3"/>
  <c r="R28" i="3"/>
  <c r="Q28" i="3"/>
  <c r="P28" i="3"/>
  <c r="AB27" i="3"/>
  <c r="AA27" i="3"/>
  <c r="S27" i="3"/>
  <c r="R27" i="3"/>
  <c r="I27" i="3"/>
  <c r="H27" i="3"/>
  <c r="AC27" i="3" s="1"/>
  <c r="G27" i="3"/>
  <c r="Q27" i="3" s="1"/>
  <c r="F27" i="3"/>
  <c r="P27" i="3" s="1"/>
  <c r="AE26" i="3"/>
  <c r="AD26" i="3"/>
  <c r="AB26" i="3"/>
  <c r="AA26" i="3"/>
  <c r="Q26" i="3"/>
  <c r="P26" i="3"/>
  <c r="I26" i="3"/>
  <c r="H26" i="3"/>
  <c r="G26" i="3"/>
  <c r="F26" i="3"/>
  <c r="AD25" i="3"/>
  <c r="AC25" i="3"/>
  <c r="AB25" i="3"/>
  <c r="AA25" i="3"/>
  <c r="S25" i="3"/>
  <c r="P25" i="3"/>
  <c r="I25" i="3"/>
  <c r="H25" i="3"/>
  <c r="R25" i="3" s="1"/>
  <c r="G25" i="3"/>
  <c r="Q25" i="3" s="1"/>
  <c r="F25" i="3"/>
  <c r="AD24" i="3"/>
  <c r="AC24" i="3"/>
  <c r="AB24" i="3"/>
  <c r="S24" i="3"/>
  <c r="R24" i="3"/>
  <c r="Q24" i="3"/>
  <c r="I24" i="3"/>
  <c r="H24" i="3"/>
  <c r="G24" i="3"/>
  <c r="F24" i="3"/>
  <c r="AA24" i="3" s="1"/>
  <c r="AD23" i="3"/>
  <c r="AC23" i="3"/>
  <c r="AB23" i="3"/>
  <c r="R23" i="3"/>
  <c r="Q23" i="3"/>
  <c r="P23" i="3"/>
  <c r="I23" i="3"/>
  <c r="H23" i="3"/>
  <c r="G23" i="3"/>
  <c r="F23" i="3"/>
  <c r="AA23" i="3" s="1"/>
  <c r="AD22" i="3"/>
  <c r="S22" i="3"/>
  <c r="I22" i="3"/>
  <c r="H22" i="3"/>
  <c r="R22" i="3" s="1"/>
  <c r="G22" i="3"/>
  <c r="F22" i="3"/>
  <c r="AA21" i="3"/>
  <c r="Q21" i="3"/>
  <c r="P21" i="3"/>
  <c r="I21" i="3"/>
  <c r="AD21" i="3" s="1"/>
  <c r="H21" i="3"/>
  <c r="AC21" i="3" s="1"/>
  <c r="G21" i="3"/>
  <c r="AB21" i="3" s="1"/>
  <c r="F21" i="3"/>
  <c r="AD20" i="3"/>
  <c r="AC20" i="3"/>
  <c r="AB20" i="3"/>
  <c r="AA20" i="3"/>
  <c r="I20" i="3"/>
  <c r="H20" i="3"/>
  <c r="R20" i="3" s="1"/>
  <c r="G20" i="3"/>
  <c r="Q20" i="3" s="1"/>
  <c r="F20" i="3"/>
  <c r="P20" i="3" s="1"/>
  <c r="S19" i="3"/>
  <c r="R19" i="3"/>
  <c r="Q19" i="3"/>
  <c r="I19" i="3"/>
  <c r="H19" i="3"/>
  <c r="AC19" i="3" s="1"/>
  <c r="G19" i="3"/>
  <c r="AB19" i="3" s="1"/>
  <c r="F19" i="3"/>
  <c r="AA19" i="3" s="1"/>
  <c r="Q18" i="3"/>
  <c r="P18" i="3"/>
  <c r="I18" i="3"/>
  <c r="AE270" i="3" s="1"/>
  <c r="H18" i="3"/>
  <c r="G18" i="3"/>
  <c r="AB18" i="3" s="1"/>
  <c r="F18" i="3"/>
  <c r="AA18" i="3" s="1"/>
  <c r="AB17" i="3"/>
  <c r="AA17" i="3"/>
  <c r="S17" i="3"/>
  <c r="I17" i="3"/>
  <c r="AE157" i="3" s="1"/>
  <c r="H17" i="3"/>
  <c r="AC17" i="3" s="1"/>
  <c r="G17" i="3"/>
  <c r="Q17" i="3" s="1"/>
  <c r="F17" i="3"/>
  <c r="P17" i="3" s="1"/>
  <c r="AA16" i="3"/>
  <c r="S16" i="3"/>
  <c r="R16" i="3"/>
  <c r="P16" i="3"/>
  <c r="I16" i="3"/>
  <c r="H16" i="3"/>
  <c r="AC16" i="3" s="1"/>
  <c r="G16" i="3"/>
  <c r="F16" i="3"/>
  <c r="AA15" i="3"/>
  <c r="P15" i="3"/>
  <c r="I15" i="3"/>
  <c r="AE43" i="3" s="1"/>
  <c r="H15" i="3"/>
  <c r="AC15" i="3" s="1"/>
  <c r="G15" i="3"/>
  <c r="AB15" i="3" s="1"/>
  <c r="F15" i="3"/>
  <c r="AC14" i="3"/>
  <c r="AB14" i="3"/>
  <c r="I14" i="3"/>
  <c r="H14" i="3"/>
  <c r="R14" i="3" s="1"/>
  <c r="G14" i="3"/>
  <c r="Q14" i="3" s="1"/>
  <c r="F14" i="3"/>
  <c r="P14" i="3" s="1"/>
  <c r="AC13" i="3"/>
  <c r="AB13" i="3"/>
  <c r="AA13" i="3"/>
  <c r="R13" i="3"/>
  <c r="Q13" i="3"/>
  <c r="P13" i="3"/>
  <c r="I13" i="3"/>
  <c r="AE181" i="3" s="1"/>
  <c r="H13" i="3"/>
  <c r="G13" i="3"/>
  <c r="F13" i="3"/>
  <c r="AE12" i="3"/>
  <c r="AD12" i="3"/>
  <c r="AC12" i="3"/>
  <c r="AB12" i="3"/>
  <c r="AA12" i="3"/>
  <c r="P12" i="3"/>
  <c r="I12" i="3"/>
  <c r="H12" i="3"/>
  <c r="R12" i="3" s="1"/>
  <c r="G12" i="3"/>
  <c r="Q12" i="3" s="1"/>
  <c r="AD11" i="3"/>
  <c r="AC11" i="3"/>
  <c r="AB11" i="3"/>
  <c r="AA11" i="3"/>
  <c r="S11" i="3"/>
  <c r="R11" i="3"/>
  <c r="Q11" i="3"/>
  <c r="P11" i="3"/>
  <c r="I11" i="3"/>
  <c r="I10" i="3"/>
  <c r="AE178" i="3" s="1"/>
  <c r="H10" i="3"/>
  <c r="AC10" i="3" s="1"/>
  <c r="G10" i="3"/>
  <c r="Q10" i="3" s="1"/>
  <c r="F10" i="3"/>
  <c r="P10" i="3" s="1"/>
  <c r="AD9" i="3"/>
  <c r="AC9" i="3"/>
  <c r="AA9" i="3"/>
  <c r="S9" i="3"/>
  <c r="R9" i="3"/>
  <c r="P9" i="3"/>
  <c r="I9" i="3"/>
  <c r="H9" i="3"/>
  <c r="F9" i="3"/>
  <c r="G9" i="3" s="1"/>
  <c r="AB9" i="3" s="1"/>
  <c r="I8" i="3"/>
  <c r="AE8" i="3" s="1"/>
  <c r="H8" i="3"/>
  <c r="R8" i="3" s="1"/>
  <c r="G8" i="3"/>
  <c r="AB8" i="3" s="1"/>
  <c r="F8" i="3"/>
  <c r="AA8" i="3" s="1"/>
  <c r="AD7" i="3"/>
  <c r="AC7" i="3"/>
  <c r="AB7" i="3"/>
  <c r="AA7" i="3"/>
  <c r="S7" i="3"/>
  <c r="R7" i="3"/>
  <c r="Q7" i="3"/>
  <c r="I7" i="3"/>
  <c r="H7" i="3"/>
  <c r="G7" i="3"/>
  <c r="F7" i="3"/>
  <c r="P7" i="3" s="1"/>
  <c r="AD6" i="3"/>
  <c r="AC6" i="3"/>
  <c r="I6" i="3"/>
  <c r="H6" i="3"/>
  <c r="R6" i="3" s="1"/>
  <c r="G6" i="3"/>
  <c r="AB6" i="3" s="1"/>
  <c r="F6" i="3"/>
  <c r="AA6" i="3" s="1"/>
  <c r="AD5" i="3"/>
  <c r="AA5" i="3"/>
  <c r="I5" i="3"/>
  <c r="S5" i="3" s="1"/>
  <c r="H5" i="3"/>
  <c r="G5" i="3"/>
  <c r="F5" i="3"/>
  <c r="P5" i="3" s="1"/>
  <c r="I4" i="3"/>
  <c r="H4" i="3"/>
  <c r="AC4" i="3" s="1"/>
  <c r="G4" i="3"/>
  <c r="AB4" i="3" s="1"/>
  <c r="F4" i="3"/>
  <c r="AA4" i="3" s="1"/>
  <c r="AD227" i="3" l="1"/>
  <c r="S227" i="3"/>
  <c r="AE227" i="3"/>
  <c r="AA55" i="3"/>
  <c r="P55" i="3"/>
  <c r="AC76" i="3"/>
  <c r="R76" i="3"/>
  <c r="AB244" i="3"/>
  <c r="Q244" i="3"/>
  <c r="S39" i="3"/>
  <c r="AE123" i="3"/>
  <c r="AE292" i="3"/>
  <c r="AE207" i="3"/>
  <c r="AE151" i="3"/>
  <c r="AE67" i="3"/>
  <c r="AE263" i="3"/>
  <c r="AE39" i="3"/>
  <c r="AD39" i="3"/>
  <c r="AB44" i="3"/>
  <c r="S55" i="3"/>
  <c r="AE83" i="3"/>
  <c r="AE223" i="3"/>
  <c r="AE195" i="3"/>
  <c r="S90" i="3"/>
  <c r="AE202" i="3"/>
  <c r="AB99" i="3"/>
  <c r="Q99" i="3"/>
  <c r="R10" i="3"/>
  <c r="AC18" i="3"/>
  <c r="R18" i="3"/>
  <c r="AB31" i="3"/>
  <c r="Q31" i="3"/>
  <c r="Q39" i="3"/>
  <c r="AE55" i="3"/>
  <c r="AA64" i="3"/>
  <c r="P64" i="3"/>
  <c r="Q80" i="3"/>
  <c r="S150" i="3"/>
  <c r="AD150" i="3"/>
  <c r="AE196" i="3"/>
  <c r="AA216" i="3"/>
  <c r="P216" i="3"/>
  <c r="AE5" i="3"/>
  <c r="AA147" i="3"/>
  <c r="S245" i="3"/>
  <c r="AD245" i="3"/>
  <c r="AB257" i="3"/>
  <c r="Q257" i="3"/>
  <c r="P8" i="3"/>
  <c r="AB16" i="3"/>
  <c r="Q16" i="3"/>
  <c r="AE18" i="3"/>
  <c r="AE23" i="3"/>
  <c r="AC26" i="3"/>
  <c r="R26" i="3"/>
  <c r="AE306" i="3"/>
  <c r="AC64" i="3"/>
  <c r="S99" i="3"/>
  <c r="AD102" i="3"/>
  <c r="R114" i="3"/>
  <c r="AC117" i="3"/>
  <c r="AC136" i="3"/>
  <c r="R136" i="3"/>
  <c r="AB145" i="3"/>
  <c r="Q145" i="3"/>
  <c r="P155" i="3"/>
  <c r="AA155" i="3"/>
  <c r="S225" i="3"/>
  <c r="R249" i="3"/>
  <c r="AE146" i="3"/>
  <c r="AE230" i="3"/>
  <c r="AE62" i="3"/>
  <c r="AE258" i="3"/>
  <c r="AE118" i="3"/>
  <c r="AE6" i="3"/>
  <c r="AE90" i="3"/>
  <c r="AE287" i="3"/>
  <c r="Q8" i="3"/>
  <c r="AE110" i="3"/>
  <c r="AE250" i="3"/>
  <c r="AE307" i="3"/>
  <c r="AE166" i="3"/>
  <c r="AE138" i="3"/>
  <c r="AE82" i="3"/>
  <c r="S26" i="3"/>
  <c r="AE58" i="3"/>
  <c r="P65" i="3"/>
  <c r="AA65" i="3"/>
  <c r="AA77" i="3"/>
  <c r="AC80" i="3"/>
  <c r="AC99" i="3"/>
  <c r="AE111" i="3"/>
  <c r="AD117" i="3"/>
  <c r="AE133" i="3"/>
  <c r="AB142" i="3"/>
  <c r="AC145" i="3"/>
  <c r="R145" i="3"/>
  <c r="AC151" i="3"/>
  <c r="R151" i="3"/>
  <c r="AC160" i="3"/>
  <c r="R160" i="3"/>
  <c r="S163" i="3"/>
  <c r="AD163" i="3"/>
  <c r="P195" i="3"/>
  <c r="AA195" i="3"/>
  <c r="S249" i="3"/>
  <c r="AB258" i="3"/>
  <c r="Q258" i="3"/>
  <c r="P6" i="3"/>
  <c r="R21" i="3"/>
  <c r="AE37" i="3"/>
  <c r="AD37" i="3"/>
  <c r="S37" i="3"/>
  <c r="AD40" i="3"/>
  <c r="S40" i="3"/>
  <c r="AC50" i="3"/>
  <c r="AA53" i="3"/>
  <c r="P59" i="3"/>
  <c r="AA59" i="3"/>
  <c r="AD61" i="3"/>
  <c r="AA100" i="3"/>
  <c r="P100" i="3"/>
  <c r="AE117" i="3"/>
  <c r="AA134" i="3"/>
  <c r="P134" i="3"/>
  <c r="AB139" i="3"/>
  <c r="AC142" i="3"/>
  <c r="P163" i="3"/>
  <c r="AE177" i="3"/>
  <c r="AB195" i="3"/>
  <c r="Q195" i="3"/>
  <c r="AB225" i="3"/>
  <c r="R237" i="3"/>
  <c r="AC237" i="3"/>
  <c r="Q6" i="3"/>
  <c r="S21" i="3"/>
  <c r="P37" i="3"/>
  <c r="AE61" i="3"/>
  <c r="AE74" i="3"/>
  <c r="AE77" i="3"/>
  <c r="AD91" i="3"/>
  <c r="AB100" i="3"/>
  <c r="Q100" i="3"/>
  <c r="AC139" i="3"/>
  <c r="P160" i="3"/>
  <c r="Q163" i="3"/>
  <c r="AE174" i="3"/>
  <c r="P189" i="3"/>
  <c r="AB197" i="3"/>
  <c r="R200" i="3"/>
  <c r="AC225" i="3"/>
  <c r="S258" i="3"/>
  <c r="AD258" i="3"/>
  <c r="AE275" i="3"/>
  <c r="AC8" i="3"/>
  <c r="AE300" i="3"/>
  <c r="AE75" i="3"/>
  <c r="AE187" i="3"/>
  <c r="AE19" i="3"/>
  <c r="AD19" i="3"/>
  <c r="AE103" i="3"/>
  <c r="AE215" i="3"/>
  <c r="AE276" i="3"/>
  <c r="S45" i="3"/>
  <c r="AB48" i="3"/>
  <c r="Q48" i="3"/>
  <c r="AA62" i="3"/>
  <c r="P62" i="3"/>
  <c r="AE72" i="3"/>
  <c r="AE91" i="3"/>
  <c r="AD97" i="3"/>
  <c r="S97" i="3"/>
  <c r="AC112" i="3"/>
  <c r="R112" i="3"/>
  <c r="AB123" i="3"/>
  <c r="Q123" i="3"/>
  <c r="AE131" i="3"/>
  <c r="AD136" i="3"/>
  <c r="AD139" i="3"/>
  <c r="Q160" i="3"/>
  <c r="R163" i="3"/>
  <c r="AE183" i="3"/>
  <c r="AC186" i="3"/>
  <c r="R186" i="3"/>
  <c r="Q189" i="3"/>
  <c r="S200" i="3"/>
  <c r="AD204" i="3"/>
  <c r="S204" i="3"/>
  <c r="P222" i="3"/>
  <c r="AE297" i="3"/>
  <c r="S6" i="3"/>
  <c r="AD8" i="3"/>
  <c r="P19" i="3"/>
  <c r="P24" i="3"/>
  <c r="Q59" i="3"/>
  <c r="P97" i="3"/>
  <c r="AC106" i="3"/>
  <c r="R106" i="3"/>
  <c r="R115" i="3"/>
  <c r="AC115" i="3"/>
  <c r="AE139" i="3"/>
  <c r="S160" i="3"/>
  <c r="AD186" i="3"/>
  <c r="S186" i="3"/>
  <c r="R189" i="3"/>
  <c r="AD192" i="3"/>
  <c r="Q222" i="3"/>
  <c r="AA281" i="3"/>
  <c r="P281" i="3"/>
  <c r="AC55" i="3"/>
  <c r="R55" i="3"/>
  <c r="AE7" i="3"/>
  <c r="AA31" i="3"/>
  <c r="P31" i="3"/>
  <c r="R162" i="3"/>
  <c r="AE312" i="3"/>
  <c r="AE283" i="3"/>
  <c r="AE255" i="3"/>
  <c r="AE199" i="3"/>
  <c r="AE59" i="3"/>
  <c r="AE143" i="3"/>
  <c r="AE115" i="3"/>
  <c r="S31" i="3"/>
  <c r="AE31" i="3"/>
  <c r="AE87" i="3"/>
  <c r="R206" i="3"/>
  <c r="AB102" i="3"/>
  <c r="P120" i="3"/>
  <c r="AA120" i="3"/>
  <c r="AB147" i="3"/>
  <c r="AE273" i="3"/>
  <c r="AE217" i="3"/>
  <c r="AE161" i="3"/>
  <c r="AE245" i="3"/>
  <c r="AE105" i="3"/>
  <c r="AE302" i="3"/>
  <c r="AD64" i="3"/>
  <c r="S64" i="3"/>
  <c r="AE13" i="3"/>
  <c r="AC132" i="3"/>
  <c r="R132" i="3"/>
  <c r="AB35" i="3"/>
  <c r="Q35" i="3"/>
  <c r="F87" i="3"/>
  <c r="AB87" i="3"/>
  <c r="AD130" i="3"/>
  <c r="S130" i="3"/>
  <c r="P239" i="3"/>
  <c r="AA239" i="3"/>
  <c r="AB209" i="3"/>
  <c r="Q209" i="3"/>
  <c r="AC199" i="3"/>
  <c r="R199" i="3"/>
  <c r="Q15" i="3"/>
  <c r="AC150" i="3"/>
  <c r="R150" i="3"/>
  <c r="AA105" i="3"/>
  <c r="P105" i="3"/>
  <c r="R147" i="3"/>
  <c r="Q171" i="3"/>
  <c r="AB64" i="3"/>
  <c r="Q64" i="3"/>
  <c r="AA102" i="3"/>
  <c r="Q117" i="3"/>
  <c r="AA236" i="3"/>
  <c r="AA10" i="3"/>
  <c r="S80" i="3"/>
  <c r="AC233" i="3"/>
  <c r="R233" i="3"/>
  <c r="AE21" i="3"/>
  <c r="AD106" i="3"/>
  <c r="S106" i="3"/>
  <c r="P22" i="3"/>
  <c r="AA22" i="3"/>
  <c r="AE34" i="3"/>
  <c r="AB140" i="3"/>
  <c r="Q140" i="3"/>
  <c r="AB201" i="3"/>
  <c r="Q201" i="3"/>
  <c r="AE94" i="3"/>
  <c r="AE56" i="3"/>
  <c r="AE182" i="3"/>
  <c r="AC35" i="3"/>
  <c r="R35" i="3"/>
  <c r="P46" i="3"/>
  <c r="AA46" i="3"/>
  <c r="AA57" i="3"/>
  <c r="P57" i="3"/>
  <c r="R66" i="3"/>
  <c r="AC66" i="3"/>
  <c r="AB95" i="3"/>
  <c r="Q95" i="3"/>
  <c r="AA107" i="3"/>
  <c r="P107" i="3"/>
  <c r="AE109" i="3"/>
  <c r="AE126" i="3"/>
  <c r="AD129" i="3"/>
  <c r="S132" i="3"/>
  <c r="S152" i="3"/>
  <c r="AE172" i="3"/>
  <c r="AB190" i="3"/>
  <c r="Q190" i="3"/>
  <c r="AA212" i="3"/>
  <c r="P212" i="3"/>
  <c r="S223" i="3"/>
  <c r="AD223" i="3"/>
  <c r="AA235" i="3"/>
  <c r="P235" i="3"/>
  <c r="Q247" i="3"/>
  <c r="AB247" i="3"/>
  <c r="AE285" i="3"/>
  <c r="AE228" i="3"/>
  <c r="AD4" i="3"/>
  <c r="AE88" i="3"/>
  <c r="AE200" i="3"/>
  <c r="AE4" i="3"/>
  <c r="S4" i="3"/>
  <c r="AA14" i="3"/>
  <c r="AE101" i="3"/>
  <c r="AE298" i="3"/>
  <c r="AE241" i="3"/>
  <c r="AE185" i="3"/>
  <c r="AE269" i="3"/>
  <c r="AE213" i="3"/>
  <c r="AE17" i="3"/>
  <c r="AD17" i="3"/>
  <c r="AE198" i="3"/>
  <c r="Q57" i="3"/>
  <c r="AB57" i="3"/>
  <c r="AE68" i="3"/>
  <c r="AC95" i="3"/>
  <c r="R95" i="3"/>
  <c r="S98" i="3"/>
  <c r="AD98" i="3"/>
  <c r="Q107" i="3"/>
  <c r="AB107" i="3"/>
  <c r="AE129" i="3"/>
  <c r="AE140" i="3"/>
  <c r="AB149" i="3"/>
  <c r="Q149" i="3"/>
  <c r="AB156" i="3"/>
  <c r="Q156" i="3"/>
  <c r="AB158" i="3"/>
  <c r="G165" i="3"/>
  <c r="F165" i="3"/>
  <c r="AB176" i="3"/>
  <c r="Q176" i="3"/>
  <c r="R184" i="3"/>
  <c r="AA220" i="3"/>
  <c r="P220" i="3"/>
  <c r="P223" i="3"/>
  <c r="R247" i="3"/>
  <c r="AC247" i="3"/>
  <c r="AE267" i="3"/>
  <c r="AC282" i="3"/>
  <c r="R282" i="3"/>
  <c r="AA111" i="3"/>
  <c r="P111" i="3"/>
  <c r="AA138" i="3"/>
  <c r="P138" i="3"/>
  <c r="R153" i="3"/>
  <c r="AC153" i="3"/>
  <c r="P206" i="3"/>
  <c r="AA206" i="3"/>
  <c r="AD244" i="3"/>
  <c r="S244" i="3"/>
  <c r="AA180" i="3"/>
  <c r="P180" i="3"/>
  <c r="AD147" i="3"/>
  <c r="S147" i="3"/>
  <c r="AB191" i="3"/>
  <c r="R15" i="3"/>
  <c r="AC108" i="3"/>
  <c r="R108" i="3"/>
  <c r="AD168" i="3"/>
  <c r="AD218" i="3"/>
  <c r="S218" i="3"/>
  <c r="AA257" i="3"/>
  <c r="P257" i="3"/>
  <c r="Q266" i="3"/>
  <c r="AB266" i="3"/>
  <c r="S15" i="3"/>
  <c r="AE162" i="3"/>
  <c r="AD114" i="3"/>
  <c r="S114" i="3"/>
  <c r="AB233" i="3"/>
  <c r="Q233" i="3"/>
  <c r="AE209" i="3"/>
  <c r="AE125" i="3"/>
  <c r="AE265" i="3"/>
  <c r="AE294" i="3"/>
  <c r="AE237" i="3"/>
  <c r="AE97" i="3"/>
  <c r="AE69" i="3"/>
  <c r="AD13" i="3"/>
  <c r="AE153" i="3"/>
  <c r="S13" i="3"/>
  <c r="AD31" i="3"/>
  <c r="S50" i="3"/>
  <c r="AE22" i="3"/>
  <c r="AE190" i="3"/>
  <c r="AE303" i="3"/>
  <c r="AE50" i="3"/>
  <c r="AD50" i="3"/>
  <c r="AC102" i="3"/>
  <c r="AB136" i="3"/>
  <c r="Q136" i="3"/>
  <c r="S115" i="3"/>
  <c r="AD115" i="3"/>
  <c r="P71" i="3"/>
  <c r="AA71" i="3"/>
  <c r="AD231" i="3"/>
  <c r="S231" i="3"/>
  <c r="AC281" i="3"/>
  <c r="R281" i="3"/>
  <c r="Q22" i="3"/>
  <c r="AB22" i="3"/>
  <c r="P35" i="3"/>
  <c r="AA35" i="3"/>
  <c r="AD45" i="3"/>
  <c r="AE100" i="3"/>
  <c r="AE189" i="3"/>
  <c r="Q223" i="3"/>
  <c r="AB223" i="3"/>
  <c r="AA95" i="3"/>
  <c r="P95" i="3"/>
  <c r="S211" i="3"/>
  <c r="AD211" i="3"/>
  <c r="H255" i="3"/>
  <c r="D306" i="3"/>
  <c r="S52" i="3"/>
  <c r="AE192" i="3"/>
  <c r="AE305" i="3"/>
  <c r="AE108" i="3"/>
  <c r="AE24" i="3"/>
  <c r="AE248" i="3"/>
  <c r="AE164" i="3"/>
  <c r="AE80" i="3"/>
  <c r="AB55" i="3"/>
  <c r="Q55" i="3"/>
  <c r="S76" i="3"/>
  <c r="AE272" i="3"/>
  <c r="AE301" i="3"/>
  <c r="AC244" i="3"/>
  <c r="R244" i="3"/>
  <c r="AA42" i="3"/>
  <c r="P42" i="3"/>
  <c r="Q87" i="3"/>
  <c r="Q122" i="3"/>
  <c r="AB122" i="3"/>
  <c r="AD171" i="3"/>
  <c r="S171" i="3"/>
  <c r="Q206" i="3"/>
  <c r="AB206" i="3"/>
  <c r="AE291" i="3"/>
  <c r="AE10" i="3"/>
  <c r="AD10" i="3"/>
  <c r="AE206" i="3"/>
  <c r="AE38" i="3"/>
  <c r="AE234" i="3"/>
  <c r="AE122" i="3"/>
  <c r="AE66" i="3"/>
  <c r="AE150" i="3"/>
  <c r="AD55" i="3"/>
  <c r="P80" i="3"/>
  <c r="P117" i="3"/>
  <c r="AD174" i="3"/>
  <c r="S174" i="3"/>
  <c r="AC191" i="3"/>
  <c r="S10" i="3"/>
  <c r="AC39" i="3"/>
  <c r="AB53" i="3"/>
  <c r="Q53" i="3"/>
  <c r="AC91" i="3"/>
  <c r="R91" i="3"/>
  <c r="P99" i="3"/>
  <c r="AA108" i="3"/>
  <c r="AD154" i="3"/>
  <c r="S154" i="3"/>
  <c r="S203" i="3"/>
  <c r="AD203" i="3"/>
  <c r="AC257" i="3"/>
  <c r="R257" i="3"/>
  <c r="AD275" i="3"/>
  <c r="S275" i="3"/>
  <c r="AE260" i="3"/>
  <c r="AE204" i="3"/>
  <c r="AE64" i="3"/>
  <c r="S8" i="3"/>
  <c r="AE148" i="3"/>
  <c r="AE120" i="3"/>
  <c r="P203" i="3"/>
  <c r="AA140" i="3"/>
  <c r="P140" i="3"/>
  <c r="AB281" i="3"/>
  <c r="Q281" i="3"/>
  <c r="AE16" i="3"/>
  <c r="AC158" i="3"/>
  <c r="R158" i="3"/>
  <c r="S89" i="3"/>
  <c r="AA101" i="3"/>
  <c r="P101" i="3"/>
  <c r="AE155" i="3"/>
  <c r="AC238" i="3"/>
  <c r="R238" i="3"/>
  <c r="P4" i="3"/>
  <c r="AC22" i="3"/>
  <c r="AE32" i="3"/>
  <c r="AB38" i="3"/>
  <c r="P69" i="3"/>
  <c r="AA69" i="3"/>
  <c r="AD95" i="3"/>
  <c r="S95" i="3"/>
  <c r="AB110" i="3"/>
  <c r="Q110" i="3"/>
  <c r="AB132" i="3"/>
  <c r="AA141" i="3"/>
  <c r="P141" i="3"/>
  <c r="AB152" i="3"/>
  <c r="AE53" i="3"/>
  <c r="AC187" i="3"/>
  <c r="R187" i="3"/>
  <c r="AB220" i="3"/>
  <c r="Q220" i="3"/>
  <c r="S247" i="3"/>
  <c r="AD247" i="3"/>
  <c r="AD253" i="3"/>
  <c r="S253" i="3"/>
  <c r="AE259" i="3"/>
  <c r="AE262" i="3"/>
  <c r="AA268" i="3"/>
  <c r="P268" i="3"/>
  <c r="AE278" i="3"/>
  <c r="AA33" i="3"/>
  <c r="P33" i="3"/>
  <c r="AC38" i="3"/>
  <c r="AA41" i="3"/>
  <c r="AE281" i="3"/>
  <c r="AE310" i="3"/>
  <c r="AE253" i="3"/>
  <c r="AE197" i="3"/>
  <c r="AE225" i="3"/>
  <c r="AE169" i="3"/>
  <c r="AE113" i="3"/>
  <c r="AE57" i="3"/>
  <c r="AD57" i="3"/>
  <c r="AE29" i="3"/>
  <c r="AE85" i="3"/>
  <c r="S57" i="3"/>
  <c r="Q69" i="3"/>
  <c r="AB69" i="3"/>
  <c r="AD84" i="3"/>
  <c r="AE280" i="3"/>
  <c r="AE224" i="3"/>
  <c r="AE28" i="3"/>
  <c r="AC110" i="3"/>
  <c r="R110" i="3"/>
  <c r="AC127" i="3"/>
  <c r="R127" i="3"/>
  <c r="Q130" i="3"/>
  <c r="AB130" i="3"/>
  <c r="AC152" i="3"/>
  <c r="AC173" i="3"/>
  <c r="R173" i="3"/>
  <c r="AC182" i="3"/>
  <c r="R182" i="3"/>
  <c r="AC220" i="3"/>
  <c r="R220" i="3"/>
  <c r="AE243" i="3"/>
  <c r="AA247" i="3"/>
  <c r="AB268" i="3"/>
  <c r="Q268" i="3"/>
  <c r="AE289" i="3"/>
  <c r="Q5" i="3"/>
  <c r="AB5" i="3"/>
  <c r="R5" i="3"/>
  <c r="AC5" i="3"/>
  <c r="AE99" i="3"/>
  <c r="AE71" i="3"/>
  <c r="AE296" i="3"/>
  <c r="AE211" i="3"/>
  <c r="AE239" i="3"/>
  <c r="AE15" i="3"/>
  <c r="AD15" i="3"/>
  <c r="AE127" i="3"/>
  <c r="AC33" i="3"/>
  <c r="S153" i="3"/>
  <c r="AD153" i="3"/>
  <c r="R168" i="3"/>
  <c r="AC168" i="3"/>
  <c r="AB199" i="3"/>
  <c r="Q199" i="3"/>
  <c r="AC209" i="3"/>
  <c r="R209" i="3"/>
  <c r="Q236" i="3"/>
  <c r="AB236" i="3"/>
  <c r="S268" i="3"/>
  <c r="AD52" i="3"/>
  <c r="AE63" i="3"/>
  <c r="AD76" i="3"/>
  <c r="S119" i="3"/>
  <c r="AD199" i="3"/>
  <c r="S199" i="3"/>
  <c r="AA266" i="3"/>
  <c r="P266" i="3"/>
  <c r="AE76" i="3"/>
  <c r="AE299" i="3"/>
  <c r="AE242" i="3"/>
  <c r="AE186" i="3"/>
  <c r="AE158" i="3"/>
  <c r="AE130" i="3"/>
  <c r="S18" i="3"/>
  <c r="AE214" i="3"/>
  <c r="AE46" i="3"/>
  <c r="AE102" i="3"/>
  <c r="AD18" i="3"/>
  <c r="AE119" i="3"/>
  <c r="AC154" i="3"/>
  <c r="R154" i="3"/>
  <c r="AE168" i="3"/>
  <c r="AA233" i="3"/>
  <c r="P233" i="3"/>
  <c r="AE251" i="3"/>
  <c r="AC31" i="3"/>
  <c r="AB77" i="3"/>
  <c r="Q77" i="3"/>
  <c r="AB10" i="3"/>
  <c r="P61" i="3"/>
  <c r="AB108" i="3"/>
  <c r="P145" i="3"/>
  <c r="AA145" i="3"/>
  <c r="AD51" i="3"/>
  <c r="AE135" i="3"/>
  <c r="S51" i="3"/>
  <c r="AE304" i="3"/>
  <c r="AE163" i="3"/>
  <c r="AC78" i="3"/>
  <c r="R78" i="3"/>
  <c r="Q137" i="3"/>
  <c r="AB137" i="3"/>
  <c r="AA211" i="3"/>
  <c r="P211" i="3"/>
  <c r="AD184" i="3"/>
  <c r="AE44" i="3"/>
  <c r="AE282" i="3"/>
  <c r="AE142" i="3"/>
  <c r="AA190" i="3"/>
  <c r="P190" i="3"/>
  <c r="R223" i="3"/>
  <c r="AC223" i="3"/>
  <c r="AE11" i="3"/>
  <c r="R57" i="3"/>
  <c r="AC57" i="3"/>
  <c r="Q4" i="3"/>
  <c r="R4" i="3"/>
  <c r="R17" i="3"/>
  <c r="Q33" i="3"/>
  <c r="AB33" i="3"/>
  <c r="AB41" i="3"/>
  <c r="AA44" i="3"/>
  <c r="P44" i="3"/>
  <c r="AB46" i="3"/>
  <c r="AE54" i="3"/>
  <c r="S63" i="3"/>
  <c r="AE203" i="3"/>
  <c r="S66" i="3"/>
  <c r="AE79" i="3"/>
  <c r="AD86" i="3"/>
  <c r="AE92" i="3"/>
  <c r="AD110" i="3"/>
  <c r="S110" i="3"/>
  <c r="R130" i="3"/>
  <c r="AC130" i="3"/>
  <c r="P149" i="3"/>
  <c r="R165" i="3"/>
  <c r="AE167" i="3"/>
  <c r="AD173" i="3"/>
  <c r="S173" i="3"/>
  <c r="P179" i="3"/>
  <c r="AB212" i="3"/>
  <c r="AD220" i="3"/>
  <c r="S220" i="3"/>
  <c r="AE238" i="3"/>
  <c r="AA244" i="3"/>
  <c r="P244" i="3"/>
  <c r="AB251" i="3"/>
  <c r="Q251" i="3"/>
  <c r="P271" i="3"/>
  <c r="AA177" i="3"/>
  <c r="P177" i="3"/>
  <c r="AC266" i="3"/>
  <c r="R266" i="3"/>
  <c r="AE286" i="3"/>
  <c r="AA88" i="3"/>
  <c r="P88" i="3"/>
  <c r="AB125" i="3"/>
  <c r="Q125" i="3"/>
  <c r="AD266" i="3"/>
  <c r="S266" i="3"/>
  <c r="AE233" i="3"/>
  <c r="AE149" i="3"/>
  <c r="AE290" i="3"/>
  <c r="AE121" i="3"/>
  <c r="AE261" i="3"/>
  <c r="R46" i="3"/>
  <c r="AA218" i="3"/>
  <c r="P218" i="3"/>
  <c r="AC171" i="3"/>
  <c r="R171" i="3"/>
  <c r="AE78" i="3"/>
  <c r="AE244" i="3"/>
  <c r="AE188" i="3"/>
  <c r="AE160" i="3"/>
  <c r="AE216" i="3"/>
  <c r="S20" i="3"/>
  <c r="AE132" i="3"/>
  <c r="S46" i="3"/>
  <c r="AE48" i="3"/>
  <c r="AA164" i="3"/>
  <c r="P164" i="3"/>
  <c r="AC242" i="3"/>
  <c r="R242" i="3"/>
  <c r="S255" i="3"/>
  <c r="AD277" i="3"/>
  <c r="S277" i="3"/>
  <c r="Q9" i="3"/>
  <c r="Q42" i="3"/>
  <c r="R53" i="3"/>
  <c r="Q62" i="3"/>
  <c r="S78" i="3"/>
  <c r="AD88" i="3"/>
  <c r="S88" i="3"/>
  <c r="P93" i="3"/>
  <c r="S108" i="3"/>
  <c r="P125" i="3"/>
  <c r="AD140" i="3"/>
  <c r="S158" i="3"/>
  <c r="Q177" i="3"/>
  <c r="AA201" i="3"/>
  <c r="P201" i="3"/>
  <c r="AC218" i="3"/>
  <c r="R218" i="3"/>
  <c r="AB261" i="3"/>
  <c r="AA283" i="3"/>
  <c r="P283" i="3"/>
  <c r="P70" i="3"/>
  <c r="AA70" i="3"/>
  <c r="AD123" i="3"/>
  <c r="S123" i="3"/>
  <c r="AC201" i="3"/>
  <c r="R201" i="3"/>
  <c r="AE257" i="3"/>
  <c r="AE229" i="3"/>
  <c r="AE173" i="3"/>
  <c r="AE145" i="3"/>
  <c r="AE89" i="3"/>
  <c r="AE33" i="3"/>
  <c r="AB101" i="3"/>
  <c r="Q101" i="3"/>
  <c r="AE254" i="3"/>
  <c r="AA79" i="3"/>
  <c r="P79" i="3"/>
  <c r="AB175" i="3"/>
  <c r="Q175" i="3"/>
  <c r="AE201" i="3"/>
  <c r="AD229" i="3"/>
  <c r="S229" i="3"/>
  <c r="AD248" i="3"/>
  <c r="AA259" i="3"/>
  <c r="P259" i="3"/>
  <c r="AE264" i="3"/>
  <c r="AE236" i="3"/>
  <c r="AE180" i="3"/>
  <c r="AE152" i="3"/>
  <c r="S12" i="3"/>
  <c r="AE208" i="3"/>
  <c r="AE266" i="3"/>
  <c r="AE154" i="3"/>
  <c r="AE295" i="3"/>
  <c r="AE14" i="3"/>
  <c r="AD14" i="3"/>
  <c r="AE20" i="3"/>
  <c r="AE42" i="3"/>
  <c r="Q79" i="3"/>
  <c r="AB79" i="3"/>
  <c r="AE93" i="3"/>
  <c r="S116" i="3"/>
  <c r="AD138" i="3"/>
  <c r="S138" i="3"/>
  <c r="AD159" i="3"/>
  <c r="S159" i="3"/>
  <c r="AC175" i="3"/>
  <c r="R175" i="3"/>
  <c r="P194" i="3"/>
  <c r="AA194" i="3"/>
  <c r="AC262" i="3"/>
  <c r="R262" i="3"/>
  <c r="AB188" i="3"/>
  <c r="Q188" i="3"/>
  <c r="AE252" i="3"/>
  <c r="AC79" i="3"/>
  <c r="R79" i="3"/>
  <c r="AA114" i="3"/>
  <c r="P114" i="3"/>
  <c r="AA129" i="3"/>
  <c r="P129" i="3"/>
  <c r="AA154" i="3"/>
  <c r="S178" i="3"/>
  <c r="AD178" i="3"/>
  <c r="AA183" i="3"/>
  <c r="R188" i="3"/>
  <c r="Q194" i="3"/>
  <c r="AB194" i="3"/>
  <c r="AD234" i="3"/>
  <c r="AD240" i="3"/>
  <c r="S240" i="3"/>
  <c r="AE9" i="3"/>
  <c r="S14" i="3"/>
  <c r="AE247" i="3"/>
  <c r="AE51" i="3"/>
  <c r="S23" i="3"/>
  <c r="AE277" i="3"/>
  <c r="AE249" i="3"/>
  <c r="AE193" i="3"/>
  <c r="AE165" i="3"/>
  <c r="AE25" i="3"/>
  <c r="AB65" i="3"/>
  <c r="S79" i="3"/>
  <c r="AD79" i="3"/>
  <c r="AE81" i="3"/>
  <c r="AC86" i="3"/>
  <c r="R86" i="3"/>
  <c r="R123" i="3"/>
  <c r="R138" i="3"/>
  <c r="Q141" i="3"/>
  <c r="P178" i="3"/>
  <c r="S188" i="3"/>
  <c r="AD210" i="3"/>
  <c r="AE221" i="3"/>
  <c r="Q227" i="3"/>
  <c r="R256" i="3"/>
  <c r="R280" i="3"/>
  <c r="AE279" i="3"/>
  <c r="AE308" i="3"/>
  <c r="AE170" i="3"/>
  <c r="AD242" i="3"/>
  <c r="S242" i="3"/>
  <c r="AE268" i="3"/>
  <c r="AE240" i="3"/>
  <c r="AE184" i="3"/>
  <c r="AE212" i="3"/>
  <c r="AE156" i="3"/>
  <c r="AA209" i="3"/>
  <c r="P209" i="3"/>
  <c r="AC77" i="3"/>
  <c r="R77" i="3"/>
  <c r="AD197" i="3"/>
  <c r="S197" i="3"/>
  <c r="AB204" i="3"/>
  <c r="AB279" i="3"/>
  <c r="Q279" i="3"/>
  <c r="AE218" i="3"/>
  <c r="AE134" i="3"/>
  <c r="AE106" i="3"/>
  <c r="AE231" i="3"/>
  <c r="AE175" i="3"/>
  <c r="AE147" i="3"/>
  <c r="AE288" i="3"/>
  <c r="AD27" i="3"/>
  <c r="AB81" i="3"/>
  <c r="AB116" i="3"/>
  <c r="Q116" i="3"/>
  <c r="AA153" i="3"/>
  <c r="P153" i="3"/>
  <c r="AB231" i="3"/>
  <c r="Q231" i="3"/>
  <c r="AB255" i="3"/>
  <c r="Q255" i="3"/>
  <c r="AE274" i="3"/>
  <c r="AC279" i="3"/>
  <c r="R279" i="3"/>
  <c r="AE311" i="3"/>
  <c r="AE86" i="3"/>
  <c r="AE95" i="3"/>
  <c r="AD16" i="3"/>
  <c r="AE220" i="3"/>
  <c r="AE136" i="3"/>
  <c r="AE27" i="3"/>
  <c r="AE35" i="3"/>
  <c r="AE309" i="3"/>
  <c r="AE112" i="3"/>
  <c r="AE84" i="3"/>
  <c r="AB90" i="3"/>
  <c r="Q90" i="3"/>
  <c r="AC103" i="3"/>
  <c r="R103" i="3"/>
  <c r="AE128" i="3"/>
  <c r="AA162" i="3"/>
  <c r="P162" i="3"/>
  <c r="AA188" i="3"/>
  <c r="P188" i="3"/>
  <c r="AE226" i="3"/>
  <c r="AC231" i="3"/>
  <c r="R231" i="3"/>
  <c r="S162" i="3"/>
  <c r="Q164" i="3"/>
  <c r="P168" i="3"/>
  <c r="S177" i="3"/>
  <c r="Q179" i="3"/>
  <c r="R190" i="3"/>
  <c r="P192" i="3"/>
  <c r="S201" i="3"/>
  <c r="Q203" i="3"/>
  <c r="S209" i="3"/>
  <c r="Q211" i="3"/>
  <c r="R222" i="3"/>
  <c r="P224" i="3"/>
  <c r="S233" i="3"/>
  <c r="Q235" i="3"/>
  <c r="R246" i="3"/>
  <c r="P248" i="3"/>
  <c r="S257" i="3"/>
  <c r="Q259" i="3"/>
  <c r="R270" i="3"/>
  <c r="P272" i="3"/>
  <c r="S281" i="3"/>
  <c r="R211" i="3"/>
  <c r="P213" i="3"/>
  <c r="S222" i="3"/>
  <c r="Q224" i="3"/>
  <c r="R235" i="3"/>
  <c r="P237" i="3"/>
  <c r="S246" i="3"/>
  <c r="Q248" i="3"/>
  <c r="R259" i="3"/>
  <c r="P261" i="3"/>
  <c r="S270" i="3"/>
  <c r="Q272" i="3"/>
  <c r="AE284" i="3" l="1"/>
  <c r="AA87" i="3"/>
  <c r="P87" i="3"/>
  <c r="AC255" i="3"/>
  <c r="R255" i="3"/>
  <c r="Q165" i="3"/>
  <c r="AB165" i="3"/>
  <c r="P165" i="3"/>
  <c r="AA165" i="3"/>
  <c r="G141" i="1" l="1"/>
  <c r="H141" i="1"/>
  <c r="I141" i="1"/>
  <c r="AE57" i="1" s="1"/>
  <c r="F141" i="1"/>
  <c r="AA141" i="1" s="1"/>
  <c r="G140" i="1"/>
  <c r="AB140" i="1" s="1"/>
  <c r="F140" i="1"/>
  <c r="AA140" i="1" s="1"/>
  <c r="AE265" i="1"/>
  <c r="AE311" i="1"/>
  <c r="AE310" i="1"/>
  <c r="AE308" i="1"/>
  <c r="AE307" i="1"/>
  <c r="AE306" i="1"/>
  <c r="AE305" i="1"/>
  <c r="AE304" i="1"/>
  <c r="AE303" i="1"/>
  <c r="AE302" i="1"/>
  <c r="AE301" i="1"/>
  <c r="AE299" i="1"/>
  <c r="AE298" i="1"/>
  <c r="AE297" i="1"/>
  <c r="AE296" i="1"/>
  <c r="AE295" i="1"/>
  <c r="AE294" i="1"/>
  <c r="AE293" i="1"/>
  <c r="AE292" i="1"/>
  <c r="AE291" i="1"/>
  <c r="AE290" i="1"/>
  <c r="AE289" i="1"/>
  <c r="AE288" i="1"/>
  <c r="AE287" i="1"/>
  <c r="AE286" i="1"/>
  <c r="AE285" i="1"/>
  <c r="AE284" i="1"/>
  <c r="AE283" i="1"/>
  <c r="AE282" i="1"/>
  <c r="AE280" i="1"/>
  <c r="AE279" i="1"/>
  <c r="AE278" i="1"/>
  <c r="AE277" i="1"/>
  <c r="AE276" i="1"/>
  <c r="AE275" i="1"/>
  <c r="AE274" i="1"/>
  <c r="AE273" i="1"/>
  <c r="AE271" i="1"/>
  <c r="AE270" i="1"/>
  <c r="AE269" i="1"/>
  <c r="AE268" i="1"/>
  <c r="AE267" i="1"/>
  <c r="AE266" i="1"/>
  <c r="AE264" i="1"/>
  <c r="AE263" i="1"/>
  <c r="AE262" i="1"/>
  <c r="AE261" i="1"/>
  <c r="AE260" i="1"/>
  <c r="AE259" i="1"/>
  <c r="AE258" i="1"/>
  <c r="AE257" i="1"/>
  <c r="AE256" i="1"/>
  <c r="AE227" i="1"/>
  <c r="AE226" i="1"/>
  <c r="AE224" i="1"/>
  <c r="AE223" i="1"/>
  <c r="AE222" i="1"/>
  <c r="AE221" i="1"/>
  <c r="AE220" i="1"/>
  <c r="AE219" i="1"/>
  <c r="AE218" i="1"/>
  <c r="AE217" i="1"/>
  <c r="AE215" i="1"/>
  <c r="AE214" i="1"/>
  <c r="AE213" i="1"/>
  <c r="AE212" i="1"/>
  <c r="AE211" i="1"/>
  <c r="AE210" i="1"/>
  <c r="AE209" i="1"/>
  <c r="AE208" i="1"/>
  <c r="AE207" i="1"/>
  <c r="AE206" i="1"/>
  <c r="AE205" i="1"/>
  <c r="AE204" i="1"/>
  <c r="AE203" i="1"/>
  <c r="AE202" i="1"/>
  <c r="AE201" i="1"/>
  <c r="AE200" i="1"/>
  <c r="AE199" i="1"/>
  <c r="AE198" i="1"/>
  <c r="AE197" i="1"/>
  <c r="AE196" i="1"/>
  <c r="AE195" i="1"/>
  <c r="AE194" i="1"/>
  <c r="AE193" i="1"/>
  <c r="AE192" i="1"/>
  <c r="AE191" i="1"/>
  <c r="AE190" i="1"/>
  <c r="AE189" i="1"/>
  <c r="AE187" i="1"/>
  <c r="AE186" i="1"/>
  <c r="AE185" i="1"/>
  <c r="AE184" i="1"/>
  <c r="AE183" i="1"/>
  <c r="AE182" i="1"/>
  <c r="AE181" i="1"/>
  <c r="AE180" i="1"/>
  <c r="AE179" i="1"/>
  <c r="AE178" i="1"/>
  <c r="AE177" i="1"/>
  <c r="AE176" i="1"/>
  <c r="AE175" i="1"/>
  <c r="AE174" i="1"/>
  <c r="AE173" i="1"/>
  <c r="AE172" i="1"/>
  <c r="AE171" i="1"/>
  <c r="AE170" i="1"/>
  <c r="AE169" i="1"/>
  <c r="AE168" i="1"/>
  <c r="AE167" i="1"/>
  <c r="AE166" i="1"/>
  <c r="AE165" i="1"/>
  <c r="AE164" i="1"/>
  <c r="AE163" i="1"/>
  <c r="AE162" i="1"/>
  <c r="AE161" i="1"/>
  <c r="AE159" i="1"/>
  <c r="AE158" i="1"/>
  <c r="AE157" i="1"/>
  <c r="AE156" i="1"/>
  <c r="AE155" i="1"/>
  <c r="AE154" i="1"/>
  <c r="AE153" i="1"/>
  <c r="AE152" i="1"/>
  <c r="AE151" i="1"/>
  <c r="AE150" i="1"/>
  <c r="AE149" i="1"/>
  <c r="AE148" i="1"/>
  <c r="AE147" i="1"/>
  <c r="AE146" i="1"/>
  <c r="AE145" i="1"/>
  <c r="AE144" i="1"/>
  <c r="AE143" i="1"/>
  <c r="AE142" i="1"/>
  <c r="AE141" i="1"/>
  <c r="AE140" i="1"/>
  <c r="AE139" i="1"/>
  <c r="AE138" i="1"/>
  <c r="AE137" i="1"/>
  <c r="AE136" i="1"/>
  <c r="AE135" i="1"/>
  <c r="AE134" i="1"/>
  <c r="AE133" i="1"/>
  <c r="AE131" i="1"/>
  <c r="AE130" i="1"/>
  <c r="AE129" i="1"/>
  <c r="AE128" i="1"/>
  <c r="AE127" i="1"/>
  <c r="AE126" i="1"/>
  <c r="AE125" i="1"/>
  <c r="AE124" i="1"/>
  <c r="AE123" i="1"/>
  <c r="AE122" i="1"/>
  <c r="AE121" i="1"/>
  <c r="AE120" i="1"/>
  <c r="AE119" i="1"/>
  <c r="AE118" i="1"/>
  <c r="AE117" i="1"/>
  <c r="AE116" i="1"/>
  <c r="AE115" i="1"/>
  <c r="AE114" i="1"/>
  <c r="AE113" i="1"/>
  <c r="AE112" i="1"/>
  <c r="AE111" i="1"/>
  <c r="AE110" i="1"/>
  <c r="AE109" i="1"/>
  <c r="AE108" i="1"/>
  <c r="AE107" i="1"/>
  <c r="AE106" i="1"/>
  <c r="AE105" i="1"/>
  <c r="AE103" i="1"/>
  <c r="AE102" i="1"/>
  <c r="AE101" i="1"/>
  <c r="AE100" i="1"/>
  <c r="AE99" i="1"/>
  <c r="AE98" i="1"/>
  <c r="AE97" i="1"/>
  <c r="AE96" i="1"/>
  <c r="AE95" i="1"/>
  <c r="AE94" i="1"/>
  <c r="AE93" i="1"/>
  <c r="AE92" i="1"/>
  <c r="AE91" i="1"/>
  <c r="AE90" i="1"/>
  <c r="AE89" i="1"/>
  <c r="AE88" i="1"/>
  <c r="AE87" i="1"/>
  <c r="AE86" i="1"/>
  <c r="AE85" i="1"/>
  <c r="AE84" i="1"/>
  <c r="AE83" i="1"/>
  <c r="AE82" i="1"/>
  <c r="AE81" i="1"/>
  <c r="AE80" i="1"/>
  <c r="AE79" i="1"/>
  <c r="AE78" i="1"/>
  <c r="AE77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5" i="1"/>
  <c r="AE54" i="1"/>
  <c r="AE53" i="1"/>
  <c r="AE52" i="1"/>
  <c r="AE51" i="1"/>
  <c r="AE50" i="1"/>
  <c r="AE49" i="1"/>
  <c r="AE47" i="1"/>
  <c r="AE46" i="1"/>
  <c r="AE45" i="1"/>
  <c r="AE44" i="1"/>
  <c r="AE43" i="1"/>
  <c r="AE42" i="1"/>
  <c r="AE41" i="1"/>
  <c r="AE40" i="1"/>
  <c r="AE39" i="1"/>
  <c r="AE38" i="1"/>
  <c r="AE37" i="1"/>
  <c r="AE36" i="1"/>
  <c r="AE35" i="1"/>
  <c r="AE34" i="1"/>
  <c r="AE33" i="1"/>
  <c r="AE32" i="1"/>
  <c r="AE4" i="1"/>
  <c r="AE31" i="1"/>
  <c r="AE30" i="1"/>
  <c r="AE28" i="1"/>
  <c r="AE27" i="1"/>
  <c r="AE26" i="1"/>
  <c r="AE25" i="1"/>
  <c r="AE24" i="1"/>
  <c r="AE23" i="1"/>
  <c r="AE22" i="1"/>
  <c r="AE21" i="1"/>
  <c r="AE19" i="1"/>
  <c r="AE18" i="1"/>
  <c r="AE17" i="1"/>
  <c r="AE16" i="1"/>
  <c r="AE15" i="1"/>
  <c r="AE14" i="1"/>
  <c r="AE13" i="1"/>
  <c r="AE12" i="1"/>
  <c r="AE11" i="1"/>
  <c r="AE10" i="1"/>
  <c r="AE9" i="1"/>
  <c r="AE8" i="1"/>
  <c r="AE7" i="1"/>
  <c r="AE6" i="1"/>
  <c r="AE5" i="1"/>
  <c r="AC32" i="1"/>
  <c r="AD312" i="1"/>
  <c r="AC312" i="1"/>
  <c r="AB312" i="1"/>
  <c r="AA312" i="1"/>
  <c r="AD311" i="1"/>
  <c r="AC311" i="1"/>
  <c r="AB311" i="1"/>
  <c r="AA311" i="1"/>
  <c r="AD310" i="1"/>
  <c r="AC310" i="1"/>
  <c r="AB310" i="1"/>
  <c r="AA310" i="1"/>
  <c r="AD309" i="1"/>
  <c r="AC309" i="1"/>
  <c r="AB309" i="1"/>
  <c r="AA309" i="1"/>
  <c r="AD308" i="1"/>
  <c r="AC308" i="1"/>
  <c r="AB308" i="1"/>
  <c r="AA308" i="1"/>
  <c r="AD307" i="1"/>
  <c r="AC307" i="1"/>
  <c r="AB307" i="1"/>
  <c r="AA307" i="1"/>
  <c r="AD306" i="1"/>
  <c r="AC306" i="1"/>
  <c r="AB306" i="1"/>
  <c r="AA306" i="1"/>
  <c r="AD305" i="1"/>
  <c r="AC305" i="1"/>
  <c r="AB305" i="1"/>
  <c r="AA305" i="1"/>
  <c r="AD304" i="1"/>
  <c r="AC304" i="1"/>
  <c r="AB304" i="1"/>
  <c r="AA304" i="1"/>
  <c r="AD303" i="1"/>
  <c r="AC303" i="1"/>
  <c r="AB303" i="1"/>
  <c r="AA303" i="1"/>
  <c r="AD302" i="1"/>
  <c r="AC302" i="1"/>
  <c r="AB302" i="1"/>
  <c r="AA302" i="1"/>
  <c r="AD301" i="1"/>
  <c r="AC301" i="1"/>
  <c r="AB301" i="1"/>
  <c r="AA301" i="1"/>
  <c r="AD300" i="1"/>
  <c r="AC300" i="1"/>
  <c r="AB300" i="1"/>
  <c r="AA300" i="1"/>
  <c r="AD299" i="1"/>
  <c r="AC299" i="1"/>
  <c r="AB299" i="1"/>
  <c r="AA299" i="1"/>
  <c r="AD298" i="1"/>
  <c r="AC298" i="1"/>
  <c r="AB298" i="1"/>
  <c r="AA298" i="1"/>
  <c r="AD297" i="1"/>
  <c r="AC297" i="1"/>
  <c r="AB297" i="1"/>
  <c r="AA297" i="1"/>
  <c r="AD296" i="1"/>
  <c r="AC296" i="1"/>
  <c r="AB296" i="1"/>
  <c r="AA296" i="1"/>
  <c r="AD295" i="1"/>
  <c r="AC295" i="1"/>
  <c r="AB295" i="1"/>
  <c r="AA295" i="1"/>
  <c r="AD294" i="1"/>
  <c r="AC294" i="1"/>
  <c r="AB294" i="1"/>
  <c r="AA294" i="1"/>
  <c r="AD293" i="1"/>
  <c r="AC293" i="1"/>
  <c r="AB293" i="1"/>
  <c r="AA293" i="1"/>
  <c r="AD292" i="1"/>
  <c r="AC292" i="1"/>
  <c r="AB292" i="1"/>
  <c r="AA292" i="1"/>
  <c r="AD291" i="1"/>
  <c r="AC291" i="1"/>
  <c r="AB291" i="1"/>
  <c r="AA291" i="1"/>
  <c r="AD290" i="1"/>
  <c r="AC290" i="1"/>
  <c r="AB290" i="1"/>
  <c r="AA290" i="1"/>
  <c r="AD289" i="1"/>
  <c r="AC289" i="1"/>
  <c r="AB289" i="1"/>
  <c r="AA289" i="1"/>
  <c r="AD288" i="1"/>
  <c r="AC288" i="1"/>
  <c r="AB288" i="1"/>
  <c r="AA288" i="1"/>
  <c r="AD287" i="1"/>
  <c r="AC287" i="1"/>
  <c r="AB287" i="1"/>
  <c r="AA287" i="1"/>
  <c r="AD286" i="1"/>
  <c r="AC286" i="1"/>
  <c r="AB286" i="1"/>
  <c r="AA286" i="1"/>
  <c r="AD285" i="1"/>
  <c r="AC285" i="1"/>
  <c r="AB285" i="1"/>
  <c r="AA285" i="1"/>
  <c r="AD284" i="1"/>
  <c r="AC284" i="1"/>
  <c r="AB284" i="1"/>
  <c r="AA284" i="1"/>
  <c r="AD283" i="1"/>
  <c r="AC283" i="1"/>
  <c r="AB283" i="1"/>
  <c r="AA283" i="1"/>
  <c r="AD282" i="1"/>
  <c r="AC282" i="1"/>
  <c r="AB282" i="1"/>
  <c r="AA282" i="1"/>
  <c r="AD281" i="1"/>
  <c r="AC281" i="1"/>
  <c r="AB281" i="1"/>
  <c r="AA281" i="1"/>
  <c r="AD280" i="1"/>
  <c r="AC280" i="1"/>
  <c r="AB280" i="1"/>
  <c r="AA280" i="1"/>
  <c r="AD279" i="1"/>
  <c r="AC279" i="1"/>
  <c r="AB279" i="1"/>
  <c r="AA279" i="1"/>
  <c r="AD278" i="1"/>
  <c r="AC278" i="1"/>
  <c r="AB278" i="1"/>
  <c r="AA278" i="1"/>
  <c r="AD277" i="1"/>
  <c r="AC277" i="1"/>
  <c r="AB277" i="1"/>
  <c r="AA277" i="1"/>
  <c r="AD276" i="1"/>
  <c r="AC276" i="1"/>
  <c r="AB276" i="1"/>
  <c r="AA276" i="1"/>
  <c r="AD275" i="1"/>
  <c r="AC275" i="1"/>
  <c r="AB275" i="1"/>
  <c r="AA275" i="1"/>
  <c r="AD274" i="1"/>
  <c r="AC274" i="1"/>
  <c r="AB274" i="1"/>
  <c r="AA274" i="1"/>
  <c r="AD273" i="1"/>
  <c r="AC273" i="1"/>
  <c r="AB273" i="1"/>
  <c r="AA273" i="1"/>
  <c r="AD272" i="1"/>
  <c r="AC272" i="1"/>
  <c r="AB272" i="1"/>
  <c r="AA272" i="1"/>
  <c r="AD271" i="1"/>
  <c r="AC271" i="1"/>
  <c r="AB271" i="1"/>
  <c r="AA271" i="1"/>
  <c r="AD270" i="1"/>
  <c r="AC270" i="1"/>
  <c r="AB270" i="1"/>
  <c r="AA270" i="1"/>
  <c r="AD269" i="1"/>
  <c r="AC269" i="1"/>
  <c r="AB269" i="1"/>
  <c r="AA269" i="1"/>
  <c r="AD268" i="1"/>
  <c r="AC268" i="1"/>
  <c r="AB268" i="1"/>
  <c r="AA268" i="1"/>
  <c r="AD267" i="1"/>
  <c r="AC267" i="1"/>
  <c r="AB267" i="1"/>
  <c r="AA267" i="1"/>
  <c r="AD266" i="1"/>
  <c r="AC266" i="1"/>
  <c r="AB266" i="1"/>
  <c r="AA266" i="1"/>
  <c r="AD265" i="1"/>
  <c r="AC265" i="1"/>
  <c r="AB265" i="1"/>
  <c r="AA265" i="1"/>
  <c r="AD264" i="1"/>
  <c r="AC264" i="1"/>
  <c r="AB264" i="1"/>
  <c r="AA264" i="1"/>
  <c r="AD263" i="1"/>
  <c r="AC263" i="1"/>
  <c r="AB263" i="1"/>
  <c r="AA263" i="1"/>
  <c r="AD262" i="1"/>
  <c r="AC262" i="1"/>
  <c r="AB262" i="1"/>
  <c r="AA262" i="1"/>
  <c r="AD261" i="1"/>
  <c r="AC261" i="1"/>
  <c r="AB261" i="1"/>
  <c r="AA261" i="1"/>
  <c r="AD260" i="1"/>
  <c r="AC260" i="1"/>
  <c r="AB260" i="1"/>
  <c r="AA260" i="1"/>
  <c r="AD259" i="1"/>
  <c r="AC259" i="1"/>
  <c r="AB259" i="1"/>
  <c r="AA259" i="1"/>
  <c r="AD258" i="1"/>
  <c r="AC258" i="1"/>
  <c r="AB258" i="1"/>
  <c r="AA258" i="1"/>
  <c r="AD257" i="1"/>
  <c r="AC257" i="1"/>
  <c r="AB257" i="1"/>
  <c r="AA257" i="1"/>
  <c r="AD256" i="1"/>
  <c r="AC256" i="1"/>
  <c r="AB256" i="1"/>
  <c r="AA256" i="1"/>
  <c r="AD255" i="1"/>
  <c r="AC255" i="1"/>
  <c r="AB255" i="1"/>
  <c r="AA255" i="1"/>
  <c r="AD254" i="1"/>
  <c r="AC254" i="1"/>
  <c r="AB254" i="1"/>
  <c r="AA254" i="1"/>
  <c r="AD253" i="1"/>
  <c r="AC253" i="1"/>
  <c r="AB253" i="1"/>
  <c r="AA253" i="1"/>
  <c r="AD252" i="1"/>
  <c r="AC252" i="1"/>
  <c r="AB252" i="1"/>
  <c r="AA252" i="1"/>
  <c r="AD251" i="1"/>
  <c r="AC251" i="1"/>
  <c r="AB251" i="1"/>
  <c r="AA251" i="1"/>
  <c r="AD250" i="1"/>
  <c r="AC250" i="1"/>
  <c r="AB250" i="1"/>
  <c r="AA250" i="1"/>
  <c r="AD249" i="1"/>
  <c r="AC249" i="1"/>
  <c r="AB249" i="1"/>
  <c r="AA249" i="1"/>
  <c r="AD248" i="1"/>
  <c r="AC248" i="1"/>
  <c r="AB248" i="1"/>
  <c r="AA248" i="1"/>
  <c r="AD247" i="1"/>
  <c r="AC247" i="1"/>
  <c r="AB247" i="1"/>
  <c r="AA247" i="1"/>
  <c r="AD246" i="1"/>
  <c r="AC246" i="1"/>
  <c r="AB246" i="1"/>
  <c r="AA246" i="1"/>
  <c r="AD245" i="1"/>
  <c r="AC245" i="1"/>
  <c r="AB245" i="1"/>
  <c r="AA245" i="1"/>
  <c r="AD244" i="1"/>
  <c r="AC244" i="1"/>
  <c r="AB244" i="1"/>
  <c r="AA244" i="1"/>
  <c r="AD243" i="1"/>
  <c r="AC243" i="1"/>
  <c r="AB243" i="1"/>
  <c r="AA243" i="1"/>
  <c r="AD242" i="1"/>
  <c r="AC242" i="1"/>
  <c r="AB242" i="1"/>
  <c r="AA242" i="1"/>
  <c r="AD241" i="1"/>
  <c r="AC241" i="1"/>
  <c r="AB241" i="1"/>
  <c r="AA241" i="1"/>
  <c r="AD240" i="1"/>
  <c r="AC240" i="1"/>
  <c r="AB240" i="1"/>
  <c r="AA240" i="1"/>
  <c r="AD239" i="1"/>
  <c r="AC239" i="1"/>
  <c r="AB239" i="1"/>
  <c r="AA239" i="1"/>
  <c r="AD238" i="1"/>
  <c r="AC238" i="1"/>
  <c r="AB238" i="1"/>
  <c r="AA238" i="1"/>
  <c r="AD237" i="1"/>
  <c r="AC237" i="1"/>
  <c r="AB237" i="1"/>
  <c r="AA237" i="1"/>
  <c r="AD236" i="1"/>
  <c r="AC236" i="1"/>
  <c r="AB236" i="1"/>
  <c r="AA236" i="1"/>
  <c r="AD235" i="1"/>
  <c r="AC235" i="1"/>
  <c r="AB235" i="1"/>
  <c r="AA235" i="1"/>
  <c r="AD234" i="1"/>
  <c r="AC234" i="1"/>
  <c r="AB234" i="1"/>
  <c r="AA234" i="1"/>
  <c r="AD233" i="1"/>
  <c r="AC233" i="1"/>
  <c r="AB233" i="1"/>
  <c r="AA233" i="1"/>
  <c r="AD232" i="1"/>
  <c r="AC232" i="1"/>
  <c r="AB232" i="1"/>
  <c r="AA232" i="1"/>
  <c r="AD231" i="1"/>
  <c r="AC231" i="1"/>
  <c r="AB231" i="1"/>
  <c r="AA231" i="1"/>
  <c r="AD230" i="1"/>
  <c r="AC230" i="1"/>
  <c r="AB230" i="1"/>
  <c r="AA230" i="1"/>
  <c r="AD229" i="1"/>
  <c r="AC229" i="1"/>
  <c r="AB229" i="1"/>
  <c r="AA229" i="1"/>
  <c r="AD228" i="1"/>
  <c r="AC228" i="1"/>
  <c r="AB228" i="1"/>
  <c r="AA228" i="1"/>
  <c r="AD227" i="1"/>
  <c r="AC227" i="1"/>
  <c r="AB227" i="1"/>
  <c r="AA227" i="1"/>
  <c r="AD226" i="1"/>
  <c r="AC226" i="1"/>
  <c r="AB226" i="1"/>
  <c r="AA226" i="1"/>
  <c r="AD225" i="1"/>
  <c r="AC225" i="1"/>
  <c r="AB225" i="1"/>
  <c r="AD224" i="1"/>
  <c r="AC224" i="1"/>
  <c r="AB224" i="1"/>
  <c r="AD223" i="1"/>
  <c r="AC223" i="1"/>
  <c r="AB223" i="1"/>
  <c r="AD222" i="1"/>
  <c r="AC222" i="1"/>
  <c r="AB222" i="1"/>
  <c r="AA222" i="1"/>
  <c r="AD221" i="1"/>
  <c r="AC221" i="1"/>
  <c r="AB221" i="1"/>
  <c r="AD220" i="1"/>
  <c r="AC220" i="1"/>
  <c r="AB220" i="1"/>
  <c r="AA220" i="1"/>
  <c r="AD219" i="1"/>
  <c r="AC219" i="1"/>
  <c r="AB219" i="1"/>
  <c r="AD218" i="1"/>
  <c r="AC218" i="1"/>
  <c r="AB218" i="1"/>
  <c r="AA218" i="1"/>
  <c r="AD217" i="1"/>
  <c r="AC217" i="1"/>
  <c r="AB217" i="1"/>
  <c r="AA217" i="1"/>
  <c r="AD216" i="1"/>
  <c r="AC216" i="1"/>
  <c r="AB216" i="1"/>
  <c r="AD215" i="1"/>
  <c r="AC215" i="1"/>
  <c r="AB215" i="1"/>
  <c r="AA215" i="1"/>
  <c r="AD214" i="1"/>
  <c r="AC214" i="1"/>
  <c r="AD213" i="1"/>
  <c r="AC213" i="1"/>
  <c r="AB213" i="1"/>
  <c r="AA213" i="1"/>
  <c r="AD212" i="1"/>
  <c r="AC212" i="1"/>
  <c r="AD211" i="1"/>
  <c r="AC211" i="1"/>
  <c r="AB211" i="1"/>
  <c r="AD210" i="1"/>
  <c r="AC210" i="1"/>
  <c r="AB210" i="1"/>
  <c r="AA210" i="1"/>
  <c r="AD209" i="1"/>
  <c r="AC209" i="1"/>
  <c r="AB209" i="1"/>
  <c r="AA209" i="1"/>
  <c r="AD208" i="1"/>
  <c r="AC208" i="1"/>
  <c r="AB208" i="1"/>
  <c r="AA208" i="1"/>
  <c r="AD207" i="1"/>
  <c r="AC207" i="1"/>
  <c r="AB207" i="1"/>
  <c r="AD206" i="1"/>
  <c r="AC206" i="1"/>
  <c r="AB206" i="1"/>
  <c r="AD205" i="1"/>
  <c r="AC205" i="1"/>
  <c r="AB205" i="1"/>
  <c r="AA205" i="1"/>
  <c r="AD204" i="1"/>
  <c r="AC204" i="1"/>
  <c r="AB204" i="1"/>
  <c r="AA204" i="1"/>
  <c r="AD203" i="1"/>
  <c r="AC203" i="1"/>
  <c r="AB203" i="1"/>
  <c r="AD202" i="1"/>
  <c r="AC202" i="1"/>
  <c r="AB202" i="1"/>
  <c r="AD201" i="1"/>
  <c r="AC201" i="1"/>
  <c r="AB201" i="1"/>
  <c r="AA201" i="1"/>
  <c r="AD200" i="1"/>
  <c r="AC200" i="1"/>
  <c r="AD199" i="1"/>
  <c r="AC199" i="1"/>
  <c r="AB199" i="1"/>
  <c r="AA199" i="1"/>
  <c r="AD198" i="1"/>
  <c r="AC198" i="1"/>
  <c r="AB198" i="1"/>
  <c r="AA198" i="1"/>
  <c r="AD197" i="1"/>
  <c r="AC197" i="1"/>
  <c r="AB197" i="1"/>
  <c r="AD196" i="1"/>
  <c r="AC196" i="1"/>
  <c r="AB196" i="1"/>
  <c r="AD195" i="1"/>
  <c r="AC195" i="1"/>
  <c r="AB195" i="1"/>
  <c r="AD194" i="1"/>
  <c r="AC194" i="1"/>
  <c r="AB194" i="1"/>
  <c r="AA194" i="1"/>
  <c r="AD193" i="1"/>
  <c r="AC193" i="1"/>
  <c r="AB193" i="1"/>
  <c r="AD192" i="1"/>
  <c r="AC192" i="1"/>
  <c r="AB192" i="1"/>
  <c r="AA192" i="1"/>
  <c r="AD191" i="1"/>
  <c r="AC191" i="1"/>
  <c r="AB191" i="1"/>
  <c r="AD190" i="1"/>
  <c r="AC190" i="1"/>
  <c r="AB190" i="1"/>
  <c r="AA190" i="1"/>
  <c r="AD189" i="1"/>
  <c r="AC189" i="1"/>
  <c r="AB189" i="1"/>
  <c r="AA189" i="1"/>
  <c r="AD188" i="1"/>
  <c r="AC188" i="1"/>
  <c r="AB188" i="1"/>
  <c r="AD187" i="1"/>
  <c r="AC187" i="1"/>
  <c r="AB187" i="1"/>
  <c r="AA187" i="1"/>
  <c r="AD186" i="1"/>
  <c r="AC186" i="1"/>
  <c r="AD185" i="1"/>
  <c r="AC185" i="1"/>
  <c r="AB185" i="1"/>
  <c r="AA185" i="1"/>
  <c r="AD184" i="1"/>
  <c r="AC184" i="1"/>
  <c r="AD183" i="1"/>
  <c r="AC183" i="1"/>
  <c r="AB183" i="1"/>
  <c r="AD182" i="1"/>
  <c r="AC182" i="1"/>
  <c r="AB182" i="1"/>
  <c r="AA182" i="1"/>
  <c r="AD181" i="1"/>
  <c r="AC181" i="1"/>
  <c r="AB181" i="1"/>
  <c r="AA181" i="1"/>
  <c r="AD180" i="1"/>
  <c r="AC180" i="1"/>
  <c r="AB180" i="1"/>
  <c r="AA180" i="1"/>
  <c r="AD179" i="1"/>
  <c r="AC179" i="1"/>
  <c r="AB179" i="1"/>
  <c r="AD178" i="1"/>
  <c r="AC178" i="1"/>
  <c r="AB178" i="1"/>
  <c r="AD177" i="1"/>
  <c r="AC177" i="1"/>
  <c r="AB177" i="1"/>
  <c r="AA177" i="1"/>
  <c r="AD176" i="1"/>
  <c r="AC176" i="1"/>
  <c r="AB176" i="1"/>
  <c r="AA176" i="1"/>
  <c r="AD175" i="1"/>
  <c r="AC175" i="1"/>
  <c r="AB175" i="1"/>
  <c r="AD174" i="1"/>
  <c r="AC174" i="1"/>
  <c r="AB174" i="1"/>
  <c r="AD173" i="1"/>
  <c r="AC173" i="1"/>
  <c r="AB173" i="1"/>
  <c r="AA173" i="1"/>
  <c r="AD172" i="1"/>
  <c r="AC172" i="1"/>
  <c r="AD171" i="1"/>
  <c r="AC171" i="1"/>
  <c r="AB171" i="1"/>
  <c r="AA171" i="1"/>
  <c r="AD170" i="1"/>
  <c r="AC170" i="1"/>
  <c r="AB170" i="1"/>
  <c r="AA170" i="1"/>
  <c r="AD169" i="1"/>
  <c r="AC169" i="1"/>
  <c r="AB169" i="1"/>
  <c r="AA169" i="1"/>
  <c r="AD168" i="1"/>
  <c r="AC168" i="1"/>
  <c r="AB168" i="1"/>
  <c r="AA168" i="1"/>
  <c r="AD167" i="1"/>
  <c r="AC167" i="1"/>
  <c r="AB167" i="1"/>
  <c r="AA167" i="1"/>
  <c r="AD166" i="1"/>
  <c r="AC166" i="1"/>
  <c r="AB166" i="1"/>
  <c r="AA166" i="1"/>
  <c r="AD165" i="1"/>
  <c r="AC165" i="1"/>
  <c r="AB165" i="1"/>
  <c r="AA165" i="1"/>
  <c r="AD164" i="1"/>
  <c r="AC164" i="1"/>
  <c r="AB164" i="1"/>
  <c r="AA164" i="1"/>
  <c r="AD163" i="1"/>
  <c r="AC163" i="1"/>
  <c r="AB163" i="1"/>
  <c r="AA163" i="1"/>
  <c r="AD162" i="1"/>
  <c r="AC162" i="1"/>
  <c r="AB162" i="1"/>
  <c r="AA162" i="1"/>
  <c r="AD161" i="1"/>
  <c r="AC161" i="1"/>
  <c r="AB161" i="1"/>
  <c r="AA161" i="1"/>
  <c r="AD160" i="1"/>
  <c r="AC160" i="1"/>
  <c r="AB160" i="1"/>
  <c r="AA160" i="1"/>
  <c r="AD159" i="1"/>
  <c r="AC159" i="1"/>
  <c r="AB159" i="1"/>
  <c r="AA159" i="1"/>
  <c r="AD158" i="1"/>
  <c r="AC158" i="1"/>
  <c r="AB158" i="1"/>
  <c r="AA158" i="1"/>
  <c r="AD157" i="1"/>
  <c r="AC157" i="1"/>
  <c r="AB157" i="1"/>
  <c r="AA157" i="1"/>
  <c r="AD156" i="1"/>
  <c r="AC156" i="1"/>
  <c r="AB156" i="1"/>
  <c r="AA156" i="1"/>
  <c r="AD155" i="1"/>
  <c r="AC155" i="1"/>
  <c r="AB155" i="1"/>
  <c r="AA155" i="1"/>
  <c r="AD154" i="1"/>
  <c r="AC154" i="1"/>
  <c r="AB154" i="1"/>
  <c r="AA154" i="1"/>
  <c r="AD153" i="1"/>
  <c r="AC153" i="1"/>
  <c r="AB153" i="1"/>
  <c r="AA153" i="1"/>
  <c r="AD152" i="1"/>
  <c r="AC152" i="1"/>
  <c r="AB152" i="1"/>
  <c r="AA152" i="1"/>
  <c r="AD151" i="1"/>
  <c r="AC151" i="1"/>
  <c r="AB151" i="1"/>
  <c r="AA151" i="1"/>
  <c r="AD150" i="1"/>
  <c r="AC150" i="1"/>
  <c r="AB150" i="1"/>
  <c r="AA150" i="1"/>
  <c r="AD149" i="1"/>
  <c r="AC149" i="1"/>
  <c r="AB149" i="1"/>
  <c r="AA149" i="1"/>
  <c r="AD148" i="1"/>
  <c r="AC148" i="1"/>
  <c r="AB148" i="1"/>
  <c r="AA148" i="1"/>
  <c r="AD147" i="1"/>
  <c r="AC147" i="1"/>
  <c r="AB147" i="1"/>
  <c r="AA147" i="1"/>
  <c r="AD146" i="1"/>
  <c r="AC146" i="1"/>
  <c r="AB146" i="1"/>
  <c r="AA146" i="1"/>
  <c r="AD145" i="1"/>
  <c r="AC145" i="1"/>
  <c r="AB145" i="1"/>
  <c r="AA145" i="1"/>
  <c r="AD144" i="1"/>
  <c r="AC144" i="1"/>
  <c r="AB144" i="1"/>
  <c r="AA144" i="1"/>
  <c r="AD143" i="1"/>
  <c r="AC143" i="1"/>
  <c r="AB143" i="1"/>
  <c r="AA143" i="1"/>
  <c r="AD142" i="1"/>
  <c r="AC142" i="1"/>
  <c r="AB142" i="1"/>
  <c r="AA142" i="1"/>
  <c r="AC141" i="1"/>
  <c r="AB141" i="1"/>
  <c r="AD140" i="1"/>
  <c r="AC140" i="1"/>
  <c r="AD139" i="1"/>
  <c r="AC139" i="1"/>
  <c r="AB139" i="1"/>
  <c r="AA139" i="1"/>
  <c r="AD138" i="1"/>
  <c r="AC138" i="1"/>
  <c r="AB138" i="1"/>
  <c r="AA138" i="1"/>
  <c r="AD137" i="1"/>
  <c r="AC137" i="1"/>
  <c r="AB137" i="1"/>
  <c r="AA137" i="1"/>
  <c r="AD136" i="1"/>
  <c r="AC136" i="1"/>
  <c r="AB136" i="1"/>
  <c r="AA136" i="1"/>
  <c r="AD135" i="1"/>
  <c r="AC135" i="1"/>
  <c r="AB135" i="1"/>
  <c r="AA135" i="1"/>
  <c r="AD134" i="1"/>
  <c r="AC134" i="1"/>
  <c r="AB134" i="1"/>
  <c r="AA134" i="1"/>
  <c r="AD133" i="1"/>
  <c r="AC133" i="1"/>
  <c r="AB133" i="1"/>
  <c r="AA133" i="1"/>
  <c r="AD132" i="1"/>
  <c r="AC132" i="1"/>
  <c r="AB132" i="1"/>
  <c r="AA132" i="1"/>
  <c r="AD131" i="1"/>
  <c r="AC131" i="1"/>
  <c r="AB131" i="1"/>
  <c r="AA131" i="1"/>
  <c r="AD130" i="1"/>
  <c r="AC130" i="1"/>
  <c r="AB130" i="1"/>
  <c r="AA130" i="1"/>
  <c r="AD129" i="1"/>
  <c r="AC129" i="1"/>
  <c r="AB129" i="1"/>
  <c r="AA129" i="1"/>
  <c r="AD128" i="1"/>
  <c r="AC128" i="1"/>
  <c r="AB128" i="1"/>
  <c r="AA128" i="1"/>
  <c r="AD127" i="1"/>
  <c r="AC127" i="1"/>
  <c r="AB127" i="1"/>
  <c r="AA127" i="1"/>
  <c r="AD126" i="1"/>
  <c r="AC126" i="1"/>
  <c r="AB126" i="1"/>
  <c r="AA126" i="1"/>
  <c r="AD125" i="1"/>
  <c r="AC125" i="1"/>
  <c r="AB125" i="1"/>
  <c r="AA125" i="1"/>
  <c r="AD124" i="1"/>
  <c r="AC124" i="1"/>
  <c r="AB124" i="1"/>
  <c r="AA124" i="1"/>
  <c r="AD123" i="1"/>
  <c r="AC123" i="1"/>
  <c r="AB123" i="1"/>
  <c r="AA123" i="1"/>
  <c r="AD122" i="1"/>
  <c r="AC122" i="1"/>
  <c r="AB122" i="1"/>
  <c r="AA122" i="1"/>
  <c r="AD121" i="1"/>
  <c r="AC121" i="1"/>
  <c r="AB121" i="1"/>
  <c r="AA121" i="1"/>
  <c r="AD120" i="1"/>
  <c r="AC120" i="1"/>
  <c r="AB120" i="1"/>
  <c r="AA120" i="1"/>
  <c r="AD119" i="1"/>
  <c r="AC119" i="1"/>
  <c r="AB119" i="1"/>
  <c r="AA119" i="1"/>
  <c r="AD118" i="1"/>
  <c r="AC118" i="1"/>
  <c r="AB118" i="1"/>
  <c r="AA118" i="1"/>
  <c r="AD117" i="1"/>
  <c r="AC117" i="1"/>
  <c r="AB117" i="1"/>
  <c r="AA117" i="1"/>
  <c r="AD116" i="1"/>
  <c r="AC116" i="1"/>
  <c r="AB116" i="1"/>
  <c r="AA116" i="1"/>
  <c r="AD115" i="1"/>
  <c r="AC115" i="1"/>
  <c r="AB115" i="1"/>
  <c r="AA115" i="1"/>
  <c r="AD114" i="1"/>
  <c r="AC114" i="1"/>
  <c r="AB114" i="1"/>
  <c r="AA114" i="1"/>
  <c r="AD113" i="1"/>
  <c r="AC113" i="1"/>
  <c r="AB113" i="1"/>
  <c r="AA113" i="1"/>
  <c r="AD112" i="1"/>
  <c r="AC112" i="1"/>
  <c r="AB112" i="1"/>
  <c r="AA112" i="1"/>
  <c r="AD111" i="1"/>
  <c r="AC111" i="1"/>
  <c r="AB111" i="1"/>
  <c r="AA111" i="1"/>
  <c r="AD110" i="1"/>
  <c r="AC110" i="1"/>
  <c r="AB110" i="1"/>
  <c r="AA110" i="1"/>
  <c r="AD109" i="1"/>
  <c r="AC109" i="1"/>
  <c r="AB109" i="1"/>
  <c r="AA109" i="1"/>
  <c r="AD108" i="1"/>
  <c r="AC108" i="1"/>
  <c r="AB108" i="1"/>
  <c r="AA108" i="1"/>
  <c r="AD107" i="1"/>
  <c r="AC107" i="1"/>
  <c r="AB107" i="1"/>
  <c r="AA107" i="1"/>
  <c r="AD106" i="1"/>
  <c r="AC106" i="1"/>
  <c r="AB106" i="1"/>
  <c r="AA106" i="1"/>
  <c r="AD105" i="1"/>
  <c r="AC105" i="1"/>
  <c r="AB105" i="1"/>
  <c r="AA105" i="1"/>
  <c r="AD104" i="1"/>
  <c r="AC104" i="1"/>
  <c r="AB104" i="1"/>
  <c r="AA104" i="1"/>
  <c r="AD103" i="1"/>
  <c r="AC103" i="1"/>
  <c r="AB103" i="1"/>
  <c r="AA103" i="1"/>
  <c r="AD102" i="1"/>
  <c r="AC102" i="1"/>
  <c r="AB102" i="1"/>
  <c r="AA102" i="1"/>
  <c r="AD101" i="1"/>
  <c r="AC101" i="1"/>
  <c r="AB101" i="1"/>
  <c r="AA101" i="1"/>
  <c r="AD100" i="1"/>
  <c r="AC100" i="1"/>
  <c r="AB100" i="1"/>
  <c r="AA100" i="1"/>
  <c r="AD99" i="1"/>
  <c r="AC99" i="1"/>
  <c r="AB99" i="1"/>
  <c r="AA99" i="1"/>
  <c r="AD98" i="1"/>
  <c r="AC98" i="1"/>
  <c r="AB98" i="1"/>
  <c r="AA98" i="1"/>
  <c r="AD97" i="1"/>
  <c r="AC97" i="1"/>
  <c r="AB97" i="1"/>
  <c r="AA97" i="1"/>
  <c r="AD96" i="1"/>
  <c r="AC96" i="1"/>
  <c r="AB96" i="1"/>
  <c r="AA96" i="1"/>
  <c r="AD95" i="1"/>
  <c r="AC95" i="1"/>
  <c r="AB95" i="1"/>
  <c r="AA95" i="1"/>
  <c r="AD94" i="1"/>
  <c r="AC94" i="1"/>
  <c r="AB94" i="1"/>
  <c r="AA94" i="1"/>
  <c r="AD93" i="1"/>
  <c r="AC93" i="1"/>
  <c r="AB93" i="1"/>
  <c r="AA93" i="1"/>
  <c r="AD92" i="1"/>
  <c r="AC92" i="1"/>
  <c r="AB92" i="1"/>
  <c r="AA92" i="1"/>
  <c r="AD91" i="1"/>
  <c r="AC91" i="1"/>
  <c r="AB91" i="1"/>
  <c r="AA91" i="1"/>
  <c r="AD90" i="1"/>
  <c r="AC90" i="1"/>
  <c r="AB90" i="1"/>
  <c r="AA90" i="1"/>
  <c r="AD89" i="1"/>
  <c r="AC89" i="1"/>
  <c r="AB89" i="1"/>
  <c r="AA89" i="1"/>
  <c r="AD88" i="1"/>
  <c r="AC88" i="1"/>
  <c r="AB88" i="1"/>
  <c r="AA88" i="1"/>
  <c r="AD87" i="1"/>
  <c r="AC87" i="1"/>
  <c r="AB87" i="1"/>
  <c r="AA87" i="1"/>
  <c r="AD86" i="1"/>
  <c r="AC86" i="1"/>
  <c r="AB86" i="1"/>
  <c r="AA86" i="1"/>
  <c r="AD85" i="1"/>
  <c r="AC85" i="1"/>
  <c r="AB85" i="1"/>
  <c r="AA85" i="1"/>
  <c r="AD84" i="1"/>
  <c r="AC84" i="1"/>
  <c r="AB84" i="1"/>
  <c r="AA84" i="1"/>
  <c r="AD83" i="1"/>
  <c r="AC83" i="1"/>
  <c r="AB83" i="1"/>
  <c r="AA83" i="1"/>
  <c r="AD82" i="1"/>
  <c r="AC82" i="1"/>
  <c r="AB82" i="1"/>
  <c r="AA82" i="1"/>
  <c r="AD81" i="1"/>
  <c r="AC81" i="1"/>
  <c r="AB81" i="1"/>
  <c r="AA81" i="1"/>
  <c r="AD80" i="1"/>
  <c r="AC80" i="1"/>
  <c r="AB80" i="1"/>
  <c r="AA80" i="1"/>
  <c r="AD79" i="1"/>
  <c r="AC79" i="1"/>
  <c r="AB79" i="1"/>
  <c r="AA79" i="1"/>
  <c r="AD78" i="1"/>
  <c r="AC78" i="1"/>
  <c r="AB78" i="1"/>
  <c r="AA78" i="1"/>
  <c r="AD77" i="1"/>
  <c r="AC77" i="1"/>
  <c r="AB77" i="1"/>
  <c r="AA77" i="1"/>
  <c r="AD76" i="1"/>
  <c r="AC76" i="1"/>
  <c r="AB76" i="1"/>
  <c r="AA76" i="1"/>
  <c r="AD75" i="1"/>
  <c r="AC75" i="1"/>
  <c r="AB75" i="1"/>
  <c r="AA75" i="1"/>
  <c r="AD74" i="1"/>
  <c r="AC74" i="1"/>
  <c r="AB74" i="1"/>
  <c r="AA74" i="1"/>
  <c r="AD73" i="1"/>
  <c r="AC73" i="1"/>
  <c r="AB73" i="1"/>
  <c r="AA73" i="1"/>
  <c r="AD72" i="1"/>
  <c r="AC72" i="1"/>
  <c r="AB72" i="1"/>
  <c r="AA72" i="1"/>
  <c r="AD71" i="1"/>
  <c r="AC71" i="1"/>
  <c r="AB71" i="1"/>
  <c r="AA71" i="1"/>
  <c r="AD70" i="1"/>
  <c r="AC70" i="1"/>
  <c r="AB70" i="1"/>
  <c r="AA70" i="1"/>
  <c r="AD69" i="1"/>
  <c r="AC69" i="1"/>
  <c r="AB69" i="1"/>
  <c r="AA69" i="1"/>
  <c r="AD68" i="1"/>
  <c r="AC68" i="1"/>
  <c r="AB68" i="1"/>
  <c r="AA68" i="1"/>
  <c r="AD67" i="1"/>
  <c r="AC67" i="1"/>
  <c r="AB67" i="1"/>
  <c r="AA67" i="1"/>
  <c r="AD66" i="1"/>
  <c r="AC66" i="1"/>
  <c r="AB66" i="1"/>
  <c r="AA66" i="1"/>
  <c r="AD65" i="1"/>
  <c r="AC65" i="1"/>
  <c r="AB65" i="1"/>
  <c r="AA65" i="1"/>
  <c r="AD64" i="1"/>
  <c r="AC64" i="1"/>
  <c r="AB64" i="1"/>
  <c r="AA64" i="1"/>
  <c r="AD63" i="1"/>
  <c r="AC63" i="1"/>
  <c r="AB63" i="1"/>
  <c r="AA63" i="1"/>
  <c r="AD62" i="1"/>
  <c r="AC62" i="1"/>
  <c r="AB62" i="1"/>
  <c r="AA62" i="1"/>
  <c r="AD61" i="1"/>
  <c r="AC61" i="1"/>
  <c r="AB61" i="1"/>
  <c r="AA61" i="1"/>
  <c r="AD60" i="1"/>
  <c r="AC60" i="1"/>
  <c r="AB60" i="1"/>
  <c r="AA60" i="1"/>
  <c r="AD59" i="1"/>
  <c r="AC59" i="1"/>
  <c r="AB59" i="1"/>
  <c r="AA59" i="1"/>
  <c r="AD58" i="1"/>
  <c r="AC58" i="1"/>
  <c r="AB58" i="1"/>
  <c r="AA58" i="1"/>
  <c r="AD57" i="1"/>
  <c r="AC57" i="1"/>
  <c r="AB57" i="1"/>
  <c r="AA57" i="1"/>
  <c r="AD56" i="1"/>
  <c r="AC56" i="1"/>
  <c r="AB56" i="1"/>
  <c r="AA56" i="1"/>
  <c r="AD55" i="1"/>
  <c r="AC55" i="1"/>
  <c r="AB55" i="1"/>
  <c r="AA55" i="1"/>
  <c r="AD54" i="1"/>
  <c r="AC54" i="1"/>
  <c r="AB54" i="1"/>
  <c r="AA54" i="1"/>
  <c r="AD53" i="1"/>
  <c r="AC53" i="1"/>
  <c r="AB53" i="1"/>
  <c r="AA53" i="1"/>
  <c r="AD52" i="1"/>
  <c r="AC52" i="1"/>
  <c r="AB52" i="1"/>
  <c r="AA52" i="1"/>
  <c r="AD51" i="1"/>
  <c r="AC51" i="1"/>
  <c r="AB51" i="1"/>
  <c r="AA51" i="1"/>
  <c r="AD50" i="1"/>
  <c r="AC50" i="1"/>
  <c r="AB50" i="1"/>
  <c r="AA50" i="1"/>
  <c r="AD49" i="1"/>
  <c r="AC49" i="1"/>
  <c r="AB49" i="1"/>
  <c r="AA49" i="1"/>
  <c r="AB48" i="1"/>
  <c r="AD47" i="1"/>
  <c r="AC47" i="1"/>
  <c r="AB47" i="1"/>
  <c r="AA47" i="1"/>
  <c r="AD46" i="1"/>
  <c r="AC46" i="1"/>
  <c r="AB46" i="1"/>
  <c r="AA46" i="1"/>
  <c r="AD45" i="1"/>
  <c r="AC45" i="1"/>
  <c r="AB45" i="1"/>
  <c r="AA45" i="1"/>
  <c r="AD44" i="1"/>
  <c r="AC44" i="1"/>
  <c r="AB44" i="1"/>
  <c r="AA44" i="1"/>
  <c r="AD43" i="1"/>
  <c r="AC43" i="1"/>
  <c r="AB43" i="1"/>
  <c r="AA43" i="1"/>
  <c r="AD42" i="1"/>
  <c r="AC42" i="1"/>
  <c r="AB42" i="1"/>
  <c r="AA42" i="1"/>
  <c r="AD41" i="1"/>
  <c r="AC41" i="1"/>
  <c r="AB41" i="1"/>
  <c r="AA41" i="1"/>
  <c r="AD40" i="1"/>
  <c r="AC40" i="1"/>
  <c r="AB40" i="1"/>
  <c r="AA40" i="1"/>
  <c r="AD39" i="1"/>
  <c r="AC39" i="1"/>
  <c r="AB39" i="1"/>
  <c r="AA39" i="1"/>
  <c r="AD38" i="1"/>
  <c r="AC38" i="1"/>
  <c r="AB38" i="1"/>
  <c r="AA38" i="1"/>
  <c r="AD37" i="1"/>
  <c r="AC37" i="1"/>
  <c r="AB37" i="1"/>
  <c r="AA37" i="1"/>
  <c r="AD36" i="1"/>
  <c r="AC36" i="1"/>
  <c r="AB36" i="1"/>
  <c r="AA36" i="1"/>
  <c r="AD35" i="1"/>
  <c r="AC35" i="1"/>
  <c r="AB35" i="1"/>
  <c r="AA35" i="1"/>
  <c r="AD34" i="1"/>
  <c r="AC34" i="1"/>
  <c r="AB34" i="1"/>
  <c r="AA34" i="1"/>
  <c r="AD33" i="1"/>
  <c r="AC33" i="1"/>
  <c r="AA33" i="1"/>
  <c r="AD32" i="1"/>
  <c r="AB32" i="1"/>
  <c r="AA32" i="1"/>
  <c r="AD31" i="1"/>
  <c r="AC31" i="1"/>
  <c r="AB31" i="1"/>
  <c r="AA31" i="1"/>
  <c r="AD30" i="1"/>
  <c r="AC30" i="1"/>
  <c r="AB30" i="1"/>
  <c r="AA30" i="1"/>
  <c r="AD29" i="1"/>
  <c r="AC29" i="1"/>
  <c r="AB29" i="1"/>
  <c r="AA29" i="1"/>
  <c r="AD28" i="1"/>
  <c r="AC28" i="1"/>
  <c r="AB28" i="1"/>
  <c r="AA28" i="1"/>
  <c r="AD27" i="1"/>
  <c r="AC27" i="1"/>
  <c r="AB27" i="1"/>
  <c r="AA27" i="1"/>
  <c r="AD26" i="1"/>
  <c r="AC26" i="1"/>
  <c r="AB26" i="1"/>
  <c r="AA26" i="1"/>
  <c r="AD25" i="1"/>
  <c r="AC25" i="1"/>
  <c r="AB25" i="1"/>
  <c r="AA25" i="1"/>
  <c r="AD24" i="1"/>
  <c r="AC24" i="1"/>
  <c r="AB24" i="1"/>
  <c r="AA24" i="1"/>
  <c r="AD23" i="1"/>
  <c r="AC23" i="1"/>
  <c r="AB23" i="1"/>
  <c r="AA23" i="1"/>
  <c r="AD22" i="1"/>
  <c r="AC22" i="1"/>
  <c r="AB22" i="1"/>
  <c r="AA22" i="1"/>
  <c r="AD21" i="1"/>
  <c r="AC21" i="1"/>
  <c r="AB21" i="1"/>
  <c r="AA21" i="1"/>
  <c r="AD20" i="1"/>
  <c r="AC20" i="1"/>
  <c r="AB20" i="1"/>
  <c r="AA20" i="1"/>
  <c r="AD19" i="1"/>
  <c r="AC19" i="1"/>
  <c r="AB19" i="1"/>
  <c r="AA19" i="1"/>
  <c r="AD18" i="1"/>
  <c r="AC18" i="1"/>
  <c r="AB18" i="1"/>
  <c r="AA18" i="1"/>
  <c r="AD17" i="1"/>
  <c r="AC17" i="1"/>
  <c r="AB17" i="1"/>
  <c r="AA17" i="1"/>
  <c r="AD16" i="1"/>
  <c r="AC16" i="1"/>
  <c r="AB16" i="1"/>
  <c r="AA16" i="1"/>
  <c r="AD15" i="1"/>
  <c r="AC15" i="1"/>
  <c r="AB15" i="1"/>
  <c r="AA15" i="1"/>
  <c r="AD14" i="1"/>
  <c r="AC14" i="1"/>
  <c r="AB14" i="1"/>
  <c r="AA14" i="1"/>
  <c r="AD13" i="1"/>
  <c r="AC13" i="1"/>
  <c r="AB13" i="1"/>
  <c r="AA13" i="1"/>
  <c r="AD12" i="1"/>
  <c r="AC12" i="1"/>
  <c r="AB12" i="1"/>
  <c r="AA12" i="1"/>
  <c r="AD11" i="1"/>
  <c r="AC11" i="1"/>
  <c r="AB11" i="1"/>
  <c r="AA11" i="1"/>
  <c r="AD10" i="1"/>
  <c r="AC10" i="1"/>
  <c r="AB10" i="1"/>
  <c r="AA10" i="1"/>
  <c r="AD9" i="1"/>
  <c r="AC9" i="1"/>
  <c r="AB9" i="1"/>
  <c r="AA9" i="1"/>
  <c r="AD8" i="1"/>
  <c r="AC8" i="1"/>
  <c r="AB8" i="1"/>
  <c r="AA8" i="1"/>
  <c r="AD7" i="1"/>
  <c r="AC7" i="1"/>
  <c r="AB7" i="1"/>
  <c r="AA7" i="1"/>
  <c r="AD6" i="1"/>
  <c r="AC6" i="1"/>
  <c r="AB6" i="1"/>
  <c r="AA6" i="1"/>
  <c r="AD5" i="1"/>
  <c r="AC5" i="1"/>
  <c r="AB5" i="1"/>
  <c r="AA5" i="1"/>
  <c r="AD4" i="1"/>
  <c r="AC4" i="1"/>
  <c r="AB4" i="1"/>
  <c r="AA4" i="1"/>
  <c r="I48" i="1"/>
  <c r="AD48" i="1" s="1"/>
  <c r="H48" i="1"/>
  <c r="AC48" i="1" s="1"/>
  <c r="F48" i="1"/>
  <c r="P48" i="1" s="1"/>
  <c r="G33" i="1"/>
  <c r="AB33" i="1" s="1"/>
  <c r="F223" i="1"/>
  <c r="P223" i="1" s="1"/>
  <c r="F224" i="1"/>
  <c r="AA224" i="1" s="1"/>
  <c r="F225" i="1"/>
  <c r="AA225" i="1" s="1"/>
  <c r="F221" i="1"/>
  <c r="AA221" i="1" s="1"/>
  <c r="F219" i="1"/>
  <c r="P219" i="1" s="1"/>
  <c r="F216" i="1"/>
  <c r="P216" i="1" s="1"/>
  <c r="G214" i="1"/>
  <c r="Q214" i="1" s="1"/>
  <c r="F214" i="1"/>
  <c r="AA214" i="1" s="1"/>
  <c r="G212" i="1"/>
  <c r="AB212" i="1" s="1"/>
  <c r="F212" i="1"/>
  <c r="AA212" i="1" s="1"/>
  <c r="F211" i="1"/>
  <c r="AA211" i="1" s="1"/>
  <c r="F207" i="1"/>
  <c r="AA207" i="1" s="1"/>
  <c r="F206" i="1"/>
  <c r="AA206" i="1" s="1"/>
  <c r="F203" i="1"/>
  <c r="P203" i="1" s="1"/>
  <c r="F202" i="1"/>
  <c r="AA202" i="1" s="1"/>
  <c r="G200" i="1"/>
  <c r="Q200" i="1" s="1"/>
  <c r="F200" i="1"/>
  <c r="P200" i="1" s="1"/>
  <c r="F196" i="1"/>
  <c r="AA196" i="1" s="1"/>
  <c r="F197" i="1"/>
  <c r="P197" i="1" s="1"/>
  <c r="F195" i="1"/>
  <c r="AA195" i="1" s="1"/>
  <c r="F193" i="1"/>
  <c r="AA193" i="1" s="1"/>
  <c r="F191" i="1"/>
  <c r="P191" i="1" s="1"/>
  <c r="F188" i="1"/>
  <c r="P188" i="1" s="1"/>
  <c r="G186" i="1"/>
  <c r="AB186" i="1" s="1"/>
  <c r="F186" i="1"/>
  <c r="AA186" i="1" s="1"/>
  <c r="G184" i="1"/>
  <c r="Q184" i="1" s="1"/>
  <c r="F184" i="1"/>
  <c r="AA184" i="1" s="1"/>
  <c r="F183" i="1"/>
  <c r="AA183" i="1" s="1"/>
  <c r="F179" i="1"/>
  <c r="AA179" i="1" s="1"/>
  <c r="F178" i="1"/>
  <c r="P178" i="1" s="1"/>
  <c r="F175" i="1"/>
  <c r="AA175" i="1" s="1"/>
  <c r="F174" i="1"/>
  <c r="AA174" i="1" s="1"/>
  <c r="G172" i="1"/>
  <c r="Q172" i="1" s="1"/>
  <c r="F172" i="1"/>
  <c r="P172" i="1" s="1"/>
  <c r="P4" i="1"/>
  <c r="P284" i="1"/>
  <c r="Q284" i="1"/>
  <c r="R284" i="1"/>
  <c r="S284" i="1"/>
  <c r="P285" i="1"/>
  <c r="Q285" i="1"/>
  <c r="R285" i="1"/>
  <c r="S285" i="1"/>
  <c r="P286" i="1"/>
  <c r="Q286" i="1"/>
  <c r="R286" i="1"/>
  <c r="S286" i="1"/>
  <c r="P287" i="1"/>
  <c r="Q287" i="1"/>
  <c r="R287" i="1"/>
  <c r="S287" i="1"/>
  <c r="P288" i="1"/>
  <c r="Q288" i="1"/>
  <c r="R288" i="1"/>
  <c r="S288" i="1"/>
  <c r="P289" i="1"/>
  <c r="Q289" i="1"/>
  <c r="R289" i="1"/>
  <c r="S289" i="1"/>
  <c r="P290" i="1"/>
  <c r="Q290" i="1"/>
  <c r="R290" i="1"/>
  <c r="S290" i="1"/>
  <c r="P291" i="1"/>
  <c r="Q291" i="1"/>
  <c r="R291" i="1"/>
  <c r="S291" i="1"/>
  <c r="P292" i="1"/>
  <c r="Q292" i="1"/>
  <c r="R292" i="1"/>
  <c r="S292" i="1"/>
  <c r="P293" i="1"/>
  <c r="Q293" i="1"/>
  <c r="R293" i="1"/>
  <c r="S293" i="1"/>
  <c r="P294" i="1"/>
  <c r="Q294" i="1"/>
  <c r="R294" i="1"/>
  <c r="S294" i="1"/>
  <c r="P295" i="1"/>
  <c r="Q295" i="1"/>
  <c r="R295" i="1"/>
  <c r="S295" i="1"/>
  <c r="P296" i="1"/>
  <c r="Q296" i="1"/>
  <c r="R296" i="1"/>
  <c r="S296" i="1"/>
  <c r="P297" i="1"/>
  <c r="Q297" i="1"/>
  <c r="R297" i="1"/>
  <c r="S297" i="1"/>
  <c r="P298" i="1"/>
  <c r="Q298" i="1"/>
  <c r="R298" i="1"/>
  <c r="S298" i="1"/>
  <c r="P299" i="1"/>
  <c r="Q299" i="1"/>
  <c r="R299" i="1"/>
  <c r="S299" i="1"/>
  <c r="P300" i="1"/>
  <c r="Q300" i="1"/>
  <c r="R300" i="1"/>
  <c r="S300" i="1"/>
  <c r="P301" i="1"/>
  <c r="Q301" i="1"/>
  <c r="R301" i="1"/>
  <c r="S301" i="1"/>
  <c r="P302" i="1"/>
  <c r="Q302" i="1"/>
  <c r="R302" i="1"/>
  <c r="S302" i="1"/>
  <c r="P303" i="1"/>
  <c r="Q303" i="1"/>
  <c r="R303" i="1"/>
  <c r="S303" i="1"/>
  <c r="P304" i="1"/>
  <c r="Q304" i="1"/>
  <c r="R304" i="1"/>
  <c r="S304" i="1"/>
  <c r="P305" i="1"/>
  <c r="Q305" i="1"/>
  <c r="R305" i="1"/>
  <c r="S305" i="1"/>
  <c r="P306" i="1"/>
  <c r="Q306" i="1"/>
  <c r="R306" i="1"/>
  <c r="S306" i="1"/>
  <c r="P307" i="1"/>
  <c r="Q307" i="1"/>
  <c r="R307" i="1"/>
  <c r="S307" i="1"/>
  <c r="P308" i="1"/>
  <c r="Q308" i="1"/>
  <c r="R308" i="1"/>
  <c r="S308" i="1"/>
  <c r="P309" i="1"/>
  <c r="Q309" i="1"/>
  <c r="R309" i="1"/>
  <c r="S309" i="1"/>
  <c r="P310" i="1"/>
  <c r="Q310" i="1"/>
  <c r="R310" i="1"/>
  <c r="S310" i="1"/>
  <c r="P311" i="1"/>
  <c r="Q311" i="1"/>
  <c r="R311" i="1"/>
  <c r="S311" i="1"/>
  <c r="P312" i="1"/>
  <c r="Q312" i="1"/>
  <c r="R312" i="1"/>
  <c r="S312" i="1"/>
  <c r="P236" i="1"/>
  <c r="Q236" i="1"/>
  <c r="R236" i="1"/>
  <c r="S236" i="1"/>
  <c r="P237" i="1"/>
  <c r="Q237" i="1"/>
  <c r="R237" i="1"/>
  <c r="S237" i="1"/>
  <c r="P238" i="1"/>
  <c r="Q238" i="1"/>
  <c r="R238" i="1"/>
  <c r="S238" i="1"/>
  <c r="P239" i="1"/>
  <c r="Q239" i="1"/>
  <c r="R239" i="1"/>
  <c r="S239" i="1"/>
  <c r="P240" i="1"/>
  <c r="Q240" i="1"/>
  <c r="R240" i="1"/>
  <c r="S240" i="1"/>
  <c r="P241" i="1"/>
  <c r="Q241" i="1"/>
  <c r="R241" i="1"/>
  <c r="S241" i="1"/>
  <c r="P242" i="1"/>
  <c r="Q242" i="1"/>
  <c r="R242" i="1"/>
  <c r="S242" i="1"/>
  <c r="P243" i="1"/>
  <c r="Q243" i="1"/>
  <c r="R243" i="1"/>
  <c r="S243" i="1"/>
  <c r="P244" i="1"/>
  <c r="Q244" i="1"/>
  <c r="R244" i="1"/>
  <c r="S244" i="1"/>
  <c r="P245" i="1"/>
  <c r="Q245" i="1"/>
  <c r="R245" i="1"/>
  <c r="S245" i="1"/>
  <c r="P246" i="1"/>
  <c r="Q246" i="1"/>
  <c r="R246" i="1"/>
  <c r="S246" i="1"/>
  <c r="P247" i="1"/>
  <c r="Q247" i="1"/>
  <c r="R247" i="1"/>
  <c r="S247" i="1"/>
  <c r="P248" i="1"/>
  <c r="Q248" i="1"/>
  <c r="R248" i="1"/>
  <c r="S248" i="1"/>
  <c r="P249" i="1"/>
  <c r="Q249" i="1"/>
  <c r="R249" i="1"/>
  <c r="S249" i="1"/>
  <c r="P250" i="1"/>
  <c r="Q250" i="1"/>
  <c r="R250" i="1"/>
  <c r="S250" i="1"/>
  <c r="P251" i="1"/>
  <c r="Q251" i="1"/>
  <c r="R251" i="1"/>
  <c r="S251" i="1"/>
  <c r="P252" i="1"/>
  <c r="Q252" i="1"/>
  <c r="R252" i="1"/>
  <c r="S252" i="1"/>
  <c r="P253" i="1"/>
  <c r="Q253" i="1"/>
  <c r="R253" i="1"/>
  <c r="S253" i="1"/>
  <c r="P254" i="1"/>
  <c r="Q254" i="1"/>
  <c r="R254" i="1"/>
  <c r="S254" i="1"/>
  <c r="P255" i="1"/>
  <c r="Q255" i="1"/>
  <c r="R255" i="1"/>
  <c r="S255" i="1"/>
  <c r="P256" i="1"/>
  <c r="Q256" i="1"/>
  <c r="R256" i="1"/>
  <c r="S256" i="1"/>
  <c r="P257" i="1"/>
  <c r="Q257" i="1"/>
  <c r="R257" i="1"/>
  <c r="S257" i="1"/>
  <c r="P258" i="1"/>
  <c r="Q258" i="1"/>
  <c r="R258" i="1"/>
  <c r="S258" i="1"/>
  <c r="P259" i="1"/>
  <c r="Q259" i="1"/>
  <c r="R259" i="1"/>
  <c r="S259" i="1"/>
  <c r="P260" i="1"/>
  <c r="Q260" i="1"/>
  <c r="R260" i="1"/>
  <c r="S260" i="1"/>
  <c r="P261" i="1"/>
  <c r="Q261" i="1"/>
  <c r="R261" i="1"/>
  <c r="S261" i="1"/>
  <c r="P262" i="1"/>
  <c r="Q262" i="1"/>
  <c r="R262" i="1"/>
  <c r="S262" i="1"/>
  <c r="P263" i="1"/>
  <c r="Q263" i="1"/>
  <c r="R263" i="1"/>
  <c r="S263" i="1"/>
  <c r="P264" i="1"/>
  <c r="Q264" i="1"/>
  <c r="R264" i="1"/>
  <c r="S264" i="1"/>
  <c r="P265" i="1"/>
  <c r="Q265" i="1"/>
  <c r="R265" i="1"/>
  <c r="S265" i="1"/>
  <c r="P266" i="1"/>
  <c r="Q266" i="1"/>
  <c r="R266" i="1"/>
  <c r="S266" i="1"/>
  <c r="P267" i="1"/>
  <c r="Q267" i="1"/>
  <c r="R267" i="1"/>
  <c r="S267" i="1"/>
  <c r="P268" i="1"/>
  <c r="Q268" i="1"/>
  <c r="R268" i="1"/>
  <c r="S268" i="1"/>
  <c r="P269" i="1"/>
  <c r="Q269" i="1"/>
  <c r="R269" i="1"/>
  <c r="S269" i="1"/>
  <c r="P270" i="1"/>
  <c r="Q270" i="1"/>
  <c r="R270" i="1"/>
  <c r="S270" i="1"/>
  <c r="P271" i="1"/>
  <c r="Q271" i="1"/>
  <c r="R271" i="1"/>
  <c r="S271" i="1"/>
  <c r="P272" i="1"/>
  <c r="Q272" i="1"/>
  <c r="R272" i="1"/>
  <c r="S272" i="1"/>
  <c r="P273" i="1"/>
  <c r="Q273" i="1"/>
  <c r="R273" i="1"/>
  <c r="S273" i="1"/>
  <c r="P274" i="1"/>
  <c r="Q274" i="1"/>
  <c r="R274" i="1"/>
  <c r="S274" i="1"/>
  <c r="P275" i="1"/>
  <c r="Q275" i="1"/>
  <c r="R275" i="1"/>
  <c r="S275" i="1"/>
  <c r="P276" i="1"/>
  <c r="Q276" i="1"/>
  <c r="R276" i="1"/>
  <c r="S276" i="1"/>
  <c r="P277" i="1"/>
  <c r="Q277" i="1"/>
  <c r="R277" i="1"/>
  <c r="S277" i="1"/>
  <c r="P278" i="1"/>
  <c r="Q278" i="1"/>
  <c r="R278" i="1"/>
  <c r="S278" i="1"/>
  <c r="P279" i="1"/>
  <c r="Q279" i="1"/>
  <c r="R279" i="1"/>
  <c r="S279" i="1"/>
  <c r="P280" i="1"/>
  <c r="Q280" i="1"/>
  <c r="R280" i="1"/>
  <c r="S280" i="1"/>
  <c r="P281" i="1"/>
  <c r="Q281" i="1"/>
  <c r="R281" i="1"/>
  <c r="S281" i="1"/>
  <c r="P282" i="1"/>
  <c r="Q282" i="1"/>
  <c r="R282" i="1"/>
  <c r="S282" i="1"/>
  <c r="P283" i="1"/>
  <c r="Q283" i="1"/>
  <c r="R283" i="1"/>
  <c r="S283" i="1"/>
  <c r="Q206" i="1"/>
  <c r="R206" i="1"/>
  <c r="S206" i="1"/>
  <c r="Q207" i="1"/>
  <c r="R207" i="1"/>
  <c r="S207" i="1"/>
  <c r="P208" i="1"/>
  <c r="Q208" i="1"/>
  <c r="R208" i="1"/>
  <c r="S208" i="1"/>
  <c r="P209" i="1"/>
  <c r="Q209" i="1"/>
  <c r="R209" i="1"/>
  <c r="S209" i="1"/>
  <c r="P210" i="1"/>
  <c r="Q210" i="1"/>
  <c r="R210" i="1"/>
  <c r="S210" i="1"/>
  <c r="Q211" i="1"/>
  <c r="R211" i="1"/>
  <c r="S211" i="1"/>
  <c r="R212" i="1"/>
  <c r="S212" i="1"/>
  <c r="P213" i="1"/>
  <c r="Q213" i="1"/>
  <c r="R213" i="1"/>
  <c r="S213" i="1"/>
  <c r="R214" i="1"/>
  <c r="S214" i="1"/>
  <c r="P215" i="1"/>
  <c r="Q215" i="1"/>
  <c r="R215" i="1"/>
  <c r="S215" i="1"/>
  <c r="Q216" i="1"/>
  <c r="R216" i="1"/>
  <c r="S216" i="1"/>
  <c r="P217" i="1"/>
  <c r="Q217" i="1"/>
  <c r="R217" i="1"/>
  <c r="S217" i="1"/>
  <c r="P218" i="1"/>
  <c r="Q218" i="1"/>
  <c r="R218" i="1"/>
  <c r="S218" i="1"/>
  <c r="Q219" i="1"/>
  <c r="R219" i="1"/>
  <c r="S219" i="1"/>
  <c r="P220" i="1"/>
  <c r="Q220" i="1"/>
  <c r="R220" i="1"/>
  <c r="S220" i="1"/>
  <c r="Q221" i="1"/>
  <c r="R221" i="1"/>
  <c r="S221" i="1"/>
  <c r="P222" i="1"/>
  <c r="Q222" i="1"/>
  <c r="R222" i="1"/>
  <c r="S222" i="1"/>
  <c r="Q223" i="1"/>
  <c r="R223" i="1"/>
  <c r="S223" i="1"/>
  <c r="Q224" i="1"/>
  <c r="R224" i="1"/>
  <c r="S224" i="1"/>
  <c r="Q225" i="1"/>
  <c r="R225" i="1"/>
  <c r="S225" i="1"/>
  <c r="P226" i="1"/>
  <c r="Q226" i="1"/>
  <c r="R226" i="1"/>
  <c r="S226" i="1"/>
  <c r="P227" i="1"/>
  <c r="Q227" i="1"/>
  <c r="R227" i="1"/>
  <c r="S227" i="1"/>
  <c r="P228" i="1"/>
  <c r="Q228" i="1"/>
  <c r="R228" i="1"/>
  <c r="S228" i="1"/>
  <c r="P229" i="1"/>
  <c r="Q229" i="1"/>
  <c r="R229" i="1"/>
  <c r="S229" i="1"/>
  <c r="P230" i="1"/>
  <c r="Q230" i="1"/>
  <c r="R230" i="1"/>
  <c r="S230" i="1"/>
  <c r="P231" i="1"/>
  <c r="Q231" i="1"/>
  <c r="R231" i="1"/>
  <c r="S231" i="1"/>
  <c r="P232" i="1"/>
  <c r="Q232" i="1"/>
  <c r="R232" i="1"/>
  <c r="S232" i="1"/>
  <c r="P233" i="1"/>
  <c r="Q233" i="1"/>
  <c r="R233" i="1"/>
  <c r="S233" i="1"/>
  <c r="P234" i="1"/>
  <c r="Q234" i="1"/>
  <c r="R234" i="1"/>
  <c r="S234" i="1"/>
  <c r="P235" i="1"/>
  <c r="Q235" i="1"/>
  <c r="R235" i="1"/>
  <c r="S235" i="1"/>
  <c r="P180" i="1"/>
  <c r="Q180" i="1"/>
  <c r="R180" i="1"/>
  <c r="S180" i="1"/>
  <c r="P181" i="1"/>
  <c r="Q181" i="1"/>
  <c r="R181" i="1"/>
  <c r="S181" i="1"/>
  <c r="P182" i="1"/>
  <c r="Q182" i="1"/>
  <c r="R182" i="1"/>
  <c r="S182" i="1"/>
  <c r="Q183" i="1"/>
  <c r="R183" i="1"/>
  <c r="S183" i="1"/>
  <c r="R184" i="1"/>
  <c r="S184" i="1"/>
  <c r="P185" i="1"/>
  <c r="Q185" i="1"/>
  <c r="R185" i="1"/>
  <c r="S185" i="1"/>
  <c r="R186" i="1"/>
  <c r="S186" i="1"/>
  <c r="P187" i="1"/>
  <c r="Q187" i="1"/>
  <c r="R187" i="1"/>
  <c r="S187" i="1"/>
  <c r="Q188" i="1"/>
  <c r="R188" i="1"/>
  <c r="S188" i="1"/>
  <c r="P189" i="1"/>
  <c r="Q189" i="1"/>
  <c r="R189" i="1"/>
  <c r="S189" i="1"/>
  <c r="P190" i="1"/>
  <c r="Q190" i="1"/>
  <c r="R190" i="1"/>
  <c r="S190" i="1"/>
  <c r="Q191" i="1"/>
  <c r="R191" i="1"/>
  <c r="S191" i="1"/>
  <c r="P192" i="1"/>
  <c r="Q192" i="1"/>
  <c r="R192" i="1"/>
  <c r="S192" i="1"/>
  <c r="Q193" i="1"/>
  <c r="R193" i="1"/>
  <c r="S193" i="1"/>
  <c r="P194" i="1"/>
  <c r="Q194" i="1"/>
  <c r="R194" i="1"/>
  <c r="S194" i="1"/>
  <c r="Q195" i="1"/>
  <c r="R195" i="1"/>
  <c r="S195" i="1"/>
  <c r="Q196" i="1"/>
  <c r="R196" i="1"/>
  <c r="S196" i="1"/>
  <c r="Q197" i="1"/>
  <c r="R197" i="1"/>
  <c r="S197" i="1"/>
  <c r="P198" i="1"/>
  <c r="Q198" i="1"/>
  <c r="R198" i="1"/>
  <c r="S198" i="1"/>
  <c r="P199" i="1"/>
  <c r="Q199" i="1"/>
  <c r="R199" i="1"/>
  <c r="S199" i="1"/>
  <c r="R200" i="1"/>
  <c r="S200" i="1"/>
  <c r="P201" i="1"/>
  <c r="Q201" i="1"/>
  <c r="R201" i="1"/>
  <c r="S201" i="1"/>
  <c r="Q202" i="1"/>
  <c r="R202" i="1"/>
  <c r="S202" i="1"/>
  <c r="Q203" i="1"/>
  <c r="R203" i="1"/>
  <c r="S203" i="1"/>
  <c r="P204" i="1"/>
  <c r="Q204" i="1"/>
  <c r="R204" i="1"/>
  <c r="S204" i="1"/>
  <c r="P205" i="1"/>
  <c r="Q205" i="1"/>
  <c r="R205" i="1"/>
  <c r="S205" i="1"/>
  <c r="P152" i="1"/>
  <c r="Q152" i="1"/>
  <c r="R152" i="1"/>
  <c r="S152" i="1"/>
  <c r="P153" i="1"/>
  <c r="Q153" i="1"/>
  <c r="R153" i="1"/>
  <c r="S153" i="1"/>
  <c r="P154" i="1"/>
  <c r="Q154" i="1"/>
  <c r="R154" i="1"/>
  <c r="S154" i="1"/>
  <c r="P155" i="1"/>
  <c r="Q155" i="1"/>
  <c r="R155" i="1"/>
  <c r="S155" i="1"/>
  <c r="P156" i="1"/>
  <c r="Q156" i="1"/>
  <c r="R156" i="1"/>
  <c r="S156" i="1"/>
  <c r="P157" i="1"/>
  <c r="Q157" i="1"/>
  <c r="R157" i="1"/>
  <c r="S157" i="1"/>
  <c r="P158" i="1"/>
  <c r="Q158" i="1"/>
  <c r="R158" i="1"/>
  <c r="S158" i="1"/>
  <c r="P159" i="1"/>
  <c r="Q159" i="1"/>
  <c r="R159" i="1"/>
  <c r="S159" i="1"/>
  <c r="P160" i="1"/>
  <c r="Q160" i="1"/>
  <c r="R160" i="1"/>
  <c r="S160" i="1"/>
  <c r="P161" i="1"/>
  <c r="Q161" i="1"/>
  <c r="R161" i="1"/>
  <c r="S161" i="1"/>
  <c r="P162" i="1"/>
  <c r="Q162" i="1"/>
  <c r="R162" i="1"/>
  <c r="S162" i="1"/>
  <c r="P163" i="1"/>
  <c r="Q163" i="1"/>
  <c r="R163" i="1"/>
  <c r="S163" i="1"/>
  <c r="P164" i="1"/>
  <c r="Q164" i="1"/>
  <c r="R164" i="1"/>
  <c r="S164" i="1"/>
  <c r="P165" i="1"/>
  <c r="Q165" i="1"/>
  <c r="R165" i="1"/>
  <c r="S165" i="1"/>
  <c r="P166" i="1"/>
  <c r="Q166" i="1"/>
  <c r="R166" i="1"/>
  <c r="S166" i="1"/>
  <c r="P167" i="1"/>
  <c r="Q167" i="1"/>
  <c r="R167" i="1"/>
  <c r="S167" i="1"/>
  <c r="P168" i="1"/>
  <c r="Q168" i="1"/>
  <c r="R168" i="1"/>
  <c r="S168" i="1"/>
  <c r="P169" i="1"/>
  <c r="Q169" i="1"/>
  <c r="R169" i="1"/>
  <c r="S169" i="1"/>
  <c r="P170" i="1"/>
  <c r="Q170" i="1"/>
  <c r="R170" i="1"/>
  <c r="S170" i="1"/>
  <c r="P171" i="1"/>
  <c r="Q171" i="1"/>
  <c r="R171" i="1"/>
  <c r="S171" i="1"/>
  <c r="R172" i="1"/>
  <c r="S172" i="1"/>
  <c r="P173" i="1"/>
  <c r="Q173" i="1"/>
  <c r="R173" i="1"/>
  <c r="S173" i="1"/>
  <c r="Q174" i="1"/>
  <c r="R174" i="1"/>
  <c r="S174" i="1"/>
  <c r="Q175" i="1"/>
  <c r="R175" i="1"/>
  <c r="S175" i="1"/>
  <c r="P176" i="1"/>
  <c r="Q176" i="1"/>
  <c r="R176" i="1"/>
  <c r="S176" i="1"/>
  <c r="P177" i="1"/>
  <c r="Q177" i="1"/>
  <c r="R177" i="1"/>
  <c r="S177" i="1"/>
  <c r="Q178" i="1"/>
  <c r="R178" i="1"/>
  <c r="S178" i="1"/>
  <c r="Q179" i="1"/>
  <c r="R179" i="1"/>
  <c r="S179" i="1"/>
  <c r="P130" i="1"/>
  <c r="Q130" i="1"/>
  <c r="R130" i="1"/>
  <c r="S130" i="1"/>
  <c r="P131" i="1"/>
  <c r="Q131" i="1"/>
  <c r="R131" i="1"/>
  <c r="S131" i="1"/>
  <c r="P132" i="1"/>
  <c r="Q132" i="1"/>
  <c r="R132" i="1"/>
  <c r="S132" i="1"/>
  <c r="P133" i="1"/>
  <c r="Q133" i="1"/>
  <c r="R133" i="1"/>
  <c r="S133" i="1"/>
  <c r="P134" i="1"/>
  <c r="Q134" i="1"/>
  <c r="R134" i="1"/>
  <c r="S134" i="1"/>
  <c r="P135" i="1"/>
  <c r="Q135" i="1"/>
  <c r="R135" i="1"/>
  <c r="S135" i="1"/>
  <c r="P136" i="1"/>
  <c r="Q136" i="1"/>
  <c r="R136" i="1"/>
  <c r="S136" i="1"/>
  <c r="P137" i="1"/>
  <c r="Q137" i="1"/>
  <c r="R137" i="1"/>
  <c r="S137" i="1"/>
  <c r="P138" i="1"/>
  <c r="Q138" i="1"/>
  <c r="R138" i="1"/>
  <c r="S138" i="1"/>
  <c r="P139" i="1"/>
  <c r="Q139" i="1"/>
  <c r="R139" i="1"/>
  <c r="S139" i="1"/>
  <c r="P140" i="1"/>
  <c r="R140" i="1"/>
  <c r="S140" i="1"/>
  <c r="P141" i="1"/>
  <c r="Q141" i="1"/>
  <c r="R141" i="1"/>
  <c r="P142" i="1"/>
  <c r="Q142" i="1"/>
  <c r="R142" i="1"/>
  <c r="S142" i="1"/>
  <c r="P143" i="1"/>
  <c r="Q143" i="1"/>
  <c r="R143" i="1"/>
  <c r="S143" i="1"/>
  <c r="P144" i="1"/>
  <c r="Q144" i="1"/>
  <c r="R144" i="1"/>
  <c r="S144" i="1"/>
  <c r="P145" i="1"/>
  <c r="Q145" i="1"/>
  <c r="R145" i="1"/>
  <c r="S145" i="1"/>
  <c r="P146" i="1"/>
  <c r="Q146" i="1"/>
  <c r="R146" i="1"/>
  <c r="S146" i="1"/>
  <c r="P147" i="1"/>
  <c r="Q147" i="1"/>
  <c r="R147" i="1"/>
  <c r="S147" i="1"/>
  <c r="P148" i="1"/>
  <c r="Q148" i="1"/>
  <c r="R148" i="1"/>
  <c r="S148" i="1"/>
  <c r="P149" i="1"/>
  <c r="Q149" i="1"/>
  <c r="R149" i="1"/>
  <c r="S149" i="1"/>
  <c r="P150" i="1"/>
  <c r="Q150" i="1"/>
  <c r="R150" i="1"/>
  <c r="S150" i="1"/>
  <c r="P151" i="1"/>
  <c r="Q151" i="1"/>
  <c r="R151" i="1"/>
  <c r="S151" i="1"/>
  <c r="P102" i="1"/>
  <c r="Q102" i="1"/>
  <c r="R102" i="1"/>
  <c r="S102" i="1"/>
  <c r="P103" i="1"/>
  <c r="Q103" i="1"/>
  <c r="R103" i="1"/>
  <c r="S103" i="1"/>
  <c r="P104" i="1"/>
  <c r="Q104" i="1"/>
  <c r="R104" i="1"/>
  <c r="S104" i="1"/>
  <c r="P105" i="1"/>
  <c r="Q105" i="1"/>
  <c r="R105" i="1"/>
  <c r="S105" i="1"/>
  <c r="P106" i="1"/>
  <c r="Q106" i="1"/>
  <c r="R106" i="1"/>
  <c r="S106" i="1"/>
  <c r="P107" i="1"/>
  <c r="Q107" i="1"/>
  <c r="R107" i="1"/>
  <c r="S107" i="1"/>
  <c r="P108" i="1"/>
  <c r="Q108" i="1"/>
  <c r="R108" i="1"/>
  <c r="S108" i="1"/>
  <c r="P109" i="1"/>
  <c r="Q109" i="1"/>
  <c r="R109" i="1"/>
  <c r="S109" i="1"/>
  <c r="P110" i="1"/>
  <c r="Q110" i="1"/>
  <c r="R110" i="1"/>
  <c r="S110" i="1"/>
  <c r="P111" i="1"/>
  <c r="Q111" i="1"/>
  <c r="R111" i="1"/>
  <c r="S111" i="1"/>
  <c r="P112" i="1"/>
  <c r="Q112" i="1"/>
  <c r="R112" i="1"/>
  <c r="S112" i="1"/>
  <c r="P113" i="1"/>
  <c r="Q113" i="1"/>
  <c r="R113" i="1"/>
  <c r="S113" i="1"/>
  <c r="P114" i="1"/>
  <c r="Q114" i="1"/>
  <c r="R114" i="1"/>
  <c r="S114" i="1"/>
  <c r="P115" i="1"/>
  <c r="Q115" i="1"/>
  <c r="R115" i="1"/>
  <c r="S115" i="1"/>
  <c r="P116" i="1"/>
  <c r="Q116" i="1"/>
  <c r="R116" i="1"/>
  <c r="S116" i="1"/>
  <c r="P117" i="1"/>
  <c r="Q117" i="1"/>
  <c r="R117" i="1"/>
  <c r="S117" i="1"/>
  <c r="P118" i="1"/>
  <c r="Q118" i="1"/>
  <c r="R118" i="1"/>
  <c r="S118" i="1"/>
  <c r="P119" i="1"/>
  <c r="Q119" i="1"/>
  <c r="R119" i="1"/>
  <c r="S119" i="1"/>
  <c r="P120" i="1"/>
  <c r="Q120" i="1"/>
  <c r="R120" i="1"/>
  <c r="S120" i="1"/>
  <c r="P121" i="1"/>
  <c r="Q121" i="1"/>
  <c r="R121" i="1"/>
  <c r="S121" i="1"/>
  <c r="P122" i="1"/>
  <c r="Q122" i="1"/>
  <c r="R122" i="1"/>
  <c r="S122" i="1"/>
  <c r="P123" i="1"/>
  <c r="Q123" i="1"/>
  <c r="R123" i="1"/>
  <c r="S123" i="1"/>
  <c r="P124" i="1"/>
  <c r="Q124" i="1"/>
  <c r="R124" i="1"/>
  <c r="S124" i="1"/>
  <c r="P125" i="1"/>
  <c r="Q125" i="1"/>
  <c r="R125" i="1"/>
  <c r="S125" i="1"/>
  <c r="P126" i="1"/>
  <c r="Q126" i="1"/>
  <c r="R126" i="1"/>
  <c r="S126" i="1"/>
  <c r="P127" i="1"/>
  <c r="Q127" i="1"/>
  <c r="R127" i="1"/>
  <c r="S127" i="1"/>
  <c r="P128" i="1"/>
  <c r="Q128" i="1"/>
  <c r="R128" i="1"/>
  <c r="S128" i="1"/>
  <c r="P129" i="1"/>
  <c r="Q129" i="1"/>
  <c r="R129" i="1"/>
  <c r="S129" i="1"/>
  <c r="P75" i="1"/>
  <c r="Q75" i="1"/>
  <c r="R75" i="1"/>
  <c r="S75" i="1"/>
  <c r="P76" i="1"/>
  <c r="Q76" i="1"/>
  <c r="R76" i="1"/>
  <c r="S76" i="1"/>
  <c r="P77" i="1"/>
  <c r="Q77" i="1"/>
  <c r="R77" i="1"/>
  <c r="S77" i="1"/>
  <c r="P78" i="1"/>
  <c r="Q78" i="1"/>
  <c r="R78" i="1"/>
  <c r="S78" i="1"/>
  <c r="P79" i="1"/>
  <c r="Q79" i="1"/>
  <c r="R79" i="1"/>
  <c r="S79" i="1"/>
  <c r="P80" i="1"/>
  <c r="Q80" i="1"/>
  <c r="R80" i="1"/>
  <c r="S80" i="1"/>
  <c r="P81" i="1"/>
  <c r="Q81" i="1"/>
  <c r="R81" i="1"/>
  <c r="S81" i="1"/>
  <c r="P82" i="1"/>
  <c r="Q82" i="1"/>
  <c r="R82" i="1"/>
  <c r="S82" i="1"/>
  <c r="P83" i="1"/>
  <c r="Q83" i="1"/>
  <c r="R83" i="1"/>
  <c r="S83" i="1"/>
  <c r="P84" i="1"/>
  <c r="Q84" i="1"/>
  <c r="R84" i="1"/>
  <c r="S84" i="1"/>
  <c r="P85" i="1"/>
  <c r="Q85" i="1"/>
  <c r="R85" i="1"/>
  <c r="S85" i="1"/>
  <c r="P86" i="1"/>
  <c r="Q86" i="1"/>
  <c r="R86" i="1"/>
  <c r="S86" i="1"/>
  <c r="P87" i="1"/>
  <c r="Q87" i="1"/>
  <c r="R87" i="1"/>
  <c r="S87" i="1"/>
  <c r="P88" i="1"/>
  <c r="Q88" i="1"/>
  <c r="R88" i="1"/>
  <c r="S88" i="1"/>
  <c r="P89" i="1"/>
  <c r="Q89" i="1"/>
  <c r="R89" i="1"/>
  <c r="S89" i="1"/>
  <c r="P90" i="1"/>
  <c r="Q90" i="1"/>
  <c r="R90" i="1"/>
  <c r="S90" i="1"/>
  <c r="P91" i="1"/>
  <c r="Q91" i="1"/>
  <c r="R91" i="1"/>
  <c r="S91" i="1"/>
  <c r="P92" i="1"/>
  <c r="Q92" i="1"/>
  <c r="R92" i="1"/>
  <c r="S92" i="1"/>
  <c r="P93" i="1"/>
  <c r="Q93" i="1"/>
  <c r="R93" i="1"/>
  <c r="S93" i="1"/>
  <c r="P94" i="1"/>
  <c r="Q94" i="1"/>
  <c r="R94" i="1"/>
  <c r="S94" i="1"/>
  <c r="P95" i="1"/>
  <c r="Q95" i="1"/>
  <c r="R95" i="1"/>
  <c r="S95" i="1"/>
  <c r="P96" i="1"/>
  <c r="Q96" i="1"/>
  <c r="R96" i="1"/>
  <c r="S96" i="1"/>
  <c r="P97" i="1"/>
  <c r="Q97" i="1"/>
  <c r="R97" i="1"/>
  <c r="S97" i="1"/>
  <c r="P98" i="1"/>
  <c r="Q98" i="1"/>
  <c r="R98" i="1"/>
  <c r="S98" i="1"/>
  <c r="P99" i="1"/>
  <c r="Q99" i="1"/>
  <c r="R99" i="1"/>
  <c r="S99" i="1"/>
  <c r="P100" i="1"/>
  <c r="Q100" i="1"/>
  <c r="R100" i="1"/>
  <c r="S100" i="1"/>
  <c r="P101" i="1"/>
  <c r="Q101" i="1"/>
  <c r="R101" i="1"/>
  <c r="S101" i="1"/>
  <c r="P58" i="1"/>
  <c r="Q58" i="1"/>
  <c r="R58" i="1"/>
  <c r="S58" i="1"/>
  <c r="P59" i="1"/>
  <c r="Q59" i="1"/>
  <c r="R59" i="1"/>
  <c r="S59" i="1"/>
  <c r="P60" i="1"/>
  <c r="Q60" i="1"/>
  <c r="R60" i="1"/>
  <c r="S60" i="1"/>
  <c r="P61" i="1"/>
  <c r="Q61" i="1"/>
  <c r="R61" i="1"/>
  <c r="S61" i="1"/>
  <c r="P62" i="1"/>
  <c r="Q62" i="1"/>
  <c r="R62" i="1"/>
  <c r="S62" i="1"/>
  <c r="P63" i="1"/>
  <c r="Q63" i="1"/>
  <c r="R63" i="1"/>
  <c r="S63" i="1"/>
  <c r="P64" i="1"/>
  <c r="Q64" i="1"/>
  <c r="R64" i="1"/>
  <c r="S64" i="1"/>
  <c r="P65" i="1"/>
  <c r="Q65" i="1"/>
  <c r="R65" i="1"/>
  <c r="S65" i="1"/>
  <c r="P66" i="1"/>
  <c r="Q66" i="1"/>
  <c r="R66" i="1"/>
  <c r="S66" i="1"/>
  <c r="P67" i="1"/>
  <c r="Q67" i="1"/>
  <c r="R67" i="1"/>
  <c r="S67" i="1"/>
  <c r="P68" i="1"/>
  <c r="Q68" i="1"/>
  <c r="R68" i="1"/>
  <c r="S68" i="1"/>
  <c r="P69" i="1"/>
  <c r="Q69" i="1"/>
  <c r="R69" i="1"/>
  <c r="S69" i="1"/>
  <c r="P70" i="1"/>
  <c r="Q70" i="1"/>
  <c r="R70" i="1"/>
  <c r="S70" i="1"/>
  <c r="P71" i="1"/>
  <c r="Q71" i="1"/>
  <c r="R71" i="1"/>
  <c r="S71" i="1"/>
  <c r="P72" i="1"/>
  <c r="Q72" i="1"/>
  <c r="R72" i="1"/>
  <c r="S72" i="1"/>
  <c r="P73" i="1"/>
  <c r="Q73" i="1"/>
  <c r="R73" i="1"/>
  <c r="S73" i="1"/>
  <c r="P74" i="1"/>
  <c r="Q74" i="1"/>
  <c r="R74" i="1"/>
  <c r="S74" i="1"/>
  <c r="P32" i="1"/>
  <c r="Q32" i="1"/>
  <c r="R32" i="1"/>
  <c r="S32" i="1"/>
  <c r="P33" i="1"/>
  <c r="R33" i="1"/>
  <c r="S33" i="1"/>
  <c r="P34" i="1"/>
  <c r="Q34" i="1"/>
  <c r="R34" i="1"/>
  <c r="S34" i="1"/>
  <c r="P35" i="1"/>
  <c r="Q35" i="1"/>
  <c r="R35" i="1"/>
  <c r="S35" i="1"/>
  <c r="P36" i="1"/>
  <c r="Q36" i="1"/>
  <c r="R36" i="1"/>
  <c r="S36" i="1"/>
  <c r="P37" i="1"/>
  <c r="Q37" i="1"/>
  <c r="R37" i="1"/>
  <c r="S37" i="1"/>
  <c r="P38" i="1"/>
  <c r="Q38" i="1"/>
  <c r="R38" i="1"/>
  <c r="S38" i="1"/>
  <c r="P39" i="1"/>
  <c r="Q39" i="1"/>
  <c r="R39" i="1"/>
  <c r="S39" i="1"/>
  <c r="P40" i="1"/>
  <c r="Q40" i="1"/>
  <c r="R40" i="1"/>
  <c r="S40" i="1"/>
  <c r="P41" i="1"/>
  <c r="Q41" i="1"/>
  <c r="R41" i="1"/>
  <c r="S41" i="1"/>
  <c r="P42" i="1"/>
  <c r="Q42" i="1"/>
  <c r="R42" i="1"/>
  <c r="S42" i="1"/>
  <c r="P43" i="1"/>
  <c r="Q43" i="1"/>
  <c r="R43" i="1"/>
  <c r="S43" i="1"/>
  <c r="P44" i="1"/>
  <c r="Q44" i="1"/>
  <c r="R44" i="1"/>
  <c r="S44" i="1"/>
  <c r="P45" i="1"/>
  <c r="Q45" i="1"/>
  <c r="R45" i="1"/>
  <c r="S45" i="1"/>
  <c r="P46" i="1"/>
  <c r="Q46" i="1"/>
  <c r="R46" i="1"/>
  <c r="S46" i="1"/>
  <c r="P47" i="1"/>
  <c r="Q47" i="1"/>
  <c r="R47" i="1"/>
  <c r="S47" i="1"/>
  <c r="Q48" i="1"/>
  <c r="P49" i="1"/>
  <c r="Q49" i="1"/>
  <c r="R49" i="1"/>
  <c r="S49" i="1"/>
  <c r="P50" i="1"/>
  <c r="Q50" i="1"/>
  <c r="R50" i="1"/>
  <c r="S50" i="1"/>
  <c r="P51" i="1"/>
  <c r="Q51" i="1"/>
  <c r="R51" i="1"/>
  <c r="S51" i="1"/>
  <c r="P52" i="1"/>
  <c r="Q52" i="1"/>
  <c r="R52" i="1"/>
  <c r="S52" i="1"/>
  <c r="P53" i="1"/>
  <c r="Q53" i="1"/>
  <c r="R53" i="1"/>
  <c r="S53" i="1"/>
  <c r="P54" i="1"/>
  <c r="Q54" i="1"/>
  <c r="R54" i="1"/>
  <c r="S54" i="1"/>
  <c r="P55" i="1"/>
  <c r="Q55" i="1"/>
  <c r="R55" i="1"/>
  <c r="S55" i="1"/>
  <c r="P56" i="1"/>
  <c r="Q56" i="1"/>
  <c r="R56" i="1"/>
  <c r="S56" i="1"/>
  <c r="P57" i="1"/>
  <c r="Q57" i="1"/>
  <c r="R57" i="1"/>
  <c r="S57" i="1"/>
  <c r="P25" i="1"/>
  <c r="Q25" i="1"/>
  <c r="R25" i="1"/>
  <c r="S25" i="1"/>
  <c r="P26" i="1"/>
  <c r="Q26" i="1"/>
  <c r="R26" i="1"/>
  <c r="S26" i="1"/>
  <c r="P27" i="1"/>
  <c r="Q27" i="1"/>
  <c r="R27" i="1"/>
  <c r="S27" i="1"/>
  <c r="P28" i="1"/>
  <c r="Q28" i="1"/>
  <c r="R28" i="1"/>
  <c r="S28" i="1"/>
  <c r="P29" i="1"/>
  <c r="Q29" i="1"/>
  <c r="R29" i="1"/>
  <c r="S29" i="1"/>
  <c r="P30" i="1"/>
  <c r="Q30" i="1"/>
  <c r="R30" i="1"/>
  <c r="S30" i="1"/>
  <c r="P31" i="1"/>
  <c r="Q31" i="1"/>
  <c r="R31" i="1"/>
  <c r="S31" i="1"/>
  <c r="P19" i="1"/>
  <c r="Q19" i="1"/>
  <c r="R19" i="1"/>
  <c r="S19" i="1"/>
  <c r="P20" i="1"/>
  <c r="Q20" i="1"/>
  <c r="R20" i="1"/>
  <c r="S20" i="1"/>
  <c r="P21" i="1"/>
  <c r="Q21" i="1"/>
  <c r="R21" i="1"/>
  <c r="S21" i="1"/>
  <c r="P22" i="1"/>
  <c r="Q22" i="1"/>
  <c r="R22" i="1"/>
  <c r="S22" i="1"/>
  <c r="P23" i="1"/>
  <c r="Q23" i="1"/>
  <c r="R23" i="1"/>
  <c r="S23" i="1"/>
  <c r="P24" i="1"/>
  <c r="Q24" i="1"/>
  <c r="R24" i="1"/>
  <c r="S24" i="1"/>
  <c r="P17" i="1"/>
  <c r="Q17" i="1"/>
  <c r="R17" i="1"/>
  <c r="S17" i="1"/>
  <c r="P18" i="1"/>
  <c r="Q18" i="1"/>
  <c r="R18" i="1"/>
  <c r="S18" i="1"/>
  <c r="P15" i="1"/>
  <c r="Q15" i="1"/>
  <c r="R15" i="1"/>
  <c r="S15" i="1"/>
  <c r="P16" i="1"/>
  <c r="Q16" i="1"/>
  <c r="R16" i="1"/>
  <c r="S16" i="1"/>
  <c r="P12" i="1"/>
  <c r="Q12" i="1"/>
  <c r="R12" i="1"/>
  <c r="S12" i="1"/>
  <c r="P13" i="1"/>
  <c r="Q13" i="1"/>
  <c r="R13" i="1"/>
  <c r="S13" i="1"/>
  <c r="P14" i="1"/>
  <c r="Q14" i="1"/>
  <c r="R14" i="1"/>
  <c r="S14" i="1"/>
  <c r="P6" i="1"/>
  <c r="Q6" i="1"/>
  <c r="R6" i="1"/>
  <c r="S6" i="1"/>
  <c r="P7" i="1"/>
  <c r="Q7" i="1"/>
  <c r="R7" i="1"/>
  <c r="S7" i="1"/>
  <c r="P8" i="1"/>
  <c r="Q8" i="1"/>
  <c r="R8" i="1"/>
  <c r="S8" i="1"/>
  <c r="P9" i="1"/>
  <c r="Q9" i="1"/>
  <c r="R9" i="1"/>
  <c r="S9" i="1"/>
  <c r="P10" i="1"/>
  <c r="Q10" i="1"/>
  <c r="R10" i="1"/>
  <c r="S10" i="1"/>
  <c r="P11" i="1"/>
  <c r="Q11" i="1"/>
  <c r="R11" i="1"/>
  <c r="S11" i="1"/>
  <c r="P5" i="1"/>
  <c r="Q5" i="1"/>
  <c r="R5" i="1"/>
  <c r="S5" i="1"/>
  <c r="Q4" i="1"/>
  <c r="R4" i="1"/>
  <c r="S4" i="1"/>
  <c r="P207" i="1" l="1"/>
  <c r="AA188" i="1"/>
  <c r="P211" i="1"/>
  <c r="Q140" i="1"/>
  <c r="Q186" i="1"/>
  <c r="AD141" i="1"/>
  <c r="AE225" i="1"/>
  <c r="S141" i="1"/>
  <c r="AE281" i="1"/>
  <c r="AE29" i="1"/>
  <c r="AE309" i="1"/>
  <c r="AE104" i="1"/>
  <c r="P196" i="1"/>
  <c r="AE20" i="1"/>
  <c r="AB172" i="1"/>
  <c r="AE76" i="1"/>
  <c r="AA191" i="1"/>
  <c r="S48" i="1"/>
  <c r="AA48" i="1"/>
  <c r="AA178" i="1"/>
  <c r="R48" i="1"/>
  <c r="Q33" i="1"/>
  <c r="AA223" i="1"/>
  <c r="AE272" i="1"/>
  <c r="P193" i="1"/>
  <c r="AE160" i="1"/>
  <c r="AA172" i="1"/>
  <c r="AE188" i="1"/>
  <c r="P221" i="1"/>
  <c r="AB184" i="1"/>
  <c r="P183" i="1"/>
  <c r="P224" i="1"/>
  <c r="P186" i="1"/>
  <c r="P202" i="1"/>
  <c r="P206" i="1"/>
  <c r="AE48" i="1"/>
  <c r="AE132" i="1"/>
  <c r="AE216" i="1"/>
  <c r="AE300" i="1"/>
  <c r="P225" i="1"/>
  <c r="AA203" i="1"/>
  <c r="AB214" i="1"/>
  <c r="AA197" i="1"/>
  <c r="AA200" i="1"/>
  <c r="P195" i="1"/>
  <c r="AB200" i="1"/>
  <c r="P174" i="1"/>
  <c r="AA216" i="1"/>
  <c r="AA219" i="1"/>
  <c r="P214" i="1"/>
  <c r="Q212" i="1"/>
  <c r="P212" i="1"/>
  <c r="P184" i="1"/>
  <c r="P179" i="1"/>
  <c r="P175" i="1"/>
  <c r="AA322" i="1"/>
  <c r="AA320" i="1"/>
  <c r="AA323" i="1"/>
  <c r="AM32" i="1" l="1"/>
  <c r="AE312" i="1"/>
  <c r="AA324" i="1"/>
  <c r="AA319" i="1"/>
  <c r="AA318" i="1"/>
  <c r="W318" i="1" l="1"/>
  <c r="W329" i="1" l="1"/>
  <c r="W330" i="1" s="1"/>
  <c r="W324" i="1"/>
  <c r="W325" i="1" s="1"/>
  <c r="W319" i="1"/>
  <c r="W320" i="1" s="1"/>
  <c r="W328" i="1"/>
  <c r="W323" i="1"/>
  <c r="R329" i="1"/>
  <c r="S329" i="1" s="1"/>
  <c r="R324" i="1"/>
  <c r="S324" i="1" s="1"/>
  <c r="R319" i="1"/>
  <c r="S319" i="1" s="1"/>
  <c r="R318" i="1"/>
  <c r="Q330" i="1" l="1"/>
  <c r="Q320" i="1"/>
  <c r="R320" i="1"/>
  <c r="R328" i="1"/>
  <c r="Q325" i="1"/>
  <c r="R323" i="1"/>
  <c r="S318" i="1"/>
  <c r="S320" i="1" s="1"/>
  <c r="R330" i="1" l="1"/>
  <c r="S328" i="1"/>
  <c r="S330" i="1" s="1"/>
  <c r="R325" i="1"/>
  <c r="S323" i="1"/>
  <c r="S32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tc={0A45EEF8-0031-4378-B63B-9730EE51F745}</author>
    <author>tc={B0090359-54F2-4C74-B633-7085A655FB87}</author>
    <author>tc={8D9F24F6-8340-4EFC-9C5C-9C8CB91CB772}</author>
    <author>tc={CECE4804-B808-4ED1-ACBD-35A554A8B382}</author>
    <author>tc={65DF06D7-DD03-4662-9376-3D21FB874317}</author>
    <author>tc={61E83BF1-2F4C-43C6-8C8C-B0FF25A6A969}</author>
    <author>tc={DD7F3C32-D3F7-4D76-9BC9-F211A8719739}</author>
    <author>tc={338C3749-79C7-4535-82C0-24728CBE881E}</author>
    <author>tc={8FF70933-9679-45D4-BA12-0FB1B6C3B792}</author>
    <author>tc={A8B50622-0822-4C20-A241-AE5562556E60}</author>
    <author>tc={CB5BF813-07D1-467F-A7E9-3BBCF5A33569}</author>
    <author>tc={D313CE93-A315-4E31-B507-45275F3CB86B}</author>
    <author>tc={987283C6-79AE-445C-97FA-4B742BF262AD}</author>
    <author>tc={68D47C7A-6ACB-4281-8238-41DBD5F730AF}</author>
    <author>tc={5E1CDB70-0EE2-4B15-953B-56A547454AB7}</author>
    <author>tc={B1F8B0B4-A307-4EE0-A9C6-AC7505662B83}</author>
    <author>tc={E7E8CE68-446D-4B75-A7E5-7A976E8EE702}</author>
    <author>tc={F177DEAD-40FB-4E0C-A3BF-73BD861F6C8B}</author>
    <author>tc={1B9046BE-1C30-40A6-9B97-B33D9FA069A4}</author>
    <author>tc={511F84F5-43D1-41CC-8EAB-9AFA660B046A}</author>
    <author>tc={BBE71C12-72AA-4D80-95A0-DBACA72C4D18}</author>
    <author>tc={195D0648-DF4A-4C17-8626-AAF915EB9984}</author>
    <author>tc={9BC21906-87E3-4848-9441-46749CB8275D}</author>
    <author>tc={9F4F7125-FB1A-4C5E-A374-B107E8C0C80D}</author>
    <author>tc={33C5D1B8-741C-44A3-AD42-017CFA33AFA8}</author>
    <author>tc={E9C11AC5-0A3F-4E26-B95F-BAA8664DD369}</author>
    <author>tc={2BD0178D-3AEB-48C8-A333-233C2A91BF95}</author>
    <author>tc={CCA5DEDA-D5EE-401C-B5C4-2BFBDFC7BBE9}</author>
    <author>tc={369ABD1F-8BE4-4643-8800-ED467CB17F0F}</author>
    <author>tc={C5877182-78D4-491F-B287-569A325C6C50}</author>
    <author>tc={0AD9BEDB-8243-489F-BDEA-D4B0C9F04F8E}</author>
    <author>tc={0E0DB7B1-A42B-4F52-A8F4-1E7569FBACC9}</author>
    <author>tc={B685B73B-0C39-4BE6-AC24-24F9A19510D7}</author>
    <author>tc={49FF53BF-4373-4AD9-ACC9-628D9C54C39E}</author>
    <author>tc={1DA2461D-BC9E-4D0C-AE30-5449E174E4E2}</author>
  </authors>
  <commentList>
    <comment ref="S2" authorId="0" shapeId="0" xr:uid="{0A45EEF8-0031-4378-B63B-9730EE51F745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Oletus: Eurostatin data vuodelle 2023 laitetaan malliin vuotena 2025.</t>
        </r>
      </text>
    </comment>
    <comment ref="AD2" authorId="1" shapeId="0" xr:uid="{B0090359-54F2-4C74-B633-7085A655FB87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Oletus: Eurostatin data vuodelle 2023 laitetaan malliin vuotena 2025.</t>
        </r>
      </text>
    </comment>
    <comment ref="H31" authorId="2" shapeId="0" xr:uid="{8D9F24F6-8340-4EFC-9C5C-9C8CB91CB772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gov.uk stats</t>
        </r>
      </text>
    </comment>
    <comment ref="I31" authorId="3" shapeId="0" xr:uid="{CECE4804-B808-4ED1-ACBD-35A554A8B382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gov.uk stats</t>
        </r>
      </text>
    </comment>
    <comment ref="H59" authorId="4" shapeId="0" xr:uid="{65DF06D7-DD03-4662-9376-3D21FB874317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Ekstrapolointi: Eurostat 2019 -&gt; gov.uk trendillä vuoteen 2020.</t>
        </r>
      </text>
    </comment>
    <comment ref="I59" authorId="5" shapeId="0" xr:uid="{61E83BF1-2F4C-43C6-8C8C-B0FF25A6A969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Ekstrapolointi: Eurostat 2019 -&gt; gov.uk trendillä vuoteen 2023.</t>
        </r>
      </text>
    </comment>
    <comment ref="H87" authorId="6" shapeId="0" xr:uid="{DD7F3C32-D3F7-4D76-9BC9-F211A8719739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Ekstrapolointi: Eurostat 2019 -&gt; dukes trendillä vuoteen 2020.</t>
        </r>
      </text>
    </comment>
    <comment ref="I87" authorId="7" shapeId="0" xr:uid="{338C3749-79C7-4535-82C0-24728CBE881E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Ekstrapolointi: Eurostat 2019 -&gt; dukes trendillä vuoteen 2024.</t>
        </r>
      </text>
    </comment>
    <comment ref="H115" authorId="8" shapeId="0" xr:uid="{8FF70933-9679-45D4-BA12-0FB1B6C3B792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DUKES_6.1: Geo+PV+Solar thermal 2020 ja 2024. Tästä vähennetty geo ja pv -&gt; RSDSOL.</t>
        </r>
      </text>
    </comment>
    <comment ref="I115" authorId="9" shapeId="0" xr:uid="{A8B50622-0822-4C20-A241-AE5562556E60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DUKES_6.1: Geo+PV+Solar thermal 2020 ja 2024. Tästä vähennetty geo ja pv -&gt; RSDSOL.</t>
        </r>
      </text>
    </comment>
    <comment ref="H143" authorId="10" shapeId="0" xr:uid="{CB5BF813-07D1-467F-A7E9-3BBCF5A33569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Ekstrapolointi: Eurostat 2019 -&gt; dukes trendillä vuoteen 2020.</t>
        </r>
      </text>
    </comment>
    <comment ref="I143" authorId="11" shapeId="0" xr:uid="{D313CE93-A315-4E31-B507-45275F3CB86B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Ekstrapolointi: Eurostat 2019 -&gt; dukes trendillä vuoteen 2024.</t>
        </r>
      </text>
    </comment>
    <comment ref="H171" authorId="12" shapeId="0" xr:uid="{987283C6-79AE-445C-97FA-4B742BF262AD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Ekstrapolointi: Eurostat Primary solid biofuels 2019 -&gt; dukes Wood trendillä vuoteen 2020.</t>
        </r>
      </text>
    </comment>
    <comment ref="I171" authorId="13" shapeId="0" xr:uid="{68D47C7A-6ACB-4281-8238-41DBD5F730AF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Ekstrapolointi: Eurostat Primary solid biofuels 2019 -&gt; dukes Wood trendillä vuoteen 2024.</t>
        </r>
      </text>
    </comment>
    <comment ref="H199" authorId="14" shapeId="0" xr:uid="{5E1CDB70-0EE2-4B15-953B-56A547454AB7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gov.uk stats</t>
        </r>
      </text>
    </comment>
    <comment ref="I199" authorId="15" shapeId="0" xr:uid="{B1F8B0B4-A307-4EE0-A9C6-AC7505662B83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gov.uk stats</t>
        </r>
      </text>
    </comment>
    <comment ref="H227" authorId="16" shapeId="0" xr:uid="{E7E8CE68-446D-4B75-A7E5-7A976E8EE702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gov.uk stats</t>
        </r>
      </text>
    </comment>
    <comment ref="I227" authorId="17" shapeId="0" xr:uid="{F177DEAD-40FB-4E0C-A3BF-73BD861F6C8B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gov.uk stats</t>
        </r>
      </text>
    </comment>
    <comment ref="H255" authorId="18" shapeId="0" xr:uid="{1B9046BE-1C30-40A6-9B97-B33D9FA069A4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gov.uk stats</t>
        </r>
      </text>
    </comment>
    <comment ref="I255" authorId="19" shapeId="0" xr:uid="{511F84F5-43D1-41CC-8EAB-9AFA660B046A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gov.uk stats</t>
        </r>
      </text>
    </comment>
    <comment ref="H283" authorId="20" shapeId="0" xr:uid="{BBE71C12-72AA-4D80-95A0-DBACA72C4D18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Ekstrapolointi: Eurostat 2019 -&gt; ECUK trendillä vuoteen 2020.</t>
        </r>
      </text>
    </comment>
    <comment ref="I283" authorId="21" shapeId="0" xr:uid="{195D0648-DF4A-4C17-8626-AAF915EB9984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Ekstrapolointi: Eurostat 2019 -&gt; ECUK trendillä vuoteen 2023.</t>
        </r>
      </text>
    </comment>
    <comment ref="H311" authorId="22" shapeId="0" xr:uid="{9BC21906-87E3-4848-9441-46749CB8275D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Oletus: Eurostat 2019 luku.</t>
        </r>
      </text>
    </comment>
    <comment ref="I311" authorId="23" shapeId="0" xr:uid="{9F4F7125-FB1A-4C5E-A374-B107E8C0C80D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Oletus: Eurostat 2019 luku.</t>
        </r>
      </text>
    </comment>
    <comment ref="R317" authorId="24" shapeId="0" xr:uid="{33C5D1B8-741C-44A3-AD42-017CFA33AFA8}">
      <text>
        <r>
          <rPr>
            <sz val="11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Conversion factor of LPG from mass to energy from: Approximate conversion factors </t>
        </r>
      </text>
    </comment>
    <comment ref="K318" authorId="25" shapeId="0" xr:uid="{E9C11AC5-0A3F-4E26-B95F-BAA8664DD369}">
      <text>
        <r>
          <rPr>
            <sz val="11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[nrg_d_hhq] Disaggregated final energy consumption in households - quantities </t>
        </r>
      </text>
    </comment>
    <comment ref="K319" authorId="26" shapeId="0" xr:uid="{2BD0178D-3AEB-48C8-A333-233C2A91BF95}">
      <text>
        <r>
          <rPr>
            <sz val="11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[nrg_d_hhq] Disaggregated final energy consumption in households - quantities </t>
        </r>
      </text>
    </comment>
    <comment ref="K320" authorId="27" shapeId="0" xr:uid="{CCA5DEDA-D5EE-401C-B5C4-2BFBDFC7BBE9}">
      <text>
        <r>
          <rPr>
            <sz val="11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[nrg_d_hhq] Disaggregated final energy consumption in households - quantities </t>
        </r>
      </text>
    </comment>
    <comment ref="K321" authorId="28" shapeId="0" xr:uid="{369ABD1F-8BE4-4643-8800-ED467CB17F0F}">
      <text>
        <r>
          <rPr>
            <sz val="11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[nrg_bal_c] Complete energy balances </t>
        </r>
      </text>
    </comment>
    <comment ref="K322" authorId="29" shapeId="0" xr:uid="{C5877182-78D4-491F-B287-569A325C6C50}">
      <text>
        <r>
          <rPr>
            <sz val="11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[nrg_d_hhq] Disaggregated final energy consumption in households - quantities </t>
        </r>
      </text>
    </comment>
    <comment ref="R322" authorId="30" shapeId="0" xr:uid="{0AD9BEDB-8243-489F-BDEA-D4B0C9F04F8E}">
      <text>
        <r>
          <rPr>
            <sz val="11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Conversion factor of LPG from mass to energy from: Approximate conversion factors </t>
        </r>
      </text>
    </comment>
    <comment ref="K323" authorId="31" shapeId="0" xr:uid="{0E0DB7B1-A42B-4F52-A8F4-1E7569FBACC9}">
      <text>
        <r>
          <rPr>
            <sz val="11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[nrg_bal_c] Complete energy balances </t>
        </r>
      </text>
    </comment>
    <comment ref="K324" authorId="32" shapeId="0" xr:uid="{B685B73B-0C39-4BE6-AC24-24F9A19510D7}">
      <text>
        <r>
          <rPr>
            <sz val="11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[nrg_bal_c] Complete energy balances </t>
        </r>
      </text>
    </comment>
    <comment ref="K325" authorId="33" shapeId="0" xr:uid="{49FF53BF-4373-4AD9-ACC9-628D9C54C39E}">
      <text>
        <r>
          <rPr>
            <sz val="11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[nrg_bal_c] Complete energy balances </t>
        </r>
      </text>
    </comment>
    <comment ref="R327" authorId="34" shapeId="0" xr:uid="{1DA2461D-BC9E-4D0C-AE30-5449E174E4E2}">
      <text>
        <r>
          <rPr>
            <sz val="11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Conversion factor of LPG from mass to energy from: Approximate conversion factors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tc={0A45EEF8-0031-4378-B63B-9730EE51F745}</author>
    <author>tc={B0090359-54F2-4C74-B633-7085A655FB87}</author>
    <author>tc={8D9F24F6-8340-4EFC-9C5C-9C8CB91CB772}</author>
    <author>tc={CECE4804-B808-4ED1-ACBD-35A554A8B382}</author>
    <author>tc={65DF06D7-DD03-4662-9376-3D21FB874317}</author>
    <author>tc={61E83BF1-2F4C-43C6-8C8C-B0FF25A6A969}</author>
    <author>tc={DD7F3C32-D3F7-4D76-9BC9-F211A8719739}</author>
    <author>tc={338C3749-79C7-4535-82C0-24728CBE881E}</author>
    <author>tc={8FF70933-9679-45D4-BA12-0FB1B6C3B792}</author>
    <author>tc={B5DD96DC-E34A-4FE0-B594-5A5DD14FAE0B}</author>
    <author>tc={CB5BF813-07D1-467F-A7E9-3BBCF5A33569}</author>
    <author>tc={D313CE93-A315-4E31-B507-45275F3CB86B}</author>
    <author>tc={987283C6-79AE-445C-97FA-4B742BF262AD}</author>
    <author>tc={68D47C7A-6ACB-4281-8238-41DBD5F730AF}</author>
    <author>tc={5E1CDB70-0EE2-4B15-953B-56A547454AB7}</author>
    <author>tc={B1F8B0B4-A307-4EE0-A9C6-AC7505662B83}</author>
    <author>tc={1B9046BE-1C30-40A6-9B97-B33D9FA069A4}</author>
    <author>tc={511F84F5-43D1-41CC-8EAB-9AFA660B046A}</author>
    <author>tc={BBE71C12-72AA-4D80-95A0-DBACA72C4D18}</author>
    <author>tc={195D0648-DF4A-4C17-8626-AAF915EB9984}</author>
    <author>tc={9BC21906-87E3-4848-9441-46749CB8275D}</author>
    <author>tc={9F4F7125-FB1A-4C5E-A374-B107E8C0C80D}</author>
    <author>tc={3535CC7A-D7DF-4B72-8066-187964F8ED55}</author>
    <author>tc={F406B631-D11D-4211-B982-7D9B5CEC497E}</author>
  </authors>
  <commentList>
    <comment ref="S2" authorId="0" shapeId="0" xr:uid="{BFCBE162-0CAD-4F79-B513-0132C145D3BA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Oletus: Eurostatin data vuodelle 2023 laitetaan malliin vuotena 2025.</t>
        </r>
      </text>
    </comment>
    <comment ref="AD2" authorId="1" shapeId="0" xr:uid="{B8D7D34B-1AE9-41EE-B2B3-A6FC8279CA52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Oletus: Eurostatin data vuodelle 2023 laitetaan malliin vuotena 2025.</t>
        </r>
      </text>
    </comment>
    <comment ref="H31" authorId="2" shapeId="0" xr:uid="{02A065E8-486B-46A5-9B46-DA8B3813C9E6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gov.uk stats</t>
        </r>
      </text>
    </comment>
    <comment ref="I31" authorId="3" shapeId="0" xr:uid="{99BF6C51-7CFD-4803-9FE9-FC25D35D3533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gov.uk stats</t>
        </r>
      </text>
    </comment>
    <comment ref="H59" authorId="4" shapeId="0" xr:uid="{A49AEAC2-4DE6-4108-A769-9D28A01DD59C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Ekstrapolointi: Eurostat 2019 -&gt; gov.uk trendillä vuoteen 2020.</t>
        </r>
      </text>
    </comment>
    <comment ref="I59" authorId="5" shapeId="0" xr:uid="{C91786FF-5645-4F38-92DE-579E500C4ADA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Ekstrapolointi: Eurostat 2019 -&gt; gov.uk trendillä vuoteen 2023.</t>
        </r>
      </text>
    </comment>
    <comment ref="H87" authorId="6" shapeId="0" xr:uid="{3FFA0647-3254-4F8C-BBD6-7274ED133A5D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Ekstrapolointi: Eurostat 2019 -&gt; dukes trendillä vuoteen 2020.</t>
        </r>
      </text>
    </comment>
    <comment ref="I87" authorId="7" shapeId="0" xr:uid="{F2626B13-98D9-45F6-AF3E-F2482746D485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Ekstrapolointi: Eurostat 2019 -&gt; dukes trendillä vuoteen 2024.</t>
        </r>
      </text>
    </comment>
    <comment ref="H115" authorId="8" shapeId="0" xr:uid="{A46D3FE3-5438-4925-9DC4-FD8B06DBC680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Dukes datassa 0. Tehdään oletus, ja otetaan tähän Eurostat 2019 luku.</t>
        </r>
      </text>
    </comment>
    <comment ref="I115" authorId="9" shapeId="0" xr:uid="{F153469A-4CD4-46AA-ADE9-15487B1F7158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Dukes datassa 0. Tehdään oletus, ja otetaan tähän Eurostat 2019 luku.</t>
        </r>
      </text>
    </comment>
    <comment ref="H143" authorId="10" shapeId="0" xr:uid="{8620AA4B-678C-4280-9678-6F66A2D1AE41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Dukes 6.1.</t>
        </r>
      </text>
    </comment>
    <comment ref="I143" authorId="11" shapeId="0" xr:uid="{864AF1F2-5902-4DF7-A88A-02F45F9703AC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Dukes 6.1.</t>
        </r>
      </text>
    </comment>
    <comment ref="H171" authorId="12" shapeId="0" xr:uid="{93B7AC14-EBD4-4FBD-A105-8EBB1A7106EE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DUKES_6.1</t>
        </r>
      </text>
    </comment>
    <comment ref="I171" authorId="13" shapeId="0" xr:uid="{F3528FE2-7B77-42C0-8F2F-56ED7661C93F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DUKES_6.1</t>
        </r>
      </text>
    </comment>
    <comment ref="H199" authorId="14" shapeId="0" xr:uid="{E2C15016-6A04-4260-92DC-E8D6D7AEB7D8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DUKES_1.1</t>
        </r>
      </text>
    </comment>
    <comment ref="I199" authorId="15" shapeId="0" xr:uid="{5EE036EA-0E69-4499-B6AE-E5C728CD7BB4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DUKES_1.1</t>
        </r>
      </text>
    </comment>
    <comment ref="H227" authorId="16" shapeId="0" xr:uid="{5D7C9960-27FB-4E2C-92F5-BA1BD3412D24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DUKES_6.1</t>
        </r>
      </text>
    </comment>
    <comment ref="I227" authorId="17" shapeId="0" xr:uid="{7CFDC70F-A596-4E23-AA49-3469A0396516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DUKES_6.1</t>
        </r>
      </text>
    </comment>
    <comment ref="H255" authorId="18" shapeId="0" xr:uid="{24C06CA4-3A0D-4D92-B7E1-698C22701C25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Ekstrapolointi: Eurostat 2019 -&gt; ECUK trendillä vuoteen 2020.</t>
        </r>
      </text>
    </comment>
    <comment ref="I255" authorId="19" shapeId="0" xr:uid="{36F304AE-687D-4FEA-A835-04D873B878EA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Ekstrapolointi: Eurostat 2019 -&gt; ECUK trendillä vuoteen 2023.</t>
        </r>
      </text>
    </comment>
    <comment ref="H283" authorId="20" shapeId="0" xr:uid="{DD7782AA-8B41-42E5-B452-19B278352062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Oletus: Eurostat 2019 luku.</t>
        </r>
      </text>
    </comment>
    <comment ref="I283" authorId="21" shapeId="0" xr:uid="{060B0B3A-BA32-45B4-9FE7-57F7F220CCA2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Oletus: Eurostat 2019 luku.</t>
        </r>
      </text>
    </comment>
    <comment ref="C299" authorId="22" shapeId="0" xr:uid="{63C52DAC-E736-4ED5-BF7A-4AB86090F16F}">
      <text>
        <r>
          <rPr>
            <sz val="11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Conversion factor of LPG from mass to energy from: Approximate conversion factors </t>
        </r>
      </text>
    </comment>
    <comment ref="D299" authorId="23" shapeId="0" xr:uid="{C81D027F-F06B-4CF8-AF86-5DF5832347E6}">
      <text>
        <r>
          <rPr>
            <sz val="11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Conversion factor of LPG from mass to energy from: Approximate conversion factors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</author>
  </authors>
  <commentList>
    <comment ref="B2" authorId="0" shapeId="0" xr:uid="{107453BE-38E6-4C7E-B872-4F33C5EF84F6}">
      <text>
        <r>
          <rPr>
            <sz val="8"/>
            <color indexed="81"/>
            <rFont val="Tahoma"/>
            <family val="2"/>
          </rPr>
          <t>Assign an absolute value for BASE or this Scenario/SubRES.</t>
        </r>
      </text>
    </comment>
    <comment ref="D4" authorId="1" shapeId="0" xr:uid="{341FB883-655F-4D6C-86EF-651435A01CBE}">
      <text>
        <r>
          <rPr>
            <b/>
            <sz val="8"/>
            <color indexed="81"/>
            <rFont val="Tahoma"/>
            <family val="2"/>
          </rPr>
          <t>Amit:</t>
        </r>
        <r>
          <rPr>
            <sz val="8"/>
            <color indexed="81"/>
            <rFont val="Tahoma"/>
            <family val="2"/>
          </rPr>
          <t xml:space="preserve">
4/3/2015
disable flows with negative FLOP
</t>
        </r>
      </text>
    </comment>
    <comment ref="D5" authorId="1" shapeId="0" xr:uid="{61657DEC-C1C5-41B9-819C-14AD95919A1C}">
      <text>
        <r>
          <rPr>
            <b/>
            <sz val="8"/>
            <color indexed="81"/>
            <rFont val="Tahoma"/>
            <family val="2"/>
          </rPr>
          <t>Amit:</t>
        </r>
        <r>
          <rPr>
            <sz val="8"/>
            <color indexed="81"/>
            <rFont val="Tahoma"/>
            <family val="2"/>
          </rPr>
          <t xml:space="preserve">
4/3/2015
disable flows with ZERO FLOP
</t>
        </r>
      </text>
    </comment>
    <comment ref="B19" authorId="0" shapeId="0" xr:uid="{B7AD8BDB-6E01-4EF2-BDCF-8AE8D51B4D86}">
      <text>
        <r>
          <rPr>
            <sz val="8"/>
            <color indexed="81"/>
            <rFont val="Tahoma"/>
            <family val="2"/>
          </rPr>
          <t>Assign an absolute value for BASE or this Scenario/SubRES.</t>
        </r>
      </text>
    </comment>
  </commentList>
</comments>
</file>

<file path=xl/sharedStrings.xml><?xml version="1.0" encoding="utf-8"?>
<sst xmlns="http://schemas.openxmlformats.org/spreadsheetml/2006/main" count="7102" uniqueCount="155">
  <si>
    <t>BE</t>
  </si>
  <si>
    <t>RSDCOA</t>
  </si>
  <si>
    <t>COM_BNDPRD</t>
  </si>
  <si>
    <t>BG</t>
  </si>
  <si>
    <t>CZ</t>
  </si>
  <si>
    <t>DK</t>
  </si>
  <si>
    <t>DE</t>
  </si>
  <si>
    <t>EE</t>
  </si>
  <si>
    <t>IE</t>
  </si>
  <si>
    <t>EL</t>
  </si>
  <si>
    <t>ES</t>
  </si>
  <si>
    <t>FR</t>
  </si>
  <si>
    <t>HR</t>
  </si>
  <si>
    <t>IT</t>
  </si>
  <si>
    <t>CY</t>
  </si>
  <si>
    <t>LV</t>
  </si>
  <si>
    <t>LT</t>
  </si>
  <si>
    <t>LU</t>
  </si>
  <si>
    <t>HU</t>
  </si>
  <si>
    <t>MT</t>
  </si>
  <si>
    <t>NL</t>
  </si>
  <si>
    <t>AT</t>
  </si>
  <si>
    <t>PL</t>
  </si>
  <si>
    <t>PT</t>
  </si>
  <si>
    <t>RO</t>
  </si>
  <si>
    <t>SI</t>
  </si>
  <si>
    <t>SK</t>
  </si>
  <si>
    <t>FI</t>
  </si>
  <si>
    <t>SE</t>
  </si>
  <si>
    <t>NO</t>
  </si>
  <si>
    <t>UK</t>
  </si>
  <si>
    <t>:</t>
  </si>
  <si>
    <t>RSDOIL</t>
  </si>
  <si>
    <t>RSDLPG</t>
  </si>
  <si>
    <t>RSDSOL</t>
  </si>
  <si>
    <t>RSDAHT</t>
  </si>
  <si>
    <t>RSDBIO</t>
  </si>
  <si>
    <t>RSDHET</t>
  </si>
  <si>
    <t>RSDGAS</t>
  </si>
  <si>
    <t>UP</t>
  </si>
  <si>
    <t>LO</t>
  </si>
  <si>
    <t>~TFM_INS-TS</t>
  </si>
  <si>
    <t>Region</t>
  </si>
  <si>
    <t>Cset_CN</t>
  </si>
  <si>
    <t>Attribute</t>
  </si>
  <si>
    <t>LimType</t>
  </si>
  <si>
    <t>reference</t>
  </si>
  <si>
    <t>RSDGEO</t>
  </si>
  <si>
    <t>IS</t>
  </si>
  <si>
    <t>(=2023)</t>
  </si>
  <si>
    <t xml:space="preserve"> geothermal in TJ</t>
  </si>
  <si>
    <t>DUKES data (domestic)</t>
  </si>
  <si>
    <t>Propane</t>
  </si>
  <si>
    <t>Butane</t>
  </si>
  <si>
    <t>= LPG</t>
  </si>
  <si>
    <t>+</t>
  </si>
  <si>
    <t>thousand tonne</t>
  </si>
  <si>
    <t>GJ</t>
  </si>
  <si>
    <t>ktoe</t>
  </si>
  <si>
    <t>PJ</t>
  </si>
  <si>
    <t xml:space="preserve"> 2019 UK Eurostat data for extrapolation</t>
  </si>
  <si>
    <t>DUKES_3.2</t>
  </si>
  <si>
    <t>Ambient heat</t>
  </si>
  <si>
    <t>DUKES_6.1</t>
  </si>
  <si>
    <t>Solar PV</t>
  </si>
  <si>
    <t>-</t>
  </si>
  <si>
    <t>Value (PJ)</t>
  </si>
  <si>
    <t>Geo + PV + Thermal</t>
  </si>
  <si>
    <t>-&gt; Solar thermal</t>
  </si>
  <si>
    <t>Wood</t>
  </si>
  <si>
    <t>RSDELC-heating</t>
  </si>
  <si>
    <t>RSDELC-other</t>
  </si>
  <si>
    <t>Elc: sp + wh</t>
  </si>
  <si>
    <t>mtoe</t>
  </si>
  <si>
    <t>UK dataa mm eri lämmitysmuodoille</t>
  </si>
  <si>
    <t>Elc: other</t>
  </si>
  <si>
    <t>RSDHH2</t>
  </si>
  <si>
    <t>FLO_BND</t>
  </si>
  <si>
    <t>FLO_SHAR</t>
  </si>
  <si>
    <t>TimeSlice</t>
  </si>
  <si>
    <t>Year</t>
  </si>
  <si>
    <t>AllRegions</t>
  </si>
  <si>
    <t>Pset_PN</t>
  </si>
  <si>
    <t>ANNUAL</t>
  </si>
  <si>
    <t>BIOEMHV</t>
  </si>
  <si>
    <t>RSDOIL00</t>
  </si>
  <si>
    <t>P2LDST</t>
  </si>
  <si>
    <t>SYNDST</t>
  </si>
  <si>
    <t>BIOHVO</t>
  </si>
  <si>
    <t>RSDOIL01</t>
  </si>
  <si>
    <t>ALL</t>
  </si>
  <si>
    <t>~TFM_INS</t>
  </si>
  <si>
    <t>*</t>
  </si>
  <si>
    <t>RSDGHT</t>
  </si>
  <si>
    <t>COMCOA</t>
  </si>
  <si>
    <t>DeActTFM_INS</t>
  </si>
  <si>
    <t>COMGHT</t>
  </si>
  <si>
    <t>COMOIL</t>
  </si>
  <si>
    <t>COMLPG</t>
  </si>
  <si>
    <t>COMSOL</t>
  </si>
  <si>
    <t>COMAHT</t>
  </si>
  <si>
    <t>COMBIO</t>
  </si>
  <si>
    <t>COMELC</t>
  </si>
  <si>
    <t>COMHET</t>
  </si>
  <si>
    <t>COMGAS</t>
  </si>
  <si>
    <t>COMGEO</t>
  </si>
  <si>
    <t>DUKES data (commercial + public)</t>
  </si>
  <si>
    <t xml:space="preserve"> 2019 UK Eurostat data</t>
  </si>
  <si>
    <t>COMBIO (wood+biomass</t>
  </si>
  <si>
    <t>COMAHT (heat pumps)</t>
  </si>
  <si>
    <t>COMOIL (oil&amp;p. products - lpg)</t>
  </si>
  <si>
    <t>DUKES_1.1</t>
  </si>
  <si>
    <t>COMCOA (coal)</t>
  </si>
  <si>
    <t>COMELC (electricity)</t>
  </si>
  <si>
    <t>COMHET (Heat sold)</t>
  </si>
  <si>
    <t>COMLPG (Propane + butane</t>
  </si>
  <si>
    <t>kt</t>
  </si>
  <si>
    <t>DUKES data for extrapolation (commercial + public)</t>
  </si>
  <si>
    <t>Natural gas for COMGAS</t>
  </si>
  <si>
    <t>extrapolation</t>
  </si>
  <si>
    <t>Petroleum products for</t>
  </si>
  <si>
    <t>COMOIL extrapolation</t>
  </si>
  <si>
    <t>reference data Eurostat 2025</t>
  </si>
  <si>
    <t>Attrib_Cond</t>
  </si>
  <si>
    <t>Val_Cond</t>
  </si>
  <si>
    <t>PSET_SET</t>
  </si>
  <si>
    <t>PSET_PN</t>
  </si>
  <si>
    <t>PSET_CO</t>
  </si>
  <si>
    <t>CSET_CN</t>
  </si>
  <si>
    <t>Top_Check</t>
  </si>
  <si>
    <t>VDA_FLOP</t>
  </si>
  <si>
    <t>&lt;0</t>
  </si>
  <si>
    <t>NCAP_BND</t>
  </si>
  <si>
    <t>PRE</t>
  </si>
  <si>
    <t>DET*-*,SDE*-*,FLT*-*</t>
  </si>
  <si>
    <t>*Heat-I</t>
  </si>
  <si>
    <t>O</t>
  </si>
  <si>
    <t>~TFM_TOPINS</t>
  </si>
  <si>
    <t>R_ES-SH*ELC-HPA</t>
  </si>
  <si>
    <t>IN</t>
  </si>
  <si>
    <t>R_ES-SH*ELC-HPG</t>
  </si>
  <si>
    <t>COMHTH01</t>
  </si>
  <si>
    <t>HETHTH</t>
  </si>
  <si>
    <t>~TFM_DINS</t>
  </si>
  <si>
    <t>Other_indexes</t>
  </si>
  <si>
    <t>ACT_FLO</t>
  </si>
  <si>
    <t>R_ES-SH-FL_ELC-HPA</t>
  </si>
  <si>
    <t>R_ES-SH-DH_ELC-HPA</t>
  </si>
  <si>
    <t>R_ES-SH-DH-70_ELC-HPA</t>
  </si>
  <si>
    <t>R_ES-SH-SD_ELC-HPA</t>
  </si>
  <si>
    <t>R_ES-SH-FL_ELC-HPG</t>
  </si>
  <si>
    <t>R_ES-SH-DH_ELC-HPG</t>
  </si>
  <si>
    <t>R_ES-SH-DH-70_ELC-HPG</t>
  </si>
  <si>
    <t>R_ES-SH-SD_ELC-HPG</t>
  </si>
  <si>
    <t>ACT_EFF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</si>
</sst>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##########"/>
    <numFmt numFmtId="165" formatCode="#,##0.000"/>
    <numFmt numFmtId="166" formatCode="#,##0.00000_ ;\-#,##0.00000\ "/>
    <numFmt numFmtId="167" formatCode="#,##0.000_ ;\-#,##0.000\ "/>
    <numFmt numFmtId="168" formatCode="#,##0.00_ ;\-#,##0.00\ 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indexed="12"/>
      <name val="Arial"/>
      <family val="2"/>
    </font>
    <font>
      <b/>
      <sz val="9"/>
      <color theme="1"/>
      <name val="Arial"/>
      <family val="2"/>
    </font>
    <font>
      <sz val="11"/>
      <color indexed="8"/>
      <name val="Aptos Narrow"/>
      <family val="2"/>
      <scheme val="minor"/>
    </font>
    <font>
      <sz val="9"/>
      <name val="Arial"/>
    </font>
    <font>
      <b/>
      <sz val="9"/>
      <color rgb="FFFF0000"/>
      <name val="Arial"/>
      <family val="2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sz val="10"/>
      <name val="Arial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6F6F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7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0" fontId="5" fillId="0" borderId="0"/>
    <xf numFmtId="0" fontId="9" fillId="0" borderId="0" applyNumberFormat="0" applyFill="0" applyBorder="0" applyAlignment="0" applyProtection="0"/>
    <xf numFmtId="0" fontId="10" fillId="0" borderId="0"/>
    <xf numFmtId="0" fontId="10" fillId="0" borderId="0"/>
    <xf numFmtId="0" fontId="16" fillId="0" borderId="0"/>
  </cellStyleXfs>
  <cellXfs count="107">
    <xf numFmtId="0" fontId="0" fillId="0" borderId="0" xfId="0"/>
    <xf numFmtId="0" fontId="2" fillId="2" borderId="0" xfId="0" applyFont="1" applyFill="1"/>
    <xf numFmtId="0" fontId="3" fillId="0" borderId="0" xfId="1" applyFont="1"/>
    <xf numFmtId="0" fontId="4" fillId="0" borderId="0" xfId="0" applyFont="1"/>
    <xf numFmtId="0" fontId="4" fillId="3" borderId="1" xfId="0" applyFont="1" applyFill="1" applyBorder="1"/>
    <xf numFmtId="0" fontId="4" fillId="4" borderId="1" xfId="0" applyFont="1" applyFill="1" applyBorder="1"/>
    <xf numFmtId="3" fontId="6" fillId="5" borderId="0" xfId="2" applyNumberFormat="1" applyFont="1" applyFill="1" applyAlignment="1">
      <alignment horizontal="right" vertical="center" shrinkToFit="1"/>
    </xf>
    <xf numFmtId="164" fontId="6" fillId="0" borderId="0" xfId="2" applyNumberFormat="1" applyFont="1" applyAlignment="1">
      <alignment horizontal="right" vertical="center" shrinkToFit="1"/>
    </xf>
    <xf numFmtId="164" fontId="6" fillId="5" borderId="0" xfId="2" applyNumberFormat="1" applyFont="1" applyFill="1" applyAlignment="1">
      <alignment horizontal="right" vertical="center" shrinkToFit="1"/>
    </xf>
    <xf numFmtId="165" fontId="6" fillId="0" borderId="0" xfId="2" applyNumberFormat="1" applyFont="1" applyAlignment="1">
      <alignment horizontal="right" vertical="center" shrinkToFit="1"/>
    </xf>
    <xf numFmtId="165" fontId="6" fillId="5" borderId="0" xfId="2" applyNumberFormat="1" applyFont="1" applyFill="1" applyAlignment="1">
      <alignment horizontal="right" vertical="center" shrinkToFit="1"/>
    </xf>
    <xf numFmtId="0" fontId="7" fillId="0" borderId="0" xfId="0" applyFont="1"/>
    <xf numFmtId="0" fontId="0" fillId="0" borderId="0" xfId="0" quotePrefix="1" applyAlignment="1">
      <alignment horizontal="right"/>
    </xf>
    <xf numFmtId="0" fontId="9" fillId="0" borderId="0" xfId="3"/>
    <xf numFmtId="0" fontId="0" fillId="4" borderId="0" xfId="0" applyFill="1"/>
    <xf numFmtId="0" fontId="0" fillId="4" borderId="0" xfId="0" quotePrefix="1" applyFill="1"/>
    <xf numFmtId="37" fontId="0" fillId="6" borderId="0" xfId="0" applyNumberFormat="1" applyFill="1"/>
    <xf numFmtId="0" fontId="0" fillId="6" borderId="0" xfId="0" applyFill="1"/>
    <xf numFmtId="166" fontId="8" fillId="6" borderId="0" xfId="0" applyNumberFormat="1" applyFont="1" applyFill="1"/>
    <xf numFmtId="0" fontId="2" fillId="0" borderId="0" xfId="0" applyFont="1"/>
    <xf numFmtId="166" fontId="8" fillId="0" borderId="0" xfId="0" applyNumberFormat="1" applyFont="1"/>
    <xf numFmtId="2" fontId="0" fillId="0" borderId="0" xfId="0" applyNumberFormat="1"/>
    <xf numFmtId="0" fontId="0" fillId="6" borderId="0" xfId="0" quotePrefix="1" applyFill="1"/>
    <xf numFmtId="166" fontId="0" fillId="6" borderId="0" xfId="0" applyNumberFormat="1" applyFill="1"/>
    <xf numFmtId="0" fontId="2" fillId="7" borderId="0" xfId="0" applyFont="1" applyFill="1"/>
    <xf numFmtId="166" fontId="2" fillId="7" borderId="0" xfId="0" applyNumberFormat="1" applyFont="1" applyFill="1"/>
    <xf numFmtId="165" fontId="6" fillId="7" borderId="0" xfId="2" applyNumberFormat="1" applyFont="1" applyFill="1" applyAlignment="1">
      <alignment horizontal="right" vertical="center" shrinkToFit="1"/>
    </xf>
    <xf numFmtId="0" fontId="9" fillId="0" borderId="0" xfId="3" applyFill="1"/>
    <xf numFmtId="165" fontId="2" fillId="2" borderId="0" xfId="0" applyNumberFormat="1" applyFont="1" applyFill="1"/>
    <xf numFmtId="37" fontId="0" fillId="0" borderId="0" xfId="0" applyNumberFormat="1"/>
    <xf numFmtId="0" fontId="0" fillId="0" borderId="0" xfId="0" quotePrefix="1"/>
    <xf numFmtId="166" fontId="0" fillId="0" borderId="0" xfId="0" applyNumberFormat="1"/>
    <xf numFmtId="167" fontId="0" fillId="6" borderId="0" xfId="0" applyNumberFormat="1" applyFill="1"/>
    <xf numFmtId="0" fontId="0" fillId="2" borderId="0" xfId="0" applyFill="1"/>
    <xf numFmtId="0" fontId="11" fillId="0" borderId="0" xfId="0" applyFont="1"/>
    <xf numFmtId="0" fontId="12" fillId="0" borderId="0" xfId="0" applyFont="1"/>
    <xf numFmtId="0" fontId="13" fillId="8" borderId="2" xfId="0" applyFont="1" applyFill="1" applyBorder="1"/>
    <xf numFmtId="0" fontId="13" fillId="9" borderId="2" xfId="0" applyFont="1" applyFill="1" applyBorder="1" applyAlignment="1">
      <alignment horizontal="center"/>
    </xf>
    <xf numFmtId="0" fontId="13" fillId="8" borderId="0" xfId="0" applyFont="1" applyFill="1"/>
    <xf numFmtId="0" fontId="0" fillId="9" borderId="0" xfId="0" applyFill="1" applyAlignment="1" applyProtection="1">
      <alignment horizontal="right"/>
      <protection locked="0"/>
    </xf>
    <xf numFmtId="1" fontId="0" fillId="0" borderId="0" xfId="0" applyNumberFormat="1"/>
    <xf numFmtId="0" fontId="14" fillId="10" borderId="0" xfId="5" applyFont="1" applyFill="1"/>
    <xf numFmtId="168" fontId="2" fillId="2" borderId="0" xfId="0" applyNumberFormat="1" applyFont="1" applyFill="1"/>
    <xf numFmtId="168" fontId="2" fillId="7" borderId="0" xfId="0" applyNumberFormat="1" applyFont="1" applyFill="1"/>
    <xf numFmtId="0" fontId="0" fillId="4" borderId="3" xfId="0" applyFill="1" applyBorder="1"/>
    <xf numFmtId="0" fontId="0" fillId="4" borderId="4" xfId="0" applyFill="1" applyBorder="1"/>
    <xf numFmtId="0" fontId="9" fillId="0" borderId="0" xfId="3" applyAlignment="1">
      <alignment horizontal="right"/>
    </xf>
    <xf numFmtId="0" fontId="0" fillId="11" borderId="5" xfId="0" applyFill="1" applyBorder="1"/>
    <xf numFmtId="168" fontId="0" fillId="11" borderId="6" xfId="0" applyNumberFormat="1" applyFill="1" applyBorder="1"/>
    <xf numFmtId="168" fontId="0" fillId="11" borderId="7" xfId="0" applyNumberFormat="1" applyFill="1" applyBorder="1"/>
    <xf numFmtId="0" fontId="0" fillId="11" borderId="8" xfId="0" applyFill="1" applyBorder="1"/>
    <xf numFmtId="168" fontId="8" fillId="11" borderId="9" xfId="0" applyNumberFormat="1" applyFont="1" applyFill="1" applyBorder="1"/>
    <xf numFmtId="168" fontId="8" fillId="11" borderId="10" xfId="0" applyNumberFormat="1" applyFont="1" applyFill="1" applyBorder="1"/>
    <xf numFmtId="0" fontId="0" fillId="12" borderId="5" xfId="0" quotePrefix="1" applyFill="1" applyBorder="1"/>
    <xf numFmtId="37" fontId="0" fillId="12" borderId="6" xfId="0" applyNumberFormat="1" applyFill="1" applyBorder="1"/>
    <xf numFmtId="37" fontId="0" fillId="12" borderId="7" xfId="0" applyNumberFormat="1" applyFill="1" applyBorder="1"/>
    <xf numFmtId="0" fontId="0" fillId="12" borderId="11" xfId="0" applyFill="1" applyBorder="1"/>
    <xf numFmtId="168" fontId="8" fillId="12" borderId="0" xfId="0" applyNumberFormat="1" applyFont="1" applyFill="1"/>
    <xf numFmtId="168" fontId="8" fillId="12" borderId="12" xfId="0" applyNumberFormat="1" applyFont="1" applyFill="1" applyBorder="1"/>
    <xf numFmtId="0" fontId="0" fillId="13" borderId="5" xfId="0" applyFill="1" applyBorder="1"/>
    <xf numFmtId="37" fontId="0" fillId="13" borderId="6" xfId="0" applyNumberFormat="1" applyFill="1" applyBorder="1"/>
    <xf numFmtId="37" fontId="0" fillId="13" borderId="7" xfId="0" applyNumberFormat="1" applyFill="1" applyBorder="1"/>
    <xf numFmtId="0" fontId="0" fillId="13" borderId="11" xfId="0" applyFill="1" applyBorder="1"/>
    <xf numFmtId="168" fontId="8" fillId="13" borderId="0" xfId="0" applyNumberFormat="1" applyFont="1" applyFill="1"/>
    <xf numFmtId="168" fontId="8" fillId="13" borderId="12" xfId="0" applyNumberFormat="1" applyFont="1" applyFill="1" applyBorder="1"/>
    <xf numFmtId="0" fontId="0" fillId="14" borderId="5" xfId="0" applyFill="1" applyBorder="1"/>
    <xf numFmtId="37" fontId="0" fillId="14" borderId="6" xfId="0" applyNumberFormat="1" applyFill="1" applyBorder="1"/>
    <xf numFmtId="37" fontId="0" fillId="14" borderId="7" xfId="0" applyNumberFormat="1" applyFill="1" applyBorder="1"/>
    <xf numFmtId="0" fontId="0" fillId="14" borderId="11" xfId="0" quotePrefix="1" applyFill="1" applyBorder="1"/>
    <xf numFmtId="168" fontId="8" fillId="14" borderId="0" xfId="0" applyNumberFormat="1" applyFont="1" applyFill="1"/>
    <xf numFmtId="168" fontId="8" fillId="14" borderId="12" xfId="0" applyNumberFormat="1" applyFont="1" applyFill="1" applyBorder="1"/>
    <xf numFmtId="0" fontId="0" fillId="15" borderId="5" xfId="0" applyFill="1" applyBorder="1"/>
    <xf numFmtId="37" fontId="0" fillId="15" borderId="6" xfId="0" applyNumberFormat="1" applyFill="1" applyBorder="1"/>
    <xf numFmtId="37" fontId="0" fillId="15" borderId="7" xfId="0" applyNumberFormat="1" applyFill="1" applyBorder="1"/>
    <xf numFmtId="0" fontId="0" fillId="15" borderId="11" xfId="0" applyFill="1" applyBorder="1"/>
    <xf numFmtId="168" fontId="8" fillId="15" borderId="0" xfId="0" applyNumberFormat="1" applyFont="1" applyFill="1"/>
    <xf numFmtId="168" fontId="8" fillId="15" borderId="12" xfId="0" applyNumberFormat="1" applyFont="1" applyFill="1" applyBorder="1"/>
    <xf numFmtId="0" fontId="0" fillId="16" borderId="5" xfId="0" applyFill="1" applyBorder="1"/>
    <xf numFmtId="37" fontId="0" fillId="16" borderId="6" xfId="0" applyNumberFormat="1" applyFill="1" applyBorder="1"/>
    <xf numFmtId="37" fontId="0" fillId="16" borderId="7" xfId="0" applyNumberFormat="1" applyFill="1" applyBorder="1"/>
    <xf numFmtId="0" fontId="0" fillId="16" borderId="8" xfId="0" applyFill="1" applyBorder="1"/>
    <xf numFmtId="0" fontId="8" fillId="16" borderId="9" xfId="0" applyFont="1" applyFill="1" applyBorder="1"/>
    <xf numFmtId="0" fontId="8" fillId="16" borderId="10" xfId="0" applyFont="1" applyFill="1" applyBorder="1"/>
    <xf numFmtId="0" fontId="0" fillId="4" borderId="13" xfId="0" applyFill="1" applyBorder="1"/>
    <xf numFmtId="0" fontId="0" fillId="4" borderId="1" xfId="0" applyFill="1" applyBorder="1"/>
    <xf numFmtId="0" fontId="0" fillId="4" borderId="14" xfId="0" applyFill="1" applyBorder="1"/>
    <xf numFmtId="0" fontId="0" fillId="17" borderId="5" xfId="0" applyFill="1" applyBorder="1"/>
    <xf numFmtId="37" fontId="0" fillId="17" borderId="0" xfId="0" applyNumberFormat="1" applyFill="1"/>
    <xf numFmtId="37" fontId="0" fillId="17" borderId="12" xfId="0" applyNumberFormat="1" applyFill="1" applyBorder="1"/>
    <xf numFmtId="0" fontId="0" fillId="17" borderId="11" xfId="0" applyFill="1" applyBorder="1"/>
    <xf numFmtId="168" fontId="8" fillId="17" borderId="0" xfId="0" applyNumberFormat="1" applyFont="1" applyFill="1"/>
    <xf numFmtId="168" fontId="8" fillId="17" borderId="12" xfId="0" applyNumberFormat="1" applyFont="1" applyFill="1" applyBorder="1"/>
    <xf numFmtId="0" fontId="0" fillId="18" borderId="5" xfId="0" applyFill="1" applyBorder="1"/>
    <xf numFmtId="37" fontId="0" fillId="18" borderId="6" xfId="0" applyNumberFormat="1" applyFill="1" applyBorder="1"/>
    <xf numFmtId="37" fontId="0" fillId="18" borderId="7" xfId="0" applyNumberFormat="1" applyFill="1" applyBorder="1"/>
    <xf numFmtId="0" fontId="0" fillId="18" borderId="8" xfId="0" applyFill="1" applyBorder="1"/>
    <xf numFmtId="168" fontId="8" fillId="18" borderId="9" xfId="0" applyNumberFormat="1" applyFont="1" applyFill="1" applyBorder="1"/>
    <xf numFmtId="168" fontId="8" fillId="18" borderId="10" xfId="0" applyNumberFormat="1" applyFont="1" applyFill="1" applyBorder="1"/>
    <xf numFmtId="3" fontId="6" fillId="0" borderId="0" xfId="2" applyNumberFormat="1" applyFont="1" applyAlignment="1">
      <alignment horizontal="right" vertical="center" shrinkToFit="1"/>
    </xf>
    <xf numFmtId="0" fontId="11" fillId="0" borderId="0" xfId="6" applyFont="1"/>
    <xf numFmtId="0" fontId="16" fillId="0" borderId="0" xfId="6"/>
    <xf numFmtId="0" fontId="13" fillId="0" borderId="0" xfId="6" applyFont="1" applyAlignment="1">
      <alignment horizontal="center"/>
    </xf>
    <xf numFmtId="0" fontId="13" fillId="9" borderId="2" xfId="6" applyFont="1" applyFill="1" applyBorder="1"/>
    <xf numFmtId="0" fontId="13" fillId="19" borderId="15" xfId="6" applyFont="1" applyFill="1" applyBorder="1"/>
    <xf numFmtId="0" fontId="10" fillId="9" borderId="2" xfId="6" applyFont="1" applyFill="1" applyBorder="1"/>
    <xf numFmtId="0" fontId="16" fillId="0" borderId="0" xfId="6" quotePrefix="1"/>
    <xf numFmtId="0" fontId="16" fillId="0" borderId="0" xfId="6" applyAlignment="1">
      <alignment horizontal="center"/>
    </xf>
  </cellXfs>
  <cellStyles count="7">
    <cellStyle name="Hyperlink" xfId="3" builtinId="8"/>
    <cellStyle name="Normal" xfId="0" builtinId="0"/>
    <cellStyle name="Normal 11 2 2 3" xfId="1" xr:uid="{A827287E-0AA6-41BE-96C9-73D4D3408EED}"/>
    <cellStyle name="Normal 2" xfId="2" xr:uid="{7CF17DA6-B1C1-4F10-B44C-AA761378CAF5}"/>
    <cellStyle name="Normal 3" xfId="6" xr:uid="{BF7F6EAD-C02E-46DB-85B9-4A2DDF46A7A8}"/>
    <cellStyle name="Normal 5" xfId="4" xr:uid="{73EA59DA-3A35-4AA0-A356-59BC737B2E9B}"/>
    <cellStyle name="Normal 6" xfId="5" xr:uid="{991A36B9-A762-4B92-BCBE-B9C654907D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ttgroup-my.sharepoint.com/personal/julius_kellomaki_vtt_fi/Documents/Documents/Diplomity&#246;/Data/Disaggr_FinalNrgCons_Commercial.xlsx" TargetMode="External"/><Relationship Id="rId1" Type="http://schemas.openxmlformats.org/officeDocument/2006/relationships/externalLinkPath" Target="https://vttgroup-my.sharepoint.com/personal/julius_kellomaki_vtt_fi/Documents/Documents/Diplomity&#246;/Data/Disaggr_FinalNrgCons_Commercia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ttgroup-my.sharepoint.com/personal/julius_kellomaki_vtt_fi/Documents/Documents/Diplomity&#246;/Data/DUKES_6.1.xlsx" TargetMode="External"/><Relationship Id="rId1" Type="http://schemas.openxmlformats.org/officeDocument/2006/relationships/externalLinkPath" Target="https://vttgroup-my.sharepoint.com/personal/julius_kellomaki_vtt_fi/Documents/Documents/Diplomity&#246;/Data/DUKES_6.1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ttgroup-my.sharepoint.com/personal/julius_kellomaki_vtt_fi/Documents/Documents/Diplomity&#246;/Data/DUKES_1.1.xlsx" TargetMode="External"/><Relationship Id="rId1" Type="http://schemas.openxmlformats.org/officeDocument/2006/relationships/externalLinkPath" Target="https://vttgroup-my.sharepoint.com/personal/julius_kellomaki_vtt_fi/Documents/Documents/Diplomity&#246;/Data/DUKES_1.1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ttgroup-my.sharepoint.com/personal/julius_kellomaki_vtt_fi/Documents/Documents/Diplomity&#246;/Data/DUKES_3.2.xlsx" TargetMode="External"/><Relationship Id="rId1" Type="http://schemas.openxmlformats.org/officeDocument/2006/relationships/externalLinkPath" Target="https://vttgroup-my.sharepoint.com/personal/julius_kellomaki_vtt_fi/Documents/Documents/Diplomity&#246;/Data/DUKES_3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"/>
      <sheetName val="COMCOA"/>
      <sheetName val="COMGAS"/>
      <sheetName val="COMOIL"/>
      <sheetName val="oil+lpg-biofuels"/>
      <sheetName val="COMLPG"/>
      <sheetName val="COMGEO"/>
      <sheetName val="COMSOL"/>
      <sheetName val="COMAHT"/>
      <sheetName val="COMBIO"/>
      <sheetName val="COMHET"/>
      <sheetName val="COMELC"/>
      <sheetName val="biofuels1"/>
      <sheetName val="biofuels2"/>
      <sheetName val="biofuels3"/>
      <sheetName val="biofuels4"/>
      <sheetName val="GASNAT"/>
      <sheetName val="BIOGAS"/>
      <sheetName val="Sheet 13"/>
      <sheetName val="Sheet 14"/>
      <sheetName val="Sheet 15"/>
      <sheetName val="Sheet 16"/>
    </sheetNames>
    <sheetDataSet>
      <sheetData sheetId="0"/>
      <sheetData sheetId="1"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179.01</v>
          </cell>
          <cell r="C14">
            <v>232.54300000000001</v>
          </cell>
          <cell r="D14">
            <v>137.23400000000001</v>
          </cell>
          <cell r="E14">
            <v>78.774000000000001</v>
          </cell>
        </row>
        <row r="15">
          <cell r="B15">
            <v>1651.454</v>
          </cell>
          <cell r="C15">
            <v>1044.1020000000001</v>
          </cell>
          <cell r="D15">
            <v>865.875</v>
          </cell>
          <cell r="E15">
            <v>466.11799999999999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</row>
        <row r="17">
          <cell r="B17">
            <v>3964.9140000000002</v>
          </cell>
          <cell r="C17">
            <v>7701.82</v>
          </cell>
          <cell r="D17">
            <v>52.618000000000002</v>
          </cell>
          <cell r="E17">
            <v>1800.7080000000001</v>
          </cell>
        </row>
        <row r="18">
          <cell r="B18">
            <v>81.48</v>
          </cell>
          <cell r="D18">
            <v>43.146000000000001</v>
          </cell>
          <cell r="E18">
            <v>19.952000000000002</v>
          </cell>
        </row>
        <row r="19">
          <cell r="B19">
            <v>41.366999999999997</v>
          </cell>
          <cell r="C19">
            <v>11.692</v>
          </cell>
          <cell r="D19">
            <v>7.5720000000000001</v>
          </cell>
          <cell r="E19">
            <v>8.8800000000000008</v>
          </cell>
        </row>
        <row r="20">
          <cell r="E20">
            <v>504.30099999999999</v>
          </cell>
        </row>
        <row r="21">
          <cell r="C21">
            <v>0</v>
          </cell>
          <cell r="D21">
            <v>0</v>
          </cell>
          <cell r="E21">
            <v>0</v>
          </cell>
        </row>
        <row r="22">
          <cell r="B22">
            <v>5486</v>
          </cell>
          <cell r="C22">
            <v>1780.83</v>
          </cell>
          <cell r="D22">
            <v>1282.47</v>
          </cell>
          <cell r="E22">
            <v>1206.4970000000001</v>
          </cell>
        </row>
        <row r="23">
          <cell r="B23">
            <v>41.524999999999999</v>
          </cell>
          <cell r="C23">
            <v>1.597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</row>
        <row r="26">
          <cell r="B26">
            <v>891.48</v>
          </cell>
          <cell r="C26">
            <v>263.01</v>
          </cell>
          <cell r="D26">
            <v>45.097999999999999</v>
          </cell>
          <cell r="E26">
            <v>51.790999999999997</v>
          </cell>
        </row>
        <row r="27">
          <cell r="B27">
            <v>1809.63</v>
          </cell>
          <cell r="C27">
            <v>1080.1600000000001</v>
          </cell>
          <cell r="D27">
            <v>790.79700000000003</v>
          </cell>
          <cell r="E27">
            <v>511.41199999999998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  <row r="29">
          <cell r="B29">
            <v>114.46</v>
          </cell>
          <cell r="C29">
            <v>122.518</v>
          </cell>
          <cell r="D29">
            <v>50.244999999999997</v>
          </cell>
          <cell r="E29">
            <v>23.244</v>
          </cell>
        </row>
        <row r="30">
          <cell r="B30">
            <v>160</v>
          </cell>
          <cell r="C30">
            <v>199.62</v>
          </cell>
          <cell r="D30">
            <v>182.02</v>
          </cell>
          <cell r="E30">
            <v>312.82</v>
          </cell>
        </row>
        <row r="31">
          <cell r="B31">
            <v>212.33600000000001</v>
          </cell>
          <cell r="C31">
            <v>0.57699999999999996</v>
          </cell>
          <cell r="D31">
            <v>0</v>
          </cell>
          <cell r="E31">
            <v>0</v>
          </cell>
        </row>
        <row r="32">
          <cell r="B32">
            <v>38047.440000000002</v>
          </cell>
          <cell r="C32">
            <v>27079.621999999999</v>
          </cell>
          <cell r="D32">
            <v>21268.815999999999</v>
          </cell>
          <cell r="E32">
            <v>10722.726000000001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</row>
        <row r="34">
          <cell r="B34">
            <v>23.148</v>
          </cell>
          <cell r="C34">
            <v>18.556000000000001</v>
          </cell>
          <cell r="D34">
            <v>3.2829999999999999</v>
          </cell>
          <cell r="E34">
            <v>2.5110000000000001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</row>
        <row r="36">
          <cell r="B36">
            <v>11707.984</v>
          </cell>
          <cell r="C36">
            <v>4562.5919999999996</v>
          </cell>
          <cell r="D36">
            <v>1981.9449999999999</v>
          </cell>
          <cell r="E36">
            <v>1455.0650000000001</v>
          </cell>
        </row>
        <row r="39">
          <cell r="B39">
            <v>0</v>
          </cell>
          <cell r="C39">
            <v>0</v>
          </cell>
          <cell r="D39">
            <v>3.9340000000000002</v>
          </cell>
          <cell r="E39">
            <v>3.9340000000000002</v>
          </cell>
        </row>
        <row r="40">
          <cell r="B40">
            <v>946.78399999999999</v>
          </cell>
          <cell r="C40">
            <v>928.202</v>
          </cell>
        </row>
      </sheetData>
      <sheetData sheetId="2">
        <row r="13">
          <cell r="B13">
            <v>84565.75</v>
          </cell>
          <cell r="C13">
            <v>74155.723000000013</v>
          </cell>
          <cell r="D13">
            <v>72819.909</v>
          </cell>
          <cell r="E13">
            <v>60981.593999999997</v>
          </cell>
        </row>
        <row r="14">
          <cell r="B14">
            <v>3400.239</v>
          </cell>
          <cell r="C14">
            <v>3886.7530000000002</v>
          </cell>
          <cell r="D14">
            <v>3723.4629999999997</v>
          </cell>
          <cell r="E14">
            <v>3719.0039999999999</v>
          </cell>
        </row>
        <row r="15">
          <cell r="B15">
            <v>54989.2</v>
          </cell>
          <cell r="C15">
            <v>45981.1</v>
          </cell>
          <cell r="D15">
            <v>45108.468999999997</v>
          </cell>
          <cell r="E15">
            <v>35588.127</v>
          </cell>
        </row>
        <row r="16">
          <cell r="B16">
            <v>9909.26</v>
          </cell>
          <cell r="C16">
            <v>7391.9750000000004</v>
          </cell>
          <cell r="D16">
            <v>8401.5829999999987</v>
          </cell>
          <cell r="E16">
            <v>9531.6570000000011</v>
          </cell>
        </row>
        <row r="17">
          <cell r="B17">
            <v>391802.23300000001</v>
          </cell>
          <cell r="C17">
            <v>418464.5</v>
          </cell>
          <cell r="D17">
            <v>433120.53700000001</v>
          </cell>
          <cell r="E17">
            <v>375625.804</v>
          </cell>
        </row>
        <row r="18">
          <cell r="B18">
            <v>1284.7</v>
          </cell>
          <cell r="C18">
            <v>3014.4</v>
          </cell>
          <cell r="D18">
            <v>3231.837</v>
          </cell>
          <cell r="E18">
            <v>1728.6860000000001</v>
          </cell>
        </row>
        <row r="19">
          <cell r="B19">
            <v>14270.383</v>
          </cell>
          <cell r="C19">
            <v>14950.014000000001</v>
          </cell>
          <cell r="D19">
            <v>13718.795</v>
          </cell>
          <cell r="E19">
            <v>13918.637000000001</v>
          </cell>
        </row>
        <row r="20">
          <cell r="B20">
            <v>5874.5339999999997</v>
          </cell>
          <cell r="C20">
            <v>7526.9610000000002</v>
          </cell>
          <cell r="D20">
            <v>6323.1689999999999</v>
          </cell>
          <cell r="E20">
            <v>4814.1130000000003</v>
          </cell>
        </row>
        <row r="21">
          <cell r="B21">
            <v>42390.582999999999</v>
          </cell>
          <cell r="C21">
            <v>73931.604999999996</v>
          </cell>
          <cell r="D21">
            <v>82155.525999999998</v>
          </cell>
          <cell r="E21">
            <v>79401.2</v>
          </cell>
        </row>
        <row r="22">
          <cell r="B22">
            <v>284204.30900000001</v>
          </cell>
          <cell r="C22">
            <v>247780.386</v>
          </cell>
          <cell r="D22">
            <v>240433.527</v>
          </cell>
          <cell r="E22">
            <v>207216.033</v>
          </cell>
        </row>
        <row r="23">
          <cell r="B23">
            <v>6576.74</v>
          </cell>
          <cell r="C23">
            <v>7107.2539999999999</v>
          </cell>
          <cell r="D23">
            <v>8219.4410000000007</v>
          </cell>
          <cell r="E23">
            <v>7194.7640000000001</v>
          </cell>
        </row>
        <row r="24">
          <cell r="B24">
            <v>360694.4</v>
          </cell>
          <cell r="C24">
            <v>273143.90000000002</v>
          </cell>
          <cell r="D24">
            <v>280944.28099999996</v>
          </cell>
          <cell r="E24">
            <v>233876.546</v>
          </cell>
        </row>
        <row r="25">
          <cell r="B25">
            <v>12</v>
          </cell>
          <cell r="C25">
            <v>12</v>
          </cell>
          <cell r="D25">
            <v>20.169</v>
          </cell>
          <cell r="E25">
            <v>37.081000000000003</v>
          </cell>
        </row>
        <row r="26">
          <cell r="B26">
            <v>4957.3999999999996</v>
          </cell>
          <cell r="C26">
            <v>3715.9</v>
          </cell>
          <cell r="D26">
            <v>4783.5159999999996</v>
          </cell>
          <cell r="E26">
            <v>4533.7160000000003</v>
          </cell>
        </row>
        <row r="27">
          <cell r="B27">
            <v>2850.1</v>
          </cell>
          <cell r="C27">
            <v>2765.9</v>
          </cell>
          <cell r="D27">
            <v>3098.3679999999999</v>
          </cell>
          <cell r="E27">
            <v>4078.24</v>
          </cell>
        </row>
        <row r="28">
          <cell r="B28">
            <v>5737.5129999999999</v>
          </cell>
          <cell r="C28">
            <v>4374.0529999999999</v>
          </cell>
          <cell r="D28">
            <v>3177.75</v>
          </cell>
          <cell r="E28">
            <v>3397.9690000000001</v>
          </cell>
        </row>
        <row r="29">
          <cell r="B29">
            <v>71922</v>
          </cell>
          <cell r="C29">
            <v>52896.4</v>
          </cell>
          <cell r="D29">
            <v>44604</v>
          </cell>
          <cell r="E29">
            <v>30855.8</v>
          </cell>
        </row>
        <row r="30">
          <cell r="B30">
            <v>170436.23699999999</v>
          </cell>
          <cell r="C30">
            <v>131797.57199999999</v>
          </cell>
          <cell r="D30">
            <v>106076.519</v>
          </cell>
          <cell r="E30">
            <v>90186.592000000004</v>
          </cell>
        </row>
        <row r="31">
          <cell r="B31">
            <v>17184.231</v>
          </cell>
          <cell r="C31">
            <v>15194.825000000001</v>
          </cell>
          <cell r="D31">
            <v>14567.367999999999</v>
          </cell>
          <cell r="E31">
            <v>14194.192999999999</v>
          </cell>
        </row>
        <row r="32">
          <cell r="B32">
            <v>85264.989000000001</v>
          </cell>
          <cell r="C32">
            <v>74186.671000000002</v>
          </cell>
          <cell r="D32">
            <v>50642.521999999997</v>
          </cell>
          <cell r="E32">
            <v>62121.112000000001</v>
          </cell>
        </row>
        <row r="33">
          <cell r="B33">
            <v>8217.9</v>
          </cell>
          <cell r="C33">
            <v>9782.5190000000002</v>
          </cell>
          <cell r="D33">
            <v>8486.5059999999994</v>
          </cell>
          <cell r="E33">
            <v>9374.9660000000003</v>
          </cell>
        </row>
        <row r="34">
          <cell r="B34">
            <v>39172.5</v>
          </cell>
          <cell r="C34">
            <v>31426.2</v>
          </cell>
          <cell r="D34">
            <v>32345.823</v>
          </cell>
          <cell r="E34">
            <v>36270.235999999997</v>
          </cell>
        </row>
        <row r="35">
          <cell r="B35">
            <v>1085.0999999999999</v>
          </cell>
          <cell r="C35">
            <v>2162.8000000000002</v>
          </cell>
          <cell r="D35">
            <v>1074.904</v>
          </cell>
          <cell r="E35">
            <v>2316.0459999999998</v>
          </cell>
        </row>
        <row r="36">
          <cell r="B36">
            <v>35478.5</v>
          </cell>
          <cell r="C36">
            <v>22635.599999999999</v>
          </cell>
          <cell r="D36">
            <v>15167.87</v>
          </cell>
          <cell r="E36">
            <v>18323.099999999999</v>
          </cell>
        </row>
        <row r="37">
          <cell r="B37">
            <v>1723.7919999999999</v>
          </cell>
          <cell r="C37">
            <v>1686</v>
          </cell>
          <cell r="D37">
            <v>1610</v>
          </cell>
          <cell r="E37">
            <v>1297.5700000000002</v>
          </cell>
        </row>
        <row r="38">
          <cell r="B38">
            <v>4298.3999999999996</v>
          </cell>
          <cell r="C38">
            <v>3977.1</v>
          </cell>
          <cell r="D38">
            <v>3986.7330000000002</v>
          </cell>
          <cell r="E38">
            <v>3157.8159999999998</v>
          </cell>
        </row>
        <row r="39">
          <cell r="B39">
            <v>1472.1320000000001</v>
          </cell>
          <cell r="C39">
            <v>1498.568</v>
          </cell>
          <cell r="D39">
            <v>1467.998</v>
          </cell>
          <cell r="E39">
            <v>842.38699999999994</v>
          </cell>
        </row>
        <row r="40">
          <cell r="B40">
            <v>294514</v>
          </cell>
          <cell r="C40">
            <v>262076.37599999999</v>
          </cell>
        </row>
      </sheetData>
      <sheetData sheetId="3">
        <row r="13">
          <cell r="B13">
            <v>41450.699999999997</v>
          </cell>
          <cell r="C13">
            <v>35033.72</v>
          </cell>
          <cell r="D13">
            <v>26395.66</v>
          </cell>
          <cell r="E13">
            <v>17758.61</v>
          </cell>
        </row>
        <row r="14">
          <cell r="B14">
            <v>1675.9</v>
          </cell>
          <cell r="C14">
            <v>1392.2</v>
          </cell>
          <cell r="D14">
            <v>705.50400000000002</v>
          </cell>
          <cell r="E14">
            <v>1058.153</v>
          </cell>
        </row>
        <row r="15">
          <cell r="B15">
            <v>667.98799999999994</v>
          </cell>
          <cell r="C15">
            <v>870.81600000000003</v>
          </cell>
          <cell r="D15">
            <v>584.83800000000008</v>
          </cell>
          <cell r="E15">
            <v>711.89599999999996</v>
          </cell>
        </row>
        <row r="16">
          <cell r="B16">
            <v>2773.2</v>
          </cell>
          <cell r="C16">
            <v>2217.8000000000002</v>
          </cell>
          <cell r="D16">
            <v>1239.2730000000001</v>
          </cell>
          <cell r="E16">
            <v>1010.9849999999999</v>
          </cell>
        </row>
        <row r="17">
          <cell r="B17">
            <v>315215.10500000004</v>
          </cell>
          <cell r="C17">
            <v>286357.36200000002</v>
          </cell>
          <cell r="D17">
            <v>109166.91800000001</v>
          </cell>
          <cell r="E17">
            <v>66784.560000000012</v>
          </cell>
        </row>
        <row r="18">
          <cell r="B18">
            <v>1179.1999999999998</v>
          </cell>
          <cell r="C18">
            <v>1346.06</v>
          </cell>
          <cell r="D18">
            <v>783.09999999999991</v>
          </cell>
          <cell r="E18">
            <v>990.84199999999987</v>
          </cell>
        </row>
        <row r="19">
          <cell r="B19">
            <v>6800.7180000000008</v>
          </cell>
          <cell r="C19">
            <v>7392.2340000000004</v>
          </cell>
          <cell r="D19">
            <v>5749.4089999999997</v>
          </cell>
          <cell r="E19">
            <v>5237.0730000000003</v>
          </cell>
        </row>
        <row r="20">
          <cell r="B20">
            <v>8818.2000000000007</v>
          </cell>
          <cell r="C20">
            <v>3045.2000000000003</v>
          </cell>
          <cell r="D20">
            <v>1706.8030000000003</v>
          </cell>
          <cell r="E20">
            <v>981.79299999999967</v>
          </cell>
        </row>
        <row r="21">
          <cell r="B21">
            <v>51360.399999999994</v>
          </cell>
          <cell r="C21">
            <v>36615.595999999998</v>
          </cell>
          <cell r="D21">
            <v>41037.199999999997</v>
          </cell>
          <cell r="E21">
            <v>35372.603000000003</v>
          </cell>
        </row>
        <row r="22">
          <cell r="B22">
            <v>121644.02900000001</v>
          </cell>
          <cell r="C22">
            <v>106059.492</v>
          </cell>
          <cell r="D22">
            <v>89215.614000000001</v>
          </cell>
          <cell r="E22">
            <v>62855.109000000004</v>
          </cell>
        </row>
        <row r="23">
          <cell r="B23">
            <v>3483.74</v>
          </cell>
          <cell r="C23">
            <v>2043.15</v>
          </cell>
          <cell r="D23">
            <v>1093.3760000000002</v>
          </cell>
          <cell r="E23">
            <v>990.87200000000007</v>
          </cell>
        </row>
        <row r="24">
          <cell r="B24">
            <v>10096.199999999997</v>
          </cell>
          <cell r="C24">
            <v>6390</v>
          </cell>
          <cell r="D24">
            <v>3313.3799999999974</v>
          </cell>
          <cell r="E24">
            <v>2456.3820000000005</v>
          </cell>
        </row>
        <row r="25">
          <cell r="B25">
            <v>1069.8919999999998</v>
          </cell>
          <cell r="C25">
            <v>680.86900000000014</v>
          </cell>
          <cell r="D25">
            <v>699.62499999999989</v>
          </cell>
          <cell r="E25">
            <v>959.52099999999996</v>
          </cell>
        </row>
        <row r="26">
          <cell r="B26">
            <v>1405.778</v>
          </cell>
          <cell r="C26">
            <v>2041</v>
          </cell>
          <cell r="D26">
            <v>1284.0940000000001</v>
          </cell>
          <cell r="E26">
            <v>2020.2899999999997</v>
          </cell>
        </row>
        <row r="27">
          <cell r="B27">
            <v>168.98</v>
          </cell>
          <cell r="C27">
            <v>85.72</v>
          </cell>
          <cell r="D27">
            <v>81.629000000000005</v>
          </cell>
          <cell r="E27">
            <v>94.506</v>
          </cell>
        </row>
        <row r="28">
          <cell r="B28">
            <v>2036.1359999999997</v>
          </cell>
          <cell r="C28">
            <v>2819.5170000000003</v>
          </cell>
          <cell r="D28">
            <v>4664.6410000000005</v>
          </cell>
          <cell r="E28">
            <v>3198.866</v>
          </cell>
        </row>
        <row r="29">
          <cell r="C29">
            <v>1002.5999999999999</v>
          </cell>
          <cell r="D29">
            <v>769.5</v>
          </cell>
          <cell r="E29">
            <v>600.59999999999991</v>
          </cell>
        </row>
        <row r="30">
          <cell r="B30">
            <v>7214.4000000000005</v>
          </cell>
          <cell r="C30">
            <v>7296.6129999999994</v>
          </cell>
          <cell r="D30">
            <v>7244.3190000000004</v>
          </cell>
          <cell r="E30">
            <v>6746.0319999999992</v>
          </cell>
        </row>
        <row r="31">
          <cell r="B31">
            <v>8160.9920000000002</v>
          </cell>
          <cell r="C31">
            <v>7099.183</v>
          </cell>
          <cell r="D31">
            <v>6892.7280000000001</v>
          </cell>
          <cell r="E31">
            <v>4503.4500000000007</v>
          </cell>
        </row>
        <row r="32">
          <cell r="B32">
            <v>27548.9</v>
          </cell>
          <cell r="C32">
            <v>14577</v>
          </cell>
          <cell r="D32">
            <v>13919.121000000001</v>
          </cell>
          <cell r="E32">
            <v>9470.36</v>
          </cell>
        </row>
        <row r="33">
          <cell r="B33">
            <v>7876</v>
          </cell>
          <cell r="C33">
            <v>3550</v>
          </cell>
          <cell r="D33">
            <v>2365.9210000000003</v>
          </cell>
          <cell r="E33">
            <v>1660.9530000000002</v>
          </cell>
        </row>
        <row r="34">
          <cell r="B34">
            <v>2189.52</v>
          </cell>
          <cell r="C34">
            <v>2108.3389999999999</v>
          </cell>
          <cell r="D34">
            <v>2689.1379999999999</v>
          </cell>
          <cell r="E34">
            <v>2615.8579999999997</v>
          </cell>
        </row>
        <row r="35">
          <cell r="B35">
            <v>8008.8</v>
          </cell>
          <cell r="C35">
            <v>3067.1280000000002</v>
          </cell>
          <cell r="D35">
            <v>2825.5729999999999</v>
          </cell>
          <cell r="E35">
            <v>1799.6279999999999</v>
          </cell>
        </row>
        <row r="36">
          <cell r="C36">
            <v>252.74400000000003</v>
          </cell>
          <cell r="D36">
            <v>126.25800000000001</v>
          </cell>
          <cell r="E36">
            <v>84.144000000000005</v>
          </cell>
        </row>
        <row r="37">
          <cell r="B37">
            <v>13387.592999999999</v>
          </cell>
          <cell r="C37">
            <v>10292.972</v>
          </cell>
          <cell r="D37">
            <v>9990.84</v>
          </cell>
          <cell r="E37">
            <v>10972.332999999999</v>
          </cell>
        </row>
        <row r="38">
          <cell r="B38">
            <v>12638.033000000001</v>
          </cell>
          <cell r="C38">
            <v>10838.21</v>
          </cell>
          <cell r="D38">
            <v>10902.369999999997</v>
          </cell>
          <cell r="E38">
            <v>7423.2210000000005</v>
          </cell>
        </row>
        <row r="39">
          <cell r="B39">
            <v>13283.894</v>
          </cell>
          <cell r="C39">
            <v>10220.130999999999</v>
          </cell>
          <cell r="D39">
            <v>10427.407000000001</v>
          </cell>
          <cell r="E39">
            <v>10823.874000000002</v>
          </cell>
        </row>
        <row r="40">
          <cell r="B40">
            <v>27239.58</v>
          </cell>
          <cell r="C40">
            <v>31049.911</v>
          </cell>
        </row>
      </sheetData>
      <sheetData sheetId="4"/>
      <sheetData sheetId="5">
        <row r="13">
          <cell r="B13">
            <v>598</v>
          </cell>
          <cell r="D13">
            <v>736</v>
          </cell>
          <cell r="F13">
            <v>827.75</v>
          </cell>
          <cell r="H13">
            <v>756.8</v>
          </cell>
        </row>
        <row r="14">
          <cell r="B14">
            <v>230</v>
          </cell>
          <cell r="D14">
            <v>230</v>
          </cell>
          <cell r="F14">
            <v>361.05399999999997</v>
          </cell>
          <cell r="H14">
            <v>563.54600000000005</v>
          </cell>
        </row>
        <row r="15">
          <cell r="B15">
            <v>87.644000000000005</v>
          </cell>
          <cell r="D15">
            <v>262.8</v>
          </cell>
          <cell r="F15">
            <v>350.4</v>
          </cell>
          <cell r="H15">
            <v>394.2</v>
          </cell>
        </row>
        <row r="16">
          <cell r="B16">
            <v>368</v>
          </cell>
          <cell r="D16">
            <v>381.61599999999999</v>
          </cell>
          <cell r="F16">
            <v>340.49200000000002</v>
          </cell>
          <cell r="H16">
            <v>431.52600000000001</v>
          </cell>
        </row>
        <row r="17">
          <cell r="B17">
            <v>15282.291999999999</v>
          </cell>
          <cell r="D17">
            <v>14018.093999999999</v>
          </cell>
          <cell r="F17">
            <v>7150.2839999999997</v>
          </cell>
          <cell r="H17">
            <v>1809.1079999999999</v>
          </cell>
        </row>
        <row r="18">
          <cell r="B18">
            <v>45.054000000000002</v>
          </cell>
          <cell r="D18">
            <v>45.5</v>
          </cell>
          <cell r="F18">
            <v>94.185000000000002</v>
          </cell>
          <cell r="H18">
            <v>165.57499999999999</v>
          </cell>
        </row>
        <row r="19">
          <cell r="B19">
            <v>3140.5419999999999</v>
          </cell>
          <cell r="D19">
            <v>2894.011</v>
          </cell>
          <cell r="F19">
            <v>2239.105</v>
          </cell>
          <cell r="H19">
            <v>2910.2280000000001</v>
          </cell>
        </row>
        <row r="20">
          <cell r="B20">
            <v>1840</v>
          </cell>
          <cell r="D20">
            <v>1978</v>
          </cell>
          <cell r="F20">
            <v>1950.86</v>
          </cell>
          <cell r="H20">
            <v>4533.6220000000003</v>
          </cell>
        </row>
        <row r="21">
          <cell r="B21">
            <v>8466.7000000000007</v>
          </cell>
          <cell r="D21">
            <v>7804.5</v>
          </cell>
          <cell r="F21">
            <v>4871.8999999999996</v>
          </cell>
          <cell r="H21">
            <v>10791.306</v>
          </cell>
        </row>
        <row r="22">
          <cell r="B22">
            <v>21249.378000000001</v>
          </cell>
          <cell r="D22">
            <v>14163.078</v>
          </cell>
          <cell r="F22">
            <v>10988.48</v>
          </cell>
          <cell r="H22">
            <v>8327.8860000000004</v>
          </cell>
        </row>
        <row r="23">
          <cell r="B23">
            <v>609.57000000000005</v>
          </cell>
          <cell r="D23">
            <v>562.67999999999995</v>
          </cell>
          <cell r="F23">
            <v>468.9</v>
          </cell>
          <cell r="H23">
            <v>314.16300000000001</v>
          </cell>
        </row>
        <row r="24">
          <cell r="B24">
            <v>24610</v>
          </cell>
          <cell r="D24">
            <v>17204</v>
          </cell>
          <cell r="F24">
            <v>18196.312000000002</v>
          </cell>
          <cell r="H24">
            <v>18707.878000000001</v>
          </cell>
        </row>
        <row r="25">
          <cell r="B25">
            <v>614.9</v>
          </cell>
          <cell r="D25">
            <v>520.29999999999995</v>
          </cell>
          <cell r="F25">
            <v>526.11800000000005</v>
          </cell>
          <cell r="H25">
            <v>508.04899999999998</v>
          </cell>
        </row>
        <row r="26">
          <cell r="B26">
            <v>91.08</v>
          </cell>
          <cell r="D26">
            <v>136.62</v>
          </cell>
          <cell r="F26">
            <v>214.584</v>
          </cell>
          <cell r="H26">
            <v>281.392</v>
          </cell>
        </row>
        <row r="27">
          <cell r="B27">
            <v>0</v>
          </cell>
          <cell r="D27">
            <v>0</v>
          </cell>
          <cell r="F27">
            <v>32.052999999999997</v>
          </cell>
          <cell r="H27">
            <v>32.011000000000003</v>
          </cell>
        </row>
        <row r="28">
          <cell r="B28">
            <v>369.334</v>
          </cell>
          <cell r="D28">
            <v>388.7</v>
          </cell>
          <cell r="F28">
            <v>296.83800000000002</v>
          </cell>
          <cell r="H28">
            <v>447.94799999999998</v>
          </cell>
        </row>
        <row r="29">
          <cell r="B29">
            <v>893</v>
          </cell>
          <cell r="D29">
            <v>658</v>
          </cell>
          <cell r="F29">
            <v>738.24</v>
          </cell>
          <cell r="H29">
            <v>506.81400000000002</v>
          </cell>
        </row>
        <row r="30">
          <cell r="B30">
            <v>2350.192</v>
          </cell>
          <cell r="D30">
            <v>1850.652</v>
          </cell>
          <cell r="F30">
            <v>1701.0989999999999</v>
          </cell>
          <cell r="H30">
            <v>1640.029</v>
          </cell>
        </row>
        <row r="31">
          <cell r="B31">
            <v>2772.558</v>
          </cell>
          <cell r="D31">
            <v>143.89400000000001</v>
          </cell>
          <cell r="F31">
            <v>309.64999999999998</v>
          </cell>
          <cell r="H31">
            <v>110.82599999999999</v>
          </cell>
        </row>
        <row r="32">
          <cell r="B32">
            <v>3404</v>
          </cell>
          <cell r="D32">
            <v>2990</v>
          </cell>
          <cell r="F32">
            <v>2300</v>
          </cell>
          <cell r="H32">
            <v>1625.64</v>
          </cell>
        </row>
        <row r="33">
          <cell r="B33">
            <v>2208</v>
          </cell>
          <cell r="D33">
            <v>3404</v>
          </cell>
          <cell r="F33">
            <v>2623.1039999999998</v>
          </cell>
          <cell r="H33">
            <v>3185.6379999999999</v>
          </cell>
        </row>
        <row r="34">
          <cell r="B34">
            <v>914.58399999999995</v>
          </cell>
          <cell r="D34">
            <v>1347.808</v>
          </cell>
          <cell r="F34">
            <v>1123.7470000000001</v>
          </cell>
          <cell r="H34">
            <v>950.54499999999996</v>
          </cell>
        </row>
        <row r="35">
          <cell r="B35">
            <v>0</v>
          </cell>
          <cell r="D35">
            <v>0</v>
          </cell>
          <cell r="F35">
            <v>0</v>
          </cell>
          <cell r="H35">
            <v>491.30700000000002</v>
          </cell>
        </row>
        <row r="36">
          <cell r="B36">
            <v>828</v>
          </cell>
          <cell r="D36">
            <v>322</v>
          </cell>
          <cell r="F36">
            <v>92</v>
          </cell>
          <cell r="H36">
            <v>92</v>
          </cell>
        </row>
        <row r="37">
          <cell r="B37">
            <v>0</v>
          </cell>
          <cell r="D37">
            <v>0</v>
          </cell>
          <cell r="F37">
            <v>0</v>
          </cell>
          <cell r="H37">
            <v>0</v>
          </cell>
        </row>
        <row r="38">
          <cell r="B38">
            <v>3789.203</v>
          </cell>
          <cell r="D38">
            <v>505.96800000000002</v>
          </cell>
          <cell r="F38">
            <v>503.03100000000001</v>
          </cell>
          <cell r="H38">
            <v>503.03100000000001</v>
          </cell>
        </row>
        <row r="39">
          <cell r="B39">
            <v>368.8</v>
          </cell>
          <cell r="D39">
            <v>783.7</v>
          </cell>
          <cell r="F39">
            <v>1347.9179999999999</v>
          </cell>
          <cell r="H39">
            <v>2313.114</v>
          </cell>
        </row>
        <row r="40">
          <cell r="D40">
            <v>15884.727000000001</v>
          </cell>
        </row>
      </sheetData>
      <sheetData sheetId="6"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1368</v>
          </cell>
          <cell r="C14">
            <v>1400</v>
          </cell>
          <cell r="D14">
            <v>1495</v>
          </cell>
          <cell r="E14">
            <v>1553.905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</row>
        <row r="17">
          <cell r="B17">
            <v>1663</v>
          </cell>
          <cell r="C17">
            <v>1901</v>
          </cell>
          <cell r="D17">
            <v>2398</v>
          </cell>
          <cell r="E17">
            <v>2376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</row>
        <row r="20">
          <cell r="B20">
            <v>246</v>
          </cell>
          <cell r="C20">
            <v>251</v>
          </cell>
          <cell r="D20">
            <v>105</v>
          </cell>
          <cell r="E20">
            <v>259</v>
          </cell>
        </row>
        <row r="21">
          <cell r="B21">
            <v>4.2</v>
          </cell>
          <cell r="C21">
            <v>4.2</v>
          </cell>
          <cell r="D21">
            <v>4.2</v>
          </cell>
          <cell r="E21">
            <v>4.2</v>
          </cell>
        </row>
        <row r="22">
          <cell r="B22">
            <v>602.50400000000002</v>
          </cell>
          <cell r="C22">
            <v>700.15</v>
          </cell>
          <cell r="D22">
            <v>700.15</v>
          </cell>
          <cell r="E22">
            <v>700.15</v>
          </cell>
        </row>
        <row r="23">
          <cell r="B23">
            <v>285</v>
          </cell>
          <cell r="C23">
            <v>204</v>
          </cell>
          <cell r="D23">
            <v>157.6</v>
          </cell>
          <cell r="E23">
            <v>88.6</v>
          </cell>
        </row>
        <row r="24">
          <cell r="B24">
            <v>3185</v>
          </cell>
          <cell r="C24">
            <v>3197</v>
          </cell>
          <cell r="D24">
            <v>3062.7759999999998</v>
          </cell>
          <cell r="E24">
            <v>2740.2919999999999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  <row r="29">
          <cell r="B29">
            <v>3274</v>
          </cell>
          <cell r="C29">
            <v>819</v>
          </cell>
          <cell r="D29">
            <v>919</v>
          </cell>
          <cell r="E29">
            <v>1578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320.65199999999999</v>
          </cell>
          <cell r="C31">
            <v>300.839</v>
          </cell>
          <cell r="D31">
            <v>492.815</v>
          </cell>
          <cell r="E31">
            <v>323.89400000000001</v>
          </cell>
        </row>
        <row r="32">
          <cell r="B32">
            <v>123</v>
          </cell>
          <cell r="C32">
            <v>235</v>
          </cell>
          <cell r="D32">
            <v>268.37</v>
          </cell>
          <cell r="E32">
            <v>343.07299999999998</v>
          </cell>
        </row>
        <row r="33">
          <cell r="B33">
            <v>42</v>
          </cell>
          <cell r="C33">
            <v>64</v>
          </cell>
          <cell r="D33">
            <v>55</v>
          </cell>
          <cell r="E33">
            <v>79</v>
          </cell>
        </row>
        <row r="34">
          <cell r="B34">
            <v>177</v>
          </cell>
          <cell r="C34">
            <v>642</v>
          </cell>
          <cell r="D34">
            <v>241.227</v>
          </cell>
          <cell r="E34">
            <v>296.31099999999998</v>
          </cell>
        </row>
        <row r="35">
          <cell r="B35">
            <v>633</v>
          </cell>
          <cell r="C35">
            <v>347</v>
          </cell>
          <cell r="D35">
            <v>348.05</v>
          </cell>
          <cell r="E35">
            <v>436.78</v>
          </cell>
        </row>
        <row r="36">
          <cell r="B36">
            <v>48</v>
          </cell>
          <cell r="C36">
            <v>29</v>
          </cell>
          <cell r="D36">
            <v>0</v>
          </cell>
          <cell r="E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</row>
        <row r="40">
          <cell r="B40">
            <v>33</v>
          </cell>
          <cell r="C40">
            <v>16.5</v>
          </cell>
        </row>
      </sheetData>
      <sheetData sheetId="7">
        <row r="13">
          <cell r="B13">
            <v>33.200000000000003</v>
          </cell>
          <cell r="C13">
            <v>45.8</v>
          </cell>
          <cell r="D13">
            <v>66.599999999999994</v>
          </cell>
          <cell r="E13">
            <v>61.1</v>
          </cell>
        </row>
        <row r="14">
          <cell r="B14">
            <v>158</v>
          </cell>
          <cell r="C14">
            <v>508</v>
          </cell>
          <cell r="D14">
            <v>665.48299999999995</v>
          </cell>
          <cell r="E14">
            <v>807.16200000000003</v>
          </cell>
        </row>
        <row r="15">
          <cell r="B15">
            <v>79.584000000000003</v>
          </cell>
          <cell r="C15">
            <v>145.38399999999999</v>
          </cell>
          <cell r="D15">
            <v>172.595</v>
          </cell>
          <cell r="E15">
            <v>190.05</v>
          </cell>
        </row>
        <row r="16">
          <cell r="B16">
            <v>73.855999999999995</v>
          </cell>
          <cell r="C16">
            <v>87.111999999999995</v>
          </cell>
          <cell r="D16">
            <v>91.647999999999996</v>
          </cell>
          <cell r="E16">
            <v>90.233999999999995</v>
          </cell>
        </row>
        <row r="17">
          <cell r="B17">
            <v>1052</v>
          </cell>
          <cell r="C17">
            <v>1211</v>
          </cell>
          <cell r="D17">
            <v>1313</v>
          </cell>
          <cell r="E17">
            <v>1303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</row>
        <row r="19">
          <cell r="B19">
            <v>6.42</v>
          </cell>
          <cell r="C19">
            <v>6.9569999999999999</v>
          </cell>
          <cell r="D19">
            <v>6.9720000000000004</v>
          </cell>
          <cell r="E19">
            <v>6.9720000000000004</v>
          </cell>
        </row>
        <row r="20">
          <cell r="B20">
            <v>374</v>
          </cell>
          <cell r="C20">
            <v>401</v>
          </cell>
          <cell r="D20">
            <v>447.9</v>
          </cell>
          <cell r="E20">
            <v>515.32299999999998</v>
          </cell>
        </row>
        <row r="21">
          <cell r="B21">
            <v>1476</v>
          </cell>
          <cell r="C21">
            <v>1990.44</v>
          </cell>
          <cell r="D21">
            <v>2064.4540000000002</v>
          </cell>
          <cell r="E21">
            <v>1889.7170000000001</v>
          </cell>
        </row>
        <row r="22">
          <cell r="B22">
            <v>140</v>
          </cell>
          <cell r="C22">
            <v>483.67200000000003</v>
          </cell>
          <cell r="D22">
            <v>562.23</v>
          </cell>
          <cell r="E22">
            <v>548.84799999999996</v>
          </cell>
        </row>
        <row r="23">
          <cell r="B23">
            <v>65</v>
          </cell>
          <cell r="C23">
            <v>130</v>
          </cell>
          <cell r="D23">
            <v>205.3</v>
          </cell>
          <cell r="E23">
            <v>206.6</v>
          </cell>
        </row>
        <row r="24">
          <cell r="B24">
            <v>1123</v>
          </cell>
          <cell r="C24">
            <v>1591</v>
          </cell>
          <cell r="D24">
            <v>1811.2639999999999</v>
          </cell>
          <cell r="E24">
            <v>1861.8630000000001</v>
          </cell>
        </row>
        <row r="25">
          <cell r="B25">
            <v>382</v>
          </cell>
          <cell r="C25">
            <v>426</v>
          </cell>
          <cell r="D25">
            <v>464.541</v>
          </cell>
          <cell r="E25">
            <v>389.23099999999999</v>
          </cell>
        </row>
        <row r="26">
          <cell r="B26">
            <v>0</v>
          </cell>
          <cell r="C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  <row r="29">
          <cell r="B29">
            <v>7</v>
          </cell>
          <cell r="C29">
            <v>9</v>
          </cell>
          <cell r="D29">
            <v>11</v>
          </cell>
          <cell r="E29">
            <v>13</v>
          </cell>
        </row>
        <row r="30">
          <cell r="B30">
            <v>199</v>
          </cell>
          <cell r="C30">
            <v>227</v>
          </cell>
          <cell r="D30">
            <v>235</v>
          </cell>
          <cell r="E30">
            <v>235</v>
          </cell>
        </row>
        <row r="31">
          <cell r="B31">
            <v>2114.2310000000002</v>
          </cell>
          <cell r="C31">
            <v>2169.8960000000002</v>
          </cell>
          <cell r="D31">
            <v>2864.74</v>
          </cell>
          <cell r="E31">
            <v>2343.0790000000002</v>
          </cell>
        </row>
        <row r="32">
          <cell r="B32">
            <v>100</v>
          </cell>
          <cell r="C32">
            <v>230</v>
          </cell>
          <cell r="D32">
            <v>234.82400000000001</v>
          </cell>
          <cell r="E32">
            <v>220.553</v>
          </cell>
        </row>
        <row r="33">
          <cell r="B33">
            <v>805</v>
          </cell>
          <cell r="C33">
            <v>1344</v>
          </cell>
          <cell r="D33">
            <v>1686.309</v>
          </cell>
          <cell r="E33">
            <v>1948.7</v>
          </cell>
        </row>
        <row r="34">
          <cell r="B34">
            <v>3</v>
          </cell>
          <cell r="C34">
            <v>1</v>
          </cell>
          <cell r="D34">
            <v>1.581</v>
          </cell>
          <cell r="E34">
            <v>16.231999999999999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</row>
        <row r="36">
          <cell r="B36">
            <v>19</v>
          </cell>
          <cell r="C36">
            <v>34</v>
          </cell>
          <cell r="D36">
            <v>31</v>
          </cell>
          <cell r="E36">
            <v>80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</row>
        <row r="40">
          <cell r="B40">
            <v>0</v>
          </cell>
          <cell r="C40">
            <v>0</v>
          </cell>
        </row>
      </sheetData>
      <sheetData sheetId="8">
        <row r="13">
          <cell r="B13">
            <v>99</v>
          </cell>
          <cell r="C13">
            <v>132.1</v>
          </cell>
          <cell r="D13">
            <v>724.5</v>
          </cell>
          <cell r="E13">
            <v>1668.1</v>
          </cell>
        </row>
        <row r="14">
          <cell r="B14">
            <v>1582.2</v>
          </cell>
          <cell r="C14">
            <v>3134.1640000000002</v>
          </cell>
          <cell r="D14">
            <v>4672.4040000000005</v>
          </cell>
          <cell r="E14">
            <v>7097.5659999999998</v>
          </cell>
        </row>
        <row r="15">
          <cell r="B15">
            <v>200.261</v>
          </cell>
          <cell r="C15">
            <v>452.19299999999998</v>
          </cell>
          <cell r="D15">
            <v>978.65899999999999</v>
          </cell>
          <cell r="E15">
            <v>1937.1189999999999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</row>
        <row r="17">
          <cell r="B17">
            <v>1422</v>
          </cell>
          <cell r="C17">
            <v>2456</v>
          </cell>
          <cell r="D17">
            <v>4759</v>
          </cell>
          <cell r="E17">
            <v>7153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</row>
        <row r="19">
          <cell r="B19">
            <v>223.327</v>
          </cell>
          <cell r="C19">
            <v>423.56</v>
          </cell>
          <cell r="D19">
            <v>860.524</v>
          </cell>
          <cell r="E19">
            <v>1016.746</v>
          </cell>
        </row>
        <row r="20">
          <cell r="B20">
            <v>0</v>
          </cell>
          <cell r="C20">
            <v>0</v>
          </cell>
          <cell r="D20">
            <v>12699</v>
          </cell>
          <cell r="E20">
            <v>16671.734</v>
          </cell>
        </row>
        <row r="21">
          <cell r="B21">
            <v>0</v>
          </cell>
          <cell r="C21">
            <v>7546.9759999999997</v>
          </cell>
          <cell r="D21">
            <v>22935.794999999998</v>
          </cell>
          <cell r="E21">
            <v>33679.648999999998</v>
          </cell>
        </row>
        <row r="22">
          <cell r="B22">
            <v>6608.2430000000004</v>
          </cell>
          <cell r="C22">
            <v>15158.855</v>
          </cell>
          <cell r="D22">
            <v>16397.074000000001</v>
          </cell>
          <cell r="E22">
            <v>10360.473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0</v>
          </cell>
          <cell r="D24">
            <v>99647.838000000003</v>
          </cell>
          <cell r="E24">
            <v>84532.15</v>
          </cell>
        </row>
        <row r="25">
          <cell r="B25">
            <v>0</v>
          </cell>
          <cell r="C25">
            <v>0</v>
          </cell>
          <cell r="D25">
            <v>1478.4359999999999</v>
          </cell>
          <cell r="E25">
            <v>1595.5609999999999</v>
          </cell>
        </row>
        <row r="26">
          <cell r="B26">
            <v>0</v>
          </cell>
          <cell r="C26">
            <v>0</v>
          </cell>
          <cell r="D26">
            <v>35.720999999999997</v>
          </cell>
          <cell r="E26">
            <v>23.448</v>
          </cell>
        </row>
        <row r="27">
          <cell r="B27">
            <v>0</v>
          </cell>
          <cell r="C27">
            <v>0</v>
          </cell>
          <cell r="D27">
            <v>59</v>
          </cell>
          <cell r="E27">
            <v>207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  <row r="29">
          <cell r="B29">
            <v>0</v>
          </cell>
          <cell r="C29">
            <v>0</v>
          </cell>
          <cell r="D29">
            <v>175</v>
          </cell>
          <cell r="E29">
            <v>991</v>
          </cell>
        </row>
        <row r="30">
          <cell r="B30">
            <v>1789.6469999999999</v>
          </cell>
          <cell r="C30">
            <v>3695.8310000000001</v>
          </cell>
          <cell r="D30">
            <v>6762.1509999999998</v>
          </cell>
          <cell r="E30">
            <v>9808.6679999999997</v>
          </cell>
        </row>
        <row r="31">
          <cell r="B31">
            <v>2848.498</v>
          </cell>
          <cell r="C31">
            <v>4674.6549999999997</v>
          </cell>
          <cell r="D31">
            <v>5354.5690000000004</v>
          </cell>
          <cell r="E31">
            <v>10123.335999999999</v>
          </cell>
        </row>
        <row r="32">
          <cell r="B32">
            <v>248.11799999999999</v>
          </cell>
          <cell r="C32">
            <v>579.74699999999996</v>
          </cell>
          <cell r="D32">
            <v>842.69200000000001</v>
          </cell>
          <cell r="E32">
            <v>1252.578</v>
          </cell>
        </row>
        <row r="33">
          <cell r="B33">
            <v>0</v>
          </cell>
          <cell r="C33">
            <v>16226.127</v>
          </cell>
          <cell r="D33">
            <v>19404</v>
          </cell>
          <cell r="E33">
            <v>23615.94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289.24</v>
          </cell>
        </row>
        <row r="36">
          <cell r="B36">
            <v>0</v>
          </cell>
          <cell r="C36">
            <v>0</v>
          </cell>
          <cell r="D36">
            <v>555.48</v>
          </cell>
          <cell r="E36">
            <v>983.19600000000003</v>
          </cell>
        </row>
        <row r="37">
          <cell r="B37">
            <v>0</v>
          </cell>
          <cell r="C37">
            <v>0</v>
          </cell>
          <cell r="D37">
            <v>2125</v>
          </cell>
          <cell r="E37">
            <v>3844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</row>
        <row r="39">
          <cell r="B39">
            <v>5067.5050000000001</v>
          </cell>
          <cell r="C39">
            <v>7735.8530000000001</v>
          </cell>
          <cell r="D39">
            <v>9926.0149999999994</v>
          </cell>
          <cell r="E39">
            <v>11298.779</v>
          </cell>
        </row>
        <row r="40">
          <cell r="B40">
            <v>322.35399999999998</v>
          </cell>
          <cell r="C40">
            <v>39260</v>
          </cell>
        </row>
      </sheetData>
      <sheetData sheetId="9">
        <row r="13">
          <cell r="B13">
            <v>293.5</v>
          </cell>
          <cell r="C13">
            <v>812.2</v>
          </cell>
          <cell r="D13">
            <v>882.8</v>
          </cell>
          <cell r="E13">
            <v>692.9</v>
          </cell>
        </row>
        <row r="14">
          <cell r="B14">
            <v>341</v>
          </cell>
          <cell r="C14">
            <v>509</v>
          </cell>
          <cell r="D14">
            <v>3428.3879999999999</v>
          </cell>
          <cell r="E14">
            <v>3796.837</v>
          </cell>
        </row>
        <row r="15">
          <cell r="B15">
            <v>224</v>
          </cell>
          <cell r="C15">
            <v>659</v>
          </cell>
          <cell r="D15">
            <v>496.55</v>
          </cell>
          <cell r="E15">
            <v>448.98500000000001</v>
          </cell>
        </row>
        <row r="16">
          <cell r="B16">
            <v>979.35699999999997</v>
          </cell>
          <cell r="C16">
            <v>1247.3520000000001</v>
          </cell>
          <cell r="D16">
            <v>1413.154</v>
          </cell>
          <cell r="E16">
            <v>1100.0409999999999</v>
          </cell>
        </row>
        <row r="17">
          <cell r="B17">
            <v>70615</v>
          </cell>
          <cell r="C17">
            <v>54926</v>
          </cell>
          <cell r="D17">
            <v>64330</v>
          </cell>
          <cell r="E17">
            <v>72977</v>
          </cell>
        </row>
        <row r="18">
          <cell r="B18">
            <v>727</v>
          </cell>
          <cell r="C18">
            <v>400</v>
          </cell>
          <cell r="D18">
            <v>560.94000000000005</v>
          </cell>
          <cell r="E18">
            <v>256.51499999999999</v>
          </cell>
        </row>
        <row r="19">
          <cell r="B19">
            <v>502.73200000000003</v>
          </cell>
          <cell r="C19">
            <v>698.95500000000004</v>
          </cell>
          <cell r="D19">
            <v>656.93700000000001</v>
          </cell>
          <cell r="E19">
            <v>728.93499999999995</v>
          </cell>
        </row>
        <row r="20">
          <cell r="B20">
            <v>0</v>
          </cell>
          <cell r="C20">
            <v>764</v>
          </cell>
          <cell r="D20">
            <v>259.10500000000002</v>
          </cell>
          <cell r="E20">
            <v>169.54400000000001</v>
          </cell>
        </row>
        <row r="21">
          <cell r="B21">
            <v>2513</v>
          </cell>
          <cell r="C21">
            <v>3355</v>
          </cell>
          <cell r="D21">
            <v>4690</v>
          </cell>
          <cell r="E21">
            <v>5161</v>
          </cell>
        </row>
        <row r="22">
          <cell r="B22">
            <v>5605</v>
          </cell>
          <cell r="C22">
            <v>10316.834000000001</v>
          </cell>
          <cell r="D22">
            <v>10286.19</v>
          </cell>
          <cell r="E22">
            <v>11392.817999999999</v>
          </cell>
        </row>
        <row r="23">
          <cell r="B23">
            <v>99</v>
          </cell>
          <cell r="C23">
            <v>198</v>
          </cell>
          <cell r="D23">
            <v>518.51900000000001</v>
          </cell>
          <cell r="E23">
            <v>514.67999999999995</v>
          </cell>
        </row>
        <row r="24">
          <cell r="B24">
            <v>863</v>
          </cell>
          <cell r="C24">
            <v>2119</v>
          </cell>
          <cell r="D24">
            <v>3061.6570000000002</v>
          </cell>
          <cell r="E24">
            <v>3092.0450000000001</v>
          </cell>
        </row>
        <row r="25">
          <cell r="B25">
            <v>55</v>
          </cell>
          <cell r="C25">
            <v>125.23699999999999</v>
          </cell>
          <cell r="D25">
            <v>131.99799999999999</v>
          </cell>
          <cell r="E25">
            <v>106.425</v>
          </cell>
        </row>
        <row r="26">
          <cell r="B26">
            <v>3258</v>
          </cell>
          <cell r="C26">
            <v>3355</v>
          </cell>
          <cell r="D26">
            <v>1867.1289999999999</v>
          </cell>
          <cell r="E26">
            <v>1619.8620000000001</v>
          </cell>
        </row>
        <row r="27">
          <cell r="B27">
            <v>1196</v>
          </cell>
          <cell r="C27">
            <v>1352</v>
          </cell>
          <cell r="D27">
            <v>1296</v>
          </cell>
          <cell r="E27">
            <v>1263</v>
          </cell>
        </row>
        <row r="28">
          <cell r="B28">
            <v>5.8109999999999999</v>
          </cell>
          <cell r="C28">
            <v>9.9740000000000002</v>
          </cell>
          <cell r="D28">
            <v>2.056</v>
          </cell>
          <cell r="E28">
            <v>6.1749999999999998</v>
          </cell>
        </row>
        <row r="29">
          <cell r="B29">
            <v>1370</v>
          </cell>
          <cell r="C29">
            <v>1293</v>
          </cell>
          <cell r="D29">
            <v>967</v>
          </cell>
          <cell r="E29">
            <v>1033</v>
          </cell>
        </row>
        <row r="30">
          <cell r="B30">
            <v>401</v>
          </cell>
          <cell r="C30">
            <v>1055.9359999999999</v>
          </cell>
          <cell r="D30">
            <v>3734.422</v>
          </cell>
          <cell r="E30">
            <v>3384.3</v>
          </cell>
        </row>
        <row r="31">
          <cell r="B31">
            <v>3151.4879999999998</v>
          </cell>
          <cell r="C31">
            <v>2298.922</v>
          </cell>
          <cell r="D31">
            <v>3311.797</v>
          </cell>
          <cell r="E31">
            <v>1866.346</v>
          </cell>
        </row>
        <row r="32">
          <cell r="B32">
            <v>8029</v>
          </cell>
          <cell r="C32">
            <v>7043</v>
          </cell>
          <cell r="D32">
            <v>7451.2089999999998</v>
          </cell>
          <cell r="E32">
            <v>6596.0240000000003</v>
          </cell>
        </row>
        <row r="33">
          <cell r="B33">
            <v>0</v>
          </cell>
          <cell r="C33">
            <v>460</v>
          </cell>
          <cell r="D33">
            <v>491.90699999999998</v>
          </cell>
          <cell r="E33">
            <v>384.26499999999999</v>
          </cell>
        </row>
        <row r="34">
          <cell r="D34">
            <v>3451.5990000000002</v>
          </cell>
          <cell r="E34">
            <v>3168.0329999999999</v>
          </cell>
        </row>
        <row r="35">
          <cell r="E35">
            <v>931.71799999999996</v>
          </cell>
        </row>
        <row r="36">
          <cell r="B36">
            <v>46</v>
          </cell>
          <cell r="C36">
            <v>100</v>
          </cell>
          <cell r="D36">
            <v>359</v>
          </cell>
          <cell r="E36">
            <v>79</v>
          </cell>
        </row>
        <row r="37">
          <cell r="B37">
            <v>3323</v>
          </cell>
          <cell r="C37">
            <v>2762</v>
          </cell>
          <cell r="D37">
            <v>2874</v>
          </cell>
          <cell r="E37">
            <v>3259</v>
          </cell>
        </row>
        <row r="38">
          <cell r="B38">
            <v>1887</v>
          </cell>
          <cell r="C38">
            <v>1688</v>
          </cell>
          <cell r="D38">
            <v>1481</v>
          </cell>
          <cell r="E38">
            <v>1414</v>
          </cell>
        </row>
        <row r="39">
          <cell r="B39">
            <v>633</v>
          </cell>
          <cell r="C39">
            <v>611</v>
          </cell>
          <cell r="D39">
            <v>940.46900000000005</v>
          </cell>
          <cell r="E39">
            <v>165.125</v>
          </cell>
        </row>
        <row r="40">
          <cell r="B40">
            <v>0</v>
          </cell>
          <cell r="C40">
            <v>2411</v>
          </cell>
        </row>
      </sheetData>
      <sheetData sheetId="10">
        <row r="13">
          <cell r="B13">
            <v>2356.4</v>
          </cell>
          <cell r="C13">
            <v>2834.1</v>
          </cell>
          <cell r="D13">
            <v>2812.8</v>
          </cell>
          <cell r="E13">
            <v>3563.8</v>
          </cell>
        </row>
        <row r="14">
          <cell r="B14">
            <v>4803</v>
          </cell>
          <cell r="C14">
            <v>4711</v>
          </cell>
          <cell r="D14">
            <v>4123.8010000000004</v>
          </cell>
          <cell r="E14">
            <v>5020.7820000000002</v>
          </cell>
        </row>
        <row r="15">
          <cell r="B15">
            <v>22700</v>
          </cell>
          <cell r="C15">
            <v>19363</v>
          </cell>
          <cell r="D15">
            <v>19045.623</v>
          </cell>
          <cell r="E15">
            <v>18717.080000000002</v>
          </cell>
        </row>
        <row r="16">
          <cell r="B16">
            <v>35592</v>
          </cell>
          <cell r="C16">
            <v>31451.487000000001</v>
          </cell>
          <cell r="D16">
            <v>30868.473999999998</v>
          </cell>
          <cell r="E16">
            <v>32281.072</v>
          </cell>
        </row>
        <row r="17">
          <cell r="B17">
            <v>136242</v>
          </cell>
          <cell r="C17">
            <v>57843</v>
          </cell>
          <cell r="D17">
            <v>44531</v>
          </cell>
          <cell r="E17">
            <v>60886.12</v>
          </cell>
        </row>
        <row r="18">
          <cell r="B18">
            <v>5389</v>
          </cell>
          <cell r="C18">
            <v>4522</v>
          </cell>
          <cell r="D18">
            <v>4600</v>
          </cell>
          <cell r="E18">
            <v>5300.7039999999997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</row>
        <row r="22">
          <cell r="B22">
            <v>31658.868999999999</v>
          </cell>
          <cell r="C22">
            <v>29805.634999999998</v>
          </cell>
          <cell r="D22">
            <v>34318.936000000002</v>
          </cell>
          <cell r="E22">
            <v>32904.563999999998</v>
          </cell>
        </row>
        <row r="23">
          <cell r="B23">
            <v>3052.1060000000002</v>
          </cell>
          <cell r="C23">
            <v>2520.607</v>
          </cell>
          <cell r="D23">
            <v>2483.8000000000002</v>
          </cell>
          <cell r="E23">
            <v>2362</v>
          </cell>
        </row>
        <row r="24">
          <cell r="B24">
            <v>2065</v>
          </cell>
          <cell r="C24">
            <v>9259</v>
          </cell>
          <cell r="D24">
            <v>12261.52</v>
          </cell>
          <cell r="E24">
            <v>10624.263000000001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</row>
        <row r="26">
          <cell r="B26">
            <v>5713</v>
          </cell>
          <cell r="C26">
            <v>5226</v>
          </cell>
          <cell r="D26">
            <v>5368.0349999999999</v>
          </cell>
          <cell r="E26">
            <v>4757.2089999999998</v>
          </cell>
        </row>
        <row r="27">
          <cell r="B27">
            <v>8597</v>
          </cell>
          <cell r="C27">
            <v>7298</v>
          </cell>
          <cell r="D27">
            <v>6608</v>
          </cell>
          <cell r="E27">
            <v>7212</v>
          </cell>
        </row>
        <row r="28">
          <cell r="B28">
            <v>2432.33</v>
          </cell>
          <cell r="C28">
            <v>2131.6799999999998</v>
          </cell>
          <cell r="D28">
            <v>4938.71</v>
          </cell>
          <cell r="E28">
            <v>4366.7939999999999</v>
          </cell>
        </row>
        <row r="29">
          <cell r="B29">
            <v>9182</v>
          </cell>
          <cell r="C29">
            <v>6708</v>
          </cell>
          <cell r="D29">
            <v>6628</v>
          </cell>
          <cell r="E29">
            <v>4755</v>
          </cell>
        </row>
        <row r="30">
          <cell r="B30">
            <v>12820</v>
          </cell>
          <cell r="C30">
            <v>5897.3770000000004</v>
          </cell>
          <cell r="D30">
            <v>9231.01</v>
          </cell>
          <cell r="E30">
            <v>8464.2999999999993</v>
          </cell>
        </row>
        <row r="31">
          <cell r="B31">
            <v>30867.238000000001</v>
          </cell>
          <cell r="C31">
            <v>27224.857</v>
          </cell>
          <cell r="D31">
            <v>26616.75</v>
          </cell>
          <cell r="E31">
            <v>26925.208999999999</v>
          </cell>
        </row>
        <row r="32">
          <cell r="B32">
            <v>49959</v>
          </cell>
          <cell r="C32">
            <v>37634</v>
          </cell>
          <cell r="D32">
            <v>45703.368000000002</v>
          </cell>
          <cell r="E32">
            <v>40291.311999999998</v>
          </cell>
        </row>
        <row r="33">
          <cell r="B33">
            <v>710</v>
          </cell>
          <cell r="C33">
            <v>1017</v>
          </cell>
          <cell r="D33">
            <v>962.48099999999999</v>
          </cell>
          <cell r="E33">
            <v>536.81500000000005</v>
          </cell>
        </row>
        <row r="34">
          <cell r="B34">
            <v>8963</v>
          </cell>
          <cell r="C34">
            <v>7695</v>
          </cell>
          <cell r="D34">
            <v>6065.7150000000001</v>
          </cell>
          <cell r="E34">
            <v>5479.51</v>
          </cell>
        </row>
        <row r="35">
          <cell r="B35">
            <v>1536</v>
          </cell>
          <cell r="C35">
            <v>1817</v>
          </cell>
          <cell r="D35">
            <v>1972.662</v>
          </cell>
          <cell r="E35">
            <v>1696.4280000000001</v>
          </cell>
        </row>
        <row r="36">
          <cell r="B36">
            <v>10485</v>
          </cell>
          <cell r="C36">
            <v>1206</v>
          </cell>
          <cell r="D36">
            <v>3030</v>
          </cell>
          <cell r="E36">
            <v>5308</v>
          </cell>
        </row>
        <row r="37">
          <cell r="B37">
            <v>47016</v>
          </cell>
          <cell r="C37">
            <v>36936</v>
          </cell>
          <cell r="D37">
            <v>39895</v>
          </cell>
          <cell r="E37">
            <v>43867</v>
          </cell>
        </row>
        <row r="38">
          <cell r="B38">
            <v>60777</v>
          </cell>
          <cell r="C38">
            <v>51544</v>
          </cell>
          <cell r="D38">
            <v>45698</v>
          </cell>
          <cell r="E38">
            <v>53143</v>
          </cell>
        </row>
        <row r="39">
          <cell r="B39">
            <v>9318.7839999999997</v>
          </cell>
          <cell r="C39">
            <v>11113.326999999999</v>
          </cell>
          <cell r="D39">
            <v>11527.418</v>
          </cell>
          <cell r="E39">
            <v>15334.209000000001</v>
          </cell>
        </row>
        <row r="40">
          <cell r="B40">
            <v>16425</v>
          </cell>
          <cell r="C40">
            <v>12460.626</v>
          </cell>
        </row>
      </sheetData>
      <sheetData sheetId="11">
        <row r="13">
          <cell r="B13">
            <v>79836.479999999996</v>
          </cell>
          <cell r="C13">
            <v>77349.960000000006</v>
          </cell>
          <cell r="D13">
            <v>73909.08</v>
          </cell>
          <cell r="E13">
            <v>73566.36</v>
          </cell>
        </row>
        <row r="14">
          <cell r="B14">
            <v>29163.599999999999</v>
          </cell>
          <cell r="C14">
            <v>29073.599999999999</v>
          </cell>
          <cell r="D14">
            <v>25171.937999999998</v>
          </cell>
          <cell r="E14">
            <v>28991.458999999999</v>
          </cell>
        </row>
        <row r="15">
          <cell r="B15">
            <v>53463.6</v>
          </cell>
          <cell r="C15">
            <v>53550</v>
          </cell>
          <cell r="D15">
            <v>55306.879000000001</v>
          </cell>
          <cell r="E15">
            <v>52533.881999999998</v>
          </cell>
        </row>
        <row r="16">
          <cell r="B16">
            <v>39006</v>
          </cell>
          <cell r="C16">
            <v>36314.027999999998</v>
          </cell>
          <cell r="D16">
            <v>32649.371999999999</v>
          </cell>
          <cell r="E16">
            <v>34288.232000000004</v>
          </cell>
        </row>
        <row r="17">
          <cell r="B17">
            <v>517903.2</v>
          </cell>
          <cell r="C17">
            <v>506649.59999999998</v>
          </cell>
          <cell r="D17">
            <v>456746.4</v>
          </cell>
          <cell r="E17">
            <v>407479.201</v>
          </cell>
        </row>
        <row r="18">
          <cell r="B18">
            <v>9039.6</v>
          </cell>
          <cell r="C18">
            <v>10126.799999999999</v>
          </cell>
          <cell r="D18">
            <v>10245.6</v>
          </cell>
          <cell r="E18">
            <v>6660.8860000000004</v>
          </cell>
        </row>
        <row r="19">
          <cell r="B19">
            <v>35435.786</v>
          </cell>
          <cell r="C19">
            <v>38827.165999999997</v>
          </cell>
          <cell r="D19">
            <v>45006.61</v>
          </cell>
          <cell r="E19">
            <v>57360.481</v>
          </cell>
        </row>
        <row r="20">
          <cell r="B20">
            <v>64800</v>
          </cell>
          <cell r="C20">
            <v>64533.599999999999</v>
          </cell>
          <cell r="D20">
            <v>56203.271999999997</v>
          </cell>
          <cell r="E20">
            <v>61115.728000000003</v>
          </cell>
        </row>
        <row r="21">
          <cell r="B21">
            <v>302011.2</v>
          </cell>
          <cell r="C21">
            <v>266788.8</v>
          </cell>
          <cell r="D21">
            <v>242038.8</v>
          </cell>
          <cell r="E21">
            <v>261545.76</v>
          </cell>
        </row>
        <row r="22">
          <cell r="B22">
            <v>520790.4</v>
          </cell>
          <cell r="C22">
            <v>508893.41899999999</v>
          </cell>
          <cell r="D22">
            <v>455337.56199999998</v>
          </cell>
          <cell r="E22">
            <v>444784.96100000001</v>
          </cell>
        </row>
        <row r="23">
          <cell r="B23">
            <v>19101.182000000001</v>
          </cell>
          <cell r="C23">
            <v>19172.167000000001</v>
          </cell>
          <cell r="D23">
            <v>18540.36</v>
          </cell>
          <cell r="E23">
            <v>20967.84</v>
          </cell>
        </row>
        <row r="24">
          <cell r="B24">
            <v>308228.40000000002</v>
          </cell>
          <cell r="C24">
            <v>331506</v>
          </cell>
          <cell r="D24">
            <v>270933.29599999997</v>
          </cell>
          <cell r="E24">
            <v>336354.12400000001</v>
          </cell>
        </row>
        <row r="25">
          <cell r="B25">
            <v>8122.8779999999997</v>
          </cell>
          <cell r="C25">
            <v>6791.1440000000002</v>
          </cell>
          <cell r="D25">
            <v>6483.83</v>
          </cell>
          <cell r="E25">
            <v>8467.51</v>
          </cell>
        </row>
        <row r="26">
          <cell r="B26">
            <v>8712</v>
          </cell>
          <cell r="C26">
            <v>9810</v>
          </cell>
          <cell r="D26">
            <v>9424.9150000000009</v>
          </cell>
          <cell r="E26">
            <v>9245.7939999999999</v>
          </cell>
        </row>
        <row r="27">
          <cell r="B27">
            <v>10220.4</v>
          </cell>
          <cell r="C27">
            <v>11196</v>
          </cell>
          <cell r="D27">
            <v>11883.6</v>
          </cell>
          <cell r="E27">
            <v>12221.28</v>
          </cell>
        </row>
        <row r="28">
          <cell r="B28">
            <v>7176.7190000000001</v>
          </cell>
          <cell r="C28">
            <v>6887.567</v>
          </cell>
          <cell r="D28">
            <v>7688.1959999999999</v>
          </cell>
          <cell r="E28">
            <v>7047.8680000000004</v>
          </cell>
        </row>
        <row r="29">
          <cell r="B29">
            <v>40878</v>
          </cell>
          <cell r="C29">
            <v>28573.200000000001</v>
          </cell>
          <cell r="D29">
            <v>28681.200000000001</v>
          </cell>
          <cell r="E29">
            <v>28231.200000000001</v>
          </cell>
        </row>
        <row r="30">
          <cell r="B30">
            <v>132357.6</v>
          </cell>
          <cell r="C30">
            <v>130753.145</v>
          </cell>
          <cell r="D30">
            <v>128543.969</v>
          </cell>
          <cell r="E30">
            <v>133931.92300000001</v>
          </cell>
        </row>
        <row r="31">
          <cell r="B31">
            <v>42571.53</v>
          </cell>
          <cell r="C31">
            <v>44484.637999999999</v>
          </cell>
          <cell r="D31">
            <v>41105.915999999997</v>
          </cell>
          <cell r="E31">
            <v>40642.099000000002</v>
          </cell>
        </row>
        <row r="32">
          <cell r="B32">
            <v>157208.4</v>
          </cell>
          <cell r="C32">
            <v>163593.432</v>
          </cell>
          <cell r="D32">
            <v>172757.027</v>
          </cell>
          <cell r="E32">
            <v>205380.83199999999</v>
          </cell>
        </row>
        <row r="33">
          <cell r="B33">
            <v>59029.2</v>
          </cell>
          <cell r="C33">
            <v>61894.8</v>
          </cell>
          <cell r="D33">
            <v>54137.603000000003</v>
          </cell>
          <cell r="E33">
            <v>59966.917000000001</v>
          </cell>
        </row>
        <row r="34">
          <cell r="B34">
            <v>27291.599999999999</v>
          </cell>
          <cell r="C34">
            <v>30265.200000000001</v>
          </cell>
          <cell r="D34">
            <v>30737.182000000001</v>
          </cell>
          <cell r="E34">
            <v>36909.785000000003</v>
          </cell>
        </row>
        <row r="35">
          <cell r="B35">
            <v>11037.6</v>
          </cell>
          <cell r="C35">
            <v>11635.2</v>
          </cell>
          <cell r="D35">
            <v>11293.987999999999</v>
          </cell>
          <cell r="E35">
            <v>10342.861000000001</v>
          </cell>
        </row>
        <row r="36">
          <cell r="B36">
            <v>28850.400000000001</v>
          </cell>
          <cell r="C36">
            <v>24717.599999999999</v>
          </cell>
          <cell r="D36">
            <v>24062.400000000001</v>
          </cell>
          <cell r="E36">
            <v>20390.400000000001</v>
          </cell>
        </row>
        <row r="37">
          <cell r="B37">
            <v>64245.599999999999</v>
          </cell>
          <cell r="C37">
            <v>62820</v>
          </cell>
          <cell r="D37">
            <v>59587.199999999997</v>
          </cell>
          <cell r="E37">
            <v>58104</v>
          </cell>
        </row>
        <row r="38">
          <cell r="B38">
            <v>97873.2</v>
          </cell>
          <cell r="C38">
            <v>99849.600000000006</v>
          </cell>
          <cell r="D38">
            <v>105217.2</v>
          </cell>
          <cell r="E38">
            <v>108770.4</v>
          </cell>
        </row>
        <row r="39">
          <cell r="B39">
            <v>95646.6</v>
          </cell>
          <cell r="C39">
            <v>90539.635999999999</v>
          </cell>
          <cell r="D39">
            <v>91103.267000000007</v>
          </cell>
          <cell r="E39">
            <v>90366.437000000005</v>
          </cell>
        </row>
        <row r="40">
          <cell r="B40">
            <v>350539.2</v>
          </cell>
          <cell r="C40">
            <v>338919.75699999998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 Sheet"/>
      <sheetName val="Contents"/>
      <sheetName val="Notes"/>
      <sheetName val="2024"/>
      <sheetName val="2023"/>
      <sheetName val="2022"/>
      <sheetName val="2021"/>
      <sheetName val="2020"/>
      <sheetName val="2019"/>
      <sheetName val="2018"/>
      <sheetName val="2017"/>
      <sheetName val="2016"/>
      <sheetName val="2015"/>
      <sheetName val="2014"/>
      <sheetName val="2013"/>
      <sheetName val="2012"/>
      <sheetName val="2011"/>
      <sheetName val="2010"/>
      <sheetName val="2009"/>
      <sheetName val="2008"/>
      <sheetName val="2007"/>
      <sheetName val="2006"/>
      <sheetName val="2005"/>
      <sheetName val="2004"/>
      <sheetName val="2003"/>
      <sheetName val="2002"/>
      <sheetName val="2001"/>
      <sheetName val="2000"/>
      <sheetName val="1999"/>
      <sheetName val="1998"/>
    </sheetNames>
    <sheetDataSet>
      <sheetData sheetId="0"/>
      <sheetData sheetId="1"/>
      <sheetData sheetId="2"/>
      <sheetData sheetId="3">
        <row r="60">
          <cell r="B60">
            <v>0</v>
          </cell>
          <cell r="C60">
            <v>0</v>
          </cell>
          <cell r="D60">
            <v>1.24</v>
          </cell>
          <cell r="E60">
            <v>0</v>
          </cell>
          <cell r="N60">
            <v>0</v>
          </cell>
        </row>
        <row r="61">
          <cell r="B61">
            <v>46.93</v>
          </cell>
          <cell r="C61">
            <v>0</v>
          </cell>
          <cell r="D61">
            <v>141.4</v>
          </cell>
          <cell r="E61">
            <v>0</v>
          </cell>
          <cell r="N61">
            <v>1030.4000000000001</v>
          </cell>
        </row>
      </sheetData>
      <sheetData sheetId="4"/>
      <sheetData sheetId="5"/>
      <sheetData sheetId="6"/>
      <sheetData sheetId="7">
        <row r="60">
          <cell r="B60">
            <v>0</v>
          </cell>
          <cell r="C60">
            <v>0</v>
          </cell>
          <cell r="D60">
            <v>1.43</v>
          </cell>
          <cell r="E60">
            <v>0</v>
          </cell>
          <cell r="N60">
            <v>0</v>
          </cell>
        </row>
        <row r="61">
          <cell r="B61">
            <v>42.61</v>
          </cell>
          <cell r="C61">
            <v>0</v>
          </cell>
          <cell r="D61">
            <v>140.24</v>
          </cell>
          <cell r="E61">
            <v>0</v>
          </cell>
          <cell r="N61">
            <v>928.93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 Sheet"/>
      <sheetName val="Contents"/>
      <sheetName val="Notes"/>
      <sheetName val="2024"/>
      <sheetName val="2023"/>
      <sheetName val="2022"/>
      <sheetName val="2021"/>
      <sheetName val="2020"/>
      <sheetName val="2019"/>
      <sheetName val="2018"/>
      <sheetName val="2017"/>
      <sheetName val="2016"/>
      <sheetName val="2015"/>
      <sheetName val="2014"/>
      <sheetName val="2013"/>
      <sheetName val="2012"/>
      <sheetName val="2011"/>
      <sheetName val="2010"/>
      <sheetName val="2009"/>
      <sheetName val="2008"/>
      <sheetName val="2007"/>
      <sheetName val="2006"/>
      <sheetName val="2005"/>
      <sheetName val="2004"/>
      <sheetName val="2003"/>
      <sheetName val="2002"/>
      <sheetName val="2001"/>
      <sheetName val="2000"/>
      <sheetName val="1999"/>
      <sheetName val="1998"/>
    </sheetNames>
    <sheetDataSet>
      <sheetData sheetId="0"/>
      <sheetData sheetId="1"/>
      <sheetData sheetId="2"/>
      <sheetData sheetId="3">
        <row r="58">
          <cell r="B58">
            <v>1.37</v>
          </cell>
          <cell r="E58">
            <v>772.11</v>
          </cell>
          <cell r="F58">
            <v>3114.1</v>
          </cell>
          <cell r="I58">
            <v>1335.8</v>
          </cell>
          <cell r="J58">
            <v>80.11</v>
          </cell>
        </row>
        <row r="59">
          <cell r="B59">
            <v>3.51</v>
          </cell>
          <cell r="E59">
            <v>1708.18</v>
          </cell>
          <cell r="F59">
            <v>3809.6</v>
          </cell>
          <cell r="I59">
            <v>5363.47</v>
          </cell>
          <cell r="J59">
            <v>227.23</v>
          </cell>
        </row>
      </sheetData>
      <sheetData sheetId="4"/>
      <sheetData sheetId="5"/>
      <sheetData sheetId="6"/>
      <sheetData sheetId="7">
        <row r="58">
          <cell r="B58">
            <v>13.04</v>
          </cell>
          <cell r="E58">
            <v>865.24</v>
          </cell>
          <cell r="F58">
            <v>3046.85</v>
          </cell>
          <cell r="I58">
            <v>1214.1199999999999</v>
          </cell>
          <cell r="J58">
            <v>75.260000000000005</v>
          </cell>
        </row>
        <row r="59">
          <cell r="B59">
            <v>3.51</v>
          </cell>
          <cell r="E59">
            <v>1475.8</v>
          </cell>
          <cell r="F59">
            <v>3688.64</v>
          </cell>
          <cell r="I59">
            <v>5346.32</v>
          </cell>
          <cell r="J59">
            <v>242.9</v>
          </cell>
        </row>
      </sheetData>
      <sheetData sheetId="8">
        <row r="58">
          <cell r="E58">
            <v>869.28</v>
          </cell>
          <cell r="F58">
            <v>3371.61</v>
          </cell>
        </row>
        <row r="59">
          <cell r="E59">
            <v>1634.91</v>
          </cell>
          <cell r="F59">
            <v>4014.86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 Sheet"/>
      <sheetName val="Contents"/>
      <sheetName val="Notes"/>
      <sheetName val="2024"/>
      <sheetName val="2023"/>
      <sheetName val="2022"/>
      <sheetName val="2021"/>
      <sheetName val="2020"/>
      <sheetName val="2019"/>
      <sheetName val="2018"/>
      <sheetName val="2017"/>
      <sheetName val="2016"/>
      <sheetName val="2015"/>
      <sheetName val="2014"/>
      <sheetName val="2013"/>
      <sheetName val="2012"/>
      <sheetName val="2011"/>
      <sheetName val="2010"/>
      <sheetName val="2009"/>
      <sheetName val="2008"/>
      <sheetName val="2007"/>
      <sheetName val="2006"/>
      <sheetName val="2005"/>
      <sheetName val="2004"/>
      <sheetName val="2003"/>
      <sheetName val="2002"/>
      <sheetName val="2001"/>
      <sheetName val="2000"/>
      <sheetName val="1999"/>
      <sheetName val="1998"/>
    </sheetNames>
    <sheetDataSet>
      <sheetData sheetId="0"/>
      <sheetData sheetId="1"/>
      <sheetData sheetId="2"/>
      <sheetData sheetId="3">
        <row r="58">
          <cell r="C58">
            <v>229.04</v>
          </cell>
        </row>
        <row r="59">
          <cell r="C59">
            <v>15.47</v>
          </cell>
          <cell r="D59">
            <v>0</v>
          </cell>
        </row>
        <row r="60">
          <cell r="C60">
            <v>391.14</v>
          </cell>
          <cell r="D60">
            <v>0.3</v>
          </cell>
        </row>
      </sheetData>
      <sheetData sheetId="4"/>
      <sheetData sheetId="5"/>
      <sheetData sheetId="6"/>
      <sheetData sheetId="7">
        <row r="58">
          <cell r="C58">
            <v>248.99</v>
          </cell>
        </row>
        <row r="59">
          <cell r="C59">
            <v>16.62</v>
          </cell>
          <cell r="D59">
            <v>0</v>
          </cell>
        </row>
        <row r="60">
          <cell r="C60">
            <v>312.26</v>
          </cell>
          <cell r="D60">
            <v>0.66</v>
          </cell>
        </row>
      </sheetData>
      <sheetData sheetId="8">
        <row r="58">
          <cell r="C58">
            <v>232.42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Kellomäki Julius" id="{8778C2F9-C984-4EE7-BAF7-1E7D750E176E}" userId="S::julius.kellomaki@vtt.fi::08c7c48d-aad0-4081-a422-a630f59bd2c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2" dT="2025-07-30T13:12:18.58" personId="{8778C2F9-C984-4EE7-BAF7-1E7D750E176E}" id="{0A45EEF8-0031-4378-B63B-9730EE51F745}">
    <text>Oletus: Eurostatin data vuodelle 2023 laitetaan malliin vuotena 2025.</text>
  </threadedComment>
  <threadedComment ref="AD2" dT="2025-07-30T13:12:18.58" personId="{8778C2F9-C984-4EE7-BAF7-1E7D750E176E}" id="{B0090359-54F2-4C74-B633-7085A655FB87}">
    <text>Oletus: Eurostatin data vuodelle 2023 laitetaan malliin vuotena 2025.</text>
  </threadedComment>
  <threadedComment ref="H31" dT="2025-08-14T11:46:17.06" personId="{8778C2F9-C984-4EE7-BAF7-1E7D750E176E}" id="{8D9F24F6-8340-4EFC-9C5C-9C8CB91CB772}">
    <text>gov.uk stats</text>
  </threadedComment>
  <threadedComment ref="I31" dT="2025-08-14T11:47:05.73" personId="{8778C2F9-C984-4EE7-BAF7-1E7D750E176E}" id="{CECE4804-B808-4ED1-ACBD-35A554A8B382}">
    <text>gov.uk stats</text>
  </threadedComment>
  <threadedComment ref="H59" dT="2025-08-15T13:17:59.74" personId="{8778C2F9-C984-4EE7-BAF7-1E7D750E176E}" id="{65DF06D7-DD03-4662-9376-3D21FB874317}">
    <text>Ekstrapolointi: Eurostat 2019 -&gt; gov.uk trendillä vuoteen 2020.</text>
  </threadedComment>
  <threadedComment ref="I59" dT="2025-08-15T13:18:29.72" personId="{8778C2F9-C984-4EE7-BAF7-1E7D750E176E}" id="{61E83BF1-2F4C-43C6-8C8C-B0FF25A6A969}">
    <text>Ekstrapolointi: Eurostat 2019 -&gt; gov.uk trendillä vuoteen 2023.</text>
  </threadedComment>
  <threadedComment ref="H87" dT="2025-08-25T12:59:43.01" personId="{8778C2F9-C984-4EE7-BAF7-1E7D750E176E}" id="{DD7F3C32-D3F7-4D76-9BC9-F211A8719739}">
    <text>Ekstrapolointi: Eurostat 2019 -&gt; dukes trendillä vuoteen 2020.</text>
  </threadedComment>
  <threadedComment ref="I87" dT="2025-08-25T13:00:01.24" personId="{8778C2F9-C984-4EE7-BAF7-1E7D750E176E}" id="{338C3749-79C7-4535-82C0-24728CBE881E}">
    <text>Ekstrapolointi: Eurostat 2019 -&gt; dukes trendillä vuoteen 2024.</text>
  </threadedComment>
  <threadedComment ref="H115" dT="2025-08-26T10:17:39.47" personId="{8778C2F9-C984-4EE7-BAF7-1E7D750E176E}" id="{8FF70933-9679-45D4-BA12-0FB1B6C3B792}">
    <text>DUKES_6.1: Geo+PV+Solar thermal 2020 ja 2024. Tästä vähennetty geo ja pv -&gt; RSDSOL.</text>
  </threadedComment>
  <threadedComment ref="I115" dT="2025-08-26T10:17:57.06" personId="{8778C2F9-C984-4EE7-BAF7-1E7D750E176E}" id="{A8B50622-0822-4C20-A241-AE5562556E60}">
    <text>DUKES_6.1: Geo+PV+Solar thermal 2020 ja 2024. Tästä vähennetty geo ja pv -&gt; RSDSOL.</text>
  </threadedComment>
  <threadedComment ref="H143" dT="2025-08-25T14:18:06.18" personId="{8778C2F9-C984-4EE7-BAF7-1E7D750E176E}" id="{CB5BF813-07D1-467F-A7E9-3BBCF5A33569}">
    <text>Ekstrapolointi: Eurostat 2019 -&gt; dukes trendillä vuoteen 2020.</text>
  </threadedComment>
  <threadedComment ref="I143" dT="2025-08-25T14:18:14.12" personId="{8778C2F9-C984-4EE7-BAF7-1E7D750E176E}" id="{D313CE93-A315-4E31-B507-45275F3CB86B}">
    <text>Ekstrapolointi: Eurostat 2019 -&gt; dukes trendillä vuoteen 2024.</text>
  </threadedComment>
  <threadedComment ref="H171" dT="2025-08-27T08:17:38.05" personId="{8778C2F9-C984-4EE7-BAF7-1E7D750E176E}" id="{987283C6-79AE-445C-97FA-4B742BF262AD}">
    <text>Ekstrapolointi: Eurostat Primary solid biofuels 2019 -&gt; dukes Wood trendillä vuoteen 2020.</text>
  </threadedComment>
  <threadedComment ref="I171" dT="2025-08-27T08:17:49.16" personId="{8778C2F9-C984-4EE7-BAF7-1E7D750E176E}" id="{68D47C7A-6ACB-4281-8238-41DBD5F730AF}">
    <text>Ekstrapolointi: Eurostat Primary solid biofuels 2019 -&gt; dukes Wood trendillä vuoteen 2024.</text>
  </threadedComment>
  <threadedComment ref="H199" dT="2025-08-15T10:44:57.19" personId="{8778C2F9-C984-4EE7-BAF7-1E7D750E176E}" id="{5E1CDB70-0EE2-4B15-953B-56A547454AB7}">
    <text>gov.uk stats</text>
  </threadedComment>
  <threadedComment ref="I199" dT="2025-08-15T10:45:40.29" personId="{8778C2F9-C984-4EE7-BAF7-1E7D750E176E}" id="{B1F8B0B4-A307-4EE0-A9C6-AC7505662B83}">
    <text>gov.uk stats</text>
  </threadedComment>
  <threadedComment ref="H227" dT="2025-08-15T10:44:57.19" personId="{8778C2F9-C984-4EE7-BAF7-1E7D750E176E}" id="{E7E8CE68-446D-4B75-A7E5-7A976E8EE702}">
    <text>gov.uk stats</text>
  </threadedComment>
  <threadedComment ref="I227" dT="2025-08-15T10:45:40.29" personId="{8778C2F9-C984-4EE7-BAF7-1E7D750E176E}" id="{F177DEAD-40FB-4E0C-A3BF-73BD861F6C8B}">
    <text>gov.uk stats</text>
  </threadedComment>
  <threadedComment ref="H255" dT="2025-08-15T10:50:10.00" personId="{8778C2F9-C984-4EE7-BAF7-1E7D750E176E}" id="{1B9046BE-1C30-40A6-9B97-B33D9FA069A4}">
    <text>gov.uk stats</text>
  </threadedComment>
  <threadedComment ref="I255" dT="2025-08-15T10:50:23.56" personId="{8778C2F9-C984-4EE7-BAF7-1E7D750E176E}" id="{511F84F5-43D1-41CC-8EAB-9AFA660B046A}">
    <text>gov.uk stats</text>
  </threadedComment>
  <threadedComment ref="H283" dT="2025-08-25T13:07:53.59" personId="{8778C2F9-C984-4EE7-BAF7-1E7D750E176E}" id="{BBE71C12-72AA-4D80-95A0-DBACA72C4D18}">
    <text>Ekstrapolointi: Eurostat 2019 -&gt; ECUK trendillä vuoteen 2020.</text>
  </threadedComment>
  <threadedComment ref="I283" dT="2025-08-25T13:09:02.99" personId="{8778C2F9-C984-4EE7-BAF7-1E7D750E176E}" id="{195D0648-DF4A-4C17-8626-AAF915EB9984}">
    <text>Ekstrapolointi: Eurostat 2019 -&gt; ECUK trendillä vuoteen 2023.</text>
  </threadedComment>
  <threadedComment ref="H311" dT="2025-08-26T10:24:58.53" personId="{8778C2F9-C984-4EE7-BAF7-1E7D750E176E}" id="{9BC21906-87E3-4848-9441-46749CB8275D}">
    <text>Oletus: Eurostat 2019 luku.</text>
  </threadedComment>
  <threadedComment ref="I311" dT="2025-08-26T10:25:05.71" personId="{8778C2F9-C984-4EE7-BAF7-1E7D750E176E}" id="{9F4F7125-FB1A-4C5E-A374-B107E8C0C80D}">
    <text>Oletus: Eurostat 2019 luku.</text>
  </threadedComment>
  <threadedComment ref="R316" dT="2025-08-25T12:32:15.48" personId="{8778C2F9-C984-4EE7-BAF7-1E7D750E176E}" id="{33C5D1B8-741C-44A3-AD42-017CFA33AFA8}">
    <text xml:space="preserve">Conversion factor of LPG from mass to energy from: Approximate conversion factors </text>
    <extLst>
      <x:ext xmlns:xltc2="http://schemas.microsoft.com/office/spreadsheetml/2020/threadedcomments2" uri="{F7C98A9C-CBB3-438F-8F68-D28B6AF4A901}">
        <xltc2:checksum>2579588849</xltc2:checksum>
        <xltc2:hyperlink startIndex="51" length="30" url="https://www.bp.com/content/dam/bp/business-sites/en/global/corporate/pdfs/energy-economics/statistical-review/bp-stats-review-2022-approximate-conversion-factors.pdf"/>
      </x:ext>
    </extLst>
  </threadedComment>
  <threadedComment ref="K317" dT="2025-08-25T12:47:47.91" personId="{8778C2F9-C984-4EE7-BAF7-1E7D750E176E}" id="{E9C11AC5-0A3F-4E26-B95F-BAA8664DD369}">
    <text xml:space="preserve">[nrg_d_hhq] Disaggregated final energy consumption in households - quantities </text>
    <extLst>
      <x:ext xmlns:xltc2="http://schemas.microsoft.com/office/spreadsheetml/2020/threadedcomments2" uri="{F7C98A9C-CBB3-438F-8F68-D28B6AF4A901}">
        <xltc2:checksum>1848320717</xltc2:checksum>
        <xltc2:hyperlink startIndex="0" length="77" url="https://ec.europa.eu/eurostat/databrowser/view/nrg_d_hhq__custom_17860271/default/table"/>
      </x:ext>
    </extLst>
  </threadedComment>
  <threadedComment ref="K318" dT="2025-08-27T07:53:18.48" personId="{8778C2F9-C984-4EE7-BAF7-1E7D750E176E}" id="{2BD0178D-3AEB-48C8-A333-233C2A91BF95}">
    <text xml:space="preserve">[nrg_d_hhq] Disaggregated final energy consumption in households - quantities </text>
    <extLst>
      <x:ext xmlns:xltc2="http://schemas.microsoft.com/office/spreadsheetml/2020/threadedcomments2" uri="{F7C98A9C-CBB3-438F-8F68-D28B6AF4A901}">
        <xltc2:checksum>1848320717</xltc2:checksum>
        <xltc2:hyperlink startIndex="0" length="77" url="https://ec.europa.eu/eurostat/databrowser/view/nrg_d_hhq__custom_17877712/default/table"/>
      </x:ext>
    </extLst>
  </threadedComment>
  <threadedComment ref="K319" dT="2025-08-26T11:09:57.82" personId="{8778C2F9-C984-4EE7-BAF7-1E7D750E176E}" id="{CCA5DEDA-D5EE-401C-B5C4-2BFBDFC7BBE9}">
    <text xml:space="preserve">[nrg_d_hhq] Disaggregated final energy consumption in households - quantities </text>
    <extLst>
      <x:ext xmlns:xltc2="http://schemas.microsoft.com/office/spreadsheetml/2020/threadedcomments2" uri="{F7C98A9C-CBB3-438F-8F68-D28B6AF4A901}">
        <xltc2:checksum>1848320717</xltc2:checksum>
        <xltc2:hyperlink startIndex="0" length="77" url="https://ec.europa.eu/eurostat/databrowser/view/nrg_d_hhq__custom_17869401/default/table"/>
      </x:ext>
    </extLst>
  </threadedComment>
  <threadedComment ref="K320" dT="2025-08-25T12:46:28.56" personId="{8778C2F9-C984-4EE7-BAF7-1E7D750E176E}" id="{369ABD1F-8BE4-4643-8800-ED467CB17F0F}">
    <text xml:space="preserve">[nrg_bal_c] Complete energy balances </text>
    <extLst>
      <x:ext xmlns:xltc2="http://schemas.microsoft.com/office/spreadsheetml/2020/threadedcomments2" uri="{F7C98A9C-CBB3-438F-8F68-D28B6AF4A901}">
        <xltc2:checksum>1243532966</xltc2:checksum>
        <xltc2:hyperlink startIndex="0" length="36" url="https://ec.europa.eu/eurostat/databrowser/view/nrg_bal_c__custom_17859884/default/table"/>
      </x:ext>
    </extLst>
  </threadedComment>
  <threadedComment ref="K321" dT="2025-08-25T13:44:59.24" personId="{8778C2F9-C984-4EE7-BAF7-1E7D750E176E}" id="{C5877182-78D4-491F-B287-569A325C6C50}">
    <text xml:space="preserve">[nrg_d_hhq] Disaggregated final energy consumption in households - quantities </text>
    <extLst>
      <x:ext xmlns:xltc2="http://schemas.microsoft.com/office/spreadsheetml/2020/threadedcomments2" uri="{F7C98A9C-CBB3-438F-8F68-D28B6AF4A901}">
        <xltc2:checksum>1848320717</xltc2:checksum>
        <xltc2:hyperlink startIndex="0" length="77" url="https://ec.europa.eu/eurostat/databrowser/view/nrg_d_hhq__custom_17861203/default/table"/>
      </x:ext>
    </extLst>
  </threadedComment>
  <threadedComment ref="R321" dT="2025-08-25T12:32:15.48" personId="{8778C2F9-C984-4EE7-BAF7-1E7D750E176E}" id="{0AD9BEDB-8243-489F-BDEA-D4B0C9F04F8E}">
    <text xml:space="preserve">Conversion factor of LPG from mass to energy from: Approximate conversion factors </text>
    <extLst>
      <x:ext xmlns:xltc2="http://schemas.microsoft.com/office/spreadsheetml/2020/threadedcomments2" uri="{F7C98A9C-CBB3-438F-8F68-D28B6AF4A901}">
        <xltc2:checksum>2579588849</xltc2:checksum>
        <xltc2:hyperlink startIndex="51" length="30" url="https://www.bp.com/content/dam/bp/business-sites/en/global/corporate/pdfs/energy-economics/statistical-review/bp-stats-review-2022-approximate-conversion-factors.pdf"/>
      </x:ext>
    </extLst>
  </threadedComment>
  <threadedComment ref="K322" dT="2025-08-26T11:10:19.46" personId="{8778C2F9-C984-4EE7-BAF7-1E7D750E176E}" id="{0E0DB7B1-A42B-4F52-A8F4-1E7569FBACC9}">
    <text xml:space="preserve">[nrg_bal_c] Complete energy balances </text>
    <extLst>
      <x:ext xmlns:xltc2="http://schemas.microsoft.com/office/spreadsheetml/2020/threadedcomments2" uri="{F7C98A9C-CBB3-438F-8F68-D28B6AF4A901}">
        <xltc2:checksum>1243532966</xltc2:checksum>
        <xltc2:hyperlink startIndex="0" length="36" url="https://ec.europa.eu/eurostat/databrowser/view/nrg_bal_c__custom_17869203/default/table"/>
      </x:ext>
    </extLst>
  </threadedComment>
  <threadedComment ref="K323" dT="2025-08-26T09:45:51.73" personId="{8778C2F9-C984-4EE7-BAF7-1E7D750E176E}" id="{B685B73B-0C39-4BE6-AC24-24F9A19510D7}">
    <text xml:space="preserve">[nrg_bal_c] Complete energy balances </text>
    <extLst>
      <x:ext xmlns:xltc2="http://schemas.microsoft.com/office/spreadsheetml/2020/threadedcomments2" uri="{F7C98A9C-CBB3-438F-8F68-D28B6AF4A901}">
        <xltc2:checksum>1243532966</xltc2:checksum>
        <xltc2:hyperlink startIndex="0" length="36" url="https://ec.europa.eu/eurostat/databrowser/view/nrg_bal_c__custom_17868429/default/table"/>
      </x:ext>
    </extLst>
  </threadedComment>
  <threadedComment ref="K324" dT="2025-08-26T11:10:37.34" personId="{8778C2F9-C984-4EE7-BAF7-1E7D750E176E}" id="{49FF53BF-4373-4AD9-ACC9-628D9C54C39E}">
    <text xml:space="preserve">[nrg_bal_c] Complete energy balances </text>
    <extLst>
      <x:ext xmlns:xltc2="http://schemas.microsoft.com/office/spreadsheetml/2020/threadedcomments2" uri="{F7C98A9C-CBB3-438F-8F68-D28B6AF4A901}">
        <xltc2:checksum>1243532966</xltc2:checksum>
        <xltc2:hyperlink startIndex="0" length="36" url="https://ec.europa.eu/eurostat/databrowser/view/nrg_bal_c__custom_17869203/default/table"/>
      </x:ext>
    </extLst>
  </threadedComment>
  <threadedComment ref="R326" dT="2025-08-25T12:32:15.48" personId="{8778C2F9-C984-4EE7-BAF7-1E7D750E176E}" id="{1DA2461D-BC9E-4D0C-AE30-5449E174E4E2}">
    <text xml:space="preserve">Conversion factor of LPG from mass to energy from: Approximate conversion factors </text>
    <extLst>
      <x:ext xmlns:xltc2="http://schemas.microsoft.com/office/spreadsheetml/2020/threadedcomments2" uri="{F7C98A9C-CBB3-438F-8F68-D28B6AF4A901}">
        <xltc2:checksum>2579588849</xltc2:checksum>
        <xltc2:hyperlink startIndex="51" length="30" url="https://www.bp.com/content/dam/bp/business-sites/en/global/corporate/pdfs/energy-economics/statistical-review/bp-stats-review-2022-approximate-conversion-factors.pdf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../Diplomity%C3%B6/Data/UK%20dataa%20mm%20eri%20l%C3%A4mmitysmuodoille.xlsx?web=1" TargetMode="External"/><Relationship Id="rId2" Type="http://schemas.openxmlformats.org/officeDocument/2006/relationships/hyperlink" Target="../../Diplomity%C3%B6/Data/DUKES_6.1.xlsx?web=1" TargetMode="External"/><Relationship Id="rId1" Type="http://schemas.openxmlformats.org/officeDocument/2006/relationships/hyperlink" Target="../../Diplomity%C3%B6/Data/DUKES_3.2.xlsx?web=1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../../Diplomity%C3%B6/Data/DUKES_3.2.xlsx?web=1" TargetMode="External"/><Relationship Id="rId2" Type="http://schemas.openxmlformats.org/officeDocument/2006/relationships/hyperlink" Target="../../Diplomity%C3%B6/Data/DUKES_1.1.xlsx?web=1" TargetMode="External"/><Relationship Id="rId1" Type="http://schemas.openxmlformats.org/officeDocument/2006/relationships/hyperlink" Target="../../Diplomity%C3%B6/Data/DUKES_6.1.xlsx?web=1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F5E2C-9C0F-4F7F-8F42-CFD3B581A22D}">
  <dimension ref="A2:BC359"/>
  <sheetViews>
    <sheetView topLeftCell="A3" zoomScale="85" zoomScaleNormal="85" workbookViewId="0">
      <selection activeCell="C303" sqref="C303"/>
    </sheetView>
  </sheetViews>
  <sheetFormatPr defaultRowHeight="15" x14ac:dyDescent="0.25"/>
  <cols>
    <col min="1" max="1" width="22.7109375" customWidth="1"/>
    <col min="3" max="3" width="13.85546875" customWidth="1"/>
    <col min="4" max="4" width="14.5703125" customWidth="1"/>
    <col min="6" max="6" width="11" bestFit="1" customWidth="1"/>
    <col min="8" max="9" width="12" bestFit="1" customWidth="1"/>
    <col min="11" max="11" width="13.140625" customWidth="1"/>
    <col min="13" max="13" width="23.140625" customWidth="1"/>
    <col min="14" max="14" width="12.7109375" customWidth="1"/>
    <col min="17" max="17" width="13" customWidth="1"/>
    <col min="18" max="18" width="10.7109375" customWidth="1"/>
    <col min="19" max="19" width="11" bestFit="1" customWidth="1"/>
    <col min="21" max="21" width="16.7109375" customWidth="1"/>
    <col min="22" max="22" width="13.7109375" customWidth="1"/>
    <col min="23" max="23" width="24" customWidth="1"/>
    <col min="24" max="24" width="14.28515625" customWidth="1"/>
    <col min="25" max="25" width="17.140625" customWidth="1"/>
    <col min="35" max="35" width="12.5703125" customWidth="1"/>
    <col min="36" max="36" width="14.140625" customWidth="1"/>
    <col min="37" max="37" width="19.85546875" customWidth="1"/>
  </cols>
  <sheetData>
    <row r="2" spans="2:55" x14ac:dyDescent="0.25">
      <c r="B2" s="2" t="s">
        <v>46</v>
      </c>
      <c r="C2" s="3"/>
      <c r="D2" s="3"/>
      <c r="E2" s="3"/>
      <c r="F2" s="3"/>
      <c r="I2" s="3"/>
      <c r="J2" s="3"/>
      <c r="L2" s="2" t="s">
        <v>41</v>
      </c>
      <c r="M2" s="3"/>
      <c r="N2" s="3"/>
      <c r="O2" s="3"/>
      <c r="P2" s="3"/>
      <c r="Q2" s="3"/>
      <c r="R2" s="3"/>
      <c r="S2" s="11" t="s">
        <v>49</v>
      </c>
      <c r="T2" s="3"/>
      <c r="W2" s="2" t="s">
        <v>41</v>
      </c>
      <c r="X2" s="3"/>
      <c r="Y2" s="3"/>
      <c r="Z2" s="3"/>
      <c r="AA2" s="3"/>
      <c r="AB2" s="3"/>
      <c r="AC2" s="3"/>
      <c r="AD2" s="11" t="s">
        <v>49</v>
      </c>
      <c r="AE2" s="3"/>
      <c r="AH2" s="34"/>
      <c r="AW2" s="34"/>
      <c r="AX2" s="35"/>
      <c r="AY2" s="35"/>
      <c r="AZ2" s="35"/>
      <c r="BA2" s="35"/>
      <c r="BB2" s="34"/>
    </row>
    <row r="3" spans="2:55" ht="15.75" thickBot="1" x14ac:dyDescent="0.3">
      <c r="B3" s="4" t="s">
        <v>42</v>
      </c>
      <c r="C3" s="4" t="s">
        <v>43</v>
      </c>
      <c r="D3" s="4" t="s">
        <v>44</v>
      </c>
      <c r="E3" s="4" t="s">
        <v>45</v>
      </c>
      <c r="F3" s="5">
        <v>2010</v>
      </c>
      <c r="G3" s="5">
        <v>2015</v>
      </c>
      <c r="H3" s="5">
        <v>2020</v>
      </c>
      <c r="I3" s="5">
        <v>2023</v>
      </c>
      <c r="J3" s="5">
        <v>0</v>
      </c>
      <c r="L3" s="4" t="s">
        <v>42</v>
      </c>
      <c r="M3" s="4" t="s">
        <v>43</v>
      </c>
      <c r="N3" s="4" t="s">
        <v>44</v>
      </c>
      <c r="O3" s="4" t="s">
        <v>45</v>
      </c>
      <c r="P3" s="5">
        <v>2010</v>
      </c>
      <c r="Q3" s="5">
        <v>2015</v>
      </c>
      <c r="R3" s="5">
        <v>2020</v>
      </c>
      <c r="S3" s="5">
        <v>2025</v>
      </c>
      <c r="T3" s="5">
        <v>2040</v>
      </c>
      <c r="U3" s="5">
        <v>0</v>
      </c>
      <c r="W3" s="4" t="s">
        <v>42</v>
      </c>
      <c r="X3" s="4" t="s">
        <v>43</v>
      </c>
      <c r="Y3" s="4" t="s">
        <v>44</v>
      </c>
      <c r="Z3" s="4" t="s">
        <v>45</v>
      </c>
      <c r="AA3" s="5">
        <v>2010</v>
      </c>
      <c r="AB3" s="5">
        <v>2015</v>
      </c>
      <c r="AC3" s="5">
        <v>2020</v>
      </c>
      <c r="AD3" s="5">
        <v>2025</v>
      </c>
      <c r="AE3" s="5">
        <v>2040</v>
      </c>
      <c r="AF3" s="5">
        <v>0</v>
      </c>
      <c r="AH3" s="4" t="s">
        <v>42</v>
      </c>
      <c r="AI3" s="4" t="s">
        <v>43</v>
      </c>
      <c r="AJ3" s="4" t="s">
        <v>82</v>
      </c>
      <c r="AK3" s="4" t="s">
        <v>44</v>
      </c>
      <c r="AL3" s="4" t="s">
        <v>45</v>
      </c>
      <c r="AM3" s="5">
        <v>2010</v>
      </c>
      <c r="AN3" s="5">
        <v>2015</v>
      </c>
      <c r="AO3" s="5">
        <v>2020</v>
      </c>
      <c r="AP3" s="5">
        <v>2025</v>
      </c>
      <c r="AQ3" s="5">
        <v>2040</v>
      </c>
      <c r="AW3" s="36" t="s">
        <v>79</v>
      </c>
      <c r="AX3" s="36" t="s">
        <v>45</v>
      </c>
      <c r="AY3" s="36" t="s">
        <v>44</v>
      </c>
      <c r="AZ3" s="36" t="s">
        <v>80</v>
      </c>
      <c r="BA3" s="37" t="s">
        <v>81</v>
      </c>
      <c r="BB3" s="38" t="s">
        <v>43</v>
      </c>
      <c r="BC3" s="3" t="s">
        <v>82</v>
      </c>
    </row>
    <row r="4" spans="2:55" x14ac:dyDescent="0.25">
      <c r="B4" s="1" t="s">
        <v>0</v>
      </c>
      <c r="C4" s="1" t="s">
        <v>1</v>
      </c>
      <c r="D4" s="1" t="s">
        <v>2</v>
      </c>
      <c r="E4" s="1"/>
      <c r="F4" s="1">
        <v>4.461894</v>
      </c>
      <c r="G4" s="1">
        <v>3.1696800000000001</v>
      </c>
      <c r="H4" s="1">
        <v>1.3805750000000001</v>
      </c>
      <c r="I4" s="1">
        <v>1.0435380000000001</v>
      </c>
      <c r="J4" s="1">
        <v>1</v>
      </c>
      <c r="L4" s="1" t="s">
        <v>0</v>
      </c>
      <c r="M4" s="1" t="s">
        <v>1</v>
      </c>
      <c r="N4" s="1" t="s">
        <v>2</v>
      </c>
      <c r="O4" s="1" t="s">
        <v>40</v>
      </c>
      <c r="P4" s="1">
        <f>IF(ISBLANK(F4),":",0.98*F4)</f>
        <v>4.3726561200000003</v>
      </c>
      <c r="Q4" s="1">
        <f t="shared" ref="Q4:S4" si="0">IF(ISBLANK(G4),":",0.98*G4)</f>
        <v>3.1062864000000001</v>
      </c>
      <c r="R4" s="1">
        <f t="shared" si="0"/>
        <v>1.3529635</v>
      </c>
      <c r="S4" s="1">
        <f t="shared" si="0"/>
        <v>1.0226672400000001</v>
      </c>
      <c r="T4" s="33">
        <v>0</v>
      </c>
      <c r="U4" s="1">
        <v>1</v>
      </c>
      <c r="W4" s="1" t="s">
        <v>0</v>
      </c>
      <c r="X4" s="1" t="s">
        <v>1</v>
      </c>
      <c r="Y4" s="1" t="s">
        <v>2</v>
      </c>
      <c r="Z4" s="1" t="s">
        <v>39</v>
      </c>
      <c r="AA4" s="1">
        <f t="shared" ref="AA4:AA67" si="1">IF(ISBLANK(F4),":",1.02*F4)</f>
        <v>4.5511318799999998</v>
      </c>
      <c r="AB4" s="1">
        <f t="shared" ref="AB4:AB67" si="2">IF(ISBLANK(G4),":",1.02*G4)</f>
        <v>3.2330736</v>
      </c>
      <c r="AC4" s="1">
        <f t="shared" ref="AC4:AC67" si="3">IF(ISBLANK(H4),":",1.02*H4)</f>
        <v>1.4081865000000002</v>
      </c>
      <c r="AD4" s="1">
        <f t="shared" ref="AD4:AD67" si="4">IF(ISBLANK(I4),":",1.02*I4)</f>
        <v>1.0644087600000001</v>
      </c>
      <c r="AE4" s="28">
        <f>MAX($I$4,$I$32,$I$60,$I$88,$I$116,$I$144,$I$172,$I$200,$I$228,$I$256,$I$284)</f>
        <v>119.69903699999999</v>
      </c>
      <c r="AF4" s="1">
        <v>1</v>
      </c>
      <c r="AH4" s="1" t="s">
        <v>90</v>
      </c>
      <c r="AI4" s="1" t="s">
        <v>86</v>
      </c>
      <c r="AJ4" s="1" t="s">
        <v>89</v>
      </c>
      <c r="AK4" s="1" t="s">
        <v>78</v>
      </c>
      <c r="AL4" s="1" t="s">
        <v>39</v>
      </c>
      <c r="AM4" s="1">
        <v>0.5</v>
      </c>
      <c r="AN4" s="1">
        <v>0.5</v>
      </c>
      <c r="AO4" s="1">
        <v>0.5</v>
      </c>
      <c r="AP4" s="1">
        <v>0.5</v>
      </c>
      <c r="AQ4" s="1">
        <v>0.5</v>
      </c>
      <c r="AW4" t="s">
        <v>83</v>
      </c>
      <c r="AX4" t="s">
        <v>39</v>
      </c>
      <c r="AY4" s="39" t="s">
        <v>77</v>
      </c>
      <c r="AZ4">
        <v>0</v>
      </c>
      <c r="BA4" s="40">
        <v>2</v>
      </c>
      <c r="BB4" s="41" t="s">
        <v>86</v>
      </c>
      <c r="BC4" t="s">
        <v>85</v>
      </c>
    </row>
    <row r="5" spans="2:55" x14ac:dyDescent="0.25">
      <c r="B5" s="1" t="s">
        <v>3</v>
      </c>
      <c r="C5" s="1" t="s">
        <v>1</v>
      </c>
      <c r="D5" s="1" t="s">
        <v>2</v>
      </c>
      <c r="E5" s="1"/>
      <c r="F5" s="1">
        <v>8.00854</v>
      </c>
      <c r="G5" s="1">
        <v>5.5871930000000001</v>
      </c>
      <c r="H5" s="1">
        <v>4.161727</v>
      </c>
      <c r="I5" s="1">
        <v>0.58451700000000006</v>
      </c>
      <c r="J5" s="1">
        <v>1</v>
      </c>
      <c r="L5" s="1" t="s">
        <v>3</v>
      </c>
      <c r="M5" s="1" t="s">
        <v>1</v>
      </c>
      <c r="N5" s="1" t="s">
        <v>2</v>
      </c>
      <c r="O5" s="1" t="s">
        <v>40</v>
      </c>
      <c r="P5" s="1">
        <f>IF(ISBLANK(F5),":",0.98*F5)</f>
        <v>7.8483691999999996</v>
      </c>
      <c r="Q5" s="1">
        <f t="shared" ref="Q5:Q6" si="5">IF(ISBLANK(G5),":",0.98*G5)</f>
        <v>5.4754491400000003</v>
      </c>
      <c r="R5" s="1">
        <f t="shared" ref="R5:R6" si="6">IF(ISBLANK(H5),":",0.98*H5)</f>
        <v>4.0784924599999997</v>
      </c>
      <c r="S5" s="1">
        <f t="shared" ref="S5:S6" si="7">IF(ISBLANK(I5),":",0.98*I5)</f>
        <v>0.57282666000000004</v>
      </c>
      <c r="T5" s="33">
        <v>0</v>
      </c>
      <c r="U5" s="1">
        <v>1</v>
      </c>
      <c r="W5" s="1" t="s">
        <v>3</v>
      </c>
      <c r="X5" s="1" t="s">
        <v>1</v>
      </c>
      <c r="Y5" s="1" t="s">
        <v>2</v>
      </c>
      <c r="Z5" s="1" t="s">
        <v>39</v>
      </c>
      <c r="AA5" s="1">
        <f t="shared" si="1"/>
        <v>8.1687107999999995</v>
      </c>
      <c r="AB5" s="1">
        <f t="shared" si="2"/>
        <v>5.6989368599999999</v>
      </c>
      <c r="AC5" s="1">
        <f t="shared" si="3"/>
        <v>4.2449615400000003</v>
      </c>
      <c r="AD5" s="1">
        <f t="shared" si="4"/>
        <v>0.59620734000000009</v>
      </c>
      <c r="AE5" s="28">
        <f>MAX($I$5,$I$33,$I$61,$I$89,$I$117,$I$145,$I$173,$I$201,$I$229,$I$257,$I$285)</f>
        <v>27.890193999999994</v>
      </c>
      <c r="AF5" s="1">
        <v>1</v>
      </c>
      <c r="AH5" s="1" t="s">
        <v>90</v>
      </c>
      <c r="AI5" s="1" t="s">
        <v>86</v>
      </c>
      <c r="AJ5" s="1" t="s">
        <v>89</v>
      </c>
      <c r="AK5" s="1" t="s">
        <v>78</v>
      </c>
      <c r="AL5" s="1" t="s">
        <v>40</v>
      </c>
      <c r="AM5" s="1">
        <v>0.4</v>
      </c>
      <c r="AN5" s="1">
        <v>0.4</v>
      </c>
      <c r="AO5" s="1">
        <v>0.4</v>
      </c>
      <c r="AP5" s="1">
        <v>0.4</v>
      </c>
      <c r="AQ5" s="1">
        <v>0.4</v>
      </c>
      <c r="AW5" t="s">
        <v>83</v>
      </c>
      <c r="AX5" t="s">
        <v>39</v>
      </c>
      <c r="AY5" s="39" t="s">
        <v>77</v>
      </c>
      <c r="AZ5">
        <v>0</v>
      </c>
      <c r="BA5" s="40">
        <v>2</v>
      </c>
      <c r="BB5" s="41" t="s">
        <v>87</v>
      </c>
      <c r="BC5" t="s">
        <v>85</v>
      </c>
    </row>
    <row r="6" spans="2:55" x14ac:dyDescent="0.25">
      <c r="B6" s="1" t="s">
        <v>4</v>
      </c>
      <c r="C6" s="1" t="s">
        <v>1</v>
      </c>
      <c r="D6" s="1" t="s">
        <v>2</v>
      </c>
      <c r="E6" s="1"/>
      <c r="F6" s="1">
        <v>39.813184</v>
      </c>
      <c r="G6" s="1">
        <v>34.771566</v>
      </c>
      <c r="H6" s="1">
        <v>26.562526000000002</v>
      </c>
      <c r="I6" s="1">
        <v>17.917450000000002</v>
      </c>
      <c r="J6" s="1">
        <v>1</v>
      </c>
      <c r="L6" s="1" t="s">
        <v>4</v>
      </c>
      <c r="M6" s="1" t="s">
        <v>1</v>
      </c>
      <c r="N6" s="1" t="s">
        <v>2</v>
      </c>
      <c r="O6" s="1" t="s">
        <v>40</v>
      </c>
      <c r="P6" s="1">
        <f t="shared" ref="P6:P11" si="8">IF(ISBLANK(F6),":",0.98*F6)</f>
        <v>39.016920319999997</v>
      </c>
      <c r="Q6" s="1">
        <f t="shared" si="5"/>
        <v>34.076134680000003</v>
      </c>
      <c r="R6" s="1">
        <f t="shared" si="6"/>
        <v>26.031275480000001</v>
      </c>
      <c r="S6" s="1">
        <f t="shared" si="7"/>
        <v>17.559101000000002</v>
      </c>
      <c r="T6" s="33">
        <v>0</v>
      </c>
      <c r="U6" s="1">
        <v>1</v>
      </c>
      <c r="W6" s="1" t="s">
        <v>4</v>
      </c>
      <c r="X6" s="1" t="s">
        <v>1</v>
      </c>
      <c r="Y6" s="1" t="s">
        <v>2</v>
      </c>
      <c r="Z6" s="1" t="s">
        <v>39</v>
      </c>
      <c r="AA6" s="1">
        <f t="shared" si="1"/>
        <v>40.609447680000002</v>
      </c>
      <c r="AB6" s="1">
        <f t="shared" si="2"/>
        <v>35.466997319999997</v>
      </c>
      <c r="AC6" s="1">
        <f t="shared" si="3"/>
        <v>27.093776520000002</v>
      </c>
      <c r="AD6" s="1">
        <f t="shared" si="4"/>
        <v>18.275799000000003</v>
      </c>
      <c r="AE6" s="28">
        <f>MAX($I$6,$I$34,$I$62,$I$90,$I$118,$I$146,$I$174,$I$202,$I$230,$I$258,$I$286)</f>
        <v>80.496740000000003</v>
      </c>
      <c r="AF6" s="1">
        <v>1</v>
      </c>
      <c r="AW6" t="s">
        <v>83</v>
      </c>
      <c r="AX6" t="s">
        <v>39</v>
      </c>
      <c r="AY6" s="39" t="s">
        <v>77</v>
      </c>
      <c r="AZ6">
        <v>0</v>
      </c>
      <c r="BA6" s="40">
        <v>2</v>
      </c>
      <c r="BB6" s="41" t="s">
        <v>88</v>
      </c>
      <c r="BC6" t="s">
        <v>85</v>
      </c>
    </row>
    <row r="7" spans="2:55" x14ac:dyDescent="0.25">
      <c r="B7" s="1" t="s">
        <v>5</v>
      </c>
      <c r="C7" s="1" t="s">
        <v>1</v>
      </c>
      <c r="D7" s="1" t="s">
        <v>2</v>
      </c>
      <c r="E7" s="1"/>
      <c r="F7" s="1">
        <v>1.83E-2</v>
      </c>
      <c r="G7" s="1">
        <v>0</v>
      </c>
      <c r="H7" s="1">
        <v>0</v>
      </c>
      <c r="I7" s="1">
        <v>0</v>
      </c>
      <c r="J7" s="1">
        <v>1</v>
      </c>
      <c r="L7" s="1" t="s">
        <v>5</v>
      </c>
      <c r="M7" s="1" t="s">
        <v>1</v>
      </c>
      <c r="N7" s="1" t="s">
        <v>2</v>
      </c>
      <c r="O7" s="1" t="s">
        <v>40</v>
      </c>
      <c r="P7" s="1">
        <f t="shared" si="8"/>
        <v>1.7933999999999999E-2</v>
      </c>
      <c r="Q7" s="1">
        <f t="shared" ref="Q7:Q21" si="9">IF(ISBLANK(G7),":",0.98*G7)</f>
        <v>0</v>
      </c>
      <c r="R7" s="1">
        <f t="shared" ref="R7:R21" si="10">IF(ISBLANK(H7),":",0.98*H7)</f>
        <v>0</v>
      </c>
      <c r="S7" s="1">
        <f t="shared" ref="S7:S21" si="11">IF(ISBLANK(I7),":",0.98*I7)</f>
        <v>0</v>
      </c>
      <c r="T7" s="33">
        <v>0</v>
      </c>
      <c r="U7" s="1">
        <v>1</v>
      </c>
      <c r="W7" s="1" t="s">
        <v>5</v>
      </c>
      <c r="X7" s="1" t="s">
        <v>1</v>
      </c>
      <c r="Y7" s="1" t="s">
        <v>2</v>
      </c>
      <c r="Z7" s="1" t="s">
        <v>39</v>
      </c>
      <c r="AA7" s="1">
        <f t="shared" si="1"/>
        <v>1.8666000000000002E-2</v>
      </c>
      <c r="AB7" s="1">
        <f t="shared" si="2"/>
        <v>0</v>
      </c>
      <c r="AC7" s="1">
        <f t="shared" si="3"/>
        <v>0</v>
      </c>
      <c r="AD7" s="1">
        <f t="shared" si="4"/>
        <v>0</v>
      </c>
      <c r="AE7" s="28">
        <f>MAX($I$7,$I$35,$I$63,$I$91,$I$119,$I$147,$I$175,$I$203,$I$231,$I$259,$I$287)</f>
        <v>69.570329999999998</v>
      </c>
      <c r="AF7" s="1">
        <v>1</v>
      </c>
      <c r="AW7" t="s">
        <v>83</v>
      </c>
      <c r="AX7" t="s">
        <v>39</v>
      </c>
      <c r="AY7" s="39" t="s">
        <v>77</v>
      </c>
      <c r="AZ7">
        <v>0</v>
      </c>
      <c r="BA7" s="40">
        <v>2</v>
      </c>
      <c r="BB7" s="41" t="s">
        <v>84</v>
      </c>
      <c r="BC7" t="s">
        <v>85</v>
      </c>
    </row>
    <row r="8" spans="2:55" x14ac:dyDescent="0.25">
      <c r="B8" s="1" t="s">
        <v>6</v>
      </c>
      <c r="C8" s="1" t="s">
        <v>1</v>
      </c>
      <c r="D8" s="1" t="s">
        <v>2</v>
      </c>
      <c r="E8" s="1"/>
      <c r="F8" s="1">
        <v>41.538983000000002</v>
      </c>
      <c r="G8" s="1">
        <v>25.153661</v>
      </c>
      <c r="H8" s="1">
        <v>13.217977999999999</v>
      </c>
      <c r="I8" s="1">
        <v>13.041193999999999</v>
      </c>
      <c r="J8" s="1">
        <v>1</v>
      </c>
      <c r="L8" s="1" t="s">
        <v>6</v>
      </c>
      <c r="M8" s="1" t="s">
        <v>1</v>
      </c>
      <c r="N8" s="1" t="s">
        <v>2</v>
      </c>
      <c r="O8" s="1" t="s">
        <v>40</v>
      </c>
      <c r="P8" s="1">
        <f t="shared" si="8"/>
        <v>40.708203340000004</v>
      </c>
      <c r="Q8" s="1">
        <f t="shared" si="9"/>
        <v>24.650587779999999</v>
      </c>
      <c r="R8" s="1">
        <f t="shared" si="10"/>
        <v>12.953618439999998</v>
      </c>
      <c r="S8" s="1">
        <f t="shared" si="11"/>
        <v>12.780370119999999</v>
      </c>
      <c r="T8" s="33">
        <v>0</v>
      </c>
      <c r="U8" s="1">
        <v>1</v>
      </c>
      <c r="W8" s="1" t="s">
        <v>6</v>
      </c>
      <c r="X8" s="1" t="s">
        <v>1</v>
      </c>
      <c r="Y8" s="1" t="s">
        <v>2</v>
      </c>
      <c r="Z8" s="1" t="s">
        <v>39</v>
      </c>
      <c r="AA8" s="1">
        <f t="shared" si="1"/>
        <v>42.369762659999999</v>
      </c>
      <c r="AB8" s="1">
        <f t="shared" si="2"/>
        <v>25.656734220000001</v>
      </c>
      <c r="AC8" s="1">
        <f t="shared" si="3"/>
        <v>13.482337559999999</v>
      </c>
      <c r="AD8" s="1">
        <f t="shared" si="4"/>
        <v>13.302017879999999</v>
      </c>
      <c r="AE8" s="28">
        <f>MAX($I$8,$I$36,$I$64,$I$92,$I$120,$I$148,$I$176,$I$204,$I$232,$I$260,$I$288)</f>
        <v>836.17112299999997</v>
      </c>
      <c r="AF8" s="1">
        <v>1</v>
      </c>
    </row>
    <row r="9" spans="2:55" x14ac:dyDescent="0.25">
      <c r="B9" s="1" t="s">
        <v>7</v>
      </c>
      <c r="C9" s="1" t="s">
        <v>1</v>
      </c>
      <c r="D9" s="1" t="s">
        <v>2</v>
      </c>
      <c r="E9" s="1"/>
      <c r="F9" s="1">
        <v>0.21728</v>
      </c>
      <c r="G9" s="1">
        <v>0.10859999999999999</v>
      </c>
      <c r="H9" s="1">
        <v>4.0153000000000001E-2</v>
      </c>
      <c r="I9" s="1">
        <v>9.9760000000000005E-3</v>
      </c>
      <c r="J9" s="1">
        <v>1</v>
      </c>
      <c r="L9" s="1" t="s">
        <v>7</v>
      </c>
      <c r="M9" s="1" t="s">
        <v>1</v>
      </c>
      <c r="N9" s="1" t="s">
        <v>2</v>
      </c>
      <c r="O9" s="1" t="s">
        <v>40</v>
      </c>
      <c r="P9" s="1">
        <f t="shared" si="8"/>
        <v>0.2129344</v>
      </c>
      <c r="Q9" s="1">
        <f t="shared" si="9"/>
        <v>0.10642799999999998</v>
      </c>
      <c r="R9" s="1">
        <f t="shared" si="10"/>
        <v>3.934994E-2</v>
      </c>
      <c r="S9" s="1">
        <f t="shared" si="11"/>
        <v>9.7764800000000006E-3</v>
      </c>
      <c r="T9" s="33">
        <v>0</v>
      </c>
      <c r="U9" s="1">
        <v>1</v>
      </c>
      <c r="W9" s="1" t="s">
        <v>7</v>
      </c>
      <c r="X9" s="1" t="s">
        <v>1</v>
      </c>
      <c r="Y9" s="1" t="s">
        <v>2</v>
      </c>
      <c r="Z9" s="1" t="s">
        <v>39</v>
      </c>
      <c r="AA9" s="1">
        <f t="shared" si="1"/>
        <v>0.22162560000000001</v>
      </c>
      <c r="AB9" s="1">
        <f t="shared" si="2"/>
        <v>0.110772</v>
      </c>
      <c r="AC9" s="1">
        <f t="shared" si="3"/>
        <v>4.0956060000000002E-2</v>
      </c>
      <c r="AD9" s="1">
        <f t="shared" si="4"/>
        <v>1.017552E-2</v>
      </c>
      <c r="AE9" s="28">
        <f>MAX($I$9,$I$37,$I$65,$I$93,$I$121,$I$149,$I$177,$I$205,$I$233,$I$261,$I$289)</f>
        <v>15.457636000000001</v>
      </c>
      <c r="AF9" s="1">
        <v>1</v>
      </c>
    </row>
    <row r="10" spans="2:55" x14ac:dyDescent="0.25">
      <c r="B10" s="1" t="s">
        <v>8</v>
      </c>
      <c r="C10" s="1" t="s">
        <v>1</v>
      </c>
      <c r="D10" s="1" t="s">
        <v>2</v>
      </c>
      <c r="E10" s="1"/>
      <c r="F10" s="1">
        <v>9.5742759999999993</v>
      </c>
      <c r="G10" s="1">
        <v>9.7804909999999996</v>
      </c>
      <c r="H10" s="1">
        <v>7.2549139999999994</v>
      </c>
      <c r="I10" s="1">
        <v>3.0547390000000001</v>
      </c>
      <c r="J10" s="1">
        <v>1</v>
      </c>
      <c r="L10" s="1" t="s">
        <v>8</v>
      </c>
      <c r="M10" s="1" t="s">
        <v>1</v>
      </c>
      <c r="N10" s="1" t="s">
        <v>2</v>
      </c>
      <c r="O10" s="1" t="s">
        <v>40</v>
      </c>
      <c r="P10" s="1">
        <f t="shared" si="8"/>
        <v>9.3827904799999988</v>
      </c>
      <c r="Q10" s="1">
        <f t="shared" si="9"/>
        <v>9.58488118</v>
      </c>
      <c r="R10" s="1">
        <f t="shared" si="10"/>
        <v>7.1098157199999994</v>
      </c>
      <c r="S10" s="1">
        <f t="shared" si="11"/>
        <v>2.9936442200000002</v>
      </c>
      <c r="T10" s="33">
        <v>0</v>
      </c>
      <c r="U10" s="1">
        <v>1</v>
      </c>
      <c r="W10" s="1" t="s">
        <v>8</v>
      </c>
      <c r="X10" s="1" t="s">
        <v>1</v>
      </c>
      <c r="Y10" s="1" t="s">
        <v>2</v>
      </c>
      <c r="Z10" s="1" t="s">
        <v>39</v>
      </c>
      <c r="AA10" s="1">
        <f t="shared" si="1"/>
        <v>9.7657615199999999</v>
      </c>
      <c r="AB10" s="1">
        <f t="shared" si="2"/>
        <v>9.9761008199999992</v>
      </c>
      <c r="AC10" s="1">
        <f t="shared" si="3"/>
        <v>7.4000122799999994</v>
      </c>
      <c r="AD10" s="1">
        <f t="shared" si="4"/>
        <v>3.11583378</v>
      </c>
      <c r="AE10" s="28">
        <f>MAX(I$10,I$38,I$66,I$94,I$122,I$150,I$178,I$206,I$234,I$262,I$290)</f>
        <v>42.352189999999993</v>
      </c>
      <c r="AF10" s="1">
        <v>1</v>
      </c>
      <c r="AI10" s="35"/>
      <c r="AJ10" s="35"/>
      <c r="AK10" s="35"/>
      <c r="AL10" s="35"/>
      <c r="AM10" s="34"/>
    </row>
    <row r="11" spans="2:55" ht="15.75" thickBot="1" x14ac:dyDescent="0.3">
      <c r="B11" s="1" t="s">
        <v>9</v>
      </c>
      <c r="C11" s="1" t="s">
        <v>1</v>
      </c>
      <c r="D11" s="1" t="s">
        <v>2</v>
      </c>
      <c r="E11" s="1"/>
      <c r="F11" s="1">
        <v>0.14089400000000002</v>
      </c>
      <c r="G11" s="1">
        <v>0.195244</v>
      </c>
      <c r="H11" s="1">
        <v>0.128579</v>
      </c>
      <c r="I11" s="1">
        <v>1.254</v>
      </c>
      <c r="J11" s="1">
        <v>1</v>
      </c>
      <c r="L11" s="1" t="s">
        <v>9</v>
      </c>
      <c r="M11" s="1" t="s">
        <v>1</v>
      </c>
      <c r="N11" s="1" t="s">
        <v>2</v>
      </c>
      <c r="O11" s="1" t="s">
        <v>40</v>
      </c>
      <c r="P11" s="1">
        <f t="shared" si="8"/>
        <v>0.13807612000000002</v>
      </c>
      <c r="Q11" s="1">
        <f t="shared" si="9"/>
        <v>0.19133912</v>
      </c>
      <c r="R11" s="1">
        <f t="shared" si="10"/>
        <v>0.12600742000000001</v>
      </c>
      <c r="S11" s="1">
        <f t="shared" si="11"/>
        <v>1.22892</v>
      </c>
      <c r="T11" s="33">
        <v>0</v>
      </c>
      <c r="U11" s="1">
        <v>1</v>
      </c>
      <c r="W11" s="1" t="s">
        <v>9</v>
      </c>
      <c r="X11" s="1" t="s">
        <v>1</v>
      </c>
      <c r="Y11" s="1" t="s">
        <v>2</v>
      </c>
      <c r="Z11" s="1" t="s">
        <v>39</v>
      </c>
      <c r="AA11" s="1">
        <f t="shared" si="1"/>
        <v>0.14371188000000001</v>
      </c>
      <c r="AB11" s="1">
        <f t="shared" si="2"/>
        <v>0.19914888</v>
      </c>
      <c r="AC11" s="1">
        <f t="shared" si="3"/>
        <v>0.13115057999999999</v>
      </c>
      <c r="AD11" s="1">
        <f t="shared" si="4"/>
        <v>1.27908</v>
      </c>
      <c r="AE11" s="28">
        <f>MAX($I$11,$I$39,$I$67,$I$95,$I$123,$I$151,$I$179,$I$207,$I$235,$I$263,$I$291)</f>
        <v>37.635565999999997</v>
      </c>
      <c r="AF11" s="1">
        <v>1</v>
      </c>
      <c r="AH11" s="36" t="s">
        <v>79</v>
      </c>
      <c r="AI11" s="36" t="s">
        <v>45</v>
      </c>
      <c r="AJ11" s="36" t="s">
        <v>44</v>
      </c>
      <c r="AK11" s="36" t="s">
        <v>80</v>
      </c>
      <c r="AL11" s="37" t="s">
        <v>42</v>
      </c>
      <c r="AM11" s="38" t="s">
        <v>43</v>
      </c>
      <c r="AN11" s="3" t="s">
        <v>82</v>
      </c>
    </row>
    <row r="12" spans="2:55" x14ac:dyDescent="0.25">
      <c r="B12" s="1" t="s">
        <v>10</v>
      </c>
      <c r="C12" s="1" t="s">
        <v>1</v>
      </c>
      <c r="D12" s="1" t="s">
        <v>2</v>
      </c>
      <c r="E12" s="1"/>
      <c r="F12" s="1">
        <v>7.2417499999999997</v>
      </c>
      <c r="G12" s="1">
        <v>3.7090000000000001</v>
      </c>
      <c r="H12" s="1">
        <v>1.9430000000000001</v>
      </c>
      <c r="I12" s="1">
        <v>0</v>
      </c>
      <c r="J12" s="1">
        <v>1</v>
      </c>
      <c r="L12" s="1" t="s">
        <v>10</v>
      </c>
      <c r="M12" s="1" t="s">
        <v>1</v>
      </c>
      <c r="N12" s="1" t="s">
        <v>2</v>
      </c>
      <c r="O12" s="1" t="s">
        <v>40</v>
      </c>
      <c r="P12" s="1">
        <f>IF(ISBLANK(F12),":",0.98*F12)</f>
        <v>7.0969149999999992</v>
      </c>
      <c r="Q12" s="1">
        <f t="shared" si="9"/>
        <v>3.6348199999999999</v>
      </c>
      <c r="R12" s="1">
        <f t="shared" si="10"/>
        <v>1.9041399999999999</v>
      </c>
      <c r="S12" s="1">
        <f t="shared" si="11"/>
        <v>0</v>
      </c>
      <c r="T12" s="33">
        <v>0</v>
      </c>
      <c r="U12" s="1">
        <v>1</v>
      </c>
      <c r="W12" s="1" t="s">
        <v>10</v>
      </c>
      <c r="X12" s="1" t="s">
        <v>1</v>
      </c>
      <c r="Y12" s="1" t="s">
        <v>2</v>
      </c>
      <c r="Z12" s="1" t="s">
        <v>39</v>
      </c>
      <c r="AA12" s="1">
        <f t="shared" si="1"/>
        <v>7.3865850000000002</v>
      </c>
      <c r="AB12" s="1">
        <f t="shared" si="2"/>
        <v>3.7831800000000002</v>
      </c>
      <c r="AC12" s="1">
        <f t="shared" si="3"/>
        <v>1.9818600000000002</v>
      </c>
      <c r="AD12" s="1">
        <f t="shared" si="4"/>
        <v>0</v>
      </c>
      <c r="AE12" s="28">
        <f>MAX($I$12,$I$40,$I$68,$I$96,$I$124,$I$152,$I$180,$I$208,$I$236,$I$264,$I$292)</f>
        <v>218.13407800000004</v>
      </c>
      <c r="AF12" s="1">
        <v>1</v>
      </c>
      <c r="AH12" t="s">
        <v>83</v>
      </c>
      <c r="AI12" t="s">
        <v>39</v>
      </c>
      <c r="AJ12" s="39" t="s">
        <v>78</v>
      </c>
      <c r="AK12">
        <v>2010</v>
      </c>
      <c r="AL12" s="40" t="s">
        <v>90</v>
      </c>
      <c r="AM12" s="41"/>
      <c r="AN12" t="s">
        <v>89</v>
      </c>
    </row>
    <row r="13" spans="2:55" x14ac:dyDescent="0.25">
      <c r="B13" s="1" t="s">
        <v>11</v>
      </c>
      <c r="C13" s="1" t="s">
        <v>1</v>
      </c>
      <c r="D13" s="1" t="s">
        <v>2</v>
      </c>
      <c r="E13" s="1"/>
      <c r="F13" s="1">
        <v>9.4640000000000004</v>
      </c>
      <c r="G13" s="1">
        <v>1.5228979999999999</v>
      </c>
      <c r="H13" s="1">
        <v>0.86912999999999996</v>
      </c>
      <c r="I13" s="1">
        <v>0.81242199999999998</v>
      </c>
      <c r="J13" s="1">
        <v>1</v>
      </c>
      <c r="L13" s="1" t="s">
        <v>11</v>
      </c>
      <c r="M13" s="1" t="s">
        <v>1</v>
      </c>
      <c r="N13" s="1" t="s">
        <v>2</v>
      </c>
      <c r="O13" s="1" t="s">
        <v>40</v>
      </c>
      <c r="P13" s="1">
        <f>IF(ISBLANK(F13),":",0.98*F13)</f>
        <v>9.2747200000000003</v>
      </c>
      <c r="Q13" s="1">
        <f t="shared" si="9"/>
        <v>1.4924400399999997</v>
      </c>
      <c r="R13" s="1">
        <f t="shared" si="10"/>
        <v>0.85174739999999993</v>
      </c>
      <c r="S13" s="1">
        <f t="shared" si="11"/>
        <v>0.79617355999999995</v>
      </c>
      <c r="T13" s="33">
        <v>0</v>
      </c>
      <c r="U13" s="1">
        <v>1</v>
      </c>
      <c r="W13" s="1" t="s">
        <v>11</v>
      </c>
      <c r="X13" s="1" t="s">
        <v>1</v>
      </c>
      <c r="Y13" s="1" t="s">
        <v>2</v>
      </c>
      <c r="Z13" s="1" t="s">
        <v>39</v>
      </c>
      <c r="AA13" s="1">
        <f t="shared" si="1"/>
        <v>9.6532800000000005</v>
      </c>
      <c r="AB13" s="1">
        <f t="shared" si="2"/>
        <v>1.55335596</v>
      </c>
      <c r="AC13" s="1">
        <f t="shared" si="3"/>
        <v>0.88651259999999998</v>
      </c>
      <c r="AD13" s="1">
        <f t="shared" si="4"/>
        <v>0.82867044000000001</v>
      </c>
      <c r="AE13" s="28">
        <f>MAX($I$13,$I$41,$I$69,$I$97,$I$125,$I$153,$I$181,$I$209,$I$237,$I$265,$I$293)</f>
        <v>364.78012100000001</v>
      </c>
      <c r="AF13" s="1">
        <v>1</v>
      </c>
      <c r="AH13" t="s">
        <v>83</v>
      </c>
      <c r="AI13" t="s">
        <v>39</v>
      </c>
      <c r="AJ13" s="39" t="s">
        <v>78</v>
      </c>
      <c r="AK13">
        <v>2015</v>
      </c>
      <c r="AL13" s="40" t="s">
        <v>90</v>
      </c>
      <c r="AM13" s="41"/>
      <c r="AN13" t="s">
        <v>89</v>
      </c>
    </row>
    <row r="14" spans="2:55" x14ac:dyDescent="0.25">
      <c r="B14" s="1" t="s">
        <v>12</v>
      </c>
      <c r="C14" s="1" t="s">
        <v>1</v>
      </c>
      <c r="D14" s="1" t="s">
        <v>2</v>
      </c>
      <c r="E14" s="1"/>
      <c r="F14" s="1">
        <v>0.25745499999999999</v>
      </c>
      <c r="G14" s="1">
        <v>0.13098699999999999</v>
      </c>
      <c r="H14" s="1">
        <v>0.10015900000000001</v>
      </c>
      <c r="I14" s="1">
        <v>4.5517000000000002E-2</v>
      </c>
      <c r="J14" s="1">
        <v>1</v>
      </c>
      <c r="L14" s="1" t="s">
        <v>12</v>
      </c>
      <c r="M14" s="1" t="s">
        <v>1</v>
      </c>
      <c r="N14" s="1" t="s">
        <v>2</v>
      </c>
      <c r="O14" s="1" t="s">
        <v>40</v>
      </c>
      <c r="P14" s="1">
        <f t="shared" ref="P14" si="12">IF(ISBLANK(F14),":",0.98*F14)</f>
        <v>0.25230589999999997</v>
      </c>
      <c r="Q14" s="1">
        <f t="shared" si="9"/>
        <v>0.12836725999999998</v>
      </c>
      <c r="R14" s="1">
        <f t="shared" si="10"/>
        <v>9.8155820000000005E-2</v>
      </c>
      <c r="S14" s="1">
        <f t="shared" si="11"/>
        <v>4.4606659999999999E-2</v>
      </c>
      <c r="T14" s="33">
        <v>0</v>
      </c>
      <c r="U14" s="1">
        <v>1</v>
      </c>
      <c r="W14" s="1" t="s">
        <v>12</v>
      </c>
      <c r="X14" s="1" t="s">
        <v>1</v>
      </c>
      <c r="Y14" s="1" t="s">
        <v>2</v>
      </c>
      <c r="Z14" s="1" t="s">
        <v>39</v>
      </c>
      <c r="AA14" s="1">
        <f t="shared" si="1"/>
        <v>0.26260410000000001</v>
      </c>
      <c r="AB14" s="1">
        <f t="shared" si="2"/>
        <v>0.13360674</v>
      </c>
      <c r="AC14" s="1">
        <f t="shared" si="3"/>
        <v>0.10216218000000002</v>
      </c>
      <c r="AD14" s="1">
        <f t="shared" si="4"/>
        <v>4.6427340000000004E-2</v>
      </c>
      <c r="AE14" s="28">
        <f>MAX($I$14,$I$42,$I$70,$I$98,$I$126,$I$154,$I$182,$I$210,$I$238,$I$266,$I$294)</f>
        <v>40.304569999999998</v>
      </c>
      <c r="AF14" s="1">
        <v>1</v>
      </c>
      <c r="AK14">
        <v>2020</v>
      </c>
    </row>
    <row r="15" spans="2:55" x14ac:dyDescent="0.25">
      <c r="B15" s="1" t="s">
        <v>13</v>
      </c>
      <c r="C15" s="1" t="s">
        <v>1</v>
      </c>
      <c r="D15" s="1" t="s">
        <v>2</v>
      </c>
      <c r="E15" s="1"/>
      <c r="F15" s="1">
        <v>0.15181800000000001</v>
      </c>
      <c r="G15" s="1">
        <v>0</v>
      </c>
      <c r="H15" s="1">
        <v>0</v>
      </c>
      <c r="I15" s="1">
        <v>0</v>
      </c>
      <c r="J15" s="1">
        <v>1</v>
      </c>
      <c r="L15" s="1" t="s">
        <v>13</v>
      </c>
      <c r="M15" s="1" t="s">
        <v>1</v>
      </c>
      <c r="N15" s="1" t="s">
        <v>2</v>
      </c>
      <c r="O15" s="1" t="s">
        <v>40</v>
      </c>
      <c r="P15" s="1">
        <f t="shared" ref="P15:P20" si="13">IF(ISBLANK(F15),":",0.98*F15)</f>
        <v>0.14878163999999999</v>
      </c>
      <c r="Q15" s="1">
        <f t="shared" si="9"/>
        <v>0</v>
      </c>
      <c r="R15" s="1">
        <f t="shared" si="10"/>
        <v>0</v>
      </c>
      <c r="S15" s="1">
        <f t="shared" si="11"/>
        <v>0</v>
      </c>
      <c r="T15" s="33">
        <v>0</v>
      </c>
      <c r="U15" s="1">
        <v>1</v>
      </c>
      <c r="W15" s="1" t="s">
        <v>13</v>
      </c>
      <c r="X15" s="1" t="s">
        <v>1</v>
      </c>
      <c r="Y15" s="1" t="s">
        <v>2</v>
      </c>
      <c r="Z15" s="1" t="s">
        <v>39</v>
      </c>
      <c r="AA15" s="1">
        <f t="shared" si="1"/>
        <v>0.15485436000000002</v>
      </c>
      <c r="AB15" s="1">
        <f t="shared" si="2"/>
        <v>0</v>
      </c>
      <c r="AC15" s="1">
        <f t="shared" si="3"/>
        <v>0</v>
      </c>
      <c r="AD15" s="1">
        <f t="shared" si="4"/>
        <v>0</v>
      </c>
      <c r="AE15" s="28">
        <f>MAX($I$15,$I$43,$I$71,$I$99,$I$127,$I$155,$I$183,$I$211,$I$239,$I$267,$I$295)</f>
        <v>539.45073900000011</v>
      </c>
      <c r="AF15" s="1">
        <v>1</v>
      </c>
      <c r="AK15">
        <v>2025</v>
      </c>
    </row>
    <row r="16" spans="2:55" x14ac:dyDescent="0.25">
      <c r="B16" s="1" t="s">
        <v>14</v>
      </c>
      <c r="C16" s="1" t="s">
        <v>1</v>
      </c>
      <c r="D16" s="1" t="s">
        <v>2</v>
      </c>
      <c r="E16" s="1"/>
      <c r="F16" s="1">
        <v>0</v>
      </c>
      <c r="G16" s="1">
        <v>0</v>
      </c>
      <c r="H16" s="1">
        <v>0</v>
      </c>
      <c r="I16" s="1">
        <v>0</v>
      </c>
      <c r="J16" s="1">
        <v>1</v>
      </c>
      <c r="L16" s="1" t="s">
        <v>14</v>
      </c>
      <c r="M16" s="1" t="s">
        <v>1</v>
      </c>
      <c r="N16" s="1" t="s">
        <v>2</v>
      </c>
      <c r="O16" s="1" t="s">
        <v>40</v>
      </c>
      <c r="P16" s="1">
        <f t="shared" si="13"/>
        <v>0</v>
      </c>
      <c r="Q16" s="1">
        <f t="shared" si="9"/>
        <v>0</v>
      </c>
      <c r="R16" s="1">
        <f t="shared" si="10"/>
        <v>0</v>
      </c>
      <c r="S16" s="1">
        <f t="shared" si="11"/>
        <v>0</v>
      </c>
      <c r="T16" s="33">
        <v>0</v>
      </c>
      <c r="U16" s="1">
        <v>1</v>
      </c>
      <c r="W16" s="1" t="s">
        <v>14</v>
      </c>
      <c r="X16" s="1" t="s">
        <v>1</v>
      </c>
      <c r="Y16" s="1" t="s">
        <v>2</v>
      </c>
      <c r="Z16" s="1" t="s">
        <v>39</v>
      </c>
      <c r="AA16" s="1">
        <f t="shared" si="1"/>
        <v>0</v>
      </c>
      <c r="AB16" s="1">
        <f t="shared" si="2"/>
        <v>0</v>
      </c>
      <c r="AC16" s="1">
        <f t="shared" si="3"/>
        <v>0</v>
      </c>
      <c r="AD16" s="1">
        <f t="shared" si="4"/>
        <v>0</v>
      </c>
      <c r="AE16" s="28">
        <f>MAX($I$16,$I$44,$I$72,$I$100,$I$128,$I$156,$I$184,$I$212,$I$240,$I$268,$I$296)</f>
        <v>3.1702320000000004</v>
      </c>
      <c r="AF16" s="1">
        <v>1</v>
      </c>
      <c r="AK16">
        <v>2030</v>
      </c>
    </row>
    <row r="17" spans="2:42" x14ac:dyDescent="0.25">
      <c r="B17" s="1" t="s">
        <v>15</v>
      </c>
      <c r="C17" s="1" t="s">
        <v>1</v>
      </c>
      <c r="D17" s="1" t="s">
        <v>2</v>
      </c>
      <c r="E17" s="1"/>
      <c r="F17" s="1">
        <v>1.0488</v>
      </c>
      <c r="G17" s="1">
        <v>0.50211000000000006</v>
      </c>
      <c r="H17" s="1">
        <v>5.4648000000000002E-2</v>
      </c>
      <c r="I17" s="1">
        <v>4.7261999999999998E-2</v>
      </c>
      <c r="J17" s="1">
        <v>1</v>
      </c>
      <c r="L17" s="1" t="s">
        <v>15</v>
      </c>
      <c r="M17" s="1" t="s">
        <v>1</v>
      </c>
      <c r="N17" s="1" t="s">
        <v>2</v>
      </c>
      <c r="O17" s="1" t="s">
        <v>40</v>
      </c>
      <c r="P17" s="1">
        <f t="shared" si="13"/>
        <v>1.0278239999999998</v>
      </c>
      <c r="Q17" s="1">
        <f t="shared" si="9"/>
        <v>0.49206780000000006</v>
      </c>
      <c r="R17" s="1">
        <f t="shared" si="10"/>
        <v>5.3555039999999998E-2</v>
      </c>
      <c r="S17" s="1">
        <f t="shared" si="11"/>
        <v>4.6316759999999998E-2</v>
      </c>
      <c r="T17" s="33">
        <v>0</v>
      </c>
      <c r="U17" s="1">
        <v>1</v>
      </c>
      <c r="W17" s="1" t="s">
        <v>15</v>
      </c>
      <c r="X17" s="1" t="s">
        <v>1</v>
      </c>
      <c r="Y17" s="1" t="s">
        <v>2</v>
      </c>
      <c r="Z17" s="1" t="s">
        <v>39</v>
      </c>
      <c r="AA17" s="1">
        <f t="shared" si="1"/>
        <v>1.0697760000000001</v>
      </c>
      <c r="AB17" s="1">
        <f t="shared" si="2"/>
        <v>0.51215220000000006</v>
      </c>
      <c r="AC17" s="1">
        <f t="shared" si="3"/>
        <v>5.5740960000000006E-2</v>
      </c>
      <c r="AD17" s="1">
        <f t="shared" si="4"/>
        <v>4.8207239999999998E-2</v>
      </c>
      <c r="AE17" s="28">
        <f>MAX($I$17,$I$45,$I$73,$I$101,$I$129,$I$157,$I$185,$I$213,$I$241,$I$269,$I$297)</f>
        <v>18.231687999999998</v>
      </c>
      <c r="AF17" s="1">
        <v>1</v>
      </c>
      <c r="AK17">
        <v>2035</v>
      </c>
    </row>
    <row r="18" spans="2:42" ht="15.75" customHeight="1" x14ac:dyDescent="0.25">
      <c r="B18" s="1" t="s">
        <v>16</v>
      </c>
      <c r="C18" s="1" t="s">
        <v>1</v>
      </c>
      <c r="D18" s="1" t="s">
        <v>2</v>
      </c>
      <c r="E18" s="1"/>
      <c r="F18" s="1">
        <v>2.0870799999999998</v>
      </c>
      <c r="G18" s="1">
        <v>1.45696</v>
      </c>
      <c r="H18" s="1">
        <v>1.032432</v>
      </c>
      <c r="I18" s="1">
        <v>0.57524800000000009</v>
      </c>
      <c r="J18" s="1">
        <v>1</v>
      </c>
      <c r="L18" s="1" t="s">
        <v>16</v>
      </c>
      <c r="M18" s="1" t="s">
        <v>1</v>
      </c>
      <c r="N18" s="1" t="s">
        <v>2</v>
      </c>
      <c r="O18" s="1" t="s">
        <v>40</v>
      </c>
      <c r="P18" s="1">
        <f t="shared" si="13"/>
        <v>2.0453383999999999</v>
      </c>
      <c r="Q18" s="1">
        <f t="shared" si="9"/>
        <v>1.4278208000000001</v>
      </c>
      <c r="R18" s="1">
        <f t="shared" si="10"/>
        <v>1.0117833599999999</v>
      </c>
      <c r="S18" s="1">
        <f t="shared" si="11"/>
        <v>0.56374304000000008</v>
      </c>
      <c r="T18" s="33">
        <v>0</v>
      </c>
      <c r="U18" s="1">
        <v>1</v>
      </c>
      <c r="W18" s="1" t="s">
        <v>16</v>
      </c>
      <c r="X18" s="1" t="s">
        <v>1</v>
      </c>
      <c r="Y18" s="1" t="s">
        <v>2</v>
      </c>
      <c r="Z18" s="1" t="s">
        <v>39</v>
      </c>
      <c r="AA18" s="1">
        <f t="shared" si="1"/>
        <v>2.1288215999999998</v>
      </c>
      <c r="AB18" s="1">
        <f t="shared" si="2"/>
        <v>1.4860992</v>
      </c>
      <c r="AC18" s="1">
        <f t="shared" si="3"/>
        <v>1.0530806400000001</v>
      </c>
      <c r="AD18" s="1">
        <f t="shared" si="4"/>
        <v>0.5867529600000001</v>
      </c>
      <c r="AE18" s="28">
        <f>MAX($I$18,$I$46,$I$74,$I$102,$I$130,$I$158,$I$186,$I$214,$I$242,$I$270,$I$298)</f>
        <v>18.93</v>
      </c>
      <c r="AF18" s="1">
        <v>1</v>
      </c>
      <c r="AK18">
        <v>2040</v>
      </c>
    </row>
    <row r="19" spans="2:42" x14ac:dyDescent="0.25">
      <c r="B19" s="1" t="s">
        <v>17</v>
      </c>
      <c r="C19" s="1" t="s">
        <v>1</v>
      </c>
      <c r="D19" s="1" t="s">
        <v>2</v>
      </c>
      <c r="E19" s="1"/>
      <c r="F19" s="1">
        <v>2.5340000000000001E-2</v>
      </c>
      <c r="G19" s="1">
        <v>2.5800999999999998E-2</v>
      </c>
      <c r="H19" s="1">
        <v>9.6380000000000007E-3</v>
      </c>
      <c r="I19" s="1">
        <v>1.0133E-2</v>
      </c>
      <c r="J19" s="1">
        <v>1</v>
      </c>
      <c r="L19" s="1" t="s">
        <v>17</v>
      </c>
      <c r="M19" s="1" t="s">
        <v>1</v>
      </c>
      <c r="N19" s="1" t="s">
        <v>2</v>
      </c>
      <c r="O19" s="1" t="s">
        <v>40</v>
      </c>
      <c r="P19" s="1">
        <f t="shared" si="13"/>
        <v>2.48332E-2</v>
      </c>
      <c r="Q19" s="1">
        <f t="shared" si="9"/>
        <v>2.5284979999999999E-2</v>
      </c>
      <c r="R19" s="1">
        <f t="shared" si="10"/>
        <v>9.4452400000000006E-3</v>
      </c>
      <c r="S19" s="1">
        <f t="shared" si="11"/>
        <v>9.9303399999999993E-3</v>
      </c>
      <c r="T19" s="33">
        <v>0</v>
      </c>
      <c r="U19" s="1">
        <v>1</v>
      </c>
      <c r="W19" s="1" t="s">
        <v>17</v>
      </c>
      <c r="X19" s="1" t="s">
        <v>1</v>
      </c>
      <c r="Y19" s="1" t="s">
        <v>2</v>
      </c>
      <c r="Z19" s="1" t="s">
        <v>39</v>
      </c>
      <c r="AA19" s="1">
        <f t="shared" si="1"/>
        <v>2.5846800000000003E-2</v>
      </c>
      <c r="AB19" s="1">
        <f t="shared" si="2"/>
        <v>2.6317019999999997E-2</v>
      </c>
      <c r="AC19" s="1">
        <f t="shared" si="3"/>
        <v>9.8307600000000009E-3</v>
      </c>
      <c r="AD19" s="1">
        <f t="shared" si="4"/>
        <v>1.033566E-2</v>
      </c>
      <c r="AE19" s="28">
        <f>MAX($I$19,$I$47,$I$75,$I$103,$I$131,$I$159,$I$187,$I$215,$I$243,$I$271,$I$299)</f>
        <v>8.6689310000000006</v>
      </c>
      <c r="AF19" s="1">
        <v>1</v>
      </c>
      <c r="AK19">
        <v>2045</v>
      </c>
    </row>
    <row r="20" spans="2:42" x14ac:dyDescent="0.25">
      <c r="B20" s="1" t="s">
        <v>18</v>
      </c>
      <c r="C20" s="1" t="s">
        <v>1</v>
      </c>
      <c r="D20" s="1" t="s">
        <v>2</v>
      </c>
      <c r="E20" s="1"/>
      <c r="F20" s="1">
        <v>6.2297700000000003</v>
      </c>
      <c r="G20" s="1">
        <v>3.9639279999999997</v>
      </c>
      <c r="H20" s="1">
        <v>2.3589470000000001</v>
      </c>
      <c r="I20" s="1">
        <v>1.3502670000000001</v>
      </c>
      <c r="J20" s="1">
        <v>1</v>
      </c>
      <c r="L20" s="1" t="s">
        <v>18</v>
      </c>
      <c r="M20" s="1" t="s">
        <v>1</v>
      </c>
      <c r="N20" s="1" t="s">
        <v>2</v>
      </c>
      <c r="O20" s="1" t="s">
        <v>40</v>
      </c>
      <c r="P20" s="1">
        <f t="shared" si="13"/>
        <v>6.1051745999999998</v>
      </c>
      <c r="Q20" s="1">
        <f t="shared" si="9"/>
        <v>3.8846494399999996</v>
      </c>
      <c r="R20" s="1">
        <f t="shared" si="10"/>
        <v>2.3117680599999999</v>
      </c>
      <c r="S20" s="1">
        <f t="shared" si="11"/>
        <v>1.32326166</v>
      </c>
      <c r="T20" s="33">
        <v>0</v>
      </c>
      <c r="U20" s="1">
        <v>1</v>
      </c>
      <c r="W20" s="1" t="s">
        <v>18</v>
      </c>
      <c r="X20" s="1" t="s">
        <v>1</v>
      </c>
      <c r="Y20" s="1" t="s">
        <v>2</v>
      </c>
      <c r="Z20" s="1" t="s">
        <v>39</v>
      </c>
      <c r="AA20" s="1">
        <f t="shared" si="1"/>
        <v>6.3543654000000007</v>
      </c>
      <c r="AB20" s="1">
        <f t="shared" si="2"/>
        <v>4.0432065599999998</v>
      </c>
      <c r="AC20" s="1">
        <f t="shared" si="3"/>
        <v>2.4061259400000004</v>
      </c>
      <c r="AD20" s="1">
        <f t="shared" si="4"/>
        <v>1.3772723400000002</v>
      </c>
      <c r="AE20" s="28">
        <f>MAX($I$20,$I$48,$I$76,$I$104,$I$132,$I$160,$I$188,$I$216,$I$244,$I$272,$I$300)</f>
        <v>104.339699</v>
      </c>
      <c r="AF20" s="1">
        <v>1</v>
      </c>
      <c r="AK20">
        <v>2050</v>
      </c>
    </row>
    <row r="21" spans="2:42" x14ac:dyDescent="0.25">
      <c r="B21" s="1" t="s">
        <v>20</v>
      </c>
      <c r="C21" s="1" t="s">
        <v>1</v>
      </c>
      <c r="D21" s="1" t="s">
        <v>2</v>
      </c>
      <c r="E21" s="1"/>
      <c r="F21" s="1">
        <v>0.08</v>
      </c>
      <c r="G21" s="1">
        <v>2.2703000000000001E-2</v>
      </c>
      <c r="H21" s="1">
        <v>1.4459E-2</v>
      </c>
      <c r="I21" s="1">
        <v>2.4910000000000002E-3</v>
      </c>
      <c r="J21" s="1">
        <v>1</v>
      </c>
      <c r="L21" s="1" t="s">
        <v>20</v>
      </c>
      <c r="M21" s="1" t="s">
        <v>1</v>
      </c>
      <c r="N21" s="1" t="s">
        <v>2</v>
      </c>
      <c r="O21" s="1" t="s">
        <v>40</v>
      </c>
      <c r="P21" s="1">
        <f t="shared" ref="P21:P24" si="14">IF(ISBLANK(F21),":",0.98*F21)</f>
        <v>7.8399999999999997E-2</v>
      </c>
      <c r="Q21" s="1">
        <f t="shared" si="9"/>
        <v>2.2248940000000002E-2</v>
      </c>
      <c r="R21" s="1">
        <f t="shared" si="10"/>
        <v>1.416982E-2</v>
      </c>
      <c r="S21" s="1">
        <f t="shared" si="11"/>
        <v>2.4411800000000003E-3</v>
      </c>
      <c r="T21" s="33">
        <v>0</v>
      </c>
      <c r="U21" s="1">
        <v>1</v>
      </c>
      <c r="W21" s="1" t="s">
        <v>20</v>
      </c>
      <c r="X21" s="1" t="s">
        <v>1</v>
      </c>
      <c r="Y21" s="1" t="s">
        <v>2</v>
      </c>
      <c r="Z21" s="1" t="s">
        <v>39</v>
      </c>
      <c r="AA21" s="1">
        <f t="shared" si="1"/>
        <v>8.1600000000000006E-2</v>
      </c>
      <c r="AB21" s="1">
        <f t="shared" si="2"/>
        <v>2.315706E-2</v>
      </c>
      <c r="AC21" s="1">
        <f t="shared" si="3"/>
        <v>1.474818E-2</v>
      </c>
      <c r="AD21" s="1">
        <f t="shared" si="4"/>
        <v>2.5408200000000001E-3</v>
      </c>
      <c r="AE21" s="28">
        <f>MAX($I$21,$I$49,$I$77,$I$105,$I$133,$I$161,$I$189,$I$217,$I$245,$I$273,$I$301)</f>
        <v>201.18298499999997</v>
      </c>
      <c r="AF21" s="1">
        <v>1</v>
      </c>
    </row>
    <row r="22" spans="2:42" x14ac:dyDescent="0.25">
      <c r="B22" s="1" t="s">
        <v>21</v>
      </c>
      <c r="C22" s="1" t="s">
        <v>1</v>
      </c>
      <c r="D22" s="1" t="s">
        <v>2</v>
      </c>
      <c r="E22" s="1"/>
      <c r="F22" s="1">
        <v>2.5662970000000001</v>
      </c>
      <c r="G22" s="1">
        <v>0.891096</v>
      </c>
      <c r="H22" s="1">
        <v>0.56760299999999997</v>
      </c>
      <c r="I22" s="1">
        <v>0.30863400000000002</v>
      </c>
      <c r="J22" s="1">
        <v>1</v>
      </c>
      <c r="L22" s="1" t="s">
        <v>21</v>
      </c>
      <c r="M22" s="1" t="s">
        <v>1</v>
      </c>
      <c r="N22" s="1" t="s">
        <v>2</v>
      </c>
      <c r="O22" s="1" t="s">
        <v>40</v>
      </c>
      <c r="P22" s="1">
        <f t="shared" si="14"/>
        <v>2.5149710600000001</v>
      </c>
      <c r="Q22" s="1">
        <f t="shared" ref="Q22:Q49" si="15">IF(ISBLANK(G22),":",0.98*G22)</f>
        <v>0.87327407999999995</v>
      </c>
      <c r="R22" s="1">
        <f t="shared" ref="R22:R49" si="16">IF(ISBLANK(H22),":",0.98*H22)</f>
        <v>0.55625093999999997</v>
      </c>
      <c r="S22" s="1">
        <f t="shared" ref="S22:S49" si="17">IF(ISBLANK(I22),":",0.98*I22)</f>
        <v>0.30246132000000003</v>
      </c>
      <c r="T22" s="33">
        <v>0</v>
      </c>
      <c r="U22" s="1">
        <v>1</v>
      </c>
      <c r="W22" s="1" t="s">
        <v>21</v>
      </c>
      <c r="X22" s="1" t="s">
        <v>1</v>
      </c>
      <c r="Y22" s="1" t="s">
        <v>2</v>
      </c>
      <c r="Z22" s="1" t="s">
        <v>39</v>
      </c>
      <c r="AA22" s="1">
        <f t="shared" si="1"/>
        <v>2.61762294</v>
      </c>
      <c r="AB22" s="1">
        <f t="shared" si="2"/>
        <v>0.90891792000000005</v>
      </c>
      <c r="AC22" s="1">
        <f t="shared" si="3"/>
        <v>0.57895505999999997</v>
      </c>
      <c r="AD22" s="1">
        <f t="shared" si="4"/>
        <v>0.31480668000000001</v>
      </c>
      <c r="AE22" s="28">
        <f>MAX($I$22,$I$50,$I$78,$I$106,$I$134,$I$162,$I$190,$I$218,$I$246,$I$274,$I$302)</f>
        <v>69.769181000000003</v>
      </c>
      <c r="AF22" s="1">
        <v>1</v>
      </c>
      <c r="AI22" s="2" t="s">
        <v>91</v>
      </c>
    </row>
    <row r="23" spans="2:42" x14ac:dyDescent="0.25">
      <c r="B23" s="1" t="s">
        <v>22</v>
      </c>
      <c r="C23" s="1" t="s">
        <v>1</v>
      </c>
      <c r="D23" s="1" t="s">
        <v>2</v>
      </c>
      <c r="E23" s="1"/>
      <c r="F23" s="1">
        <v>330.18863199999998</v>
      </c>
      <c r="G23" s="1">
        <v>260.05310000000003</v>
      </c>
      <c r="H23" s="1">
        <v>217.71909299999999</v>
      </c>
      <c r="I23" s="1">
        <v>171.672</v>
      </c>
      <c r="J23" s="1">
        <v>1</v>
      </c>
      <c r="L23" s="1" t="s">
        <v>22</v>
      </c>
      <c r="M23" s="1" t="s">
        <v>1</v>
      </c>
      <c r="N23" s="1" t="s">
        <v>2</v>
      </c>
      <c r="O23" s="1" t="s">
        <v>40</v>
      </c>
      <c r="P23" s="1">
        <f t="shared" si="14"/>
        <v>323.58485936</v>
      </c>
      <c r="Q23" s="1">
        <f t="shared" si="15"/>
        <v>254.85203800000002</v>
      </c>
      <c r="R23" s="1">
        <f t="shared" si="16"/>
        <v>213.36471114</v>
      </c>
      <c r="S23" s="1">
        <f t="shared" si="17"/>
        <v>168.23856000000001</v>
      </c>
      <c r="T23" s="33">
        <v>0</v>
      </c>
      <c r="U23" s="1">
        <v>1</v>
      </c>
      <c r="W23" s="1" t="s">
        <v>22</v>
      </c>
      <c r="X23" s="1" t="s">
        <v>1</v>
      </c>
      <c r="Y23" s="1" t="s">
        <v>2</v>
      </c>
      <c r="Z23" s="1" t="s">
        <v>39</v>
      </c>
      <c r="AA23" s="1">
        <f t="shared" si="1"/>
        <v>336.79240463999997</v>
      </c>
      <c r="AB23" s="1">
        <f t="shared" si="2"/>
        <v>265.25416200000001</v>
      </c>
      <c r="AC23" s="1">
        <f t="shared" si="3"/>
        <v>222.07347485999998</v>
      </c>
      <c r="AD23" s="1">
        <f t="shared" si="4"/>
        <v>175.10543999999999</v>
      </c>
      <c r="AE23" s="28">
        <f>MAX($I$23,$I$51,$I$79,$I$107,$I$135,$I$163,$I$191,$I$219,$I$247,$I$275,$I$303)</f>
        <v>183.24970000000002</v>
      </c>
      <c r="AF23" s="1">
        <v>1</v>
      </c>
      <c r="AH23" s="3"/>
      <c r="AI23" s="4" t="s">
        <v>43</v>
      </c>
      <c r="AJ23" s="4" t="s">
        <v>44</v>
      </c>
      <c r="AK23" s="4" t="s">
        <v>45</v>
      </c>
      <c r="AL23" s="5" t="s">
        <v>79</v>
      </c>
      <c r="AM23" s="5" t="s">
        <v>81</v>
      </c>
      <c r="AN23" s="5" t="s">
        <v>80</v>
      </c>
      <c r="AO23" s="3"/>
      <c r="AP23" s="3"/>
    </row>
    <row r="24" spans="2:42" x14ac:dyDescent="0.25">
      <c r="B24" s="1" t="s">
        <v>23</v>
      </c>
      <c r="C24" s="1" t="s">
        <v>1</v>
      </c>
      <c r="D24" s="1" t="s">
        <v>2</v>
      </c>
      <c r="E24" s="1"/>
      <c r="F24" s="1">
        <v>0</v>
      </c>
      <c r="G24" s="1">
        <v>0</v>
      </c>
      <c r="H24" s="1">
        <v>0</v>
      </c>
      <c r="I24" s="1">
        <v>0</v>
      </c>
      <c r="J24" s="1">
        <v>1</v>
      </c>
      <c r="L24" s="1" t="s">
        <v>23</v>
      </c>
      <c r="M24" s="1" t="s">
        <v>1</v>
      </c>
      <c r="N24" s="1" t="s">
        <v>2</v>
      </c>
      <c r="O24" s="1" t="s">
        <v>40</v>
      </c>
      <c r="P24" s="1">
        <f t="shared" si="14"/>
        <v>0</v>
      </c>
      <c r="Q24" s="1">
        <f t="shared" si="15"/>
        <v>0</v>
      </c>
      <c r="R24" s="1">
        <f t="shared" si="16"/>
        <v>0</v>
      </c>
      <c r="S24" s="1">
        <f t="shared" si="17"/>
        <v>0</v>
      </c>
      <c r="T24" s="33">
        <v>0</v>
      </c>
      <c r="U24" s="1">
        <v>1</v>
      </c>
      <c r="W24" s="1" t="s">
        <v>23</v>
      </c>
      <c r="X24" s="1" t="s">
        <v>1</v>
      </c>
      <c r="Y24" s="1" t="s">
        <v>2</v>
      </c>
      <c r="Z24" s="1" t="s">
        <v>39</v>
      </c>
      <c r="AA24" s="1">
        <f t="shared" si="1"/>
        <v>0</v>
      </c>
      <c r="AB24" s="1">
        <f t="shared" si="2"/>
        <v>0</v>
      </c>
      <c r="AC24" s="1">
        <f t="shared" si="3"/>
        <v>0</v>
      </c>
      <c r="AD24" s="1">
        <f t="shared" si="4"/>
        <v>0</v>
      </c>
      <c r="AE24" s="28">
        <f>MAX($I$24,$I$52,$I$80,$I$108,$I$136,$I$164,$I$192,$I$220,$I$248,$I$276,$I$304)</f>
        <v>47.327892999999996</v>
      </c>
      <c r="AF24" s="1">
        <v>1</v>
      </c>
      <c r="AH24" s="19"/>
      <c r="AI24" s="1" t="s">
        <v>76</v>
      </c>
      <c r="AJ24" s="1" t="s">
        <v>2</v>
      </c>
      <c r="AK24" s="1" t="s">
        <v>39</v>
      </c>
      <c r="AL24" s="1" t="s">
        <v>83</v>
      </c>
      <c r="AM24" s="1">
        <v>2</v>
      </c>
      <c r="AN24" s="1">
        <v>2010</v>
      </c>
      <c r="AO24" s="19"/>
      <c r="AP24" s="19"/>
    </row>
    <row r="25" spans="2:42" x14ac:dyDescent="0.25">
      <c r="B25" s="1" t="s">
        <v>24</v>
      </c>
      <c r="C25" s="1" t="s">
        <v>1</v>
      </c>
      <c r="D25" s="1" t="s">
        <v>2</v>
      </c>
      <c r="E25" s="1"/>
      <c r="F25" s="1">
        <v>0.40894799999999998</v>
      </c>
      <c r="G25" s="1">
        <v>3.3545690000000001</v>
      </c>
      <c r="H25" s="1">
        <v>1.879478</v>
      </c>
      <c r="I25" s="1">
        <v>2.0250699999999999</v>
      </c>
      <c r="J25" s="1">
        <v>1</v>
      </c>
      <c r="L25" s="1" t="s">
        <v>24</v>
      </c>
      <c r="M25" s="1" t="s">
        <v>1</v>
      </c>
      <c r="N25" s="1" t="s">
        <v>2</v>
      </c>
      <c r="O25" s="1" t="s">
        <v>40</v>
      </c>
      <c r="P25" s="1">
        <f>IF(ISBLANK(F25),":",0.98*F25)</f>
        <v>0.40076903999999997</v>
      </c>
      <c r="Q25" s="1">
        <f t="shared" si="15"/>
        <v>3.2874776200000002</v>
      </c>
      <c r="R25" s="1">
        <f t="shared" si="16"/>
        <v>1.84188844</v>
      </c>
      <c r="S25" s="1">
        <f t="shared" si="17"/>
        <v>1.9845685999999998</v>
      </c>
      <c r="T25" s="33">
        <v>0</v>
      </c>
      <c r="U25" s="1">
        <v>1</v>
      </c>
      <c r="W25" s="1" t="s">
        <v>24</v>
      </c>
      <c r="X25" s="1" t="s">
        <v>1</v>
      </c>
      <c r="Y25" s="1" t="s">
        <v>2</v>
      </c>
      <c r="Z25" s="1" t="s">
        <v>39</v>
      </c>
      <c r="AA25" s="1">
        <f t="shared" si="1"/>
        <v>0.41712695999999999</v>
      </c>
      <c r="AB25" s="1">
        <f t="shared" si="2"/>
        <v>3.4216603800000001</v>
      </c>
      <c r="AC25" s="1">
        <f t="shared" si="3"/>
        <v>1.91706756</v>
      </c>
      <c r="AD25" s="1">
        <f t="shared" si="4"/>
        <v>2.0655714000000001</v>
      </c>
      <c r="AE25" s="28">
        <f>MAX($I$25,$I$53,$I$81,$I$109,$I$137,$I$165,$I$193,$I$221,$I$249,$I$277,$I$305)</f>
        <v>123.01356</v>
      </c>
      <c r="AF25" s="1">
        <v>1</v>
      </c>
      <c r="AI25" s="1" t="s">
        <v>76</v>
      </c>
      <c r="AJ25" s="1" t="s">
        <v>2</v>
      </c>
      <c r="AK25" s="1" t="s">
        <v>39</v>
      </c>
      <c r="AL25" s="1" t="s">
        <v>83</v>
      </c>
      <c r="AM25" s="1">
        <v>2</v>
      </c>
      <c r="AN25" s="1">
        <v>2015</v>
      </c>
    </row>
    <row r="26" spans="2:42" x14ac:dyDescent="0.25">
      <c r="B26" s="1" t="s">
        <v>25</v>
      </c>
      <c r="C26" s="1" t="s">
        <v>1</v>
      </c>
      <c r="D26" s="1" t="s">
        <v>2</v>
      </c>
      <c r="E26" s="1"/>
      <c r="F26" s="1">
        <v>5.6007000000000001E-2</v>
      </c>
      <c r="G26" s="1">
        <v>0</v>
      </c>
      <c r="H26" s="1">
        <v>2.5479999999999999E-3</v>
      </c>
      <c r="I26" s="1">
        <v>8.599999999999999E-5</v>
      </c>
      <c r="J26" s="1">
        <v>1</v>
      </c>
      <c r="L26" s="1" t="s">
        <v>25</v>
      </c>
      <c r="M26" s="1" t="s">
        <v>1</v>
      </c>
      <c r="N26" s="1" t="s">
        <v>2</v>
      </c>
      <c r="O26" s="1" t="s">
        <v>40</v>
      </c>
      <c r="P26" s="1">
        <f>IF(ISBLANK(F26),":",0.98*F26)</f>
        <v>5.4886860000000003E-2</v>
      </c>
      <c r="Q26" s="1">
        <f t="shared" si="15"/>
        <v>0</v>
      </c>
      <c r="R26" s="1">
        <f t="shared" si="16"/>
        <v>2.4970399999999998E-3</v>
      </c>
      <c r="S26" s="1">
        <f t="shared" si="17"/>
        <v>8.4279999999999986E-5</v>
      </c>
      <c r="T26" s="33">
        <v>0</v>
      </c>
      <c r="U26" s="1">
        <v>1</v>
      </c>
      <c r="W26" s="1" t="s">
        <v>25</v>
      </c>
      <c r="X26" s="1" t="s">
        <v>1</v>
      </c>
      <c r="Y26" s="1" t="s">
        <v>2</v>
      </c>
      <c r="Z26" s="1" t="s">
        <v>39</v>
      </c>
      <c r="AA26" s="1">
        <f t="shared" si="1"/>
        <v>5.712714E-2</v>
      </c>
      <c r="AB26" s="1">
        <f t="shared" si="2"/>
        <v>0</v>
      </c>
      <c r="AC26" s="1">
        <f t="shared" si="3"/>
        <v>2.59896E-3</v>
      </c>
      <c r="AD26" s="1">
        <f t="shared" si="4"/>
        <v>8.7719999999999994E-5</v>
      </c>
      <c r="AE26" s="28">
        <f>MAX($I$26,$I$54,$I$82,$I$110,$I$138,$I$166,$I$194,$I$222,$I$250,$I$278,$I$306)</f>
        <v>14.768578</v>
      </c>
      <c r="AF26" s="1">
        <v>1</v>
      </c>
      <c r="AI26" s="1" t="s">
        <v>76</v>
      </c>
      <c r="AJ26" s="1" t="s">
        <v>2</v>
      </c>
      <c r="AK26" s="1" t="s">
        <v>39</v>
      </c>
      <c r="AL26" s="1" t="s">
        <v>83</v>
      </c>
      <c r="AM26" s="1">
        <v>2</v>
      </c>
      <c r="AN26" s="1">
        <v>2020</v>
      </c>
    </row>
    <row r="27" spans="2:42" x14ac:dyDescent="0.25">
      <c r="B27" s="1" t="s">
        <v>26</v>
      </c>
      <c r="C27" s="1" t="s">
        <v>1</v>
      </c>
      <c r="D27" s="1" t="s">
        <v>2</v>
      </c>
      <c r="E27" s="1"/>
      <c r="F27" s="1">
        <v>2.2045970000000001</v>
      </c>
      <c r="G27" s="1">
        <v>0.74851500000000004</v>
      </c>
      <c r="H27" s="1">
        <v>2.2517460000000002</v>
      </c>
      <c r="I27" s="1">
        <v>1.2976990000000002</v>
      </c>
      <c r="J27" s="1">
        <v>1</v>
      </c>
      <c r="L27" s="1" t="s">
        <v>26</v>
      </c>
      <c r="M27" s="1" t="s">
        <v>1</v>
      </c>
      <c r="N27" s="1" t="s">
        <v>2</v>
      </c>
      <c r="O27" s="1" t="s">
        <v>40</v>
      </c>
      <c r="P27" s="1">
        <f t="shared" ref="P27:P31" si="18">IF(ISBLANK(F27),":",0.98*F27)</f>
        <v>2.1605050600000002</v>
      </c>
      <c r="Q27" s="1">
        <f t="shared" si="15"/>
        <v>0.73354470000000005</v>
      </c>
      <c r="R27" s="1">
        <f t="shared" si="16"/>
        <v>2.2067110800000003</v>
      </c>
      <c r="S27" s="1">
        <f t="shared" si="17"/>
        <v>1.2717450200000002</v>
      </c>
      <c r="T27" s="33">
        <v>0</v>
      </c>
      <c r="U27" s="1">
        <v>1</v>
      </c>
      <c r="W27" s="1" t="s">
        <v>26</v>
      </c>
      <c r="X27" s="1" t="s">
        <v>1</v>
      </c>
      <c r="Y27" s="1" t="s">
        <v>2</v>
      </c>
      <c r="Z27" s="1" t="s">
        <v>39</v>
      </c>
      <c r="AA27" s="1">
        <f t="shared" si="1"/>
        <v>2.2486889400000001</v>
      </c>
      <c r="AB27" s="1">
        <f t="shared" si="2"/>
        <v>0.76348530000000003</v>
      </c>
      <c r="AC27" s="1">
        <f t="shared" si="3"/>
        <v>2.2967809200000002</v>
      </c>
      <c r="AD27" s="1">
        <f t="shared" si="4"/>
        <v>1.3236529800000001</v>
      </c>
      <c r="AE27" s="28">
        <f>MAX($I$27,$I$55,$I$83,$I$111,$I$139,$I$167,$I$195,$I$223,$I$251,$I$279,$I$307)</f>
        <v>43.948800000000006</v>
      </c>
      <c r="AF27" s="1">
        <v>1</v>
      </c>
      <c r="AI27" s="1" t="s">
        <v>76</v>
      </c>
      <c r="AJ27" s="1" t="s">
        <v>2</v>
      </c>
      <c r="AK27" s="1" t="s">
        <v>39</v>
      </c>
      <c r="AL27" s="1" t="s">
        <v>83</v>
      </c>
      <c r="AM27" s="1">
        <v>2</v>
      </c>
      <c r="AN27" s="1">
        <v>2025</v>
      </c>
    </row>
    <row r="28" spans="2:42" x14ac:dyDescent="0.25">
      <c r="B28" s="1" t="s">
        <v>27</v>
      </c>
      <c r="C28" s="1" t="s">
        <v>1</v>
      </c>
      <c r="D28" s="1" t="s">
        <v>2</v>
      </c>
      <c r="E28" s="1"/>
      <c r="F28" s="1">
        <v>2.5103E-2</v>
      </c>
      <c r="G28" s="1">
        <v>0</v>
      </c>
      <c r="H28" s="1">
        <v>0</v>
      </c>
      <c r="I28" s="1">
        <v>0</v>
      </c>
      <c r="J28" s="1">
        <v>1</v>
      </c>
      <c r="L28" s="1" t="s">
        <v>27</v>
      </c>
      <c r="M28" s="1" t="s">
        <v>1</v>
      </c>
      <c r="N28" s="1" t="s">
        <v>2</v>
      </c>
      <c r="O28" s="1" t="s">
        <v>40</v>
      </c>
      <c r="P28" s="1">
        <f t="shared" si="18"/>
        <v>2.4600939999999998E-2</v>
      </c>
      <c r="Q28" s="1">
        <f t="shared" si="15"/>
        <v>0</v>
      </c>
      <c r="R28" s="1">
        <f t="shared" si="16"/>
        <v>0</v>
      </c>
      <c r="S28" s="1">
        <f t="shared" si="17"/>
        <v>0</v>
      </c>
      <c r="T28" s="33">
        <v>0</v>
      </c>
      <c r="U28" s="1">
        <v>1</v>
      </c>
      <c r="W28" s="1" t="s">
        <v>27</v>
      </c>
      <c r="X28" s="1" t="s">
        <v>1</v>
      </c>
      <c r="Y28" s="1" t="s">
        <v>2</v>
      </c>
      <c r="Z28" s="1" t="s">
        <v>39</v>
      </c>
      <c r="AA28" s="1">
        <f t="shared" si="1"/>
        <v>2.5605060000000002E-2</v>
      </c>
      <c r="AB28" s="1">
        <f t="shared" si="2"/>
        <v>0</v>
      </c>
      <c r="AC28" s="1">
        <f t="shared" si="3"/>
        <v>0</v>
      </c>
      <c r="AD28" s="1">
        <f t="shared" si="4"/>
        <v>0</v>
      </c>
      <c r="AE28" s="28">
        <f>MAX($I$28,$I$56,$I$84,$I$112,$I$140,$I$168,$I$196,$I$224,$I$252,$I$280,$I$308)</f>
        <v>66.917000000000002</v>
      </c>
      <c r="AF28" s="1">
        <v>1</v>
      </c>
      <c r="AI28" s="19"/>
      <c r="AJ28" s="19"/>
      <c r="AK28" s="19"/>
      <c r="AL28" s="19"/>
      <c r="AM28" s="19"/>
      <c r="AN28" s="19"/>
    </row>
    <row r="29" spans="2:42" x14ac:dyDescent="0.25">
      <c r="B29" s="1" t="s">
        <v>28</v>
      </c>
      <c r="C29" s="1" t="s">
        <v>1</v>
      </c>
      <c r="D29" s="1" t="s">
        <v>2</v>
      </c>
      <c r="E29" s="1"/>
      <c r="F29" s="1">
        <v>0</v>
      </c>
      <c r="G29" s="1">
        <v>0</v>
      </c>
      <c r="H29" s="1">
        <v>0</v>
      </c>
      <c r="I29" s="1">
        <v>0</v>
      </c>
      <c r="J29" s="1">
        <v>1</v>
      </c>
      <c r="L29" s="1" t="s">
        <v>28</v>
      </c>
      <c r="M29" s="1" t="s">
        <v>1</v>
      </c>
      <c r="N29" s="1" t="s">
        <v>2</v>
      </c>
      <c r="O29" s="1" t="s">
        <v>40</v>
      </c>
      <c r="P29" s="1">
        <f t="shared" si="18"/>
        <v>0</v>
      </c>
      <c r="Q29" s="1">
        <f t="shared" si="15"/>
        <v>0</v>
      </c>
      <c r="R29" s="1">
        <f t="shared" si="16"/>
        <v>0</v>
      </c>
      <c r="S29" s="1">
        <f t="shared" si="17"/>
        <v>0</v>
      </c>
      <c r="T29" s="33">
        <v>0</v>
      </c>
      <c r="U29" s="1">
        <v>1</v>
      </c>
      <c r="W29" s="1" t="s">
        <v>28</v>
      </c>
      <c r="X29" s="1" t="s">
        <v>1</v>
      </c>
      <c r="Y29" s="1" t="s">
        <v>2</v>
      </c>
      <c r="Z29" s="1" t="s">
        <v>39</v>
      </c>
      <c r="AA29" s="1">
        <f t="shared" si="1"/>
        <v>0</v>
      </c>
      <c r="AB29" s="1">
        <f t="shared" si="2"/>
        <v>0</v>
      </c>
      <c r="AC29" s="1">
        <f t="shared" si="3"/>
        <v>0</v>
      </c>
      <c r="AD29" s="1">
        <f t="shared" si="4"/>
        <v>0</v>
      </c>
      <c r="AE29" s="28">
        <f>MAX($I$29,$I$57,$I$85,$I$113,$I$141,$I$169,$I$197,$I$225,$I$253,$I$281,$I$309)</f>
        <v>112.108</v>
      </c>
      <c r="AF29" s="1">
        <v>1</v>
      </c>
    </row>
    <row r="30" spans="2:42" x14ac:dyDescent="0.25">
      <c r="B30" s="1" t="s">
        <v>29</v>
      </c>
      <c r="C30" s="1" t="s">
        <v>1</v>
      </c>
      <c r="D30" s="1" t="s">
        <v>2</v>
      </c>
      <c r="E30" s="1"/>
      <c r="F30" s="1">
        <v>0</v>
      </c>
      <c r="G30" s="1">
        <v>0</v>
      </c>
      <c r="H30" s="1">
        <v>0</v>
      </c>
      <c r="I30" s="1">
        <v>0</v>
      </c>
      <c r="J30" s="1">
        <v>1</v>
      </c>
      <c r="L30" s="1" t="s">
        <v>29</v>
      </c>
      <c r="M30" s="1" t="s">
        <v>1</v>
      </c>
      <c r="N30" s="1" t="s">
        <v>2</v>
      </c>
      <c r="O30" s="1" t="s">
        <v>40</v>
      </c>
      <c r="P30" s="1">
        <f t="shared" si="18"/>
        <v>0</v>
      </c>
      <c r="Q30" s="1">
        <f t="shared" si="15"/>
        <v>0</v>
      </c>
      <c r="R30" s="1">
        <f t="shared" si="16"/>
        <v>0</v>
      </c>
      <c r="S30" s="1">
        <f t="shared" si="17"/>
        <v>0</v>
      </c>
      <c r="T30" s="33">
        <v>0</v>
      </c>
      <c r="U30" s="1">
        <v>1</v>
      </c>
      <c r="W30" s="1" t="s">
        <v>29</v>
      </c>
      <c r="X30" s="1" t="s">
        <v>1</v>
      </c>
      <c r="Y30" s="1" t="s">
        <v>2</v>
      </c>
      <c r="Z30" s="1" t="s">
        <v>39</v>
      </c>
      <c r="AA30" s="1">
        <f t="shared" si="1"/>
        <v>0</v>
      </c>
      <c r="AB30" s="1">
        <f t="shared" si="2"/>
        <v>0</v>
      </c>
      <c r="AC30" s="1">
        <f t="shared" si="3"/>
        <v>0</v>
      </c>
      <c r="AD30" s="1">
        <f t="shared" si="4"/>
        <v>0</v>
      </c>
      <c r="AE30" s="28">
        <f>MAX($I$30,$I$58,$I$86,$I$114,$I$142,$I$170,$I$198,$I$226,$I$254,$I$282,$I$310)</f>
        <v>101.44997000000001</v>
      </c>
      <c r="AF30" s="1">
        <v>1</v>
      </c>
      <c r="AI30" s="2" t="s">
        <v>41</v>
      </c>
    </row>
    <row r="31" spans="2:42" x14ac:dyDescent="0.25">
      <c r="B31" s="1" t="s">
        <v>30</v>
      </c>
      <c r="C31" s="1" t="s">
        <v>1</v>
      </c>
      <c r="D31" s="1" t="s">
        <v>2</v>
      </c>
      <c r="E31" s="1"/>
      <c r="F31" s="1">
        <v>30.375463</v>
      </c>
      <c r="G31" s="1">
        <v>23.185303999999999</v>
      </c>
      <c r="H31" s="1">
        <v>13.433347800000002</v>
      </c>
      <c r="I31" s="1">
        <v>5.8548211200000004</v>
      </c>
      <c r="J31" s="1">
        <v>1</v>
      </c>
      <c r="L31" s="1" t="s">
        <v>30</v>
      </c>
      <c r="M31" s="1" t="s">
        <v>1</v>
      </c>
      <c r="N31" s="1" t="s">
        <v>2</v>
      </c>
      <c r="O31" s="1" t="s">
        <v>40</v>
      </c>
      <c r="P31" s="1">
        <f t="shared" si="18"/>
        <v>29.767953739999999</v>
      </c>
      <c r="Q31" s="1">
        <f t="shared" si="15"/>
        <v>22.721597919999997</v>
      </c>
      <c r="R31" s="1">
        <f t="shared" si="16"/>
        <v>13.164680844000001</v>
      </c>
      <c r="S31" s="1">
        <f t="shared" si="17"/>
        <v>5.7377246976</v>
      </c>
      <c r="T31" s="33">
        <v>0</v>
      </c>
      <c r="U31" s="1">
        <v>1</v>
      </c>
      <c r="W31" s="1" t="s">
        <v>30</v>
      </c>
      <c r="X31" s="1" t="s">
        <v>1</v>
      </c>
      <c r="Y31" s="1" t="s">
        <v>2</v>
      </c>
      <c r="Z31" s="1" t="s">
        <v>39</v>
      </c>
      <c r="AA31" s="1">
        <f t="shared" si="1"/>
        <v>30.98297226</v>
      </c>
      <c r="AB31" s="1">
        <f t="shared" si="2"/>
        <v>23.64901008</v>
      </c>
      <c r="AC31" s="1">
        <f t="shared" si="3"/>
        <v>13.702014756000002</v>
      </c>
      <c r="AD31" s="1">
        <f t="shared" si="4"/>
        <v>5.9719175424000008</v>
      </c>
      <c r="AE31" s="28">
        <f>MAX($I$31,$I$59,$I$87,$I$115,$I$143,$I$171,$I$199,$I$227,$I$255,$I$283,$I$311)</f>
        <v>814.1906987082092</v>
      </c>
      <c r="AF31" s="1">
        <v>1</v>
      </c>
      <c r="AI31" s="4" t="s">
        <v>42</v>
      </c>
      <c r="AJ31" s="4" t="s">
        <v>43</v>
      </c>
      <c r="AK31" s="4" t="s">
        <v>44</v>
      </c>
      <c r="AL31" s="4" t="s">
        <v>45</v>
      </c>
      <c r="AM31" s="5">
        <v>2040</v>
      </c>
      <c r="AN31" s="5">
        <v>0</v>
      </c>
      <c r="AO31" s="3"/>
      <c r="AP31" s="3"/>
    </row>
    <row r="32" spans="2:42" x14ac:dyDescent="0.25">
      <c r="B32" s="24" t="s">
        <v>0</v>
      </c>
      <c r="C32" s="24" t="s">
        <v>32</v>
      </c>
      <c r="D32" s="24" t="s">
        <v>2</v>
      </c>
      <c r="E32" s="24"/>
      <c r="F32" s="24">
        <v>125.07076000000001</v>
      </c>
      <c r="G32" s="24">
        <v>110.12505</v>
      </c>
      <c r="H32" s="24">
        <v>88.088067000000009</v>
      </c>
      <c r="I32" s="24">
        <v>70.196234999999987</v>
      </c>
      <c r="J32" s="1">
        <v>1</v>
      </c>
      <c r="L32" s="1" t="s">
        <v>0</v>
      </c>
      <c r="M32" s="1" t="s">
        <v>32</v>
      </c>
      <c r="N32" s="1" t="s">
        <v>2</v>
      </c>
      <c r="O32" s="1" t="s">
        <v>40</v>
      </c>
      <c r="P32" s="1">
        <f>IF(ISBLANK(F32),":",0.98*F32)</f>
        <v>122.56934480000001</v>
      </c>
      <c r="Q32" s="1">
        <f t="shared" si="15"/>
        <v>107.922549</v>
      </c>
      <c r="R32" s="1">
        <f t="shared" si="16"/>
        <v>86.326305660000003</v>
      </c>
      <c r="S32" s="1">
        <f t="shared" si="17"/>
        <v>68.792310299999983</v>
      </c>
      <c r="T32" s="33">
        <v>0</v>
      </c>
      <c r="U32" s="1">
        <v>1</v>
      </c>
      <c r="W32" s="1" t="s">
        <v>0</v>
      </c>
      <c r="X32" s="1" t="s">
        <v>32</v>
      </c>
      <c r="Y32" s="1" t="s">
        <v>2</v>
      </c>
      <c r="Z32" s="1" t="s">
        <v>39</v>
      </c>
      <c r="AA32" s="1">
        <f t="shared" si="1"/>
        <v>127.5721752</v>
      </c>
      <c r="AB32" s="1">
        <f t="shared" si="2"/>
        <v>112.327551</v>
      </c>
      <c r="AC32" s="1">
        <f>IF(ISBLANK(H32),":",1.02*H32)</f>
        <v>89.849828340000016</v>
      </c>
      <c r="AD32" s="1">
        <f t="shared" si="4"/>
        <v>71.600159699999992</v>
      </c>
      <c r="AE32" s="28">
        <f>MAX($I$4,$I$32,$I$60,$I$88,$I$116,$I$144,$I$172,$I$200,$I$228,$I$256,$I$284)</f>
        <v>119.69903699999999</v>
      </c>
      <c r="AF32" s="1">
        <v>1</v>
      </c>
      <c r="AI32" s="1" t="s">
        <v>90</v>
      </c>
      <c r="AJ32" s="1" t="s">
        <v>76</v>
      </c>
      <c r="AK32" s="1" t="s">
        <v>2</v>
      </c>
      <c r="AL32" s="1" t="s">
        <v>39</v>
      </c>
      <c r="AM32" s="28">
        <f>AVERAGE($AE$4:$AE$311)</f>
        <v>231.05576427624055</v>
      </c>
      <c r="AN32" s="1">
        <v>1</v>
      </c>
      <c r="AO32" s="19"/>
      <c r="AP32" s="19"/>
    </row>
    <row r="33" spans="2:32" x14ac:dyDescent="0.25">
      <c r="B33" s="24" t="s">
        <v>3</v>
      </c>
      <c r="C33" s="24" t="s">
        <v>32</v>
      </c>
      <c r="D33" s="24" t="s">
        <v>2</v>
      </c>
      <c r="E33" s="24"/>
      <c r="F33" s="24">
        <v>8.4600000000000022E-2</v>
      </c>
      <c r="G33" s="24">
        <f>AVERAGE(F33,H33:I33)</f>
        <v>4.6304333333333371E-2</v>
      </c>
      <c r="H33" s="24">
        <v>4.7376000000000092E-2</v>
      </c>
      <c r="I33" s="24">
        <v>6.9370000000000117E-3</v>
      </c>
      <c r="J33" s="1">
        <v>1</v>
      </c>
      <c r="L33" s="1" t="s">
        <v>3</v>
      </c>
      <c r="M33" s="1" t="s">
        <v>32</v>
      </c>
      <c r="N33" s="1" t="s">
        <v>2</v>
      </c>
      <c r="O33" s="1" t="s">
        <v>40</v>
      </c>
      <c r="P33" s="1">
        <f>IF(ISBLANK(F33),":",0.98*F33)</f>
        <v>8.2908000000000023E-2</v>
      </c>
      <c r="Q33" s="1">
        <f t="shared" si="15"/>
        <v>4.5378246666666705E-2</v>
      </c>
      <c r="R33" s="1">
        <f t="shared" si="16"/>
        <v>4.6428480000000091E-2</v>
      </c>
      <c r="S33" s="1">
        <f t="shared" si="17"/>
        <v>6.7982600000000117E-3</v>
      </c>
      <c r="T33" s="33">
        <v>0</v>
      </c>
      <c r="U33" s="1">
        <v>1</v>
      </c>
      <c r="W33" s="1" t="s">
        <v>3</v>
      </c>
      <c r="X33" s="1" t="s">
        <v>32</v>
      </c>
      <c r="Y33" s="1" t="s">
        <v>2</v>
      </c>
      <c r="Z33" s="1" t="s">
        <v>39</v>
      </c>
      <c r="AA33" s="1">
        <f t="shared" si="1"/>
        <v>8.6292000000000021E-2</v>
      </c>
      <c r="AB33" s="1">
        <f t="shared" si="2"/>
        <v>4.7230420000000037E-2</v>
      </c>
      <c r="AC33" s="1">
        <f t="shared" si="3"/>
        <v>4.8323520000000092E-2</v>
      </c>
      <c r="AD33" s="1">
        <f t="shared" si="4"/>
        <v>7.0757400000000118E-3</v>
      </c>
      <c r="AE33" s="28">
        <f>MAX($I$5,$I$33,$I$61,$I$89,$I$117,$I$145,$I$173,$I$201,$I$229,$I$257,$I$285)</f>
        <v>27.890193999999994</v>
      </c>
      <c r="AF33" s="1">
        <v>1</v>
      </c>
    </row>
    <row r="34" spans="2:32" x14ac:dyDescent="0.25">
      <c r="B34" s="24" t="s">
        <v>4</v>
      </c>
      <c r="C34" s="24" t="s">
        <v>32</v>
      </c>
      <c r="D34" s="24" t="s">
        <v>2</v>
      </c>
      <c r="E34" s="24"/>
      <c r="F34" s="24"/>
      <c r="G34" s="24"/>
      <c r="H34" s="24"/>
      <c r="I34" s="24"/>
      <c r="J34" s="1">
        <v>1</v>
      </c>
      <c r="L34" s="1" t="s">
        <v>4</v>
      </c>
      <c r="M34" s="1" t="s">
        <v>32</v>
      </c>
      <c r="N34" s="1" t="s">
        <v>2</v>
      </c>
      <c r="O34" s="1" t="s">
        <v>40</v>
      </c>
      <c r="P34" s="1" t="str">
        <f t="shared" ref="P34:P39" si="19">IF(ISBLANK(F34),":",0.98*F34)</f>
        <v>:</v>
      </c>
      <c r="Q34" s="1" t="str">
        <f t="shared" si="15"/>
        <v>:</v>
      </c>
      <c r="R34" s="1" t="str">
        <f t="shared" si="16"/>
        <v>:</v>
      </c>
      <c r="S34" s="1" t="str">
        <f t="shared" si="17"/>
        <v>:</v>
      </c>
      <c r="T34" s="33">
        <v>0</v>
      </c>
      <c r="U34" s="1">
        <v>1</v>
      </c>
      <c r="W34" s="1" t="s">
        <v>4</v>
      </c>
      <c r="X34" s="1" t="s">
        <v>32</v>
      </c>
      <c r="Y34" s="1" t="s">
        <v>2</v>
      </c>
      <c r="Z34" s="1" t="s">
        <v>39</v>
      </c>
      <c r="AA34" s="1" t="str">
        <f t="shared" si="1"/>
        <v>:</v>
      </c>
      <c r="AB34" s="1" t="str">
        <f t="shared" si="2"/>
        <v>:</v>
      </c>
      <c r="AC34" s="1" t="str">
        <f t="shared" si="3"/>
        <v>:</v>
      </c>
      <c r="AD34" s="1" t="str">
        <f t="shared" si="4"/>
        <v>:</v>
      </c>
      <c r="AE34" s="28">
        <f>MAX($I$6,$I$34,$I$62,$I$90,$I$118,$I$146,$I$174,$I$202,$I$230,$I$258,$I$286)</f>
        <v>80.496740000000003</v>
      </c>
      <c r="AF34" s="1">
        <v>1</v>
      </c>
    </row>
    <row r="35" spans="2:32" x14ac:dyDescent="0.25">
      <c r="B35" s="24" t="s">
        <v>5</v>
      </c>
      <c r="C35" s="24" t="s">
        <v>32</v>
      </c>
      <c r="D35" s="24" t="s">
        <v>2</v>
      </c>
      <c r="E35" s="24"/>
      <c r="F35" s="24">
        <v>19.279356</v>
      </c>
      <c r="G35" s="24">
        <v>9.329168000000001</v>
      </c>
      <c r="H35" s="24">
        <v>6.5271010000000009</v>
      </c>
      <c r="I35" s="24">
        <v>5.3421159999999999</v>
      </c>
      <c r="J35" s="1">
        <v>1</v>
      </c>
      <c r="L35" s="1" t="s">
        <v>5</v>
      </c>
      <c r="M35" s="1" t="s">
        <v>32</v>
      </c>
      <c r="N35" s="1" t="s">
        <v>2</v>
      </c>
      <c r="O35" s="1" t="s">
        <v>40</v>
      </c>
      <c r="P35" s="1">
        <f t="shared" si="19"/>
        <v>18.89376888</v>
      </c>
      <c r="Q35" s="1">
        <f t="shared" si="15"/>
        <v>9.1425846400000008</v>
      </c>
      <c r="R35" s="1">
        <f t="shared" si="16"/>
        <v>6.3965589800000009</v>
      </c>
      <c r="S35" s="1">
        <f t="shared" si="17"/>
        <v>5.2352736799999997</v>
      </c>
      <c r="T35" s="33">
        <v>0</v>
      </c>
      <c r="U35" s="1">
        <v>1</v>
      </c>
      <c r="W35" s="1" t="s">
        <v>5</v>
      </c>
      <c r="X35" s="1" t="s">
        <v>32</v>
      </c>
      <c r="Y35" s="1" t="s">
        <v>2</v>
      </c>
      <c r="Z35" s="1" t="s">
        <v>39</v>
      </c>
      <c r="AA35" s="1">
        <f t="shared" si="1"/>
        <v>19.66494312</v>
      </c>
      <c r="AB35" s="1">
        <f t="shared" si="2"/>
        <v>9.5157513600000012</v>
      </c>
      <c r="AC35" s="1">
        <f t="shared" si="3"/>
        <v>6.657643020000001</v>
      </c>
      <c r="AD35" s="1">
        <f t="shared" si="4"/>
        <v>5.44895832</v>
      </c>
      <c r="AE35" s="28">
        <f>MAX($I$7,$I$35,$I$63,$I$91,$I$119,$I$147,$I$175,$I$203,$I$231,$I$259,$I$287)</f>
        <v>69.570329999999998</v>
      </c>
      <c r="AF35" s="1">
        <v>1</v>
      </c>
    </row>
    <row r="36" spans="2:32" x14ac:dyDescent="0.25">
      <c r="B36" s="24" t="s">
        <v>6</v>
      </c>
      <c r="C36" s="24" t="s">
        <v>32</v>
      </c>
      <c r="D36" s="24" t="s">
        <v>2</v>
      </c>
      <c r="E36" s="24"/>
      <c r="F36" s="24">
        <v>565.76036999999997</v>
      </c>
      <c r="G36" s="24">
        <v>466.24198000000001</v>
      </c>
      <c r="H36" s="24">
        <v>509.67355199999997</v>
      </c>
      <c r="I36" s="24">
        <v>392.92160000000001</v>
      </c>
      <c r="J36" s="1">
        <v>1</v>
      </c>
      <c r="L36" s="1" t="s">
        <v>6</v>
      </c>
      <c r="M36" s="1" t="s">
        <v>32</v>
      </c>
      <c r="N36" s="1" t="s">
        <v>2</v>
      </c>
      <c r="O36" s="1" t="s">
        <v>40</v>
      </c>
      <c r="P36" s="1">
        <f t="shared" si="19"/>
        <v>554.4451626</v>
      </c>
      <c r="Q36" s="1">
        <f t="shared" si="15"/>
        <v>456.91714039999999</v>
      </c>
      <c r="R36" s="1">
        <f t="shared" si="16"/>
        <v>499.48008095999995</v>
      </c>
      <c r="S36" s="1">
        <f t="shared" si="17"/>
        <v>385.06316800000002</v>
      </c>
      <c r="T36" s="33">
        <v>0</v>
      </c>
      <c r="U36" s="1">
        <v>1</v>
      </c>
      <c r="W36" s="1" t="s">
        <v>6</v>
      </c>
      <c r="X36" s="1" t="s">
        <v>32</v>
      </c>
      <c r="Y36" s="1" t="s">
        <v>2</v>
      </c>
      <c r="Z36" s="1" t="s">
        <v>39</v>
      </c>
      <c r="AA36" s="1">
        <f t="shared" si="1"/>
        <v>577.07557739999993</v>
      </c>
      <c r="AB36" s="1">
        <f t="shared" si="2"/>
        <v>475.56681960000003</v>
      </c>
      <c r="AC36" s="1">
        <f t="shared" si="3"/>
        <v>519.86702303999994</v>
      </c>
      <c r="AD36" s="1">
        <f t="shared" si="4"/>
        <v>400.78003200000001</v>
      </c>
      <c r="AE36" s="28">
        <f>MAX($I$8,$I$36,$I$64,$I$92,$I$120,$I$148,$I$176,$I$204,$I$232,$I$260,$I$288)</f>
        <v>836.17112299999997</v>
      </c>
      <c r="AF36" s="1">
        <v>1</v>
      </c>
    </row>
    <row r="37" spans="2:32" x14ac:dyDescent="0.25">
      <c r="B37" s="24" t="s">
        <v>7</v>
      </c>
      <c r="C37" s="24" t="s">
        <v>32</v>
      </c>
      <c r="D37" s="24" t="s">
        <v>2</v>
      </c>
      <c r="E37" s="24"/>
      <c r="F37" s="24">
        <v>0.16919999999999999</v>
      </c>
      <c r="G37" s="24">
        <v>0.16919999999999999</v>
      </c>
      <c r="H37" s="24">
        <v>8.4600000000000022E-2</v>
      </c>
      <c r="I37" s="24">
        <v>4.2300000000000011E-2</v>
      </c>
      <c r="J37" s="1">
        <v>1</v>
      </c>
      <c r="L37" s="1" t="s">
        <v>7</v>
      </c>
      <c r="M37" s="1" t="s">
        <v>32</v>
      </c>
      <c r="N37" s="1" t="s">
        <v>2</v>
      </c>
      <c r="O37" s="1" t="s">
        <v>40</v>
      </c>
      <c r="P37" s="1">
        <f t="shared" si="19"/>
        <v>0.16581599999999999</v>
      </c>
      <c r="Q37" s="1">
        <f t="shared" si="15"/>
        <v>0.16581599999999999</v>
      </c>
      <c r="R37" s="1">
        <f t="shared" si="16"/>
        <v>8.2908000000000023E-2</v>
      </c>
      <c r="S37" s="1">
        <f t="shared" si="17"/>
        <v>4.1454000000000012E-2</v>
      </c>
      <c r="T37" s="33">
        <v>0</v>
      </c>
      <c r="U37" s="1">
        <v>1</v>
      </c>
      <c r="W37" s="1" t="s">
        <v>7</v>
      </c>
      <c r="X37" s="1" t="s">
        <v>32</v>
      </c>
      <c r="Y37" s="1" t="s">
        <v>2</v>
      </c>
      <c r="Z37" s="1" t="s">
        <v>39</v>
      </c>
      <c r="AA37" s="1">
        <f t="shared" si="1"/>
        <v>0.17258399999999999</v>
      </c>
      <c r="AB37" s="1">
        <f t="shared" si="2"/>
        <v>0.17258399999999999</v>
      </c>
      <c r="AC37" s="1">
        <f t="shared" si="3"/>
        <v>8.6292000000000021E-2</v>
      </c>
      <c r="AD37" s="1">
        <f t="shared" si="4"/>
        <v>4.3146000000000011E-2</v>
      </c>
      <c r="AE37" s="28">
        <f>MAX($I$9,$I$37,$I$65,$I$93,$I$121,$I$149,$I$177,$I$205,$I$233,$I$261,$I$289)</f>
        <v>15.457636000000001</v>
      </c>
      <c r="AF37" s="1">
        <v>1</v>
      </c>
    </row>
    <row r="38" spans="2:32" x14ac:dyDescent="0.25">
      <c r="B38" s="24" t="s">
        <v>8</v>
      </c>
      <c r="C38" s="24" t="s">
        <v>32</v>
      </c>
      <c r="D38" s="24" t="s">
        <v>2</v>
      </c>
      <c r="E38" s="24"/>
      <c r="F38" s="24">
        <v>68.185335999999992</v>
      </c>
      <c r="G38" s="24">
        <v>45.223136999999994</v>
      </c>
      <c r="H38" s="24">
        <v>58.145656000000002</v>
      </c>
      <c r="I38" s="24">
        <v>42.352189999999993</v>
      </c>
      <c r="J38" s="1">
        <v>1</v>
      </c>
      <c r="L38" s="1" t="s">
        <v>8</v>
      </c>
      <c r="M38" s="1" t="s">
        <v>32</v>
      </c>
      <c r="N38" s="1" t="s">
        <v>2</v>
      </c>
      <c r="O38" s="1" t="s">
        <v>40</v>
      </c>
      <c r="P38" s="1">
        <f t="shared" si="19"/>
        <v>66.821629279999996</v>
      </c>
      <c r="Q38" s="1">
        <f t="shared" si="15"/>
        <v>44.318674259999995</v>
      </c>
      <c r="R38" s="1">
        <f t="shared" si="16"/>
        <v>56.982742880000004</v>
      </c>
      <c r="S38" s="1">
        <f t="shared" si="17"/>
        <v>41.505146199999992</v>
      </c>
      <c r="T38" s="33">
        <v>0</v>
      </c>
      <c r="U38" s="1">
        <v>1</v>
      </c>
      <c r="W38" s="1" t="s">
        <v>8</v>
      </c>
      <c r="X38" s="1" t="s">
        <v>32</v>
      </c>
      <c r="Y38" s="1" t="s">
        <v>2</v>
      </c>
      <c r="Z38" s="1" t="s">
        <v>39</v>
      </c>
      <c r="AA38" s="1">
        <f t="shared" si="1"/>
        <v>69.549042719999989</v>
      </c>
      <c r="AB38" s="1">
        <f t="shared" si="2"/>
        <v>46.127599739999994</v>
      </c>
      <c r="AC38" s="1">
        <f t="shared" si="3"/>
        <v>59.308569120000001</v>
      </c>
      <c r="AD38" s="1">
        <f t="shared" si="4"/>
        <v>43.199233799999995</v>
      </c>
      <c r="AE38" s="28">
        <f>MAX(I$10,I$38,I$66,I$94,I$122,I$150,I$178,I$206,I$234,I$262,I$290)</f>
        <v>42.352189999999993</v>
      </c>
      <c r="AF38" s="1">
        <v>1</v>
      </c>
    </row>
    <row r="39" spans="2:32" x14ac:dyDescent="0.25">
      <c r="B39" s="24" t="s">
        <v>9</v>
      </c>
      <c r="C39" s="24" t="s">
        <v>32</v>
      </c>
      <c r="D39" s="24" t="s">
        <v>2</v>
      </c>
      <c r="E39" s="24"/>
      <c r="F39" s="24">
        <v>80.303399999999996</v>
      </c>
      <c r="G39" s="24">
        <v>57.980199999999996</v>
      </c>
      <c r="H39" s="24">
        <v>50.410389999999992</v>
      </c>
      <c r="I39" s="24">
        <v>33.021633000000001</v>
      </c>
      <c r="J39" s="1">
        <v>1</v>
      </c>
      <c r="L39" s="1" t="s">
        <v>9</v>
      </c>
      <c r="M39" s="1" t="s">
        <v>32</v>
      </c>
      <c r="N39" s="1" t="s">
        <v>2</v>
      </c>
      <c r="O39" s="1" t="s">
        <v>40</v>
      </c>
      <c r="P39" s="1">
        <f t="shared" si="19"/>
        <v>78.697331999999989</v>
      </c>
      <c r="Q39" s="1">
        <f t="shared" si="15"/>
        <v>56.820595999999995</v>
      </c>
      <c r="R39" s="1">
        <f t="shared" si="16"/>
        <v>49.402182199999991</v>
      </c>
      <c r="S39" s="1">
        <f t="shared" si="17"/>
        <v>32.361200340000003</v>
      </c>
      <c r="T39" s="33">
        <v>0</v>
      </c>
      <c r="U39" s="1">
        <v>1</v>
      </c>
      <c r="W39" s="1" t="s">
        <v>9</v>
      </c>
      <c r="X39" s="1" t="s">
        <v>32</v>
      </c>
      <c r="Y39" s="1" t="s">
        <v>2</v>
      </c>
      <c r="Z39" s="1" t="s">
        <v>39</v>
      </c>
      <c r="AA39" s="1">
        <f t="shared" si="1"/>
        <v>81.909468000000004</v>
      </c>
      <c r="AB39" s="1">
        <f t="shared" si="2"/>
        <v>59.139803999999998</v>
      </c>
      <c r="AC39" s="1">
        <f t="shared" si="3"/>
        <v>51.418597799999993</v>
      </c>
      <c r="AD39" s="1">
        <f t="shared" si="4"/>
        <v>33.682065659999999</v>
      </c>
      <c r="AE39" s="28">
        <f>MAX($I$11,$I$39,$I$67,$I$95,$I$123,$I$151,$I$179,$I$207,$I$235,$I$263,$I$291)</f>
        <v>37.635565999999997</v>
      </c>
      <c r="AF39" s="1">
        <v>1</v>
      </c>
    </row>
    <row r="40" spans="2:32" x14ac:dyDescent="0.25">
      <c r="B40" s="24" t="s">
        <v>10</v>
      </c>
      <c r="C40" s="24" t="s">
        <v>32</v>
      </c>
      <c r="D40" s="24" t="s">
        <v>2</v>
      </c>
      <c r="E40" s="24"/>
      <c r="F40" s="24">
        <v>83.081600000000009</v>
      </c>
      <c r="G40" s="24">
        <v>81.954431999999997</v>
      </c>
      <c r="H40" s="24">
        <v>67.588200000000001</v>
      </c>
      <c r="I40" s="24">
        <v>59.025473000000005</v>
      </c>
      <c r="J40" s="1">
        <v>1</v>
      </c>
      <c r="L40" s="1" t="s">
        <v>10</v>
      </c>
      <c r="M40" s="1" t="s">
        <v>32</v>
      </c>
      <c r="N40" s="1" t="s">
        <v>2</v>
      </c>
      <c r="O40" s="1" t="s">
        <v>40</v>
      </c>
      <c r="P40" s="1">
        <f>IF(ISBLANK(F40),":",0.98*F40)</f>
        <v>81.419968000000011</v>
      </c>
      <c r="Q40" s="1">
        <f t="shared" si="15"/>
        <v>80.31534336</v>
      </c>
      <c r="R40" s="1">
        <f t="shared" si="16"/>
        <v>66.236435999999998</v>
      </c>
      <c r="S40" s="1">
        <f t="shared" si="17"/>
        <v>57.844963540000002</v>
      </c>
      <c r="T40" s="33">
        <v>0</v>
      </c>
      <c r="U40" s="1">
        <v>1</v>
      </c>
      <c r="W40" s="1" t="s">
        <v>10</v>
      </c>
      <c r="X40" s="1" t="s">
        <v>32</v>
      </c>
      <c r="Y40" s="1" t="s">
        <v>2</v>
      </c>
      <c r="Z40" s="1" t="s">
        <v>39</v>
      </c>
      <c r="AA40" s="1">
        <f t="shared" si="1"/>
        <v>84.743232000000006</v>
      </c>
      <c r="AB40" s="1">
        <f t="shared" si="2"/>
        <v>83.593520639999994</v>
      </c>
      <c r="AC40" s="1">
        <f t="shared" si="3"/>
        <v>68.939964000000003</v>
      </c>
      <c r="AD40" s="1">
        <f t="shared" si="4"/>
        <v>60.205982460000008</v>
      </c>
      <c r="AE40" s="28">
        <f>MAX($I$12,$I$40,$I$68,$I$96,$I$124,$I$152,$I$180,$I$208,$I$236,$I$264,$I$292)</f>
        <v>218.13407800000004</v>
      </c>
      <c r="AF40" s="1">
        <v>1</v>
      </c>
    </row>
    <row r="41" spans="2:32" x14ac:dyDescent="0.25">
      <c r="B41" s="24" t="s">
        <v>11</v>
      </c>
      <c r="C41" s="24" t="s">
        <v>32</v>
      </c>
      <c r="D41" s="24" t="s">
        <v>2</v>
      </c>
      <c r="E41" s="24"/>
      <c r="F41" s="24">
        <v>267.75798400000002</v>
      </c>
      <c r="G41" s="24">
        <v>183.50227399999997</v>
      </c>
      <c r="H41" s="24">
        <v>141.25652400000001</v>
      </c>
      <c r="I41" s="24">
        <v>102.59763599999999</v>
      </c>
      <c r="J41" s="1">
        <v>1</v>
      </c>
      <c r="L41" s="1" t="s">
        <v>11</v>
      </c>
      <c r="M41" s="1" t="s">
        <v>32</v>
      </c>
      <c r="N41" s="1" t="s">
        <v>2</v>
      </c>
      <c r="O41" s="1" t="s">
        <v>40</v>
      </c>
      <c r="P41" s="1">
        <f>IF(ISBLANK(F41),":",0.98*F41)</f>
        <v>262.40282432000004</v>
      </c>
      <c r="Q41" s="1">
        <f t="shared" si="15"/>
        <v>179.83222851999997</v>
      </c>
      <c r="R41" s="1">
        <f t="shared" si="16"/>
        <v>138.43139352</v>
      </c>
      <c r="S41" s="1">
        <f t="shared" si="17"/>
        <v>100.54568327999999</v>
      </c>
      <c r="T41" s="33">
        <v>0</v>
      </c>
      <c r="U41" s="1">
        <v>1</v>
      </c>
      <c r="W41" s="1" t="s">
        <v>11</v>
      </c>
      <c r="X41" s="1" t="s">
        <v>32</v>
      </c>
      <c r="Y41" s="1" t="s">
        <v>2</v>
      </c>
      <c r="Z41" s="1" t="s">
        <v>39</v>
      </c>
      <c r="AA41" s="1">
        <f t="shared" si="1"/>
        <v>273.11314368000001</v>
      </c>
      <c r="AB41" s="1">
        <f t="shared" si="2"/>
        <v>187.17231947999997</v>
      </c>
      <c r="AC41" s="1">
        <f t="shared" si="3"/>
        <v>144.08165448000003</v>
      </c>
      <c r="AD41" s="1">
        <f t="shared" si="4"/>
        <v>104.64958872</v>
      </c>
      <c r="AE41" s="28">
        <f>MAX($I$13,$I$41,$I$69,$I$97,$I$125,$I$153,$I$181,$I$209,$I$237,$I$265,$I$293)</f>
        <v>364.78012100000001</v>
      </c>
      <c r="AF41" s="1">
        <v>1</v>
      </c>
    </row>
    <row r="42" spans="2:32" x14ac:dyDescent="0.25">
      <c r="B42" s="24" t="s">
        <v>12</v>
      </c>
      <c r="C42" s="24" t="s">
        <v>32</v>
      </c>
      <c r="D42" s="24" t="s">
        <v>2</v>
      </c>
      <c r="E42" s="24"/>
      <c r="F42" s="24">
        <v>6.4250499999999997</v>
      </c>
      <c r="G42" s="24">
        <v>3.7919500000000004</v>
      </c>
      <c r="H42" s="24">
        <v>2.485722</v>
      </c>
      <c r="I42" s="24">
        <v>2.2550879999999998</v>
      </c>
      <c r="J42" s="1">
        <v>1</v>
      </c>
      <c r="L42" s="1" t="s">
        <v>12</v>
      </c>
      <c r="M42" s="1" t="s">
        <v>32</v>
      </c>
      <c r="N42" s="1" t="s">
        <v>2</v>
      </c>
      <c r="O42" s="1" t="s">
        <v>40</v>
      </c>
      <c r="P42" s="1">
        <f t="shared" ref="P42" si="20">IF(ISBLANK(F42),":",0.98*F42)</f>
        <v>6.2965489999999997</v>
      </c>
      <c r="Q42" s="1">
        <f t="shared" si="15"/>
        <v>3.7161110000000002</v>
      </c>
      <c r="R42" s="1">
        <f t="shared" si="16"/>
        <v>2.4360075599999997</v>
      </c>
      <c r="S42" s="1">
        <f t="shared" si="17"/>
        <v>2.2099862399999997</v>
      </c>
      <c r="T42" s="33">
        <v>0</v>
      </c>
      <c r="U42" s="1">
        <v>1</v>
      </c>
      <c r="W42" s="1" t="s">
        <v>12</v>
      </c>
      <c r="X42" s="1" t="s">
        <v>32</v>
      </c>
      <c r="Y42" s="1" t="s">
        <v>2</v>
      </c>
      <c r="Z42" s="1" t="s">
        <v>39</v>
      </c>
      <c r="AA42" s="1">
        <f t="shared" si="1"/>
        <v>6.5535509999999997</v>
      </c>
      <c r="AB42" s="1">
        <f t="shared" si="2"/>
        <v>3.8677890000000006</v>
      </c>
      <c r="AC42" s="1">
        <f t="shared" si="3"/>
        <v>2.5354364400000002</v>
      </c>
      <c r="AD42" s="1">
        <f t="shared" si="4"/>
        <v>2.3001897599999999</v>
      </c>
      <c r="AE42" s="28">
        <f>MAX($I$14,$I$42,$I$70,$I$98,$I$126,$I$154,$I$182,$I$210,$I$238,$I$266,$I$294)</f>
        <v>40.304569999999998</v>
      </c>
      <c r="AF42" s="1">
        <v>1</v>
      </c>
    </row>
    <row r="43" spans="2:32" x14ac:dyDescent="0.25">
      <c r="B43" s="24" t="s">
        <v>13</v>
      </c>
      <c r="C43" s="24" t="s">
        <v>32</v>
      </c>
      <c r="D43" s="24" t="s">
        <v>2</v>
      </c>
      <c r="E43" s="24"/>
      <c r="F43" s="24">
        <v>81.819399999999987</v>
      </c>
      <c r="G43" s="24">
        <v>53.972000000000001</v>
      </c>
      <c r="H43" s="24">
        <v>32.265273000000001</v>
      </c>
      <c r="I43" s="24">
        <v>22.107409000000008</v>
      </c>
      <c r="J43" s="1">
        <v>1</v>
      </c>
      <c r="L43" s="1" t="s">
        <v>13</v>
      </c>
      <c r="M43" s="1" t="s">
        <v>32</v>
      </c>
      <c r="N43" s="1" t="s">
        <v>2</v>
      </c>
      <c r="O43" s="1" t="s">
        <v>40</v>
      </c>
      <c r="P43" s="1">
        <f t="shared" ref="P43:P48" si="21">IF(ISBLANK(F43),":",0.98*F43)</f>
        <v>80.183011999999991</v>
      </c>
      <c r="Q43" s="1">
        <f t="shared" si="15"/>
        <v>52.892560000000003</v>
      </c>
      <c r="R43" s="1">
        <f t="shared" si="16"/>
        <v>31.619967540000001</v>
      </c>
      <c r="S43" s="1">
        <f t="shared" si="17"/>
        <v>21.665260820000007</v>
      </c>
      <c r="T43" s="33">
        <v>0</v>
      </c>
      <c r="U43" s="1">
        <v>1</v>
      </c>
      <c r="W43" s="1" t="s">
        <v>13</v>
      </c>
      <c r="X43" s="1" t="s">
        <v>32</v>
      </c>
      <c r="Y43" s="1" t="s">
        <v>2</v>
      </c>
      <c r="Z43" s="1" t="s">
        <v>39</v>
      </c>
      <c r="AA43" s="1">
        <f t="shared" si="1"/>
        <v>83.455787999999984</v>
      </c>
      <c r="AB43" s="1">
        <f t="shared" si="2"/>
        <v>55.051439999999999</v>
      </c>
      <c r="AC43" s="1">
        <f t="shared" si="3"/>
        <v>32.910578460000004</v>
      </c>
      <c r="AD43" s="1">
        <f t="shared" si="4"/>
        <v>22.549557180000008</v>
      </c>
      <c r="AE43" s="28">
        <f>MAX($I$15,$I$43,$I$71,$I$99,$I$127,$I$155,$I$183,$I$211,$I$239,$I$267,$I$295)</f>
        <v>539.45073900000011</v>
      </c>
      <c r="AF43" s="1">
        <v>1</v>
      </c>
    </row>
    <row r="44" spans="2:32" x14ac:dyDescent="0.25">
      <c r="B44" s="24" t="s">
        <v>14</v>
      </c>
      <c r="C44" s="24" t="s">
        <v>32</v>
      </c>
      <c r="D44" s="24" t="s">
        <v>2</v>
      </c>
      <c r="E44" s="24"/>
      <c r="F44" s="24">
        <v>3.62208</v>
      </c>
      <c r="G44" s="24">
        <v>3.4044949999999998</v>
      </c>
      <c r="H44" s="24">
        <v>3.1168850000000003</v>
      </c>
      <c r="I44" s="24">
        <v>2.2949880000000005</v>
      </c>
      <c r="J44" s="1">
        <v>1</v>
      </c>
      <c r="L44" s="1" t="s">
        <v>14</v>
      </c>
      <c r="M44" s="1" t="s">
        <v>32</v>
      </c>
      <c r="N44" s="1" t="s">
        <v>2</v>
      </c>
      <c r="O44" s="1" t="s">
        <v>40</v>
      </c>
      <c r="P44" s="1">
        <f t="shared" si="21"/>
        <v>3.5496384000000001</v>
      </c>
      <c r="Q44" s="1">
        <f t="shared" si="15"/>
        <v>3.3364050999999999</v>
      </c>
      <c r="R44" s="1">
        <f t="shared" si="16"/>
        <v>3.0545473000000003</v>
      </c>
      <c r="S44" s="1">
        <f t="shared" si="17"/>
        <v>2.2490882400000003</v>
      </c>
      <c r="T44" s="33">
        <v>0</v>
      </c>
      <c r="U44" s="1">
        <v>1</v>
      </c>
      <c r="W44" s="1" t="s">
        <v>14</v>
      </c>
      <c r="X44" s="1" t="s">
        <v>32</v>
      </c>
      <c r="Y44" s="1" t="s">
        <v>2</v>
      </c>
      <c r="Z44" s="1" t="s">
        <v>39</v>
      </c>
      <c r="AA44" s="1">
        <f t="shared" si="1"/>
        <v>3.6945215999999999</v>
      </c>
      <c r="AB44" s="1">
        <f t="shared" si="2"/>
        <v>3.4725848999999998</v>
      </c>
      <c r="AC44" s="1">
        <f t="shared" si="3"/>
        <v>3.1792227000000004</v>
      </c>
      <c r="AD44" s="1">
        <f t="shared" si="4"/>
        <v>2.3408877600000007</v>
      </c>
      <c r="AE44" s="28">
        <f>MAX($I$16,$I$44,$I$72,$I$100,$I$128,$I$156,$I$184,$I$212,$I$240,$I$268,$I$296)</f>
        <v>3.1702320000000004</v>
      </c>
      <c r="AF44" s="1">
        <v>1</v>
      </c>
    </row>
    <row r="45" spans="2:32" x14ac:dyDescent="0.25">
      <c r="B45" s="24" t="s">
        <v>15</v>
      </c>
      <c r="C45" s="24" t="s">
        <v>32</v>
      </c>
      <c r="D45" s="24" t="s">
        <v>2</v>
      </c>
      <c r="E45" s="24"/>
      <c r="F45" s="24">
        <v>1.3260699999999999</v>
      </c>
      <c r="G45" s="24">
        <v>1.2821000000000005</v>
      </c>
      <c r="H45" s="24">
        <v>1.5795300000000001</v>
      </c>
      <c r="I45" s="24">
        <v>1.5320509999999998</v>
      </c>
      <c r="J45" s="1">
        <v>1</v>
      </c>
      <c r="L45" s="1" t="s">
        <v>15</v>
      </c>
      <c r="M45" s="1" t="s">
        <v>32</v>
      </c>
      <c r="N45" s="1" t="s">
        <v>2</v>
      </c>
      <c r="O45" s="1" t="s">
        <v>40</v>
      </c>
      <c r="P45" s="1">
        <f t="shared" si="21"/>
        <v>1.2995485999999998</v>
      </c>
      <c r="Q45" s="1">
        <f t="shared" si="15"/>
        <v>1.2564580000000005</v>
      </c>
      <c r="R45" s="1">
        <f t="shared" si="16"/>
        <v>1.5479394</v>
      </c>
      <c r="S45" s="1">
        <f t="shared" si="17"/>
        <v>1.5014099799999998</v>
      </c>
      <c r="T45" s="33">
        <v>0</v>
      </c>
      <c r="U45" s="1">
        <v>1</v>
      </c>
      <c r="W45" s="1" t="s">
        <v>15</v>
      </c>
      <c r="X45" s="1" t="s">
        <v>32</v>
      </c>
      <c r="Y45" s="1" t="s">
        <v>2</v>
      </c>
      <c r="Z45" s="1" t="s">
        <v>39</v>
      </c>
      <c r="AA45" s="1">
        <f t="shared" si="1"/>
        <v>1.3525913999999999</v>
      </c>
      <c r="AB45" s="1">
        <f t="shared" si="2"/>
        <v>1.3077420000000004</v>
      </c>
      <c r="AC45" s="1">
        <f t="shared" si="3"/>
        <v>1.6111206000000002</v>
      </c>
      <c r="AD45" s="1">
        <f t="shared" si="4"/>
        <v>1.5626920199999998</v>
      </c>
      <c r="AE45" s="28">
        <f>MAX($I$17,$I$45,$I$73,$I$101,$I$129,$I$157,$I$185,$I$213,$I$241,$I$269,$I$297)</f>
        <v>18.231687999999998</v>
      </c>
      <c r="AF45" s="1">
        <v>1</v>
      </c>
    </row>
    <row r="46" spans="2:32" x14ac:dyDescent="0.25">
      <c r="B46" s="24" t="s">
        <v>16</v>
      </c>
      <c r="C46" s="24" t="s">
        <v>32</v>
      </c>
      <c r="D46" s="24" t="s">
        <v>2</v>
      </c>
      <c r="E46" s="24"/>
      <c r="F46" s="24">
        <v>0.30149000000000004</v>
      </c>
      <c r="G46" s="24">
        <v>0.38574000000000003</v>
      </c>
      <c r="H46" s="24">
        <v>0.92256499999999986</v>
      </c>
      <c r="I46" s="24">
        <v>1.2315170000000002</v>
      </c>
      <c r="J46" s="1">
        <v>1</v>
      </c>
      <c r="L46" s="1" t="s">
        <v>16</v>
      </c>
      <c r="M46" s="1" t="s">
        <v>32</v>
      </c>
      <c r="N46" s="1" t="s">
        <v>2</v>
      </c>
      <c r="O46" s="1" t="s">
        <v>40</v>
      </c>
      <c r="P46" s="1">
        <f t="shared" si="21"/>
        <v>0.29546020000000001</v>
      </c>
      <c r="Q46" s="1">
        <f t="shared" si="15"/>
        <v>0.37802520000000001</v>
      </c>
      <c r="R46" s="1">
        <f t="shared" si="16"/>
        <v>0.9041136999999998</v>
      </c>
      <c r="S46" s="1">
        <f t="shared" si="17"/>
        <v>1.2068866600000001</v>
      </c>
      <c r="T46" s="33">
        <v>0</v>
      </c>
      <c r="U46" s="1">
        <v>1</v>
      </c>
      <c r="W46" s="1" t="s">
        <v>16</v>
      </c>
      <c r="X46" s="1" t="s">
        <v>32</v>
      </c>
      <c r="Y46" s="1" t="s">
        <v>2</v>
      </c>
      <c r="Z46" s="1" t="s">
        <v>39</v>
      </c>
      <c r="AA46" s="1">
        <f t="shared" si="1"/>
        <v>0.30751980000000007</v>
      </c>
      <c r="AB46" s="1">
        <f t="shared" si="2"/>
        <v>0.39345480000000005</v>
      </c>
      <c r="AC46" s="1">
        <f t="shared" si="3"/>
        <v>0.94101629999999992</v>
      </c>
      <c r="AD46" s="1">
        <f t="shared" si="4"/>
        <v>1.2561473400000003</v>
      </c>
      <c r="AE46" s="28">
        <f>MAX($I$18,$I$46,$I$74,$I$102,$I$130,$I$158,$I$186,$I$214,$I$242,$I$270,$I$298)</f>
        <v>18.93</v>
      </c>
      <c r="AF46" s="1">
        <v>1</v>
      </c>
    </row>
    <row r="47" spans="2:32" x14ac:dyDescent="0.25">
      <c r="B47" s="24" t="s">
        <v>17</v>
      </c>
      <c r="C47" s="24" t="s">
        <v>32</v>
      </c>
      <c r="D47" s="24" t="s">
        <v>2</v>
      </c>
      <c r="E47" s="24"/>
      <c r="F47" s="24">
        <v>8.0054429999999996</v>
      </c>
      <c r="G47" s="24">
        <v>7.3531610000000001</v>
      </c>
      <c r="H47" s="24">
        <v>5.656911</v>
      </c>
      <c r="I47" s="24">
        <v>5.6234360000000008</v>
      </c>
      <c r="J47" s="1">
        <v>1</v>
      </c>
      <c r="L47" s="1" t="s">
        <v>17</v>
      </c>
      <c r="M47" s="1" t="s">
        <v>32</v>
      </c>
      <c r="N47" s="1" t="s">
        <v>2</v>
      </c>
      <c r="O47" s="1" t="s">
        <v>40</v>
      </c>
      <c r="P47" s="1">
        <f t="shared" si="21"/>
        <v>7.8453341399999994</v>
      </c>
      <c r="Q47" s="1">
        <f t="shared" si="15"/>
        <v>7.2060977800000003</v>
      </c>
      <c r="R47" s="1">
        <f t="shared" si="16"/>
        <v>5.5437727800000003</v>
      </c>
      <c r="S47" s="1">
        <f t="shared" si="17"/>
        <v>5.5109672800000009</v>
      </c>
      <c r="T47" s="33">
        <v>0</v>
      </c>
      <c r="U47" s="1">
        <v>1</v>
      </c>
      <c r="W47" s="1" t="s">
        <v>17</v>
      </c>
      <c r="X47" s="1" t="s">
        <v>32</v>
      </c>
      <c r="Y47" s="1" t="s">
        <v>2</v>
      </c>
      <c r="Z47" s="1" t="s">
        <v>39</v>
      </c>
      <c r="AA47" s="1">
        <f t="shared" si="1"/>
        <v>8.165551859999999</v>
      </c>
      <c r="AB47" s="1">
        <f t="shared" si="2"/>
        <v>7.5002242199999998</v>
      </c>
      <c r="AC47" s="1">
        <f t="shared" si="3"/>
        <v>5.7700492199999998</v>
      </c>
      <c r="AD47" s="1">
        <f t="shared" si="4"/>
        <v>5.7359047200000006</v>
      </c>
      <c r="AE47" s="28">
        <f>MAX($I$19,$I$47,$I$75,$I$103,$I$131,$I$159,$I$187,$I$215,$I$243,$I$271,$I$299)</f>
        <v>8.6689310000000006</v>
      </c>
      <c r="AF47" s="1">
        <v>1</v>
      </c>
    </row>
    <row r="48" spans="2:32" x14ac:dyDescent="0.25">
      <c r="B48" s="24" t="s">
        <v>18</v>
      </c>
      <c r="C48" s="24" t="s">
        <v>32</v>
      </c>
      <c r="D48" s="24" t="s">
        <v>2</v>
      </c>
      <c r="E48" s="24"/>
      <c r="F48" s="24">
        <f>$G$48</f>
        <v>4.0199999999999819E-2</v>
      </c>
      <c r="G48" s="24">
        <v>4.0199999999999819E-2</v>
      </c>
      <c r="H48" s="24">
        <f>$G$48</f>
        <v>4.0199999999999819E-2</v>
      </c>
      <c r="I48" s="24">
        <f>$G$48</f>
        <v>4.0199999999999819E-2</v>
      </c>
      <c r="J48" s="1">
        <v>1</v>
      </c>
      <c r="L48" s="1" t="s">
        <v>18</v>
      </c>
      <c r="M48" s="1" t="s">
        <v>32</v>
      </c>
      <c r="N48" s="1" t="s">
        <v>2</v>
      </c>
      <c r="O48" s="1" t="s">
        <v>40</v>
      </c>
      <c r="P48" s="1">
        <f t="shared" si="21"/>
        <v>3.939599999999982E-2</v>
      </c>
      <c r="Q48" s="1">
        <f t="shared" si="15"/>
        <v>3.939599999999982E-2</v>
      </c>
      <c r="R48" s="1">
        <f t="shared" si="16"/>
        <v>3.939599999999982E-2</v>
      </c>
      <c r="S48" s="1">
        <f t="shared" si="17"/>
        <v>3.939599999999982E-2</v>
      </c>
      <c r="T48" s="33">
        <v>0</v>
      </c>
      <c r="U48" s="1">
        <v>1</v>
      </c>
      <c r="W48" s="1" t="s">
        <v>18</v>
      </c>
      <c r="X48" s="1" t="s">
        <v>32</v>
      </c>
      <c r="Y48" s="1" t="s">
        <v>2</v>
      </c>
      <c r="Z48" s="1" t="s">
        <v>39</v>
      </c>
      <c r="AA48" s="1">
        <f t="shared" si="1"/>
        <v>4.1003999999999818E-2</v>
      </c>
      <c r="AB48" s="1">
        <f t="shared" si="2"/>
        <v>4.1003999999999818E-2</v>
      </c>
      <c r="AC48" s="1">
        <f t="shared" si="3"/>
        <v>4.1003999999999818E-2</v>
      </c>
      <c r="AD48" s="1">
        <f t="shared" si="4"/>
        <v>4.1003999999999818E-2</v>
      </c>
      <c r="AE48" s="28">
        <f>MAX($I$20,$I$48,$I$76,$I$104,$I$132,$I$160,$I$188,$I$216,$I$244,$I$272,$I$300)</f>
        <v>104.339699</v>
      </c>
      <c r="AF48" s="1">
        <v>1</v>
      </c>
    </row>
    <row r="49" spans="2:32" x14ac:dyDescent="0.25">
      <c r="B49" s="24" t="s">
        <v>20</v>
      </c>
      <c r="C49" s="24" t="s">
        <v>32</v>
      </c>
      <c r="D49" s="24" t="s">
        <v>2</v>
      </c>
      <c r="E49" s="24"/>
      <c r="F49" s="24">
        <v>0.60409999999999986</v>
      </c>
      <c r="G49" s="24">
        <v>1.8353250000000001</v>
      </c>
      <c r="H49" s="24">
        <v>1.6557189999999999</v>
      </c>
      <c r="I49" s="24">
        <v>1.4804459999999999</v>
      </c>
      <c r="J49" s="1">
        <v>1</v>
      </c>
      <c r="L49" s="1" t="s">
        <v>20</v>
      </c>
      <c r="M49" s="1" t="s">
        <v>32</v>
      </c>
      <c r="N49" s="1" t="s">
        <v>2</v>
      </c>
      <c r="O49" s="1" t="s">
        <v>40</v>
      </c>
      <c r="P49" s="1">
        <f t="shared" ref="P49:P52" si="22">IF(ISBLANK(F49),":",0.98*F49)</f>
        <v>0.59201799999999982</v>
      </c>
      <c r="Q49" s="1">
        <f t="shared" si="15"/>
        <v>1.7986185000000001</v>
      </c>
      <c r="R49" s="1">
        <f t="shared" si="16"/>
        <v>1.6226046199999999</v>
      </c>
      <c r="S49" s="1">
        <f t="shared" si="17"/>
        <v>1.4508370799999999</v>
      </c>
      <c r="T49" s="33">
        <v>0</v>
      </c>
      <c r="U49" s="1">
        <v>1</v>
      </c>
      <c r="W49" s="1" t="s">
        <v>20</v>
      </c>
      <c r="X49" s="1" t="s">
        <v>32</v>
      </c>
      <c r="Y49" s="1" t="s">
        <v>2</v>
      </c>
      <c r="Z49" s="1" t="s">
        <v>39</v>
      </c>
      <c r="AA49" s="1">
        <f t="shared" si="1"/>
        <v>0.6161819999999999</v>
      </c>
      <c r="AB49" s="1">
        <f t="shared" si="2"/>
        <v>1.8720315000000001</v>
      </c>
      <c r="AC49" s="1">
        <f t="shared" si="3"/>
        <v>1.6888333799999999</v>
      </c>
      <c r="AD49" s="1">
        <f t="shared" si="4"/>
        <v>1.51005492</v>
      </c>
      <c r="AE49" s="28">
        <f>MAX($I$21,$I$49,$I$77,$I$105,$I$133,$I$161,$I$189,$I$217,$I$245,$I$273,$I$301)</f>
        <v>201.18298499999997</v>
      </c>
      <c r="AF49" s="1">
        <v>1</v>
      </c>
    </row>
    <row r="50" spans="2:32" x14ac:dyDescent="0.25">
      <c r="B50" s="24" t="s">
        <v>21</v>
      </c>
      <c r="C50" s="24" t="s">
        <v>32</v>
      </c>
      <c r="D50" s="24" t="s">
        <v>2</v>
      </c>
      <c r="E50" s="24"/>
      <c r="F50" s="24">
        <v>54.347674999999995</v>
      </c>
      <c r="G50" s="24">
        <v>41.637572999999996</v>
      </c>
      <c r="H50" s="24">
        <v>38.174498999999997</v>
      </c>
      <c r="I50" s="24">
        <v>27.335027</v>
      </c>
      <c r="J50" s="1">
        <v>1</v>
      </c>
      <c r="L50" s="1" t="s">
        <v>21</v>
      </c>
      <c r="M50" s="1" t="s">
        <v>32</v>
      </c>
      <c r="N50" s="1" t="s">
        <v>2</v>
      </c>
      <c r="O50" s="1" t="s">
        <v>40</v>
      </c>
      <c r="P50" s="1">
        <f t="shared" si="22"/>
        <v>53.260721499999995</v>
      </c>
      <c r="Q50" s="1">
        <f t="shared" ref="Q50:Q113" si="23">IF(ISBLANK(G50),":",0.98*G50)</f>
        <v>40.804821539999999</v>
      </c>
      <c r="R50" s="1">
        <f t="shared" ref="R50:R113" si="24">IF(ISBLANK(H50),":",0.98*H50)</f>
        <v>37.411009019999995</v>
      </c>
      <c r="S50" s="1">
        <f t="shared" ref="S50:S113" si="25">IF(ISBLANK(I50),":",0.98*I50)</f>
        <v>26.78832646</v>
      </c>
      <c r="T50" s="33">
        <v>0</v>
      </c>
      <c r="U50" s="1">
        <v>1</v>
      </c>
      <c r="W50" s="1" t="s">
        <v>21</v>
      </c>
      <c r="X50" s="1" t="s">
        <v>32</v>
      </c>
      <c r="Y50" s="1" t="s">
        <v>2</v>
      </c>
      <c r="Z50" s="1" t="s">
        <v>39</v>
      </c>
      <c r="AA50" s="1">
        <f t="shared" si="1"/>
        <v>55.434628499999995</v>
      </c>
      <c r="AB50" s="1">
        <f t="shared" si="2"/>
        <v>42.470324459999993</v>
      </c>
      <c r="AC50" s="1">
        <f t="shared" si="3"/>
        <v>38.93798898</v>
      </c>
      <c r="AD50" s="1">
        <f t="shared" si="4"/>
        <v>27.88172754</v>
      </c>
      <c r="AE50" s="28">
        <f>MAX($I$22,$I$50,$I$78,$I$106,$I$134,$I$162,$I$190,$I$218,$I$246,$I$274,$I$302)</f>
        <v>69.769181000000003</v>
      </c>
      <c r="AF50" s="1">
        <v>1</v>
      </c>
    </row>
    <row r="51" spans="2:32" x14ac:dyDescent="0.25">
      <c r="B51" s="24" t="s">
        <v>22</v>
      </c>
      <c r="C51" s="24" t="s">
        <v>32</v>
      </c>
      <c r="D51" s="24" t="s">
        <v>2</v>
      </c>
      <c r="E51" s="24"/>
      <c r="F51" s="24">
        <v>4.5465</v>
      </c>
      <c r="G51" s="24">
        <v>3.1819999999999999</v>
      </c>
      <c r="H51" s="24">
        <v>2.8380000000000001</v>
      </c>
      <c r="I51" s="24">
        <v>3.44</v>
      </c>
      <c r="J51" s="1">
        <v>1</v>
      </c>
      <c r="L51" s="1" t="s">
        <v>22</v>
      </c>
      <c r="M51" s="1" t="s">
        <v>32</v>
      </c>
      <c r="N51" s="1" t="s">
        <v>2</v>
      </c>
      <c r="O51" s="1" t="s">
        <v>40</v>
      </c>
      <c r="P51" s="1">
        <f t="shared" si="22"/>
        <v>4.4555699999999998</v>
      </c>
      <c r="Q51" s="1">
        <f t="shared" si="23"/>
        <v>3.11836</v>
      </c>
      <c r="R51" s="1">
        <f t="shared" si="24"/>
        <v>2.7812399999999999</v>
      </c>
      <c r="S51" s="1">
        <f t="shared" si="25"/>
        <v>3.3712</v>
      </c>
      <c r="T51" s="33">
        <v>0</v>
      </c>
      <c r="U51" s="1">
        <v>1</v>
      </c>
      <c r="W51" s="1" t="s">
        <v>22</v>
      </c>
      <c r="X51" s="1" t="s">
        <v>32</v>
      </c>
      <c r="Y51" s="1" t="s">
        <v>2</v>
      </c>
      <c r="Z51" s="1" t="s">
        <v>39</v>
      </c>
      <c r="AA51" s="1">
        <f t="shared" si="1"/>
        <v>4.6374300000000002</v>
      </c>
      <c r="AB51" s="1">
        <f t="shared" si="2"/>
        <v>3.2456399999999999</v>
      </c>
      <c r="AC51" s="1">
        <f t="shared" si="3"/>
        <v>2.8947600000000002</v>
      </c>
      <c r="AD51" s="1">
        <f t="shared" si="4"/>
        <v>3.5087999999999999</v>
      </c>
      <c r="AE51" s="28">
        <f>MAX($I$23,$I$51,$I$79,$I$107,$I$135,$I$163,$I$191,$I$219,$I$247,$I$275,$I$303)</f>
        <v>183.24970000000002</v>
      </c>
      <c r="AF51" s="1">
        <v>1</v>
      </c>
    </row>
    <row r="52" spans="2:32" x14ac:dyDescent="0.25">
      <c r="B52" s="24" t="s">
        <v>23</v>
      </c>
      <c r="C52" s="24" t="s">
        <v>32</v>
      </c>
      <c r="D52" s="24" t="s">
        <v>2</v>
      </c>
      <c r="E52" s="24"/>
      <c r="F52" s="24">
        <v>5.2897499999999997</v>
      </c>
      <c r="G52" s="24">
        <v>2.2789999999999999</v>
      </c>
      <c r="H52" s="24">
        <v>2.2294110000000003</v>
      </c>
      <c r="I52" s="24">
        <v>1.5116759999999996</v>
      </c>
      <c r="J52" s="1">
        <v>1</v>
      </c>
      <c r="L52" s="1" t="s">
        <v>23</v>
      </c>
      <c r="M52" s="1" t="s">
        <v>32</v>
      </c>
      <c r="N52" s="1" t="s">
        <v>2</v>
      </c>
      <c r="O52" s="1" t="s">
        <v>40</v>
      </c>
      <c r="P52" s="1">
        <f t="shared" si="22"/>
        <v>5.1839549999999992</v>
      </c>
      <c r="Q52" s="1">
        <f t="shared" si="23"/>
        <v>2.2334199999999997</v>
      </c>
      <c r="R52" s="1">
        <f t="shared" si="24"/>
        <v>2.1848227800000002</v>
      </c>
      <c r="S52" s="1">
        <f t="shared" si="25"/>
        <v>1.4814424799999995</v>
      </c>
      <c r="T52" s="33">
        <v>0</v>
      </c>
      <c r="U52" s="1">
        <v>1</v>
      </c>
      <c r="W52" s="1" t="s">
        <v>23</v>
      </c>
      <c r="X52" s="1" t="s">
        <v>32</v>
      </c>
      <c r="Y52" s="1" t="s">
        <v>2</v>
      </c>
      <c r="Z52" s="1" t="s">
        <v>39</v>
      </c>
      <c r="AA52" s="1">
        <f t="shared" si="1"/>
        <v>5.3955450000000003</v>
      </c>
      <c r="AB52" s="1">
        <f t="shared" si="2"/>
        <v>2.3245800000000001</v>
      </c>
      <c r="AC52" s="1">
        <f t="shared" si="3"/>
        <v>2.2739992200000003</v>
      </c>
      <c r="AD52" s="1">
        <f t="shared" si="4"/>
        <v>1.5419095199999997</v>
      </c>
      <c r="AE52" s="28">
        <f>MAX($I$24,$I$52,$I$80,$I$108,$I$136,$I$164,$I$192,$I$220,$I$248,$I$276,$I$304)</f>
        <v>47.327892999999996</v>
      </c>
      <c r="AF52" s="1">
        <v>1</v>
      </c>
    </row>
    <row r="53" spans="2:32" x14ac:dyDescent="0.25">
      <c r="B53" s="24" t="s">
        <v>24</v>
      </c>
      <c r="C53" s="24" t="s">
        <v>32</v>
      </c>
      <c r="D53" s="24" t="s">
        <v>2</v>
      </c>
      <c r="E53" s="24"/>
      <c r="F53" s="24">
        <v>0.11804999999999927</v>
      </c>
      <c r="G53" s="24">
        <v>0.69491899999999984</v>
      </c>
      <c r="H53" s="24">
        <v>0.95731899999999948</v>
      </c>
      <c r="I53" s="24">
        <v>0.77332799999999957</v>
      </c>
      <c r="J53" s="1">
        <v>1</v>
      </c>
      <c r="L53" s="1" t="s">
        <v>24</v>
      </c>
      <c r="M53" s="1" t="s">
        <v>32</v>
      </c>
      <c r="N53" s="1" t="s">
        <v>2</v>
      </c>
      <c r="O53" s="1" t="s">
        <v>40</v>
      </c>
      <c r="P53" s="1">
        <f>IF(ISBLANK(F53),":",0.98*F53)</f>
        <v>0.11568899999999928</v>
      </c>
      <c r="Q53" s="1">
        <f t="shared" si="23"/>
        <v>0.68102061999999985</v>
      </c>
      <c r="R53" s="1">
        <f t="shared" si="24"/>
        <v>0.93817261999999946</v>
      </c>
      <c r="S53" s="1">
        <f t="shared" si="25"/>
        <v>0.75786143999999955</v>
      </c>
      <c r="T53" s="33">
        <v>0</v>
      </c>
      <c r="U53" s="1">
        <v>1</v>
      </c>
      <c r="W53" s="1" t="s">
        <v>24</v>
      </c>
      <c r="X53" s="1" t="s">
        <v>32</v>
      </c>
      <c r="Y53" s="1" t="s">
        <v>2</v>
      </c>
      <c r="Z53" s="1" t="s">
        <v>39</v>
      </c>
      <c r="AA53" s="1">
        <f t="shared" si="1"/>
        <v>0.12041099999999925</v>
      </c>
      <c r="AB53" s="1">
        <f t="shared" si="2"/>
        <v>0.70881737999999983</v>
      </c>
      <c r="AC53" s="1">
        <f t="shared" si="3"/>
        <v>0.97646537999999949</v>
      </c>
      <c r="AD53" s="1">
        <f t="shared" si="4"/>
        <v>0.78879455999999959</v>
      </c>
      <c r="AE53" s="28">
        <f>MAX($I$25,$I$53,$I$81,$I$109,$I$137,$I$165,$I$193,$I$221,$I$249,$I$277,$I$305)</f>
        <v>123.01356</v>
      </c>
      <c r="AF53" s="1">
        <v>1</v>
      </c>
    </row>
    <row r="54" spans="2:32" x14ac:dyDescent="0.25">
      <c r="B54" s="24" t="s">
        <v>25</v>
      </c>
      <c r="C54" s="24" t="s">
        <v>32</v>
      </c>
      <c r="D54" s="24" t="s">
        <v>2</v>
      </c>
      <c r="E54" s="24"/>
      <c r="F54" s="24">
        <v>11.3742</v>
      </c>
      <c r="G54" s="24">
        <v>5.0692810000000001</v>
      </c>
      <c r="H54" s="24">
        <v>4.4672919999999996</v>
      </c>
      <c r="I54" s="24">
        <v>4.0520269999999998</v>
      </c>
      <c r="J54" s="1">
        <v>1</v>
      </c>
      <c r="L54" s="1" t="s">
        <v>25</v>
      </c>
      <c r="M54" s="1" t="s">
        <v>32</v>
      </c>
      <c r="N54" s="1" t="s">
        <v>2</v>
      </c>
      <c r="O54" s="1" t="s">
        <v>40</v>
      </c>
      <c r="P54" s="1">
        <f>IF(ISBLANK(F54),":",0.98*F54)</f>
        <v>11.146716</v>
      </c>
      <c r="Q54" s="1">
        <f t="shared" si="23"/>
        <v>4.9678953799999999</v>
      </c>
      <c r="R54" s="1">
        <f t="shared" si="24"/>
        <v>4.3779461599999996</v>
      </c>
      <c r="S54" s="1">
        <f t="shared" si="25"/>
        <v>3.9709864599999998</v>
      </c>
      <c r="T54" s="33">
        <v>0</v>
      </c>
      <c r="U54" s="1">
        <v>1</v>
      </c>
      <c r="W54" s="1" t="s">
        <v>25</v>
      </c>
      <c r="X54" s="1" t="s">
        <v>32</v>
      </c>
      <c r="Y54" s="1" t="s">
        <v>2</v>
      </c>
      <c r="Z54" s="1" t="s">
        <v>39</v>
      </c>
      <c r="AA54" s="1">
        <f t="shared" si="1"/>
        <v>11.601684000000001</v>
      </c>
      <c r="AB54" s="1">
        <f t="shared" si="2"/>
        <v>5.1706666200000004</v>
      </c>
      <c r="AC54" s="1">
        <f t="shared" si="3"/>
        <v>4.5566378399999996</v>
      </c>
      <c r="AD54" s="1">
        <f t="shared" si="4"/>
        <v>4.1330675399999999</v>
      </c>
      <c r="AE54" s="28">
        <f>MAX($I$26,$I$54,$I$82,$I$110,$I$138,$I$166,$I$194,$I$222,$I$250,$I$278,$I$306)</f>
        <v>14.768578</v>
      </c>
      <c r="AF54" s="1">
        <v>1</v>
      </c>
    </row>
    <row r="55" spans="2:32" x14ac:dyDescent="0.25">
      <c r="B55" s="24" t="s">
        <v>26</v>
      </c>
      <c r="C55" s="24" t="s">
        <v>32</v>
      </c>
      <c r="D55" s="24" t="s">
        <v>2</v>
      </c>
      <c r="E55" s="24"/>
      <c r="F55" s="24"/>
      <c r="G55" s="24"/>
      <c r="H55" s="24"/>
      <c r="I55" s="24"/>
      <c r="J55" s="1">
        <v>1</v>
      </c>
      <c r="L55" s="1" t="s">
        <v>26</v>
      </c>
      <c r="M55" s="1" t="s">
        <v>32</v>
      </c>
      <c r="N55" s="1" t="s">
        <v>2</v>
      </c>
      <c r="O55" s="1" t="s">
        <v>40</v>
      </c>
      <c r="P55" s="1" t="str">
        <f t="shared" ref="P55:P57" si="26">IF(ISBLANK(F55),":",0.98*F55)</f>
        <v>:</v>
      </c>
      <c r="Q55" s="1" t="str">
        <f t="shared" si="23"/>
        <v>:</v>
      </c>
      <c r="R55" s="1" t="str">
        <f t="shared" si="24"/>
        <v>:</v>
      </c>
      <c r="S55" s="1" t="str">
        <f t="shared" si="25"/>
        <v>:</v>
      </c>
      <c r="T55" s="33">
        <v>0</v>
      </c>
      <c r="U55" s="1">
        <v>1</v>
      </c>
      <c r="W55" s="1" t="s">
        <v>26</v>
      </c>
      <c r="X55" s="1" t="s">
        <v>32</v>
      </c>
      <c r="Y55" s="1" t="s">
        <v>2</v>
      </c>
      <c r="Z55" s="1" t="s">
        <v>39</v>
      </c>
      <c r="AA55" s="1" t="str">
        <f t="shared" si="1"/>
        <v>:</v>
      </c>
      <c r="AB55" s="1" t="str">
        <f t="shared" si="2"/>
        <v>:</v>
      </c>
      <c r="AC55" s="1" t="str">
        <f t="shared" si="3"/>
        <v>:</v>
      </c>
      <c r="AD55" s="1" t="str">
        <f t="shared" si="4"/>
        <v>:</v>
      </c>
      <c r="AE55" s="28">
        <f>MAX($I$27,$I$55,$I$83,$I$111,$I$139,$I$167,$I$195,$I$223,$I$251,$I$279,$I$307)</f>
        <v>43.948800000000006</v>
      </c>
      <c r="AF55" s="1">
        <v>1</v>
      </c>
    </row>
    <row r="56" spans="2:32" x14ac:dyDescent="0.25">
      <c r="B56" s="24" t="s">
        <v>27</v>
      </c>
      <c r="C56" s="24" t="s">
        <v>32</v>
      </c>
      <c r="D56" s="24" t="s">
        <v>2</v>
      </c>
      <c r="E56" s="24"/>
      <c r="F56" s="24">
        <v>25.904983000000001</v>
      </c>
      <c r="G56" s="24">
        <v>15.724387</v>
      </c>
      <c r="H56" s="24">
        <v>11.031628</v>
      </c>
      <c r="I56" s="24">
        <v>4.5851229999999994</v>
      </c>
      <c r="J56" s="1">
        <v>1</v>
      </c>
      <c r="L56" s="1" t="s">
        <v>27</v>
      </c>
      <c r="M56" s="1" t="s">
        <v>32</v>
      </c>
      <c r="N56" s="1" t="s">
        <v>2</v>
      </c>
      <c r="O56" s="1" t="s">
        <v>40</v>
      </c>
      <c r="P56" s="1">
        <f t="shared" si="26"/>
        <v>25.386883340000001</v>
      </c>
      <c r="Q56" s="1">
        <f t="shared" si="23"/>
        <v>15.40989926</v>
      </c>
      <c r="R56" s="1">
        <f t="shared" si="24"/>
        <v>10.810995439999999</v>
      </c>
      <c r="S56" s="1">
        <f t="shared" si="25"/>
        <v>4.4934205399999989</v>
      </c>
      <c r="T56" s="33">
        <v>0</v>
      </c>
      <c r="U56" s="1">
        <v>1</v>
      </c>
      <c r="W56" s="1" t="s">
        <v>27</v>
      </c>
      <c r="X56" s="1" t="s">
        <v>32</v>
      </c>
      <c r="Y56" s="1" t="s">
        <v>2</v>
      </c>
      <c r="Z56" s="1" t="s">
        <v>39</v>
      </c>
      <c r="AA56" s="1">
        <f t="shared" si="1"/>
        <v>26.423082660000002</v>
      </c>
      <c r="AB56" s="1">
        <f t="shared" si="2"/>
        <v>16.038874740000001</v>
      </c>
      <c r="AC56" s="1">
        <f t="shared" si="3"/>
        <v>11.25226056</v>
      </c>
      <c r="AD56" s="1">
        <f t="shared" si="4"/>
        <v>4.6768254599999999</v>
      </c>
      <c r="AE56" s="28">
        <v>0</v>
      </c>
      <c r="AF56" s="1">
        <v>5</v>
      </c>
    </row>
    <row r="57" spans="2:32" x14ac:dyDescent="0.25">
      <c r="B57" s="24" t="s">
        <v>28</v>
      </c>
      <c r="C57" s="24" t="s">
        <v>32</v>
      </c>
      <c r="D57" s="24" t="s">
        <v>2</v>
      </c>
      <c r="E57" s="24"/>
      <c r="F57" s="24">
        <v>13.118988</v>
      </c>
      <c r="G57" s="24">
        <v>10.137526000000001</v>
      </c>
      <c r="H57" s="24">
        <v>9.3251009999999983</v>
      </c>
      <c r="I57" s="24">
        <v>6.2030259999999995</v>
      </c>
      <c r="J57" s="1">
        <v>1</v>
      </c>
      <c r="L57" s="1" t="s">
        <v>28</v>
      </c>
      <c r="M57" s="1" t="s">
        <v>32</v>
      </c>
      <c r="N57" s="1" t="s">
        <v>2</v>
      </c>
      <c r="O57" s="1" t="s">
        <v>40</v>
      </c>
      <c r="P57" s="1">
        <f t="shared" si="26"/>
        <v>12.85660824</v>
      </c>
      <c r="Q57" s="1">
        <f t="shared" si="23"/>
        <v>9.9347754800000008</v>
      </c>
      <c r="R57" s="1">
        <f t="shared" si="24"/>
        <v>9.1385989799999976</v>
      </c>
      <c r="S57" s="1">
        <f t="shared" si="25"/>
        <v>6.078965479999999</v>
      </c>
      <c r="T57" s="33">
        <v>0</v>
      </c>
      <c r="U57" s="1">
        <v>1</v>
      </c>
      <c r="W57" s="1" t="s">
        <v>28</v>
      </c>
      <c r="X57" s="1" t="s">
        <v>32</v>
      </c>
      <c r="Y57" s="1" t="s">
        <v>2</v>
      </c>
      <c r="Z57" s="1" t="s">
        <v>39</v>
      </c>
      <c r="AA57" s="1">
        <f t="shared" si="1"/>
        <v>13.38136776</v>
      </c>
      <c r="AB57" s="1">
        <f t="shared" si="2"/>
        <v>10.340276520000002</v>
      </c>
      <c r="AC57" s="1">
        <f t="shared" si="3"/>
        <v>9.511603019999999</v>
      </c>
      <c r="AD57" s="1">
        <f t="shared" si="4"/>
        <v>6.3270865199999999</v>
      </c>
      <c r="AE57" s="28">
        <f>MAX($I$29,$I$57,$I$85,$I$113,$I$141,$I$169,$I$197,$I$225,$I$253,$I$281,$I$309)</f>
        <v>112.108</v>
      </c>
      <c r="AF57" s="1">
        <v>1</v>
      </c>
    </row>
    <row r="58" spans="2:32" x14ac:dyDescent="0.25">
      <c r="B58" s="24" t="s">
        <v>29</v>
      </c>
      <c r="C58" s="24" t="s">
        <v>32</v>
      </c>
      <c r="D58" s="24" t="s">
        <v>2</v>
      </c>
      <c r="E58" s="24"/>
      <c r="F58" s="24">
        <v>8.9502749999999995</v>
      </c>
      <c r="G58" s="24">
        <v>3.6864720000000002</v>
      </c>
      <c r="H58" s="24">
        <v>7.3700000000000042E-3</v>
      </c>
      <c r="I58" s="24"/>
      <c r="J58" s="1">
        <v>1</v>
      </c>
      <c r="L58" s="1" t="s">
        <v>29</v>
      </c>
      <c r="M58" s="1" t="s">
        <v>32</v>
      </c>
      <c r="N58" s="1" t="s">
        <v>2</v>
      </c>
      <c r="O58" s="1" t="s">
        <v>40</v>
      </c>
      <c r="P58" s="1">
        <f>IF(ISBLANK(F58),":",0.98*F58)</f>
        <v>8.7712694999999989</v>
      </c>
      <c r="Q58" s="1">
        <f t="shared" si="23"/>
        <v>3.61274256</v>
      </c>
      <c r="R58" s="1">
        <f t="shared" si="24"/>
        <v>7.2226000000000044E-3</v>
      </c>
      <c r="S58" s="1" t="str">
        <f t="shared" si="25"/>
        <v>:</v>
      </c>
      <c r="T58" s="33">
        <v>0</v>
      </c>
      <c r="U58" s="1">
        <v>1</v>
      </c>
      <c r="W58" s="1" t="s">
        <v>29</v>
      </c>
      <c r="X58" s="1" t="s">
        <v>32</v>
      </c>
      <c r="Y58" s="1" t="s">
        <v>2</v>
      </c>
      <c r="Z58" s="1" t="s">
        <v>39</v>
      </c>
      <c r="AA58" s="1">
        <f t="shared" si="1"/>
        <v>9.1292805000000001</v>
      </c>
      <c r="AB58" s="1">
        <f t="shared" si="2"/>
        <v>3.7602014400000003</v>
      </c>
      <c r="AC58" s="1">
        <f t="shared" si="3"/>
        <v>7.5174000000000039E-3</v>
      </c>
      <c r="AD58" s="1" t="str">
        <f t="shared" si="4"/>
        <v>:</v>
      </c>
      <c r="AE58" s="28">
        <f>MAX($I$30,$I$58,$I$86,$I$114,$I$142,$I$170,$I$198,$I$226,$I$254,$I$282,$I$310)</f>
        <v>101.44997000000001</v>
      </c>
      <c r="AF58" s="1">
        <v>1</v>
      </c>
    </row>
    <row r="59" spans="2:32" x14ac:dyDescent="0.25">
      <c r="B59" s="24" t="s">
        <v>30</v>
      </c>
      <c r="C59" s="24" t="s">
        <v>32</v>
      </c>
      <c r="D59" s="24" t="s">
        <v>2</v>
      </c>
      <c r="E59" s="24"/>
      <c r="F59" s="24">
        <v>117.67146599999998</v>
      </c>
      <c r="G59" s="24">
        <v>90.524686999999986</v>
      </c>
      <c r="H59" s="24">
        <v>99.605499619389093</v>
      </c>
      <c r="I59" s="24">
        <v>79.963418844820424</v>
      </c>
      <c r="J59" s="1">
        <v>1</v>
      </c>
      <c r="L59" s="1" t="s">
        <v>30</v>
      </c>
      <c r="M59" s="1" t="s">
        <v>32</v>
      </c>
      <c r="N59" s="1" t="s">
        <v>2</v>
      </c>
      <c r="O59" s="1" t="s">
        <v>40</v>
      </c>
      <c r="P59" s="1">
        <f>IF(ISBLANK(F59),":",0.98*F59)</f>
        <v>115.31803667999998</v>
      </c>
      <c r="Q59" s="1">
        <f t="shared" si="23"/>
        <v>88.714193259999988</v>
      </c>
      <c r="R59" s="1">
        <f t="shared" si="24"/>
        <v>97.613389627001311</v>
      </c>
      <c r="S59" s="1">
        <f t="shared" si="25"/>
        <v>78.36415046792402</v>
      </c>
      <c r="T59" s="33">
        <v>0</v>
      </c>
      <c r="U59" s="1">
        <v>1</v>
      </c>
      <c r="W59" s="1" t="s">
        <v>30</v>
      </c>
      <c r="X59" s="1" t="s">
        <v>32</v>
      </c>
      <c r="Y59" s="1" t="s">
        <v>2</v>
      </c>
      <c r="Z59" s="1" t="s">
        <v>39</v>
      </c>
      <c r="AA59" s="1">
        <f t="shared" si="1"/>
        <v>120.02489531999998</v>
      </c>
      <c r="AB59" s="1">
        <f t="shared" si="2"/>
        <v>92.335180739999984</v>
      </c>
      <c r="AC59" s="1">
        <f t="shared" si="3"/>
        <v>101.59760961177687</v>
      </c>
      <c r="AD59" s="1">
        <f t="shared" si="4"/>
        <v>81.562687221716828</v>
      </c>
      <c r="AE59" s="28">
        <f>MAX($I$31,$I$59,$I$87,$I$115,$I$143,$I$171,$I$199,$I$227,$I$255,$I$283,$I$311)</f>
        <v>814.1906987082092</v>
      </c>
      <c r="AF59" s="1">
        <v>1</v>
      </c>
    </row>
    <row r="60" spans="2:32" x14ac:dyDescent="0.25">
      <c r="B60" s="1" t="s">
        <v>0</v>
      </c>
      <c r="C60" s="1" t="s">
        <v>33</v>
      </c>
      <c r="D60" s="1" t="s">
        <v>2</v>
      </c>
      <c r="E60" s="1"/>
      <c r="F60" s="1">
        <v>5.9340000000000002</v>
      </c>
      <c r="G60" s="1">
        <v>4.968</v>
      </c>
      <c r="H60" s="1">
        <v>6.0354799999999997</v>
      </c>
      <c r="I60" s="1">
        <v>5.5388299999999999</v>
      </c>
      <c r="J60" s="1">
        <v>1</v>
      </c>
      <c r="L60" s="1" t="s">
        <v>0</v>
      </c>
      <c r="M60" s="1" t="s">
        <v>33</v>
      </c>
      <c r="N60" s="1" t="s">
        <v>2</v>
      </c>
      <c r="O60" s="1" t="s">
        <v>40</v>
      </c>
      <c r="P60" s="1">
        <f t="shared" ref="P60:P65" si="27">IF(ISBLANK(F60),":",0.98*F60)</f>
        <v>5.8153199999999998</v>
      </c>
      <c r="Q60" s="1">
        <f t="shared" si="23"/>
        <v>4.8686400000000001</v>
      </c>
      <c r="R60" s="1">
        <f t="shared" si="24"/>
        <v>5.9147703999999992</v>
      </c>
      <c r="S60" s="1">
        <f t="shared" si="25"/>
        <v>5.4280533999999996</v>
      </c>
      <c r="T60" s="33">
        <v>0</v>
      </c>
      <c r="U60" s="1">
        <v>1</v>
      </c>
      <c r="W60" s="1" t="s">
        <v>0</v>
      </c>
      <c r="X60" s="1" t="s">
        <v>33</v>
      </c>
      <c r="Y60" s="1" t="s">
        <v>2</v>
      </c>
      <c r="Z60" s="1" t="s">
        <v>39</v>
      </c>
      <c r="AA60" s="1">
        <f t="shared" si="1"/>
        <v>6.0526800000000005</v>
      </c>
      <c r="AB60" s="1">
        <f t="shared" si="2"/>
        <v>5.0673599999999999</v>
      </c>
      <c r="AC60" s="1">
        <f t="shared" si="3"/>
        <v>6.1561896000000003</v>
      </c>
      <c r="AD60" s="1">
        <f t="shared" si="4"/>
        <v>5.6496066000000003</v>
      </c>
      <c r="AE60" s="28">
        <f>MAX($I$4,$I$32,$I$60,$I$88,$I$116,$I$144,$I$172,$I$200,$I$228,$I$256,$I$284)</f>
        <v>119.69903699999999</v>
      </c>
      <c r="AF60" s="1">
        <v>1</v>
      </c>
    </row>
    <row r="61" spans="2:32" x14ac:dyDescent="0.25">
      <c r="B61" s="1" t="s">
        <v>3</v>
      </c>
      <c r="C61" s="1" t="s">
        <v>33</v>
      </c>
      <c r="D61" s="1" t="s">
        <v>2</v>
      </c>
      <c r="E61" s="1"/>
      <c r="F61" s="1">
        <v>0.874</v>
      </c>
      <c r="G61" s="1">
        <v>1.4259999999999999</v>
      </c>
      <c r="H61" s="1">
        <v>0.83678599999999992</v>
      </c>
      <c r="I61" s="1">
        <v>0.53498000000000001</v>
      </c>
      <c r="J61" s="1">
        <v>1</v>
      </c>
      <c r="L61" s="1" t="s">
        <v>3</v>
      </c>
      <c r="M61" s="1" t="s">
        <v>33</v>
      </c>
      <c r="N61" s="1" t="s">
        <v>2</v>
      </c>
      <c r="O61" s="1" t="s">
        <v>40</v>
      </c>
      <c r="P61" s="1">
        <f t="shared" si="27"/>
        <v>0.85651999999999995</v>
      </c>
      <c r="Q61" s="1">
        <f t="shared" si="23"/>
        <v>1.3974799999999998</v>
      </c>
      <c r="R61" s="1">
        <f t="shared" si="24"/>
        <v>0.82005027999999991</v>
      </c>
      <c r="S61" s="1">
        <f t="shared" si="25"/>
        <v>0.52428039999999998</v>
      </c>
      <c r="T61" s="33">
        <v>0</v>
      </c>
      <c r="U61" s="1">
        <v>1</v>
      </c>
      <c r="W61" s="1" t="s">
        <v>3</v>
      </c>
      <c r="X61" s="1" t="s">
        <v>33</v>
      </c>
      <c r="Y61" s="1" t="s">
        <v>2</v>
      </c>
      <c r="Z61" s="1" t="s">
        <v>39</v>
      </c>
      <c r="AA61" s="1">
        <f t="shared" si="1"/>
        <v>0.89148000000000005</v>
      </c>
      <c r="AB61" s="1">
        <f t="shared" si="2"/>
        <v>1.45452</v>
      </c>
      <c r="AC61" s="1">
        <f t="shared" si="3"/>
        <v>0.85352171999999993</v>
      </c>
      <c r="AD61" s="1">
        <f t="shared" si="4"/>
        <v>0.54567960000000004</v>
      </c>
      <c r="AE61" s="28">
        <f>MAX($I$5,$I$33,$I$61,$I$89,$I$117,$I$145,$I$173,$I$201,$I$229,$I$257,$I$285)</f>
        <v>27.890193999999994</v>
      </c>
      <c r="AF61" s="1">
        <v>1</v>
      </c>
    </row>
    <row r="62" spans="2:32" x14ac:dyDescent="0.25">
      <c r="B62" s="1" t="s">
        <v>4</v>
      </c>
      <c r="C62" s="1" t="s">
        <v>33</v>
      </c>
      <c r="D62" s="1" t="s">
        <v>2</v>
      </c>
      <c r="E62" s="1"/>
      <c r="F62" s="1">
        <v>1.007906</v>
      </c>
      <c r="G62" s="1">
        <v>1.8834000000000002</v>
      </c>
      <c r="H62" s="1">
        <v>2.0148000000000001</v>
      </c>
      <c r="I62" s="1">
        <v>2.2338</v>
      </c>
      <c r="J62" s="1">
        <v>1</v>
      </c>
      <c r="L62" s="1" t="s">
        <v>4</v>
      </c>
      <c r="M62" s="1" t="s">
        <v>33</v>
      </c>
      <c r="N62" s="1" t="s">
        <v>2</v>
      </c>
      <c r="O62" s="1" t="s">
        <v>40</v>
      </c>
      <c r="P62" s="1">
        <f t="shared" si="27"/>
        <v>0.98774787999999991</v>
      </c>
      <c r="Q62" s="1">
        <f t="shared" si="23"/>
        <v>1.8457320000000002</v>
      </c>
      <c r="R62" s="1">
        <f t="shared" si="24"/>
        <v>1.974504</v>
      </c>
      <c r="S62" s="1">
        <f t="shared" si="25"/>
        <v>2.1891240000000001</v>
      </c>
      <c r="T62" s="33">
        <v>0</v>
      </c>
      <c r="U62" s="1">
        <v>1</v>
      </c>
      <c r="W62" s="1" t="s">
        <v>4</v>
      </c>
      <c r="X62" s="1" t="s">
        <v>33</v>
      </c>
      <c r="Y62" s="1" t="s">
        <v>2</v>
      </c>
      <c r="Z62" s="1" t="s">
        <v>39</v>
      </c>
      <c r="AA62" s="1">
        <f t="shared" si="1"/>
        <v>1.02806412</v>
      </c>
      <c r="AB62" s="1">
        <f t="shared" si="2"/>
        <v>1.9210680000000002</v>
      </c>
      <c r="AC62" s="1">
        <f t="shared" si="3"/>
        <v>2.0550960000000003</v>
      </c>
      <c r="AD62" s="1">
        <f t="shared" si="4"/>
        <v>2.2784759999999999</v>
      </c>
      <c r="AE62" s="28">
        <f>MAX($I$6,$I$34,$I$62,$I$90,$I$118,$I$146,$I$174,$I$202,$I$230,$I$258,$I$286)</f>
        <v>80.496740000000003</v>
      </c>
      <c r="AF62" s="1">
        <v>1</v>
      </c>
    </row>
    <row r="63" spans="2:32" x14ac:dyDescent="0.25">
      <c r="B63" s="1" t="s">
        <v>5</v>
      </c>
      <c r="C63" s="1" t="s">
        <v>33</v>
      </c>
      <c r="D63" s="1" t="s">
        <v>2</v>
      </c>
      <c r="E63" s="1"/>
      <c r="F63" s="1">
        <v>0.78200000000000003</v>
      </c>
      <c r="G63" s="1">
        <v>0.75016800000000006</v>
      </c>
      <c r="H63" s="1">
        <v>0.82008799999999993</v>
      </c>
      <c r="I63" s="1">
        <v>0.90307199999999999</v>
      </c>
      <c r="J63" s="1">
        <v>1</v>
      </c>
      <c r="L63" s="1" t="s">
        <v>5</v>
      </c>
      <c r="M63" s="1" t="s">
        <v>33</v>
      </c>
      <c r="N63" s="1" t="s">
        <v>2</v>
      </c>
      <c r="O63" s="1" t="s">
        <v>40</v>
      </c>
      <c r="P63" s="1">
        <f t="shared" si="27"/>
        <v>0.76636000000000004</v>
      </c>
      <c r="Q63" s="1">
        <f t="shared" si="23"/>
        <v>0.73516464000000004</v>
      </c>
      <c r="R63" s="1">
        <f t="shared" si="24"/>
        <v>0.80368623999999989</v>
      </c>
      <c r="S63" s="1">
        <f t="shared" si="25"/>
        <v>0.88501056</v>
      </c>
      <c r="T63" s="33">
        <v>0</v>
      </c>
      <c r="U63" s="1">
        <v>1</v>
      </c>
      <c r="W63" s="1" t="s">
        <v>5</v>
      </c>
      <c r="X63" s="1" t="s">
        <v>33</v>
      </c>
      <c r="Y63" s="1" t="s">
        <v>2</v>
      </c>
      <c r="Z63" s="1" t="s">
        <v>39</v>
      </c>
      <c r="AA63" s="1">
        <f t="shared" si="1"/>
        <v>0.79764000000000002</v>
      </c>
      <c r="AB63" s="1">
        <f t="shared" si="2"/>
        <v>0.76517136000000008</v>
      </c>
      <c r="AC63" s="1">
        <f t="shared" si="3"/>
        <v>0.83648975999999997</v>
      </c>
      <c r="AD63" s="1">
        <f t="shared" si="4"/>
        <v>0.92113343999999997</v>
      </c>
      <c r="AE63" s="28">
        <f>MAX($I$7,$I$35,$I$63,$I$91,$I$119,$I$147,$I$175,$I$203,$I$231,$I$259,$I$287)</f>
        <v>69.570329999999998</v>
      </c>
      <c r="AF63" s="1">
        <v>1</v>
      </c>
    </row>
    <row r="64" spans="2:32" x14ac:dyDescent="0.25">
      <c r="B64" s="1" t="s">
        <v>6</v>
      </c>
      <c r="C64" s="1" t="s">
        <v>33</v>
      </c>
      <c r="D64" s="1" t="s">
        <v>2</v>
      </c>
      <c r="E64" s="1"/>
      <c r="F64" s="1">
        <v>34.707374000000002</v>
      </c>
      <c r="G64" s="1">
        <v>24.588372</v>
      </c>
      <c r="H64" s="1">
        <v>36.440604</v>
      </c>
      <c r="I64" s="1">
        <v>23.303034</v>
      </c>
      <c r="J64" s="1">
        <v>1</v>
      </c>
      <c r="L64" s="1" t="s">
        <v>6</v>
      </c>
      <c r="M64" s="1" t="s">
        <v>33</v>
      </c>
      <c r="N64" s="1" t="s">
        <v>2</v>
      </c>
      <c r="O64" s="1" t="s">
        <v>40</v>
      </c>
      <c r="P64" s="1">
        <f t="shared" si="27"/>
        <v>34.013226520000003</v>
      </c>
      <c r="Q64" s="1">
        <f t="shared" si="23"/>
        <v>24.096604559999999</v>
      </c>
      <c r="R64" s="1">
        <f t="shared" si="24"/>
        <v>35.711791920000003</v>
      </c>
      <c r="S64" s="1">
        <f t="shared" si="25"/>
        <v>22.836973319999998</v>
      </c>
      <c r="T64" s="33">
        <v>0</v>
      </c>
      <c r="U64" s="1">
        <v>1</v>
      </c>
      <c r="W64" s="1" t="s">
        <v>6</v>
      </c>
      <c r="X64" s="1" t="s">
        <v>33</v>
      </c>
      <c r="Y64" s="1" t="s">
        <v>2</v>
      </c>
      <c r="Z64" s="1" t="s">
        <v>39</v>
      </c>
      <c r="AA64" s="1">
        <f t="shared" si="1"/>
        <v>35.40152148</v>
      </c>
      <c r="AB64" s="1">
        <f t="shared" si="2"/>
        <v>25.08013944</v>
      </c>
      <c r="AC64" s="1">
        <f t="shared" si="3"/>
        <v>37.169416079999998</v>
      </c>
      <c r="AD64" s="1">
        <f t="shared" si="4"/>
        <v>23.769094680000002</v>
      </c>
      <c r="AE64" s="28">
        <f>MAX($I$8,$I$36,$I$64,$I$92,$I$120,$I$148,$I$176,$I$204,$I$232,$I$260,$I$288)</f>
        <v>836.17112299999997</v>
      </c>
      <c r="AF64" s="1">
        <v>1</v>
      </c>
    </row>
    <row r="65" spans="2:32" x14ac:dyDescent="0.25">
      <c r="B65" s="1" t="s">
        <v>7</v>
      </c>
      <c r="C65" s="1" t="s">
        <v>33</v>
      </c>
      <c r="D65" s="1" t="s">
        <v>2</v>
      </c>
      <c r="E65" s="1"/>
      <c r="F65" s="1">
        <v>0.18021600000000002</v>
      </c>
      <c r="G65" s="1">
        <v>0.22750000000000001</v>
      </c>
      <c r="H65" s="1">
        <v>0.182</v>
      </c>
      <c r="I65" s="1">
        <v>0.13650000000000001</v>
      </c>
      <c r="J65" s="1">
        <v>1</v>
      </c>
      <c r="L65" s="1" t="s">
        <v>7</v>
      </c>
      <c r="M65" s="1" t="s">
        <v>33</v>
      </c>
      <c r="N65" s="1" t="s">
        <v>2</v>
      </c>
      <c r="O65" s="1" t="s">
        <v>40</v>
      </c>
      <c r="P65" s="1">
        <f t="shared" si="27"/>
        <v>0.17661168000000002</v>
      </c>
      <c r="Q65" s="1">
        <f t="shared" si="23"/>
        <v>0.22295000000000001</v>
      </c>
      <c r="R65" s="1">
        <f t="shared" si="24"/>
        <v>0.17835999999999999</v>
      </c>
      <c r="S65" s="1">
        <f t="shared" si="25"/>
        <v>0.13377</v>
      </c>
      <c r="T65" s="33">
        <v>0</v>
      </c>
      <c r="U65" s="1">
        <v>1</v>
      </c>
      <c r="W65" s="1" t="s">
        <v>7</v>
      </c>
      <c r="X65" s="1" t="s">
        <v>33</v>
      </c>
      <c r="Y65" s="1" t="s">
        <v>2</v>
      </c>
      <c r="Z65" s="1" t="s">
        <v>39</v>
      </c>
      <c r="AA65" s="1">
        <f t="shared" si="1"/>
        <v>0.18382032000000001</v>
      </c>
      <c r="AB65" s="1">
        <f t="shared" si="2"/>
        <v>0.23205000000000001</v>
      </c>
      <c r="AC65" s="1">
        <f t="shared" si="3"/>
        <v>0.18564</v>
      </c>
      <c r="AD65" s="1">
        <f t="shared" si="4"/>
        <v>0.13923000000000002</v>
      </c>
      <c r="AE65" s="28">
        <f>MAX($I$9,$I$37,$I$65,$I$93,$I$121,$I$149,$I$177,$I$205,$I$233,$I$261,$I$289)</f>
        <v>15.457636000000001</v>
      </c>
      <c r="AF65" s="1">
        <v>1</v>
      </c>
    </row>
    <row r="66" spans="2:32" x14ac:dyDescent="0.25">
      <c r="B66" s="1" t="s">
        <v>8</v>
      </c>
      <c r="C66" s="1" t="s">
        <v>33</v>
      </c>
      <c r="D66" s="1" t="s">
        <v>2</v>
      </c>
      <c r="E66" s="1"/>
      <c r="F66" s="1">
        <v>1.563599</v>
      </c>
      <c r="G66" s="1">
        <v>1.528656</v>
      </c>
      <c r="H66" s="1">
        <v>2.3146960000000001</v>
      </c>
      <c r="I66" s="1">
        <v>2.0745309999999999</v>
      </c>
      <c r="J66" s="1">
        <v>1</v>
      </c>
      <c r="L66" s="1" t="s">
        <v>8</v>
      </c>
      <c r="M66" s="1" t="s">
        <v>33</v>
      </c>
      <c r="N66" s="1" t="s">
        <v>2</v>
      </c>
      <c r="O66" s="1" t="s">
        <v>40</v>
      </c>
      <c r="P66" s="1">
        <f>IF(ISBLANK(F66),":",0.98*F66)</f>
        <v>1.5323270199999999</v>
      </c>
      <c r="Q66" s="1">
        <f t="shared" si="23"/>
        <v>1.4980828799999999</v>
      </c>
      <c r="R66" s="1">
        <f t="shared" si="24"/>
        <v>2.26840208</v>
      </c>
      <c r="S66" s="1">
        <f t="shared" si="25"/>
        <v>2.0330403799999996</v>
      </c>
      <c r="T66" s="33">
        <v>0</v>
      </c>
      <c r="U66" s="1">
        <v>1</v>
      </c>
      <c r="W66" s="1" t="s">
        <v>8</v>
      </c>
      <c r="X66" s="1" t="s">
        <v>33</v>
      </c>
      <c r="Y66" s="1" t="s">
        <v>2</v>
      </c>
      <c r="Z66" s="1" t="s">
        <v>39</v>
      </c>
      <c r="AA66" s="1">
        <f t="shared" si="1"/>
        <v>1.59487098</v>
      </c>
      <c r="AB66" s="1">
        <f t="shared" si="2"/>
        <v>1.5592291200000001</v>
      </c>
      <c r="AC66" s="1">
        <f t="shared" si="3"/>
        <v>2.3609899200000002</v>
      </c>
      <c r="AD66" s="1">
        <f t="shared" si="4"/>
        <v>2.1160216200000002</v>
      </c>
      <c r="AE66" s="28">
        <f>MAX(I$10,I$38,I$66,I$94,I$122,I$150,I$178,I$206,I$234,I$262,I$290)</f>
        <v>42.352189999999993</v>
      </c>
      <c r="AF66" s="1">
        <v>1</v>
      </c>
    </row>
    <row r="67" spans="2:32" x14ac:dyDescent="0.25">
      <c r="B67" s="1" t="s">
        <v>9</v>
      </c>
      <c r="C67" s="1" t="s">
        <v>33</v>
      </c>
      <c r="D67" s="1" t="s">
        <v>2</v>
      </c>
      <c r="E67" s="1"/>
      <c r="F67" s="1">
        <v>2.024</v>
      </c>
      <c r="G67" s="1">
        <v>3.3119999999999998</v>
      </c>
      <c r="H67" s="1">
        <v>3.40998</v>
      </c>
      <c r="I67" s="1">
        <v>4.5417179999999995</v>
      </c>
      <c r="J67" s="1">
        <v>1</v>
      </c>
      <c r="L67" s="1" t="s">
        <v>9</v>
      </c>
      <c r="M67" s="1" t="s">
        <v>33</v>
      </c>
      <c r="N67" s="1" t="s">
        <v>2</v>
      </c>
      <c r="O67" s="1" t="s">
        <v>40</v>
      </c>
      <c r="P67" s="1">
        <f>IF(ISBLANK(F67),":",0.98*F67)</f>
        <v>1.9835199999999999</v>
      </c>
      <c r="Q67" s="1">
        <f t="shared" si="23"/>
        <v>3.2457599999999998</v>
      </c>
      <c r="R67" s="1">
        <f t="shared" si="24"/>
        <v>3.3417803999999998</v>
      </c>
      <c r="S67" s="1">
        <f t="shared" si="25"/>
        <v>4.4508836399999998</v>
      </c>
      <c r="T67" s="33">
        <v>0</v>
      </c>
      <c r="U67" s="1">
        <v>1</v>
      </c>
      <c r="W67" s="1" t="s">
        <v>9</v>
      </c>
      <c r="X67" s="1" t="s">
        <v>33</v>
      </c>
      <c r="Y67" s="1" t="s">
        <v>2</v>
      </c>
      <c r="Z67" s="1" t="s">
        <v>39</v>
      </c>
      <c r="AA67" s="1">
        <f t="shared" si="1"/>
        <v>2.0644800000000001</v>
      </c>
      <c r="AB67" s="1">
        <f t="shared" si="2"/>
        <v>3.3782399999999999</v>
      </c>
      <c r="AC67" s="1">
        <f t="shared" si="3"/>
        <v>3.4781796000000003</v>
      </c>
      <c r="AD67" s="1">
        <f t="shared" si="4"/>
        <v>4.6325523599999991</v>
      </c>
      <c r="AE67" s="28">
        <f>MAX($I$11,$I$39,$I$67,$I$95,$I$123,$I$151,$I$179,$I$207,$I$235,$I$263,$I$291)</f>
        <v>37.635565999999997</v>
      </c>
      <c r="AF67" s="1">
        <v>1</v>
      </c>
    </row>
    <row r="68" spans="2:32" x14ac:dyDescent="0.25">
      <c r="B68" s="1" t="s">
        <v>10</v>
      </c>
      <c r="C68" s="1" t="s">
        <v>33</v>
      </c>
      <c r="D68" s="1" t="s">
        <v>2</v>
      </c>
      <c r="E68" s="1"/>
      <c r="F68" s="1">
        <v>59.692599999999999</v>
      </c>
      <c r="G68" s="1">
        <v>45.076900000000002</v>
      </c>
      <c r="H68" s="1">
        <v>35.238500000000002</v>
      </c>
      <c r="I68" s="1">
        <v>36.002678999999993</v>
      </c>
      <c r="J68" s="1">
        <v>1</v>
      </c>
      <c r="L68" s="1" t="s">
        <v>10</v>
      </c>
      <c r="M68" s="1" t="s">
        <v>33</v>
      </c>
      <c r="N68" s="1" t="s">
        <v>2</v>
      </c>
      <c r="O68" s="1" t="s">
        <v>40</v>
      </c>
      <c r="P68" s="1">
        <f t="shared" ref="P68" si="28">IF(ISBLANK(F68),":",0.98*F68)</f>
        <v>58.498747999999999</v>
      </c>
      <c r="Q68" s="1">
        <f t="shared" si="23"/>
        <v>44.175362</v>
      </c>
      <c r="R68" s="1">
        <f t="shared" si="24"/>
        <v>34.533729999999998</v>
      </c>
      <c r="S68" s="1">
        <f t="shared" si="25"/>
        <v>35.282625419999995</v>
      </c>
      <c r="T68" s="33">
        <v>0</v>
      </c>
      <c r="U68" s="1">
        <v>1</v>
      </c>
      <c r="W68" s="1" t="s">
        <v>10</v>
      </c>
      <c r="X68" s="1" t="s">
        <v>33</v>
      </c>
      <c r="Y68" s="1" t="s">
        <v>2</v>
      </c>
      <c r="Z68" s="1" t="s">
        <v>39</v>
      </c>
      <c r="AA68" s="1">
        <f t="shared" ref="AA68:AA131" si="29">IF(ISBLANK(F68),":",1.02*F68)</f>
        <v>60.886451999999998</v>
      </c>
      <c r="AB68" s="1">
        <f t="shared" ref="AB68:AB131" si="30">IF(ISBLANK(G68),":",1.02*G68)</f>
        <v>45.978438000000004</v>
      </c>
      <c r="AC68" s="1">
        <f t="shared" ref="AC68:AC131" si="31">IF(ISBLANK(H68),":",1.02*H68)</f>
        <v>35.943270000000005</v>
      </c>
      <c r="AD68" s="1">
        <f t="shared" ref="AD68:AD131" si="32">IF(ISBLANK(I68),":",1.02*I68)</f>
        <v>36.722732579999992</v>
      </c>
      <c r="AE68" s="28">
        <f>MAX($I$12,$I$40,$I$68,$I$96,$I$124,$I$152,$I$180,$I$208,$I$236,$I$264,$I$292)</f>
        <v>218.13407800000004</v>
      </c>
      <c r="AF68" s="1">
        <v>1</v>
      </c>
    </row>
    <row r="69" spans="2:32" x14ac:dyDescent="0.25">
      <c r="B69" s="1" t="s">
        <v>11</v>
      </c>
      <c r="C69" s="1" t="s">
        <v>33</v>
      </c>
      <c r="D69" s="1" t="s">
        <v>2</v>
      </c>
      <c r="E69" s="1"/>
      <c r="F69" s="1">
        <v>53.314</v>
      </c>
      <c r="G69" s="1">
        <v>38.887618000000003</v>
      </c>
      <c r="H69" s="1">
        <v>33.175521999999994</v>
      </c>
      <c r="I69" s="1">
        <v>25.918838000000001</v>
      </c>
      <c r="J69" s="1">
        <v>1</v>
      </c>
      <c r="L69" s="1" t="s">
        <v>11</v>
      </c>
      <c r="M69" s="1" t="s">
        <v>33</v>
      </c>
      <c r="N69" s="1" t="s">
        <v>2</v>
      </c>
      <c r="O69" s="1" t="s">
        <v>40</v>
      </c>
      <c r="P69" s="1">
        <f t="shared" ref="P69:P76" si="33">IF(ISBLANK(F69),":",0.98*F69)</f>
        <v>52.247720000000001</v>
      </c>
      <c r="Q69" s="1">
        <f t="shared" si="23"/>
        <v>38.109865640000002</v>
      </c>
      <c r="R69" s="1">
        <f t="shared" si="24"/>
        <v>32.512011559999991</v>
      </c>
      <c r="S69" s="1">
        <f t="shared" si="25"/>
        <v>25.400461240000002</v>
      </c>
      <c r="T69" s="33">
        <v>0</v>
      </c>
      <c r="U69" s="1">
        <v>1</v>
      </c>
      <c r="W69" s="1" t="s">
        <v>11</v>
      </c>
      <c r="X69" s="1" t="s">
        <v>33</v>
      </c>
      <c r="Y69" s="1" t="s">
        <v>2</v>
      </c>
      <c r="Z69" s="1" t="s">
        <v>39</v>
      </c>
      <c r="AA69" s="1">
        <f t="shared" si="29"/>
        <v>54.380279999999999</v>
      </c>
      <c r="AB69" s="1">
        <f t="shared" si="30"/>
        <v>39.665370360000004</v>
      </c>
      <c r="AC69" s="1">
        <f t="shared" si="31"/>
        <v>33.839032439999997</v>
      </c>
      <c r="AD69" s="1">
        <f t="shared" si="32"/>
        <v>26.43721476</v>
      </c>
      <c r="AE69" s="28">
        <f>MAX($I$13,$I$41,$I$69,$I$97,$I$125,$I$153,$I$181,$I$209,$I$237,$I$265,$I$293)</f>
        <v>364.78012100000001</v>
      </c>
      <c r="AF69" s="1">
        <v>1</v>
      </c>
    </row>
    <row r="70" spans="2:32" x14ac:dyDescent="0.25">
      <c r="B70" s="1" t="s">
        <v>12</v>
      </c>
      <c r="C70" s="1" t="s">
        <v>33</v>
      </c>
      <c r="D70" s="1" t="s">
        <v>2</v>
      </c>
      <c r="E70" s="1"/>
      <c r="F70" s="1">
        <v>3.37608</v>
      </c>
      <c r="G70" s="1">
        <v>2.2507199999999998</v>
      </c>
      <c r="H70" s="1">
        <v>1.9178009999999999</v>
      </c>
      <c r="I70" s="1">
        <v>1.4911020000000001</v>
      </c>
      <c r="J70" s="1">
        <v>1</v>
      </c>
      <c r="L70" s="1" t="s">
        <v>12</v>
      </c>
      <c r="M70" s="1" t="s">
        <v>33</v>
      </c>
      <c r="N70" s="1" t="s">
        <v>2</v>
      </c>
      <c r="O70" s="1" t="s">
        <v>40</v>
      </c>
      <c r="P70" s="1">
        <f t="shared" si="33"/>
        <v>3.3085583999999999</v>
      </c>
      <c r="Q70" s="1">
        <f t="shared" si="23"/>
        <v>2.2057055999999999</v>
      </c>
      <c r="R70" s="1">
        <f t="shared" si="24"/>
        <v>1.8794449799999999</v>
      </c>
      <c r="S70" s="1">
        <f t="shared" si="25"/>
        <v>1.4612799600000002</v>
      </c>
      <c r="T70" s="33">
        <v>0</v>
      </c>
      <c r="U70" s="1">
        <v>1</v>
      </c>
      <c r="W70" s="1" t="s">
        <v>12</v>
      </c>
      <c r="X70" s="1" t="s">
        <v>33</v>
      </c>
      <c r="Y70" s="1" t="s">
        <v>2</v>
      </c>
      <c r="Z70" s="1" t="s">
        <v>39</v>
      </c>
      <c r="AA70" s="1">
        <f t="shared" si="29"/>
        <v>3.4436016</v>
      </c>
      <c r="AB70" s="1">
        <f t="shared" si="30"/>
        <v>2.2957343999999997</v>
      </c>
      <c r="AC70" s="1">
        <f t="shared" si="31"/>
        <v>1.9561570199999998</v>
      </c>
      <c r="AD70" s="1">
        <f t="shared" si="32"/>
        <v>1.5209240400000001</v>
      </c>
      <c r="AE70" s="28">
        <f>MAX($I$14,$I$42,$I$70,$I$98,$I$126,$I$154,$I$182,$I$210,$I$238,$I$266,$I$294)</f>
        <v>40.304569999999998</v>
      </c>
      <c r="AF70" s="1">
        <v>1</v>
      </c>
    </row>
    <row r="71" spans="2:32" x14ac:dyDescent="0.25">
      <c r="B71" s="1" t="s">
        <v>13</v>
      </c>
      <c r="C71" s="1" t="s">
        <v>33</v>
      </c>
      <c r="D71" s="1" t="s">
        <v>2</v>
      </c>
      <c r="E71" s="1"/>
      <c r="F71" s="1">
        <v>57.408000000000001</v>
      </c>
      <c r="G71" s="1">
        <v>45.448</v>
      </c>
      <c r="H71" s="1">
        <v>46.080776</v>
      </c>
      <c r="I71" s="1">
        <v>44.698430000000002</v>
      </c>
      <c r="J71" s="1">
        <v>1</v>
      </c>
      <c r="L71" s="1" t="s">
        <v>13</v>
      </c>
      <c r="M71" s="1" t="s">
        <v>33</v>
      </c>
      <c r="N71" s="1" t="s">
        <v>2</v>
      </c>
      <c r="O71" s="1" t="s">
        <v>40</v>
      </c>
      <c r="P71" s="1">
        <f t="shared" si="33"/>
        <v>56.259839999999997</v>
      </c>
      <c r="Q71" s="1">
        <f t="shared" si="23"/>
        <v>44.53904</v>
      </c>
      <c r="R71" s="1">
        <f t="shared" si="24"/>
        <v>45.159160479999997</v>
      </c>
      <c r="S71" s="1">
        <f t="shared" si="25"/>
        <v>43.804461400000001</v>
      </c>
      <c r="T71" s="33">
        <v>0</v>
      </c>
      <c r="U71" s="1">
        <v>1</v>
      </c>
      <c r="W71" s="1" t="s">
        <v>13</v>
      </c>
      <c r="X71" s="1" t="s">
        <v>33</v>
      </c>
      <c r="Y71" s="1" t="s">
        <v>2</v>
      </c>
      <c r="Z71" s="1" t="s">
        <v>39</v>
      </c>
      <c r="AA71" s="1">
        <f t="shared" si="29"/>
        <v>58.556160000000006</v>
      </c>
      <c r="AB71" s="1">
        <f t="shared" si="30"/>
        <v>46.356960000000001</v>
      </c>
      <c r="AC71" s="1">
        <f t="shared" si="31"/>
        <v>47.002391520000003</v>
      </c>
      <c r="AD71" s="1">
        <f t="shared" si="32"/>
        <v>45.592398600000003</v>
      </c>
      <c r="AE71" s="28">
        <f>MAX($I$15,$I$43,$I$71,$I$99,$I$127,$I$155,$I$183,$I$211,$I$239,$I$267,$I$295)</f>
        <v>539.45073900000011</v>
      </c>
      <c r="AF71" s="1">
        <v>1</v>
      </c>
    </row>
    <row r="72" spans="2:32" x14ac:dyDescent="0.25">
      <c r="B72" s="1" t="s">
        <v>14</v>
      </c>
      <c r="C72" s="1" t="s">
        <v>33</v>
      </c>
      <c r="D72" s="1" t="s">
        <v>2</v>
      </c>
      <c r="E72" s="1"/>
      <c r="F72" s="1">
        <v>1.6082000000000001</v>
      </c>
      <c r="G72" s="1">
        <v>1.6082000000000001</v>
      </c>
      <c r="H72" s="1">
        <v>1.4808209999999999</v>
      </c>
      <c r="I72" s="1">
        <v>1.5891379999999999</v>
      </c>
      <c r="J72" s="1">
        <v>1</v>
      </c>
      <c r="L72" s="1" t="s">
        <v>14</v>
      </c>
      <c r="M72" s="1" t="s">
        <v>33</v>
      </c>
      <c r="N72" s="1" t="s">
        <v>2</v>
      </c>
      <c r="O72" s="1" t="s">
        <v>40</v>
      </c>
      <c r="P72" s="1">
        <f t="shared" si="33"/>
        <v>1.576036</v>
      </c>
      <c r="Q72" s="1">
        <f t="shared" si="23"/>
        <v>1.576036</v>
      </c>
      <c r="R72" s="1">
        <f t="shared" si="24"/>
        <v>1.45120458</v>
      </c>
      <c r="S72" s="1">
        <f t="shared" si="25"/>
        <v>1.5573552399999999</v>
      </c>
      <c r="T72" s="33">
        <v>0</v>
      </c>
      <c r="U72" s="1">
        <v>1</v>
      </c>
      <c r="W72" s="1" t="s">
        <v>14</v>
      </c>
      <c r="X72" s="1" t="s">
        <v>33</v>
      </c>
      <c r="Y72" s="1" t="s">
        <v>2</v>
      </c>
      <c r="Z72" s="1" t="s">
        <v>39</v>
      </c>
      <c r="AA72" s="1">
        <f t="shared" si="29"/>
        <v>1.6403640000000002</v>
      </c>
      <c r="AB72" s="1">
        <f t="shared" si="30"/>
        <v>1.6403640000000002</v>
      </c>
      <c r="AC72" s="1">
        <f t="shared" si="31"/>
        <v>1.5104374199999999</v>
      </c>
      <c r="AD72" s="1">
        <f t="shared" si="32"/>
        <v>1.62092076</v>
      </c>
      <c r="AE72" s="28">
        <f>MAX($I$16,$I$44,$I$72,$I$100,$I$128,$I$156,$I$184,$I$212,$I$240,$I$268,$I$296)</f>
        <v>3.1702320000000004</v>
      </c>
      <c r="AF72" s="1">
        <v>1</v>
      </c>
    </row>
    <row r="73" spans="2:32" x14ac:dyDescent="0.25">
      <c r="B73" s="1" t="s">
        <v>15</v>
      </c>
      <c r="C73" s="1" t="s">
        <v>33</v>
      </c>
      <c r="D73" s="1" t="s">
        <v>2</v>
      </c>
      <c r="E73" s="1"/>
      <c r="F73" s="1">
        <v>0.91079999999999994</v>
      </c>
      <c r="G73" s="1">
        <v>0.77417999999999998</v>
      </c>
      <c r="H73" s="1">
        <v>0.65604899999999999</v>
      </c>
      <c r="I73" s="1">
        <v>1.1885940000000002</v>
      </c>
      <c r="J73" s="1">
        <v>1</v>
      </c>
      <c r="L73" s="1" t="s">
        <v>15</v>
      </c>
      <c r="M73" s="1" t="s">
        <v>33</v>
      </c>
      <c r="N73" s="1" t="s">
        <v>2</v>
      </c>
      <c r="O73" s="1" t="s">
        <v>40</v>
      </c>
      <c r="P73" s="1">
        <f t="shared" si="33"/>
        <v>0.89258399999999993</v>
      </c>
      <c r="Q73" s="1">
        <f t="shared" si="23"/>
        <v>0.75869639999999994</v>
      </c>
      <c r="R73" s="1">
        <f t="shared" si="24"/>
        <v>0.64292801999999993</v>
      </c>
      <c r="S73" s="1">
        <f t="shared" si="25"/>
        <v>1.1648221200000002</v>
      </c>
      <c r="T73" s="33">
        <v>0</v>
      </c>
      <c r="U73" s="1">
        <v>1</v>
      </c>
      <c r="W73" s="1" t="s">
        <v>15</v>
      </c>
      <c r="X73" s="1" t="s">
        <v>33</v>
      </c>
      <c r="Y73" s="1" t="s">
        <v>2</v>
      </c>
      <c r="Z73" s="1" t="s">
        <v>39</v>
      </c>
      <c r="AA73" s="1">
        <f t="shared" si="29"/>
        <v>0.92901599999999995</v>
      </c>
      <c r="AB73" s="1">
        <f t="shared" si="30"/>
        <v>0.78966360000000002</v>
      </c>
      <c r="AC73" s="1">
        <f t="shared" si="31"/>
        <v>0.66916998000000005</v>
      </c>
      <c r="AD73" s="1">
        <f t="shared" si="32"/>
        <v>1.2123658800000001</v>
      </c>
      <c r="AE73" s="28">
        <f>MAX($I$17,$I$45,$I$73,$I$101,$I$129,$I$157,$I$185,$I$213,$I$241,$I$269,$I$297)</f>
        <v>18.231687999999998</v>
      </c>
      <c r="AF73" s="1">
        <v>1</v>
      </c>
    </row>
    <row r="74" spans="2:32" x14ac:dyDescent="0.25">
      <c r="B74" s="1" t="s">
        <v>16</v>
      </c>
      <c r="C74" s="1" t="s">
        <v>33</v>
      </c>
      <c r="D74" s="1" t="s">
        <v>2</v>
      </c>
      <c r="E74" s="1"/>
      <c r="F74" s="1">
        <v>1.6711199999999999</v>
      </c>
      <c r="G74" s="1">
        <v>1.3267500000000001</v>
      </c>
      <c r="H74" s="1">
        <v>1.3370679999999999</v>
      </c>
      <c r="I74" s="1">
        <v>2.1996129999999998</v>
      </c>
      <c r="J74" s="1">
        <v>1</v>
      </c>
      <c r="L74" s="1" t="s">
        <v>16</v>
      </c>
      <c r="M74" s="1" t="s">
        <v>33</v>
      </c>
      <c r="N74" s="1" t="s">
        <v>2</v>
      </c>
      <c r="O74" s="1" t="s">
        <v>40</v>
      </c>
      <c r="P74" s="1">
        <f t="shared" si="33"/>
        <v>1.6376975999999999</v>
      </c>
      <c r="Q74" s="1">
        <f t="shared" si="23"/>
        <v>1.3002150000000001</v>
      </c>
      <c r="R74" s="1">
        <f t="shared" si="24"/>
        <v>1.31032664</v>
      </c>
      <c r="S74" s="1">
        <f t="shared" si="25"/>
        <v>2.1556207399999998</v>
      </c>
      <c r="T74" s="33">
        <v>0</v>
      </c>
      <c r="U74" s="1">
        <v>1</v>
      </c>
      <c r="W74" s="1" t="s">
        <v>16</v>
      </c>
      <c r="X74" s="1" t="s">
        <v>33</v>
      </c>
      <c r="Y74" s="1" t="s">
        <v>2</v>
      </c>
      <c r="Z74" s="1" t="s">
        <v>39</v>
      </c>
      <c r="AA74" s="1">
        <f t="shared" si="29"/>
        <v>1.7045424</v>
      </c>
      <c r="AB74" s="1">
        <f t="shared" si="30"/>
        <v>1.3532850000000001</v>
      </c>
      <c r="AC74" s="1">
        <f t="shared" si="31"/>
        <v>1.3638093599999999</v>
      </c>
      <c r="AD74" s="1">
        <f t="shared" si="32"/>
        <v>2.2436052599999998</v>
      </c>
      <c r="AE74" s="28">
        <f>MAX($I$18,$I$46,$I$74,$I$102,$I$130,$I$158,$I$186,$I$214,$I$242,$I$270,$I$298)</f>
        <v>18.93</v>
      </c>
      <c r="AF74" s="1">
        <v>1</v>
      </c>
    </row>
    <row r="75" spans="2:32" x14ac:dyDescent="0.25">
      <c r="B75" s="1" t="s">
        <v>17</v>
      </c>
      <c r="C75" s="1" t="s">
        <v>33</v>
      </c>
      <c r="D75" s="1" t="s">
        <v>2</v>
      </c>
      <c r="E75" s="1"/>
      <c r="F75" s="1">
        <v>9.4897999999999996E-2</v>
      </c>
      <c r="G75" s="1">
        <v>1.9826E-2</v>
      </c>
      <c r="H75" s="1">
        <v>2.0286000000000002E-2</v>
      </c>
      <c r="I75" s="1">
        <v>6.1639999999999993E-3</v>
      </c>
      <c r="J75" s="1">
        <v>1</v>
      </c>
      <c r="L75" s="1" t="s">
        <v>17</v>
      </c>
      <c r="M75" s="1" t="s">
        <v>33</v>
      </c>
      <c r="N75" s="1" t="s">
        <v>2</v>
      </c>
      <c r="O75" s="1" t="s">
        <v>40</v>
      </c>
      <c r="P75" s="1">
        <f t="shared" si="33"/>
        <v>9.3000039999999992E-2</v>
      </c>
      <c r="Q75" s="1">
        <f t="shared" si="23"/>
        <v>1.9429479999999999E-2</v>
      </c>
      <c r="R75" s="1">
        <f t="shared" si="24"/>
        <v>1.988028E-2</v>
      </c>
      <c r="S75" s="1">
        <f t="shared" si="25"/>
        <v>6.0407199999999994E-3</v>
      </c>
      <c r="T75" s="33">
        <v>0</v>
      </c>
      <c r="U75" s="1">
        <v>1</v>
      </c>
      <c r="W75" s="1" t="s">
        <v>17</v>
      </c>
      <c r="X75" s="1" t="s">
        <v>33</v>
      </c>
      <c r="Y75" s="1" t="s">
        <v>2</v>
      </c>
      <c r="Z75" s="1" t="s">
        <v>39</v>
      </c>
      <c r="AA75" s="1">
        <f t="shared" si="29"/>
        <v>9.679596E-2</v>
      </c>
      <c r="AB75" s="1">
        <f t="shared" si="30"/>
        <v>2.0222520000000001E-2</v>
      </c>
      <c r="AC75" s="1">
        <f t="shared" si="31"/>
        <v>2.0691720000000004E-2</v>
      </c>
      <c r="AD75" s="1">
        <f t="shared" si="32"/>
        <v>6.2872799999999993E-3</v>
      </c>
      <c r="AE75" s="28">
        <f>MAX($I$19,$I$47,$I$75,$I$103,$I$131,$I$159,$I$187,$I$215,$I$243,$I$271,$I$299)</f>
        <v>8.6689310000000006</v>
      </c>
      <c r="AF75" s="1">
        <v>1</v>
      </c>
    </row>
    <row r="76" spans="2:32" x14ac:dyDescent="0.25">
      <c r="B76" s="1" t="s">
        <v>18</v>
      </c>
      <c r="C76" s="1" t="s">
        <v>33</v>
      </c>
      <c r="D76" s="1" t="s">
        <v>2</v>
      </c>
      <c r="E76" s="1"/>
      <c r="F76" s="1">
        <v>5.64</v>
      </c>
      <c r="G76" s="1">
        <v>3.0550000000000002</v>
      </c>
      <c r="H76" s="1">
        <v>3.3220800000000001</v>
      </c>
      <c r="I76" s="1">
        <v>2.6722920000000001</v>
      </c>
      <c r="J76" s="1">
        <v>1</v>
      </c>
      <c r="L76" s="1" t="s">
        <v>18</v>
      </c>
      <c r="M76" s="1" t="s">
        <v>33</v>
      </c>
      <c r="N76" s="1" t="s">
        <v>2</v>
      </c>
      <c r="O76" s="1" t="s">
        <v>40</v>
      </c>
      <c r="P76" s="1">
        <f t="shared" si="33"/>
        <v>5.5271999999999997</v>
      </c>
      <c r="Q76" s="1">
        <f t="shared" si="23"/>
        <v>2.9939</v>
      </c>
      <c r="R76" s="1">
        <f t="shared" si="24"/>
        <v>3.2556384</v>
      </c>
      <c r="S76" s="1">
        <f t="shared" si="25"/>
        <v>2.6188461599999999</v>
      </c>
      <c r="T76" s="33">
        <v>0</v>
      </c>
      <c r="U76" s="1">
        <v>1</v>
      </c>
      <c r="W76" s="1" t="s">
        <v>18</v>
      </c>
      <c r="X76" s="1" t="s">
        <v>33</v>
      </c>
      <c r="Y76" s="1" t="s">
        <v>2</v>
      </c>
      <c r="Z76" s="1" t="s">
        <v>39</v>
      </c>
      <c r="AA76" s="1">
        <f t="shared" si="29"/>
        <v>5.7527999999999997</v>
      </c>
      <c r="AB76" s="1">
        <f t="shared" si="30"/>
        <v>3.1161000000000003</v>
      </c>
      <c r="AC76" s="1">
        <f t="shared" si="31"/>
        <v>3.3885216000000002</v>
      </c>
      <c r="AD76" s="1">
        <f t="shared" si="32"/>
        <v>2.7257378400000003</v>
      </c>
      <c r="AE76" s="28">
        <f>MAX($I$20,$I$48,$I$76,$I$104,$I$132,$I$160,$I$188,$I$216,$I$244,$I$272,$I$300)</f>
        <v>104.339699</v>
      </c>
      <c r="AF76" s="1">
        <v>1</v>
      </c>
    </row>
    <row r="77" spans="2:32" x14ac:dyDescent="0.25">
      <c r="B77" s="1" t="s">
        <v>20</v>
      </c>
      <c r="C77" s="1" t="s">
        <v>33</v>
      </c>
      <c r="D77" s="1" t="s">
        <v>2</v>
      </c>
      <c r="E77" s="1"/>
      <c r="F77" s="1">
        <v>1.3558800000000002</v>
      </c>
      <c r="G77" s="1">
        <v>0.97339200000000003</v>
      </c>
      <c r="H77" s="1">
        <v>0.97160500000000005</v>
      </c>
      <c r="I77" s="1">
        <v>0.97184199999999998</v>
      </c>
      <c r="J77" s="1">
        <v>1</v>
      </c>
      <c r="L77" s="1" t="s">
        <v>20</v>
      </c>
      <c r="M77" s="1" t="s">
        <v>33</v>
      </c>
      <c r="N77" s="1" t="s">
        <v>2</v>
      </c>
      <c r="O77" s="1" t="s">
        <v>40</v>
      </c>
      <c r="P77" s="1">
        <f t="shared" ref="P77:P82" si="34">IF(ISBLANK(F77),":",0.98*F77)</f>
        <v>1.3287624000000002</v>
      </c>
      <c r="Q77" s="1">
        <f t="shared" si="23"/>
        <v>0.95392416000000002</v>
      </c>
      <c r="R77" s="1">
        <f t="shared" si="24"/>
        <v>0.95217289999999999</v>
      </c>
      <c r="S77" s="1">
        <f t="shared" si="25"/>
        <v>0.95240515999999997</v>
      </c>
      <c r="T77" s="33">
        <v>0</v>
      </c>
      <c r="U77" s="1">
        <v>1</v>
      </c>
      <c r="W77" s="1" t="s">
        <v>20</v>
      </c>
      <c r="X77" s="1" t="s">
        <v>33</v>
      </c>
      <c r="Y77" s="1" t="s">
        <v>2</v>
      </c>
      <c r="Z77" s="1" t="s">
        <v>39</v>
      </c>
      <c r="AA77" s="1">
        <f t="shared" si="29"/>
        <v>1.3829976000000002</v>
      </c>
      <c r="AB77" s="1">
        <f t="shared" si="30"/>
        <v>0.99285984000000005</v>
      </c>
      <c r="AC77" s="1">
        <f t="shared" si="31"/>
        <v>0.99103710000000012</v>
      </c>
      <c r="AD77" s="1">
        <f t="shared" si="32"/>
        <v>0.99127883999999999</v>
      </c>
      <c r="AE77" s="28">
        <f>MAX($I$21,$I$49,$I$77,$I$105,$I$133,$I$161,$I$189,$I$217,$I$245,$I$273,$I$301)</f>
        <v>201.18298499999997</v>
      </c>
      <c r="AF77" s="1">
        <v>1</v>
      </c>
    </row>
    <row r="78" spans="2:32" x14ac:dyDescent="0.25">
      <c r="B78" s="1" t="s">
        <v>21</v>
      </c>
      <c r="C78" s="1" t="s">
        <v>33</v>
      </c>
      <c r="D78" s="1" t="s">
        <v>2</v>
      </c>
      <c r="E78" s="1"/>
      <c r="F78" s="1">
        <v>1.5186900000000001</v>
      </c>
      <c r="G78" s="1">
        <v>1.1085399999999999</v>
      </c>
      <c r="H78" s="1">
        <v>1.2864249999999999</v>
      </c>
      <c r="I78" s="1">
        <v>1.0592840000000001</v>
      </c>
      <c r="J78" s="1">
        <v>1</v>
      </c>
      <c r="L78" s="1" t="s">
        <v>21</v>
      </c>
      <c r="M78" s="1" t="s">
        <v>33</v>
      </c>
      <c r="N78" s="1" t="s">
        <v>2</v>
      </c>
      <c r="O78" s="1" t="s">
        <v>40</v>
      </c>
      <c r="P78" s="1">
        <f t="shared" si="34"/>
        <v>1.4883162000000001</v>
      </c>
      <c r="Q78" s="1">
        <f t="shared" si="23"/>
        <v>1.0863691999999998</v>
      </c>
      <c r="R78" s="1">
        <f t="shared" si="24"/>
        <v>1.2606964999999999</v>
      </c>
      <c r="S78" s="1">
        <f t="shared" si="25"/>
        <v>1.03809832</v>
      </c>
      <c r="T78" s="33">
        <v>0</v>
      </c>
      <c r="U78" s="1">
        <v>1</v>
      </c>
      <c r="W78" s="1" t="s">
        <v>21</v>
      </c>
      <c r="X78" s="1" t="s">
        <v>33</v>
      </c>
      <c r="Y78" s="1" t="s">
        <v>2</v>
      </c>
      <c r="Z78" s="1" t="s">
        <v>39</v>
      </c>
      <c r="AA78" s="1">
        <f t="shared" si="29"/>
        <v>1.5490638000000001</v>
      </c>
      <c r="AB78" s="1">
        <f t="shared" si="30"/>
        <v>1.1307107999999999</v>
      </c>
      <c r="AC78" s="1">
        <f t="shared" si="31"/>
        <v>1.3121535</v>
      </c>
      <c r="AD78" s="1">
        <f t="shared" si="32"/>
        <v>1.0804696800000002</v>
      </c>
      <c r="AE78" s="28">
        <f>MAX($I$22,$I$50,$I$78,$I$106,$I$134,$I$162,$I$190,$I$218,$I$246,$I$274,$I$302)</f>
        <v>69.769181000000003</v>
      </c>
      <c r="AF78" s="1">
        <v>1</v>
      </c>
    </row>
    <row r="79" spans="2:32" x14ac:dyDescent="0.25">
      <c r="B79" s="1" t="s">
        <v>22</v>
      </c>
      <c r="C79" s="1" t="s">
        <v>33</v>
      </c>
      <c r="D79" s="1" t="s">
        <v>2</v>
      </c>
      <c r="E79" s="1"/>
      <c r="F79" s="1">
        <v>24.84</v>
      </c>
      <c r="G79" s="1">
        <v>21.39</v>
      </c>
      <c r="H79" s="1">
        <v>23</v>
      </c>
      <c r="I79" s="1">
        <v>19.80714</v>
      </c>
      <c r="J79" s="1">
        <v>1</v>
      </c>
      <c r="L79" s="1" t="s">
        <v>22</v>
      </c>
      <c r="M79" s="1" t="s">
        <v>33</v>
      </c>
      <c r="N79" s="1" t="s">
        <v>2</v>
      </c>
      <c r="O79" s="1" t="s">
        <v>40</v>
      </c>
      <c r="P79" s="1">
        <f t="shared" si="34"/>
        <v>24.3432</v>
      </c>
      <c r="Q79" s="1">
        <f t="shared" si="23"/>
        <v>20.962199999999999</v>
      </c>
      <c r="R79" s="1">
        <f t="shared" si="24"/>
        <v>22.54</v>
      </c>
      <c r="S79" s="1">
        <f t="shared" si="25"/>
        <v>19.410997200000001</v>
      </c>
      <c r="T79" s="33">
        <v>0</v>
      </c>
      <c r="U79" s="1">
        <v>1</v>
      </c>
      <c r="W79" s="1" t="s">
        <v>22</v>
      </c>
      <c r="X79" s="1" t="s">
        <v>33</v>
      </c>
      <c r="Y79" s="1" t="s">
        <v>2</v>
      </c>
      <c r="Z79" s="1" t="s">
        <v>39</v>
      </c>
      <c r="AA79" s="1">
        <f t="shared" si="29"/>
        <v>25.3368</v>
      </c>
      <c r="AB79" s="1">
        <f t="shared" si="30"/>
        <v>21.817800000000002</v>
      </c>
      <c r="AC79" s="1">
        <f t="shared" si="31"/>
        <v>23.46</v>
      </c>
      <c r="AD79" s="1">
        <f t="shared" si="32"/>
        <v>20.2032828</v>
      </c>
      <c r="AE79" s="28">
        <f>MAX($I$23,$I$51,$I$79,$I$107,$I$135,$I$163,$I$191,$I$219,$I$247,$I$275,$I$303)</f>
        <v>183.24970000000002</v>
      </c>
      <c r="AF79" s="1">
        <v>1</v>
      </c>
    </row>
    <row r="80" spans="2:32" x14ac:dyDescent="0.25">
      <c r="B80" s="1" t="s">
        <v>23</v>
      </c>
      <c r="C80" s="1" t="s">
        <v>33</v>
      </c>
      <c r="D80" s="1" t="s">
        <v>2</v>
      </c>
      <c r="E80" s="1"/>
      <c r="F80" s="1">
        <v>23.23</v>
      </c>
      <c r="G80" s="1">
        <v>15.87</v>
      </c>
      <c r="H80" s="1">
        <v>16.601032</v>
      </c>
      <c r="I80" s="1">
        <v>12.461399999999999</v>
      </c>
      <c r="J80" s="1">
        <v>1</v>
      </c>
      <c r="L80" s="1" t="s">
        <v>23</v>
      </c>
      <c r="M80" s="1" t="s">
        <v>33</v>
      </c>
      <c r="N80" s="1" t="s">
        <v>2</v>
      </c>
      <c r="O80" s="1" t="s">
        <v>40</v>
      </c>
      <c r="P80" s="1">
        <f t="shared" si="34"/>
        <v>22.7654</v>
      </c>
      <c r="Q80" s="1">
        <f t="shared" si="23"/>
        <v>15.552599999999998</v>
      </c>
      <c r="R80" s="1">
        <f t="shared" si="24"/>
        <v>16.26901136</v>
      </c>
      <c r="S80" s="1">
        <f t="shared" si="25"/>
        <v>12.212171999999999</v>
      </c>
      <c r="T80" s="33">
        <v>0</v>
      </c>
      <c r="U80" s="1">
        <v>1</v>
      </c>
      <c r="W80" s="1" t="s">
        <v>23</v>
      </c>
      <c r="X80" s="1" t="s">
        <v>33</v>
      </c>
      <c r="Y80" s="1" t="s">
        <v>2</v>
      </c>
      <c r="Z80" s="1" t="s">
        <v>39</v>
      </c>
      <c r="AA80" s="1">
        <f t="shared" si="29"/>
        <v>23.694600000000001</v>
      </c>
      <c r="AB80" s="1">
        <f t="shared" si="30"/>
        <v>16.1874</v>
      </c>
      <c r="AC80" s="1">
        <f t="shared" si="31"/>
        <v>16.93305264</v>
      </c>
      <c r="AD80" s="1">
        <f t="shared" si="32"/>
        <v>12.710628</v>
      </c>
      <c r="AE80" s="28">
        <f>MAX($I$24,$I$52,$I$80,$I$108,$I$136,$I$164,$I$192,$I$220,$I$248,$I$276,$I$304)</f>
        <v>47.327892999999996</v>
      </c>
      <c r="AF80" s="1">
        <v>1</v>
      </c>
    </row>
    <row r="81" spans="2:32" x14ac:dyDescent="0.25">
      <c r="B81" s="1" t="s">
        <v>24</v>
      </c>
      <c r="C81" s="1" t="s">
        <v>33</v>
      </c>
      <c r="D81" s="1" t="s">
        <v>2</v>
      </c>
      <c r="E81" s="1"/>
      <c r="F81" s="1">
        <v>9.7716080000000005</v>
      </c>
      <c r="G81" s="1">
        <v>10.012288</v>
      </c>
      <c r="H81" s="1">
        <v>10.476544000000001</v>
      </c>
      <c r="I81" s="1">
        <v>10.18469</v>
      </c>
      <c r="J81" s="1">
        <v>1</v>
      </c>
      <c r="L81" s="1" t="s">
        <v>24</v>
      </c>
      <c r="M81" s="1" t="s">
        <v>33</v>
      </c>
      <c r="N81" s="1" t="s">
        <v>2</v>
      </c>
      <c r="O81" s="1" t="s">
        <v>40</v>
      </c>
      <c r="P81" s="1">
        <f t="shared" si="34"/>
        <v>9.5761758400000012</v>
      </c>
      <c r="Q81" s="1">
        <f t="shared" si="23"/>
        <v>9.8120422400000002</v>
      </c>
      <c r="R81" s="1">
        <f t="shared" si="24"/>
        <v>10.26701312</v>
      </c>
      <c r="S81" s="1">
        <f t="shared" si="25"/>
        <v>9.9809961999999999</v>
      </c>
      <c r="T81" s="33">
        <v>0</v>
      </c>
      <c r="U81" s="1">
        <v>1</v>
      </c>
      <c r="W81" s="1" t="s">
        <v>24</v>
      </c>
      <c r="X81" s="1" t="s">
        <v>33</v>
      </c>
      <c r="Y81" s="1" t="s">
        <v>2</v>
      </c>
      <c r="Z81" s="1" t="s">
        <v>39</v>
      </c>
      <c r="AA81" s="1">
        <f t="shared" si="29"/>
        <v>9.9670401599999998</v>
      </c>
      <c r="AB81" s="1">
        <f t="shared" si="30"/>
        <v>10.212533759999999</v>
      </c>
      <c r="AC81" s="1">
        <f t="shared" si="31"/>
        <v>10.686074880000001</v>
      </c>
      <c r="AD81" s="1">
        <f t="shared" si="32"/>
        <v>10.3883838</v>
      </c>
      <c r="AE81" s="28">
        <f>MAX($I$25,$I$53,$I$81,$I$109,$I$137,$I$165,$I$193,$I$221,$I$249,$I$277,$I$305)</f>
        <v>123.01356</v>
      </c>
      <c r="AF81" s="1">
        <v>1</v>
      </c>
    </row>
    <row r="82" spans="2:32" x14ac:dyDescent="0.25">
      <c r="B82" s="1" t="s">
        <v>25</v>
      </c>
      <c r="C82" s="1" t="s">
        <v>33</v>
      </c>
      <c r="D82" s="1" t="s">
        <v>2</v>
      </c>
      <c r="E82" s="1"/>
      <c r="F82" s="1">
        <v>1.5196500000000002</v>
      </c>
      <c r="G82" s="1">
        <v>1.3815</v>
      </c>
      <c r="H82" s="1">
        <v>1.093181</v>
      </c>
      <c r="I82" s="1">
        <v>1.042894</v>
      </c>
      <c r="J82" s="1">
        <v>1</v>
      </c>
      <c r="L82" s="1" t="s">
        <v>25</v>
      </c>
      <c r="M82" s="1" t="s">
        <v>33</v>
      </c>
      <c r="N82" s="1" t="s">
        <v>2</v>
      </c>
      <c r="O82" s="1" t="s">
        <v>40</v>
      </c>
      <c r="P82" s="1">
        <f t="shared" si="34"/>
        <v>1.4892570000000001</v>
      </c>
      <c r="Q82" s="1">
        <f t="shared" si="23"/>
        <v>1.3538699999999999</v>
      </c>
      <c r="R82" s="1">
        <f t="shared" si="24"/>
        <v>1.07131738</v>
      </c>
      <c r="S82" s="1">
        <f t="shared" si="25"/>
        <v>1.0220361199999999</v>
      </c>
      <c r="T82" s="33">
        <v>0</v>
      </c>
      <c r="U82" s="1">
        <v>1</v>
      </c>
      <c r="W82" s="1" t="s">
        <v>25</v>
      </c>
      <c r="X82" s="1" t="s">
        <v>33</v>
      </c>
      <c r="Y82" s="1" t="s">
        <v>2</v>
      </c>
      <c r="Z82" s="1" t="s">
        <v>39</v>
      </c>
      <c r="AA82" s="1">
        <f t="shared" si="29"/>
        <v>1.5500430000000003</v>
      </c>
      <c r="AB82" s="1">
        <f t="shared" si="30"/>
        <v>1.40913</v>
      </c>
      <c r="AC82" s="1">
        <f t="shared" si="31"/>
        <v>1.1150446199999999</v>
      </c>
      <c r="AD82" s="1">
        <f t="shared" si="32"/>
        <v>1.0637518800000001</v>
      </c>
      <c r="AE82" s="28">
        <f>MAX($I$26,$I$54,$I$82,$I$110,$I$138,$I$166,$I$194,$I$222,$I$250,$I$278,$I$306)</f>
        <v>14.768578</v>
      </c>
      <c r="AF82" s="1">
        <v>1</v>
      </c>
    </row>
    <row r="83" spans="2:32" x14ac:dyDescent="0.25">
      <c r="B83" s="1" t="s">
        <v>26</v>
      </c>
      <c r="C83" s="1" t="s">
        <v>33</v>
      </c>
      <c r="D83" s="1" t="s">
        <v>2</v>
      </c>
      <c r="E83" s="1"/>
      <c r="F83" s="1">
        <v>0.55200000000000005</v>
      </c>
      <c r="G83" s="1">
        <v>0.184</v>
      </c>
      <c r="H83" s="1">
        <v>0.27600000000000002</v>
      </c>
      <c r="I83" s="1">
        <v>0.27600000000000002</v>
      </c>
      <c r="J83" s="1">
        <v>1</v>
      </c>
      <c r="L83" s="1" t="s">
        <v>26</v>
      </c>
      <c r="M83" s="1" t="s">
        <v>33</v>
      </c>
      <c r="N83" s="1" t="s">
        <v>2</v>
      </c>
      <c r="O83" s="1" t="s">
        <v>40</v>
      </c>
      <c r="P83" s="1">
        <f>IF(ISBLANK(F83),":",0.98*F83)</f>
        <v>0.54096</v>
      </c>
      <c r="Q83" s="1">
        <f t="shared" si="23"/>
        <v>0.18031999999999998</v>
      </c>
      <c r="R83" s="1">
        <f t="shared" si="24"/>
        <v>0.27048</v>
      </c>
      <c r="S83" s="1">
        <f t="shared" si="25"/>
        <v>0.27048</v>
      </c>
      <c r="T83" s="33">
        <v>0</v>
      </c>
      <c r="U83" s="1">
        <v>1</v>
      </c>
      <c r="W83" s="1" t="s">
        <v>26</v>
      </c>
      <c r="X83" s="1" t="s">
        <v>33</v>
      </c>
      <c r="Y83" s="1" t="s">
        <v>2</v>
      </c>
      <c r="Z83" s="1" t="s">
        <v>39</v>
      </c>
      <c r="AA83" s="1">
        <f t="shared" si="29"/>
        <v>0.5630400000000001</v>
      </c>
      <c r="AB83" s="1">
        <f t="shared" si="30"/>
        <v>0.18768000000000001</v>
      </c>
      <c r="AC83" s="1">
        <f t="shared" si="31"/>
        <v>0.28152000000000005</v>
      </c>
      <c r="AD83" s="1">
        <f t="shared" si="32"/>
        <v>0.28152000000000005</v>
      </c>
      <c r="AE83" s="28">
        <f>MAX($I$27,$I$55,$I$83,$I$111,$I$139,$I$167,$I$195,$I$223,$I$251,$I$279,$I$307)</f>
        <v>43.948800000000006</v>
      </c>
      <c r="AF83" s="1">
        <v>1</v>
      </c>
    </row>
    <row r="84" spans="2:32" x14ac:dyDescent="0.25">
      <c r="B84" s="1" t="s">
        <v>27</v>
      </c>
      <c r="C84" s="1" t="s">
        <v>33</v>
      </c>
      <c r="D84" s="1" t="s">
        <v>2</v>
      </c>
      <c r="E84" s="1"/>
      <c r="F84" s="1">
        <v>0.23100000000000001</v>
      </c>
      <c r="G84" s="1">
        <v>0.23150000000000001</v>
      </c>
      <c r="H84" s="1">
        <v>0.23150000000000001</v>
      </c>
      <c r="I84" s="1">
        <v>0.1389</v>
      </c>
      <c r="J84" s="1">
        <v>1</v>
      </c>
      <c r="L84" s="1" t="s">
        <v>27</v>
      </c>
      <c r="M84" s="1" t="s">
        <v>33</v>
      </c>
      <c r="N84" s="1" t="s">
        <v>2</v>
      </c>
      <c r="O84" s="1" t="s">
        <v>40</v>
      </c>
      <c r="P84" s="1">
        <f>IF(ISBLANK(F84),":",0.98*F84)</f>
        <v>0.22638</v>
      </c>
      <c r="Q84" s="1">
        <f t="shared" si="23"/>
        <v>0.22687000000000002</v>
      </c>
      <c r="R84" s="1">
        <f t="shared" si="24"/>
        <v>0.22687000000000002</v>
      </c>
      <c r="S84" s="1">
        <f t="shared" si="25"/>
        <v>0.13612199999999999</v>
      </c>
      <c r="T84" s="33">
        <v>0</v>
      </c>
      <c r="U84" s="1">
        <v>1</v>
      </c>
      <c r="W84" s="1" t="s">
        <v>27</v>
      </c>
      <c r="X84" s="1" t="s">
        <v>33</v>
      </c>
      <c r="Y84" s="1" t="s">
        <v>2</v>
      </c>
      <c r="Z84" s="1" t="s">
        <v>39</v>
      </c>
      <c r="AA84" s="1">
        <f t="shared" si="29"/>
        <v>0.23562000000000002</v>
      </c>
      <c r="AB84" s="1">
        <f t="shared" si="30"/>
        <v>0.23613000000000001</v>
      </c>
      <c r="AC84" s="1">
        <f t="shared" si="31"/>
        <v>0.23613000000000001</v>
      </c>
      <c r="AD84" s="1">
        <f t="shared" si="32"/>
        <v>0.141678</v>
      </c>
      <c r="AE84" s="28">
        <f>MAX($I$28,$I$56,$I$84,$I$112,$I$140,$I$168,$I$196,$I$224,$I$252,$I$280,$I$308)</f>
        <v>66.917000000000002</v>
      </c>
      <c r="AF84" s="1">
        <v>1</v>
      </c>
    </row>
    <row r="85" spans="2:32" x14ac:dyDescent="0.25">
      <c r="B85" s="1" t="s">
        <v>28</v>
      </c>
      <c r="C85" s="1" t="s">
        <v>33</v>
      </c>
      <c r="D85" s="1" t="s">
        <v>2</v>
      </c>
      <c r="E85" s="1"/>
      <c r="F85" s="1">
        <v>0.204762</v>
      </c>
      <c r="G85" s="1">
        <v>0.17169900000000002</v>
      </c>
      <c r="H85" s="1">
        <v>0.172066</v>
      </c>
      <c r="I85" s="1">
        <v>0.172066</v>
      </c>
      <c r="J85" s="1">
        <v>1</v>
      </c>
      <c r="L85" s="1" t="s">
        <v>28</v>
      </c>
      <c r="M85" s="1" t="s">
        <v>33</v>
      </c>
      <c r="N85" s="1" t="s">
        <v>2</v>
      </c>
      <c r="O85" s="1" t="s">
        <v>40</v>
      </c>
      <c r="P85" s="1">
        <f t="shared" ref="P85" si="35">IF(ISBLANK(F85),":",0.98*F85)</f>
        <v>0.20066676</v>
      </c>
      <c r="Q85" s="1">
        <f t="shared" si="23"/>
        <v>0.16826502000000002</v>
      </c>
      <c r="R85" s="1">
        <f t="shared" si="24"/>
        <v>0.16862468</v>
      </c>
      <c r="S85" s="1">
        <f t="shared" si="25"/>
        <v>0.16862468</v>
      </c>
      <c r="T85" s="33">
        <v>0</v>
      </c>
      <c r="U85" s="1">
        <v>1</v>
      </c>
      <c r="W85" s="1" t="s">
        <v>28</v>
      </c>
      <c r="X85" s="1" t="s">
        <v>33</v>
      </c>
      <c r="Y85" s="1" t="s">
        <v>2</v>
      </c>
      <c r="Z85" s="1" t="s">
        <v>39</v>
      </c>
      <c r="AA85" s="1">
        <f t="shared" si="29"/>
        <v>0.20885724</v>
      </c>
      <c r="AB85" s="1">
        <f t="shared" si="30"/>
        <v>0.17513298000000002</v>
      </c>
      <c r="AC85" s="1">
        <f t="shared" si="31"/>
        <v>0.17550731999999999</v>
      </c>
      <c r="AD85" s="1">
        <f t="shared" si="32"/>
        <v>0.17550731999999999</v>
      </c>
      <c r="AE85" s="28">
        <f>MAX($I$29,$I$57,$I$85,$I$113,$I$141,$I$169,$I$197,$I$225,$I$253,$I$281,$I$309)</f>
        <v>112.108</v>
      </c>
      <c r="AF85" s="1">
        <v>1</v>
      </c>
    </row>
    <row r="86" spans="2:32" x14ac:dyDescent="0.25">
      <c r="B86" s="1" t="s">
        <v>29</v>
      </c>
      <c r="C86" s="1" t="s">
        <v>33</v>
      </c>
      <c r="D86" s="1" t="s">
        <v>2</v>
      </c>
      <c r="E86" s="1"/>
      <c r="F86" s="1">
        <v>0.55320000000000003</v>
      </c>
      <c r="G86" s="1">
        <v>4.6100000000000002E-2</v>
      </c>
      <c r="H86" s="1">
        <v>0.21473400000000001</v>
      </c>
      <c r="I86" s="1">
        <v>0.28798700000000005</v>
      </c>
      <c r="J86" s="1">
        <v>1</v>
      </c>
      <c r="L86" s="1" t="s">
        <v>29</v>
      </c>
      <c r="M86" s="1" t="s">
        <v>33</v>
      </c>
      <c r="N86" s="1" t="s">
        <v>2</v>
      </c>
      <c r="O86" s="1" t="s">
        <v>40</v>
      </c>
      <c r="P86" s="1">
        <f t="shared" ref="P86:P91" si="36">IF(ISBLANK(F86),":",0.98*F86)</f>
        <v>0.54213600000000006</v>
      </c>
      <c r="Q86" s="1">
        <f t="shared" si="23"/>
        <v>4.5178000000000003E-2</v>
      </c>
      <c r="R86" s="1">
        <f t="shared" si="24"/>
        <v>0.21043932000000001</v>
      </c>
      <c r="S86" s="1">
        <f t="shared" si="25"/>
        <v>0.28222726000000004</v>
      </c>
      <c r="T86" s="33">
        <v>0</v>
      </c>
      <c r="U86" s="1">
        <v>1</v>
      </c>
      <c r="W86" s="1" t="s">
        <v>29</v>
      </c>
      <c r="X86" s="1" t="s">
        <v>33</v>
      </c>
      <c r="Y86" s="1" t="s">
        <v>2</v>
      </c>
      <c r="Z86" s="1" t="s">
        <v>39</v>
      </c>
      <c r="AA86" s="1">
        <f t="shared" si="29"/>
        <v>0.56426399999999999</v>
      </c>
      <c r="AB86" s="1">
        <f t="shared" si="30"/>
        <v>4.7022000000000001E-2</v>
      </c>
      <c r="AC86" s="1">
        <f t="shared" si="31"/>
        <v>0.21902868</v>
      </c>
      <c r="AD86" s="1">
        <f t="shared" si="32"/>
        <v>0.29374674000000006</v>
      </c>
      <c r="AE86" s="28">
        <f>MAX($I$30,$I$58,$I$86,$I$114,$I$142,$I$170,$I$198,$I$226,$I$254,$I$282,$I$310)</f>
        <v>101.44997000000001</v>
      </c>
      <c r="AF86" s="1">
        <v>1</v>
      </c>
    </row>
    <row r="87" spans="2:32" x14ac:dyDescent="0.25">
      <c r="B87" s="1" t="s">
        <v>30</v>
      </c>
      <c r="C87" s="1" t="s">
        <v>33</v>
      </c>
      <c r="D87" s="1" t="s">
        <v>2</v>
      </c>
      <c r="E87" s="1"/>
      <c r="F87" s="1">
        <v>18.084599999999998</v>
      </c>
      <c r="G87" s="1">
        <v>9.4114709999999988</v>
      </c>
      <c r="H87" s="1">
        <v>12.116946120811699</v>
      </c>
      <c r="I87" s="1">
        <v>11.172144595092021</v>
      </c>
      <c r="J87" s="1">
        <v>1</v>
      </c>
      <c r="L87" s="1" t="s">
        <v>30</v>
      </c>
      <c r="M87" s="1" t="s">
        <v>33</v>
      </c>
      <c r="N87" s="1" t="s">
        <v>2</v>
      </c>
      <c r="O87" s="1" t="s">
        <v>40</v>
      </c>
      <c r="P87" s="1">
        <f t="shared" si="36"/>
        <v>17.722907999999997</v>
      </c>
      <c r="Q87" s="1">
        <f t="shared" si="23"/>
        <v>9.2232415799999981</v>
      </c>
      <c r="R87" s="1">
        <f t="shared" si="24"/>
        <v>11.874607198395465</v>
      </c>
      <c r="S87" s="1">
        <f t="shared" si="25"/>
        <v>10.948701703190181</v>
      </c>
      <c r="T87" s="33">
        <v>0</v>
      </c>
      <c r="U87" s="1">
        <v>1</v>
      </c>
      <c r="W87" s="1" t="s">
        <v>30</v>
      </c>
      <c r="X87" s="1" t="s">
        <v>33</v>
      </c>
      <c r="Y87" s="1" t="s">
        <v>2</v>
      </c>
      <c r="Z87" s="1" t="s">
        <v>39</v>
      </c>
      <c r="AA87" s="1">
        <f t="shared" si="29"/>
        <v>18.446292</v>
      </c>
      <c r="AB87" s="1">
        <f t="shared" si="30"/>
        <v>9.5997004199999996</v>
      </c>
      <c r="AC87" s="1">
        <f t="shared" si="31"/>
        <v>12.359285043227933</v>
      </c>
      <c r="AD87" s="1">
        <f t="shared" si="32"/>
        <v>11.395587486993861</v>
      </c>
      <c r="AE87" s="28">
        <f>MAX($I$31,$I$59,$I$87,$I$115,$I$143,$I$171,$I$199,$I$227,$I$255,$I$283,$I$311)</f>
        <v>814.1906987082092</v>
      </c>
      <c r="AF87" s="1">
        <v>1</v>
      </c>
    </row>
    <row r="88" spans="2:32" x14ac:dyDescent="0.25">
      <c r="B88" s="24" t="s">
        <v>0</v>
      </c>
      <c r="C88" s="24" t="s">
        <v>34</v>
      </c>
      <c r="D88" s="24" t="s">
        <v>2</v>
      </c>
      <c r="E88" s="24"/>
      <c r="F88" s="24">
        <v>0.4713</v>
      </c>
      <c r="G88" s="24">
        <v>0.9477000000000001</v>
      </c>
      <c r="H88" s="24">
        <v>1.056</v>
      </c>
      <c r="I88" s="24">
        <v>1.0386</v>
      </c>
      <c r="J88" s="1">
        <v>1</v>
      </c>
      <c r="L88" s="1" t="s">
        <v>0</v>
      </c>
      <c r="M88" s="1" t="s">
        <v>34</v>
      </c>
      <c r="N88" s="1" t="s">
        <v>2</v>
      </c>
      <c r="O88" s="1" t="s">
        <v>40</v>
      </c>
      <c r="P88" s="1">
        <f t="shared" si="36"/>
        <v>0.46187400000000001</v>
      </c>
      <c r="Q88" s="1">
        <f t="shared" si="23"/>
        <v>0.92874600000000007</v>
      </c>
      <c r="R88" s="1">
        <f t="shared" si="24"/>
        <v>1.03488</v>
      </c>
      <c r="S88" s="1">
        <f t="shared" si="25"/>
        <v>1.017828</v>
      </c>
      <c r="T88" s="33">
        <v>0</v>
      </c>
      <c r="U88" s="1">
        <v>1</v>
      </c>
      <c r="W88" s="1" t="s">
        <v>0</v>
      </c>
      <c r="X88" s="1" t="s">
        <v>34</v>
      </c>
      <c r="Y88" s="1" t="s">
        <v>2</v>
      </c>
      <c r="Z88" s="1" t="s">
        <v>39</v>
      </c>
      <c r="AA88" s="1">
        <f t="shared" si="29"/>
        <v>0.48072599999999999</v>
      </c>
      <c r="AB88" s="1">
        <f t="shared" si="30"/>
        <v>0.96665400000000012</v>
      </c>
      <c r="AC88" s="1">
        <f t="shared" si="31"/>
        <v>1.0771200000000001</v>
      </c>
      <c r="AD88" s="1">
        <f t="shared" si="32"/>
        <v>1.059372</v>
      </c>
      <c r="AE88" s="28">
        <f>MAX($I$4,$I$32,$I$60,$I$88,$I$116,$I$144,$I$172,$I$200,$I$228,$I$256,$I$284)</f>
        <v>119.69903699999999</v>
      </c>
      <c r="AF88" s="1">
        <v>1</v>
      </c>
    </row>
    <row r="89" spans="2:32" x14ac:dyDescent="0.25">
      <c r="B89" s="24" t="s">
        <v>3</v>
      </c>
      <c r="C89" s="24" t="s">
        <v>34</v>
      </c>
      <c r="D89" s="24" t="s">
        <v>2</v>
      </c>
      <c r="E89" s="24"/>
      <c r="F89" s="24">
        <v>0.27</v>
      </c>
      <c r="G89" s="24">
        <v>0.40400000000000003</v>
      </c>
      <c r="H89" s="24">
        <v>0.481902</v>
      </c>
      <c r="I89" s="24">
        <v>0.58449600000000002</v>
      </c>
      <c r="J89" s="1">
        <v>1</v>
      </c>
      <c r="L89" s="1" t="s">
        <v>3</v>
      </c>
      <c r="M89" s="1" t="s">
        <v>34</v>
      </c>
      <c r="N89" s="1" t="s">
        <v>2</v>
      </c>
      <c r="O89" s="1" t="s">
        <v>40</v>
      </c>
      <c r="P89" s="1">
        <f t="shared" si="36"/>
        <v>0.2646</v>
      </c>
      <c r="Q89" s="1">
        <f t="shared" si="23"/>
        <v>0.39591999999999999</v>
      </c>
      <c r="R89" s="1">
        <f t="shared" si="24"/>
        <v>0.47226395999999998</v>
      </c>
      <c r="S89" s="1">
        <f t="shared" si="25"/>
        <v>0.57280608</v>
      </c>
      <c r="T89" s="33">
        <v>0</v>
      </c>
      <c r="U89" s="1">
        <v>1</v>
      </c>
      <c r="W89" s="1" t="s">
        <v>3</v>
      </c>
      <c r="X89" s="1" t="s">
        <v>34</v>
      </c>
      <c r="Y89" s="1" t="s">
        <v>2</v>
      </c>
      <c r="Z89" s="1" t="s">
        <v>39</v>
      </c>
      <c r="AA89" s="1">
        <f t="shared" si="29"/>
        <v>0.27540000000000003</v>
      </c>
      <c r="AB89" s="1">
        <f t="shared" si="30"/>
        <v>0.41208000000000006</v>
      </c>
      <c r="AC89" s="1">
        <f t="shared" si="31"/>
        <v>0.49154004000000001</v>
      </c>
      <c r="AD89" s="1">
        <f t="shared" si="32"/>
        <v>0.59618592000000004</v>
      </c>
      <c r="AE89" s="28">
        <f>MAX($I$5,$I$33,$I$61,$I$89,$I$117,$I$145,$I$173,$I$201,$I$229,$I$257,$I$285)</f>
        <v>27.890193999999994</v>
      </c>
      <c r="AF89" s="1">
        <v>1</v>
      </c>
    </row>
    <row r="90" spans="2:32" x14ac:dyDescent="0.25">
      <c r="B90" s="24" t="s">
        <v>4</v>
      </c>
      <c r="C90" s="24" t="s">
        <v>34</v>
      </c>
      <c r="D90" s="24" t="s">
        <v>2</v>
      </c>
      <c r="E90" s="24"/>
      <c r="F90" s="24">
        <v>0.28451199999999999</v>
      </c>
      <c r="G90" s="24">
        <v>0.51642600000000005</v>
      </c>
      <c r="H90" s="24">
        <v>0.61600199999999994</v>
      </c>
      <c r="I90" s="24">
        <v>0.67830999999999997</v>
      </c>
      <c r="J90" s="1">
        <v>1</v>
      </c>
      <c r="L90" s="1" t="s">
        <v>4</v>
      </c>
      <c r="M90" s="1" t="s">
        <v>34</v>
      </c>
      <c r="N90" s="1" t="s">
        <v>2</v>
      </c>
      <c r="O90" s="1" t="s">
        <v>40</v>
      </c>
      <c r="P90" s="1">
        <f t="shared" si="36"/>
        <v>0.27882175999999997</v>
      </c>
      <c r="Q90" s="1">
        <f t="shared" si="23"/>
        <v>0.50609747999999999</v>
      </c>
      <c r="R90" s="1">
        <f t="shared" si="24"/>
        <v>0.60368195999999996</v>
      </c>
      <c r="S90" s="1">
        <f t="shared" si="25"/>
        <v>0.6647438</v>
      </c>
      <c r="T90" s="33">
        <v>0</v>
      </c>
      <c r="U90" s="1">
        <v>1</v>
      </c>
      <c r="W90" s="1" t="s">
        <v>4</v>
      </c>
      <c r="X90" s="1" t="s">
        <v>34</v>
      </c>
      <c r="Y90" s="1" t="s">
        <v>2</v>
      </c>
      <c r="Z90" s="1" t="s">
        <v>39</v>
      </c>
      <c r="AA90" s="1">
        <f t="shared" si="29"/>
        <v>0.29020224</v>
      </c>
      <c r="AB90" s="1">
        <f t="shared" si="30"/>
        <v>0.52675452000000011</v>
      </c>
      <c r="AC90" s="1">
        <f t="shared" si="31"/>
        <v>0.62832203999999992</v>
      </c>
      <c r="AD90" s="1">
        <f t="shared" si="32"/>
        <v>0.69187619999999994</v>
      </c>
      <c r="AE90" s="28">
        <f>MAX($I$6,$I$34,$I$62,$I$90,$I$118,$I$146,$I$174,$I$202,$I$230,$I$258,$I$286)</f>
        <v>80.496740000000003</v>
      </c>
      <c r="AF90" s="1">
        <v>1</v>
      </c>
    </row>
    <row r="91" spans="2:32" x14ac:dyDescent="0.25">
      <c r="B91" s="24" t="s">
        <v>5</v>
      </c>
      <c r="C91" s="24" t="s">
        <v>34</v>
      </c>
      <c r="D91" s="24" t="s">
        <v>2</v>
      </c>
      <c r="E91" s="24"/>
      <c r="F91" s="24">
        <v>0.41851499999999997</v>
      </c>
      <c r="G91" s="24">
        <v>0.49363400000000002</v>
      </c>
      <c r="H91" s="24">
        <v>0.51933799999999997</v>
      </c>
      <c r="I91" s="24">
        <v>0.51132299999999997</v>
      </c>
      <c r="J91" s="1">
        <v>1</v>
      </c>
      <c r="L91" s="1" t="s">
        <v>5</v>
      </c>
      <c r="M91" s="1" t="s">
        <v>34</v>
      </c>
      <c r="N91" s="1" t="s">
        <v>2</v>
      </c>
      <c r="O91" s="1" t="s">
        <v>40</v>
      </c>
      <c r="P91" s="1">
        <f t="shared" si="36"/>
        <v>0.41014469999999997</v>
      </c>
      <c r="Q91" s="1">
        <f t="shared" si="23"/>
        <v>0.48376131999999999</v>
      </c>
      <c r="R91" s="1">
        <f t="shared" si="24"/>
        <v>0.50895123999999992</v>
      </c>
      <c r="S91" s="1">
        <f t="shared" si="25"/>
        <v>0.50109653999999992</v>
      </c>
      <c r="T91" s="33">
        <v>0</v>
      </c>
      <c r="U91" s="1">
        <v>1</v>
      </c>
      <c r="W91" s="1" t="s">
        <v>5</v>
      </c>
      <c r="X91" s="1" t="s">
        <v>34</v>
      </c>
      <c r="Y91" s="1" t="s">
        <v>2</v>
      </c>
      <c r="Z91" s="1" t="s">
        <v>39</v>
      </c>
      <c r="AA91" s="1">
        <f t="shared" si="29"/>
        <v>0.42688529999999997</v>
      </c>
      <c r="AB91" s="1">
        <f t="shared" si="30"/>
        <v>0.50350667999999998</v>
      </c>
      <c r="AC91" s="1">
        <f t="shared" si="31"/>
        <v>0.52972476000000002</v>
      </c>
      <c r="AD91" s="1">
        <f t="shared" si="32"/>
        <v>0.52154946000000002</v>
      </c>
      <c r="AE91" s="28">
        <f>MAX($I$7,$I$35,$I$63,$I$91,$I$119,$I$147,$I$175,$I$203,$I$231,$I$259,$I$287)</f>
        <v>69.570329999999998</v>
      </c>
      <c r="AF91" s="1">
        <v>1</v>
      </c>
    </row>
    <row r="92" spans="2:32" x14ac:dyDescent="0.25">
      <c r="B92" s="24" t="s">
        <v>6</v>
      </c>
      <c r="C92" s="24" t="s">
        <v>34</v>
      </c>
      <c r="D92" s="24" t="s">
        <v>2</v>
      </c>
      <c r="E92" s="24"/>
      <c r="F92" s="24">
        <v>19.047999999999998</v>
      </c>
      <c r="G92" s="24">
        <v>26.481999999999999</v>
      </c>
      <c r="H92" s="24">
        <v>30.652999999999999</v>
      </c>
      <c r="I92" s="24">
        <v>31.373000000000001</v>
      </c>
      <c r="J92" s="1">
        <v>1</v>
      </c>
      <c r="L92" s="1" t="s">
        <v>6</v>
      </c>
      <c r="M92" s="1" t="s">
        <v>34</v>
      </c>
      <c r="N92" s="1" t="s">
        <v>2</v>
      </c>
      <c r="O92" s="1" t="s">
        <v>40</v>
      </c>
      <c r="P92" s="1">
        <f t="shared" ref="P92:P95" si="37">IF(ISBLANK(F92),":",0.98*F92)</f>
        <v>18.667039999999997</v>
      </c>
      <c r="Q92" s="1">
        <f t="shared" si="23"/>
        <v>25.952359999999999</v>
      </c>
      <c r="R92" s="1">
        <f t="shared" si="24"/>
        <v>30.039939999999998</v>
      </c>
      <c r="S92" s="1">
        <f t="shared" si="25"/>
        <v>30.745540000000002</v>
      </c>
      <c r="T92" s="33">
        <v>0</v>
      </c>
      <c r="U92" s="1">
        <v>1</v>
      </c>
      <c r="W92" s="1" t="s">
        <v>6</v>
      </c>
      <c r="X92" s="1" t="s">
        <v>34</v>
      </c>
      <c r="Y92" s="1" t="s">
        <v>2</v>
      </c>
      <c r="Z92" s="1" t="s">
        <v>39</v>
      </c>
      <c r="AA92" s="1">
        <f t="shared" si="29"/>
        <v>19.42896</v>
      </c>
      <c r="AB92" s="1">
        <f t="shared" si="30"/>
        <v>27.01164</v>
      </c>
      <c r="AC92" s="1">
        <f t="shared" si="31"/>
        <v>31.26606</v>
      </c>
      <c r="AD92" s="1">
        <f t="shared" si="32"/>
        <v>32.000460000000004</v>
      </c>
      <c r="AE92" s="28">
        <f>MAX($I$8,$I$36,$I$64,$I$92,$I$120,$I$148,$I$176,$I$204,$I$232,$I$260,$I$288)</f>
        <v>836.17112299999997</v>
      </c>
      <c r="AF92" s="1">
        <v>1</v>
      </c>
    </row>
    <row r="93" spans="2:32" x14ac:dyDescent="0.25">
      <c r="B93" s="24" t="s">
        <v>7</v>
      </c>
      <c r="C93" s="24" t="s">
        <v>34</v>
      </c>
      <c r="D93" s="24" t="s">
        <v>2</v>
      </c>
      <c r="E93" s="24"/>
      <c r="F93" s="24">
        <v>0</v>
      </c>
      <c r="G93" s="24">
        <v>0</v>
      </c>
      <c r="H93" s="24">
        <v>0</v>
      </c>
      <c r="I93" s="24">
        <v>0</v>
      </c>
      <c r="J93" s="1">
        <v>1</v>
      </c>
      <c r="L93" s="1" t="s">
        <v>7</v>
      </c>
      <c r="M93" s="1" t="s">
        <v>34</v>
      </c>
      <c r="N93" s="1" t="s">
        <v>2</v>
      </c>
      <c r="O93" s="1" t="s">
        <v>40</v>
      </c>
      <c r="P93" s="1">
        <f t="shared" si="37"/>
        <v>0</v>
      </c>
      <c r="Q93" s="1">
        <f t="shared" si="23"/>
        <v>0</v>
      </c>
      <c r="R93" s="1">
        <f t="shared" si="24"/>
        <v>0</v>
      </c>
      <c r="S93" s="1">
        <f t="shared" si="25"/>
        <v>0</v>
      </c>
      <c r="T93" s="33">
        <v>0</v>
      </c>
      <c r="U93" s="1">
        <v>1</v>
      </c>
      <c r="W93" s="1" t="s">
        <v>7</v>
      </c>
      <c r="X93" s="1" t="s">
        <v>34</v>
      </c>
      <c r="Y93" s="1" t="s">
        <v>2</v>
      </c>
      <c r="Z93" s="1" t="s">
        <v>39</v>
      </c>
      <c r="AA93" s="1">
        <f t="shared" si="29"/>
        <v>0</v>
      </c>
      <c r="AB93" s="1">
        <f t="shared" si="30"/>
        <v>0</v>
      </c>
      <c r="AC93" s="1">
        <f t="shared" si="31"/>
        <v>0</v>
      </c>
      <c r="AD93" s="1">
        <f t="shared" si="32"/>
        <v>0</v>
      </c>
      <c r="AE93" s="28">
        <f>MAX($I$9,$I$37,$I$65,$I$93,$I$121,$I$149,$I$177,$I$205,$I$233,$I$261,$I$289)</f>
        <v>15.457636000000001</v>
      </c>
      <c r="AF93" s="1">
        <v>1</v>
      </c>
    </row>
    <row r="94" spans="2:32" x14ac:dyDescent="0.25">
      <c r="B94" s="24" t="s">
        <v>8</v>
      </c>
      <c r="C94" s="24" t="s">
        <v>34</v>
      </c>
      <c r="D94" s="24" t="s">
        <v>2</v>
      </c>
      <c r="E94" s="24"/>
      <c r="F94" s="24">
        <v>0.30758300000000005</v>
      </c>
      <c r="G94" s="24">
        <v>0.47158999999999995</v>
      </c>
      <c r="H94" s="24">
        <v>0.58201899999999995</v>
      </c>
      <c r="I94" s="24">
        <v>0.58350900000000006</v>
      </c>
      <c r="J94" s="1">
        <v>1</v>
      </c>
      <c r="L94" s="1" t="s">
        <v>8</v>
      </c>
      <c r="M94" s="1" t="s">
        <v>34</v>
      </c>
      <c r="N94" s="1" t="s">
        <v>2</v>
      </c>
      <c r="O94" s="1" t="s">
        <v>40</v>
      </c>
      <c r="P94" s="1">
        <f t="shared" si="37"/>
        <v>0.30143134000000005</v>
      </c>
      <c r="Q94" s="1">
        <f t="shared" si="23"/>
        <v>0.46215819999999996</v>
      </c>
      <c r="R94" s="1">
        <f t="shared" si="24"/>
        <v>0.57037861999999995</v>
      </c>
      <c r="S94" s="1">
        <f t="shared" si="25"/>
        <v>0.57183882000000008</v>
      </c>
      <c r="T94" s="33">
        <v>0</v>
      </c>
      <c r="U94" s="1">
        <v>1</v>
      </c>
      <c r="W94" s="1" t="s">
        <v>8</v>
      </c>
      <c r="X94" s="1" t="s">
        <v>34</v>
      </c>
      <c r="Y94" s="1" t="s">
        <v>2</v>
      </c>
      <c r="Z94" s="1" t="s">
        <v>39</v>
      </c>
      <c r="AA94" s="1">
        <f t="shared" si="29"/>
        <v>0.31373466000000005</v>
      </c>
      <c r="AB94" s="1">
        <f t="shared" si="30"/>
        <v>0.48102179999999994</v>
      </c>
      <c r="AC94" s="1">
        <f t="shared" si="31"/>
        <v>0.59365937999999996</v>
      </c>
      <c r="AD94" s="1">
        <f t="shared" si="32"/>
        <v>0.59517918000000003</v>
      </c>
      <c r="AE94" s="28">
        <f>MAX(I$10,I$38,I$66,I$94,I$122,I$150,I$178,I$206,I$234,I$262,I$290)</f>
        <v>42.352189999999993</v>
      </c>
      <c r="AF94" s="1">
        <v>1</v>
      </c>
    </row>
    <row r="95" spans="2:32" x14ac:dyDescent="0.25">
      <c r="B95" s="24" t="s">
        <v>9</v>
      </c>
      <c r="C95" s="24" t="s">
        <v>34</v>
      </c>
      <c r="D95" s="24" t="s">
        <v>2</v>
      </c>
      <c r="E95" s="24"/>
      <c r="F95" s="24">
        <v>9.6780000000000008</v>
      </c>
      <c r="G95" s="24">
        <v>10.395</v>
      </c>
      <c r="H95" s="24">
        <v>11.756500000000001</v>
      </c>
      <c r="I95" s="24">
        <v>13.525456</v>
      </c>
      <c r="J95" s="1">
        <v>1</v>
      </c>
      <c r="L95" s="1" t="s">
        <v>9</v>
      </c>
      <c r="M95" s="1" t="s">
        <v>34</v>
      </c>
      <c r="N95" s="1" t="s">
        <v>2</v>
      </c>
      <c r="O95" s="1" t="s">
        <v>40</v>
      </c>
      <c r="P95" s="1">
        <f t="shared" si="37"/>
        <v>9.4844400000000011</v>
      </c>
      <c r="Q95" s="1">
        <f t="shared" si="23"/>
        <v>10.187099999999999</v>
      </c>
      <c r="R95" s="1">
        <f t="shared" si="24"/>
        <v>11.521370000000001</v>
      </c>
      <c r="S95" s="1">
        <f t="shared" si="25"/>
        <v>13.25494688</v>
      </c>
      <c r="T95" s="33">
        <v>0</v>
      </c>
      <c r="U95" s="1">
        <v>1</v>
      </c>
      <c r="W95" s="1" t="s">
        <v>9</v>
      </c>
      <c r="X95" s="1" t="s">
        <v>34</v>
      </c>
      <c r="Y95" s="1" t="s">
        <v>2</v>
      </c>
      <c r="Z95" s="1" t="s">
        <v>39</v>
      </c>
      <c r="AA95" s="1">
        <f t="shared" si="29"/>
        <v>9.8715600000000006</v>
      </c>
      <c r="AB95" s="1">
        <f t="shared" si="30"/>
        <v>10.6029</v>
      </c>
      <c r="AC95" s="1">
        <f t="shared" si="31"/>
        <v>11.991630000000001</v>
      </c>
      <c r="AD95" s="1">
        <f t="shared" si="32"/>
        <v>13.79596512</v>
      </c>
      <c r="AE95" s="28">
        <f>MAX($I$11,$I$39,$I$67,$I$95,$I$123,$I$151,$I$179,$I$207,$I$235,$I$263,$I$291)</f>
        <v>37.635565999999997</v>
      </c>
      <c r="AF95" s="1">
        <v>1</v>
      </c>
    </row>
    <row r="96" spans="2:32" x14ac:dyDescent="0.25">
      <c r="B96" s="24" t="s">
        <v>10</v>
      </c>
      <c r="C96" s="24" t="s">
        <v>34</v>
      </c>
      <c r="D96" s="24" t="s">
        <v>2</v>
      </c>
      <c r="E96" s="24"/>
      <c r="F96" s="24">
        <v>5.8651400000000002</v>
      </c>
      <c r="G96" s="24">
        <v>8.2742590000000007</v>
      </c>
      <c r="H96" s="24">
        <v>11.192358</v>
      </c>
      <c r="I96" s="24">
        <v>12.295717</v>
      </c>
      <c r="J96" s="1">
        <v>1</v>
      </c>
      <c r="L96" s="1" t="s">
        <v>10</v>
      </c>
      <c r="M96" s="1" t="s">
        <v>34</v>
      </c>
      <c r="N96" s="1" t="s">
        <v>2</v>
      </c>
      <c r="O96" s="1" t="s">
        <v>40</v>
      </c>
      <c r="P96" s="1">
        <f>IF(ISBLANK(F96),":",0.98*F96)</f>
        <v>5.7478372000000002</v>
      </c>
      <c r="Q96" s="1">
        <f t="shared" si="23"/>
        <v>8.1087738199999997</v>
      </c>
      <c r="R96" s="1">
        <f t="shared" si="24"/>
        <v>10.96851084</v>
      </c>
      <c r="S96" s="1">
        <f t="shared" si="25"/>
        <v>12.049802659999999</v>
      </c>
      <c r="T96" s="33">
        <v>0</v>
      </c>
      <c r="U96" s="1">
        <v>1</v>
      </c>
      <c r="W96" s="1" t="s">
        <v>10</v>
      </c>
      <c r="X96" s="1" t="s">
        <v>34</v>
      </c>
      <c r="Y96" s="1" t="s">
        <v>2</v>
      </c>
      <c r="Z96" s="1" t="s">
        <v>39</v>
      </c>
      <c r="AA96" s="1">
        <f t="shared" si="29"/>
        <v>5.9824428000000003</v>
      </c>
      <c r="AB96" s="1">
        <f t="shared" si="30"/>
        <v>8.4397441800000017</v>
      </c>
      <c r="AC96" s="1">
        <f t="shared" si="31"/>
        <v>11.416205160000001</v>
      </c>
      <c r="AD96" s="1">
        <f t="shared" si="32"/>
        <v>12.54163134</v>
      </c>
      <c r="AE96" s="28">
        <f>MAX($I$12,$I$40,$I$68,$I$96,$I$124,$I$152,$I$180,$I$208,$I$236,$I$264,$I$292)</f>
        <v>218.13407800000004</v>
      </c>
      <c r="AF96" s="1">
        <v>1</v>
      </c>
    </row>
    <row r="97" spans="2:32" x14ac:dyDescent="0.25">
      <c r="B97" s="24" t="s">
        <v>11</v>
      </c>
      <c r="C97" s="24" t="s">
        <v>34</v>
      </c>
      <c r="D97" s="24" t="s">
        <v>2</v>
      </c>
      <c r="E97" s="24"/>
      <c r="F97" s="24">
        <v>2.5190000000000001</v>
      </c>
      <c r="G97" s="24">
        <v>6.2477510000000001</v>
      </c>
      <c r="H97" s="24">
        <v>8.3432940000000002</v>
      </c>
      <c r="I97" s="24">
        <v>9.4893819999999991</v>
      </c>
      <c r="J97" s="1">
        <v>1</v>
      </c>
      <c r="L97" s="1" t="s">
        <v>11</v>
      </c>
      <c r="M97" s="1" t="s">
        <v>34</v>
      </c>
      <c r="N97" s="1" t="s">
        <v>2</v>
      </c>
      <c r="O97" s="1" t="s">
        <v>40</v>
      </c>
      <c r="P97" s="1">
        <f>IF(ISBLANK(F97),":",0.98*F97)</f>
        <v>2.46862</v>
      </c>
      <c r="Q97" s="1">
        <f t="shared" si="23"/>
        <v>6.1227959800000002</v>
      </c>
      <c r="R97" s="1">
        <f t="shared" si="24"/>
        <v>8.1764281200000006</v>
      </c>
      <c r="S97" s="1">
        <f t="shared" si="25"/>
        <v>9.2995943599999986</v>
      </c>
      <c r="T97" s="33">
        <v>0</v>
      </c>
      <c r="U97" s="1">
        <v>1</v>
      </c>
      <c r="W97" s="1" t="s">
        <v>11</v>
      </c>
      <c r="X97" s="1" t="s">
        <v>34</v>
      </c>
      <c r="Y97" s="1" t="s">
        <v>2</v>
      </c>
      <c r="Z97" s="1" t="s">
        <v>39</v>
      </c>
      <c r="AA97" s="1">
        <f t="shared" si="29"/>
        <v>2.5693800000000002</v>
      </c>
      <c r="AB97" s="1">
        <f t="shared" si="30"/>
        <v>6.3727060199999999</v>
      </c>
      <c r="AC97" s="1">
        <f t="shared" si="31"/>
        <v>8.5101598799999998</v>
      </c>
      <c r="AD97" s="1">
        <f t="shared" si="32"/>
        <v>9.6791696399999996</v>
      </c>
      <c r="AE97" s="28">
        <f>MAX($I$13,$I$41,$I$69,$I$97,$I$125,$I$153,$I$181,$I$209,$I$237,$I$265,$I$293)</f>
        <v>364.78012100000001</v>
      </c>
      <c r="AF97" s="1">
        <v>1</v>
      </c>
    </row>
    <row r="98" spans="2:32" x14ac:dyDescent="0.25">
      <c r="B98" s="24" t="s">
        <v>12</v>
      </c>
      <c r="C98" s="24" t="s">
        <v>34</v>
      </c>
      <c r="D98" s="24" t="s">
        <v>2</v>
      </c>
      <c r="E98" s="24"/>
      <c r="F98" s="24">
        <v>0.153</v>
      </c>
      <c r="G98" s="24">
        <v>0.30499999999999999</v>
      </c>
      <c r="H98" s="24">
        <v>0.47899999999999998</v>
      </c>
      <c r="I98" s="24">
        <v>0.48210000000000003</v>
      </c>
      <c r="J98" s="1">
        <v>1</v>
      </c>
      <c r="L98" s="1" t="s">
        <v>12</v>
      </c>
      <c r="M98" s="1" t="s">
        <v>34</v>
      </c>
      <c r="N98" s="1" t="s">
        <v>2</v>
      </c>
      <c r="O98" s="1" t="s">
        <v>40</v>
      </c>
      <c r="P98" s="1">
        <f t="shared" ref="P98:P101" si="38">IF(ISBLANK(F98),":",0.98*F98)</f>
        <v>0.14993999999999999</v>
      </c>
      <c r="Q98" s="1">
        <f t="shared" si="23"/>
        <v>0.2989</v>
      </c>
      <c r="R98" s="1">
        <f t="shared" si="24"/>
        <v>0.46941999999999995</v>
      </c>
      <c r="S98" s="1">
        <f t="shared" si="25"/>
        <v>0.47245800000000004</v>
      </c>
      <c r="T98" s="33">
        <v>0</v>
      </c>
      <c r="U98" s="1">
        <v>1</v>
      </c>
      <c r="W98" s="1" t="s">
        <v>12</v>
      </c>
      <c r="X98" s="1" t="s">
        <v>34</v>
      </c>
      <c r="Y98" s="1" t="s">
        <v>2</v>
      </c>
      <c r="Z98" s="1" t="s">
        <v>39</v>
      </c>
      <c r="AA98" s="1">
        <f t="shared" si="29"/>
        <v>0.15606</v>
      </c>
      <c r="AB98" s="1">
        <f t="shared" si="30"/>
        <v>0.31109999999999999</v>
      </c>
      <c r="AC98" s="1">
        <f t="shared" si="31"/>
        <v>0.48858000000000001</v>
      </c>
      <c r="AD98" s="1">
        <f t="shared" si="32"/>
        <v>0.49174200000000001</v>
      </c>
      <c r="AE98" s="28">
        <f>MAX($I$14,$I$42,$I$70,$I$98,$I$126,$I$154,$I$182,$I$210,$I$238,$I$266,$I$294)</f>
        <v>40.304569999999998</v>
      </c>
      <c r="AF98" s="1">
        <v>1</v>
      </c>
    </row>
    <row r="99" spans="2:32" x14ac:dyDescent="0.25">
      <c r="B99" s="24" t="s">
        <v>13</v>
      </c>
      <c r="C99" s="24" t="s">
        <v>34</v>
      </c>
      <c r="D99" s="24" t="s">
        <v>2</v>
      </c>
      <c r="E99" s="24"/>
      <c r="F99" s="24">
        <v>4.1559999999999997</v>
      </c>
      <c r="G99" s="24">
        <v>5.8840000000000003</v>
      </c>
      <c r="H99" s="24">
        <v>7.5439239999999996</v>
      </c>
      <c r="I99" s="24">
        <v>9.1833480000000005</v>
      </c>
      <c r="J99" s="1">
        <v>1</v>
      </c>
      <c r="L99" s="1" t="s">
        <v>13</v>
      </c>
      <c r="M99" s="1" t="s">
        <v>34</v>
      </c>
      <c r="N99" s="1" t="s">
        <v>2</v>
      </c>
      <c r="O99" s="1" t="s">
        <v>40</v>
      </c>
      <c r="P99" s="1">
        <f t="shared" si="38"/>
        <v>4.0728799999999996</v>
      </c>
      <c r="Q99" s="1">
        <f t="shared" si="23"/>
        <v>5.7663200000000003</v>
      </c>
      <c r="R99" s="1">
        <f t="shared" si="24"/>
        <v>7.3930455199999994</v>
      </c>
      <c r="S99" s="1">
        <f t="shared" si="25"/>
        <v>8.9996810400000005</v>
      </c>
      <c r="T99" s="33">
        <v>0</v>
      </c>
      <c r="U99" s="1">
        <v>1</v>
      </c>
      <c r="W99" s="1" t="s">
        <v>13</v>
      </c>
      <c r="X99" s="1" t="s">
        <v>34</v>
      </c>
      <c r="Y99" s="1" t="s">
        <v>2</v>
      </c>
      <c r="Z99" s="1" t="s">
        <v>39</v>
      </c>
      <c r="AA99" s="1">
        <f t="shared" si="29"/>
        <v>4.2391199999999998</v>
      </c>
      <c r="AB99" s="1">
        <f t="shared" si="30"/>
        <v>6.0016800000000003</v>
      </c>
      <c r="AC99" s="1">
        <f t="shared" si="31"/>
        <v>7.6948024799999999</v>
      </c>
      <c r="AD99" s="1">
        <f t="shared" si="32"/>
        <v>9.3670149600000006</v>
      </c>
      <c r="AE99" s="28">
        <f>MAX($I$15,$I$43,$I$71,$I$99,$I$127,$I$155,$I$183,$I$211,$I$239,$I$267,$I$295)</f>
        <v>539.45073900000011</v>
      </c>
      <c r="AF99" s="1">
        <v>1</v>
      </c>
    </row>
    <row r="100" spans="2:32" x14ac:dyDescent="0.25">
      <c r="B100" s="24" t="s">
        <v>14</v>
      </c>
      <c r="C100" s="24" t="s">
        <v>34</v>
      </c>
      <c r="D100" s="24" t="s">
        <v>2</v>
      </c>
      <c r="E100" s="24"/>
      <c r="F100" s="24">
        <v>2.1629999999999998</v>
      </c>
      <c r="G100" s="24">
        <v>2.415</v>
      </c>
      <c r="H100" s="24">
        <v>2.6324000000000001</v>
      </c>
      <c r="I100" s="24">
        <v>2.7611940000000001</v>
      </c>
      <c r="J100" s="1">
        <v>1</v>
      </c>
      <c r="L100" s="1" t="s">
        <v>14</v>
      </c>
      <c r="M100" s="1" t="s">
        <v>34</v>
      </c>
      <c r="N100" s="1" t="s">
        <v>2</v>
      </c>
      <c r="O100" s="1" t="s">
        <v>40</v>
      </c>
      <c r="P100" s="1">
        <f t="shared" si="38"/>
        <v>2.1197399999999997</v>
      </c>
      <c r="Q100" s="1">
        <f t="shared" si="23"/>
        <v>2.3666999999999998</v>
      </c>
      <c r="R100" s="1">
        <f t="shared" si="24"/>
        <v>2.579752</v>
      </c>
      <c r="S100" s="1">
        <f t="shared" si="25"/>
        <v>2.7059701199999999</v>
      </c>
      <c r="T100" s="33">
        <v>0</v>
      </c>
      <c r="U100" s="1">
        <v>1</v>
      </c>
      <c r="W100" s="1" t="s">
        <v>14</v>
      </c>
      <c r="X100" s="1" t="s">
        <v>34</v>
      </c>
      <c r="Y100" s="1" t="s">
        <v>2</v>
      </c>
      <c r="Z100" s="1" t="s">
        <v>39</v>
      </c>
      <c r="AA100" s="1">
        <f t="shared" si="29"/>
        <v>2.2062599999999999</v>
      </c>
      <c r="AB100" s="1">
        <f t="shared" si="30"/>
        <v>2.4633000000000003</v>
      </c>
      <c r="AC100" s="1">
        <f t="shared" si="31"/>
        <v>2.6850480000000001</v>
      </c>
      <c r="AD100" s="1">
        <f t="shared" si="32"/>
        <v>2.8164178800000004</v>
      </c>
      <c r="AE100" s="28">
        <f>MAX($I$16,$I$44,$I$72,$I$100,$I$128,$I$156,$I$184,$I$212,$I$240,$I$268,$I$296)</f>
        <v>3.1702320000000004</v>
      </c>
      <c r="AF100" s="1">
        <v>1</v>
      </c>
    </row>
    <row r="101" spans="2:32" x14ac:dyDescent="0.25">
      <c r="B101" s="24" t="s">
        <v>15</v>
      </c>
      <c r="C101" s="24" t="s">
        <v>34</v>
      </c>
      <c r="D101" s="24" t="s">
        <v>2</v>
      </c>
      <c r="E101" s="24"/>
      <c r="F101" s="24">
        <v>0</v>
      </c>
      <c r="G101" s="24">
        <v>0</v>
      </c>
      <c r="H101" s="24">
        <v>0</v>
      </c>
      <c r="I101" s="24">
        <v>0</v>
      </c>
      <c r="J101" s="1">
        <v>1</v>
      </c>
      <c r="L101" s="1" t="s">
        <v>15</v>
      </c>
      <c r="M101" s="1" t="s">
        <v>34</v>
      </c>
      <c r="N101" s="1" t="s">
        <v>2</v>
      </c>
      <c r="O101" s="1" t="s">
        <v>40</v>
      </c>
      <c r="P101" s="1">
        <f t="shared" si="38"/>
        <v>0</v>
      </c>
      <c r="Q101" s="1">
        <f t="shared" si="23"/>
        <v>0</v>
      </c>
      <c r="R101" s="1">
        <f t="shared" si="24"/>
        <v>0</v>
      </c>
      <c r="S101" s="1">
        <f t="shared" si="25"/>
        <v>0</v>
      </c>
      <c r="T101" s="33">
        <v>0</v>
      </c>
      <c r="U101" s="1">
        <v>1</v>
      </c>
      <c r="W101" s="1" t="s">
        <v>15</v>
      </c>
      <c r="X101" s="1" t="s">
        <v>34</v>
      </c>
      <c r="Y101" s="1" t="s">
        <v>2</v>
      </c>
      <c r="Z101" s="1" t="s">
        <v>39</v>
      </c>
      <c r="AA101" s="1">
        <f t="shared" si="29"/>
        <v>0</v>
      </c>
      <c r="AB101" s="1">
        <f t="shared" si="30"/>
        <v>0</v>
      </c>
      <c r="AC101" s="1">
        <f t="shared" si="31"/>
        <v>0</v>
      </c>
      <c r="AD101" s="1">
        <f t="shared" si="32"/>
        <v>0</v>
      </c>
      <c r="AE101" s="28">
        <f>MAX($I$17,$I$45,$I$73,$I$101,$I$129,$I$157,$I$185,$I$213,$I$241,$I$269,$I$297)</f>
        <v>18.231687999999998</v>
      </c>
      <c r="AF101" s="1">
        <v>1</v>
      </c>
    </row>
    <row r="102" spans="2:32" x14ac:dyDescent="0.25">
      <c r="B102" s="24" t="s">
        <v>16</v>
      </c>
      <c r="C102" s="24" t="s">
        <v>34</v>
      </c>
      <c r="D102" s="24" t="s">
        <v>2</v>
      </c>
      <c r="E102" s="24"/>
      <c r="F102" s="24">
        <v>0</v>
      </c>
      <c r="G102" s="24">
        <v>0</v>
      </c>
      <c r="H102" s="24">
        <v>0</v>
      </c>
      <c r="I102" s="24">
        <v>0</v>
      </c>
      <c r="J102" s="1">
        <v>1</v>
      </c>
      <c r="L102" s="1" t="s">
        <v>16</v>
      </c>
      <c r="M102" s="1" t="s">
        <v>34</v>
      </c>
      <c r="N102" s="1" t="s">
        <v>2</v>
      </c>
      <c r="O102" s="1" t="s">
        <v>40</v>
      </c>
      <c r="P102" s="1">
        <f>IF(ISBLANK(F102),":",0.98*F102)</f>
        <v>0</v>
      </c>
      <c r="Q102" s="1">
        <f t="shared" si="23"/>
        <v>0</v>
      </c>
      <c r="R102" s="1">
        <f t="shared" si="24"/>
        <v>0</v>
      </c>
      <c r="S102" s="1">
        <f t="shared" si="25"/>
        <v>0</v>
      </c>
      <c r="T102" s="33">
        <v>0</v>
      </c>
      <c r="U102" s="1">
        <v>1</v>
      </c>
      <c r="W102" s="1" t="s">
        <v>16</v>
      </c>
      <c r="X102" s="1" t="s">
        <v>34</v>
      </c>
      <c r="Y102" s="1" t="s">
        <v>2</v>
      </c>
      <c r="Z102" s="1" t="s">
        <v>39</v>
      </c>
      <c r="AA102" s="1">
        <f t="shared" si="29"/>
        <v>0</v>
      </c>
      <c r="AB102" s="1">
        <f t="shared" si="30"/>
        <v>0</v>
      </c>
      <c r="AC102" s="1">
        <f t="shared" si="31"/>
        <v>0</v>
      </c>
      <c r="AD102" s="1">
        <f t="shared" si="32"/>
        <v>0</v>
      </c>
      <c r="AE102" s="28">
        <f>MAX($I$18,$I$46,$I$74,$I$102,$I$130,$I$158,$I$186,$I$214,$I$242,$I$270,$I$298)</f>
        <v>18.93</v>
      </c>
      <c r="AF102" s="1">
        <v>1</v>
      </c>
    </row>
    <row r="103" spans="2:32" x14ac:dyDescent="0.25">
      <c r="B103" s="24" t="s">
        <v>17</v>
      </c>
      <c r="C103" s="24" t="s">
        <v>34</v>
      </c>
      <c r="D103" s="24" t="s">
        <v>2</v>
      </c>
      <c r="E103" s="24"/>
      <c r="F103" s="24">
        <v>3.8134000000000001E-2</v>
      </c>
      <c r="G103" s="24">
        <v>7.9938999999999996E-2</v>
      </c>
      <c r="H103" s="24">
        <v>0.100164</v>
      </c>
      <c r="I103" s="24">
        <v>0.109307</v>
      </c>
      <c r="J103" s="1">
        <v>1</v>
      </c>
      <c r="L103" s="1" t="s">
        <v>17</v>
      </c>
      <c r="M103" s="1" t="s">
        <v>34</v>
      </c>
      <c r="N103" s="1" t="s">
        <v>2</v>
      </c>
      <c r="O103" s="1" t="s">
        <v>40</v>
      </c>
      <c r="P103" s="1">
        <f>IF(ISBLANK(F103),":",0.98*F103)</f>
        <v>3.737132E-2</v>
      </c>
      <c r="Q103" s="1">
        <f t="shared" si="23"/>
        <v>7.8340219999999988E-2</v>
      </c>
      <c r="R103" s="1">
        <f t="shared" si="24"/>
        <v>9.8160720000000007E-2</v>
      </c>
      <c r="S103" s="1">
        <f t="shared" si="25"/>
        <v>0.10712086</v>
      </c>
      <c r="T103" s="33">
        <v>0</v>
      </c>
      <c r="U103" s="1">
        <v>1</v>
      </c>
      <c r="W103" s="1" t="s">
        <v>17</v>
      </c>
      <c r="X103" s="1" t="s">
        <v>34</v>
      </c>
      <c r="Y103" s="1" t="s">
        <v>2</v>
      </c>
      <c r="Z103" s="1" t="s">
        <v>39</v>
      </c>
      <c r="AA103" s="1">
        <f t="shared" si="29"/>
        <v>3.8896680000000003E-2</v>
      </c>
      <c r="AB103" s="1">
        <f t="shared" si="30"/>
        <v>8.1537780000000004E-2</v>
      </c>
      <c r="AC103" s="1">
        <f t="shared" si="31"/>
        <v>0.10216728</v>
      </c>
      <c r="AD103" s="1">
        <f t="shared" si="32"/>
        <v>0.11149314</v>
      </c>
      <c r="AE103" s="28">
        <f>MAX($I$19,$I$47,$I$75,$I$103,$I$131,$I$159,$I$187,$I$215,$I$243,$I$271,$I$299)</f>
        <v>8.6689310000000006</v>
      </c>
      <c r="AF103" s="1">
        <v>1</v>
      </c>
    </row>
    <row r="104" spans="2:32" x14ac:dyDescent="0.25">
      <c r="B104" s="24" t="s">
        <v>18</v>
      </c>
      <c r="C104" s="24" t="s">
        <v>34</v>
      </c>
      <c r="D104" s="24" t="s">
        <v>2</v>
      </c>
      <c r="E104" s="24"/>
      <c r="F104" s="24">
        <v>0.21299999999999999</v>
      </c>
      <c r="G104" s="24">
        <v>0.439</v>
      </c>
      <c r="H104" s="24">
        <v>0.61599999999999999</v>
      </c>
      <c r="I104" s="24">
        <v>0.72299999999999998</v>
      </c>
      <c r="J104" s="1">
        <v>1</v>
      </c>
      <c r="L104" s="1" t="s">
        <v>18</v>
      </c>
      <c r="M104" s="1" t="s">
        <v>34</v>
      </c>
      <c r="N104" s="1" t="s">
        <v>2</v>
      </c>
      <c r="O104" s="1" t="s">
        <v>40</v>
      </c>
      <c r="P104" s="1">
        <f t="shared" ref="P104:P109" si="39">IF(ISBLANK(F104),":",0.98*F104)</f>
        <v>0.20873999999999998</v>
      </c>
      <c r="Q104" s="1">
        <f t="shared" si="23"/>
        <v>0.43021999999999999</v>
      </c>
      <c r="R104" s="1">
        <f t="shared" si="24"/>
        <v>0.60367999999999999</v>
      </c>
      <c r="S104" s="1">
        <f t="shared" si="25"/>
        <v>0.70853999999999995</v>
      </c>
      <c r="T104" s="33">
        <v>0</v>
      </c>
      <c r="U104" s="1">
        <v>1</v>
      </c>
      <c r="W104" s="1" t="s">
        <v>18</v>
      </c>
      <c r="X104" s="1" t="s">
        <v>34</v>
      </c>
      <c r="Y104" s="1" t="s">
        <v>2</v>
      </c>
      <c r="Z104" s="1" t="s">
        <v>39</v>
      </c>
      <c r="AA104" s="1">
        <f t="shared" si="29"/>
        <v>0.21726000000000001</v>
      </c>
      <c r="AB104" s="1">
        <f t="shared" si="30"/>
        <v>0.44778000000000001</v>
      </c>
      <c r="AC104" s="1">
        <f t="shared" si="31"/>
        <v>0.62831999999999999</v>
      </c>
      <c r="AD104" s="1">
        <f t="shared" si="32"/>
        <v>0.73746</v>
      </c>
      <c r="AE104" s="28">
        <f>MAX($I$20,$I$48,$I$76,$I$104,$I$132,$I$160,$I$188,$I$216,$I$244,$I$272,$I$300)</f>
        <v>104.339699</v>
      </c>
      <c r="AF104" s="1">
        <v>1</v>
      </c>
    </row>
    <row r="105" spans="2:32" x14ac:dyDescent="0.25">
      <c r="B105" s="24" t="s">
        <v>20</v>
      </c>
      <c r="C105" s="24" t="s">
        <v>34</v>
      </c>
      <c r="D105" s="24" t="s">
        <v>2</v>
      </c>
      <c r="E105" s="24"/>
      <c r="F105" s="24">
        <v>0.79500000000000004</v>
      </c>
      <c r="G105" s="24">
        <v>0.91</v>
      </c>
      <c r="H105" s="24">
        <v>0.94099999999999995</v>
      </c>
      <c r="I105" s="24">
        <v>0.94099999999999995</v>
      </c>
      <c r="J105" s="1">
        <v>1</v>
      </c>
      <c r="L105" s="1" t="s">
        <v>20</v>
      </c>
      <c r="M105" s="1" t="s">
        <v>34</v>
      </c>
      <c r="N105" s="1" t="s">
        <v>2</v>
      </c>
      <c r="O105" s="1" t="s">
        <v>40</v>
      </c>
      <c r="P105" s="1">
        <f t="shared" si="39"/>
        <v>0.77910000000000001</v>
      </c>
      <c r="Q105" s="1">
        <f t="shared" si="23"/>
        <v>0.89180000000000004</v>
      </c>
      <c r="R105" s="1">
        <f t="shared" si="24"/>
        <v>0.92217999999999989</v>
      </c>
      <c r="S105" s="1">
        <f t="shared" si="25"/>
        <v>0.92217999999999989</v>
      </c>
      <c r="T105" s="33">
        <v>0</v>
      </c>
      <c r="U105" s="1">
        <v>1</v>
      </c>
      <c r="W105" s="1" t="s">
        <v>20</v>
      </c>
      <c r="X105" s="1" t="s">
        <v>34</v>
      </c>
      <c r="Y105" s="1" t="s">
        <v>2</v>
      </c>
      <c r="Z105" s="1" t="s">
        <v>39</v>
      </c>
      <c r="AA105" s="1">
        <f t="shared" si="29"/>
        <v>0.81090000000000007</v>
      </c>
      <c r="AB105" s="1">
        <f t="shared" si="30"/>
        <v>0.92820000000000003</v>
      </c>
      <c r="AC105" s="1">
        <f t="shared" si="31"/>
        <v>0.95982000000000001</v>
      </c>
      <c r="AD105" s="1">
        <f t="shared" si="32"/>
        <v>0.95982000000000001</v>
      </c>
      <c r="AE105" s="28">
        <f>MAX($I$21,$I$49,$I$77,$I$105,$I$133,$I$161,$I$189,$I$217,$I$245,$I$273,$I$301)</f>
        <v>201.18298499999997</v>
      </c>
      <c r="AF105" s="1">
        <v>1</v>
      </c>
    </row>
    <row r="106" spans="2:32" x14ac:dyDescent="0.25">
      <c r="B106" s="24" t="s">
        <v>21</v>
      </c>
      <c r="C106" s="24" t="s">
        <v>34</v>
      </c>
      <c r="D106" s="24" t="s">
        <v>2</v>
      </c>
      <c r="E106" s="24"/>
      <c r="F106" s="24">
        <v>4.591342</v>
      </c>
      <c r="G106" s="24">
        <v>5.3351379999999997</v>
      </c>
      <c r="H106" s="24">
        <v>4.5815359999999998</v>
      </c>
      <c r="I106" s="24">
        <v>4.6301730000000001</v>
      </c>
      <c r="J106" s="1">
        <v>1</v>
      </c>
      <c r="L106" s="1" t="s">
        <v>21</v>
      </c>
      <c r="M106" s="1" t="s">
        <v>34</v>
      </c>
      <c r="N106" s="1" t="s">
        <v>2</v>
      </c>
      <c r="O106" s="1" t="s">
        <v>40</v>
      </c>
      <c r="P106" s="1">
        <f t="shared" si="39"/>
        <v>4.4995151599999996</v>
      </c>
      <c r="Q106" s="1">
        <f t="shared" si="23"/>
        <v>5.2284352399999996</v>
      </c>
      <c r="R106" s="1">
        <f t="shared" si="24"/>
        <v>4.4899052799999994</v>
      </c>
      <c r="S106" s="1">
        <f t="shared" si="25"/>
        <v>4.5375695399999998</v>
      </c>
      <c r="T106" s="33">
        <v>0</v>
      </c>
      <c r="U106" s="1">
        <v>1</v>
      </c>
      <c r="W106" s="1" t="s">
        <v>21</v>
      </c>
      <c r="X106" s="1" t="s">
        <v>34</v>
      </c>
      <c r="Y106" s="1" t="s">
        <v>2</v>
      </c>
      <c r="Z106" s="1" t="s">
        <v>39</v>
      </c>
      <c r="AA106" s="1">
        <f t="shared" si="29"/>
        <v>4.6831688400000004</v>
      </c>
      <c r="AB106" s="1">
        <f t="shared" si="30"/>
        <v>5.4418407599999998</v>
      </c>
      <c r="AC106" s="1">
        <f t="shared" si="31"/>
        <v>4.6731667200000002</v>
      </c>
      <c r="AD106" s="1">
        <f t="shared" si="32"/>
        <v>4.7227764600000004</v>
      </c>
      <c r="AE106" s="28">
        <f>MAX($I$22,$I$50,$I$78,$I$106,$I$134,$I$162,$I$190,$I$218,$I$246,$I$274,$I$302)</f>
        <v>69.769181000000003</v>
      </c>
      <c r="AF106" s="1">
        <v>1</v>
      </c>
    </row>
    <row r="107" spans="2:32" x14ac:dyDescent="0.25">
      <c r="B107" s="24" t="s">
        <v>22</v>
      </c>
      <c r="C107" s="24" t="s">
        <v>34</v>
      </c>
      <c r="D107" s="24" t="s">
        <v>2</v>
      </c>
      <c r="E107" s="24"/>
      <c r="F107" s="24">
        <v>0.32</v>
      </c>
      <c r="G107" s="24">
        <v>1.655</v>
      </c>
      <c r="H107" s="24">
        <v>3.1206419999999997</v>
      </c>
      <c r="I107" s="24">
        <v>3.2031809999999998</v>
      </c>
      <c r="J107" s="1">
        <v>1</v>
      </c>
      <c r="L107" s="1" t="s">
        <v>22</v>
      </c>
      <c r="M107" s="1" t="s">
        <v>34</v>
      </c>
      <c r="N107" s="1" t="s">
        <v>2</v>
      </c>
      <c r="O107" s="1" t="s">
        <v>40</v>
      </c>
      <c r="P107" s="1">
        <f t="shared" si="39"/>
        <v>0.31359999999999999</v>
      </c>
      <c r="Q107" s="1">
        <f t="shared" si="23"/>
        <v>1.6218999999999999</v>
      </c>
      <c r="R107" s="1">
        <f t="shared" si="24"/>
        <v>3.0582291599999998</v>
      </c>
      <c r="S107" s="1">
        <f t="shared" si="25"/>
        <v>3.1391173799999996</v>
      </c>
      <c r="T107" s="33">
        <v>0</v>
      </c>
      <c r="U107" s="1">
        <v>1</v>
      </c>
      <c r="W107" s="1" t="s">
        <v>22</v>
      </c>
      <c r="X107" s="1" t="s">
        <v>34</v>
      </c>
      <c r="Y107" s="1" t="s">
        <v>2</v>
      </c>
      <c r="Z107" s="1" t="s">
        <v>39</v>
      </c>
      <c r="AA107" s="1">
        <f t="shared" si="29"/>
        <v>0.32640000000000002</v>
      </c>
      <c r="AB107" s="1">
        <f t="shared" si="30"/>
        <v>1.6881000000000002</v>
      </c>
      <c r="AC107" s="1">
        <f t="shared" si="31"/>
        <v>3.1830548399999996</v>
      </c>
      <c r="AD107" s="1">
        <f t="shared" si="32"/>
        <v>3.26724462</v>
      </c>
      <c r="AE107" s="28">
        <f>MAX($I$23,$I$51,$I$79,$I$107,$I$135,$I$163,$I$191,$I$219,$I$247,$I$275,$I$303)</f>
        <v>183.24970000000002</v>
      </c>
      <c r="AF107" s="1">
        <v>1</v>
      </c>
    </row>
    <row r="108" spans="2:32" x14ac:dyDescent="0.25">
      <c r="B108" s="24" t="s">
        <v>23</v>
      </c>
      <c r="C108" s="24" t="s">
        <v>34</v>
      </c>
      <c r="D108" s="24" t="s">
        <v>2</v>
      </c>
      <c r="E108" s="24"/>
      <c r="F108" s="24">
        <v>1.208</v>
      </c>
      <c r="G108" s="24">
        <v>2.016</v>
      </c>
      <c r="H108" s="24">
        <v>2.5294639999999999</v>
      </c>
      <c r="I108" s="24">
        <v>2.8611</v>
      </c>
      <c r="J108" s="1">
        <v>1</v>
      </c>
      <c r="L108" s="1" t="s">
        <v>23</v>
      </c>
      <c r="M108" s="1" t="s">
        <v>34</v>
      </c>
      <c r="N108" s="1" t="s">
        <v>2</v>
      </c>
      <c r="O108" s="1" t="s">
        <v>40</v>
      </c>
      <c r="P108" s="1">
        <f t="shared" si="39"/>
        <v>1.18384</v>
      </c>
      <c r="Q108" s="1">
        <f t="shared" si="23"/>
        <v>1.9756799999999999</v>
      </c>
      <c r="R108" s="1">
        <f t="shared" si="24"/>
        <v>2.4788747199999999</v>
      </c>
      <c r="S108" s="1">
        <f t="shared" si="25"/>
        <v>2.8038780000000001</v>
      </c>
      <c r="T108" s="33">
        <v>0</v>
      </c>
      <c r="U108" s="1">
        <v>1</v>
      </c>
      <c r="W108" s="1" t="s">
        <v>23</v>
      </c>
      <c r="X108" s="1" t="s">
        <v>34</v>
      </c>
      <c r="Y108" s="1" t="s">
        <v>2</v>
      </c>
      <c r="Z108" s="1" t="s">
        <v>39</v>
      </c>
      <c r="AA108" s="1">
        <f t="shared" si="29"/>
        <v>1.2321599999999999</v>
      </c>
      <c r="AB108" s="1">
        <f t="shared" si="30"/>
        <v>2.0563199999999999</v>
      </c>
      <c r="AC108" s="1">
        <f t="shared" si="31"/>
        <v>2.58005328</v>
      </c>
      <c r="AD108" s="1">
        <f t="shared" si="32"/>
        <v>2.9183219999999999</v>
      </c>
      <c r="AE108" s="28">
        <f>MAX($I$24,$I$52,$I$80,$I$108,$I$136,$I$164,$I$192,$I$220,$I$248,$I$276,$I$304)</f>
        <v>47.327892999999996</v>
      </c>
      <c r="AF108" s="1">
        <v>1</v>
      </c>
    </row>
    <row r="109" spans="2:32" x14ac:dyDescent="0.25">
      <c r="B109" s="24" t="s">
        <v>24</v>
      </c>
      <c r="C109" s="24" t="s">
        <v>34</v>
      </c>
      <c r="D109" s="24" t="s">
        <v>2</v>
      </c>
      <c r="E109" s="24"/>
      <c r="F109" s="24">
        <v>0</v>
      </c>
      <c r="G109" s="24">
        <v>0</v>
      </c>
      <c r="H109" s="24">
        <v>0</v>
      </c>
      <c r="I109" s="24">
        <v>0</v>
      </c>
      <c r="J109" s="1">
        <v>1</v>
      </c>
      <c r="L109" s="1" t="s">
        <v>24</v>
      </c>
      <c r="M109" s="1" t="s">
        <v>34</v>
      </c>
      <c r="N109" s="1" t="s">
        <v>2</v>
      </c>
      <c r="O109" s="1" t="s">
        <v>40</v>
      </c>
      <c r="P109" s="1">
        <f t="shared" si="39"/>
        <v>0</v>
      </c>
      <c r="Q109" s="1">
        <f t="shared" si="23"/>
        <v>0</v>
      </c>
      <c r="R109" s="1">
        <f t="shared" si="24"/>
        <v>0</v>
      </c>
      <c r="S109" s="1">
        <f t="shared" si="25"/>
        <v>0</v>
      </c>
      <c r="T109" s="33">
        <v>0</v>
      </c>
      <c r="U109" s="1">
        <v>1</v>
      </c>
      <c r="W109" s="1" t="s">
        <v>24</v>
      </c>
      <c r="X109" s="1" t="s">
        <v>34</v>
      </c>
      <c r="Y109" s="1" t="s">
        <v>2</v>
      </c>
      <c r="Z109" s="1" t="s">
        <v>39</v>
      </c>
      <c r="AA109" s="1">
        <f t="shared" si="29"/>
        <v>0</v>
      </c>
      <c r="AB109" s="1">
        <f t="shared" si="30"/>
        <v>0</v>
      </c>
      <c r="AC109" s="1">
        <f t="shared" si="31"/>
        <v>0</v>
      </c>
      <c r="AD109" s="1">
        <f t="shared" si="32"/>
        <v>0</v>
      </c>
      <c r="AE109" s="28">
        <f>MAX($I$25,$I$53,$I$81,$I$109,$I$137,$I$165,$I$193,$I$221,$I$249,$I$277,$I$305)</f>
        <v>123.01356</v>
      </c>
      <c r="AF109" s="1">
        <v>1</v>
      </c>
    </row>
    <row r="110" spans="2:32" x14ac:dyDescent="0.25">
      <c r="B110" s="24" t="s">
        <v>25</v>
      </c>
      <c r="C110" s="24" t="s">
        <v>34</v>
      </c>
      <c r="D110" s="24" t="s">
        <v>2</v>
      </c>
      <c r="E110" s="24"/>
      <c r="F110" s="24">
        <v>0.344555</v>
      </c>
      <c r="G110" s="24">
        <v>0.43403599999999998</v>
      </c>
      <c r="H110" s="24">
        <v>0.39685300000000001</v>
      </c>
      <c r="I110" s="24">
        <v>0.25237799999999999</v>
      </c>
      <c r="J110" s="1">
        <v>1</v>
      </c>
      <c r="L110" s="1" t="s">
        <v>25</v>
      </c>
      <c r="M110" s="1" t="s">
        <v>34</v>
      </c>
      <c r="N110" s="1" t="s">
        <v>2</v>
      </c>
      <c r="O110" s="1" t="s">
        <v>40</v>
      </c>
      <c r="P110" s="1">
        <f>IF(ISBLANK(F110),":",0.98*F110)</f>
        <v>0.33766390000000002</v>
      </c>
      <c r="Q110" s="1">
        <f t="shared" si="23"/>
        <v>0.42535527999999995</v>
      </c>
      <c r="R110" s="1">
        <f t="shared" si="24"/>
        <v>0.38891594000000002</v>
      </c>
      <c r="S110" s="1">
        <f t="shared" si="25"/>
        <v>0.24733043999999998</v>
      </c>
      <c r="T110" s="33">
        <v>0</v>
      </c>
      <c r="U110" s="1">
        <v>1</v>
      </c>
      <c r="W110" s="1" t="s">
        <v>25</v>
      </c>
      <c r="X110" s="1" t="s">
        <v>34</v>
      </c>
      <c r="Y110" s="1" t="s">
        <v>2</v>
      </c>
      <c r="Z110" s="1" t="s">
        <v>39</v>
      </c>
      <c r="AA110" s="1">
        <f t="shared" si="29"/>
        <v>0.35144609999999998</v>
      </c>
      <c r="AB110" s="1">
        <f t="shared" si="30"/>
        <v>0.44271672000000001</v>
      </c>
      <c r="AC110" s="1">
        <f t="shared" si="31"/>
        <v>0.40479006000000001</v>
      </c>
      <c r="AD110" s="1">
        <f t="shared" si="32"/>
        <v>0.25742556</v>
      </c>
      <c r="AE110" s="28">
        <f>MAX($I$26,$I$54,$I$82,$I$110,$I$138,$I$166,$I$194,$I$222,$I$250,$I$278,$I$306)</f>
        <v>14.768578</v>
      </c>
      <c r="AF110" s="1">
        <v>1</v>
      </c>
    </row>
    <row r="111" spans="2:32" x14ac:dyDescent="0.25">
      <c r="B111" s="24" t="s">
        <v>26</v>
      </c>
      <c r="C111" s="24" t="s">
        <v>34</v>
      </c>
      <c r="D111" s="24" t="s">
        <v>2</v>
      </c>
      <c r="E111" s="24"/>
      <c r="F111" s="24">
        <v>0.159</v>
      </c>
      <c r="G111" s="24">
        <v>0.19500000000000001</v>
      </c>
      <c r="H111" s="24">
        <v>0.30299999999999999</v>
      </c>
      <c r="I111" s="24">
        <v>0.32100000000000001</v>
      </c>
      <c r="J111" s="1">
        <v>1</v>
      </c>
      <c r="L111" s="1" t="s">
        <v>26</v>
      </c>
      <c r="M111" s="1" t="s">
        <v>34</v>
      </c>
      <c r="N111" s="1" t="s">
        <v>2</v>
      </c>
      <c r="O111" s="1" t="s">
        <v>40</v>
      </c>
      <c r="P111" s="1">
        <f>IF(ISBLANK(F111),":",0.98*F111)</f>
        <v>0.15581999999999999</v>
      </c>
      <c r="Q111" s="1">
        <f t="shared" si="23"/>
        <v>0.19109999999999999</v>
      </c>
      <c r="R111" s="1">
        <f t="shared" si="24"/>
        <v>0.29693999999999998</v>
      </c>
      <c r="S111" s="1">
        <f t="shared" si="25"/>
        <v>0.31458000000000003</v>
      </c>
      <c r="T111" s="33">
        <v>0</v>
      </c>
      <c r="U111" s="1">
        <v>1</v>
      </c>
      <c r="W111" s="1" t="s">
        <v>26</v>
      </c>
      <c r="X111" s="1" t="s">
        <v>34</v>
      </c>
      <c r="Y111" s="1" t="s">
        <v>2</v>
      </c>
      <c r="Z111" s="1" t="s">
        <v>39</v>
      </c>
      <c r="AA111" s="1">
        <f t="shared" si="29"/>
        <v>0.16218000000000002</v>
      </c>
      <c r="AB111" s="1">
        <f t="shared" si="30"/>
        <v>0.19890000000000002</v>
      </c>
      <c r="AC111" s="1">
        <f t="shared" si="31"/>
        <v>0.30906</v>
      </c>
      <c r="AD111" s="1">
        <f t="shared" si="32"/>
        <v>0.32741999999999999</v>
      </c>
      <c r="AE111" s="28">
        <f>MAX($I$27,$I$55,$I$83,$I$111,$I$139,$I$167,$I$195,$I$223,$I$251,$I$279,$I$307)</f>
        <v>43.948800000000006</v>
      </c>
      <c r="AF111" s="1">
        <v>1</v>
      </c>
    </row>
    <row r="112" spans="2:32" x14ac:dyDescent="0.25">
      <c r="B112" s="24" t="s">
        <v>27</v>
      </c>
      <c r="C112" s="24" t="s">
        <v>34</v>
      </c>
      <c r="D112" s="24" t="s">
        <v>2</v>
      </c>
      <c r="E112" s="24"/>
      <c r="F112" s="24">
        <v>3.9E-2</v>
      </c>
      <c r="G112" s="24">
        <v>6.2E-2</v>
      </c>
      <c r="H112" s="24">
        <v>0.1</v>
      </c>
      <c r="I112" s="24">
        <v>0.11</v>
      </c>
      <c r="J112" s="1">
        <v>1</v>
      </c>
      <c r="L112" s="1" t="s">
        <v>27</v>
      </c>
      <c r="M112" s="1" t="s">
        <v>34</v>
      </c>
      <c r="N112" s="1" t="s">
        <v>2</v>
      </c>
      <c r="O112" s="1" t="s">
        <v>40</v>
      </c>
      <c r="P112" s="1">
        <f t="shared" ref="P112" si="40">IF(ISBLANK(F112),":",0.98*F112)</f>
        <v>3.8219999999999997E-2</v>
      </c>
      <c r="Q112" s="1">
        <f t="shared" si="23"/>
        <v>6.0760000000000002E-2</v>
      </c>
      <c r="R112" s="1">
        <f t="shared" si="24"/>
        <v>9.8000000000000004E-2</v>
      </c>
      <c r="S112" s="1">
        <f t="shared" si="25"/>
        <v>0.10779999999999999</v>
      </c>
      <c r="T112" s="33">
        <v>0</v>
      </c>
      <c r="U112" s="1">
        <v>1</v>
      </c>
      <c r="W112" s="1" t="s">
        <v>27</v>
      </c>
      <c r="X112" s="1" t="s">
        <v>34</v>
      </c>
      <c r="Y112" s="1" t="s">
        <v>2</v>
      </c>
      <c r="Z112" s="1" t="s">
        <v>39</v>
      </c>
      <c r="AA112" s="1">
        <f t="shared" si="29"/>
        <v>3.9780000000000003E-2</v>
      </c>
      <c r="AB112" s="1">
        <f t="shared" si="30"/>
        <v>6.3240000000000005E-2</v>
      </c>
      <c r="AC112" s="1">
        <f t="shared" si="31"/>
        <v>0.10200000000000001</v>
      </c>
      <c r="AD112" s="1">
        <f t="shared" si="32"/>
        <v>0.11220000000000001</v>
      </c>
      <c r="AE112" s="28">
        <f>MAX($I$28,$I$56,$I$84,$I$112,$I$140,$I$168,$I$196,$I$224,$I$252,$I$280,$I$308)</f>
        <v>66.917000000000002</v>
      </c>
      <c r="AF112" s="1">
        <v>1</v>
      </c>
    </row>
    <row r="113" spans="2:32" x14ac:dyDescent="0.25">
      <c r="B113" s="24" t="s">
        <v>28</v>
      </c>
      <c r="C113" s="24" t="s">
        <v>34</v>
      </c>
      <c r="D113" s="24" t="s">
        <v>2</v>
      </c>
      <c r="E113" s="24"/>
      <c r="F113" s="24">
        <v>0.432</v>
      </c>
      <c r="G113" s="24">
        <v>0.47199999999999998</v>
      </c>
      <c r="H113" s="24">
        <v>0.436</v>
      </c>
      <c r="I113" s="24">
        <v>0.39900000000000002</v>
      </c>
      <c r="J113" s="1">
        <v>1</v>
      </c>
      <c r="L113" s="1" t="s">
        <v>28</v>
      </c>
      <c r="M113" s="1" t="s">
        <v>34</v>
      </c>
      <c r="N113" s="1" t="s">
        <v>2</v>
      </c>
      <c r="O113" s="1" t="s">
        <v>40</v>
      </c>
      <c r="P113" s="1">
        <f t="shared" ref="P113:P118" si="41">IF(ISBLANK(F113),":",0.98*F113)</f>
        <v>0.42336000000000001</v>
      </c>
      <c r="Q113" s="1">
        <f t="shared" si="23"/>
        <v>0.46255999999999997</v>
      </c>
      <c r="R113" s="1">
        <f t="shared" si="24"/>
        <v>0.42727999999999999</v>
      </c>
      <c r="S113" s="1">
        <f t="shared" si="25"/>
        <v>0.39102000000000003</v>
      </c>
      <c r="T113" s="33">
        <v>0</v>
      </c>
      <c r="U113" s="1">
        <v>1</v>
      </c>
      <c r="W113" s="1" t="s">
        <v>28</v>
      </c>
      <c r="X113" s="1" t="s">
        <v>34</v>
      </c>
      <c r="Y113" s="1" t="s">
        <v>2</v>
      </c>
      <c r="Z113" s="1" t="s">
        <v>39</v>
      </c>
      <c r="AA113" s="1">
        <f t="shared" si="29"/>
        <v>0.44063999999999998</v>
      </c>
      <c r="AB113" s="1">
        <f t="shared" si="30"/>
        <v>0.48143999999999998</v>
      </c>
      <c r="AC113" s="1">
        <f t="shared" si="31"/>
        <v>0.44472</v>
      </c>
      <c r="AD113" s="1">
        <f t="shared" si="32"/>
        <v>0.40698000000000001</v>
      </c>
      <c r="AE113" s="28">
        <f>MAX($I$29,$I$57,$I$85,$I$113,$I$141,$I$169,$I$197,$I$225,$I$253,$I$281,$I$309)</f>
        <v>112.108</v>
      </c>
      <c r="AF113" s="1">
        <v>1</v>
      </c>
    </row>
    <row r="114" spans="2:32" x14ac:dyDescent="0.25">
      <c r="B114" s="24" t="s">
        <v>29</v>
      </c>
      <c r="C114" s="24" t="s">
        <v>34</v>
      </c>
      <c r="D114" s="24" t="s">
        <v>2</v>
      </c>
      <c r="E114" s="24"/>
      <c r="F114" s="24">
        <v>0</v>
      </c>
      <c r="G114" s="24">
        <v>0</v>
      </c>
      <c r="H114" s="24">
        <v>0</v>
      </c>
      <c r="I114" s="24">
        <v>0</v>
      </c>
      <c r="J114" s="1">
        <v>1</v>
      </c>
      <c r="L114" s="1" t="s">
        <v>29</v>
      </c>
      <c r="M114" s="1" t="s">
        <v>34</v>
      </c>
      <c r="N114" s="1" t="s">
        <v>2</v>
      </c>
      <c r="O114" s="1" t="s">
        <v>40</v>
      </c>
      <c r="P114" s="1">
        <f t="shared" si="41"/>
        <v>0</v>
      </c>
      <c r="Q114" s="1">
        <f t="shared" ref="Q114:Q177" si="42">IF(ISBLANK(G114),":",0.98*G114)</f>
        <v>0</v>
      </c>
      <c r="R114" s="1">
        <f t="shared" ref="R114:R177" si="43">IF(ISBLANK(H114),":",0.98*H114)</f>
        <v>0</v>
      </c>
      <c r="S114" s="1">
        <f t="shared" ref="S114:S177" si="44">IF(ISBLANK(I114),":",0.98*I114)</f>
        <v>0</v>
      </c>
      <c r="T114" s="33">
        <v>0</v>
      </c>
      <c r="U114" s="1">
        <v>1</v>
      </c>
      <c r="W114" s="1" t="s">
        <v>29</v>
      </c>
      <c r="X114" s="1" t="s">
        <v>34</v>
      </c>
      <c r="Y114" s="1" t="s">
        <v>2</v>
      </c>
      <c r="Z114" s="1" t="s">
        <v>39</v>
      </c>
      <c r="AA114" s="1">
        <f t="shared" si="29"/>
        <v>0</v>
      </c>
      <c r="AB114" s="1">
        <f t="shared" si="30"/>
        <v>0</v>
      </c>
      <c r="AC114" s="1">
        <f t="shared" si="31"/>
        <v>0</v>
      </c>
      <c r="AD114" s="1">
        <f t="shared" si="32"/>
        <v>0</v>
      </c>
      <c r="AE114" s="28">
        <f>MAX($I$30,$I$58,$I$86,$I$114,$I$142,$I$170,$I$198,$I$226,$I$254,$I$282,$I$310)</f>
        <v>101.44997000000001</v>
      </c>
      <c r="AF114" s="1">
        <v>1</v>
      </c>
    </row>
    <row r="115" spans="2:32" x14ac:dyDescent="0.25">
      <c r="B115" s="24" t="s">
        <v>30</v>
      </c>
      <c r="C115" s="24" t="s">
        <v>34</v>
      </c>
      <c r="D115" s="24" t="s">
        <v>2</v>
      </c>
      <c r="E115" s="24"/>
      <c r="F115" s="24">
        <v>1.591</v>
      </c>
      <c r="G115" s="24">
        <v>2.1219999999999999</v>
      </c>
      <c r="H115" s="25">
        <v>1.2809080000000002</v>
      </c>
      <c r="I115" s="25">
        <v>1.2088950400000003</v>
      </c>
      <c r="J115" s="1">
        <v>1</v>
      </c>
      <c r="L115" s="1" t="s">
        <v>30</v>
      </c>
      <c r="M115" s="1" t="s">
        <v>34</v>
      </c>
      <c r="N115" s="1" t="s">
        <v>2</v>
      </c>
      <c r="O115" s="1" t="s">
        <v>40</v>
      </c>
      <c r="P115" s="1">
        <f t="shared" si="41"/>
        <v>1.55918</v>
      </c>
      <c r="Q115" s="1">
        <f t="shared" si="42"/>
        <v>2.0795599999999999</v>
      </c>
      <c r="R115" s="1">
        <f t="shared" si="43"/>
        <v>1.2552898400000001</v>
      </c>
      <c r="S115" s="1">
        <f t="shared" si="44"/>
        <v>1.1847171392000002</v>
      </c>
      <c r="T115" s="33">
        <v>0</v>
      </c>
      <c r="U115" s="1">
        <v>1</v>
      </c>
      <c r="W115" s="1" t="s">
        <v>30</v>
      </c>
      <c r="X115" s="1" t="s">
        <v>34</v>
      </c>
      <c r="Y115" s="1" t="s">
        <v>2</v>
      </c>
      <c r="Z115" s="1" t="s">
        <v>39</v>
      </c>
      <c r="AA115" s="1">
        <f t="shared" si="29"/>
        <v>1.6228199999999999</v>
      </c>
      <c r="AB115" s="1">
        <f t="shared" si="30"/>
        <v>2.1644399999999999</v>
      </c>
      <c r="AC115" s="1">
        <f t="shared" si="31"/>
        <v>1.3065261600000002</v>
      </c>
      <c r="AD115" s="1">
        <f t="shared" si="32"/>
        <v>1.2330729408000003</v>
      </c>
      <c r="AE115" s="28">
        <f>MAX($I$31,$I$59,$I$87,$I$115,$I$143,$I$171,$I$199,$I$227,$I$255,$I$283,$I$311)</f>
        <v>814.1906987082092</v>
      </c>
      <c r="AF115" s="1">
        <v>1</v>
      </c>
    </row>
    <row r="116" spans="2:32" x14ac:dyDescent="0.25">
      <c r="B116" s="1" t="s">
        <v>0</v>
      </c>
      <c r="C116" s="1" t="s">
        <v>35</v>
      </c>
      <c r="D116" s="1" t="s">
        <v>2</v>
      </c>
      <c r="E116" s="1"/>
      <c r="F116" s="1">
        <v>0.72899999999999998</v>
      </c>
      <c r="G116" s="1">
        <v>1.7424000000000002</v>
      </c>
      <c r="H116" s="1">
        <v>4.4119999999999999</v>
      </c>
      <c r="I116" s="1">
        <v>10.279399999999999</v>
      </c>
      <c r="J116" s="1">
        <v>1</v>
      </c>
      <c r="L116" s="1" t="s">
        <v>0</v>
      </c>
      <c r="M116" s="1" t="s">
        <v>35</v>
      </c>
      <c r="N116" s="1" t="s">
        <v>2</v>
      </c>
      <c r="O116" s="1" t="s">
        <v>40</v>
      </c>
      <c r="P116" s="1">
        <f t="shared" si="41"/>
        <v>0.71441999999999994</v>
      </c>
      <c r="Q116" s="1">
        <f t="shared" si="42"/>
        <v>1.7075520000000002</v>
      </c>
      <c r="R116" s="1">
        <f t="shared" si="43"/>
        <v>4.32376</v>
      </c>
      <c r="S116" s="1">
        <f t="shared" si="44"/>
        <v>10.073811999999998</v>
      </c>
      <c r="T116" s="33">
        <v>0</v>
      </c>
      <c r="U116" s="1">
        <v>1</v>
      </c>
      <c r="W116" s="1" t="s">
        <v>0</v>
      </c>
      <c r="X116" s="1" t="s">
        <v>35</v>
      </c>
      <c r="Y116" s="1" t="s">
        <v>2</v>
      </c>
      <c r="Z116" s="1" t="s">
        <v>39</v>
      </c>
      <c r="AA116" s="1">
        <f t="shared" si="29"/>
        <v>0.74358000000000002</v>
      </c>
      <c r="AB116" s="1">
        <f t="shared" si="30"/>
        <v>1.7772480000000002</v>
      </c>
      <c r="AC116" s="1">
        <f t="shared" si="31"/>
        <v>4.5002399999999998</v>
      </c>
      <c r="AD116" s="1">
        <f t="shared" si="32"/>
        <v>10.484988</v>
      </c>
      <c r="AE116" s="28">
        <f>MAX($I$4,$I$32,$I$60,$I$88,$I$116,$I$144,$I$172,$I$200,$I$228,$I$256,$I$284)</f>
        <v>119.69903699999999</v>
      </c>
      <c r="AF116" s="1">
        <v>1</v>
      </c>
    </row>
    <row r="117" spans="2:32" x14ac:dyDescent="0.25">
      <c r="B117" s="1" t="s">
        <v>3</v>
      </c>
      <c r="C117" s="1" t="s">
        <v>35</v>
      </c>
      <c r="D117" s="1" t="s">
        <v>2</v>
      </c>
      <c r="E117" s="1"/>
      <c r="F117" s="1">
        <v>0</v>
      </c>
      <c r="G117" s="1">
        <v>0</v>
      </c>
      <c r="H117" s="1">
        <v>0</v>
      </c>
      <c r="I117" s="1">
        <v>0</v>
      </c>
      <c r="J117" s="1">
        <v>1</v>
      </c>
      <c r="L117" s="1" t="s">
        <v>3</v>
      </c>
      <c r="M117" s="1" t="s">
        <v>35</v>
      </c>
      <c r="N117" s="1" t="s">
        <v>2</v>
      </c>
      <c r="O117" s="1" t="s">
        <v>40</v>
      </c>
      <c r="P117" s="1">
        <f t="shared" si="41"/>
        <v>0</v>
      </c>
      <c r="Q117" s="1">
        <f t="shared" si="42"/>
        <v>0</v>
      </c>
      <c r="R117" s="1">
        <f t="shared" si="43"/>
        <v>0</v>
      </c>
      <c r="S117" s="1">
        <f t="shared" si="44"/>
        <v>0</v>
      </c>
      <c r="T117" s="33">
        <v>0</v>
      </c>
      <c r="U117" s="1">
        <v>1</v>
      </c>
      <c r="W117" s="1" t="s">
        <v>3</v>
      </c>
      <c r="X117" s="1" t="s">
        <v>35</v>
      </c>
      <c r="Y117" s="1" t="s">
        <v>2</v>
      </c>
      <c r="Z117" s="1" t="s">
        <v>39</v>
      </c>
      <c r="AA117" s="1">
        <f t="shared" si="29"/>
        <v>0</v>
      </c>
      <c r="AB117" s="1">
        <f t="shared" si="30"/>
        <v>0</v>
      </c>
      <c r="AC117" s="1">
        <f t="shared" si="31"/>
        <v>0</v>
      </c>
      <c r="AD117" s="1">
        <f t="shared" si="32"/>
        <v>0</v>
      </c>
      <c r="AE117" s="28">
        <f>MAX($I$5,$I$33,$I$61,$I$89,$I$117,$I$145,$I$173,$I$201,$I$229,$I$257,$I$285)</f>
        <v>27.890193999999994</v>
      </c>
      <c r="AF117" s="1">
        <v>1</v>
      </c>
    </row>
    <row r="118" spans="2:32" x14ac:dyDescent="0.25">
      <c r="B118" s="1" t="s">
        <v>4</v>
      </c>
      <c r="C118" s="1" t="s">
        <v>35</v>
      </c>
      <c r="D118" s="1" t="s">
        <v>2</v>
      </c>
      <c r="E118" s="1"/>
      <c r="F118" s="1">
        <v>1.602087</v>
      </c>
      <c r="G118" s="1">
        <v>3.617543</v>
      </c>
      <c r="H118" s="1">
        <v>7.8292700000000002</v>
      </c>
      <c r="I118" s="1">
        <v>15.496949000000001</v>
      </c>
      <c r="J118" s="1">
        <v>1</v>
      </c>
      <c r="L118" s="1" t="s">
        <v>4</v>
      </c>
      <c r="M118" s="1" t="s">
        <v>35</v>
      </c>
      <c r="N118" s="1" t="s">
        <v>2</v>
      </c>
      <c r="O118" s="1" t="s">
        <v>40</v>
      </c>
      <c r="P118" s="1">
        <f t="shared" si="41"/>
        <v>1.5700452600000001</v>
      </c>
      <c r="Q118" s="1">
        <f t="shared" si="42"/>
        <v>3.5451921399999997</v>
      </c>
      <c r="R118" s="1">
        <f t="shared" si="43"/>
        <v>7.6726846000000002</v>
      </c>
      <c r="S118" s="1">
        <f t="shared" si="44"/>
        <v>15.187010020000001</v>
      </c>
      <c r="T118" s="33">
        <v>0</v>
      </c>
      <c r="U118" s="1">
        <v>1</v>
      </c>
      <c r="W118" s="1" t="s">
        <v>4</v>
      </c>
      <c r="X118" s="1" t="s">
        <v>35</v>
      </c>
      <c r="Y118" s="1" t="s">
        <v>2</v>
      </c>
      <c r="Z118" s="1" t="s">
        <v>39</v>
      </c>
      <c r="AA118" s="1">
        <f t="shared" si="29"/>
        <v>1.63412874</v>
      </c>
      <c r="AB118" s="1">
        <f t="shared" si="30"/>
        <v>3.6898938600000002</v>
      </c>
      <c r="AC118" s="1">
        <f t="shared" si="31"/>
        <v>7.9858554000000002</v>
      </c>
      <c r="AD118" s="1">
        <f t="shared" si="32"/>
        <v>15.806887980000001</v>
      </c>
      <c r="AE118" s="28">
        <f>MAX($I$6,$I$34,$I$62,$I$90,$I$118,$I$146,$I$174,$I$202,$I$230,$I$258,$I$286)</f>
        <v>80.496740000000003</v>
      </c>
      <c r="AF118" s="1">
        <v>1</v>
      </c>
    </row>
    <row r="119" spans="2:32" x14ac:dyDescent="0.25">
      <c r="B119" s="1" t="s">
        <v>5</v>
      </c>
      <c r="C119" s="1" t="s">
        <v>35</v>
      </c>
      <c r="D119" s="1" t="s">
        <v>2</v>
      </c>
      <c r="E119" s="1"/>
      <c r="F119" s="1">
        <v>3.7578860000000001</v>
      </c>
      <c r="G119" s="1">
        <v>5.5237489999999996</v>
      </c>
      <c r="H119" s="1">
        <v>9.5162320000000005</v>
      </c>
      <c r="I119" s="1">
        <v>14.413399999999999</v>
      </c>
      <c r="J119" s="1">
        <v>1</v>
      </c>
      <c r="L119" s="1" t="s">
        <v>5</v>
      </c>
      <c r="M119" s="1" t="s">
        <v>35</v>
      </c>
      <c r="N119" s="1" t="s">
        <v>2</v>
      </c>
      <c r="O119" s="1" t="s">
        <v>40</v>
      </c>
      <c r="P119" s="1">
        <f t="shared" ref="P119:P122" si="45">IF(ISBLANK(F119),":",0.98*F119)</f>
        <v>3.6827282800000001</v>
      </c>
      <c r="Q119" s="1">
        <f t="shared" si="42"/>
        <v>5.4132740199999994</v>
      </c>
      <c r="R119" s="1">
        <f t="shared" si="43"/>
        <v>9.3259073600000004</v>
      </c>
      <c r="S119" s="1">
        <f t="shared" si="44"/>
        <v>14.125131999999999</v>
      </c>
      <c r="T119" s="33">
        <v>0</v>
      </c>
      <c r="U119" s="1">
        <v>1</v>
      </c>
      <c r="W119" s="1" t="s">
        <v>5</v>
      </c>
      <c r="X119" s="1" t="s">
        <v>35</v>
      </c>
      <c r="Y119" s="1" t="s">
        <v>2</v>
      </c>
      <c r="Z119" s="1" t="s">
        <v>39</v>
      </c>
      <c r="AA119" s="1">
        <f t="shared" si="29"/>
        <v>3.83304372</v>
      </c>
      <c r="AB119" s="1">
        <f t="shared" si="30"/>
        <v>5.6342239799999998</v>
      </c>
      <c r="AC119" s="1">
        <f t="shared" si="31"/>
        <v>9.7065566400000005</v>
      </c>
      <c r="AD119" s="1">
        <f t="shared" si="32"/>
        <v>14.701668</v>
      </c>
      <c r="AE119" s="28">
        <f>MAX($I$7,$I$35,$I$63,$I$91,$I$119,$I$147,$I$175,$I$203,$I$231,$I$259,$I$287)</f>
        <v>69.570329999999998</v>
      </c>
      <c r="AF119" s="1">
        <v>1</v>
      </c>
    </row>
    <row r="120" spans="2:32" x14ac:dyDescent="0.25">
      <c r="B120" s="1" t="s">
        <v>6</v>
      </c>
      <c r="C120" s="1" t="s">
        <v>35</v>
      </c>
      <c r="D120" s="1" t="s">
        <v>2</v>
      </c>
      <c r="E120" s="1"/>
      <c r="F120" s="1">
        <v>19.952999999999999</v>
      </c>
      <c r="G120" s="1">
        <v>35.357999999999997</v>
      </c>
      <c r="H120" s="1">
        <v>52.505000000000003</v>
      </c>
      <c r="I120" s="1">
        <v>77.912999999999997</v>
      </c>
      <c r="J120" s="1">
        <v>1</v>
      </c>
      <c r="L120" s="1" t="s">
        <v>6</v>
      </c>
      <c r="M120" s="1" t="s">
        <v>35</v>
      </c>
      <c r="N120" s="1" t="s">
        <v>2</v>
      </c>
      <c r="O120" s="1" t="s">
        <v>40</v>
      </c>
      <c r="P120" s="1">
        <f t="shared" si="45"/>
        <v>19.553940000000001</v>
      </c>
      <c r="Q120" s="1">
        <f t="shared" si="42"/>
        <v>34.650839999999995</v>
      </c>
      <c r="R120" s="1">
        <f t="shared" si="43"/>
        <v>51.454900000000002</v>
      </c>
      <c r="S120" s="1">
        <f t="shared" si="44"/>
        <v>76.354739999999993</v>
      </c>
      <c r="T120" s="33">
        <v>0</v>
      </c>
      <c r="U120" s="1">
        <v>1</v>
      </c>
      <c r="W120" s="1" t="s">
        <v>6</v>
      </c>
      <c r="X120" s="1" t="s">
        <v>35</v>
      </c>
      <c r="Y120" s="1" t="s">
        <v>2</v>
      </c>
      <c r="Z120" s="1" t="s">
        <v>39</v>
      </c>
      <c r="AA120" s="1">
        <f t="shared" si="29"/>
        <v>20.352059999999998</v>
      </c>
      <c r="AB120" s="1">
        <f t="shared" si="30"/>
        <v>36.065159999999999</v>
      </c>
      <c r="AC120" s="1">
        <f t="shared" si="31"/>
        <v>53.555100000000003</v>
      </c>
      <c r="AD120" s="1">
        <f t="shared" si="32"/>
        <v>79.471260000000001</v>
      </c>
      <c r="AE120" s="28">
        <f>MAX($I$8,$I$36,$I$64,$I$92,$I$120,$I$148,$I$176,$I$204,$I$232,$I$260,$I$288)</f>
        <v>836.17112299999997</v>
      </c>
      <c r="AF120" s="1">
        <v>1</v>
      </c>
    </row>
    <row r="121" spans="2:32" x14ac:dyDescent="0.25">
      <c r="B121" s="1" t="s">
        <v>7</v>
      </c>
      <c r="C121" s="1" t="s">
        <v>35</v>
      </c>
      <c r="D121" s="1" t="s">
        <v>2</v>
      </c>
      <c r="E121" s="1"/>
      <c r="F121" s="1">
        <v>0</v>
      </c>
      <c r="G121" s="1">
        <v>0</v>
      </c>
      <c r="H121" s="1">
        <v>0</v>
      </c>
      <c r="I121" s="1">
        <v>0</v>
      </c>
      <c r="J121" s="1">
        <v>1</v>
      </c>
      <c r="L121" s="1" t="s">
        <v>7</v>
      </c>
      <c r="M121" s="1" t="s">
        <v>35</v>
      </c>
      <c r="N121" s="1" t="s">
        <v>2</v>
      </c>
      <c r="O121" s="1" t="s">
        <v>40</v>
      </c>
      <c r="P121" s="1">
        <f t="shared" si="45"/>
        <v>0</v>
      </c>
      <c r="Q121" s="1">
        <f t="shared" si="42"/>
        <v>0</v>
      </c>
      <c r="R121" s="1">
        <f t="shared" si="43"/>
        <v>0</v>
      </c>
      <c r="S121" s="1">
        <f t="shared" si="44"/>
        <v>0</v>
      </c>
      <c r="T121" s="33">
        <v>0</v>
      </c>
      <c r="U121" s="1">
        <v>1</v>
      </c>
      <c r="W121" s="1" t="s">
        <v>7</v>
      </c>
      <c r="X121" s="1" t="s">
        <v>35</v>
      </c>
      <c r="Y121" s="1" t="s">
        <v>2</v>
      </c>
      <c r="Z121" s="1" t="s">
        <v>39</v>
      </c>
      <c r="AA121" s="1">
        <f t="shared" si="29"/>
        <v>0</v>
      </c>
      <c r="AB121" s="1">
        <f t="shared" si="30"/>
        <v>0</v>
      </c>
      <c r="AC121" s="1">
        <f t="shared" si="31"/>
        <v>0</v>
      </c>
      <c r="AD121" s="1">
        <f t="shared" si="32"/>
        <v>0</v>
      </c>
      <c r="AE121" s="28">
        <f>MAX($I$9,$I$37,$I$65,$I$93,$I$121,$I$149,$I$177,$I$205,$I$233,$I$261,$I$289)</f>
        <v>15.457636000000001</v>
      </c>
      <c r="AF121" s="1">
        <v>1</v>
      </c>
    </row>
    <row r="122" spans="2:32" x14ac:dyDescent="0.25">
      <c r="B122" s="1" t="s">
        <v>8</v>
      </c>
      <c r="C122" s="1" t="s">
        <v>35</v>
      </c>
      <c r="D122" s="1" t="s">
        <v>2</v>
      </c>
      <c r="E122" s="1"/>
      <c r="F122" s="1">
        <v>0.43206900000000004</v>
      </c>
      <c r="G122" s="1">
        <v>0.70525300000000002</v>
      </c>
      <c r="H122" s="1">
        <v>1.4630080000000001</v>
      </c>
      <c r="I122" s="1">
        <v>2.9962770000000001</v>
      </c>
      <c r="J122" s="1">
        <v>1</v>
      </c>
      <c r="L122" s="1" t="s">
        <v>8</v>
      </c>
      <c r="M122" s="1" t="s">
        <v>35</v>
      </c>
      <c r="N122" s="1" t="s">
        <v>2</v>
      </c>
      <c r="O122" s="1" t="s">
        <v>40</v>
      </c>
      <c r="P122" s="1">
        <f t="shared" si="45"/>
        <v>0.42342762</v>
      </c>
      <c r="Q122" s="1">
        <f t="shared" si="42"/>
        <v>0.69114794000000002</v>
      </c>
      <c r="R122" s="1">
        <f t="shared" si="43"/>
        <v>1.4337478400000001</v>
      </c>
      <c r="S122" s="1">
        <f t="shared" si="44"/>
        <v>2.93635146</v>
      </c>
      <c r="T122" s="33">
        <v>0</v>
      </c>
      <c r="U122" s="1">
        <v>1</v>
      </c>
      <c r="W122" s="1" t="s">
        <v>8</v>
      </c>
      <c r="X122" s="1" t="s">
        <v>35</v>
      </c>
      <c r="Y122" s="1" t="s">
        <v>2</v>
      </c>
      <c r="Z122" s="1" t="s">
        <v>39</v>
      </c>
      <c r="AA122" s="1">
        <f t="shared" si="29"/>
        <v>0.44071038000000007</v>
      </c>
      <c r="AB122" s="1">
        <f t="shared" si="30"/>
        <v>0.71935806000000002</v>
      </c>
      <c r="AC122" s="1">
        <f t="shared" si="31"/>
        <v>1.4922681600000001</v>
      </c>
      <c r="AD122" s="1">
        <f t="shared" si="32"/>
        <v>3.0562025400000001</v>
      </c>
      <c r="AE122" s="28">
        <f>MAX(I$10,I$38,I$66,I$94,I$122,I$150,I$178,I$206,I$234,I$262,I$290)</f>
        <v>42.352189999999993</v>
      </c>
      <c r="AF122" s="1">
        <v>1</v>
      </c>
    </row>
    <row r="123" spans="2:32" x14ac:dyDescent="0.25">
      <c r="B123" s="1" t="s">
        <v>9</v>
      </c>
      <c r="C123" s="1" t="s">
        <v>35</v>
      </c>
      <c r="D123" s="1" t="s">
        <v>2</v>
      </c>
      <c r="E123" s="1"/>
      <c r="F123" s="1">
        <v>0</v>
      </c>
      <c r="G123" s="1">
        <v>0</v>
      </c>
      <c r="H123" s="1">
        <v>3.492</v>
      </c>
      <c r="I123" s="1">
        <v>4.5946670000000003</v>
      </c>
      <c r="J123" s="1">
        <v>1</v>
      </c>
      <c r="L123" s="1" t="s">
        <v>9</v>
      </c>
      <c r="M123" s="1" t="s">
        <v>35</v>
      </c>
      <c r="N123" s="1" t="s">
        <v>2</v>
      </c>
      <c r="O123" s="1" t="s">
        <v>40</v>
      </c>
      <c r="P123" s="1">
        <f>IF(ISBLANK(F123),":",0.98*F123)</f>
        <v>0</v>
      </c>
      <c r="Q123" s="1">
        <f t="shared" si="42"/>
        <v>0</v>
      </c>
      <c r="R123" s="1">
        <f t="shared" si="43"/>
        <v>3.4221599999999999</v>
      </c>
      <c r="S123" s="1">
        <f t="shared" si="44"/>
        <v>4.5027736599999999</v>
      </c>
      <c r="T123" s="33">
        <v>0</v>
      </c>
      <c r="U123" s="1">
        <v>1</v>
      </c>
      <c r="W123" s="1" t="s">
        <v>9</v>
      </c>
      <c r="X123" s="1" t="s">
        <v>35</v>
      </c>
      <c r="Y123" s="1" t="s">
        <v>2</v>
      </c>
      <c r="Z123" s="1" t="s">
        <v>39</v>
      </c>
      <c r="AA123" s="1">
        <f t="shared" si="29"/>
        <v>0</v>
      </c>
      <c r="AB123" s="1">
        <f t="shared" si="30"/>
        <v>0</v>
      </c>
      <c r="AC123" s="1">
        <f t="shared" si="31"/>
        <v>3.5618400000000001</v>
      </c>
      <c r="AD123" s="1">
        <f t="shared" si="32"/>
        <v>4.6865603400000007</v>
      </c>
      <c r="AE123" s="28">
        <f>MAX($I$11,$I$39,$I$67,$I$95,$I$123,$I$151,$I$179,$I$207,$I$235,$I$263,$I$291)</f>
        <v>37.635565999999997</v>
      </c>
      <c r="AF123" s="1">
        <v>1</v>
      </c>
    </row>
    <row r="124" spans="2:32" x14ac:dyDescent="0.25">
      <c r="B124" s="1" t="s">
        <v>10</v>
      </c>
      <c r="C124" s="1" t="s">
        <v>35</v>
      </c>
      <c r="D124" s="1" t="s">
        <v>2</v>
      </c>
      <c r="E124" s="1"/>
      <c r="F124" s="1">
        <v>0</v>
      </c>
      <c r="G124" s="1">
        <v>3.7812540000000001</v>
      </c>
      <c r="H124" s="1">
        <v>7.464804</v>
      </c>
      <c r="I124" s="1">
        <v>9.7604170000000003</v>
      </c>
      <c r="J124" s="1">
        <v>1</v>
      </c>
      <c r="L124" s="1" t="s">
        <v>10</v>
      </c>
      <c r="M124" s="1" t="s">
        <v>35</v>
      </c>
      <c r="N124" s="1" t="s">
        <v>2</v>
      </c>
      <c r="O124" s="1" t="s">
        <v>40</v>
      </c>
      <c r="P124" s="1">
        <f>IF(ISBLANK(F124),":",0.98*F124)</f>
        <v>0</v>
      </c>
      <c r="Q124" s="1">
        <f t="shared" si="42"/>
        <v>3.7056289200000001</v>
      </c>
      <c r="R124" s="1">
        <f t="shared" si="43"/>
        <v>7.3155079199999999</v>
      </c>
      <c r="S124" s="1">
        <f t="shared" si="44"/>
        <v>9.5652086599999997</v>
      </c>
      <c r="T124" s="33">
        <v>0</v>
      </c>
      <c r="U124" s="1">
        <v>1</v>
      </c>
      <c r="W124" s="1" t="s">
        <v>10</v>
      </c>
      <c r="X124" s="1" t="s">
        <v>35</v>
      </c>
      <c r="Y124" s="1" t="s">
        <v>2</v>
      </c>
      <c r="Z124" s="1" t="s">
        <v>39</v>
      </c>
      <c r="AA124" s="1">
        <f t="shared" si="29"/>
        <v>0</v>
      </c>
      <c r="AB124" s="1">
        <f t="shared" si="30"/>
        <v>3.8568790800000001</v>
      </c>
      <c r="AC124" s="1">
        <f t="shared" si="31"/>
        <v>7.61410008</v>
      </c>
      <c r="AD124" s="1">
        <f t="shared" si="32"/>
        <v>9.955625340000001</v>
      </c>
      <c r="AE124" s="28">
        <f>MAX($I$12,$I$40,$I$68,$I$96,$I$124,$I$152,$I$180,$I$208,$I$236,$I$264,$I$292)</f>
        <v>218.13407800000004</v>
      </c>
      <c r="AF124" s="1">
        <v>1</v>
      </c>
    </row>
    <row r="125" spans="2:32" x14ac:dyDescent="0.25">
      <c r="B125" s="1" t="s">
        <v>11</v>
      </c>
      <c r="C125" s="1" t="s">
        <v>35</v>
      </c>
      <c r="D125" s="1" t="s">
        <v>2</v>
      </c>
      <c r="E125" s="1"/>
      <c r="F125" s="1">
        <v>48.652853999999998</v>
      </c>
      <c r="G125" s="1">
        <v>65.507851000000002</v>
      </c>
      <c r="H125" s="1">
        <v>107.753264</v>
      </c>
      <c r="I125" s="1">
        <v>167.81698699999998</v>
      </c>
      <c r="J125" s="1">
        <v>1</v>
      </c>
      <c r="L125" s="1" t="s">
        <v>11</v>
      </c>
      <c r="M125" s="1" t="s">
        <v>35</v>
      </c>
      <c r="N125" s="1" t="s">
        <v>2</v>
      </c>
      <c r="O125" s="1" t="s">
        <v>40</v>
      </c>
      <c r="P125" s="1">
        <f t="shared" ref="P125:P129" si="46">IF(ISBLANK(F125),":",0.98*F125)</f>
        <v>47.679796919999994</v>
      </c>
      <c r="Q125" s="1">
        <f t="shared" si="42"/>
        <v>64.197693979999997</v>
      </c>
      <c r="R125" s="1">
        <f t="shared" si="43"/>
        <v>105.59819872</v>
      </c>
      <c r="S125" s="1">
        <f t="shared" si="44"/>
        <v>164.46064725999997</v>
      </c>
      <c r="T125" s="33">
        <v>0</v>
      </c>
      <c r="U125" s="1">
        <v>1</v>
      </c>
      <c r="W125" s="1" t="s">
        <v>11</v>
      </c>
      <c r="X125" s="1" t="s">
        <v>35</v>
      </c>
      <c r="Y125" s="1" t="s">
        <v>2</v>
      </c>
      <c r="Z125" s="1" t="s">
        <v>39</v>
      </c>
      <c r="AA125" s="1">
        <f t="shared" si="29"/>
        <v>49.625911080000002</v>
      </c>
      <c r="AB125" s="1">
        <f t="shared" si="30"/>
        <v>66.818008020000008</v>
      </c>
      <c r="AC125" s="1">
        <f t="shared" si="31"/>
        <v>109.90832928</v>
      </c>
      <c r="AD125" s="1">
        <f t="shared" si="32"/>
        <v>171.17332673999999</v>
      </c>
      <c r="AE125" s="28">
        <f>MAX($I$13,$I$41,$I$69,$I$97,$I$125,$I$153,$I$181,$I$209,$I$237,$I$265,$I$293)</f>
        <v>364.78012100000001</v>
      </c>
      <c r="AF125" s="1">
        <v>1</v>
      </c>
    </row>
    <row r="126" spans="2:32" x14ac:dyDescent="0.25">
      <c r="B126" s="1" t="s">
        <v>12</v>
      </c>
      <c r="C126" s="1" t="s">
        <v>35</v>
      </c>
      <c r="D126" s="1" t="s">
        <v>2</v>
      </c>
      <c r="E126" s="1"/>
      <c r="F126" s="1">
        <v>0.62979999999999992</v>
      </c>
      <c r="G126" s="1">
        <v>0.62139999999999995</v>
      </c>
      <c r="H126" s="1">
        <v>0.61220000000000008</v>
      </c>
      <c r="I126" s="1">
        <v>0.60980000000000001</v>
      </c>
      <c r="J126" s="1">
        <v>1</v>
      </c>
      <c r="L126" s="1" t="s">
        <v>12</v>
      </c>
      <c r="M126" s="1" t="s">
        <v>35</v>
      </c>
      <c r="N126" s="1" t="s">
        <v>2</v>
      </c>
      <c r="O126" s="1" t="s">
        <v>40</v>
      </c>
      <c r="P126" s="1">
        <f t="shared" si="46"/>
        <v>0.61720399999999986</v>
      </c>
      <c r="Q126" s="1">
        <f t="shared" si="42"/>
        <v>0.60897199999999996</v>
      </c>
      <c r="R126" s="1">
        <f t="shared" si="43"/>
        <v>0.59995600000000004</v>
      </c>
      <c r="S126" s="1">
        <f t="shared" si="44"/>
        <v>0.59760400000000002</v>
      </c>
      <c r="T126" s="33">
        <v>0</v>
      </c>
      <c r="U126" s="1">
        <v>1</v>
      </c>
      <c r="W126" s="1" t="s">
        <v>12</v>
      </c>
      <c r="X126" s="1" t="s">
        <v>35</v>
      </c>
      <c r="Y126" s="1" t="s">
        <v>2</v>
      </c>
      <c r="Z126" s="1" t="s">
        <v>39</v>
      </c>
      <c r="AA126" s="1">
        <f t="shared" si="29"/>
        <v>0.64239599999999997</v>
      </c>
      <c r="AB126" s="1">
        <f t="shared" si="30"/>
        <v>0.63382799999999995</v>
      </c>
      <c r="AC126" s="1">
        <f t="shared" si="31"/>
        <v>0.62444400000000011</v>
      </c>
      <c r="AD126" s="1">
        <f t="shared" si="32"/>
        <v>0.62199599999999999</v>
      </c>
      <c r="AE126" s="28">
        <f>MAX($I$14,$I$42,$I$70,$I$98,$I$126,$I$154,$I$182,$I$210,$I$238,$I$266,$I$294)</f>
        <v>40.304569999999998</v>
      </c>
      <c r="AF126" s="1">
        <v>1</v>
      </c>
    </row>
    <row r="127" spans="2:32" x14ac:dyDescent="0.25">
      <c r="B127" s="1" t="s">
        <v>13</v>
      </c>
      <c r="C127" s="1" t="s">
        <v>35</v>
      </c>
      <c r="D127" s="1" t="s">
        <v>2</v>
      </c>
      <c r="E127" s="1"/>
      <c r="F127" s="1">
        <v>0</v>
      </c>
      <c r="G127" s="1">
        <v>0</v>
      </c>
      <c r="H127" s="1">
        <v>3.990586</v>
      </c>
      <c r="I127" s="1">
        <v>34.587125</v>
      </c>
      <c r="J127" s="1">
        <v>1</v>
      </c>
      <c r="L127" s="1" t="s">
        <v>13</v>
      </c>
      <c r="M127" s="1" t="s">
        <v>35</v>
      </c>
      <c r="N127" s="1" t="s">
        <v>2</v>
      </c>
      <c r="O127" s="1" t="s">
        <v>40</v>
      </c>
      <c r="P127" s="1">
        <f t="shared" si="46"/>
        <v>0</v>
      </c>
      <c r="Q127" s="1">
        <f t="shared" si="42"/>
        <v>0</v>
      </c>
      <c r="R127" s="1">
        <f t="shared" si="43"/>
        <v>3.91077428</v>
      </c>
      <c r="S127" s="1">
        <f t="shared" si="44"/>
        <v>33.895382499999997</v>
      </c>
      <c r="T127" s="33">
        <v>0</v>
      </c>
      <c r="U127" s="1">
        <v>1</v>
      </c>
      <c r="W127" s="1" t="s">
        <v>13</v>
      </c>
      <c r="X127" s="1" t="s">
        <v>35</v>
      </c>
      <c r="Y127" s="1" t="s">
        <v>2</v>
      </c>
      <c r="Z127" s="1" t="s">
        <v>39</v>
      </c>
      <c r="AA127" s="1">
        <f t="shared" si="29"/>
        <v>0</v>
      </c>
      <c r="AB127" s="1">
        <f t="shared" si="30"/>
        <v>0</v>
      </c>
      <c r="AC127" s="1">
        <f t="shared" si="31"/>
        <v>4.0703977199999999</v>
      </c>
      <c r="AD127" s="1">
        <f t="shared" si="32"/>
        <v>35.278867500000004</v>
      </c>
      <c r="AE127" s="28">
        <f>MAX($I$15,$I$43,$I$71,$I$99,$I$127,$I$155,$I$183,$I$211,$I$239,$I$267,$I$295)</f>
        <v>539.45073900000011</v>
      </c>
      <c r="AF127" s="1">
        <v>1</v>
      </c>
    </row>
    <row r="128" spans="2:32" x14ac:dyDescent="0.25">
      <c r="B128" s="1" t="s">
        <v>14</v>
      </c>
      <c r="C128" s="1" t="s">
        <v>35</v>
      </c>
      <c r="D128" s="1" t="s">
        <v>2</v>
      </c>
      <c r="E128" s="1"/>
      <c r="F128" s="1">
        <v>3.2000000000000001E-2</v>
      </c>
      <c r="G128" s="1">
        <v>6.5000000000000002E-2</v>
      </c>
      <c r="H128" s="1">
        <v>0.54681899999999994</v>
      </c>
      <c r="I128" s="1">
        <v>0.54503400000000002</v>
      </c>
      <c r="J128" s="1">
        <v>1</v>
      </c>
      <c r="L128" s="1" t="s">
        <v>14</v>
      </c>
      <c r="M128" s="1" t="s">
        <v>35</v>
      </c>
      <c r="N128" s="1" t="s">
        <v>2</v>
      </c>
      <c r="O128" s="1" t="s">
        <v>40</v>
      </c>
      <c r="P128" s="1">
        <f t="shared" si="46"/>
        <v>3.1359999999999999E-2</v>
      </c>
      <c r="Q128" s="1">
        <f t="shared" si="42"/>
        <v>6.3700000000000007E-2</v>
      </c>
      <c r="R128" s="1">
        <f t="shared" si="43"/>
        <v>0.53588261999999998</v>
      </c>
      <c r="S128" s="1">
        <f t="shared" si="44"/>
        <v>0.53413332000000002</v>
      </c>
      <c r="T128" s="33">
        <v>0</v>
      </c>
      <c r="U128" s="1">
        <v>1</v>
      </c>
      <c r="W128" s="1" t="s">
        <v>14</v>
      </c>
      <c r="X128" s="1" t="s">
        <v>35</v>
      </c>
      <c r="Y128" s="1" t="s">
        <v>2</v>
      </c>
      <c r="Z128" s="1" t="s">
        <v>39</v>
      </c>
      <c r="AA128" s="1">
        <f t="shared" si="29"/>
        <v>3.2640000000000002E-2</v>
      </c>
      <c r="AB128" s="1">
        <f t="shared" si="30"/>
        <v>6.6299999999999998E-2</v>
      </c>
      <c r="AC128" s="1">
        <f t="shared" si="31"/>
        <v>0.55775537999999991</v>
      </c>
      <c r="AD128" s="1">
        <f t="shared" si="32"/>
        <v>0.55593468000000001</v>
      </c>
      <c r="AE128" s="28">
        <f>MAX($I$16,$I$44,$I$72,$I$100,$I$128,$I$156,$I$184,$I$212,$I$240,$I$268,$I$296)</f>
        <v>3.1702320000000004</v>
      </c>
      <c r="AF128" s="1">
        <v>1</v>
      </c>
    </row>
    <row r="129" spans="2:32" x14ac:dyDescent="0.25">
      <c r="B129" s="1" t="s">
        <v>15</v>
      </c>
      <c r="C129" s="1" t="s">
        <v>35</v>
      </c>
      <c r="D129" s="1" t="s">
        <v>2</v>
      </c>
      <c r="E129" s="1"/>
      <c r="F129" s="1">
        <v>0</v>
      </c>
      <c r="G129" s="1">
        <v>0</v>
      </c>
      <c r="H129" s="1">
        <v>0</v>
      </c>
      <c r="I129" s="1">
        <v>1.2480999999999999E-2</v>
      </c>
      <c r="J129" s="1">
        <v>1</v>
      </c>
      <c r="L129" s="1" t="s">
        <v>15</v>
      </c>
      <c r="M129" s="1" t="s">
        <v>35</v>
      </c>
      <c r="N129" s="1" t="s">
        <v>2</v>
      </c>
      <c r="O129" s="1" t="s">
        <v>40</v>
      </c>
      <c r="P129" s="1">
        <f t="shared" si="46"/>
        <v>0</v>
      </c>
      <c r="Q129" s="1">
        <f t="shared" si="42"/>
        <v>0</v>
      </c>
      <c r="R129" s="1">
        <f t="shared" si="43"/>
        <v>0</v>
      </c>
      <c r="S129" s="1">
        <f t="shared" si="44"/>
        <v>1.2231379999999998E-2</v>
      </c>
      <c r="T129" s="33">
        <v>0</v>
      </c>
      <c r="U129" s="1">
        <v>1</v>
      </c>
      <c r="W129" s="1" t="s">
        <v>15</v>
      </c>
      <c r="X129" s="1" t="s">
        <v>35</v>
      </c>
      <c r="Y129" s="1" t="s">
        <v>2</v>
      </c>
      <c r="Z129" s="1" t="s">
        <v>39</v>
      </c>
      <c r="AA129" s="1">
        <f t="shared" si="29"/>
        <v>0</v>
      </c>
      <c r="AB129" s="1">
        <f t="shared" si="30"/>
        <v>0</v>
      </c>
      <c r="AC129" s="1">
        <f t="shared" si="31"/>
        <v>0</v>
      </c>
      <c r="AD129" s="1">
        <f t="shared" si="32"/>
        <v>1.273062E-2</v>
      </c>
      <c r="AE129" s="28">
        <f>MAX($I$17,$I$45,$I$73,$I$101,$I$129,$I$157,$I$185,$I$213,$I$241,$I$269,$I$297)</f>
        <v>18.231687999999998</v>
      </c>
      <c r="AF129" s="1">
        <v>1</v>
      </c>
    </row>
    <row r="130" spans="2:32" x14ac:dyDescent="0.25">
      <c r="B130" s="1" t="s">
        <v>16</v>
      </c>
      <c r="C130" s="1" t="s">
        <v>35</v>
      </c>
      <c r="D130" s="1" t="s">
        <v>2</v>
      </c>
      <c r="E130" s="1"/>
      <c r="F130" s="1">
        <v>0</v>
      </c>
      <c r="G130" s="1">
        <v>0</v>
      </c>
      <c r="H130" s="1">
        <v>1.1619999999999999</v>
      </c>
      <c r="I130" s="1">
        <v>4.2690000000000001</v>
      </c>
      <c r="J130" s="1">
        <v>1</v>
      </c>
      <c r="L130" s="1" t="s">
        <v>16</v>
      </c>
      <c r="M130" s="1" t="s">
        <v>35</v>
      </c>
      <c r="N130" s="1" t="s">
        <v>2</v>
      </c>
      <c r="O130" s="1" t="s">
        <v>40</v>
      </c>
      <c r="P130" s="1">
        <f>IF(ISBLANK(F130),":",0.98*F130)</f>
        <v>0</v>
      </c>
      <c r="Q130" s="1">
        <f t="shared" si="42"/>
        <v>0</v>
      </c>
      <c r="R130" s="1">
        <f t="shared" si="43"/>
        <v>1.13876</v>
      </c>
      <c r="S130" s="1">
        <f t="shared" si="44"/>
        <v>4.1836200000000003</v>
      </c>
      <c r="T130" s="33">
        <v>0</v>
      </c>
      <c r="U130" s="1">
        <v>1</v>
      </c>
      <c r="W130" s="1" t="s">
        <v>16</v>
      </c>
      <c r="X130" s="1" t="s">
        <v>35</v>
      </c>
      <c r="Y130" s="1" t="s">
        <v>2</v>
      </c>
      <c r="Z130" s="1" t="s">
        <v>39</v>
      </c>
      <c r="AA130" s="1">
        <f t="shared" si="29"/>
        <v>0</v>
      </c>
      <c r="AB130" s="1">
        <f t="shared" si="30"/>
        <v>0</v>
      </c>
      <c r="AC130" s="1">
        <f t="shared" si="31"/>
        <v>1.1852399999999998</v>
      </c>
      <c r="AD130" s="1">
        <f t="shared" si="32"/>
        <v>4.3543799999999999</v>
      </c>
      <c r="AE130" s="28">
        <f>MAX($I$18,$I$46,$I$74,$I$102,$I$130,$I$158,$I$186,$I$214,$I$242,$I$270,$I$298)</f>
        <v>18.93</v>
      </c>
      <c r="AF130" s="1">
        <v>1</v>
      </c>
    </row>
    <row r="131" spans="2:32" x14ac:dyDescent="0.25">
      <c r="B131" s="1" t="s">
        <v>17</v>
      </c>
      <c r="C131" s="1" t="s">
        <v>35</v>
      </c>
      <c r="D131" s="1" t="s">
        <v>2</v>
      </c>
      <c r="E131" s="1"/>
      <c r="F131" s="1">
        <v>1.2548999999999999E-2</v>
      </c>
      <c r="G131" s="1">
        <v>6.1323000000000003E-2</v>
      </c>
      <c r="H131" s="1">
        <v>0.18209899999999998</v>
      </c>
      <c r="I131" s="1">
        <v>0.24813399999999999</v>
      </c>
      <c r="J131" s="1">
        <v>1</v>
      </c>
      <c r="L131" s="1" t="s">
        <v>17</v>
      </c>
      <c r="M131" s="1" t="s">
        <v>35</v>
      </c>
      <c r="N131" s="1" t="s">
        <v>2</v>
      </c>
      <c r="O131" s="1" t="s">
        <v>40</v>
      </c>
      <c r="P131" s="1">
        <f>IF(ISBLANK(F131),":",0.98*F131)</f>
        <v>1.229802E-2</v>
      </c>
      <c r="Q131" s="1">
        <f t="shared" si="42"/>
        <v>6.0096540000000004E-2</v>
      </c>
      <c r="R131" s="1">
        <f t="shared" si="43"/>
        <v>0.17845701999999999</v>
      </c>
      <c r="S131" s="1">
        <f t="shared" si="44"/>
        <v>0.24317132</v>
      </c>
      <c r="T131" s="33">
        <v>0</v>
      </c>
      <c r="U131" s="1">
        <v>1</v>
      </c>
      <c r="W131" s="1" t="s">
        <v>17</v>
      </c>
      <c r="X131" s="1" t="s">
        <v>35</v>
      </c>
      <c r="Y131" s="1" t="s">
        <v>2</v>
      </c>
      <c r="Z131" s="1" t="s">
        <v>39</v>
      </c>
      <c r="AA131" s="1">
        <f t="shared" si="29"/>
        <v>1.2799979999999999E-2</v>
      </c>
      <c r="AB131" s="1">
        <f t="shared" si="30"/>
        <v>6.2549460000000001E-2</v>
      </c>
      <c r="AC131" s="1">
        <f t="shared" si="31"/>
        <v>0.18574097999999997</v>
      </c>
      <c r="AD131" s="1">
        <f t="shared" si="32"/>
        <v>0.25309668000000002</v>
      </c>
      <c r="AE131" s="28">
        <f>MAX($I$19,$I$47,$I$75,$I$103,$I$131,$I$159,$I$187,$I$215,$I$243,$I$271,$I$299)</f>
        <v>8.6689310000000006</v>
      </c>
      <c r="AF131" s="1">
        <v>1</v>
      </c>
    </row>
    <row r="132" spans="2:32" x14ac:dyDescent="0.25">
      <c r="B132" s="1" t="s">
        <v>18</v>
      </c>
      <c r="C132" s="1" t="s">
        <v>35</v>
      </c>
      <c r="D132" s="1" t="s">
        <v>2</v>
      </c>
      <c r="E132" s="1"/>
      <c r="F132" s="1">
        <v>0</v>
      </c>
      <c r="G132" s="1">
        <v>0</v>
      </c>
      <c r="H132" s="1">
        <v>0.49299999999999999</v>
      </c>
      <c r="I132" s="1">
        <v>1.4650000000000001</v>
      </c>
      <c r="J132" s="1">
        <v>1</v>
      </c>
      <c r="L132" s="1" t="s">
        <v>18</v>
      </c>
      <c r="M132" s="1" t="s">
        <v>35</v>
      </c>
      <c r="N132" s="1" t="s">
        <v>2</v>
      </c>
      <c r="O132" s="1" t="s">
        <v>40</v>
      </c>
      <c r="P132" s="1">
        <f t="shared" ref="P132:P137" si="47">IF(ISBLANK(F132),":",0.98*F132)</f>
        <v>0</v>
      </c>
      <c r="Q132" s="1">
        <f t="shared" si="42"/>
        <v>0</v>
      </c>
      <c r="R132" s="1">
        <f t="shared" si="43"/>
        <v>0.48313999999999996</v>
      </c>
      <c r="S132" s="1">
        <f t="shared" si="44"/>
        <v>1.4357</v>
      </c>
      <c r="T132" s="33">
        <v>0</v>
      </c>
      <c r="U132" s="1">
        <v>1</v>
      </c>
      <c r="W132" s="1" t="s">
        <v>18</v>
      </c>
      <c r="X132" s="1" t="s">
        <v>35</v>
      </c>
      <c r="Y132" s="1" t="s">
        <v>2</v>
      </c>
      <c r="Z132" s="1" t="s">
        <v>39</v>
      </c>
      <c r="AA132" s="1">
        <f t="shared" ref="AA132:AA195" si="48">IF(ISBLANK(F132),":",1.02*F132)</f>
        <v>0</v>
      </c>
      <c r="AB132" s="1">
        <f t="shared" ref="AB132:AB195" si="49">IF(ISBLANK(G132),":",1.02*G132)</f>
        <v>0</v>
      </c>
      <c r="AC132" s="1">
        <f t="shared" ref="AC132:AC195" si="50">IF(ISBLANK(H132),":",1.02*H132)</f>
        <v>0.50285999999999997</v>
      </c>
      <c r="AD132" s="1">
        <f t="shared" ref="AD132:AD195" si="51">IF(ISBLANK(I132),":",1.02*I132)</f>
        <v>1.4943000000000002</v>
      </c>
      <c r="AE132" s="28">
        <f>MAX($I$20,$I$48,$I$76,$I$104,$I$132,$I$160,$I$188,$I$216,$I$244,$I$272,$I$300)</f>
        <v>104.339699</v>
      </c>
      <c r="AF132" s="1">
        <v>1</v>
      </c>
    </row>
    <row r="133" spans="2:32" x14ac:dyDescent="0.25">
      <c r="B133" s="1" t="s">
        <v>20</v>
      </c>
      <c r="C133" s="1" t="s">
        <v>35</v>
      </c>
      <c r="D133" s="1" t="s">
        <v>2</v>
      </c>
      <c r="E133" s="1"/>
      <c r="F133" s="1">
        <v>0.89224499999999995</v>
      </c>
      <c r="G133" s="1">
        <v>1.6901569999999999</v>
      </c>
      <c r="H133" s="1">
        <v>6.2654730000000001</v>
      </c>
      <c r="I133" s="1">
        <v>15.369339999999999</v>
      </c>
      <c r="J133" s="1">
        <v>1</v>
      </c>
      <c r="L133" s="1" t="s">
        <v>20</v>
      </c>
      <c r="M133" s="1" t="s">
        <v>35</v>
      </c>
      <c r="N133" s="1" t="s">
        <v>2</v>
      </c>
      <c r="O133" s="1" t="s">
        <v>40</v>
      </c>
      <c r="P133" s="1">
        <f t="shared" si="47"/>
        <v>0.8744000999999999</v>
      </c>
      <c r="Q133" s="1">
        <f t="shared" si="42"/>
        <v>1.6563538599999998</v>
      </c>
      <c r="R133" s="1">
        <f t="shared" si="43"/>
        <v>6.1401635399999996</v>
      </c>
      <c r="S133" s="1">
        <f t="shared" si="44"/>
        <v>15.0619532</v>
      </c>
      <c r="T133" s="33">
        <v>0</v>
      </c>
      <c r="U133" s="1">
        <v>1</v>
      </c>
      <c r="W133" s="1" t="s">
        <v>20</v>
      </c>
      <c r="X133" s="1" t="s">
        <v>35</v>
      </c>
      <c r="Y133" s="1" t="s">
        <v>2</v>
      </c>
      <c r="Z133" s="1" t="s">
        <v>39</v>
      </c>
      <c r="AA133" s="1">
        <f t="shared" si="48"/>
        <v>0.91008990000000001</v>
      </c>
      <c r="AB133" s="1">
        <f t="shared" si="49"/>
        <v>1.72396014</v>
      </c>
      <c r="AC133" s="1">
        <f t="shared" si="50"/>
        <v>6.3907824600000005</v>
      </c>
      <c r="AD133" s="1">
        <f t="shared" si="51"/>
        <v>15.676726799999999</v>
      </c>
      <c r="AE133" s="28">
        <f>MAX($I$21,$I$49,$I$77,$I$105,$I$133,$I$161,$I$189,$I$217,$I$245,$I$273,$I$301)</f>
        <v>201.18298499999997</v>
      </c>
      <c r="AF133" s="1">
        <v>1</v>
      </c>
    </row>
    <row r="134" spans="2:32" x14ac:dyDescent="0.25">
      <c r="B134" s="1" t="s">
        <v>21</v>
      </c>
      <c r="C134" s="1" t="s">
        <v>35</v>
      </c>
      <c r="D134" s="1" t="s">
        <v>2</v>
      </c>
      <c r="E134" s="1"/>
      <c r="F134" s="1">
        <v>3.5627759999999999</v>
      </c>
      <c r="G134" s="1">
        <v>5.7274719999999997</v>
      </c>
      <c r="H134" s="1">
        <v>10.706642</v>
      </c>
      <c r="I134" s="1">
        <v>12.695133</v>
      </c>
      <c r="J134" s="1">
        <v>1</v>
      </c>
      <c r="L134" s="1" t="s">
        <v>21</v>
      </c>
      <c r="M134" s="1" t="s">
        <v>35</v>
      </c>
      <c r="N134" s="1" t="s">
        <v>2</v>
      </c>
      <c r="O134" s="1" t="s">
        <v>40</v>
      </c>
      <c r="P134" s="1">
        <f t="shared" si="47"/>
        <v>3.4915204799999997</v>
      </c>
      <c r="Q134" s="1">
        <f t="shared" si="42"/>
        <v>5.6129225599999995</v>
      </c>
      <c r="R134" s="1">
        <f t="shared" si="43"/>
        <v>10.492509160000001</v>
      </c>
      <c r="S134" s="1">
        <f t="shared" si="44"/>
        <v>12.441230340000001</v>
      </c>
      <c r="T134" s="33">
        <v>0</v>
      </c>
      <c r="U134" s="1">
        <v>1</v>
      </c>
      <c r="W134" s="1" t="s">
        <v>21</v>
      </c>
      <c r="X134" s="1" t="s">
        <v>35</v>
      </c>
      <c r="Y134" s="1" t="s">
        <v>2</v>
      </c>
      <c r="Z134" s="1" t="s">
        <v>39</v>
      </c>
      <c r="AA134" s="1">
        <f t="shared" si="48"/>
        <v>3.6340315200000002</v>
      </c>
      <c r="AB134" s="1">
        <f t="shared" si="49"/>
        <v>5.8420214399999999</v>
      </c>
      <c r="AC134" s="1">
        <f t="shared" si="50"/>
        <v>10.92077484</v>
      </c>
      <c r="AD134" s="1">
        <f t="shared" si="51"/>
        <v>12.94903566</v>
      </c>
      <c r="AE134" s="28">
        <f>MAX($I$22,$I$50,$I$78,$I$106,$I$134,$I$162,$I$190,$I$218,$I$246,$I$274,$I$302)</f>
        <v>69.769181000000003</v>
      </c>
      <c r="AF134" s="1">
        <v>1</v>
      </c>
    </row>
    <row r="135" spans="2:32" x14ac:dyDescent="0.25">
      <c r="B135" s="1" t="s">
        <v>22</v>
      </c>
      <c r="C135" s="1" t="s">
        <v>35</v>
      </c>
      <c r="D135" s="1" t="s">
        <v>2</v>
      </c>
      <c r="E135" s="1"/>
      <c r="F135" s="1">
        <v>1.6421130000000002</v>
      </c>
      <c r="G135" s="1">
        <v>4.9839080000000004</v>
      </c>
      <c r="H135" s="1">
        <v>11.635517</v>
      </c>
      <c r="I135" s="1">
        <v>24.579648000000002</v>
      </c>
      <c r="J135" s="1">
        <v>1</v>
      </c>
      <c r="L135" s="1" t="s">
        <v>22</v>
      </c>
      <c r="M135" s="1" t="s">
        <v>35</v>
      </c>
      <c r="N135" s="1" t="s">
        <v>2</v>
      </c>
      <c r="O135" s="1" t="s">
        <v>40</v>
      </c>
      <c r="P135" s="1">
        <f t="shared" si="47"/>
        <v>1.6092707400000001</v>
      </c>
      <c r="Q135" s="1">
        <f t="shared" si="42"/>
        <v>4.8842298400000006</v>
      </c>
      <c r="R135" s="1">
        <f t="shared" si="43"/>
        <v>11.40280666</v>
      </c>
      <c r="S135" s="1">
        <f t="shared" si="44"/>
        <v>24.08805504</v>
      </c>
      <c r="T135" s="33">
        <v>0</v>
      </c>
      <c r="U135" s="1">
        <v>1</v>
      </c>
      <c r="W135" s="1" t="s">
        <v>22</v>
      </c>
      <c r="X135" s="1" t="s">
        <v>35</v>
      </c>
      <c r="Y135" s="1" t="s">
        <v>2</v>
      </c>
      <c r="Z135" s="1" t="s">
        <v>39</v>
      </c>
      <c r="AA135" s="1">
        <f t="shared" si="48"/>
        <v>1.6749552600000002</v>
      </c>
      <c r="AB135" s="1">
        <f t="shared" si="49"/>
        <v>5.0835861600000003</v>
      </c>
      <c r="AC135" s="1">
        <f t="shared" si="50"/>
        <v>11.868227340000001</v>
      </c>
      <c r="AD135" s="1">
        <f t="shared" si="51"/>
        <v>25.071240960000004</v>
      </c>
      <c r="AE135" s="28">
        <f>MAX($I$23,$I$51,$I$79,$I$107,$I$135,$I$163,$I$191,$I$219,$I$247,$I$275,$I$303)</f>
        <v>183.24970000000002</v>
      </c>
      <c r="AF135" s="1">
        <v>1</v>
      </c>
    </row>
    <row r="136" spans="2:32" x14ac:dyDescent="0.25">
      <c r="B136" s="1" t="s">
        <v>23</v>
      </c>
      <c r="C136" s="1" t="s">
        <v>35</v>
      </c>
      <c r="D136" s="1" t="s">
        <v>2</v>
      </c>
      <c r="E136" s="1"/>
      <c r="F136" s="1">
        <v>0</v>
      </c>
      <c r="G136" s="1">
        <v>8.9316659999999999</v>
      </c>
      <c r="H136" s="1">
        <v>10.680999999999999</v>
      </c>
      <c r="I136" s="1">
        <v>13.02431</v>
      </c>
      <c r="J136" s="1">
        <v>1</v>
      </c>
      <c r="L136" s="1" t="s">
        <v>23</v>
      </c>
      <c r="M136" s="1" t="s">
        <v>35</v>
      </c>
      <c r="N136" s="1" t="s">
        <v>2</v>
      </c>
      <c r="O136" s="1" t="s">
        <v>40</v>
      </c>
      <c r="P136" s="1">
        <f t="shared" si="47"/>
        <v>0</v>
      </c>
      <c r="Q136" s="1">
        <f t="shared" si="42"/>
        <v>8.7530326800000005</v>
      </c>
      <c r="R136" s="1">
        <f t="shared" si="43"/>
        <v>10.467379999999999</v>
      </c>
      <c r="S136" s="1">
        <f t="shared" si="44"/>
        <v>12.763823799999999</v>
      </c>
      <c r="T136" s="33">
        <v>0</v>
      </c>
      <c r="U136" s="1">
        <v>1</v>
      </c>
      <c r="W136" s="1" t="s">
        <v>23</v>
      </c>
      <c r="X136" s="1" t="s">
        <v>35</v>
      </c>
      <c r="Y136" s="1" t="s">
        <v>2</v>
      </c>
      <c r="Z136" s="1" t="s">
        <v>39</v>
      </c>
      <c r="AA136" s="1">
        <f t="shared" si="48"/>
        <v>0</v>
      </c>
      <c r="AB136" s="1">
        <f t="shared" si="49"/>
        <v>9.1102993199999993</v>
      </c>
      <c r="AC136" s="1">
        <f t="shared" si="50"/>
        <v>10.89462</v>
      </c>
      <c r="AD136" s="1">
        <f t="shared" si="51"/>
        <v>13.284796200000001</v>
      </c>
      <c r="AE136" s="28">
        <f>MAX($I$24,$I$52,$I$80,$I$108,$I$136,$I$164,$I$192,$I$220,$I$248,$I$276,$I$304)</f>
        <v>47.327892999999996</v>
      </c>
      <c r="AF136" s="1">
        <v>1</v>
      </c>
    </row>
    <row r="137" spans="2:32" x14ac:dyDescent="0.25">
      <c r="B137" s="1" t="s">
        <v>24</v>
      </c>
      <c r="C137" s="1" t="s">
        <v>35</v>
      </c>
      <c r="D137" s="1" t="s">
        <v>2</v>
      </c>
      <c r="E137" s="1"/>
      <c r="F137" s="1">
        <v>0</v>
      </c>
      <c r="G137" s="1">
        <v>0</v>
      </c>
      <c r="H137" s="1">
        <v>0</v>
      </c>
      <c r="I137" s="1">
        <v>2.0306999999999999E-2</v>
      </c>
      <c r="J137" s="1">
        <v>1</v>
      </c>
      <c r="L137" s="1" t="s">
        <v>24</v>
      </c>
      <c r="M137" s="1" t="s">
        <v>35</v>
      </c>
      <c r="N137" s="1" t="s">
        <v>2</v>
      </c>
      <c r="O137" s="1" t="s">
        <v>40</v>
      </c>
      <c r="P137" s="1">
        <f t="shared" si="47"/>
        <v>0</v>
      </c>
      <c r="Q137" s="1">
        <f t="shared" si="42"/>
        <v>0</v>
      </c>
      <c r="R137" s="1">
        <f t="shared" si="43"/>
        <v>0</v>
      </c>
      <c r="S137" s="1">
        <f t="shared" si="44"/>
        <v>1.9900859999999999E-2</v>
      </c>
      <c r="T137" s="33">
        <v>0</v>
      </c>
      <c r="U137" s="1">
        <v>1</v>
      </c>
      <c r="W137" s="1" t="s">
        <v>24</v>
      </c>
      <c r="X137" s="1" t="s">
        <v>35</v>
      </c>
      <c r="Y137" s="1" t="s">
        <v>2</v>
      </c>
      <c r="Z137" s="1" t="s">
        <v>39</v>
      </c>
      <c r="AA137" s="1">
        <f t="shared" si="48"/>
        <v>0</v>
      </c>
      <c r="AB137" s="1">
        <f t="shared" si="49"/>
        <v>0</v>
      </c>
      <c r="AC137" s="1">
        <f t="shared" si="50"/>
        <v>0</v>
      </c>
      <c r="AD137" s="1">
        <f t="shared" si="51"/>
        <v>2.0713139999999998E-2</v>
      </c>
      <c r="AE137" s="28">
        <f>MAX($I$25,$I$53,$I$81,$I$109,$I$137,$I$165,$I$193,$I$221,$I$249,$I$277,$I$305)</f>
        <v>123.01356</v>
      </c>
      <c r="AF137" s="1">
        <v>1</v>
      </c>
    </row>
    <row r="138" spans="2:32" x14ac:dyDescent="0.25">
      <c r="B138" s="1" t="s">
        <v>25</v>
      </c>
      <c r="C138" s="1" t="s">
        <v>35</v>
      </c>
      <c r="D138" s="1" t="s">
        <v>2</v>
      </c>
      <c r="E138" s="1"/>
      <c r="F138" s="1">
        <v>0.36753199999999997</v>
      </c>
      <c r="G138" s="1">
        <v>1.1587970000000001</v>
      </c>
      <c r="H138" s="1">
        <v>1.883524</v>
      </c>
      <c r="I138" s="1">
        <v>2.3998539999999999</v>
      </c>
      <c r="J138" s="1">
        <v>1</v>
      </c>
      <c r="L138" s="1" t="s">
        <v>25</v>
      </c>
      <c r="M138" s="1" t="s">
        <v>35</v>
      </c>
      <c r="N138" s="1" t="s">
        <v>2</v>
      </c>
      <c r="O138" s="1" t="s">
        <v>40</v>
      </c>
      <c r="P138" s="1">
        <f>IF(ISBLANK(F138),":",0.98*F138)</f>
        <v>0.36018135999999995</v>
      </c>
      <c r="Q138" s="1">
        <f t="shared" si="42"/>
        <v>1.1356210600000001</v>
      </c>
      <c r="R138" s="1">
        <f t="shared" si="43"/>
        <v>1.8458535199999999</v>
      </c>
      <c r="S138" s="1">
        <f t="shared" si="44"/>
        <v>2.3518569199999999</v>
      </c>
      <c r="T138" s="33">
        <v>0</v>
      </c>
      <c r="U138" s="1">
        <v>1</v>
      </c>
      <c r="W138" s="1" t="s">
        <v>25</v>
      </c>
      <c r="X138" s="1" t="s">
        <v>35</v>
      </c>
      <c r="Y138" s="1" t="s">
        <v>2</v>
      </c>
      <c r="Z138" s="1" t="s">
        <v>39</v>
      </c>
      <c r="AA138" s="1">
        <f t="shared" si="48"/>
        <v>0.37488263999999999</v>
      </c>
      <c r="AB138" s="1">
        <f t="shared" si="49"/>
        <v>1.1819729400000001</v>
      </c>
      <c r="AC138" s="1">
        <f t="shared" si="50"/>
        <v>1.92119448</v>
      </c>
      <c r="AD138" s="1">
        <f t="shared" si="51"/>
        <v>2.44785108</v>
      </c>
      <c r="AE138" s="28">
        <f>MAX($I$26,$I$54,$I$82,$I$110,$I$138,$I$166,$I$194,$I$222,$I$250,$I$278,$I$306)</f>
        <v>14.768578</v>
      </c>
      <c r="AF138" s="1">
        <v>1</v>
      </c>
    </row>
    <row r="139" spans="2:32" x14ac:dyDescent="0.25">
      <c r="B139" s="1" t="s">
        <v>26</v>
      </c>
      <c r="C139" s="1" t="s">
        <v>35</v>
      </c>
      <c r="D139" s="1" t="s">
        <v>2</v>
      </c>
      <c r="E139" s="1"/>
      <c r="F139" s="1">
        <v>0</v>
      </c>
      <c r="G139" s="1">
        <v>0</v>
      </c>
      <c r="H139" s="1">
        <v>1.5540999999999998</v>
      </c>
      <c r="I139" s="1">
        <v>3.6431900000000002</v>
      </c>
      <c r="J139" s="1">
        <v>1</v>
      </c>
      <c r="L139" s="1" t="s">
        <v>26</v>
      </c>
      <c r="M139" s="1" t="s">
        <v>35</v>
      </c>
      <c r="N139" s="1" t="s">
        <v>2</v>
      </c>
      <c r="O139" s="1" t="s">
        <v>40</v>
      </c>
      <c r="P139" s="1">
        <f>IF(ISBLANK(F139),":",0.98*F139)</f>
        <v>0</v>
      </c>
      <c r="Q139" s="1">
        <f t="shared" si="42"/>
        <v>0</v>
      </c>
      <c r="R139" s="1">
        <f t="shared" si="43"/>
        <v>1.5230179999999998</v>
      </c>
      <c r="S139" s="1">
        <f t="shared" si="44"/>
        <v>3.5703262000000002</v>
      </c>
      <c r="T139" s="33">
        <v>0</v>
      </c>
      <c r="U139" s="1">
        <v>1</v>
      </c>
      <c r="W139" s="1" t="s">
        <v>26</v>
      </c>
      <c r="X139" s="1" t="s">
        <v>35</v>
      </c>
      <c r="Y139" s="1" t="s">
        <v>2</v>
      </c>
      <c r="Z139" s="1" t="s">
        <v>39</v>
      </c>
      <c r="AA139" s="1">
        <f t="shared" si="48"/>
        <v>0</v>
      </c>
      <c r="AB139" s="1">
        <f t="shared" si="49"/>
        <v>0</v>
      </c>
      <c r="AC139" s="1">
        <f t="shared" si="50"/>
        <v>1.5851819999999999</v>
      </c>
      <c r="AD139" s="1">
        <f t="shared" si="51"/>
        <v>3.7160538000000001</v>
      </c>
      <c r="AE139" s="28">
        <f>MAX($I$27,$I$55,$I$83,$I$111,$I$139,$I$167,$I$195,$I$223,$I$251,$I$279,$I$307)</f>
        <v>43.948800000000006</v>
      </c>
      <c r="AF139" s="1">
        <v>1</v>
      </c>
    </row>
    <row r="140" spans="2:32" x14ac:dyDescent="0.25">
      <c r="B140" s="1" t="s">
        <v>27</v>
      </c>
      <c r="C140" s="1" t="s">
        <v>35</v>
      </c>
      <c r="D140" s="1" t="s">
        <v>2</v>
      </c>
      <c r="E140" s="1"/>
      <c r="F140" s="1">
        <f>1.223+8.689</f>
        <v>9.9120000000000008</v>
      </c>
      <c r="G140" s="1">
        <f>2.715+13.361</f>
        <v>16.076000000000001</v>
      </c>
      <c r="H140" s="1">
        <v>20.917999999999999</v>
      </c>
      <c r="I140" s="1">
        <v>30.550999999999998</v>
      </c>
      <c r="J140" s="1">
        <v>1</v>
      </c>
      <c r="L140" s="1" t="s">
        <v>27</v>
      </c>
      <c r="M140" s="1" t="s">
        <v>35</v>
      </c>
      <c r="N140" s="1" t="s">
        <v>2</v>
      </c>
      <c r="O140" s="1" t="s">
        <v>40</v>
      </c>
      <c r="P140" s="1">
        <f t="shared" ref="P140" si="52">IF(ISBLANK(F140),":",0.98*F140)</f>
        <v>9.7137600000000006</v>
      </c>
      <c r="Q140" s="1">
        <f t="shared" si="42"/>
        <v>15.754480000000001</v>
      </c>
      <c r="R140" s="1">
        <f t="shared" si="43"/>
        <v>20.499639999999999</v>
      </c>
      <c r="S140" s="1">
        <f t="shared" si="44"/>
        <v>29.939979999999998</v>
      </c>
      <c r="T140" s="33">
        <v>0</v>
      </c>
      <c r="U140" s="1">
        <v>1</v>
      </c>
      <c r="W140" s="1" t="s">
        <v>27</v>
      </c>
      <c r="X140" s="1" t="s">
        <v>35</v>
      </c>
      <c r="Y140" s="1" t="s">
        <v>2</v>
      </c>
      <c r="Z140" s="1" t="s">
        <v>39</v>
      </c>
      <c r="AA140" s="1">
        <f t="shared" si="48"/>
        <v>10.110240000000001</v>
      </c>
      <c r="AB140" s="1">
        <f t="shared" si="49"/>
        <v>16.39752</v>
      </c>
      <c r="AC140" s="1">
        <f t="shared" si="50"/>
        <v>21.336359999999999</v>
      </c>
      <c r="AD140" s="1">
        <f t="shared" si="51"/>
        <v>31.162019999999998</v>
      </c>
      <c r="AE140" s="28">
        <f>MAX($I$28,$I$56,$I$84,$I$112,$I$140,$I$168,$I$196,$I$224,$I$252,$I$280,$I$308)</f>
        <v>66.917000000000002</v>
      </c>
      <c r="AF140" s="1">
        <v>1</v>
      </c>
    </row>
    <row r="141" spans="2:32" x14ac:dyDescent="0.25">
      <c r="B141" s="1" t="s">
        <v>28</v>
      </c>
      <c r="C141" s="1" t="s">
        <v>35</v>
      </c>
      <c r="D141" s="1" t="s">
        <v>2</v>
      </c>
      <c r="E141" s="1"/>
      <c r="F141" s="1">
        <f>F142</f>
        <v>11.512733000000001</v>
      </c>
      <c r="G141" s="1">
        <f t="shared" ref="G141:I141" si="53">G142</f>
        <v>16.987110000000001</v>
      </c>
      <c r="H141" s="1">
        <f t="shared" si="53"/>
        <v>21.720312000000003</v>
      </c>
      <c r="I141" s="1">
        <f t="shared" si="53"/>
        <v>26.387601999999998</v>
      </c>
      <c r="J141" s="1">
        <v>1</v>
      </c>
      <c r="L141" s="1" t="s">
        <v>28</v>
      </c>
      <c r="M141" s="1" t="s">
        <v>35</v>
      </c>
      <c r="N141" s="1" t="s">
        <v>2</v>
      </c>
      <c r="O141" s="1" t="s">
        <v>40</v>
      </c>
      <c r="P141" s="1">
        <f t="shared" ref="P141:P146" si="54">IF(ISBLANK(F141),":",0.98*F141)</f>
        <v>11.282478340000001</v>
      </c>
      <c r="Q141" s="1">
        <f t="shared" si="42"/>
        <v>16.647367800000001</v>
      </c>
      <c r="R141" s="1">
        <f t="shared" si="43"/>
        <v>21.285905760000002</v>
      </c>
      <c r="S141" s="1">
        <f t="shared" si="44"/>
        <v>25.859849959999998</v>
      </c>
      <c r="T141" s="33">
        <v>0</v>
      </c>
      <c r="U141" s="1">
        <v>1</v>
      </c>
      <c r="W141" s="1" t="s">
        <v>28</v>
      </c>
      <c r="X141" s="1" t="s">
        <v>35</v>
      </c>
      <c r="Y141" s="1" t="s">
        <v>2</v>
      </c>
      <c r="Z141" s="1" t="s">
        <v>39</v>
      </c>
      <c r="AA141" s="1">
        <f t="shared" si="48"/>
        <v>11.742987660000001</v>
      </c>
      <c r="AB141" s="1">
        <f t="shared" si="49"/>
        <v>17.326852200000001</v>
      </c>
      <c r="AC141" s="1">
        <f t="shared" si="50"/>
        <v>22.154718240000005</v>
      </c>
      <c r="AD141" s="1">
        <f t="shared" si="51"/>
        <v>26.915354039999997</v>
      </c>
      <c r="AE141" s="28">
        <f>MAX($I$29,$I$57,$I$85,$I$113,$I$141,$I$169,$I$197,$I$225,$I$253,$I$281,$I$309)</f>
        <v>112.108</v>
      </c>
      <c r="AF141" s="1">
        <v>1</v>
      </c>
    </row>
    <row r="142" spans="2:32" x14ac:dyDescent="0.25">
      <c r="B142" s="1" t="s">
        <v>29</v>
      </c>
      <c r="C142" s="1" t="s">
        <v>35</v>
      </c>
      <c r="D142" s="1" t="s">
        <v>2</v>
      </c>
      <c r="E142" s="1"/>
      <c r="F142" s="1">
        <v>11.512733000000001</v>
      </c>
      <c r="G142" s="1">
        <v>16.987110000000001</v>
      </c>
      <c r="H142" s="1">
        <v>21.720312000000003</v>
      </c>
      <c r="I142" s="1">
        <v>26.387601999999998</v>
      </c>
      <c r="J142" s="1">
        <v>1</v>
      </c>
      <c r="L142" s="1" t="s">
        <v>29</v>
      </c>
      <c r="M142" s="1" t="s">
        <v>35</v>
      </c>
      <c r="N142" s="1" t="s">
        <v>2</v>
      </c>
      <c r="O142" s="1" t="s">
        <v>40</v>
      </c>
      <c r="P142" s="1">
        <f t="shared" si="54"/>
        <v>11.282478340000001</v>
      </c>
      <c r="Q142" s="1">
        <f t="shared" si="42"/>
        <v>16.647367800000001</v>
      </c>
      <c r="R142" s="1">
        <f t="shared" si="43"/>
        <v>21.285905760000002</v>
      </c>
      <c r="S142" s="1">
        <f t="shared" si="44"/>
        <v>25.859849959999998</v>
      </c>
      <c r="T142" s="33">
        <v>0</v>
      </c>
      <c r="U142" s="1">
        <v>1</v>
      </c>
      <c r="W142" s="1" t="s">
        <v>29</v>
      </c>
      <c r="X142" s="1" t="s">
        <v>35</v>
      </c>
      <c r="Y142" s="1" t="s">
        <v>2</v>
      </c>
      <c r="Z142" s="1" t="s">
        <v>39</v>
      </c>
      <c r="AA142" s="1">
        <f t="shared" si="48"/>
        <v>11.742987660000001</v>
      </c>
      <c r="AB142" s="1">
        <f t="shared" si="49"/>
        <v>17.326852200000001</v>
      </c>
      <c r="AC142" s="1">
        <f t="shared" si="50"/>
        <v>22.154718240000005</v>
      </c>
      <c r="AD142" s="1">
        <f t="shared" si="51"/>
        <v>26.915354039999997</v>
      </c>
      <c r="AE142" s="28">
        <f>MAX($I$30,$I$58,$I$86,$I$114,$I$142,$I$170,$I$198,$I$226,$I$254,$I$282,$I$310)</f>
        <v>101.44997000000001</v>
      </c>
      <c r="AF142" s="1">
        <v>1</v>
      </c>
    </row>
    <row r="143" spans="2:32" x14ac:dyDescent="0.25">
      <c r="B143" s="1" t="s">
        <v>30</v>
      </c>
      <c r="C143" s="1" t="s">
        <v>35</v>
      </c>
      <c r="D143" s="1" t="s">
        <v>2</v>
      </c>
      <c r="E143" s="1"/>
      <c r="F143" s="1">
        <v>0.715171</v>
      </c>
      <c r="G143" s="1">
        <v>3.927</v>
      </c>
      <c r="H143" s="1">
        <v>4.773505057633499</v>
      </c>
      <c r="I143" s="1">
        <v>9.2795702971849767</v>
      </c>
      <c r="J143" s="1">
        <v>1</v>
      </c>
      <c r="L143" s="1" t="s">
        <v>30</v>
      </c>
      <c r="M143" s="1" t="s">
        <v>35</v>
      </c>
      <c r="N143" s="1" t="s">
        <v>2</v>
      </c>
      <c r="O143" s="1" t="s">
        <v>40</v>
      </c>
      <c r="P143" s="1">
        <f t="shared" si="54"/>
        <v>0.70086757999999993</v>
      </c>
      <c r="Q143" s="1">
        <f t="shared" si="42"/>
        <v>3.8484599999999998</v>
      </c>
      <c r="R143" s="1">
        <f t="shared" si="43"/>
        <v>4.678034956480829</v>
      </c>
      <c r="S143" s="1">
        <f t="shared" si="44"/>
        <v>9.0939788912412762</v>
      </c>
      <c r="T143" s="33">
        <v>0</v>
      </c>
      <c r="U143" s="1">
        <v>1</v>
      </c>
      <c r="W143" s="1" t="s">
        <v>30</v>
      </c>
      <c r="X143" s="1" t="s">
        <v>35</v>
      </c>
      <c r="Y143" s="1" t="s">
        <v>2</v>
      </c>
      <c r="Z143" s="1" t="s">
        <v>39</v>
      </c>
      <c r="AA143" s="1">
        <f t="shared" si="48"/>
        <v>0.72947442000000007</v>
      </c>
      <c r="AB143" s="1">
        <f t="shared" si="49"/>
        <v>4.0055399999999999</v>
      </c>
      <c r="AC143" s="1">
        <f t="shared" si="50"/>
        <v>4.8689751587861689</v>
      </c>
      <c r="AD143" s="1">
        <f t="shared" si="51"/>
        <v>9.4651617031286772</v>
      </c>
      <c r="AE143" s="28">
        <f>MAX($I$31,$I$59,$I$87,$I$115,$I$143,$I$171,$I$199,$I$227,$I$255,$I$283,$I$311)</f>
        <v>814.1906987082092</v>
      </c>
      <c r="AF143" s="1">
        <v>1</v>
      </c>
    </row>
    <row r="144" spans="2:32" x14ac:dyDescent="0.25">
      <c r="B144" s="24" t="s">
        <v>0</v>
      </c>
      <c r="C144" s="24" t="s">
        <v>36</v>
      </c>
      <c r="D144" s="24" t="s">
        <v>2</v>
      </c>
      <c r="E144" s="24"/>
      <c r="F144" s="24">
        <v>26.699900000000003</v>
      </c>
      <c r="G144" s="24">
        <v>22.676299999999998</v>
      </c>
      <c r="H144" s="24">
        <v>21.230799999999999</v>
      </c>
      <c r="I144" s="24">
        <v>25.339200000000002</v>
      </c>
      <c r="J144" s="1">
        <v>1</v>
      </c>
      <c r="L144" s="1" t="s">
        <v>0</v>
      </c>
      <c r="M144" s="1" t="s">
        <v>36</v>
      </c>
      <c r="N144" s="1" t="s">
        <v>2</v>
      </c>
      <c r="O144" s="1" t="s">
        <v>40</v>
      </c>
      <c r="P144" s="1">
        <f t="shared" si="54"/>
        <v>26.165902000000003</v>
      </c>
      <c r="Q144" s="1">
        <f t="shared" si="42"/>
        <v>22.222773999999998</v>
      </c>
      <c r="R144" s="1">
        <f t="shared" si="43"/>
        <v>20.806183999999998</v>
      </c>
      <c r="S144" s="1">
        <f t="shared" si="44"/>
        <v>24.832416000000002</v>
      </c>
      <c r="T144" s="33">
        <v>0</v>
      </c>
      <c r="U144" s="1">
        <v>1</v>
      </c>
      <c r="W144" s="1" t="s">
        <v>0</v>
      </c>
      <c r="X144" s="1" t="s">
        <v>36</v>
      </c>
      <c r="Y144" s="1" t="s">
        <v>2</v>
      </c>
      <c r="Z144" s="1" t="s">
        <v>39</v>
      </c>
      <c r="AA144" s="1">
        <f t="shared" si="48"/>
        <v>27.233898000000003</v>
      </c>
      <c r="AB144" s="1">
        <f t="shared" si="49"/>
        <v>23.129825999999998</v>
      </c>
      <c r="AC144" s="1">
        <f t="shared" si="50"/>
        <v>21.655415999999999</v>
      </c>
      <c r="AD144" s="1">
        <f t="shared" si="51"/>
        <v>25.845984000000001</v>
      </c>
      <c r="AE144" s="28">
        <f>MAX($I$4,$I$32,$I$60,$I$88,$I$116,$I$144,$I$172,$I$200,$I$228,$I$256,$I$284)</f>
        <v>119.69903699999999</v>
      </c>
      <c r="AF144" s="1">
        <v>1</v>
      </c>
    </row>
    <row r="145" spans="2:32" x14ac:dyDescent="0.25">
      <c r="B145" s="24" t="s">
        <v>3</v>
      </c>
      <c r="C145" s="24" t="s">
        <v>36</v>
      </c>
      <c r="D145" s="24" t="s">
        <v>2</v>
      </c>
      <c r="E145" s="24"/>
      <c r="F145" s="24">
        <v>29.768999999999998</v>
      </c>
      <c r="G145" s="24">
        <v>29.981999999999999</v>
      </c>
      <c r="H145" s="24">
        <v>35.493567000000006</v>
      </c>
      <c r="I145" s="24">
        <v>24.446417</v>
      </c>
      <c r="J145" s="1">
        <v>1</v>
      </c>
      <c r="L145" s="1" t="s">
        <v>3</v>
      </c>
      <c r="M145" s="1" t="s">
        <v>36</v>
      </c>
      <c r="N145" s="1" t="s">
        <v>2</v>
      </c>
      <c r="O145" s="1" t="s">
        <v>40</v>
      </c>
      <c r="P145" s="1">
        <f t="shared" si="54"/>
        <v>29.173619999999996</v>
      </c>
      <c r="Q145" s="1">
        <f t="shared" si="42"/>
        <v>29.382359999999998</v>
      </c>
      <c r="R145" s="1">
        <f t="shared" si="43"/>
        <v>34.783695660000006</v>
      </c>
      <c r="S145" s="1">
        <f t="shared" si="44"/>
        <v>23.957488659999999</v>
      </c>
      <c r="T145" s="33">
        <v>0</v>
      </c>
      <c r="U145" s="1">
        <v>1</v>
      </c>
      <c r="W145" s="1" t="s">
        <v>3</v>
      </c>
      <c r="X145" s="1" t="s">
        <v>36</v>
      </c>
      <c r="Y145" s="1" t="s">
        <v>2</v>
      </c>
      <c r="Z145" s="1" t="s">
        <v>39</v>
      </c>
      <c r="AA145" s="1">
        <f t="shared" si="48"/>
        <v>30.364380000000001</v>
      </c>
      <c r="AB145" s="1">
        <f t="shared" si="49"/>
        <v>30.58164</v>
      </c>
      <c r="AC145" s="1">
        <f t="shared" si="50"/>
        <v>36.203438340000005</v>
      </c>
      <c r="AD145" s="1">
        <f t="shared" si="51"/>
        <v>24.935345340000001</v>
      </c>
      <c r="AE145" s="28">
        <f>MAX($I$5,$I$33,$I$61,$I$89,$I$117,$I$145,$I$173,$I$201,$I$229,$I$257,$I$285)</f>
        <v>27.890193999999994</v>
      </c>
      <c r="AF145" s="1">
        <v>1</v>
      </c>
    </row>
    <row r="146" spans="2:32" x14ac:dyDescent="0.25">
      <c r="B146" s="24" t="s">
        <v>4</v>
      </c>
      <c r="C146" s="24" t="s">
        <v>36</v>
      </c>
      <c r="D146" s="24" t="s">
        <v>2</v>
      </c>
      <c r="E146" s="24"/>
      <c r="F146" s="24">
        <v>63.180999999999997</v>
      </c>
      <c r="G146" s="24">
        <v>73.397999999999996</v>
      </c>
      <c r="H146" s="24">
        <v>86.182158999999999</v>
      </c>
      <c r="I146" s="24">
        <v>80.496740000000003</v>
      </c>
      <c r="J146" s="1">
        <v>1</v>
      </c>
      <c r="L146" s="1" t="s">
        <v>4</v>
      </c>
      <c r="M146" s="1" t="s">
        <v>36</v>
      </c>
      <c r="N146" s="1" t="s">
        <v>2</v>
      </c>
      <c r="O146" s="1" t="s">
        <v>40</v>
      </c>
      <c r="P146" s="1">
        <f t="shared" si="54"/>
        <v>61.917379999999994</v>
      </c>
      <c r="Q146" s="1">
        <f t="shared" si="42"/>
        <v>71.930039999999991</v>
      </c>
      <c r="R146" s="1">
        <f t="shared" si="43"/>
        <v>84.458515820000002</v>
      </c>
      <c r="S146" s="1">
        <f t="shared" si="44"/>
        <v>78.886805199999998</v>
      </c>
      <c r="T146" s="33">
        <v>0</v>
      </c>
      <c r="U146" s="1">
        <v>1</v>
      </c>
      <c r="W146" s="1" t="s">
        <v>4</v>
      </c>
      <c r="X146" s="1" t="s">
        <v>36</v>
      </c>
      <c r="Y146" s="1" t="s">
        <v>2</v>
      </c>
      <c r="Z146" s="1" t="s">
        <v>39</v>
      </c>
      <c r="AA146" s="1">
        <f t="shared" si="48"/>
        <v>64.44462</v>
      </c>
      <c r="AB146" s="1">
        <f t="shared" si="49"/>
        <v>74.865960000000001</v>
      </c>
      <c r="AC146" s="1">
        <f t="shared" si="50"/>
        <v>87.905802179999995</v>
      </c>
      <c r="AD146" s="1">
        <f t="shared" si="51"/>
        <v>82.106674800000008</v>
      </c>
      <c r="AE146" s="28">
        <f>MAX($I$6,$I$34,$I$62,$I$90,$I$118,$I$146,$I$174,$I$202,$I$230,$I$258,$I$286)</f>
        <v>80.496740000000003</v>
      </c>
      <c r="AF146" s="1">
        <v>1</v>
      </c>
    </row>
    <row r="147" spans="2:32" x14ac:dyDescent="0.25">
      <c r="B147" s="24" t="s">
        <v>5</v>
      </c>
      <c r="C147" s="24" t="s">
        <v>36</v>
      </c>
      <c r="D147" s="24" t="s">
        <v>2</v>
      </c>
      <c r="E147" s="24"/>
      <c r="F147" s="24">
        <v>39.808523999999998</v>
      </c>
      <c r="G147" s="24">
        <v>40.518439000000001</v>
      </c>
      <c r="H147" s="24">
        <v>33.229056</v>
      </c>
      <c r="I147" s="24">
        <v>29.504056000000002</v>
      </c>
      <c r="J147" s="1">
        <v>1</v>
      </c>
      <c r="L147" s="1" t="s">
        <v>5</v>
      </c>
      <c r="M147" s="1" t="s">
        <v>36</v>
      </c>
      <c r="N147" s="1" t="s">
        <v>2</v>
      </c>
      <c r="O147" s="1" t="s">
        <v>40</v>
      </c>
      <c r="P147" s="1">
        <f t="shared" ref="P147:P150" si="55">IF(ISBLANK(F147),":",0.98*F147)</f>
        <v>39.012353519999998</v>
      </c>
      <c r="Q147" s="1">
        <f t="shared" si="42"/>
        <v>39.708070220000003</v>
      </c>
      <c r="R147" s="1">
        <f t="shared" si="43"/>
        <v>32.564474879999999</v>
      </c>
      <c r="S147" s="1">
        <f t="shared" si="44"/>
        <v>28.913974880000001</v>
      </c>
      <c r="T147" s="33">
        <v>0</v>
      </c>
      <c r="U147" s="1">
        <v>1</v>
      </c>
      <c r="W147" s="1" t="s">
        <v>5</v>
      </c>
      <c r="X147" s="1" t="s">
        <v>36</v>
      </c>
      <c r="Y147" s="1" t="s">
        <v>2</v>
      </c>
      <c r="Z147" s="1" t="s">
        <v>39</v>
      </c>
      <c r="AA147" s="1">
        <f t="shared" si="48"/>
        <v>40.604694479999999</v>
      </c>
      <c r="AB147" s="1">
        <f t="shared" si="49"/>
        <v>41.328807779999998</v>
      </c>
      <c r="AC147" s="1">
        <f t="shared" si="50"/>
        <v>33.893637120000001</v>
      </c>
      <c r="AD147" s="1">
        <f t="shared" si="51"/>
        <v>30.094137120000003</v>
      </c>
      <c r="AE147" s="28">
        <f>MAX($I$7,$I$35,$I$63,$I$91,$I$119,$I$147,$I$175,$I$203,$I$231,$I$259,$I$287)</f>
        <v>69.570329999999998</v>
      </c>
      <c r="AF147" s="1">
        <v>1</v>
      </c>
    </row>
    <row r="148" spans="2:32" x14ac:dyDescent="0.25">
      <c r="B148" s="24" t="s">
        <v>6</v>
      </c>
      <c r="C148" s="24" t="s">
        <v>36</v>
      </c>
      <c r="D148" s="24" t="s">
        <v>2</v>
      </c>
      <c r="E148" s="24"/>
      <c r="F148" s="24">
        <v>278.28199999999998</v>
      </c>
      <c r="G148" s="24">
        <v>242.85</v>
      </c>
      <c r="H148" s="24">
        <v>235.69800000000001</v>
      </c>
      <c r="I148" s="24">
        <v>235.33500000000001</v>
      </c>
      <c r="J148" s="1">
        <v>1</v>
      </c>
      <c r="L148" s="1" t="s">
        <v>6</v>
      </c>
      <c r="M148" s="1" t="s">
        <v>36</v>
      </c>
      <c r="N148" s="1" t="s">
        <v>2</v>
      </c>
      <c r="O148" s="1" t="s">
        <v>40</v>
      </c>
      <c r="P148" s="1">
        <f t="shared" si="55"/>
        <v>272.71635999999995</v>
      </c>
      <c r="Q148" s="1">
        <f t="shared" si="42"/>
        <v>237.99299999999999</v>
      </c>
      <c r="R148" s="1">
        <f t="shared" si="43"/>
        <v>230.98403999999999</v>
      </c>
      <c r="S148" s="1">
        <f t="shared" si="44"/>
        <v>230.6283</v>
      </c>
      <c r="T148" s="33">
        <v>0</v>
      </c>
      <c r="U148" s="1">
        <v>1</v>
      </c>
      <c r="W148" s="1" t="s">
        <v>6</v>
      </c>
      <c r="X148" s="1" t="s">
        <v>36</v>
      </c>
      <c r="Y148" s="1" t="s">
        <v>2</v>
      </c>
      <c r="Z148" s="1" t="s">
        <v>39</v>
      </c>
      <c r="AA148" s="1">
        <f t="shared" si="48"/>
        <v>283.84764000000001</v>
      </c>
      <c r="AB148" s="1">
        <f t="shared" si="49"/>
        <v>247.70699999999999</v>
      </c>
      <c r="AC148" s="1">
        <f t="shared" si="50"/>
        <v>240.41196000000002</v>
      </c>
      <c r="AD148" s="1">
        <f t="shared" si="51"/>
        <v>240.04170000000002</v>
      </c>
      <c r="AE148" s="28">
        <f>MAX($I$8,$I$36,$I$64,$I$92,$I$120,$I$148,$I$176,$I$204,$I$232,$I$260,$I$288)</f>
        <v>836.17112299999997</v>
      </c>
      <c r="AF148" s="1">
        <v>1</v>
      </c>
    </row>
    <row r="149" spans="2:32" x14ac:dyDescent="0.25">
      <c r="B149" s="24" t="s">
        <v>7</v>
      </c>
      <c r="C149" s="24" t="s">
        <v>36</v>
      </c>
      <c r="D149" s="24" t="s">
        <v>2</v>
      </c>
      <c r="E149" s="24"/>
      <c r="F149" s="24">
        <v>17.728000000000002</v>
      </c>
      <c r="G149" s="24">
        <v>15.132999999999999</v>
      </c>
      <c r="H149" s="24">
        <v>16.600000000000001</v>
      </c>
      <c r="I149" s="24">
        <v>15.457636000000001</v>
      </c>
      <c r="J149" s="1">
        <v>1</v>
      </c>
      <c r="L149" s="1" t="s">
        <v>7</v>
      </c>
      <c r="M149" s="1" t="s">
        <v>36</v>
      </c>
      <c r="N149" s="1" t="s">
        <v>2</v>
      </c>
      <c r="O149" s="1" t="s">
        <v>40</v>
      </c>
      <c r="P149" s="1">
        <f t="shared" si="55"/>
        <v>17.373440000000002</v>
      </c>
      <c r="Q149" s="1">
        <f t="shared" si="42"/>
        <v>14.83034</v>
      </c>
      <c r="R149" s="1">
        <f t="shared" si="43"/>
        <v>16.268000000000001</v>
      </c>
      <c r="S149" s="1">
        <f t="shared" si="44"/>
        <v>15.148483280000001</v>
      </c>
      <c r="T149" s="33">
        <v>0</v>
      </c>
      <c r="U149" s="1">
        <v>1</v>
      </c>
      <c r="W149" s="1" t="s">
        <v>7</v>
      </c>
      <c r="X149" s="1" t="s">
        <v>36</v>
      </c>
      <c r="Y149" s="1" t="s">
        <v>2</v>
      </c>
      <c r="Z149" s="1" t="s">
        <v>39</v>
      </c>
      <c r="AA149" s="1">
        <f t="shared" si="48"/>
        <v>18.082560000000001</v>
      </c>
      <c r="AB149" s="1">
        <f t="shared" si="49"/>
        <v>15.435659999999999</v>
      </c>
      <c r="AC149" s="1">
        <f t="shared" si="50"/>
        <v>16.932000000000002</v>
      </c>
      <c r="AD149" s="1">
        <f t="shared" si="51"/>
        <v>15.766788720000001</v>
      </c>
      <c r="AE149" s="28">
        <f>MAX($I$9,$I$37,$I$65,$I$93,$I$121,$I$149,$I$177,$I$205,$I$233,$I$261,$I$289)</f>
        <v>15.457636000000001</v>
      </c>
      <c r="AF149" s="1">
        <v>1</v>
      </c>
    </row>
    <row r="150" spans="2:32" x14ac:dyDescent="0.25">
      <c r="B150" s="24" t="s">
        <v>8</v>
      </c>
      <c r="C150" s="24" t="s">
        <v>36</v>
      </c>
      <c r="D150" s="24" t="s">
        <v>2</v>
      </c>
      <c r="E150" s="24"/>
      <c r="F150" s="24">
        <v>1.1194600000000001</v>
      </c>
      <c r="G150" s="24">
        <v>1.4116949999999999</v>
      </c>
      <c r="H150" s="24">
        <v>1.0885809999999998</v>
      </c>
      <c r="I150" s="24">
        <v>1.0484629999999999</v>
      </c>
      <c r="J150" s="1">
        <v>1</v>
      </c>
      <c r="L150" s="1" t="s">
        <v>8</v>
      </c>
      <c r="M150" s="1" t="s">
        <v>36</v>
      </c>
      <c r="N150" s="1" t="s">
        <v>2</v>
      </c>
      <c r="O150" s="1" t="s">
        <v>40</v>
      </c>
      <c r="P150" s="1">
        <f t="shared" si="55"/>
        <v>1.0970708</v>
      </c>
      <c r="Q150" s="1">
        <f t="shared" si="42"/>
        <v>1.3834610999999999</v>
      </c>
      <c r="R150" s="1">
        <f t="shared" si="43"/>
        <v>1.0668093799999998</v>
      </c>
      <c r="S150" s="1">
        <f t="shared" si="44"/>
        <v>1.0274937399999999</v>
      </c>
      <c r="T150" s="33">
        <v>0</v>
      </c>
      <c r="U150" s="1">
        <v>1</v>
      </c>
      <c r="W150" s="1" t="s">
        <v>8</v>
      </c>
      <c r="X150" s="1" t="s">
        <v>36</v>
      </c>
      <c r="Y150" s="1" t="s">
        <v>2</v>
      </c>
      <c r="Z150" s="1" t="s">
        <v>39</v>
      </c>
      <c r="AA150" s="1">
        <f t="shared" si="48"/>
        <v>1.1418492000000002</v>
      </c>
      <c r="AB150" s="1">
        <f t="shared" si="49"/>
        <v>1.4399289</v>
      </c>
      <c r="AC150" s="1">
        <f t="shared" si="50"/>
        <v>1.1103526199999998</v>
      </c>
      <c r="AD150" s="1">
        <f t="shared" si="51"/>
        <v>1.0694322599999999</v>
      </c>
      <c r="AE150" s="28">
        <f>MAX(I$10,I$38,I$66,I$94,I$122,I$150,I$178,I$206,I$234,I$262,I$290)</f>
        <v>42.352189999999993</v>
      </c>
      <c r="AF150" s="1">
        <v>1</v>
      </c>
    </row>
    <row r="151" spans="2:32" x14ac:dyDescent="0.25">
      <c r="B151" s="24" t="s">
        <v>9</v>
      </c>
      <c r="C151" s="24" t="s">
        <v>36</v>
      </c>
      <c r="D151" s="24" t="s">
        <v>2</v>
      </c>
      <c r="E151" s="24"/>
      <c r="F151" s="24">
        <v>23.585999999999999</v>
      </c>
      <c r="G151" s="24">
        <v>32.831000000000003</v>
      </c>
      <c r="H151" s="24">
        <v>25.081067999999998</v>
      </c>
      <c r="I151" s="24">
        <v>29.592801999999999</v>
      </c>
      <c r="J151" s="1">
        <v>1</v>
      </c>
      <c r="L151" s="1" t="s">
        <v>9</v>
      </c>
      <c r="M151" s="1" t="s">
        <v>36</v>
      </c>
      <c r="N151" s="1" t="s">
        <v>2</v>
      </c>
      <c r="O151" s="1" t="s">
        <v>40</v>
      </c>
      <c r="P151" s="1">
        <f>IF(ISBLANK(F151),":",0.98*F151)</f>
        <v>23.114279999999997</v>
      </c>
      <c r="Q151" s="1">
        <f t="shared" si="42"/>
        <v>32.174379999999999</v>
      </c>
      <c r="R151" s="1">
        <f t="shared" si="43"/>
        <v>24.579446639999997</v>
      </c>
      <c r="S151" s="1">
        <f t="shared" si="44"/>
        <v>29.000945959999999</v>
      </c>
      <c r="T151" s="33">
        <v>0</v>
      </c>
      <c r="U151" s="1">
        <v>1</v>
      </c>
      <c r="W151" s="1" t="s">
        <v>9</v>
      </c>
      <c r="X151" s="1" t="s">
        <v>36</v>
      </c>
      <c r="Y151" s="1" t="s">
        <v>2</v>
      </c>
      <c r="Z151" s="1" t="s">
        <v>39</v>
      </c>
      <c r="AA151" s="1">
        <f t="shared" si="48"/>
        <v>24.05772</v>
      </c>
      <c r="AB151" s="1">
        <f t="shared" si="49"/>
        <v>33.487620000000007</v>
      </c>
      <c r="AC151" s="1">
        <f t="shared" si="50"/>
        <v>25.58268936</v>
      </c>
      <c r="AD151" s="1">
        <f t="shared" si="51"/>
        <v>30.184658039999999</v>
      </c>
      <c r="AE151" s="28">
        <f>MAX($I$11,$I$39,$I$67,$I$95,$I$123,$I$151,$I$179,$I$207,$I$235,$I$263,$I$291)</f>
        <v>37.635565999999997</v>
      </c>
      <c r="AF151" s="1">
        <v>1</v>
      </c>
    </row>
    <row r="152" spans="2:32" x14ac:dyDescent="0.25">
      <c r="B152" s="24" t="s">
        <v>10</v>
      </c>
      <c r="C152" s="24" t="s">
        <v>36</v>
      </c>
      <c r="D152" s="24" t="s">
        <v>2</v>
      </c>
      <c r="E152" s="24"/>
      <c r="F152" s="24">
        <v>102.035</v>
      </c>
      <c r="G152" s="24">
        <v>104.242</v>
      </c>
      <c r="H152" s="24">
        <v>76.484999999999999</v>
      </c>
      <c r="I152" s="24">
        <v>77.137</v>
      </c>
      <c r="J152" s="1">
        <v>1</v>
      </c>
      <c r="L152" s="1" t="s">
        <v>10</v>
      </c>
      <c r="M152" s="1" t="s">
        <v>36</v>
      </c>
      <c r="N152" s="1" t="s">
        <v>2</v>
      </c>
      <c r="O152" s="1" t="s">
        <v>40</v>
      </c>
      <c r="P152" s="1">
        <f>IF(ISBLANK(F152),":",0.98*F152)</f>
        <v>99.994299999999996</v>
      </c>
      <c r="Q152" s="1">
        <f t="shared" si="42"/>
        <v>102.15716</v>
      </c>
      <c r="R152" s="1">
        <f t="shared" si="43"/>
        <v>74.955299999999994</v>
      </c>
      <c r="S152" s="1">
        <f t="shared" si="44"/>
        <v>75.594260000000006</v>
      </c>
      <c r="T152" s="33">
        <v>0</v>
      </c>
      <c r="U152" s="1">
        <v>1</v>
      </c>
      <c r="W152" s="1" t="s">
        <v>10</v>
      </c>
      <c r="X152" s="1" t="s">
        <v>36</v>
      </c>
      <c r="Y152" s="1" t="s">
        <v>2</v>
      </c>
      <c r="Z152" s="1" t="s">
        <v>39</v>
      </c>
      <c r="AA152" s="1">
        <f t="shared" si="48"/>
        <v>104.0757</v>
      </c>
      <c r="AB152" s="1">
        <f t="shared" si="49"/>
        <v>106.32684</v>
      </c>
      <c r="AC152" s="1">
        <f t="shared" si="50"/>
        <v>78.014700000000005</v>
      </c>
      <c r="AD152" s="1">
        <f t="shared" si="51"/>
        <v>78.679739999999995</v>
      </c>
      <c r="AE152" s="28">
        <f>MAX($I$12,$I$40,$I$68,$I$96,$I$124,$I$152,$I$180,$I$208,$I$236,$I$264,$I$292)</f>
        <v>218.13407800000004</v>
      </c>
      <c r="AF152" s="1">
        <v>1</v>
      </c>
    </row>
    <row r="153" spans="2:32" x14ac:dyDescent="0.25">
      <c r="B153" s="24" t="s">
        <v>11</v>
      </c>
      <c r="C153" s="24" t="s">
        <v>36</v>
      </c>
      <c r="D153" s="24" t="s">
        <v>2</v>
      </c>
      <c r="E153" s="24"/>
      <c r="F153" s="24">
        <v>302.697</v>
      </c>
      <c r="G153" s="24">
        <v>270.98099200000001</v>
      </c>
      <c r="H153" s="24">
        <v>243.88957500000001</v>
      </c>
      <c r="I153" s="24">
        <v>249.413364</v>
      </c>
      <c r="J153" s="1">
        <v>1</v>
      </c>
      <c r="L153" s="1" t="s">
        <v>11</v>
      </c>
      <c r="M153" s="1" t="s">
        <v>36</v>
      </c>
      <c r="N153" s="1" t="s">
        <v>2</v>
      </c>
      <c r="O153" s="1" t="s">
        <v>40</v>
      </c>
      <c r="P153" s="1">
        <f>IF(ISBLANK(F153),":",0.98*F153)</f>
        <v>296.64305999999999</v>
      </c>
      <c r="Q153" s="1">
        <f t="shared" si="42"/>
        <v>265.56137216000002</v>
      </c>
      <c r="R153" s="1">
        <f t="shared" si="43"/>
        <v>239.01178350000001</v>
      </c>
      <c r="S153" s="1">
        <f t="shared" si="44"/>
        <v>244.42509672</v>
      </c>
      <c r="T153" s="33">
        <v>0</v>
      </c>
      <c r="U153" s="1">
        <v>1</v>
      </c>
      <c r="W153" s="1" t="s">
        <v>11</v>
      </c>
      <c r="X153" s="1" t="s">
        <v>36</v>
      </c>
      <c r="Y153" s="1" t="s">
        <v>2</v>
      </c>
      <c r="Z153" s="1" t="s">
        <v>39</v>
      </c>
      <c r="AA153" s="1">
        <f t="shared" si="48"/>
        <v>308.75094000000001</v>
      </c>
      <c r="AB153" s="1">
        <f t="shared" si="49"/>
        <v>276.40061184000001</v>
      </c>
      <c r="AC153" s="1">
        <f t="shared" si="50"/>
        <v>248.76736650000001</v>
      </c>
      <c r="AD153" s="1">
        <f t="shared" si="51"/>
        <v>254.40163128</v>
      </c>
      <c r="AE153" s="28">
        <f>MAX($I$13,$I$41,$I$69,$I$97,$I$125,$I$153,$I$181,$I$209,$I$237,$I$265,$I$293)</f>
        <v>364.78012100000001</v>
      </c>
      <c r="AF153" s="1">
        <v>1</v>
      </c>
    </row>
    <row r="154" spans="2:32" x14ac:dyDescent="0.25">
      <c r="B154" s="24" t="s">
        <v>12</v>
      </c>
      <c r="C154" s="24" t="s">
        <v>36</v>
      </c>
      <c r="D154" s="24" t="s">
        <v>2</v>
      </c>
      <c r="E154" s="24"/>
      <c r="F154" s="24">
        <v>49.539000000000001</v>
      </c>
      <c r="G154" s="24">
        <v>48.445999999999998</v>
      </c>
      <c r="H154" s="24">
        <v>42.471268999999999</v>
      </c>
      <c r="I154" s="24">
        <v>40.304569999999998</v>
      </c>
      <c r="J154" s="1">
        <v>1</v>
      </c>
      <c r="L154" s="1" t="s">
        <v>12</v>
      </c>
      <c r="M154" s="1" t="s">
        <v>36</v>
      </c>
      <c r="N154" s="1" t="s">
        <v>2</v>
      </c>
      <c r="O154" s="1" t="s">
        <v>40</v>
      </c>
      <c r="P154" s="1">
        <f t="shared" ref="P154:P159" si="56">IF(ISBLANK(F154),":",0.98*F154)</f>
        <v>48.548220000000001</v>
      </c>
      <c r="Q154" s="1">
        <f t="shared" si="42"/>
        <v>47.477079999999994</v>
      </c>
      <c r="R154" s="1">
        <f t="shared" si="43"/>
        <v>41.62184362</v>
      </c>
      <c r="S154" s="1">
        <f t="shared" si="44"/>
        <v>39.498478599999999</v>
      </c>
      <c r="T154" s="33">
        <v>0</v>
      </c>
      <c r="U154" s="1">
        <v>1</v>
      </c>
      <c r="W154" s="1" t="s">
        <v>12</v>
      </c>
      <c r="X154" s="1" t="s">
        <v>36</v>
      </c>
      <c r="Y154" s="1" t="s">
        <v>2</v>
      </c>
      <c r="Z154" s="1" t="s">
        <v>39</v>
      </c>
      <c r="AA154" s="1">
        <f t="shared" si="48"/>
        <v>50.529780000000002</v>
      </c>
      <c r="AB154" s="1">
        <f t="shared" si="49"/>
        <v>49.414920000000002</v>
      </c>
      <c r="AC154" s="1">
        <f t="shared" si="50"/>
        <v>43.320694379999999</v>
      </c>
      <c r="AD154" s="1">
        <f t="shared" si="51"/>
        <v>41.110661399999998</v>
      </c>
      <c r="AE154" s="28">
        <f>MAX($I$14,$I$42,$I$70,$I$98,$I$126,$I$154,$I$182,$I$210,$I$238,$I$266,$I$294)</f>
        <v>40.304569999999998</v>
      </c>
      <c r="AF154" s="1">
        <v>1</v>
      </c>
    </row>
    <row r="155" spans="2:32" x14ac:dyDescent="0.25">
      <c r="B155" s="24" t="s">
        <v>13</v>
      </c>
      <c r="C155" s="24" t="s">
        <v>36</v>
      </c>
      <c r="D155" s="24" t="s">
        <v>2</v>
      </c>
      <c r="E155" s="24"/>
      <c r="F155" s="24">
        <v>297.80099999999999</v>
      </c>
      <c r="G155" s="24">
        <v>265.92599999999999</v>
      </c>
      <c r="H155" s="24">
        <v>249.34220099999999</v>
      </c>
      <c r="I155" s="24">
        <v>248.99100300000001</v>
      </c>
      <c r="J155" s="1">
        <v>1</v>
      </c>
      <c r="L155" s="1" t="s">
        <v>13</v>
      </c>
      <c r="M155" s="1" t="s">
        <v>36</v>
      </c>
      <c r="N155" s="1" t="s">
        <v>2</v>
      </c>
      <c r="O155" s="1" t="s">
        <v>40</v>
      </c>
      <c r="P155" s="1">
        <f t="shared" si="56"/>
        <v>291.84497999999996</v>
      </c>
      <c r="Q155" s="1">
        <f t="shared" si="42"/>
        <v>260.60748000000001</v>
      </c>
      <c r="R155" s="1">
        <f t="shared" si="43"/>
        <v>244.35535697999998</v>
      </c>
      <c r="S155" s="1">
        <f t="shared" si="44"/>
        <v>244.01118294</v>
      </c>
      <c r="T155" s="33">
        <v>0</v>
      </c>
      <c r="U155" s="1">
        <v>1</v>
      </c>
      <c r="W155" s="1" t="s">
        <v>13</v>
      </c>
      <c r="X155" s="1" t="s">
        <v>36</v>
      </c>
      <c r="Y155" s="1" t="s">
        <v>2</v>
      </c>
      <c r="Z155" s="1" t="s">
        <v>39</v>
      </c>
      <c r="AA155" s="1">
        <f t="shared" si="48"/>
        <v>303.75702000000001</v>
      </c>
      <c r="AB155" s="1">
        <f t="shared" si="49"/>
        <v>271.24451999999997</v>
      </c>
      <c r="AC155" s="1">
        <f t="shared" si="50"/>
        <v>254.32904502</v>
      </c>
      <c r="AD155" s="1">
        <f t="shared" si="51"/>
        <v>253.97082306000001</v>
      </c>
      <c r="AE155" s="28">
        <f>MAX($I$15,$I$43,$I$71,$I$99,$I$127,$I$155,$I$183,$I$211,$I$239,$I$267,$I$295)</f>
        <v>539.45073900000011</v>
      </c>
      <c r="AF155" s="1">
        <v>1</v>
      </c>
    </row>
    <row r="156" spans="2:32" x14ac:dyDescent="0.25">
      <c r="B156" s="24" t="s">
        <v>14</v>
      </c>
      <c r="C156" s="24" t="s">
        <v>36</v>
      </c>
      <c r="D156" s="24" t="s">
        <v>2</v>
      </c>
      <c r="E156" s="24"/>
      <c r="F156" s="24">
        <v>0.21862500000000001</v>
      </c>
      <c r="G156" s="24">
        <v>0.43800800000000001</v>
      </c>
      <c r="H156" s="24">
        <v>0.64369600000000005</v>
      </c>
      <c r="I156" s="24">
        <v>0.53843200000000002</v>
      </c>
      <c r="J156" s="1">
        <v>1</v>
      </c>
      <c r="L156" s="1" t="s">
        <v>14</v>
      </c>
      <c r="M156" s="1" t="s">
        <v>36</v>
      </c>
      <c r="N156" s="1" t="s">
        <v>2</v>
      </c>
      <c r="O156" s="1" t="s">
        <v>40</v>
      </c>
      <c r="P156" s="1">
        <f t="shared" si="56"/>
        <v>0.21425250000000001</v>
      </c>
      <c r="Q156" s="1">
        <f t="shared" si="42"/>
        <v>0.42924783999999999</v>
      </c>
      <c r="R156" s="1">
        <f t="shared" si="43"/>
        <v>0.63082208000000006</v>
      </c>
      <c r="S156" s="1">
        <f t="shared" si="44"/>
        <v>0.52766336000000003</v>
      </c>
      <c r="T156" s="33">
        <v>0</v>
      </c>
      <c r="U156" s="1">
        <v>1</v>
      </c>
      <c r="W156" s="1" t="s">
        <v>14</v>
      </c>
      <c r="X156" s="1" t="s">
        <v>36</v>
      </c>
      <c r="Y156" s="1" t="s">
        <v>2</v>
      </c>
      <c r="Z156" s="1" t="s">
        <v>39</v>
      </c>
      <c r="AA156" s="1">
        <f t="shared" si="48"/>
        <v>0.22299750000000002</v>
      </c>
      <c r="AB156" s="1">
        <f t="shared" si="49"/>
        <v>0.44676816000000003</v>
      </c>
      <c r="AC156" s="1">
        <f t="shared" si="50"/>
        <v>0.65656992000000003</v>
      </c>
      <c r="AD156" s="1">
        <f t="shared" si="51"/>
        <v>0.54920064000000002</v>
      </c>
      <c r="AE156" s="28">
        <f>MAX($I$16,$I$44,$I$72,$I$100,$I$128,$I$156,$I$184,$I$212,$I$240,$I$268,$I$296)</f>
        <v>3.1702320000000004</v>
      </c>
      <c r="AF156" s="1">
        <v>1</v>
      </c>
    </row>
    <row r="157" spans="2:32" x14ac:dyDescent="0.25">
      <c r="B157" s="24" t="s">
        <v>15</v>
      </c>
      <c r="C157" s="24" t="s">
        <v>36</v>
      </c>
      <c r="D157" s="24" t="s">
        <v>2</v>
      </c>
      <c r="E157" s="24"/>
      <c r="F157" s="24">
        <v>24.975999999999999</v>
      </c>
      <c r="G157" s="24">
        <v>19.13</v>
      </c>
      <c r="H157" s="24">
        <v>18.903205000000003</v>
      </c>
      <c r="I157" s="24">
        <v>18.231687999999998</v>
      </c>
      <c r="J157" s="1">
        <v>1</v>
      </c>
      <c r="L157" s="1" t="s">
        <v>15</v>
      </c>
      <c r="M157" s="1" t="s">
        <v>36</v>
      </c>
      <c r="N157" s="1" t="s">
        <v>2</v>
      </c>
      <c r="O157" s="1" t="s">
        <v>40</v>
      </c>
      <c r="P157" s="1">
        <f t="shared" si="56"/>
        <v>24.476479999999999</v>
      </c>
      <c r="Q157" s="1">
        <f t="shared" si="42"/>
        <v>18.747399999999999</v>
      </c>
      <c r="R157" s="1">
        <f t="shared" si="43"/>
        <v>18.525140900000004</v>
      </c>
      <c r="S157" s="1">
        <f t="shared" si="44"/>
        <v>17.867054239999998</v>
      </c>
      <c r="T157" s="33">
        <v>0</v>
      </c>
      <c r="U157" s="1">
        <v>1</v>
      </c>
      <c r="W157" s="1" t="s">
        <v>15</v>
      </c>
      <c r="X157" s="1" t="s">
        <v>36</v>
      </c>
      <c r="Y157" s="1" t="s">
        <v>2</v>
      </c>
      <c r="Z157" s="1" t="s">
        <v>39</v>
      </c>
      <c r="AA157" s="1">
        <f t="shared" si="48"/>
        <v>25.475519999999999</v>
      </c>
      <c r="AB157" s="1">
        <f t="shared" si="49"/>
        <v>19.512599999999999</v>
      </c>
      <c r="AC157" s="1">
        <f t="shared" si="50"/>
        <v>19.281269100000003</v>
      </c>
      <c r="AD157" s="1">
        <f t="shared" si="51"/>
        <v>18.596321759999999</v>
      </c>
      <c r="AE157" s="28">
        <f>MAX($I$17,$I$45,$I$73,$I$101,$I$129,$I$157,$I$185,$I$213,$I$241,$I$269,$I$297)</f>
        <v>18.231687999999998</v>
      </c>
      <c r="AF157" s="1">
        <v>1</v>
      </c>
    </row>
    <row r="158" spans="2:32" x14ac:dyDescent="0.25">
      <c r="B158" s="24" t="s">
        <v>16</v>
      </c>
      <c r="C158" s="24" t="s">
        <v>36</v>
      </c>
      <c r="D158" s="24" t="s">
        <v>2</v>
      </c>
      <c r="E158" s="24"/>
      <c r="F158" s="24">
        <v>24.024000000000001</v>
      </c>
      <c r="G158" s="24">
        <v>20.542999999999999</v>
      </c>
      <c r="H158" s="24">
        <v>19.27</v>
      </c>
      <c r="I158" s="24">
        <v>17.63</v>
      </c>
      <c r="J158" s="1">
        <v>1</v>
      </c>
      <c r="L158" s="1" t="s">
        <v>16</v>
      </c>
      <c r="M158" s="1" t="s">
        <v>36</v>
      </c>
      <c r="N158" s="1" t="s">
        <v>2</v>
      </c>
      <c r="O158" s="1" t="s">
        <v>40</v>
      </c>
      <c r="P158" s="1">
        <f t="shared" si="56"/>
        <v>23.543520000000001</v>
      </c>
      <c r="Q158" s="1">
        <f t="shared" si="42"/>
        <v>20.13214</v>
      </c>
      <c r="R158" s="1">
        <f t="shared" si="43"/>
        <v>18.884599999999999</v>
      </c>
      <c r="S158" s="1">
        <f t="shared" si="44"/>
        <v>17.2774</v>
      </c>
      <c r="T158" s="33">
        <v>0</v>
      </c>
      <c r="U158" s="1">
        <v>1</v>
      </c>
      <c r="W158" s="1" t="s">
        <v>16</v>
      </c>
      <c r="X158" s="1" t="s">
        <v>36</v>
      </c>
      <c r="Y158" s="1" t="s">
        <v>2</v>
      </c>
      <c r="Z158" s="1" t="s">
        <v>39</v>
      </c>
      <c r="AA158" s="1">
        <f t="shared" si="48"/>
        <v>24.504480000000001</v>
      </c>
      <c r="AB158" s="1">
        <f t="shared" si="49"/>
        <v>20.953859999999999</v>
      </c>
      <c r="AC158" s="1">
        <f t="shared" si="50"/>
        <v>19.6554</v>
      </c>
      <c r="AD158" s="1">
        <f t="shared" si="51"/>
        <v>17.982599999999998</v>
      </c>
      <c r="AE158" s="28">
        <f>MAX($I$18,$I$46,$I$74,$I$102,$I$130,$I$158,$I$186,$I$214,$I$242,$I$270,$I$298)</f>
        <v>18.93</v>
      </c>
      <c r="AF158" s="1">
        <v>1</v>
      </c>
    </row>
    <row r="159" spans="2:32" x14ac:dyDescent="0.25">
      <c r="B159" s="24" t="s">
        <v>17</v>
      </c>
      <c r="C159" s="24" t="s">
        <v>36</v>
      </c>
      <c r="D159" s="24" t="s">
        <v>2</v>
      </c>
      <c r="E159" s="24"/>
      <c r="F159" s="24">
        <v>0.74212</v>
      </c>
      <c r="G159" s="24">
        <v>0.93900400000000006</v>
      </c>
      <c r="H159" s="24">
        <v>0.64060000000000006</v>
      </c>
      <c r="I159" s="24">
        <v>1.160099</v>
      </c>
      <c r="J159" s="1">
        <v>1</v>
      </c>
      <c r="L159" s="1" t="s">
        <v>17</v>
      </c>
      <c r="M159" s="1" t="s">
        <v>36</v>
      </c>
      <c r="N159" s="1" t="s">
        <v>2</v>
      </c>
      <c r="O159" s="1" t="s">
        <v>40</v>
      </c>
      <c r="P159" s="1">
        <f t="shared" si="56"/>
        <v>0.72727759999999997</v>
      </c>
      <c r="Q159" s="1">
        <f t="shared" si="42"/>
        <v>0.92022392000000008</v>
      </c>
      <c r="R159" s="1">
        <f t="shared" si="43"/>
        <v>0.62778800000000001</v>
      </c>
      <c r="S159" s="1">
        <f t="shared" si="44"/>
        <v>1.1368970199999999</v>
      </c>
      <c r="T159" s="33">
        <v>0</v>
      </c>
      <c r="U159" s="1">
        <v>1</v>
      </c>
      <c r="W159" s="1" t="s">
        <v>17</v>
      </c>
      <c r="X159" s="1" t="s">
        <v>36</v>
      </c>
      <c r="Y159" s="1" t="s">
        <v>2</v>
      </c>
      <c r="Z159" s="1" t="s">
        <v>39</v>
      </c>
      <c r="AA159" s="1">
        <f t="shared" si="48"/>
        <v>0.75696240000000004</v>
      </c>
      <c r="AB159" s="1">
        <f t="shared" si="49"/>
        <v>0.95778408000000004</v>
      </c>
      <c r="AC159" s="1">
        <f t="shared" si="50"/>
        <v>0.6534120000000001</v>
      </c>
      <c r="AD159" s="1">
        <f t="shared" si="51"/>
        <v>1.1833009800000001</v>
      </c>
      <c r="AE159" s="28">
        <f>MAX($I$19,$I$47,$I$75,$I$103,$I$131,$I$159,$I$187,$I$215,$I$243,$I$271,$I$299)</f>
        <v>8.6689310000000006</v>
      </c>
      <c r="AF159" s="1">
        <v>1</v>
      </c>
    </row>
    <row r="160" spans="2:32" x14ac:dyDescent="0.25">
      <c r="B160" s="24" t="s">
        <v>18</v>
      </c>
      <c r="C160" s="24" t="s">
        <v>36</v>
      </c>
      <c r="D160" s="24" t="s">
        <v>2</v>
      </c>
      <c r="E160" s="24"/>
      <c r="F160" s="24">
        <v>65.629000000000005</v>
      </c>
      <c r="G160" s="24">
        <v>73.885999999999996</v>
      </c>
      <c r="H160" s="24">
        <v>53.009</v>
      </c>
      <c r="I160" s="24">
        <v>50.973999999999997</v>
      </c>
      <c r="J160" s="1">
        <v>1</v>
      </c>
      <c r="L160" s="1" t="s">
        <v>18</v>
      </c>
      <c r="M160" s="1" t="s">
        <v>36</v>
      </c>
      <c r="N160" s="1" t="s">
        <v>2</v>
      </c>
      <c r="O160" s="1" t="s">
        <v>40</v>
      </c>
      <c r="P160" s="1">
        <f>IF(ISBLANK(F160),":",0.98*F160)</f>
        <v>64.316420000000008</v>
      </c>
      <c r="Q160" s="1">
        <f t="shared" si="42"/>
        <v>72.408279999999991</v>
      </c>
      <c r="R160" s="1">
        <f t="shared" si="43"/>
        <v>51.948819999999998</v>
      </c>
      <c r="S160" s="1">
        <f t="shared" si="44"/>
        <v>49.954519999999995</v>
      </c>
      <c r="T160" s="33">
        <v>0</v>
      </c>
      <c r="U160" s="1">
        <v>1</v>
      </c>
      <c r="W160" s="1" t="s">
        <v>18</v>
      </c>
      <c r="X160" s="1" t="s">
        <v>36</v>
      </c>
      <c r="Y160" s="1" t="s">
        <v>2</v>
      </c>
      <c r="Z160" s="1" t="s">
        <v>39</v>
      </c>
      <c r="AA160" s="1">
        <f t="shared" si="48"/>
        <v>66.941580000000002</v>
      </c>
      <c r="AB160" s="1">
        <f t="shared" si="49"/>
        <v>75.363720000000001</v>
      </c>
      <c r="AC160" s="1">
        <f t="shared" si="50"/>
        <v>54.069180000000003</v>
      </c>
      <c r="AD160" s="1">
        <f t="shared" si="51"/>
        <v>51.993479999999998</v>
      </c>
      <c r="AE160" s="28">
        <f>MAX($I$20,$I$48,$I$76,$I$104,$I$132,$I$160,$I$188,$I$216,$I$244,$I$272,$I$300)</f>
        <v>104.339699</v>
      </c>
      <c r="AF160" s="1">
        <v>1</v>
      </c>
    </row>
    <row r="161" spans="1:32" x14ac:dyDescent="0.25">
      <c r="B161" s="24" t="s">
        <v>20</v>
      </c>
      <c r="C161" s="24" t="s">
        <v>36</v>
      </c>
      <c r="D161" s="24" t="s">
        <v>2</v>
      </c>
      <c r="E161" s="24"/>
      <c r="F161" s="24">
        <v>16.828979999999998</v>
      </c>
      <c r="G161" s="24">
        <v>16.476009999999999</v>
      </c>
      <c r="H161" s="24">
        <v>15.898159</v>
      </c>
      <c r="I161" s="24">
        <v>15.909628000000001</v>
      </c>
      <c r="J161" s="1">
        <v>1</v>
      </c>
      <c r="L161" s="1" t="s">
        <v>20</v>
      </c>
      <c r="M161" s="1" t="s">
        <v>36</v>
      </c>
      <c r="N161" s="1" t="s">
        <v>2</v>
      </c>
      <c r="O161" s="1" t="s">
        <v>40</v>
      </c>
      <c r="P161" s="1">
        <f>IF(ISBLANK(F161),":",0.98*F161)</f>
        <v>16.492400399999998</v>
      </c>
      <c r="Q161" s="1">
        <f t="shared" si="42"/>
        <v>16.146489799999998</v>
      </c>
      <c r="R161" s="1">
        <f t="shared" si="43"/>
        <v>15.58019582</v>
      </c>
      <c r="S161" s="1">
        <f t="shared" si="44"/>
        <v>15.591435440000001</v>
      </c>
      <c r="T161" s="33">
        <v>0</v>
      </c>
      <c r="U161" s="1">
        <v>1</v>
      </c>
      <c r="W161" s="1" t="s">
        <v>20</v>
      </c>
      <c r="X161" s="1" t="s">
        <v>36</v>
      </c>
      <c r="Y161" s="1" t="s">
        <v>2</v>
      </c>
      <c r="Z161" s="1" t="s">
        <v>39</v>
      </c>
      <c r="AA161" s="1">
        <f t="shared" si="48"/>
        <v>17.165559599999998</v>
      </c>
      <c r="AB161" s="1">
        <f t="shared" si="49"/>
        <v>16.8055302</v>
      </c>
      <c r="AC161" s="1">
        <f t="shared" si="50"/>
        <v>16.216122179999999</v>
      </c>
      <c r="AD161" s="1">
        <f t="shared" si="51"/>
        <v>16.227820560000001</v>
      </c>
      <c r="AE161" s="28">
        <f>MAX($I$21,$I$49,$I$77,$I$105,$I$133,$I$161,$I$189,$I$217,$I$245,$I$273,$I$301)</f>
        <v>201.18298499999997</v>
      </c>
      <c r="AF161" s="1">
        <v>1</v>
      </c>
    </row>
    <row r="162" spans="1:32" x14ac:dyDescent="0.25">
      <c r="B162" s="24" t="s">
        <v>21</v>
      </c>
      <c r="C162" s="24" t="s">
        <v>36</v>
      </c>
      <c r="D162" s="24" t="s">
        <v>2</v>
      </c>
      <c r="E162" s="24"/>
      <c r="F162" s="24">
        <v>75.152377999999999</v>
      </c>
      <c r="G162" s="24">
        <v>72.300017000000011</v>
      </c>
      <c r="H162" s="24">
        <v>70.508870999999999</v>
      </c>
      <c r="I162" s="24">
        <v>69.769181000000003</v>
      </c>
      <c r="J162" s="1">
        <v>1</v>
      </c>
      <c r="L162" s="1" t="s">
        <v>21</v>
      </c>
      <c r="M162" s="1" t="s">
        <v>36</v>
      </c>
      <c r="N162" s="1" t="s">
        <v>2</v>
      </c>
      <c r="O162" s="1" t="s">
        <v>40</v>
      </c>
      <c r="P162" s="1">
        <f t="shared" ref="P162" si="57">IF(ISBLANK(F162),":",0.98*F162)</f>
        <v>73.64933044</v>
      </c>
      <c r="Q162" s="1">
        <f t="shared" si="42"/>
        <v>70.854016660000013</v>
      </c>
      <c r="R162" s="1">
        <f t="shared" si="43"/>
        <v>69.098693580000003</v>
      </c>
      <c r="S162" s="1">
        <f t="shared" si="44"/>
        <v>68.373797379999999</v>
      </c>
      <c r="T162" s="33">
        <v>0</v>
      </c>
      <c r="U162" s="1">
        <v>1</v>
      </c>
      <c r="W162" s="1" t="s">
        <v>21</v>
      </c>
      <c r="X162" s="1" t="s">
        <v>36</v>
      </c>
      <c r="Y162" s="1" t="s">
        <v>2</v>
      </c>
      <c r="Z162" s="1" t="s">
        <v>39</v>
      </c>
      <c r="AA162" s="1">
        <f t="shared" si="48"/>
        <v>76.655425559999998</v>
      </c>
      <c r="AB162" s="1">
        <f t="shared" si="49"/>
        <v>73.746017340000009</v>
      </c>
      <c r="AC162" s="1">
        <f t="shared" si="50"/>
        <v>71.919048419999996</v>
      </c>
      <c r="AD162" s="1">
        <f t="shared" si="51"/>
        <v>71.164564620000007</v>
      </c>
      <c r="AE162" s="28">
        <f>MAX($I$22,$I$50,$I$78,$I$106,$I$134,$I$162,$I$190,$I$218,$I$246,$I$274,$I$302)</f>
        <v>69.769181000000003</v>
      </c>
      <c r="AF162" s="1">
        <v>1</v>
      </c>
    </row>
    <row r="163" spans="1:32" x14ac:dyDescent="0.25">
      <c r="B163" s="24" t="s">
        <v>22</v>
      </c>
      <c r="C163" s="24" t="s">
        <v>36</v>
      </c>
      <c r="D163" s="24" t="s">
        <v>2</v>
      </c>
      <c r="E163" s="24"/>
      <c r="F163" s="24">
        <v>112.746</v>
      </c>
      <c r="G163" s="24">
        <v>108.395</v>
      </c>
      <c r="H163" s="24">
        <v>203.228318</v>
      </c>
      <c r="I163" s="24">
        <v>183.24970000000002</v>
      </c>
      <c r="J163" s="1">
        <v>1</v>
      </c>
      <c r="L163" s="1" t="s">
        <v>22</v>
      </c>
      <c r="M163" s="1" t="s">
        <v>36</v>
      </c>
      <c r="N163" s="1" t="s">
        <v>2</v>
      </c>
      <c r="O163" s="1" t="s">
        <v>40</v>
      </c>
      <c r="P163" s="1">
        <f t="shared" ref="P163:P168" si="58">IF(ISBLANK(F163),":",0.98*F163)</f>
        <v>110.49108</v>
      </c>
      <c r="Q163" s="1">
        <f t="shared" si="42"/>
        <v>106.22709999999999</v>
      </c>
      <c r="R163" s="1">
        <f t="shared" si="43"/>
        <v>199.16375163999999</v>
      </c>
      <c r="S163" s="1">
        <f t="shared" si="44"/>
        <v>179.58470600000001</v>
      </c>
      <c r="T163" s="33">
        <v>0</v>
      </c>
      <c r="U163" s="1">
        <v>1</v>
      </c>
      <c r="W163" s="1" t="s">
        <v>22</v>
      </c>
      <c r="X163" s="1" t="s">
        <v>36</v>
      </c>
      <c r="Y163" s="1" t="s">
        <v>2</v>
      </c>
      <c r="Z163" s="1" t="s">
        <v>39</v>
      </c>
      <c r="AA163" s="1">
        <f t="shared" si="48"/>
        <v>115.00091999999999</v>
      </c>
      <c r="AB163" s="1">
        <f t="shared" si="49"/>
        <v>110.5629</v>
      </c>
      <c r="AC163" s="1">
        <f t="shared" si="50"/>
        <v>207.29288436000002</v>
      </c>
      <c r="AD163" s="1">
        <f t="shared" si="51"/>
        <v>186.91469400000003</v>
      </c>
      <c r="AE163" s="28">
        <f>MAX($I$23,$I$51,$I$79,$I$107,$I$135,$I$163,$I$191,$I$219,$I$247,$I$275,$I$303)</f>
        <v>183.24970000000002</v>
      </c>
      <c r="AF163" s="1">
        <v>1</v>
      </c>
    </row>
    <row r="164" spans="1:32" x14ac:dyDescent="0.25">
      <c r="B164" s="24" t="s">
        <v>23</v>
      </c>
      <c r="C164" s="24" t="s">
        <v>36</v>
      </c>
      <c r="D164" s="24" t="s">
        <v>2</v>
      </c>
      <c r="E164" s="24"/>
      <c r="F164" s="24">
        <v>29.806000000000001</v>
      </c>
      <c r="G164" s="24">
        <v>31.64</v>
      </c>
      <c r="H164" s="24">
        <v>32.015790000000003</v>
      </c>
      <c r="I164" s="24">
        <v>32.977916</v>
      </c>
      <c r="J164" s="1">
        <v>1</v>
      </c>
      <c r="L164" s="1" t="s">
        <v>23</v>
      </c>
      <c r="M164" s="1" t="s">
        <v>36</v>
      </c>
      <c r="N164" s="1" t="s">
        <v>2</v>
      </c>
      <c r="O164" s="1" t="s">
        <v>40</v>
      </c>
      <c r="P164" s="1">
        <f t="shared" si="58"/>
        <v>29.209880000000002</v>
      </c>
      <c r="Q164" s="1">
        <f t="shared" si="42"/>
        <v>31.007200000000001</v>
      </c>
      <c r="R164" s="1">
        <f t="shared" si="43"/>
        <v>31.375474200000003</v>
      </c>
      <c r="S164" s="1">
        <f t="shared" si="44"/>
        <v>32.318357679999998</v>
      </c>
      <c r="T164" s="33">
        <v>0</v>
      </c>
      <c r="U164" s="1">
        <v>1</v>
      </c>
      <c r="W164" s="1" t="s">
        <v>23</v>
      </c>
      <c r="X164" s="1" t="s">
        <v>36</v>
      </c>
      <c r="Y164" s="1" t="s">
        <v>2</v>
      </c>
      <c r="Z164" s="1" t="s">
        <v>39</v>
      </c>
      <c r="AA164" s="1">
        <f t="shared" si="48"/>
        <v>30.40212</v>
      </c>
      <c r="AB164" s="1">
        <f t="shared" si="49"/>
        <v>32.272800000000004</v>
      </c>
      <c r="AC164" s="1">
        <f t="shared" si="50"/>
        <v>32.656105800000006</v>
      </c>
      <c r="AD164" s="1">
        <f t="shared" si="51"/>
        <v>33.637474320000003</v>
      </c>
      <c r="AE164" s="28">
        <f>MAX($I$24,$I$52,$I$80,$I$108,$I$136,$I$164,$I$192,$I$220,$I$248,$I$276,$I$304)</f>
        <v>47.327892999999996</v>
      </c>
      <c r="AF164" s="1">
        <v>1</v>
      </c>
    </row>
    <row r="165" spans="1:32" x14ac:dyDescent="0.25">
      <c r="B165" s="24" t="s">
        <v>24</v>
      </c>
      <c r="C165" s="24" t="s">
        <v>36</v>
      </c>
      <c r="D165" s="24" t="s">
        <v>2</v>
      </c>
      <c r="E165" s="24"/>
      <c r="F165" s="24">
        <v>147.63499999999999</v>
      </c>
      <c r="G165" s="24">
        <v>123.55</v>
      </c>
      <c r="H165" s="24">
        <v>128.14644999999999</v>
      </c>
      <c r="I165" s="24">
        <v>123.01356</v>
      </c>
      <c r="J165" s="1">
        <v>1</v>
      </c>
      <c r="L165" s="1" t="s">
        <v>24</v>
      </c>
      <c r="M165" s="1" t="s">
        <v>36</v>
      </c>
      <c r="N165" s="1" t="s">
        <v>2</v>
      </c>
      <c r="O165" s="1" t="s">
        <v>40</v>
      </c>
      <c r="P165" s="1">
        <f t="shared" si="58"/>
        <v>144.6823</v>
      </c>
      <c r="Q165" s="1">
        <f t="shared" si="42"/>
        <v>121.07899999999999</v>
      </c>
      <c r="R165" s="1">
        <f t="shared" si="43"/>
        <v>125.58352099999999</v>
      </c>
      <c r="S165" s="1">
        <f t="shared" si="44"/>
        <v>120.55328879999999</v>
      </c>
      <c r="T165" s="33">
        <v>0</v>
      </c>
      <c r="U165" s="1">
        <v>1</v>
      </c>
      <c r="W165" s="1" t="s">
        <v>24</v>
      </c>
      <c r="X165" s="1" t="s">
        <v>36</v>
      </c>
      <c r="Y165" s="1" t="s">
        <v>2</v>
      </c>
      <c r="Z165" s="1" t="s">
        <v>39</v>
      </c>
      <c r="AA165" s="1">
        <f t="shared" si="48"/>
        <v>150.58769999999998</v>
      </c>
      <c r="AB165" s="1">
        <f t="shared" si="49"/>
        <v>126.021</v>
      </c>
      <c r="AC165" s="1">
        <f t="shared" si="50"/>
        <v>130.70937899999998</v>
      </c>
      <c r="AD165" s="1">
        <f t="shared" si="51"/>
        <v>125.47383120000001</v>
      </c>
      <c r="AE165" s="28">
        <f>MAX($I$25,$I$53,$I$81,$I$109,$I$137,$I$165,$I$193,$I$221,$I$249,$I$277,$I$305)</f>
        <v>123.01356</v>
      </c>
      <c r="AF165" s="1">
        <v>1</v>
      </c>
    </row>
    <row r="166" spans="1:32" x14ac:dyDescent="0.25">
      <c r="B166" s="24" t="s">
        <v>25</v>
      </c>
      <c r="C166" s="24" t="s">
        <v>36</v>
      </c>
      <c r="D166" s="24" t="s">
        <v>2</v>
      </c>
      <c r="E166" s="24"/>
      <c r="F166" s="24">
        <v>22.846</v>
      </c>
      <c r="G166" s="24">
        <v>21.963999999999999</v>
      </c>
      <c r="H166" s="24">
        <v>17.201422999999998</v>
      </c>
      <c r="I166" s="24">
        <v>14.768578</v>
      </c>
      <c r="J166" s="1">
        <v>1</v>
      </c>
      <c r="L166" s="1" t="s">
        <v>25</v>
      </c>
      <c r="M166" s="1" t="s">
        <v>36</v>
      </c>
      <c r="N166" s="1" t="s">
        <v>2</v>
      </c>
      <c r="O166" s="1" t="s">
        <v>40</v>
      </c>
      <c r="P166" s="1">
        <f t="shared" si="58"/>
        <v>22.38908</v>
      </c>
      <c r="Q166" s="1">
        <f t="shared" si="42"/>
        <v>21.524719999999999</v>
      </c>
      <c r="R166" s="1">
        <f t="shared" si="43"/>
        <v>16.857394539999998</v>
      </c>
      <c r="S166" s="1">
        <f t="shared" si="44"/>
        <v>14.47320644</v>
      </c>
      <c r="T166" s="33">
        <v>0</v>
      </c>
      <c r="U166" s="1">
        <v>1</v>
      </c>
      <c r="W166" s="1" t="s">
        <v>25</v>
      </c>
      <c r="X166" s="1" t="s">
        <v>36</v>
      </c>
      <c r="Y166" s="1" t="s">
        <v>2</v>
      </c>
      <c r="Z166" s="1" t="s">
        <v>39</v>
      </c>
      <c r="AA166" s="1">
        <f t="shared" si="48"/>
        <v>23.30292</v>
      </c>
      <c r="AB166" s="1">
        <f t="shared" si="49"/>
        <v>22.403279999999999</v>
      </c>
      <c r="AC166" s="1">
        <f t="shared" si="50"/>
        <v>17.545451459999999</v>
      </c>
      <c r="AD166" s="1">
        <f t="shared" si="51"/>
        <v>15.063949559999999</v>
      </c>
      <c r="AE166" s="28">
        <f>MAX($I$26,$I$54,$I$82,$I$110,$I$138,$I$166,$I$194,$I$222,$I$250,$I$278,$I$306)</f>
        <v>14.768578</v>
      </c>
      <c r="AF166" s="1">
        <v>1</v>
      </c>
    </row>
    <row r="167" spans="1:32" x14ac:dyDescent="0.25">
      <c r="B167" s="24" t="s">
        <v>26</v>
      </c>
      <c r="C167" s="24" t="s">
        <v>36</v>
      </c>
      <c r="D167" s="24" t="s">
        <v>2</v>
      </c>
      <c r="E167" s="24"/>
      <c r="F167" s="24">
        <v>31.8</v>
      </c>
      <c r="G167" s="24">
        <v>25.54</v>
      </c>
      <c r="H167" s="24">
        <v>24.33</v>
      </c>
      <c r="I167" s="24">
        <v>18.64</v>
      </c>
      <c r="J167" s="1">
        <v>1</v>
      </c>
      <c r="L167" s="1" t="s">
        <v>26</v>
      </c>
      <c r="M167" s="1" t="s">
        <v>36</v>
      </c>
      <c r="N167" s="1" t="s">
        <v>2</v>
      </c>
      <c r="O167" s="1" t="s">
        <v>40</v>
      </c>
      <c r="P167" s="1">
        <f t="shared" si="58"/>
        <v>31.164000000000001</v>
      </c>
      <c r="Q167" s="1">
        <f t="shared" si="42"/>
        <v>25.029199999999999</v>
      </c>
      <c r="R167" s="1">
        <f t="shared" si="43"/>
        <v>23.843399999999999</v>
      </c>
      <c r="S167" s="1">
        <f t="shared" si="44"/>
        <v>18.267199999999999</v>
      </c>
      <c r="T167" s="33">
        <v>0</v>
      </c>
      <c r="U167" s="1">
        <v>1</v>
      </c>
      <c r="W167" s="1" t="s">
        <v>26</v>
      </c>
      <c r="X167" s="1" t="s">
        <v>36</v>
      </c>
      <c r="Y167" s="1" t="s">
        <v>2</v>
      </c>
      <c r="Z167" s="1" t="s">
        <v>39</v>
      </c>
      <c r="AA167" s="1">
        <f t="shared" si="48"/>
        <v>32.436</v>
      </c>
      <c r="AB167" s="1">
        <f t="shared" si="49"/>
        <v>26.050799999999999</v>
      </c>
      <c r="AC167" s="1">
        <f t="shared" si="50"/>
        <v>24.816599999999998</v>
      </c>
      <c r="AD167" s="1">
        <f t="shared" si="51"/>
        <v>19.012800000000002</v>
      </c>
      <c r="AE167" s="28">
        <f>MAX($I$27,$I$55,$I$83,$I$111,$I$139,$I$167,$I$195,$I$223,$I$251,$I$279,$I$307)</f>
        <v>43.948800000000006</v>
      </c>
      <c r="AF167" s="1">
        <v>1</v>
      </c>
    </row>
    <row r="168" spans="1:32" x14ac:dyDescent="0.25">
      <c r="B168" s="24" t="s">
        <v>27</v>
      </c>
      <c r="C168" s="24" t="s">
        <v>36</v>
      </c>
      <c r="D168" s="24" t="s">
        <v>2</v>
      </c>
      <c r="E168" s="24"/>
      <c r="F168" s="24">
        <v>59.531999999999996</v>
      </c>
      <c r="G168" s="24">
        <v>50.036999999999999</v>
      </c>
      <c r="H168" s="24">
        <v>47.356000000000002</v>
      </c>
      <c r="I168" s="24">
        <v>47.182000000000002</v>
      </c>
      <c r="J168" s="1">
        <v>1</v>
      </c>
      <c r="L168" s="1" t="s">
        <v>27</v>
      </c>
      <c r="M168" s="1" t="s">
        <v>36</v>
      </c>
      <c r="N168" s="1" t="s">
        <v>2</v>
      </c>
      <c r="O168" s="1" t="s">
        <v>40</v>
      </c>
      <c r="P168" s="1">
        <f t="shared" si="58"/>
        <v>58.341359999999995</v>
      </c>
      <c r="Q168" s="1">
        <f t="shared" si="42"/>
        <v>49.036259999999999</v>
      </c>
      <c r="R168" s="1">
        <f t="shared" si="43"/>
        <v>46.408880000000003</v>
      </c>
      <c r="S168" s="1">
        <f t="shared" si="44"/>
        <v>46.23836</v>
      </c>
      <c r="T168" s="33">
        <v>0</v>
      </c>
      <c r="U168" s="1">
        <v>1</v>
      </c>
      <c r="W168" s="1" t="s">
        <v>27</v>
      </c>
      <c r="X168" s="1" t="s">
        <v>36</v>
      </c>
      <c r="Y168" s="1" t="s">
        <v>2</v>
      </c>
      <c r="Z168" s="1" t="s">
        <v>39</v>
      </c>
      <c r="AA168" s="1">
        <f t="shared" si="48"/>
        <v>60.722639999999998</v>
      </c>
      <c r="AB168" s="1">
        <f t="shared" si="49"/>
        <v>51.037739999999999</v>
      </c>
      <c r="AC168" s="1">
        <f t="shared" si="50"/>
        <v>48.30312</v>
      </c>
      <c r="AD168" s="1">
        <f t="shared" si="51"/>
        <v>48.125640000000004</v>
      </c>
      <c r="AE168" s="28">
        <f>MAX($I$28,$I$56,$I$84,$I$112,$I$140,$I$168,$I$196,$I$224,$I$252,$I$280,$I$308)</f>
        <v>66.917000000000002</v>
      </c>
      <c r="AF168" s="1">
        <v>1</v>
      </c>
    </row>
    <row r="169" spans="1:32" x14ac:dyDescent="0.25">
      <c r="B169" s="24" t="s">
        <v>28</v>
      </c>
      <c r="C169" s="24" t="s">
        <v>36</v>
      </c>
      <c r="D169" s="24" t="s">
        <v>2</v>
      </c>
      <c r="E169" s="24"/>
      <c r="F169" s="24">
        <v>25.873000000000001</v>
      </c>
      <c r="G169" s="24">
        <v>38.228000000000002</v>
      </c>
      <c r="H169" s="24">
        <v>36.018000000000001</v>
      </c>
      <c r="I169" s="24">
        <v>32.936</v>
      </c>
      <c r="J169" s="1">
        <v>1</v>
      </c>
      <c r="L169" s="1" t="s">
        <v>28</v>
      </c>
      <c r="M169" s="1" t="s">
        <v>36</v>
      </c>
      <c r="N169" s="1" t="s">
        <v>2</v>
      </c>
      <c r="O169" s="1" t="s">
        <v>40</v>
      </c>
      <c r="P169" s="1">
        <f t="shared" ref="P169:P172" si="59">IF(ISBLANK(F169),":",0.98*F169)</f>
        <v>25.355540000000001</v>
      </c>
      <c r="Q169" s="1">
        <f t="shared" si="42"/>
        <v>37.463439999999999</v>
      </c>
      <c r="R169" s="1">
        <f t="shared" si="43"/>
        <v>35.297640000000001</v>
      </c>
      <c r="S169" s="1">
        <f t="shared" si="44"/>
        <v>32.277279999999998</v>
      </c>
      <c r="T169" s="33">
        <v>0</v>
      </c>
      <c r="U169" s="1">
        <v>1</v>
      </c>
      <c r="W169" s="1" t="s">
        <v>28</v>
      </c>
      <c r="X169" s="1" t="s">
        <v>36</v>
      </c>
      <c r="Y169" s="1" t="s">
        <v>2</v>
      </c>
      <c r="Z169" s="1" t="s">
        <v>39</v>
      </c>
      <c r="AA169" s="1">
        <f t="shared" si="48"/>
        <v>26.390460000000001</v>
      </c>
      <c r="AB169" s="1">
        <f t="shared" si="49"/>
        <v>38.992560000000005</v>
      </c>
      <c r="AC169" s="1">
        <f t="shared" si="50"/>
        <v>36.73836</v>
      </c>
      <c r="AD169" s="1">
        <f t="shared" si="51"/>
        <v>33.594720000000002</v>
      </c>
      <c r="AE169" s="28">
        <f>MAX($I$29,$I$57,$I$85,$I$113,$I$141,$I$169,$I$197,$I$225,$I$253,$I$281,$I$309)</f>
        <v>112.108</v>
      </c>
      <c r="AF169" s="1">
        <v>1</v>
      </c>
    </row>
    <row r="170" spans="1:32" x14ac:dyDescent="0.25">
      <c r="B170" s="24" t="s">
        <v>29</v>
      </c>
      <c r="C170" s="24" t="s">
        <v>36</v>
      </c>
      <c r="D170" s="24" t="s">
        <v>2</v>
      </c>
      <c r="E170" s="24"/>
      <c r="F170" s="24">
        <v>30.097999999999999</v>
      </c>
      <c r="G170" s="24">
        <v>20.038</v>
      </c>
      <c r="H170" s="24">
        <v>20.070629</v>
      </c>
      <c r="I170" s="24">
        <v>22.118033999999998</v>
      </c>
      <c r="J170" s="1">
        <v>1</v>
      </c>
      <c r="L170" s="1" t="s">
        <v>29</v>
      </c>
      <c r="M170" s="1" t="s">
        <v>36</v>
      </c>
      <c r="N170" s="1" t="s">
        <v>2</v>
      </c>
      <c r="O170" s="1" t="s">
        <v>40</v>
      </c>
      <c r="P170" s="1">
        <f t="shared" si="59"/>
        <v>29.496039999999997</v>
      </c>
      <c r="Q170" s="1">
        <f t="shared" si="42"/>
        <v>19.637239999999998</v>
      </c>
      <c r="R170" s="1">
        <f t="shared" si="43"/>
        <v>19.669216420000001</v>
      </c>
      <c r="S170" s="1">
        <f t="shared" si="44"/>
        <v>21.675673319999998</v>
      </c>
      <c r="T170" s="33">
        <v>0</v>
      </c>
      <c r="U170" s="1">
        <v>1</v>
      </c>
      <c r="W170" s="1" t="s">
        <v>29</v>
      </c>
      <c r="X170" s="1" t="s">
        <v>36</v>
      </c>
      <c r="Y170" s="1" t="s">
        <v>2</v>
      </c>
      <c r="Z170" s="1" t="s">
        <v>39</v>
      </c>
      <c r="AA170" s="1">
        <f t="shared" si="48"/>
        <v>30.699960000000001</v>
      </c>
      <c r="AB170" s="1">
        <f t="shared" si="49"/>
        <v>20.438760000000002</v>
      </c>
      <c r="AC170" s="1">
        <f t="shared" si="50"/>
        <v>20.472041579999999</v>
      </c>
      <c r="AD170" s="1">
        <f t="shared" si="51"/>
        <v>22.560394679999998</v>
      </c>
      <c r="AE170" s="28">
        <f>MAX($I$30,$I$58,$I$86,$I$114,$I$142,$I$170,$I$198,$I$226,$I$254,$I$282,$I$310)</f>
        <v>101.44997000000001</v>
      </c>
      <c r="AF170" s="1">
        <v>1</v>
      </c>
    </row>
    <row r="171" spans="1:32" x14ac:dyDescent="0.25">
      <c r="B171" s="24" t="s">
        <v>30</v>
      </c>
      <c r="C171" s="24" t="s">
        <v>36</v>
      </c>
      <c r="D171" s="24" t="s">
        <v>2</v>
      </c>
      <c r="E171" s="24"/>
      <c r="F171" s="24">
        <v>44.241</v>
      </c>
      <c r="G171" s="24">
        <v>67.465999999999994</v>
      </c>
      <c r="H171" s="24">
        <v>87.879145080600651</v>
      </c>
      <c r="I171" s="24">
        <v>107.56438133917558</v>
      </c>
      <c r="J171" s="1">
        <v>1</v>
      </c>
      <c r="L171" s="1" t="s">
        <v>30</v>
      </c>
      <c r="M171" s="1" t="s">
        <v>36</v>
      </c>
      <c r="N171" s="1" t="s">
        <v>2</v>
      </c>
      <c r="O171" s="1" t="s">
        <v>40</v>
      </c>
      <c r="P171" s="1">
        <f t="shared" si="59"/>
        <v>43.356180000000002</v>
      </c>
      <c r="Q171" s="1">
        <f t="shared" si="42"/>
        <v>66.116679999999988</v>
      </c>
      <c r="R171" s="1">
        <f t="shared" si="43"/>
        <v>86.12156217898864</v>
      </c>
      <c r="S171" s="1">
        <f t="shared" si="44"/>
        <v>105.41309371239207</v>
      </c>
      <c r="T171" s="33">
        <v>0</v>
      </c>
      <c r="U171" s="1">
        <v>1</v>
      </c>
      <c r="W171" s="1" t="s">
        <v>30</v>
      </c>
      <c r="X171" s="1" t="s">
        <v>36</v>
      </c>
      <c r="Y171" s="1" t="s">
        <v>2</v>
      </c>
      <c r="Z171" s="1" t="s">
        <v>39</v>
      </c>
      <c r="AA171" s="1">
        <f t="shared" si="48"/>
        <v>45.125819999999997</v>
      </c>
      <c r="AB171" s="1">
        <f t="shared" si="49"/>
        <v>68.81532</v>
      </c>
      <c r="AC171" s="1">
        <f t="shared" si="50"/>
        <v>89.636727982212662</v>
      </c>
      <c r="AD171" s="1">
        <f t="shared" si="51"/>
        <v>109.7156689659591</v>
      </c>
      <c r="AE171" s="28">
        <f>MAX($I$31,$I$59,$I$87,$I$115,$I$143,$I$171,$I$199,$I$227,$I$255,$I$283,$I$311)</f>
        <v>814.1906987082092</v>
      </c>
      <c r="AF171" s="1">
        <v>1</v>
      </c>
    </row>
    <row r="172" spans="1:32" x14ac:dyDescent="0.25">
      <c r="A172" s="27"/>
      <c r="B172" s="1" t="s">
        <v>0</v>
      </c>
      <c r="C172" s="1" t="s">
        <v>70</v>
      </c>
      <c r="D172" s="1"/>
      <c r="E172" s="1"/>
      <c r="F172" s="1">
        <f>AVERAGE(H172:I172)</f>
        <v>18.45702</v>
      </c>
      <c r="G172" s="1">
        <f>AVERAGE(H172:I172)</f>
        <v>18.45702</v>
      </c>
      <c r="H172" s="1">
        <v>17.78436</v>
      </c>
      <c r="I172" s="1">
        <v>19.129679999999997</v>
      </c>
      <c r="J172" s="1">
        <v>1</v>
      </c>
      <c r="L172" s="1" t="s">
        <v>0</v>
      </c>
      <c r="M172" s="1" t="s">
        <v>70</v>
      </c>
      <c r="N172" s="1" t="s">
        <v>2</v>
      </c>
      <c r="O172" s="1" t="s">
        <v>40</v>
      </c>
      <c r="P172" s="1">
        <f t="shared" si="59"/>
        <v>18.087879600000001</v>
      </c>
      <c r="Q172" s="1">
        <f t="shared" si="42"/>
        <v>18.087879600000001</v>
      </c>
      <c r="R172" s="1">
        <f t="shared" si="43"/>
        <v>17.428672799999998</v>
      </c>
      <c r="S172" s="1">
        <f t="shared" si="44"/>
        <v>18.747086399999997</v>
      </c>
      <c r="T172" s="33">
        <v>0</v>
      </c>
      <c r="U172" s="1">
        <v>1</v>
      </c>
      <c r="W172" s="1" t="s">
        <v>0</v>
      </c>
      <c r="X172" s="1" t="s">
        <v>70</v>
      </c>
      <c r="Y172" s="1" t="s">
        <v>2</v>
      </c>
      <c r="Z172" s="1" t="s">
        <v>39</v>
      </c>
      <c r="AA172" s="1">
        <f t="shared" si="48"/>
        <v>18.826160399999999</v>
      </c>
      <c r="AB172" s="1">
        <f t="shared" si="49"/>
        <v>18.826160399999999</v>
      </c>
      <c r="AC172" s="1">
        <f t="shared" si="50"/>
        <v>18.140047200000001</v>
      </c>
      <c r="AD172" s="1">
        <f t="shared" si="51"/>
        <v>19.512273599999997</v>
      </c>
      <c r="AE172" s="28">
        <f>MAX($I$4,$I$32,$I$60,$I$88,$I$116,$I$144,$I$172,$I$200,$I$228,$I$256,$I$284)</f>
        <v>119.69903699999999</v>
      </c>
      <c r="AF172" s="1">
        <v>1</v>
      </c>
    </row>
    <row r="173" spans="1:32" x14ac:dyDescent="0.25">
      <c r="B173" s="1" t="s">
        <v>3</v>
      </c>
      <c r="C173" s="1" t="s">
        <v>70</v>
      </c>
      <c r="D173" s="1"/>
      <c r="E173" s="1"/>
      <c r="F173" s="1">
        <v>13.199699000000001</v>
      </c>
      <c r="G173" s="1">
        <v>14.206182999999999</v>
      </c>
      <c r="H173" s="1">
        <v>15.15671</v>
      </c>
      <c r="I173" s="1">
        <v>16.432056000000003</v>
      </c>
      <c r="J173" s="1">
        <v>1</v>
      </c>
      <c r="L173" s="1" t="s">
        <v>3</v>
      </c>
      <c r="M173" s="1" t="s">
        <v>70</v>
      </c>
      <c r="N173" s="1" t="s">
        <v>2</v>
      </c>
      <c r="O173" s="1" t="s">
        <v>40</v>
      </c>
      <c r="P173" s="1">
        <f>IF(ISBLANK(F173),":",0.98*F173)</f>
        <v>12.93570502</v>
      </c>
      <c r="Q173" s="1">
        <f t="shared" si="42"/>
        <v>13.922059339999999</v>
      </c>
      <c r="R173" s="1">
        <f t="shared" si="43"/>
        <v>14.8535758</v>
      </c>
      <c r="S173" s="1">
        <f t="shared" si="44"/>
        <v>16.103414880000003</v>
      </c>
      <c r="T173" s="33">
        <v>0</v>
      </c>
      <c r="U173" s="1">
        <v>1</v>
      </c>
      <c r="W173" s="1" t="s">
        <v>3</v>
      </c>
      <c r="X173" s="1" t="s">
        <v>70</v>
      </c>
      <c r="Y173" s="1" t="s">
        <v>2</v>
      </c>
      <c r="Z173" s="1" t="s">
        <v>39</v>
      </c>
      <c r="AA173" s="1">
        <f t="shared" si="48"/>
        <v>13.463692980000001</v>
      </c>
      <c r="AB173" s="1">
        <f t="shared" si="49"/>
        <v>14.49030666</v>
      </c>
      <c r="AC173" s="1">
        <f t="shared" si="50"/>
        <v>15.459844200000001</v>
      </c>
      <c r="AD173" s="1">
        <f t="shared" si="51"/>
        <v>16.760697120000003</v>
      </c>
      <c r="AE173" s="28">
        <f>MAX($I$5,$I$33,$I$61,$I$89,$I$117,$I$145,$I$173,$I$201,$I$229,$I$257,$I$285)</f>
        <v>27.890193999999994</v>
      </c>
      <c r="AF173" s="1">
        <v>1</v>
      </c>
    </row>
    <row r="174" spans="1:32" x14ac:dyDescent="0.25">
      <c r="B174" s="1" t="s">
        <v>4</v>
      </c>
      <c r="C174" s="1" t="s">
        <v>70</v>
      </c>
      <c r="D174" s="1"/>
      <c r="E174" s="1"/>
      <c r="F174" s="1">
        <f>AVERAGE(G174:I174)</f>
        <v>20.643762666666664</v>
      </c>
      <c r="G174" s="1">
        <v>18.136800000000001</v>
      </c>
      <c r="H174" s="1">
        <v>22.773699999999998</v>
      </c>
      <c r="I174" s="1">
        <v>21.020788</v>
      </c>
      <c r="J174" s="1">
        <v>1</v>
      </c>
      <c r="L174" s="1" t="s">
        <v>4</v>
      </c>
      <c r="M174" s="1" t="s">
        <v>70</v>
      </c>
      <c r="N174" s="1" t="s">
        <v>2</v>
      </c>
      <c r="O174" s="1" t="s">
        <v>40</v>
      </c>
      <c r="P174" s="1">
        <f>IF(ISBLANK(F174),":",0.98*F174)</f>
        <v>20.230887413333331</v>
      </c>
      <c r="Q174" s="1">
        <f t="shared" si="42"/>
        <v>17.774063999999999</v>
      </c>
      <c r="R174" s="1">
        <f t="shared" si="43"/>
        <v>22.318225999999999</v>
      </c>
      <c r="S174" s="1">
        <f t="shared" si="44"/>
        <v>20.600372239999999</v>
      </c>
      <c r="T174" s="33">
        <v>0</v>
      </c>
      <c r="U174" s="1">
        <v>1</v>
      </c>
      <c r="W174" s="1" t="s">
        <v>4</v>
      </c>
      <c r="X174" s="1" t="s">
        <v>70</v>
      </c>
      <c r="Y174" s="1" t="s">
        <v>2</v>
      </c>
      <c r="Z174" s="1" t="s">
        <v>39</v>
      </c>
      <c r="AA174" s="1">
        <f t="shared" si="48"/>
        <v>21.056637919999996</v>
      </c>
      <c r="AB174" s="1">
        <f t="shared" si="49"/>
        <v>18.499536000000003</v>
      </c>
      <c r="AC174" s="1">
        <f t="shared" si="50"/>
        <v>23.229173999999997</v>
      </c>
      <c r="AD174" s="1">
        <f t="shared" si="51"/>
        <v>21.44120376</v>
      </c>
      <c r="AE174" s="28">
        <f>MAX($I$6,$I$34,$I$62,$I$90,$I$118,$I$146,$I$174,$I$202,$I$230,$I$258,$I$286)</f>
        <v>80.496740000000003</v>
      </c>
      <c r="AF174" s="1">
        <v>1</v>
      </c>
    </row>
    <row r="175" spans="1:32" x14ac:dyDescent="0.25">
      <c r="B175" s="1" t="s">
        <v>5</v>
      </c>
      <c r="C175" s="1" t="s">
        <v>70</v>
      </c>
      <c r="D175" s="1"/>
      <c r="E175" s="1"/>
      <c r="F175" s="1">
        <f>AVERAGE(G175:I175)</f>
        <v>5.3874963333333339</v>
      </c>
      <c r="G175" s="1">
        <v>5.470002</v>
      </c>
      <c r="H175" s="1">
        <v>5.5017510000000005</v>
      </c>
      <c r="I175" s="1">
        <v>5.1907360000000002</v>
      </c>
      <c r="J175" s="1">
        <v>1</v>
      </c>
      <c r="L175" s="1" t="s">
        <v>5</v>
      </c>
      <c r="M175" s="1" t="s">
        <v>70</v>
      </c>
      <c r="N175" s="1" t="s">
        <v>2</v>
      </c>
      <c r="O175" s="1" t="s">
        <v>40</v>
      </c>
      <c r="P175" s="1">
        <f t="shared" ref="P175:P179" si="60">IF(ISBLANK(F175),":",0.98*F175)</f>
        <v>5.2797464066666668</v>
      </c>
      <c r="Q175" s="1">
        <f t="shared" si="42"/>
        <v>5.3606019600000003</v>
      </c>
      <c r="R175" s="1">
        <f t="shared" si="43"/>
        <v>5.3917159800000007</v>
      </c>
      <c r="S175" s="1">
        <f t="shared" si="44"/>
        <v>5.0869212800000003</v>
      </c>
      <c r="T175" s="33">
        <v>0</v>
      </c>
      <c r="U175" s="1">
        <v>1</v>
      </c>
      <c r="W175" s="1" t="s">
        <v>5</v>
      </c>
      <c r="X175" s="1" t="s">
        <v>70</v>
      </c>
      <c r="Y175" s="1" t="s">
        <v>2</v>
      </c>
      <c r="Z175" s="1" t="s">
        <v>39</v>
      </c>
      <c r="AA175" s="1">
        <f t="shared" si="48"/>
        <v>5.4952462600000009</v>
      </c>
      <c r="AB175" s="1">
        <f t="shared" si="49"/>
        <v>5.5794020399999997</v>
      </c>
      <c r="AC175" s="1">
        <f t="shared" si="50"/>
        <v>5.6117860200000003</v>
      </c>
      <c r="AD175" s="1">
        <f t="shared" si="51"/>
        <v>5.2945507200000002</v>
      </c>
      <c r="AE175" s="28">
        <f>MAX($I$7,$I$35,$I$63,$I$91,$I$119,$I$147,$I$175,$I$203,$I$231,$I$259,$I$287)</f>
        <v>69.570329999999998</v>
      </c>
      <c r="AF175" s="1">
        <v>1</v>
      </c>
    </row>
    <row r="176" spans="1:32" x14ac:dyDescent="0.25">
      <c r="B176" s="1" t="s">
        <v>6</v>
      </c>
      <c r="C176" s="1" t="s">
        <v>70</v>
      </c>
      <c r="D176" s="1"/>
      <c r="E176" s="1"/>
      <c r="F176" s="1">
        <v>116.02924399999999</v>
      </c>
      <c r="G176" s="1">
        <v>90.923548999999994</v>
      </c>
      <c r="H176" s="1">
        <v>83.822416000000004</v>
      </c>
      <c r="I176" s="1">
        <v>83.393153999999996</v>
      </c>
      <c r="J176" s="1">
        <v>1</v>
      </c>
      <c r="L176" s="1" t="s">
        <v>6</v>
      </c>
      <c r="M176" s="1" t="s">
        <v>70</v>
      </c>
      <c r="N176" s="1" t="s">
        <v>2</v>
      </c>
      <c r="O176" s="1" t="s">
        <v>40</v>
      </c>
      <c r="P176" s="1">
        <f t="shared" si="60"/>
        <v>113.70865911999999</v>
      </c>
      <c r="Q176" s="1">
        <f t="shared" si="42"/>
        <v>89.105078019999993</v>
      </c>
      <c r="R176" s="1">
        <f t="shared" si="43"/>
        <v>82.145967679999998</v>
      </c>
      <c r="S176" s="1">
        <f t="shared" si="44"/>
        <v>81.725290919999992</v>
      </c>
      <c r="T176" s="33">
        <v>0</v>
      </c>
      <c r="U176" s="1">
        <v>1</v>
      </c>
      <c r="W176" s="1" t="s">
        <v>6</v>
      </c>
      <c r="X176" s="1" t="s">
        <v>70</v>
      </c>
      <c r="Y176" s="1" t="s">
        <v>2</v>
      </c>
      <c r="Z176" s="1" t="s">
        <v>39</v>
      </c>
      <c r="AA176" s="1">
        <f t="shared" si="48"/>
        <v>118.34982887999999</v>
      </c>
      <c r="AB176" s="1">
        <f t="shared" si="49"/>
        <v>92.742019979999995</v>
      </c>
      <c r="AC176" s="1">
        <f t="shared" si="50"/>
        <v>85.49886432000001</v>
      </c>
      <c r="AD176" s="1">
        <f t="shared" si="51"/>
        <v>85.061017079999999</v>
      </c>
      <c r="AE176" s="28">
        <f>MAX($I$8,$I$36,$I$64,$I$92,$I$120,$I$148,$I$176,$I$204,$I$232,$I$260,$I$288)</f>
        <v>836.17112299999997</v>
      </c>
      <c r="AF176" s="1">
        <v>1</v>
      </c>
    </row>
    <row r="177" spans="2:32" x14ac:dyDescent="0.25">
      <c r="B177" s="1" t="s">
        <v>7</v>
      </c>
      <c r="C177" s="1" t="s">
        <v>70</v>
      </c>
      <c r="D177" s="1"/>
      <c r="E177" s="1"/>
      <c r="F177" s="1">
        <v>1.8500939999999999</v>
      </c>
      <c r="G177" s="1">
        <v>1.5803070000000001</v>
      </c>
      <c r="H177" s="1">
        <v>1.8269709999999999</v>
      </c>
      <c r="I177" s="1">
        <v>1.9772270000000001</v>
      </c>
      <c r="J177" s="1">
        <v>1</v>
      </c>
      <c r="L177" s="1" t="s">
        <v>7</v>
      </c>
      <c r="M177" s="1" t="s">
        <v>70</v>
      </c>
      <c r="N177" s="1" t="s">
        <v>2</v>
      </c>
      <c r="O177" s="1" t="s">
        <v>40</v>
      </c>
      <c r="P177" s="1">
        <f t="shared" si="60"/>
        <v>1.8130921199999999</v>
      </c>
      <c r="Q177" s="1">
        <f t="shared" si="42"/>
        <v>1.5487008600000001</v>
      </c>
      <c r="R177" s="1">
        <f t="shared" si="43"/>
        <v>1.7904315799999999</v>
      </c>
      <c r="S177" s="1">
        <f t="shared" si="44"/>
        <v>1.93768246</v>
      </c>
      <c r="T177" s="33">
        <v>0</v>
      </c>
      <c r="U177" s="1">
        <v>1</v>
      </c>
      <c r="W177" s="1" t="s">
        <v>7</v>
      </c>
      <c r="X177" s="1" t="s">
        <v>70</v>
      </c>
      <c r="Y177" s="1" t="s">
        <v>2</v>
      </c>
      <c r="Z177" s="1" t="s">
        <v>39</v>
      </c>
      <c r="AA177" s="1">
        <f t="shared" si="48"/>
        <v>1.8870958799999999</v>
      </c>
      <c r="AB177" s="1">
        <f t="shared" si="49"/>
        <v>1.6119131400000002</v>
      </c>
      <c r="AC177" s="1">
        <f t="shared" si="50"/>
        <v>1.8635104199999999</v>
      </c>
      <c r="AD177" s="1">
        <f t="shared" si="51"/>
        <v>2.0167715400000001</v>
      </c>
      <c r="AE177" s="28">
        <f>MAX($I$9,$I$37,$I$65,$I$93,$I$121,$I$149,$I$177,$I$205,$I$233,$I$261,$I$289)</f>
        <v>15.457636000000001</v>
      </c>
      <c r="AF177" s="1">
        <v>1</v>
      </c>
    </row>
    <row r="178" spans="2:32" x14ac:dyDescent="0.25">
      <c r="B178" s="1" t="s">
        <v>8</v>
      </c>
      <c r="C178" s="1" t="s">
        <v>70</v>
      </c>
      <c r="D178" s="1"/>
      <c r="E178" s="1"/>
      <c r="F178" s="1">
        <f>AVERAGE(G178:I178)</f>
        <v>6.2072163333333323</v>
      </c>
      <c r="G178" s="1">
        <v>6.1202129999999997</v>
      </c>
      <c r="H178" s="1">
        <v>6.6259189999999997</v>
      </c>
      <c r="I178" s="1">
        <v>5.8755169999999994</v>
      </c>
      <c r="J178" s="1">
        <v>1</v>
      </c>
      <c r="L178" s="1" t="s">
        <v>8</v>
      </c>
      <c r="M178" s="1" t="s">
        <v>70</v>
      </c>
      <c r="N178" s="1" t="s">
        <v>2</v>
      </c>
      <c r="O178" s="1" t="s">
        <v>40</v>
      </c>
      <c r="P178" s="1">
        <f t="shared" si="60"/>
        <v>6.0830720066666659</v>
      </c>
      <c r="Q178" s="1">
        <f t="shared" ref="Q178:Q205" si="61">IF(ISBLANK(G178),":",0.98*G178)</f>
        <v>5.99780874</v>
      </c>
      <c r="R178" s="1">
        <f t="shared" ref="R178:R205" si="62">IF(ISBLANK(H178),":",0.98*H178)</f>
        <v>6.4934006199999992</v>
      </c>
      <c r="S178" s="1">
        <f t="shared" ref="S178:S205" si="63">IF(ISBLANK(I178),":",0.98*I178)</f>
        <v>5.7580066599999995</v>
      </c>
      <c r="T178" s="33">
        <v>0</v>
      </c>
      <c r="U178" s="1">
        <v>1</v>
      </c>
      <c r="W178" s="1" t="s">
        <v>8</v>
      </c>
      <c r="X178" s="1" t="s">
        <v>70</v>
      </c>
      <c r="Y178" s="1" t="s">
        <v>2</v>
      </c>
      <c r="Z178" s="1" t="s">
        <v>39</v>
      </c>
      <c r="AA178" s="1">
        <f t="shared" si="48"/>
        <v>6.3313606599999988</v>
      </c>
      <c r="AB178" s="1">
        <f t="shared" si="49"/>
        <v>6.2426172599999994</v>
      </c>
      <c r="AC178" s="1">
        <f t="shared" si="50"/>
        <v>6.7584373800000002</v>
      </c>
      <c r="AD178" s="1">
        <f t="shared" si="51"/>
        <v>5.9930273399999994</v>
      </c>
      <c r="AE178" s="28">
        <f>MAX(I$10,I$38,I$66,I$94,I$122,I$150,I$178,I$206,I$234,I$262,I$290)</f>
        <v>42.352189999999993</v>
      </c>
      <c r="AF178" s="1">
        <v>1</v>
      </c>
    </row>
    <row r="179" spans="2:32" x14ac:dyDescent="0.25">
      <c r="B179" s="1" t="s">
        <v>9</v>
      </c>
      <c r="C179" s="1" t="s">
        <v>70</v>
      </c>
      <c r="D179" s="1"/>
      <c r="E179" s="1"/>
      <c r="F179" s="1">
        <f>AVERAGE(G179:I179)</f>
        <v>20.720105999999998</v>
      </c>
      <c r="G179" s="1">
        <v>23.486759999999997</v>
      </c>
      <c r="H179" s="1">
        <v>21.843762999999999</v>
      </c>
      <c r="I179" s="1">
        <v>16.829794999999997</v>
      </c>
      <c r="J179" s="1">
        <v>1</v>
      </c>
      <c r="L179" s="1" t="s">
        <v>9</v>
      </c>
      <c r="M179" s="1" t="s">
        <v>70</v>
      </c>
      <c r="N179" s="1" t="s">
        <v>2</v>
      </c>
      <c r="O179" s="1" t="s">
        <v>40</v>
      </c>
      <c r="P179" s="1">
        <f t="shared" si="60"/>
        <v>20.305703879999996</v>
      </c>
      <c r="Q179" s="1">
        <f t="shared" si="61"/>
        <v>23.017024799999998</v>
      </c>
      <c r="R179" s="1">
        <f t="shared" si="62"/>
        <v>21.406887739999998</v>
      </c>
      <c r="S179" s="1">
        <f t="shared" si="63"/>
        <v>16.493199099999998</v>
      </c>
      <c r="T179" s="33">
        <v>0</v>
      </c>
      <c r="U179" s="1">
        <v>1</v>
      </c>
      <c r="W179" s="1" t="s">
        <v>9</v>
      </c>
      <c r="X179" s="1" t="s">
        <v>70</v>
      </c>
      <c r="Y179" s="1" t="s">
        <v>2</v>
      </c>
      <c r="Z179" s="1" t="s">
        <v>39</v>
      </c>
      <c r="AA179" s="1">
        <f t="shared" si="48"/>
        <v>21.13450812</v>
      </c>
      <c r="AB179" s="1">
        <f t="shared" si="49"/>
        <v>23.956495199999996</v>
      </c>
      <c r="AC179" s="1">
        <f t="shared" si="50"/>
        <v>22.28063826</v>
      </c>
      <c r="AD179" s="1">
        <f t="shared" si="51"/>
        <v>17.166390899999996</v>
      </c>
      <c r="AE179" s="28">
        <f>MAX($I$11,$I$39,$I$67,$I$95,$I$123,$I$151,$I$179,$I$207,$I$235,$I$263,$I$291)</f>
        <v>37.635565999999997</v>
      </c>
      <c r="AF179" s="1">
        <v>1</v>
      </c>
    </row>
    <row r="180" spans="2:32" x14ac:dyDescent="0.25">
      <c r="B180" s="1" t="s">
        <v>10</v>
      </c>
      <c r="C180" s="1" t="s">
        <v>70</v>
      </c>
      <c r="D180" s="1"/>
      <c r="E180" s="1"/>
      <c r="F180" s="1">
        <v>46.772238999999992</v>
      </c>
      <c r="G180" s="1">
        <v>43.305064999999999</v>
      </c>
      <c r="H180" s="1">
        <v>45.254964999999999</v>
      </c>
      <c r="I180" s="1">
        <v>45.210220000000007</v>
      </c>
      <c r="J180" s="1">
        <v>1</v>
      </c>
      <c r="L180" s="1" t="s">
        <v>10</v>
      </c>
      <c r="M180" s="1" t="s">
        <v>70</v>
      </c>
      <c r="N180" s="1" t="s">
        <v>2</v>
      </c>
      <c r="O180" s="1" t="s">
        <v>40</v>
      </c>
      <c r="P180" s="1">
        <f>IF(ISBLANK(F180),":",0.98*F180)</f>
        <v>45.836794219999994</v>
      </c>
      <c r="Q180" s="1">
        <f t="shared" si="61"/>
        <v>42.438963699999995</v>
      </c>
      <c r="R180" s="1">
        <f t="shared" si="62"/>
        <v>44.349865699999995</v>
      </c>
      <c r="S180" s="1">
        <f t="shared" si="63"/>
        <v>44.306015600000009</v>
      </c>
      <c r="T180" s="33">
        <v>0</v>
      </c>
      <c r="U180" s="1">
        <v>1</v>
      </c>
      <c r="W180" s="1" t="s">
        <v>10</v>
      </c>
      <c r="X180" s="1" t="s">
        <v>70</v>
      </c>
      <c r="Y180" s="1" t="s">
        <v>2</v>
      </c>
      <c r="Z180" s="1" t="s">
        <v>39</v>
      </c>
      <c r="AA180" s="1">
        <f t="shared" si="48"/>
        <v>47.707683779999989</v>
      </c>
      <c r="AB180" s="1">
        <f t="shared" si="49"/>
        <v>44.171166300000003</v>
      </c>
      <c r="AC180" s="1">
        <f t="shared" si="50"/>
        <v>46.160064300000002</v>
      </c>
      <c r="AD180" s="1">
        <f t="shared" si="51"/>
        <v>46.114424400000004</v>
      </c>
      <c r="AE180" s="28">
        <f>MAX($I$12,$I$40,$I$68,$I$96,$I$124,$I$152,$I$180,$I$208,$I$236,$I$264,$I$292)</f>
        <v>218.13407800000004</v>
      </c>
      <c r="AF180" s="1">
        <v>1</v>
      </c>
    </row>
    <row r="181" spans="2:32" x14ac:dyDescent="0.25">
      <c r="B181" s="1" t="s">
        <v>11</v>
      </c>
      <c r="C181" s="1" t="s">
        <v>70</v>
      </c>
      <c r="D181" s="1"/>
      <c r="E181" s="1"/>
      <c r="F181" s="1">
        <v>300.39882399999999</v>
      </c>
      <c r="G181" s="1">
        <v>266.13063199999999</v>
      </c>
      <c r="H181" s="1">
        <v>257.95923399999998</v>
      </c>
      <c r="I181" s="1">
        <v>228.35195200000001</v>
      </c>
      <c r="J181" s="1">
        <v>1</v>
      </c>
      <c r="L181" s="1" t="s">
        <v>11</v>
      </c>
      <c r="M181" s="1" t="s">
        <v>70</v>
      </c>
      <c r="N181" s="1" t="s">
        <v>2</v>
      </c>
      <c r="O181" s="1" t="s">
        <v>40</v>
      </c>
      <c r="P181" s="1">
        <f>IF(ISBLANK(F181),":",0.98*F181)</f>
        <v>294.39084751999997</v>
      </c>
      <c r="Q181" s="1">
        <f t="shared" si="61"/>
        <v>260.80801936</v>
      </c>
      <c r="R181" s="1">
        <f t="shared" si="62"/>
        <v>252.80004931999997</v>
      </c>
      <c r="S181" s="1">
        <f t="shared" si="63"/>
        <v>223.78491296000001</v>
      </c>
      <c r="T181" s="33">
        <v>0</v>
      </c>
      <c r="U181" s="1">
        <v>1</v>
      </c>
      <c r="W181" s="1" t="s">
        <v>11</v>
      </c>
      <c r="X181" s="1" t="s">
        <v>70</v>
      </c>
      <c r="Y181" s="1" t="s">
        <v>2</v>
      </c>
      <c r="Z181" s="1" t="s">
        <v>39</v>
      </c>
      <c r="AA181" s="1">
        <f t="shared" si="48"/>
        <v>306.40680048000002</v>
      </c>
      <c r="AB181" s="1">
        <f t="shared" si="49"/>
        <v>271.45324463999998</v>
      </c>
      <c r="AC181" s="1">
        <f t="shared" si="50"/>
        <v>263.11841867999999</v>
      </c>
      <c r="AD181" s="1">
        <f t="shared" si="51"/>
        <v>232.91899104000001</v>
      </c>
      <c r="AE181" s="28">
        <f>MAX($I$13,$I$41,$I$69,$I$97,$I$125,$I$153,$I$181,$I$209,$I$237,$I$265,$I$293)</f>
        <v>364.78012100000001</v>
      </c>
      <c r="AF181" s="1">
        <v>1</v>
      </c>
    </row>
    <row r="182" spans="2:32" x14ac:dyDescent="0.25">
      <c r="B182" s="1" t="s">
        <v>12</v>
      </c>
      <c r="C182" s="1" t="s">
        <v>70</v>
      </c>
      <c r="D182" s="1"/>
      <c r="E182" s="1"/>
      <c r="F182" s="1">
        <v>7.163843</v>
      </c>
      <c r="G182" s="1">
        <v>7.0357240000000001</v>
      </c>
      <c r="H182" s="1">
        <v>6.892786000000001</v>
      </c>
      <c r="I182" s="1">
        <v>7.6016519999999996</v>
      </c>
      <c r="J182" s="1">
        <v>1</v>
      </c>
      <c r="L182" s="1" t="s">
        <v>12</v>
      </c>
      <c r="M182" s="1" t="s">
        <v>70</v>
      </c>
      <c r="N182" s="1" t="s">
        <v>2</v>
      </c>
      <c r="O182" s="1" t="s">
        <v>40</v>
      </c>
      <c r="P182" s="1">
        <f t="shared" ref="P182:P187" si="64">IF(ISBLANK(F182),":",0.98*F182)</f>
        <v>7.0205661399999997</v>
      </c>
      <c r="Q182" s="1">
        <f t="shared" si="61"/>
        <v>6.8950095200000003</v>
      </c>
      <c r="R182" s="1">
        <f t="shared" si="62"/>
        <v>6.7549302800000008</v>
      </c>
      <c r="S182" s="1">
        <f t="shared" si="63"/>
        <v>7.4496189599999996</v>
      </c>
      <c r="T182" s="33">
        <v>0</v>
      </c>
      <c r="U182" s="1">
        <v>1</v>
      </c>
      <c r="W182" s="1" t="s">
        <v>12</v>
      </c>
      <c r="X182" s="1" t="s">
        <v>70</v>
      </c>
      <c r="Y182" s="1" t="s">
        <v>2</v>
      </c>
      <c r="Z182" s="1" t="s">
        <v>39</v>
      </c>
      <c r="AA182" s="1">
        <f t="shared" si="48"/>
        <v>7.3071198600000002</v>
      </c>
      <c r="AB182" s="1">
        <f t="shared" si="49"/>
        <v>7.1764384799999998</v>
      </c>
      <c r="AC182" s="1">
        <f t="shared" si="50"/>
        <v>7.0306417200000011</v>
      </c>
      <c r="AD182" s="1">
        <f t="shared" si="51"/>
        <v>7.7536850399999997</v>
      </c>
      <c r="AE182" s="28">
        <f>MAX($I$14,$I$42,$I$70,$I$98,$I$126,$I$154,$I$182,$I$210,$I$238,$I$266,$I$294)</f>
        <v>40.304569999999998</v>
      </c>
      <c r="AF182" s="1">
        <v>1</v>
      </c>
    </row>
    <row r="183" spans="2:32" x14ac:dyDescent="0.25">
      <c r="B183" s="1" t="s">
        <v>13</v>
      </c>
      <c r="C183" s="1" t="s">
        <v>70</v>
      </c>
      <c r="D183" s="1"/>
      <c r="E183" s="1"/>
      <c r="F183" s="1">
        <f>AVERAGE(G183:I183)</f>
        <v>43.703816666666661</v>
      </c>
      <c r="G183" s="1">
        <v>39.235061000000002</v>
      </c>
      <c r="H183" s="1">
        <v>32.726286000000002</v>
      </c>
      <c r="I183" s="1">
        <v>59.150103000000001</v>
      </c>
      <c r="J183" s="1">
        <v>1</v>
      </c>
      <c r="L183" s="1" t="s">
        <v>13</v>
      </c>
      <c r="M183" s="1" t="s">
        <v>70</v>
      </c>
      <c r="N183" s="1" t="s">
        <v>2</v>
      </c>
      <c r="O183" s="1" t="s">
        <v>40</v>
      </c>
      <c r="P183" s="1">
        <f t="shared" si="64"/>
        <v>42.829740333333326</v>
      </c>
      <c r="Q183" s="1">
        <f t="shared" si="61"/>
        <v>38.450359779999999</v>
      </c>
      <c r="R183" s="1">
        <f t="shared" si="62"/>
        <v>32.071760279999999</v>
      </c>
      <c r="S183" s="1">
        <f t="shared" si="63"/>
        <v>57.967100940000002</v>
      </c>
      <c r="T183" s="33">
        <v>0</v>
      </c>
      <c r="U183" s="1">
        <v>1</v>
      </c>
      <c r="W183" s="1" t="s">
        <v>13</v>
      </c>
      <c r="X183" s="1" t="s">
        <v>70</v>
      </c>
      <c r="Y183" s="1" t="s">
        <v>2</v>
      </c>
      <c r="Z183" s="1" t="s">
        <v>39</v>
      </c>
      <c r="AA183" s="1">
        <f t="shared" si="48"/>
        <v>44.577892999999996</v>
      </c>
      <c r="AB183" s="1">
        <f t="shared" si="49"/>
        <v>40.019762220000004</v>
      </c>
      <c r="AC183" s="1">
        <f t="shared" si="50"/>
        <v>33.380811720000004</v>
      </c>
      <c r="AD183" s="1">
        <f t="shared" si="51"/>
        <v>60.333105060000001</v>
      </c>
      <c r="AE183" s="28">
        <f>MAX($I$15,$I$43,$I$71,$I$99,$I$127,$I$155,$I$183,$I$211,$I$239,$I$267,$I$295)</f>
        <v>539.45073900000011</v>
      </c>
      <c r="AF183" s="1">
        <v>1</v>
      </c>
    </row>
    <row r="184" spans="2:32" x14ac:dyDescent="0.25">
      <c r="B184" s="1" t="s">
        <v>14</v>
      </c>
      <c r="C184" s="1" t="s">
        <v>70</v>
      </c>
      <c r="D184" s="1"/>
      <c r="E184" s="1"/>
      <c r="F184" s="1">
        <f>AVERAGE(H184:I184)</f>
        <v>2.9251524999999998</v>
      </c>
      <c r="G184" s="1">
        <f>AVERAGE(H184:I184)</f>
        <v>2.9251524999999998</v>
      </c>
      <c r="H184" s="1">
        <v>2.9254530000000001</v>
      </c>
      <c r="I184" s="1">
        <v>2.9248519999999996</v>
      </c>
      <c r="J184" s="1">
        <v>1</v>
      </c>
      <c r="L184" s="1" t="s">
        <v>14</v>
      </c>
      <c r="M184" s="1" t="s">
        <v>70</v>
      </c>
      <c r="N184" s="1" t="s">
        <v>2</v>
      </c>
      <c r="O184" s="1" t="s">
        <v>40</v>
      </c>
      <c r="P184" s="1">
        <f t="shared" si="64"/>
        <v>2.8666494499999997</v>
      </c>
      <c r="Q184" s="1">
        <f t="shared" si="61"/>
        <v>2.8666494499999997</v>
      </c>
      <c r="R184" s="1">
        <f t="shared" si="62"/>
        <v>2.8669439400000001</v>
      </c>
      <c r="S184" s="1">
        <f t="shared" si="63"/>
        <v>2.8663549599999993</v>
      </c>
      <c r="T184" s="33">
        <v>0</v>
      </c>
      <c r="U184" s="1">
        <v>1</v>
      </c>
      <c r="W184" s="1" t="s">
        <v>14</v>
      </c>
      <c r="X184" s="1" t="s">
        <v>70</v>
      </c>
      <c r="Y184" s="1" t="s">
        <v>2</v>
      </c>
      <c r="Z184" s="1" t="s">
        <v>39</v>
      </c>
      <c r="AA184" s="1">
        <f t="shared" si="48"/>
        <v>2.9836555499999999</v>
      </c>
      <c r="AB184" s="1">
        <f t="shared" si="49"/>
        <v>2.9836555499999999</v>
      </c>
      <c r="AC184" s="1">
        <f t="shared" si="50"/>
        <v>2.9839620600000001</v>
      </c>
      <c r="AD184" s="1">
        <f t="shared" si="51"/>
        <v>2.9833490399999998</v>
      </c>
      <c r="AE184" s="28">
        <f>MAX($I$16,$I$44,$I$72,$I$100,$I$128,$I$156,$I$184,$I$212,$I$240,$I$268,$I$296)</f>
        <v>3.1702320000000004</v>
      </c>
      <c r="AF184" s="1">
        <v>1</v>
      </c>
    </row>
    <row r="185" spans="2:32" x14ac:dyDescent="0.25">
      <c r="B185" s="1" t="s">
        <v>15</v>
      </c>
      <c r="C185" s="1" t="s">
        <v>70</v>
      </c>
      <c r="D185" s="1"/>
      <c r="E185" s="1"/>
      <c r="F185" s="1">
        <v>1.6721720000000002</v>
      </c>
      <c r="G185" s="1">
        <v>1.5177239999999999</v>
      </c>
      <c r="H185" s="1">
        <v>1.5169859999999999</v>
      </c>
      <c r="I185" s="1">
        <v>1.421975</v>
      </c>
      <c r="J185" s="1">
        <v>1</v>
      </c>
      <c r="L185" s="1" t="s">
        <v>15</v>
      </c>
      <c r="M185" s="1" t="s">
        <v>70</v>
      </c>
      <c r="N185" s="1" t="s">
        <v>2</v>
      </c>
      <c r="O185" s="1" t="s">
        <v>40</v>
      </c>
      <c r="P185" s="1">
        <f t="shared" si="64"/>
        <v>1.6387285600000001</v>
      </c>
      <c r="Q185" s="1">
        <f t="shared" si="61"/>
        <v>1.4873695199999999</v>
      </c>
      <c r="R185" s="1">
        <f t="shared" si="62"/>
        <v>1.48664628</v>
      </c>
      <c r="S185" s="1">
        <f t="shared" si="63"/>
        <v>1.3935355</v>
      </c>
      <c r="T185" s="33">
        <v>0</v>
      </c>
      <c r="U185" s="1">
        <v>1</v>
      </c>
      <c r="W185" s="1" t="s">
        <v>15</v>
      </c>
      <c r="X185" s="1" t="s">
        <v>70</v>
      </c>
      <c r="Y185" s="1" t="s">
        <v>2</v>
      </c>
      <c r="Z185" s="1" t="s">
        <v>39</v>
      </c>
      <c r="AA185" s="1">
        <f t="shared" si="48"/>
        <v>1.7056154400000003</v>
      </c>
      <c r="AB185" s="1">
        <f t="shared" si="49"/>
        <v>1.5480784799999998</v>
      </c>
      <c r="AC185" s="1">
        <f t="shared" si="50"/>
        <v>1.5473257199999999</v>
      </c>
      <c r="AD185" s="1">
        <f t="shared" si="51"/>
        <v>1.4504144999999999</v>
      </c>
      <c r="AE185" s="28">
        <f>MAX($I$17,$I$45,$I$73,$I$101,$I$129,$I$157,$I$185,$I$213,$I$241,$I$269,$I$297)</f>
        <v>18.231687999999998</v>
      </c>
      <c r="AF185" s="1">
        <v>1</v>
      </c>
    </row>
    <row r="186" spans="2:32" x14ac:dyDescent="0.25">
      <c r="B186" s="1" t="s">
        <v>16</v>
      </c>
      <c r="C186" s="1" t="s">
        <v>70</v>
      </c>
      <c r="D186" s="1"/>
      <c r="E186" s="1"/>
      <c r="F186" s="1">
        <f>AVERAGE(H186:I186)</f>
        <v>1.53342</v>
      </c>
      <c r="G186" s="1">
        <f>AVERAGE(H186:I186)</f>
        <v>1.53342</v>
      </c>
      <c r="H186" s="1">
        <v>1.1177999999999999</v>
      </c>
      <c r="I186" s="1">
        <v>1.9490399999999999</v>
      </c>
      <c r="J186" s="1">
        <v>1</v>
      </c>
      <c r="L186" s="1" t="s">
        <v>16</v>
      </c>
      <c r="M186" s="1" t="s">
        <v>70</v>
      </c>
      <c r="N186" s="1" t="s">
        <v>2</v>
      </c>
      <c r="O186" s="1" t="s">
        <v>40</v>
      </c>
      <c r="P186" s="1">
        <f t="shared" si="64"/>
        <v>1.5027516000000001</v>
      </c>
      <c r="Q186" s="1">
        <f t="shared" si="61"/>
        <v>1.5027516000000001</v>
      </c>
      <c r="R186" s="1">
        <f t="shared" si="62"/>
        <v>1.0954439999999999</v>
      </c>
      <c r="S186" s="1">
        <f t="shared" si="63"/>
        <v>1.9100591999999998</v>
      </c>
      <c r="T186" s="33">
        <v>0</v>
      </c>
      <c r="U186" s="1">
        <v>1</v>
      </c>
      <c r="W186" s="1" t="s">
        <v>16</v>
      </c>
      <c r="X186" s="1" t="s">
        <v>70</v>
      </c>
      <c r="Y186" s="1" t="s">
        <v>2</v>
      </c>
      <c r="Z186" s="1" t="s">
        <v>39</v>
      </c>
      <c r="AA186" s="1">
        <f t="shared" si="48"/>
        <v>1.5640883999999999</v>
      </c>
      <c r="AB186" s="1">
        <f t="shared" si="49"/>
        <v>1.5640883999999999</v>
      </c>
      <c r="AC186" s="1">
        <f t="shared" si="50"/>
        <v>1.1401559999999999</v>
      </c>
      <c r="AD186" s="1">
        <f t="shared" si="51"/>
        <v>1.9880207999999999</v>
      </c>
      <c r="AE186" s="28">
        <f>MAX($I$18,$I$46,$I$74,$I$102,$I$130,$I$158,$I$186,$I$214,$I$242,$I$270,$I$298)</f>
        <v>18.93</v>
      </c>
      <c r="AF186" s="1">
        <v>1</v>
      </c>
    </row>
    <row r="187" spans="2:32" x14ac:dyDescent="0.25">
      <c r="B187" s="1" t="s">
        <v>17</v>
      </c>
      <c r="C187" s="1" t="s">
        <v>70</v>
      </c>
      <c r="D187" s="1"/>
      <c r="E187" s="1"/>
      <c r="F187" s="1">
        <v>0.72805399999999998</v>
      </c>
      <c r="G187" s="1">
        <v>0.91452200000000006</v>
      </c>
      <c r="H187" s="1">
        <v>1.3874900000000001</v>
      </c>
      <c r="I187" s="1">
        <v>1.4573669999999999</v>
      </c>
      <c r="J187" s="1">
        <v>1</v>
      </c>
      <c r="L187" s="1" t="s">
        <v>17</v>
      </c>
      <c r="M187" s="1" t="s">
        <v>70</v>
      </c>
      <c r="N187" s="1" t="s">
        <v>2</v>
      </c>
      <c r="O187" s="1" t="s">
        <v>40</v>
      </c>
      <c r="P187" s="1">
        <f t="shared" si="64"/>
        <v>0.71349291999999997</v>
      </c>
      <c r="Q187" s="1">
        <f t="shared" si="61"/>
        <v>0.89623156000000004</v>
      </c>
      <c r="R187" s="1">
        <f t="shared" si="62"/>
        <v>1.3597402000000001</v>
      </c>
      <c r="S187" s="1">
        <f t="shared" si="63"/>
        <v>1.4282196599999999</v>
      </c>
      <c r="T187" s="33">
        <v>0</v>
      </c>
      <c r="U187" s="1">
        <v>1</v>
      </c>
      <c r="W187" s="1" t="s">
        <v>17</v>
      </c>
      <c r="X187" s="1" t="s">
        <v>70</v>
      </c>
      <c r="Y187" s="1" t="s">
        <v>2</v>
      </c>
      <c r="Z187" s="1" t="s">
        <v>39</v>
      </c>
      <c r="AA187" s="1">
        <f t="shared" si="48"/>
        <v>0.74261507999999998</v>
      </c>
      <c r="AB187" s="1">
        <f t="shared" si="49"/>
        <v>0.93281244000000008</v>
      </c>
      <c r="AC187" s="1">
        <f t="shared" si="50"/>
        <v>1.4152398000000002</v>
      </c>
      <c r="AD187" s="1">
        <f t="shared" si="51"/>
        <v>1.4865143399999998</v>
      </c>
      <c r="AE187" s="28">
        <f>MAX($I$19,$I$47,$I$75,$I$103,$I$131,$I$159,$I$187,$I$215,$I$243,$I$271,$I$299)</f>
        <v>8.6689310000000006</v>
      </c>
      <c r="AF187" s="1">
        <v>1</v>
      </c>
    </row>
    <row r="188" spans="2:32" x14ac:dyDescent="0.25">
      <c r="B188" s="1" t="s">
        <v>18</v>
      </c>
      <c r="C188" s="1" t="s">
        <v>70</v>
      </c>
      <c r="D188" s="1"/>
      <c r="E188" s="1"/>
      <c r="F188" s="1">
        <f>AVERAGE(G188:I188)</f>
        <v>16.074418000000001</v>
      </c>
      <c r="G188" s="1">
        <v>14.160057000000002</v>
      </c>
      <c r="H188" s="1">
        <v>15.446319000000001</v>
      </c>
      <c r="I188" s="1">
        <v>18.616878</v>
      </c>
      <c r="J188" s="1">
        <v>1</v>
      </c>
      <c r="L188" s="1" t="s">
        <v>18</v>
      </c>
      <c r="M188" s="1" t="s">
        <v>70</v>
      </c>
      <c r="N188" s="1" t="s">
        <v>2</v>
      </c>
      <c r="O188" s="1" t="s">
        <v>40</v>
      </c>
      <c r="P188" s="1">
        <f>IF(ISBLANK(F188),":",0.98*F188)</f>
        <v>15.752929640000001</v>
      </c>
      <c r="Q188" s="1">
        <f t="shared" si="61"/>
        <v>13.876855860000001</v>
      </c>
      <c r="R188" s="1">
        <f t="shared" si="62"/>
        <v>15.13739262</v>
      </c>
      <c r="S188" s="1">
        <f t="shared" si="63"/>
        <v>18.244540439999998</v>
      </c>
      <c r="T188" s="33">
        <v>0</v>
      </c>
      <c r="U188" s="1">
        <v>1</v>
      </c>
      <c r="W188" s="1" t="s">
        <v>18</v>
      </c>
      <c r="X188" s="1" t="s">
        <v>70</v>
      </c>
      <c r="Y188" s="1" t="s">
        <v>2</v>
      </c>
      <c r="Z188" s="1" t="s">
        <v>39</v>
      </c>
      <c r="AA188" s="1">
        <f t="shared" si="48"/>
        <v>16.395906360000001</v>
      </c>
      <c r="AB188" s="1">
        <f t="shared" si="49"/>
        <v>14.443258140000003</v>
      </c>
      <c r="AC188" s="1">
        <f t="shared" si="50"/>
        <v>15.755245380000002</v>
      </c>
      <c r="AD188" s="1">
        <f t="shared" si="51"/>
        <v>18.989215560000002</v>
      </c>
      <c r="AE188" s="28">
        <f>MAX($I$20,$I$48,$I$76,$I$104,$I$132,$I$160,$I$188,$I$216,$I$244,$I$272,$I$300)</f>
        <v>104.339699</v>
      </c>
      <c r="AF188" s="1">
        <v>1</v>
      </c>
    </row>
    <row r="189" spans="2:32" x14ac:dyDescent="0.25">
      <c r="B189" s="1" t="s">
        <v>20</v>
      </c>
      <c r="C189" s="1" t="s">
        <v>70</v>
      </c>
      <c r="D189" s="1"/>
      <c r="E189" s="1"/>
      <c r="F189" s="1">
        <v>7.042662</v>
      </c>
      <c r="G189" s="1">
        <v>7.6023539999999992</v>
      </c>
      <c r="H189" s="1">
        <v>10.930895999999999</v>
      </c>
      <c r="I189" s="1">
        <v>16.829622000000001</v>
      </c>
      <c r="J189" s="1">
        <v>1</v>
      </c>
      <c r="L189" s="1" t="s">
        <v>20</v>
      </c>
      <c r="M189" s="1" t="s">
        <v>70</v>
      </c>
      <c r="N189" s="1" t="s">
        <v>2</v>
      </c>
      <c r="O189" s="1" t="s">
        <v>40</v>
      </c>
      <c r="P189" s="1">
        <f>IF(ISBLANK(F189),":",0.98*F189)</f>
        <v>6.9018087599999998</v>
      </c>
      <c r="Q189" s="1">
        <f t="shared" si="61"/>
        <v>7.4503069199999992</v>
      </c>
      <c r="R189" s="1">
        <f t="shared" si="62"/>
        <v>10.712278079999999</v>
      </c>
      <c r="S189" s="1">
        <f t="shared" si="63"/>
        <v>16.49302956</v>
      </c>
      <c r="T189" s="33">
        <v>0</v>
      </c>
      <c r="U189" s="1">
        <v>1</v>
      </c>
      <c r="W189" s="1" t="s">
        <v>20</v>
      </c>
      <c r="X189" s="1" t="s">
        <v>70</v>
      </c>
      <c r="Y189" s="1" t="s">
        <v>2</v>
      </c>
      <c r="Z189" s="1" t="s">
        <v>39</v>
      </c>
      <c r="AA189" s="1">
        <f t="shared" si="48"/>
        <v>7.1835152400000002</v>
      </c>
      <c r="AB189" s="1">
        <f t="shared" si="49"/>
        <v>7.7544010799999992</v>
      </c>
      <c r="AC189" s="1">
        <f t="shared" si="50"/>
        <v>11.149513919999999</v>
      </c>
      <c r="AD189" s="1">
        <f t="shared" si="51"/>
        <v>17.166214440000001</v>
      </c>
      <c r="AE189" s="28">
        <f>MAX($I$21,$I$49,$I$77,$I$105,$I$133,$I$161,$I$189,$I$217,$I$245,$I$273,$I$301)</f>
        <v>201.18298499999997</v>
      </c>
      <c r="AF189" s="1">
        <v>1</v>
      </c>
    </row>
    <row r="190" spans="2:32" x14ac:dyDescent="0.25">
      <c r="B190" s="1" t="s">
        <v>21</v>
      </c>
      <c r="C190" s="1" t="s">
        <v>70</v>
      </c>
      <c r="D190" s="1"/>
      <c r="E190" s="1"/>
      <c r="F190" s="1">
        <v>20.901976999999999</v>
      </c>
      <c r="G190" s="1">
        <v>20.695163000000001</v>
      </c>
      <c r="H190" s="1">
        <v>22.574350000000003</v>
      </c>
      <c r="I190" s="1">
        <v>25.397503</v>
      </c>
      <c r="J190" s="1">
        <v>1</v>
      </c>
      <c r="L190" s="1" t="s">
        <v>21</v>
      </c>
      <c r="M190" s="1" t="s">
        <v>70</v>
      </c>
      <c r="N190" s="1" t="s">
        <v>2</v>
      </c>
      <c r="O190" s="1" t="s">
        <v>40</v>
      </c>
      <c r="P190" s="1">
        <f t="shared" ref="P190" si="65">IF(ISBLANK(F190),":",0.98*F190)</f>
        <v>20.48393746</v>
      </c>
      <c r="Q190" s="1">
        <f t="shared" si="61"/>
        <v>20.281259739999999</v>
      </c>
      <c r="R190" s="1">
        <f t="shared" si="62"/>
        <v>22.122863000000002</v>
      </c>
      <c r="S190" s="1">
        <f t="shared" si="63"/>
        <v>24.889552940000002</v>
      </c>
      <c r="T190" s="33">
        <v>0</v>
      </c>
      <c r="U190" s="1">
        <v>1</v>
      </c>
      <c r="W190" s="1" t="s">
        <v>21</v>
      </c>
      <c r="X190" s="1" t="s">
        <v>70</v>
      </c>
      <c r="Y190" s="1" t="s">
        <v>2</v>
      </c>
      <c r="Z190" s="1" t="s">
        <v>39</v>
      </c>
      <c r="AA190" s="1">
        <f t="shared" si="48"/>
        <v>21.320016539999997</v>
      </c>
      <c r="AB190" s="1">
        <f t="shared" si="49"/>
        <v>21.109066260000002</v>
      </c>
      <c r="AC190" s="1">
        <f t="shared" si="50"/>
        <v>23.025837000000003</v>
      </c>
      <c r="AD190" s="1">
        <f t="shared" si="51"/>
        <v>25.905453059999999</v>
      </c>
      <c r="AE190" s="28">
        <f>MAX($I$22,$I$50,$I$78,$I$106,$I$134,$I$162,$I$190,$I$218,$I$246,$I$274,$I$302)</f>
        <v>69.769181000000003</v>
      </c>
      <c r="AF190" s="1">
        <v>1</v>
      </c>
    </row>
    <row r="191" spans="2:32" x14ac:dyDescent="0.25">
      <c r="B191" s="1" t="s">
        <v>22</v>
      </c>
      <c r="C191" s="1" t="s">
        <v>70</v>
      </c>
      <c r="D191" s="1"/>
      <c r="E191" s="1"/>
      <c r="F191" s="1">
        <f>AVERAGE(G191:I191)</f>
        <v>10.750809333333335</v>
      </c>
      <c r="G191" s="1">
        <v>12.204000000000001</v>
      </c>
      <c r="H191" s="1">
        <v>12.501259000000001</v>
      </c>
      <c r="I191" s="1">
        <v>7.5471690000000002</v>
      </c>
      <c r="J191" s="1">
        <v>1</v>
      </c>
      <c r="L191" s="1" t="s">
        <v>22</v>
      </c>
      <c r="M191" s="1" t="s">
        <v>70</v>
      </c>
      <c r="N191" s="1" t="s">
        <v>2</v>
      </c>
      <c r="O191" s="1" t="s">
        <v>40</v>
      </c>
      <c r="P191" s="1">
        <f t="shared" ref="P191:P196" si="66">IF(ISBLANK(F191),":",0.98*F191)</f>
        <v>10.535793146666668</v>
      </c>
      <c r="Q191" s="1">
        <f t="shared" si="61"/>
        <v>11.95992</v>
      </c>
      <c r="R191" s="1">
        <f t="shared" si="62"/>
        <v>12.251233820000001</v>
      </c>
      <c r="S191" s="1">
        <f t="shared" si="63"/>
        <v>7.3962256200000001</v>
      </c>
      <c r="T191" s="33">
        <v>0</v>
      </c>
      <c r="U191" s="1">
        <v>1</v>
      </c>
      <c r="W191" s="1" t="s">
        <v>22</v>
      </c>
      <c r="X191" s="1" t="s">
        <v>70</v>
      </c>
      <c r="Y191" s="1" t="s">
        <v>2</v>
      </c>
      <c r="Z191" s="1" t="s">
        <v>39</v>
      </c>
      <c r="AA191" s="1">
        <f t="shared" si="48"/>
        <v>10.965825520000001</v>
      </c>
      <c r="AB191" s="1">
        <f t="shared" si="49"/>
        <v>12.448080000000001</v>
      </c>
      <c r="AC191" s="1">
        <f t="shared" si="50"/>
        <v>12.751284180000001</v>
      </c>
      <c r="AD191" s="1">
        <f t="shared" si="51"/>
        <v>7.6981123800000004</v>
      </c>
      <c r="AE191" s="28">
        <f>MAX($I$23,$I$51,$I$79,$I$107,$I$135,$I$163,$I$191,$I$219,$I$247,$I$275,$I$303)</f>
        <v>183.24970000000002</v>
      </c>
      <c r="AF191" s="1">
        <v>1</v>
      </c>
    </row>
    <row r="192" spans="2:32" x14ac:dyDescent="0.25">
      <c r="B192" s="1" t="s">
        <v>23</v>
      </c>
      <c r="C192" s="1" t="s">
        <v>70</v>
      </c>
      <c r="D192" s="1"/>
      <c r="E192" s="1"/>
      <c r="F192" s="1">
        <v>6.8223599999999998</v>
      </c>
      <c r="G192" s="1">
        <v>5.6253219999999997</v>
      </c>
      <c r="H192" s="1">
        <v>3.7362820000000001</v>
      </c>
      <c r="I192" s="1">
        <v>5.1653339999999996</v>
      </c>
      <c r="J192" s="1">
        <v>1</v>
      </c>
      <c r="L192" s="1" t="s">
        <v>23</v>
      </c>
      <c r="M192" s="1" t="s">
        <v>70</v>
      </c>
      <c r="N192" s="1" t="s">
        <v>2</v>
      </c>
      <c r="O192" s="1" t="s">
        <v>40</v>
      </c>
      <c r="P192" s="1">
        <f t="shared" si="66"/>
        <v>6.6859127999999997</v>
      </c>
      <c r="Q192" s="1">
        <f t="shared" si="61"/>
        <v>5.5128155599999999</v>
      </c>
      <c r="R192" s="1">
        <f t="shared" si="62"/>
        <v>3.6615563600000001</v>
      </c>
      <c r="S192" s="1">
        <f t="shared" si="63"/>
        <v>5.0620273199999994</v>
      </c>
      <c r="T192" s="33">
        <v>0</v>
      </c>
      <c r="U192" s="1">
        <v>1</v>
      </c>
      <c r="W192" s="1" t="s">
        <v>23</v>
      </c>
      <c r="X192" s="1" t="s">
        <v>70</v>
      </c>
      <c r="Y192" s="1" t="s">
        <v>2</v>
      </c>
      <c r="Z192" s="1" t="s">
        <v>39</v>
      </c>
      <c r="AA192" s="1">
        <f t="shared" si="48"/>
        <v>6.9588071999999999</v>
      </c>
      <c r="AB192" s="1">
        <f t="shared" si="49"/>
        <v>5.7378284399999995</v>
      </c>
      <c r="AC192" s="1">
        <f t="shared" si="50"/>
        <v>3.8110076400000001</v>
      </c>
      <c r="AD192" s="1">
        <f t="shared" si="51"/>
        <v>5.2686406799999999</v>
      </c>
      <c r="AE192" s="28">
        <f>MAX($I$24,$I$52,$I$80,$I$108,$I$136,$I$164,$I$192,$I$220,$I$248,$I$276,$I$304)</f>
        <v>47.327892999999996</v>
      </c>
      <c r="AF192" s="1">
        <v>1</v>
      </c>
    </row>
    <row r="193" spans="2:32" x14ac:dyDescent="0.25">
      <c r="B193" s="1" t="s">
        <v>24</v>
      </c>
      <c r="C193" s="1" t="s">
        <v>70</v>
      </c>
      <c r="D193" s="1"/>
      <c r="E193" s="1"/>
      <c r="F193" s="1">
        <f>AVERAGE(G193:I193)</f>
        <v>2.3539583333333334</v>
      </c>
      <c r="G193" s="1">
        <v>2.2009280000000002</v>
      </c>
      <c r="H193" s="1">
        <v>2.4784959999999998</v>
      </c>
      <c r="I193" s="1">
        <v>2.3824510000000001</v>
      </c>
      <c r="J193" s="1">
        <v>1</v>
      </c>
      <c r="L193" s="1" t="s">
        <v>24</v>
      </c>
      <c r="M193" s="1" t="s">
        <v>70</v>
      </c>
      <c r="N193" s="1" t="s">
        <v>2</v>
      </c>
      <c r="O193" s="1" t="s">
        <v>40</v>
      </c>
      <c r="P193" s="1">
        <f t="shared" si="66"/>
        <v>2.3068791666666666</v>
      </c>
      <c r="Q193" s="1">
        <f t="shared" si="61"/>
        <v>2.1569094400000002</v>
      </c>
      <c r="R193" s="1">
        <f t="shared" si="62"/>
        <v>2.4289260799999997</v>
      </c>
      <c r="S193" s="1">
        <f t="shared" si="63"/>
        <v>2.3348019799999999</v>
      </c>
      <c r="T193" s="33">
        <v>0</v>
      </c>
      <c r="U193" s="1">
        <v>1</v>
      </c>
      <c r="W193" s="1" t="s">
        <v>24</v>
      </c>
      <c r="X193" s="1" t="s">
        <v>70</v>
      </c>
      <c r="Y193" s="1" t="s">
        <v>2</v>
      </c>
      <c r="Z193" s="1" t="s">
        <v>39</v>
      </c>
      <c r="AA193" s="1">
        <f t="shared" si="48"/>
        <v>2.4010375000000002</v>
      </c>
      <c r="AB193" s="1">
        <f t="shared" si="49"/>
        <v>2.2449465600000003</v>
      </c>
      <c r="AC193" s="1">
        <f t="shared" si="50"/>
        <v>2.52806592</v>
      </c>
      <c r="AD193" s="1">
        <f t="shared" si="51"/>
        <v>2.4301000200000002</v>
      </c>
      <c r="AE193" s="28">
        <f>MAX($I$25,$I$53,$I$81,$I$109,$I$137,$I$165,$I$193,$I$221,$I$249,$I$277,$I$305)</f>
        <v>123.01356</v>
      </c>
      <c r="AF193" s="1">
        <v>1</v>
      </c>
    </row>
    <row r="194" spans="2:32" x14ac:dyDescent="0.25">
      <c r="B194" s="1" t="s">
        <v>25</v>
      </c>
      <c r="C194" s="1" t="s">
        <v>70</v>
      </c>
      <c r="D194" s="1"/>
      <c r="E194" s="1"/>
      <c r="F194" s="1">
        <v>3.5612390000000005</v>
      </c>
      <c r="G194" s="1">
        <v>3.9539049999999998</v>
      </c>
      <c r="H194" s="1">
        <v>4.7535120000000006</v>
      </c>
      <c r="I194" s="1">
        <v>5.4019690000000002</v>
      </c>
      <c r="J194" s="1">
        <v>1</v>
      </c>
      <c r="L194" s="1" t="s">
        <v>25</v>
      </c>
      <c r="M194" s="1" t="s">
        <v>70</v>
      </c>
      <c r="N194" s="1" t="s">
        <v>2</v>
      </c>
      <c r="O194" s="1" t="s">
        <v>40</v>
      </c>
      <c r="P194" s="1">
        <f t="shared" si="66"/>
        <v>3.4900142200000004</v>
      </c>
      <c r="Q194" s="1">
        <f t="shared" si="61"/>
        <v>3.8748268999999995</v>
      </c>
      <c r="R194" s="1">
        <f t="shared" si="62"/>
        <v>4.6584417600000005</v>
      </c>
      <c r="S194" s="1">
        <f t="shared" si="63"/>
        <v>5.2939296200000001</v>
      </c>
      <c r="T194" s="33">
        <v>0</v>
      </c>
      <c r="U194" s="1">
        <v>1</v>
      </c>
      <c r="W194" s="1" t="s">
        <v>25</v>
      </c>
      <c r="X194" s="1" t="s">
        <v>70</v>
      </c>
      <c r="Y194" s="1" t="s">
        <v>2</v>
      </c>
      <c r="Z194" s="1" t="s">
        <v>39</v>
      </c>
      <c r="AA194" s="1">
        <f t="shared" si="48"/>
        <v>3.6324637800000006</v>
      </c>
      <c r="AB194" s="1">
        <f t="shared" si="49"/>
        <v>4.0329831</v>
      </c>
      <c r="AC194" s="1">
        <f t="shared" si="50"/>
        <v>4.8485822400000007</v>
      </c>
      <c r="AD194" s="1">
        <f t="shared" si="51"/>
        <v>5.5100083800000004</v>
      </c>
      <c r="AE194" s="28">
        <f>MAX($I$26,$I$54,$I$82,$I$110,$I$138,$I$166,$I$194,$I$222,$I$250,$I$278,$I$306)</f>
        <v>14.768578</v>
      </c>
      <c r="AF194" s="1">
        <v>1</v>
      </c>
    </row>
    <row r="195" spans="2:32" x14ac:dyDescent="0.25">
      <c r="B195" s="1" t="s">
        <v>26</v>
      </c>
      <c r="C195" s="1" t="s">
        <v>70</v>
      </c>
      <c r="D195" s="1"/>
      <c r="E195" s="1"/>
      <c r="F195" s="1">
        <f>AVERAGE(G195:I195)</f>
        <v>6.336036</v>
      </c>
      <c r="G195" s="1">
        <v>7.0741079999999998</v>
      </c>
      <c r="H195" s="1">
        <v>8.1694800000000001</v>
      </c>
      <c r="I195" s="1">
        <v>3.7645200000000005</v>
      </c>
      <c r="J195" s="1">
        <v>1</v>
      </c>
      <c r="L195" s="1" t="s">
        <v>26</v>
      </c>
      <c r="M195" s="1" t="s">
        <v>70</v>
      </c>
      <c r="N195" s="1" t="s">
        <v>2</v>
      </c>
      <c r="O195" s="1" t="s">
        <v>40</v>
      </c>
      <c r="P195" s="1">
        <f t="shared" si="66"/>
        <v>6.2093152800000002</v>
      </c>
      <c r="Q195" s="1">
        <f t="shared" si="61"/>
        <v>6.93262584</v>
      </c>
      <c r="R195" s="1">
        <f t="shared" si="62"/>
        <v>8.0060903999999997</v>
      </c>
      <c r="S195" s="1">
        <f t="shared" si="63"/>
        <v>3.6892296000000004</v>
      </c>
      <c r="T195" s="33">
        <v>0</v>
      </c>
      <c r="U195" s="1">
        <v>1</v>
      </c>
      <c r="W195" s="1" t="s">
        <v>26</v>
      </c>
      <c r="X195" s="1" t="s">
        <v>70</v>
      </c>
      <c r="Y195" s="1" t="s">
        <v>2</v>
      </c>
      <c r="Z195" s="1" t="s">
        <v>39</v>
      </c>
      <c r="AA195" s="1">
        <f t="shared" si="48"/>
        <v>6.4627567199999998</v>
      </c>
      <c r="AB195" s="1">
        <f t="shared" si="49"/>
        <v>7.2155901599999996</v>
      </c>
      <c r="AC195" s="1">
        <f t="shared" si="50"/>
        <v>8.3328696000000004</v>
      </c>
      <c r="AD195" s="1">
        <f t="shared" si="51"/>
        <v>3.8398104000000006</v>
      </c>
      <c r="AE195" s="28">
        <f>MAX($I$27,$I$55,$I$83,$I$111,$I$139,$I$167,$I$195,$I$223,$I$251,$I$279,$I$307)</f>
        <v>43.948800000000006</v>
      </c>
      <c r="AF195" s="1">
        <v>1</v>
      </c>
    </row>
    <row r="196" spans="2:32" x14ac:dyDescent="0.25">
      <c r="B196" s="1" t="s">
        <v>27</v>
      </c>
      <c r="C196" s="1" t="s">
        <v>70</v>
      </c>
      <c r="D196" s="1"/>
      <c r="E196" s="1"/>
      <c r="F196" s="1">
        <f t="shared" ref="F196:F197" si="67">AVERAGE(G196:I196)</f>
        <v>44.417999999999999</v>
      </c>
      <c r="G196" s="1">
        <v>43.271999999999998</v>
      </c>
      <c r="H196" s="1">
        <v>44.251200000000004</v>
      </c>
      <c r="I196" s="1">
        <v>45.730799999999995</v>
      </c>
      <c r="J196" s="1">
        <v>1</v>
      </c>
      <c r="L196" s="1" t="s">
        <v>27</v>
      </c>
      <c r="M196" s="1" t="s">
        <v>70</v>
      </c>
      <c r="N196" s="1" t="s">
        <v>2</v>
      </c>
      <c r="O196" s="1" t="s">
        <v>40</v>
      </c>
      <c r="P196" s="1">
        <f t="shared" si="66"/>
        <v>43.529640000000001</v>
      </c>
      <c r="Q196" s="1">
        <f t="shared" si="61"/>
        <v>42.406559999999999</v>
      </c>
      <c r="R196" s="1">
        <f t="shared" si="62"/>
        <v>43.366176000000003</v>
      </c>
      <c r="S196" s="1">
        <f t="shared" si="63"/>
        <v>44.816183999999993</v>
      </c>
      <c r="T196" s="33">
        <v>0</v>
      </c>
      <c r="U196" s="1">
        <v>1</v>
      </c>
      <c r="W196" s="1" t="s">
        <v>27</v>
      </c>
      <c r="X196" s="1" t="s">
        <v>70</v>
      </c>
      <c r="Y196" s="1" t="s">
        <v>2</v>
      </c>
      <c r="Z196" s="1" t="s">
        <v>39</v>
      </c>
      <c r="AA196" s="1">
        <f t="shared" ref="AA196:AA259" si="68">IF(ISBLANK(F196),":",1.02*F196)</f>
        <v>45.306359999999998</v>
      </c>
      <c r="AB196" s="1">
        <f t="shared" ref="AB196:AB259" si="69">IF(ISBLANK(G196),":",1.02*G196)</f>
        <v>44.137439999999998</v>
      </c>
      <c r="AC196" s="1">
        <f t="shared" ref="AC196:AC259" si="70">IF(ISBLANK(H196),":",1.02*H196)</f>
        <v>45.136224000000006</v>
      </c>
      <c r="AD196" s="1">
        <f t="shared" ref="AD196:AD259" si="71">IF(ISBLANK(I196),":",1.02*I196)</f>
        <v>46.645415999999997</v>
      </c>
      <c r="AE196" s="28">
        <f>MAX($I$28,$I$56,$I$84,$I$112,$I$140,$I$168,$I$196,$I$224,$I$252,$I$280,$I$308)</f>
        <v>66.917000000000002</v>
      </c>
      <c r="AF196" s="1">
        <v>1</v>
      </c>
    </row>
    <row r="197" spans="2:32" x14ac:dyDescent="0.25">
      <c r="B197" s="1" t="s">
        <v>28</v>
      </c>
      <c r="C197" s="1" t="s">
        <v>70</v>
      </c>
      <c r="D197" s="1"/>
      <c r="E197" s="1"/>
      <c r="F197" s="1">
        <f t="shared" si="67"/>
        <v>63.6096</v>
      </c>
      <c r="G197" s="1">
        <v>61.822800000000001</v>
      </c>
      <c r="H197" s="1">
        <v>61.880399999999995</v>
      </c>
      <c r="I197" s="1">
        <v>67.125599999999991</v>
      </c>
      <c r="J197" s="1">
        <v>1</v>
      </c>
      <c r="L197" s="1" t="s">
        <v>28</v>
      </c>
      <c r="M197" s="1" t="s">
        <v>70</v>
      </c>
      <c r="N197" s="1" t="s">
        <v>2</v>
      </c>
      <c r="O197" s="1" t="s">
        <v>40</v>
      </c>
      <c r="P197" s="1">
        <f t="shared" ref="P197:P200" si="72">IF(ISBLANK(F197),":",0.98*F197)</f>
        <v>62.337407999999996</v>
      </c>
      <c r="Q197" s="1">
        <f t="shared" si="61"/>
        <v>60.586343999999997</v>
      </c>
      <c r="R197" s="1">
        <f t="shared" si="62"/>
        <v>60.642791999999993</v>
      </c>
      <c r="S197" s="1">
        <f t="shared" si="63"/>
        <v>65.783087999999992</v>
      </c>
      <c r="T197" s="33">
        <v>0</v>
      </c>
      <c r="U197" s="1">
        <v>1</v>
      </c>
      <c r="W197" s="1" t="s">
        <v>28</v>
      </c>
      <c r="X197" s="1" t="s">
        <v>70</v>
      </c>
      <c r="Y197" s="1" t="s">
        <v>2</v>
      </c>
      <c r="Z197" s="1" t="s">
        <v>39</v>
      </c>
      <c r="AA197" s="1">
        <f t="shared" si="68"/>
        <v>64.881792000000004</v>
      </c>
      <c r="AB197" s="1">
        <f t="shared" si="69"/>
        <v>63.059256000000005</v>
      </c>
      <c r="AC197" s="1">
        <f t="shared" si="70"/>
        <v>63.118007999999996</v>
      </c>
      <c r="AD197" s="1">
        <f t="shared" si="71"/>
        <v>68.468111999999991</v>
      </c>
      <c r="AE197" s="28">
        <f>MAX($I$29,$I$57,$I$85,$I$113,$I$141,$I$169,$I$197,$I$225,$I$253,$I$281,$I$309)</f>
        <v>112.108</v>
      </c>
      <c r="AF197" s="1">
        <v>1</v>
      </c>
    </row>
    <row r="198" spans="2:32" x14ac:dyDescent="0.25">
      <c r="B198" s="1" t="s">
        <v>29</v>
      </c>
      <c r="C198" s="1" t="s">
        <v>70</v>
      </c>
      <c r="D198" s="1"/>
      <c r="E198" s="1"/>
      <c r="F198" s="1">
        <v>107.78145000000001</v>
      </c>
      <c r="G198" s="1">
        <v>99.833423999999994</v>
      </c>
      <c r="H198" s="1">
        <v>103.98243200000002</v>
      </c>
      <c r="I198" s="1">
        <v>101.44997000000001</v>
      </c>
      <c r="J198" s="1">
        <v>1</v>
      </c>
      <c r="L198" s="1" t="s">
        <v>29</v>
      </c>
      <c r="M198" s="1" t="s">
        <v>70</v>
      </c>
      <c r="N198" s="1" t="s">
        <v>2</v>
      </c>
      <c r="O198" s="1" t="s">
        <v>40</v>
      </c>
      <c r="P198" s="1">
        <f t="shared" si="72"/>
        <v>105.625821</v>
      </c>
      <c r="Q198" s="1">
        <f t="shared" si="61"/>
        <v>97.836755519999997</v>
      </c>
      <c r="R198" s="1">
        <f t="shared" si="62"/>
        <v>101.90278336000002</v>
      </c>
      <c r="S198" s="1">
        <f t="shared" si="63"/>
        <v>99.420970600000004</v>
      </c>
      <c r="T198" s="33">
        <v>0</v>
      </c>
      <c r="U198" s="1">
        <v>1</v>
      </c>
      <c r="W198" s="1" t="s">
        <v>29</v>
      </c>
      <c r="X198" s="1" t="s">
        <v>70</v>
      </c>
      <c r="Y198" s="1" t="s">
        <v>2</v>
      </c>
      <c r="Z198" s="1" t="s">
        <v>39</v>
      </c>
      <c r="AA198" s="1">
        <f t="shared" si="68"/>
        <v>109.93707900000001</v>
      </c>
      <c r="AB198" s="1">
        <f t="shared" si="69"/>
        <v>101.83009247999999</v>
      </c>
      <c r="AC198" s="1">
        <f t="shared" si="70"/>
        <v>106.06208064000002</v>
      </c>
      <c r="AD198" s="1">
        <f t="shared" si="71"/>
        <v>103.47896940000001</v>
      </c>
      <c r="AE198" s="28">
        <f>MAX($I$30,$I$58,$I$86,$I$114,$I$142,$I$170,$I$198,$I$226,$I$254,$I$282,$I$310)</f>
        <v>101.44997000000001</v>
      </c>
      <c r="AF198" s="1">
        <v>1</v>
      </c>
    </row>
    <row r="199" spans="2:32" x14ac:dyDescent="0.25">
      <c r="B199" s="1" t="s">
        <v>30</v>
      </c>
      <c r="C199" s="1" t="s">
        <v>70</v>
      </c>
      <c r="D199" s="1"/>
      <c r="E199" s="1"/>
      <c r="F199" s="1">
        <v>130.69603499999999</v>
      </c>
      <c r="G199" s="1">
        <v>84.794731000000013</v>
      </c>
      <c r="H199" s="28">
        <v>77.61435505234563</v>
      </c>
      <c r="I199" s="1">
        <v>64.513026698380699</v>
      </c>
      <c r="J199" s="1">
        <v>1</v>
      </c>
      <c r="L199" s="1" t="s">
        <v>30</v>
      </c>
      <c r="M199" s="1" t="s">
        <v>70</v>
      </c>
      <c r="N199" s="1" t="s">
        <v>2</v>
      </c>
      <c r="O199" s="1" t="s">
        <v>40</v>
      </c>
      <c r="P199" s="1">
        <f t="shared" si="72"/>
        <v>128.0821143</v>
      </c>
      <c r="Q199" s="1">
        <f t="shared" si="61"/>
        <v>83.098836380000009</v>
      </c>
      <c r="R199" s="1">
        <f t="shared" si="62"/>
        <v>76.062067951298715</v>
      </c>
      <c r="S199" s="1">
        <f t="shared" si="63"/>
        <v>63.222766164413081</v>
      </c>
      <c r="T199" s="33">
        <v>0</v>
      </c>
      <c r="U199" s="1">
        <v>1</v>
      </c>
      <c r="W199" s="1" t="s">
        <v>30</v>
      </c>
      <c r="X199" s="1" t="s">
        <v>70</v>
      </c>
      <c r="Y199" s="1" t="s">
        <v>2</v>
      </c>
      <c r="Z199" s="1" t="s">
        <v>39</v>
      </c>
      <c r="AA199" s="1">
        <f t="shared" si="68"/>
        <v>133.30995569999999</v>
      </c>
      <c r="AB199" s="1">
        <f t="shared" si="69"/>
        <v>86.490625620000017</v>
      </c>
      <c r="AC199" s="1">
        <f t="shared" si="70"/>
        <v>79.166642153392544</v>
      </c>
      <c r="AD199" s="1">
        <f t="shared" si="71"/>
        <v>65.80328723234831</v>
      </c>
      <c r="AE199" s="28">
        <f>MAX($I$31,$I$59,$I$87,$I$115,$I$143,$I$171,$I$199,$I$227,$I$255,$I$283,$I$311)</f>
        <v>814.1906987082092</v>
      </c>
      <c r="AF199" s="1">
        <v>1</v>
      </c>
    </row>
    <row r="200" spans="2:32" x14ac:dyDescent="0.25">
      <c r="B200" s="1" t="s">
        <v>0</v>
      </c>
      <c r="C200" s="1" t="s">
        <v>71</v>
      </c>
      <c r="D200" s="1"/>
      <c r="E200" s="1"/>
      <c r="F200" s="1">
        <f>AVERAGE(H200:I200)</f>
        <v>41.65164</v>
      </c>
      <c r="G200" s="1">
        <f>AVERAGE(H200:I200)</f>
        <v>41.65164</v>
      </c>
      <c r="H200" s="1">
        <v>45.249479999999998</v>
      </c>
      <c r="I200" s="1">
        <v>38.05380000000001</v>
      </c>
      <c r="J200" s="1">
        <v>1</v>
      </c>
      <c r="L200" s="1" t="s">
        <v>0</v>
      </c>
      <c r="M200" s="1" t="s">
        <v>71</v>
      </c>
      <c r="N200" s="1" t="s">
        <v>2</v>
      </c>
      <c r="O200" s="1" t="s">
        <v>40</v>
      </c>
      <c r="P200" s="1">
        <f t="shared" si="72"/>
        <v>40.818607200000002</v>
      </c>
      <c r="Q200" s="1">
        <f t="shared" si="61"/>
        <v>40.818607200000002</v>
      </c>
      <c r="R200" s="1">
        <f t="shared" si="62"/>
        <v>44.344490399999998</v>
      </c>
      <c r="S200" s="1">
        <f t="shared" si="63"/>
        <v>37.292724000000007</v>
      </c>
      <c r="T200" s="33">
        <v>0</v>
      </c>
      <c r="U200" s="1">
        <v>1</v>
      </c>
      <c r="W200" s="1" t="s">
        <v>0</v>
      </c>
      <c r="X200" s="1" t="s">
        <v>71</v>
      </c>
      <c r="Y200" s="1" t="s">
        <v>2</v>
      </c>
      <c r="Z200" s="1" t="s">
        <v>39</v>
      </c>
      <c r="AA200" s="1">
        <f t="shared" si="68"/>
        <v>42.484672799999998</v>
      </c>
      <c r="AB200" s="1">
        <f t="shared" si="69"/>
        <v>42.484672799999998</v>
      </c>
      <c r="AC200" s="1">
        <f t="shared" si="70"/>
        <v>46.154469599999999</v>
      </c>
      <c r="AD200" s="1">
        <f t="shared" si="71"/>
        <v>38.814876000000012</v>
      </c>
      <c r="AE200" s="28">
        <f>MAX($I$4,$I$32,$I$60,$I$88,$I$116,$I$144,$I$172,$I$200,$I$228,$I$256,$I$284)</f>
        <v>119.69903699999999</v>
      </c>
      <c r="AF200" s="1">
        <v>1</v>
      </c>
    </row>
    <row r="201" spans="2:32" x14ac:dyDescent="0.25">
      <c r="B201" s="1" t="s">
        <v>3</v>
      </c>
      <c r="C201" s="1" t="s">
        <v>71</v>
      </c>
      <c r="D201" s="1"/>
      <c r="E201" s="1"/>
      <c r="F201" s="1">
        <v>24.812700999999997</v>
      </c>
      <c r="G201" s="1">
        <v>24.112217000000005</v>
      </c>
      <c r="H201" s="1">
        <v>25.725542000000001</v>
      </c>
      <c r="I201" s="1">
        <v>27.890193999999994</v>
      </c>
      <c r="J201" s="1">
        <v>1</v>
      </c>
      <c r="L201" s="1" t="s">
        <v>3</v>
      </c>
      <c r="M201" s="1" t="s">
        <v>71</v>
      </c>
      <c r="N201" s="1" t="s">
        <v>2</v>
      </c>
      <c r="O201" s="1" t="s">
        <v>40</v>
      </c>
      <c r="P201" s="1">
        <f>IF(ISBLANK(F201),":",0.98*F201)</f>
        <v>24.316446979999995</v>
      </c>
      <c r="Q201" s="1">
        <f t="shared" si="61"/>
        <v>23.629972660000004</v>
      </c>
      <c r="R201" s="1">
        <f t="shared" si="62"/>
        <v>25.211031160000001</v>
      </c>
      <c r="S201" s="1">
        <f t="shared" si="63"/>
        <v>27.332390119999992</v>
      </c>
      <c r="T201" s="33">
        <v>0</v>
      </c>
      <c r="U201" s="1">
        <v>1</v>
      </c>
      <c r="W201" s="1" t="s">
        <v>3</v>
      </c>
      <c r="X201" s="1" t="s">
        <v>71</v>
      </c>
      <c r="Y201" s="1" t="s">
        <v>2</v>
      </c>
      <c r="Z201" s="1" t="s">
        <v>39</v>
      </c>
      <c r="AA201" s="1">
        <f t="shared" si="68"/>
        <v>25.308955019999999</v>
      </c>
      <c r="AB201" s="1">
        <f t="shared" si="69"/>
        <v>24.594461340000006</v>
      </c>
      <c r="AC201" s="1">
        <f t="shared" si="70"/>
        <v>26.240052840000001</v>
      </c>
      <c r="AD201" s="1">
        <f t="shared" si="71"/>
        <v>28.447997879999996</v>
      </c>
      <c r="AE201" s="28">
        <f>MAX($I$5,$I$33,$I$61,$I$89,$I$117,$I$145,$I$173,$I$201,$I$229,$I$257,$I$285)</f>
        <v>27.890193999999994</v>
      </c>
      <c r="AF201" s="1">
        <v>1</v>
      </c>
    </row>
    <row r="202" spans="2:32" x14ac:dyDescent="0.25">
      <c r="B202" s="1" t="s">
        <v>4</v>
      </c>
      <c r="C202" s="1" t="s">
        <v>71</v>
      </c>
      <c r="D202" s="1"/>
      <c r="E202" s="1"/>
      <c r="F202" s="1">
        <f>AVERAGE(H202:I202)</f>
        <v>34.711314000000002</v>
      </c>
      <c r="G202" s="1">
        <v>33.638399999999997</v>
      </c>
      <c r="H202" s="1">
        <v>34.7273</v>
      </c>
      <c r="I202" s="1">
        <v>34.695328000000003</v>
      </c>
      <c r="J202" s="1">
        <v>1</v>
      </c>
      <c r="L202" s="1" t="s">
        <v>4</v>
      </c>
      <c r="M202" s="1" t="s">
        <v>71</v>
      </c>
      <c r="N202" s="1" t="s">
        <v>2</v>
      </c>
      <c r="O202" s="1" t="s">
        <v>40</v>
      </c>
      <c r="P202" s="1">
        <f>IF(ISBLANK(F202),":",0.98*F202)</f>
        <v>34.017087719999999</v>
      </c>
      <c r="Q202" s="1">
        <f t="shared" si="61"/>
        <v>32.965631999999999</v>
      </c>
      <c r="R202" s="1">
        <f t="shared" si="62"/>
        <v>34.032753999999997</v>
      </c>
      <c r="S202" s="1">
        <f t="shared" si="63"/>
        <v>34.001421440000001</v>
      </c>
      <c r="T202" s="33">
        <v>0</v>
      </c>
      <c r="U202" s="1">
        <v>1</v>
      </c>
      <c r="W202" s="1" t="s">
        <v>4</v>
      </c>
      <c r="X202" s="1" t="s">
        <v>71</v>
      </c>
      <c r="Y202" s="1" t="s">
        <v>2</v>
      </c>
      <c r="Z202" s="1" t="s">
        <v>39</v>
      </c>
      <c r="AA202" s="1">
        <f t="shared" si="68"/>
        <v>35.405540280000004</v>
      </c>
      <c r="AB202" s="1">
        <f t="shared" si="69"/>
        <v>34.311167999999995</v>
      </c>
      <c r="AC202" s="1">
        <f t="shared" si="70"/>
        <v>35.421846000000002</v>
      </c>
      <c r="AD202" s="1">
        <f t="shared" si="71"/>
        <v>35.389234560000006</v>
      </c>
      <c r="AE202" s="28">
        <f>MAX($I$6,$I$34,$I$62,$I$90,$I$118,$I$146,$I$174,$I$202,$I$230,$I$258,$I$286)</f>
        <v>80.496740000000003</v>
      </c>
      <c r="AF202" s="1">
        <v>1</v>
      </c>
    </row>
    <row r="203" spans="2:32" x14ac:dyDescent="0.25">
      <c r="B203" s="1" t="s">
        <v>5</v>
      </c>
      <c r="C203" s="1" t="s">
        <v>71</v>
      </c>
      <c r="D203" s="1"/>
      <c r="E203" s="1"/>
      <c r="F203" s="1">
        <f>AVERAGE(H203:I203)</f>
        <v>30.777616000000005</v>
      </c>
      <c r="G203" s="1">
        <v>31.166002999999996</v>
      </c>
      <c r="H203" s="1">
        <v>31.638098000000006</v>
      </c>
      <c r="I203" s="1">
        <v>29.917134000000004</v>
      </c>
      <c r="J203" s="1">
        <v>1</v>
      </c>
      <c r="L203" s="1" t="s">
        <v>5</v>
      </c>
      <c r="M203" s="1" t="s">
        <v>71</v>
      </c>
      <c r="N203" s="1" t="s">
        <v>2</v>
      </c>
      <c r="O203" s="1" t="s">
        <v>40</v>
      </c>
      <c r="P203" s="1">
        <f t="shared" ref="P203:P205" si="73">IF(ISBLANK(F203),":",0.98*F203)</f>
        <v>30.162063680000006</v>
      </c>
      <c r="Q203" s="1">
        <f t="shared" si="61"/>
        <v>30.542682939999995</v>
      </c>
      <c r="R203" s="1">
        <f t="shared" si="62"/>
        <v>31.005336040000007</v>
      </c>
      <c r="S203" s="1">
        <f t="shared" si="63"/>
        <v>29.318791320000003</v>
      </c>
      <c r="T203" s="33">
        <v>0</v>
      </c>
      <c r="U203" s="1">
        <v>1</v>
      </c>
      <c r="W203" s="1" t="s">
        <v>5</v>
      </c>
      <c r="X203" s="1" t="s">
        <v>71</v>
      </c>
      <c r="Y203" s="1" t="s">
        <v>2</v>
      </c>
      <c r="Z203" s="1" t="s">
        <v>39</v>
      </c>
      <c r="AA203" s="1">
        <f t="shared" si="68"/>
        <v>31.393168320000004</v>
      </c>
      <c r="AB203" s="1">
        <f t="shared" si="69"/>
        <v>31.789323059999997</v>
      </c>
      <c r="AC203" s="1">
        <f t="shared" si="70"/>
        <v>32.27085996000001</v>
      </c>
      <c r="AD203" s="1">
        <f t="shared" si="71"/>
        <v>30.515476680000006</v>
      </c>
      <c r="AE203" s="28">
        <f>MAX($I$7,$I$35,$I$63,$I$91,$I$119,$I$147,$I$175,$I$203,$I$231,$I$259,$I$287)</f>
        <v>69.570329999999998</v>
      </c>
      <c r="AF203" s="1">
        <v>1</v>
      </c>
    </row>
    <row r="204" spans="2:32" x14ac:dyDescent="0.25">
      <c r="B204" s="1" t="s">
        <v>6</v>
      </c>
      <c r="C204" s="1" t="s">
        <v>71</v>
      </c>
      <c r="D204" s="1"/>
      <c r="E204" s="1"/>
      <c r="F204" s="1">
        <v>394.090756</v>
      </c>
      <c r="G204" s="1">
        <v>372.39645100000001</v>
      </c>
      <c r="H204" s="1">
        <v>374.91118399999993</v>
      </c>
      <c r="I204" s="1">
        <v>372.58643899999998</v>
      </c>
      <c r="J204" s="1">
        <v>1</v>
      </c>
      <c r="L204" s="1" t="s">
        <v>6</v>
      </c>
      <c r="M204" s="1" t="s">
        <v>71</v>
      </c>
      <c r="N204" s="1" t="s">
        <v>2</v>
      </c>
      <c r="O204" s="1" t="s">
        <v>40</v>
      </c>
      <c r="P204" s="1">
        <f t="shared" si="73"/>
        <v>386.20894088</v>
      </c>
      <c r="Q204" s="1">
        <f t="shared" si="61"/>
        <v>364.94852198000001</v>
      </c>
      <c r="R204" s="1">
        <f t="shared" si="62"/>
        <v>367.41296031999991</v>
      </c>
      <c r="S204" s="1">
        <f t="shared" si="63"/>
        <v>365.13471021999999</v>
      </c>
      <c r="T204" s="33">
        <v>0</v>
      </c>
      <c r="U204" s="1">
        <v>1</v>
      </c>
      <c r="W204" s="1" t="s">
        <v>6</v>
      </c>
      <c r="X204" s="1" t="s">
        <v>71</v>
      </c>
      <c r="Y204" s="1" t="s">
        <v>2</v>
      </c>
      <c r="Z204" s="1" t="s">
        <v>39</v>
      </c>
      <c r="AA204" s="1">
        <f t="shared" si="68"/>
        <v>401.97257112</v>
      </c>
      <c r="AB204" s="1">
        <f t="shared" si="69"/>
        <v>379.84438002000002</v>
      </c>
      <c r="AC204" s="1">
        <f t="shared" si="70"/>
        <v>382.40940767999996</v>
      </c>
      <c r="AD204" s="1">
        <f t="shared" si="71"/>
        <v>380.03816777999998</v>
      </c>
      <c r="AE204" s="28">
        <f>MAX($I$8,$I$36,$I$64,$I$92,$I$120,$I$148,$I$176,$I$204,$I$232,$I$260,$I$288)</f>
        <v>836.17112299999997</v>
      </c>
      <c r="AF204" s="1">
        <v>1</v>
      </c>
    </row>
    <row r="205" spans="2:32" x14ac:dyDescent="0.25">
      <c r="B205" s="1" t="s">
        <v>7</v>
      </c>
      <c r="C205" s="1" t="s">
        <v>71</v>
      </c>
      <c r="D205" s="1"/>
      <c r="E205" s="1"/>
      <c r="F205" s="1">
        <v>5.4337460000000011</v>
      </c>
      <c r="G205" s="1">
        <v>4.6413789999999997</v>
      </c>
      <c r="H205" s="1">
        <v>5.3658289999999997</v>
      </c>
      <c r="I205" s="1">
        <v>5.8104009999999997</v>
      </c>
      <c r="J205" s="1">
        <v>1</v>
      </c>
      <c r="L205" s="1" t="s">
        <v>7</v>
      </c>
      <c r="M205" s="1" t="s">
        <v>71</v>
      </c>
      <c r="N205" s="1" t="s">
        <v>2</v>
      </c>
      <c r="O205" s="1" t="s">
        <v>40</v>
      </c>
      <c r="P205" s="1">
        <f t="shared" si="73"/>
        <v>5.3250710800000007</v>
      </c>
      <c r="Q205" s="1">
        <f t="shared" si="61"/>
        <v>4.5485514199999999</v>
      </c>
      <c r="R205" s="1">
        <f t="shared" si="62"/>
        <v>5.2585124199999997</v>
      </c>
      <c r="S205" s="1">
        <f t="shared" si="63"/>
        <v>5.6941929799999995</v>
      </c>
      <c r="T205" s="33">
        <v>0</v>
      </c>
      <c r="U205" s="1">
        <v>1</v>
      </c>
      <c r="W205" s="1" t="s">
        <v>7</v>
      </c>
      <c r="X205" s="1" t="s">
        <v>71</v>
      </c>
      <c r="Y205" s="1" t="s">
        <v>2</v>
      </c>
      <c r="Z205" s="1" t="s">
        <v>39</v>
      </c>
      <c r="AA205" s="1">
        <f t="shared" si="68"/>
        <v>5.5424209200000014</v>
      </c>
      <c r="AB205" s="1">
        <f t="shared" si="69"/>
        <v>4.7342065799999995</v>
      </c>
      <c r="AC205" s="1">
        <f t="shared" si="70"/>
        <v>5.4731455799999997</v>
      </c>
      <c r="AD205" s="1">
        <f t="shared" si="71"/>
        <v>5.9266090199999999</v>
      </c>
      <c r="AE205" s="28">
        <f>MAX($I$9,$I$37,$I$65,$I$93,$I$121,$I$149,$I$177,$I$205,$I$233,$I$261,$I$289)</f>
        <v>15.457636000000001</v>
      </c>
      <c r="AF205" s="1">
        <v>1</v>
      </c>
    </row>
    <row r="206" spans="2:32" x14ac:dyDescent="0.25">
      <c r="B206" s="1" t="s">
        <v>8</v>
      </c>
      <c r="C206" s="1" t="s">
        <v>71</v>
      </c>
      <c r="D206" s="1"/>
      <c r="E206" s="1"/>
      <c r="F206" s="1">
        <f>AVERAGE(G206:I206)</f>
        <v>23.376607000000003</v>
      </c>
      <c r="G206" s="1">
        <v>22.250527000000002</v>
      </c>
      <c r="H206" s="1">
        <v>24.657644999999999</v>
      </c>
      <c r="I206" s="1">
        <v>23.221649000000003</v>
      </c>
      <c r="J206" s="1">
        <v>1</v>
      </c>
      <c r="L206" s="1" t="s">
        <v>8</v>
      </c>
      <c r="M206" s="1" t="s">
        <v>71</v>
      </c>
      <c r="N206" s="1" t="s">
        <v>2</v>
      </c>
      <c r="O206" s="1" t="s">
        <v>40</v>
      </c>
      <c r="P206" s="1">
        <f t="shared" ref="P206:P236" si="74">IF(ISBLANK(F206),":",0.98*F206)</f>
        <v>22.909074860000004</v>
      </c>
      <c r="Q206" s="1">
        <f t="shared" ref="Q206:Q236" si="75">IF(ISBLANK(G206),":",0.98*G206)</f>
        <v>21.80551646</v>
      </c>
      <c r="R206" s="1">
        <f t="shared" ref="R206:R236" si="76">IF(ISBLANK(H206),":",0.98*H206)</f>
        <v>24.164492099999997</v>
      </c>
      <c r="S206" s="1">
        <f t="shared" ref="S206:S236" si="77">IF(ISBLANK(I206),":",0.98*I206)</f>
        <v>22.757216020000001</v>
      </c>
      <c r="T206" s="33">
        <v>0</v>
      </c>
      <c r="U206" s="1">
        <v>1</v>
      </c>
      <c r="W206" s="1" t="s">
        <v>8</v>
      </c>
      <c r="X206" s="1" t="s">
        <v>71</v>
      </c>
      <c r="Y206" s="1" t="s">
        <v>2</v>
      </c>
      <c r="Z206" s="1" t="s">
        <v>39</v>
      </c>
      <c r="AA206" s="1">
        <f t="shared" si="68"/>
        <v>23.844139140000003</v>
      </c>
      <c r="AB206" s="1">
        <f t="shared" si="69"/>
        <v>22.695537540000004</v>
      </c>
      <c r="AC206" s="1">
        <f t="shared" si="70"/>
        <v>25.150797900000001</v>
      </c>
      <c r="AD206" s="1">
        <f t="shared" si="71"/>
        <v>23.686081980000004</v>
      </c>
      <c r="AE206" s="28">
        <f>MAX(I$10,I$38,I$66,I$94,I$122,I$150,I$178,I$206,I$234,I$262,I$290)</f>
        <v>42.352189999999993</v>
      </c>
      <c r="AF206" s="1">
        <v>1</v>
      </c>
    </row>
    <row r="207" spans="2:32" x14ac:dyDescent="0.25">
      <c r="B207" s="1" t="s">
        <v>9</v>
      </c>
      <c r="C207" s="1" t="s">
        <v>71</v>
      </c>
      <c r="D207" s="1"/>
      <c r="E207" s="1"/>
      <c r="F207" s="1">
        <f>AVERAGE(G207:I207)</f>
        <v>39.463935666666664</v>
      </c>
      <c r="G207" s="1">
        <v>39.649680000000004</v>
      </c>
      <c r="H207" s="1">
        <v>41.106560999999999</v>
      </c>
      <c r="I207" s="1">
        <v>37.635565999999997</v>
      </c>
      <c r="J207" s="1">
        <v>1</v>
      </c>
      <c r="L207" s="1" t="s">
        <v>9</v>
      </c>
      <c r="M207" s="1" t="s">
        <v>71</v>
      </c>
      <c r="N207" s="1" t="s">
        <v>2</v>
      </c>
      <c r="O207" s="1" t="s">
        <v>40</v>
      </c>
      <c r="P207" s="1">
        <f t="shared" si="74"/>
        <v>38.674656953333333</v>
      </c>
      <c r="Q207" s="1">
        <f t="shared" si="75"/>
        <v>38.856686400000001</v>
      </c>
      <c r="R207" s="1">
        <f t="shared" si="76"/>
        <v>40.284429779999996</v>
      </c>
      <c r="S207" s="1">
        <f t="shared" si="77"/>
        <v>36.882854679999994</v>
      </c>
      <c r="T207" s="33">
        <v>0</v>
      </c>
      <c r="U207" s="1">
        <v>1</v>
      </c>
      <c r="W207" s="1" t="s">
        <v>9</v>
      </c>
      <c r="X207" s="1" t="s">
        <v>71</v>
      </c>
      <c r="Y207" s="1" t="s">
        <v>2</v>
      </c>
      <c r="Z207" s="1" t="s">
        <v>39</v>
      </c>
      <c r="AA207" s="1">
        <f t="shared" si="68"/>
        <v>40.253214379999996</v>
      </c>
      <c r="AB207" s="1">
        <f t="shared" si="69"/>
        <v>40.442673600000006</v>
      </c>
      <c r="AC207" s="1">
        <f t="shared" si="70"/>
        <v>41.928692220000002</v>
      </c>
      <c r="AD207" s="1">
        <f t="shared" si="71"/>
        <v>38.38827732</v>
      </c>
      <c r="AE207" s="28">
        <f>MAX($I$11,$I$39,$I$67,$I$95,$I$123,$I$151,$I$179,$I$207,$I$235,$I$263,$I$291)</f>
        <v>37.635565999999997</v>
      </c>
      <c r="AF207" s="1">
        <v>1</v>
      </c>
    </row>
    <row r="208" spans="2:32" x14ac:dyDescent="0.25">
      <c r="B208" s="1" t="s">
        <v>10</v>
      </c>
      <c r="C208" s="1" t="s">
        <v>71</v>
      </c>
      <c r="D208" s="1"/>
      <c r="E208" s="1"/>
      <c r="F208" s="1">
        <v>225.670649</v>
      </c>
      <c r="G208" s="1">
        <v>208.941935</v>
      </c>
      <c r="H208" s="1">
        <v>218.34997199999995</v>
      </c>
      <c r="I208" s="1">
        <v>218.13407800000004</v>
      </c>
      <c r="J208" s="1">
        <v>1</v>
      </c>
      <c r="L208" s="1" t="s">
        <v>10</v>
      </c>
      <c r="M208" s="1" t="s">
        <v>71</v>
      </c>
      <c r="N208" s="1" t="s">
        <v>2</v>
      </c>
      <c r="O208" s="1" t="s">
        <v>40</v>
      </c>
      <c r="P208" s="1">
        <f t="shared" si="74"/>
        <v>221.15723602</v>
      </c>
      <c r="Q208" s="1">
        <f t="shared" si="75"/>
        <v>204.7630963</v>
      </c>
      <c r="R208" s="1">
        <f t="shared" si="76"/>
        <v>213.98297255999995</v>
      </c>
      <c r="S208" s="1">
        <f t="shared" si="77"/>
        <v>213.77139644000005</v>
      </c>
      <c r="T208" s="33">
        <v>0</v>
      </c>
      <c r="U208" s="1">
        <v>1</v>
      </c>
      <c r="W208" s="1" t="s">
        <v>10</v>
      </c>
      <c r="X208" s="1" t="s">
        <v>71</v>
      </c>
      <c r="Y208" s="1" t="s">
        <v>2</v>
      </c>
      <c r="Z208" s="1" t="s">
        <v>39</v>
      </c>
      <c r="AA208" s="1">
        <f t="shared" si="68"/>
        <v>230.18406198</v>
      </c>
      <c r="AB208" s="1">
        <f t="shared" si="69"/>
        <v>213.1207737</v>
      </c>
      <c r="AC208" s="1">
        <f t="shared" si="70"/>
        <v>222.71697143999995</v>
      </c>
      <c r="AD208" s="1">
        <f t="shared" si="71"/>
        <v>222.49675956000004</v>
      </c>
      <c r="AE208" s="28">
        <f>MAX($I$12,$I$40,$I$68,$I$96,$I$124,$I$152,$I$180,$I$208,$I$236,$I$264,$I$292)</f>
        <v>218.13407800000004</v>
      </c>
      <c r="AF208" s="1">
        <v>1</v>
      </c>
    </row>
    <row r="209" spans="2:32" x14ac:dyDescent="0.25">
      <c r="B209" s="1" t="s">
        <v>11</v>
      </c>
      <c r="C209" s="1" t="s">
        <v>71</v>
      </c>
      <c r="D209" s="1"/>
      <c r="E209" s="1"/>
      <c r="F209" s="1">
        <v>281.07317599999999</v>
      </c>
      <c r="G209" s="1">
        <v>300.15554199999997</v>
      </c>
      <c r="H209" s="1">
        <v>323.43548100000004</v>
      </c>
      <c r="I209" s="1">
        <v>314.32936799999993</v>
      </c>
      <c r="J209" s="1">
        <v>1</v>
      </c>
      <c r="L209" s="1" t="s">
        <v>11</v>
      </c>
      <c r="M209" s="1" t="s">
        <v>71</v>
      </c>
      <c r="N209" s="1" t="s">
        <v>2</v>
      </c>
      <c r="O209" s="1" t="s">
        <v>40</v>
      </c>
      <c r="P209" s="1">
        <f t="shared" si="74"/>
        <v>275.45171247999997</v>
      </c>
      <c r="Q209" s="1">
        <f t="shared" si="75"/>
        <v>294.15243115999999</v>
      </c>
      <c r="R209" s="1">
        <f t="shared" si="76"/>
        <v>316.96677138000001</v>
      </c>
      <c r="S209" s="1">
        <f t="shared" si="77"/>
        <v>308.04278063999993</v>
      </c>
      <c r="T209" s="33">
        <v>0</v>
      </c>
      <c r="U209" s="1">
        <v>1</v>
      </c>
      <c r="W209" s="1" t="s">
        <v>11</v>
      </c>
      <c r="X209" s="1" t="s">
        <v>71</v>
      </c>
      <c r="Y209" s="1" t="s">
        <v>2</v>
      </c>
      <c r="Z209" s="1" t="s">
        <v>39</v>
      </c>
      <c r="AA209" s="1">
        <f t="shared" si="68"/>
        <v>286.69463952000001</v>
      </c>
      <c r="AB209" s="1">
        <f t="shared" si="69"/>
        <v>306.15865283999995</v>
      </c>
      <c r="AC209" s="1">
        <f t="shared" si="70"/>
        <v>329.90419062000007</v>
      </c>
      <c r="AD209" s="1">
        <f t="shared" si="71"/>
        <v>320.61595535999993</v>
      </c>
      <c r="AE209" s="28">
        <f>MAX($I$13,$I$41,$I$69,$I$97,$I$125,$I$153,$I$181,$I$209,$I$237,$I$265,$I$293)</f>
        <v>364.78012100000001</v>
      </c>
      <c r="AF209" s="1">
        <v>1</v>
      </c>
    </row>
    <row r="210" spans="2:32" x14ac:dyDescent="0.25">
      <c r="B210" s="1" t="s">
        <v>12</v>
      </c>
      <c r="C210" s="1" t="s">
        <v>71</v>
      </c>
      <c r="D210" s="1"/>
      <c r="E210" s="1"/>
      <c r="F210" s="1">
        <v>16.507237000000003</v>
      </c>
      <c r="G210" s="1">
        <v>14.985836000000001</v>
      </c>
      <c r="H210" s="1">
        <v>14.682373999999999</v>
      </c>
      <c r="I210" s="1">
        <v>15.51384</v>
      </c>
      <c r="J210" s="1">
        <v>1</v>
      </c>
      <c r="L210" s="1" t="s">
        <v>12</v>
      </c>
      <c r="M210" s="1" t="s">
        <v>71</v>
      </c>
      <c r="N210" s="1" t="s">
        <v>2</v>
      </c>
      <c r="O210" s="1" t="s">
        <v>40</v>
      </c>
      <c r="P210" s="1">
        <f t="shared" si="74"/>
        <v>16.177092260000002</v>
      </c>
      <c r="Q210" s="1">
        <f t="shared" si="75"/>
        <v>14.68611928</v>
      </c>
      <c r="R210" s="1">
        <f t="shared" si="76"/>
        <v>14.388726519999999</v>
      </c>
      <c r="S210" s="1">
        <f t="shared" si="77"/>
        <v>15.2035632</v>
      </c>
      <c r="T210" s="33">
        <v>0</v>
      </c>
      <c r="U210" s="1">
        <v>1</v>
      </c>
      <c r="W210" s="1" t="s">
        <v>12</v>
      </c>
      <c r="X210" s="1" t="s">
        <v>71</v>
      </c>
      <c r="Y210" s="1" t="s">
        <v>2</v>
      </c>
      <c r="Z210" s="1" t="s">
        <v>39</v>
      </c>
      <c r="AA210" s="1">
        <f t="shared" si="68"/>
        <v>16.837381740000005</v>
      </c>
      <c r="AB210" s="1">
        <f t="shared" si="69"/>
        <v>15.285552720000002</v>
      </c>
      <c r="AC210" s="1">
        <f t="shared" si="70"/>
        <v>14.97602148</v>
      </c>
      <c r="AD210" s="1">
        <f t="shared" si="71"/>
        <v>15.824116800000001</v>
      </c>
      <c r="AE210" s="28">
        <f>MAX($I$14,$I$42,$I$70,$I$98,$I$126,$I$154,$I$182,$I$210,$I$238,$I$266,$I$294)</f>
        <v>40.304569999999998</v>
      </c>
      <c r="AF210" s="1">
        <v>1</v>
      </c>
    </row>
    <row r="211" spans="2:32" x14ac:dyDescent="0.25">
      <c r="B211" s="1" t="s">
        <v>13</v>
      </c>
      <c r="C211" s="1" t="s">
        <v>71</v>
      </c>
      <c r="D211" s="1"/>
      <c r="E211" s="1"/>
      <c r="F211" s="1">
        <f>AVERAGE(G211:I211)</f>
        <v>191.27014166666666</v>
      </c>
      <c r="G211" s="1">
        <v>199.038139</v>
      </c>
      <c r="H211" s="1">
        <v>205.63564700000001</v>
      </c>
      <c r="I211" s="1">
        <v>169.136639</v>
      </c>
      <c r="J211" s="1">
        <v>1</v>
      </c>
      <c r="L211" s="1" t="s">
        <v>13</v>
      </c>
      <c r="M211" s="1" t="s">
        <v>71</v>
      </c>
      <c r="N211" s="1" t="s">
        <v>2</v>
      </c>
      <c r="O211" s="1" t="s">
        <v>40</v>
      </c>
      <c r="P211" s="1">
        <f t="shared" si="74"/>
        <v>187.44473883333333</v>
      </c>
      <c r="Q211" s="1">
        <f t="shared" si="75"/>
        <v>195.05737622000001</v>
      </c>
      <c r="R211" s="1">
        <f t="shared" si="76"/>
        <v>201.52293406000001</v>
      </c>
      <c r="S211" s="1">
        <f t="shared" si="77"/>
        <v>165.75390622</v>
      </c>
      <c r="T211" s="33">
        <v>0</v>
      </c>
      <c r="U211" s="1">
        <v>1</v>
      </c>
      <c r="W211" s="1" t="s">
        <v>13</v>
      </c>
      <c r="X211" s="1" t="s">
        <v>71</v>
      </c>
      <c r="Y211" s="1" t="s">
        <v>2</v>
      </c>
      <c r="Z211" s="1" t="s">
        <v>39</v>
      </c>
      <c r="AA211" s="1">
        <f t="shared" si="68"/>
        <v>195.09554449999999</v>
      </c>
      <c r="AB211" s="1">
        <f t="shared" si="69"/>
        <v>203.01890177999999</v>
      </c>
      <c r="AC211" s="1">
        <f t="shared" si="70"/>
        <v>209.74835994</v>
      </c>
      <c r="AD211" s="1">
        <f t="shared" si="71"/>
        <v>172.51937178</v>
      </c>
      <c r="AE211" s="28">
        <f>MAX($I$15,$I$43,$I$71,$I$99,$I$127,$I$155,$I$183,$I$211,$I$239,$I$267,$I$295)</f>
        <v>539.45073900000011</v>
      </c>
      <c r="AF211" s="1">
        <v>1</v>
      </c>
    </row>
    <row r="212" spans="2:32" x14ac:dyDescent="0.25">
      <c r="B212" s="1" t="s">
        <v>14</v>
      </c>
      <c r="C212" s="1" t="s">
        <v>71</v>
      </c>
      <c r="D212" s="1"/>
      <c r="E212" s="1"/>
      <c r="F212" s="1">
        <f>AVERAGE($H$212:$I$212)</f>
        <v>3.3728925000000003</v>
      </c>
      <c r="G212" s="1">
        <f>AVERAGE($H$212:$I$212)</f>
        <v>3.3728925000000003</v>
      </c>
      <c r="H212" s="1">
        <v>3.5755530000000002</v>
      </c>
      <c r="I212" s="1">
        <v>3.1702320000000004</v>
      </c>
      <c r="J212" s="1">
        <v>1</v>
      </c>
      <c r="L212" s="1" t="s">
        <v>14</v>
      </c>
      <c r="M212" s="1" t="s">
        <v>71</v>
      </c>
      <c r="N212" s="1" t="s">
        <v>2</v>
      </c>
      <c r="O212" s="1" t="s">
        <v>40</v>
      </c>
      <c r="P212" s="1">
        <f t="shared" si="74"/>
        <v>3.30543465</v>
      </c>
      <c r="Q212" s="1">
        <f t="shared" si="75"/>
        <v>3.30543465</v>
      </c>
      <c r="R212" s="1">
        <f t="shared" si="76"/>
        <v>3.50404194</v>
      </c>
      <c r="S212" s="1">
        <f t="shared" si="77"/>
        <v>3.1068273600000005</v>
      </c>
      <c r="T212" s="33">
        <v>0</v>
      </c>
      <c r="U212" s="1">
        <v>1</v>
      </c>
      <c r="W212" s="1" t="s">
        <v>14</v>
      </c>
      <c r="X212" s="1" t="s">
        <v>71</v>
      </c>
      <c r="Y212" s="1" t="s">
        <v>2</v>
      </c>
      <c r="Z212" s="1" t="s">
        <v>39</v>
      </c>
      <c r="AA212" s="1">
        <f t="shared" si="68"/>
        <v>3.4403503500000006</v>
      </c>
      <c r="AB212" s="1">
        <f t="shared" si="69"/>
        <v>3.4403503500000006</v>
      </c>
      <c r="AC212" s="1">
        <f t="shared" si="70"/>
        <v>3.6470640600000004</v>
      </c>
      <c r="AD212" s="1">
        <f t="shared" si="71"/>
        <v>3.2336366400000003</v>
      </c>
      <c r="AE212" s="28">
        <f>MAX($I$16,$I$44,$I$72,$I$100,$I$128,$I$156,$I$184,$I$212,$I$240,$I$268,$I$296)</f>
        <v>3.1702320000000004</v>
      </c>
      <c r="AF212" s="1">
        <v>1</v>
      </c>
    </row>
    <row r="213" spans="2:32" x14ac:dyDescent="0.25">
      <c r="B213" s="1" t="s">
        <v>15</v>
      </c>
      <c r="C213" s="1" t="s">
        <v>71</v>
      </c>
      <c r="D213" s="1"/>
      <c r="E213" s="1"/>
      <c r="F213" s="1">
        <v>5.3046279999999992</v>
      </c>
      <c r="G213" s="1">
        <v>4.8146760000000004</v>
      </c>
      <c r="H213" s="1">
        <v>4.7866749999999998</v>
      </c>
      <c r="I213" s="1">
        <v>4.5173190000000005</v>
      </c>
      <c r="J213" s="1">
        <v>1</v>
      </c>
      <c r="L213" s="1" t="s">
        <v>15</v>
      </c>
      <c r="M213" s="1" t="s">
        <v>71</v>
      </c>
      <c r="N213" s="1" t="s">
        <v>2</v>
      </c>
      <c r="O213" s="1" t="s">
        <v>40</v>
      </c>
      <c r="P213" s="1">
        <f t="shared" si="74"/>
        <v>5.1985354399999988</v>
      </c>
      <c r="Q213" s="1">
        <f t="shared" si="75"/>
        <v>4.7183824800000007</v>
      </c>
      <c r="R213" s="1">
        <f t="shared" si="76"/>
        <v>4.6909415000000001</v>
      </c>
      <c r="S213" s="1">
        <f t="shared" si="77"/>
        <v>4.4269726200000008</v>
      </c>
      <c r="T213" s="33">
        <v>0</v>
      </c>
      <c r="U213" s="1">
        <v>1</v>
      </c>
      <c r="W213" s="1" t="s">
        <v>15</v>
      </c>
      <c r="X213" s="1" t="s">
        <v>71</v>
      </c>
      <c r="Y213" s="1" t="s">
        <v>2</v>
      </c>
      <c r="Z213" s="1" t="s">
        <v>39</v>
      </c>
      <c r="AA213" s="1">
        <f t="shared" si="68"/>
        <v>5.4107205599999997</v>
      </c>
      <c r="AB213" s="1">
        <f t="shared" si="69"/>
        <v>4.9109695200000001</v>
      </c>
      <c r="AC213" s="1">
        <f t="shared" si="70"/>
        <v>4.8824084999999995</v>
      </c>
      <c r="AD213" s="1">
        <f t="shared" si="71"/>
        <v>4.6076653800000003</v>
      </c>
      <c r="AE213" s="28">
        <f>MAX($I$17,$I$45,$I$73,$I$101,$I$129,$I$157,$I$185,$I$213,$I$241,$I$269,$I$297)</f>
        <v>18.231687999999998</v>
      </c>
      <c r="AF213" s="1">
        <v>1</v>
      </c>
    </row>
    <row r="214" spans="2:32" x14ac:dyDescent="0.25">
      <c r="B214" s="1" t="s">
        <v>16</v>
      </c>
      <c r="C214" s="1" t="s">
        <v>71</v>
      </c>
      <c r="D214" s="1"/>
      <c r="E214" s="1"/>
      <c r="F214" s="1">
        <f>AVERAGE($H$214:$I$214)</f>
        <v>9.6112800000000007</v>
      </c>
      <c r="G214" s="1">
        <f>AVERAGE($H$214:$I$214)</f>
        <v>9.6112800000000007</v>
      </c>
      <c r="H214" s="1">
        <v>9.8413199999999996</v>
      </c>
      <c r="I214" s="1">
        <v>9.38124</v>
      </c>
      <c r="J214" s="1">
        <v>1</v>
      </c>
      <c r="K214" s="19"/>
      <c r="L214" s="1" t="s">
        <v>16</v>
      </c>
      <c r="M214" s="1" t="s">
        <v>71</v>
      </c>
      <c r="N214" s="1" t="s">
        <v>2</v>
      </c>
      <c r="O214" s="1" t="s">
        <v>40</v>
      </c>
      <c r="P214" s="1">
        <f t="shared" si="74"/>
        <v>9.4190544000000003</v>
      </c>
      <c r="Q214" s="1">
        <f t="shared" si="75"/>
        <v>9.4190544000000003</v>
      </c>
      <c r="R214" s="1">
        <f t="shared" si="76"/>
        <v>9.6444935999999988</v>
      </c>
      <c r="S214" s="1">
        <f t="shared" si="77"/>
        <v>9.1936152</v>
      </c>
      <c r="T214" s="33">
        <v>0</v>
      </c>
      <c r="U214" s="1">
        <v>1</v>
      </c>
      <c r="W214" s="1" t="s">
        <v>16</v>
      </c>
      <c r="X214" s="1" t="s">
        <v>71</v>
      </c>
      <c r="Y214" s="1" t="s">
        <v>2</v>
      </c>
      <c r="Z214" s="1" t="s">
        <v>39</v>
      </c>
      <c r="AA214" s="1">
        <f t="shared" si="68"/>
        <v>9.8035056000000012</v>
      </c>
      <c r="AB214" s="1">
        <f t="shared" si="69"/>
        <v>9.8035056000000012</v>
      </c>
      <c r="AC214" s="1">
        <f t="shared" si="70"/>
        <v>10.0381464</v>
      </c>
      <c r="AD214" s="1">
        <f t="shared" si="71"/>
        <v>9.5688648000000001</v>
      </c>
      <c r="AE214" s="28">
        <f>MAX($I$18,$I$46,$I$74,$I$102,$I$130,$I$158,$I$186,$I$214,$I$242,$I$270,$I$298)</f>
        <v>18.93</v>
      </c>
      <c r="AF214" s="1">
        <v>1</v>
      </c>
    </row>
    <row r="215" spans="2:32" x14ac:dyDescent="0.25">
      <c r="B215" s="1" t="s">
        <v>17</v>
      </c>
      <c r="C215" s="1" t="s">
        <v>71</v>
      </c>
      <c r="D215" s="1"/>
      <c r="E215" s="1"/>
      <c r="F215" s="1">
        <v>2.2064969999999997</v>
      </c>
      <c r="G215" s="1">
        <v>2.6469110000000002</v>
      </c>
      <c r="H215" s="1">
        <v>2.0318549999999997</v>
      </c>
      <c r="I215" s="1">
        <v>1.8570049999999998</v>
      </c>
      <c r="J215" s="1">
        <v>1</v>
      </c>
      <c r="L215" s="1" t="s">
        <v>17</v>
      </c>
      <c r="M215" s="1" t="s">
        <v>71</v>
      </c>
      <c r="N215" s="1" t="s">
        <v>2</v>
      </c>
      <c r="O215" s="1" t="s">
        <v>40</v>
      </c>
      <c r="P215" s="1">
        <f t="shared" si="74"/>
        <v>2.1623670599999998</v>
      </c>
      <c r="Q215" s="1">
        <f t="shared" si="75"/>
        <v>2.5939727800000001</v>
      </c>
      <c r="R215" s="1">
        <f t="shared" si="76"/>
        <v>1.9912178999999997</v>
      </c>
      <c r="S215" s="1">
        <f t="shared" si="77"/>
        <v>1.8198648999999998</v>
      </c>
      <c r="T215" s="33">
        <v>0</v>
      </c>
      <c r="U215" s="1">
        <v>1</v>
      </c>
      <c r="W215" s="1" t="s">
        <v>17</v>
      </c>
      <c r="X215" s="1" t="s">
        <v>71</v>
      </c>
      <c r="Y215" s="1" t="s">
        <v>2</v>
      </c>
      <c r="Z215" s="1" t="s">
        <v>39</v>
      </c>
      <c r="AA215" s="1">
        <f t="shared" si="68"/>
        <v>2.2506269399999996</v>
      </c>
      <c r="AB215" s="1">
        <f t="shared" si="69"/>
        <v>2.6998492200000004</v>
      </c>
      <c r="AC215" s="1">
        <f t="shared" si="70"/>
        <v>2.0724920999999998</v>
      </c>
      <c r="AD215" s="1">
        <f t="shared" si="71"/>
        <v>1.8941450999999998</v>
      </c>
      <c r="AE215" s="28">
        <f>MAX($I$19,$I$47,$I$75,$I$103,$I$131,$I$159,$I$187,$I$215,$I$243,$I$271,$I$299)</f>
        <v>8.6689310000000006</v>
      </c>
      <c r="AF215" s="1">
        <v>1</v>
      </c>
    </row>
    <row r="216" spans="2:32" x14ac:dyDescent="0.25">
      <c r="B216" s="1" t="s">
        <v>18</v>
      </c>
      <c r="C216" s="1" t="s">
        <v>71</v>
      </c>
      <c r="D216" s="1"/>
      <c r="E216" s="1"/>
      <c r="F216" s="1">
        <f>AVERAGE(G216:I216)</f>
        <v>26.700714666666666</v>
      </c>
      <c r="G216" s="1">
        <v>24.860343</v>
      </c>
      <c r="H216" s="1">
        <v>28.743680999999995</v>
      </c>
      <c r="I216" s="1">
        <v>26.49812</v>
      </c>
      <c r="J216" s="1">
        <v>1</v>
      </c>
      <c r="L216" s="1" t="s">
        <v>18</v>
      </c>
      <c r="M216" s="1" t="s">
        <v>71</v>
      </c>
      <c r="N216" s="1" t="s">
        <v>2</v>
      </c>
      <c r="O216" s="1" t="s">
        <v>40</v>
      </c>
      <c r="P216" s="1">
        <f t="shared" si="74"/>
        <v>26.166700373333331</v>
      </c>
      <c r="Q216" s="1">
        <f t="shared" si="75"/>
        <v>24.363136139999998</v>
      </c>
      <c r="R216" s="1">
        <f t="shared" si="76"/>
        <v>28.168807379999993</v>
      </c>
      <c r="S216" s="1">
        <f t="shared" si="77"/>
        <v>25.968157600000001</v>
      </c>
      <c r="T216" s="33">
        <v>0</v>
      </c>
      <c r="U216" s="1">
        <v>1</v>
      </c>
      <c r="W216" s="1" t="s">
        <v>18</v>
      </c>
      <c r="X216" s="1" t="s">
        <v>71</v>
      </c>
      <c r="Y216" s="1" t="s">
        <v>2</v>
      </c>
      <c r="Z216" s="1" t="s">
        <v>39</v>
      </c>
      <c r="AA216" s="1">
        <f t="shared" si="68"/>
        <v>27.234728960000002</v>
      </c>
      <c r="AB216" s="1">
        <f t="shared" si="69"/>
        <v>25.357549860000002</v>
      </c>
      <c r="AC216" s="1">
        <f t="shared" si="70"/>
        <v>29.318554619999997</v>
      </c>
      <c r="AD216" s="1">
        <f t="shared" si="71"/>
        <v>27.028082399999999</v>
      </c>
      <c r="AE216" s="28">
        <f>MAX($I$20,$I$48,$I$76,$I$104,$I$132,$I$160,$I$188,$I$216,$I$244,$I$272,$I$300)</f>
        <v>104.339699</v>
      </c>
      <c r="AF216" s="1">
        <v>1</v>
      </c>
    </row>
    <row r="217" spans="2:32" x14ac:dyDescent="0.25">
      <c r="B217" s="1" t="s">
        <v>20</v>
      </c>
      <c r="C217" s="1" t="s">
        <v>71</v>
      </c>
      <c r="D217" s="1"/>
      <c r="E217" s="1"/>
      <c r="F217" s="1">
        <v>75.735737999999998</v>
      </c>
      <c r="G217" s="1">
        <v>72.252644000000004</v>
      </c>
      <c r="H217" s="1">
        <v>68.144460999999993</v>
      </c>
      <c r="I217" s="1">
        <v>59.935118000000003</v>
      </c>
      <c r="J217" s="1">
        <v>1</v>
      </c>
      <c r="L217" s="1" t="s">
        <v>20</v>
      </c>
      <c r="M217" s="1" t="s">
        <v>71</v>
      </c>
      <c r="N217" s="1" t="s">
        <v>2</v>
      </c>
      <c r="O217" s="1" t="s">
        <v>40</v>
      </c>
      <c r="P217" s="1">
        <f t="shared" si="74"/>
        <v>74.221023239999994</v>
      </c>
      <c r="Q217" s="1">
        <f t="shared" si="75"/>
        <v>70.807591119999998</v>
      </c>
      <c r="R217" s="1">
        <f t="shared" si="76"/>
        <v>66.781571779999993</v>
      </c>
      <c r="S217" s="1">
        <f t="shared" si="77"/>
        <v>58.736415640000004</v>
      </c>
      <c r="T217" s="33">
        <v>0</v>
      </c>
      <c r="U217" s="1">
        <v>1</v>
      </c>
      <c r="W217" s="1" t="s">
        <v>20</v>
      </c>
      <c r="X217" s="1" t="s">
        <v>71</v>
      </c>
      <c r="Y217" s="1" t="s">
        <v>2</v>
      </c>
      <c r="Z217" s="1" t="s">
        <v>39</v>
      </c>
      <c r="AA217" s="1">
        <f t="shared" si="68"/>
        <v>77.250452760000002</v>
      </c>
      <c r="AB217" s="1">
        <f t="shared" si="69"/>
        <v>73.697696880000009</v>
      </c>
      <c r="AC217" s="1">
        <f t="shared" si="70"/>
        <v>69.507350219999992</v>
      </c>
      <c r="AD217" s="1">
        <f t="shared" si="71"/>
        <v>61.133820360000001</v>
      </c>
      <c r="AE217" s="28">
        <f>MAX($I$21,$I$49,$I$77,$I$105,$I$133,$I$161,$I$189,$I$217,$I$245,$I$273,$I$301)</f>
        <v>201.18298499999997</v>
      </c>
      <c r="AF217" s="1">
        <v>1</v>
      </c>
    </row>
    <row r="218" spans="2:32" x14ac:dyDescent="0.25">
      <c r="B218" s="1" t="s">
        <v>21</v>
      </c>
      <c r="C218" s="1" t="s">
        <v>71</v>
      </c>
      <c r="D218" s="1"/>
      <c r="E218" s="1"/>
      <c r="F218" s="1">
        <v>42.664997999999997</v>
      </c>
      <c r="G218" s="1">
        <v>41.279913000000001</v>
      </c>
      <c r="H218" s="1">
        <v>47.575184999999998</v>
      </c>
      <c r="I218" s="1">
        <v>53.524944000000005</v>
      </c>
      <c r="J218" s="1">
        <v>1</v>
      </c>
      <c r="L218" s="1" t="s">
        <v>21</v>
      </c>
      <c r="M218" s="1" t="s">
        <v>71</v>
      </c>
      <c r="N218" s="1" t="s">
        <v>2</v>
      </c>
      <c r="O218" s="1" t="s">
        <v>40</v>
      </c>
      <c r="P218" s="1">
        <f t="shared" si="74"/>
        <v>41.811698039999996</v>
      </c>
      <c r="Q218" s="1">
        <f t="shared" si="75"/>
        <v>40.454314740000001</v>
      </c>
      <c r="R218" s="1">
        <f t="shared" si="76"/>
        <v>46.623681299999994</v>
      </c>
      <c r="S218" s="1">
        <f t="shared" si="77"/>
        <v>52.454445120000003</v>
      </c>
      <c r="T218" s="33">
        <v>0</v>
      </c>
      <c r="U218" s="1">
        <v>1</v>
      </c>
      <c r="W218" s="1" t="s">
        <v>21</v>
      </c>
      <c r="X218" s="1" t="s">
        <v>71</v>
      </c>
      <c r="Y218" s="1" t="s">
        <v>2</v>
      </c>
      <c r="Z218" s="1" t="s">
        <v>39</v>
      </c>
      <c r="AA218" s="1">
        <f t="shared" si="68"/>
        <v>43.518297959999998</v>
      </c>
      <c r="AB218" s="1">
        <f t="shared" si="69"/>
        <v>42.10551126</v>
      </c>
      <c r="AC218" s="1">
        <f t="shared" si="70"/>
        <v>48.526688700000001</v>
      </c>
      <c r="AD218" s="1">
        <f t="shared" si="71"/>
        <v>54.595442880000007</v>
      </c>
      <c r="AE218" s="28">
        <f>MAX($I$22,$I$50,$I$78,$I$106,$I$134,$I$162,$I$190,$I$218,$I$246,$I$274,$I$302)</f>
        <v>69.769181000000003</v>
      </c>
      <c r="AF218" s="1">
        <v>1</v>
      </c>
    </row>
    <row r="219" spans="2:32" x14ac:dyDescent="0.25">
      <c r="B219" s="1" t="s">
        <v>22</v>
      </c>
      <c r="C219" s="1" t="s">
        <v>71</v>
      </c>
      <c r="D219" s="1"/>
      <c r="E219" s="1"/>
      <c r="F219" s="1">
        <f>AVERAGE(G219:I219)</f>
        <v>93.76081099999999</v>
      </c>
      <c r="G219" s="1">
        <v>89.604000000000013</v>
      </c>
      <c r="H219" s="1">
        <v>95.52040199999999</v>
      </c>
      <c r="I219" s="1">
        <v>96.158030999999994</v>
      </c>
      <c r="J219" s="1">
        <v>1</v>
      </c>
      <c r="L219" s="1" t="s">
        <v>22</v>
      </c>
      <c r="M219" s="1" t="s">
        <v>71</v>
      </c>
      <c r="N219" s="1" t="s">
        <v>2</v>
      </c>
      <c r="O219" s="1" t="s">
        <v>40</v>
      </c>
      <c r="P219" s="1">
        <f t="shared" si="74"/>
        <v>91.885594779999991</v>
      </c>
      <c r="Q219" s="1">
        <f t="shared" si="75"/>
        <v>87.811920000000015</v>
      </c>
      <c r="R219" s="1">
        <f t="shared" si="76"/>
        <v>93.609993959999983</v>
      </c>
      <c r="S219" s="1">
        <f t="shared" si="77"/>
        <v>94.23487037999999</v>
      </c>
      <c r="T219" s="33">
        <v>0</v>
      </c>
      <c r="U219" s="1">
        <v>1</v>
      </c>
      <c r="W219" s="1" t="s">
        <v>22</v>
      </c>
      <c r="X219" s="1" t="s">
        <v>71</v>
      </c>
      <c r="Y219" s="1" t="s">
        <v>2</v>
      </c>
      <c r="Z219" s="1" t="s">
        <v>39</v>
      </c>
      <c r="AA219" s="1">
        <f t="shared" si="68"/>
        <v>95.636027219999988</v>
      </c>
      <c r="AB219" s="1">
        <f t="shared" si="69"/>
        <v>91.396080000000012</v>
      </c>
      <c r="AC219" s="1">
        <f t="shared" si="70"/>
        <v>97.430810039999997</v>
      </c>
      <c r="AD219" s="1">
        <f t="shared" si="71"/>
        <v>98.081191619999998</v>
      </c>
      <c r="AE219" s="28">
        <f>MAX($I$23,$I$51,$I$79,$I$107,$I$135,$I$163,$I$191,$I$219,$I$247,$I$275,$I$303)</f>
        <v>183.24970000000002</v>
      </c>
      <c r="AF219" s="1">
        <v>1</v>
      </c>
    </row>
    <row r="220" spans="2:32" x14ac:dyDescent="0.25">
      <c r="B220" s="1" t="s">
        <v>23</v>
      </c>
      <c r="C220" s="1" t="s">
        <v>71</v>
      </c>
      <c r="D220" s="1"/>
      <c r="E220" s="1"/>
      <c r="F220" s="1">
        <v>45.45684</v>
      </c>
      <c r="G220" s="1">
        <v>37.481078000000004</v>
      </c>
      <c r="H220" s="1">
        <v>45.425317999999997</v>
      </c>
      <c r="I220" s="1">
        <v>47.327892999999996</v>
      </c>
      <c r="J220" s="1">
        <v>1</v>
      </c>
      <c r="L220" s="1" t="s">
        <v>23</v>
      </c>
      <c r="M220" s="1" t="s">
        <v>71</v>
      </c>
      <c r="N220" s="1" t="s">
        <v>2</v>
      </c>
      <c r="O220" s="1" t="s">
        <v>40</v>
      </c>
      <c r="P220" s="1">
        <f t="shared" si="74"/>
        <v>44.547703200000001</v>
      </c>
      <c r="Q220" s="1">
        <f t="shared" si="75"/>
        <v>36.731456440000002</v>
      </c>
      <c r="R220" s="1">
        <f t="shared" si="76"/>
        <v>44.516811639999993</v>
      </c>
      <c r="S220" s="1">
        <f t="shared" si="77"/>
        <v>46.381335139999997</v>
      </c>
      <c r="T220" s="33">
        <v>0</v>
      </c>
      <c r="U220" s="1">
        <v>1</v>
      </c>
      <c r="W220" s="1" t="s">
        <v>23</v>
      </c>
      <c r="X220" s="1" t="s">
        <v>71</v>
      </c>
      <c r="Y220" s="1" t="s">
        <v>2</v>
      </c>
      <c r="Z220" s="1" t="s">
        <v>39</v>
      </c>
      <c r="AA220" s="1">
        <f t="shared" si="68"/>
        <v>46.365976799999999</v>
      </c>
      <c r="AB220" s="1">
        <f t="shared" si="69"/>
        <v>38.230699560000005</v>
      </c>
      <c r="AC220" s="1">
        <f t="shared" si="70"/>
        <v>46.333824360000001</v>
      </c>
      <c r="AD220" s="1">
        <f t="shared" si="71"/>
        <v>48.274450859999995</v>
      </c>
      <c r="AE220" s="28">
        <f>MAX($I$24,$I$52,$I$80,$I$108,$I$136,$I$164,$I$192,$I$220,$I$248,$I$276,$I$304)</f>
        <v>47.327892999999996</v>
      </c>
      <c r="AF220" s="1">
        <v>1</v>
      </c>
    </row>
    <row r="221" spans="2:32" x14ac:dyDescent="0.25">
      <c r="B221" s="1" t="s">
        <v>24</v>
      </c>
      <c r="C221" s="1" t="s">
        <v>71</v>
      </c>
      <c r="D221" s="1"/>
      <c r="E221" s="1"/>
      <c r="F221" s="1">
        <f>AVERAGE(G221:I221)</f>
        <v>44.213584666666669</v>
      </c>
      <c r="G221" s="1">
        <v>41.339279000000005</v>
      </c>
      <c r="H221" s="1">
        <v>46.552726</v>
      </c>
      <c r="I221" s="1">
        <v>44.748748999999997</v>
      </c>
      <c r="J221" s="1">
        <v>1</v>
      </c>
      <c r="L221" s="1" t="s">
        <v>24</v>
      </c>
      <c r="M221" s="1" t="s">
        <v>71</v>
      </c>
      <c r="N221" s="1" t="s">
        <v>2</v>
      </c>
      <c r="O221" s="1" t="s">
        <v>40</v>
      </c>
      <c r="P221" s="1">
        <f t="shared" si="74"/>
        <v>43.329312973333337</v>
      </c>
      <c r="Q221" s="1">
        <f t="shared" si="75"/>
        <v>40.512493420000006</v>
      </c>
      <c r="R221" s="1">
        <f t="shared" si="76"/>
        <v>45.621671479999996</v>
      </c>
      <c r="S221" s="1">
        <f t="shared" si="77"/>
        <v>43.853774019999996</v>
      </c>
      <c r="T221" s="33">
        <v>0</v>
      </c>
      <c r="U221" s="1">
        <v>1</v>
      </c>
      <c r="W221" s="1" t="s">
        <v>24</v>
      </c>
      <c r="X221" s="1" t="s">
        <v>71</v>
      </c>
      <c r="Y221" s="1" t="s">
        <v>2</v>
      </c>
      <c r="Z221" s="1" t="s">
        <v>39</v>
      </c>
      <c r="AA221" s="1">
        <f t="shared" si="68"/>
        <v>45.097856360000002</v>
      </c>
      <c r="AB221" s="1">
        <f t="shared" si="69"/>
        <v>42.166064580000004</v>
      </c>
      <c r="AC221" s="1">
        <f t="shared" si="70"/>
        <v>47.483780520000003</v>
      </c>
      <c r="AD221" s="1">
        <f t="shared" si="71"/>
        <v>45.643723979999997</v>
      </c>
      <c r="AE221" s="28">
        <f>MAX($I$25,$I$53,$I$81,$I$109,$I$137,$I$165,$I$193,$I$221,$I$249,$I$277,$I$305)</f>
        <v>123.01356</v>
      </c>
      <c r="AF221" s="1">
        <v>1</v>
      </c>
    </row>
    <row r="222" spans="2:32" x14ac:dyDescent="0.25">
      <c r="B222" s="1" t="s">
        <v>25</v>
      </c>
      <c r="C222" s="1" t="s">
        <v>71</v>
      </c>
      <c r="D222" s="1"/>
      <c r="E222" s="1"/>
      <c r="F222" s="1">
        <v>8.027298</v>
      </c>
      <c r="G222" s="1">
        <v>7.5808660000000012</v>
      </c>
      <c r="H222" s="1">
        <v>8.2938059999999982</v>
      </c>
      <c r="I222" s="1">
        <v>9.2813729999999985</v>
      </c>
      <c r="J222" s="1">
        <v>1</v>
      </c>
      <c r="L222" s="1" t="s">
        <v>25</v>
      </c>
      <c r="M222" s="1" t="s">
        <v>71</v>
      </c>
      <c r="N222" s="1" t="s">
        <v>2</v>
      </c>
      <c r="O222" s="1" t="s">
        <v>40</v>
      </c>
      <c r="P222" s="1">
        <f t="shared" si="74"/>
        <v>7.8667520399999997</v>
      </c>
      <c r="Q222" s="1">
        <f t="shared" si="75"/>
        <v>7.4292486800000015</v>
      </c>
      <c r="R222" s="1">
        <f t="shared" si="76"/>
        <v>8.1279298799999982</v>
      </c>
      <c r="S222" s="1">
        <f t="shared" si="77"/>
        <v>9.0957455399999976</v>
      </c>
      <c r="T222" s="33">
        <v>0</v>
      </c>
      <c r="U222" s="1">
        <v>1</v>
      </c>
      <c r="W222" s="1" t="s">
        <v>25</v>
      </c>
      <c r="X222" s="1" t="s">
        <v>71</v>
      </c>
      <c r="Y222" s="1" t="s">
        <v>2</v>
      </c>
      <c r="Z222" s="1" t="s">
        <v>39</v>
      </c>
      <c r="AA222" s="1">
        <f t="shared" si="68"/>
        <v>8.1878439600000004</v>
      </c>
      <c r="AB222" s="1">
        <f t="shared" si="69"/>
        <v>7.7324833200000009</v>
      </c>
      <c r="AC222" s="1">
        <f t="shared" si="70"/>
        <v>8.4596821199999983</v>
      </c>
      <c r="AD222" s="1">
        <f t="shared" si="71"/>
        <v>9.4670004599999995</v>
      </c>
      <c r="AE222" s="28">
        <f>MAX($I$26,$I$54,$I$82,$I$110,$I$138,$I$166,$I$194,$I$222,$I$250,$I$278,$I$306)</f>
        <v>14.768578</v>
      </c>
      <c r="AF222" s="1">
        <v>1</v>
      </c>
    </row>
    <row r="223" spans="2:32" x14ac:dyDescent="0.25">
      <c r="B223" s="1" t="s">
        <v>26</v>
      </c>
      <c r="C223" s="1" t="s">
        <v>71</v>
      </c>
      <c r="D223" s="1"/>
      <c r="E223" s="1"/>
      <c r="F223" s="1">
        <f>AVERAGE(G223:I223)</f>
        <v>13.772484</v>
      </c>
      <c r="G223" s="1">
        <v>11.051892000000002</v>
      </c>
      <c r="H223" s="1">
        <v>12.97692</v>
      </c>
      <c r="I223" s="1">
        <v>17.288639999999997</v>
      </c>
      <c r="J223" s="1">
        <v>1</v>
      </c>
      <c r="L223" s="1" t="s">
        <v>26</v>
      </c>
      <c r="M223" s="1" t="s">
        <v>71</v>
      </c>
      <c r="N223" s="1" t="s">
        <v>2</v>
      </c>
      <c r="O223" s="1" t="s">
        <v>40</v>
      </c>
      <c r="P223" s="1">
        <f t="shared" si="74"/>
        <v>13.497034320000001</v>
      </c>
      <c r="Q223" s="1">
        <f t="shared" si="75"/>
        <v>10.830854160000001</v>
      </c>
      <c r="R223" s="1">
        <f t="shared" si="76"/>
        <v>12.7173816</v>
      </c>
      <c r="S223" s="1">
        <f t="shared" si="77"/>
        <v>16.942867199999998</v>
      </c>
      <c r="T223" s="33">
        <v>0</v>
      </c>
      <c r="U223" s="1">
        <v>1</v>
      </c>
      <c r="W223" s="1" t="s">
        <v>26</v>
      </c>
      <c r="X223" s="1" t="s">
        <v>71</v>
      </c>
      <c r="Y223" s="1" t="s">
        <v>2</v>
      </c>
      <c r="Z223" s="1" t="s">
        <v>39</v>
      </c>
      <c r="AA223" s="1">
        <f t="shared" si="68"/>
        <v>14.04793368</v>
      </c>
      <c r="AB223" s="1">
        <f t="shared" si="69"/>
        <v>11.272929840000003</v>
      </c>
      <c r="AC223" s="1">
        <f t="shared" si="70"/>
        <v>13.2364584</v>
      </c>
      <c r="AD223" s="1">
        <f t="shared" si="71"/>
        <v>17.634412799999996</v>
      </c>
      <c r="AE223" s="28">
        <f>MAX($I$27,$I$55,$I$83,$I$111,$I$139,$I$167,$I$195,$I$223,$I$251,$I$279,$I$307)</f>
        <v>43.948800000000006</v>
      </c>
      <c r="AF223" s="1">
        <v>1</v>
      </c>
    </row>
    <row r="224" spans="2:32" x14ac:dyDescent="0.25">
      <c r="B224" s="1" t="s">
        <v>27</v>
      </c>
      <c r="C224" s="1" t="s">
        <v>71</v>
      </c>
      <c r="D224" s="1"/>
      <c r="E224" s="1"/>
      <c r="F224" s="1">
        <f>AVERAGE(G224:I224)</f>
        <v>33.639600000000002</v>
      </c>
      <c r="G224" s="1">
        <v>32.032800000000002</v>
      </c>
      <c r="H224" s="1">
        <v>35.096399999999996</v>
      </c>
      <c r="I224" s="1">
        <v>33.7896</v>
      </c>
      <c r="J224" s="1">
        <v>1</v>
      </c>
      <c r="L224" s="1" t="s">
        <v>27</v>
      </c>
      <c r="M224" s="1" t="s">
        <v>71</v>
      </c>
      <c r="N224" s="1" t="s">
        <v>2</v>
      </c>
      <c r="O224" s="1" t="s">
        <v>40</v>
      </c>
      <c r="P224" s="1">
        <f t="shared" si="74"/>
        <v>32.966808</v>
      </c>
      <c r="Q224" s="1">
        <f t="shared" si="75"/>
        <v>31.392144000000002</v>
      </c>
      <c r="R224" s="1">
        <f t="shared" si="76"/>
        <v>34.394471999999993</v>
      </c>
      <c r="S224" s="1">
        <f t="shared" si="77"/>
        <v>33.113807999999999</v>
      </c>
      <c r="T224" s="33">
        <v>0</v>
      </c>
      <c r="U224" s="1">
        <v>1</v>
      </c>
      <c r="W224" s="1" t="s">
        <v>27</v>
      </c>
      <c r="X224" s="1" t="s">
        <v>71</v>
      </c>
      <c r="Y224" s="1" t="s">
        <v>2</v>
      </c>
      <c r="Z224" s="1" t="s">
        <v>39</v>
      </c>
      <c r="AA224" s="1">
        <f t="shared" si="68"/>
        <v>34.312392000000003</v>
      </c>
      <c r="AB224" s="1">
        <f t="shared" si="69"/>
        <v>32.673456000000002</v>
      </c>
      <c r="AC224" s="1">
        <f t="shared" si="70"/>
        <v>35.798327999999998</v>
      </c>
      <c r="AD224" s="1">
        <f t="shared" si="71"/>
        <v>34.465392000000001</v>
      </c>
      <c r="AE224" s="28">
        <f>MAX($I$28,$I$56,$I$84,$I$112,$I$140,$I$168,$I$196,$I$224,$I$252,$I$280,$I$308)</f>
        <v>66.917000000000002</v>
      </c>
      <c r="AF224" s="1">
        <v>1</v>
      </c>
    </row>
    <row r="225" spans="2:32" x14ac:dyDescent="0.25">
      <c r="B225" s="1" t="s">
        <v>28</v>
      </c>
      <c r="C225" s="1" t="s">
        <v>71</v>
      </c>
      <c r="D225" s="1"/>
      <c r="E225" s="1"/>
      <c r="F225" s="1">
        <f t="shared" ref="F225" si="78">AVERAGE(G225:I225)</f>
        <v>86.522400000000019</v>
      </c>
      <c r="G225" s="1">
        <v>92.93040000000002</v>
      </c>
      <c r="H225" s="1">
        <v>91.382400000000004</v>
      </c>
      <c r="I225" s="1">
        <v>75.254400000000004</v>
      </c>
      <c r="J225" s="1">
        <v>1</v>
      </c>
      <c r="L225" s="1" t="s">
        <v>28</v>
      </c>
      <c r="M225" s="1" t="s">
        <v>71</v>
      </c>
      <c r="N225" s="1" t="s">
        <v>2</v>
      </c>
      <c r="O225" s="1" t="s">
        <v>40</v>
      </c>
      <c r="P225" s="1">
        <f t="shared" si="74"/>
        <v>84.791952000000023</v>
      </c>
      <c r="Q225" s="1">
        <f t="shared" si="75"/>
        <v>91.071792000000016</v>
      </c>
      <c r="R225" s="1">
        <f t="shared" si="76"/>
        <v>89.554752000000008</v>
      </c>
      <c r="S225" s="1">
        <f t="shared" si="77"/>
        <v>73.749312000000003</v>
      </c>
      <c r="T225" s="33">
        <v>0</v>
      </c>
      <c r="U225" s="1">
        <v>1</v>
      </c>
      <c r="W225" s="1" t="s">
        <v>28</v>
      </c>
      <c r="X225" s="1" t="s">
        <v>71</v>
      </c>
      <c r="Y225" s="1" t="s">
        <v>2</v>
      </c>
      <c r="Z225" s="1" t="s">
        <v>39</v>
      </c>
      <c r="AA225" s="1">
        <f t="shared" si="68"/>
        <v>88.252848000000014</v>
      </c>
      <c r="AB225" s="1">
        <f t="shared" si="69"/>
        <v>94.789008000000024</v>
      </c>
      <c r="AC225" s="1">
        <f t="shared" si="70"/>
        <v>93.210048</v>
      </c>
      <c r="AD225" s="1">
        <f t="shared" si="71"/>
        <v>76.759488000000005</v>
      </c>
      <c r="AE225" s="28">
        <f>MAX($I$29,$I$57,$I$85,$I$113,$I$141,$I$169,$I$197,$I$225,$I$253,$I$281,$I$309)</f>
        <v>112.108</v>
      </c>
      <c r="AF225" s="1">
        <v>1</v>
      </c>
    </row>
    <row r="226" spans="2:32" x14ac:dyDescent="0.25">
      <c r="B226" s="1" t="s">
        <v>29</v>
      </c>
      <c r="C226" s="1" t="s">
        <v>71</v>
      </c>
      <c r="D226" s="1"/>
      <c r="E226" s="1"/>
      <c r="F226" s="1">
        <v>35.250962000000001</v>
      </c>
      <c r="G226" s="1">
        <v>39.018222000000023</v>
      </c>
      <c r="H226" s="1">
        <v>39.599999999999994</v>
      </c>
      <c r="I226" s="1">
        <v>38.392900999999995</v>
      </c>
      <c r="J226" s="1">
        <v>1</v>
      </c>
      <c r="L226" s="1" t="s">
        <v>29</v>
      </c>
      <c r="M226" s="1" t="s">
        <v>71</v>
      </c>
      <c r="N226" s="1" t="s">
        <v>2</v>
      </c>
      <c r="O226" s="1" t="s">
        <v>40</v>
      </c>
      <c r="P226" s="1">
        <f t="shared" si="74"/>
        <v>34.545942760000003</v>
      </c>
      <c r="Q226" s="1">
        <f t="shared" si="75"/>
        <v>38.237857560000023</v>
      </c>
      <c r="R226" s="1">
        <f t="shared" si="76"/>
        <v>38.807999999999993</v>
      </c>
      <c r="S226" s="1">
        <f t="shared" si="77"/>
        <v>37.625042979999996</v>
      </c>
      <c r="T226" s="33">
        <v>0</v>
      </c>
      <c r="U226" s="1">
        <v>1</v>
      </c>
      <c r="W226" s="1" t="s">
        <v>29</v>
      </c>
      <c r="X226" s="1" t="s">
        <v>71</v>
      </c>
      <c r="Y226" s="1" t="s">
        <v>2</v>
      </c>
      <c r="Z226" s="1" t="s">
        <v>39</v>
      </c>
      <c r="AA226" s="1">
        <f t="shared" si="68"/>
        <v>35.95598124</v>
      </c>
      <c r="AB226" s="1">
        <f t="shared" si="69"/>
        <v>39.798586440000022</v>
      </c>
      <c r="AC226" s="1">
        <f t="shared" si="70"/>
        <v>40.391999999999996</v>
      </c>
      <c r="AD226" s="1">
        <f t="shared" si="71"/>
        <v>39.160759019999993</v>
      </c>
      <c r="AE226" s="28">
        <f>MAX($I$30,$I$58,$I$86,$I$114,$I$142,$I$170,$I$198,$I$226,$I$254,$I$282,$I$310)</f>
        <v>101.44997000000001</v>
      </c>
      <c r="AF226" s="1">
        <v>1</v>
      </c>
    </row>
    <row r="227" spans="2:32" x14ac:dyDescent="0.25">
      <c r="B227" s="1" t="s">
        <v>30</v>
      </c>
      <c r="C227" s="1" t="s">
        <v>71</v>
      </c>
      <c r="D227" s="1"/>
      <c r="E227" s="1"/>
      <c r="F227" s="1">
        <v>297.098996</v>
      </c>
      <c r="G227" s="1">
        <v>303.15512200000001</v>
      </c>
      <c r="H227" s="1">
        <v>322.63923875077461</v>
      </c>
      <c r="I227" s="1">
        <v>278.60663861295825</v>
      </c>
      <c r="J227" s="1">
        <v>1</v>
      </c>
      <c r="L227" s="1" t="s">
        <v>30</v>
      </c>
      <c r="M227" s="1" t="s">
        <v>71</v>
      </c>
      <c r="N227" s="1" t="s">
        <v>2</v>
      </c>
      <c r="O227" s="1" t="s">
        <v>40</v>
      </c>
      <c r="P227" s="1">
        <f t="shared" si="74"/>
        <v>291.15701608000001</v>
      </c>
      <c r="Q227" s="1">
        <f t="shared" si="75"/>
        <v>297.09201955999998</v>
      </c>
      <c r="R227" s="1">
        <f t="shared" si="76"/>
        <v>316.18645397575909</v>
      </c>
      <c r="S227" s="1">
        <f t="shared" si="77"/>
        <v>273.03450584069907</v>
      </c>
      <c r="T227" s="33">
        <v>0</v>
      </c>
      <c r="U227" s="1">
        <v>1</v>
      </c>
      <c r="W227" s="1" t="s">
        <v>30</v>
      </c>
      <c r="X227" s="1" t="s">
        <v>71</v>
      </c>
      <c r="Y227" s="1" t="s">
        <v>2</v>
      </c>
      <c r="Z227" s="1" t="s">
        <v>39</v>
      </c>
      <c r="AA227" s="1">
        <f t="shared" si="68"/>
        <v>303.04097591999999</v>
      </c>
      <c r="AB227" s="1">
        <f t="shared" si="69"/>
        <v>309.21822444000003</v>
      </c>
      <c r="AC227" s="1">
        <f t="shared" si="70"/>
        <v>329.09202352579013</v>
      </c>
      <c r="AD227" s="1">
        <f t="shared" si="71"/>
        <v>284.17877138521743</v>
      </c>
      <c r="AE227" s="28">
        <f>MAX($I$31,$I$59,$I$87,$I$115,$I$143,$I$171,$I$199,$I$227,$I$255,$I$283,$I$311)</f>
        <v>814.1906987082092</v>
      </c>
      <c r="AF227" s="1">
        <v>1</v>
      </c>
    </row>
    <row r="228" spans="2:32" x14ac:dyDescent="0.25">
      <c r="B228" s="24" t="s">
        <v>0</v>
      </c>
      <c r="C228" s="24" t="s">
        <v>37</v>
      </c>
      <c r="D228" s="24" t="s">
        <v>2</v>
      </c>
      <c r="E228" s="24"/>
      <c r="F228" s="24">
        <v>0.28599999999999998</v>
      </c>
      <c r="G228" s="24">
        <v>0.31969999999999998</v>
      </c>
      <c r="H228" s="24">
        <v>0.58629999999999993</v>
      </c>
      <c r="I228" s="24">
        <v>0.46089999999999998</v>
      </c>
      <c r="J228" s="1">
        <v>1</v>
      </c>
      <c r="L228" s="1" t="s">
        <v>0</v>
      </c>
      <c r="M228" s="1" t="s">
        <v>37</v>
      </c>
      <c r="N228" s="1" t="s">
        <v>2</v>
      </c>
      <c r="O228" s="1" t="s">
        <v>40</v>
      </c>
      <c r="P228" s="1">
        <f t="shared" si="74"/>
        <v>0.28027999999999997</v>
      </c>
      <c r="Q228" s="1">
        <f t="shared" si="75"/>
        <v>0.31330599999999997</v>
      </c>
      <c r="R228" s="1">
        <f t="shared" si="76"/>
        <v>0.57457399999999992</v>
      </c>
      <c r="S228" s="1">
        <f t="shared" si="77"/>
        <v>0.45168199999999997</v>
      </c>
      <c r="T228" s="33">
        <v>0</v>
      </c>
      <c r="U228" s="1">
        <v>1</v>
      </c>
      <c r="W228" s="1" t="s">
        <v>0</v>
      </c>
      <c r="X228" s="1" t="s">
        <v>37</v>
      </c>
      <c r="Y228" s="1" t="s">
        <v>2</v>
      </c>
      <c r="Z228" s="1" t="s">
        <v>39</v>
      </c>
      <c r="AA228" s="1">
        <f t="shared" si="68"/>
        <v>0.29171999999999998</v>
      </c>
      <c r="AB228" s="1">
        <f t="shared" si="69"/>
        <v>0.32609399999999999</v>
      </c>
      <c r="AC228" s="1">
        <f t="shared" si="70"/>
        <v>0.59802599999999995</v>
      </c>
      <c r="AD228" s="1">
        <f t="shared" si="71"/>
        <v>0.47011799999999998</v>
      </c>
      <c r="AE228" s="28">
        <v>1000</v>
      </c>
      <c r="AF228" s="1">
        <v>1</v>
      </c>
    </row>
    <row r="229" spans="2:32" x14ac:dyDescent="0.25">
      <c r="B229" s="24" t="s">
        <v>3</v>
      </c>
      <c r="C229" s="24" t="s">
        <v>37</v>
      </c>
      <c r="D229" s="24" t="s">
        <v>2</v>
      </c>
      <c r="E229" s="24"/>
      <c r="F229" s="24">
        <v>14.84</v>
      </c>
      <c r="G229" s="24">
        <v>13.928000000000001</v>
      </c>
      <c r="H229" s="24">
        <v>13.814</v>
      </c>
      <c r="I229" s="24">
        <v>12.230075000000001</v>
      </c>
      <c r="J229" s="1">
        <v>1</v>
      </c>
      <c r="L229" s="1" t="s">
        <v>3</v>
      </c>
      <c r="M229" s="1" t="s">
        <v>37</v>
      </c>
      <c r="N229" s="1" t="s">
        <v>2</v>
      </c>
      <c r="O229" s="1" t="s">
        <v>40</v>
      </c>
      <c r="P229" s="1">
        <f t="shared" si="74"/>
        <v>14.543199999999999</v>
      </c>
      <c r="Q229" s="1">
        <f t="shared" si="75"/>
        <v>13.64944</v>
      </c>
      <c r="R229" s="1">
        <f t="shared" si="76"/>
        <v>13.53772</v>
      </c>
      <c r="S229" s="1">
        <f t="shared" si="77"/>
        <v>11.985473500000001</v>
      </c>
      <c r="T229" s="33">
        <v>0</v>
      </c>
      <c r="U229" s="1">
        <v>1</v>
      </c>
      <c r="W229" s="1" t="s">
        <v>3</v>
      </c>
      <c r="X229" s="1" t="s">
        <v>37</v>
      </c>
      <c r="Y229" s="1" t="s">
        <v>2</v>
      </c>
      <c r="Z229" s="1" t="s">
        <v>39</v>
      </c>
      <c r="AA229" s="1">
        <f t="shared" si="68"/>
        <v>15.136800000000001</v>
      </c>
      <c r="AB229" s="1">
        <f t="shared" si="69"/>
        <v>14.206560000000001</v>
      </c>
      <c r="AC229" s="1">
        <f t="shared" si="70"/>
        <v>14.09028</v>
      </c>
      <c r="AD229" s="1">
        <f t="shared" si="71"/>
        <v>12.474676500000001</v>
      </c>
      <c r="AE229" s="28">
        <v>1000</v>
      </c>
      <c r="AF229" s="1">
        <v>1</v>
      </c>
    </row>
    <row r="230" spans="2:32" x14ac:dyDescent="0.25">
      <c r="B230" s="24" t="s">
        <v>4</v>
      </c>
      <c r="C230" s="24" t="s">
        <v>37</v>
      </c>
      <c r="D230" s="24" t="s">
        <v>2</v>
      </c>
      <c r="E230" s="24"/>
      <c r="F230" s="24">
        <v>51.792999999999999</v>
      </c>
      <c r="G230" s="24">
        <v>42.545000000000002</v>
      </c>
      <c r="H230" s="24">
        <v>40.862184999999997</v>
      </c>
      <c r="I230" s="24">
        <v>33.873250999999996</v>
      </c>
      <c r="J230" s="1">
        <v>1</v>
      </c>
      <c r="L230" s="1" t="s">
        <v>4</v>
      </c>
      <c r="M230" s="1" t="s">
        <v>37</v>
      </c>
      <c r="N230" s="1" t="s">
        <v>2</v>
      </c>
      <c r="O230" s="1" t="s">
        <v>40</v>
      </c>
      <c r="P230" s="1">
        <f t="shared" si="74"/>
        <v>50.75714</v>
      </c>
      <c r="Q230" s="1">
        <f t="shared" si="75"/>
        <v>41.694099999999999</v>
      </c>
      <c r="R230" s="1">
        <f t="shared" si="76"/>
        <v>40.044941299999998</v>
      </c>
      <c r="S230" s="1">
        <f t="shared" si="77"/>
        <v>33.195785979999997</v>
      </c>
      <c r="T230" s="33">
        <v>0</v>
      </c>
      <c r="U230" s="1">
        <v>1</v>
      </c>
      <c r="W230" s="1" t="s">
        <v>4</v>
      </c>
      <c r="X230" s="1" t="s">
        <v>37</v>
      </c>
      <c r="Y230" s="1" t="s">
        <v>2</v>
      </c>
      <c r="Z230" s="1" t="s">
        <v>39</v>
      </c>
      <c r="AA230" s="1">
        <f t="shared" si="68"/>
        <v>52.828859999999999</v>
      </c>
      <c r="AB230" s="1">
        <f t="shared" si="69"/>
        <v>43.395900000000005</v>
      </c>
      <c r="AC230" s="1">
        <f t="shared" si="70"/>
        <v>41.679428699999995</v>
      </c>
      <c r="AD230" s="1">
        <f t="shared" si="71"/>
        <v>34.550716019999996</v>
      </c>
      <c r="AE230" s="28">
        <v>1000</v>
      </c>
      <c r="AF230" s="1">
        <v>1</v>
      </c>
    </row>
    <row r="231" spans="2:32" x14ac:dyDescent="0.25">
      <c r="B231" s="24" t="s">
        <v>5</v>
      </c>
      <c r="C231" s="24" t="s">
        <v>37</v>
      </c>
      <c r="D231" s="24" t="s">
        <v>2</v>
      </c>
      <c r="E231" s="24"/>
      <c r="F231" s="24">
        <v>76.638000000000005</v>
      </c>
      <c r="G231" s="24">
        <v>67.82988499999999</v>
      </c>
      <c r="H231" s="24">
        <v>66.490268</v>
      </c>
      <c r="I231" s="24">
        <v>69.570329999999998</v>
      </c>
      <c r="J231" s="1">
        <v>1</v>
      </c>
      <c r="L231" s="1" t="s">
        <v>5</v>
      </c>
      <c r="M231" s="1" t="s">
        <v>37</v>
      </c>
      <c r="N231" s="1" t="s">
        <v>2</v>
      </c>
      <c r="O231" s="1" t="s">
        <v>40</v>
      </c>
      <c r="P231" s="1">
        <f t="shared" si="74"/>
        <v>75.105240000000009</v>
      </c>
      <c r="Q231" s="1">
        <f t="shared" si="75"/>
        <v>66.473287299999996</v>
      </c>
      <c r="R231" s="1">
        <f t="shared" si="76"/>
        <v>65.160462640000006</v>
      </c>
      <c r="S231" s="1">
        <f t="shared" si="77"/>
        <v>68.178923400000002</v>
      </c>
      <c r="T231" s="33">
        <v>0</v>
      </c>
      <c r="U231" s="1">
        <v>1</v>
      </c>
      <c r="W231" s="1" t="s">
        <v>5</v>
      </c>
      <c r="X231" s="1" t="s">
        <v>37</v>
      </c>
      <c r="Y231" s="1" t="s">
        <v>2</v>
      </c>
      <c r="Z231" s="1" t="s">
        <v>39</v>
      </c>
      <c r="AA231" s="1">
        <f t="shared" si="68"/>
        <v>78.170760000000001</v>
      </c>
      <c r="AB231" s="1">
        <f t="shared" si="69"/>
        <v>69.186482699999985</v>
      </c>
      <c r="AC231" s="1">
        <f t="shared" si="70"/>
        <v>67.820073359999995</v>
      </c>
      <c r="AD231" s="1">
        <f t="shared" si="71"/>
        <v>70.961736599999995</v>
      </c>
      <c r="AE231" s="28">
        <v>1000</v>
      </c>
      <c r="AF231" s="1">
        <v>1</v>
      </c>
    </row>
    <row r="232" spans="2:32" x14ac:dyDescent="0.25">
      <c r="B232" s="24" t="s">
        <v>6</v>
      </c>
      <c r="C232" s="24" t="s">
        <v>37</v>
      </c>
      <c r="D232" s="24" t="s">
        <v>2</v>
      </c>
      <c r="E232" s="24"/>
      <c r="F232" s="24">
        <v>188.88399999999999</v>
      </c>
      <c r="G232" s="24">
        <v>170.404</v>
      </c>
      <c r="H232" s="24">
        <v>161.768</v>
      </c>
      <c r="I232" s="24">
        <v>142.14529999999999</v>
      </c>
      <c r="J232" s="1">
        <v>1</v>
      </c>
      <c r="L232" s="1" t="s">
        <v>6</v>
      </c>
      <c r="M232" s="1" t="s">
        <v>37</v>
      </c>
      <c r="N232" s="1" t="s">
        <v>2</v>
      </c>
      <c r="O232" s="1" t="s">
        <v>40</v>
      </c>
      <c r="P232" s="1">
        <f t="shared" si="74"/>
        <v>185.10631999999998</v>
      </c>
      <c r="Q232" s="1">
        <f t="shared" si="75"/>
        <v>166.99591999999998</v>
      </c>
      <c r="R232" s="1">
        <f t="shared" si="76"/>
        <v>158.53263999999999</v>
      </c>
      <c r="S232" s="1">
        <f t="shared" si="77"/>
        <v>139.30239399999999</v>
      </c>
      <c r="T232" s="33">
        <v>0</v>
      </c>
      <c r="U232" s="1">
        <v>1</v>
      </c>
      <c r="W232" s="1" t="s">
        <v>6</v>
      </c>
      <c r="X232" s="1" t="s">
        <v>37</v>
      </c>
      <c r="Y232" s="1" t="s">
        <v>2</v>
      </c>
      <c r="Z232" s="1" t="s">
        <v>39</v>
      </c>
      <c r="AA232" s="1">
        <f t="shared" si="68"/>
        <v>192.66167999999999</v>
      </c>
      <c r="AB232" s="1">
        <f t="shared" si="69"/>
        <v>173.81208000000001</v>
      </c>
      <c r="AC232" s="1">
        <f t="shared" si="70"/>
        <v>165.00336000000001</v>
      </c>
      <c r="AD232" s="1">
        <f t="shared" si="71"/>
        <v>144.98820599999999</v>
      </c>
      <c r="AE232" s="28">
        <v>1000</v>
      </c>
      <c r="AF232" s="1">
        <v>1</v>
      </c>
    </row>
    <row r="233" spans="2:32" x14ac:dyDescent="0.25">
      <c r="B233" s="24" t="s">
        <v>7</v>
      </c>
      <c r="C233" s="24" t="s">
        <v>37</v>
      </c>
      <c r="D233" s="24" t="s">
        <v>2</v>
      </c>
      <c r="E233" s="24"/>
      <c r="F233" s="24">
        <v>14.972</v>
      </c>
      <c r="G233" s="24">
        <v>11.869</v>
      </c>
      <c r="H233" s="24">
        <v>13.1</v>
      </c>
      <c r="I233" s="24">
        <v>13.443564</v>
      </c>
      <c r="J233" s="1">
        <v>1</v>
      </c>
      <c r="L233" s="1" t="s">
        <v>7</v>
      </c>
      <c r="M233" s="1" t="s">
        <v>37</v>
      </c>
      <c r="N233" s="1" t="s">
        <v>2</v>
      </c>
      <c r="O233" s="1" t="s">
        <v>40</v>
      </c>
      <c r="P233" s="1">
        <f t="shared" si="74"/>
        <v>14.672559999999999</v>
      </c>
      <c r="Q233" s="1">
        <f t="shared" si="75"/>
        <v>11.63162</v>
      </c>
      <c r="R233" s="1">
        <f t="shared" si="76"/>
        <v>12.837999999999999</v>
      </c>
      <c r="S233" s="1">
        <f t="shared" si="77"/>
        <v>13.174692719999999</v>
      </c>
      <c r="T233" s="33">
        <v>0</v>
      </c>
      <c r="U233" s="1">
        <v>1</v>
      </c>
      <c r="W233" s="1" t="s">
        <v>7</v>
      </c>
      <c r="X233" s="1" t="s">
        <v>37</v>
      </c>
      <c r="Y233" s="1" t="s">
        <v>2</v>
      </c>
      <c r="Z233" s="1" t="s">
        <v>39</v>
      </c>
      <c r="AA233" s="1">
        <f t="shared" si="68"/>
        <v>15.27144</v>
      </c>
      <c r="AB233" s="1">
        <f t="shared" si="69"/>
        <v>12.10638</v>
      </c>
      <c r="AC233" s="1">
        <f t="shared" si="70"/>
        <v>13.362</v>
      </c>
      <c r="AD233" s="1">
        <f t="shared" si="71"/>
        <v>13.712435280000001</v>
      </c>
      <c r="AE233" s="28">
        <v>1000</v>
      </c>
      <c r="AF233" s="1">
        <v>1</v>
      </c>
    </row>
    <row r="234" spans="2:32" x14ac:dyDescent="0.25">
      <c r="B234" s="24" t="s">
        <v>8</v>
      </c>
      <c r="C234" s="24" t="s">
        <v>37</v>
      </c>
      <c r="D234" s="24" t="s">
        <v>2</v>
      </c>
      <c r="E234" s="24"/>
      <c r="F234" s="24">
        <v>0</v>
      </c>
      <c r="G234" s="24">
        <v>0</v>
      </c>
      <c r="H234" s="24">
        <v>0</v>
      </c>
      <c r="I234" s="24">
        <v>0</v>
      </c>
      <c r="J234" s="1">
        <v>1</v>
      </c>
      <c r="L234" s="1" t="s">
        <v>8</v>
      </c>
      <c r="M234" s="1" t="s">
        <v>37</v>
      </c>
      <c r="N234" s="1" t="s">
        <v>2</v>
      </c>
      <c r="O234" s="1" t="s">
        <v>40</v>
      </c>
      <c r="P234" s="1">
        <f t="shared" si="74"/>
        <v>0</v>
      </c>
      <c r="Q234" s="1">
        <f t="shared" si="75"/>
        <v>0</v>
      </c>
      <c r="R234" s="1">
        <f t="shared" si="76"/>
        <v>0</v>
      </c>
      <c r="S234" s="1">
        <f t="shared" si="77"/>
        <v>0</v>
      </c>
      <c r="T234" s="33">
        <v>0</v>
      </c>
      <c r="U234" s="1">
        <v>1</v>
      </c>
      <c r="W234" s="1" t="s">
        <v>8</v>
      </c>
      <c r="X234" s="1" t="s">
        <v>37</v>
      </c>
      <c r="Y234" s="1" t="s">
        <v>2</v>
      </c>
      <c r="Z234" s="1" t="s">
        <v>39</v>
      </c>
      <c r="AA234" s="1">
        <f t="shared" si="68"/>
        <v>0</v>
      </c>
      <c r="AB234" s="1">
        <f t="shared" si="69"/>
        <v>0</v>
      </c>
      <c r="AC234" s="1">
        <f t="shared" si="70"/>
        <v>0</v>
      </c>
      <c r="AD234" s="1">
        <f t="shared" si="71"/>
        <v>0</v>
      </c>
      <c r="AE234" s="28">
        <v>1000</v>
      </c>
      <c r="AF234" s="1">
        <v>1</v>
      </c>
    </row>
    <row r="235" spans="2:32" x14ac:dyDescent="0.25">
      <c r="B235" s="24" t="s">
        <v>9</v>
      </c>
      <c r="C235" s="24" t="s">
        <v>37</v>
      </c>
      <c r="D235" s="24" t="s">
        <v>2</v>
      </c>
      <c r="E235" s="24"/>
      <c r="F235" s="24">
        <v>1.9410000000000001</v>
      </c>
      <c r="G235" s="24">
        <v>2.093</v>
      </c>
      <c r="H235" s="24">
        <v>1.672355</v>
      </c>
      <c r="I235" s="24">
        <v>1.0708070000000001</v>
      </c>
      <c r="J235" s="1">
        <v>1</v>
      </c>
      <c r="L235" s="1" t="s">
        <v>9</v>
      </c>
      <c r="M235" s="1" t="s">
        <v>37</v>
      </c>
      <c r="N235" s="1" t="s">
        <v>2</v>
      </c>
      <c r="O235" s="1" t="s">
        <v>40</v>
      </c>
      <c r="P235" s="1">
        <f t="shared" si="74"/>
        <v>1.90218</v>
      </c>
      <c r="Q235" s="1">
        <f t="shared" si="75"/>
        <v>2.0511399999999997</v>
      </c>
      <c r="R235" s="1">
        <f t="shared" si="76"/>
        <v>1.6389079</v>
      </c>
      <c r="S235" s="1">
        <f t="shared" si="77"/>
        <v>1.0493908600000001</v>
      </c>
      <c r="T235" s="33">
        <v>0</v>
      </c>
      <c r="U235" s="1">
        <v>1</v>
      </c>
      <c r="W235" s="1" t="s">
        <v>9</v>
      </c>
      <c r="X235" s="1" t="s">
        <v>37</v>
      </c>
      <c r="Y235" s="1" t="s">
        <v>2</v>
      </c>
      <c r="Z235" s="1" t="s">
        <v>39</v>
      </c>
      <c r="AA235" s="1">
        <f t="shared" si="68"/>
        <v>1.9798200000000001</v>
      </c>
      <c r="AB235" s="1">
        <f t="shared" si="69"/>
        <v>2.1348600000000002</v>
      </c>
      <c r="AC235" s="1">
        <f t="shared" si="70"/>
        <v>1.7058021000000001</v>
      </c>
      <c r="AD235" s="1">
        <f t="shared" si="71"/>
        <v>1.09222314</v>
      </c>
      <c r="AE235" s="28">
        <v>1000</v>
      </c>
      <c r="AF235" s="1">
        <v>1</v>
      </c>
    </row>
    <row r="236" spans="2:32" x14ac:dyDescent="0.25">
      <c r="B236" s="24" t="s">
        <v>10</v>
      </c>
      <c r="C236" s="24" t="s">
        <v>37</v>
      </c>
      <c r="D236" s="24" t="s">
        <v>2</v>
      </c>
      <c r="E236" s="24"/>
      <c r="F236" s="24"/>
      <c r="G236" s="24"/>
      <c r="H236" s="24"/>
      <c r="I236" s="24"/>
      <c r="J236" s="1">
        <v>1</v>
      </c>
      <c r="L236" s="1" t="s">
        <v>10</v>
      </c>
      <c r="M236" s="1" t="s">
        <v>37</v>
      </c>
      <c r="N236" s="1" t="s">
        <v>2</v>
      </c>
      <c r="O236" s="1" t="s">
        <v>40</v>
      </c>
      <c r="P236" s="1" t="str">
        <f t="shared" si="74"/>
        <v>:</v>
      </c>
      <c r="Q236" s="1" t="str">
        <f t="shared" si="75"/>
        <v>:</v>
      </c>
      <c r="R236" s="1" t="str">
        <f t="shared" si="76"/>
        <v>:</v>
      </c>
      <c r="S236" s="1" t="str">
        <f t="shared" si="77"/>
        <v>:</v>
      </c>
      <c r="T236" s="33">
        <v>0</v>
      </c>
      <c r="U236" s="1">
        <v>1</v>
      </c>
      <c r="W236" s="1" t="s">
        <v>10</v>
      </c>
      <c r="X236" s="1" t="s">
        <v>37</v>
      </c>
      <c r="Y236" s="1" t="s">
        <v>2</v>
      </c>
      <c r="Z236" s="1" t="s">
        <v>39</v>
      </c>
      <c r="AA236" s="1" t="str">
        <f t="shared" si="68"/>
        <v>:</v>
      </c>
      <c r="AB236" s="1" t="str">
        <f t="shared" si="69"/>
        <v>:</v>
      </c>
      <c r="AC236" s="1" t="str">
        <f t="shared" si="70"/>
        <v>:</v>
      </c>
      <c r="AD236" s="1" t="str">
        <f t="shared" si="71"/>
        <v>:</v>
      </c>
      <c r="AE236" s="28">
        <v>1000</v>
      </c>
      <c r="AF236" s="1">
        <v>1</v>
      </c>
    </row>
    <row r="237" spans="2:32" x14ac:dyDescent="0.25">
      <c r="B237" s="24" t="s">
        <v>11</v>
      </c>
      <c r="C237" s="24" t="s">
        <v>37</v>
      </c>
      <c r="D237" s="24" t="s">
        <v>2</v>
      </c>
      <c r="E237" s="24"/>
      <c r="F237" s="24">
        <v>54.502019999999995</v>
      </c>
      <c r="G237" s="24">
        <v>48.701411999999998</v>
      </c>
      <c r="H237" s="24">
        <v>52.170386000000001</v>
      </c>
      <c r="I237" s="24">
        <v>53.724514000000006</v>
      </c>
      <c r="J237" s="1">
        <v>1</v>
      </c>
      <c r="L237" s="1" t="s">
        <v>11</v>
      </c>
      <c r="M237" s="1" t="s">
        <v>37</v>
      </c>
      <c r="N237" s="1" t="s">
        <v>2</v>
      </c>
      <c r="O237" s="1" t="s">
        <v>40</v>
      </c>
      <c r="P237" s="1">
        <f t="shared" ref="P237:P300" si="79">IF(ISBLANK(F237),":",0.98*F237)</f>
        <v>53.411979599999995</v>
      </c>
      <c r="Q237" s="1">
        <f t="shared" ref="Q237:Q300" si="80">IF(ISBLANK(G237),":",0.98*G237)</f>
        <v>47.727383759999995</v>
      </c>
      <c r="R237" s="1">
        <f t="shared" ref="R237:R300" si="81">IF(ISBLANK(H237),":",0.98*H237)</f>
        <v>51.126978280000003</v>
      </c>
      <c r="S237" s="1">
        <f t="shared" ref="S237:S300" si="82">IF(ISBLANK(I237),":",0.98*I237)</f>
        <v>52.650023720000007</v>
      </c>
      <c r="T237" s="33">
        <v>0</v>
      </c>
      <c r="U237" s="1">
        <v>1</v>
      </c>
      <c r="W237" s="1" t="s">
        <v>11</v>
      </c>
      <c r="X237" s="1" t="s">
        <v>37</v>
      </c>
      <c r="Y237" s="1" t="s">
        <v>2</v>
      </c>
      <c r="Z237" s="1" t="s">
        <v>39</v>
      </c>
      <c r="AA237" s="1">
        <f t="shared" si="68"/>
        <v>55.592060399999994</v>
      </c>
      <c r="AB237" s="1">
        <f t="shared" si="69"/>
        <v>49.67544024</v>
      </c>
      <c r="AC237" s="1">
        <f t="shared" si="70"/>
        <v>53.213793719999998</v>
      </c>
      <c r="AD237" s="1">
        <f t="shared" si="71"/>
        <v>54.799004280000005</v>
      </c>
      <c r="AE237" s="28">
        <v>1000</v>
      </c>
      <c r="AF237" s="1">
        <v>1</v>
      </c>
    </row>
    <row r="238" spans="2:32" x14ac:dyDescent="0.25">
      <c r="B238" s="24" t="s">
        <v>12</v>
      </c>
      <c r="C238" s="24" t="s">
        <v>37</v>
      </c>
      <c r="D238" s="24" t="s">
        <v>2</v>
      </c>
      <c r="E238" s="24"/>
      <c r="F238" s="24">
        <v>6.444</v>
      </c>
      <c r="G238" s="24">
        <v>5.0069999999999997</v>
      </c>
      <c r="H238" s="24">
        <v>4.7711999999999994</v>
      </c>
      <c r="I238" s="24">
        <v>4.3285</v>
      </c>
      <c r="J238" s="1">
        <v>1</v>
      </c>
      <c r="L238" s="1" t="s">
        <v>12</v>
      </c>
      <c r="M238" s="1" t="s">
        <v>37</v>
      </c>
      <c r="N238" s="1" t="s">
        <v>2</v>
      </c>
      <c r="O238" s="1" t="s">
        <v>40</v>
      </c>
      <c r="P238" s="1">
        <f t="shared" si="79"/>
        <v>6.3151199999999994</v>
      </c>
      <c r="Q238" s="1">
        <f t="shared" si="80"/>
        <v>4.90686</v>
      </c>
      <c r="R238" s="1">
        <f t="shared" si="81"/>
        <v>4.675775999999999</v>
      </c>
      <c r="S238" s="1">
        <f t="shared" si="82"/>
        <v>4.24193</v>
      </c>
      <c r="T238" s="33">
        <v>0</v>
      </c>
      <c r="U238" s="1">
        <v>1</v>
      </c>
      <c r="W238" s="1" t="s">
        <v>12</v>
      </c>
      <c r="X238" s="1" t="s">
        <v>37</v>
      </c>
      <c r="Y238" s="1" t="s">
        <v>2</v>
      </c>
      <c r="Z238" s="1" t="s">
        <v>39</v>
      </c>
      <c r="AA238" s="1">
        <f t="shared" si="68"/>
        <v>6.5728800000000005</v>
      </c>
      <c r="AB238" s="1">
        <f t="shared" si="69"/>
        <v>5.1071399999999993</v>
      </c>
      <c r="AC238" s="1">
        <f t="shared" si="70"/>
        <v>4.8666239999999998</v>
      </c>
      <c r="AD238" s="1">
        <f t="shared" si="71"/>
        <v>4.4150700000000001</v>
      </c>
      <c r="AE238" s="28">
        <v>1000</v>
      </c>
      <c r="AF238" s="1">
        <v>1</v>
      </c>
    </row>
    <row r="239" spans="2:32" x14ac:dyDescent="0.25">
      <c r="B239" s="24" t="s">
        <v>13</v>
      </c>
      <c r="C239" s="24" t="s">
        <v>37</v>
      </c>
      <c r="D239" s="24" t="s">
        <v>2</v>
      </c>
      <c r="E239" s="24"/>
      <c r="F239" s="24">
        <v>5.133</v>
      </c>
      <c r="G239" s="24">
        <v>38.033000000000001</v>
      </c>
      <c r="H239" s="24">
        <v>36.409312</v>
      </c>
      <c r="I239" s="24">
        <v>25.61354</v>
      </c>
      <c r="J239" s="1">
        <v>1</v>
      </c>
      <c r="L239" s="1" t="s">
        <v>13</v>
      </c>
      <c r="M239" s="1" t="s">
        <v>37</v>
      </c>
      <c r="N239" s="1" t="s">
        <v>2</v>
      </c>
      <c r="O239" s="1" t="s">
        <v>40</v>
      </c>
      <c r="P239" s="1">
        <f t="shared" si="79"/>
        <v>5.0303399999999998</v>
      </c>
      <c r="Q239" s="1">
        <f t="shared" si="80"/>
        <v>37.27234</v>
      </c>
      <c r="R239" s="1">
        <f t="shared" si="81"/>
        <v>35.68112576</v>
      </c>
      <c r="S239" s="1">
        <f t="shared" si="82"/>
        <v>25.101269200000001</v>
      </c>
      <c r="T239" s="33">
        <v>0</v>
      </c>
      <c r="U239" s="1">
        <v>1</v>
      </c>
      <c r="W239" s="1" t="s">
        <v>13</v>
      </c>
      <c r="X239" s="1" t="s">
        <v>37</v>
      </c>
      <c r="Y239" s="1" t="s">
        <v>2</v>
      </c>
      <c r="Z239" s="1" t="s">
        <v>39</v>
      </c>
      <c r="AA239" s="1">
        <f t="shared" si="68"/>
        <v>5.2356600000000002</v>
      </c>
      <c r="AB239" s="1">
        <f t="shared" si="69"/>
        <v>38.793660000000003</v>
      </c>
      <c r="AC239" s="1">
        <f t="shared" si="70"/>
        <v>37.137498239999999</v>
      </c>
      <c r="AD239" s="1">
        <f t="shared" si="71"/>
        <v>26.1258108</v>
      </c>
      <c r="AE239" s="28">
        <v>1000</v>
      </c>
      <c r="AF239" s="1">
        <v>1</v>
      </c>
    </row>
    <row r="240" spans="2:32" x14ac:dyDescent="0.25">
      <c r="B240" s="24" t="s">
        <v>14</v>
      </c>
      <c r="C240" s="24" t="s">
        <v>37</v>
      </c>
      <c r="D240" s="24" t="s">
        <v>2</v>
      </c>
      <c r="E240" s="24"/>
      <c r="F240" s="24">
        <v>0</v>
      </c>
      <c r="G240" s="24">
        <v>0</v>
      </c>
      <c r="H240" s="24">
        <v>0</v>
      </c>
      <c r="I240" s="24">
        <v>0</v>
      </c>
      <c r="J240" s="1">
        <v>1</v>
      </c>
      <c r="L240" s="1" t="s">
        <v>14</v>
      </c>
      <c r="M240" s="1" t="s">
        <v>37</v>
      </c>
      <c r="N240" s="1" t="s">
        <v>2</v>
      </c>
      <c r="O240" s="1" t="s">
        <v>40</v>
      </c>
      <c r="P240" s="1">
        <f t="shared" si="79"/>
        <v>0</v>
      </c>
      <c r="Q240" s="1">
        <f t="shared" si="80"/>
        <v>0</v>
      </c>
      <c r="R240" s="1">
        <f t="shared" si="81"/>
        <v>0</v>
      </c>
      <c r="S240" s="1">
        <f t="shared" si="82"/>
        <v>0</v>
      </c>
      <c r="T240" s="33">
        <v>0</v>
      </c>
      <c r="U240" s="1">
        <v>1</v>
      </c>
      <c r="W240" s="1" t="s">
        <v>14</v>
      </c>
      <c r="X240" s="1" t="s">
        <v>37</v>
      </c>
      <c r="Y240" s="1" t="s">
        <v>2</v>
      </c>
      <c r="Z240" s="1" t="s">
        <v>39</v>
      </c>
      <c r="AA240" s="1">
        <f t="shared" si="68"/>
        <v>0</v>
      </c>
      <c r="AB240" s="1">
        <f t="shared" si="69"/>
        <v>0</v>
      </c>
      <c r="AC240" s="1">
        <f t="shared" si="70"/>
        <v>0</v>
      </c>
      <c r="AD240" s="1">
        <f t="shared" si="71"/>
        <v>0</v>
      </c>
      <c r="AE240" s="28">
        <v>1000</v>
      </c>
      <c r="AF240" s="1">
        <v>1</v>
      </c>
    </row>
    <row r="241" spans="2:32" x14ac:dyDescent="0.25">
      <c r="B241" s="24" t="s">
        <v>15</v>
      </c>
      <c r="C241" s="24" t="s">
        <v>37</v>
      </c>
      <c r="D241" s="24" t="s">
        <v>2</v>
      </c>
      <c r="E241" s="24"/>
      <c r="F241" s="24">
        <v>17.622</v>
      </c>
      <c r="G241" s="24">
        <v>14.101000000000001</v>
      </c>
      <c r="H241" s="24">
        <v>14.523541999999999</v>
      </c>
      <c r="I241" s="24">
        <v>14.551871999999999</v>
      </c>
      <c r="J241" s="1">
        <v>1</v>
      </c>
      <c r="L241" s="1" t="s">
        <v>15</v>
      </c>
      <c r="M241" s="1" t="s">
        <v>37</v>
      </c>
      <c r="N241" s="1" t="s">
        <v>2</v>
      </c>
      <c r="O241" s="1" t="s">
        <v>40</v>
      </c>
      <c r="P241" s="1">
        <f t="shared" si="79"/>
        <v>17.269559999999998</v>
      </c>
      <c r="Q241" s="1">
        <f t="shared" si="80"/>
        <v>13.81898</v>
      </c>
      <c r="R241" s="1">
        <f t="shared" si="81"/>
        <v>14.233071159999998</v>
      </c>
      <c r="S241" s="1">
        <f t="shared" si="82"/>
        <v>14.260834559999999</v>
      </c>
      <c r="T241" s="33">
        <v>0</v>
      </c>
      <c r="U241" s="1">
        <v>1</v>
      </c>
      <c r="W241" s="1" t="s">
        <v>15</v>
      </c>
      <c r="X241" s="1" t="s">
        <v>37</v>
      </c>
      <c r="Y241" s="1" t="s">
        <v>2</v>
      </c>
      <c r="Z241" s="1" t="s">
        <v>39</v>
      </c>
      <c r="AA241" s="1">
        <f t="shared" si="68"/>
        <v>17.974440000000001</v>
      </c>
      <c r="AB241" s="1">
        <f t="shared" si="69"/>
        <v>14.383020000000002</v>
      </c>
      <c r="AC241" s="1">
        <f t="shared" si="70"/>
        <v>14.81401284</v>
      </c>
      <c r="AD241" s="1">
        <f t="shared" si="71"/>
        <v>14.84290944</v>
      </c>
      <c r="AE241" s="28">
        <v>1000</v>
      </c>
      <c r="AF241" s="1">
        <v>1</v>
      </c>
    </row>
    <row r="242" spans="2:32" x14ac:dyDescent="0.25">
      <c r="B242" s="24" t="s">
        <v>16</v>
      </c>
      <c r="C242" s="24" t="s">
        <v>37</v>
      </c>
      <c r="D242" s="24" t="s">
        <v>2</v>
      </c>
      <c r="E242" s="24"/>
      <c r="F242" s="24">
        <v>22.08</v>
      </c>
      <c r="G242" s="24">
        <v>17.992000000000001</v>
      </c>
      <c r="H242" s="24">
        <v>17.597999999999999</v>
      </c>
      <c r="I242" s="24">
        <v>18.93</v>
      </c>
      <c r="J242" s="1">
        <v>1</v>
      </c>
      <c r="L242" s="1" t="s">
        <v>16</v>
      </c>
      <c r="M242" s="1" t="s">
        <v>37</v>
      </c>
      <c r="N242" s="1" t="s">
        <v>2</v>
      </c>
      <c r="O242" s="1" t="s">
        <v>40</v>
      </c>
      <c r="P242" s="1">
        <f t="shared" si="79"/>
        <v>21.638399999999997</v>
      </c>
      <c r="Q242" s="1">
        <f t="shared" si="80"/>
        <v>17.632159999999999</v>
      </c>
      <c r="R242" s="1">
        <f t="shared" si="81"/>
        <v>17.246039999999997</v>
      </c>
      <c r="S242" s="1">
        <f t="shared" si="82"/>
        <v>18.551400000000001</v>
      </c>
      <c r="T242" s="33">
        <v>0</v>
      </c>
      <c r="U242" s="1">
        <v>1</v>
      </c>
      <c r="W242" s="1" t="s">
        <v>16</v>
      </c>
      <c r="X242" s="1" t="s">
        <v>37</v>
      </c>
      <c r="Y242" s="1" t="s">
        <v>2</v>
      </c>
      <c r="Z242" s="1" t="s">
        <v>39</v>
      </c>
      <c r="AA242" s="1">
        <f t="shared" si="68"/>
        <v>22.521599999999999</v>
      </c>
      <c r="AB242" s="1">
        <f t="shared" si="69"/>
        <v>18.351840000000003</v>
      </c>
      <c r="AC242" s="1">
        <f t="shared" si="70"/>
        <v>17.949960000000001</v>
      </c>
      <c r="AD242" s="1">
        <f t="shared" si="71"/>
        <v>19.308599999999998</v>
      </c>
      <c r="AE242" s="28">
        <v>1000</v>
      </c>
      <c r="AF242" s="1">
        <v>1</v>
      </c>
    </row>
    <row r="243" spans="2:32" x14ac:dyDescent="0.25">
      <c r="B243" s="24" t="s">
        <v>17</v>
      </c>
      <c r="C243" s="24" t="s">
        <v>37</v>
      </c>
      <c r="D243" s="24" t="s">
        <v>2</v>
      </c>
      <c r="E243" s="24"/>
      <c r="F243" s="24">
        <v>0</v>
      </c>
      <c r="G243" s="24">
        <v>0</v>
      </c>
      <c r="H243" s="24">
        <v>0</v>
      </c>
      <c r="I243" s="24">
        <v>0</v>
      </c>
      <c r="J243" s="1">
        <v>1</v>
      </c>
      <c r="L243" s="1" t="s">
        <v>17</v>
      </c>
      <c r="M243" s="1" t="s">
        <v>37</v>
      </c>
      <c r="N243" s="1" t="s">
        <v>2</v>
      </c>
      <c r="O243" s="1" t="s">
        <v>40</v>
      </c>
      <c r="P243" s="1">
        <f t="shared" si="79"/>
        <v>0</v>
      </c>
      <c r="Q243" s="1">
        <f t="shared" si="80"/>
        <v>0</v>
      </c>
      <c r="R243" s="1">
        <f t="shared" si="81"/>
        <v>0</v>
      </c>
      <c r="S243" s="1">
        <f t="shared" si="82"/>
        <v>0</v>
      </c>
      <c r="T243" s="33">
        <v>0</v>
      </c>
      <c r="U243" s="1">
        <v>1</v>
      </c>
      <c r="W243" s="1" t="s">
        <v>17</v>
      </c>
      <c r="X243" s="1" t="s">
        <v>37</v>
      </c>
      <c r="Y243" s="1" t="s">
        <v>2</v>
      </c>
      <c r="Z243" s="1" t="s">
        <v>39</v>
      </c>
      <c r="AA243" s="1">
        <f t="shared" si="68"/>
        <v>0</v>
      </c>
      <c r="AB243" s="1">
        <f t="shared" si="69"/>
        <v>0</v>
      </c>
      <c r="AC243" s="1">
        <f t="shared" si="70"/>
        <v>0</v>
      </c>
      <c r="AD243" s="1">
        <f t="shared" si="71"/>
        <v>0</v>
      </c>
      <c r="AE243" s="28">
        <v>1000</v>
      </c>
      <c r="AF243" s="1">
        <v>1</v>
      </c>
    </row>
    <row r="244" spans="2:32" x14ac:dyDescent="0.25">
      <c r="B244" s="24" t="s">
        <v>18</v>
      </c>
      <c r="C244" s="24" t="s">
        <v>37</v>
      </c>
      <c r="D244" s="24" t="s">
        <v>2</v>
      </c>
      <c r="E244" s="24"/>
      <c r="F244" s="24">
        <v>23.850999999999999</v>
      </c>
      <c r="G244" s="24">
        <v>19.600999999999999</v>
      </c>
      <c r="H244" s="24">
        <v>19.681999999999999</v>
      </c>
      <c r="I244" s="24">
        <v>18.071000000000002</v>
      </c>
      <c r="J244" s="1">
        <v>1</v>
      </c>
      <c r="L244" s="1" t="s">
        <v>18</v>
      </c>
      <c r="M244" s="1" t="s">
        <v>37</v>
      </c>
      <c r="N244" s="1" t="s">
        <v>2</v>
      </c>
      <c r="O244" s="1" t="s">
        <v>40</v>
      </c>
      <c r="P244" s="1">
        <f t="shared" si="79"/>
        <v>23.37398</v>
      </c>
      <c r="Q244" s="1">
        <f t="shared" si="80"/>
        <v>19.20898</v>
      </c>
      <c r="R244" s="1">
        <f t="shared" si="81"/>
        <v>19.288359999999997</v>
      </c>
      <c r="S244" s="1">
        <f t="shared" si="82"/>
        <v>17.709580000000003</v>
      </c>
      <c r="T244" s="33">
        <v>0</v>
      </c>
      <c r="U244" s="1">
        <v>1</v>
      </c>
      <c r="W244" s="1" t="s">
        <v>18</v>
      </c>
      <c r="X244" s="1" t="s">
        <v>37</v>
      </c>
      <c r="Y244" s="1" t="s">
        <v>2</v>
      </c>
      <c r="Z244" s="1" t="s">
        <v>39</v>
      </c>
      <c r="AA244" s="1">
        <f t="shared" si="68"/>
        <v>24.328019999999999</v>
      </c>
      <c r="AB244" s="1">
        <f t="shared" si="69"/>
        <v>19.993019999999998</v>
      </c>
      <c r="AC244" s="1">
        <f t="shared" si="70"/>
        <v>20.07564</v>
      </c>
      <c r="AD244" s="1">
        <f t="shared" si="71"/>
        <v>18.43242</v>
      </c>
      <c r="AE244" s="28">
        <v>1000</v>
      </c>
      <c r="AF244" s="1">
        <v>1</v>
      </c>
    </row>
    <row r="245" spans="2:32" x14ac:dyDescent="0.25">
      <c r="B245" s="24" t="s">
        <v>20</v>
      </c>
      <c r="C245" s="24" t="s">
        <v>37</v>
      </c>
      <c r="D245" s="24" t="s">
        <v>2</v>
      </c>
      <c r="E245" s="24"/>
      <c r="F245" s="24">
        <v>12.173</v>
      </c>
      <c r="G245" s="24">
        <v>12.077999999999999</v>
      </c>
      <c r="H245" s="24">
        <v>11.780303999999999</v>
      </c>
      <c r="I245" s="24">
        <v>9.9062570000000001</v>
      </c>
      <c r="J245" s="1">
        <v>1</v>
      </c>
      <c r="L245" s="1" t="s">
        <v>20</v>
      </c>
      <c r="M245" s="1" t="s">
        <v>37</v>
      </c>
      <c r="N245" s="1" t="s">
        <v>2</v>
      </c>
      <c r="O245" s="1" t="s">
        <v>40</v>
      </c>
      <c r="P245" s="1">
        <f t="shared" si="79"/>
        <v>11.929539999999999</v>
      </c>
      <c r="Q245" s="1">
        <f t="shared" si="80"/>
        <v>11.83644</v>
      </c>
      <c r="R245" s="1">
        <f t="shared" si="81"/>
        <v>11.544697919999999</v>
      </c>
      <c r="S245" s="1">
        <f t="shared" si="82"/>
        <v>9.7081318599999999</v>
      </c>
      <c r="T245" s="33">
        <v>0</v>
      </c>
      <c r="U245" s="1">
        <v>1</v>
      </c>
      <c r="W245" s="1" t="s">
        <v>20</v>
      </c>
      <c r="X245" s="1" t="s">
        <v>37</v>
      </c>
      <c r="Y245" s="1" t="s">
        <v>2</v>
      </c>
      <c r="Z245" s="1" t="s">
        <v>39</v>
      </c>
      <c r="AA245" s="1">
        <f t="shared" si="68"/>
        <v>12.416460000000001</v>
      </c>
      <c r="AB245" s="1">
        <f t="shared" si="69"/>
        <v>12.319559999999999</v>
      </c>
      <c r="AC245" s="1">
        <f t="shared" si="70"/>
        <v>12.015910079999999</v>
      </c>
      <c r="AD245" s="1">
        <f t="shared" si="71"/>
        <v>10.10438214</v>
      </c>
      <c r="AE245" s="28">
        <v>1000</v>
      </c>
      <c r="AF245" s="1">
        <v>1</v>
      </c>
    </row>
    <row r="246" spans="2:32" x14ac:dyDescent="0.25">
      <c r="B246" s="24" t="s">
        <v>21</v>
      </c>
      <c r="C246" s="24" t="s">
        <v>37</v>
      </c>
      <c r="D246" s="24" t="s">
        <v>2</v>
      </c>
      <c r="E246" s="24"/>
      <c r="F246" s="24">
        <v>24.512764999999998</v>
      </c>
      <c r="G246" s="24">
        <v>31.476254000000001</v>
      </c>
      <c r="H246" s="24">
        <v>34.974949000000002</v>
      </c>
      <c r="I246" s="24">
        <v>31.316689999999998</v>
      </c>
      <c r="J246" s="1">
        <v>1</v>
      </c>
      <c r="L246" s="1" t="s">
        <v>21</v>
      </c>
      <c r="M246" s="1" t="s">
        <v>37</v>
      </c>
      <c r="N246" s="1" t="s">
        <v>2</v>
      </c>
      <c r="O246" s="1" t="s">
        <v>40</v>
      </c>
      <c r="P246" s="1">
        <f t="shared" si="79"/>
        <v>24.022509699999997</v>
      </c>
      <c r="Q246" s="1">
        <f t="shared" si="80"/>
        <v>30.84672892</v>
      </c>
      <c r="R246" s="1">
        <f t="shared" si="81"/>
        <v>34.275450020000001</v>
      </c>
      <c r="S246" s="1">
        <f t="shared" si="82"/>
        <v>30.690356199999997</v>
      </c>
      <c r="T246" s="33">
        <v>0</v>
      </c>
      <c r="U246" s="1">
        <v>1</v>
      </c>
      <c r="W246" s="1" t="s">
        <v>21</v>
      </c>
      <c r="X246" s="1" t="s">
        <v>37</v>
      </c>
      <c r="Y246" s="1" t="s">
        <v>2</v>
      </c>
      <c r="Z246" s="1" t="s">
        <v>39</v>
      </c>
      <c r="AA246" s="1">
        <f t="shared" si="68"/>
        <v>25.003020299999999</v>
      </c>
      <c r="AB246" s="1">
        <f t="shared" si="69"/>
        <v>32.105779080000005</v>
      </c>
      <c r="AC246" s="1">
        <f t="shared" si="70"/>
        <v>35.674447980000004</v>
      </c>
      <c r="AD246" s="1">
        <f t="shared" si="71"/>
        <v>31.943023799999999</v>
      </c>
      <c r="AE246" s="28">
        <v>1000</v>
      </c>
      <c r="AF246" s="1">
        <v>1</v>
      </c>
    </row>
    <row r="247" spans="2:32" x14ac:dyDescent="0.25">
      <c r="B247" s="24" t="s">
        <v>22</v>
      </c>
      <c r="C247" s="24" t="s">
        <v>37</v>
      </c>
      <c r="D247" s="24" t="s">
        <v>2</v>
      </c>
      <c r="E247" s="24"/>
      <c r="F247" s="24">
        <v>195</v>
      </c>
      <c r="G247" s="24">
        <v>162.5</v>
      </c>
      <c r="H247" s="24">
        <v>152.27000000000001</v>
      </c>
      <c r="I247" s="24">
        <v>146.01</v>
      </c>
      <c r="J247" s="1">
        <v>1</v>
      </c>
      <c r="L247" s="1" t="s">
        <v>22</v>
      </c>
      <c r="M247" s="1" t="s">
        <v>37</v>
      </c>
      <c r="N247" s="1" t="s">
        <v>2</v>
      </c>
      <c r="O247" s="1" t="s">
        <v>40</v>
      </c>
      <c r="P247" s="1">
        <f t="shared" si="79"/>
        <v>191.1</v>
      </c>
      <c r="Q247" s="1">
        <f t="shared" si="80"/>
        <v>159.25</v>
      </c>
      <c r="R247" s="1">
        <f t="shared" si="81"/>
        <v>149.22460000000001</v>
      </c>
      <c r="S247" s="1">
        <f t="shared" si="82"/>
        <v>143.0898</v>
      </c>
      <c r="T247" s="33">
        <v>0</v>
      </c>
      <c r="U247" s="1">
        <v>1</v>
      </c>
      <c r="W247" s="1" t="s">
        <v>22</v>
      </c>
      <c r="X247" s="1" t="s">
        <v>37</v>
      </c>
      <c r="Y247" s="1" t="s">
        <v>2</v>
      </c>
      <c r="Z247" s="1" t="s">
        <v>39</v>
      </c>
      <c r="AA247" s="1">
        <f t="shared" si="68"/>
        <v>198.9</v>
      </c>
      <c r="AB247" s="1">
        <f t="shared" si="69"/>
        <v>165.75</v>
      </c>
      <c r="AC247" s="1">
        <f t="shared" si="70"/>
        <v>155.31540000000001</v>
      </c>
      <c r="AD247" s="1">
        <f t="shared" si="71"/>
        <v>148.93019999999999</v>
      </c>
      <c r="AE247" s="28">
        <v>1000</v>
      </c>
      <c r="AF247" s="1">
        <v>1</v>
      </c>
    </row>
    <row r="248" spans="2:32" x14ac:dyDescent="0.25">
      <c r="B248" s="24" t="s">
        <v>23</v>
      </c>
      <c r="C248" s="24" t="s">
        <v>37</v>
      </c>
      <c r="D248" s="24" t="s">
        <v>2</v>
      </c>
      <c r="E248" s="24"/>
      <c r="F248" s="24">
        <v>4.2999999999999997E-2</v>
      </c>
      <c r="G248" s="24">
        <v>3.5999999999999997E-2</v>
      </c>
      <c r="H248" s="24">
        <v>3.5999999999999997E-2</v>
      </c>
      <c r="I248" s="24">
        <v>0</v>
      </c>
      <c r="J248" s="1">
        <v>1</v>
      </c>
      <c r="L248" s="1" t="s">
        <v>23</v>
      </c>
      <c r="M248" s="1" t="s">
        <v>37</v>
      </c>
      <c r="N248" s="1" t="s">
        <v>2</v>
      </c>
      <c r="O248" s="1" t="s">
        <v>40</v>
      </c>
      <c r="P248" s="1">
        <f t="shared" si="79"/>
        <v>4.2139999999999997E-2</v>
      </c>
      <c r="Q248" s="1">
        <f t="shared" si="80"/>
        <v>3.5279999999999999E-2</v>
      </c>
      <c r="R248" s="1">
        <f t="shared" si="81"/>
        <v>3.5279999999999999E-2</v>
      </c>
      <c r="S248" s="1">
        <f t="shared" si="82"/>
        <v>0</v>
      </c>
      <c r="T248" s="33">
        <v>0</v>
      </c>
      <c r="U248" s="1">
        <v>1</v>
      </c>
      <c r="W248" s="1" t="s">
        <v>23</v>
      </c>
      <c r="X248" s="1" t="s">
        <v>37</v>
      </c>
      <c r="Y248" s="1" t="s">
        <v>2</v>
      </c>
      <c r="Z248" s="1" t="s">
        <v>39</v>
      </c>
      <c r="AA248" s="1">
        <f t="shared" si="68"/>
        <v>4.3859999999999996E-2</v>
      </c>
      <c r="AB248" s="1">
        <f t="shared" si="69"/>
        <v>3.6719999999999996E-2</v>
      </c>
      <c r="AC248" s="1">
        <f t="shared" si="70"/>
        <v>3.6719999999999996E-2</v>
      </c>
      <c r="AD248" s="1">
        <f t="shared" si="71"/>
        <v>0</v>
      </c>
      <c r="AE248" s="28">
        <v>1000</v>
      </c>
      <c r="AF248" s="1">
        <v>1</v>
      </c>
    </row>
    <row r="249" spans="2:32" x14ac:dyDescent="0.25">
      <c r="B249" s="24" t="s">
        <v>24</v>
      </c>
      <c r="C249" s="24" t="s">
        <v>37</v>
      </c>
      <c r="D249" s="24" t="s">
        <v>2</v>
      </c>
      <c r="E249" s="24"/>
      <c r="F249" s="24">
        <v>47.511000000000003</v>
      </c>
      <c r="G249" s="24">
        <v>33.558999999999997</v>
      </c>
      <c r="H249" s="24">
        <v>29.792621</v>
      </c>
      <c r="I249" s="24">
        <v>23.373635999999998</v>
      </c>
      <c r="J249" s="1">
        <v>1</v>
      </c>
      <c r="L249" s="1" t="s">
        <v>24</v>
      </c>
      <c r="M249" s="1" t="s">
        <v>37</v>
      </c>
      <c r="N249" s="1" t="s">
        <v>2</v>
      </c>
      <c r="O249" s="1" t="s">
        <v>40</v>
      </c>
      <c r="P249" s="1">
        <f t="shared" si="79"/>
        <v>46.560780000000001</v>
      </c>
      <c r="Q249" s="1">
        <f t="shared" si="80"/>
        <v>32.887819999999998</v>
      </c>
      <c r="R249" s="1">
        <f t="shared" si="81"/>
        <v>29.196768580000001</v>
      </c>
      <c r="S249" s="1">
        <f t="shared" si="82"/>
        <v>22.906163279999998</v>
      </c>
      <c r="T249" s="33">
        <v>0</v>
      </c>
      <c r="U249" s="1">
        <v>1</v>
      </c>
      <c r="W249" s="1" t="s">
        <v>24</v>
      </c>
      <c r="X249" s="1" t="s">
        <v>37</v>
      </c>
      <c r="Y249" s="1" t="s">
        <v>2</v>
      </c>
      <c r="Z249" s="1" t="s">
        <v>39</v>
      </c>
      <c r="AA249" s="1">
        <f t="shared" si="68"/>
        <v>48.461220000000004</v>
      </c>
      <c r="AB249" s="1">
        <f t="shared" si="69"/>
        <v>34.230179999999997</v>
      </c>
      <c r="AC249" s="1">
        <f t="shared" si="70"/>
        <v>30.38847342</v>
      </c>
      <c r="AD249" s="1">
        <f t="shared" si="71"/>
        <v>23.841108719999998</v>
      </c>
      <c r="AE249" s="28">
        <v>1000</v>
      </c>
      <c r="AF249" s="1">
        <v>1</v>
      </c>
    </row>
    <row r="250" spans="2:32" x14ac:dyDescent="0.25">
      <c r="B250" s="24" t="s">
        <v>25</v>
      </c>
      <c r="C250" s="24" t="s">
        <v>37</v>
      </c>
      <c r="D250" s="24" t="s">
        <v>2</v>
      </c>
      <c r="E250" s="24"/>
      <c r="F250" s="24">
        <v>4.2450000000000001</v>
      </c>
      <c r="G250" s="24">
        <v>3.2109999999999999</v>
      </c>
      <c r="H250" s="24">
        <v>3.1428130000000003</v>
      </c>
      <c r="I250" s="24">
        <v>2.8244639999999999</v>
      </c>
      <c r="J250" s="1">
        <v>1</v>
      </c>
      <c r="L250" s="1" t="s">
        <v>25</v>
      </c>
      <c r="M250" s="1" t="s">
        <v>37</v>
      </c>
      <c r="N250" s="1" t="s">
        <v>2</v>
      </c>
      <c r="O250" s="1" t="s">
        <v>40</v>
      </c>
      <c r="P250" s="1">
        <f t="shared" si="79"/>
        <v>4.1600999999999999</v>
      </c>
      <c r="Q250" s="1">
        <f t="shared" si="80"/>
        <v>3.1467799999999997</v>
      </c>
      <c r="R250" s="1">
        <f t="shared" si="81"/>
        <v>3.0799567400000001</v>
      </c>
      <c r="S250" s="1">
        <f t="shared" si="82"/>
        <v>2.7679747199999998</v>
      </c>
      <c r="T250" s="33">
        <v>0</v>
      </c>
      <c r="U250" s="1">
        <v>1</v>
      </c>
      <c r="W250" s="1" t="s">
        <v>25</v>
      </c>
      <c r="X250" s="1" t="s">
        <v>37</v>
      </c>
      <c r="Y250" s="1" t="s">
        <v>2</v>
      </c>
      <c r="Z250" s="1" t="s">
        <v>39</v>
      </c>
      <c r="AA250" s="1">
        <f t="shared" si="68"/>
        <v>4.3299000000000003</v>
      </c>
      <c r="AB250" s="1">
        <f t="shared" si="69"/>
        <v>3.27522</v>
      </c>
      <c r="AC250" s="1">
        <f t="shared" si="70"/>
        <v>3.2056692600000005</v>
      </c>
      <c r="AD250" s="1">
        <f t="shared" si="71"/>
        <v>2.8809532799999999</v>
      </c>
      <c r="AE250" s="28">
        <v>1000</v>
      </c>
      <c r="AF250" s="1">
        <v>1</v>
      </c>
    </row>
    <row r="251" spans="2:32" x14ac:dyDescent="0.25">
      <c r="B251" s="24" t="s">
        <v>26</v>
      </c>
      <c r="C251" s="24" t="s">
        <v>37</v>
      </c>
      <c r="D251" s="24" t="s">
        <v>2</v>
      </c>
      <c r="E251" s="24"/>
      <c r="F251" s="24">
        <v>20.562999999999999</v>
      </c>
      <c r="G251" s="24">
        <v>18.960999999999999</v>
      </c>
      <c r="H251" s="24">
        <v>17.148</v>
      </c>
      <c r="I251" s="24">
        <v>12.343999999999999</v>
      </c>
      <c r="J251" s="1">
        <v>1</v>
      </c>
      <c r="L251" s="1" t="s">
        <v>26</v>
      </c>
      <c r="M251" s="1" t="s">
        <v>37</v>
      </c>
      <c r="N251" s="1" t="s">
        <v>2</v>
      </c>
      <c r="O251" s="1" t="s">
        <v>40</v>
      </c>
      <c r="P251" s="1">
        <f t="shared" si="79"/>
        <v>20.15174</v>
      </c>
      <c r="Q251" s="1">
        <f t="shared" si="80"/>
        <v>18.581779999999998</v>
      </c>
      <c r="R251" s="1">
        <f t="shared" si="81"/>
        <v>16.805039999999998</v>
      </c>
      <c r="S251" s="1">
        <f t="shared" si="82"/>
        <v>12.097119999999999</v>
      </c>
      <c r="T251" s="33">
        <v>0</v>
      </c>
      <c r="U251" s="1">
        <v>1</v>
      </c>
      <c r="W251" s="1" t="s">
        <v>26</v>
      </c>
      <c r="X251" s="1" t="s">
        <v>37</v>
      </c>
      <c r="Y251" s="1" t="s">
        <v>2</v>
      </c>
      <c r="Z251" s="1" t="s">
        <v>39</v>
      </c>
      <c r="AA251" s="1">
        <f t="shared" si="68"/>
        <v>20.974259999999997</v>
      </c>
      <c r="AB251" s="1">
        <f t="shared" si="69"/>
        <v>19.340219999999999</v>
      </c>
      <c r="AC251" s="1">
        <f t="shared" si="70"/>
        <v>17.490960000000001</v>
      </c>
      <c r="AD251" s="1">
        <f t="shared" si="71"/>
        <v>12.59088</v>
      </c>
      <c r="AE251" s="28">
        <v>1000</v>
      </c>
      <c r="AF251" s="1">
        <v>1</v>
      </c>
    </row>
    <row r="252" spans="2:32" x14ac:dyDescent="0.25">
      <c r="B252" s="24" t="s">
        <v>27</v>
      </c>
      <c r="C252" s="24" t="s">
        <v>37</v>
      </c>
      <c r="D252" s="24" t="s">
        <v>2</v>
      </c>
      <c r="E252" s="24"/>
      <c r="F252" s="24">
        <v>72.882000000000005</v>
      </c>
      <c r="G252" s="24">
        <v>64.715000000000003</v>
      </c>
      <c r="H252" s="24">
        <v>61.134999999999998</v>
      </c>
      <c r="I252" s="24">
        <v>66.917000000000002</v>
      </c>
      <c r="J252" s="1">
        <v>1</v>
      </c>
      <c r="L252" s="1" t="s">
        <v>27</v>
      </c>
      <c r="M252" s="1" t="s">
        <v>37</v>
      </c>
      <c r="N252" s="1" t="s">
        <v>2</v>
      </c>
      <c r="O252" s="1" t="s">
        <v>40</v>
      </c>
      <c r="P252" s="1">
        <f t="shared" si="79"/>
        <v>71.424360000000007</v>
      </c>
      <c r="Q252" s="1">
        <f t="shared" si="80"/>
        <v>63.420700000000004</v>
      </c>
      <c r="R252" s="1">
        <f t="shared" si="81"/>
        <v>59.912299999999995</v>
      </c>
      <c r="S252" s="1">
        <f t="shared" si="82"/>
        <v>65.578659999999999</v>
      </c>
      <c r="T252" s="33">
        <v>0</v>
      </c>
      <c r="U252" s="1">
        <v>1</v>
      </c>
      <c r="W252" s="1" t="s">
        <v>27</v>
      </c>
      <c r="X252" s="1" t="s">
        <v>37</v>
      </c>
      <c r="Y252" s="1" t="s">
        <v>2</v>
      </c>
      <c r="Z252" s="1" t="s">
        <v>39</v>
      </c>
      <c r="AA252" s="1">
        <f t="shared" si="68"/>
        <v>74.339640000000003</v>
      </c>
      <c r="AB252" s="1">
        <f t="shared" si="69"/>
        <v>66.00930000000001</v>
      </c>
      <c r="AC252" s="1">
        <f t="shared" si="70"/>
        <v>62.357700000000001</v>
      </c>
      <c r="AD252" s="1">
        <f t="shared" si="71"/>
        <v>68.255340000000004</v>
      </c>
      <c r="AE252" s="28">
        <v>1000</v>
      </c>
      <c r="AF252" s="1">
        <v>1</v>
      </c>
    </row>
    <row r="253" spans="2:32" x14ac:dyDescent="0.25">
      <c r="B253" s="24" t="s">
        <v>28</v>
      </c>
      <c r="C253" s="24" t="s">
        <v>37</v>
      </c>
      <c r="D253" s="24" t="s">
        <v>2</v>
      </c>
      <c r="E253" s="24"/>
      <c r="F253" s="24">
        <v>135.38900000000001</v>
      </c>
      <c r="G253" s="24">
        <v>103.50700000000001</v>
      </c>
      <c r="H253" s="24">
        <v>100.69199999999999</v>
      </c>
      <c r="I253" s="24">
        <v>112.108</v>
      </c>
      <c r="J253" s="1">
        <v>1</v>
      </c>
      <c r="L253" s="1" t="s">
        <v>28</v>
      </c>
      <c r="M253" s="1" t="s">
        <v>37</v>
      </c>
      <c r="N253" s="1" t="s">
        <v>2</v>
      </c>
      <c r="O253" s="1" t="s">
        <v>40</v>
      </c>
      <c r="P253" s="1">
        <f t="shared" si="79"/>
        <v>132.68122</v>
      </c>
      <c r="Q253" s="1">
        <f t="shared" si="80"/>
        <v>101.43686000000001</v>
      </c>
      <c r="R253" s="1">
        <f t="shared" si="81"/>
        <v>98.678159999999991</v>
      </c>
      <c r="S253" s="1">
        <f t="shared" si="82"/>
        <v>109.86584000000001</v>
      </c>
      <c r="T253" s="33">
        <v>0</v>
      </c>
      <c r="U253" s="1">
        <v>1</v>
      </c>
      <c r="W253" s="1" t="s">
        <v>28</v>
      </c>
      <c r="X253" s="1" t="s">
        <v>37</v>
      </c>
      <c r="Y253" s="1" t="s">
        <v>2</v>
      </c>
      <c r="Z253" s="1" t="s">
        <v>39</v>
      </c>
      <c r="AA253" s="1">
        <f t="shared" si="68"/>
        <v>138.09678000000002</v>
      </c>
      <c r="AB253" s="1">
        <f t="shared" si="69"/>
        <v>105.57714</v>
      </c>
      <c r="AC253" s="1">
        <f t="shared" si="70"/>
        <v>102.70583999999999</v>
      </c>
      <c r="AD253" s="1">
        <f t="shared" si="71"/>
        <v>114.35016</v>
      </c>
      <c r="AE253" s="28">
        <v>1000</v>
      </c>
      <c r="AF253" s="1">
        <v>1</v>
      </c>
    </row>
    <row r="254" spans="2:32" x14ac:dyDescent="0.25">
      <c r="B254" s="24" t="s">
        <v>29</v>
      </c>
      <c r="C254" s="24" t="s">
        <v>37</v>
      </c>
      <c r="D254" s="24" t="s">
        <v>2</v>
      </c>
      <c r="E254" s="24"/>
      <c r="F254" s="24">
        <v>3.9018099999999998</v>
      </c>
      <c r="G254" s="24">
        <v>3.7335349999999998</v>
      </c>
      <c r="H254" s="24">
        <v>5.2795870000000003</v>
      </c>
      <c r="I254" s="24">
        <v>6.9292659999999993</v>
      </c>
      <c r="J254" s="1">
        <v>1</v>
      </c>
      <c r="L254" s="1" t="s">
        <v>29</v>
      </c>
      <c r="M254" s="1" t="s">
        <v>37</v>
      </c>
      <c r="N254" s="1" t="s">
        <v>2</v>
      </c>
      <c r="O254" s="1" t="s">
        <v>40</v>
      </c>
      <c r="P254" s="1">
        <f t="shared" si="79"/>
        <v>3.8237737999999997</v>
      </c>
      <c r="Q254" s="1">
        <f t="shared" si="80"/>
        <v>3.6588642999999998</v>
      </c>
      <c r="R254" s="1">
        <f t="shared" si="81"/>
        <v>5.1739952599999999</v>
      </c>
      <c r="S254" s="1">
        <f t="shared" si="82"/>
        <v>6.7906806799999995</v>
      </c>
      <c r="T254" s="33">
        <v>0</v>
      </c>
      <c r="U254" s="1">
        <v>1</v>
      </c>
      <c r="W254" s="1" t="s">
        <v>29</v>
      </c>
      <c r="X254" s="1" t="s">
        <v>37</v>
      </c>
      <c r="Y254" s="1" t="s">
        <v>2</v>
      </c>
      <c r="Z254" s="1" t="s">
        <v>39</v>
      </c>
      <c r="AA254" s="1">
        <f t="shared" si="68"/>
        <v>3.9798461999999999</v>
      </c>
      <c r="AB254" s="1">
        <f t="shared" si="69"/>
        <v>3.8082056999999998</v>
      </c>
      <c r="AC254" s="1">
        <f t="shared" si="70"/>
        <v>5.3851787400000006</v>
      </c>
      <c r="AD254" s="1">
        <f t="shared" si="71"/>
        <v>7.067851319999999</v>
      </c>
      <c r="AE254" s="28">
        <v>1000</v>
      </c>
      <c r="AF254" s="1">
        <v>1</v>
      </c>
    </row>
    <row r="255" spans="2:32" x14ac:dyDescent="0.25">
      <c r="B255" s="24" t="s">
        <v>30</v>
      </c>
      <c r="C255" s="24" t="s">
        <v>37</v>
      </c>
      <c r="D255" s="24" t="s">
        <v>2</v>
      </c>
      <c r="E255" s="24"/>
      <c r="F255" s="24">
        <v>2.1739999999999999</v>
      </c>
      <c r="G255" s="24">
        <v>10.904187</v>
      </c>
      <c r="H255" s="24">
        <v>11.398144320000002</v>
      </c>
      <c r="I255" s="24">
        <v>11.3441346</v>
      </c>
      <c r="J255" s="1">
        <v>1</v>
      </c>
      <c r="L255" s="1" t="s">
        <v>30</v>
      </c>
      <c r="M255" s="1" t="s">
        <v>37</v>
      </c>
      <c r="N255" s="1" t="s">
        <v>2</v>
      </c>
      <c r="O255" s="1" t="s">
        <v>40</v>
      </c>
      <c r="P255" s="1">
        <f t="shared" si="79"/>
        <v>2.1305199999999997</v>
      </c>
      <c r="Q255" s="1">
        <f t="shared" si="80"/>
        <v>10.686103259999999</v>
      </c>
      <c r="R255" s="1">
        <f t="shared" si="81"/>
        <v>11.170181433600002</v>
      </c>
      <c r="S255" s="1">
        <f t="shared" si="82"/>
        <v>11.117251908</v>
      </c>
      <c r="T255" s="33">
        <v>0</v>
      </c>
      <c r="U255" s="1">
        <v>1</v>
      </c>
      <c r="W255" s="1" t="s">
        <v>30</v>
      </c>
      <c r="X255" s="1" t="s">
        <v>37</v>
      </c>
      <c r="Y255" s="1" t="s">
        <v>2</v>
      </c>
      <c r="Z255" s="1" t="s">
        <v>39</v>
      </c>
      <c r="AA255" s="1">
        <f t="shared" si="68"/>
        <v>2.2174800000000001</v>
      </c>
      <c r="AB255" s="1">
        <f t="shared" si="69"/>
        <v>11.122270740000001</v>
      </c>
      <c r="AC255" s="1">
        <f t="shared" si="70"/>
        <v>11.626107206400002</v>
      </c>
      <c r="AD255" s="1">
        <f t="shared" si="71"/>
        <v>11.571017292000001</v>
      </c>
      <c r="AE255" s="28">
        <v>1000</v>
      </c>
      <c r="AF255" s="1">
        <v>1</v>
      </c>
    </row>
    <row r="256" spans="2:32" x14ac:dyDescent="0.25">
      <c r="B256" s="1" t="s">
        <v>0</v>
      </c>
      <c r="C256" s="1" t="s">
        <v>38</v>
      </c>
      <c r="D256" s="1" t="s">
        <v>2</v>
      </c>
      <c r="E256" s="1"/>
      <c r="F256" s="1">
        <v>166.87146100000001</v>
      </c>
      <c r="G256" s="1">
        <v>134.54412599999998</v>
      </c>
      <c r="H256" s="1">
        <v>130.76742200000001</v>
      </c>
      <c r="I256" s="1">
        <v>119.69903699999999</v>
      </c>
      <c r="J256" s="1">
        <v>1</v>
      </c>
      <c r="L256" s="1" t="s">
        <v>0</v>
      </c>
      <c r="M256" s="1" t="s">
        <v>38</v>
      </c>
      <c r="N256" s="1" t="s">
        <v>2</v>
      </c>
      <c r="O256" s="1" t="s">
        <v>40</v>
      </c>
      <c r="P256" s="1">
        <f t="shared" si="79"/>
        <v>163.53403178000002</v>
      </c>
      <c r="Q256" s="1">
        <f t="shared" si="80"/>
        <v>131.85324347999997</v>
      </c>
      <c r="R256" s="1">
        <f t="shared" si="81"/>
        <v>128.15207356000002</v>
      </c>
      <c r="S256" s="1">
        <f t="shared" si="82"/>
        <v>117.30505625999999</v>
      </c>
      <c r="T256" s="33">
        <v>0</v>
      </c>
      <c r="U256" s="1">
        <v>1</v>
      </c>
      <c r="W256" s="1" t="s">
        <v>0</v>
      </c>
      <c r="X256" s="1" t="s">
        <v>38</v>
      </c>
      <c r="Y256" s="1" t="s">
        <v>2</v>
      </c>
      <c r="Z256" s="1" t="s">
        <v>39</v>
      </c>
      <c r="AA256" s="1">
        <f t="shared" si="68"/>
        <v>170.20889022</v>
      </c>
      <c r="AB256" s="1">
        <f t="shared" si="69"/>
        <v>137.23500851999998</v>
      </c>
      <c r="AC256" s="1">
        <f t="shared" si="70"/>
        <v>133.38277044</v>
      </c>
      <c r="AD256" s="1">
        <f t="shared" si="71"/>
        <v>122.09301773999999</v>
      </c>
      <c r="AE256" s="28">
        <f>MAX($I$4,$I$32,$I$60,$I$88,$I$116,$I$144,$I$172,$I$200,$I$228,$I$256,$I$284)</f>
        <v>119.69903699999999</v>
      </c>
      <c r="AF256" s="1">
        <v>1</v>
      </c>
    </row>
    <row r="257" spans="2:32" x14ac:dyDescent="0.25">
      <c r="B257" s="1" t="s">
        <v>3</v>
      </c>
      <c r="C257" s="1" t="s">
        <v>38</v>
      </c>
      <c r="D257" s="1" t="s">
        <v>2</v>
      </c>
      <c r="E257" s="1"/>
      <c r="F257" s="1">
        <v>2.0655239999999999</v>
      </c>
      <c r="G257" s="1">
        <v>2.1672310000000001</v>
      </c>
      <c r="H257" s="1">
        <v>4.0222040000000003</v>
      </c>
      <c r="I257" s="1">
        <v>2.9766270000000001</v>
      </c>
      <c r="J257" s="1">
        <v>1</v>
      </c>
      <c r="L257" s="1" t="s">
        <v>3</v>
      </c>
      <c r="M257" s="1" t="s">
        <v>38</v>
      </c>
      <c r="N257" s="1" t="s">
        <v>2</v>
      </c>
      <c r="O257" s="1" t="s">
        <v>40</v>
      </c>
      <c r="P257" s="1">
        <f t="shared" si="79"/>
        <v>2.02421352</v>
      </c>
      <c r="Q257" s="1">
        <f t="shared" si="80"/>
        <v>2.1238863800000001</v>
      </c>
      <c r="R257" s="1">
        <f t="shared" si="81"/>
        <v>3.9417599200000004</v>
      </c>
      <c r="S257" s="1">
        <f t="shared" si="82"/>
        <v>2.9170944599999999</v>
      </c>
      <c r="T257" s="33">
        <v>0</v>
      </c>
      <c r="U257" s="1">
        <v>1</v>
      </c>
      <c r="W257" s="1" t="s">
        <v>3</v>
      </c>
      <c r="X257" s="1" t="s">
        <v>38</v>
      </c>
      <c r="Y257" s="1" t="s">
        <v>2</v>
      </c>
      <c r="Z257" s="1" t="s">
        <v>39</v>
      </c>
      <c r="AA257" s="1">
        <f t="shared" si="68"/>
        <v>2.1068344799999998</v>
      </c>
      <c r="AB257" s="1">
        <f t="shared" si="69"/>
        <v>2.2105756200000002</v>
      </c>
      <c r="AC257" s="1">
        <f t="shared" si="70"/>
        <v>4.1026480800000007</v>
      </c>
      <c r="AD257" s="1">
        <f t="shared" si="71"/>
        <v>3.0361595400000003</v>
      </c>
      <c r="AE257" s="28">
        <f>MAX($I$5,$I$33,$I$61,$I$89,$I$117,$I$145,$I$173,$I$201,$I$229,$I$257,$I$285)</f>
        <v>27.890193999999994</v>
      </c>
      <c r="AF257" s="1">
        <v>1</v>
      </c>
    </row>
    <row r="258" spans="2:32" x14ac:dyDescent="0.25">
      <c r="B258" s="1" t="s">
        <v>4</v>
      </c>
      <c r="C258" s="1" t="s">
        <v>38</v>
      </c>
      <c r="D258" s="1" t="s">
        <v>2</v>
      </c>
      <c r="E258" s="1"/>
      <c r="F258" s="1">
        <v>99.745199999999997</v>
      </c>
      <c r="G258" s="1">
        <v>74.918700000000001</v>
      </c>
      <c r="H258" s="1">
        <v>77.706761999999998</v>
      </c>
      <c r="I258" s="1">
        <v>62.219186000000001</v>
      </c>
      <c r="J258" s="1">
        <v>1</v>
      </c>
      <c r="L258" s="1" t="s">
        <v>4</v>
      </c>
      <c r="M258" s="1" t="s">
        <v>38</v>
      </c>
      <c r="N258" s="1" t="s">
        <v>2</v>
      </c>
      <c r="O258" s="1" t="s">
        <v>40</v>
      </c>
      <c r="P258" s="1">
        <f t="shared" si="79"/>
        <v>97.750295999999992</v>
      </c>
      <c r="Q258" s="1">
        <f t="shared" si="80"/>
        <v>73.420326000000003</v>
      </c>
      <c r="R258" s="1">
        <f t="shared" si="81"/>
        <v>76.15262675999999</v>
      </c>
      <c r="S258" s="1">
        <f t="shared" si="82"/>
        <v>60.974802279999999</v>
      </c>
      <c r="T258" s="33">
        <v>0</v>
      </c>
      <c r="U258" s="1">
        <v>1</v>
      </c>
      <c r="W258" s="1" t="s">
        <v>4</v>
      </c>
      <c r="X258" s="1" t="s">
        <v>38</v>
      </c>
      <c r="Y258" s="1" t="s">
        <v>2</v>
      </c>
      <c r="Z258" s="1" t="s">
        <v>39</v>
      </c>
      <c r="AA258" s="1">
        <f t="shared" si="68"/>
        <v>101.740104</v>
      </c>
      <c r="AB258" s="1">
        <f t="shared" si="69"/>
        <v>76.417074</v>
      </c>
      <c r="AC258" s="1">
        <f t="shared" si="70"/>
        <v>79.260897240000006</v>
      </c>
      <c r="AD258" s="1">
        <f t="shared" si="71"/>
        <v>63.463569720000002</v>
      </c>
      <c r="AE258" s="28">
        <f>MAX($I$6,$I$34,$I$62,$I$90,$I$118,$I$146,$I$174,$I$202,$I$230,$I$258,$I$286)</f>
        <v>80.496740000000003</v>
      </c>
      <c r="AF258" s="1">
        <v>1</v>
      </c>
    </row>
    <row r="259" spans="2:32" x14ac:dyDescent="0.25">
      <c r="B259" s="1" t="s">
        <v>5</v>
      </c>
      <c r="C259" s="1" t="s">
        <v>38</v>
      </c>
      <c r="D259" s="1" t="s">
        <v>2</v>
      </c>
      <c r="E259" s="1"/>
      <c r="F259" s="1">
        <v>31.452552000000001</v>
      </c>
      <c r="G259" s="1">
        <v>24.897559000000001</v>
      </c>
      <c r="H259" s="1">
        <v>24.797846</v>
      </c>
      <c r="I259" s="1">
        <v>18.549174999999998</v>
      </c>
      <c r="J259" s="1">
        <v>1</v>
      </c>
      <c r="L259" s="1" t="s">
        <v>5</v>
      </c>
      <c r="M259" s="1" t="s">
        <v>38</v>
      </c>
      <c r="N259" s="1" t="s">
        <v>2</v>
      </c>
      <c r="O259" s="1" t="s">
        <v>40</v>
      </c>
      <c r="P259" s="1">
        <f t="shared" si="79"/>
        <v>30.823500960000001</v>
      </c>
      <c r="Q259" s="1">
        <f t="shared" si="80"/>
        <v>24.39960782</v>
      </c>
      <c r="R259" s="1">
        <f t="shared" si="81"/>
        <v>24.301889079999999</v>
      </c>
      <c r="S259" s="1">
        <f t="shared" si="82"/>
        <v>18.178191499999997</v>
      </c>
      <c r="T259" s="33">
        <v>0</v>
      </c>
      <c r="U259" s="1">
        <v>1</v>
      </c>
      <c r="W259" s="1" t="s">
        <v>5</v>
      </c>
      <c r="X259" s="1" t="s">
        <v>38</v>
      </c>
      <c r="Y259" s="1" t="s">
        <v>2</v>
      </c>
      <c r="Z259" s="1" t="s">
        <v>39</v>
      </c>
      <c r="AA259" s="1">
        <f t="shared" si="68"/>
        <v>32.081603040000005</v>
      </c>
      <c r="AB259" s="1">
        <f t="shared" si="69"/>
        <v>25.395510180000002</v>
      </c>
      <c r="AC259" s="1">
        <f t="shared" si="70"/>
        <v>25.293802920000001</v>
      </c>
      <c r="AD259" s="1">
        <f t="shared" si="71"/>
        <v>18.920158499999999</v>
      </c>
      <c r="AE259" s="28">
        <f>MAX($I$7,$I$35,$I$63,$I$91,$I$119,$I$147,$I$175,$I$203,$I$231,$I$259,$I$287)</f>
        <v>69.570329999999998</v>
      </c>
      <c r="AF259" s="1">
        <v>1</v>
      </c>
    </row>
    <row r="260" spans="2:32" x14ac:dyDescent="0.25">
      <c r="B260" s="1" t="s">
        <v>6</v>
      </c>
      <c r="C260" s="1" t="s">
        <v>38</v>
      </c>
      <c r="D260" s="1" t="s">
        <v>2</v>
      </c>
      <c r="E260" s="1"/>
      <c r="F260" s="1">
        <v>1006.730644</v>
      </c>
      <c r="G260" s="1">
        <v>838.20990000000006</v>
      </c>
      <c r="H260" s="1">
        <v>922.73965099999998</v>
      </c>
      <c r="I260" s="1">
        <v>836.17112299999997</v>
      </c>
      <c r="J260" s="1">
        <v>1</v>
      </c>
      <c r="L260" s="1" t="s">
        <v>6</v>
      </c>
      <c r="M260" s="1" t="s">
        <v>38</v>
      </c>
      <c r="N260" s="1" t="s">
        <v>2</v>
      </c>
      <c r="O260" s="1" t="s">
        <v>40</v>
      </c>
      <c r="P260" s="1">
        <f t="shared" si="79"/>
        <v>986.59603112000002</v>
      </c>
      <c r="Q260" s="1">
        <f t="shared" si="80"/>
        <v>821.4457020000001</v>
      </c>
      <c r="R260" s="1">
        <f t="shared" si="81"/>
        <v>904.28485797999997</v>
      </c>
      <c r="S260" s="1">
        <f t="shared" si="82"/>
        <v>819.44770053999991</v>
      </c>
      <c r="T260" s="33">
        <v>0</v>
      </c>
      <c r="U260" s="1">
        <v>1</v>
      </c>
      <c r="W260" s="1" t="s">
        <v>6</v>
      </c>
      <c r="X260" s="1" t="s">
        <v>38</v>
      </c>
      <c r="Y260" s="1" t="s">
        <v>2</v>
      </c>
      <c r="Z260" s="1" t="s">
        <v>39</v>
      </c>
      <c r="AA260" s="1">
        <f t="shared" ref="AA260:AA312" si="83">IF(ISBLANK(F260),":",1.02*F260)</f>
        <v>1026.8652568800001</v>
      </c>
      <c r="AB260" s="1">
        <f t="shared" ref="AB260:AB312" si="84">IF(ISBLANK(G260),":",1.02*G260)</f>
        <v>854.97409800000003</v>
      </c>
      <c r="AC260" s="1">
        <f t="shared" ref="AC260:AC312" si="85">IF(ISBLANK(H260),":",1.02*H260)</f>
        <v>941.19444401999999</v>
      </c>
      <c r="AD260" s="1">
        <f t="shared" ref="AD260:AD312" si="86">IF(ISBLANK(I260),":",1.02*I260)</f>
        <v>852.89454546000002</v>
      </c>
      <c r="AE260" s="28">
        <f>MAX($I$8,$I$36,$I$64,$I$92,$I$120,$I$148,$I$176,$I$204,$I$232,$I$260,$I$288)</f>
        <v>836.17112299999997</v>
      </c>
      <c r="AF260" s="1">
        <v>1</v>
      </c>
    </row>
    <row r="261" spans="2:32" x14ac:dyDescent="0.25">
      <c r="B261" s="1" t="s">
        <v>7</v>
      </c>
      <c r="C261" s="1" t="s">
        <v>38</v>
      </c>
      <c r="D261" s="1" t="s">
        <v>2</v>
      </c>
      <c r="E261" s="1"/>
      <c r="F261" s="1">
        <v>2.2986</v>
      </c>
      <c r="G261" s="1">
        <v>2.0646</v>
      </c>
      <c r="H261" s="1">
        <v>2.3533040000000001</v>
      </c>
      <c r="I261" s="1">
        <v>2.3098580000000002</v>
      </c>
      <c r="J261" s="1">
        <v>1</v>
      </c>
      <c r="L261" s="1" t="s">
        <v>7</v>
      </c>
      <c r="M261" s="1" t="s">
        <v>38</v>
      </c>
      <c r="N261" s="1" t="s">
        <v>2</v>
      </c>
      <c r="O261" s="1" t="s">
        <v>40</v>
      </c>
      <c r="P261" s="1">
        <f t="shared" si="79"/>
        <v>2.2526280000000001</v>
      </c>
      <c r="Q261" s="1">
        <f t="shared" si="80"/>
        <v>2.0233080000000001</v>
      </c>
      <c r="R261" s="1">
        <f t="shared" si="81"/>
        <v>2.3062379200000001</v>
      </c>
      <c r="S261" s="1">
        <f t="shared" si="82"/>
        <v>2.26366084</v>
      </c>
      <c r="T261" s="33">
        <v>0</v>
      </c>
      <c r="U261" s="1">
        <v>1</v>
      </c>
      <c r="W261" s="1" t="s">
        <v>7</v>
      </c>
      <c r="X261" s="1" t="s">
        <v>38</v>
      </c>
      <c r="Y261" s="1" t="s">
        <v>2</v>
      </c>
      <c r="Z261" s="1" t="s">
        <v>39</v>
      </c>
      <c r="AA261" s="1">
        <f t="shared" si="83"/>
        <v>2.3445719999999999</v>
      </c>
      <c r="AB261" s="1">
        <f t="shared" si="84"/>
        <v>2.1058919999999999</v>
      </c>
      <c r="AC261" s="1">
        <f t="shared" si="85"/>
        <v>2.4003700800000001</v>
      </c>
      <c r="AD261" s="1">
        <f t="shared" si="86"/>
        <v>2.3560551600000004</v>
      </c>
      <c r="AE261" s="28">
        <f>MAX($I$9,$I$37,$I$65,$I$93,$I$121,$I$149,$I$177,$I$205,$I$233,$I$261,$I$289)</f>
        <v>15.457636000000001</v>
      </c>
      <c r="AF261" s="1">
        <v>1</v>
      </c>
    </row>
    <row r="262" spans="2:32" x14ac:dyDescent="0.25">
      <c r="B262" s="1" t="s">
        <v>8</v>
      </c>
      <c r="C262" s="1" t="s">
        <v>38</v>
      </c>
      <c r="D262" s="1" t="s">
        <v>2</v>
      </c>
      <c r="E262" s="1"/>
      <c r="F262" s="1">
        <v>29.654730000000001</v>
      </c>
      <c r="G262" s="1">
        <v>23.194401000000003</v>
      </c>
      <c r="H262" s="1">
        <v>24.641999999999999</v>
      </c>
      <c r="I262" s="1">
        <v>19.421692</v>
      </c>
      <c r="J262" s="1">
        <v>1</v>
      </c>
      <c r="L262" s="1" t="s">
        <v>8</v>
      </c>
      <c r="M262" s="1" t="s">
        <v>38</v>
      </c>
      <c r="N262" s="1" t="s">
        <v>2</v>
      </c>
      <c r="O262" s="1" t="s">
        <v>40</v>
      </c>
      <c r="P262" s="1">
        <f t="shared" si="79"/>
        <v>29.0616354</v>
      </c>
      <c r="Q262" s="1">
        <f t="shared" si="80"/>
        <v>22.730512980000004</v>
      </c>
      <c r="R262" s="1">
        <f t="shared" si="81"/>
        <v>24.149159999999998</v>
      </c>
      <c r="S262" s="1">
        <f t="shared" si="82"/>
        <v>19.033258159999999</v>
      </c>
      <c r="T262" s="33">
        <v>0</v>
      </c>
      <c r="U262" s="1">
        <v>1</v>
      </c>
      <c r="W262" s="1" t="s">
        <v>8</v>
      </c>
      <c r="X262" s="1" t="s">
        <v>38</v>
      </c>
      <c r="Y262" s="1" t="s">
        <v>2</v>
      </c>
      <c r="Z262" s="1" t="s">
        <v>39</v>
      </c>
      <c r="AA262" s="1">
        <f t="shared" si="83"/>
        <v>30.247824600000001</v>
      </c>
      <c r="AB262" s="1">
        <f t="shared" si="84"/>
        <v>23.658289020000002</v>
      </c>
      <c r="AC262" s="1">
        <f t="shared" si="85"/>
        <v>25.134840000000001</v>
      </c>
      <c r="AD262" s="1">
        <f t="shared" si="86"/>
        <v>19.810125840000001</v>
      </c>
      <c r="AE262" s="28">
        <f>MAX(I$10,I$38,I$66,I$94,I$122,I$150,I$178,I$206,I$234,I$262,I$290)</f>
        <v>42.352189999999993</v>
      </c>
      <c r="AF262" s="1">
        <v>1</v>
      </c>
    </row>
    <row r="263" spans="2:32" x14ac:dyDescent="0.25">
      <c r="B263" s="1" t="s">
        <v>9</v>
      </c>
      <c r="C263" s="1" t="s">
        <v>38</v>
      </c>
      <c r="D263" s="1" t="s">
        <v>2</v>
      </c>
      <c r="E263" s="1"/>
      <c r="F263" s="1">
        <v>10.660379000000001</v>
      </c>
      <c r="G263" s="1">
        <v>14.892216000000001</v>
      </c>
      <c r="H263" s="1">
        <v>18.505286999999999</v>
      </c>
      <c r="I263" s="1">
        <v>15.251155000000001</v>
      </c>
      <c r="J263" s="1">
        <v>1</v>
      </c>
      <c r="L263" s="1" t="s">
        <v>9</v>
      </c>
      <c r="M263" s="1" t="s">
        <v>38</v>
      </c>
      <c r="N263" s="1" t="s">
        <v>2</v>
      </c>
      <c r="O263" s="1" t="s">
        <v>40</v>
      </c>
      <c r="P263" s="1">
        <f t="shared" si="79"/>
        <v>10.44717142</v>
      </c>
      <c r="Q263" s="1">
        <f t="shared" si="80"/>
        <v>14.59437168</v>
      </c>
      <c r="R263" s="1">
        <f t="shared" si="81"/>
        <v>18.13518126</v>
      </c>
      <c r="S263" s="1">
        <f t="shared" si="82"/>
        <v>14.946131900000001</v>
      </c>
      <c r="T263" s="33">
        <v>0</v>
      </c>
      <c r="U263" s="1">
        <v>1</v>
      </c>
      <c r="W263" s="1" t="s">
        <v>9</v>
      </c>
      <c r="X263" s="1" t="s">
        <v>38</v>
      </c>
      <c r="Y263" s="1" t="s">
        <v>2</v>
      </c>
      <c r="Z263" s="1" t="s">
        <v>39</v>
      </c>
      <c r="AA263" s="1">
        <f t="shared" si="83"/>
        <v>10.873586580000001</v>
      </c>
      <c r="AB263" s="1">
        <f t="shared" si="84"/>
        <v>15.190060320000002</v>
      </c>
      <c r="AC263" s="1">
        <f t="shared" si="85"/>
        <v>18.875392739999999</v>
      </c>
      <c r="AD263" s="1">
        <f t="shared" si="86"/>
        <v>15.5561781</v>
      </c>
      <c r="AE263" s="28">
        <f>MAX($I$11,$I$39,$I$67,$I$95,$I$123,$I$151,$I$179,$I$207,$I$235,$I$263,$I$291)</f>
        <v>37.635565999999997</v>
      </c>
      <c r="AF263" s="1">
        <v>1</v>
      </c>
    </row>
    <row r="264" spans="2:32" x14ac:dyDescent="0.25">
      <c r="B264" s="1" t="s">
        <v>10</v>
      </c>
      <c r="C264" s="1" t="s">
        <v>38</v>
      </c>
      <c r="D264" s="1" t="s">
        <v>2</v>
      </c>
      <c r="E264" s="1"/>
      <c r="F264" s="1">
        <v>178.14281</v>
      </c>
      <c r="G264" s="1">
        <v>138.91884400000001</v>
      </c>
      <c r="H264" s="1">
        <v>145.46560099999999</v>
      </c>
      <c r="I264" s="1">
        <v>122.4207</v>
      </c>
      <c r="J264" s="1">
        <v>1</v>
      </c>
      <c r="L264" s="1" t="s">
        <v>10</v>
      </c>
      <c r="M264" s="1" t="s">
        <v>38</v>
      </c>
      <c r="N264" s="1" t="s">
        <v>2</v>
      </c>
      <c r="O264" s="1" t="s">
        <v>40</v>
      </c>
      <c r="P264" s="1">
        <f t="shared" si="79"/>
        <v>174.5799538</v>
      </c>
      <c r="Q264" s="1">
        <f t="shared" si="80"/>
        <v>136.14046712000001</v>
      </c>
      <c r="R264" s="1">
        <f t="shared" si="81"/>
        <v>142.55628897999998</v>
      </c>
      <c r="S264" s="1">
        <f t="shared" si="82"/>
        <v>119.972286</v>
      </c>
      <c r="T264" s="33">
        <v>0</v>
      </c>
      <c r="U264" s="1">
        <v>1</v>
      </c>
      <c r="W264" s="1" t="s">
        <v>10</v>
      </c>
      <c r="X264" s="1" t="s">
        <v>38</v>
      </c>
      <c r="Y264" s="1" t="s">
        <v>2</v>
      </c>
      <c r="Z264" s="1" t="s">
        <v>39</v>
      </c>
      <c r="AA264" s="1">
        <f t="shared" si="83"/>
        <v>181.7056662</v>
      </c>
      <c r="AB264" s="1">
        <f t="shared" si="84"/>
        <v>141.69722088</v>
      </c>
      <c r="AC264" s="1">
        <f t="shared" si="85"/>
        <v>148.37491302000001</v>
      </c>
      <c r="AD264" s="1">
        <f t="shared" si="86"/>
        <v>124.869114</v>
      </c>
      <c r="AE264" s="28">
        <f>MAX($I$12,$I$40,$I$68,$I$96,$I$124,$I$152,$I$180,$I$208,$I$236,$I$264,$I$292)</f>
        <v>218.13407800000004</v>
      </c>
      <c r="AF264" s="1">
        <v>1</v>
      </c>
    </row>
    <row r="265" spans="2:32" x14ac:dyDescent="0.25">
      <c r="B265" s="1" t="s">
        <v>11</v>
      </c>
      <c r="C265" s="1" t="s">
        <v>38</v>
      </c>
      <c r="D265" s="1" t="s">
        <v>2</v>
      </c>
      <c r="E265" s="1"/>
      <c r="F265" s="1">
        <v>580.75463300000001</v>
      </c>
      <c r="G265" s="1">
        <v>488.74317200000002</v>
      </c>
      <c r="H265" s="1">
        <v>460.25758500000001</v>
      </c>
      <c r="I265" s="1">
        <v>364.78012100000001</v>
      </c>
      <c r="J265" s="1">
        <v>1</v>
      </c>
      <c r="L265" s="1" t="s">
        <v>11</v>
      </c>
      <c r="M265" s="1" t="s">
        <v>38</v>
      </c>
      <c r="N265" s="1" t="s">
        <v>2</v>
      </c>
      <c r="O265" s="1" t="s">
        <v>40</v>
      </c>
      <c r="P265" s="1">
        <f t="shared" si="79"/>
        <v>569.13954034000005</v>
      </c>
      <c r="Q265" s="1">
        <f t="shared" si="80"/>
        <v>478.96830856000003</v>
      </c>
      <c r="R265" s="1">
        <f t="shared" si="81"/>
        <v>451.05243330000002</v>
      </c>
      <c r="S265" s="1">
        <f t="shared" si="82"/>
        <v>357.48451857999999</v>
      </c>
      <c r="T265" s="33">
        <v>0</v>
      </c>
      <c r="U265" s="1">
        <v>1</v>
      </c>
      <c r="W265" s="1" t="s">
        <v>11</v>
      </c>
      <c r="X265" s="1" t="s">
        <v>38</v>
      </c>
      <c r="Y265" s="1" t="s">
        <v>2</v>
      </c>
      <c r="Z265" s="1" t="s">
        <v>39</v>
      </c>
      <c r="AA265" s="1">
        <f t="shared" si="83"/>
        <v>592.36972565999997</v>
      </c>
      <c r="AB265" s="1">
        <f t="shared" si="84"/>
        <v>498.51803544000001</v>
      </c>
      <c r="AC265" s="1">
        <f t="shared" si="85"/>
        <v>469.46273669999999</v>
      </c>
      <c r="AD265" s="1">
        <f t="shared" si="86"/>
        <v>372.07572342000003</v>
      </c>
      <c r="AE265" s="28">
        <f>MAX($I$13,$I$41,$I$69,$I$97,$I$125,$I$153,$I$181,$I$209,$I$237,$I$265,$I$293)</f>
        <v>364.78012100000001</v>
      </c>
      <c r="AF265" s="1">
        <v>1</v>
      </c>
    </row>
    <row r="266" spans="2:32" x14ac:dyDescent="0.25">
      <c r="B266" s="1" t="s">
        <v>12</v>
      </c>
      <c r="C266" s="1" t="s">
        <v>38</v>
      </c>
      <c r="D266" s="1" t="s">
        <v>2</v>
      </c>
      <c r="E266" s="1"/>
      <c r="F266" s="1">
        <v>24.918299999999999</v>
      </c>
      <c r="G266" s="1">
        <v>18.684000000000001</v>
      </c>
      <c r="H266" s="1">
        <v>20.333496</v>
      </c>
      <c r="I266" s="1">
        <v>20.083599999999997</v>
      </c>
      <c r="J266" s="1">
        <v>1</v>
      </c>
      <c r="L266" s="1" t="s">
        <v>12</v>
      </c>
      <c r="M266" s="1" t="s">
        <v>38</v>
      </c>
      <c r="N266" s="1" t="s">
        <v>2</v>
      </c>
      <c r="O266" s="1" t="s">
        <v>40</v>
      </c>
      <c r="P266" s="1">
        <f t="shared" si="79"/>
        <v>24.419933999999998</v>
      </c>
      <c r="Q266" s="1">
        <f t="shared" si="80"/>
        <v>18.310320000000001</v>
      </c>
      <c r="R266" s="1">
        <f t="shared" si="81"/>
        <v>19.926826080000001</v>
      </c>
      <c r="S266" s="1">
        <f t="shared" si="82"/>
        <v>19.681927999999996</v>
      </c>
      <c r="T266" s="33">
        <v>0</v>
      </c>
      <c r="U266" s="1">
        <v>1</v>
      </c>
      <c r="W266" s="1" t="s">
        <v>12</v>
      </c>
      <c r="X266" s="1" t="s">
        <v>38</v>
      </c>
      <c r="Y266" s="1" t="s">
        <v>2</v>
      </c>
      <c r="Z266" s="1" t="s">
        <v>39</v>
      </c>
      <c r="AA266" s="1">
        <f t="shared" si="83"/>
        <v>25.416665999999999</v>
      </c>
      <c r="AB266" s="1">
        <f t="shared" si="84"/>
        <v>19.057680000000001</v>
      </c>
      <c r="AC266" s="1">
        <f t="shared" si="85"/>
        <v>20.740165919999999</v>
      </c>
      <c r="AD266" s="1">
        <f t="shared" si="86"/>
        <v>20.485271999999998</v>
      </c>
      <c r="AE266" s="28">
        <f>MAX($I$14,$I$42,$I$70,$I$98,$I$126,$I$154,$I$182,$I$210,$I$238,$I$266,$I$294)</f>
        <v>40.304569999999998</v>
      </c>
      <c r="AF266" s="1">
        <v>1</v>
      </c>
    </row>
    <row r="267" spans="2:32" x14ac:dyDescent="0.25">
      <c r="B267" s="1" t="s">
        <v>13</v>
      </c>
      <c r="C267" s="1" t="s">
        <v>38</v>
      </c>
      <c r="D267" s="1" t="s">
        <v>2</v>
      </c>
      <c r="E267" s="1"/>
      <c r="F267" s="1">
        <v>782.83080000000007</v>
      </c>
      <c r="G267" s="1">
        <v>711.1511999999999</v>
      </c>
      <c r="H267" s="1">
        <v>667.06595700000003</v>
      </c>
      <c r="I267" s="1">
        <v>539.45073900000011</v>
      </c>
      <c r="J267" s="1">
        <v>1</v>
      </c>
      <c r="L267" s="1" t="s">
        <v>13</v>
      </c>
      <c r="M267" s="1" t="s">
        <v>38</v>
      </c>
      <c r="N267" s="1" t="s">
        <v>2</v>
      </c>
      <c r="O267" s="1" t="s">
        <v>40</v>
      </c>
      <c r="P267" s="1">
        <f t="shared" si="79"/>
        <v>767.17418400000008</v>
      </c>
      <c r="Q267" s="1">
        <f t="shared" si="80"/>
        <v>696.92817599999989</v>
      </c>
      <c r="R267" s="1">
        <f t="shared" si="81"/>
        <v>653.72463786000003</v>
      </c>
      <c r="S267" s="1">
        <f t="shared" si="82"/>
        <v>528.66172422000011</v>
      </c>
      <c r="T267" s="33">
        <v>0</v>
      </c>
      <c r="U267" s="1">
        <v>1</v>
      </c>
      <c r="W267" s="1" t="s">
        <v>13</v>
      </c>
      <c r="X267" s="1" t="s">
        <v>38</v>
      </c>
      <c r="Y267" s="1" t="s">
        <v>2</v>
      </c>
      <c r="Z267" s="1" t="s">
        <v>39</v>
      </c>
      <c r="AA267" s="1">
        <f t="shared" si="83"/>
        <v>798.48741600000005</v>
      </c>
      <c r="AB267" s="1">
        <f t="shared" si="84"/>
        <v>725.37422399999991</v>
      </c>
      <c r="AC267" s="1">
        <f t="shared" si="85"/>
        <v>680.40727614000002</v>
      </c>
      <c r="AD267" s="1">
        <f t="shared" si="86"/>
        <v>550.23975378000011</v>
      </c>
      <c r="AE267" s="28">
        <f>MAX($I$15,$I$43,$I$71,$I$99,$I$127,$I$155,$I$183,$I$211,$I$239,$I$267,$I$295)</f>
        <v>539.45073900000011</v>
      </c>
      <c r="AF267" s="1">
        <v>1</v>
      </c>
    </row>
    <row r="268" spans="2:32" x14ac:dyDescent="0.25">
      <c r="B268" s="1" t="s">
        <v>14</v>
      </c>
      <c r="C268" s="1" t="s">
        <v>38</v>
      </c>
      <c r="D268" s="1" t="s">
        <v>2</v>
      </c>
      <c r="E268" s="1"/>
      <c r="F268" s="1">
        <v>0</v>
      </c>
      <c r="G268" s="1">
        <v>0</v>
      </c>
      <c r="H268" s="1">
        <v>0</v>
      </c>
      <c r="I268" s="1">
        <v>0</v>
      </c>
      <c r="J268" s="1">
        <v>1</v>
      </c>
      <c r="L268" s="1" t="s">
        <v>14</v>
      </c>
      <c r="M268" s="1" t="s">
        <v>38</v>
      </c>
      <c r="N268" s="1" t="s">
        <v>2</v>
      </c>
      <c r="O268" s="1" t="s">
        <v>40</v>
      </c>
      <c r="P268" s="1">
        <f t="shared" si="79"/>
        <v>0</v>
      </c>
      <c r="Q268" s="1">
        <f t="shared" si="80"/>
        <v>0</v>
      </c>
      <c r="R268" s="1">
        <f t="shared" si="81"/>
        <v>0</v>
      </c>
      <c r="S268" s="1">
        <f t="shared" si="82"/>
        <v>0</v>
      </c>
      <c r="T268" s="33">
        <v>0</v>
      </c>
      <c r="U268" s="1">
        <v>1</v>
      </c>
      <c r="W268" s="1" t="s">
        <v>14</v>
      </c>
      <c r="X268" s="1" t="s">
        <v>38</v>
      </c>
      <c r="Y268" s="1" t="s">
        <v>2</v>
      </c>
      <c r="Z268" s="1" t="s">
        <v>39</v>
      </c>
      <c r="AA268" s="1">
        <f t="shared" si="83"/>
        <v>0</v>
      </c>
      <c r="AB268" s="1">
        <f t="shared" si="84"/>
        <v>0</v>
      </c>
      <c r="AC268" s="1">
        <f t="shared" si="85"/>
        <v>0</v>
      </c>
      <c r="AD268" s="1">
        <f t="shared" si="86"/>
        <v>0</v>
      </c>
      <c r="AE268" s="28">
        <f>MAX($I$16,$I$44,$I$72,$I$100,$I$128,$I$156,$I$184,$I$212,$I$240,$I$268,$I$296)</f>
        <v>3.1702320000000004</v>
      </c>
      <c r="AF268" s="1">
        <v>1</v>
      </c>
    </row>
    <row r="269" spans="2:32" x14ac:dyDescent="0.25">
      <c r="B269" s="1" t="s">
        <v>15</v>
      </c>
      <c r="C269" s="1" t="s">
        <v>38</v>
      </c>
      <c r="D269" s="1" t="s">
        <v>2</v>
      </c>
      <c r="E269" s="1"/>
      <c r="F269" s="1">
        <v>5.2101000000000006</v>
      </c>
      <c r="G269" s="1">
        <v>4.1067</v>
      </c>
      <c r="H269" s="1">
        <v>4.5875209999999997</v>
      </c>
      <c r="I269" s="1">
        <v>3.5631390000000001</v>
      </c>
      <c r="J269" s="1">
        <v>1</v>
      </c>
      <c r="L269" s="1" t="s">
        <v>15</v>
      </c>
      <c r="M269" s="1" t="s">
        <v>38</v>
      </c>
      <c r="N269" s="1" t="s">
        <v>2</v>
      </c>
      <c r="O269" s="1" t="s">
        <v>40</v>
      </c>
      <c r="P269" s="1">
        <f t="shared" si="79"/>
        <v>5.1058980000000007</v>
      </c>
      <c r="Q269" s="1">
        <f t="shared" si="80"/>
        <v>4.0245660000000001</v>
      </c>
      <c r="R269" s="1">
        <f t="shared" si="81"/>
        <v>4.4957705799999994</v>
      </c>
      <c r="S269" s="1">
        <f t="shared" si="82"/>
        <v>3.49187622</v>
      </c>
      <c r="T269" s="33">
        <v>0</v>
      </c>
      <c r="U269" s="1">
        <v>1</v>
      </c>
      <c r="W269" s="1" t="s">
        <v>15</v>
      </c>
      <c r="X269" s="1" t="s">
        <v>38</v>
      </c>
      <c r="Y269" s="1" t="s">
        <v>2</v>
      </c>
      <c r="Z269" s="1" t="s">
        <v>39</v>
      </c>
      <c r="AA269" s="1">
        <f t="shared" si="83"/>
        <v>5.3143020000000005</v>
      </c>
      <c r="AB269" s="1">
        <f t="shared" si="84"/>
        <v>4.1888339999999999</v>
      </c>
      <c r="AC269" s="1">
        <f t="shared" si="85"/>
        <v>4.6792714200000001</v>
      </c>
      <c r="AD269" s="1">
        <f t="shared" si="86"/>
        <v>3.6344017800000001</v>
      </c>
      <c r="AE269" s="28">
        <f>MAX($I$17,$I$45,$I$73,$I$101,$I$129,$I$157,$I$185,$I$213,$I$241,$I$269,$I$297)</f>
        <v>18.231687999999998</v>
      </c>
      <c r="AF269" s="1">
        <v>1</v>
      </c>
    </row>
    <row r="270" spans="2:32" x14ac:dyDescent="0.25">
      <c r="B270" s="1" t="s">
        <v>16</v>
      </c>
      <c r="C270" s="1" t="s">
        <v>38</v>
      </c>
      <c r="D270" s="1" t="s">
        <v>2</v>
      </c>
      <c r="E270" s="1"/>
      <c r="F270" s="1">
        <v>6.6311999999999998</v>
      </c>
      <c r="G270" s="1">
        <v>5.1363000000000003</v>
      </c>
      <c r="H270" s="1">
        <v>7.300719</v>
      </c>
      <c r="I270" s="1">
        <v>7.6104799999999999</v>
      </c>
      <c r="J270" s="1">
        <v>1</v>
      </c>
      <c r="L270" s="1" t="s">
        <v>16</v>
      </c>
      <c r="M270" s="1" t="s">
        <v>38</v>
      </c>
      <c r="N270" s="1" t="s">
        <v>2</v>
      </c>
      <c r="O270" s="1" t="s">
        <v>40</v>
      </c>
      <c r="P270" s="1">
        <f t="shared" si="79"/>
        <v>6.4985759999999999</v>
      </c>
      <c r="Q270" s="1">
        <f t="shared" si="80"/>
        <v>5.0335739999999998</v>
      </c>
      <c r="R270" s="1">
        <f t="shared" si="81"/>
        <v>7.1547046199999995</v>
      </c>
      <c r="S270" s="1">
        <f t="shared" si="82"/>
        <v>7.4582704</v>
      </c>
      <c r="T270" s="33">
        <v>0</v>
      </c>
      <c r="U270" s="1">
        <v>1</v>
      </c>
      <c r="W270" s="1" t="s">
        <v>16</v>
      </c>
      <c r="X270" s="1" t="s">
        <v>38</v>
      </c>
      <c r="Y270" s="1" t="s">
        <v>2</v>
      </c>
      <c r="Z270" s="1" t="s">
        <v>39</v>
      </c>
      <c r="AA270" s="1">
        <f t="shared" si="83"/>
        <v>6.7638239999999996</v>
      </c>
      <c r="AB270" s="1">
        <f t="shared" si="84"/>
        <v>5.2390260000000008</v>
      </c>
      <c r="AC270" s="1">
        <f t="shared" si="85"/>
        <v>7.4467333800000004</v>
      </c>
      <c r="AD270" s="1">
        <f t="shared" si="86"/>
        <v>7.7626895999999999</v>
      </c>
      <c r="AE270" s="28">
        <f>MAX($I$18,$I$46,$I$74,$I$102,$I$130,$I$158,$I$186,$I$214,$I$242,$I$270,$I$298)</f>
        <v>18.93</v>
      </c>
      <c r="AF270" s="1">
        <v>1</v>
      </c>
    </row>
    <row r="271" spans="2:32" x14ac:dyDescent="0.25">
      <c r="B271" s="1" t="s">
        <v>17</v>
      </c>
      <c r="C271" s="1" t="s">
        <v>38</v>
      </c>
      <c r="D271" s="1" t="s">
        <v>2</v>
      </c>
      <c r="E271" s="1"/>
      <c r="F271" s="1">
        <v>9.6007270000000009</v>
      </c>
      <c r="G271" s="1">
        <v>9.2680769999999999</v>
      </c>
      <c r="H271" s="1">
        <v>10.810218000000001</v>
      </c>
      <c r="I271" s="1">
        <v>8.6689310000000006</v>
      </c>
      <c r="J271" s="1">
        <v>1</v>
      </c>
      <c r="L271" s="1" t="s">
        <v>17</v>
      </c>
      <c r="M271" s="1" t="s">
        <v>38</v>
      </c>
      <c r="N271" s="1" t="s">
        <v>2</v>
      </c>
      <c r="O271" s="1" t="s">
        <v>40</v>
      </c>
      <c r="P271" s="1">
        <f t="shared" si="79"/>
        <v>9.4087124600000003</v>
      </c>
      <c r="Q271" s="1">
        <f t="shared" si="80"/>
        <v>9.0827154599999993</v>
      </c>
      <c r="R271" s="1">
        <f t="shared" si="81"/>
        <v>10.59401364</v>
      </c>
      <c r="S271" s="1">
        <f t="shared" si="82"/>
        <v>8.4955523800000012</v>
      </c>
      <c r="T271" s="33">
        <v>0</v>
      </c>
      <c r="U271" s="1">
        <v>1</v>
      </c>
      <c r="W271" s="1" t="s">
        <v>17</v>
      </c>
      <c r="X271" s="1" t="s">
        <v>38</v>
      </c>
      <c r="Y271" s="1" t="s">
        <v>2</v>
      </c>
      <c r="Z271" s="1" t="s">
        <v>39</v>
      </c>
      <c r="AA271" s="1">
        <f t="shared" si="83"/>
        <v>9.7927415400000015</v>
      </c>
      <c r="AB271" s="1">
        <f t="shared" si="84"/>
        <v>9.4534385400000005</v>
      </c>
      <c r="AC271" s="1">
        <f t="shared" si="85"/>
        <v>11.026422360000002</v>
      </c>
      <c r="AD271" s="1">
        <f t="shared" si="86"/>
        <v>8.84230962</v>
      </c>
      <c r="AE271" s="28">
        <f>MAX($I$19,$I$47,$I$75,$I$103,$I$131,$I$159,$I$187,$I$215,$I$243,$I$271,$I$299)</f>
        <v>8.6689310000000006</v>
      </c>
      <c r="AF271" s="1">
        <v>1</v>
      </c>
    </row>
    <row r="272" spans="2:32" x14ac:dyDescent="0.25">
      <c r="B272" s="1" t="s">
        <v>18</v>
      </c>
      <c r="C272" s="1" t="s">
        <v>38</v>
      </c>
      <c r="D272" s="1" t="s">
        <v>2</v>
      </c>
      <c r="E272" s="1"/>
      <c r="F272" s="1">
        <v>136.4796</v>
      </c>
      <c r="G272" s="1">
        <v>109.93860000000001</v>
      </c>
      <c r="H272" s="1">
        <v>126.72</v>
      </c>
      <c r="I272" s="1">
        <v>104.339699</v>
      </c>
      <c r="J272" s="1">
        <v>1</v>
      </c>
      <c r="L272" s="1" t="s">
        <v>18</v>
      </c>
      <c r="M272" s="1" t="s">
        <v>38</v>
      </c>
      <c r="N272" s="1" t="s">
        <v>2</v>
      </c>
      <c r="O272" s="1" t="s">
        <v>40</v>
      </c>
      <c r="P272" s="1">
        <f t="shared" si="79"/>
        <v>133.75000800000001</v>
      </c>
      <c r="Q272" s="1">
        <f t="shared" si="80"/>
        <v>107.739828</v>
      </c>
      <c r="R272" s="1">
        <f t="shared" si="81"/>
        <v>124.18559999999999</v>
      </c>
      <c r="S272" s="1">
        <f t="shared" si="82"/>
        <v>102.25290502</v>
      </c>
      <c r="T272" s="33">
        <v>0</v>
      </c>
      <c r="U272" s="1">
        <v>1</v>
      </c>
      <c r="W272" s="1" t="s">
        <v>18</v>
      </c>
      <c r="X272" s="1" t="s">
        <v>38</v>
      </c>
      <c r="Y272" s="1" t="s">
        <v>2</v>
      </c>
      <c r="Z272" s="1" t="s">
        <v>39</v>
      </c>
      <c r="AA272" s="1">
        <f t="shared" si="83"/>
        <v>139.209192</v>
      </c>
      <c r="AB272" s="1">
        <f t="shared" si="84"/>
        <v>112.13737200000001</v>
      </c>
      <c r="AC272" s="1">
        <f t="shared" si="85"/>
        <v>129.2544</v>
      </c>
      <c r="AD272" s="1">
        <f t="shared" si="86"/>
        <v>106.42649297999999</v>
      </c>
      <c r="AE272" s="28">
        <f>MAX($I$20,$I$48,$I$76,$I$104,$I$132,$I$160,$I$188,$I$216,$I$244,$I$272,$I$300)</f>
        <v>104.339699</v>
      </c>
      <c r="AF272" s="1">
        <v>1</v>
      </c>
    </row>
    <row r="273" spans="2:32" x14ac:dyDescent="0.25">
      <c r="B273" s="1" t="s">
        <v>20</v>
      </c>
      <c r="C273" s="1" t="s">
        <v>38</v>
      </c>
      <c r="D273" s="1" t="s">
        <v>2</v>
      </c>
      <c r="E273" s="1"/>
      <c r="F273" s="1">
        <v>406.74104399999999</v>
      </c>
      <c r="G273" s="1">
        <v>285.28722199999999</v>
      </c>
      <c r="H273" s="1">
        <v>264.73404199999999</v>
      </c>
      <c r="I273" s="1">
        <v>201.18298499999997</v>
      </c>
      <c r="J273" s="1">
        <v>1</v>
      </c>
      <c r="L273" s="1" t="s">
        <v>20</v>
      </c>
      <c r="M273" s="1" t="s">
        <v>38</v>
      </c>
      <c r="N273" s="1" t="s">
        <v>2</v>
      </c>
      <c r="O273" s="1" t="s">
        <v>40</v>
      </c>
      <c r="P273" s="1">
        <f t="shared" si="79"/>
        <v>398.60622311999998</v>
      </c>
      <c r="Q273" s="1">
        <f t="shared" si="80"/>
        <v>279.58147756</v>
      </c>
      <c r="R273" s="1">
        <f t="shared" si="81"/>
        <v>259.43936115999998</v>
      </c>
      <c r="S273" s="1">
        <f t="shared" si="82"/>
        <v>197.15932529999998</v>
      </c>
      <c r="T273" s="33">
        <v>0</v>
      </c>
      <c r="U273" s="1">
        <v>1</v>
      </c>
      <c r="W273" s="1" t="s">
        <v>20</v>
      </c>
      <c r="X273" s="1" t="s">
        <v>38</v>
      </c>
      <c r="Y273" s="1" t="s">
        <v>2</v>
      </c>
      <c r="Z273" s="1" t="s">
        <v>39</v>
      </c>
      <c r="AA273" s="1">
        <f t="shared" si="83"/>
        <v>414.87586487999999</v>
      </c>
      <c r="AB273" s="1">
        <f t="shared" si="84"/>
        <v>290.99296643999998</v>
      </c>
      <c r="AC273" s="1">
        <f t="shared" si="85"/>
        <v>270.02872284</v>
      </c>
      <c r="AD273" s="1">
        <f t="shared" si="86"/>
        <v>205.20664469999997</v>
      </c>
      <c r="AE273" s="28">
        <f>MAX($I$21,$I$49,$I$77,$I$105,$I$133,$I$161,$I$189,$I$217,$I$245,$I$273,$I$301)</f>
        <v>201.18298499999997</v>
      </c>
      <c r="AF273" s="1">
        <v>1</v>
      </c>
    </row>
    <row r="274" spans="2:32" x14ac:dyDescent="0.25">
      <c r="B274" s="1" t="s">
        <v>21</v>
      </c>
      <c r="C274" s="1" t="s">
        <v>38</v>
      </c>
      <c r="D274" s="1" t="s">
        <v>2</v>
      </c>
      <c r="E274" s="1"/>
      <c r="F274" s="1">
        <v>65.475699000000006</v>
      </c>
      <c r="G274" s="1">
        <v>56.938531000000005</v>
      </c>
      <c r="H274" s="1">
        <v>60.260512000000006</v>
      </c>
      <c r="I274" s="1">
        <v>49.444254000000001</v>
      </c>
      <c r="J274" s="1">
        <v>1</v>
      </c>
      <c r="L274" s="1" t="s">
        <v>21</v>
      </c>
      <c r="M274" s="1" t="s">
        <v>38</v>
      </c>
      <c r="N274" s="1" t="s">
        <v>2</v>
      </c>
      <c r="O274" s="1" t="s">
        <v>40</v>
      </c>
      <c r="P274" s="1">
        <f t="shared" si="79"/>
        <v>64.16618502</v>
      </c>
      <c r="Q274" s="1">
        <f t="shared" si="80"/>
        <v>55.799760380000002</v>
      </c>
      <c r="R274" s="1">
        <f t="shared" si="81"/>
        <v>59.055301760000006</v>
      </c>
      <c r="S274" s="1">
        <f t="shared" si="82"/>
        <v>48.455368919999998</v>
      </c>
      <c r="T274" s="33">
        <v>0</v>
      </c>
      <c r="U274" s="1">
        <v>1</v>
      </c>
      <c r="W274" s="1" t="s">
        <v>21</v>
      </c>
      <c r="X274" s="1" t="s">
        <v>38</v>
      </c>
      <c r="Y274" s="1" t="s">
        <v>2</v>
      </c>
      <c r="Z274" s="1" t="s">
        <v>39</v>
      </c>
      <c r="AA274" s="1">
        <f t="shared" si="83"/>
        <v>66.785212980000011</v>
      </c>
      <c r="AB274" s="1">
        <f t="shared" si="84"/>
        <v>58.077301620000007</v>
      </c>
      <c r="AC274" s="1">
        <f t="shared" si="85"/>
        <v>61.465722240000005</v>
      </c>
      <c r="AD274" s="1">
        <f t="shared" si="86"/>
        <v>50.433139080000004</v>
      </c>
      <c r="AE274" s="28">
        <f>MAX($I$22,$I$50,$I$78,$I$106,$I$134,$I$162,$I$190,$I$218,$I$246,$I$274,$I$302)</f>
        <v>69.769181000000003</v>
      </c>
      <c r="AF274" s="1">
        <v>1</v>
      </c>
    </row>
    <row r="275" spans="2:32" x14ac:dyDescent="0.25">
      <c r="B275" s="1" t="s">
        <v>22</v>
      </c>
      <c r="C275" s="1" t="s">
        <v>38</v>
      </c>
      <c r="D275" s="1" t="s">
        <v>2</v>
      </c>
      <c r="E275" s="1"/>
      <c r="F275" s="1">
        <v>148.431172</v>
      </c>
      <c r="G275" s="1">
        <v>132.20736799999997</v>
      </c>
      <c r="H275" s="1">
        <v>160.83287100000001</v>
      </c>
      <c r="I275" s="1">
        <v>176.065291</v>
      </c>
      <c r="J275" s="1">
        <v>1</v>
      </c>
      <c r="L275" s="1" t="s">
        <v>22</v>
      </c>
      <c r="M275" s="1" t="s">
        <v>38</v>
      </c>
      <c r="N275" s="1" t="s">
        <v>2</v>
      </c>
      <c r="O275" s="1" t="s">
        <v>40</v>
      </c>
      <c r="P275" s="1">
        <f t="shared" si="79"/>
        <v>145.46254855999999</v>
      </c>
      <c r="Q275" s="1">
        <f t="shared" si="80"/>
        <v>129.56322063999997</v>
      </c>
      <c r="R275" s="1">
        <f t="shared" si="81"/>
        <v>157.61621358000002</v>
      </c>
      <c r="S275" s="1">
        <f t="shared" si="82"/>
        <v>172.54398517999999</v>
      </c>
      <c r="T275" s="33">
        <v>0</v>
      </c>
      <c r="U275" s="1">
        <v>1</v>
      </c>
      <c r="W275" s="1" t="s">
        <v>22</v>
      </c>
      <c r="X275" s="1" t="s">
        <v>38</v>
      </c>
      <c r="Y275" s="1" t="s">
        <v>2</v>
      </c>
      <c r="Z275" s="1" t="s">
        <v>39</v>
      </c>
      <c r="AA275" s="1">
        <f t="shared" si="83"/>
        <v>151.39979544000002</v>
      </c>
      <c r="AB275" s="1">
        <f t="shared" si="84"/>
        <v>134.85151535999998</v>
      </c>
      <c r="AC275" s="1">
        <f t="shared" si="85"/>
        <v>164.04952842</v>
      </c>
      <c r="AD275" s="1">
        <f t="shared" si="86"/>
        <v>179.58659682000001</v>
      </c>
      <c r="AE275" s="28">
        <f>MAX($I$23,$I$51,$I$79,$I$107,$I$135,$I$163,$I$191,$I$219,$I$247,$I$275,$I$303)</f>
        <v>183.24970000000002</v>
      </c>
      <c r="AF275" s="1">
        <v>1</v>
      </c>
    </row>
    <row r="276" spans="2:32" x14ac:dyDescent="0.25">
      <c r="B276" s="1" t="s">
        <v>23</v>
      </c>
      <c r="C276" s="1" t="s">
        <v>38</v>
      </c>
      <c r="D276" s="1" t="s">
        <v>2</v>
      </c>
      <c r="E276" s="1"/>
      <c r="F276" s="1">
        <v>12.519</v>
      </c>
      <c r="G276" s="1">
        <v>11.006644</v>
      </c>
      <c r="H276" s="1">
        <v>12.382348</v>
      </c>
      <c r="I276" s="1">
        <v>10.536237</v>
      </c>
      <c r="J276" s="1">
        <v>1</v>
      </c>
      <c r="L276" s="1" t="s">
        <v>23</v>
      </c>
      <c r="M276" s="1" t="s">
        <v>38</v>
      </c>
      <c r="N276" s="1" t="s">
        <v>2</v>
      </c>
      <c r="O276" s="1" t="s">
        <v>40</v>
      </c>
      <c r="P276" s="1">
        <f t="shared" si="79"/>
        <v>12.26862</v>
      </c>
      <c r="Q276" s="1">
        <f t="shared" si="80"/>
        <v>10.78651112</v>
      </c>
      <c r="R276" s="1">
        <f t="shared" si="81"/>
        <v>12.134701039999999</v>
      </c>
      <c r="S276" s="1">
        <f t="shared" si="82"/>
        <v>10.32551226</v>
      </c>
      <c r="T276" s="33">
        <v>0</v>
      </c>
      <c r="U276" s="1">
        <v>1</v>
      </c>
      <c r="W276" s="1" t="s">
        <v>23</v>
      </c>
      <c r="X276" s="1" t="s">
        <v>38</v>
      </c>
      <c r="Y276" s="1" t="s">
        <v>2</v>
      </c>
      <c r="Z276" s="1" t="s">
        <v>39</v>
      </c>
      <c r="AA276" s="1">
        <f t="shared" si="83"/>
        <v>12.76938</v>
      </c>
      <c r="AB276" s="1">
        <f t="shared" si="84"/>
        <v>11.226776879999999</v>
      </c>
      <c r="AC276" s="1">
        <f t="shared" si="85"/>
        <v>12.629994960000001</v>
      </c>
      <c r="AD276" s="1">
        <f t="shared" si="86"/>
        <v>10.74696174</v>
      </c>
      <c r="AE276" s="28">
        <f>MAX($I$24,$I$52,$I$80,$I$108,$I$136,$I$164,$I$192,$I$220,$I$248,$I$276,$I$304)</f>
        <v>47.327892999999996</v>
      </c>
      <c r="AF276" s="1">
        <v>1</v>
      </c>
    </row>
    <row r="277" spans="2:32" x14ac:dyDescent="0.25">
      <c r="B277" s="1" t="s">
        <v>24</v>
      </c>
      <c r="C277" s="1" t="s">
        <v>38</v>
      </c>
      <c r="D277" s="1" t="s">
        <v>2</v>
      </c>
      <c r="E277" s="1"/>
      <c r="F277" s="1">
        <v>92.348100000000002</v>
      </c>
      <c r="G277" s="1">
        <v>93.9024</v>
      </c>
      <c r="H277" s="1">
        <v>114.96827800000001</v>
      </c>
      <c r="I277" s="1">
        <v>109.67262699999999</v>
      </c>
      <c r="J277" s="1">
        <v>1</v>
      </c>
      <c r="L277" s="1" t="s">
        <v>24</v>
      </c>
      <c r="M277" s="1" t="s">
        <v>38</v>
      </c>
      <c r="N277" s="1" t="s">
        <v>2</v>
      </c>
      <c r="O277" s="1" t="s">
        <v>40</v>
      </c>
      <c r="P277" s="1">
        <f t="shared" si="79"/>
        <v>90.501137999999997</v>
      </c>
      <c r="Q277" s="1">
        <f t="shared" si="80"/>
        <v>92.024351999999993</v>
      </c>
      <c r="R277" s="1">
        <f t="shared" si="81"/>
        <v>112.66891244000001</v>
      </c>
      <c r="S277" s="1">
        <f t="shared" si="82"/>
        <v>107.47917446</v>
      </c>
      <c r="T277" s="33">
        <v>0</v>
      </c>
      <c r="U277" s="1">
        <v>1</v>
      </c>
      <c r="W277" s="1" t="s">
        <v>24</v>
      </c>
      <c r="X277" s="1" t="s">
        <v>38</v>
      </c>
      <c r="Y277" s="1" t="s">
        <v>2</v>
      </c>
      <c r="Z277" s="1" t="s">
        <v>39</v>
      </c>
      <c r="AA277" s="1">
        <f t="shared" si="83"/>
        <v>94.195062000000007</v>
      </c>
      <c r="AB277" s="1">
        <f t="shared" si="84"/>
        <v>95.780448000000007</v>
      </c>
      <c r="AC277" s="1">
        <f t="shared" si="85"/>
        <v>117.26764356000001</v>
      </c>
      <c r="AD277" s="1">
        <f t="shared" si="86"/>
        <v>111.86607953999999</v>
      </c>
      <c r="AE277" s="28">
        <f>MAX($I$25,$I$53,$I$81,$I$109,$I$137,$I$165,$I$193,$I$221,$I$249,$I$277,$I$305)</f>
        <v>123.01356</v>
      </c>
      <c r="AF277" s="1">
        <v>1</v>
      </c>
    </row>
    <row r="278" spans="2:32" x14ac:dyDescent="0.25">
      <c r="B278" s="1" t="s">
        <v>25</v>
      </c>
      <c r="C278" s="1" t="s">
        <v>38</v>
      </c>
      <c r="D278" s="1" t="s">
        <v>2</v>
      </c>
      <c r="E278" s="1"/>
      <c r="F278" s="1">
        <v>4.7610000000000001</v>
      </c>
      <c r="G278" s="1">
        <v>4.3326000000000002</v>
      </c>
      <c r="H278" s="1">
        <v>4.4214759999999993</v>
      </c>
      <c r="I278" s="1">
        <v>3.5206880000000003</v>
      </c>
      <c r="J278" s="1">
        <v>1</v>
      </c>
      <c r="L278" s="1" t="s">
        <v>25</v>
      </c>
      <c r="M278" s="1" t="s">
        <v>38</v>
      </c>
      <c r="N278" s="1" t="s">
        <v>2</v>
      </c>
      <c r="O278" s="1" t="s">
        <v>40</v>
      </c>
      <c r="P278" s="1">
        <f t="shared" si="79"/>
        <v>4.6657799999999998</v>
      </c>
      <c r="Q278" s="1">
        <f t="shared" si="80"/>
        <v>4.2459480000000003</v>
      </c>
      <c r="R278" s="1">
        <f t="shared" si="81"/>
        <v>4.3330464799999993</v>
      </c>
      <c r="S278" s="1">
        <f t="shared" si="82"/>
        <v>3.4502742400000002</v>
      </c>
      <c r="T278" s="33">
        <v>0</v>
      </c>
      <c r="U278" s="1">
        <v>1</v>
      </c>
      <c r="W278" s="1" t="s">
        <v>25</v>
      </c>
      <c r="X278" s="1" t="s">
        <v>38</v>
      </c>
      <c r="Y278" s="1" t="s">
        <v>2</v>
      </c>
      <c r="Z278" s="1" t="s">
        <v>39</v>
      </c>
      <c r="AA278" s="1">
        <f t="shared" si="83"/>
        <v>4.8562200000000004</v>
      </c>
      <c r="AB278" s="1">
        <f t="shared" si="84"/>
        <v>4.4192520000000002</v>
      </c>
      <c r="AC278" s="1">
        <f t="shared" si="85"/>
        <v>4.5099055199999993</v>
      </c>
      <c r="AD278" s="1">
        <f t="shared" si="86"/>
        <v>3.5911017600000004</v>
      </c>
      <c r="AE278" s="28">
        <f>MAX($I$26,$I$54,$I$82,$I$110,$I$138,$I$166,$I$194,$I$222,$I$250,$I$278,$I$306)</f>
        <v>14.768578</v>
      </c>
      <c r="AF278" s="1">
        <v>1</v>
      </c>
    </row>
    <row r="279" spans="2:32" x14ac:dyDescent="0.25">
      <c r="B279" s="1" t="s">
        <v>26</v>
      </c>
      <c r="C279" s="1" t="s">
        <v>38</v>
      </c>
      <c r="D279" s="1" t="s">
        <v>2</v>
      </c>
      <c r="E279" s="1"/>
      <c r="F279" s="1">
        <v>55.775700000000001</v>
      </c>
      <c r="G279" s="1">
        <v>43.983899999999998</v>
      </c>
      <c r="H279" s="1">
        <v>47.871547</v>
      </c>
      <c r="I279" s="1">
        <v>43.948800000000006</v>
      </c>
      <c r="J279" s="1">
        <v>1</v>
      </c>
      <c r="L279" s="1" t="s">
        <v>26</v>
      </c>
      <c r="M279" s="1" t="s">
        <v>38</v>
      </c>
      <c r="N279" s="1" t="s">
        <v>2</v>
      </c>
      <c r="O279" s="1" t="s">
        <v>40</v>
      </c>
      <c r="P279" s="1">
        <f t="shared" si="79"/>
        <v>54.660186000000003</v>
      </c>
      <c r="Q279" s="1">
        <f t="shared" si="80"/>
        <v>43.104222</v>
      </c>
      <c r="R279" s="1">
        <f t="shared" si="81"/>
        <v>46.914116059999998</v>
      </c>
      <c r="S279" s="1">
        <f t="shared" si="82"/>
        <v>43.069824000000004</v>
      </c>
      <c r="T279" s="33">
        <v>0</v>
      </c>
      <c r="U279" s="1">
        <v>1</v>
      </c>
      <c r="W279" s="1" t="s">
        <v>26</v>
      </c>
      <c r="X279" s="1" t="s">
        <v>38</v>
      </c>
      <c r="Y279" s="1" t="s">
        <v>2</v>
      </c>
      <c r="Z279" s="1" t="s">
        <v>39</v>
      </c>
      <c r="AA279" s="1">
        <f t="shared" si="83"/>
        <v>56.891213999999998</v>
      </c>
      <c r="AB279" s="1">
        <f t="shared" si="84"/>
        <v>44.863577999999997</v>
      </c>
      <c r="AC279" s="1">
        <f t="shared" si="85"/>
        <v>48.828977940000001</v>
      </c>
      <c r="AD279" s="1">
        <f t="shared" si="86"/>
        <v>44.827776000000007</v>
      </c>
      <c r="AE279" s="28">
        <f>MAX($I$27,$I$55,$I$83,$I$111,$I$139,$I$167,$I$195,$I$223,$I$251,$I$279,$I$307)</f>
        <v>43.948800000000006</v>
      </c>
      <c r="AF279" s="1">
        <v>1</v>
      </c>
    </row>
    <row r="280" spans="2:32" x14ac:dyDescent="0.25">
      <c r="B280" s="1" t="s">
        <v>27</v>
      </c>
      <c r="C280" s="1" t="s">
        <v>38</v>
      </c>
      <c r="D280" s="1" t="s">
        <v>2</v>
      </c>
      <c r="E280" s="1"/>
      <c r="F280" s="1">
        <v>1.927789</v>
      </c>
      <c r="G280" s="1">
        <v>1.0620000000000001</v>
      </c>
      <c r="H280" s="1">
        <v>1.002702</v>
      </c>
      <c r="I280" s="1">
        <v>0.36976600000000004</v>
      </c>
      <c r="J280" s="1">
        <v>1</v>
      </c>
      <c r="L280" s="1" t="s">
        <v>27</v>
      </c>
      <c r="M280" s="1" t="s">
        <v>38</v>
      </c>
      <c r="N280" s="1" t="s">
        <v>2</v>
      </c>
      <c r="O280" s="1" t="s">
        <v>40</v>
      </c>
      <c r="P280" s="1">
        <f t="shared" si="79"/>
        <v>1.8892332199999999</v>
      </c>
      <c r="Q280" s="1">
        <f t="shared" si="80"/>
        <v>1.0407600000000001</v>
      </c>
      <c r="R280" s="1">
        <f t="shared" si="81"/>
        <v>0.98264795999999999</v>
      </c>
      <c r="S280" s="1">
        <f t="shared" si="82"/>
        <v>0.36237068000000006</v>
      </c>
      <c r="T280" s="33">
        <v>0</v>
      </c>
      <c r="U280" s="1">
        <v>1</v>
      </c>
      <c r="W280" s="1" t="s">
        <v>27</v>
      </c>
      <c r="X280" s="1" t="s">
        <v>38</v>
      </c>
      <c r="Y280" s="1" t="s">
        <v>2</v>
      </c>
      <c r="Z280" s="1" t="s">
        <v>39</v>
      </c>
      <c r="AA280" s="1">
        <f t="shared" si="83"/>
        <v>1.96634478</v>
      </c>
      <c r="AB280" s="1">
        <f t="shared" si="84"/>
        <v>1.08324</v>
      </c>
      <c r="AC280" s="1">
        <f t="shared" si="85"/>
        <v>1.02275604</v>
      </c>
      <c r="AD280" s="1">
        <f t="shared" si="86"/>
        <v>0.37716132000000002</v>
      </c>
      <c r="AE280" s="28">
        <f>MAX($I$28,$I$56,$I$84,$I$112,$I$140,$I$168,$I$196,$I$224,$I$252,$I$280,$I$308)</f>
        <v>66.917000000000002</v>
      </c>
      <c r="AF280" s="1">
        <v>1</v>
      </c>
    </row>
    <row r="281" spans="2:32" x14ac:dyDescent="0.25">
      <c r="B281" s="1" t="s">
        <v>28</v>
      </c>
      <c r="C281" s="1" t="s">
        <v>38</v>
      </c>
      <c r="D281" s="1" t="s">
        <v>2</v>
      </c>
      <c r="E281" s="1"/>
      <c r="F281" s="1">
        <v>5.9412000000000003</v>
      </c>
      <c r="G281" s="1">
        <v>3.0216999999999996</v>
      </c>
      <c r="H281" s="1">
        <v>0.79619700000000004</v>
      </c>
      <c r="I281" s="1">
        <v>0.97233799999999992</v>
      </c>
      <c r="J281" s="1">
        <v>1</v>
      </c>
      <c r="L281" s="1" t="s">
        <v>28</v>
      </c>
      <c r="M281" s="1" t="s">
        <v>38</v>
      </c>
      <c r="N281" s="1" t="s">
        <v>2</v>
      </c>
      <c r="O281" s="1" t="s">
        <v>40</v>
      </c>
      <c r="P281" s="1">
        <f t="shared" si="79"/>
        <v>5.8223760000000002</v>
      </c>
      <c r="Q281" s="1">
        <f t="shared" si="80"/>
        <v>2.9612659999999997</v>
      </c>
      <c r="R281" s="1">
        <f t="shared" si="81"/>
        <v>0.78027306000000007</v>
      </c>
      <c r="S281" s="1">
        <f t="shared" si="82"/>
        <v>0.95289123999999992</v>
      </c>
      <c r="T281" s="33">
        <v>0</v>
      </c>
      <c r="U281" s="1">
        <v>1</v>
      </c>
      <c r="W281" s="1" t="s">
        <v>28</v>
      </c>
      <c r="X281" s="1" t="s">
        <v>38</v>
      </c>
      <c r="Y281" s="1" t="s">
        <v>2</v>
      </c>
      <c r="Z281" s="1" t="s">
        <v>39</v>
      </c>
      <c r="AA281" s="1">
        <f t="shared" si="83"/>
        <v>6.0600240000000003</v>
      </c>
      <c r="AB281" s="1">
        <f t="shared" si="84"/>
        <v>3.0821339999999995</v>
      </c>
      <c r="AC281" s="1">
        <f t="shared" si="85"/>
        <v>0.81212094000000001</v>
      </c>
      <c r="AD281" s="1">
        <f t="shared" si="86"/>
        <v>0.99178475999999993</v>
      </c>
      <c r="AE281" s="28">
        <f>MAX($I$29,$I$57,$I$85,$I$113,$I$141,$I$169,$I$197,$I$225,$I$253,$I$281,$I$309)</f>
        <v>112.108</v>
      </c>
      <c r="AF281" s="1">
        <v>1</v>
      </c>
    </row>
    <row r="282" spans="2:32" x14ac:dyDescent="0.25">
      <c r="B282" s="1" t="s">
        <v>29</v>
      </c>
      <c r="C282" s="1" t="s">
        <v>38</v>
      </c>
      <c r="D282" s="1" t="s">
        <v>2</v>
      </c>
      <c r="E282" s="1"/>
      <c r="F282" s="1">
        <v>0.16585900000000001</v>
      </c>
      <c r="G282" s="1">
        <v>0.14056100000000002</v>
      </c>
      <c r="H282" s="1">
        <v>6.5519000000000008E-2</v>
      </c>
      <c r="I282" s="1">
        <v>7.7764E-2</v>
      </c>
      <c r="J282" s="1">
        <v>1</v>
      </c>
      <c r="L282" s="1" t="s">
        <v>29</v>
      </c>
      <c r="M282" s="1" t="s">
        <v>38</v>
      </c>
      <c r="N282" s="1" t="s">
        <v>2</v>
      </c>
      <c r="O282" s="1" t="s">
        <v>40</v>
      </c>
      <c r="P282" s="1">
        <f t="shared" si="79"/>
        <v>0.16254182</v>
      </c>
      <c r="Q282" s="1">
        <f t="shared" si="80"/>
        <v>0.13774978000000002</v>
      </c>
      <c r="R282" s="1">
        <f t="shared" si="81"/>
        <v>6.4208620000000008E-2</v>
      </c>
      <c r="S282" s="1">
        <f t="shared" si="82"/>
        <v>7.6208719999999994E-2</v>
      </c>
      <c r="T282" s="33">
        <v>0</v>
      </c>
      <c r="U282" s="1">
        <v>1</v>
      </c>
      <c r="W282" s="1" t="s">
        <v>29</v>
      </c>
      <c r="X282" s="1" t="s">
        <v>38</v>
      </c>
      <c r="Y282" s="1" t="s">
        <v>2</v>
      </c>
      <c r="Z282" s="1" t="s">
        <v>39</v>
      </c>
      <c r="AA282" s="1">
        <f t="shared" si="83"/>
        <v>0.16917618000000001</v>
      </c>
      <c r="AB282" s="1">
        <f t="shared" si="84"/>
        <v>0.14337222000000002</v>
      </c>
      <c r="AC282" s="1">
        <f t="shared" si="85"/>
        <v>6.6829380000000008E-2</v>
      </c>
      <c r="AD282" s="1">
        <f t="shared" si="86"/>
        <v>7.9319280000000006E-2</v>
      </c>
      <c r="AE282" s="28">
        <f>MAX($I$30,$I$58,$I$86,$I$114,$I$142,$I$170,$I$198,$I$226,$I$254,$I$282,$I$310)</f>
        <v>101.44997000000001</v>
      </c>
      <c r="AF282" s="1">
        <v>1</v>
      </c>
    </row>
    <row r="283" spans="2:32" x14ac:dyDescent="0.25">
      <c r="B283" s="1" t="s">
        <v>30</v>
      </c>
      <c r="C283" s="1" t="s">
        <v>38</v>
      </c>
      <c r="D283" s="1" t="s">
        <v>2</v>
      </c>
      <c r="E283" s="1"/>
      <c r="F283" s="1">
        <v>1262.2896000000001</v>
      </c>
      <c r="G283" s="1">
        <v>964.36983900000007</v>
      </c>
      <c r="H283" s="1">
        <v>1030.8927945700461</v>
      </c>
      <c r="I283" s="1">
        <v>814.1906987082092</v>
      </c>
      <c r="J283" s="1">
        <v>1</v>
      </c>
      <c r="L283" s="1" t="s">
        <v>30</v>
      </c>
      <c r="M283" s="1" t="s">
        <v>38</v>
      </c>
      <c r="N283" s="1" t="s">
        <v>2</v>
      </c>
      <c r="O283" s="1" t="s">
        <v>40</v>
      </c>
      <c r="P283" s="1">
        <f t="shared" si="79"/>
        <v>1237.0438080000001</v>
      </c>
      <c r="Q283" s="1">
        <f t="shared" si="80"/>
        <v>945.08244222000008</v>
      </c>
      <c r="R283" s="1">
        <f t="shared" si="81"/>
        <v>1010.2749386786452</v>
      </c>
      <c r="S283" s="1">
        <f t="shared" si="82"/>
        <v>797.90688473404498</v>
      </c>
      <c r="T283" s="33">
        <v>0</v>
      </c>
      <c r="U283" s="1">
        <v>1</v>
      </c>
      <c r="W283" s="1" t="s">
        <v>30</v>
      </c>
      <c r="X283" s="1" t="s">
        <v>38</v>
      </c>
      <c r="Y283" s="1" t="s">
        <v>2</v>
      </c>
      <c r="Z283" s="1" t="s">
        <v>39</v>
      </c>
      <c r="AA283" s="1">
        <f t="shared" si="83"/>
        <v>1287.535392</v>
      </c>
      <c r="AB283" s="1">
        <f t="shared" si="84"/>
        <v>983.65723578000006</v>
      </c>
      <c r="AC283" s="1">
        <f t="shared" si="85"/>
        <v>1051.5106504614471</v>
      </c>
      <c r="AD283" s="1">
        <f t="shared" si="86"/>
        <v>830.47451268237342</v>
      </c>
      <c r="AE283" s="28">
        <f>MAX($I$31,$I$59,$I$87,$I$115,$I$143,$I$171,$I$199,$I$227,$I$255,$I$283,$I$311)</f>
        <v>814.1906987082092</v>
      </c>
      <c r="AF283" s="1">
        <v>1</v>
      </c>
    </row>
    <row r="284" spans="2:32" x14ac:dyDescent="0.25">
      <c r="B284" s="24" t="s">
        <v>0</v>
      </c>
      <c r="C284" s="24" t="s">
        <v>47</v>
      </c>
      <c r="D284" s="24" t="s">
        <v>2</v>
      </c>
      <c r="E284" s="24"/>
      <c r="F284" s="26">
        <v>0</v>
      </c>
      <c r="G284" s="26">
        <v>0</v>
      </c>
      <c r="H284" s="26">
        <v>0</v>
      </c>
      <c r="I284" s="26">
        <v>0</v>
      </c>
      <c r="J284" s="1">
        <v>1</v>
      </c>
      <c r="L284" s="1" t="s">
        <v>0</v>
      </c>
      <c r="M284" s="1" t="s">
        <v>47</v>
      </c>
      <c r="N284" s="1" t="s">
        <v>2</v>
      </c>
      <c r="O284" s="1" t="s">
        <v>40</v>
      </c>
      <c r="P284" s="1">
        <f t="shared" si="79"/>
        <v>0</v>
      </c>
      <c r="Q284" s="1">
        <f t="shared" si="80"/>
        <v>0</v>
      </c>
      <c r="R284" s="1">
        <f t="shared" si="81"/>
        <v>0</v>
      </c>
      <c r="S284" s="1">
        <f t="shared" si="82"/>
        <v>0</v>
      </c>
      <c r="T284" s="33">
        <v>0</v>
      </c>
      <c r="U284" s="1">
        <v>1</v>
      </c>
      <c r="W284" s="1" t="s">
        <v>0</v>
      </c>
      <c r="X284" s="1" t="s">
        <v>47</v>
      </c>
      <c r="Y284" s="1" t="s">
        <v>2</v>
      </c>
      <c r="Z284" s="1" t="s">
        <v>39</v>
      </c>
      <c r="AA284" s="1">
        <f t="shared" si="83"/>
        <v>0</v>
      </c>
      <c r="AB284" s="1">
        <f t="shared" si="84"/>
        <v>0</v>
      </c>
      <c r="AC284" s="1">
        <f t="shared" si="85"/>
        <v>0</v>
      </c>
      <c r="AD284" s="1">
        <f t="shared" si="86"/>
        <v>0</v>
      </c>
      <c r="AE284" s="28">
        <f>MAX($I$4,$I$32,$I$60,$I$88,$I$116,$I$144,$I$172,$I$200,$I$228,$I$256,$I$284)</f>
        <v>119.69903699999999</v>
      </c>
      <c r="AF284" s="1">
        <v>1</v>
      </c>
    </row>
    <row r="285" spans="2:32" x14ac:dyDescent="0.25">
      <c r="B285" s="24" t="s">
        <v>3</v>
      </c>
      <c r="C285" s="24" t="s">
        <v>47</v>
      </c>
      <c r="D285" s="24" t="s">
        <v>2</v>
      </c>
      <c r="E285" s="24"/>
      <c r="F285" s="26">
        <v>0</v>
      </c>
      <c r="G285" s="26">
        <v>0</v>
      </c>
      <c r="H285" s="26">
        <v>0</v>
      </c>
      <c r="I285" s="26">
        <v>0</v>
      </c>
      <c r="J285" s="1">
        <v>1</v>
      </c>
      <c r="L285" s="1" t="s">
        <v>3</v>
      </c>
      <c r="M285" s="1" t="s">
        <v>47</v>
      </c>
      <c r="N285" s="1" t="s">
        <v>2</v>
      </c>
      <c r="O285" s="1" t="s">
        <v>40</v>
      </c>
      <c r="P285" s="1">
        <f t="shared" si="79"/>
        <v>0</v>
      </c>
      <c r="Q285" s="1">
        <f t="shared" si="80"/>
        <v>0</v>
      </c>
      <c r="R285" s="1">
        <f t="shared" si="81"/>
        <v>0</v>
      </c>
      <c r="S285" s="1">
        <f t="shared" si="82"/>
        <v>0</v>
      </c>
      <c r="T285" s="33">
        <v>0</v>
      </c>
      <c r="U285" s="1">
        <v>1</v>
      </c>
      <c r="W285" s="1" t="s">
        <v>3</v>
      </c>
      <c r="X285" s="1" t="s">
        <v>47</v>
      </c>
      <c r="Y285" s="1" t="s">
        <v>2</v>
      </c>
      <c r="Z285" s="1" t="s">
        <v>39</v>
      </c>
      <c r="AA285" s="1">
        <f t="shared" si="83"/>
        <v>0</v>
      </c>
      <c r="AB285" s="1">
        <f t="shared" si="84"/>
        <v>0</v>
      </c>
      <c r="AC285" s="1">
        <f t="shared" si="85"/>
        <v>0</v>
      </c>
      <c r="AD285" s="1">
        <f t="shared" si="86"/>
        <v>0</v>
      </c>
      <c r="AE285" s="28">
        <f>MAX($I$5,$I$33,$I$61,$I$89,$I$117,$I$145,$I$173,$I$201,$I$229,$I$257,$I$285)</f>
        <v>27.890193999999994</v>
      </c>
      <c r="AF285" s="1">
        <v>1</v>
      </c>
    </row>
    <row r="286" spans="2:32" x14ac:dyDescent="0.25">
      <c r="B286" s="24" t="s">
        <v>4</v>
      </c>
      <c r="C286" s="24" t="s">
        <v>47</v>
      </c>
      <c r="D286" s="24" t="s">
        <v>2</v>
      </c>
      <c r="E286" s="24"/>
      <c r="F286" s="26">
        <v>0</v>
      </c>
      <c r="G286" s="26">
        <v>0</v>
      </c>
      <c r="H286" s="26">
        <v>0</v>
      </c>
      <c r="I286" s="26">
        <v>0</v>
      </c>
      <c r="J286" s="1">
        <v>1</v>
      </c>
      <c r="L286" s="1" t="s">
        <v>4</v>
      </c>
      <c r="M286" s="1" t="s">
        <v>47</v>
      </c>
      <c r="N286" s="1" t="s">
        <v>2</v>
      </c>
      <c r="O286" s="1" t="s">
        <v>40</v>
      </c>
      <c r="P286" s="1">
        <f t="shared" si="79"/>
        <v>0</v>
      </c>
      <c r="Q286" s="1">
        <f t="shared" si="80"/>
        <v>0</v>
      </c>
      <c r="R286" s="1">
        <f t="shared" si="81"/>
        <v>0</v>
      </c>
      <c r="S286" s="1">
        <f t="shared" si="82"/>
        <v>0</v>
      </c>
      <c r="T286" s="33">
        <v>0</v>
      </c>
      <c r="U286" s="1">
        <v>1</v>
      </c>
      <c r="W286" s="1" t="s">
        <v>4</v>
      </c>
      <c r="X286" s="1" t="s">
        <v>47</v>
      </c>
      <c r="Y286" s="1" t="s">
        <v>2</v>
      </c>
      <c r="Z286" s="1" t="s">
        <v>39</v>
      </c>
      <c r="AA286" s="1">
        <f t="shared" si="83"/>
        <v>0</v>
      </c>
      <c r="AB286" s="1">
        <f t="shared" si="84"/>
        <v>0</v>
      </c>
      <c r="AC286" s="1">
        <f t="shared" si="85"/>
        <v>0</v>
      </c>
      <c r="AD286" s="1">
        <f t="shared" si="86"/>
        <v>0</v>
      </c>
      <c r="AE286" s="28">
        <f>MAX($I$6,$I$34,$I$62,$I$90,$I$118,$I$146,$I$174,$I$202,$I$230,$I$258,$I$286)</f>
        <v>80.496740000000003</v>
      </c>
      <c r="AF286" s="1">
        <v>1</v>
      </c>
    </row>
    <row r="287" spans="2:32" x14ac:dyDescent="0.25">
      <c r="B287" s="24" t="s">
        <v>5</v>
      </c>
      <c r="C287" s="24" t="s">
        <v>47</v>
      </c>
      <c r="D287" s="24" t="s">
        <v>2</v>
      </c>
      <c r="E287" s="24"/>
      <c r="F287" s="26">
        <v>0</v>
      </c>
      <c r="G287" s="26">
        <v>0</v>
      </c>
      <c r="H287" s="26">
        <v>0</v>
      </c>
      <c r="I287" s="26">
        <v>0</v>
      </c>
      <c r="J287" s="1">
        <v>1</v>
      </c>
      <c r="L287" s="1" t="s">
        <v>5</v>
      </c>
      <c r="M287" s="1" t="s">
        <v>47</v>
      </c>
      <c r="N287" s="1" t="s">
        <v>2</v>
      </c>
      <c r="O287" s="1" t="s">
        <v>40</v>
      </c>
      <c r="P287" s="1">
        <f t="shared" si="79"/>
        <v>0</v>
      </c>
      <c r="Q287" s="1">
        <f t="shared" si="80"/>
        <v>0</v>
      </c>
      <c r="R287" s="1">
        <f t="shared" si="81"/>
        <v>0</v>
      </c>
      <c r="S287" s="1">
        <f t="shared" si="82"/>
        <v>0</v>
      </c>
      <c r="T287" s="33">
        <v>0</v>
      </c>
      <c r="U287" s="1">
        <v>1</v>
      </c>
      <c r="W287" s="1" t="s">
        <v>5</v>
      </c>
      <c r="X287" s="1" t="s">
        <v>47</v>
      </c>
      <c r="Y287" s="1" t="s">
        <v>2</v>
      </c>
      <c r="Z287" s="1" t="s">
        <v>39</v>
      </c>
      <c r="AA287" s="1">
        <f t="shared" si="83"/>
        <v>0</v>
      </c>
      <c r="AB287" s="1">
        <f t="shared" si="84"/>
        <v>0</v>
      </c>
      <c r="AC287" s="1">
        <f t="shared" si="85"/>
        <v>0</v>
      </c>
      <c r="AD287" s="1">
        <f t="shared" si="86"/>
        <v>0</v>
      </c>
      <c r="AE287" s="28">
        <f>MAX($I$7,$I$35,$I$63,$I$91,$I$119,$I$147,$I$175,$I$203,$I$231,$I$259,$I$287)</f>
        <v>69.570329999999998</v>
      </c>
      <c r="AF287" s="1">
        <v>1</v>
      </c>
    </row>
    <row r="288" spans="2:32" x14ac:dyDescent="0.25">
      <c r="B288" s="24" t="s">
        <v>6</v>
      </c>
      <c r="C288" s="24" t="s">
        <v>47</v>
      </c>
      <c r="D288" s="24" t="s">
        <v>2</v>
      </c>
      <c r="E288" s="24"/>
      <c r="F288" s="26">
        <v>0.59199999999999997</v>
      </c>
      <c r="G288" s="26">
        <v>0.96199999999999997</v>
      </c>
      <c r="H288" s="26">
        <v>1.012</v>
      </c>
      <c r="I288" s="26">
        <v>1.63</v>
      </c>
      <c r="J288" s="1">
        <v>1</v>
      </c>
      <c r="L288" s="1" t="s">
        <v>6</v>
      </c>
      <c r="M288" s="1" t="s">
        <v>47</v>
      </c>
      <c r="N288" s="1" t="s">
        <v>2</v>
      </c>
      <c r="O288" s="1" t="s">
        <v>40</v>
      </c>
      <c r="P288" s="1">
        <f t="shared" si="79"/>
        <v>0.58016000000000001</v>
      </c>
      <c r="Q288" s="1">
        <f t="shared" si="80"/>
        <v>0.94275999999999993</v>
      </c>
      <c r="R288" s="1">
        <f t="shared" si="81"/>
        <v>0.99175999999999997</v>
      </c>
      <c r="S288" s="1">
        <f t="shared" si="82"/>
        <v>1.5973999999999999</v>
      </c>
      <c r="T288" s="33">
        <v>0</v>
      </c>
      <c r="U288" s="1">
        <v>1</v>
      </c>
      <c r="W288" s="1" t="s">
        <v>6</v>
      </c>
      <c r="X288" s="1" t="s">
        <v>47</v>
      </c>
      <c r="Y288" s="1" t="s">
        <v>2</v>
      </c>
      <c r="Z288" s="1" t="s">
        <v>39</v>
      </c>
      <c r="AA288" s="1">
        <f t="shared" si="83"/>
        <v>0.60383999999999993</v>
      </c>
      <c r="AB288" s="1">
        <f t="shared" si="84"/>
        <v>0.98124</v>
      </c>
      <c r="AC288" s="1">
        <f t="shared" si="85"/>
        <v>1.03224</v>
      </c>
      <c r="AD288" s="1">
        <f t="shared" si="86"/>
        <v>1.6625999999999999</v>
      </c>
      <c r="AE288" s="28">
        <f>MAX($I$8,$I$36,$I$64,$I$92,$I$120,$I$148,$I$176,$I$204,$I$232,$I$260,$I$288)</f>
        <v>836.17112299999997</v>
      </c>
      <c r="AF288" s="1">
        <v>1</v>
      </c>
    </row>
    <row r="289" spans="2:32" x14ac:dyDescent="0.25">
      <c r="B289" s="24" t="s">
        <v>7</v>
      </c>
      <c r="C289" s="24" t="s">
        <v>47</v>
      </c>
      <c r="D289" s="24" t="s">
        <v>2</v>
      </c>
      <c r="E289" s="24"/>
      <c r="F289" s="26">
        <v>0</v>
      </c>
      <c r="G289" s="26">
        <v>0</v>
      </c>
      <c r="H289" s="26">
        <v>0</v>
      </c>
      <c r="I289" s="26">
        <v>0</v>
      </c>
      <c r="J289" s="1">
        <v>1</v>
      </c>
      <c r="L289" s="1" t="s">
        <v>7</v>
      </c>
      <c r="M289" s="1" t="s">
        <v>47</v>
      </c>
      <c r="N289" s="1" t="s">
        <v>2</v>
      </c>
      <c r="O289" s="1" t="s">
        <v>40</v>
      </c>
      <c r="P289" s="1">
        <f t="shared" si="79"/>
        <v>0</v>
      </c>
      <c r="Q289" s="1">
        <f t="shared" si="80"/>
        <v>0</v>
      </c>
      <c r="R289" s="1">
        <f t="shared" si="81"/>
        <v>0</v>
      </c>
      <c r="S289" s="1">
        <f t="shared" si="82"/>
        <v>0</v>
      </c>
      <c r="T289" s="33">
        <v>0</v>
      </c>
      <c r="U289" s="1">
        <v>1</v>
      </c>
      <c r="W289" s="1" t="s">
        <v>7</v>
      </c>
      <c r="X289" s="1" t="s">
        <v>47</v>
      </c>
      <c r="Y289" s="1" t="s">
        <v>2</v>
      </c>
      <c r="Z289" s="1" t="s">
        <v>39</v>
      </c>
      <c r="AA289" s="1">
        <f t="shared" si="83"/>
        <v>0</v>
      </c>
      <c r="AB289" s="1">
        <f t="shared" si="84"/>
        <v>0</v>
      </c>
      <c r="AC289" s="1">
        <f t="shared" si="85"/>
        <v>0</v>
      </c>
      <c r="AD289" s="1">
        <f t="shared" si="86"/>
        <v>0</v>
      </c>
      <c r="AE289" s="28">
        <f>MAX($I$9,$I$37,$I$65,$I$93,$I$121,$I$149,$I$177,$I$205,$I$233,$I$261,$I$289)</f>
        <v>15.457636000000001</v>
      </c>
      <c r="AF289" s="1">
        <v>1</v>
      </c>
    </row>
    <row r="290" spans="2:32" x14ac:dyDescent="0.25">
      <c r="B290" s="24" t="s">
        <v>8</v>
      </c>
      <c r="C290" s="24" t="s">
        <v>47</v>
      </c>
      <c r="D290" s="24" t="s">
        <v>2</v>
      </c>
      <c r="E290" s="24"/>
      <c r="F290" s="26">
        <v>0</v>
      </c>
      <c r="G290" s="26">
        <v>0</v>
      </c>
      <c r="H290" s="26">
        <v>0</v>
      </c>
      <c r="I290" s="26">
        <v>0</v>
      </c>
      <c r="J290" s="1">
        <v>1</v>
      </c>
      <c r="L290" s="1" t="s">
        <v>8</v>
      </c>
      <c r="M290" s="1" t="s">
        <v>47</v>
      </c>
      <c r="N290" s="1" t="s">
        <v>2</v>
      </c>
      <c r="O290" s="1" t="s">
        <v>40</v>
      </c>
      <c r="P290" s="1">
        <f t="shared" si="79"/>
        <v>0</v>
      </c>
      <c r="Q290" s="1">
        <f t="shared" si="80"/>
        <v>0</v>
      </c>
      <c r="R290" s="1">
        <f t="shared" si="81"/>
        <v>0</v>
      </c>
      <c r="S290" s="1">
        <f t="shared" si="82"/>
        <v>0</v>
      </c>
      <c r="T290" s="33">
        <v>0</v>
      </c>
      <c r="U290" s="1">
        <v>1</v>
      </c>
      <c r="W290" s="1" t="s">
        <v>8</v>
      </c>
      <c r="X290" s="1" t="s">
        <v>47</v>
      </c>
      <c r="Y290" s="1" t="s">
        <v>2</v>
      </c>
      <c r="Z290" s="1" t="s">
        <v>39</v>
      </c>
      <c r="AA290" s="1">
        <f t="shared" si="83"/>
        <v>0</v>
      </c>
      <c r="AB290" s="1">
        <f t="shared" si="84"/>
        <v>0</v>
      </c>
      <c r="AC290" s="1">
        <f t="shared" si="85"/>
        <v>0</v>
      </c>
      <c r="AD290" s="1">
        <f t="shared" si="86"/>
        <v>0</v>
      </c>
      <c r="AE290" s="28">
        <f>MAX(I$10,I$38,I$66,I$94,I$122,I$150,I$178,I$206,I$234,I$262,I$290)</f>
        <v>42.352189999999993</v>
      </c>
      <c r="AF290" s="1">
        <v>1</v>
      </c>
    </row>
    <row r="291" spans="2:32" x14ac:dyDescent="0.25">
      <c r="B291" s="24" t="s">
        <v>9</v>
      </c>
      <c r="C291" s="24" t="s">
        <v>47</v>
      </c>
      <c r="D291" s="24" t="s">
        <v>2</v>
      </c>
      <c r="E291" s="24"/>
      <c r="F291" s="26">
        <v>8.0000000000000002E-3</v>
      </c>
      <c r="G291" s="26">
        <v>0</v>
      </c>
      <c r="H291" s="26">
        <v>0</v>
      </c>
      <c r="I291" s="26">
        <v>0</v>
      </c>
      <c r="J291" s="1">
        <v>1</v>
      </c>
      <c r="L291" s="1" t="s">
        <v>9</v>
      </c>
      <c r="M291" s="1" t="s">
        <v>47</v>
      </c>
      <c r="N291" s="1" t="s">
        <v>2</v>
      </c>
      <c r="O291" s="1" t="s">
        <v>40</v>
      </c>
      <c r="P291" s="1">
        <f t="shared" si="79"/>
        <v>7.8399999999999997E-3</v>
      </c>
      <c r="Q291" s="1">
        <f t="shared" si="80"/>
        <v>0</v>
      </c>
      <c r="R291" s="1">
        <f t="shared" si="81"/>
        <v>0</v>
      </c>
      <c r="S291" s="1">
        <f t="shared" si="82"/>
        <v>0</v>
      </c>
      <c r="T291" s="33">
        <v>0</v>
      </c>
      <c r="U291" s="1">
        <v>1</v>
      </c>
      <c r="W291" s="1" t="s">
        <v>9</v>
      </c>
      <c r="X291" s="1" t="s">
        <v>47</v>
      </c>
      <c r="Y291" s="1" t="s">
        <v>2</v>
      </c>
      <c r="Z291" s="1" t="s">
        <v>39</v>
      </c>
      <c r="AA291" s="1">
        <f t="shared" si="83"/>
        <v>8.1600000000000006E-3</v>
      </c>
      <c r="AB291" s="1">
        <f t="shared" si="84"/>
        <v>0</v>
      </c>
      <c r="AC291" s="1">
        <f t="shared" si="85"/>
        <v>0</v>
      </c>
      <c r="AD291" s="1">
        <f t="shared" si="86"/>
        <v>0</v>
      </c>
      <c r="AE291" s="28">
        <f>MAX($I$11,$I$39,$I$67,$I$95,$I$123,$I$151,$I$179,$I$207,$I$235,$I$263,$I$291)</f>
        <v>37.635565999999997</v>
      </c>
      <c r="AF291" s="1">
        <v>1</v>
      </c>
    </row>
    <row r="292" spans="2:32" x14ac:dyDescent="0.25">
      <c r="B292" s="24" t="s">
        <v>10</v>
      </c>
      <c r="C292" s="24" t="s">
        <v>47</v>
      </c>
      <c r="D292" s="24" t="s">
        <v>2</v>
      </c>
      <c r="E292" s="24"/>
      <c r="F292" s="26">
        <v>3.869E-3</v>
      </c>
      <c r="G292" s="26">
        <v>3.869E-3</v>
      </c>
      <c r="H292" s="26">
        <v>3.869E-3</v>
      </c>
      <c r="I292" s="26">
        <v>3.869E-3</v>
      </c>
      <c r="J292" s="1">
        <v>1</v>
      </c>
      <c r="L292" s="1" t="s">
        <v>10</v>
      </c>
      <c r="M292" s="1" t="s">
        <v>47</v>
      </c>
      <c r="N292" s="1" t="s">
        <v>2</v>
      </c>
      <c r="O292" s="1" t="s">
        <v>40</v>
      </c>
      <c r="P292" s="1">
        <f t="shared" si="79"/>
        <v>3.7916199999999999E-3</v>
      </c>
      <c r="Q292" s="1">
        <f t="shared" si="80"/>
        <v>3.7916199999999999E-3</v>
      </c>
      <c r="R292" s="1">
        <f t="shared" si="81"/>
        <v>3.7916199999999999E-3</v>
      </c>
      <c r="S292" s="1">
        <f t="shared" si="82"/>
        <v>3.7916199999999999E-3</v>
      </c>
      <c r="T292" s="33">
        <v>0</v>
      </c>
      <c r="U292" s="1">
        <v>1</v>
      </c>
      <c r="W292" s="1" t="s">
        <v>10</v>
      </c>
      <c r="X292" s="1" t="s">
        <v>47</v>
      </c>
      <c r="Y292" s="1" t="s">
        <v>2</v>
      </c>
      <c r="Z292" s="1" t="s">
        <v>39</v>
      </c>
      <c r="AA292" s="1">
        <f t="shared" si="83"/>
        <v>3.9463800000000002E-3</v>
      </c>
      <c r="AB292" s="1">
        <f t="shared" si="84"/>
        <v>3.9463800000000002E-3</v>
      </c>
      <c r="AC292" s="1">
        <f t="shared" si="85"/>
        <v>3.9463800000000002E-3</v>
      </c>
      <c r="AD292" s="1">
        <f t="shared" si="86"/>
        <v>3.9463800000000002E-3</v>
      </c>
      <c r="AE292" s="28">
        <f>MAX($I$12,$I$40,$I$68,$I$96,$I$124,$I$152,$I$180,$I$208,$I$236,$I$264,$I$292)</f>
        <v>218.13407800000004</v>
      </c>
      <c r="AF292" s="1">
        <v>1</v>
      </c>
    </row>
    <row r="293" spans="2:32" x14ac:dyDescent="0.25">
      <c r="B293" s="24" t="s">
        <v>11</v>
      </c>
      <c r="C293" s="24" t="s">
        <v>47</v>
      </c>
      <c r="D293" s="24" t="s">
        <v>2</v>
      </c>
      <c r="E293" s="24"/>
      <c r="F293" s="26">
        <v>0</v>
      </c>
      <c r="G293" s="26">
        <v>0</v>
      </c>
      <c r="H293" s="26">
        <v>0</v>
      </c>
      <c r="I293" s="26">
        <v>0</v>
      </c>
      <c r="J293" s="1">
        <v>1</v>
      </c>
      <c r="L293" s="1" t="s">
        <v>11</v>
      </c>
      <c r="M293" s="1" t="s">
        <v>47</v>
      </c>
      <c r="N293" s="1" t="s">
        <v>2</v>
      </c>
      <c r="O293" s="1" t="s">
        <v>40</v>
      </c>
      <c r="P293" s="1">
        <f t="shared" si="79"/>
        <v>0</v>
      </c>
      <c r="Q293" s="1">
        <f t="shared" si="80"/>
        <v>0</v>
      </c>
      <c r="R293" s="1">
        <f t="shared" si="81"/>
        <v>0</v>
      </c>
      <c r="S293" s="1">
        <f t="shared" si="82"/>
        <v>0</v>
      </c>
      <c r="T293" s="33">
        <v>0</v>
      </c>
      <c r="U293" s="1">
        <v>1</v>
      </c>
      <c r="W293" s="1" t="s">
        <v>11</v>
      </c>
      <c r="X293" s="1" t="s">
        <v>47</v>
      </c>
      <c r="Y293" s="1" t="s">
        <v>2</v>
      </c>
      <c r="Z293" s="1" t="s">
        <v>39</v>
      </c>
      <c r="AA293" s="1">
        <f t="shared" si="83"/>
        <v>0</v>
      </c>
      <c r="AB293" s="1">
        <f t="shared" si="84"/>
        <v>0</v>
      </c>
      <c r="AC293" s="1">
        <f t="shared" si="85"/>
        <v>0</v>
      </c>
      <c r="AD293" s="1">
        <f t="shared" si="86"/>
        <v>0</v>
      </c>
      <c r="AE293" s="28">
        <f>MAX($I$13,$I$41,$I$69,$I$97,$I$125,$I$153,$I$181,$I$209,$I$237,$I$265,$I$293)</f>
        <v>364.78012100000001</v>
      </c>
      <c r="AF293" s="1">
        <v>1</v>
      </c>
    </row>
    <row r="294" spans="2:32" x14ac:dyDescent="0.25">
      <c r="B294" s="24" t="s">
        <v>12</v>
      </c>
      <c r="C294" s="24" t="s">
        <v>47</v>
      </c>
      <c r="D294" s="24" t="s">
        <v>2</v>
      </c>
      <c r="E294" s="24"/>
      <c r="F294" s="26">
        <v>0</v>
      </c>
      <c r="G294" s="26">
        <v>0</v>
      </c>
      <c r="H294" s="26">
        <v>0</v>
      </c>
      <c r="I294" s="26">
        <v>0</v>
      </c>
      <c r="J294" s="1">
        <v>1</v>
      </c>
      <c r="L294" s="1" t="s">
        <v>12</v>
      </c>
      <c r="M294" s="1" t="s">
        <v>47</v>
      </c>
      <c r="N294" s="1" t="s">
        <v>2</v>
      </c>
      <c r="O294" s="1" t="s">
        <v>40</v>
      </c>
      <c r="P294" s="1">
        <f t="shared" si="79"/>
        <v>0</v>
      </c>
      <c r="Q294" s="1">
        <f t="shared" si="80"/>
        <v>0</v>
      </c>
      <c r="R294" s="1">
        <f t="shared" si="81"/>
        <v>0</v>
      </c>
      <c r="S294" s="1">
        <f t="shared" si="82"/>
        <v>0</v>
      </c>
      <c r="T294" s="33">
        <v>0</v>
      </c>
      <c r="U294" s="1">
        <v>1</v>
      </c>
      <c r="W294" s="1" t="s">
        <v>12</v>
      </c>
      <c r="X294" s="1" t="s">
        <v>47</v>
      </c>
      <c r="Y294" s="1" t="s">
        <v>2</v>
      </c>
      <c r="Z294" s="1" t="s">
        <v>39</v>
      </c>
      <c r="AA294" s="1">
        <f t="shared" si="83"/>
        <v>0</v>
      </c>
      <c r="AB294" s="1">
        <f t="shared" si="84"/>
        <v>0</v>
      </c>
      <c r="AC294" s="1">
        <f t="shared" si="85"/>
        <v>0</v>
      </c>
      <c r="AD294" s="1">
        <f t="shared" si="86"/>
        <v>0</v>
      </c>
      <c r="AE294" s="28">
        <f>MAX($I$14,$I$42,$I$70,$I$98,$I$126,$I$154,$I$182,$I$210,$I$238,$I$266,$I$294)</f>
        <v>40.304569999999998</v>
      </c>
      <c r="AF294" s="1">
        <v>1</v>
      </c>
    </row>
    <row r="295" spans="2:32" x14ac:dyDescent="0.25">
      <c r="B295" s="24" t="s">
        <v>13</v>
      </c>
      <c r="C295" s="24" t="s">
        <v>47</v>
      </c>
      <c r="D295" s="24" t="s">
        <v>2</v>
      </c>
      <c r="E295" s="24"/>
      <c r="F295" s="26">
        <v>5.6000000000000001E-2</v>
      </c>
      <c r="G295" s="26">
        <v>3.5999999999999997E-2</v>
      </c>
      <c r="H295" s="26">
        <v>3.6746000000000001E-2</v>
      </c>
      <c r="I295" s="26">
        <v>3.2208000000000001E-2</v>
      </c>
      <c r="J295" s="1">
        <v>1</v>
      </c>
      <c r="L295" s="1" t="s">
        <v>13</v>
      </c>
      <c r="M295" s="1" t="s">
        <v>47</v>
      </c>
      <c r="N295" s="1" t="s">
        <v>2</v>
      </c>
      <c r="O295" s="1" t="s">
        <v>40</v>
      </c>
      <c r="P295" s="1">
        <f t="shared" si="79"/>
        <v>5.4879999999999998E-2</v>
      </c>
      <c r="Q295" s="1">
        <f t="shared" si="80"/>
        <v>3.5279999999999999E-2</v>
      </c>
      <c r="R295" s="1">
        <f t="shared" si="81"/>
        <v>3.6011080000000001E-2</v>
      </c>
      <c r="S295" s="1">
        <f t="shared" si="82"/>
        <v>3.1563840000000003E-2</v>
      </c>
      <c r="T295" s="33">
        <v>0</v>
      </c>
      <c r="U295" s="1">
        <v>1</v>
      </c>
      <c r="W295" s="1" t="s">
        <v>13</v>
      </c>
      <c r="X295" s="1" t="s">
        <v>47</v>
      </c>
      <c r="Y295" s="1" t="s">
        <v>2</v>
      </c>
      <c r="Z295" s="1" t="s">
        <v>39</v>
      </c>
      <c r="AA295" s="1">
        <f t="shared" si="83"/>
        <v>5.7120000000000004E-2</v>
      </c>
      <c r="AB295" s="1">
        <f t="shared" si="84"/>
        <v>3.6719999999999996E-2</v>
      </c>
      <c r="AC295" s="1">
        <f t="shared" si="85"/>
        <v>3.7480920000000001E-2</v>
      </c>
      <c r="AD295" s="1">
        <f t="shared" si="86"/>
        <v>3.2852159999999998E-2</v>
      </c>
      <c r="AE295" s="28">
        <f>MAX($I$15,$I$43,$I$71,$I$99,$I$127,$I$155,$I$183,$I$211,$I$239,$I$267,$I$295)</f>
        <v>539.45073900000011</v>
      </c>
      <c r="AF295" s="1">
        <v>1</v>
      </c>
    </row>
    <row r="296" spans="2:32" x14ac:dyDescent="0.25">
      <c r="B296" s="24" t="s">
        <v>14</v>
      </c>
      <c r="C296" s="24" t="s">
        <v>47</v>
      </c>
      <c r="D296" s="24" t="s">
        <v>2</v>
      </c>
      <c r="E296" s="24"/>
      <c r="F296" s="26">
        <v>0</v>
      </c>
      <c r="G296" s="26">
        <v>0</v>
      </c>
      <c r="H296" s="26">
        <v>0</v>
      </c>
      <c r="I296" s="26">
        <v>0</v>
      </c>
      <c r="J296" s="1">
        <v>1</v>
      </c>
      <c r="L296" s="1" t="s">
        <v>14</v>
      </c>
      <c r="M296" s="1" t="s">
        <v>47</v>
      </c>
      <c r="N296" s="1" t="s">
        <v>2</v>
      </c>
      <c r="O296" s="1" t="s">
        <v>40</v>
      </c>
      <c r="P296" s="1">
        <f t="shared" si="79"/>
        <v>0</v>
      </c>
      <c r="Q296" s="1">
        <f t="shared" si="80"/>
        <v>0</v>
      </c>
      <c r="R296" s="1">
        <f t="shared" si="81"/>
        <v>0</v>
      </c>
      <c r="S296" s="1">
        <f t="shared" si="82"/>
        <v>0</v>
      </c>
      <c r="T296" s="33">
        <v>0</v>
      </c>
      <c r="U296" s="1">
        <v>1</v>
      </c>
      <c r="W296" s="1" t="s">
        <v>14</v>
      </c>
      <c r="X296" s="1" t="s">
        <v>47</v>
      </c>
      <c r="Y296" s="1" t="s">
        <v>2</v>
      </c>
      <c r="Z296" s="1" t="s">
        <v>39</v>
      </c>
      <c r="AA296" s="1">
        <f t="shared" si="83"/>
        <v>0</v>
      </c>
      <c r="AB296" s="1">
        <f t="shared" si="84"/>
        <v>0</v>
      </c>
      <c r="AC296" s="1">
        <f t="shared" si="85"/>
        <v>0</v>
      </c>
      <c r="AD296" s="1">
        <f t="shared" si="86"/>
        <v>0</v>
      </c>
      <c r="AE296" s="28">
        <f>MAX($I$16,$I$44,$I$72,$I$100,$I$128,$I$156,$I$184,$I$212,$I$240,$I$268,$I$296)</f>
        <v>3.1702320000000004</v>
      </c>
      <c r="AF296" s="1">
        <v>1</v>
      </c>
    </row>
    <row r="297" spans="2:32" x14ac:dyDescent="0.25">
      <c r="B297" s="24" t="s">
        <v>15</v>
      </c>
      <c r="C297" s="24" t="s">
        <v>47</v>
      </c>
      <c r="D297" s="24" t="s">
        <v>2</v>
      </c>
      <c r="E297" s="24"/>
      <c r="F297" s="26">
        <v>0</v>
      </c>
      <c r="G297" s="26">
        <v>0</v>
      </c>
      <c r="H297" s="26">
        <v>0</v>
      </c>
      <c r="I297" s="26">
        <v>0</v>
      </c>
      <c r="J297" s="1">
        <v>1</v>
      </c>
      <c r="L297" s="1" t="s">
        <v>15</v>
      </c>
      <c r="M297" s="1" t="s">
        <v>47</v>
      </c>
      <c r="N297" s="1" t="s">
        <v>2</v>
      </c>
      <c r="O297" s="1" t="s">
        <v>40</v>
      </c>
      <c r="P297" s="1">
        <f t="shared" si="79"/>
        <v>0</v>
      </c>
      <c r="Q297" s="1">
        <f t="shared" si="80"/>
        <v>0</v>
      </c>
      <c r="R297" s="1">
        <f t="shared" si="81"/>
        <v>0</v>
      </c>
      <c r="S297" s="1">
        <f t="shared" si="82"/>
        <v>0</v>
      </c>
      <c r="T297" s="33">
        <v>0</v>
      </c>
      <c r="U297" s="1">
        <v>1</v>
      </c>
      <c r="W297" s="1" t="s">
        <v>15</v>
      </c>
      <c r="X297" s="1" t="s">
        <v>47</v>
      </c>
      <c r="Y297" s="1" t="s">
        <v>2</v>
      </c>
      <c r="Z297" s="1" t="s">
        <v>39</v>
      </c>
      <c r="AA297" s="1">
        <f t="shared" si="83"/>
        <v>0</v>
      </c>
      <c r="AB297" s="1">
        <f t="shared" si="84"/>
        <v>0</v>
      </c>
      <c r="AC297" s="1">
        <f t="shared" si="85"/>
        <v>0</v>
      </c>
      <c r="AD297" s="1">
        <f t="shared" si="86"/>
        <v>0</v>
      </c>
      <c r="AE297" s="28">
        <f>MAX($I$17,$I$45,$I$73,$I$101,$I$129,$I$157,$I$185,$I$213,$I$241,$I$269,$I$297)</f>
        <v>18.231687999999998</v>
      </c>
      <c r="AF297" s="1">
        <v>1</v>
      </c>
    </row>
    <row r="298" spans="2:32" x14ac:dyDescent="0.25">
      <c r="B298" s="24" t="s">
        <v>16</v>
      </c>
      <c r="C298" s="24" t="s">
        <v>47</v>
      </c>
      <c r="D298" s="24" t="s">
        <v>2</v>
      </c>
      <c r="E298" s="24"/>
      <c r="F298" s="26">
        <v>0</v>
      </c>
      <c r="G298" s="26">
        <v>0</v>
      </c>
      <c r="H298" s="26">
        <v>0</v>
      </c>
      <c r="I298" s="26">
        <v>0</v>
      </c>
      <c r="J298" s="1">
        <v>1</v>
      </c>
      <c r="L298" s="1" t="s">
        <v>16</v>
      </c>
      <c r="M298" s="1" t="s">
        <v>47</v>
      </c>
      <c r="N298" s="1" t="s">
        <v>2</v>
      </c>
      <c r="O298" s="1" t="s">
        <v>40</v>
      </c>
      <c r="P298" s="1">
        <f t="shared" si="79"/>
        <v>0</v>
      </c>
      <c r="Q298" s="1">
        <f t="shared" si="80"/>
        <v>0</v>
      </c>
      <c r="R298" s="1">
        <f t="shared" si="81"/>
        <v>0</v>
      </c>
      <c r="S298" s="1">
        <f t="shared" si="82"/>
        <v>0</v>
      </c>
      <c r="T298" s="33">
        <v>0</v>
      </c>
      <c r="U298" s="1">
        <v>1</v>
      </c>
      <c r="W298" s="1" t="s">
        <v>16</v>
      </c>
      <c r="X298" s="1" t="s">
        <v>47</v>
      </c>
      <c r="Y298" s="1" t="s">
        <v>2</v>
      </c>
      <c r="Z298" s="1" t="s">
        <v>39</v>
      </c>
      <c r="AA298" s="1">
        <f t="shared" si="83"/>
        <v>0</v>
      </c>
      <c r="AB298" s="1">
        <f t="shared" si="84"/>
        <v>0</v>
      </c>
      <c r="AC298" s="1">
        <f t="shared" si="85"/>
        <v>0</v>
      </c>
      <c r="AD298" s="1">
        <f t="shared" si="86"/>
        <v>0</v>
      </c>
      <c r="AE298" s="28">
        <f>MAX($I$18,$I$46,$I$74,$I$102,$I$130,$I$158,$I$186,$I$214,$I$242,$I$270,$I$298)</f>
        <v>18.93</v>
      </c>
      <c r="AF298" s="1">
        <v>1</v>
      </c>
    </row>
    <row r="299" spans="2:32" x14ac:dyDescent="0.25">
      <c r="B299" s="24" t="s">
        <v>17</v>
      </c>
      <c r="C299" s="24" t="s">
        <v>47</v>
      </c>
      <c r="D299" s="24" t="s">
        <v>2</v>
      </c>
      <c r="E299" s="24"/>
      <c r="F299" s="26">
        <v>0</v>
      </c>
      <c r="G299" s="26">
        <v>0</v>
      </c>
      <c r="H299" s="26">
        <v>0</v>
      </c>
      <c r="I299" s="26">
        <v>0</v>
      </c>
      <c r="J299" s="1">
        <v>1</v>
      </c>
      <c r="L299" s="1" t="s">
        <v>17</v>
      </c>
      <c r="M299" s="1" t="s">
        <v>47</v>
      </c>
      <c r="N299" s="1" t="s">
        <v>2</v>
      </c>
      <c r="O299" s="1" t="s">
        <v>40</v>
      </c>
      <c r="P299" s="1">
        <f t="shared" si="79"/>
        <v>0</v>
      </c>
      <c r="Q299" s="1">
        <f t="shared" si="80"/>
        <v>0</v>
      </c>
      <c r="R299" s="1">
        <f t="shared" si="81"/>
        <v>0</v>
      </c>
      <c r="S299" s="1">
        <f t="shared" si="82"/>
        <v>0</v>
      </c>
      <c r="T299" s="33">
        <v>0</v>
      </c>
      <c r="U299" s="1">
        <v>1</v>
      </c>
      <c r="W299" s="1" t="s">
        <v>17</v>
      </c>
      <c r="X299" s="1" t="s">
        <v>47</v>
      </c>
      <c r="Y299" s="1" t="s">
        <v>2</v>
      </c>
      <c r="Z299" s="1" t="s">
        <v>39</v>
      </c>
      <c r="AA299" s="1">
        <f t="shared" si="83"/>
        <v>0</v>
      </c>
      <c r="AB299" s="1">
        <f t="shared" si="84"/>
        <v>0</v>
      </c>
      <c r="AC299" s="1">
        <f t="shared" si="85"/>
        <v>0</v>
      </c>
      <c r="AD299" s="1">
        <f t="shared" si="86"/>
        <v>0</v>
      </c>
      <c r="AE299" s="28">
        <f>MAX($I$19,$I$47,$I$75,$I$103,$I$131,$I$159,$I$187,$I$215,$I$243,$I$271,$I$299)</f>
        <v>8.6689310000000006</v>
      </c>
      <c r="AF299" s="1">
        <v>1</v>
      </c>
    </row>
    <row r="300" spans="2:32" x14ac:dyDescent="0.25">
      <c r="B300" s="24" t="s">
        <v>18</v>
      </c>
      <c r="C300" s="24" t="s">
        <v>47</v>
      </c>
      <c r="D300" s="24" t="s">
        <v>2</v>
      </c>
      <c r="E300" s="24"/>
      <c r="F300" s="26">
        <v>0</v>
      </c>
      <c r="G300" s="26">
        <v>0</v>
      </c>
      <c r="H300" s="26">
        <v>0</v>
      </c>
      <c r="I300" s="26">
        <v>0</v>
      </c>
      <c r="J300" s="1">
        <v>1</v>
      </c>
      <c r="L300" s="1" t="s">
        <v>18</v>
      </c>
      <c r="M300" s="1" t="s">
        <v>47</v>
      </c>
      <c r="N300" s="1" t="s">
        <v>2</v>
      </c>
      <c r="O300" s="1" t="s">
        <v>40</v>
      </c>
      <c r="P300" s="1">
        <f t="shared" si="79"/>
        <v>0</v>
      </c>
      <c r="Q300" s="1">
        <f t="shared" si="80"/>
        <v>0</v>
      </c>
      <c r="R300" s="1">
        <f t="shared" si="81"/>
        <v>0</v>
      </c>
      <c r="S300" s="1">
        <f t="shared" si="82"/>
        <v>0</v>
      </c>
      <c r="T300" s="33">
        <v>0</v>
      </c>
      <c r="U300" s="1">
        <v>1</v>
      </c>
      <c r="W300" s="1" t="s">
        <v>18</v>
      </c>
      <c r="X300" s="1" t="s">
        <v>47</v>
      </c>
      <c r="Y300" s="1" t="s">
        <v>2</v>
      </c>
      <c r="Z300" s="1" t="s">
        <v>39</v>
      </c>
      <c r="AA300" s="1">
        <f t="shared" si="83"/>
        <v>0</v>
      </c>
      <c r="AB300" s="1">
        <f t="shared" si="84"/>
        <v>0</v>
      </c>
      <c r="AC300" s="1">
        <f t="shared" si="85"/>
        <v>0</v>
      </c>
      <c r="AD300" s="1">
        <f t="shared" si="86"/>
        <v>0</v>
      </c>
      <c r="AE300" s="28">
        <f>MAX($I$20,$I$48,$I$76,$I$104,$I$132,$I$160,$I$188,$I$216,$I$244,$I$272,$I$300)</f>
        <v>104.339699</v>
      </c>
      <c r="AF300" s="1">
        <v>1</v>
      </c>
    </row>
    <row r="301" spans="2:32" x14ac:dyDescent="0.25">
      <c r="B301" s="24" t="s">
        <v>20</v>
      </c>
      <c r="C301" s="24" t="s">
        <v>47</v>
      </c>
      <c r="D301" s="24" t="s">
        <v>2</v>
      </c>
      <c r="E301" s="24"/>
      <c r="F301" s="26">
        <v>0</v>
      </c>
      <c r="G301" s="26">
        <v>0</v>
      </c>
      <c r="H301" s="26">
        <v>0</v>
      </c>
      <c r="I301" s="26">
        <v>0</v>
      </c>
      <c r="J301" s="1">
        <v>1</v>
      </c>
      <c r="L301" s="1" t="s">
        <v>20</v>
      </c>
      <c r="M301" s="1" t="s">
        <v>47</v>
      </c>
      <c r="N301" s="1" t="s">
        <v>2</v>
      </c>
      <c r="O301" s="1" t="s">
        <v>40</v>
      </c>
      <c r="P301" s="1">
        <f t="shared" ref="P301:P312" si="87">IF(ISBLANK(F301),":",0.98*F301)</f>
        <v>0</v>
      </c>
      <c r="Q301" s="1">
        <f t="shared" ref="Q301:Q312" si="88">IF(ISBLANK(G301),":",0.98*G301)</f>
        <v>0</v>
      </c>
      <c r="R301" s="1">
        <f t="shared" ref="R301:R312" si="89">IF(ISBLANK(H301),":",0.98*H301)</f>
        <v>0</v>
      </c>
      <c r="S301" s="1">
        <f t="shared" ref="S301:S312" si="90">IF(ISBLANK(I301),":",0.98*I301)</f>
        <v>0</v>
      </c>
      <c r="T301" s="33">
        <v>0</v>
      </c>
      <c r="U301" s="1">
        <v>1</v>
      </c>
      <c r="W301" s="1" t="s">
        <v>20</v>
      </c>
      <c r="X301" s="1" t="s">
        <v>47</v>
      </c>
      <c r="Y301" s="1" t="s">
        <v>2</v>
      </c>
      <c r="Z301" s="1" t="s">
        <v>39</v>
      </c>
      <c r="AA301" s="1">
        <f t="shared" si="83"/>
        <v>0</v>
      </c>
      <c r="AB301" s="1">
        <f t="shared" si="84"/>
        <v>0</v>
      </c>
      <c r="AC301" s="1">
        <f t="shared" si="85"/>
        <v>0</v>
      </c>
      <c r="AD301" s="1">
        <f t="shared" si="86"/>
        <v>0</v>
      </c>
      <c r="AE301" s="28">
        <f>MAX($I$21,$I$49,$I$77,$I$105,$I$133,$I$161,$I$189,$I$217,$I$245,$I$273,$I$301)</f>
        <v>201.18298499999997</v>
      </c>
      <c r="AF301" s="1">
        <v>1</v>
      </c>
    </row>
    <row r="302" spans="2:32" x14ac:dyDescent="0.25">
      <c r="B302" s="24" t="s">
        <v>21</v>
      </c>
      <c r="C302" s="24" t="s">
        <v>47</v>
      </c>
      <c r="D302" s="24" t="s">
        <v>2</v>
      </c>
      <c r="E302" s="24"/>
      <c r="F302" s="26">
        <v>0</v>
      </c>
      <c r="G302" s="26">
        <v>0</v>
      </c>
      <c r="H302" s="26">
        <v>0</v>
      </c>
      <c r="I302" s="26">
        <v>0</v>
      </c>
      <c r="J302" s="1">
        <v>1</v>
      </c>
      <c r="L302" s="1" t="s">
        <v>21</v>
      </c>
      <c r="M302" s="1" t="s">
        <v>47</v>
      </c>
      <c r="N302" s="1" t="s">
        <v>2</v>
      </c>
      <c r="O302" s="1" t="s">
        <v>40</v>
      </c>
      <c r="P302" s="1">
        <f t="shared" si="87"/>
        <v>0</v>
      </c>
      <c r="Q302" s="1">
        <f t="shared" si="88"/>
        <v>0</v>
      </c>
      <c r="R302" s="1">
        <f t="shared" si="89"/>
        <v>0</v>
      </c>
      <c r="S302" s="1">
        <f t="shared" si="90"/>
        <v>0</v>
      </c>
      <c r="T302" s="33">
        <v>0</v>
      </c>
      <c r="U302" s="1">
        <v>1</v>
      </c>
      <c r="W302" s="1" t="s">
        <v>21</v>
      </c>
      <c r="X302" s="1" t="s">
        <v>47</v>
      </c>
      <c r="Y302" s="1" t="s">
        <v>2</v>
      </c>
      <c r="Z302" s="1" t="s">
        <v>39</v>
      </c>
      <c r="AA302" s="1">
        <f t="shared" si="83"/>
        <v>0</v>
      </c>
      <c r="AB302" s="1">
        <f t="shared" si="84"/>
        <v>0</v>
      </c>
      <c r="AC302" s="1">
        <f t="shared" si="85"/>
        <v>0</v>
      </c>
      <c r="AD302" s="1">
        <f t="shared" si="86"/>
        <v>0</v>
      </c>
      <c r="AE302" s="28">
        <f>MAX($I$22,$I$50,$I$78,$I$106,$I$134,$I$162,$I$190,$I$218,$I$246,$I$274,$I$302)</f>
        <v>69.769181000000003</v>
      </c>
      <c r="AF302" s="1">
        <v>1</v>
      </c>
    </row>
    <row r="303" spans="2:32" x14ac:dyDescent="0.25">
      <c r="B303" s="24" t="s">
        <v>22</v>
      </c>
      <c r="C303" s="24" t="s">
        <v>47</v>
      </c>
      <c r="D303" s="24" t="s">
        <v>2</v>
      </c>
      <c r="E303" s="24"/>
      <c r="F303" s="26">
        <v>0.44</v>
      </c>
      <c r="G303" s="26">
        <v>0.67400000000000004</v>
      </c>
      <c r="H303" s="26">
        <v>0.80511100000000002</v>
      </c>
      <c r="I303" s="26">
        <v>1.029217</v>
      </c>
      <c r="J303" s="1">
        <v>1</v>
      </c>
      <c r="L303" s="1" t="s">
        <v>22</v>
      </c>
      <c r="M303" s="1" t="s">
        <v>47</v>
      </c>
      <c r="N303" s="1" t="s">
        <v>2</v>
      </c>
      <c r="O303" s="1" t="s">
        <v>40</v>
      </c>
      <c r="P303" s="1">
        <f t="shared" si="87"/>
        <v>0.43119999999999997</v>
      </c>
      <c r="Q303" s="1">
        <f t="shared" si="88"/>
        <v>0.66052</v>
      </c>
      <c r="R303" s="1">
        <f t="shared" si="89"/>
        <v>0.78900877999999997</v>
      </c>
      <c r="S303" s="1">
        <f t="shared" si="90"/>
        <v>1.00863266</v>
      </c>
      <c r="T303" s="33">
        <v>0</v>
      </c>
      <c r="U303" s="1">
        <v>1</v>
      </c>
      <c r="W303" s="1" t="s">
        <v>22</v>
      </c>
      <c r="X303" s="1" t="s">
        <v>47</v>
      </c>
      <c r="Y303" s="1" t="s">
        <v>2</v>
      </c>
      <c r="Z303" s="1" t="s">
        <v>39</v>
      </c>
      <c r="AA303" s="1">
        <f t="shared" si="83"/>
        <v>0.44880000000000003</v>
      </c>
      <c r="AB303" s="1">
        <f t="shared" si="84"/>
        <v>0.68748000000000009</v>
      </c>
      <c r="AC303" s="1">
        <f t="shared" si="85"/>
        <v>0.82121322000000008</v>
      </c>
      <c r="AD303" s="1">
        <f t="shared" si="86"/>
        <v>1.0498013400000001</v>
      </c>
      <c r="AE303" s="28">
        <f>MAX($I$23,$I$51,$I$79,$I$107,$I$135,$I$163,$I$191,$I$219,$I$247,$I$275,$I$303)</f>
        <v>183.24970000000002</v>
      </c>
      <c r="AF303" s="1">
        <v>1</v>
      </c>
    </row>
    <row r="304" spans="2:32" x14ac:dyDescent="0.25">
      <c r="B304" s="24" t="s">
        <v>23</v>
      </c>
      <c r="C304" s="24" t="s">
        <v>47</v>
      </c>
      <c r="D304" s="24" t="s">
        <v>2</v>
      </c>
      <c r="E304" s="24"/>
      <c r="F304" s="26">
        <v>0</v>
      </c>
      <c r="G304" s="26">
        <v>0</v>
      </c>
      <c r="H304" s="26">
        <v>0</v>
      </c>
      <c r="I304" s="26">
        <v>0</v>
      </c>
      <c r="J304" s="1">
        <v>1</v>
      </c>
      <c r="L304" s="1" t="s">
        <v>23</v>
      </c>
      <c r="M304" s="1" t="s">
        <v>47</v>
      </c>
      <c r="N304" s="1" t="s">
        <v>2</v>
      </c>
      <c r="O304" s="1" t="s">
        <v>40</v>
      </c>
      <c r="P304" s="1">
        <f t="shared" si="87"/>
        <v>0</v>
      </c>
      <c r="Q304" s="1">
        <f t="shared" si="88"/>
        <v>0</v>
      </c>
      <c r="R304" s="1">
        <f t="shared" si="89"/>
        <v>0</v>
      </c>
      <c r="S304" s="1">
        <f t="shared" si="90"/>
        <v>0</v>
      </c>
      <c r="T304" s="33">
        <v>0</v>
      </c>
      <c r="U304" s="1">
        <v>1</v>
      </c>
      <c r="W304" s="1" t="s">
        <v>23</v>
      </c>
      <c r="X304" s="1" t="s">
        <v>47</v>
      </c>
      <c r="Y304" s="1" t="s">
        <v>2</v>
      </c>
      <c r="Z304" s="1" t="s">
        <v>39</v>
      </c>
      <c r="AA304" s="1">
        <f t="shared" si="83"/>
        <v>0</v>
      </c>
      <c r="AB304" s="1">
        <f t="shared" si="84"/>
        <v>0</v>
      </c>
      <c r="AC304" s="1">
        <f t="shared" si="85"/>
        <v>0</v>
      </c>
      <c r="AD304" s="1">
        <f t="shared" si="86"/>
        <v>0</v>
      </c>
      <c r="AE304" s="28">
        <f>MAX($I$24,$I$52,$I$80,$I$108,$I$136,$I$164,$I$192,$I$220,$I$248,$I$276,$I$304)</f>
        <v>47.327892999999996</v>
      </c>
      <c r="AF304" s="1">
        <v>1</v>
      </c>
    </row>
    <row r="305" spans="2:39" x14ac:dyDescent="0.25">
      <c r="B305" s="24" t="s">
        <v>24</v>
      </c>
      <c r="C305" s="24" t="s">
        <v>47</v>
      </c>
      <c r="D305" s="24" t="s">
        <v>2</v>
      </c>
      <c r="E305" s="24"/>
      <c r="F305" s="26">
        <v>0.629</v>
      </c>
      <c r="G305" s="26">
        <v>0.16900000000000001</v>
      </c>
      <c r="H305" s="26">
        <v>3.0179999999999998E-3</v>
      </c>
      <c r="I305" s="26">
        <v>2.0306999999999999E-2</v>
      </c>
      <c r="J305" s="1">
        <v>1</v>
      </c>
      <c r="L305" s="1" t="s">
        <v>24</v>
      </c>
      <c r="M305" s="1" t="s">
        <v>47</v>
      </c>
      <c r="N305" s="1" t="s">
        <v>2</v>
      </c>
      <c r="O305" s="1" t="s">
        <v>40</v>
      </c>
      <c r="P305" s="1">
        <f t="shared" si="87"/>
        <v>0.61641999999999997</v>
      </c>
      <c r="Q305" s="1">
        <f t="shared" si="88"/>
        <v>0.16562000000000002</v>
      </c>
      <c r="R305" s="1">
        <f t="shared" si="89"/>
        <v>2.9576399999999997E-3</v>
      </c>
      <c r="S305" s="1">
        <f t="shared" si="90"/>
        <v>1.9900859999999999E-2</v>
      </c>
      <c r="T305" s="33">
        <v>0</v>
      </c>
      <c r="U305" s="1">
        <v>1</v>
      </c>
      <c r="W305" s="1" t="s">
        <v>24</v>
      </c>
      <c r="X305" s="1" t="s">
        <v>47</v>
      </c>
      <c r="Y305" s="1" t="s">
        <v>2</v>
      </c>
      <c r="Z305" s="1" t="s">
        <v>39</v>
      </c>
      <c r="AA305" s="1">
        <f t="shared" si="83"/>
        <v>0.64158000000000004</v>
      </c>
      <c r="AB305" s="1">
        <f t="shared" si="84"/>
        <v>0.17238000000000001</v>
      </c>
      <c r="AC305" s="1">
        <f t="shared" si="85"/>
        <v>3.07836E-3</v>
      </c>
      <c r="AD305" s="1">
        <f t="shared" si="86"/>
        <v>2.0713139999999998E-2</v>
      </c>
      <c r="AE305" s="28">
        <f>MAX($I$25,$I$53,$I$81,$I$109,$I$137,$I$165,$I$193,$I$221,$I$249,$I$277,$I$305)</f>
        <v>123.01356</v>
      </c>
      <c r="AF305" s="1">
        <v>1</v>
      </c>
    </row>
    <row r="306" spans="2:39" x14ac:dyDescent="0.25">
      <c r="B306" s="24" t="s">
        <v>25</v>
      </c>
      <c r="C306" s="24" t="s">
        <v>47</v>
      </c>
      <c r="D306" s="24" t="s">
        <v>2</v>
      </c>
      <c r="E306" s="24"/>
      <c r="F306" s="26">
        <v>0</v>
      </c>
      <c r="G306" s="26">
        <v>0</v>
      </c>
      <c r="H306" s="26">
        <v>0</v>
      </c>
      <c r="I306" s="26">
        <v>0</v>
      </c>
      <c r="J306" s="1">
        <v>1</v>
      </c>
      <c r="L306" s="1" t="s">
        <v>25</v>
      </c>
      <c r="M306" s="1" t="s">
        <v>47</v>
      </c>
      <c r="N306" s="1" t="s">
        <v>2</v>
      </c>
      <c r="O306" s="1" t="s">
        <v>40</v>
      </c>
      <c r="P306" s="1">
        <f t="shared" si="87"/>
        <v>0</v>
      </c>
      <c r="Q306" s="1">
        <f t="shared" si="88"/>
        <v>0</v>
      </c>
      <c r="R306" s="1">
        <f t="shared" si="89"/>
        <v>0</v>
      </c>
      <c r="S306" s="1">
        <f t="shared" si="90"/>
        <v>0</v>
      </c>
      <c r="T306" s="33">
        <v>0</v>
      </c>
      <c r="U306" s="1">
        <v>1</v>
      </c>
      <c r="W306" s="1" t="s">
        <v>25</v>
      </c>
      <c r="X306" s="1" t="s">
        <v>47</v>
      </c>
      <c r="Y306" s="1" t="s">
        <v>2</v>
      </c>
      <c r="Z306" s="1" t="s">
        <v>39</v>
      </c>
      <c r="AA306" s="1">
        <f t="shared" si="83"/>
        <v>0</v>
      </c>
      <c r="AB306" s="1">
        <f t="shared" si="84"/>
        <v>0</v>
      </c>
      <c r="AC306" s="1">
        <f t="shared" si="85"/>
        <v>0</v>
      </c>
      <c r="AD306" s="1">
        <f t="shared" si="86"/>
        <v>0</v>
      </c>
      <c r="AE306" s="28">
        <f>MAX($I$26,$I$54,$I$82,$I$110,$I$138,$I$166,$I$194,$I$222,$I$250,$I$278,$I$306)</f>
        <v>14.768578</v>
      </c>
      <c r="AF306" s="1">
        <v>1</v>
      </c>
    </row>
    <row r="307" spans="2:39" x14ac:dyDescent="0.25">
      <c r="B307" s="24" t="s">
        <v>26</v>
      </c>
      <c r="C307" s="24" t="s">
        <v>47</v>
      </c>
      <c r="D307" s="24" t="s">
        <v>2</v>
      </c>
      <c r="E307" s="24"/>
      <c r="F307" s="26">
        <v>0</v>
      </c>
      <c r="G307" s="26">
        <v>0</v>
      </c>
      <c r="H307" s="26">
        <v>0</v>
      </c>
      <c r="I307" s="26">
        <v>0</v>
      </c>
      <c r="J307" s="1">
        <v>1</v>
      </c>
      <c r="L307" s="1" t="s">
        <v>26</v>
      </c>
      <c r="M307" s="1" t="s">
        <v>47</v>
      </c>
      <c r="N307" s="1" t="s">
        <v>2</v>
      </c>
      <c r="O307" s="1" t="s">
        <v>40</v>
      </c>
      <c r="P307" s="1">
        <f t="shared" si="87"/>
        <v>0</v>
      </c>
      <c r="Q307" s="1">
        <f t="shared" si="88"/>
        <v>0</v>
      </c>
      <c r="R307" s="1">
        <f t="shared" si="89"/>
        <v>0</v>
      </c>
      <c r="S307" s="1">
        <f t="shared" si="90"/>
        <v>0</v>
      </c>
      <c r="T307" s="33">
        <v>0</v>
      </c>
      <c r="U307" s="1">
        <v>1</v>
      </c>
      <c r="W307" s="1" t="s">
        <v>26</v>
      </c>
      <c r="X307" s="1" t="s">
        <v>47</v>
      </c>
      <c r="Y307" s="1" t="s">
        <v>2</v>
      </c>
      <c r="Z307" s="1" t="s">
        <v>39</v>
      </c>
      <c r="AA307" s="1">
        <f t="shared" si="83"/>
        <v>0</v>
      </c>
      <c r="AB307" s="1">
        <f t="shared" si="84"/>
        <v>0</v>
      </c>
      <c r="AC307" s="1">
        <f t="shared" si="85"/>
        <v>0</v>
      </c>
      <c r="AD307" s="1">
        <f t="shared" si="86"/>
        <v>0</v>
      </c>
      <c r="AE307" s="28">
        <f>MAX($I$27,$I$55,$I$83,$I$111,$I$139,$I$167,$I$195,$I$223,$I$251,$I$279,$I$307)</f>
        <v>43.948800000000006</v>
      </c>
      <c r="AF307" s="1">
        <v>1</v>
      </c>
      <c r="AM307" s="19"/>
    </row>
    <row r="308" spans="2:39" x14ac:dyDescent="0.25">
      <c r="B308" s="24" t="s">
        <v>27</v>
      </c>
      <c r="C308" s="24" t="s">
        <v>47</v>
      </c>
      <c r="D308" s="24" t="s">
        <v>2</v>
      </c>
      <c r="E308" s="24"/>
      <c r="F308" s="26">
        <v>0</v>
      </c>
      <c r="G308" s="26">
        <v>0</v>
      </c>
      <c r="H308" s="26">
        <v>0</v>
      </c>
      <c r="I308" s="26">
        <v>0</v>
      </c>
      <c r="J308" s="1">
        <v>1</v>
      </c>
      <c r="L308" s="1" t="s">
        <v>27</v>
      </c>
      <c r="M308" s="1" t="s">
        <v>47</v>
      </c>
      <c r="N308" s="1" t="s">
        <v>2</v>
      </c>
      <c r="O308" s="1" t="s">
        <v>40</v>
      </c>
      <c r="P308" s="1">
        <f t="shared" si="87"/>
        <v>0</v>
      </c>
      <c r="Q308" s="1">
        <f t="shared" si="88"/>
        <v>0</v>
      </c>
      <c r="R308" s="1">
        <f t="shared" si="89"/>
        <v>0</v>
      </c>
      <c r="S308" s="1">
        <f t="shared" si="90"/>
        <v>0</v>
      </c>
      <c r="T308" s="33">
        <v>0</v>
      </c>
      <c r="U308" s="1">
        <v>1</v>
      </c>
      <c r="W308" s="1" t="s">
        <v>27</v>
      </c>
      <c r="X308" s="1" t="s">
        <v>47</v>
      </c>
      <c r="Y308" s="1" t="s">
        <v>2</v>
      </c>
      <c r="Z308" s="1" t="s">
        <v>39</v>
      </c>
      <c r="AA308" s="1">
        <f t="shared" si="83"/>
        <v>0</v>
      </c>
      <c r="AB308" s="1">
        <f t="shared" si="84"/>
        <v>0</v>
      </c>
      <c r="AC308" s="1">
        <f t="shared" si="85"/>
        <v>0</v>
      </c>
      <c r="AD308" s="1">
        <f t="shared" si="86"/>
        <v>0</v>
      </c>
      <c r="AE308" s="28">
        <f>MAX($I$28,$I$56,$I$84,$I$112,$I$140,$I$168,$I$196,$I$224,$I$252,$I$280,$I$308)</f>
        <v>66.917000000000002</v>
      </c>
      <c r="AF308" s="1">
        <v>1</v>
      </c>
    </row>
    <row r="309" spans="2:39" x14ac:dyDescent="0.25">
      <c r="B309" s="24" t="s">
        <v>28</v>
      </c>
      <c r="C309" s="24" t="s">
        <v>47</v>
      </c>
      <c r="D309" s="24" t="s">
        <v>2</v>
      </c>
      <c r="E309" s="24"/>
      <c r="F309" s="26">
        <v>0</v>
      </c>
      <c r="G309" s="26">
        <v>0</v>
      </c>
      <c r="H309" s="26">
        <v>0</v>
      </c>
      <c r="I309" s="26">
        <v>0</v>
      </c>
      <c r="J309" s="1">
        <v>1</v>
      </c>
      <c r="L309" s="1" t="s">
        <v>28</v>
      </c>
      <c r="M309" s="1" t="s">
        <v>47</v>
      </c>
      <c r="N309" s="1" t="s">
        <v>2</v>
      </c>
      <c r="O309" s="1" t="s">
        <v>40</v>
      </c>
      <c r="P309" s="1">
        <f t="shared" si="87"/>
        <v>0</v>
      </c>
      <c r="Q309" s="1">
        <f t="shared" si="88"/>
        <v>0</v>
      </c>
      <c r="R309" s="1">
        <f t="shared" si="89"/>
        <v>0</v>
      </c>
      <c r="S309" s="1">
        <f t="shared" si="90"/>
        <v>0</v>
      </c>
      <c r="T309" s="33">
        <v>0</v>
      </c>
      <c r="U309" s="1">
        <v>1</v>
      </c>
      <c r="W309" s="1" t="s">
        <v>28</v>
      </c>
      <c r="X309" s="1" t="s">
        <v>47</v>
      </c>
      <c r="Y309" s="1" t="s">
        <v>2</v>
      </c>
      <c r="Z309" s="1" t="s">
        <v>39</v>
      </c>
      <c r="AA309" s="1">
        <f t="shared" si="83"/>
        <v>0</v>
      </c>
      <c r="AB309" s="1">
        <f t="shared" si="84"/>
        <v>0</v>
      </c>
      <c r="AC309" s="1">
        <f t="shared" si="85"/>
        <v>0</v>
      </c>
      <c r="AD309" s="1">
        <f t="shared" si="86"/>
        <v>0</v>
      </c>
      <c r="AE309" s="28">
        <f>MAX($I$29,$I$57,$I$85,$I$113,$I$141,$I$169,$I$197,$I$225,$I$253,$I$281,$I$309)</f>
        <v>112.108</v>
      </c>
      <c r="AF309" s="1">
        <v>1</v>
      </c>
    </row>
    <row r="310" spans="2:39" x14ac:dyDescent="0.25">
      <c r="B310" s="24" t="s">
        <v>29</v>
      </c>
      <c r="C310" s="24" t="s">
        <v>47</v>
      </c>
      <c r="D310" s="24" t="s">
        <v>2</v>
      </c>
      <c r="E310" s="24"/>
      <c r="F310" s="26">
        <v>0</v>
      </c>
      <c r="G310" s="26">
        <v>0</v>
      </c>
      <c r="H310" s="26">
        <v>0</v>
      </c>
      <c r="I310" s="26">
        <v>0</v>
      </c>
      <c r="J310" s="1">
        <v>1</v>
      </c>
      <c r="L310" s="1" t="s">
        <v>29</v>
      </c>
      <c r="M310" s="1" t="s">
        <v>47</v>
      </c>
      <c r="N310" s="1" t="s">
        <v>2</v>
      </c>
      <c r="O310" s="1" t="s">
        <v>40</v>
      </c>
      <c r="P310" s="1">
        <f t="shared" si="87"/>
        <v>0</v>
      </c>
      <c r="Q310" s="1">
        <f t="shared" si="88"/>
        <v>0</v>
      </c>
      <c r="R310" s="1">
        <f t="shared" si="89"/>
        <v>0</v>
      </c>
      <c r="S310" s="1">
        <f t="shared" si="90"/>
        <v>0</v>
      </c>
      <c r="T310" s="33">
        <v>0</v>
      </c>
      <c r="U310" s="1">
        <v>1</v>
      </c>
      <c r="W310" s="1" t="s">
        <v>29</v>
      </c>
      <c r="X310" s="1" t="s">
        <v>47</v>
      </c>
      <c r="Y310" s="1" t="s">
        <v>2</v>
      </c>
      <c r="Z310" s="1" t="s">
        <v>39</v>
      </c>
      <c r="AA310" s="1">
        <f t="shared" si="83"/>
        <v>0</v>
      </c>
      <c r="AB310" s="1">
        <f t="shared" si="84"/>
        <v>0</v>
      </c>
      <c r="AC310" s="1">
        <f t="shared" si="85"/>
        <v>0</v>
      </c>
      <c r="AD310" s="1">
        <f t="shared" si="86"/>
        <v>0</v>
      </c>
      <c r="AE310" s="28">
        <f>MAX($I$30,$I$58,$I$86,$I$114,$I$142,$I$170,$I$198,$I$226,$I$254,$I$282,$I$310)</f>
        <v>101.44997000000001</v>
      </c>
      <c r="AF310" s="1">
        <v>1</v>
      </c>
    </row>
    <row r="311" spans="2:39" x14ac:dyDescent="0.25">
      <c r="B311" s="24" t="s">
        <v>30</v>
      </c>
      <c r="C311" s="24" t="s">
        <v>47</v>
      </c>
      <c r="D311" s="24" t="s">
        <v>2</v>
      </c>
      <c r="E311" s="24"/>
      <c r="F311" s="26">
        <v>0</v>
      </c>
      <c r="G311" s="26">
        <v>1.6500000000000001E-2</v>
      </c>
      <c r="H311" s="26">
        <v>1.7000000000000001E-2</v>
      </c>
      <c r="I311" s="26">
        <v>1.7000000000000001E-2</v>
      </c>
      <c r="J311" s="1">
        <v>1</v>
      </c>
      <c r="L311" s="1" t="s">
        <v>30</v>
      </c>
      <c r="M311" s="1" t="s">
        <v>47</v>
      </c>
      <c r="N311" s="1" t="s">
        <v>2</v>
      </c>
      <c r="O311" s="1" t="s">
        <v>40</v>
      </c>
      <c r="P311" s="1">
        <f t="shared" si="87"/>
        <v>0</v>
      </c>
      <c r="Q311" s="1">
        <f t="shared" si="88"/>
        <v>1.617E-2</v>
      </c>
      <c r="R311" s="1">
        <f t="shared" si="89"/>
        <v>1.6660000000000001E-2</v>
      </c>
      <c r="S311" s="1">
        <f t="shared" si="90"/>
        <v>1.6660000000000001E-2</v>
      </c>
      <c r="T311" s="33">
        <v>0</v>
      </c>
      <c r="U311" s="1">
        <v>1</v>
      </c>
      <c r="W311" s="1" t="s">
        <v>30</v>
      </c>
      <c r="X311" s="1" t="s">
        <v>47</v>
      </c>
      <c r="Y311" s="1" t="s">
        <v>2</v>
      </c>
      <c r="Z311" s="1" t="s">
        <v>39</v>
      </c>
      <c r="AA311" s="1">
        <f t="shared" si="83"/>
        <v>0</v>
      </c>
      <c r="AB311" s="1">
        <f t="shared" si="84"/>
        <v>1.6830000000000001E-2</v>
      </c>
      <c r="AC311" s="1">
        <f t="shared" si="85"/>
        <v>1.7340000000000001E-2</v>
      </c>
      <c r="AD311" s="1">
        <f t="shared" si="86"/>
        <v>1.7340000000000001E-2</v>
      </c>
      <c r="AE311" s="28">
        <f>MAX($I$31,$I$59,$I$87,$I$115,$I$143,$I$171,$I$199,$I$227,$I$255,$I$283,$I$311)</f>
        <v>814.1906987082092</v>
      </c>
      <c r="AF311" s="1">
        <v>1</v>
      </c>
    </row>
    <row r="312" spans="2:39" x14ac:dyDescent="0.25">
      <c r="B312" s="24" t="s">
        <v>48</v>
      </c>
      <c r="C312" s="24" t="s">
        <v>47</v>
      </c>
      <c r="D312" s="24" t="s">
        <v>2</v>
      </c>
      <c r="E312" s="24"/>
      <c r="F312" s="26">
        <v>1.145</v>
      </c>
      <c r="G312" s="26">
        <v>0.52700000000000002</v>
      </c>
      <c r="H312" s="26">
        <v>0.497</v>
      </c>
      <c r="I312" s="26">
        <v>0.51</v>
      </c>
      <c r="J312" s="1">
        <v>1</v>
      </c>
      <c r="L312" s="1" t="s">
        <v>48</v>
      </c>
      <c r="M312" s="1" t="s">
        <v>47</v>
      </c>
      <c r="N312" s="1" t="s">
        <v>2</v>
      </c>
      <c r="O312" s="1" t="s">
        <v>40</v>
      </c>
      <c r="P312" s="1">
        <f t="shared" si="87"/>
        <v>1.1221000000000001</v>
      </c>
      <c r="Q312" s="1">
        <f t="shared" si="88"/>
        <v>0.51646000000000003</v>
      </c>
      <c r="R312" s="1">
        <f t="shared" si="89"/>
        <v>0.48705999999999999</v>
      </c>
      <c r="S312" s="1">
        <f t="shared" si="90"/>
        <v>0.49980000000000002</v>
      </c>
      <c r="T312" s="33">
        <v>0</v>
      </c>
      <c r="U312" s="1">
        <v>1</v>
      </c>
      <c r="W312" s="1" t="s">
        <v>48</v>
      </c>
      <c r="X312" s="1" t="s">
        <v>47</v>
      </c>
      <c r="Y312" s="1" t="s">
        <v>2</v>
      </c>
      <c r="Z312" s="1" t="s">
        <v>39</v>
      </c>
      <c r="AA312" s="1">
        <f t="shared" si="83"/>
        <v>1.1678999999999999</v>
      </c>
      <c r="AB312" s="1">
        <f t="shared" si="84"/>
        <v>0.53754000000000002</v>
      </c>
      <c r="AC312" s="1">
        <f t="shared" si="85"/>
        <v>0.50694000000000006</v>
      </c>
      <c r="AD312" s="1">
        <f t="shared" si="86"/>
        <v>0.5202</v>
      </c>
      <c r="AE312" s="28">
        <f>AVERAGE($AE$4:$AE$311)</f>
        <v>231.05576427624055</v>
      </c>
      <c r="AF312" s="1">
        <v>1</v>
      </c>
    </row>
    <row r="313" spans="2:39" x14ac:dyDescent="0.25">
      <c r="L313" s="1" t="s">
        <v>92</v>
      </c>
      <c r="M313" s="1" t="s">
        <v>93</v>
      </c>
      <c r="N313" s="1" t="s">
        <v>2</v>
      </c>
      <c r="O313" s="1" t="s">
        <v>40</v>
      </c>
      <c r="P313" s="33">
        <v>0</v>
      </c>
      <c r="Q313" s="33">
        <v>0</v>
      </c>
      <c r="R313" s="33">
        <v>0</v>
      </c>
      <c r="S313" s="33">
        <v>0</v>
      </c>
      <c r="T313" s="33">
        <v>0</v>
      </c>
      <c r="U313" s="1">
        <v>5</v>
      </c>
      <c r="W313" s="1" t="s">
        <v>92</v>
      </c>
      <c r="X313" s="1" t="s">
        <v>93</v>
      </c>
      <c r="Y313" s="1" t="s">
        <v>2</v>
      </c>
      <c r="Z313" s="1" t="s">
        <v>39</v>
      </c>
      <c r="AA313" s="33">
        <v>0</v>
      </c>
      <c r="AB313" s="33">
        <v>0</v>
      </c>
      <c r="AC313" s="33">
        <v>0</v>
      </c>
      <c r="AD313" s="33">
        <v>5</v>
      </c>
      <c r="AE313" s="33">
        <v>1000</v>
      </c>
      <c r="AF313" s="1">
        <v>5</v>
      </c>
    </row>
    <row r="314" spans="2:39" x14ac:dyDescent="0.25">
      <c r="L314" s="1"/>
      <c r="M314" s="1"/>
      <c r="N314" s="1"/>
      <c r="O314" s="1"/>
      <c r="P314" s="33"/>
      <c r="Q314" s="33"/>
      <c r="R314" s="33"/>
      <c r="S314" s="33"/>
      <c r="T314" s="33"/>
      <c r="U314" s="1"/>
      <c r="W314" s="1"/>
      <c r="X314" s="1"/>
      <c r="Y314" s="1"/>
      <c r="Z314" s="1"/>
      <c r="AA314" s="33"/>
      <c r="AB314" s="33"/>
      <c r="AC314" s="33"/>
      <c r="AD314" s="33"/>
      <c r="AE314" s="33"/>
      <c r="AF314" s="1"/>
    </row>
    <row r="315" spans="2:39" x14ac:dyDescent="0.25">
      <c r="B315" s="2" t="s">
        <v>50</v>
      </c>
      <c r="Y315" s="19"/>
    </row>
    <row r="316" spans="2:39" x14ac:dyDescent="0.25">
      <c r="B316" s="1" t="s">
        <v>0</v>
      </c>
      <c r="C316" s="1" t="s">
        <v>47</v>
      </c>
      <c r="D316" s="1" t="s">
        <v>2</v>
      </c>
      <c r="E316" s="1"/>
      <c r="F316" s="9">
        <v>0</v>
      </c>
      <c r="G316" s="9">
        <v>0</v>
      </c>
      <c r="H316" s="9">
        <v>0</v>
      </c>
      <c r="I316" s="9">
        <v>0</v>
      </c>
      <c r="K316" s="2" t="s">
        <v>60</v>
      </c>
      <c r="P316" s="2" t="s">
        <v>51</v>
      </c>
      <c r="S316" s="13" t="s">
        <v>61</v>
      </c>
      <c r="U316" s="2" t="s">
        <v>51</v>
      </c>
      <c r="W316" s="13" t="s">
        <v>63</v>
      </c>
      <c r="Y316" s="2" t="s">
        <v>51</v>
      </c>
      <c r="AA316" s="13" t="s">
        <v>74</v>
      </c>
    </row>
    <row r="317" spans="2:39" x14ac:dyDescent="0.25">
      <c r="B317" s="1" t="s">
        <v>3</v>
      </c>
      <c r="C317" s="1" t="s">
        <v>47</v>
      </c>
      <c r="D317" s="1" t="s">
        <v>2</v>
      </c>
      <c r="E317" s="1"/>
      <c r="F317" s="10">
        <v>0</v>
      </c>
      <c r="G317" s="10">
        <v>0</v>
      </c>
      <c r="H317" s="10">
        <v>0</v>
      </c>
      <c r="I317" s="10">
        <v>0</v>
      </c>
      <c r="L317" s="14" t="s">
        <v>66</v>
      </c>
      <c r="M317" s="19"/>
      <c r="P317">
        <v>2019</v>
      </c>
      <c r="Q317" s="14" t="s">
        <v>56</v>
      </c>
      <c r="R317" s="14" t="s">
        <v>57</v>
      </c>
      <c r="S317" s="14" t="s">
        <v>59</v>
      </c>
      <c r="U317">
        <v>2019</v>
      </c>
      <c r="V317" s="14" t="s">
        <v>58</v>
      </c>
      <c r="W317" s="14" t="s">
        <v>59</v>
      </c>
      <c r="Y317" s="1" t="s">
        <v>72</v>
      </c>
      <c r="Z317" s="14" t="s">
        <v>73</v>
      </c>
      <c r="AA317" s="14" t="s">
        <v>59</v>
      </c>
    </row>
    <row r="318" spans="2:39" x14ac:dyDescent="0.25">
      <c r="B318" s="1" t="s">
        <v>4</v>
      </c>
      <c r="C318" s="1" t="s">
        <v>47</v>
      </c>
      <c r="D318" s="1" t="s">
        <v>2</v>
      </c>
      <c r="E318" s="1"/>
      <c r="F318" s="9">
        <v>0</v>
      </c>
      <c r="G318" s="9">
        <v>0</v>
      </c>
      <c r="H318" s="9">
        <v>0</v>
      </c>
      <c r="I318" s="9">
        <v>0</v>
      </c>
      <c r="K318" s="14" t="s">
        <v>32</v>
      </c>
      <c r="L318" s="17">
        <v>99.623311000000001</v>
      </c>
      <c r="P318" s="14" t="s">
        <v>52</v>
      </c>
      <c r="Q318" s="16">
        <v>232.42</v>
      </c>
      <c r="R318" s="17">
        <f>Q318*1000*46.15</f>
        <v>10726183</v>
      </c>
      <c r="S318" s="17">
        <f>R318/1000/1000</f>
        <v>10.726183000000001</v>
      </c>
      <c r="U318" s="14" t="s">
        <v>62</v>
      </c>
      <c r="V318" s="16">
        <v>127.53</v>
      </c>
      <c r="W318" s="17">
        <f>0.041868*V318</f>
        <v>5.3394260400000002</v>
      </c>
      <c r="Y318" s="14">
        <v>2019</v>
      </c>
      <c r="Z318" s="32">
        <v>1.4880654631055408</v>
      </c>
      <c r="AA318" s="17">
        <f>Z318*41.868</f>
        <v>62.302324809302782</v>
      </c>
    </row>
    <row r="319" spans="2:39" x14ac:dyDescent="0.25">
      <c r="B319" s="1" t="s">
        <v>5</v>
      </c>
      <c r="C319" s="1" t="s">
        <v>47</v>
      </c>
      <c r="D319" s="1" t="s">
        <v>2</v>
      </c>
      <c r="E319" s="1"/>
      <c r="F319" s="10">
        <v>0</v>
      </c>
      <c r="G319" s="10">
        <v>0</v>
      </c>
      <c r="H319" s="10">
        <v>0</v>
      </c>
      <c r="I319" s="10">
        <v>0</v>
      </c>
      <c r="K319" s="14" t="s">
        <v>36</v>
      </c>
      <c r="L319" s="17">
        <v>81.341999999999999</v>
      </c>
      <c r="O319" s="12" t="s">
        <v>55</v>
      </c>
      <c r="P319" s="14" t="s">
        <v>53</v>
      </c>
      <c r="Q319" s="16">
        <v>0.67</v>
      </c>
      <c r="R319" s="17">
        <f>Q319*1000*46.15</f>
        <v>30920.5</v>
      </c>
      <c r="S319" s="17">
        <f>R319/1000/1000</f>
        <v>3.09205E-2</v>
      </c>
      <c r="U319" s="14" t="s">
        <v>67</v>
      </c>
      <c r="V319" s="16">
        <v>31.651190923120499</v>
      </c>
      <c r="W319" s="17">
        <f>0.041868*V319</f>
        <v>1.3251720615692091</v>
      </c>
      <c r="Y319" s="14">
        <v>2020</v>
      </c>
      <c r="Z319" s="32">
        <v>1.5299247624141761</v>
      </c>
      <c r="AA319" s="17">
        <f>Z319*41.868</f>
        <v>64.054889952756724</v>
      </c>
    </row>
    <row r="320" spans="2:39" x14ac:dyDescent="0.25">
      <c r="B320" s="1" t="s">
        <v>6</v>
      </c>
      <c r="C320" s="1" t="s">
        <v>47</v>
      </c>
      <c r="D320" s="1" t="s">
        <v>2</v>
      </c>
      <c r="E320" s="1"/>
      <c r="F320" s="9">
        <v>592</v>
      </c>
      <c r="G320" s="9">
        <v>962</v>
      </c>
      <c r="H320" s="9">
        <v>1012</v>
      </c>
      <c r="I320" s="9">
        <v>1630</v>
      </c>
      <c r="K320" s="14" t="s">
        <v>38</v>
      </c>
      <c r="L320" s="17">
        <v>1004.187778</v>
      </c>
      <c r="P320" s="15" t="s">
        <v>54</v>
      </c>
      <c r="Q320" s="16">
        <f>Q318+Q319</f>
        <v>233.08999999999997</v>
      </c>
      <c r="R320" s="16">
        <f>R318+R319</f>
        <v>10757103.5</v>
      </c>
      <c r="S320" s="18">
        <f>S318+S319</f>
        <v>10.757103500000001</v>
      </c>
      <c r="U320" s="15" t="s">
        <v>68</v>
      </c>
      <c r="V320" s="16"/>
      <c r="W320" s="23">
        <f>W319-L323</f>
        <v>1.3081720615692092</v>
      </c>
      <c r="X320" s="20"/>
      <c r="Y320" s="15">
        <v>2023</v>
      </c>
      <c r="Z320" s="32">
        <v>1.2716729653628245</v>
      </c>
      <c r="AA320" s="17">
        <f>Z320*41.868</f>
        <v>53.242403713810738</v>
      </c>
    </row>
    <row r="321" spans="2:27" x14ac:dyDescent="0.25">
      <c r="B321" s="1" t="s">
        <v>7</v>
      </c>
      <c r="C321" s="1" t="s">
        <v>47</v>
      </c>
      <c r="D321" s="1" t="s">
        <v>2</v>
      </c>
      <c r="E321" s="1"/>
      <c r="F321" s="10">
        <v>0</v>
      </c>
      <c r="G321" s="10">
        <v>0</v>
      </c>
      <c r="H321" s="10">
        <v>0</v>
      </c>
      <c r="I321" s="10">
        <v>0</v>
      </c>
      <c r="K321" s="14" t="s">
        <v>33</v>
      </c>
      <c r="L321" s="17">
        <v>11.310929</v>
      </c>
      <c r="U321" s="14" t="s">
        <v>69</v>
      </c>
      <c r="V321" s="17">
        <v>782.33660280767594</v>
      </c>
      <c r="W321" s="17"/>
      <c r="Y321" s="1" t="s">
        <v>75</v>
      </c>
      <c r="Z321" s="14" t="s">
        <v>73</v>
      </c>
      <c r="AA321" s="14" t="s">
        <v>59</v>
      </c>
    </row>
    <row r="322" spans="2:27" x14ac:dyDescent="0.25">
      <c r="B322" s="1" t="s">
        <v>8</v>
      </c>
      <c r="C322" s="1" t="s">
        <v>47</v>
      </c>
      <c r="D322" s="1" t="s">
        <v>2</v>
      </c>
      <c r="E322" s="1"/>
      <c r="F322" s="9">
        <v>0</v>
      </c>
      <c r="G322" s="9">
        <v>0</v>
      </c>
      <c r="H322" s="9">
        <v>0</v>
      </c>
      <c r="I322" s="9">
        <v>0</v>
      </c>
      <c r="K322" s="14" t="s">
        <v>35</v>
      </c>
      <c r="L322" s="17">
        <v>4.1900000000000004</v>
      </c>
      <c r="P322">
        <v>2020</v>
      </c>
      <c r="Q322" s="14" t="s">
        <v>56</v>
      </c>
      <c r="R322" s="14" t="s">
        <v>57</v>
      </c>
      <c r="S322" s="14" t="s">
        <v>59</v>
      </c>
      <c r="U322">
        <v>2020</v>
      </c>
      <c r="V322" s="14" t="s">
        <v>58</v>
      </c>
      <c r="W322" s="14" t="s">
        <v>59</v>
      </c>
      <c r="Y322" s="14">
        <v>2019</v>
      </c>
      <c r="Z322" s="32">
        <v>5.8518353268280343</v>
      </c>
      <c r="AA322" s="17">
        <f>Z322*41.868</f>
        <v>245.00464146363615</v>
      </c>
    </row>
    <row r="323" spans="2:27" x14ac:dyDescent="0.25">
      <c r="B323" s="1" t="s">
        <v>9</v>
      </c>
      <c r="C323" s="1" t="s">
        <v>47</v>
      </c>
      <c r="D323" s="1" t="s">
        <v>2</v>
      </c>
      <c r="E323" s="1"/>
      <c r="F323" s="10">
        <v>8</v>
      </c>
      <c r="G323" s="10">
        <v>0</v>
      </c>
      <c r="H323" s="10">
        <v>0</v>
      </c>
      <c r="I323" s="10">
        <v>0</v>
      </c>
      <c r="K323" s="14" t="s">
        <v>47</v>
      </c>
      <c r="L323" s="17">
        <v>1.7000000000000001E-2</v>
      </c>
      <c r="M323" s="21"/>
      <c r="P323" s="14" t="s">
        <v>52</v>
      </c>
      <c r="Q323" s="16">
        <v>248.99</v>
      </c>
      <c r="R323" s="17">
        <f>Q323*1000*46.15</f>
        <v>11490888.5</v>
      </c>
      <c r="S323" s="17">
        <f>R323/1000/1000</f>
        <v>11.490888499999999</v>
      </c>
      <c r="U323" s="14" t="s">
        <v>62</v>
      </c>
      <c r="V323" s="16">
        <v>145.29</v>
      </c>
      <c r="W323" s="17">
        <f>0.041868*V323</f>
        <v>6.0830017200000004</v>
      </c>
      <c r="Y323" s="14">
        <v>2020</v>
      </c>
      <c r="Z323" s="32">
        <v>6.3297566801336469</v>
      </c>
      <c r="AA323" s="17">
        <f>Z323*41.868</f>
        <v>265.01425268383554</v>
      </c>
    </row>
    <row r="324" spans="2:27" x14ac:dyDescent="0.25">
      <c r="B324" s="1" t="s">
        <v>10</v>
      </c>
      <c r="C324" s="1" t="s">
        <v>47</v>
      </c>
      <c r="D324" s="1" t="s">
        <v>2</v>
      </c>
      <c r="E324" s="1"/>
      <c r="F324" s="7">
        <v>3.8690000000000002</v>
      </c>
      <c r="G324" s="7">
        <v>3.8690000000000002</v>
      </c>
      <c r="H324" s="7">
        <v>3.8690000000000002</v>
      </c>
      <c r="I324" s="7">
        <v>3.8690000000000002</v>
      </c>
      <c r="K324" s="14" t="s">
        <v>34</v>
      </c>
      <c r="L324" s="17">
        <v>1.5129999999999999</v>
      </c>
      <c r="M324" s="21"/>
      <c r="P324" s="14" t="s">
        <v>53</v>
      </c>
      <c r="Q324" s="16">
        <v>0.71</v>
      </c>
      <c r="R324" s="17">
        <f>Q324*1000*46.15</f>
        <v>32766.5</v>
      </c>
      <c r="S324" s="17">
        <f>R324/1000/1000</f>
        <v>3.2766500000000004E-2</v>
      </c>
      <c r="U324" s="14" t="s">
        <v>67</v>
      </c>
      <c r="V324" s="16">
        <v>31</v>
      </c>
      <c r="W324" s="17">
        <f>0.041868*V324</f>
        <v>1.2979080000000001</v>
      </c>
      <c r="Y324" s="15">
        <v>2023</v>
      </c>
      <c r="Z324" s="32">
        <v>5.4658950929778047</v>
      </c>
      <c r="AA324" s="17">
        <f>Z324*41.868</f>
        <v>228.84609575279475</v>
      </c>
    </row>
    <row r="325" spans="2:27" x14ac:dyDescent="0.25">
      <c r="B325" s="1" t="s">
        <v>11</v>
      </c>
      <c r="C325" s="1" t="s">
        <v>47</v>
      </c>
      <c r="D325" s="1" t="s">
        <v>2</v>
      </c>
      <c r="E325" s="1"/>
      <c r="F325" s="10">
        <v>0</v>
      </c>
      <c r="G325" s="10">
        <v>0</v>
      </c>
      <c r="H325" s="10">
        <v>0</v>
      </c>
      <c r="I325" s="10">
        <v>0</v>
      </c>
      <c r="K325" s="14" t="s">
        <v>64</v>
      </c>
      <c r="L325" s="22" t="s">
        <v>65</v>
      </c>
      <c r="P325" s="15" t="s">
        <v>54</v>
      </c>
      <c r="Q325" s="16">
        <f>Q323+Q324</f>
        <v>249.70000000000002</v>
      </c>
      <c r="R325" s="16">
        <f>R323+R324</f>
        <v>11523655</v>
      </c>
      <c r="S325" s="18">
        <f>S323+S324</f>
        <v>11.523654999999998</v>
      </c>
      <c r="U325" s="15" t="s">
        <v>68</v>
      </c>
      <c r="V325" s="16"/>
      <c r="W325" s="23">
        <f>W324-L323</f>
        <v>1.2809080000000002</v>
      </c>
      <c r="X325" s="20"/>
      <c r="Y325" s="30"/>
      <c r="Z325" s="29"/>
    </row>
    <row r="326" spans="2:27" x14ac:dyDescent="0.25">
      <c r="B326" s="1" t="s">
        <v>12</v>
      </c>
      <c r="C326" s="1" t="s">
        <v>47</v>
      </c>
      <c r="D326" s="1" t="s">
        <v>2</v>
      </c>
      <c r="E326" s="1"/>
      <c r="F326" s="9">
        <v>0</v>
      </c>
      <c r="G326" s="9">
        <v>0</v>
      </c>
      <c r="H326" s="9">
        <v>0</v>
      </c>
      <c r="I326" s="9">
        <v>0</v>
      </c>
      <c r="K326" s="14" t="s">
        <v>70</v>
      </c>
      <c r="L326" s="17">
        <v>75.490797999999998</v>
      </c>
      <c r="U326" s="14" t="s">
        <v>69</v>
      </c>
      <c r="V326" s="17">
        <v>845.21</v>
      </c>
      <c r="W326" s="17"/>
    </row>
    <row r="327" spans="2:27" x14ac:dyDescent="0.25">
      <c r="B327" s="1" t="s">
        <v>13</v>
      </c>
      <c r="C327" s="1" t="s">
        <v>47</v>
      </c>
      <c r="D327" s="1" t="s">
        <v>2</v>
      </c>
      <c r="E327" s="1"/>
      <c r="F327" s="10">
        <v>56</v>
      </c>
      <c r="G327" s="10">
        <v>36</v>
      </c>
      <c r="H327" s="8">
        <v>36.746000000000002</v>
      </c>
      <c r="I327" s="8">
        <v>32.207999999999998</v>
      </c>
      <c r="K327" s="14" t="s">
        <v>71</v>
      </c>
      <c r="L327" s="17">
        <v>298.27871600000003</v>
      </c>
      <c r="P327">
        <v>2024</v>
      </c>
      <c r="Q327" s="14" t="s">
        <v>56</v>
      </c>
      <c r="R327" s="14" t="s">
        <v>57</v>
      </c>
      <c r="S327" s="14" t="s">
        <v>59</v>
      </c>
      <c r="U327">
        <v>2024</v>
      </c>
      <c r="V327" s="14" t="s">
        <v>58</v>
      </c>
      <c r="W327" s="14" t="s">
        <v>59</v>
      </c>
    </row>
    <row r="328" spans="2:27" x14ac:dyDescent="0.25">
      <c r="B328" s="1" t="s">
        <v>14</v>
      </c>
      <c r="C328" s="1" t="s">
        <v>47</v>
      </c>
      <c r="D328" s="1" t="s">
        <v>2</v>
      </c>
      <c r="E328" s="1"/>
      <c r="F328" s="9">
        <v>0</v>
      </c>
      <c r="G328" s="9">
        <v>0</v>
      </c>
      <c r="H328" s="9">
        <v>0</v>
      </c>
      <c r="I328" s="9">
        <v>0</v>
      </c>
      <c r="P328" s="14" t="s">
        <v>52</v>
      </c>
      <c r="Q328" s="16">
        <v>229.04</v>
      </c>
      <c r="R328" s="17">
        <f>Q328*1000*46.15</f>
        <v>10570196</v>
      </c>
      <c r="S328" s="17">
        <f>R328/1000/1000</f>
        <v>10.570195999999999</v>
      </c>
      <c r="U328" s="14" t="s">
        <v>62</v>
      </c>
      <c r="V328" s="16">
        <v>282.44</v>
      </c>
      <c r="W328" s="17">
        <f>0.041868*V328</f>
        <v>11.825197920000001</v>
      </c>
      <c r="Z328" s="29"/>
    </row>
    <row r="329" spans="2:27" x14ac:dyDescent="0.25">
      <c r="B329" s="1" t="s">
        <v>15</v>
      </c>
      <c r="C329" s="1" t="s">
        <v>47</v>
      </c>
      <c r="D329" s="1" t="s">
        <v>2</v>
      </c>
      <c r="E329" s="1"/>
      <c r="F329" s="10">
        <v>0</v>
      </c>
      <c r="G329" s="10">
        <v>0</v>
      </c>
      <c r="H329" s="10">
        <v>0</v>
      </c>
      <c r="I329" s="10">
        <v>0</v>
      </c>
      <c r="P329" s="14" t="s">
        <v>53</v>
      </c>
      <c r="Q329" s="16">
        <v>1.19</v>
      </c>
      <c r="R329" s="17">
        <f>Q329*1000*46.15</f>
        <v>54918.5</v>
      </c>
      <c r="S329" s="17">
        <f>R329/1000/1000</f>
        <v>5.4918500000000002E-2</v>
      </c>
      <c r="U329" s="14" t="s">
        <v>67</v>
      </c>
      <c r="V329" s="16">
        <v>29.28</v>
      </c>
      <c r="W329" s="17">
        <f>0.041868*V329</f>
        <v>1.2258950400000002</v>
      </c>
      <c r="Z329" s="29"/>
    </row>
    <row r="330" spans="2:27" x14ac:dyDescent="0.25">
      <c r="B330" s="1" t="s">
        <v>16</v>
      </c>
      <c r="C330" s="1" t="s">
        <v>47</v>
      </c>
      <c r="D330" s="1" t="s">
        <v>2</v>
      </c>
      <c r="E330" s="1"/>
      <c r="F330" s="9">
        <v>0</v>
      </c>
      <c r="G330" s="9">
        <v>0</v>
      </c>
      <c r="H330" s="9">
        <v>0</v>
      </c>
      <c r="I330" s="9">
        <v>0</v>
      </c>
      <c r="P330" s="15" t="s">
        <v>54</v>
      </c>
      <c r="Q330" s="16">
        <f>Q328+Q329</f>
        <v>230.23</v>
      </c>
      <c r="R330" s="16">
        <f>R328+R329</f>
        <v>10625114.5</v>
      </c>
      <c r="S330" s="18">
        <f>S328+S329</f>
        <v>10.625114499999999</v>
      </c>
      <c r="U330" s="15" t="s">
        <v>68</v>
      </c>
      <c r="V330" s="16"/>
      <c r="W330" s="23">
        <f>W329-L323</f>
        <v>1.2088950400000003</v>
      </c>
      <c r="X330" s="20"/>
      <c r="Y330" s="30"/>
      <c r="Z330" s="29"/>
      <c r="AA330" s="31"/>
    </row>
    <row r="331" spans="2:27" x14ac:dyDescent="0.25">
      <c r="B331" s="1" t="s">
        <v>17</v>
      </c>
      <c r="C331" s="1" t="s">
        <v>47</v>
      </c>
      <c r="D331" s="1" t="s">
        <v>2</v>
      </c>
      <c r="E331" s="1"/>
      <c r="F331" s="10">
        <v>0</v>
      </c>
      <c r="G331" s="10">
        <v>0</v>
      </c>
      <c r="H331" s="10">
        <v>0</v>
      </c>
      <c r="I331" s="10">
        <v>0</v>
      </c>
      <c r="U331" s="14" t="s">
        <v>69</v>
      </c>
      <c r="V331" s="16">
        <v>1034.54</v>
      </c>
      <c r="W331" s="17"/>
      <c r="Z331" s="29"/>
    </row>
    <row r="332" spans="2:27" x14ac:dyDescent="0.25">
      <c r="B332" s="1" t="s">
        <v>18</v>
      </c>
      <c r="C332" s="1" t="s">
        <v>47</v>
      </c>
      <c r="D332" s="1" t="s">
        <v>2</v>
      </c>
      <c r="E332" s="1"/>
      <c r="F332" s="9">
        <v>0</v>
      </c>
      <c r="G332" s="9">
        <v>0</v>
      </c>
      <c r="H332" s="9">
        <v>0</v>
      </c>
      <c r="I332" s="9">
        <v>0</v>
      </c>
      <c r="K332" s="1">
        <v>0</v>
      </c>
      <c r="L332" s="1">
        <v>0</v>
      </c>
      <c r="M332" s="1">
        <v>63.033839999999998</v>
      </c>
      <c r="N332" s="1">
        <v>57.183480000000003</v>
      </c>
    </row>
    <row r="333" spans="2:27" x14ac:dyDescent="0.25">
      <c r="B333" s="1" t="s">
        <v>19</v>
      </c>
      <c r="C333" s="1" t="s">
        <v>47</v>
      </c>
      <c r="D333" s="1" t="s">
        <v>2</v>
      </c>
      <c r="E333" s="1"/>
      <c r="F333" s="10">
        <v>0</v>
      </c>
      <c r="G333" s="10">
        <v>0</v>
      </c>
      <c r="H333" s="10">
        <v>0</v>
      </c>
      <c r="I333" s="10">
        <v>0</v>
      </c>
      <c r="K333" s="1">
        <v>38.0124</v>
      </c>
      <c r="L333" s="1">
        <v>38.318400000000004</v>
      </c>
      <c r="M333" s="1">
        <v>40.882252000000001</v>
      </c>
      <c r="N333" s="1">
        <v>44.322249999999997</v>
      </c>
    </row>
    <row r="334" spans="2:27" x14ac:dyDescent="0.25">
      <c r="B334" s="1" t="s">
        <v>20</v>
      </c>
      <c r="C334" s="1" t="s">
        <v>47</v>
      </c>
      <c r="D334" s="1" t="s">
        <v>2</v>
      </c>
      <c r="E334" s="1"/>
      <c r="F334" s="9">
        <v>0</v>
      </c>
      <c r="G334" s="9">
        <v>0</v>
      </c>
      <c r="H334" s="9">
        <v>0</v>
      </c>
      <c r="I334" s="9">
        <v>0</v>
      </c>
      <c r="K334" s="1">
        <v>0</v>
      </c>
      <c r="L334" s="1">
        <v>51.775199999999998</v>
      </c>
      <c r="M334" s="1">
        <v>57.500999999999998</v>
      </c>
      <c r="N334" s="1">
        <v>55.716116</v>
      </c>
    </row>
    <row r="335" spans="2:27" x14ac:dyDescent="0.25">
      <c r="B335" s="1" t="s">
        <v>21</v>
      </c>
      <c r="C335" s="1" t="s">
        <v>47</v>
      </c>
      <c r="D335" s="1" t="s">
        <v>2</v>
      </c>
      <c r="E335" s="1"/>
      <c r="F335" s="10">
        <v>0</v>
      </c>
      <c r="G335" s="10">
        <v>0</v>
      </c>
      <c r="H335" s="10">
        <v>0</v>
      </c>
      <c r="I335" s="10">
        <v>0</v>
      </c>
      <c r="K335" s="1">
        <v>0</v>
      </c>
      <c r="L335" s="1">
        <v>36.636004999999997</v>
      </c>
      <c r="M335" s="1">
        <v>37.139849000000005</v>
      </c>
      <c r="N335" s="1">
        <v>35.107870000000005</v>
      </c>
    </row>
    <row r="336" spans="2:27" x14ac:dyDescent="0.25">
      <c r="B336" s="1" t="s">
        <v>22</v>
      </c>
      <c r="C336" s="1" t="s">
        <v>47</v>
      </c>
      <c r="D336" s="1" t="s">
        <v>2</v>
      </c>
      <c r="E336" s="1"/>
      <c r="F336" s="9">
        <v>440</v>
      </c>
      <c r="G336" s="9">
        <v>674</v>
      </c>
      <c r="H336" s="7">
        <v>805.11099999999999</v>
      </c>
      <c r="I336" s="7">
        <v>1029.2170000000001</v>
      </c>
      <c r="K336" s="1">
        <v>510.12</v>
      </c>
      <c r="L336" s="1">
        <v>463.32</v>
      </c>
      <c r="M336" s="1">
        <v>458.73359999999997</v>
      </c>
      <c r="N336" s="1">
        <v>455.97959299999997</v>
      </c>
    </row>
    <row r="337" spans="2:14" x14ac:dyDescent="0.25">
      <c r="B337" s="1" t="s">
        <v>23</v>
      </c>
      <c r="C337" s="1" t="s">
        <v>47</v>
      </c>
      <c r="D337" s="1" t="s">
        <v>2</v>
      </c>
      <c r="E337" s="1"/>
      <c r="F337" s="10">
        <v>0</v>
      </c>
      <c r="G337" s="10">
        <v>0</v>
      </c>
      <c r="H337" s="10">
        <v>0</v>
      </c>
      <c r="I337" s="10">
        <v>0</v>
      </c>
      <c r="K337" s="1">
        <v>7.2838400000000005</v>
      </c>
      <c r="L337" s="1">
        <v>6.221686</v>
      </c>
      <c r="M337" s="1">
        <v>7.1928000000000001</v>
      </c>
      <c r="N337" s="1">
        <v>7.7876279999999998</v>
      </c>
    </row>
    <row r="338" spans="2:14" x14ac:dyDescent="0.25">
      <c r="B338" s="1" t="s">
        <v>24</v>
      </c>
      <c r="C338" s="1" t="s">
        <v>47</v>
      </c>
      <c r="D338" s="1" t="s">
        <v>2</v>
      </c>
      <c r="E338" s="1"/>
      <c r="F338" s="9">
        <v>629</v>
      </c>
      <c r="G338" s="9">
        <v>169</v>
      </c>
      <c r="H338" s="7">
        <v>3.0179999999999998</v>
      </c>
      <c r="I338" s="7">
        <v>20.306999999999999</v>
      </c>
      <c r="K338" s="1">
        <v>0</v>
      </c>
      <c r="L338" s="1">
        <v>28.370740000000001</v>
      </c>
      <c r="M338" s="1">
        <v>31.283563999999998</v>
      </c>
      <c r="N338" s="1">
        <v>29.097166000000001</v>
      </c>
    </row>
    <row r="339" spans="2:14" x14ac:dyDescent="0.25">
      <c r="B339" s="1" t="s">
        <v>25</v>
      </c>
      <c r="C339" s="1" t="s">
        <v>47</v>
      </c>
      <c r="D339" s="1" t="s">
        <v>2</v>
      </c>
      <c r="E339" s="1"/>
      <c r="F339" s="10">
        <v>0</v>
      </c>
      <c r="G339" s="10">
        <v>0</v>
      </c>
      <c r="H339" s="10">
        <v>0</v>
      </c>
      <c r="I339" s="10">
        <v>0</v>
      </c>
      <c r="K339" s="1">
        <v>0</v>
      </c>
      <c r="L339" s="1">
        <v>63.13644</v>
      </c>
      <c r="M339" s="1">
        <v>62.950324000000002</v>
      </c>
      <c r="N339" s="1">
        <v>54.465360999999994</v>
      </c>
    </row>
    <row r="340" spans="2:14" x14ac:dyDescent="0.25">
      <c r="B340" s="1" t="s">
        <v>26</v>
      </c>
      <c r="C340" s="1" t="s">
        <v>47</v>
      </c>
      <c r="D340" s="1" t="s">
        <v>2</v>
      </c>
      <c r="E340" s="1"/>
      <c r="F340" s="9">
        <v>0</v>
      </c>
      <c r="G340" s="9">
        <v>0</v>
      </c>
      <c r="H340" s="9">
        <v>0</v>
      </c>
      <c r="I340" s="9">
        <v>0</v>
      </c>
      <c r="K340" s="1">
        <v>272.44288799999998</v>
      </c>
      <c r="L340" s="1">
        <v>252.24700000000001</v>
      </c>
      <c r="M340" s="1">
        <v>263.60493699999995</v>
      </c>
      <c r="N340" s="1">
        <v>263.34429800000004</v>
      </c>
    </row>
    <row r="341" spans="2:14" x14ac:dyDescent="0.25">
      <c r="B341" s="1" t="s">
        <v>27</v>
      </c>
      <c r="C341" s="1" t="s">
        <v>47</v>
      </c>
      <c r="D341" s="1" t="s">
        <v>2</v>
      </c>
      <c r="E341" s="1"/>
      <c r="F341" s="10">
        <v>0</v>
      </c>
      <c r="G341" s="10">
        <v>0</v>
      </c>
      <c r="H341" s="10">
        <v>0</v>
      </c>
      <c r="I341" s="10">
        <v>0</v>
      </c>
      <c r="K341" s="1">
        <v>581.47199999999998</v>
      </c>
      <c r="L341" s="1">
        <v>566.28617399999996</v>
      </c>
      <c r="M341" s="1">
        <v>581.39471500000002</v>
      </c>
      <c r="N341" s="1">
        <v>542.68131999999991</v>
      </c>
    </row>
    <row r="342" spans="2:14" x14ac:dyDescent="0.25">
      <c r="B342" s="1" t="s">
        <v>28</v>
      </c>
      <c r="C342" s="1" t="s">
        <v>47</v>
      </c>
      <c r="D342" s="1" t="s">
        <v>2</v>
      </c>
      <c r="E342" s="1"/>
      <c r="F342" s="9">
        <v>0</v>
      </c>
      <c r="G342" s="9">
        <v>0</v>
      </c>
      <c r="H342" s="9">
        <v>0</v>
      </c>
      <c r="I342" s="9">
        <v>0</v>
      </c>
      <c r="K342" s="1">
        <v>23.671080000000003</v>
      </c>
      <c r="L342" s="1">
        <v>22.021560000000001</v>
      </c>
      <c r="M342" s="1">
        <v>21.57516</v>
      </c>
      <c r="N342" s="1">
        <v>23.115492</v>
      </c>
    </row>
    <row r="343" spans="2:14" x14ac:dyDescent="0.25">
      <c r="B343" s="1" t="s">
        <v>29</v>
      </c>
      <c r="C343" s="1" t="s">
        <v>47</v>
      </c>
      <c r="D343" s="1" t="s">
        <v>2</v>
      </c>
      <c r="E343" s="1"/>
      <c r="F343" s="9">
        <v>0</v>
      </c>
      <c r="G343" s="9">
        <v>0</v>
      </c>
      <c r="H343" s="9">
        <v>0</v>
      </c>
      <c r="I343" s="9">
        <v>0</v>
      </c>
      <c r="K343" s="1">
        <v>0</v>
      </c>
      <c r="L343" s="1">
        <v>238.2732</v>
      </c>
      <c r="M343" s="1">
        <v>238.36193299999999</v>
      </c>
      <c r="N343" s="1">
        <v>228.286742</v>
      </c>
    </row>
    <row r="344" spans="2:14" x14ac:dyDescent="0.25">
      <c r="B344" s="1" t="s">
        <v>30</v>
      </c>
      <c r="C344" s="1" t="s">
        <v>47</v>
      </c>
      <c r="D344" s="1" t="s">
        <v>2</v>
      </c>
      <c r="E344" s="1"/>
      <c r="F344" s="10">
        <v>0</v>
      </c>
      <c r="G344" s="10">
        <v>16.5</v>
      </c>
      <c r="H344" s="6" t="s">
        <v>31</v>
      </c>
      <c r="I344" s="6" t="s">
        <v>31</v>
      </c>
      <c r="K344" s="1">
        <v>0</v>
      </c>
      <c r="L344" s="1">
        <v>0</v>
      </c>
      <c r="M344" s="1">
        <v>6.5010060000000003</v>
      </c>
      <c r="N344" s="1">
        <v>6.0950839999999999</v>
      </c>
    </row>
    <row r="345" spans="2:14" x14ac:dyDescent="0.25">
      <c r="B345" s="1" t="s">
        <v>48</v>
      </c>
      <c r="C345" s="1" t="s">
        <v>47</v>
      </c>
      <c r="D345" s="1" t="s">
        <v>2</v>
      </c>
      <c r="E345" s="1"/>
      <c r="F345" s="10">
        <v>1145</v>
      </c>
      <c r="G345" s="10">
        <v>527</v>
      </c>
      <c r="H345" s="10">
        <v>497</v>
      </c>
      <c r="I345" s="10">
        <v>510</v>
      </c>
      <c r="K345" s="1">
        <v>6.9767999999999999</v>
      </c>
      <c r="L345" s="1">
        <v>6.3323999999999998</v>
      </c>
      <c r="M345" s="1">
        <v>6.303661</v>
      </c>
      <c r="N345" s="1">
        <v>5.9392940000000003</v>
      </c>
    </row>
    <row r="346" spans="2:14" x14ac:dyDescent="0.25">
      <c r="K346" s="1">
        <v>0</v>
      </c>
      <c r="L346" s="1">
        <v>0</v>
      </c>
      <c r="M346" s="1">
        <v>10.95912</v>
      </c>
      <c r="N346" s="1">
        <v>11.33028</v>
      </c>
    </row>
    <row r="347" spans="2:14" x14ac:dyDescent="0.25">
      <c r="K347" s="1">
        <v>2.9345509999999999</v>
      </c>
      <c r="L347" s="1">
        <v>3.5614330000000001</v>
      </c>
      <c r="M347" s="1">
        <v>3.4193449999999999</v>
      </c>
      <c r="N347" s="1">
        <v>3.3143719999999997</v>
      </c>
    </row>
    <row r="348" spans="2:14" x14ac:dyDescent="0.25">
      <c r="K348" s="1">
        <v>0</v>
      </c>
      <c r="L348" s="1">
        <v>39.020400000000002</v>
      </c>
      <c r="M348" s="1">
        <v>44.19</v>
      </c>
      <c r="N348" s="1">
        <v>45.114998</v>
      </c>
    </row>
    <row r="349" spans="2:14" x14ac:dyDescent="0.25">
      <c r="K349" s="1">
        <v>82.778399999999991</v>
      </c>
      <c r="L349" s="1">
        <v>79.854998000000009</v>
      </c>
      <c r="M349" s="1">
        <v>79.075356999999997</v>
      </c>
      <c r="N349" s="1">
        <v>76.764740000000003</v>
      </c>
    </row>
    <row r="350" spans="2:14" x14ac:dyDescent="0.25">
      <c r="K350" s="1">
        <v>63.566974999999999</v>
      </c>
      <c r="L350" s="1">
        <v>61.975076000000001</v>
      </c>
      <c r="M350" s="1">
        <v>70.149535</v>
      </c>
      <c r="N350" s="1">
        <v>78.922447000000005</v>
      </c>
    </row>
    <row r="351" spans="2:14" x14ac:dyDescent="0.25">
      <c r="K351" s="1">
        <v>0</v>
      </c>
      <c r="L351" s="1">
        <v>101.80800000000001</v>
      </c>
      <c r="M351" s="1">
        <v>108.02166099999999</v>
      </c>
      <c r="N351" s="1">
        <v>103.70519999999999</v>
      </c>
    </row>
    <row r="352" spans="2:14" x14ac:dyDescent="0.25">
      <c r="K352" s="1">
        <v>52.279199999999996</v>
      </c>
      <c r="L352" s="1">
        <v>43.106400000000001</v>
      </c>
      <c r="M352" s="1">
        <v>49.1616</v>
      </c>
      <c r="N352" s="1">
        <v>52.493226999999997</v>
      </c>
    </row>
    <row r="353" spans="11:14" x14ac:dyDescent="0.25">
      <c r="K353" s="1">
        <v>0</v>
      </c>
      <c r="L353" s="1">
        <v>43.540207000000002</v>
      </c>
      <c r="M353" s="1">
        <v>49.031222</v>
      </c>
      <c r="N353" s="1">
        <v>47.1312</v>
      </c>
    </row>
    <row r="354" spans="11:14" x14ac:dyDescent="0.25">
      <c r="K354" s="1">
        <v>11.588537000000001</v>
      </c>
      <c r="L354" s="1">
        <v>11.534771000000001</v>
      </c>
      <c r="M354" s="1">
        <v>13.047317999999999</v>
      </c>
      <c r="N354" s="1">
        <v>14.683342</v>
      </c>
    </row>
    <row r="355" spans="11:14" x14ac:dyDescent="0.25">
      <c r="K355" s="1">
        <v>0</v>
      </c>
      <c r="L355" s="1">
        <v>18.126000000000001</v>
      </c>
      <c r="M355" s="1">
        <v>21.1464</v>
      </c>
      <c r="N355" s="1">
        <v>21.053159999999998</v>
      </c>
    </row>
    <row r="356" spans="11:14" x14ac:dyDescent="0.25">
      <c r="K356" s="1">
        <v>0</v>
      </c>
      <c r="L356" s="1">
        <v>75.3048</v>
      </c>
      <c r="M356" s="1">
        <v>79.3476</v>
      </c>
      <c r="N356" s="1">
        <v>79.520399999999995</v>
      </c>
    </row>
    <row r="357" spans="11:14" x14ac:dyDescent="0.25">
      <c r="K357" s="1">
        <v>0</v>
      </c>
      <c r="L357" s="1">
        <v>154.75320000000002</v>
      </c>
      <c r="M357" s="1">
        <v>153.2628</v>
      </c>
      <c r="N357" s="1">
        <v>142.38</v>
      </c>
    </row>
    <row r="358" spans="11:14" x14ac:dyDescent="0.25">
      <c r="K358" s="1">
        <v>143.03241200000002</v>
      </c>
      <c r="L358" s="1">
        <v>138.85164600000002</v>
      </c>
      <c r="M358" s="1">
        <v>143.58243200000001</v>
      </c>
      <c r="N358" s="1">
        <v>139.842871</v>
      </c>
    </row>
    <row r="359" spans="11:14" x14ac:dyDescent="0.25">
      <c r="K359" s="1">
        <v>427.79503099999999</v>
      </c>
      <c r="L359" s="1">
        <v>387.94985300000002</v>
      </c>
      <c r="M359" s="1" t="s">
        <v>31</v>
      </c>
      <c r="N359" s="1" t="s">
        <v>31</v>
      </c>
    </row>
  </sheetData>
  <phoneticPr fontId="15" type="noConversion"/>
  <hyperlinks>
    <hyperlink ref="S316" r:id="rId1" xr:uid="{51CF1F6A-D64F-4E91-B6E9-D517C4CEDA0F}"/>
    <hyperlink ref="W316" r:id="rId2" xr:uid="{203A8A3C-86B9-488B-8974-FE891493F81C}"/>
    <hyperlink ref="AA316" r:id="rId3" xr:uid="{17234161-C07B-4855-B4F2-6BFA0C7A7862}"/>
  </hyperlinks>
  <pageMargins left="0.7" right="0.7" top="0.75" bottom="0.75" header="0.3" footer="0.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C8BBD-C5B1-45DD-B2DD-071FC716391D}">
  <dimension ref="A2:AM316"/>
  <sheetViews>
    <sheetView zoomScale="79" zoomScaleNormal="79" workbookViewId="0">
      <selection activeCell="M101" sqref="M101"/>
    </sheetView>
  </sheetViews>
  <sheetFormatPr defaultRowHeight="15" x14ac:dyDescent="0.25"/>
  <cols>
    <col min="1" max="1" width="22.7109375" customWidth="1"/>
    <col min="2" max="2" width="17" customWidth="1"/>
    <col min="3" max="3" width="16.140625" customWidth="1"/>
    <col min="4" max="4" width="14.5703125" customWidth="1"/>
    <col min="6" max="6" width="11" bestFit="1" customWidth="1"/>
    <col min="8" max="9" width="12" bestFit="1" customWidth="1"/>
    <col min="13" max="13" width="23.140625" customWidth="1"/>
    <col min="14" max="14" width="12.7109375" customWidth="1"/>
    <col min="17" max="17" width="13" customWidth="1"/>
    <col min="18" max="18" width="10.7109375" customWidth="1"/>
    <col min="19" max="19" width="11" bestFit="1" customWidth="1"/>
    <col min="21" max="21" width="16.7109375" customWidth="1"/>
    <col min="22" max="22" width="13.7109375" customWidth="1"/>
    <col min="24" max="24" width="14.28515625" customWidth="1"/>
  </cols>
  <sheetData>
    <row r="2" spans="2:39" x14ac:dyDescent="0.25">
      <c r="B2" s="2" t="s">
        <v>46</v>
      </c>
      <c r="C2" s="3"/>
      <c r="D2" s="3"/>
      <c r="E2" s="3"/>
      <c r="F2" s="3"/>
      <c r="I2" s="3"/>
      <c r="J2" s="3"/>
      <c r="L2" s="2" t="s">
        <v>41</v>
      </c>
      <c r="M2" s="3"/>
      <c r="N2" s="3"/>
      <c r="O2" s="3"/>
      <c r="P2" s="3"/>
      <c r="Q2" s="3"/>
      <c r="R2" s="3"/>
      <c r="S2" s="11" t="s">
        <v>49</v>
      </c>
      <c r="T2" s="3"/>
      <c r="W2" s="2" t="s">
        <v>41</v>
      </c>
      <c r="X2" s="3"/>
      <c r="Y2" s="3"/>
      <c r="Z2" s="3"/>
      <c r="AA2" s="3"/>
      <c r="AB2" s="3"/>
      <c r="AC2" s="3"/>
      <c r="AD2" s="11" t="s">
        <v>49</v>
      </c>
      <c r="AE2" s="3"/>
    </row>
    <row r="3" spans="2:39" x14ac:dyDescent="0.25">
      <c r="B3" s="4" t="s">
        <v>42</v>
      </c>
      <c r="C3" s="4" t="s">
        <v>43</v>
      </c>
      <c r="D3" s="4" t="s">
        <v>44</v>
      </c>
      <c r="E3" s="4" t="s">
        <v>45</v>
      </c>
      <c r="F3" s="5">
        <v>2010</v>
      </c>
      <c r="G3" s="5">
        <v>2015</v>
      </c>
      <c r="H3" s="5">
        <v>2020</v>
      </c>
      <c r="I3" s="5">
        <v>2023</v>
      </c>
      <c r="J3" s="5">
        <v>0</v>
      </c>
      <c r="L3" s="4" t="s">
        <v>42</v>
      </c>
      <c r="M3" s="4" t="s">
        <v>43</v>
      </c>
      <c r="N3" s="4" t="s">
        <v>44</v>
      </c>
      <c r="O3" s="4" t="s">
        <v>45</v>
      </c>
      <c r="P3" s="5">
        <v>2010</v>
      </c>
      <c r="Q3" s="5">
        <v>2015</v>
      </c>
      <c r="R3" s="5">
        <v>2020</v>
      </c>
      <c r="S3" s="5">
        <v>2025</v>
      </c>
      <c r="T3" s="5">
        <v>2040</v>
      </c>
      <c r="U3" s="5">
        <v>0</v>
      </c>
      <c r="W3" s="4" t="s">
        <v>42</v>
      </c>
      <c r="X3" s="4" t="s">
        <v>43</v>
      </c>
      <c r="Y3" s="4" t="s">
        <v>44</v>
      </c>
      <c r="Z3" s="4" t="s">
        <v>45</v>
      </c>
      <c r="AA3" s="5">
        <v>2010</v>
      </c>
      <c r="AB3" s="5">
        <v>2015</v>
      </c>
      <c r="AC3" s="5">
        <v>2020</v>
      </c>
      <c r="AD3" s="5">
        <v>2025</v>
      </c>
      <c r="AE3" s="5">
        <v>2040</v>
      </c>
      <c r="AF3" s="5">
        <v>0</v>
      </c>
    </row>
    <row r="4" spans="2:39" x14ac:dyDescent="0.25">
      <c r="B4" s="1" t="s">
        <v>0</v>
      </c>
      <c r="C4" s="1" t="s">
        <v>94</v>
      </c>
      <c r="D4" s="1" t="s">
        <v>2</v>
      </c>
      <c r="E4" s="1"/>
      <c r="F4" s="1">
        <f>[1]COMCOA!B13/1000</f>
        <v>0</v>
      </c>
      <c r="G4" s="1">
        <f>[1]COMCOA!C13/1000</f>
        <v>0</v>
      </c>
      <c r="H4" s="1">
        <f>[1]COMCOA!D13/1000</f>
        <v>0</v>
      </c>
      <c r="I4" s="1">
        <f>[1]COMCOA!E13/1000</f>
        <v>0</v>
      </c>
      <c r="J4" s="1">
        <v>1</v>
      </c>
      <c r="L4" s="1" t="s">
        <v>0</v>
      </c>
      <c r="M4" s="1" t="s">
        <v>94</v>
      </c>
      <c r="N4" s="1" t="s">
        <v>2</v>
      </c>
      <c r="O4" s="1" t="s">
        <v>40</v>
      </c>
      <c r="P4" s="1">
        <f t="shared" ref="P4:S19" si="0">IF(ISBLANK(F4),":",0.98*F4)</f>
        <v>0</v>
      </c>
      <c r="Q4" s="1">
        <f t="shared" si="0"/>
        <v>0</v>
      </c>
      <c r="R4" s="1">
        <f t="shared" si="0"/>
        <v>0</v>
      </c>
      <c r="S4" s="1">
        <f t="shared" si="0"/>
        <v>0</v>
      </c>
      <c r="T4" s="33">
        <v>0</v>
      </c>
      <c r="U4" s="1">
        <v>1</v>
      </c>
      <c r="W4" s="1" t="s">
        <v>0</v>
      </c>
      <c r="X4" s="1" t="s">
        <v>94</v>
      </c>
      <c r="Y4" s="1" t="s">
        <v>2</v>
      </c>
      <c r="Z4" s="1" t="s">
        <v>39</v>
      </c>
      <c r="AA4" s="1">
        <f t="shared" ref="AA4:AD67" si="1">IF(ISBLANK(F4),":",1.02*F4)</f>
        <v>0</v>
      </c>
      <c r="AB4" s="1">
        <f t="shared" si="1"/>
        <v>0</v>
      </c>
      <c r="AC4" s="1">
        <f t="shared" si="1"/>
        <v>0</v>
      </c>
      <c r="AD4" s="1">
        <f t="shared" si="1"/>
        <v>0</v>
      </c>
      <c r="AE4" s="28">
        <f>SUM($I$4,$I$32,$I$60,$I$88,$I$116,$I$144,$I$172,$I$200,$I$228,$I$256)</f>
        <v>159.04926399999999</v>
      </c>
      <c r="AF4" s="1">
        <v>1</v>
      </c>
      <c r="AH4" s="2" t="s">
        <v>95</v>
      </c>
    </row>
    <row r="5" spans="2:39" x14ac:dyDescent="0.25">
      <c r="B5" s="1" t="s">
        <v>3</v>
      </c>
      <c r="C5" s="1" t="s">
        <v>94</v>
      </c>
      <c r="D5" s="1" t="s">
        <v>2</v>
      </c>
      <c r="E5" s="1"/>
      <c r="F5" s="1">
        <f>[1]COMCOA!B14/1000</f>
        <v>0.17901</v>
      </c>
      <c r="G5" s="1">
        <f>[1]COMCOA!C14/1000</f>
        <v>0.232543</v>
      </c>
      <c r="H5" s="1">
        <f>[1]COMCOA!D14/1000</f>
        <v>0.13723400000000002</v>
      </c>
      <c r="I5" s="1">
        <f>[1]COMCOA!E14/1000</f>
        <v>7.8773999999999997E-2</v>
      </c>
      <c r="J5" s="1">
        <v>1</v>
      </c>
      <c r="L5" s="1" t="s">
        <v>3</v>
      </c>
      <c r="M5" s="1" t="s">
        <v>94</v>
      </c>
      <c r="N5" s="1" t="s">
        <v>2</v>
      </c>
      <c r="O5" s="1" t="s">
        <v>40</v>
      </c>
      <c r="P5" s="1">
        <f t="shared" si="0"/>
        <v>0.1754298</v>
      </c>
      <c r="Q5" s="1">
        <f t="shared" si="0"/>
        <v>0.22789213999999999</v>
      </c>
      <c r="R5" s="1">
        <f t="shared" si="0"/>
        <v>0.13448932000000002</v>
      </c>
      <c r="S5" s="1">
        <f t="shared" si="0"/>
        <v>7.7198519999999993E-2</v>
      </c>
      <c r="T5" s="33">
        <v>0</v>
      </c>
      <c r="U5" s="1">
        <v>1</v>
      </c>
      <c r="W5" s="1" t="s">
        <v>3</v>
      </c>
      <c r="X5" s="1" t="s">
        <v>94</v>
      </c>
      <c r="Y5" s="1" t="s">
        <v>2</v>
      </c>
      <c r="Z5" s="1" t="s">
        <v>39</v>
      </c>
      <c r="AA5" s="1">
        <f t="shared" si="1"/>
        <v>0.18259020000000001</v>
      </c>
      <c r="AB5" s="1">
        <f t="shared" si="1"/>
        <v>0.23719386000000001</v>
      </c>
      <c r="AC5" s="1">
        <f t="shared" si="1"/>
        <v>0.13997868000000002</v>
      </c>
      <c r="AD5" s="1">
        <f t="shared" si="1"/>
        <v>8.0349480000000001E-2</v>
      </c>
      <c r="AE5" s="28">
        <f>SUM($I$5,$I$33,$I$61,$I$89,$I$117,$I$145,$I$173,$I$201,$I$229,$I$257)</f>
        <v>52.687187999999992</v>
      </c>
      <c r="AF5" s="1">
        <v>1</v>
      </c>
      <c r="AH5" s="4" t="s">
        <v>43</v>
      </c>
      <c r="AI5" s="4" t="s">
        <v>44</v>
      </c>
      <c r="AJ5" s="4" t="s">
        <v>45</v>
      </c>
      <c r="AK5" s="5" t="s">
        <v>79</v>
      </c>
      <c r="AL5" s="5" t="s">
        <v>81</v>
      </c>
      <c r="AM5" s="5" t="s">
        <v>80</v>
      </c>
    </row>
    <row r="6" spans="2:39" x14ac:dyDescent="0.25">
      <c r="B6" s="1" t="s">
        <v>4</v>
      </c>
      <c r="C6" s="1" t="s">
        <v>94</v>
      </c>
      <c r="D6" s="1" t="s">
        <v>2</v>
      </c>
      <c r="E6" s="1"/>
      <c r="F6" s="1">
        <f>[1]COMCOA!B15/1000</f>
        <v>1.651454</v>
      </c>
      <c r="G6" s="1">
        <f>[1]COMCOA!C15/1000</f>
        <v>1.0441020000000001</v>
      </c>
      <c r="H6" s="1">
        <f>[1]COMCOA!D15/1000</f>
        <v>0.86587499999999995</v>
      </c>
      <c r="I6" s="1">
        <f>[1]COMCOA!E15/1000</f>
        <v>0.46611799999999998</v>
      </c>
      <c r="J6" s="1">
        <v>1</v>
      </c>
      <c r="L6" s="1" t="s">
        <v>4</v>
      </c>
      <c r="M6" s="1" t="s">
        <v>94</v>
      </c>
      <c r="N6" s="1" t="s">
        <v>2</v>
      </c>
      <c r="O6" s="1" t="s">
        <v>40</v>
      </c>
      <c r="P6" s="1">
        <f t="shared" si="0"/>
        <v>1.61842492</v>
      </c>
      <c r="Q6" s="1">
        <f t="shared" si="0"/>
        <v>1.02321996</v>
      </c>
      <c r="R6" s="1">
        <f t="shared" si="0"/>
        <v>0.84855749999999996</v>
      </c>
      <c r="S6" s="1">
        <f t="shared" si="0"/>
        <v>0.45679563999999995</v>
      </c>
      <c r="T6" s="33">
        <v>0</v>
      </c>
      <c r="U6" s="1">
        <v>1</v>
      </c>
      <c r="W6" s="1" t="s">
        <v>4</v>
      </c>
      <c r="X6" s="1" t="s">
        <v>94</v>
      </c>
      <c r="Y6" s="1" t="s">
        <v>2</v>
      </c>
      <c r="Z6" s="1" t="s">
        <v>39</v>
      </c>
      <c r="AA6" s="1">
        <f t="shared" si="1"/>
        <v>1.6844830799999999</v>
      </c>
      <c r="AB6" s="1">
        <f t="shared" si="1"/>
        <v>1.0649840400000001</v>
      </c>
      <c r="AC6" s="1">
        <f t="shared" si="1"/>
        <v>0.88319249999999994</v>
      </c>
      <c r="AD6" s="1">
        <f t="shared" si="1"/>
        <v>0.47544036000000001</v>
      </c>
      <c r="AE6" s="28">
        <f>SUM($I$6,$I$34,$I$62,$I$90,$I$118,$I$146,$I$174,$I$202,$I$230,$I$258)</f>
        <v>110.98745699999999</v>
      </c>
      <c r="AF6" s="1">
        <v>1</v>
      </c>
      <c r="AH6" s="1" t="s">
        <v>96</v>
      </c>
      <c r="AI6" s="1" t="s">
        <v>2</v>
      </c>
      <c r="AJ6" s="1" t="s">
        <v>39</v>
      </c>
      <c r="AK6" s="1" t="s">
        <v>83</v>
      </c>
      <c r="AL6" s="1">
        <v>2</v>
      </c>
      <c r="AM6" s="1">
        <v>2010</v>
      </c>
    </row>
    <row r="7" spans="2:39" x14ac:dyDescent="0.25">
      <c r="B7" s="1" t="s">
        <v>5</v>
      </c>
      <c r="C7" s="1" t="s">
        <v>94</v>
      </c>
      <c r="D7" s="1" t="s">
        <v>2</v>
      </c>
      <c r="E7" s="1"/>
      <c r="F7" s="1">
        <f>[1]COMCOA!B16/1000</f>
        <v>0</v>
      </c>
      <c r="G7" s="1">
        <f>[1]COMCOA!C16/1000</f>
        <v>0</v>
      </c>
      <c r="H7" s="1">
        <f>[1]COMCOA!D16/1000</f>
        <v>0</v>
      </c>
      <c r="I7" s="1">
        <f>[1]COMCOA!E16/1000</f>
        <v>0</v>
      </c>
      <c r="J7" s="1">
        <v>1</v>
      </c>
      <c r="L7" s="1" t="s">
        <v>5</v>
      </c>
      <c r="M7" s="1" t="s">
        <v>94</v>
      </c>
      <c r="N7" s="1" t="s">
        <v>2</v>
      </c>
      <c r="O7" s="1" t="s">
        <v>40</v>
      </c>
      <c r="P7" s="1">
        <f t="shared" si="0"/>
        <v>0</v>
      </c>
      <c r="Q7" s="1">
        <f t="shared" si="0"/>
        <v>0</v>
      </c>
      <c r="R7" s="1">
        <f t="shared" si="0"/>
        <v>0</v>
      </c>
      <c r="S7" s="1">
        <f t="shared" si="0"/>
        <v>0</v>
      </c>
      <c r="T7" s="33">
        <v>0</v>
      </c>
      <c r="U7" s="1">
        <v>1</v>
      </c>
      <c r="W7" s="1" t="s">
        <v>5</v>
      </c>
      <c r="X7" s="1" t="s">
        <v>94</v>
      </c>
      <c r="Y7" s="1" t="s">
        <v>2</v>
      </c>
      <c r="Z7" s="1" t="s">
        <v>39</v>
      </c>
      <c r="AA7" s="1">
        <f t="shared" si="1"/>
        <v>0</v>
      </c>
      <c r="AB7" s="1">
        <f t="shared" si="1"/>
        <v>0</v>
      </c>
      <c r="AC7" s="1">
        <f t="shared" si="1"/>
        <v>0</v>
      </c>
      <c r="AD7" s="1">
        <f t="shared" si="1"/>
        <v>0</v>
      </c>
      <c r="AE7" s="28">
        <f>SUM($I$7,$I$35,$I$63,$I$91,$I$119,$I$147,$I$175,$I$203,$I$231,$I$259)</f>
        <v>78.733746999999994</v>
      </c>
      <c r="AF7" s="1">
        <v>1</v>
      </c>
      <c r="AH7" s="1" t="s">
        <v>96</v>
      </c>
      <c r="AI7" s="1" t="s">
        <v>2</v>
      </c>
      <c r="AJ7" s="1" t="s">
        <v>39</v>
      </c>
      <c r="AK7" s="1" t="s">
        <v>83</v>
      </c>
      <c r="AL7" s="1">
        <v>2</v>
      </c>
      <c r="AM7" s="1">
        <v>2015</v>
      </c>
    </row>
    <row r="8" spans="2:39" x14ac:dyDescent="0.25">
      <c r="B8" s="1" t="s">
        <v>6</v>
      </c>
      <c r="C8" s="1" t="s">
        <v>94</v>
      </c>
      <c r="D8" s="1" t="s">
        <v>2</v>
      </c>
      <c r="E8" s="1"/>
      <c r="F8" s="1">
        <f>[1]COMCOA!B17/1000</f>
        <v>3.9649140000000003</v>
      </c>
      <c r="G8" s="1">
        <f>[1]COMCOA!C17/1000</f>
        <v>7.7018199999999997</v>
      </c>
      <c r="H8" s="1">
        <f>[1]COMCOA!D17/1000</f>
        <v>5.2618000000000005E-2</v>
      </c>
      <c r="I8" s="1">
        <f>[1]COMCOA!E17/1000</f>
        <v>1.800708</v>
      </c>
      <c r="J8" s="1">
        <v>1</v>
      </c>
      <c r="L8" s="1" t="s">
        <v>6</v>
      </c>
      <c r="M8" s="1" t="s">
        <v>94</v>
      </c>
      <c r="N8" s="1" t="s">
        <v>2</v>
      </c>
      <c r="O8" s="1" t="s">
        <v>40</v>
      </c>
      <c r="P8" s="1">
        <f t="shared" si="0"/>
        <v>3.8856157200000001</v>
      </c>
      <c r="Q8" s="1">
        <f t="shared" si="0"/>
        <v>7.5477835999999998</v>
      </c>
      <c r="R8" s="1">
        <f t="shared" si="0"/>
        <v>5.1565640000000003E-2</v>
      </c>
      <c r="S8" s="1">
        <f t="shared" si="0"/>
        <v>1.7646938399999998</v>
      </c>
      <c r="T8" s="33">
        <v>0</v>
      </c>
      <c r="U8" s="1">
        <v>1</v>
      </c>
      <c r="W8" s="1" t="s">
        <v>6</v>
      </c>
      <c r="X8" s="1" t="s">
        <v>94</v>
      </c>
      <c r="Y8" s="1" t="s">
        <v>2</v>
      </c>
      <c r="Z8" s="1" t="s">
        <v>39</v>
      </c>
      <c r="AA8" s="1">
        <f t="shared" si="1"/>
        <v>4.04421228</v>
      </c>
      <c r="AB8" s="1">
        <f t="shared" si="1"/>
        <v>7.8558563999999995</v>
      </c>
      <c r="AC8" s="1">
        <f t="shared" si="1"/>
        <v>5.3670360000000007E-2</v>
      </c>
      <c r="AD8" s="1">
        <f t="shared" si="1"/>
        <v>1.8367221600000001</v>
      </c>
      <c r="AE8" s="28">
        <f>SUM($I$8,$I$36,$I$64,$I$92,$I$120,$I$148,$I$176,$I$204,$I$232,$I$260)</f>
        <v>998.19450100000006</v>
      </c>
      <c r="AF8" s="1">
        <v>1</v>
      </c>
      <c r="AH8" s="1" t="s">
        <v>96</v>
      </c>
      <c r="AI8" s="1" t="s">
        <v>2</v>
      </c>
      <c r="AJ8" s="1" t="s">
        <v>39</v>
      </c>
      <c r="AK8" s="1" t="s">
        <v>83</v>
      </c>
      <c r="AL8" s="1">
        <v>2</v>
      </c>
      <c r="AM8" s="1">
        <v>2020</v>
      </c>
    </row>
    <row r="9" spans="2:39" x14ac:dyDescent="0.25">
      <c r="B9" s="1" t="s">
        <v>7</v>
      </c>
      <c r="C9" s="1" t="s">
        <v>94</v>
      </c>
      <c r="D9" s="1" t="s">
        <v>2</v>
      </c>
      <c r="E9" s="1"/>
      <c r="F9" s="1">
        <f>[1]COMCOA!B18/1000</f>
        <v>8.1480000000000011E-2</v>
      </c>
      <c r="G9" s="1">
        <f>AVERAGE(F9,H9:I9)</f>
        <v>4.8192666666666668E-2</v>
      </c>
      <c r="H9" s="1">
        <f>[1]COMCOA!D18/1000</f>
        <v>4.3146000000000004E-2</v>
      </c>
      <c r="I9" s="1">
        <f>[1]COMCOA!E18/1000</f>
        <v>1.9952000000000001E-2</v>
      </c>
      <c r="J9" s="1">
        <v>1</v>
      </c>
      <c r="L9" s="1" t="s">
        <v>7</v>
      </c>
      <c r="M9" s="1" t="s">
        <v>94</v>
      </c>
      <c r="N9" s="1" t="s">
        <v>2</v>
      </c>
      <c r="O9" s="1" t="s">
        <v>40</v>
      </c>
      <c r="P9" s="1">
        <f t="shared" si="0"/>
        <v>7.9850400000000016E-2</v>
      </c>
      <c r="Q9" s="1">
        <f t="shared" si="0"/>
        <v>4.7228813333333335E-2</v>
      </c>
      <c r="R9" s="1">
        <f t="shared" si="0"/>
        <v>4.2283080000000001E-2</v>
      </c>
      <c r="S9" s="1">
        <f t="shared" si="0"/>
        <v>1.9552960000000001E-2</v>
      </c>
      <c r="T9" s="33">
        <v>0</v>
      </c>
      <c r="U9" s="1">
        <v>1</v>
      </c>
      <c r="W9" s="1" t="s">
        <v>7</v>
      </c>
      <c r="X9" s="1" t="s">
        <v>94</v>
      </c>
      <c r="Y9" s="1" t="s">
        <v>2</v>
      </c>
      <c r="Z9" s="1" t="s">
        <v>39</v>
      </c>
      <c r="AA9" s="1">
        <f t="shared" si="1"/>
        <v>8.3109600000000006E-2</v>
      </c>
      <c r="AB9" s="1">
        <f t="shared" si="1"/>
        <v>4.9156520000000002E-2</v>
      </c>
      <c r="AC9" s="1">
        <f t="shared" si="1"/>
        <v>4.4008920000000007E-2</v>
      </c>
      <c r="AD9" s="1">
        <f t="shared" si="1"/>
        <v>2.0351040000000001E-2</v>
      </c>
      <c r="AE9" s="28">
        <f>SUM($I$9,$I$37,$I$65,$I$93,$I$121,$I$149,$I$177,$I$205,$I$233,$I$261)</f>
        <v>15.12316</v>
      </c>
      <c r="AF9" s="1">
        <v>1</v>
      </c>
      <c r="AH9" s="1"/>
      <c r="AI9" s="1"/>
      <c r="AJ9" s="1"/>
      <c r="AK9" s="1"/>
      <c r="AL9" s="1"/>
      <c r="AM9" s="1"/>
    </row>
    <row r="10" spans="2:39" x14ac:dyDescent="0.25">
      <c r="B10" s="1" t="s">
        <v>8</v>
      </c>
      <c r="C10" s="1" t="s">
        <v>94</v>
      </c>
      <c r="D10" s="1" t="s">
        <v>2</v>
      </c>
      <c r="E10" s="1"/>
      <c r="F10" s="1">
        <f>[1]COMCOA!B19/1000</f>
        <v>4.1366999999999994E-2</v>
      </c>
      <c r="G10" s="1">
        <f>[1]COMCOA!C19/1000</f>
        <v>1.1692000000000001E-2</v>
      </c>
      <c r="H10" s="1">
        <f>[1]COMCOA!D19/1000</f>
        <v>7.5719999999999997E-3</v>
      </c>
      <c r="I10" s="1">
        <f>[1]COMCOA!E19/1000</f>
        <v>8.8800000000000007E-3</v>
      </c>
      <c r="J10" s="1">
        <v>1</v>
      </c>
      <c r="L10" s="1" t="s">
        <v>8</v>
      </c>
      <c r="M10" s="1" t="s">
        <v>94</v>
      </c>
      <c r="N10" s="1" t="s">
        <v>2</v>
      </c>
      <c r="O10" s="1" t="s">
        <v>40</v>
      </c>
      <c r="P10" s="1">
        <f t="shared" si="0"/>
        <v>4.0539659999999991E-2</v>
      </c>
      <c r="Q10" s="1">
        <f t="shared" si="0"/>
        <v>1.145816E-2</v>
      </c>
      <c r="R10" s="1">
        <f t="shared" si="0"/>
        <v>7.4205599999999997E-3</v>
      </c>
      <c r="S10" s="1">
        <f t="shared" si="0"/>
        <v>8.7024000000000008E-3</v>
      </c>
      <c r="T10" s="33">
        <v>0</v>
      </c>
      <c r="U10" s="1">
        <v>1</v>
      </c>
      <c r="W10" s="1" t="s">
        <v>8</v>
      </c>
      <c r="X10" s="1" t="s">
        <v>94</v>
      </c>
      <c r="Y10" s="1" t="s">
        <v>2</v>
      </c>
      <c r="Z10" s="1" t="s">
        <v>39</v>
      </c>
      <c r="AA10" s="1">
        <f t="shared" si="1"/>
        <v>4.2194339999999997E-2</v>
      </c>
      <c r="AB10" s="1">
        <f t="shared" si="1"/>
        <v>1.1925840000000002E-2</v>
      </c>
      <c r="AC10" s="1">
        <f t="shared" si="1"/>
        <v>7.7234399999999998E-3</v>
      </c>
      <c r="AD10" s="1">
        <f t="shared" si="1"/>
        <v>9.0576000000000007E-3</v>
      </c>
      <c r="AE10" s="28">
        <f>SUM(I$10,I$38,I$66,I$94,I$122,I$150,I$178,I$206,I$234,I$262)</f>
        <v>81.18795200000001</v>
      </c>
      <c r="AF10" s="1">
        <v>1</v>
      </c>
    </row>
    <row r="11" spans="2:39" x14ac:dyDescent="0.25">
      <c r="B11" s="1" t="s">
        <v>9</v>
      </c>
      <c r="C11" s="1" t="s">
        <v>94</v>
      </c>
      <c r="D11" s="1" t="s">
        <v>2</v>
      </c>
      <c r="E11" s="1"/>
      <c r="F11" s="1"/>
      <c r="G11" s="1"/>
      <c r="H11" s="1"/>
      <c r="I11" s="1">
        <f>[1]COMCOA!E20/1000</f>
        <v>0.504301</v>
      </c>
      <c r="J11" s="1">
        <v>1</v>
      </c>
      <c r="L11" s="1" t="s">
        <v>9</v>
      </c>
      <c r="M11" s="1" t="s">
        <v>94</v>
      </c>
      <c r="N11" s="1" t="s">
        <v>2</v>
      </c>
      <c r="O11" s="1" t="s">
        <v>40</v>
      </c>
      <c r="P11" s="1" t="str">
        <f t="shared" si="0"/>
        <v>:</v>
      </c>
      <c r="Q11" s="1" t="str">
        <f t="shared" si="0"/>
        <v>:</v>
      </c>
      <c r="R11" s="1" t="str">
        <f t="shared" si="0"/>
        <v>:</v>
      </c>
      <c r="S11" s="1">
        <f t="shared" si="0"/>
        <v>0.49421497999999997</v>
      </c>
      <c r="T11" s="33">
        <v>0</v>
      </c>
      <c r="U11" s="1">
        <v>1</v>
      </c>
      <c r="W11" s="1" t="s">
        <v>9</v>
      </c>
      <c r="X11" s="1" t="s">
        <v>94</v>
      </c>
      <c r="Y11" s="1" t="s">
        <v>2</v>
      </c>
      <c r="Z11" s="1" t="s">
        <v>39</v>
      </c>
      <c r="AA11" s="1" t="str">
        <f t="shared" si="1"/>
        <v>:</v>
      </c>
      <c r="AB11" s="1" t="str">
        <f t="shared" si="1"/>
        <v>:</v>
      </c>
      <c r="AC11" s="1" t="str">
        <f t="shared" si="1"/>
        <v>:</v>
      </c>
      <c r="AD11" s="1">
        <f t="shared" si="1"/>
        <v>0.51438702000000003</v>
      </c>
      <c r="AE11" s="28">
        <f>SUM($I$11,$I$39,$I$67,$I$95,$I$123,$I$151,$I$179,$I$207,$I$235,$I$263)</f>
        <v>89.565158000000011</v>
      </c>
      <c r="AF11" s="1">
        <v>1</v>
      </c>
    </row>
    <row r="12" spans="2:39" x14ac:dyDescent="0.25">
      <c r="B12" s="1" t="s">
        <v>10</v>
      </c>
      <c r="C12" s="1" t="s">
        <v>94</v>
      </c>
      <c r="D12" s="1" t="s">
        <v>2</v>
      </c>
      <c r="E12" s="1"/>
      <c r="F12" s="1"/>
      <c r="G12" s="1">
        <f>[1]COMCOA!C21/1000</f>
        <v>0</v>
      </c>
      <c r="H12" s="1">
        <f>[1]COMCOA!D21/1000</f>
        <v>0</v>
      </c>
      <c r="I12" s="1">
        <f>[1]COMCOA!E21/1000</f>
        <v>0</v>
      </c>
      <c r="J12" s="1">
        <v>1</v>
      </c>
      <c r="L12" s="1" t="s">
        <v>10</v>
      </c>
      <c r="M12" s="1" t="s">
        <v>94</v>
      </c>
      <c r="N12" s="1" t="s">
        <v>2</v>
      </c>
      <c r="O12" s="1" t="s">
        <v>40</v>
      </c>
      <c r="P12" s="1" t="str">
        <f t="shared" si="0"/>
        <v>:</v>
      </c>
      <c r="Q12" s="1">
        <f t="shared" si="0"/>
        <v>0</v>
      </c>
      <c r="R12" s="1">
        <f t="shared" si="0"/>
        <v>0</v>
      </c>
      <c r="S12" s="1">
        <f t="shared" si="0"/>
        <v>0</v>
      </c>
      <c r="T12" s="33">
        <v>0</v>
      </c>
      <c r="U12" s="1">
        <v>1</v>
      </c>
      <c r="W12" s="1" t="s">
        <v>10</v>
      </c>
      <c r="X12" s="1" t="s">
        <v>94</v>
      </c>
      <c r="Y12" s="1" t="s">
        <v>2</v>
      </c>
      <c r="Z12" s="1" t="s">
        <v>39</v>
      </c>
      <c r="AA12" s="1" t="str">
        <f t="shared" si="1"/>
        <v>:</v>
      </c>
      <c r="AB12" s="1">
        <f t="shared" si="1"/>
        <v>0</v>
      </c>
      <c r="AC12" s="1">
        <f t="shared" si="1"/>
        <v>0</v>
      </c>
      <c r="AD12" s="1">
        <f t="shared" si="1"/>
        <v>0</v>
      </c>
      <c r="AE12" s="28">
        <f>SUM($I$12,$I$40,$I$68,$I$96,$I$124,$I$152,$I$180,$I$208,$I$236,$I$264)</f>
        <v>427.84543500000007</v>
      </c>
      <c r="AF12" s="1">
        <v>1</v>
      </c>
    </row>
    <row r="13" spans="2:39" x14ac:dyDescent="0.25">
      <c r="B13" s="1" t="s">
        <v>11</v>
      </c>
      <c r="C13" s="1" t="s">
        <v>94</v>
      </c>
      <c r="D13" s="1" t="s">
        <v>2</v>
      </c>
      <c r="E13" s="1"/>
      <c r="F13" s="1">
        <f>[1]COMCOA!B22/1000</f>
        <v>5.4859999999999998</v>
      </c>
      <c r="G13" s="1">
        <f>[1]COMCOA!C22/1000</f>
        <v>1.7808299999999999</v>
      </c>
      <c r="H13" s="1">
        <f>[1]COMCOA!D22/1000</f>
        <v>1.28247</v>
      </c>
      <c r="I13" s="1">
        <f>[1]COMCOA!E22/1000</f>
        <v>1.2064970000000002</v>
      </c>
      <c r="J13" s="1">
        <v>1</v>
      </c>
      <c r="L13" s="1" t="s">
        <v>11</v>
      </c>
      <c r="M13" s="1" t="s">
        <v>94</v>
      </c>
      <c r="N13" s="1" t="s">
        <v>2</v>
      </c>
      <c r="O13" s="1" t="s">
        <v>40</v>
      </c>
      <c r="P13" s="1">
        <f t="shared" si="0"/>
        <v>5.3762799999999995</v>
      </c>
      <c r="Q13" s="1">
        <f t="shared" si="0"/>
        <v>1.7452133999999999</v>
      </c>
      <c r="R13" s="1">
        <f t="shared" si="0"/>
        <v>1.2568206</v>
      </c>
      <c r="S13" s="1">
        <f t="shared" si="0"/>
        <v>1.18236706</v>
      </c>
      <c r="T13" s="33">
        <v>0</v>
      </c>
      <c r="U13" s="1">
        <v>1</v>
      </c>
      <c r="W13" s="1" t="s">
        <v>11</v>
      </c>
      <c r="X13" s="1" t="s">
        <v>94</v>
      </c>
      <c r="Y13" s="1" t="s">
        <v>2</v>
      </c>
      <c r="Z13" s="1" t="s">
        <v>39</v>
      </c>
      <c r="AA13" s="1">
        <f t="shared" si="1"/>
        <v>5.59572</v>
      </c>
      <c r="AB13" s="1">
        <f t="shared" si="1"/>
        <v>1.8164465999999999</v>
      </c>
      <c r="AC13" s="1">
        <f t="shared" si="1"/>
        <v>1.3081194</v>
      </c>
      <c r="AD13" s="1">
        <f t="shared" si="1"/>
        <v>1.2306269400000003</v>
      </c>
      <c r="AE13" s="28">
        <f>SUM($I$13,$I$41,$I$69,$I$97,$I$125,$I$153,$I$181,$I$209,$I$237,$I$265)</f>
        <v>780.29733900000008</v>
      </c>
      <c r="AF13" s="1">
        <v>1</v>
      </c>
    </row>
    <row r="14" spans="2:39" x14ac:dyDescent="0.25">
      <c r="B14" s="1" t="s">
        <v>12</v>
      </c>
      <c r="C14" s="1" t="s">
        <v>94</v>
      </c>
      <c r="D14" s="1" t="s">
        <v>2</v>
      </c>
      <c r="E14" s="1"/>
      <c r="F14" s="1">
        <f>[1]COMCOA!B23/1000</f>
        <v>4.1524999999999999E-2</v>
      </c>
      <c r="G14" s="1">
        <f>[1]COMCOA!C23/1000</f>
        <v>1.5969999999999999E-3</v>
      </c>
      <c r="H14" s="1">
        <f>[1]COMCOA!D23/1000</f>
        <v>0</v>
      </c>
      <c r="I14" s="1">
        <f>[1]COMCOA!E23/1000</f>
        <v>0</v>
      </c>
      <c r="J14" s="1">
        <v>1</v>
      </c>
      <c r="L14" s="1" t="s">
        <v>12</v>
      </c>
      <c r="M14" s="1" t="s">
        <v>94</v>
      </c>
      <c r="N14" s="1" t="s">
        <v>2</v>
      </c>
      <c r="O14" s="1" t="s">
        <v>40</v>
      </c>
      <c r="P14" s="1">
        <f t="shared" si="0"/>
        <v>4.0694500000000002E-2</v>
      </c>
      <c r="Q14" s="1">
        <f t="shared" si="0"/>
        <v>1.5650599999999998E-3</v>
      </c>
      <c r="R14" s="1">
        <f t="shared" si="0"/>
        <v>0</v>
      </c>
      <c r="S14" s="1">
        <f t="shared" si="0"/>
        <v>0</v>
      </c>
      <c r="T14" s="33">
        <v>0</v>
      </c>
      <c r="U14" s="1">
        <v>1</v>
      </c>
      <c r="W14" s="1" t="s">
        <v>12</v>
      </c>
      <c r="X14" s="1" t="s">
        <v>94</v>
      </c>
      <c r="Y14" s="1" t="s">
        <v>2</v>
      </c>
      <c r="Z14" s="1" t="s">
        <v>39</v>
      </c>
      <c r="AA14" s="1">
        <f t="shared" si="1"/>
        <v>4.2355499999999997E-2</v>
      </c>
      <c r="AB14" s="1">
        <f t="shared" si="1"/>
        <v>1.6289399999999999E-3</v>
      </c>
      <c r="AC14" s="1">
        <f t="shared" si="1"/>
        <v>0</v>
      </c>
      <c r="AD14" s="1">
        <f t="shared" si="1"/>
        <v>0</v>
      </c>
      <c r="AE14" s="28">
        <f>SUM($I$14,$I$42,$I$70,$I$98,$I$126,$I$154,$I$182,$I$210,$I$238,$I$266)</f>
        <v>32.639519</v>
      </c>
      <c r="AF14" s="1">
        <v>1</v>
      </c>
    </row>
    <row r="15" spans="2:39" x14ac:dyDescent="0.25">
      <c r="B15" s="1" t="s">
        <v>13</v>
      </c>
      <c r="C15" s="1" t="s">
        <v>94</v>
      </c>
      <c r="D15" s="1" t="s">
        <v>2</v>
      </c>
      <c r="E15" s="1"/>
      <c r="F15" s="1">
        <f>[1]COMCOA!B24/1000</f>
        <v>0</v>
      </c>
      <c r="G15" s="1">
        <f>[1]COMCOA!C24/1000</f>
        <v>0</v>
      </c>
      <c r="H15" s="1">
        <f>[1]COMCOA!D24/1000</f>
        <v>0</v>
      </c>
      <c r="I15" s="1">
        <f>[1]COMCOA!E24/1000</f>
        <v>0</v>
      </c>
      <c r="J15" s="1">
        <v>1</v>
      </c>
      <c r="L15" s="1" t="s">
        <v>13</v>
      </c>
      <c r="M15" s="1" t="s">
        <v>94</v>
      </c>
      <c r="N15" s="1" t="s">
        <v>2</v>
      </c>
      <c r="O15" s="1" t="s">
        <v>40</v>
      </c>
      <c r="P15" s="1">
        <f t="shared" si="0"/>
        <v>0</v>
      </c>
      <c r="Q15" s="1">
        <f t="shared" si="0"/>
        <v>0</v>
      </c>
      <c r="R15" s="1">
        <f t="shared" si="0"/>
        <v>0</v>
      </c>
      <c r="S15" s="1">
        <f t="shared" si="0"/>
        <v>0</v>
      </c>
      <c r="T15" s="33">
        <v>0</v>
      </c>
      <c r="U15" s="1">
        <v>1</v>
      </c>
      <c r="W15" s="1" t="s">
        <v>13</v>
      </c>
      <c r="X15" s="1" t="s">
        <v>94</v>
      </c>
      <c r="Y15" s="1" t="s">
        <v>2</v>
      </c>
      <c r="Z15" s="1" t="s">
        <v>39</v>
      </c>
      <c r="AA15" s="1">
        <f t="shared" si="1"/>
        <v>0</v>
      </c>
      <c r="AB15" s="1">
        <f t="shared" si="1"/>
        <v>0</v>
      </c>
      <c r="AC15" s="1">
        <f t="shared" si="1"/>
        <v>0</v>
      </c>
      <c r="AD15" s="1">
        <f t="shared" si="1"/>
        <v>0</v>
      </c>
      <c r="AE15" s="28">
        <f>SUM($I$15,$I$43,$I$71,$I$99,$I$127,$I$155,$I$183,$I$211,$I$239,$I$267)</f>
        <v>694.24554299999988</v>
      </c>
      <c r="AF15" s="1">
        <v>1</v>
      </c>
    </row>
    <row r="16" spans="2:39" x14ac:dyDescent="0.25">
      <c r="B16" s="1" t="s">
        <v>14</v>
      </c>
      <c r="C16" s="1" t="s">
        <v>94</v>
      </c>
      <c r="D16" s="1" t="s">
        <v>2</v>
      </c>
      <c r="E16" s="1"/>
      <c r="F16" s="1">
        <f>[1]COMCOA!B25/1000</f>
        <v>0</v>
      </c>
      <c r="G16" s="1">
        <f>[1]COMCOA!C25/1000</f>
        <v>0</v>
      </c>
      <c r="H16" s="1">
        <f>[1]COMCOA!D25/1000</f>
        <v>0</v>
      </c>
      <c r="I16" s="1">
        <f>[1]COMCOA!E25/1000</f>
        <v>0</v>
      </c>
      <c r="J16" s="1">
        <v>1</v>
      </c>
      <c r="L16" s="1" t="s">
        <v>14</v>
      </c>
      <c r="M16" s="1" t="s">
        <v>94</v>
      </c>
      <c r="N16" s="1" t="s">
        <v>2</v>
      </c>
      <c r="O16" s="1" t="s">
        <v>40</v>
      </c>
      <c r="P16" s="1">
        <f t="shared" si="0"/>
        <v>0</v>
      </c>
      <c r="Q16" s="1">
        <f t="shared" si="0"/>
        <v>0</v>
      </c>
      <c r="R16" s="1">
        <f t="shared" si="0"/>
        <v>0</v>
      </c>
      <c r="S16" s="1">
        <f t="shared" si="0"/>
        <v>0</v>
      </c>
      <c r="T16" s="33">
        <v>0</v>
      </c>
      <c r="U16" s="1">
        <v>1</v>
      </c>
      <c r="W16" s="1" t="s">
        <v>14</v>
      </c>
      <c r="X16" s="1" t="s">
        <v>94</v>
      </c>
      <c r="Y16" s="1" t="s">
        <v>2</v>
      </c>
      <c r="Z16" s="1" t="s">
        <v>39</v>
      </c>
      <c r="AA16" s="1">
        <f t="shared" si="1"/>
        <v>0</v>
      </c>
      <c r="AB16" s="1">
        <f t="shared" si="1"/>
        <v>0</v>
      </c>
      <c r="AC16" s="1">
        <f t="shared" si="1"/>
        <v>0</v>
      </c>
      <c r="AD16" s="1">
        <f t="shared" si="1"/>
        <v>0</v>
      </c>
      <c r="AE16" s="28">
        <f>SUM($I$16,$I$44,$I$72,$I$100,$I$128,$I$156,$I$184,$I$212,$I$240,$I$268)</f>
        <v>12.063378</v>
      </c>
      <c r="AF16" s="1">
        <v>1</v>
      </c>
    </row>
    <row r="17" spans="2:32" x14ac:dyDescent="0.25">
      <c r="B17" s="1" t="s">
        <v>15</v>
      </c>
      <c r="C17" s="1" t="s">
        <v>94</v>
      </c>
      <c r="D17" s="1" t="s">
        <v>2</v>
      </c>
      <c r="E17" s="1"/>
      <c r="F17" s="1">
        <f>[1]COMCOA!B26/1000</f>
        <v>0.89148000000000005</v>
      </c>
      <c r="G17" s="1">
        <f>[1]COMCOA!C26/1000</f>
        <v>0.26300999999999997</v>
      </c>
      <c r="H17" s="1">
        <f>[1]COMCOA!D26/1000</f>
        <v>4.5097999999999999E-2</v>
      </c>
      <c r="I17" s="1">
        <f>[1]COMCOA!E26/1000</f>
        <v>5.1790999999999997E-2</v>
      </c>
      <c r="J17" s="1">
        <v>1</v>
      </c>
      <c r="L17" s="1" t="s">
        <v>15</v>
      </c>
      <c r="M17" s="1" t="s">
        <v>94</v>
      </c>
      <c r="N17" s="1" t="s">
        <v>2</v>
      </c>
      <c r="O17" s="1" t="s">
        <v>40</v>
      </c>
      <c r="P17" s="1">
        <f t="shared" si="0"/>
        <v>0.87365040000000005</v>
      </c>
      <c r="Q17" s="1">
        <f t="shared" si="0"/>
        <v>0.25774979999999997</v>
      </c>
      <c r="R17" s="1">
        <f t="shared" si="0"/>
        <v>4.4196039999999999E-2</v>
      </c>
      <c r="S17" s="1">
        <f t="shared" si="0"/>
        <v>5.0755179999999997E-2</v>
      </c>
      <c r="T17" s="33">
        <v>0</v>
      </c>
      <c r="U17" s="1">
        <v>1</v>
      </c>
      <c r="W17" s="1" t="s">
        <v>15</v>
      </c>
      <c r="X17" s="1" t="s">
        <v>94</v>
      </c>
      <c r="Y17" s="1" t="s">
        <v>2</v>
      </c>
      <c r="Z17" s="1" t="s">
        <v>39</v>
      </c>
      <c r="AA17" s="1">
        <f t="shared" si="1"/>
        <v>0.90930960000000005</v>
      </c>
      <c r="AB17" s="1">
        <f t="shared" si="1"/>
        <v>0.26827019999999996</v>
      </c>
      <c r="AC17" s="1">
        <f t="shared" si="1"/>
        <v>4.5999959999999999E-2</v>
      </c>
      <c r="AD17" s="1">
        <f t="shared" si="1"/>
        <v>5.2826819999999997E-2</v>
      </c>
      <c r="AE17" s="28">
        <f>SUM($I$17,$I$45,$I$73,$I$101,$I$129,$I$157,$I$185,$I$213,$I$241,$I$269)</f>
        <v>22.533501999999999</v>
      </c>
      <c r="AF17" s="1">
        <v>1</v>
      </c>
    </row>
    <row r="18" spans="2:32" ht="15.75" customHeight="1" x14ac:dyDescent="0.25">
      <c r="B18" s="1" t="s">
        <v>16</v>
      </c>
      <c r="C18" s="1" t="s">
        <v>94</v>
      </c>
      <c r="D18" s="1" t="s">
        <v>2</v>
      </c>
      <c r="E18" s="1"/>
      <c r="F18" s="1">
        <f>[1]COMCOA!B27/1000</f>
        <v>1.8096300000000001</v>
      </c>
      <c r="G18" s="1">
        <f>[1]COMCOA!C27/1000</f>
        <v>1.08016</v>
      </c>
      <c r="H18" s="1">
        <f>[1]COMCOA!D27/1000</f>
        <v>0.79079699999999997</v>
      </c>
      <c r="I18" s="1">
        <f>[1]COMCOA!E27/1000</f>
        <v>0.51141199999999998</v>
      </c>
      <c r="J18" s="1">
        <v>1</v>
      </c>
      <c r="L18" s="1" t="s">
        <v>16</v>
      </c>
      <c r="M18" s="1" t="s">
        <v>94</v>
      </c>
      <c r="N18" s="1" t="s">
        <v>2</v>
      </c>
      <c r="O18" s="1" t="s">
        <v>40</v>
      </c>
      <c r="P18" s="1">
        <f t="shared" si="0"/>
        <v>1.7734373999999999</v>
      </c>
      <c r="Q18" s="1">
        <f t="shared" si="0"/>
        <v>1.0585568000000001</v>
      </c>
      <c r="R18" s="1">
        <f t="shared" si="0"/>
        <v>0.77498106</v>
      </c>
      <c r="S18" s="1">
        <f t="shared" si="0"/>
        <v>0.50118375999999998</v>
      </c>
      <c r="T18" s="33">
        <v>0</v>
      </c>
      <c r="U18" s="1">
        <v>1</v>
      </c>
      <c r="W18" s="1" t="s">
        <v>16</v>
      </c>
      <c r="X18" s="1" t="s">
        <v>94</v>
      </c>
      <c r="Y18" s="1" t="s">
        <v>2</v>
      </c>
      <c r="Z18" s="1" t="s">
        <v>39</v>
      </c>
      <c r="AA18" s="1">
        <f t="shared" si="1"/>
        <v>1.8458226000000002</v>
      </c>
      <c r="AB18" s="1">
        <f t="shared" si="1"/>
        <v>1.1017631999999999</v>
      </c>
      <c r="AC18" s="1">
        <f t="shared" si="1"/>
        <v>0.80661293999999994</v>
      </c>
      <c r="AD18" s="1">
        <f t="shared" si="1"/>
        <v>0.52164023999999998</v>
      </c>
      <c r="AE18" s="28">
        <f>SUM($I$18,$I$46,$I$74,$I$102,$I$130,$I$158,$I$186,$I$214,$I$242,$I$270)</f>
        <v>25.619449000000003</v>
      </c>
      <c r="AF18" s="1">
        <v>1</v>
      </c>
    </row>
    <row r="19" spans="2:32" x14ac:dyDescent="0.25">
      <c r="B19" s="1" t="s">
        <v>17</v>
      </c>
      <c r="C19" s="1" t="s">
        <v>94</v>
      </c>
      <c r="D19" s="1" t="s">
        <v>2</v>
      </c>
      <c r="E19" s="1"/>
      <c r="F19" s="1">
        <f>[1]COMCOA!B28/1000</f>
        <v>0</v>
      </c>
      <c r="G19" s="1">
        <f>[1]COMCOA!C28/1000</f>
        <v>0</v>
      </c>
      <c r="H19" s="1">
        <f>[1]COMCOA!D28/1000</f>
        <v>0</v>
      </c>
      <c r="I19" s="1">
        <f>[1]COMCOA!E28/1000</f>
        <v>0</v>
      </c>
      <c r="J19" s="1">
        <v>1</v>
      </c>
      <c r="L19" s="1" t="s">
        <v>17</v>
      </c>
      <c r="M19" s="1" t="s">
        <v>94</v>
      </c>
      <c r="N19" s="1" t="s">
        <v>2</v>
      </c>
      <c r="O19" s="1" t="s">
        <v>40</v>
      </c>
      <c r="P19" s="1">
        <f t="shared" si="0"/>
        <v>0</v>
      </c>
      <c r="Q19" s="1">
        <f t="shared" si="0"/>
        <v>0</v>
      </c>
      <c r="R19" s="1">
        <f t="shared" si="0"/>
        <v>0</v>
      </c>
      <c r="S19" s="1">
        <f t="shared" si="0"/>
        <v>0</v>
      </c>
      <c r="T19" s="33">
        <v>0</v>
      </c>
      <c r="U19" s="1">
        <v>1</v>
      </c>
      <c r="W19" s="1" t="s">
        <v>17</v>
      </c>
      <c r="X19" s="1" t="s">
        <v>94</v>
      </c>
      <c r="Y19" s="1" t="s">
        <v>2</v>
      </c>
      <c r="Z19" s="1" t="s">
        <v>39</v>
      </c>
      <c r="AA19" s="1">
        <f t="shared" si="1"/>
        <v>0</v>
      </c>
      <c r="AB19" s="1">
        <f t="shared" si="1"/>
        <v>0</v>
      </c>
      <c r="AC19" s="1">
        <f t="shared" si="1"/>
        <v>0</v>
      </c>
      <c r="AD19" s="1">
        <f t="shared" si="1"/>
        <v>0</v>
      </c>
      <c r="AE19" s="28">
        <f>SUM($I$19,$I$47,$I$75,$I$103,$I$131,$I$159,$I$187,$I$215,$I$243,$I$271)</f>
        <v>18.465619999999998</v>
      </c>
      <c r="AF19" s="1">
        <v>1</v>
      </c>
    </row>
    <row r="20" spans="2:32" x14ac:dyDescent="0.25">
      <c r="B20" s="1" t="s">
        <v>18</v>
      </c>
      <c r="C20" s="1" t="s">
        <v>94</v>
      </c>
      <c r="D20" s="1" t="s">
        <v>2</v>
      </c>
      <c r="E20" s="1"/>
      <c r="F20" s="1">
        <f>[1]COMCOA!B29/1000</f>
        <v>0.11445999999999999</v>
      </c>
      <c r="G20" s="1">
        <f>[1]COMCOA!C29/1000</f>
        <v>0.122518</v>
      </c>
      <c r="H20" s="1">
        <f>[1]COMCOA!D29/1000</f>
        <v>5.0244999999999998E-2</v>
      </c>
      <c r="I20" s="1">
        <f>[1]COMCOA!E29/1000</f>
        <v>2.3244000000000001E-2</v>
      </c>
      <c r="J20" s="1">
        <v>1</v>
      </c>
      <c r="L20" s="1" t="s">
        <v>18</v>
      </c>
      <c r="M20" s="1" t="s">
        <v>94</v>
      </c>
      <c r="N20" s="1" t="s">
        <v>2</v>
      </c>
      <c r="O20" s="1" t="s">
        <v>40</v>
      </c>
      <c r="P20" s="1">
        <f t="shared" ref="P20:S35" si="2">IF(ISBLANK(F20),":",0.98*F20)</f>
        <v>0.11217079999999999</v>
      </c>
      <c r="Q20" s="1">
        <f t="shared" si="2"/>
        <v>0.12006764</v>
      </c>
      <c r="R20" s="1">
        <f t="shared" si="2"/>
        <v>4.9240099999999995E-2</v>
      </c>
      <c r="S20" s="1">
        <f t="shared" si="2"/>
        <v>2.277912E-2</v>
      </c>
      <c r="T20" s="33">
        <v>0</v>
      </c>
      <c r="U20" s="1">
        <v>1</v>
      </c>
      <c r="W20" s="1" t="s">
        <v>18</v>
      </c>
      <c r="X20" s="1" t="s">
        <v>94</v>
      </c>
      <c r="Y20" s="1" t="s">
        <v>2</v>
      </c>
      <c r="Z20" s="1" t="s">
        <v>39</v>
      </c>
      <c r="AA20" s="1">
        <f t="shared" si="1"/>
        <v>0.1167492</v>
      </c>
      <c r="AB20" s="1">
        <f t="shared" si="1"/>
        <v>0.12496836</v>
      </c>
      <c r="AC20" s="1">
        <f t="shared" si="1"/>
        <v>5.1249900000000001E-2</v>
      </c>
      <c r="AD20" s="1">
        <f t="shared" si="1"/>
        <v>2.3708880000000002E-2</v>
      </c>
      <c r="AE20" s="28">
        <f>SUM($I$20,$I$48,$I$76,$I$104,$I$132,$I$160,$I$188,$I$216,$I$244,$I$272)</f>
        <v>68.587658000000005</v>
      </c>
      <c r="AF20" s="1">
        <v>1</v>
      </c>
    </row>
    <row r="21" spans="2:32" x14ac:dyDescent="0.25">
      <c r="B21" s="1" t="s">
        <v>20</v>
      </c>
      <c r="C21" s="1" t="s">
        <v>94</v>
      </c>
      <c r="D21" s="1" t="s">
        <v>2</v>
      </c>
      <c r="E21" s="1"/>
      <c r="F21" s="1">
        <f>[1]COMCOA!B30/1000</f>
        <v>0.16</v>
      </c>
      <c r="G21" s="1">
        <f>[1]COMCOA!C30/1000</f>
        <v>0.19961999999999999</v>
      </c>
      <c r="H21" s="1">
        <f>[1]COMCOA!D30/1000</f>
        <v>0.18202000000000002</v>
      </c>
      <c r="I21" s="1">
        <f>[1]COMCOA!E30/1000</f>
        <v>0.31281999999999999</v>
      </c>
      <c r="J21" s="1">
        <v>1</v>
      </c>
      <c r="L21" s="1" t="s">
        <v>20</v>
      </c>
      <c r="M21" s="1" t="s">
        <v>94</v>
      </c>
      <c r="N21" s="1" t="s">
        <v>2</v>
      </c>
      <c r="O21" s="1" t="s">
        <v>40</v>
      </c>
      <c r="P21" s="1">
        <f t="shared" si="2"/>
        <v>0.15679999999999999</v>
      </c>
      <c r="Q21" s="1">
        <f t="shared" si="2"/>
        <v>0.19562759999999998</v>
      </c>
      <c r="R21" s="1">
        <f t="shared" si="2"/>
        <v>0.1783796</v>
      </c>
      <c r="S21" s="1">
        <f t="shared" si="2"/>
        <v>0.30656359999999999</v>
      </c>
      <c r="T21" s="33">
        <v>0</v>
      </c>
      <c r="U21" s="1">
        <v>1</v>
      </c>
      <c r="W21" s="1" t="s">
        <v>20</v>
      </c>
      <c r="X21" s="1" t="s">
        <v>94</v>
      </c>
      <c r="Y21" s="1" t="s">
        <v>2</v>
      </c>
      <c r="Z21" s="1" t="s">
        <v>39</v>
      </c>
      <c r="AA21" s="1">
        <f t="shared" si="1"/>
        <v>0.16320000000000001</v>
      </c>
      <c r="AB21" s="1">
        <f t="shared" si="1"/>
        <v>0.2036124</v>
      </c>
      <c r="AC21" s="1">
        <f t="shared" si="1"/>
        <v>0.18566040000000003</v>
      </c>
      <c r="AD21" s="1">
        <f t="shared" si="1"/>
        <v>0.31907639999999998</v>
      </c>
      <c r="AE21" s="28">
        <f>SUM($I$21,$I$49,$I$77,$I$105,$I$133,$I$161,$I$189,$I$217,$I$245,$I$273)</f>
        <v>254.70966400000003</v>
      </c>
      <c r="AF21" s="1">
        <v>1</v>
      </c>
    </row>
    <row r="22" spans="2:32" x14ac:dyDescent="0.25">
      <c r="B22" s="1" t="s">
        <v>21</v>
      </c>
      <c r="C22" s="1" t="s">
        <v>94</v>
      </c>
      <c r="D22" s="1" t="s">
        <v>2</v>
      </c>
      <c r="E22" s="1"/>
      <c r="F22" s="1">
        <f>[1]COMCOA!B31/1000</f>
        <v>0.21233600000000002</v>
      </c>
      <c r="G22" s="1">
        <f>[1]COMCOA!C31/1000</f>
        <v>5.7699999999999993E-4</v>
      </c>
      <c r="H22" s="1">
        <f>[1]COMCOA!D31/1000</f>
        <v>0</v>
      </c>
      <c r="I22" s="1">
        <f>[1]COMCOA!E31/1000</f>
        <v>0</v>
      </c>
      <c r="J22" s="1">
        <v>1</v>
      </c>
      <c r="L22" s="1" t="s">
        <v>21</v>
      </c>
      <c r="M22" s="1" t="s">
        <v>94</v>
      </c>
      <c r="N22" s="1" t="s">
        <v>2</v>
      </c>
      <c r="O22" s="1" t="s">
        <v>40</v>
      </c>
      <c r="P22" s="1">
        <f t="shared" si="2"/>
        <v>0.20808928000000002</v>
      </c>
      <c r="Q22" s="1">
        <f t="shared" si="2"/>
        <v>5.6545999999999994E-4</v>
      </c>
      <c r="R22" s="1">
        <f t="shared" si="2"/>
        <v>0</v>
      </c>
      <c r="S22" s="1">
        <f t="shared" si="2"/>
        <v>0</v>
      </c>
      <c r="T22" s="33">
        <v>0</v>
      </c>
      <c r="U22" s="1">
        <v>1</v>
      </c>
      <c r="W22" s="1" t="s">
        <v>21</v>
      </c>
      <c r="X22" s="1" t="s">
        <v>94</v>
      </c>
      <c r="Y22" s="1" t="s">
        <v>2</v>
      </c>
      <c r="Z22" s="1" t="s">
        <v>39</v>
      </c>
      <c r="AA22" s="1">
        <f t="shared" si="1"/>
        <v>0.21658272000000003</v>
      </c>
      <c r="AB22" s="1">
        <f t="shared" si="1"/>
        <v>5.8853999999999992E-4</v>
      </c>
      <c r="AC22" s="1">
        <f t="shared" si="1"/>
        <v>0</v>
      </c>
      <c r="AD22" s="1">
        <f t="shared" si="1"/>
        <v>0</v>
      </c>
      <c r="AE22" s="28">
        <f>SUM($I$22,$I$50,$I$78,$I$106,$I$134,$I$162,$I$190,$I$218,$I$246,$I$274)</f>
        <v>101.032432</v>
      </c>
      <c r="AF22" s="1">
        <v>1</v>
      </c>
    </row>
    <row r="23" spans="2:32" x14ac:dyDescent="0.25">
      <c r="B23" s="1" t="s">
        <v>22</v>
      </c>
      <c r="C23" s="1" t="s">
        <v>94</v>
      </c>
      <c r="D23" s="1" t="s">
        <v>2</v>
      </c>
      <c r="E23" s="1"/>
      <c r="F23" s="1">
        <f>[1]COMCOA!B32/1000</f>
        <v>38.047440000000002</v>
      </c>
      <c r="G23" s="1">
        <f>[1]COMCOA!C32/1000</f>
        <v>27.079622000000001</v>
      </c>
      <c r="H23" s="1">
        <f>[1]COMCOA!D32/1000</f>
        <v>21.268815999999998</v>
      </c>
      <c r="I23" s="1">
        <f>[1]COMCOA!E32/1000</f>
        <v>10.722726</v>
      </c>
      <c r="J23" s="1">
        <v>1</v>
      </c>
      <c r="L23" s="1" t="s">
        <v>22</v>
      </c>
      <c r="M23" s="1" t="s">
        <v>94</v>
      </c>
      <c r="N23" s="1" t="s">
        <v>2</v>
      </c>
      <c r="O23" s="1" t="s">
        <v>40</v>
      </c>
      <c r="P23" s="1">
        <f t="shared" si="2"/>
        <v>37.2864912</v>
      </c>
      <c r="Q23" s="1">
        <f t="shared" si="2"/>
        <v>26.538029560000002</v>
      </c>
      <c r="R23" s="1">
        <f t="shared" si="2"/>
        <v>20.843439679999996</v>
      </c>
      <c r="S23" s="1">
        <f t="shared" si="2"/>
        <v>10.508271479999999</v>
      </c>
      <c r="T23" s="33">
        <v>0</v>
      </c>
      <c r="U23" s="1">
        <v>1</v>
      </c>
      <c r="W23" s="1" t="s">
        <v>22</v>
      </c>
      <c r="X23" s="1" t="s">
        <v>94</v>
      </c>
      <c r="Y23" s="1" t="s">
        <v>2</v>
      </c>
      <c r="Z23" s="1" t="s">
        <v>39</v>
      </c>
      <c r="AA23" s="1">
        <f t="shared" si="1"/>
        <v>38.808388800000003</v>
      </c>
      <c r="AB23" s="1">
        <f t="shared" si="1"/>
        <v>27.621214439999999</v>
      </c>
      <c r="AC23" s="1">
        <f t="shared" si="1"/>
        <v>21.694192319999999</v>
      </c>
      <c r="AD23" s="1">
        <f t="shared" si="1"/>
        <v>10.93718052</v>
      </c>
      <c r="AE23" s="28">
        <f>SUM($I$23,$I$51,$I$79,$I$107,$I$135,$I$163,$I$191,$I$219,$I$247,$I$275)</f>
        <v>338.02420999999998</v>
      </c>
      <c r="AF23" s="1">
        <v>1</v>
      </c>
    </row>
    <row r="24" spans="2:32" x14ac:dyDescent="0.25">
      <c r="B24" s="1" t="s">
        <v>23</v>
      </c>
      <c r="C24" s="1" t="s">
        <v>94</v>
      </c>
      <c r="D24" s="1" t="s">
        <v>2</v>
      </c>
      <c r="E24" s="1"/>
      <c r="F24" s="1">
        <f>[1]COMCOA!B33/1000</f>
        <v>0</v>
      </c>
      <c r="G24" s="1">
        <f>[1]COMCOA!C33/1000</f>
        <v>0</v>
      </c>
      <c r="H24" s="1">
        <f>[1]COMCOA!D33/1000</f>
        <v>0</v>
      </c>
      <c r="I24" s="1">
        <f>[1]COMCOA!E33/1000</f>
        <v>0</v>
      </c>
      <c r="J24" s="1">
        <v>1</v>
      </c>
      <c r="L24" s="1" t="s">
        <v>23</v>
      </c>
      <c r="M24" s="1" t="s">
        <v>94</v>
      </c>
      <c r="N24" s="1" t="s">
        <v>2</v>
      </c>
      <c r="O24" s="1" t="s">
        <v>40</v>
      </c>
      <c r="P24" s="1">
        <f t="shared" si="2"/>
        <v>0</v>
      </c>
      <c r="Q24" s="1">
        <f t="shared" si="2"/>
        <v>0</v>
      </c>
      <c r="R24" s="1">
        <f t="shared" si="2"/>
        <v>0</v>
      </c>
      <c r="S24" s="1">
        <f t="shared" si="2"/>
        <v>0</v>
      </c>
      <c r="T24" s="33">
        <v>0</v>
      </c>
      <c r="U24" s="1">
        <v>1</v>
      </c>
      <c r="W24" s="1" t="s">
        <v>23</v>
      </c>
      <c r="X24" s="1" t="s">
        <v>94</v>
      </c>
      <c r="Y24" s="1" t="s">
        <v>2</v>
      </c>
      <c r="Z24" s="1" t="s">
        <v>39</v>
      </c>
      <c r="AA24" s="1">
        <f t="shared" si="1"/>
        <v>0</v>
      </c>
      <c r="AB24" s="1">
        <f t="shared" si="1"/>
        <v>0</v>
      </c>
      <c r="AC24" s="1">
        <f t="shared" si="1"/>
        <v>0</v>
      </c>
      <c r="AD24" s="1">
        <f t="shared" si="1"/>
        <v>0</v>
      </c>
      <c r="AE24" s="28">
        <f>SUM($I$24,$I$52,$I$80,$I$108,$I$136,$I$164,$I$192,$I$220,$I$248,$I$276)</f>
        <v>100.75319400000001</v>
      </c>
      <c r="AF24" s="1">
        <v>1</v>
      </c>
    </row>
    <row r="25" spans="2:32" x14ac:dyDescent="0.25">
      <c r="B25" s="1" t="s">
        <v>24</v>
      </c>
      <c r="C25" s="1" t="s">
        <v>94</v>
      </c>
      <c r="D25" s="1" t="s">
        <v>2</v>
      </c>
      <c r="E25" s="1"/>
      <c r="F25" s="1">
        <f>[1]COMCOA!B34/1000</f>
        <v>2.3147999999999998E-2</v>
      </c>
      <c r="G25" s="1">
        <f>[1]COMCOA!C34/1000</f>
        <v>1.8556E-2</v>
      </c>
      <c r="H25" s="1">
        <f>[1]COMCOA!D34/1000</f>
        <v>3.2829999999999999E-3</v>
      </c>
      <c r="I25" s="1">
        <f>[1]COMCOA!E34/1000</f>
        <v>2.5110000000000002E-3</v>
      </c>
      <c r="J25" s="1">
        <v>1</v>
      </c>
      <c r="L25" s="1" t="s">
        <v>24</v>
      </c>
      <c r="M25" s="1" t="s">
        <v>94</v>
      </c>
      <c r="N25" s="1" t="s">
        <v>2</v>
      </c>
      <c r="O25" s="1" t="s">
        <v>40</v>
      </c>
      <c r="P25" s="1">
        <f>IF(ISBLANK(F25),":",0.98*F25)</f>
        <v>2.2685039999999997E-2</v>
      </c>
      <c r="Q25" s="1">
        <f t="shared" si="2"/>
        <v>1.818488E-2</v>
      </c>
      <c r="R25" s="1">
        <f t="shared" si="2"/>
        <v>3.21734E-3</v>
      </c>
      <c r="S25" s="1">
        <f t="shared" si="2"/>
        <v>2.4607800000000001E-3</v>
      </c>
      <c r="T25" s="33">
        <v>0</v>
      </c>
      <c r="U25" s="1">
        <v>1</v>
      </c>
      <c r="W25" s="1" t="s">
        <v>24</v>
      </c>
      <c r="X25" s="1" t="s">
        <v>94</v>
      </c>
      <c r="Y25" s="1" t="s">
        <v>2</v>
      </c>
      <c r="Z25" s="1" t="s">
        <v>39</v>
      </c>
      <c r="AA25" s="1">
        <f t="shared" si="1"/>
        <v>2.361096E-2</v>
      </c>
      <c r="AB25" s="1">
        <f t="shared" si="1"/>
        <v>1.8927119999999999E-2</v>
      </c>
      <c r="AC25" s="1">
        <f t="shared" si="1"/>
        <v>3.3486599999999998E-3</v>
      </c>
      <c r="AD25" s="1">
        <f t="shared" si="1"/>
        <v>2.5612200000000003E-3</v>
      </c>
      <c r="AE25" s="28">
        <f>SUM($I$25,$I$53,$I$81,$I$109,$I$137,$I$165,$I$193,$I$221,$I$249,$I$277)</f>
        <v>85.709021000000007</v>
      </c>
      <c r="AF25" s="1">
        <v>1</v>
      </c>
    </row>
    <row r="26" spans="2:32" x14ac:dyDescent="0.25">
      <c r="B26" s="1" t="s">
        <v>25</v>
      </c>
      <c r="C26" s="1" t="s">
        <v>94</v>
      </c>
      <c r="D26" s="1" t="s">
        <v>2</v>
      </c>
      <c r="E26" s="1"/>
      <c r="F26" s="1">
        <f>[1]COMCOA!B35/1000</f>
        <v>0</v>
      </c>
      <c r="G26" s="1">
        <f>[1]COMCOA!C35/1000</f>
        <v>0</v>
      </c>
      <c r="H26" s="1">
        <f>[1]COMCOA!D35/1000</f>
        <v>0</v>
      </c>
      <c r="I26" s="1">
        <f>[1]COMCOA!E35/1000</f>
        <v>0</v>
      </c>
      <c r="J26" s="1">
        <v>1</v>
      </c>
      <c r="L26" s="1" t="s">
        <v>25</v>
      </c>
      <c r="M26" s="1" t="s">
        <v>94</v>
      </c>
      <c r="N26" s="1" t="s">
        <v>2</v>
      </c>
      <c r="O26" s="1" t="s">
        <v>40</v>
      </c>
      <c r="P26" s="1">
        <f t="shared" ref="P26:S46" si="3">IF(ISBLANK(F26),":",0.98*F26)</f>
        <v>0</v>
      </c>
      <c r="Q26" s="1">
        <f t="shared" si="2"/>
        <v>0</v>
      </c>
      <c r="R26" s="1">
        <f t="shared" si="2"/>
        <v>0</v>
      </c>
      <c r="S26" s="1">
        <f t="shared" si="2"/>
        <v>0</v>
      </c>
      <c r="T26" s="33">
        <v>0</v>
      </c>
      <c r="U26" s="1">
        <v>1</v>
      </c>
      <c r="W26" s="1" t="s">
        <v>25</v>
      </c>
      <c r="X26" s="1" t="s">
        <v>94</v>
      </c>
      <c r="Y26" s="1" t="s">
        <v>2</v>
      </c>
      <c r="Z26" s="1" t="s">
        <v>39</v>
      </c>
      <c r="AA26" s="1">
        <f t="shared" si="1"/>
        <v>0</v>
      </c>
      <c r="AB26" s="1">
        <f t="shared" si="1"/>
        <v>0</v>
      </c>
      <c r="AC26" s="1">
        <f t="shared" si="1"/>
        <v>0</v>
      </c>
      <c r="AD26" s="1">
        <f t="shared" si="1"/>
        <v>0</v>
      </c>
      <c r="AE26" s="28">
        <f>SUM($I$26,$I$54,$I$82,$I$110,$I$138,$I$166,$I$194,$I$222,$I$250,$I$278)</f>
        <v>18.304008</v>
      </c>
      <c r="AF26" s="1">
        <v>1</v>
      </c>
    </row>
    <row r="27" spans="2:32" x14ac:dyDescent="0.25">
      <c r="B27" s="1" t="s">
        <v>26</v>
      </c>
      <c r="C27" s="1" t="s">
        <v>94</v>
      </c>
      <c r="D27" s="1" t="s">
        <v>2</v>
      </c>
      <c r="E27" s="1"/>
      <c r="F27" s="1">
        <f>[1]COMCOA!B36/1000</f>
        <v>11.707984</v>
      </c>
      <c r="G27" s="1">
        <f>[1]COMCOA!C36/1000</f>
        <v>4.5625919999999995</v>
      </c>
      <c r="H27" s="1">
        <f>[1]COMCOA!D36/1000</f>
        <v>1.9819449999999998</v>
      </c>
      <c r="I27" s="1">
        <f>[1]COMCOA!E36/1000</f>
        <v>1.4550650000000001</v>
      </c>
      <c r="J27" s="1">
        <v>1</v>
      </c>
      <c r="L27" s="1" t="s">
        <v>26</v>
      </c>
      <c r="M27" s="1" t="s">
        <v>94</v>
      </c>
      <c r="N27" s="1" t="s">
        <v>2</v>
      </c>
      <c r="O27" s="1" t="s">
        <v>40</v>
      </c>
      <c r="P27" s="1">
        <f t="shared" si="3"/>
        <v>11.47382432</v>
      </c>
      <c r="Q27" s="1">
        <f t="shared" si="2"/>
        <v>4.4713401599999996</v>
      </c>
      <c r="R27" s="1">
        <f t="shared" si="2"/>
        <v>1.9423060999999999</v>
      </c>
      <c r="S27" s="1">
        <f t="shared" si="2"/>
        <v>1.4259637000000001</v>
      </c>
      <c r="T27" s="33">
        <v>0</v>
      </c>
      <c r="U27" s="1">
        <v>1</v>
      </c>
      <c r="W27" s="1" t="s">
        <v>26</v>
      </c>
      <c r="X27" s="1" t="s">
        <v>94</v>
      </c>
      <c r="Y27" s="1" t="s">
        <v>2</v>
      </c>
      <c r="Z27" s="1" t="s">
        <v>39</v>
      </c>
      <c r="AA27" s="1">
        <f t="shared" si="1"/>
        <v>11.942143679999999</v>
      </c>
      <c r="AB27" s="1">
        <f t="shared" si="1"/>
        <v>4.6538438399999995</v>
      </c>
      <c r="AC27" s="1">
        <f t="shared" si="1"/>
        <v>2.0215839</v>
      </c>
      <c r="AD27" s="1">
        <f t="shared" si="1"/>
        <v>1.4841663</v>
      </c>
      <c r="AE27" s="28">
        <f>SUM($I$27,$I$55,$I$83,$I$111,$I$139,$I$167,$I$195,$I$223,$I$251,$I$279)</f>
        <v>46.794905</v>
      </c>
      <c r="AF27" s="1">
        <v>1</v>
      </c>
    </row>
    <row r="28" spans="2:32" x14ac:dyDescent="0.25">
      <c r="B28" s="1" t="s">
        <v>27</v>
      </c>
      <c r="C28" s="1" t="s">
        <v>94</v>
      </c>
      <c r="D28" s="1" t="s">
        <v>2</v>
      </c>
      <c r="E28" s="1"/>
      <c r="F28" s="1"/>
      <c r="G28" s="1"/>
      <c r="H28" s="1"/>
      <c r="I28" s="1"/>
      <c r="J28" s="1">
        <v>1</v>
      </c>
      <c r="L28" s="1" t="s">
        <v>27</v>
      </c>
      <c r="M28" s="1" t="s">
        <v>94</v>
      </c>
      <c r="N28" s="1" t="s">
        <v>2</v>
      </c>
      <c r="O28" s="1" t="s">
        <v>40</v>
      </c>
      <c r="P28" s="1" t="str">
        <f t="shared" si="3"/>
        <v>:</v>
      </c>
      <c r="Q28" s="1" t="str">
        <f t="shared" si="2"/>
        <v>:</v>
      </c>
      <c r="R28" s="1" t="str">
        <f t="shared" si="2"/>
        <v>:</v>
      </c>
      <c r="S28" s="1" t="str">
        <f t="shared" si="2"/>
        <v>:</v>
      </c>
      <c r="T28" s="33">
        <v>0</v>
      </c>
      <c r="U28" s="1">
        <v>1</v>
      </c>
      <c r="W28" s="1" t="s">
        <v>27</v>
      </c>
      <c r="X28" s="1" t="s">
        <v>94</v>
      </c>
      <c r="Y28" s="1" t="s">
        <v>2</v>
      </c>
      <c r="Z28" s="1" t="s">
        <v>39</v>
      </c>
      <c r="AA28" s="1" t="str">
        <f t="shared" si="1"/>
        <v>:</v>
      </c>
      <c r="AB28" s="1" t="str">
        <f t="shared" si="1"/>
        <v>:</v>
      </c>
      <c r="AC28" s="1" t="str">
        <f t="shared" si="1"/>
        <v>:</v>
      </c>
      <c r="AD28" s="1" t="str">
        <f t="shared" si="1"/>
        <v>:</v>
      </c>
      <c r="AE28" s="28">
        <f>SUM($I$28,$I$56,$I$84,$I$112,$I$140,$I$168,$I$196,$I$224,$I$252,$I$280)</f>
        <v>121.343903</v>
      </c>
      <c r="AF28" s="1">
        <v>1</v>
      </c>
    </row>
    <row r="29" spans="2:32" x14ac:dyDescent="0.25">
      <c r="B29" s="1" t="s">
        <v>28</v>
      </c>
      <c r="C29" s="1" t="s">
        <v>94</v>
      </c>
      <c r="D29" s="1" t="s">
        <v>2</v>
      </c>
      <c r="E29" s="1"/>
      <c r="F29" s="1"/>
      <c r="G29" s="1"/>
      <c r="H29" s="1"/>
      <c r="I29" s="1"/>
      <c r="J29" s="1">
        <v>1</v>
      </c>
      <c r="L29" s="1" t="s">
        <v>28</v>
      </c>
      <c r="M29" s="1" t="s">
        <v>94</v>
      </c>
      <c r="N29" s="1" t="s">
        <v>2</v>
      </c>
      <c r="O29" s="1" t="s">
        <v>40</v>
      </c>
      <c r="P29" s="1" t="str">
        <f t="shared" si="3"/>
        <v>:</v>
      </c>
      <c r="Q29" s="1" t="str">
        <f t="shared" si="2"/>
        <v>:</v>
      </c>
      <c r="R29" s="1" t="str">
        <f t="shared" si="2"/>
        <v>:</v>
      </c>
      <c r="S29" s="1" t="str">
        <f t="shared" si="2"/>
        <v>:</v>
      </c>
      <c r="T29" s="33">
        <v>0</v>
      </c>
      <c r="U29" s="1">
        <v>1</v>
      </c>
      <c r="W29" s="1" t="s">
        <v>28</v>
      </c>
      <c r="X29" s="1" t="s">
        <v>94</v>
      </c>
      <c r="Y29" s="1" t="s">
        <v>2</v>
      </c>
      <c r="Z29" s="1" t="s">
        <v>39</v>
      </c>
      <c r="AA29" s="1" t="str">
        <f t="shared" si="1"/>
        <v>:</v>
      </c>
      <c r="AB29" s="1" t="str">
        <f t="shared" si="1"/>
        <v>:</v>
      </c>
      <c r="AC29" s="1" t="str">
        <f t="shared" si="1"/>
        <v>:</v>
      </c>
      <c r="AD29" s="1" t="str">
        <f t="shared" si="1"/>
        <v>:</v>
      </c>
      <c r="AE29" s="28">
        <f>SUM($I$29,$I$57,$I$85,$I$113,$I$141,$I$169,$I$197,$I$225,$I$253,$I$281)</f>
        <v>174.41146799999999</v>
      </c>
      <c r="AF29" s="1">
        <v>1</v>
      </c>
    </row>
    <row r="30" spans="2:32" x14ac:dyDescent="0.25">
      <c r="B30" s="1" t="s">
        <v>29</v>
      </c>
      <c r="C30" s="1" t="s">
        <v>94</v>
      </c>
      <c r="D30" s="1" t="s">
        <v>2</v>
      </c>
      <c r="E30" s="1"/>
      <c r="F30" s="1">
        <f>[1]COMCOA!B39/1000</f>
        <v>0</v>
      </c>
      <c r="G30" s="1">
        <f>[1]COMCOA!C39/1000</f>
        <v>0</v>
      </c>
      <c r="H30" s="1">
        <f>[1]COMCOA!D39/1000</f>
        <v>3.934E-3</v>
      </c>
      <c r="I30" s="1">
        <f>[1]COMCOA!E39/1000</f>
        <v>3.934E-3</v>
      </c>
      <c r="J30" s="1">
        <v>1</v>
      </c>
      <c r="L30" s="1" t="s">
        <v>29</v>
      </c>
      <c r="M30" s="1" t="s">
        <v>94</v>
      </c>
      <c r="N30" s="1" t="s">
        <v>2</v>
      </c>
      <c r="O30" s="1" t="s">
        <v>40</v>
      </c>
      <c r="P30" s="1">
        <f t="shared" si="3"/>
        <v>0</v>
      </c>
      <c r="Q30" s="1">
        <f t="shared" si="2"/>
        <v>0</v>
      </c>
      <c r="R30" s="1">
        <f t="shared" si="2"/>
        <v>3.8553199999999998E-3</v>
      </c>
      <c r="S30" s="1">
        <f t="shared" si="2"/>
        <v>3.8553199999999998E-3</v>
      </c>
      <c r="T30" s="33">
        <v>0</v>
      </c>
      <c r="U30" s="1">
        <v>1</v>
      </c>
      <c r="W30" s="1" t="s">
        <v>29</v>
      </c>
      <c r="X30" s="1" t="s">
        <v>94</v>
      </c>
      <c r="Y30" s="1" t="s">
        <v>2</v>
      </c>
      <c r="Z30" s="1" t="s">
        <v>39</v>
      </c>
      <c r="AA30" s="1">
        <f t="shared" si="1"/>
        <v>0</v>
      </c>
      <c r="AB30" s="1">
        <f t="shared" si="1"/>
        <v>0</v>
      </c>
      <c r="AC30" s="1">
        <f t="shared" si="1"/>
        <v>4.0126800000000002E-3</v>
      </c>
      <c r="AD30" s="1">
        <f t="shared" si="1"/>
        <v>4.0126800000000002E-3</v>
      </c>
      <c r="AE30" s="28">
        <f>SUM($I$30,$I$58,$I$86,$I$114,$I$142,$I$170,$I$198,$I$226,$I$254,$I$282)</f>
        <v>131.14785900000001</v>
      </c>
      <c r="AF30" s="1">
        <v>1</v>
      </c>
    </row>
    <row r="31" spans="2:32" x14ac:dyDescent="0.25">
      <c r="B31" s="1" t="s">
        <v>30</v>
      </c>
      <c r="C31" s="1" t="s">
        <v>94</v>
      </c>
      <c r="D31" s="1" t="s">
        <v>2</v>
      </c>
      <c r="E31" s="1"/>
      <c r="F31" s="1">
        <f>[1]COMCOA!B40/1000</f>
        <v>0.94678399999999996</v>
      </c>
      <c r="G31" s="1">
        <f>[1]COMCOA!C40/1000</f>
        <v>0.92820199999999997</v>
      </c>
      <c r="H31" s="42">
        <f>C293</f>
        <v>0.69291539999999996</v>
      </c>
      <c r="I31" s="42">
        <f>D293</f>
        <v>0.20431584</v>
      </c>
      <c r="J31" s="1">
        <v>1</v>
      </c>
      <c r="L31" s="1" t="s">
        <v>30</v>
      </c>
      <c r="M31" s="1" t="s">
        <v>94</v>
      </c>
      <c r="N31" s="1" t="s">
        <v>2</v>
      </c>
      <c r="O31" s="1" t="s">
        <v>40</v>
      </c>
      <c r="P31" s="1">
        <f t="shared" si="3"/>
        <v>0.92784831999999995</v>
      </c>
      <c r="Q31" s="1">
        <f t="shared" si="2"/>
        <v>0.90963795999999997</v>
      </c>
      <c r="R31" s="1">
        <f t="shared" si="2"/>
        <v>0.67905709199999997</v>
      </c>
      <c r="S31" s="1">
        <f t="shared" si="2"/>
        <v>0.20022952319999998</v>
      </c>
      <c r="T31" s="33">
        <v>0</v>
      </c>
      <c r="U31" s="1">
        <v>1</v>
      </c>
      <c r="W31" s="1" t="s">
        <v>30</v>
      </c>
      <c r="X31" s="1" t="s">
        <v>94</v>
      </c>
      <c r="Y31" s="1" t="s">
        <v>2</v>
      </c>
      <c r="Z31" s="1" t="s">
        <v>39</v>
      </c>
      <c r="AA31" s="1">
        <f t="shared" si="1"/>
        <v>0.96571967999999997</v>
      </c>
      <c r="AB31" s="1">
        <f t="shared" si="1"/>
        <v>0.94676603999999998</v>
      </c>
      <c r="AC31" s="1">
        <f t="shared" si="1"/>
        <v>0.70677370799999994</v>
      </c>
      <c r="AD31" s="1">
        <f t="shared" si="1"/>
        <v>0.20840215680000002</v>
      </c>
      <c r="AE31" s="28">
        <f>SUM($I$31,$I$59,$I$87,$I$115,$I$143,$I$171,$I$199,$I$227,$I$255,$I$283)</f>
        <v>698.48733743314938</v>
      </c>
      <c r="AF31" s="1">
        <v>1</v>
      </c>
    </row>
    <row r="32" spans="2:32" x14ac:dyDescent="0.25">
      <c r="B32" s="24" t="s">
        <v>0</v>
      </c>
      <c r="C32" s="24" t="s">
        <v>97</v>
      </c>
      <c r="D32" s="24" t="s">
        <v>2</v>
      </c>
      <c r="E32" s="24"/>
      <c r="F32" s="1">
        <f>[1]COMOIL!B13/1000</f>
        <v>41.450699999999998</v>
      </c>
      <c r="G32" s="1">
        <f>[1]COMOIL!C13/1000</f>
        <v>35.033720000000002</v>
      </c>
      <c r="H32" s="1">
        <f>[1]COMOIL!D13/1000</f>
        <v>26.395659999999999</v>
      </c>
      <c r="I32" s="1">
        <f>[1]COMOIL!E13/1000</f>
        <v>17.758610000000001</v>
      </c>
      <c r="J32" s="1">
        <v>1</v>
      </c>
      <c r="L32" s="1" t="s">
        <v>0</v>
      </c>
      <c r="M32" s="24" t="s">
        <v>97</v>
      </c>
      <c r="N32" s="1" t="s">
        <v>2</v>
      </c>
      <c r="O32" s="1" t="s">
        <v>40</v>
      </c>
      <c r="P32" s="1">
        <f t="shared" si="3"/>
        <v>40.621685999999997</v>
      </c>
      <c r="Q32" s="1">
        <f t="shared" si="2"/>
        <v>34.333045599999998</v>
      </c>
      <c r="R32" s="1">
        <f t="shared" si="2"/>
        <v>25.867746799999999</v>
      </c>
      <c r="S32" s="1">
        <f t="shared" si="2"/>
        <v>17.403437799999999</v>
      </c>
      <c r="T32" s="33">
        <v>0</v>
      </c>
      <c r="U32" s="1">
        <v>1</v>
      </c>
      <c r="W32" s="1" t="s">
        <v>0</v>
      </c>
      <c r="X32" s="24" t="s">
        <v>97</v>
      </c>
      <c r="Y32" s="1" t="s">
        <v>2</v>
      </c>
      <c r="Z32" s="1" t="s">
        <v>39</v>
      </c>
      <c r="AA32" s="1">
        <f t="shared" si="1"/>
        <v>42.279713999999998</v>
      </c>
      <c r="AB32" s="1">
        <f t="shared" si="1"/>
        <v>35.734394400000006</v>
      </c>
      <c r="AC32" s="1">
        <f t="shared" si="1"/>
        <v>26.9235732</v>
      </c>
      <c r="AD32" s="1">
        <f t="shared" si="1"/>
        <v>18.113782200000003</v>
      </c>
      <c r="AE32" s="28">
        <f>SUM($I$4,$I$32,$I$60,$I$88,$I$116,$I$144,$I$172,$I$200,$I$228,$I$256)</f>
        <v>159.04926399999999</v>
      </c>
      <c r="AF32" s="1">
        <v>1</v>
      </c>
    </row>
    <row r="33" spans="2:32" x14ac:dyDescent="0.25">
      <c r="B33" s="24" t="s">
        <v>3</v>
      </c>
      <c r="C33" s="24" t="s">
        <v>97</v>
      </c>
      <c r="D33" s="24" t="s">
        <v>2</v>
      </c>
      <c r="E33" s="24"/>
      <c r="F33" s="1">
        <f>[1]COMOIL!B14/1000</f>
        <v>1.6759000000000002</v>
      </c>
      <c r="G33" s="1">
        <f>[1]COMOIL!C14/1000</f>
        <v>1.3922000000000001</v>
      </c>
      <c r="H33" s="1">
        <f>[1]COMOIL!D14/1000</f>
        <v>0.70550400000000002</v>
      </c>
      <c r="I33" s="1">
        <f>[1]COMOIL!E14/1000</f>
        <v>1.0581530000000001</v>
      </c>
      <c r="J33" s="1">
        <v>1</v>
      </c>
      <c r="L33" s="1" t="s">
        <v>3</v>
      </c>
      <c r="M33" s="24" t="s">
        <v>97</v>
      </c>
      <c r="N33" s="1" t="s">
        <v>2</v>
      </c>
      <c r="O33" s="1" t="s">
        <v>40</v>
      </c>
      <c r="P33" s="1">
        <f t="shared" si="3"/>
        <v>1.6423820000000002</v>
      </c>
      <c r="Q33" s="1">
        <f t="shared" si="2"/>
        <v>1.3643560000000001</v>
      </c>
      <c r="R33" s="1">
        <f t="shared" si="2"/>
        <v>0.69139392</v>
      </c>
      <c r="S33" s="1">
        <f t="shared" si="2"/>
        <v>1.03698994</v>
      </c>
      <c r="T33" s="33">
        <v>0</v>
      </c>
      <c r="U33" s="1">
        <v>1</v>
      </c>
      <c r="W33" s="1" t="s">
        <v>3</v>
      </c>
      <c r="X33" s="24" t="s">
        <v>97</v>
      </c>
      <c r="Y33" s="1" t="s">
        <v>2</v>
      </c>
      <c r="Z33" s="1" t="s">
        <v>39</v>
      </c>
      <c r="AA33" s="1">
        <f t="shared" si="1"/>
        <v>1.7094180000000001</v>
      </c>
      <c r="AB33" s="1">
        <f t="shared" si="1"/>
        <v>1.4200440000000001</v>
      </c>
      <c r="AC33" s="1">
        <f t="shared" si="1"/>
        <v>0.71961408000000004</v>
      </c>
      <c r="AD33" s="1">
        <f t="shared" si="1"/>
        <v>1.0793160600000002</v>
      </c>
      <c r="AE33" s="28">
        <f>SUM($I$5,$I$33,$I$61,$I$89,$I$117,$I$145,$I$173,$I$201,$I$229,$I$257)</f>
        <v>52.687187999999992</v>
      </c>
      <c r="AF33" s="1">
        <v>1</v>
      </c>
    </row>
    <row r="34" spans="2:32" x14ac:dyDescent="0.25">
      <c r="B34" s="24" t="s">
        <v>4</v>
      </c>
      <c r="C34" s="24" t="s">
        <v>97</v>
      </c>
      <c r="D34" s="24" t="s">
        <v>2</v>
      </c>
      <c r="E34" s="24"/>
      <c r="F34" s="1">
        <f>[1]COMOIL!B15/1000</f>
        <v>0.66798799999999992</v>
      </c>
      <c r="G34" s="1">
        <f>[1]COMOIL!C15/1000</f>
        <v>0.87081600000000003</v>
      </c>
      <c r="H34" s="1">
        <f>[1]COMOIL!D15/1000</f>
        <v>0.58483800000000008</v>
      </c>
      <c r="I34" s="1">
        <f>[1]COMOIL!E15/1000</f>
        <v>0.71189599999999997</v>
      </c>
      <c r="J34" s="1">
        <v>1</v>
      </c>
      <c r="L34" s="1" t="s">
        <v>4</v>
      </c>
      <c r="M34" s="24" t="s">
        <v>97</v>
      </c>
      <c r="N34" s="1" t="s">
        <v>2</v>
      </c>
      <c r="O34" s="1" t="s">
        <v>40</v>
      </c>
      <c r="P34" s="1">
        <f t="shared" si="3"/>
        <v>0.65462823999999986</v>
      </c>
      <c r="Q34" s="1">
        <f t="shared" si="2"/>
        <v>0.85339967999999999</v>
      </c>
      <c r="R34" s="1">
        <f t="shared" si="2"/>
        <v>0.57314124000000011</v>
      </c>
      <c r="S34" s="1">
        <f t="shared" si="2"/>
        <v>0.69765807999999996</v>
      </c>
      <c r="T34" s="33">
        <v>0</v>
      </c>
      <c r="U34" s="1">
        <v>1</v>
      </c>
      <c r="W34" s="1" t="s">
        <v>4</v>
      </c>
      <c r="X34" s="24" t="s">
        <v>97</v>
      </c>
      <c r="Y34" s="1" t="s">
        <v>2</v>
      </c>
      <c r="Z34" s="1" t="s">
        <v>39</v>
      </c>
      <c r="AA34" s="1">
        <f t="shared" si="1"/>
        <v>0.68134775999999997</v>
      </c>
      <c r="AB34" s="1">
        <f t="shared" si="1"/>
        <v>0.88823232000000008</v>
      </c>
      <c r="AC34" s="1">
        <f t="shared" si="1"/>
        <v>0.59653476000000005</v>
      </c>
      <c r="AD34" s="1">
        <f t="shared" si="1"/>
        <v>0.72613391999999999</v>
      </c>
      <c r="AE34" s="28">
        <f>SUM($I$6,$I$34,$I$62,$I$90,$I$118,$I$146,$I$174,$I$202,$I$230,$I$258)</f>
        <v>110.98745699999999</v>
      </c>
      <c r="AF34" s="1">
        <v>1</v>
      </c>
    </row>
    <row r="35" spans="2:32" x14ac:dyDescent="0.25">
      <c r="B35" s="24" t="s">
        <v>5</v>
      </c>
      <c r="C35" s="24" t="s">
        <v>97</v>
      </c>
      <c r="D35" s="24" t="s">
        <v>2</v>
      </c>
      <c r="E35" s="24"/>
      <c r="F35" s="1">
        <f>[1]COMOIL!B16/1000</f>
        <v>2.7731999999999997</v>
      </c>
      <c r="G35" s="1">
        <f>[1]COMOIL!C16/1000</f>
        <v>2.2178</v>
      </c>
      <c r="H35" s="1">
        <f>[1]COMOIL!D16/1000</f>
        <v>1.2392730000000001</v>
      </c>
      <c r="I35" s="1">
        <f>[1]COMOIL!E16/1000</f>
        <v>1.0109849999999998</v>
      </c>
      <c r="J35" s="1">
        <v>1</v>
      </c>
      <c r="L35" s="1" t="s">
        <v>5</v>
      </c>
      <c r="M35" s="24" t="s">
        <v>97</v>
      </c>
      <c r="N35" s="1" t="s">
        <v>2</v>
      </c>
      <c r="O35" s="1" t="s">
        <v>40</v>
      </c>
      <c r="P35" s="1">
        <f t="shared" si="3"/>
        <v>2.7177359999999995</v>
      </c>
      <c r="Q35" s="1">
        <f t="shared" si="2"/>
        <v>2.1734439999999999</v>
      </c>
      <c r="R35" s="1">
        <f t="shared" si="2"/>
        <v>1.2144875400000001</v>
      </c>
      <c r="S35" s="1">
        <f t="shared" si="2"/>
        <v>0.99076529999999974</v>
      </c>
      <c r="T35" s="33">
        <v>0</v>
      </c>
      <c r="U35" s="1">
        <v>1</v>
      </c>
      <c r="W35" s="1" t="s">
        <v>5</v>
      </c>
      <c r="X35" s="24" t="s">
        <v>97</v>
      </c>
      <c r="Y35" s="1" t="s">
        <v>2</v>
      </c>
      <c r="Z35" s="1" t="s">
        <v>39</v>
      </c>
      <c r="AA35" s="1">
        <f t="shared" si="1"/>
        <v>2.8286639999999998</v>
      </c>
      <c r="AB35" s="1">
        <f t="shared" si="1"/>
        <v>2.2621560000000001</v>
      </c>
      <c r="AC35" s="1">
        <f t="shared" si="1"/>
        <v>1.26405846</v>
      </c>
      <c r="AD35" s="1">
        <f t="shared" si="1"/>
        <v>1.0312046999999998</v>
      </c>
      <c r="AE35" s="28">
        <f>SUM($I$7,$I$35,$I$63,$I$91,$I$119,$I$147,$I$175,$I$203,$I$231,$I$259)</f>
        <v>78.733746999999994</v>
      </c>
      <c r="AF35" s="1">
        <v>1</v>
      </c>
    </row>
    <row r="36" spans="2:32" x14ac:dyDescent="0.25">
      <c r="B36" s="24" t="s">
        <v>6</v>
      </c>
      <c r="C36" s="24" t="s">
        <v>97</v>
      </c>
      <c r="D36" s="24" t="s">
        <v>2</v>
      </c>
      <c r="E36" s="24"/>
      <c r="F36" s="1">
        <f>[1]COMOIL!B17/1000</f>
        <v>315.21510500000005</v>
      </c>
      <c r="G36" s="1">
        <f>[1]COMOIL!C17/1000</f>
        <v>286.35736200000002</v>
      </c>
      <c r="H36" s="1">
        <f>[1]COMOIL!D17/1000</f>
        <v>109.16691800000001</v>
      </c>
      <c r="I36" s="1">
        <f>[1]COMOIL!E17/1000</f>
        <v>66.784560000000013</v>
      </c>
      <c r="J36" s="1">
        <v>1</v>
      </c>
      <c r="L36" s="1" t="s">
        <v>6</v>
      </c>
      <c r="M36" s="24" t="s">
        <v>97</v>
      </c>
      <c r="N36" s="1" t="s">
        <v>2</v>
      </c>
      <c r="O36" s="1" t="s">
        <v>40</v>
      </c>
      <c r="P36" s="1">
        <f t="shared" si="3"/>
        <v>308.91080290000002</v>
      </c>
      <c r="Q36" s="1">
        <f t="shared" si="3"/>
        <v>280.63021476</v>
      </c>
      <c r="R36" s="1">
        <f t="shared" si="3"/>
        <v>106.98357964</v>
      </c>
      <c r="S36" s="1">
        <f t="shared" si="3"/>
        <v>65.448868800000014</v>
      </c>
      <c r="T36" s="33">
        <v>0</v>
      </c>
      <c r="U36" s="1">
        <v>1</v>
      </c>
      <c r="W36" s="1" t="s">
        <v>6</v>
      </c>
      <c r="X36" s="24" t="s">
        <v>97</v>
      </c>
      <c r="Y36" s="1" t="s">
        <v>2</v>
      </c>
      <c r="Z36" s="1" t="s">
        <v>39</v>
      </c>
      <c r="AA36" s="1">
        <f t="shared" si="1"/>
        <v>321.51940710000008</v>
      </c>
      <c r="AB36" s="1">
        <f t="shared" si="1"/>
        <v>292.08450924000005</v>
      </c>
      <c r="AC36" s="1">
        <f t="shared" si="1"/>
        <v>111.35025636000002</v>
      </c>
      <c r="AD36" s="1">
        <f t="shared" si="1"/>
        <v>68.120251200000013</v>
      </c>
      <c r="AE36" s="28">
        <f>SUM($I$8,$I$36,$I$64,$I$92,$I$120,$I$148,$I$176,$I$204,$I$232,$I$260)</f>
        <v>998.19450100000006</v>
      </c>
      <c r="AF36" s="1">
        <v>1</v>
      </c>
    </row>
    <row r="37" spans="2:32" x14ac:dyDescent="0.25">
      <c r="B37" s="24" t="s">
        <v>7</v>
      </c>
      <c r="C37" s="24" t="s">
        <v>97</v>
      </c>
      <c r="D37" s="24" t="s">
        <v>2</v>
      </c>
      <c r="E37" s="24"/>
      <c r="F37" s="1">
        <f>[1]COMOIL!B18/1000</f>
        <v>1.1791999999999998</v>
      </c>
      <c r="G37" s="1">
        <f>[1]COMOIL!C18/1000</f>
        <v>1.34606</v>
      </c>
      <c r="H37" s="1">
        <f>[1]COMOIL!D18/1000</f>
        <v>0.78309999999999991</v>
      </c>
      <c r="I37" s="1">
        <f>[1]COMOIL!E18/1000</f>
        <v>0.99084199999999989</v>
      </c>
      <c r="J37" s="1">
        <v>1</v>
      </c>
      <c r="L37" s="1" t="s">
        <v>7</v>
      </c>
      <c r="M37" s="24" t="s">
        <v>97</v>
      </c>
      <c r="N37" s="1" t="s">
        <v>2</v>
      </c>
      <c r="O37" s="1" t="s">
        <v>40</v>
      </c>
      <c r="P37" s="1">
        <f t="shared" si="3"/>
        <v>1.1556159999999998</v>
      </c>
      <c r="Q37" s="1">
        <f t="shared" si="3"/>
        <v>1.3191387999999999</v>
      </c>
      <c r="R37" s="1">
        <f t="shared" si="3"/>
        <v>0.76743799999999984</v>
      </c>
      <c r="S37" s="1">
        <f t="shared" si="3"/>
        <v>0.97102515999999983</v>
      </c>
      <c r="T37" s="33">
        <v>0</v>
      </c>
      <c r="U37" s="1">
        <v>1</v>
      </c>
      <c r="W37" s="1" t="s">
        <v>7</v>
      </c>
      <c r="X37" s="24" t="s">
        <v>97</v>
      </c>
      <c r="Y37" s="1" t="s">
        <v>2</v>
      </c>
      <c r="Z37" s="1" t="s">
        <v>39</v>
      </c>
      <c r="AA37" s="1">
        <f t="shared" si="1"/>
        <v>1.2027839999999999</v>
      </c>
      <c r="AB37" s="1">
        <f t="shared" si="1"/>
        <v>1.3729812000000001</v>
      </c>
      <c r="AC37" s="1">
        <f t="shared" si="1"/>
        <v>0.79876199999999997</v>
      </c>
      <c r="AD37" s="1">
        <f t="shared" si="1"/>
        <v>1.0106588399999998</v>
      </c>
      <c r="AE37" s="28">
        <f>SUM($I$9,$I$37,$I$65,$I$93,$I$121,$I$149,$I$177,$I$205,$I$233,$I$261)</f>
        <v>15.12316</v>
      </c>
      <c r="AF37" s="1">
        <v>1</v>
      </c>
    </row>
    <row r="38" spans="2:32" x14ac:dyDescent="0.25">
      <c r="B38" s="24" t="s">
        <v>8</v>
      </c>
      <c r="C38" s="24" t="s">
        <v>97</v>
      </c>
      <c r="D38" s="24" t="s">
        <v>2</v>
      </c>
      <c r="E38" s="24"/>
      <c r="F38" s="1">
        <f>[1]COMOIL!B19/1000</f>
        <v>6.8007180000000007</v>
      </c>
      <c r="G38" s="1">
        <f>[1]COMOIL!C19/1000</f>
        <v>7.3922340000000002</v>
      </c>
      <c r="H38" s="1">
        <f>[1]COMOIL!D19/1000</f>
        <v>5.749409</v>
      </c>
      <c r="I38" s="1">
        <f>[1]COMOIL!E19/1000</f>
        <v>5.2370730000000005</v>
      </c>
      <c r="J38" s="1">
        <v>1</v>
      </c>
      <c r="L38" s="1" t="s">
        <v>8</v>
      </c>
      <c r="M38" s="24" t="s">
        <v>97</v>
      </c>
      <c r="N38" s="1" t="s">
        <v>2</v>
      </c>
      <c r="O38" s="1" t="s">
        <v>40</v>
      </c>
      <c r="P38" s="1">
        <f t="shared" si="3"/>
        <v>6.6647036400000008</v>
      </c>
      <c r="Q38" s="1">
        <f t="shared" si="3"/>
        <v>7.2443893199999998</v>
      </c>
      <c r="R38" s="1">
        <f t="shared" si="3"/>
        <v>5.6344208199999999</v>
      </c>
      <c r="S38" s="1">
        <f t="shared" si="3"/>
        <v>5.13233154</v>
      </c>
      <c r="T38" s="33">
        <v>0</v>
      </c>
      <c r="U38" s="1">
        <v>1</v>
      </c>
      <c r="W38" s="1" t="s">
        <v>8</v>
      </c>
      <c r="X38" s="24" t="s">
        <v>97</v>
      </c>
      <c r="Y38" s="1" t="s">
        <v>2</v>
      </c>
      <c r="Z38" s="1" t="s">
        <v>39</v>
      </c>
      <c r="AA38" s="1">
        <f t="shared" si="1"/>
        <v>6.9367323600000006</v>
      </c>
      <c r="AB38" s="1">
        <f t="shared" si="1"/>
        <v>7.5400786800000006</v>
      </c>
      <c r="AC38" s="1">
        <f t="shared" si="1"/>
        <v>5.8643971800000001</v>
      </c>
      <c r="AD38" s="1">
        <f t="shared" si="1"/>
        <v>5.341814460000001</v>
      </c>
      <c r="AE38" s="28">
        <f>SUM(I$10,I$38,I$66,I$94,I$122,I$150,I$178,I$206,I$234,I$262)</f>
        <v>81.18795200000001</v>
      </c>
      <c r="AF38" s="1">
        <v>1</v>
      </c>
    </row>
    <row r="39" spans="2:32" x14ac:dyDescent="0.25">
      <c r="B39" s="24" t="s">
        <v>9</v>
      </c>
      <c r="C39" s="24" t="s">
        <v>97</v>
      </c>
      <c r="D39" s="24" t="s">
        <v>2</v>
      </c>
      <c r="E39" s="24"/>
      <c r="F39" s="1">
        <f>[1]COMOIL!B20/1000</f>
        <v>8.8182000000000009</v>
      </c>
      <c r="G39" s="1">
        <f>[1]COMOIL!C20/1000</f>
        <v>3.0452000000000004</v>
      </c>
      <c r="H39" s="1">
        <f>[1]COMOIL!D20/1000</f>
        <v>1.7068030000000003</v>
      </c>
      <c r="I39" s="1">
        <f>[1]COMOIL!E20/1000</f>
        <v>0.98179299999999969</v>
      </c>
      <c r="J39" s="1">
        <v>1</v>
      </c>
      <c r="L39" s="1" t="s">
        <v>9</v>
      </c>
      <c r="M39" s="24" t="s">
        <v>97</v>
      </c>
      <c r="N39" s="1" t="s">
        <v>2</v>
      </c>
      <c r="O39" s="1" t="s">
        <v>40</v>
      </c>
      <c r="P39" s="1">
        <f t="shared" si="3"/>
        <v>8.6418360000000014</v>
      </c>
      <c r="Q39" s="1">
        <f t="shared" si="3"/>
        <v>2.9842960000000005</v>
      </c>
      <c r="R39" s="1">
        <f t="shared" si="3"/>
        <v>1.6726669400000003</v>
      </c>
      <c r="S39" s="1">
        <f t="shared" si="3"/>
        <v>0.96215713999999963</v>
      </c>
      <c r="T39" s="33">
        <v>0</v>
      </c>
      <c r="U39" s="1">
        <v>1</v>
      </c>
      <c r="W39" s="1" t="s">
        <v>9</v>
      </c>
      <c r="X39" s="24" t="s">
        <v>97</v>
      </c>
      <c r="Y39" s="1" t="s">
        <v>2</v>
      </c>
      <c r="Z39" s="1" t="s">
        <v>39</v>
      </c>
      <c r="AA39" s="1">
        <f t="shared" si="1"/>
        <v>8.9945640000000004</v>
      </c>
      <c r="AB39" s="1">
        <f t="shared" si="1"/>
        <v>3.1061040000000002</v>
      </c>
      <c r="AC39" s="1">
        <f t="shared" si="1"/>
        <v>1.7409390600000003</v>
      </c>
      <c r="AD39" s="1">
        <f t="shared" si="1"/>
        <v>1.0014288599999996</v>
      </c>
      <c r="AE39" s="28">
        <f>SUM($I$11,$I$39,$I$67,$I$95,$I$123,$I$151,$I$179,$I$207,$I$235,$I$263)</f>
        <v>89.565158000000011</v>
      </c>
      <c r="AF39" s="1">
        <v>1</v>
      </c>
    </row>
    <row r="40" spans="2:32" x14ac:dyDescent="0.25">
      <c r="B40" s="24" t="s">
        <v>10</v>
      </c>
      <c r="C40" s="24" t="s">
        <v>97</v>
      </c>
      <c r="D40" s="24" t="s">
        <v>2</v>
      </c>
      <c r="E40" s="24"/>
      <c r="F40" s="1">
        <f>[1]COMOIL!B21/1000</f>
        <v>51.360399999999991</v>
      </c>
      <c r="G40" s="1">
        <f>[1]COMOIL!C21/1000</f>
        <v>36.615595999999996</v>
      </c>
      <c r="H40" s="1">
        <f>[1]COMOIL!D21/1000</f>
        <v>41.037199999999999</v>
      </c>
      <c r="I40" s="1">
        <f>[1]COMOIL!E21/1000</f>
        <v>35.372603000000005</v>
      </c>
      <c r="J40" s="1">
        <v>1</v>
      </c>
      <c r="L40" s="1" t="s">
        <v>10</v>
      </c>
      <c r="M40" s="24" t="s">
        <v>97</v>
      </c>
      <c r="N40" s="1" t="s">
        <v>2</v>
      </c>
      <c r="O40" s="1" t="s">
        <v>40</v>
      </c>
      <c r="P40" s="1">
        <f t="shared" si="3"/>
        <v>50.33319199999999</v>
      </c>
      <c r="Q40" s="1">
        <f t="shared" si="3"/>
        <v>35.883284079999996</v>
      </c>
      <c r="R40" s="1">
        <f t="shared" si="3"/>
        <v>40.216456000000001</v>
      </c>
      <c r="S40" s="1">
        <f t="shared" si="3"/>
        <v>34.665150940000004</v>
      </c>
      <c r="T40" s="33">
        <v>0</v>
      </c>
      <c r="U40" s="1">
        <v>1</v>
      </c>
      <c r="W40" s="1" t="s">
        <v>10</v>
      </c>
      <c r="X40" s="24" t="s">
        <v>97</v>
      </c>
      <c r="Y40" s="1" t="s">
        <v>2</v>
      </c>
      <c r="Z40" s="1" t="s">
        <v>39</v>
      </c>
      <c r="AA40" s="1">
        <f t="shared" si="1"/>
        <v>52.387607999999993</v>
      </c>
      <c r="AB40" s="1">
        <f t="shared" si="1"/>
        <v>37.347907919999997</v>
      </c>
      <c r="AC40" s="1">
        <f t="shared" si="1"/>
        <v>41.857943999999996</v>
      </c>
      <c r="AD40" s="1">
        <f t="shared" si="1"/>
        <v>36.080055060000007</v>
      </c>
      <c r="AE40" s="28">
        <f>SUM($I$12,$I$40,$I$68,$I$96,$I$124,$I$152,$I$180,$I$208,$I$236,$I$264)</f>
        <v>427.84543500000007</v>
      </c>
      <c r="AF40" s="1">
        <v>1</v>
      </c>
    </row>
    <row r="41" spans="2:32" x14ac:dyDescent="0.25">
      <c r="B41" s="24" t="s">
        <v>11</v>
      </c>
      <c r="C41" s="24" t="s">
        <v>97</v>
      </c>
      <c r="D41" s="24" t="s">
        <v>2</v>
      </c>
      <c r="E41" s="24"/>
      <c r="F41" s="1">
        <f>[1]COMOIL!B22/1000</f>
        <v>121.644029</v>
      </c>
      <c r="G41" s="1">
        <f>[1]COMOIL!C22/1000</f>
        <v>106.05949199999999</v>
      </c>
      <c r="H41" s="1">
        <f>[1]COMOIL!D22/1000</f>
        <v>89.215614000000002</v>
      </c>
      <c r="I41" s="1">
        <f>[1]COMOIL!E22/1000</f>
        <v>62.855109000000006</v>
      </c>
      <c r="J41" s="1">
        <v>1</v>
      </c>
      <c r="L41" s="1" t="s">
        <v>11</v>
      </c>
      <c r="M41" s="24" t="s">
        <v>97</v>
      </c>
      <c r="N41" s="1" t="s">
        <v>2</v>
      </c>
      <c r="O41" s="1" t="s">
        <v>40</v>
      </c>
      <c r="P41" s="1">
        <f t="shared" si="3"/>
        <v>119.21114842</v>
      </c>
      <c r="Q41" s="1">
        <f t="shared" si="3"/>
        <v>103.93830215999999</v>
      </c>
      <c r="R41" s="1">
        <f t="shared" si="3"/>
        <v>87.431301720000008</v>
      </c>
      <c r="S41" s="1">
        <f t="shared" si="3"/>
        <v>61.598006820000002</v>
      </c>
      <c r="T41" s="33">
        <v>0</v>
      </c>
      <c r="U41" s="1">
        <v>1</v>
      </c>
      <c r="W41" s="1" t="s">
        <v>11</v>
      </c>
      <c r="X41" s="24" t="s">
        <v>97</v>
      </c>
      <c r="Y41" s="1" t="s">
        <v>2</v>
      </c>
      <c r="Z41" s="1" t="s">
        <v>39</v>
      </c>
      <c r="AA41" s="1">
        <f t="shared" si="1"/>
        <v>124.07690958000001</v>
      </c>
      <c r="AB41" s="1">
        <f t="shared" si="1"/>
        <v>108.18068183999999</v>
      </c>
      <c r="AC41" s="1">
        <f t="shared" si="1"/>
        <v>90.999926279999997</v>
      </c>
      <c r="AD41" s="1">
        <f t="shared" si="1"/>
        <v>64.112211180000003</v>
      </c>
      <c r="AE41" s="28">
        <f>SUM($I$13,$I$41,$I$69,$I$97,$I$125,$I$153,$I$181,$I$209,$I$237,$I$265)</f>
        <v>780.29733900000008</v>
      </c>
      <c r="AF41" s="1">
        <v>1</v>
      </c>
    </row>
    <row r="42" spans="2:32" x14ac:dyDescent="0.25">
      <c r="B42" s="24" t="s">
        <v>12</v>
      </c>
      <c r="C42" s="24" t="s">
        <v>97</v>
      </c>
      <c r="D42" s="24" t="s">
        <v>2</v>
      </c>
      <c r="E42" s="24"/>
      <c r="F42" s="1">
        <f>[1]COMOIL!B23/1000</f>
        <v>3.4837399999999996</v>
      </c>
      <c r="G42" s="1">
        <f>[1]COMOIL!C23/1000</f>
        <v>2.0431500000000002</v>
      </c>
      <c r="H42" s="1">
        <f>[1]COMOIL!D23/1000</f>
        <v>1.0933760000000001</v>
      </c>
      <c r="I42" s="1">
        <f>[1]COMOIL!E23/1000</f>
        <v>0.99087200000000009</v>
      </c>
      <c r="J42" s="1">
        <v>1</v>
      </c>
      <c r="L42" s="1" t="s">
        <v>12</v>
      </c>
      <c r="M42" s="24" t="s">
        <v>97</v>
      </c>
      <c r="N42" s="1" t="s">
        <v>2</v>
      </c>
      <c r="O42" s="1" t="s">
        <v>40</v>
      </c>
      <c r="P42" s="1">
        <f t="shared" si="3"/>
        <v>3.4140651999999996</v>
      </c>
      <c r="Q42" s="1">
        <f t="shared" si="3"/>
        <v>2.0022870000000004</v>
      </c>
      <c r="R42" s="1">
        <f t="shared" si="3"/>
        <v>1.0715084800000001</v>
      </c>
      <c r="S42" s="1">
        <f t="shared" si="3"/>
        <v>0.97105456000000012</v>
      </c>
      <c r="T42" s="33">
        <v>0</v>
      </c>
      <c r="U42" s="1">
        <v>1</v>
      </c>
      <c r="W42" s="1" t="s">
        <v>12</v>
      </c>
      <c r="X42" s="24" t="s">
        <v>97</v>
      </c>
      <c r="Y42" s="1" t="s">
        <v>2</v>
      </c>
      <c r="Z42" s="1" t="s">
        <v>39</v>
      </c>
      <c r="AA42" s="1">
        <f t="shared" si="1"/>
        <v>3.5534147999999997</v>
      </c>
      <c r="AB42" s="1">
        <f t="shared" si="1"/>
        <v>2.0840130000000001</v>
      </c>
      <c r="AC42" s="1">
        <f t="shared" si="1"/>
        <v>1.1152435200000002</v>
      </c>
      <c r="AD42" s="1">
        <f t="shared" si="1"/>
        <v>1.0106894400000002</v>
      </c>
      <c r="AE42" s="28">
        <f>SUM($I$14,$I$42,$I$70,$I$98,$I$126,$I$154,$I$182,$I$210,$I$238,$I$266)</f>
        <v>32.639519</v>
      </c>
      <c r="AF42" s="1">
        <v>1</v>
      </c>
    </row>
    <row r="43" spans="2:32" x14ac:dyDescent="0.25">
      <c r="B43" s="24" t="s">
        <v>13</v>
      </c>
      <c r="C43" s="24" t="s">
        <v>97</v>
      </c>
      <c r="D43" s="24" t="s">
        <v>2</v>
      </c>
      <c r="E43" s="24"/>
      <c r="F43" s="1">
        <f>[1]COMOIL!B24/1000</f>
        <v>10.096199999999998</v>
      </c>
      <c r="G43" s="1">
        <f>[1]COMOIL!C24/1000</f>
        <v>6.39</v>
      </c>
      <c r="H43" s="1">
        <f>[1]COMOIL!D24/1000</f>
        <v>3.3133799999999973</v>
      </c>
      <c r="I43" s="1">
        <f>[1]COMOIL!E24/1000</f>
        <v>2.4563820000000005</v>
      </c>
      <c r="J43" s="1">
        <v>1</v>
      </c>
      <c r="L43" s="1" t="s">
        <v>13</v>
      </c>
      <c r="M43" s="24" t="s">
        <v>97</v>
      </c>
      <c r="N43" s="1" t="s">
        <v>2</v>
      </c>
      <c r="O43" s="1" t="s">
        <v>40</v>
      </c>
      <c r="P43" s="1">
        <f t="shared" si="3"/>
        <v>9.8942759999999979</v>
      </c>
      <c r="Q43" s="1">
        <f t="shared" si="3"/>
        <v>6.2622</v>
      </c>
      <c r="R43" s="1">
        <f t="shared" si="3"/>
        <v>3.2471123999999971</v>
      </c>
      <c r="S43" s="1">
        <f t="shared" si="3"/>
        <v>2.4072543600000005</v>
      </c>
      <c r="T43" s="33">
        <v>0</v>
      </c>
      <c r="U43" s="1">
        <v>1</v>
      </c>
      <c r="W43" s="1" t="s">
        <v>13</v>
      </c>
      <c r="X43" s="24" t="s">
        <v>97</v>
      </c>
      <c r="Y43" s="1" t="s">
        <v>2</v>
      </c>
      <c r="Z43" s="1" t="s">
        <v>39</v>
      </c>
      <c r="AA43" s="1">
        <f t="shared" si="1"/>
        <v>10.298123999999998</v>
      </c>
      <c r="AB43" s="1">
        <f t="shared" si="1"/>
        <v>6.5177999999999994</v>
      </c>
      <c r="AC43" s="1">
        <f t="shared" si="1"/>
        <v>3.3796475999999975</v>
      </c>
      <c r="AD43" s="1">
        <f t="shared" si="1"/>
        <v>2.5055096400000005</v>
      </c>
      <c r="AE43" s="28">
        <f>SUM($I$15,$I$43,$I$71,$I$99,$I$127,$I$155,$I$183,$I$211,$I$239,$I$267)</f>
        <v>694.24554299999988</v>
      </c>
      <c r="AF43" s="1">
        <v>1</v>
      </c>
    </row>
    <row r="44" spans="2:32" x14ac:dyDescent="0.25">
      <c r="B44" s="24" t="s">
        <v>14</v>
      </c>
      <c r="C44" s="24" t="s">
        <v>97</v>
      </c>
      <c r="D44" s="24" t="s">
        <v>2</v>
      </c>
      <c r="E44" s="24"/>
      <c r="F44" s="1">
        <f>[1]COMOIL!B25/1000</f>
        <v>1.0698919999999998</v>
      </c>
      <c r="G44" s="1">
        <f>[1]COMOIL!C25/1000</f>
        <v>0.68086900000000017</v>
      </c>
      <c r="H44" s="1">
        <f>[1]COMOIL!D25/1000</f>
        <v>0.69962499999999994</v>
      </c>
      <c r="I44" s="1">
        <f>[1]COMOIL!E25/1000</f>
        <v>0.95952099999999996</v>
      </c>
      <c r="J44" s="1">
        <v>1</v>
      </c>
      <c r="L44" s="1" t="s">
        <v>14</v>
      </c>
      <c r="M44" s="24" t="s">
        <v>97</v>
      </c>
      <c r="N44" s="1" t="s">
        <v>2</v>
      </c>
      <c r="O44" s="1" t="s">
        <v>40</v>
      </c>
      <c r="P44" s="1">
        <f t="shared" si="3"/>
        <v>1.0484941599999997</v>
      </c>
      <c r="Q44" s="1">
        <f t="shared" si="3"/>
        <v>0.66725162000000016</v>
      </c>
      <c r="R44" s="1">
        <f t="shared" si="3"/>
        <v>0.68563249999999998</v>
      </c>
      <c r="S44" s="1">
        <f t="shared" si="3"/>
        <v>0.94033057999999992</v>
      </c>
      <c r="T44" s="33">
        <v>0</v>
      </c>
      <c r="U44" s="1">
        <v>1</v>
      </c>
      <c r="W44" s="1" t="s">
        <v>14</v>
      </c>
      <c r="X44" s="24" t="s">
        <v>97</v>
      </c>
      <c r="Y44" s="1" t="s">
        <v>2</v>
      </c>
      <c r="Z44" s="1" t="s">
        <v>39</v>
      </c>
      <c r="AA44" s="1">
        <f t="shared" si="1"/>
        <v>1.09128984</v>
      </c>
      <c r="AB44" s="1">
        <f t="shared" si="1"/>
        <v>0.69448638000000018</v>
      </c>
      <c r="AC44" s="1">
        <f t="shared" si="1"/>
        <v>0.7136174999999999</v>
      </c>
      <c r="AD44" s="1">
        <f t="shared" si="1"/>
        <v>0.97871142</v>
      </c>
      <c r="AE44" s="28">
        <f>SUM($I$16,$I$44,$I$72,$I$100,$I$128,$I$156,$I$184,$I$212,$I$240,$I$268)</f>
        <v>12.063378</v>
      </c>
      <c r="AF44" s="1">
        <v>1</v>
      </c>
    </row>
    <row r="45" spans="2:32" x14ac:dyDescent="0.25">
      <c r="B45" s="24" t="s">
        <v>15</v>
      </c>
      <c r="C45" s="24" t="s">
        <v>97</v>
      </c>
      <c r="D45" s="24" t="s">
        <v>2</v>
      </c>
      <c r="E45" s="24"/>
      <c r="F45" s="1">
        <f>[1]COMOIL!B26/1000</f>
        <v>1.405778</v>
      </c>
      <c r="G45" s="1">
        <f>[1]COMOIL!C26/1000</f>
        <v>2.0409999999999999</v>
      </c>
      <c r="H45" s="1">
        <f>[1]COMOIL!D26/1000</f>
        <v>1.2840940000000001</v>
      </c>
      <c r="I45" s="1">
        <f>[1]COMOIL!E26/1000</f>
        <v>2.0202899999999997</v>
      </c>
      <c r="J45" s="1">
        <v>1</v>
      </c>
      <c r="L45" s="1" t="s">
        <v>15</v>
      </c>
      <c r="M45" s="24" t="s">
        <v>97</v>
      </c>
      <c r="N45" s="1" t="s">
        <v>2</v>
      </c>
      <c r="O45" s="1" t="s">
        <v>40</v>
      </c>
      <c r="P45" s="1">
        <f t="shared" si="3"/>
        <v>1.3776624399999999</v>
      </c>
      <c r="Q45" s="1">
        <f t="shared" si="3"/>
        <v>2.0001799999999998</v>
      </c>
      <c r="R45" s="1">
        <f t="shared" si="3"/>
        <v>1.25841212</v>
      </c>
      <c r="S45" s="1">
        <f t="shared" si="3"/>
        <v>1.9798841999999996</v>
      </c>
      <c r="T45" s="33">
        <v>0</v>
      </c>
      <c r="U45" s="1">
        <v>1</v>
      </c>
      <c r="W45" s="1" t="s">
        <v>15</v>
      </c>
      <c r="X45" s="24" t="s">
        <v>97</v>
      </c>
      <c r="Y45" s="1" t="s">
        <v>2</v>
      </c>
      <c r="Z45" s="1" t="s">
        <v>39</v>
      </c>
      <c r="AA45" s="1">
        <f t="shared" si="1"/>
        <v>1.43389356</v>
      </c>
      <c r="AB45" s="1">
        <f t="shared" si="1"/>
        <v>2.08182</v>
      </c>
      <c r="AC45" s="1">
        <f t="shared" si="1"/>
        <v>1.3097758800000001</v>
      </c>
      <c r="AD45" s="1">
        <f t="shared" si="1"/>
        <v>2.0606957999999995</v>
      </c>
      <c r="AE45" s="28">
        <f>SUM($I$17,$I$45,$I$73,$I$101,$I$129,$I$157,$I$185,$I$213,$I$241,$I$269)</f>
        <v>22.533501999999999</v>
      </c>
      <c r="AF45" s="1">
        <v>1</v>
      </c>
    </row>
    <row r="46" spans="2:32" x14ac:dyDescent="0.25">
      <c r="B46" s="24" t="s">
        <v>16</v>
      </c>
      <c r="C46" s="24" t="s">
        <v>97</v>
      </c>
      <c r="D46" s="24" t="s">
        <v>2</v>
      </c>
      <c r="E46" s="24"/>
      <c r="F46" s="1">
        <f>[1]COMOIL!B27/1000</f>
        <v>0.16897999999999999</v>
      </c>
      <c r="G46" s="1">
        <f>[1]COMOIL!C27/1000</f>
        <v>8.5720000000000005E-2</v>
      </c>
      <c r="H46" s="1">
        <f>[1]COMOIL!D27/1000</f>
        <v>8.1629000000000007E-2</v>
      </c>
      <c r="I46" s="1">
        <f>[1]COMOIL!E27/1000</f>
        <v>9.4506000000000007E-2</v>
      </c>
      <c r="J46" s="1">
        <v>1</v>
      </c>
      <c r="L46" s="1" t="s">
        <v>16</v>
      </c>
      <c r="M46" s="24" t="s">
        <v>97</v>
      </c>
      <c r="N46" s="1" t="s">
        <v>2</v>
      </c>
      <c r="O46" s="1" t="s">
        <v>40</v>
      </c>
      <c r="P46" s="1">
        <f t="shared" si="3"/>
        <v>0.16560039999999998</v>
      </c>
      <c r="Q46" s="1">
        <f t="shared" si="3"/>
        <v>8.40056E-2</v>
      </c>
      <c r="R46" s="1">
        <f t="shared" si="3"/>
        <v>7.9996419999999999E-2</v>
      </c>
      <c r="S46" s="1">
        <f t="shared" si="3"/>
        <v>9.2615880000000012E-2</v>
      </c>
      <c r="T46" s="33">
        <v>0</v>
      </c>
      <c r="U46" s="1">
        <v>1</v>
      </c>
      <c r="W46" s="1" t="s">
        <v>16</v>
      </c>
      <c r="X46" s="24" t="s">
        <v>97</v>
      </c>
      <c r="Y46" s="1" t="s">
        <v>2</v>
      </c>
      <c r="Z46" s="1" t="s">
        <v>39</v>
      </c>
      <c r="AA46" s="1">
        <f t="shared" si="1"/>
        <v>0.1723596</v>
      </c>
      <c r="AB46" s="1">
        <f t="shared" si="1"/>
        <v>8.7434400000000009E-2</v>
      </c>
      <c r="AC46" s="1">
        <f t="shared" si="1"/>
        <v>8.3261580000000016E-2</v>
      </c>
      <c r="AD46" s="1">
        <f t="shared" si="1"/>
        <v>9.6396120000000002E-2</v>
      </c>
      <c r="AE46" s="28">
        <f>SUM($I$18,$I$46,$I$74,$I$102,$I$130,$I$158,$I$186,$I$214,$I$242,$I$270)</f>
        <v>25.619449000000003</v>
      </c>
      <c r="AF46" s="1">
        <v>1</v>
      </c>
    </row>
    <row r="47" spans="2:32" x14ac:dyDescent="0.25">
      <c r="B47" s="24" t="s">
        <v>17</v>
      </c>
      <c r="C47" s="24" t="s">
        <v>97</v>
      </c>
      <c r="D47" s="24" t="s">
        <v>2</v>
      </c>
      <c r="E47" s="24"/>
      <c r="F47" s="1">
        <f>[1]COMOIL!B28/1000</f>
        <v>2.0361359999999999</v>
      </c>
      <c r="G47" s="1">
        <f>[1]COMOIL!C28/1000</f>
        <v>2.8195170000000003</v>
      </c>
      <c r="H47" s="1">
        <f>[1]COMOIL!D28/1000</f>
        <v>4.6646410000000005</v>
      </c>
      <c r="I47" s="1">
        <f>[1]COMOIL!E28/1000</f>
        <v>3.1988659999999998</v>
      </c>
      <c r="J47" s="1">
        <v>1</v>
      </c>
      <c r="L47" s="1" t="s">
        <v>17</v>
      </c>
      <c r="M47" s="24" t="s">
        <v>97</v>
      </c>
      <c r="N47" s="1" t="s">
        <v>2</v>
      </c>
      <c r="O47" s="1" t="s">
        <v>40</v>
      </c>
      <c r="P47" s="1">
        <f t="shared" ref="P47:S62" si="4">IF(ISBLANK(F47),":",0.98*F47)</f>
        <v>1.99541328</v>
      </c>
      <c r="Q47" s="1">
        <f t="shared" si="4"/>
        <v>2.7631266600000002</v>
      </c>
      <c r="R47" s="1">
        <f t="shared" si="4"/>
        <v>4.5713481800000002</v>
      </c>
      <c r="S47" s="1">
        <f t="shared" si="4"/>
        <v>3.1348886799999995</v>
      </c>
      <c r="T47" s="33">
        <v>0</v>
      </c>
      <c r="U47" s="1">
        <v>1</v>
      </c>
      <c r="W47" s="1" t="s">
        <v>17</v>
      </c>
      <c r="X47" s="24" t="s">
        <v>97</v>
      </c>
      <c r="Y47" s="1" t="s">
        <v>2</v>
      </c>
      <c r="Z47" s="1" t="s">
        <v>39</v>
      </c>
      <c r="AA47" s="1">
        <f t="shared" si="1"/>
        <v>2.0768587200000002</v>
      </c>
      <c r="AB47" s="1">
        <f t="shared" si="1"/>
        <v>2.8759073400000004</v>
      </c>
      <c r="AC47" s="1">
        <f t="shared" si="1"/>
        <v>4.7579338200000008</v>
      </c>
      <c r="AD47" s="1">
        <f t="shared" si="1"/>
        <v>3.26284332</v>
      </c>
      <c r="AE47" s="28">
        <f>SUM($I$19,$I$47,$I$75,$I$103,$I$131,$I$159,$I$187,$I$215,$I$243,$I$271)</f>
        <v>18.465619999999998</v>
      </c>
      <c r="AF47" s="1">
        <v>1</v>
      </c>
    </row>
    <row r="48" spans="2:32" x14ac:dyDescent="0.25">
      <c r="B48" s="24" t="s">
        <v>18</v>
      </c>
      <c r="C48" s="24" t="s">
        <v>97</v>
      </c>
      <c r="D48" s="24" t="s">
        <v>2</v>
      </c>
      <c r="E48" s="24"/>
      <c r="F48" s="1">
        <f>AVERAGE(G48:I48)</f>
        <v>0.79090000000000005</v>
      </c>
      <c r="G48" s="1">
        <f>[1]COMOIL!C29/1000</f>
        <v>1.0025999999999999</v>
      </c>
      <c r="H48" s="1">
        <f>[1]COMOIL!D29/1000</f>
        <v>0.76949999999999996</v>
      </c>
      <c r="I48" s="1">
        <f>[1]COMOIL!E29/1000</f>
        <v>0.60059999999999991</v>
      </c>
      <c r="J48" s="1">
        <v>1</v>
      </c>
      <c r="L48" s="1" t="s">
        <v>18</v>
      </c>
      <c r="M48" s="24" t="s">
        <v>97</v>
      </c>
      <c r="N48" s="1" t="s">
        <v>2</v>
      </c>
      <c r="O48" s="1" t="s">
        <v>40</v>
      </c>
      <c r="P48" s="1">
        <f t="shared" si="4"/>
        <v>0.77508200000000005</v>
      </c>
      <c r="Q48" s="1">
        <f t="shared" si="4"/>
        <v>0.98254799999999987</v>
      </c>
      <c r="R48" s="1">
        <f t="shared" si="4"/>
        <v>0.75410999999999995</v>
      </c>
      <c r="S48" s="1">
        <f t="shared" si="4"/>
        <v>0.58858799999999989</v>
      </c>
      <c r="T48" s="33">
        <v>0</v>
      </c>
      <c r="U48" s="1">
        <v>1</v>
      </c>
      <c r="W48" s="1" t="s">
        <v>18</v>
      </c>
      <c r="X48" s="24" t="s">
        <v>97</v>
      </c>
      <c r="Y48" s="1" t="s">
        <v>2</v>
      </c>
      <c r="Z48" s="1" t="s">
        <v>39</v>
      </c>
      <c r="AA48" s="1">
        <f t="shared" si="1"/>
        <v>0.80671800000000005</v>
      </c>
      <c r="AB48" s="1">
        <f t="shared" si="1"/>
        <v>1.0226519999999999</v>
      </c>
      <c r="AC48" s="1">
        <f t="shared" si="1"/>
        <v>0.78488999999999998</v>
      </c>
      <c r="AD48" s="1">
        <f t="shared" si="1"/>
        <v>0.61261199999999993</v>
      </c>
      <c r="AE48" s="28">
        <f>SUM($I$20,$I$48,$I$76,$I$104,$I$132,$I$160,$I$188,$I$216,$I$244,$I$272)</f>
        <v>68.587658000000005</v>
      </c>
      <c r="AF48" s="1">
        <v>1</v>
      </c>
    </row>
    <row r="49" spans="2:32" x14ac:dyDescent="0.25">
      <c r="B49" s="24" t="s">
        <v>20</v>
      </c>
      <c r="C49" s="24" t="s">
        <v>97</v>
      </c>
      <c r="D49" s="24" t="s">
        <v>2</v>
      </c>
      <c r="E49" s="24"/>
      <c r="F49" s="1">
        <f>[1]COMOIL!B30/1000</f>
        <v>7.2144000000000004</v>
      </c>
      <c r="G49" s="1">
        <f>[1]COMOIL!C30/1000</f>
        <v>7.2966129999999998</v>
      </c>
      <c r="H49" s="1">
        <f>[1]COMOIL!D30/1000</f>
        <v>7.2443190000000008</v>
      </c>
      <c r="I49" s="1">
        <f>[1]COMOIL!E30/1000</f>
        <v>6.7460319999999996</v>
      </c>
      <c r="J49" s="1">
        <v>1</v>
      </c>
      <c r="L49" s="1" t="s">
        <v>20</v>
      </c>
      <c r="M49" s="24" t="s">
        <v>97</v>
      </c>
      <c r="N49" s="1" t="s">
        <v>2</v>
      </c>
      <c r="O49" s="1" t="s">
        <v>40</v>
      </c>
      <c r="P49" s="1">
        <f t="shared" si="4"/>
        <v>7.070112</v>
      </c>
      <c r="Q49" s="1">
        <f t="shared" si="4"/>
        <v>7.1506807399999994</v>
      </c>
      <c r="R49" s="1">
        <f t="shared" si="4"/>
        <v>7.0994326200000009</v>
      </c>
      <c r="S49" s="1">
        <f t="shared" si="4"/>
        <v>6.6111113599999998</v>
      </c>
      <c r="T49" s="33">
        <v>0</v>
      </c>
      <c r="U49" s="1">
        <v>1</v>
      </c>
      <c r="W49" s="1" t="s">
        <v>20</v>
      </c>
      <c r="X49" s="24" t="s">
        <v>97</v>
      </c>
      <c r="Y49" s="1" t="s">
        <v>2</v>
      </c>
      <c r="Z49" s="1" t="s">
        <v>39</v>
      </c>
      <c r="AA49" s="1">
        <f t="shared" si="1"/>
        <v>7.3586880000000008</v>
      </c>
      <c r="AB49" s="1">
        <f t="shared" si="1"/>
        <v>7.4425452600000002</v>
      </c>
      <c r="AC49" s="1">
        <f t="shared" si="1"/>
        <v>7.3892053800000008</v>
      </c>
      <c r="AD49" s="1">
        <f t="shared" si="1"/>
        <v>6.8809526399999994</v>
      </c>
      <c r="AE49" s="28">
        <f>SUM($I$21,$I$49,$I$77,$I$105,$I$133,$I$161,$I$189,$I$217,$I$245,$I$273)</f>
        <v>254.70966400000003</v>
      </c>
      <c r="AF49" s="1">
        <v>1</v>
      </c>
    </row>
    <row r="50" spans="2:32" x14ac:dyDescent="0.25">
      <c r="B50" s="24" t="s">
        <v>21</v>
      </c>
      <c r="C50" s="24" t="s">
        <v>97</v>
      </c>
      <c r="D50" s="24" t="s">
        <v>2</v>
      </c>
      <c r="E50" s="24"/>
      <c r="F50" s="1">
        <f>[1]COMOIL!B31/1000</f>
        <v>8.1609920000000002</v>
      </c>
      <c r="G50" s="1">
        <f>[1]COMOIL!C31/1000</f>
        <v>7.099183</v>
      </c>
      <c r="H50" s="1">
        <f>[1]COMOIL!D31/1000</f>
        <v>6.892728</v>
      </c>
      <c r="I50" s="1">
        <f>[1]COMOIL!E31/1000</f>
        <v>4.5034500000000008</v>
      </c>
      <c r="J50" s="1">
        <v>1</v>
      </c>
      <c r="L50" s="1" t="s">
        <v>21</v>
      </c>
      <c r="M50" s="24" t="s">
        <v>97</v>
      </c>
      <c r="N50" s="1" t="s">
        <v>2</v>
      </c>
      <c r="O50" s="1" t="s">
        <v>40</v>
      </c>
      <c r="P50" s="1">
        <f t="shared" si="4"/>
        <v>7.9977721600000002</v>
      </c>
      <c r="Q50" s="1">
        <f t="shared" si="4"/>
        <v>6.9571993399999998</v>
      </c>
      <c r="R50" s="1">
        <f t="shared" si="4"/>
        <v>6.7548734399999999</v>
      </c>
      <c r="S50" s="1">
        <f t="shared" si="4"/>
        <v>4.4133810000000011</v>
      </c>
      <c r="T50" s="33">
        <v>0</v>
      </c>
      <c r="U50" s="1">
        <v>1</v>
      </c>
      <c r="W50" s="1" t="s">
        <v>21</v>
      </c>
      <c r="X50" s="24" t="s">
        <v>97</v>
      </c>
      <c r="Y50" s="1" t="s">
        <v>2</v>
      </c>
      <c r="Z50" s="1" t="s">
        <v>39</v>
      </c>
      <c r="AA50" s="1">
        <f t="shared" si="1"/>
        <v>8.3242118400000003</v>
      </c>
      <c r="AB50" s="1">
        <f t="shared" si="1"/>
        <v>7.2411666600000002</v>
      </c>
      <c r="AC50" s="1">
        <f t="shared" si="1"/>
        <v>7.03058256</v>
      </c>
      <c r="AD50" s="1">
        <f t="shared" si="1"/>
        <v>4.5935190000000006</v>
      </c>
      <c r="AE50" s="28">
        <f>SUM($I$22,$I$50,$I$78,$I$106,$I$134,$I$162,$I$190,$I$218,$I$246,$I$274)</f>
        <v>101.032432</v>
      </c>
      <c r="AF50" s="1">
        <v>1</v>
      </c>
    </row>
    <row r="51" spans="2:32" x14ac:dyDescent="0.25">
      <c r="B51" s="24" t="s">
        <v>22</v>
      </c>
      <c r="C51" s="24" t="s">
        <v>97</v>
      </c>
      <c r="D51" s="24" t="s">
        <v>2</v>
      </c>
      <c r="E51" s="24"/>
      <c r="F51" s="1">
        <f>[1]COMOIL!B32/1000</f>
        <v>27.5489</v>
      </c>
      <c r="G51" s="1">
        <f>[1]COMOIL!C32/1000</f>
        <v>14.577</v>
      </c>
      <c r="H51" s="1">
        <f>[1]COMOIL!D32/1000</f>
        <v>13.919121000000001</v>
      </c>
      <c r="I51" s="1">
        <f>[1]COMOIL!E32/1000</f>
        <v>9.4703600000000012</v>
      </c>
      <c r="J51" s="1">
        <v>1</v>
      </c>
      <c r="L51" s="1" t="s">
        <v>22</v>
      </c>
      <c r="M51" s="24" t="s">
        <v>97</v>
      </c>
      <c r="N51" s="1" t="s">
        <v>2</v>
      </c>
      <c r="O51" s="1" t="s">
        <v>40</v>
      </c>
      <c r="P51" s="1">
        <f t="shared" si="4"/>
        <v>26.997921999999999</v>
      </c>
      <c r="Q51" s="1">
        <f t="shared" si="4"/>
        <v>14.28546</v>
      </c>
      <c r="R51" s="1">
        <f t="shared" si="4"/>
        <v>13.640738580000001</v>
      </c>
      <c r="S51" s="1">
        <f t="shared" si="4"/>
        <v>9.2809528000000014</v>
      </c>
      <c r="T51" s="33">
        <v>0</v>
      </c>
      <c r="U51" s="1">
        <v>1</v>
      </c>
      <c r="W51" s="1" t="s">
        <v>22</v>
      </c>
      <c r="X51" s="24" t="s">
        <v>97</v>
      </c>
      <c r="Y51" s="1" t="s">
        <v>2</v>
      </c>
      <c r="Z51" s="1" t="s">
        <v>39</v>
      </c>
      <c r="AA51" s="1">
        <f t="shared" si="1"/>
        <v>28.099878</v>
      </c>
      <c r="AB51" s="1">
        <f t="shared" si="1"/>
        <v>14.868539999999999</v>
      </c>
      <c r="AC51" s="1">
        <f t="shared" si="1"/>
        <v>14.19750342</v>
      </c>
      <c r="AD51" s="1">
        <f t="shared" si="1"/>
        <v>9.659767200000001</v>
      </c>
      <c r="AE51" s="28">
        <f>SUM($I$23,$I$51,$I$79,$I$107,$I$135,$I$163,$I$191,$I$219,$I$247,$I$275)</f>
        <v>338.02420999999998</v>
      </c>
      <c r="AF51" s="1">
        <v>1</v>
      </c>
    </row>
    <row r="52" spans="2:32" x14ac:dyDescent="0.25">
      <c r="B52" s="24" t="s">
        <v>23</v>
      </c>
      <c r="C52" s="24" t="s">
        <v>97</v>
      </c>
      <c r="D52" s="24" t="s">
        <v>2</v>
      </c>
      <c r="E52" s="24"/>
      <c r="F52" s="1">
        <f>[1]COMOIL!B33/1000</f>
        <v>7.8760000000000003</v>
      </c>
      <c r="G52" s="1">
        <f>[1]COMOIL!C33/1000</f>
        <v>3.55</v>
      </c>
      <c r="H52" s="1">
        <f>[1]COMOIL!D33/1000</f>
        <v>2.3659210000000002</v>
      </c>
      <c r="I52" s="1">
        <f>[1]COMOIL!E33/1000</f>
        <v>1.6609530000000001</v>
      </c>
      <c r="J52" s="1">
        <v>1</v>
      </c>
      <c r="L52" s="1" t="s">
        <v>23</v>
      </c>
      <c r="M52" s="24" t="s">
        <v>97</v>
      </c>
      <c r="N52" s="1" t="s">
        <v>2</v>
      </c>
      <c r="O52" s="1" t="s">
        <v>40</v>
      </c>
      <c r="P52" s="1">
        <f t="shared" si="4"/>
        <v>7.7184800000000005</v>
      </c>
      <c r="Q52" s="1">
        <f t="shared" si="4"/>
        <v>3.4789999999999996</v>
      </c>
      <c r="R52" s="1">
        <f t="shared" si="4"/>
        <v>2.3186025800000003</v>
      </c>
      <c r="S52" s="1">
        <f t="shared" si="4"/>
        <v>1.6277339400000002</v>
      </c>
      <c r="T52" s="33">
        <v>0</v>
      </c>
      <c r="U52" s="1">
        <v>1</v>
      </c>
      <c r="W52" s="1" t="s">
        <v>23</v>
      </c>
      <c r="X52" s="24" t="s">
        <v>97</v>
      </c>
      <c r="Y52" s="1" t="s">
        <v>2</v>
      </c>
      <c r="Z52" s="1" t="s">
        <v>39</v>
      </c>
      <c r="AA52" s="1">
        <f t="shared" si="1"/>
        <v>8.0335200000000011</v>
      </c>
      <c r="AB52" s="1">
        <f t="shared" si="1"/>
        <v>3.621</v>
      </c>
      <c r="AC52" s="1">
        <f t="shared" si="1"/>
        <v>2.41323942</v>
      </c>
      <c r="AD52" s="1">
        <f t="shared" si="1"/>
        <v>1.6941720600000001</v>
      </c>
      <c r="AE52" s="28">
        <f>SUM($I$24,$I$52,$I$80,$I$108,$I$136,$I$164,$I$192,$I$220,$I$248,$I$276)</f>
        <v>100.75319400000001</v>
      </c>
      <c r="AF52" s="1">
        <v>1</v>
      </c>
    </row>
    <row r="53" spans="2:32" x14ac:dyDescent="0.25">
      <c r="B53" s="24" t="s">
        <v>24</v>
      </c>
      <c r="C53" s="24" t="s">
        <v>97</v>
      </c>
      <c r="D53" s="24" t="s">
        <v>2</v>
      </c>
      <c r="E53" s="24"/>
      <c r="F53" s="1">
        <f>[1]COMOIL!B34/1000</f>
        <v>2.1895199999999999</v>
      </c>
      <c r="G53" s="1">
        <f>[1]COMOIL!C34/1000</f>
        <v>2.108339</v>
      </c>
      <c r="H53" s="1">
        <f>[1]COMOIL!D34/1000</f>
        <v>2.6891379999999998</v>
      </c>
      <c r="I53" s="1">
        <f>[1]COMOIL!E34/1000</f>
        <v>2.6158579999999998</v>
      </c>
      <c r="J53" s="1">
        <v>1</v>
      </c>
      <c r="L53" s="1" t="s">
        <v>24</v>
      </c>
      <c r="M53" s="24" t="s">
        <v>97</v>
      </c>
      <c r="N53" s="1" t="s">
        <v>2</v>
      </c>
      <c r="O53" s="1" t="s">
        <v>40</v>
      </c>
      <c r="P53" s="1">
        <f t="shared" si="4"/>
        <v>2.1457295999999997</v>
      </c>
      <c r="Q53" s="1">
        <f t="shared" si="4"/>
        <v>2.0661722199999999</v>
      </c>
      <c r="R53" s="1">
        <f t="shared" si="4"/>
        <v>2.6353552399999995</v>
      </c>
      <c r="S53" s="1">
        <f t="shared" si="4"/>
        <v>2.5635408399999999</v>
      </c>
      <c r="T53" s="33">
        <v>0</v>
      </c>
      <c r="U53" s="1">
        <v>1</v>
      </c>
      <c r="W53" s="1" t="s">
        <v>24</v>
      </c>
      <c r="X53" s="24" t="s">
        <v>97</v>
      </c>
      <c r="Y53" s="1" t="s">
        <v>2</v>
      </c>
      <c r="Z53" s="1" t="s">
        <v>39</v>
      </c>
      <c r="AA53" s="1">
        <f t="shared" si="1"/>
        <v>2.2333104000000001</v>
      </c>
      <c r="AB53" s="1">
        <f t="shared" si="1"/>
        <v>2.15050578</v>
      </c>
      <c r="AC53" s="1">
        <f t="shared" si="1"/>
        <v>2.7429207600000001</v>
      </c>
      <c r="AD53" s="1">
        <f t="shared" si="1"/>
        <v>2.6681751599999997</v>
      </c>
      <c r="AE53" s="28">
        <f>SUM($I$25,$I$53,$I$81,$I$109,$I$137,$I$165,$I$193,$I$221,$I$249,$I$277)</f>
        <v>85.709021000000007</v>
      </c>
      <c r="AF53" s="1">
        <v>1</v>
      </c>
    </row>
    <row r="54" spans="2:32" x14ac:dyDescent="0.25">
      <c r="B54" s="24" t="s">
        <v>25</v>
      </c>
      <c r="C54" s="24" t="s">
        <v>97</v>
      </c>
      <c r="D54" s="24" t="s">
        <v>2</v>
      </c>
      <c r="E54" s="24"/>
      <c r="F54" s="1">
        <f>[1]COMOIL!B35/1000</f>
        <v>8.0088000000000008</v>
      </c>
      <c r="G54" s="1">
        <f>[1]COMOIL!C35/1000</f>
        <v>3.0671280000000003</v>
      </c>
      <c r="H54" s="1">
        <f>[1]COMOIL!D35/1000</f>
        <v>2.8255729999999999</v>
      </c>
      <c r="I54" s="1">
        <f>[1]COMOIL!E35/1000</f>
        <v>1.799628</v>
      </c>
      <c r="J54" s="1">
        <v>1</v>
      </c>
      <c r="L54" s="1" t="s">
        <v>25</v>
      </c>
      <c r="M54" s="24" t="s">
        <v>97</v>
      </c>
      <c r="N54" s="1" t="s">
        <v>2</v>
      </c>
      <c r="O54" s="1" t="s">
        <v>40</v>
      </c>
      <c r="P54" s="1">
        <f t="shared" si="4"/>
        <v>7.8486240000000009</v>
      </c>
      <c r="Q54" s="1">
        <f t="shared" si="4"/>
        <v>3.0057854400000004</v>
      </c>
      <c r="R54" s="1">
        <f t="shared" si="4"/>
        <v>2.76906154</v>
      </c>
      <c r="S54" s="1">
        <f t="shared" si="4"/>
        <v>1.7636354400000001</v>
      </c>
      <c r="T54" s="33">
        <v>0</v>
      </c>
      <c r="U54" s="1">
        <v>1</v>
      </c>
      <c r="W54" s="1" t="s">
        <v>25</v>
      </c>
      <c r="X54" s="24" t="s">
        <v>97</v>
      </c>
      <c r="Y54" s="1" t="s">
        <v>2</v>
      </c>
      <c r="Z54" s="1" t="s">
        <v>39</v>
      </c>
      <c r="AA54" s="1">
        <f t="shared" si="1"/>
        <v>8.1689760000000007</v>
      </c>
      <c r="AB54" s="1">
        <f t="shared" si="1"/>
        <v>3.1284705600000002</v>
      </c>
      <c r="AC54" s="1">
        <f t="shared" si="1"/>
        <v>2.8820844599999997</v>
      </c>
      <c r="AD54" s="1">
        <f t="shared" si="1"/>
        <v>1.83562056</v>
      </c>
      <c r="AE54" s="28">
        <f>SUM($I$26,$I$54,$I$82,$I$110,$I$138,$I$166,$I$194,$I$222,$I$250,$I$278)</f>
        <v>18.304008</v>
      </c>
      <c r="AF54" s="1">
        <v>1</v>
      </c>
    </row>
    <row r="55" spans="2:32" x14ac:dyDescent="0.25">
      <c r="B55" s="24" t="s">
        <v>26</v>
      </c>
      <c r="C55" s="24" t="s">
        <v>97</v>
      </c>
      <c r="D55" s="24" t="s">
        <v>2</v>
      </c>
      <c r="E55" s="24"/>
      <c r="F55" s="1">
        <f>AVERAGE(G55:I55)</f>
        <v>0.15438200000000002</v>
      </c>
      <c r="G55" s="1">
        <f>[1]COMOIL!C36/1000</f>
        <v>0.25274400000000002</v>
      </c>
      <c r="H55" s="1">
        <f>[1]COMOIL!D36/1000</f>
        <v>0.12625800000000001</v>
      </c>
      <c r="I55" s="1">
        <f>[1]COMOIL!E36/1000</f>
        <v>8.414400000000001E-2</v>
      </c>
      <c r="J55" s="1">
        <v>1</v>
      </c>
      <c r="L55" s="1" t="s">
        <v>26</v>
      </c>
      <c r="M55" s="24" t="s">
        <v>97</v>
      </c>
      <c r="N55" s="1" t="s">
        <v>2</v>
      </c>
      <c r="O55" s="1" t="s">
        <v>40</v>
      </c>
      <c r="P55" s="1">
        <f t="shared" si="4"/>
        <v>0.15129436000000002</v>
      </c>
      <c r="Q55" s="1">
        <f t="shared" si="4"/>
        <v>0.24768912000000001</v>
      </c>
      <c r="R55" s="1">
        <f t="shared" si="4"/>
        <v>0.12373284000000001</v>
      </c>
      <c r="S55" s="1">
        <f t="shared" si="4"/>
        <v>8.2461120000000013E-2</v>
      </c>
      <c r="T55" s="33">
        <v>0</v>
      </c>
      <c r="U55" s="1">
        <v>1</v>
      </c>
      <c r="W55" s="1" t="s">
        <v>26</v>
      </c>
      <c r="X55" s="24" t="s">
        <v>97</v>
      </c>
      <c r="Y55" s="1" t="s">
        <v>2</v>
      </c>
      <c r="Z55" s="1" t="s">
        <v>39</v>
      </c>
      <c r="AA55" s="1">
        <f t="shared" si="1"/>
        <v>0.15746964000000002</v>
      </c>
      <c r="AB55" s="1">
        <f t="shared" si="1"/>
        <v>0.25779888000000001</v>
      </c>
      <c r="AC55" s="1">
        <f t="shared" si="1"/>
        <v>0.12878316000000001</v>
      </c>
      <c r="AD55" s="1">
        <f t="shared" si="1"/>
        <v>8.5826880000000008E-2</v>
      </c>
      <c r="AE55" s="28">
        <f>SUM($I$27,$I$55,$I$83,$I$111,$I$139,$I$167,$I$195,$I$223,$I$251,$I$279)</f>
        <v>46.794905</v>
      </c>
      <c r="AF55" s="1">
        <v>1</v>
      </c>
    </row>
    <row r="56" spans="2:32" x14ac:dyDescent="0.25">
      <c r="B56" s="24" t="s">
        <v>27</v>
      </c>
      <c r="C56" s="24" t="s">
        <v>97</v>
      </c>
      <c r="D56" s="24" t="s">
        <v>2</v>
      </c>
      <c r="E56" s="24"/>
      <c r="F56" s="1">
        <f>[1]COMOIL!B37/1000</f>
        <v>13.387592999999999</v>
      </c>
      <c r="G56" s="1">
        <f>[1]COMOIL!C37/1000</f>
        <v>10.292971999999999</v>
      </c>
      <c r="H56" s="1">
        <f>[1]COMOIL!D37/1000</f>
        <v>9.9908400000000004</v>
      </c>
      <c r="I56" s="1">
        <f>[1]COMOIL!E37/1000</f>
        <v>10.972332999999999</v>
      </c>
      <c r="J56" s="1">
        <v>1</v>
      </c>
      <c r="L56" s="1" t="s">
        <v>27</v>
      </c>
      <c r="M56" s="24" t="s">
        <v>97</v>
      </c>
      <c r="N56" s="1" t="s">
        <v>2</v>
      </c>
      <c r="O56" s="1" t="s">
        <v>40</v>
      </c>
      <c r="P56" s="1">
        <f t="shared" si="4"/>
        <v>13.119841139999998</v>
      </c>
      <c r="Q56" s="1">
        <f t="shared" si="4"/>
        <v>10.08711256</v>
      </c>
      <c r="R56" s="1">
        <f t="shared" si="4"/>
        <v>9.7910231999999997</v>
      </c>
      <c r="S56" s="1">
        <f t="shared" si="4"/>
        <v>10.752886339999998</v>
      </c>
      <c r="T56" s="33">
        <v>0</v>
      </c>
      <c r="U56" s="1">
        <v>1</v>
      </c>
      <c r="W56" s="1" t="s">
        <v>27</v>
      </c>
      <c r="X56" s="24" t="s">
        <v>97</v>
      </c>
      <c r="Y56" s="1" t="s">
        <v>2</v>
      </c>
      <c r="Z56" s="1" t="s">
        <v>39</v>
      </c>
      <c r="AA56" s="1">
        <f t="shared" si="1"/>
        <v>13.65534486</v>
      </c>
      <c r="AB56" s="1">
        <f t="shared" si="1"/>
        <v>10.498831439999998</v>
      </c>
      <c r="AC56" s="1">
        <f t="shared" si="1"/>
        <v>10.190656800000001</v>
      </c>
      <c r="AD56" s="1">
        <f t="shared" si="1"/>
        <v>11.19177966</v>
      </c>
      <c r="AE56" s="28">
        <f>SUM($I$28,$I$56,$I$84,$I$112,$I$140,$I$168,$I$196,$I$224,$I$252,$I$280)</f>
        <v>121.343903</v>
      </c>
      <c r="AF56" s="1">
        <v>1</v>
      </c>
    </row>
    <row r="57" spans="2:32" x14ac:dyDescent="0.25">
      <c r="B57" s="24" t="s">
        <v>28</v>
      </c>
      <c r="C57" s="24" t="s">
        <v>97</v>
      </c>
      <c r="D57" s="24" t="s">
        <v>2</v>
      </c>
      <c r="E57" s="24"/>
      <c r="F57" s="1">
        <f>[1]COMOIL!B38/1000</f>
        <v>12.638033000000002</v>
      </c>
      <c r="G57" s="1">
        <f>[1]COMOIL!C38/1000</f>
        <v>10.838209999999998</v>
      </c>
      <c r="H57" s="1">
        <f>[1]COMOIL!D38/1000</f>
        <v>10.902369999999998</v>
      </c>
      <c r="I57" s="1">
        <f>[1]COMOIL!E38/1000</f>
        <v>7.4232210000000007</v>
      </c>
      <c r="J57" s="1">
        <v>1</v>
      </c>
      <c r="L57" s="1" t="s">
        <v>28</v>
      </c>
      <c r="M57" s="24" t="s">
        <v>97</v>
      </c>
      <c r="N57" s="1" t="s">
        <v>2</v>
      </c>
      <c r="O57" s="1" t="s">
        <v>40</v>
      </c>
      <c r="P57" s="1">
        <f t="shared" si="4"/>
        <v>12.385272340000002</v>
      </c>
      <c r="Q57" s="1">
        <f t="shared" si="4"/>
        <v>10.621445799999998</v>
      </c>
      <c r="R57" s="1">
        <f t="shared" si="4"/>
        <v>10.684322599999998</v>
      </c>
      <c r="S57" s="1">
        <f t="shared" si="4"/>
        <v>7.2747565800000009</v>
      </c>
      <c r="T57" s="33">
        <v>0</v>
      </c>
      <c r="U57" s="1">
        <v>1</v>
      </c>
      <c r="W57" s="1" t="s">
        <v>28</v>
      </c>
      <c r="X57" s="24" t="s">
        <v>97</v>
      </c>
      <c r="Y57" s="1" t="s">
        <v>2</v>
      </c>
      <c r="Z57" s="1" t="s">
        <v>39</v>
      </c>
      <c r="AA57" s="1">
        <f t="shared" si="1"/>
        <v>12.890793660000002</v>
      </c>
      <c r="AB57" s="1">
        <f t="shared" si="1"/>
        <v>11.054974199999998</v>
      </c>
      <c r="AC57" s="1">
        <f t="shared" si="1"/>
        <v>11.120417399999997</v>
      </c>
      <c r="AD57" s="1">
        <f t="shared" si="1"/>
        <v>7.5716854200000006</v>
      </c>
      <c r="AE57" s="28">
        <f>SUM($I$29,$I$57,$I$85,$I$113,$I$141,$I$169,$I$197,$I$225,$I$253,$I$281)</f>
        <v>174.41146799999999</v>
      </c>
      <c r="AF57" s="1">
        <v>1</v>
      </c>
    </row>
    <row r="58" spans="2:32" x14ac:dyDescent="0.25">
      <c r="B58" s="24" t="s">
        <v>29</v>
      </c>
      <c r="C58" s="24" t="s">
        <v>97</v>
      </c>
      <c r="D58" s="24" t="s">
        <v>2</v>
      </c>
      <c r="E58" s="24"/>
      <c r="F58" s="1">
        <f>[1]COMOIL!B39/1000</f>
        <v>13.283894</v>
      </c>
      <c r="G58" s="1">
        <f>[1]COMOIL!C39/1000</f>
        <v>10.220130999999999</v>
      </c>
      <c r="H58" s="1">
        <f>[1]COMOIL!D39/1000</f>
        <v>10.427407000000001</v>
      </c>
      <c r="I58" s="1">
        <f>[1]COMOIL!E39/1000</f>
        <v>10.823874000000002</v>
      </c>
      <c r="J58" s="1">
        <v>1</v>
      </c>
      <c r="L58" s="1" t="s">
        <v>29</v>
      </c>
      <c r="M58" s="24" t="s">
        <v>97</v>
      </c>
      <c r="N58" s="1" t="s">
        <v>2</v>
      </c>
      <c r="O58" s="1" t="s">
        <v>40</v>
      </c>
      <c r="P58" s="1">
        <f t="shared" si="4"/>
        <v>13.01821612</v>
      </c>
      <c r="Q58" s="1">
        <f t="shared" si="4"/>
        <v>10.015728379999999</v>
      </c>
      <c r="R58" s="1">
        <f t="shared" si="4"/>
        <v>10.218858860000001</v>
      </c>
      <c r="S58" s="1">
        <f t="shared" si="4"/>
        <v>10.607396520000002</v>
      </c>
      <c r="T58" s="33">
        <v>0</v>
      </c>
      <c r="U58" s="1">
        <v>1</v>
      </c>
      <c r="W58" s="1" t="s">
        <v>29</v>
      </c>
      <c r="X58" s="24" t="s">
        <v>97</v>
      </c>
      <c r="Y58" s="1" t="s">
        <v>2</v>
      </c>
      <c r="Z58" s="1" t="s">
        <v>39</v>
      </c>
      <c r="AA58" s="1">
        <f t="shared" si="1"/>
        <v>13.54957188</v>
      </c>
      <c r="AB58" s="1">
        <f t="shared" si="1"/>
        <v>10.424533619999998</v>
      </c>
      <c r="AC58" s="1">
        <f t="shared" si="1"/>
        <v>10.63595514</v>
      </c>
      <c r="AD58" s="1">
        <f t="shared" si="1"/>
        <v>11.040351480000002</v>
      </c>
      <c r="AE58" s="28">
        <f>SUM($I$30,$I$58,$I$86,$I$114,$I$142,$I$170,$I$198,$I$226,$I$254,$I$282)</f>
        <v>131.14785900000001</v>
      </c>
      <c r="AF58" s="1">
        <v>1</v>
      </c>
    </row>
    <row r="59" spans="2:32" x14ac:dyDescent="0.25">
      <c r="B59" s="24" t="s">
        <v>30</v>
      </c>
      <c r="C59" s="24" t="s">
        <v>97</v>
      </c>
      <c r="D59" s="24" t="s">
        <v>2</v>
      </c>
      <c r="E59" s="24"/>
      <c r="F59" s="1">
        <f>[1]COMOIL!B40/1000</f>
        <v>27.23958</v>
      </c>
      <c r="G59" s="1">
        <f>[1]COMOIL!C40/1000</f>
        <v>31.049911000000002</v>
      </c>
      <c r="H59" s="1">
        <f>G290*D308/C308</f>
        <v>72.372088787831572</v>
      </c>
      <c r="I59" s="1">
        <f>G290*E308/C308</f>
        <v>76.676933371309673</v>
      </c>
      <c r="J59" s="1">
        <v>1</v>
      </c>
      <c r="L59" s="1" t="s">
        <v>30</v>
      </c>
      <c r="M59" s="24" t="s">
        <v>97</v>
      </c>
      <c r="N59" s="1" t="s">
        <v>2</v>
      </c>
      <c r="O59" s="1" t="s">
        <v>40</v>
      </c>
      <c r="P59" s="1">
        <f t="shared" si="4"/>
        <v>26.6947884</v>
      </c>
      <c r="Q59" s="1">
        <f t="shared" si="4"/>
        <v>30.428912780000001</v>
      </c>
      <c r="R59" s="1">
        <f t="shared" si="4"/>
        <v>70.924647012074942</v>
      </c>
      <c r="S59" s="1">
        <f t="shared" si="4"/>
        <v>75.143394703883473</v>
      </c>
      <c r="T59" s="33">
        <v>0</v>
      </c>
      <c r="U59" s="1">
        <v>1</v>
      </c>
      <c r="W59" s="1" t="s">
        <v>30</v>
      </c>
      <c r="X59" s="24" t="s">
        <v>97</v>
      </c>
      <c r="Y59" s="1" t="s">
        <v>2</v>
      </c>
      <c r="Z59" s="1" t="s">
        <v>39</v>
      </c>
      <c r="AA59" s="1">
        <f t="shared" si="1"/>
        <v>27.7843716</v>
      </c>
      <c r="AB59" s="1">
        <f t="shared" si="1"/>
        <v>31.670909220000002</v>
      </c>
      <c r="AC59" s="1">
        <f t="shared" si="1"/>
        <v>73.819530563588202</v>
      </c>
      <c r="AD59" s="1">
        <f t="shared" si="1"/>
        <v>78.210472038735873</v>
      </c>
      <c r="AE59" s="28">
        <f>SUM($I$31,$I$59,$I$87,$I$115,$I$143,$I$171,$I$199,$I$227,$I$255,$I$283)</f>
        <v>698.48733743314938</v>
      </c>
      <c r="AF59" s="1">
        <v>1</v>
      </c>
    </row>
    <row r="60" spans="2:32" x14ac:dyDescent="0.25">
      <c r="B60" s="1" t="s">
        <v>0</v>
      </c>
      <c r="C60" s="1" t="s">
        <v>98</v>
      </c>
      <c r="D60" s="1" t="s">
        <v>2</v>
      </c>
      <c r="E60" s="1"/>
      <c r="F60" s="1">
        <f>[1]COMLPG!B13/1000</f>
        <v>0.59799999999999998</v>
      </c>
      <c r="G60" s="1">
        <f>[1]COMLPG!D13/1000</f>
        <v>0.73599999999999999</v>
      </c>
      <c r="H60" s="1">
        <f>[1]COMLPG!F13/1000</f>
        <v>0.82774999999999999</v>
      </c>
      <c r="I60" s="1">
        <f>[1]COMLPG!H13/1000</f>
        <v>0.75679999999999992</v>
      </c>
      <c r="J60" s="1">
        <v>1</v>
      </c>
      <c r="L60" s="1" t="s">
        <v>0</v>
      </c>
      <c r="M60" s="1" t="s">
        <v>98</v>
      </c>
      <c r="N60" s="1" t="s">
        <v>2</v>
      </c>
      <c r="O60" s="1" t="s">
        <v>40</v>
      </c>
      <c r="P60" s="1">
        <f>IF(ISBLANK(F60),":",0.98*F60)</f>
        <v>0.58604000000000001</v>
      </c>
      <c r="Q60" s="1">
        <f t="shared" si="4"/>
        <v>0.72127999999999992</v>
      </c>
      <c r="R60" s="1">
        <f t="shared" si="4"/>
        <v>0.811195</v>
      </c>
      <c r="S60" s="1">
        <f t="shared" si="4"/>
        <v>0.74166399999999988</v>
      </c>
      <c r="T60" s="33">
        <v>0</v>
      </c>
      <c r="U60" s="1">
        <v>1</v>
      </c>
      <c r="W60" s="1" t="s">
        <v>0</v>
      </c>
      <c r="X60" s="1" t="s">
        <v>98</v>
      </c>
      <c r="Y60" s="1" t="s">
        <v>2</v>
      </c>
      <c r="Z60" s="1" t="s">
        <v>39</v>
      </c>
      <c r="AA60" s="1">
        <f t="shared" si="1"/>
        <v>0.60995999999999995</v>
      </c>
      <c r="AB60" s="1">
        <f t="shared" si="1"/>
        <v>0.75072000000000005</v>
      </c>
      <c r="AC60" s="1">
        <f t="shared" si="1"/>
        <v>0.84430499999999997</v>
      </c>
      <c r="AD60" s="1">
        <f t="shared" si="1"/>
        <v>0.77193599999999996</v>
      </c>
      <c r="AE60" s="28">
        <f>SUM($I$4,$I$32,$I$60,$I$88,$I$116,$I$144,$I$172,$I$200,$I$228,$I$256)</f>
        <v>159.04926399999999</v>
      </c>
      <c r="AF60" s="1">
        <v>1</v>
      </c>
    </row>
    <row r="61" spans="2:32" x14ac:dyDescent="0.25">
      <c r="B61" s="1" t="s">
        <v>3</v>
      </c>
      <c r="C61" s="1" t="s">
        <v>98</v>
      </c>
      <c r="D61" s="1" t="s">
        <v>2</v>
      </c>
      <c r="E61" s="1"/>
      <c r="F61" s="1">
        <f>[1]COMLPG!B14/1000</f>
        <v>0.23</v>
      </c>
      <c r="G61" s="1">
        <f>[1]COMLPG!D14/1000</f>
        <v>0.23</v>
      </c>
      <c r="H61" s="1">
        <f>[1]COMLPG!F14/1000</f>
        <v>0.36105399999999999</v>
      </c>
      <c r="I61" s="1">
        <f>[1]COMLPG!H14/1000</f>
        <v>0.5635460000000001</v>
      </c>
      <c r="J61" s="1">
        <v>1</v>
      </c>
      <c r="L61" s="1" t="s">
        <v>3</v>
      </c>
      <c r="M61" s="1" t="s">
        <v>98</v>
      </c>
      <c r="N61" s="1" t="s">
        <v>2</v>
      </c>
      <c r="O61" s="1" t="s">
        <v>40</v>
      </c>
      <c r="P61" s="1">
        <f t="shared" ref="P61:S76" si="5">IF(ISBLANK(F61),":",0.98*F61)</f>
        <v>0.22540000000000002</v>
      </c>
      <c r="Q61" s="1">
        <f t="shared" si="4"/>
        <v>0.22540000000000002</v>
      </c>
      <c r="R61" s="1">
        <f t="shared" si="4"/>
        <v>0.35383292</v>
      </c>
      <c r="S61" s="1">
        <f t="shared" si="4"/>
        <v>0.55227508000000014</v>
      </c>
      <c r="T61" s="33">
        <v>0</v>
      </c>
      <c r="U61" s="1">
        <v>1</v>
      </c>
      <c r="W61" s="1" t="s">
        <v>3</v>
      </c>
      <c r="X61" s="1" t="s">
        <v>98</v>
      </c>
      <c r="Y61" s="1" t="s">
        <v>2</v>
      </c>
      <c r="Z61" s="1" t="s">
        <v>39</v>
      </c>
      <c r="AA61" s="1">
        <f t="shared" si="1"/>
        <v>0.2346</v>
      </c>
      <c r="AB61" s="1">
        <f t="shared" si="1"/>
        <v>0.2346</v>
      </c>
      <c r="AC61" s="1">
        <f t="shared" si="1"/>
        <v>0.36827507999999998</v>
      </c>
      <c r="AD61" s="1">
        <f t="shared" si="1"/>
        <v>0.57481692000000006</v>
      </c>
      <c r="AE61" s="28">
        <f>SUM($I$5,$I$33,$I$61,$I$89,$I$117,$I$145,$I$173,$I$201,$I$229,$I$257)</f>
        <v>52.687187999999992</v>
      </c>
      <c r="AF61" s="1">
        <v>1</v>
      </c>
    </row>
    <row r="62" spans="2:32" x14ac:dyDescent="0.25">
      <c r="B62" s="1" t="s">
        <v>4</v>
      </c>
      <c r="C62" s="1" t="s">
        <v>98</v>
      </c>
      <c r="D62" s="1" t="s">
        <v>2</v>
      </c>
      <c r="E62" s="1"/>
      <c r="F62" s="1">
        <f>[1]COMLPG!B15/1000</f>
        <v>8.7644E-2</v>
      </c>
      <c r="G62" s="1">
        <f>[1]COMLPG!D15/1000</f>
        <v>0.26280000000000003</v>
      </c>
      <c r="H62" s="1">
        <f>[1]COMLPG!F15/1000</f>
        <v>0.35039999999999999</v>
      </c>
      <c r="I62" s="1">
        <f>[1]COMLPG!H15/1000</f>
        <v>0.39419999999999999</v>
      </c>
      <c r="J62" s="1">
        <v>1</v>
      </c>
      <c r="L62" s="1" t="s">
        <v>4</v>
      </c>
      <c r="M62" s="1" t="s">
        <v>98</v>
      </c>
      <c r="N62" s="1" t="s">
        <v>2</v>
      </c>
      <c r="O62" s="1" t="s">
        <v>40</v>
      </c>
      <c r="P62" s="1">
        <f t="shared" si="5"/>
        <v>8.5891120000000001E-2</v>
      </c>
      <c r="Q62" s="1">
        <f t="shared" si="4"/>
        <v>0.25754400000000005</v>
      </c>
      <c r="R62" s="1">
        <f t="shared" si="4"/>
        <v>0.34339199999999998</v>
      </c>
      <c r="S62" s="1">
        <f t="shared" si="4"/>
        <v>0.38631599999999999</v>
      </c>
      <c r="T62" s="33">
        <v>0</v>
      </c>
      <c r="U62" s="1">
        <v>1</v>
      </c>
      <c r="W62" s="1" t="s">
        <v>4</v>
      </c>
      <c r="X62" s="1" t="s">
        <v>98</v>
      </c>
      <c r="Y62" s="1" t="s">
        <v>2</v>
      </c>
      <c r="Z62" s="1" t="s">
        <v>39</v>
      </c>
      <c r="AA62" s="1">
        <f t="shared" si="1"/>
        <v>8.9396879999999998E-2</v>
      </c>
      <c r="AB62" s="1">
        <f t="shared" si="1"/>
        <v>0.26805600000000002</v>
      </c>
      <c r="AC62" s="1">
        <f t="shared" si="1"/>
        <v>0.357408</v>
      </c>
      <c r="AD62" s="1">
        <f t="shared" si="1"/>
        <v>0.402084</v>
      </c>
      <c r="AE62" s="28">
        <f>SUM($I$6,$I$34,$I$62,$I$90,$I$118,$I$146,$I$174,$I$202,$I$230,$I$258)</f>
        <v>110.98745699999999</v>
      </c>
      <c r="AF62" s="1">
        <v>1</v>
      </c>
    </row>
    <row r="63" spans="2:32" x14ac:dyDescent="0.25">
      <c r="B63" s="1" t="s">
        <v>5</v>
      </c>
      <c r="C63" s="1" t="s">
        <v>98</v>
      </c>
      <c r="D63" s="1" t="s">
        <v>2</v>
      </c>
      <c r="E63" s="1"/>
      <c r="F63" s="1">
        <f>[1]COMLPG!B16/1000</f>
        <v>0.36799999999999999</v>
      </c>
      <c r="G63" s="1">
        <f>[1]COMLPG!D16/1000</f>
        <v>0.38161600000000001</v>
      </c>
      <c r="H63" s="1">
        <f>[1]COMLPG!F16/1000</f>
        <v>0.34049200000000002</v>
      </c>
      <c r="I63" s="1">
        <f>[1]COMLPG!H16/1000</f>
        <v>0.43152600000000002</v>
      </c>
      <c r="J63" s="1">
        <v>1</v>
      </c>
      <c r="L63" s="1" t="s">
        <v>5</v>
      </c>
      <c r="M63" s="1" t="s">
        <v>98</v>
      </c>
      <c r="N63" s="1" t="s">
        <v>2</v>
      </c>
      <c r="O63" s="1" t="s">
        <v>40</v>
      </c>
      <c r="P63" s="1">
        <f t="shared" si="5"/>
        <v>0.36063999999999996</v>
      </c>
      <c r="Q63" s="1">
        <f t="shared" si="5"/>
        <v>0.37398367999999999</v>
      </c>
      <c r="R63" s="1">
        <f t="shared" si="5"/>
        <v>0.33368216000000001</v>
      </c>
      <c r="S63" s="1">
        <f t="shared" si="5"/>
        <v>0.42289547999999999</v>
      </c>
      <c r="T63" s="33">
        <v>0</v>
      </c>
      <c r="U63" s="1">
        <v>1</v>
      </c>
      <c r="W63" s="1" t="s">
        <v>5</v>
      </c>
      <c r="X63" s="1" t="s">
        <v>98</v>
      </c>
      <c r="Y63" s="1" t="s">
        <v>2</v>
      </c>
      <c r="Z63" s="1" t="s">
        <v>39</v>
      </c>
      <c r="AA63" s="1">
        <f t="shared" si="1"/>
        <v>0.37536000000000003</v>
      </c>
      <c r="AB63" s="1">
        <f t="shared" si="1"/>
        <v>0.38924832000000004</v>
      </c>
      <c r="AC63" s="1">
        <f t="shared" si="1"/>
        <v>0.34730184000000003</v>
      </c>
      <c r="AD63" s="1">
        <f t="shared" si="1"/>
        <v>0.44015652000000005</v>
      </c>
      <c r="AE63" s="28">
        <f>SUM($I$7,$I$35,$I$63,$I$91,$I$119,$I$147,$I$175,$I$203,$I$231,$I$259)</f>
        <v>78.733746999999994</v>
      </c>
      <c r="AF63" s="1">
        <v>1</v>
      </c>
    </row>
    <row r="64" spans="2:32" x14ac:dyDescent="0.25">
      <c r="B64" s="1" t="s">
        <v>6</v>
      </c>
      <c r="C64" s="1" t="s">
        <v>98</v>
      </c>
      <c r="D64" s="1" t="s">
        <v>2</v>
      </c>
      <c r="E64" s="1"/>
      <c r="F64" s="1">
        <f>[1]COMLPG!B17/1000</f>
        <v>15.282292</v>
      </c>
      <c r="G64" s="1">
        <f>[1]COMLPG!D17/1000</f>
        <v>14.018094</v>
      </c>
      <c r="H64" s="1">
        <f>[1]COMLPG!F17/1000</f>
        <v>7.1502840000000001</v>
      </c>
      <c r="I64" s="1">
        <f>[1]COMLPG!H17/1000</f>
        <v>1.8091079999999999</v>
      </c>
      <c r="J64" s="1">
        <v>1</v>
      </c>
      <c r="L64" s="1" t="s">
        <v>6</v>
      </c>
      <c r="M64" s="1" t="s">
        <v>98</v>
      </c>
      <c r="N64" s="1" t="s">
        <v>2</v>
      </c>
      <c r="O64" s="1" t="s">
        <v>40</v>
      </c>
      <c r="P64" s="1">
        <f t="shared" si="5"/>
        <v>14.97664616</v>
      </c>
      <c r="Q64" s="1">
        <f t="shared" si="5"/>
        <v>13.737732119999999</v>
      </c>
      <c r="R64" s="1">
        <f t="shared" si="5"/>
        <v>7.0072783200000002</v>
      </c>
      <c r="S64" s="1">
        <f t="shared" si="5"/>
        <v>1.7729258399999999</v>
      </c>
      <c r="T64" s="33">
        <v>0</v>
      </c>
      <c r="U64" s="1">
        <v>1</v>
      </c>
      <c r="W64" s="1" t="s">
        <v>6</v>
      </c>
      <c r="X64" s="1" t="s">
        <v>98</v>
      </c>
      <c r="Y64" s="1" t="s">
        <v>2</v>
      </c>
      <c r="Z64" s="1" t="s">
        <v>39</v>
      </c>
      <c r="AA64" s="1">
        <f t="shared" si="1"/>
        <v>15.58793784</v>
      </c>
      <c r="AB64" s="1">
        <f t="shared" si="1"/>
        <v>14.298455880000001</v>
      </c>
      <c r="AC64" s="1">
        <f t="shared" si="1"/>
        <v>7.29328968</v>
      </c>
      <c r="AD64" s="1">
        <f t="shared" si="1"/>
        <v>1.84529016</v>
      </c>
      <c r="AE64" s="28">
        <f>SUM($I$8,$I$36,$I$64,$I$92,$I$120,$I$148,$I$176,$I$204,$I$232,$I$260)</f>
        <v>998.19450100000006</v>
      </c>
      <c r="AF64" s="1">
        <v>1</v>
      </c>
    </row>
    <row r="65" spans="2:32" x14ac:dyDescent="0.25">
      <c r="B65" s="1" t="s">
        <v>7</v>
      </c>
      <c r="C65" s="1" t="s">
        <v>98</v>
      </c>
      <c r="D65" s="1" t="s">
        <v>2</v>
      </c>
      <c r="E65" s="1"/>
      <c r="F65" s="1">
        <f>[1]COMLPG!B18/1000</f>
        <v>4.5054000000000004E-2</v>
      </c>
      <c r="G65" s="1">
        <f>[1]COMLPG!D18/1000</f>
        <v>4.5499999999999999E-2</v>
      </c>
      <c r="H65" s="1">
        <f>[1]COMLPG!F18/1000</f>
        <v>9.4185000000000005E-2</v>
      </c>
      <c r="I65" s="1">
        <f>[1]COMLPG!H18/1000</f>
        <v>0.165575</v>
      </c>
      <c r="J65" s="1">
        <v>1</v>
      </c>
      <c r="L65" s="1" t="s">
        <v>7</v>
      </c>
      <c r="M65" s="1" t="s">
        <v>98</v>
      </c>
      <c r="N65" s="1" t="s">
        <v>2</v>
      </c>
      <c r="O65" s="1" t="s">
        <v>40</v>
      </c>
      <c r="P65" s="1">
        <f t="shared" si="5"/>
        <v>4.4152920000000005E-2</v>
      </c>
      <c r="Q65" s="1">
        <f t="shared" si="5"/>
        <v>4.4589999999999998E-2</v>
      </c>
      <c r="R65" s="1">
        <f t="shared" si="5"/>
        <v>9.2301300000000003E-2</v>
      </c>
      <c r="S65" s="1">
        <f t="shared" si="5"/>
        <v>0.1622635</v>
      </c>
      <c r="T65" s="33">
        <v>0</v>
      </c>
      <c r="U65" s="1">
        <v>1</v>
      </c>
      <c r="W65" s="1" t="s">
        <v>7</v>
      </c>
      <c r="X65" s="1" t="s">
        <v>98</v>
      </c>
      <c r="Y65" s="1" t="s">
        <v>2</v>
      </c>
      <c r="Z65" s="1" t="s">
        <v>39</v>
      </c>
      <c r="AA65" s="1">
        <f t="shared" si="1"/>
        <v>4.5955080000000002E-2</v>
      </c>
      <c r="AB65" s="1">
        <f t="shared" si="1"/>
        <v>4.641E-2</v>
      </c>
      <c r="AC65" s="1">
        <f t="shared" si="1"/>
        <v>9.6068700000000007E-2</v>
      </c>
      <c r="AD65" s="1">
        <f t="shared" si="1"/>
        <v>0.16888649999999999</v>
      </c>
      <c r="AE65" s="28">
        <f>SUM($I$9,$I$37,$I$65,$I$93,$I$121,$I$149,$I$177,$I$205,$I$233,$I$261)</f>
        <v>15.12316</v>
      </c>
      <c r="AF65" s="1">
        <v>1</v>
      </c>
    </row>
    <row r="66" spans="2:32" x14ac:dyDescent="0.25">
      <c r="B66" s="1" t="s">
        <v>8</v>
      </c>
      <c r="C66" s="1" t="s">
        <v>98</v>
      </c>
      <c r="D66" s="1" t="s">
        <v>2</v>
      </c>
      <c r="E66" s="1"/>
      <c r="F66" s="1">
        <f>[1]COMLPG!B19/1000</f>
        <v>3.1405419999999999</v>
      </c>
      <c r="G66" s="1">
        <f>[1]COMLPG!D19/1000</f>
        <v>2.8940109999999999</v>
      </c>
      <c r="H66" s="1">
        <f>[1]COMLPG!F19/1000</f>
        <v>2.2391049999999999</v>
      </c>
      <c r="I66" s="1">
        <f>[1]COMLPG!H19/1000</f>
        <v>2.910228</v>
      </c>
      <c r="J66" s="1">
        <v>1</v>
      </c>
      <c r="L66" s="1" t="s">
        <v>8</v>
      </c>
      <c r="M66" s="1" t="s">
        <v>98</v>
      </c>
      <c r="N66" s="1" t="s">
        <v>2</v>
      </c>
      <c r="O66" s="1" t="s">
        <v>40</v>
      </c>
      <c r="P66" s="1">
        <f t="shared" si="5"/>
        <v>3.0777311599999999</v>
      </c>
      <c r="Q66" s="1">
        <f t="shared" si="5"/>
        <v>2.83613078</v>
      </c>
      <c r="R66" s="1">
        <f t="shared" si="5"/>
        <v>2.1943229</v>
      </c>
      <c r="S66" s="1">
        <f t="shared" si="5"/>
        <v>2.85202344</v>
      </c>
      <c r="T66" s="33">
        <v>0</v>
      </c>
      <c r="U66" s="1">
        <v>1</v>
      </c>
      <c r="W66" s="1" t="s">
        <v>8</v>
      </c>
      <c r="X66" s="1" t="s">
        <v>98</v>
      </c>
      <c r="Y66" s="1" t="s">
        <v>2</v>
      </c>
      <c r="Z66" s="1" t="s">
        <v>39</v>
      </c>
      <c r="AA66" s="1">
        <f t="shared" si="1"/>
        <v>3.20335284</v>
      </c>
      <c r="AB66" s="1">
        <f t="shared" si="1"/>
        <v>2.9518912199999998</v>
      </c>
      <c r="AC66" s="1">
        <f t="shared" si="1"/>
        <v>2.2838870999999998</v>
      </c>
      <c r="AD66" s="1">
        <f t="shared" si="1"/>
        <v>2.9684325600000001</v>
      </c>
      <c r="AE66" s="28">
        <f>SUM(I$10,I$38,I$66,I$94,I$122,I$150,I$178,I$206,I$234,I$262)</f>
        <v>81.18795200000001</v>
      </c>
      <c r="AF66" s="1">
        <v>1</v>
      </c>
    </row>
    <row r="67" spans="2:32" x14ac:dyDescent="0.25">
      <c r="B67" s="1" t="s">
        <v>9</v>
      </c>
      <c r="C67" s="1" t="s">
        <v>98</v>
      </c>
      <c r="D67" s="1" t="s">
        <v>2</v>
      </c>
      <c r="E67" s="1"/>
      <c r="F67" s="1">
        <f>[1]COMLPG!B20/1000</f>
        <v>1.84</v>
      </c>
      <c r="G67" s="1">
        <f>[1]COMLPG!D20/1000</f>
        <v>1.978</v>
      </c>
      <c r="H67" s="1">
        <f>[1]COMLPG!F20/1000</f>
        <v>1.9508599999999998</v>
      </c>
      <c r="I67" s="1">
        <f>[1]COMLPG!H20/1000</f>
        <v>4.5336220000000003</v>
      </c>
      <c r="J67" s="1">
        <v>1</v>
      </c>
      <c r="L67" s="1" t="s">
        <v>9</v>
      </c>
      <c r="M67" s="1" t="s">
        <v>98</v>
      </c>
      <c r="N67" s="1" t="s">
        <v>2</v>
      </c>
      <c r="O67" s="1" t="s">
        <v>40</v>
      </c>
      <c r="P67" s="1">
        <f t="shared" si="5"/>
        <v>1.8032000000000001</v>
      </c>
      <c r="Q67" s="1">
        <f t="shared" si="5"/>
        <v>1.9384399999999999</v>
      </c>
      <c r="R67" s="1">
        <f t="shared" si="5"/>
        <v>1.9118427999999998</v>
      </c>
      <c r="S67" s="1">
        <f t="shared" si="5"/>
        <v>4.4429495599999997</v>
      </c>
      <c r="T67" s="33">
        <v>0</v>
      </c>
      <c r="U67" s="1">
        <v>1</v>
      </c>
      <c r="W67" s="1" t="s">
        <v>9</v>
      </c>
      <c r="X67" s="1" t="s">
        <v>98</v>
      </c>
      <c r="Y67" s="1" t="s">
        <v>2</v>
      </c>
      <c r="Z67" s="1" t="s">
        <v>39</v>
      </c>
      <c r="AA67" s="1">
        <f t="shared" si="1"/>
        <v>1.8768</v>
      </c>
      <c r="AB67" s="1">
        <f t="shared" si="1"/>
        <v>2.01756</v>
      </c>
      <c r="AC67" s="1">
        <f t="shared" si="1"/>
        <v>1.9898771999999998</v>
      </c>
      <c r="AD67" s="1">
        <f t="shared" ref="AD67:AD130" si="6">IF(ISBLANK(I67),":",1.02*I67)</f>
        <v>4.6242944400000008</v>
      </c>
      <c r="AE67" s="28">
        <f>SUM($I$11,$I$39,$I$67,$I$95,$I$123,$I$151,$I$179,$I$207,$I$235,$I$263)</f>
        <v>89.565158000000011</v>
      </c>
      <c r="AF67" s="1">
        <v>1</v>
      </c>
    </row>
    <row r="68" spans="2:32" x14ac:dyDescent="0.25">
      <c r="B68" s="1" t="s">
        <v>10</v>
      </c>
      <c r="C68" s="1" t="s">
        <v>98</v>
      </c>
      <c r="D68" s="1" t="s">
        <v>2</v>
      </c>
      <c r="E68" s="1"/>
      <c r="F68" s="1">
        <f>[1]COMLPG!B21/1000</f>
        <v>8.4667000000000012</v>
      </c>
      <c r="G68" s="1">
        <f>[1]COMLPG!D21/1000</f>
        <v>7.8045</v>
      </c>
      <c r="H68" s="1">
        <f>[1]COMLPG!F21/1000</f>
        <v>4.8718999999999992</v>
      </c>
      <c r="I68" s="1">
        <f>[1]COMLPG!H21/1000</f>
        <v>10.791306000000001</v>
      </c>
      <c r="J68" s="1">
        <v>1</v>
      </c>
      <c r="L68" s="1" t="s">
        <v>10</v>
      </c>
      <c r="M68" s="1" t="s">
        <v>98</v>
      </c>
      <c r="N68" s="1" t="s">
        <v>2</v>
      </c>
      <c r="O68" s="1" t="s">
        <v>40</v>
      </c>
      <c r="P68" s="1">
        <f t="shared" si="5"/>
        <v>8.2973660000000002</v>
      </c>
      <c r="Q68" s="1">
        <f t="shared" si="5"/>
        <v>7.6484100000000002</v>
      </c>
      <c r="R68" s="1">
        <f t="shared" si="5"/>
        <v>4.7744619999999989</v>
      </c>
      <c r="S68" s="1">
        <f t="shared" si="5"/>
        <v>10.57547988</v>
      </c>
      <c r="T68" s="33">
        <v>0</v>
      </c>
      <c r="U68" s="1">
        <v>1</v>
      </c>
      <c r="W68" s="1" t="s">
        <v>10</v>
      </c>
      <c r="X68" s="1" t="s">
        <v>98</v>
      </c>
      <c r="Y68" s="1" t="s">
        <v>2</v>
      </c>
      <c r="Z68" s="1" t="s">
        <v>39</v>
      </c>
      <c r="AA68" s="1">
        <f t="shared" ref="AA68:AD131" si="7">IF(ISBLANK(F68),":",1.02*F68)</f>
        <v>8.6360340000000022</v>
      </c>
      <c r="AB68" s="1">
        <f t="shared" si="7"/>
        <v>7.9605899999999998</v>
      </c>
      <c r="AC68" s="1">
        <f t="shared" si="7"/>
        <v>4.9693379999999996</v>
      </c>
      <c r="AD68" s="1">
        <f t="shared" si="6"/>
        <v>11.007132120000001</v>
      </c>
      <c r="AE68" s="28">
        <f>SUM($I$12,$I$40,$I$68,$I$96,$I$124,$I$152,$I$180,$I$208,$I$236,$I$264)</f>
        <v>427.84543500000007</v>
      </c>
      <c r="AF68" s="1">
        <v>1</v>
      </c>
    </row>
    <row r="69" spans="2:32" x14ac:dyDescent="0.25">
      <c r="B69" s="1" t="s">
        <v>11</v>
      </c>
      <c r="C69" s="1" t="s">
        <v>98</v>
      </c>
      <c r="D69" s="1" t="s">
        <v>2</v>
      </c>
      <c r="E69" s="1"/>
      <c r="F69" s="1">
        <f>[1]COMLPG!B22/1000</f>
        <v>21.249378</v>
      </c>
      <c r="G69" s="1">
        <f>[1]COMLPG!D22/1000</f>
        <v>14.163077999999999</v>
      </c>
      <c r="H69" s="1">
        <f>[1]COMLPG!F22/1000</f>
        <v>10.988479999999999</v>
      </c>
      <c r="I69" s="1">
        <f>[1]COMLPG!H22/1000</f>
        <v>8.3278860000000012</v>
      </c>
      <c r="J69" s="1">
        <v>1</v>
      </c>
      <c r="L69" s="1" t="s">
        <v>11</v>
      </c>
      <c r="M69" s="1" t="s">
        <v>98</v>
      </c>
      <c r="N69" s="1" t="s">
        <v>2</v>
      </c>
      <c r="O69" s="1" t="s">
        <v>40</v>
      </c>
      <c r="P69" s="1">
        <f t="shared" si="5"/>
        <v>20.824390439999998</v>
      </c>
      <c r="Q69" s="1">
        <f t="shared" si="5"/>
        <v>13.879816439999999</v>
      </c>
      <c r="R69" s="1">
        <f t="shared" si="5"/>
        <v>10.7687104</v>
      </c>
      <c r="S69" s="1">
        <f t="shared" si="5"/>
        <v>8.1613282800000011</v>
      </c>
      <c r="T69" s="33">
        <v>0</v>
      </c>
      <c r="U69" s="1">
        <v>1</v>
      </c>
      <c r="W69" s="1" t="s">
        <v>11</v>
      </c>
      <c r="X69" s="1" t="s">
        <v>98</v>
      </c>
      <c r="Y69" s="1" t="s">
        <v>2</v>
      </c>
      <c r="Z69" s="1" t="s">
        <v>39</v>
      </c>
      <c r="AA69" s="1">
        <f t="shared" si="7"/>
        <v>21.674365560000002</v>
      </c>
      <c r="AB69" s="1">
        <f t="shared" si="7"/>
        <v>14.446339559999998</v>
      </c>
      <c r="AC69" s="1">
        <f t="shared" si="7"/>
        <v>11.208249599999998</v>
      </c>
      <c r="AD69" s="1">
        <f t="shared" si="6"/>
        <v>8.4944437200000014</v>
      </c>
      <c r="AE69" s="28">
        <f>SUM($I$13,$I$41,$I$69,$I$97,$I$125,$I$153,$I$181,$I$209,$I$237,$I$265)</f>
        <v>780.29733900000008</v>
      </c>
      <c r="AF69" s="1">
        <v>1</v>
      </c>
    </row>
    <row r="70" spans="2:32" x14ac:dyDescent="0.25">
      <c r="B70" s="1" t="s">
        <v>12</v>
      </c>
      <c r="C70" s="1" t="s">
        <v>98</v>
      </c>
      <c r="D70" s="1" t="s">
        <v>2</v>
      </c>
      <c r="E70" s="1"/>
      <c r="F70" s="1">
        <f>[1]COMLPG!B23/1000</f>
        <v>0.60957000000000006</v>
      </c>
      <c r="G70" s="1">
        <f>[1]COMLPG!D23/1000</f>
        <v>0.56267999999999996</v>
      </c>
      <c r="H70" s="1">
        <f>[1]COMLPG!F23/1000</f>
        <v>0.46889999999999998</v>
      </c>
      <c r="I70" s="1">
        <f>[1]COMLPG!H23/1000</f>
        <v>0.31416300000000003</v>
      </c>
      <c r="J70" s="1">
        <v>1</v>
      </c>
      <c r="L70" s="1" t="s">
        <v>12</v>
      </c>
      <c r="M70" s="1" t="s">
        <v>98</v>
      </c>
      <c r="N70" s="1" t="s">
        <v>2</v>
      </c>
      <c r="O70" s="1" t="s">
        <v>40</v>
      </c>
      <c r="P70" s="1">
        <f t="shared" si="5"/>
        <v>0.59737860000000009</v>
      </c>
      <c r="Q70" s="1">
        <f t="shared" si="5"/>
        <v>0.55142639999999998</v>
      </c>
      <c r="R70" s="1">
        <f t="shared" si="5"/>
        <v>0.45952199999999999</v>
      </c>
      <c r="S70" s="1">
        <f t="shared" si="5"/>
        <v>0.30787974000000001</v>
      </c>
      <c r="T70" s="33">
        <v>0</v>
      </c>
      <c r="U70" s="1">
        <v>1</v>
      </c>
      <c r="W70" s="1" t="s">
        <v>12</v>
      </c>
      <c r="X70" s="1" t="s">
        <v>98</v>
      </c>
      <c r="Y70" s="1" t="s">
        <v>2</v>
      </c>
      <c r="Z70" s="1" t="s">
        <v>39</v>
      </c>
      <c r="AA70" s="1">
        <f t="shared" si="7"/>
        <v>0.62176140000000002</v>
      </c>
      <c r="AB70" s="1">
        <f t="shared" si="7"/>
        <v>0.57393359999999993</v>
      </c>
      <c r="AC70" s="1">
        <f t="shared" si="7"/>
        <v>0.47827799999999998</v>
      </c>
      <c r="AD70" s="1">
        <f t="shared" si="6"/>
        <v>0.32044626000000004</v>
      </c>
      <c r="AE70" s="28">
        <f>SUM($I$14,$I$42,$I$70,$I$98,$I$126,$I$154,$I$182,$I$210,$I$238,$I$266)</f>
        <v>32.639519</v>
      </c>
      <c r="AF70" s="1">
        <v>1</v>
      </c>
    </row>
    <row r="71" spans="2:32" x14ac:dyDescent="0.25">
      <c r="B71" s="1" t="s">
        <v>13</v>
      </c>
      <c r="C71" s="1" t="s">
        <v>98</v>
      </c>
      <c r="D71" s="1" t="s">
        <v>2</v>
      </c>
      <c r="E71" s="1"/>
      <c r="F71" s="1">
        <f>[1]COMLPG!B24/1000</f>
        <v>24.61</v>
      </c>
      <c r="G71" s="1">
        <f>[1]COMLPG!D24/1000</f>
        <v>17.204000000000001</v>
      </c>
      <c r="H71" s="1">
        <f>[1]COMLPG!F24/1000</f>
        <v>18.196312000000002</v>
      </c>
      <c r="I71" s="1">
        <f>[1]COMLPG!H24/1000</f>
        <v>18.707878000000001</v>
      </c>
      <c r="J71" s="1">
        <v>1</v>
      </c>
      <c r="L71" s="1" t="s">
        <v>13</v>
      </c>
      <c r="M71" s="1" t="s">
        <v>98</v>
      </c>
      <c r="N71" s="1" t="s">
        <v>2</v>
      </c>
      <c r="O71" s="1" t="s">
        <v>40</v>
      </c>
      <c r="P71" s="1">
        <f t="shared" si="5"/>
        <v>24.117799999999999</v>
      </c>
      <c r="Q71" s="1">
        <f t="shared" si="5"/>
        <v>16.859919999999999</v>
      </c>
      <c r="R71" s="1">
        <f t="shared" si="5"/>
        <v>17.832385760000001</v>
      </c>
      <c r="S71" s="1">
        <f t="shared" si="5"/>
        <v>18.33372044</v>
      </c>
      <c r="T71" s="33">
        <v>0</v>
      </c>
      <c r="U71" s="1">
        <v>1</v>
      </c>
      <c r="W71" s="1" t="s">
        <v>13</v>
      </c>
      <c r="X71" s="1" t="s">
        <v>98</v>
      </c>
      <c r="Y71" s="1" t="s">
        <v>2</v>
      </c>
      <c r="Z71" s="1" t="s">
        <v>39</v>
      </c>
      <c r="AA71" s="1">
        <f t="shared" si="7"/>
        <v>25.1022</v>
      </c>
      <c r="AB71" s="1">
        <f t="shared" si="7"/>
        <v>17.548080000000002</v>
      </c>
      <c r="AC71" s="1">
        <f t="shared" si="7"/>
        <v>18.560238240000004</v>
      </c>
      <c r="AD71" s="1">
        <f t="shared" si="6"/>
        <v>19.082035560000001</v>
      </c>
      <c r="AE71" s="28">
        <f>SUM($I$15,$I$43,$I$71,$I$99,$I$127,$I$155,$I$183,$I$211,$I$239,$I$267)</f>
        <v>694.24554299999988</v>
      </c>
      <c r="AF71" s="1">
        <v>1</v>
      </c>
    </row>
    <row r="72" spans="2:32" x14ac:dyDescent="0.25">
      <c r="B72" s="1" t="s">
        <v>14</v>
      </c>
      <c r="C72" s="1" t="s">
        <v>98</v>
      </c>
      <c r="D72" s="1" t="s">
        <v>2</v>
      </c>
      <c r="E72" s="1"/>
      <c r="F72" s="1">
        <f>[1]COMLPG!B25/1000</f>
        <v>0.6149</v>
      </c>
      <c r="G72" s="1">
        <f>[1]COMLPG!D25/1000</f>
        <v>0.52029999999999998</v>
      </c>
      <c r="H72" s="1">
        <f>[1]COMLPG!F25/1000</f>
        <v>0.52611800000000009</v>
      </c>
      <c r="I72" s="1">
        <f>[1]COMLPG!H25/1000</f>
        <v>0.50804899999999997</v>
      </c>
      <c r="J72" s="1">
        <v>1</v>
      </c>
      <c r="L72" s="1" t="s">
        <v>14</v>
      </c>
      <c r="M72" s="1" t="s">
        <v>98</v>
      </c>
      <c r="N72" s="1" t="s">
        <v>2</v>
      </c>
      <c r="O72" s="1" t="s">
        <v>40</v>
      </c>
      <c r="P72" s="1">
        <f t="shared" si="5"/>
        <v>0.60260199999999997</v>
      </c>
      <c r="Q72" s="1">
        <f t="shared" si="5"/>
        <v>0.50989399999999996</v>
      </c>
      <c r="R72" s="1">
        <f t="shared" si="5"/>
        <v>0.51559564000000002</v>
      </c>
      <c r="S72" s="1">
        <f t="shared" si="5"/>
        <v>0.49788801999999999</v>
      </c>
      <c r="T72" s="33">
        <v>0</v>
      </c>
      <c r="U72" s="1">
        <v>1</v>
      </c>
      <c r="W72" s="1" t="s">
        <v>14</v>
      </c>
      <c r="X72" s="1" t="s">
        <v>98</v>
      </c>
      <c r="Y72" s="1" t="s">
        <v>2</v>
      </c>
      <c r="Z72" s="1" t="s">
        <v>39</v>
      </c>
      <c r="AA72" s="1">
        <f t="shared" si="7"/>
        <v>0.62719800000000003</v>
      </c>
      <c r="AB72" s="1">
        <f t="shared" si="7"/>
        <v>0.53070600000000001</v>
      </c>
      <c r="AC72" s="1">
        <f t="shared" si="7"/>
        <v>0.53664036000000015</v>
      </c>
      <c r="AD72" s="1">
        <f t="shared" si="6"/>
        <v>0.51820997999999996</v>
      </c>
      <c r="AE72" s="28">
        <f>SUM($I$16,$I$44,$I$72,$I$100,$I$128,$I$156,$I$184,$I$212,$I$240,$I$268)</f>
        <v>12.063378</v>
      </c>
      <c r="AF72" s="1">
        <v>1</v>
      </c>
    </row>
    <row r="73" spans="2:32" x14ac:dyDescent="0.25">
      <c r="B73" s="1" t="s">
        <v>15</v>
      </c>
      <c r="C73" s="1" t="s">
        <v>98</v>
      </c>
      <c r="D73" s="1" t="s">
        <v>2</v>
      </c>
      <c r="E73" s="1"/>
      <c r="F73" s="1">
        <f>[1]COMLPG!B26/1000</f>
        <v>9.1079999999999994E-2</v>
      </c>
      <c r="G73" s="1">
        <f>[1]COMLPG!D26/1000</f>
        <v>0.13661999999999999</v>
      </c>
      <c r="H73" s="1">
        <f>[1]COMLPG!F26/1000</f>
        <v>0.214584</v>
      </c>
      <c r="I73" s="1">
        <f>[1]COMLPG!H26/1000</f>
        <v>0.28139199999999998</v>
      </c>
      <c r="J73" s="1">
        <v>1</v>
      </c>
      <c r="L73" s="1" t="s">
        <v>15</v>
      </c>
      <c r="M73" s="1" t="s">
        <v>98</v>
      </c>
      <c r="N73" s="1" t="s">
        <v>2</v>
      </c>
      <c r="O73" s="1" t="s">
        <v>40</v>
      </c>
      <c r="P73" s="1">
        <f t="shared" si="5"/>
        <v>8.9258399999999988E-2</v>
      </c>
      <c r="Q73" s="1">
        <f t="shared" si="5"/>
        <v>0.1338876</v>
      </c>
      <c r="R73" s="1">
        <f t="shared" si="5"/>
        <v>0.21029232</v>
      </c>
      <c r="S73" s="1">
        <f t="shared" si="5"/>
        <v>0.27576415999999998</v>
      </c>
      <c r="T73" s="33">
        <v>0</v>
      </c>
      <c r="U73" s="1">
        <v>1</v>
      </c>
      <c r="W73" s="1" t="s">
        <v>15</v>
      </c>
      <c r="X73" s="1" t="s">
        <v>98</v>
      </c>
      <c r="Y73" s="1" t="s">
        <v>2</v>
      </c>
      <c r="Z73" s="1" t="s">
        <v>39</v>
      </c>
      <c r="AA73" s="1">
        <f t="shared" si="7"/>
        <v>9.2901600000000001E-2</v>
      </c>
      <c r="AB73" s="1">
        <f t="shared" si="7"/>
        <v>0.13935239999999999</v>
      </c>
      <c r="AC73" s="1">
        <f t="shared" si="7"/>
        <v>0.21887567999999999</v>
      </c>
      <c r="AD73" s="1">
        <f t="shared" si="6"/>
        <v>0.28701983999999997</v>
      </c>
      <c r="AE73" s="28">
        <f>SUM($I$17,$I$45,$I$73,$I$101,$I$129,$I$157,$I$185,$I$213,$I$241,$I$269)</f>
        <v>22.533501999999999</v>
      </c>
      <c r="AF73" s="1">
        <v>1</v>
      </c>
    </row>
    <row r="74" spans="2:32" x14ac:dyDescent="0.25">
      <c r="B74" s="1" t="s">
        <v>16</v>
      </c>
      <c r="C74" s="1" t="s">
        <v>98</v>
      </c>
      <c r="D74" s="1" t="s">
        <v>2</v>
      </c>
      <c r="E74" s="1"/>
      <c r="F74" s="1">
        <f>[1]COMLPG!B27/1000</f>
        <v>0</v>
      </c>
      <c r="G74" s="1">
        <f>[1]COMLPG!D27/1000</f>
        <v>0</v>
      </c>
      <c r="H74" s="1">
        <f>[1]COMLPG!F27/1000</f>
        <v>3.2052999999999998E-2</v>
      </c>
      <c r="I74" s="1">
        <f>[1]COMLPG!H27/1000</f>
        <v>3.2011000000000005E-2</v>
      </c>
      <c r="J74" s="1">
        <v>1</v>
      </c>
      <c r="L74" s="1" t="s">
        <v>16</v>
      </c>
      <c r="M74" s="1" t="s">
        <v>98</v>
      </c>
      <c r="N74" s="1" t="s">
        <v>2</v>
      </c>
      <c r="O74" s="1" t="s">
        <v>40</v>
      </c>
      <c r="P74" s="1">
        <f t="shared" si="5"/>
        <v>0</v>
      </c>
      <c r="Q74" s="1">
        <f t="shared" si="5"/>
        <v>0</v>
      </c>
      <c r="R74" s="1">
        <f t="shared" si="5"/>
        <v>3.1411939999999999E-2</v>
      </c>
      <c r="S74" s="1">
        <f t="shared" si="5"/>
        <v>3.1370780000000001E-2</v>
      </c>
      <c r="T74" s="33">
        <v>0</v>
      </c>
      <c r="U74" s="1">
        <v>1</v>
      </c>
      <c r="W74" s="1" t="s">
        <v>16</v>
      </c>
      <c r="X74" s="1" t="s">
        <v>98</v>
      </c>
      <c r="Y74" s="1" t="s">
        <v>2</v>
      </c>
      <c r="Z74" s="1" t="s">
        <v>39</v>
      </c>
      <c r="AA74" s="1">
        <f t="shared" si="7"/>
        <v>0</v>
      </c>
      <c r="AB74" s="1">
        <f t="shared" si="7"/>
        <v>0</v>
      </c>
      <c r="AC74" s="1">
        <f t="shared" si="7"/>
        <v>3.2694059999999997E-2</v>
      </c>
      <c r="AD74" s="1">
        <f t="shared" si="6"/>
        <v>3.2651220000000009E-2</v>
      </c>
      <c r="AE74" s="28">
        <f>SUM($I$18,$I$46,$I$74,$I$102,$I$130,$I$158,$I$186,$I$214,$I$242,$I$270)</f>
        <v>25.619449000000003</v>
      </c>
      <c r="AF74" s="1">
        <v>1</v>
      </c>
    </row>
    <row r="75" spans="2:32" x14ac:dyDescent="0.25">
      <c r="B75" s="1" t="s">
        <v>17</v>
      </c>
      <c r="C75" s="1" t="s">
        <v>98</v>
      </c>
      <c r="D75" s="1" t="s">
        <v>2</v>
      </c>
      <c r="E75" s="1"/>
      <c r="F75" s="1">
        <f>[1]COMLPG!B28/1000</f>
        <v>0.369334</v>
      </c>
      <c r="G75" s="1">
        <f>[1]COMLPG!D28/1000</f>
        <v>0.38869999999999999</v>
      </c>
      <c r="H75" s="1">
        <f>[1]COMLPG!F28/1000</f>
        <v>0.29683800000000005</v>
      </c>
      <c r="I75" s="1">
        <f>[1]COMLPG!H28/1000</f>
        <v>0.44794799999999996</v>
      </c>
      <c r="J75" s="1">
        <v>1</v>
      </c>
      <c r="L75" s="1" t="s">
        <v>17</v>
      </c>
      <c r="M75" s="1" t="s">
        <v>98</v>
      </c>
      <c r="N75" s="1" t="s">
        <v>2</v>
      </c>
      <c r="O75" s="1" t="s">
        <v>40</v>
      </c>
      <c r="P75" s="1">
        <f t="shared" si="5"/>
        <v>0.36194732000000002</v>
      </c>
      <c r="Q75" s="1">
        <f t="shared" si="5"/>
        <v>0.38092599999999999</v>
      </c>
      <c r="R75" s="1">
        <f t="shared" si="5"/>
        <v>0.29090124000000006</v>
      </c>
      <c r="S75" s="1">
        <f t="shared" si="5"/>
        <v>0.43898903999999994</v>
      </c>
      <c r="T75" s="33">
        <v>0</v>
      </c>
      <c r="U75" s="1">
        <v>1</v>
      </c>
      <c r="W75" s="1" t="s">
        <v>17</v>
      </c>
      <c r="X75" s="1" t="s">
        <v>98</v>
      </c>
      <c r="Y75" s="1" t="s">
        <v>2</v>
      </c>
      <c r="Z75" s="1" t="s">
        <v>39</v>
      </c>
      <c r="AA75" s="1">
        <f t="shared" si="7"/>
        <v>0.37672067999999997</v>
      </c>
      <c r="AB75" s="1">
        <f t="shared" si="7"/>
        <v>0.39647399999999999</v>
      </c>
      <c r="AC75" s="1">
        <f t="shared" si="7"/>
        <v>0.30277476000000003</v>
      </c>
      <c r="AD75" s="1">
        <f t="shared" si="6"/>
        <v>0.45690695999999997</v>
      </c>
      <c r="AE75" s="28">
        <f>SUM($I$19,$I$47,$I$75,$I$103,$I$131,$I$159,$I$187,$I$215,$I$243,$I$271)</f>
        <v>18.465619999999998</v>
      </c>
      <c r="AF75" s="1">
        <v>1</v>
      </c>
    </row>
    <row r="76" spans="2:32" x14ac:dyDescent="0.25">
      <c r="B76" s="1" t="s">
        <v>18</v>
      </c>
      <c r="C76" s="1" t="s">
        <v>98</v>
      </c>
      <c r="D76" s="1" t="s">
        <v>2</v>
      </c>
      <c r="E76" s="1"/>
      <c r="F76" s="1">
        <f>[1]COMLPG!B29/1000</f>
        <v>0.89300000000000002</v>
      </c>
      <c r="G76" s="1">
        <f>[1]COMLPG!D29/1000</f>
        <v>0.65800000000000003</v>
      </c>
      <c r="H76" s="1">
        <f>[1]COMLPG!F29/1000</f>
        <v>0.73824000000000001</v>
      </c>
      <c r="I76" s="1">
        <f>[1]COMLPG!H29/1000</f>
        <v>0.50681399999999999</v>
      </c>
      <c r="J76" s="1">
        <v>1</v>
      </c>
      <c r="L76" s="1" t="s">
        <v>18</v>
      </c>
      <c r="M76" s="1" t="s">
        <v>98</v>
      </c>
      <c r="N76" s="1" t="s">
        <v>2</v>
      </c>
      <c r="O76" s="1" t="s">
        <v>40</v>
      </c>
      <c r="P76" s="1">
        <f>IF(ISBLANK(F76),":",0.98*F76)</f>
        <v>0.87514000000000003</v>
      </c>
      <c r="Q76" s="1">
        <f t="shared" si="5"/>
        <v>0.64483999999999997</v>
      </c>
      <c r="R76" s="1">
        <f t="shared" si="5"/>
        <v>0.72347519999999998</v>
      </c>
      <c r="S76" s="1">
        <f t="shared" si="5"/>
        <v>0.49667771999999999</v>
      </c>
      <c r="T76" s="33">
        <v>0</v>
      </c>
      <c r="U76" s="1">
        <v>1</v>
      </c>
      <c r="W76" s="1" t="s">
        <v>18</v>
      </c>
      <c r="X76" s="1" t="s">
        <v>98</v>
      </c>
      <c r="Y76" s="1" t="s">
        <v>2</v>
      </c>
      <c r="Z76" s="1" t="s">
        <v>39</v>
      </c>
      <c r="AA76" s="1">
        <f t="shared" si="7"/>
        <v>0.91086</v>
      </c>
      <c r="AB76" s="1">
        <f t="shared" si="7"/>
        <v>0.67116000000000009</v>
      </c>
      <c r="AC76" s="1">
        <f t="shared" si="7"/>
        <v>0.75300480000000003</v>
      </c>
      <c r="AD76" s="1">
        <f t="shared" si="6"/>
        <v>0.51695027999999998</v>
      </c>
      <c r="AE76" s="28">
        <f>SUM($I$20,$I$48,$I$76,$I$104,$I$132,$I$160,$I$188,$I$216,$I$244,$I$272)</f>
        <v>68.587658000000005</v>
      </c>
      <c r="AF76" s="1">
        <v>1</v>
      </c>
    </row>
    <row r="77" spans="2:32" x14ac:dyDescent="0.25">
      <c r="B77" s="1" t="s">
        <v>20</v>
      </c>
      <c r="C77" s="1" t="s">
        <v>98</v>
      </c>
      <c r="D77" s="1" t="s">
        <v>2</v>
      </c>
      <c r="E77" s="1"/>
      <c r="F77" s="1">
        <f>[1]COMLPG!B30/1000</f>
        <v>2.3501919999999998</v>
      </c>
      <c r="G77" s="1">
        <f>[1]COMLPG!D30/1000</f>
        <v>1.850652</v>
      </c>
      <c r="H77" s="1">
        <f>[1]COMLPG!F30/1000</f>
        <v>1.7010989999999999</v>
      </c>
      <c r="I77" s="1">
        <f>[1]COMLPG!H30/1000</f>
        <v>1.640029</v>
      </c>
      <c r="J77" s="1">
        <v>1</v>
      </c>
      <c r="L77" s="1" t="s">
        <v>20</v>
      </c>
      <c r="M77" s="1" t="s">
        <v>98</v>
      </c>
      <c r="N77" s="1" t="s">
        <v>2</v>
      </c>
      <c r="O77" s="1" t="s">
        <v>40</v>
      </c>
      <c r="P77" s="1">
        <f t="shared" ref="P77:S92" si="8">IF(ISBLANK(F77),":",0.98*F77)</f>
        <v>2.3031881599999999</v>
      </c>
      <c r="Q77" s="1">
        <f t="shared" si="8"/>
        <v>1.81363896</v>
      </c>
      <c r="R77" s="1">
        <f t="shared" si="8"/>
        <v>1.6670770199999998</v>
      </c>
      <c r="S77" s="1">
        <f t="shared" si="8"/>
        <v>1.60722842</v>
      </c>
      <c r="T77" s="33">
        <v>0</v>
      </c>
      <c r="U77" s="1">
        <v>1</v>
      </c>
      <c r="W77" s="1" t="s">
        <v>20</v>
      </c>
      <c r="X77" s="1" t="s">
        <v>98</v>
      </c>
      <c r="Y77" s="1" t="s">
        <v>2</v>
      </c>
      <c r="Z77" s="1" t="s">
        <v>39</v>
      </c>
      <c r="AA77" s="1">
        <f t="shared" si="7"/>
        <v>2.3971958399999997</v>
      </c>
      <c r="AB77" s="1">
        <f t="shared" si="7"/>
        <v>1.8876650399999999</v>
      </c>
      <c r="AC77" s="1">
        <f t="shared" si="7"/>
        <v>1.73512098</v>
      </c>
      <c r="AD77" s="1">
        <f t="shared" si="6"/>
        <v>1.6728295799999999</v>
      </c>
      <c r="AE77" s="28">
        <f>SUM($I$21,$I$49,$I$77,$I$105,$I$133,$I$161,$I$189,$I$217,$I$245,$I$273)</f>
        <v>254.70966400000003</v>
      </c>
      <c r="AF77" s="1">
        <v>1</v>
      </c>
    </row>
    <row r="78" spans="2:32" x14ac:dyDescent="0.25">
      <c r="B78" s="1" t="s">
        <v>21</v>
      </c>
      <c r="C78" s="1" t="s">
        <v>98</v>
      </c>
      <c r="D78" s="1" t="s">
        <v>2</v>
      </c>
      <c r="E78" s="1"/>
      <c r="F78" s="1">
        <f>[1]COMLPG!B31/1000</f>
        <v>2.7725580000000001</v>
      </c>
      <c r="G78" s="1">
        <f>[1]COMLPG!D31/1000</f>
        <v>0.14389399999999999</v>
      </c>
      <c r="H78" s="1">
        <f>[1]COMLPG!F31/1000</f>
        <v>0.30964999999999998</v>
      </c>
      <c r="I78" s="1">
        <f>[1]COMLPG!H31/1000</f>
        <v>0.11082599999999999</v>
      </c>
      <c r="J78" s="1">
        <v>1</v>
      </c>
      <c r="L78" s="1" t="s">
        <v>21</v>
      </c>
      <c r="M78" s="1" t="s">
        <v>98</v>
      </c>
      <c r="N78" s="1" t="s">
        <v>2</v>
      </c>
      <c r="O78" s="1" t="s">
        <v>40</v>
      </c>
      <c r="P78" s="1">
        <f t="shared" si="8"/>
        <v>2.71710684</v>
      </c>
      <c r="Q78" s="1">
        <f t="shared" si="8"/>
        <v>0.14101611999999999</v>
      </c>
      <c r="R78" s="1">
        <f t="shared" si="8"/>
        <v>0.30345699999999998</v>
      </c>
      <c r="S78" s="1">
        <f t="shared" si="8"/>
        <v>0.10860947999999999</v>
      </c>
      <c r="T78" s="33">
        <v>0</v>
      </c>
      <c r="U78" s="1">
        <v>1</v>
      </c>
      <c r="W78" s="1" t="s">
        <v>21</v>
      </c>
      <c r="X78" s="1" t="s">
        <v>98</v>
      </c>
      <c r="Y78" s="1" t="s">
        <v>2</v>
      </c>
      <c r="Z78" s="1" t="s">
        <v>39</v>
      </c>
      <c r="AA78" s="1">
        <f t="shared" si="7"/>
        <v>2.8280091600000001</v>
      </c>
      <c r="AB78" s="1">
        <f t="shared" si="7"/>
        <v>0.14677187999999999</v>
      </c>
      <c r="AC78" s="1">
        <f t="shared" si="7"/>
        <v>0.31584299999999998</v>
      </c>
      <c r="AD78" s="1">
        <f t="shared" si="6"/>
        <v>0.11304251999999999</v>
      </c>
      <c r="AE78" s="28">
        <f>SUM($I$22,$I$50,$I$78,$I$106,$I$134,$I$162,$I$190,$I$218,$I$246,$I$274)</f>
        <v>101.032432</v>
      </c>
      <c r="AF78" s="1">
        <v>1</v>
      </c>
    </row>
    <row r="79" spans="2:32" x14ac:dyDescent="0.25">
      <c r="B79" s="1" t="s">
        <v>22</v>
      </c>
      <c r="C79" s="1" t="s">
        <v>98</v>
      </c>
      <c r="D79" s="1" t="s">
        <v>2</v>
      </c>
      <c r="E79" s="1"/>
      <c r="F79" s="1">
        <f>[1]COMLPG!B32/1000</f>
        <v>3.4039999999999999</v>
      </c>
      <c r="G79" s="1">
        <f>[1]COMLPG!D32/1000</f>
        <v>2.99</v>
      </c>
      <c r="H79" s="1">
        <f>[1]COMLPG!F32/1000</f>
        <v>2.2999999999999998</v>
      </c>
      <c r="I79" s="1">
        <f>[1]COMLPG!H32/1000</f>
        <v>1.6256400000000002</v>
      </c>
      <c r="J79" s="1">
        <v>1</v>
      </c>
      <c r="L79" s="1" t="s">
        <v>22</v>
      </c>
      <c r="M79" s="1" t="s">
        <v>98</v>
      </c>
      <c r="N79" s="1" t="s">
        <v>2</v>
      </c>
      <c r="O79" s="1" t="s">
        <v>40</v>
      </c>
      <c r="P79" s="1">
        <f t="shared" si="8"/>
        <v>3.3359199999999998</v>
      </c>
      <c r="Q79" s="1">
        <f t="shared" si="8"/>
        <v>2.9302000000000001</v>
      </c>
      <c r="R79" s="1">
        <f t="shared" si="8"/>
        <v>2.254</v>
      </c>
      <c r="S79" s="1">
        <f t="shared" si="8"/>
        <v>1.5931272000000001</v>
      </c>
      <c r="T79" s="33">
        <v>0</v>
      </c>
      <c r="U79" s="1">
        <v>1</v>
      </c>
      <c r="W79" s="1" t="s">
        <v>22</v>
      </c>
      <c r="X79" s="1" t="s">
        <v>98</v>
      </c>
      <c r="Y79" s="1" t="s">
        <v>2</v>
      </c>
      <c r="Z79" s="1" t="s">
        <v>39</v>
      </c>
      <c r="AA79" s="1">
        <f t="shared" si="7"/>
        <v>3.4720800000000001</v>
      </c>
      <c r="AB79" s="1">
        <f t="shared" si="7"/>
        <v>3.0498000000000003</v>
      </c>
      <c r="AC79" s="1">
        <f t="shared" si="7"/>
        <v>2.3459999999999996</v>
      </c>
      <c r="AD79" s="1">
        <f t="shared" si="6"/>
        <v>1.6581528000000003</v>
      </c>
      <c r="AE79" s="28">
        <f>SUM($I$23,$I$51,$I$79,$I$107,$I$135,$I$163,$I$191,$I$219,$I$247,$I$275)</f>
        <v>338.02420999999998</v>
      </c>
      <c r="AF79" s="1">
        <v>1</v>
      </c>
    </row>
    <row r="80" spans="2:32" x14ac:dyDescent="0.25">
      <c r="B80" s="1" t="s">
        <v>23</v>
      </c>
      <c r="C80" s="1" t="s">
        <v>98</v>
      </c>
      <c r="D80" s="1" t="s">
        <v>2</v>
      </c>
      <c r="E80" s="1"/>
      <c r="F80" s="1">
        <f>[1]COMLPG!B33/1000</f>
        <v>2.2080000000000002</v>
      </c>
      <c r="G80" s="1">
        <f>[1]COMLPG!D33/1000</f>
        <v>3.4039999999999999</v>
      </c>
      <c r="H80" s="1">
        <f>[1]COMLPG!F33/1000</f>
        <v>2.6231039999999997</v>
      </c>
      <c r="I80" s="1">
        <f>[1]COMLPG!H33/1000</f>
        <v>3.185638</v>
      </c>
      <c r="J80" s="1">
        <v>1</v>
      </c>
      <c r="L80" s="1" t="s">
        <v>23</v>
      </c>
      <c r="M80" s="1" t="s">
        <v>98</v>
      </c>
      <c r="N80" s="1" t="s">
        <v>2</v>
      </c>
      <c r="O80" s="1" t="s">
        <v>40</v>
      </c>
      <c r="P80" s="1">
        <f t="shared" si="8"/>
        <v>2.16384</v>
      </c>
      <c r="Q80" s="1">
        <f t="shared" si="8"/>
        <v>3.3359199999999998</v>
      </c>
      <c r="R80" s="1">
        <f t="shared" si="8"/>
        <v>2.5706419199999995</v>
      </c>
      <c r="S80" s="1">
        <f t="shared" si="8"/>
        <v>3.1219252399999999</v>
      </c>
      <c r="T80" s="33">
        <v>0</v>
      </c>
      <c r="U80" s="1">
        <v>1</v>
      </c>
      <c r="W80" s="1" t="s">
        <v>23</v>
      </c>
      <c r="X80" s="1" t="s">
        <v>98</v>
      </c>
      <c r="Y80" s="1" t="s">
        <v>2</v>
      </c>
      <c r="Z80" s="1" t="s">
        <v>39</v>
      </c>
      <c r="AA80" s="1">
        <f t="shared" si="7"/>
        <v>2.2521600000000004</v>
      </c>
      <c r="AB80" s="1">
        <f t="shared" si="7"/>
        <v>3.4720800000000001</v>
      </c>
      <c r="AC80" s="1">
        <f t="shared" si="7"/>
        <v>2.6755660799999998</v>
      </c>
      <c r="AD80" s="1">
        <f t="shared" si="6"/>
        <v>3.24935076</v>
      </c>
      <c r="AE80" s="28">
        <f>SUM($I$24,$I$52,$I$80,$I$108,$I$136,$I$164,$I$192,$I$220,$I$248,$I$276)</f>
        <v>100.75319400000001</v>
      </c>
      <c r="AF80" s="1">
        <v>1</v>
      </c>
    </row>
    <row r="81" spans="2:32" x14ac:dyDescent="0.25">
      <c r="B81" s="1" t="s">
        <v>24</v>
      </c>
      <c r="C81" s="1" t="s">
        <v>98</v>
      </c>
      <c r="D81" s="1" t="s">
        <v>2</v>
      </c>
      <c r="E81" s="1"/>
      <c r="F81" s="1">
        <f>[1]COMLPG!B34/1000</f>
        <v>0.91458399999999995</v>
      </c>
      <c r="G81" s="1">
        <f>[1]COMLPG!D34/1000</f>
        <v>1.3478079999999999</v>
      </c>
      <c r="H81" s="1">
        <f>[1]COMLPG!F34/1000</f>
        <v>1.1237470000000001</v>
      </c>
      <c r="I81" s="1">
        <f>[1]COMLPG!H34/1000</f>
        <v>0.95054499999999997</v>
      </c>
      <c r="J81" s="1">
        <v>1</v>
      </c>
      <c r="L81" s="1" t="s">
        <v>24</v>
      </c>
      <c r="M81" s="1" t="s">
        <v>98</v>
      </c>
      <c r="N81" s="1" t="s">
        <v>2</v>
      </c>
      <c r="O81" s="1" t="s">
        <v>40</v>
      </c>
      <c r="P81" s="1">
        <f t="shared" si="8"/>
        <v>0.89629231999999992</v>
      </c>
      <c r="Q81" s="1">
        <f t="shared" si="8"/>
        <v>1.3208518399999998</v>
      </c>
      <c r="R81" s="1">
        <f t="shared" si="8"/>
        <v>1.1012720600000001</v>
      </c>
      <c r="S81" s="1">
        <f t="shared" si="8"/>
        <v>0.93153409999999992</v>
      </c>
      <c r="T81" s="33">
        <v>0</v>
      </c>
      <c r="U81" s="1">
        <v>1</v>
      </c>
      <c r="W81" s="1" t="s">
        <v>24</v>
      </c>
      <c r="X81" s="1" t="s">
        <v>98</v>
      </c>
      <c r="Y81" s="1" t="s">
        <v>2</v>
      </c>
      <c r="Z81" s="1" t="s">
        <v>39</v>
      </c>
      <c r="AA81" s="1">
        <f t="shared" si="7"/>
        <v>0.93287567999999998</v>
      </c>
      <c r="AB81" s="1">
        <f t="shared" si="7"/>
        <v>1.37476416</v>
      </c>
      <c r="AC81" s="1">
        <f t="shared" si="7"/>
        <v>1.14622194</v>
      </c>
      <c r="AD81" s="1">
        <f t="shared" si="6"/>
        <v>0.96955590000000003</v>
      </c>
      <c r="AE81" s="28">
        <f>SUM($I$25,$I$53,$I$81,$I$109,$I$137,$I$165,$I$193,$I$221,$I$249,$I$277)</f>
        <v>85.709021000000007</v>
      </c>
      <c r="AF81" s="1">
        <v>1</v>
      </c>
    </row>
    <row r="82" spans="2:32" x14ac:dyDescent="0.25">
      <c r="B82" s="1" t="s">
        <v>25</v>
      </c>
      <c r="C82" s="1" t="s">
        <v>98</v>
      </c>
      <c r="D82" s="1" t="s">
        <v>2</v>
      </c>
      <c r="E82" s="1"/>
      <c r="F82" s="1">
        <f>[1]COMLPG!B35/1000</f>
        <v>0</v>
      </c>
      <c r="G82" s="1">
        <f>[1]COMLPG!D35/1000</f>
        <v>0</v>
      </c>
      <c r="H82" s="1">
        <f>[1]COMLPG!F35/1000</f>
        <v>0</v>
      </c>
      <c r="I82" s="1">
        <f>[1]COMLPG!H35/1000</f>
        <v>0.49130699999999999</v>
      </c>
      <c r="J82" s="1">
        <v>1</v>
      </c>
      <c r="L82" s="1" t="s">
        <v>25</v>
      </c>
      <c r="M82" s="1" t="s">
        <v>98</v>
      </c>
      <c r="N82" s="1" t="s">
        <v>2</v>
      </c>
      <c r="O82" s="1" t="s">
        <v>40</v>
      </c>
      <c r="P82" s="1">
        <f t="shared" si="8"/>
        <v>0</v>
      </c>
      <c r="Q82" s="1">
        <f t="shared" si="8"/>
        <v>0</v>
      </c>
      <c r="R82" s="1">
        <f t="shared" si="8"/>
        <v>0</v>
      </c>
      <c r="S82" s="1">
        <f t="shared" si="8"/>
        <v>0.48148086000000001</v>
      </c>
      <c r="T82" s="33">
        <v>0</v>
      </c>
      <c r="U82" s="1">
        <v>1</v>
      </c>
      <c r="W82" s="1" t="s">
        <v>25</v>
      </c>
      <c r="X82" s="1" t="s">
        <v>98</v>
      </c>
      <c r="Y82" s="1" t="s">
        <v>2</v>
      </c>
      <c r="Z82" s="1" t="s">
        <v>39</v>
      </c>
      <c r="AA82" s="1">
        <f t="shared" si="7"/>
        <v>0</v>
      </c>
      <c r="AB82" s="1">
        <f t="shared" si="7"/>
        <v>0</v>
      </c>
      <c r="AC82" s="1">
        <f t="shared" si="7"/>
        <v>0</v>
      </c>
      <c r="AD82" s="1">
        <f t="shared" si="6"/>
        <v>0.50113313999999998</v>
      </c>
      <c r="AE82" s="28">
        <f>SUM($I$26,$I$54,$I$82,$I$110,$I$138,$I$166,$I$194,$I$222,$I$250,$I$278)</f>
        <v>18.304008</v>
      </c>
      <c r="AF82" s="1">
        <v>1</v>
      </c>
    </row>
    <row r="83" spans="2:32" x14ac:dyDescent="0.25">
      <c r="B83" s="1" t="s">
        <v>26</v>
      </c>
      <c r="C83" s="1" t="s">
        <v>98</v>
      </c>
      <c r="D83" s="1" t="s">
        <v>2</v>
      </c>
      <c r="E83" s="1"/>
      <c r="F83" s="1">
        <f>[1]COMLPG!B36/1000</f>
        <v>0.82799999999999996</v>
      </c>
      <c r="G83" s="1">
        <f>[1]COMLPG!D36/1000</f>
        <v>0.32200000000000001</v>
      </c>
      <c r="H83" s="1">
        <f>[1]COMLPG!F36/1000</f>
        <v>9.1999999999999998E-2</v>
      </c>
      <c r="I83" s="1">
        <f>[1]COMLPG!H36/1000</f>
        <v>9.1999999999999998E-2</v>
      </c>
      <c r="J83" s="1">
        <v>1</v>
      </c>
      <c r="L83" s="1" t="s">
        <v>26</v>
      </c>
      <c r="M83" s="1" t="s">
        <v>98</v>
      </c>
      <c r="N83" s="1" t="s">
        <v>2</v>
      </c>
      <c r="O83" s="1" t="s">
        <v>40</v>
      </c>
      <c r="P83" s="1">
        <f t="shared" si="8"/>
        <v>0.81143999999999994</v>
      </c>
      <c r="Q83" s="1">
        <f t="shared" si="8"/>
        <v>0.31556000000000001</v>
      </c>
      <c r="R83" s="1">
        <f t="shared" si="8"/>
        <v>9.015999999999999E-2</v>
      </c>
      <c r="S83" s="1">
        <f t="shared" si="8"/>
        <v>9.015999999999999E-2</v>
      </c>
      <c r="T83" s="33">
        <v>0</v>
      </c>
      <c r="U83" s="1">
        <v>1</v>
      </c>
      <c r="W83" s="1" t="s">
        <v>26</v>
      </c>
      <c r="X83" s="1" t="s">
        <v>98</v>
      </c>
      <c r="Y83" s="1" t="s">
        <v>2</v>
      </c>
      <c r="Z83" s="1" t="s">
        <v>39</v>
      </c>
      <c r="AA83" s="1">
        <f t="shared" si="7"/>
        <v>0.84455999999999998</v>
      </c>
      <c r="AB83" s="1">
        <f t="shared" si="7"/>
        <v>0.32844000000000001</v>
      </c>
      <c r="AC83" s="1">
        <f t="shared" si="7"/>
        <v>9.3840000000000007E-2</v>
      </c>
      <c r="AD83" s="1">
        <f t="shared" si="6"/>
        <v>9.3840000000000007E-2</v>
      </c>
      <c r="AE83" s="28">
        <f>SUM($I$27,$I$55,$I$83,$I$111,$I$139,$I$167,$I$195,$I$223,$I$251,$I$279)</f>
        <v>46.794905</v>
      </c>
      <c r="AF83" s="1">
        <v>1</v>
      </c>
    </row>
    <row r="84" spans="2:32" x14ac:dyDescent="0.25">
      <c r="B84" s="1" t="s">
        <v>27</v>
      </c>
      <c r="C84" s="1" t="s">
        <v>98</v>
      </c>
      <c r="D84" s="1" t="s">
        <v>2</v>
      </c>
      <c r="E84" s="1"/>
      <c r="F84" s="1">
        <f>[1]COMLPG!B37/1000</f>
        <v>0</v>
      </c>
      <c r="G84" s="1">
        <f>[1]COMLPG!D37/1000</f>
        <v>0</v>
      </c>
      <c r="H84" s="1">
        <f>[1]COMLPG!F37/1000</f>
        <v>0</v>
      </c>
      <c r="I84" s="1">
        <f>[1]COMLPG!H37/1000</f>
        <v>0</v>
      </c>
      <c r="J84" s="1">
        <v>1</v>
      </c>
      <c r="L84" s="1" t="s">
        <v>27</v>
      </c>
      <c r="M84" s="1" t="s">
        <v>98</v>
      </c>
      <c r="N84" s="1" t="s">
        <v>2</v>
      </c>
      <c r="O84" s="1" t="s">
        <v>40</v>
      </c>
      <c r="P84" s="1">
        <f t="shared" si="8"/>
        <v>0</v>
      </c>
      <c r="Q84" s="1">
        <f t="shared" si="8"/>
        <v>0</v>
      </c>
      <c r="R84" s="1">
        <f t="shared" si="8"/>
        <v>0</v>
      </c>
      <c r="S84" s="1">
        <f t="shared" si="8"/>
        <v>0</v>
      </c>
      <c r="T84" s="33">
        <v>0</v>
      </c>
      <c r="U84" s="1">
        <v>1</v>
      </c>
      <c r="W84" s="1" t="s">
        <v>27</v>
      </c>
      <c r="X84" s="1" t="s">
        <v>98</v>
      </c>
      <c r="Y84" s="1" t="s">
        <v>2</v>
      </c>
      <c r="Z84" s="1" t="s">
        <v>39</v>
      </c>
      <c r="AA84" s="1">
        <f t="shared" si="7"/>
        <v>0</v>
      </c>
      <c r="AB84" s="1">
        <f t="shared" si="7"/>
        <v>0</v>
      </c>
      <c r="AC84" s="1">
        <f t="shared" si="7"/>
        <v>0</v>
      </c>
      <c r="AD84" s="1">
        <f t="shared" si="6"/>
        <v>0</v>
      </c>
      <c r="AE84" s="28">
        <f>SUM($I$28,$I$56,$I$84,$I$112,$I$140,$I$168,$I$196,$I$224,$I$252,$I$280)</f>
        <v>121.343903</v>
      </c>
      <c r="AF84" s="1">
        <v>1</v>
      </c>
    </row>
    <row r="85" spans="2:32" x14ac:dyDescent="0.25">
      <c r="B85" s="1" t="s">
        <v>28</v>
      </c>
      <c r="C85" s="1" t="s">
        <v>98</v>
      </c>
      <c r="D85" s="1" t="s">
        <v>2</v>
      </c>
      <c r="E85" s="1"/>
      <c r="F85" s="1">
        <f>[1]COMLPG!B38/1000</f>
        <v>3.7892030000000001</v>
      </c>
      <c r="G85" s="1">
        <f>[1]COMLPG!D38/1000</f>
        <v>0.50596799999999997</v>
      </c>
      <c r="H85" s="1">
        <f>[1]COMLPG!F38/1000</f>
        <v>0.50303100000000001</v>
      </c>
      <c r="I85" s="1">
        <f>[1]COMLPG!H38/1000</f>
        <v>0.50303100000000001</v>
      </c>
      <c r="J85" s="1">
        <v>1</v>
      </c>
      <c r="L85" s="1" t="s">
        <v>28</v>
      </c>
      <c r="M85" s="1" t="s">
        <v>98</v>
      </c>
      <c r="N85" s="1" t="s">
        <v>2</v>
      </c>
      <c r="O85" s="1" t="s">
        <v>40</v>
      </c>
      <c r="P85" s="1">
        <f t="shared" si="8"/>
        <v>3.7134189399999999</v>
      </c>
      <c r="Q85" s="1">
        <f t="shared" si="8"/>
        <v>0.49584863999999995</v>
      </c>
      <c r="R85" s="1">
        <f t="shared" si="8"/>
        <v>0.49297037999999999</v>
      </c>
      <c r="S85" s="1">
        <f t="shared" si="8"/>
        <v>0.49297037999999999</v>
      </c>
      <c r="T85" s="33">
        <v>0</v>
      </c>
      <c r="U85" s="1">
        <v>1</v>
      </c>
      <c r="W85" s="1" t="s">
        <v>28</v>
      </c>
      <c r="X85" s="1" t="s">
        <v>98</v>
      </c>
      <c r="Y85" s="1" t="s">
        <v>2</v>
      </c>
      <c r="Z85" s="1" t="s">
        <v>39</v>
      </c>
      <c r="AA85" s="1">
        <f t="shared" si="7"/>
        <v>3.8649870600000003</v>
      </c>
      <c r="AB85" s="1">
        <f t="shared" si="7"/>
        <v>0.51608735999999999</v>
      </c>
      <c r="AC85" s="1">
        <f t="shared" si="7"/>
        <v>0.51309161999999997</v>
      </c>
      <c r="AD85" s="1">
        <f t="shared" si="6"/>
        <v>0.51309161999999997</v>
      </c>
      <c r="AE85" s="28">
        <f>SUM($I$29,$I$57,$I$85,$I$113,$I$141,$I$169,$I$197,$I$225,$I$253,$I$281)</f>
        <v>174.41146799999999</v>
      </c>
      <c r="AF85" s="1">
        <v>1</v>
      </c>
    </row>
    <row r="86" spans="2:32" x14ac:dyDescent="0.25">
      <c r="B86" s="1" t="s">
        <v>29</v>
      </c>
      <c r="C86" s="1" t="s">
        <v>98</v>
      </c>
      <c r="D86" s="1" t="s">
        <v>2</v>
      </c>
      <c r="E86" s="1"/>
      <c r="F86" s="1">
        <f>[1]COMLPG!B39/1000</f>
        <v>0.36880000000000002</v>
      </c>
      <c r="G86" s="1">
        <f>[1]COMLPG!D39/1000</f>
        <v>0.78370000000000006</v>
      </c>
      <c r="H86" s="1">
        <f>[1]COMLPG!F39/1000</f>
        <v>1.3479179999999999</v>
      </c>
      <c r="I86" s="1">
        <f>[1]COMLPG!H39/1000</f>
        <v>2.3131140000000001</v>
      </c>
      <c r="J86" s="1">
        <v>1</v>
      </c>
      <c r="L86" s="1" t="s">
        <v>29</v>
      </c>
      <c r="M86" s="1" t="s">
        <v>98</v>
      </c>
      <c r="N86" s="1" t="s">
        <v>2</v>
      </c>
      <c r="O86" s="1" t="s">
        <v>40</v>
      </c>
      <c r="P86" s="1">
        <f t="shared" si="8"/>
        <v>0.36142400000000002</v>
      </c>
      <c r="Q86" s="1">
        <f t="shared" si="8"/>
        <v>0.7680260000000001</v>
      </c>
      <c r="R86" s="1">
        <f t="shared" si="8"/>
        <v>1.3209596399999999</v>
      </c>
      <c r="S86" s="1">
        <f t="shared" si="8"/>
        <v>2.26685172</v>
      </c>
      <c r="T86" s="33">
        <v>0</v>
      </c>
      <c r="U86" s="1">
        <v>1</v>
      </c>
      <c r="W86" s="1" t="s">
        <v>29</v>
      </c>
      <c r="X86" s="1" t="s">
        <v>98</v>
      </c>
      <c r="Y86" s="1" t="s">
        <v>2</v>
      </c>
      <c r="Z86" s="1" t="s">
        <v>39</v>
      </c>
      <c r="AA86" s="1">
        <f t="shared" si="7"/>
        <v>0.37617600000000001</v>
      </c>
      <c r="AB86" s="1">
        <f t="shared" si="7"/>
        <v>0.79937400000000003</v>
      </c>
      <c r="AC86" s="1">
        <f t="shared" si="7"/>
        <v>1.37487636</v>
      </c>
      <c r="AD86" s="1">
        <f t="shared" si="6"/>
        <v>2.3593762800000002</v>
      </c>
      <c r="AE86" s="28">
        <f>SUM($I$30,$I$58,$I$86,$I$114,$I$142,$I$170,$I$198,$I$226,$I$254,$I$282)</f>
        <v>131.14785900000001</v>
      </c>
      <c r="AF86" s="1">
        <v>1</v>
      </c>
    </row>
    <row r="87" spans="2:32" x14ac:dyDescent="0.25">
      <c r="B87" s="1" t="s">
        <v>30</v>
      </c>
      <c r="C87" s="1" t="s">
        <v>98</v>
      </c>
      <c r="D87" s="1" t="s">
        <v>2</v>
      </c>
      <c r="E87" s="1"/>
      <c r="F87" s="1">
        <f>AVERAGE(G87:I87)</f>
        <v>16.623964833333332</v>
      </c>
      <c r="G87" s="1">
        <f>[1]COMLPG!D40/1000</f>
        <v>15.884727000000002</v>
      </c>
      <c r="H87" s="1">
        <f>C299</f>
        <v>15.208271</v>
      </c>
      <c r="I87" s="1">
        <f>D299</f>
        <v>18.778896499999998</v>
      </c>
      <c r="J87" s="1">
        <v>1</v>
      </c>
      <c r="L87" s="1" t="s">
        <v>30</v>
      </c>
      <c r="M87" s="1" t="s">
        <v>98</v>
      </c>
      <c r="N87" s="1" t="s">
        <v>2</v>
      </c>
      <c r="O87" s="1" t="s">
        <v>40</v>
      </c>
      <c r="P87" s="1">
        <f t="shared" si="8"/>
        <v>16.291485536666666</v>
      </c>
      <c r="Q87" s="1">
        <f t="shared" si="8"/>
        <v>15.567032460000002</v>
      </c>
      <c r="R87" s="1">
        <f t="shared" si="8"/>
        <v>14.90410558</v>
      </c>
      <c r="S87" s="1">
        <f t="shared" si="8"/>
        <v>18.40331857</v>
      </c>
      <c r="T87" s="33">
        <v>0</v>
      </c>
      <c r="U87" s="1">
        <v>1</v>
      </c>
      <c r="W87" s="1" t="s">
        <v>30</v>
      </c>
      <c r="X87" s="1" t="s">
        <v>98</v>
      </c>
      <c r="Y87" s="1" t="s">
        <v>2</v>
      </c>
      <c r="Z87" s="1" t="s">
        <v>39</v>
      </c>
      <c r="AA87" s="1">
        <f t="shared" si="7"/>
        <v>16.956444129999998</v>
      </c>
      <c r="AB87" s="1">
        <f t="shared" si="7"/>
        <v>16.202421540000003</v>
      </c>
      <c r="AC87" s="1">
        <f t="shared" si="7"/>
        <v>15.51243642</v>
      </c>
      <c r="AD87" s="1">
        <f t="shared" si="6"/>
        <v>19.154474429999997</v>
      </c>
      <c r="AE87" s="28">
        <f>SUM($I$31,$I$59,$I$87,$I$115,$I$143,$I$171,$I$199,$I$227,$I$255,$I$283)</f>
        <v>698.48733743314938</v>
      </c>
      <c r="AF87" s="1">
        <v>1</v>
      </c>
    </row>
    <row r="88" spans="2:32" x14ac:dyDescent="0.25">
      <c r="B88" s="24" t="s">
        <v>0</v>
      </c>
      <c r="C88" s="24" t="s">
        <v>99</v>
      </c>
      <c r="D88" s="24" t="s">
        <v>2</v>
      </c>
      <c r="E88" s="24"/>
      <c r="F88" s="24">
        <f>[1]COMSOL!B13/1000</f>
        <v>3.32E-2</v>
      </c>
      <c r="G88" s="24">
        <f>[1]COMSOL!C13/1000</f>
        <v>4.58E-2</v>
      </c>
      <c r="H88" s="24">
        <f>[1]COMSOL!D13/1000</f>
        <v>6.6599999999999993E-2</v>
      </c>
      <c r="I88" s="24">
        <f>[1]COMSOL!E13/1000</f>
        <v>6.1100000000000002E-2</v>
      </c>
      <c r="J88" s="1">
        <v>1</v>
      </c>
      <c r="L88" s="1" t="s">
        <v>0</v>
      </c>
      <c r="M88" s="24" t="s">
        <v>99</v>
      </c>
      <c r="N88" s="1" t="s">
        <v>2</v>
      </c>
      <c r="O88" s="1" t="s">
        <v>40</v>
      </c>
      <c r="P88" s="1">
        <f>IF(ISBLANK(F88),":",0.98*F88)</f>
        <v>3.2536000000000002E-2</v>
      </c>
      <c r="Q88" s="1">
        <f t="shared" si="8"/>
        <v>4.4884E-2</v>
      </c>
      <c r="R88" s="1">
        <f t="shared" si="8"/>
        <v>6.5267999999999993E-2</v>
      </c>
      <c r="S88" s="1">
        <f t="shared" si="8"/>
        <v>5.9878000000000001E-2</v>
      </c>
      <c r="T88" s="33">
        <v>0</v>
      </c>
      <c r="U88" s="1">
        <v>1</v>
      </c>
      <c r="W88" s="1" t="s">
        <v>0</v>
      </c>
      <c r="X88" s="24" t="s">
        <v>99</v>
      </c>
      <c r="Y88" s="1" t="s">
        <v>2</v>
      </c>
      <c r="Z88" s="1" t="s">
        <v>39</v>
      </c>
      <c r="AA88" s="1">
        <f t="shared" si="7"/>
        <v>3.3863999999999998E-2</v>
      </c>
      <c r="AB88" s="1">
        <f t="shared" si="7"/>
        <v>4.6716000000000001E-2</v>
      </c>
      <c r="AC88" s="1">
        <f t="shared" si="7"/>
        <v>6.7931999999999992E-2</v>
      </c>
      <c r="AD88" s="1">
        <f t="shared" si="6"/>
        <v>6.2322000000000002E-2</v>
      </c>
      <c r="AE88" s="28">
        <f>SUM($I$4,$I$32,$I$60,$I$88,$I$116,$I$144,$I$172,$I$200,$I$228,$I$256)</f>
        <v>159.04926399999999</v>
      </c>
      <c r="AF88" s="1">
        <v>1</v>
      </c>
    </row>
    <row r="89" spans="2:32" x14ac:dyDescent="0.25">
      <c r="B89" s="24" t="s">
        <v>3</v>
      </c>
      <c r="C89" s="24" t="s">
        <v>99</v>
      </c>
      <c r="D89" s="24" t="s">
        <v>2</v>
      </c>
      <c r="E89" s="24"/>
      <c r="F89" s="24">
        <f>[1]COMSOL!B14/1000</f>
        <v>0.158</v>
      </c>
      <c r="G89" s="24">
        <f>[1]COMSOL!C14/1000</f>
        <v>0.50800000000000001</v>
      </c>
      <c r="H89" s="24">
        <f>[1]COMSOL!D14/1000</f>
        <v>0.66548299999999994</v>
      </c>
      <c r="I89" s="24">
        <f>[1]COMSOL!E14/1000</f>
        <v>0.80716200000000005</v>
      </c>
      <c r="J89" s="1">
        <v>1</v>
      </c>
      <c r="L89" s="1" t="s">
        <v>3</v>
      </c>
      <c r="M89" s="24" t="s">
        <v>99</v>
      </c>
      <c r="N89" s="1" t="s">
        <v>2</v>
      </c>
      <c r="O89" s="1" t="s">
        <v>40</v>
      </c>
      <c r="P89" s="1">
        <f t="shared" ref="P89:S104" si="9">IF(ISBLANK(F89),":",0.98*F89)</f>
        <v>0.15484000000000001</v>
      </c>
      <c r="Q89" s="1">
        <f t="shared" si="8"/>
        <v>0.49784</v>
      </c>
      <c r="R89" s="1">
        <f t="shared" si="8"/>
        <v>0.65217333999999993</v>
      </c>
      <c r="S89" s="1">
        <f t="shared" si="8"/>
        <v>0.79101876000000004</v>
      </c>
      <c r="T89" s="33">
        <v>0</v>
      </c>
      <c r="U89" s="1">
        <v>1</v>
      </c>
      <c r="W89" s="1" t="s">
        <v>3</v>
      </c>
      <c r="X89" s="24" t="s">
        <v>99</v>
      </c>
      <c r="Y89" s="1" t="s">
        <v>2</v>
      </c>
      <c r="Z89" s="1" t="s">
        <v>39</v>
      </c>
      <c r="AA89" s="1">
        <f t="shared" si="7"/>
        <v>0.16116</v>
      </c>
      <c r="AB89" s="1">
        <f t="shared" si="7"/>
        <v>0.51816000000000006</v>
      </c>
      <c r="AC89" s="1">
        <f t="shared" si="7"/>
        <v>0.67879265999999994</v>
      </c>
      <c r="AD89" s="1">
        <f t="shared" si="6"/>
        <v>0.82330524000000005</v>
      </c>
      <c r="AE89" s="28">
        <f>SUM($I$5,$I$33,$I$61,$I$89,$I$117,$I$145,$I$173,$I$201,$I$229,$I$257)</f>
        <v>52.687187999999992</v>
      </c>
      <c r="AF89" s="1">
        <v>1</v>
      </c>
    </row>
    <row r="90" spans="2:32" x14ac:dyDescent="0.25">
      <c r="B90" s="24" t="s">
        <v>4</v>
      </c>
      <c r="C90" s="24" t="s">
        <v>99</v>
      </c>
      <c r="D90" s="24" t="s">
        <v>2</v>
      </c>
      <c r="E90" s="24"/>
      <c r="F90" s="24">
        <f>[1]COMSOL!B15/1000</f>
        <v>7.9584000000000002E-2</v>
      </c>
      <c r="G90" s="24">
        <f>[1]COMSOL!C15/1000</f>
        <v>0.14538399999999999</v>
      </c>
      <c r="H90" s="24">
        <f>[1]COMSOL!D15/1000</f>
        <v>0.172595</v>
      </c>
      <c r="I90" s="24">
        <f>[1]COMSOL!E15/1000</f>
        <v>0.19005000000000002</v>
      </c>
      <c r="J90" s="1">
        <v>1</v>
      </c>
      <c r="L90" s="1" t="s">
        <v>4</v>
      </c>
      <c r="M90" s="24" t="s">
        <v>99</v>
      </c>
      <c r="N90" s="1" t="s">
        <v>2</v>
      </c>
      <c r="O90" s="1" t="s">
        <v>40</v>
      </c>
      <c r="P90" s="1">
        <f t="shared" si="9"/>
        <v>7.7992320000000004E-2</v>
      </c>
      <c r="Q90" s="1">
        <f t="shared" si="8"/>
        <v>0.14247631999999999</v>
      </c>
      <c r="R90" s="1">
        <f t="shared" si="8"/>
        <v>0.16914309999999999</v>
      </c>
      <c r="S90" s="1">
        <f t="shared" si="8"/>
        <v>0.18624900000000003</v>
      </c>
      <c r="T90" s="33">
        <v>0</v>
      </c>
      <c r="U90" s="1">
        <v>1</v>
      </c>
      <c r="W90" s="1" t="s">
        <v>4</v>
      </c>
      <c r="X90" s="24" t="s">
        <v>99</v>
      </c>
      <c r="Y90" s="1" t="s">
        <v>2</v>
      </c>
      <c r="Z90" s="1" t="s">
        <v>39</v>
      </c>
      <c r="AA90" s="1">
        <f t="shared" si="7"/>
        <v>8.117568E-2</v>
      </c>
      <c r="AB90" s="1">
        <f t="shared" si="7"/>
        <v>0.14829167999999998</v>
      </c>
      <c r="AC90" s="1">
        <f t="shared" si="7"/>
        <v>0.17604690000000001</v>
      </c>
      <c r="AD90" s="1">
        <f t="shared" si="6"/>
        <v>0.19385100000000002</v>
      </c>
      <c r="AE90" s="28">
        <f>SUM($I$6,$I$34,$I$62,$I$90,$I$118,$I$146,$I$174,$I$202,$I$230,$I$258)</f>
        <v>110.98745699999999</v>
      </c>
      <c r="AF90" s="1">
        <v>1</v>
      </c>
    </row>
    <row r="91" spans="2:32" x14ac:dyDescent="0.25">
      <c r="B91" s="24" t="s">
        <v>5</v>
      </c>
      <c r="C91" s="24" t="s">
        <v>99</v>
      </c>
      <c r="D91" s="24" t="s">
        <v>2</v>
      </c>
      <c r="E91" s="24"/>
      <c r="F91" s="24">
        <f>[1]COMSOL!B16/1000</f>
        <v>7.3855999999999991E-2</v>
      </c>
      <c r="G91" s="24">
        <f>[1]COMSOL!C16/1000</f>
        <v>8.7111999999999995E-2</v>
      </c>
      <c r="H91" s="24">
        <f>[1]COMSOL!D16/1000</f>
        <v>9.1647999999999993E-2</v>
      </c>
      <c r="I91" s="24">
        <f>[1]COMSOL!E16/1000</f>
        <v>9.0233999999999995E-2</v>
      </c>
      <c r="J91" s="1">
        <v>1</v>
      </c>
      <c r="L91" s="1" t="s">
        <v>5</v>
      </c>
      <c r="M91" s="24" t="s">
        <v>99</v>
      </c>
      <c r="N91" s="1" t="s">
        <v>2</v>
      </c>
      <c r="O91" s="1" t="s">
        <v>40</v>
      </c>
      <c r="P91" s="1">
        <f t="shared" si="9"/>
        <v>7.2378879999999993E-2</v>
      </c>
      <c r="Q91" s="1">
        <f t="shared" si="8"/>
        <v>8.5369759999999989E-2</v>
      </c>
      <c r="R91" s="1">
        <f t="shared" si="8"/>
        <v>8.9815039999999999E-2</v>
      </c>
      <c r="S91" s="1">
        <f t="shared" si="8"/>
        <v>8.8429319999999992E-2</v>
      </c>
      <c r="T91" s="33">
        <v>0</v>
      </c>
      <c r="U91" s="1">
        <v>1</v>
      </c>
      <c r="W91" s="1" t="s">
        <v>5</v>
      </c>
      <c r="X91" s="24" t="s">
        <v>99</v>
      </c>
      <c r="Y91" s="1" t="s">
        <v>2</v>
      </c>
      <c r="Z91" s="1" t="s">
        <v>39</v>
      </c>
      <c r="AA91" s="1">
        <f t="shared" si="7"/>
        <v>7.533311999999999E-2</v>
      </c>
      <c r="AB91" s="1">
        <f t="shared" si="7"/>
        <v>8.8854240000000001E-2</v>
      </c>
      <c r="AC91" s="1">
        <f t="shared" si="7"/>
        <v>9.3480959999999988E-2</v>
      </c>
      <c r="AD91" s="1">
        <f t="shared" si="6"/>
        <v>9.2038679999999998E-2</v>
      </c>
      <c r="AE91" s="28">
        <f>SUM($I$7,$I$35,$I$63,$I$91,$I$119,$I$147,$I$175,$I$203,$I$231,$I$259)</f>
        <v>78.733746999999994</v>
      </c>
      <c r="AF91" s="1">
        <v>1</v>
      </c>
    </row>
    <row r="92" spans="2:32" x14ac:dyDescent="0.25">
      <c r="B92" s="24" t="s">
        <v>6</v>
      </c>
      <c r="C92" s="24" t="s">
        <v>99</v>
      </c>
      <c r="D92" s="24" t="s">
        <v>2</v>
      </c>
      <c r="E92" s="24"/>
      <c r="F92" s="24">
        <f>[1]COMSOL!B17/1000</f>
        <v>1.052</v>
      </c>
      <c r="G92" s="24">
        <f>[1]COMSOL!C17/1000</f>
        <v>1.2110000000000001</v>
      </c>
      <c r="H92" s="24">
        <f>[1]COMSOL!D17/1000</f>
        <v>1.3129999999999999</v>
      </c>
      <c r="I92" s="24">
        <f>[1]COMSOL!E17/1000</f>
        <v>1.3029999999999999</v>
      </c>
      <c r="J92" s="1">
        <v>1</v>
      </c>
      <c r="L92" s="1" t="s">
        <v>6</v>
      </c>
      <c r="M92" s="24" t="s">
        <v>99</v>
      </c>
      <c r="N92" s="1" t="s">
        <v>2</v>
      </c>
      <c r="O92" s="1" t="s">
        <v>40</v>
      </c>
      <c r="P92" s="1">
        <f t="shared" si="9"/>
        <v>1.0309600000000001</v>
      </c>
      <c r="Q92" s="1">
        <f t="shared" si="8"/>
        <v>1.1867799999999999</v>
      </c>
      <c r="R92" s="1">
        <f t="shared" si="8"/>
        <v>1.28674</v>
      </c>
      <c r="S92" s="1">
        <f t="shared" si="8"/>
        <v>1.27694</v>
      </c>
      <c r="T92" s="33">
        <v>0</v>
      </c>
      <c r="U92" s="1">
        <v>1</v>
      </c>
      <c r="W92" s="1" t="s">
        <v>6</v>
      </c>
      <c r="X92" s="24" t="s">
        <v>99</v>
      </c>
      <c r="Y92" s="1" t="s">
        <v>2</v>
      </c>
      <c r="Z92" s="1" t="s">
        <v>39</v>
      </c>
      <c r="AA92" s="1">
        <f t="shared" si="7"/>
        <v>1.07304</v>
      </c>
      <c r="AB92" s="1">
        <f t="shared" si="7"/>
        <v>1.2352200000000002</v>
      </c>
      <c r="AC92" s="1">
        <f t="shared" si="7"/>
        <v>1.3392599999999999</v>
      </c>
      <c r="AD92" s="1">
        <f t="shared" si="6"/>
        <v>1.3290599999999999</v>
      </c>
      <c r="AE92" s="28">
        <f>SUM($I$8,$I$36,$I$64,$I$92,$I$120,$I$148,$I$176,$I$204,$I$232,$I$260)</f>
        <v>998.19450100000006</v>
      </c>
      <c r="AF92" s="1">
        <v>1</v>
      </c>
    </row>
    <row r="93" spans="2:32" x14ac:dyDescent="0.25">
      <c r="B93" s="24" t="s">
        <v>7</v>
      </c>
      <c r="C93" s="24" t="s">
        <v>99</v>
      </c>
      <c r="D93" s="24" t="s">
        <v>2</v>
      </c>
      <c r="E93" s="24"/>
      <c r="F93" s="24">
        <f>[1]COMSOL!B18/1000</f>
        <v>0</v>
      </c>
      <c r="G93" s="24">
        <f>[1]COMSOL!C18/1000</f>
        <v>0</v>
      </c>
      <c r="H93" s="24">
        <f>[1]COMSOL!D18/1000</f>
        <v>0</v>
      </c>
      <c r="I93" s="24">
        <f>[1]COMSOL!E18/1000</f>
        <v>0</v>
      </c>
      <c r="J93" s="1">
        <v>1</v>
      </c>
      <c r="L93" s="1" t="s">
        <v>7</v>
      </c>
      <c r="M93" s="24" t="s">
        <v>99</v>
      </c>
      <c r="N93" s="1" t="s">
        <v>2</v>
      </c>
      <c r="O93" s="1" t="s">
        <v>40</v>
      </c>
      <c r="P93" s="1">
        <f t="shared" si="9"/>
        <v>0</v>
      </c>
      <c r="Q93" s="1">
        <f t="shared" si="9"/>
        <v>0</v>
      </c>
      <c r="R93" s="1">
        <f t="shared" si="9"/>
        <v>0</v>
      </c>
      <c r="S93" s="1">
        <f t="shared" si="9"/>
        <v>0</v>
      </c>
      <c r="T93" s="33">
        <v>0</v>
      </c>
      <c r="U93" s="1">
        <v>1</v>
      </c>
      <c r="W93" s="1" t="s">
        <v>7</v>
      </c>
      <c r="X93" s="24" t="s">
        <v>99</v>
      </c>
      <c r="Y93" s="1" t="s">
        <v>2</v>
      </c>
      <c r="Z93" s="1" t="s">
        <v>39</v>
      </c>
      <c r="AA93" s="1">
        <f t="shared" si="7"/>
        <v>0</v>
      </c>
      <c r="AB93" s="1">
        <f t="shared" si="7"/>
        <v>0</v>
      </c>
      <c r="AC93" s="1">
        <f t="shared" si="7"/>
        <v>0</v>
      </c>
      <c r="AD93" s="1">
        <f t="shared" si="6"/>
        <v>0</v>
      </c>
      <c r="AE93" s="28">
        <f>SUM($I$9,$I$37,$I$65,$I$93,$I$121,$I$149,$I$177,$I$205,$I$233,$I$261)</f>
        <v>15.12316</v>
      </c>
      <c r="AF93" s="1">
        <v>1</v>
      </c>
    </row>
    <row r="94" spans="2:32" x14ac:dyDescent="0.25">
      <c r="B94" s="24" t="s">
        <v>8</v>
      </c>
      <c r="C94" s="24" t="s">
        <v>99</v>
      </c>
      <c r="D94" s="24" t="s">
        <v>2</v>
      </c>
      <c r="E94" s="24"/>
      <c r="F94" s="24">
        <f>[1]COMSOL!B19/1000</f>
        <v>6.4200000000000004E-3</v>
      </c>
      <c r="G94" s="24">
        <f>[1]COMSOL!C19/1000</f>
        <v>6.9569999999999996E-3</v>
      </c>
      <c r="H94" s="24">
        <f>[1]COMSOL!D19/1000</f>
        <v>6.9720000000000008E-3</v>
      </c>
      <c r="I94" s="24">
        <f>[1]COMSOL!E19/1000</f>
        <v>6.9720000000000008E-3</v>
      </c>
      <c r="J94" s="1">
        <v>1</v>
      </c>
      <c r="L94" s="1" t="s">
        <v>8</v>
      </c>
      <c r="M94" s="24" t="s">
        <v>99</v>
      </c>
      <c r="N94" s="1" t="s">
        <v>2</v>
      </c>
      <c r="O94" s="1" t="s">
        <v>40</v>
      </c>
      <c r="P94" s="1">
        <f t="shared" si="9"/>
        <v>6.2916000000000005E-3</v>
      </c>
      <c r="Q94" s="1">
        <f t="shared" si="9"/>
        <v>6.8178599999999994E-3</v>
      </c>
      <c r="R94" s="1">
        <f t="shared" si="9"/>
        <v>6.8325600000000005E-3</v>
      </c>
      <c r="S94" s="1">
        <f t="shared" si="9"/>
        <v>6.8325600000000005E-3</v>
      </c>
      <c r="T94" s="33">
        <v>0</v>
      </c>
      <c r="U94" s="1">
        <v>1</v>
      </c>
      <c r="W94" s="1" t="s">
        <v>8</v>
      </c>
      <c r="X94" s="24" t="s">
        <v>99</v>
      </c>
      <c r="Y94" s="1" t="s">
        <v>2</v>
      </c>
      <c r="Z94" s="1" t="s">
        <v>39</v>
      </c>
      <c r="AA94" s="1">
        <f t="shared" si="7"/>
        <v>6.5484000000000002E-3</v>
      </c>
      <c r="AB94" s="1">
        <f t="shared" si="7"/>
        <v>7.0961399999999999E-3</v>
      </c>
      <c r="AC94" s="1">
        <f t="shared" si="7"/>
        <v>7.111440000000001E-3</v>
      </c>
      <c r="AD94" s="1">
        <f t="shared" si="6"/>
        <v>7.111440000000001E-3</v>
      </c>
      <c r="AE94" s="28">
        <f>SUM(I$10,I$38,I$66,I$94,I$122,I$150,I$178,I$206,I$234,I$262)</f>
        <v>81.18795200000001</v>
      </c>
      <c r="AF94" s="1">
        <v>1</v>
      </c>
    </row>
    <row r="95" spans="2:32" x14ac:dyDescent="0.25">
      <c r="B95" s="24" t="s">
        <v>9</v>
      </c>
      <c r="C95" s="24" t="s">
        <v>99</v>
      </c>
      <c r="D95" s="24" t="s">
        <v>2</v>
      </c>
      <c r="E95" s="24"/>
      <c r="F95" s="24">
        <f>[1]COMSOL!B20/1000</f>
        <v>0.374</v>
      </c>
      <c r="G95" s="24">
        <f>[1]COMSOL!C20/1000</f>
        <v>0.40100000000000002</v>
      </c>
      <c r="H95" s="24">
        <f>[1]COMSOL!D20/1000</f>
        <v>0.44789999999999996</v>
      </c>
      <c r="I95" s="24">
        <f>[1]COMSOL!E20/1000</f>
        <v>0.51532299999999998</v>
      </c>
      <c r="J95" s="1">
        <v>1</v>
      </c>
      <c r="L95" s="1" t="s">
        <v>9</v>
      </c>
      <c r="M95" s="24" t="s">
        <v>99</v>
      </c>
      <c r="N95" s="1" t="s">
        <v>2</v>
      </c>
      <c r="O95" s="1" t="s">
        <v>40</v>
      </c>
      <c r="P95" s="1">
        <f t="shared" si="9"/>
        <v>0.36652000000000001</v>
      </c>
      <c r="Q95" s="1">
        <f t="shared" si="9"/>
        <v>0.39298</v>
      </c>
      <c r="R95" s="1">
        <f t="shared" si="9"/>
        <v>0.43894199999999994</v>
      </c>
      <c r="S95" s="1">
        <f t="shared" si="9"/>
        <v>0.50501653999999996</v>
      </c>
      <c r="T95" s="33">
        <v>0</v>
      </c>
      <c r="U95" s="1">
        <v>1</v>
      </c>
      <c r="W95" s="1" t="s">
        <v>9</v>
      </c>
      <c r="X95" s="24" t="s">
        <v>99</v>
      </c>
      <c r="Y95" s="1" t="s">
        <v>2</v>
      </c>
      <c r="Z95" s="1" t="s">
        <v>39</v>
      </c>
      <c r="AA95" s="1">
        <f t="shared" si="7"/>
        <v>0.38147999999999999</v>
      </c>
      <c r="AB95" s="1">
        <f t="shared" si="7"/>
        <v>0.40902000000000005</v>
      </c>
      <c r="AC95" s="1">
        <f t="shared" si="7"/>
        <v>0.45685799999999999</v>
      </c>
      <c r="AD95" s="1">
        <f t="shared" si="6"/>
        <v>0.52562945999999999</v>
      </c>
      <c r="AE95" s="28">
        <f>SUM($I$11,$I$39,$I$67,$I$95,$I$123,$I$151,$I$179,$I$207,$I$235,$I$263)</f>
        <v>89.565158000000011</v>
      </c>
      <c r="AF95" s="1">
        <v>1</v>
      </c>
    </row>
    <row r="96" spans="2:32" x14ac:dyDescent="0.25">
      <c r="B96" s="24" t="s">
        <v>10</v>
      </c>
      <c r="C96" s="24" t="s">
        <v>99</v>
      </c>
      <c r="D96" s="24" t="s">
        <v>2</v>
      </c>
      <c r="E96" s="24"/>
      <c r="F96" s="24">
        <f>[1]COMSOL!B21/1000</f>
        <v>1.476</v>
      </c>
      <c r="G96" s="24">
        <f>[1]COMSOL!C21/1000</f>
        <v>1.99044</v>
      </c>
      <c r="H96" s="24">
        <f>[1]COMSOL!D21/1000</f>
        <v>2.064454</v>
      </c>
      <c r="I96" s="24">
        <f>[1]COMSOL!E21/1000</f>
        <v>1.8897170000000001</v>
      </c>
      <c r="J96" s="1">
        <v>1</v>
      </c>
      <c r="L96" s="1" t="s">
        <v>10</v>
      </c>
      <c r="M96" s="24" t="s">
        <v>99</v>
      </c>
      <c r="N96" s="1" t="s">
        <v>2</v>
      </c>
      <c r="O96" s="1" t="s">
        <v>40</v>
      </c>
      <c r="P96" s="1">
        <f t="shared" si="9"/>
        <v>1.44648</v>
      </c>
      <c r="Q96" s="1">
        <f t="shared" si="9"/>
        <v>1.9506311999999999</v>
      </c>
      <c r="R96" s="1">
        <f t="shared" si="9"/>
        <v>2.0231649200000001</v>
      </c>
      <c r="S96" s="1">
        <f t="shared" si="9"/>
        <v>1.8519226600000001</v>
      </c>
      <c r="T96" s="33">
        <v>0</v>
      </c>
      <c r="U96" s="1">
        <v>1</v>
      </c>
      <c r="W96" s="1" t="s">
        <v>10</v>
      </c>
      <c r="X96" s="24" t="s">
        <v>99</v>
      </c>
      <c r="Y96" s="1" t="s">
        <v>2</v>
      </c>
      <c r="Z96" s="1" t="s">
        <v>39</v>
      </c>
      <c r="AA96" s="1">
        <f t="shared" si="7"/>
        <v>1.50552</v>
      </c>
      <c r="AB96" s="1">
        <f t="shared" si="7"/>
        <v>2.0302487999999999</v>
      </c>
      <c r="AC96" s="1">
        <f t="shared" si="7"/>
        <v>2.1057430799999999</v>
      </c>
      <c r="AD96" s="1">
        <f t="shared" si="6"/>
        <v>1.9275113400000001</v>
      </c>
      <c r="AE96" s="28">
        <f>SUM($I$12,$I$40,$I$68,$I$96,$I$124,$I$152,$I$180,$I$208,$I$236,$I$264)</f>
        <v>427.84543500000007</v>
      </c>
      <c r="AF96" s="1">
        <v>1</v>
      </c>
    </row>
    <row r="97" spans="2:32" x14ac:dyDescent="0.25">
      <c r="B97" s="24" t="s">
        <v>11</v>
      </c>
      <c r="C97" s="24" t="s">
        <v>99</v>
      </c>
      <c r="D97" s="24" t="s">
        <v>2</v>
      </c>
      <c r="E97" s="24"/>
      <c r="F97" s="24">
        <f>[1]COMSOL!B22/1000</f>
        <v>0.14000000000000001</v>
      </c>
      <c r="G97" s="24">
        <f>[1]COMSOL!C22/1000</f>
        <v>0.48367200000000005</v>
      </c>
      <c r="H97" s="24">
        <f>[1]COMSOL!D22/1000</f>
        <v>0.56223000000000001</v>
      </c>
      <c r="I97" s="24">
        <f>[1]COMSOL!E22/1000</f>
        <v>0.548848</v>
      </c>
      <c r="J97" s="1">
        <v>1</v>
      </c>
      <c r="L97" s="1" t="s">
        <v>11</v>
      </c>
      <c r="M97" s="24" t="s">
        <v>99</v>
      </c>
      <c r="N97" s="1" t="s">
        <v>2</v>
      </c>
      <c r="O97" s="1" t="s">
        <v>40</v>
      </c>
      <c r="P97" s="1">
        <f t="shared" si="9"/>
        <v>0.13720000000000002</v>
      </c>
      <c r="Q97" s="1">
        <f t="shared" si="9"/>
        <v>0.47399856000000001</v>
      </c>
      <c r="R97" s="1">
        <f t="shared" si="9"/>
        <v>0.55098539999999996</v>
      </c>
      <c r="S97" s="1">
        <f t="shared" si="9"/>
        <v>0.53787103999999997</v>
      </c>
      <c r="T97" s="33">
        <v>0</v>
      </c>
      <c r="U97" s="1">
        <v>1</v>
      </c>
      <c r="W97" s="1" t="s">
        <v>11</v>
      </c>
      <c r="X97" s="24" t="s">
        <v>99</v>
      </c>
      <c r="Y97" s="1" t="s">
        <v>2</v>
      </c>
      <c r="Z97" s="1" t="s">
        <v>39</v>
      </c>
      <c r="AA97" s="1">
        <f t="shared" si="7"/>
        <v>0.14280000000000001</v>
      </c>
      <c r="AB97" s="1">
        <f t="shared" si="7"/>
        <v>0.49334544000000008</v>
      </c>
      <c r="AC97" s="1">
        <f t="shared" si="7"/>
        <v>0.57347460000000006</v>
      </c>
      <c r="AD97" s="1">
        <f t="shared" si="6"/>
        <v>0.55982496000000004</v>
      </c>
      <c r="AE97" s="28">
        <f>SUM($I$13,$I$41,$I$69,$I$97,$I$125,$I$153,$I$181,$I$209,$I$237,$I$265)</f>
        <v>780.29733900000008</v>
      </c>
      <c r="AF97" s="1">
        <v>1</v>
      </c>
    </row>
    <row r="98" spans="2:32" x14ac:dyDescent="0.25">
      <c r="B98" s="24" t="s">
        <v>12</v>
      </c>
      <c r="C98" s="24" t="s">
        <v>99</v>
      </c>
      <c r="D98" s="24" t="s">
        <v>2</v>
      </c>
      <c r="E98" s="24"/>
      <c r="F98" s="24">
        <f>[1]COMSOL!B23/1000</f>
        <v>6.5000000000000002E-2</v>
      </c>
      <c r="G98" s="24">
        <f>[1]COMSOL!C23/1000</f>
        <v>0.13</v>
      </c>
      <c r="H98" s="24">
        <f>[1]COMSOL!D23/1000</f>
        <v>0.20530000000000001</v>
      </c>
      <c r="I98" s="24">
        <f>[1]COMSOL!E23/1000</f>
        <v>0.20660000000000001</v>
      </c>
      <c r="J98" s="1">
        <v>1</v>
      </c>
      <c r="L98" s="1" t="s">
        <v>12</v>
      </c>
      <c r="M98" s="24" t="s">
        <v>99</v>
      </c>
      <c r="N98" s="1" t="s">
        <v>2</v>
      </c>
      <c r="O98" s="1" t="s">
        <v>40</v>
      </c>
      <c r="P98" s="1">
        <f t="shared" si="9"/>
        <v>6.3700000000000007E-2</v>
      </c>
      <c r="Q98" s="1">
        <f t="shared" si="9"/>
        <v>0.12740000000000001</v>
      </c>
      <c r="R98" s="1">
        <f t="shared" si="9"/>
        <v>0.20119400000000001</v>
      </c>
      <c r="S98" s="1">
        <f t="shared" si="9"/>
        <v>0.20246800000000001</v>
      </c>
      <c r="T98" s="33">
        <v>0</v>
      </c>
      <c r="U98" s="1">
        <v>1</v>
      </c>
      <c r="W98" s="1" t="s">
        <v>12</v>
      </c>
      <c r="X98" s="24" t="s">
        <v>99</v>
      </c>
      <c r="Y98" s="1" t="s">
        <v>2</v>
      </c>
      <c r="Z98" s="1" t="s">
        <v>39</v>
      </c>
      <c r="AA98" s="1">
        <f t="shared" si="7"/>
        <v>6.6299999999999998E-2</v>
      </c>
      <c r="AB98" s="1">
        <f t="shared" si="7"/>
        <v>0.1326</v>
      </c>
      <c r="AC98" s="1">
        <f t="shared" si="7"/>
        <v>0.20940600000000001</v>
      </c>
      <c r="AD98" s="1">
        <f t="shared" si="6"/>
        <v>0.210732</v>
      </c>
      <c r="AE98" s="28">
        <f>SUM($I$14,$I$42,$I$70,$I$98,$I$126,$I$154,$I$182,$I$210,$I$238,$I$266)</f>
        <v>32.639519</v>
      </c>
      <c r="AF98" s="1">
        <v>1</v>
      </c>
    </row>
    <row r="99" spans="2:32" x14ac:dyDescent="0.25">
      <c r="B99" s="24" t="s">
        <v>13</v>
      </c>
      <c r="C99" s="24" t="s">
        <v>99</v>
      </c>
      <c r="D99" s="24" t="s">
        <v>2</v>
      </c>
      <c r="E99" s="24"/>
      <c r="F99" s="24">
        <f>[1]COMSOL!B24/1000</f>
        <v>1.123</v>
      </c>
      <c r="G99" s="24">
        <f>[1]COMSOL!C24/1000</f>
        <v>1.591</v>
      </c>
      <c r="H99" s="24">
        <f>[1]COMSOL!D24/1000</f>
        <v>1.811264</v>
      </c>
      <c r="I99" s="24">
        <f>[1]COMSOL!E24/1000</f>
        <v>1.861863</v>
      </c>
      <c r="J99" s="1">
        <v>1</v>
      </c>
      <c r="L99" s="1" t="s">
        <v>13</v>
      </c>
      <c r="M99" s="24" t="s">
        <v>99</v>
      </c>
      <c r="N99" s="1" t="s">
        <v>2</v>
      </c>
      <c r="O99" s="1" t="s">
        <v>40</v>
      </c>
      <c r="P99" s="1">
        <f t="shared" si="9"/>
        <v>1.1005400000000001</v>
      </c>
      <c r="Q99" s="1">
        <f t="shared" si="9"/>
        <v>1.55918</v>
      </c>
      <c r="R99" s="1">
        <f t="shared" si="9"/>
        <v>1.77503872</v>
      </c>
      <c r="S99" s="1">
        <f t="shared" si="9"/>
        <v>1.8246257400000001</v>
      </c>
      <c r="T99" s="33">
        <v>0</v>
      </c>
      <c r="U99" s="1">
        <v>1</v>
      </c>
      <c r="W99" s="1" t="s">
        <v>13</v>
      </c>
      <c r="X99" s="24" t="s">
        <v>99</v>
      </c>
      <c r="Y99" s="1" t="s">
        <v>2</v>
      </c>
      <c r="Z99" s="1" t="s">
        <v>39</v>
      </c>
      <c r="AA99" s="1">
        <f t="shared" si="7"/>
        <v>1.1454599999999999</v>
      </c>
      <c r="AB99" s="1">
        <f t="shared" si="7"/>
        <v>1.6228199999999999</v>
      </c>
      <c r="AC99" s="1">
        <f t="shared" si="7"/>
        <v>1.84748928</v>
      </c>
      <c r="AD99" s="1">
        <f t="shared" si="6"/>
        <v>1.89910026</v>
      </c>
      <c r="AE99" s="28">
        <f>SUM($I$15,$I$43,$I$71,$I$99,$I$127,$I$155,$I$183,$I$211,$I$239,$I$267)</f>
        <v>694.24554299999988</v>
      </c>
      <c r="AF99" s="1">
        <v>1</v>
      </c>
    </row>
    <row r="100" spans="2:32" x14ac:dyDescent="0.25">
      <c r="B100" s="24" t="s">
        <v>14</v>
      </c>
      <c r="C100" s="24" t="s">
        <v>99</v>
      </c>
      <c r="D100" s="24" t="s">
        <v>2</v>
      </c>
      <c r="E100" s="24"/>
      <c r="F100" s="24">
        <f>[1]COMSOL!B25/1000</f>
        <v>0.38200000000000001</v>
      </c>
      <c r="G100" s="24">
        <f>[1]COMSOL!C25/1000</f>
        <v>0.42599999999999999</v>
      </c>
      <c r="H100" s="24">
        <f>[1]COMSOL!D25/1000</f>
        <v>0.46454099999999998</v>
      </c>
      <c r="I100" s="24">
        <f>[1]COMSOL!E25/1000</f>
        <v>0.38923099999999999</v>
      </c>
      <c r="J100" s="1">
        <v>1</v>
      </c>
      <c r="L100" s="1" t="s">
        <v>14</v>
      </c>
      <c r="M100" s="24" t="s">
        <v>99</v>
      </c>
      <c r="N100" s="1" t="s">
        <v>2</v>
      </c>
      <c r="O100" s="1" t="s">
        <v>40</v>
      </c>
      <c r="P100" s="1">
        <f t="shared" si="9"/>
        <v>0.37436000000000003</v>
      </c>
      <c r="Q100" s="1">
        <f t="shared" si="9"/>
        <v>0.41747999999999996</v>
      </c>
      <c r="R100" s="1">
        <f t="shared" si="9"/>
        <v>0.45525017999999995</v>
      </c>
      <c r="S100" s="1">
        <f t="shared" si="9"/>
        <v>0.38144637999999997</v>
      </c>
      <c r="T100" s="33">
        <v>0</v>
      </c>
      <c r="U100" s="1">
        <v>1</v>
      </c>
      <c r="W100" s="1" t="s">
        <v>14</v>
      </c>
      <c r="X100" s="24" t="s">
        <v>99</v>
      </c>
      <c r="Y100" s="1" t="s">
        <v>2</v>
      </c>
      <c r="Z100" s="1" t="s">
        <v>39</v>
      </c>
      <c r="AA100" s="1">
        <f t="shared" si="7"/>
        <v>0.38963999999999999</v>
      </c>
      <c r="AB100" s="1">
        <f t="shared" si="7"/>
        <v>0.43452000000000002</v>
      </c>
      <c r="AC100" s="1">
        <f t="shared" si="7"/>
        <v>0.47383182000000001</v>
      </c>
      <c r="AD100" s="1">
        <f t="shared" si="6"/>
        <v>0.39701562000000001</v>
      </c>
      <c r="AE100" s="28">
        <f>SUM($I$16,$I$44,$I$72,$I$100,$I$128,$I$156,$I$184,$I$212,$I$240,$I$268)</f>
        <v>12.063378</v>
      </c>
      <c r="AF100" s="1">
        <v>1</v>
      </c>
    </row>
    <row r="101" spans="2:32" x14ac:dyDescent="0.25">
      <c r="B101" s="24" t="s">
        <v>15</v>
      </c>
      <c r="C101" s="24" t="s">
        <v>99</v>
      </c>
      <c r="D101" s="24" t="s">
        <v>2</v>
      </c>
      <c r="E101" s="24"/>
      <c r="F101" s="24">
        <f>[1]COMSOL!B26/1000</f>
        <v>0</v>
      </c>
      <c r="G101" s="24">
        <f>[1]COMSOL!C26/1000</f>
        <v>0</v>
      </c>
      <c r="H101" s="24"/>
      <c r="I101" s="24"/>
      <c r="J101" s="1">
        <v>1</v>
      </c>
      <c r="L101" s="1" t="s">
        <v>15</v>
      </c>
      <c r="M101" s="24" t="s">
        <v>99</v>
      </c>
      <c r="N101" s="1" t="s">
        <v>2</v>
      </c>
      <c r="O101" s="1" t="s">
        <v>40</v>
      </c>
      <c r="P101" s="1">
        <f t="shared" si="9"/>
        <v>0</v>
      </c>
      <c r="Q101" s="1">
        <f t="shared" si="9"/>
        <v>0</v>
      </c>
      <c r="R101" s="1" t="str">
        <f t="shared" si="9"/>
        <v>:</v>
      </c>
      <c r="S101" s="1" t="str">
        <f t="shared" si="9"/>
        <v>:</v>
      </c>
      <c r="T101" s="33">
        <v>0</v>
      </c>
      <c r="U101" s="1">
        <v>1</v>
      </c>
      <c r="W101" s="1" t="s">
        <v>15</v>
      </c>
      <c r="X101" s="24" t="s">
        <v>99</v>
      </c>
      <c r="Y101" s="1" t="s">
        <v>2</v>
      </c>
      <c r="Z101" s="1" t="s">
        <v>39</v>
      </c>
      <c r="AA101" s="1">
        <f t="shared" si="7"/>
        <v>0</v>
      </c>
      <c r="AB101" s="1">
        <f t="shared" si="7"/>
        <v>0</v>
      </c>
      <c r="AC101" s="1" t="str">
        <f t="shared" si="7"/>
        <v>:</v>
      </c>
      <c r="AD101" s="1" t="str">
        <f t="shared" si="6"/>
        <v>:</v>
      </c>
      <c r="AE101" s="28">
        <f>SUM($I$17,$I$45,$I$73,$I$101,$I$129,$I$157,$I$185,$I$213,$I$241,$I$269)</f>
        <v>22.533501999999999</v>
      </c>
      <c r="AF101" s="1">
        <v>1</v>
      </c>
    </row>
    <row r="102" spans="2:32" x14ac:dyDescent="0.25">
      <c r="B102" s="24" t="s">
        <v>16</v>
      </c>
      <c r="C102" s="24" t="s">
        <v>99</v>
      </c>
      <c r="D102" s="24" t="s">
        <v>2</v>
      </c>
      <c r="E102" s="24"/>
      <c r="F102" s="24">
        <f>[1]COMSOL!B27/1000</f>
        <v>0</v>
      </c>
      <c r="G102" s="24">
        <f>[1]COMSOL!C27/1000</f>
        <v>0</v>
      </c>
      <c r="H102" s="24">
        <f>[1]COMSOL!D27/1000</f>
        <v>0</v>
      </c>
      <c r="I102" s="24">
        <f>[1]COMSOL!E27/1000</f>
        <v>0</v>
      </c>
      <c r="J102" s="1">
        <v>1</v>
      </c>
      <c r="L102" s="1" t="s">
        <v>16</v>
      </c>
      <c r="M102" s="24" t="s">
        <v>99</v>
      </c>
      <c r="N102" s="1" t="s">
        <v>2</v>
      </c>
      <c r="O102" s="1" t="s">
        <v>40</v>
      </c>
      <c r="P102" s="1">
        <f t="shared" si="9"/>
        <v>0</v>
      </c>
      <c r="Q102" s="1">
        <f t="shared" si="9"/>
        <v>0</v>
      </c>
      <c r="R102" s="1">
        <f t="shared" si="9"/>
        <v>0</v>
      </c>
      <c r="S102" s="1">
        <f t="shared" si="9"/>
        <v>0</v>
      </c>
      <c r="T102" s="33">
        <v>0</v>
      </c>
      <c r="U102" s="1">
        <v>1</v>
      </c>
      <c r="W102" s="1" t="s">
        <v>16</v>
      </c>
      <c r="X102" s="24" t="s">
        <v>99</v>
      </c>
      <c r="Y102" s="1" t="s">
        <v>2</v>
      </c>
      <c r="Z102" s="1" t="s">
        <v>39</v>
      </c>
      <c r="AA102" s="1">
        <f t="shared" si="7"/>
        <v>0</v>
      </c>
      <c r="AB102" s="1">
        <f t="shared" si="7"/>
        <v>0</v>
      </c>
      <c r="AC102" s="1">
        <f t="shared" si="7"/>
        <v>0</v>
      </c>
      <c r="AD102" s="1">
        <f t="shared" si="6"/>
        <v>0</v>
      </c>
      <c r="AE102" s="28">
        <f>SUM($I$18,$I$46,$I$74,$I$102,$I$130,$I$158,$I$186,$I$214,$I$242,$I$270)</f>
        <v>25.619449000000003</v>
      </c>
      <c r="AF102" s="1">
        <v>1</v>
      </c>
    </row>
    <row r="103" spans="2:32" x14ac:dyDescent="0.25">
      <c r="B103" s="24" t="s">
        <v>17</v>
      </c>
      <c r="C103" s="24" t="s">
        <v>99</v>
      </c>
      <c r="D103" s="24" t="s">
        <v>2</v>
      </c>
      <c r="E103" s="24"/>
      <c r="F103" s="24">
        <f>[1]COMSOL!B28/1000</f>
        <v>0</v>
      </c>
      <c r="G103" s="24">
        <f>[1]COMSOL!C28/1000</f>
        <v>0</v>
      </c>
      <c r="H103" s="24">
        <f>[1]COMSOL!D28/1000</f>
        <v>0</v>
      </c>
      <c r="I103" s="24">
        <f>[1]COMSOL!E28/1000</f>
        <v>0</v>
      </c>
      <c r="J103" s="1">
        <v>1</v>
      </c>
      <c r="L103" s="1" t="s">
        <v>17</v>
      </c>
      <c r="M103" s="24" t="s">
        <v>99</v>
      </c>
      <c r="N103" s="1" t="s">
        <v>2</v>
      </c>
      <c r="O103" s="1" t="s">
        <v>40</v>
      </c>
      <c r="P103" s="1">
        <f t="shared" si="9"/>
        <v>0</v>
      </c>
      <c r="Q103" s="1">
        <f t="shared" si="9"/>
        <v>0</v>
      </c>
      <c r="R103" s="1">
        <f t="shared" si="9"/>
        <v>0</v>
      </c>
      <c r="S103" s="1">
        <f t="shared" si="9"/>
        <v>0</v>
      </c>
      <c r="T103" s="33">
        <v>0</v>
      </c>
      <c r="U103" s="1">
        <v>1</v>
      </c>
      <c r="W103" s="1" t="s">
        <v>17</v>
      </c>
      <c r="X103" s="24" t="s">
        <v>99</v>
      </c>
      <c r="Y103" s="1" t="s">
        <v>2</v>
      </c>
      <c r="Z103" s="1" t="s">
        <v>39</v>
      </c>
      <c r="AA103" s="1">
        <f t="shared" si="7"/>
        <v>0</v>
      </c>
      <c r="AB103" s="1">
        <f t="shared" si="7"/>
        <v>0</v>
      </c>
      <c r="AC103" s="1">
        <f t="shared" si="7"/>
        <v>0</v>
      </c>
      <c r="AD103" s="1">
        <f t="shared" si="6"/>
        <v>0</v>
      </c>
      <c r="AE103" s="28">
        <f>SUM($I$19,$I$47,$I$75,$I$103,$I$131,$I$159,$I$187,$I$215,$I$243,$I$271)</f>
        <v>18.465619999999998</v>
      </c>
      <c r="AF103" s="1">
        <v>1</v>
      </c>
    </row>
    <row r="104" spans="2:32" x14ac:dyDescent="0.25">
      <c r="B104" s="24" t="s">
        <v>18</v>
      </c>
      <c r="C104" s="24" t="s">
        <v>99</v>
      </c>
      <c r="D104" s="24" t="s">
        <v>2</v>
      </c>
      <c r="E104" s="24"/>
      <c r="F104" s="24">
        <f>[1]COMSOL!B29/1000</f>
        <v>7.0000000000000001E-3</v>
      </c>
      <c r="G104" s="24">
        <f>[1]COMSOL!C29/1000</f>
        <v>8.9999999999999993E-3</v>
      </c>
      <c r="H104" s="24">
        <f>[1]COMSOL!D29/1000</f>
        <v>1.0999999999999999E-2</v>
      </c>
      <c r="I104" s="24">
        <f>[1]COMSOL!E29/1000</f>
        <v>1.2999999999999999E-2</v>
      </c>
      <c r="J104" s="1">
        <v>1</v>
      </c>
      <c r="L104" s="1" t="s">
        <v>18</v>
      </c>
      <c r="M104" s="24" t="s">
        <v>99</v>
      </c>
      <c r="N104" s="1" t="s">
        <v>2</v>
      </c>
      <c r="O104" s="1" t="s">
        <v>40</v>
      </c>
      <c r="P104" s="1">
        <f>IF(ISBLANK(F104),":",0.98*F104)</f>
        <v>6.8599999999999998E-3</v>
      </c>
      <c r="Q104" s="1">
        <f t="shared" si="9"/>
        <v>8.8199999999999997E-3</v>
      </c>
      <c r="R104" s="1">
        <f t="shared" si="9"/>
        <v>1.078E-2</v>
      </c>
      <c r="S104" s="1">
        <f t="shared" si="9"/>
        <v>1.274E-2</v>
      </c>
      <c r="T104" s="33">
        <v>0</v>
      </c>
      <c r="U104" s="1">
        <v>1</v>
      </c>
      <c r="W104" s="1" t="s">
        <v>18</v>
      </c>
      <c r="X104" s="24" t="s">
        <v>99</v>
      </c>
      <c r="Y104" s="1" t="s">
        <v>2</v>
      </c>
      <c r="Z104" s="1" t="s">
        <v>39</v>
      </c>
      <c r="AA104" s="1">
        <f t="shared" si="7"/>
        <v>7.1400000000000005E-3</v>
      </c>
      <c r="AB104" s="1">
        <f t="shared" si="7"/>
        <v>9.1799999999999989E-3</v>
      </c>
      <c r="AC104" s="1">
        <f t="shared" si="7"/>
        <v>1.1219999999999999E-2</v>
      </c>
      <c r="AD104" s="1">
        <f t="shared" si="6"/>
        <v>1.3259999999999999E-2</v>
      </c>
      <c r="AE104" s="28">
        <f>SUM($I$20,$I$48,$I$76,$I$104,$I$132,$I$160,$I$188,$I$216,$I$244,$I$272)</f>
        <v>68.587658000000005</v>
      </c>
      <c r="AF104" s="1">
        <v>1</v>
      </c>
    </row>
    <row r="105" spans="2:32" x14ac:dyDescent="0.25">
      <c r="B105" s="24" t="s">
        <v>20</v>
      </c>
      <c r="C105" s="24" t="s">
        <v>99</v>
      </c>
      <c r="D105" s="24" t="s">
        <v>2</v>
      </c>
      <c r="E105" s="24"/>
      <c r="F105" s="24">
        <f>[1]COMSOL!B30/1000</f>
        <v>0.19900000000000001</v>
      </c>
      <c r="G105" s="24">
        <f>[1]COMSOL!C30/1000</f>
        <v>0.22700000000000001</v>
      </c>
      <c r="H105" s="24">
        <f>[1]COMSOL!D30/1000</f>
        <v>0.23499999999999999</v>
      </c>
      <c r="I105" s="24">
        <f>[1]COMSOL!E30/1000</f>
        <v>0.23499999999999999</v>
      </c>
      <c r="J105" s="1">
        <v>1</v>
      </c>
      <c r="L105" s="1" t="s">
        <v>20</v>
      </c>
      <c r="M105" s="24" t="s">
        <v>99</v>
      </c>
      <c r="N105" s="1" t="s">
        <v>2</v>
      </c>
      <c r="O105" s="1" t="s">
        <v>40</v>
      </c>
      <c r="P105" s="1">
        <f t="shared" ref="P105:S120" si="10">IF(ISBLANK(F105),":",0.98*F105)</f>
        <v>0.19502</v>
      </c>
      <c r="Q105" s="1">
        <f t="shared" si="10"/>
        <v>0.22245999999999999</v>
      </c>
      <c r="R105" s="1">
        <f t="shared" si="10"/>
        <v>0.23029999999999998</v>
      </c>
      <c r="S105" s="1">
        <f t="shared" si="10"/>
        <v>0.23029999999999998</v>
      </c>
      <c r="T105" s="33">
        <v>0</v>
      </c>
      <c r="U105" s="1">
        <v>1</v>
      </c>
      <c r="W105" s="1" t="s">
        <v>20</v>
      </c>
      <c r="X105" s="24" t="s">
        <v>99</v>
      </c>
      <c r="Y105" s="1" t="s">
        <v>2</v>
      </c>
      <c r="Z105" s="1" t="s">
        <v>39</v>
      </c>
      <c r="AA105" s="1">
        <f t="shared" si="7"/>
        <v>0.20298000000000002</v>
      </c>
      <c r="AB105" s="1">
        <f t="shared" si="7"/>
        <v>0.23154000000000002</v>
      </c>
      <c r="AC105" s="1">
        <f t="shared" si="7"/>
        <v>0.2397</v>
      </c>
      <c r="AD105" s="1">
        <f t="shared" si="6"/>
        <v>0.2397</v>
      </c>
      <c r="AE105" s="28">
        <f>SUM($I$21,$I$49,$I$77,$I$105,$I$133,$I$161,$I$189,$I$217,$I$245,$I$273)</f>
        <v>254.70966400000003</v>
      </c>
      <c r="AF105" s="1">
        <v>1</v>
      </c>
    </row>
    <row r="106" spans="2:32" x14ac:dyDescent="0.25">
      <c r="B106" s="24" t="s">
        <v>21</v>
      </c>
      <c r="C106" s="24" t="s">
        <v>99</v>
      </c>
      <c r="D106" s="24" t="s">
        <v>2</v>
      </c>
      <c r="E106" s="24"/>
      <c r="F106" s="24">
        <f>[1]COMSOL!B31/1000</f>
        <v>2.1142310000000002</v>
      </c>
      <c r="G106" s="24">
        <f>[1]COMSOL!C31/1000</f>
        <v>2.169896</v>
      </c>
      <c r="H106" s="24">
        <f>[1]COMSOL!D31/1000</f>
        <v>2.8647399999999998</v>
      </c>
      <c r="I106" s="24">
        <f>[1]COMSOL!E31/1000</f>
        <v>2.3430790000000004</v>
      </c>
      <c r="J106" s="1">
        <v>1</v>
      </c>
      <c r="L106" s="1" t="s">
        <v>21</v>
      </c>
      <c r="M106" s="24" t="s">
        <v>99</v>
      </c>
      <c r="N106" s="1" t="s">
        <v>2</v>
      </c>
      <c r="O106" s="1" t="s">
        <v>40</v>
      </c>
      <c r="P106" s="1">
        <f t="shared" si="10"/>
        <v>2.07194638</v>
      </c>
      <c r="Q106" s="1">
        <f t="shared" si="10"/>
        <v>2.1264980800000002</v>
      </c>
      <c r="R106" s="1">
        <f t="shared" si="10"/>
        <v>2.8074451999999996</v>
      </c>
      <c r="S106" s="1">
        <f t="shared" si="10"/>
        <v>2.2962174200000005</v>
      </c>
      <c r="T106" s="33">
        <v>0</v>
      </c>
      <c r="U106" s="1">
        <v>1</v>
      </c>
      <c r="W106" s="1" t="s">
        <v>21</v>
      </c>
      <c r="X106" s="24" t="s">
        <v>99</v>
      </c>
      <c r="Y106" s="1" t="s">
        <v>2</v>
      </c>
      <c r="Z106" s="1" t="s">
        <v>39</v>
      </c>
      <c r="AA106" s="1">
        <f t="shared" si="7"/>
        <v>2.1565156200000004</v>
      </c>
      <c r="AB106" s="1">
        <f t="shared" si="7"/>
        <v>2.2132939199999999</v>
      </c>
      <c r="AC106" s="1">
        <f t="shared" si="7"/>
        <v>2.9220348</v>
      </c>
      <c r="AD106" s="1">
        <f t="shared" si="6"/>
        <v>2.3899405800000002</v>
      </c>
      <c r="AE106" s="28">
        <f>SUM($I$22,$I$50,$I$78,$I$106,$I$134,$I$162,$I$190,$I$218,$I$246,$I$274)</f>
        <v>101.032432</v>
      </c>
      <c r="AF106" s="1">
        <v>1</v>
      </c>
    </row>
    <row r="107" spans="2:32" x14ac:dyDescent="0.25">
      <c r="B107" s="24" t="s">
        <v>22</v>
      </c>
      <c r="C107" s="24" t="s">
        <v>99</v>
      </c>
      <c r="D107" s="24" t="s">
        <v>2</v>
      </c>
      <c r="E107" s="24"/>
      <c r="F107" s="24">
        <f>[1]COMSOL!B32/1000</f>
        <v>0.1</v>
      </c>
      <c r="G107" s="24">
        <f>[1]COMSOL!C32/1000</f>
        <v>0.23</v>
      </c>
      <c r="H107" s="24">
        <f>[1]COMSOL!D32/1000</f>
        <v>0.234824</v>
      </c>
      <c r="I107" s="24">
        <f>[1]COMSOL!E32/1000</f>
        <v>0.220553</v>
      </c>
      <c r="J107" s="1">
        <v>1</v>
      </c>
      <c r="L107" s="1" t="s">
        <v>22</v>
      </c>
      <c r="M107" s="24" t="s">
        <v>99</v>
      </c>
      <c r="N107" s="1" t="s">
        <v>2</v>
      </c>
      <c r="O107" s="1" t="s">
        <v>40</v>
      </c>
      <c r="P107" s="1">
        <f t="shared" si="10"/>
        <v>9.8000000000000004E-2</v>
      </c>
      <c r="Q107" s="1">
        <f t="shared" si="10"/>
        <v>0.22540000000000002</v>
      </c>
      <c r="R107" s="1">
        <f t="shared" si="10"/>
        <v>0.23012752</v>
      </c>
      <c r="S107" s="1">
        <f t="shared" si="10"/>
        <v>0.21614194</v>
      </c>
      <c r="T107" s="33">
        <v>0</v>
      </c>
      <c r="U107" s="1">
        <v>1</v>
      </c>
      <c r="W107" s="1" t="s">
        <v>22</v>
      </c>
      <c r="X107" s="24" t="s">
        <v>99</v>
      </c>
      <c r="Y107" s="1" t="s">
        <v>2</v>
      </c>
      <c r="Z107" s="1" t="s">
        <v>39</v>
      </c>
      <c r="AA107" s="1">
        <f t="shared" si="7"/>
        <v>0.10200000000000001</v>
      </c>
      <c r="AB107" s="1">
        <f t="shared" si="7"/>
        <v>0.2346</v>
      </c>
      <c r="AC107" s="1">
        <f t="shared" si="7"/>
        <v>0.23952048000000001</v>
      </c>
      <c r="AD107" s="1">
        <f t="shared" si="6"/>
        <v>0.22496405999999999</v>
      </c>
      <c r="AE107" s="28">
        <f>SUM($I$23,$I$51,$I$79,$I$107,$I$135,$I$163,$I$191,$I$219,$I$247,$I$275)</f>
        <v>338.02420999999998</v>
      </c>
      <c r="AF107" s="1">
        <v>1</v>
      </c>
    </row>
    <row r="108" spans="2:32" x14ac:dyDescent="0.25">
      <c r="B108" s="24" t="s">
        <v>23</v>
      </c>
      <c r="C108" s="24" t="s">
        <v>99</v>
      </c>
      <c r="D108" s="24" t="s">
        <v>2</v>
      </c>
      <c r="E108" s="24"/>
      <c r="F108" s="24">
        <f>[1]COMSOL!B33/1000</f>
        <v>0.80500000000000005</v>
      </c>
      <c r="G108" s="24">
        <f>[1]COMSOL!C33/1000</f>
        <v>1.3440000000000001</v>
      </c>
      <c r="H108" s="24">
        <f>[1]COMSOL!D33/1000</f>
        <v>1.6863090000000001</v>
      </c>
      <c r="I108" s="24">
        <f>[1]COMSOL!E33/1000</f>
        <v>1.9487000000000001</v>
      </c>
      <c r="J108" s="1">
        <v>1</v>
      </c>
      <c r="L108" s="1" t="s">
        <v>23</v>
      </c>
      <c r="M108" s="24" t="s">
        <v>99</v>
      </c>
      <c r="N108" s="1" t="s">
        <v>2</v>
      </c>
      <c r="O108" s="1" t="s">
        <v>40</v>
      </c>
      <c r="P108" s="1">
        <f t="shared" si="10"/>
        <v>0.78890000000000005</v>
      </c>
      <c r="Q108" s="1">
        <f t="shared" si="10"/>
        <v>1.3171200000000001</v>
      </c>
      <c r="R108" s="1">
        <f t="shared" si="10"/>
        <v>1.6525828200000001</v>
      </c>
      <c r="S108" s="1">
        <f t="shared" si="10"/>
        <v>1.909726</v>
      </c>
      <c r="T108" s="33">
        <v>0</v>
      </c>
      <c r="U108" s="1">
        <v>1</v>
      </c>
      <c r="W108" s="1" t="s">
        <v>23</v>
      </c>
      <c r="X108" s="24" t="s">
        <v>99</v>
      </c>
      <c r="Y108" s="1" t="s">
        <v>2</v>
      </c>
      <c r="Z108" s="1" t="s">
        <v>39</v>
      </c>
      <c r="AA108" s="1">
        <f t="shared" si="7"/>
        <v>0.82110000000000005</v>
      </c>
      <c r="AB108" s="1">
        <f t="shared" si="7"/>
        <v>1.3708800000000001</v>
      </c>
      <c r="AC108" s="1">
        <f t="shared" si="7"/>
        <v>1.72003518</v>
      </c>
      <c r="AD108" s="1">
        <f t="shared" si="6"/>
        <v>1.9876740000000002</v>
      </c>
      <c r="AE108" s="28">
        <f>SUM($I$24,$I$52,$I$80,$I$108,$I$136,$I$164,$I$192,$I$220,$I$248,$I$276)</f>
        <v>100.75319400000001</v>
      </c>
      <c r="AF108" s="1">
        <v>1</v>
      </c>
    </row>
    <row r="109" spans="2:32" x14ac:dyDescent="0.25">
      <c r="B109" s="24" t="s">
        <v>24</v>
      </c>
      <c r="C109" s="24" t="s">
        <v>99</v>
      </c>
      <c r="D109" s="24" t="s">
        <v>2</v>
      </c>
      <c r="E109" s="24"/>
      <c r="F109" s="24">
        <f>[1]COMSOL!B34/1000</f>
        <v>3.0000000000000001E-3</v>
      </c>
      <c r="G109" s="24">
        <f>[1]COMSOL!C34/1000</f>
        <v>1E-3</v>
      </c>
      <c r="H109" s="24">
        <f>[1]COMSOL!D34/1000</f>
        <v>1.5809999999999999E-3</v>
      </c>
      <c r="I109" s="24">
        <f>[1]COMSOL!E34/1000</f>
        <v>1.6232E-2</v>
      </c>
      <c r="J109" s="1">
        <v>1</v>
      </c>
      <c r="L109" s="1" t="s">
        <v>24</v>
      </c>
      <c r="M109" s="24" t="s">
        <v>99</v>
      </c>
      <c r="N109" s="1" t="s">
        <v>2</v>
      </c>
      <c r="O109" s="1" t="s">
        <v>40</v>
      </c>
      <c r="P109" s="1">
        <f t="shared" si="10"/>
        <v>2.9399999999999999E-3</v>
      </c>
      <c r="Q109" s="1">
        <f t="shared" si="10"/>
        <v>9.7999999999999997E-4</v>
      </c>
      <c r="R109" s="1">
        <f t="shared" si="10"/>
        <v>1.5493799999999999E-3</v>
      </c>
      <c r="S109" s="1">
        <f t="shared" si="10"/>
        <v>1.5907359999999999E-2</v>
      </c>
      <c r="T109" s="33">
        <v>0</v>
      </c>
      <c r="U109" s="1">
        <v>1</v>
      </c>
      <c r="W109" s="1" t="s">
        <v>24</v>
      </c>
      <c r="X109" s="24" t="s">
        <v>99</v>
      </c>
      <c r="Y109" s="1" t="s">
        <v>2</v>
      </c>
      <c r="Z109" s="1" t="s">
        <v>39</v>
      </c>
      <c r="AA109" s="1">
        <f t="shared" si="7"/>
        <v>3.0600000000000002E-3</v>
      </c>
      <c r="AB109" s="1">
        <f t="shared" si="7"/>
        <v>1.0200000000000001E-3</v>
      </c>
      <c r="AC109" s="1">
        <f t="shared" si="7"/>
        <v>1.6126199999999999E-3</v>
      </c>
      <c r="AD109" s="1">
        <f t="shared" si="6"/>
        <v>1.6556640000000001E-2</v>
      </c>
      <c r="AE109" s="28">
        <f>SUM($I$25,$I$53,$I$81,$I$109,$I$137,$I$165,$I$193,$I$221,$I$249,$I$277)</f>
        <v>85.709021000000007</v>
      </c>
      <c r="AF109" s="1">
        <v>1</v>
      </c>
    </row>
    <row r="110" spans="2:32" x14ac:dyDescent="0.25">
      <c r="B110" s="24" t="s">
        <v>25</v>
      </c>
      <c r="C110" s="24" t="s">
        <v>99</v>
      </c>
      <c r="D110" s="24" t="s">
        <v>2</v>
      </c>
      <c r="E110" s="24"/>
      <c r="F110" s="24">
        <f>[1]COMSOL!B35/1000</f>
        <v>0</v>
      </c>
      <c r="G110" s="24">
        <f>[1]COMSOL!C35/1000</f>
        <v>0</v>
      </c>
      <c r="H110" s="24">
        <f>[1]COMSOL!D35/1000</f>
        <v>0</v>
      </c>
      <c r="I110" s="24">
        <f>[1]COMSOL!E35/1000</f>
        <v>0</v>
      </c>
      <c r="J110" s="1">
        <v>1</v>
      </c>
      <c r="L110" s="1" t="s">
        <v>25</v>
      </c>
      <c r="M110" s="24" t="s">
        <v>99</v>
      </c>
      <c r="N110" s="1" t="s">
        <v>2</v>
      </c>
      <c r="O110" s="1" t="s">
        <v>40</v>
      </c>
      <c r="P110" s="1">
        <f t="shared" si="10"/>
        <v>0</v>
      </c>
      <c r="Q110" s="1">
        <f t="shared" si="10"/>
        <v>0</v>
      </c>
      <c r="R110" s="1">
        <f t="shared" si="10"/>
        <v>0</v>
      </c>
      <c r="S110" s="1">
        <f t="shared" si="10"/>
        <v>0</v>
      </c>
      <c r="T110" s="33">
        <v>0</v>
      </c>
      <c r="U110" s="1">
        <v>1</v>
      </c>
      <c r="W110" s="1" t="s">
        <v>25</v>
      </c>
      <c r="X110" s="24" t="s">
        <v>99</v>
      </c>
      <c r="Y110" s="1" t="s">
        <v>2</v>
      </c>
      <c r="Z110" s="1" t="s">
        <v>39</v>
      </c>
      <c r="AA110" s="1">
        <f t="shared" si="7"/>
        <v>0</v>
      </c>
      <c r="AB110" s="1">
        <f t="shared" si="7"/>
        <v>0</v>
      </c>
      <c r="AC110" s="1">
        <f t="shared" si="7"/>
        <v>0</v>
      </c>
      <c r="AD110" s="1">
        <f t="shared" si="6"/>
        <v>0</v>
      </c>
      <c r="AE110" s="28">
        <f>SUM($I$26,$I$54,$I$82,$I$110,$I$138,$I$166,$I$194,$I$222,$I$250,$I$278)</f>
        <v>18.304008</v>
      </c>
      <c r="AF110" s="1">
        <v>1</v>
      </c>
    </row>
    <row r="111" spans="2:32" x14ac:dyDescent="0.25">
      <c r="B111" s="24" t="s">
        <v>26</v>
      </c>
      <c r="C111" s="24" t="s">
        <v>99</v>
      </c>
      <c r="D111" s="24" t="s">
        <v>2</v>
      </c>
      <c r="E111" s="24"/>
      <c r="F111" s="24">
        <f>[1]COMSOL!B36/1000</f>
        <v>1.9E-2</v>
      </c>
      <c r="G111" s="24">
        <f>[1]COMSOL!C36/1000</f>
        <v>3.4000000000000002E-2</v>
      </c>
      <c r="H111" s="24">
        <f>[1]COMSOL!D36/1000</f>
        <v>3.1E-2</v>
      </c>
      <c r="I111" s="24">
        <f>[1]COMSOL!E36/1000</f>
        <v>0.08</v>
      </c>
      <c r="J111" s="1">
        <v>1</v>
      </c>
      <c r="L111" s="1" t="s">
        <v>26</v>
      </c>
      <c r="M111" s="24" t="s">
        <v>99</v>
      </c>
      <c r="N111" s="1" t="s">
        <v>2</v>
      </c>
      <c r="O111" s="1" t="s">
        <v>40</v>
      </c>
      <c r="P111" s="1">
        <f t="shared" si="10"/>
        <v>1.8619999999999998E-2</v>
      </c>
      <c r="Q111" s="1">
        <f t="shared" si="10"/>
        <v>3.3320000000000002E-2</v>
      </c>
      <c r="R111" s="1">
        <f t="shared" si="10"/>
        <v>3.0380000000000001E-2</v>
      </c>
      <c r="S111" s="1">
        <f t="shared" si="10"/>
        <v>7.8399999999999997E-2</v>
      </c>
      <c r="T111" s="33">
        <v>0</v>
      </c>
      <c r="U111" s="1">
        <v>1</v>
      </c>
      <c r="W111" s="1" t="s">
        <v>26</v>
      </c>
      <c r="X111" s="24" t="s">
        <v>99</v>
      </c>
      <c r="Y111" s="1" t="s">
        <v>2</v>
      </c>
      <c r="Z111" s="1" t="s">
        <v>39</v>
      </c>
      <c r="AA111" s="1">
        <f t="shared" si="7"/>
        <v>1.9380000000000001E-2</v>
      </c>
      <c r="AB111" s="1">
        <f t="shared" si="7"/>
        <v>3.4680000000000002E-2</v>
      </c>
      <c r="AC111" s="1">
        <f t="shared" si="7"/>
        <v>3.1620000000000002E-2</v>
      </c>
      <c r="AD111" s="1">
        <f t="shared" si="6"/>
        <v>8.1600000000000006E-2</v>
      </c>
      <c r="AE111" s="28">
        <f>SUM($I$27,$I$55,$I$83,$I$111,$I$139,$I$167,$I$195,$I$223,$I$251,$I$279)</f>
        <v>46.794905</v>
      </c>
      <c r="AF111" s="1">
        <v>1</v>
      </c>
    </row>
    <row r="112" spans="2:32" x14ac:dyDescent="0.25">
      <c r="B112" s="24" t="s">
        <v>27</v>
      </c>
      <c r="C112" s="24" t="s">
        <v>99</v>
      </c>
      <c r="D112" s="24" t="s">
        <v>2</v>
      </c>
      <c r="E112" s="24"/>
      <c r="F112" s="24">
        <f>[1]COMSOL!B37/1000</f>
        <v>0</v>
      </c>
      <c r="G112" s="24">
        <f>[1]COMSOL!C37/1000</f>
        <v>0</v>
      </c>
      <c r="H112" s="24">
        <f>[1]COMSOL!D37/1000</f>
        <v>0</v>
      </c>
      <c r="I112" s="24">
        <f>[1]COMSOL!E37/1000</f>
        <v>0</v>
      </c>
      <c r="J112" s="1">
        <v>1</v>
      </c>
      <c r="L112" s="1" t="s">
        <v>27</v>
      </c>
      <c r="M112" s="24" t="s">
        <v>99</v>
      </c>
      <c r="N112" s="1" t="s">
        <v>2</v>
      </c>
      <c r="O112" s="1" t="s">
        <v>40</v>
      </c>
      <c r="P112" s="1">
        <f t="shared" si="10"/>
        <v>0</v>
      </c>
      <c r="Q112" s="1">
        <f t="shared" si="10"/>
        <v>0</v>
      </c>
      <c r="R112" s="1">
        <f t="shared" si="10"/>
        <v>0</v>
      </c>
      <c r="S112" s="1">
        <f t="shared" si="10"/>
        <v>0</v>
      </c>
      <c r="T112" s="33">
        <v>0</v>
      </c>
      <c r="U112" s="1">
        <v>1</v>
      </c>
      <c r="W112" s="1" t="s">
        <v>27</v>
      </c>
      <c r="X112" s="24" t="s">
        <v>99</v>
      </c>
      <c r="Y112" s="1" t="s">
        <v>2</v>
      </c>
      <c r="Z112" s="1" t="s">
        <v>39</v>
      </c>
      <c r="AA112" s="1">
        <f t="shared" si="7"/>
        <v>0</v>
      </c>
      <c r="AB112" s="1">
        <f t="shared" si="7"/>
        <v>0</v>
      </c>
      <c r="AC112" s="1">
        <f t="shared" si="7"/>
        <v>0</v>
      </c>
      <c r="AD112" s="1">
        <f t="shared" si="6"/>
        <v>0</v>
      </c>
      <c r="AE112" s="28">
        <f>SUM($I$28,$I$56,$I$84,$I$112,$I$140,$I$168,$I$196,$I$224,$I$252,$I$280)</f>
        <v>121.343903</v>
      </c>
      <c r="AF112" s="1">
        <v>1</v>
      </c>
    </row>
    <row r="113" spans="2:32" x14ac:dyDescent="0.25">
      <c r="B113" s="24" t="s">
        <v>28</v>
      </c>
      <c r="C113" s="24" t="s">
        <v>99</v>
      </c>
      <c r="D113" s="24" t="s">
        <v>2</v>
      </c>
      <c r="E113" s="24"/>
      <c r="F113" s="24">
        <f>[1]COMSOL!B38/1000</f>
        <v>0</v>
      </c>
      <c r="G113" s="24">
        <f>[1]COMSOL!C38/1000</f>
        <v>0</v>
      </c>
      <c r="H113" s="24">
        <f>[1]COMSOL!D38/1000</f>
        <v>0</v>
      </c>
      <c r="I113" s="24">
        <f>[1]COMSOL!E38/1000</f>
        <v>0</v>
      </c>
      <c r="J113" s="1">
        <v>1</v>
      </c>
      <c r="L113" s="1" t="s">
        <v>28</v>
      </c>
      <c r="M113" s="24" t="s">
        <v>99</v>
      </c>
      <c r="N113" s="1" t="s">
        <v>2</v>
      </c>
      <c r="O113" s="1" t="s">
        <v>40</v>
      </c>
      <c r="P113" s="1">
        <f t="shared" si="10"/>
        <v>0</v>
      </c>
      <c r="Q113" s="1">
        <f t="shared" si="10"/>
        <v>0</v>
      </c>
      <c r="R113" s="1">
        <f t="shared" si="10"/>
        <v>0</v>
      </c>
      <c r="S113" s="1">
        <f t="shared" si="10"/>
        <v>0</v>
      </c>
      <c r="T113" s="33">
        <v>0</v>
      </c>
      <c r="U113" s="1">
        <v>1</v>
      </c>
      <c r="W113" s="1" t="s">
        <v>28</v>
      </c>
      <c r="X113" s="24" t="s">
        <v>99</v>
      </c>
      <c r="Y113" s="1" t="s">
        <v>2</v>
      </c>
      <c r="Z113" s="1" t="s">
        <v>39</v>
      </c>
      <c r="AA113" s="1">
        <f t="shared" si="7"/>
        <v>0</v>
      </c>
      <c r="AB113" s="1">
        <f t="shared" si="7"/>
        <v>0</v>
      </c>
      <c r="AC113" s="1">
        <f t="shared" si="7"/>
        <v>0</v>
      </c>
      <c r="AD113" s="1">
        <f t="shared" si="6"/>
        <v>0</v>
      </c>
      <c r="AE113" s="28">
        <f>SUM($I$29,$I$57,$I$85,$I$113,$I$141,$I$169,$I$197,$I$225,$I$253,$I$281)</f>
        <v>174.41146799999999</v>
      </c>
      <c r="AF113" s="1">
        <v>1</v>
      </c>
    </row>
    <row r="114" spans="2:32" x14ac:dyDescent="0.25">
      <c r="B114" s="24" t="s">
        <v>29</v>
      </c>
      <c r="C114" s="24" t="s">
        <v>99</v>
      </c>
      <c r="D114" s="24" t="s">
        <v>2</v>
      </c>
      <c r="E114" s="24"/>
      <c r="F114" s="24">
        <f>[1]COMSOL!B39/1000</f>
        <v>0</v>
      </c>
      <c r="G114" s="24">
        <f>[1]COMSOL!C39/1000</f>
        <v>0</v>
      </c>
      <c r="H114" s="24">
        <f>[1]COMSOL!D39/1000</f>
        <v>0</v>
      </c>
      <c r="I114" s="24">
        <f>[1]COMSOL!E39/1000</f>
        <v>0</v>
      </c>
      <c r="J114" s="1">
        <v>1</v>
      </c>
      <c r="L114" s="1" t="s">
        <v>29</v>
      </c>
      <c r="M114" s="24" t="s">
        <v>99</v>
      </c>
      <c r="N114" s="1" t="s">
        <v>2</v>
      </c>
      <c r="O114" s="1" t="s">
        <v>40</v>
      </c>
      <c r="P114" s="1">
        <f t="shared" si="10"/>
        <v>0</v>
      </c>
      <c r="Q114" s="1">
        <f t="shared" si="10"/>
        <v>0</v>
      </c>
      <c r="R114" s="1">
        <f t="shared" si="10"/>
        <v>0</v>
      </c>
      <c r="S114" s="1">
        <f t="shared" si="10"/>
        <v>0</v>
      </c>
      <c r="T114" s="33">
        <v>0</v>
      </c>
      <c r="U114" s="1">
        <v>1</v>
      </c>
      <c r="W114" s="1" t="s">
        <v>29</v>
      </c>
      <c r="X114" s="24" t="s">
        <v>99</v>
      </c>
      <c r="Y114" s="1" t="s">
        <v>2</v>
      </c>
      <c r="Z114" s="1" t="s">
        <v>39</v>
      </c>
      <c r="AA114" s="1">
        <f t="shared" si="7"/>
        <v>0</v>
      </c>
      <c r="AB114" s="1">
        <f t="shared" si="7"/>
        <v>0</v>
      </c>
      <c r="AC114" s="1">
        <f t="shared" si="7"/>
        <v>0</v>
      </c>
      <c r="AD114" s="1">
        <f t="shared" si="6"/>
        <v>0</v>
      </c>
      <c r="AE114" s="28">
        <f>SUM($I$30,$I$58,$I$86,$I$114,$I$142,$I$170,$I$198,$I$226,$I$254,$I$282)</f>
        <v>131.14785900000001</v>
      </c>
      <c r="AF114" s="1">
        <v>1</v>
      </c>
    </row>
    <row r="115" spans="2:32" x14ac:dyDescent="0.25">
      <c r="B115" s="24" t="s">
        <v>30</v>
      </c>
      <c r="C115" s="24" t="s">
        <v>99</v>
      </c>
      <c r="D115" s="24" t="s">
        <v>2</v>
      </c>
      <c r="E115" s="24"/>
      <c r="F115" s="24">
        <f>[1]COMSOL!B40/1000</f>
        <v>0</v>
      </c>
      <c r="G115" s="24">
        <f>[1]COMSOL!C40/1000</f>
        <v>0</v>
      </c>
      <c r="H115" s="24">
        <f>G289</f>
        <v>0.71899999999999997</v>
      </c>
      <c r="I115" s="24">
        <f>G289</f>
        <v>0.71899999999999997</v>
      </c>
      <c r="J115" s="1">
        <v>1</v>
      </c>
      <c r="L115" s="1" t="s">
        <v>30</v>
      </c>
      <c r="M115" s="24" t="s">
        <v>99</v>
      </c>
      <c r="N115" s="1" t="s">
        <v>2</v>
      </c>
      <c r="O115" s="1" t="s">
        <v>40</v>
      </c>
      <c r="P115" s="1">
        <f t="shared" si="10"/>
        <v>0</v>
      </c>
      <c r="Q115" s="1">
        <f t="shared" si="10"/>
        <v>0</v>
      </c>
      <c r="R115" s="1">
        <f t="shared" si="10"/>
        <v>0.70461999999999991</v>
      </c>
      <c r="S115" s="1">
        <f t="shared" si="10"/>
        <v>0.70461999999999991</v>
      </c>
      <c r="T115" s="33">
        <v>0</v>
      </c>
      <c r="U115" s="1">
        <v>1</v>
      </c>
      <c r="W115" s="1" t="s">
        <v>30</v>
      </c>
      <c r="X115" s="24" t="s">
        <v>99</v>
      </c>
      <c r="Y115" s="1" t="s">
        <v>2</v>
      </c>
      <c r="Z115" s="1" t="s">
        <v>39</v>
      </c>
      <c r="AA115" s="1">
        <f t="shared" si="7"/>
        <v>0</v>
      </c>
      <c r="AB115" s="1">
        <f t="shared" si="7"/>
        <v>0</v>
      </c>
      <c r="AC115" s="1">
        <f t="shared" si="7"/>
        <v>0.73338000000000003</v>
      </c>
      <c r="AD115" s="1">
        <f t="shared" si="6"/>
        <v>0.73338000000000003</v>
      </c>
      <c r="AE115" s="28">
        <f>SUM($I$31,$I$59,$I$87,$I$115,$I$143,$I$171,$I$199,$I$227,$I$255,$I$283)</f>
        <v>698.48733743314938</v>
      </c>
      <c r="AF115" s="1">
        <v>1</v>
      </c>
    </row>
    <row r="116" spans="2:32" x14ac:dyDescent="0.25">
      <c r="B116" s="1" t="s">
        <v>0</v>
      </c>
      <c r="C116" s="1" t="s">
        <v>100</v>
      </c>
      <c r="D116" s="1" t="s">
        <v>2</v>
      </c>
      <c r="E116" s="1"/>
      <c r="F116" s="1">
        <f>[1]COMAHT!B13/1000</f>
        <v>9.9000000000000005E-2</v>
      </c>
      <c r="G116" s="1">
        <f>[1]COMAHT!C13/1000</f>
        <v>0.1321</v>
      </c>
      <c r="H116" s="1">
        <f>[1]COMAHT!D13/1000</f>
        <v>0.72450000000000003</v>
      </c>
      <c r="I116" s="1">
        <f>[1]COMAHT!E13/1000</f>
        <v>1.6680999999999999</v>
      </c>
      <c r="J116" s="1">
        <v>1</v>
      </c>
      <c r="L116" s="1" t="s">
        <v>0</v>
      </c>
      <c r="M116" s="1" t="s">
        <v>100</v>
      </c>
      <c r="N116" s="1" t="s">
        <v>2</v>
      </c>
      <c r="O116" s="1" t="s">
        <v>40</v>
      </c>
      <c r="P116" s="1">
        <f t="shared" si="10"/>
        <v>9.7020000000000009E-2</v>
      </c>
      <c r="Q116" s="1">
        <f t="shared" si="10"/>
        <v>0.12945799999999999</v>
      </c>
      <c r="R116" s="1">
        <f t="shared" si="10"/>
        <v>0.71001000000000003</v>
      </c>
      <c r="S116" s="1">
        <f t="shared" si="10"/>
        <v>1.6347379999999998</v>
      </c>
      <c r="T116" s="33">
        <v>0</v>
      </c>
      <c r="U116" s="1">
        <v>1</v>
      </c>
      <c r="W116" s="1" t="s">
        <v>0</v>
      </c>
      <c r="X116" s="1" t="s">
        <v>100</v>
      </c>
      <c r="Y116" s="1" t="s">
        <v>2</v>
      </c>
      <c r="Z116" s="1" t="s">
        <v>39</v>
      </c>
      <c r="AA116" s="1">
        <f t="shared" si="7"/>
        <v>0.10098</v>
      </c>
      <c r="AB116" s="1">
        <f t="shared" si="7"/>
        <v>0.134742</v>
      </c>
      <c r="AC116" s="1">
        <f t="shared" si="7"/>
        <v>0.73899000000000004</v>
      </c>
      <c r="AD116" s="1">
        <f t="shared" si="6"/>
        <v>1.701462</v>
      </c>
      <c r="AE116" s="28">
        <f>SUM($I$4,$I$32,$I$60,$I$88,$I$116,$I$144,$I$172,$I$200,$I$228,$I$256)</f>
        <v>159.04926399999999</v>
      </c>
      <c r="AF116" s="1">
        <v>1</v>
      </c>
    </row>
    <row r="117" spans="2:32" x14ac:dyDescent="0.25">
      <c r="B117" s="1" t="s">
        <v>3</v>
      </c>
      <c r="C117" s="1" t="s">
        <v>100</v>
      </c>
      <c r="D117" s="1" t="s">
        <v>2</v>
      </c>
      <c r="E117" s="1"/>
      <c r="F117" s="1">
        <f>[1]COMAHT!B14/1000</f>
        <v>1.5822000000000001</v>
      </c>
      <c r="G117" s="1">
        <f>[1]COMAHT!C14/1000</f>
        <v>3.1341640000000002</v>
      </c>
      <c r="H117" s="1">
        <f>[1]COMAHT!D14/1000</f>
        <v>4.6724040000000002</v>
      </c>
      <c r="I117" s="1">
        <f>[1]COMAHT!E14/1000</f>
        <v>7.0975659999999996</v>
      </c>
      <c r="J117" s="1">
        <v>1</v>
      </c>
      <c r="L117" s="1" t="s">
        <v>3</v>
      </c>
      <c r="M117" s="1" t="s">
        <v>100</v>
      </c>
      <c r="N117" s="1" t="s">
        <v>2</v>
      </c>
      <c r="O117" s="1" t="s">
        <v>40</v>
      </c>
      <c r="P117" s="1">
        <f>IF(ISBLANK(F117),":",0.98*F117)</f>
        <v>1.550556</v>
      </c>
      <c r="Q117" s="1">
        <f t="shared" si="10"/>
        <v>3.0714807200000003</v>
      </c>
      <c r="R117" s="1">
        <f t="shared" si="10"/>
        <v>4.5789559200000003</v>
      </c>
      <c r="S117" s="1">
        <f t="shared" si="10"/>
        <v>6.9556146799999992</v>
      </c>
      <c r="T117" s="33">
        <v>0</v>
      </c>
      <c r="U117" s="1">
        <v>1</v>
      </c>
      <c r="W117" s="1" t="s">
        <v>3</v>
      </c>
      <c r="X117" s="1" t="s">
        <v>100</v>
      </c>
      <c r="Y117" s="1" t="s">
        <v>2</v>
      </c>
      <c r="Z117" s="1" t="s">
        <v>39</v>
      </c>
      <c r="AA117" s="1">
        <f t="shared" si="7"/>
        <v>1.6138440000000001</v>
      </c>
      <c r="AB117" s="1">
        <f t="shared" si="7"/>
        <v>3.1968472800000001</v>
      </c>
      <c r="AC117" s="1">
        <f t="shared" si="7"/>
        <v>4.7658520800000002</v>
      </c>
      <c r="AD117" s="1">
        <f t="shared" si="6"/>
        <v>7.23951732</v>
      </c>
      <c r="AE117" s="28">
        <f>SUM($I$5,$I$33,$I$61,$I$89,$I$117,$I$145,$I$173,$I$201,$I$229,$I$257)</f>
        <v>52.687187999999992</v>
      </c>
      <c r="AF117" s="1">
        <v>1</v>
      </c>
    </row>
    <row r="118" spans="2:32" x14ac:dyDescent="0.25">
      <c r="B118" s="1" t="s">
        <v>4</v>
      </c>
      <c r="C118" s="1" t="s">
        <v>100</v>
      </c>
      <c r="D118" s="1" t="s">
        <v>2</v>
      </c>
      <c r="E118" s="1"/>
      <c r="F118" s="1">
        <f>[1]COMAHT!B15/1000</f>
        <v>0.20026099999999999</v>
      </c>
      <c r="G118" s="1">
        <f>[1]COMAHT!C15/1000</f>
        <v>0.45219299999999996</v>
      </c>
      <c r="H118" s="1">
        <f>[1]COMAHT!D15/1000</f>
        <v>0.97865899999999995</v>
      </c>
      <c r="I118" s="1">
        <f>[1]COMAHT!E15/1000</f>
        <v>1.9371189999999998</v>
      </c>
      <c r="J118" s="1">
        <v>1</v>
      </c>
      <c r="L118" s="1" t="s">
        <v>4</v>
      </c>
      <c r="M118" s="1" t="s">
        <v>100</v>
      </c>
      <c r="N118" s="1" t="s">
        <v>2</v>
      </c>
      <c r="O118" s="1" t="s">
        <v>40</v>
      </c>
      <c r="P118" s="1">
        <f t="shared" ref="P118:S133" si="11">IF(ISBLANK(F118),":",0.98*F118)</f>
        <v>0.19625577999999999</v>
      </c>
      <c r="Q118" s="1">
        <f t="shared" si="10"/>
        <v>0.44314913999999994</v>
      </c>
      <c r="R118" s="1">
        <f t="shared" si="10"/>
        <v>0.95908581999999998</v>
      </c>
      <c r="S118" s="1">
        <f t="shared" si="10"/>
        <v>1.8983766199999998</v>
      </c>
      <c r="T118" s="33">
        <v>0</v>
      </c>
      <c r="U118" s="1">
        <v>1</v>
      </c>
      <c r="W118" s="1" t="s">
        <v>4</v>
      </c>
      <c r="X118" s="1" t="s">
        <v>100</v>
      </c>
      <c r="Y118" s="1" t="s">
        <v>2</v>
      </c>
      <c r="Z118" s="1" t="s">
        <v>39</v>
      </c>
      <c r="AA118" s="1">
        <f t="shared" si="7"/>
        <v>0.20426622</v>
      </c>
      <c r="AB118" s="1">
        <f t="shared" si="7"/>
        <v>0.46123685999999997</v>
      </c>
      <c r="AC118" s="1">
        <f t="shared" si="7"/>
        <v>0.99823217999999991</v>
      </c>
      <c r="AD118" s="1">
        <f t="shared" si="6"/>
        <v>1.9758613799999998</v>
      </c>
      <c r="AE118" s="28">
        <f>SUM($I$6,$I$34,$I$62,$I$90,$I$118,$I$146,$I$174,$I$202,$I$230,$I$258)</f>
        <v>110.98745699999999</v>
      </c>
      <c r="AF118" s="1">
        <v>1</v>
      </c>
    </row>
    <row r="119" spans="2:32" x14ac:dyDescent="0.25">
      <c r="B119" s="1" t="s">
        <v>5</v>
      </c>
      <c r="C119" s="1" t="s">
        <v>100</v>
      </c>
      <c r="D119" s="1" t="s">
        <v>2</v>
      </c>
      <c r="E119" s="1"/>
      <c r="F119" s="1">
        <f>[1]COMAHT!B16/1000</f>
        <v>0</v>
      </c>
      <c r="G119" s="1">
        <f>[1]COMAHT!C16/1000</f>
        <v>0</v>
      </c>
      <c r="H119" s="1">
        <f>[1]COMAHT!D16/1000</f>
        <v>0</v>
      </c>
      <c r="I119" s="1">
        <f>[1]COMAHT!E16/1000</f>
        <v>0</v>
      </c>
      <c r="J119" s="1">
        <v>1</v>
      </c>
      <c r="L119" s="1" t="s">
        <v>5</v>
      </c>
      <c r="M119" s="1" t="s">
        <v>100</v>
      </c>
      <c r="N119" s="1" t="s">
        <v>2</v>
      </c>
      <c r="O119" s="1" t="s">
        <v>40</v>
      </c>
      <c r="P119" s="1">
        <f t="shared" si="11"/>
        <v>0</v>
      </c>
      <c r="Q119" s="1">
        <f t="shared" si="10"/>
        <v>0</v>
      </c>
      <c r="R119" s="1">
        <f t="shared" si="10"/>
        <v>0</v>
      </c>
      <c r="S119" s="1">
        <f t="shared" si="10"/>
        <v>0</v>
      </c>
      <c r="T119" s="33">
        <v>0</v>
      </c>
      <c r="U119" s="1">
        <v>1</v>
      </c>
      <c r="W119" s="1" t="s">
        <v>5</v>
      </c>
      <c r="X119" s="1" t="s">
        <v>100</v>
      </c>
      <c r="Y119" s="1" t="s">
        <v>2</v>
      </c>
      <c r="Z119" s="1" t="s">
        <v>39</v>
      </c>
      <c r="AA119" s="1">
        <f t="shared" si="7"/>
        <v>0</v>
      </c>
      <c r="AB119" s="1">
        <f t="shared" si="7"/>
        <v>0</v>
      </c>
      <c r="AC119" s="1">
        <f t="shared" si="7"/>
        <v>0</v>
      </c>
      <c r="AD119" s="1">
        <f t="shared" si="6"/>
        <v>0</v>
      </c>
      <c r="AE119" s="28">
        <f>SUM($I$7,$I$35,$I$63,$I$91,$I$119,$I$147,$I$175,$I$203,$I$231,$I$259)</f>
        <v>78.733746999999994</v>
      </c>
      <c r="AF119" s="1">
        <v>1</v>
      </c>
    </row>
    <row r="120" spans="2:32" x14ac:dyDescent="0.25">
      <c r="B120" s="1" t="s">
        <v>6</v>
      </c>
      <c r="C120" s="1" t="s">
        <v>100</v>
      </c>
      <c r="D120" s="1" t="s">
        <v>2</v>
      </c>
      <c r="E120" s="1"/>
      <c r="F120" s="1">
        <f>[1]COMAHT!B17/1000</f>
        <v>1.4219999999999999</v>
      </c>
      <c r="G120" s="1">
        <f>[1]COMAHT!C17/1000</f>
        <v>2.456</v>
      </c>
      <c r="H120" s="1">
        <f>[1]COMAHT!D17/1000</f>
        <v>4.7590000000000003</v>
      </c>
      <c r="I120" s="1">
        <f>[1]COMAHT!E17/1000</f>
        <v>7.1529999999999996</v>
      </c>
      <c r="J120" s="1">
        <v>1</v>
      </c>
      <c r="L120" s="1" t="s">
        <v>6</v>
      </c>
      <c r="M120" s="1" t="s">
        <v>100</v>
      </c>
      <c r="N120" s="1" t="s">
        <v>2</v>
      </c>
      <c r="O120" s="1" t="s">
        <v>40</v>
      </c>
      <c r="P120" s="1">
        <f t="shared" si="11"/>
        <v>1.3935599999999999</v>
      </c>
      <c r="Q120" s="1">
        <f t="shared" si="10"/>
        <v>2.4068800000000001</v>
      </c>
      <c r="R120" s="1">
        <f t="shared" si="10"/>
        <v>4.6638200000000003</v>
      </c>
      <c r="S120" s="1">
        <f t="shared" si="10"/>
        <v>7.0099399999999994</v>
      </c>
      <c r="T120" s="33">
        <v>0</v>
      </c>
      <c r="U120" s="1">
        <v>1</v>
      </c>
      <c r="W120" s="1" t="s">
        <v>6</v>
      </c>
      <c r="X120" s="1" t="s">
        <v>100</v>
      </c>
      <c r="Y120" s="1" t="s">
        <v>2</v>
      </c>
      <c r="Z120" s="1" t="s">
        <v>39</v>
      </c>
      <c r="AA120" s="1">
        <f t="shared" si="7"/>
        <v>1.45044</v>
      </c>
      <c r="AB120" s="1">
        <f t="shared" si="7"/>
        <v>2.5051199999999998</v>
      </c>
      <c r="AC120" s="1">
        <f t="shared" si="7"/>
        <v>4.8541800000000004</v>
      </c>
      <c r="AD120" s="1">
        <f t="shared" si="6"/>
        <v>7.2960599999999998</v>
      </c>
      <c r="AE120" s="28">
        <f>SUM($I$8,$I$36,$I$64,$I$92,$I$120,$I$148,$I$176,$I$204,$I$232,$I$260)</f>
        <v>998.19450100000006</v>
      </c>
      <c r="AF120" s="1">
        <v>1</v>
      </c>
    </row>
    <row r="121" spans="2:32" x14ac:dyDescent="0.25">
      <c r="B121" s="1" t="s">
        <v>7</v>
      </c>
      <c r="C121" s="1" t="s">
        <v>100</v>
      </c>
      <c r="D121" s="1" t="s">
        <v>2</v>
      </c>
      <c r="E121" s="1"/>
      <c r="F121" s="1">
        <f>[1]COMAHT!B18/1000</f>
        <v>0</v>
      </c>
      <c r="G121" s="1">
        <f>[1]COMAHT!C18/1000</f>
        <v>0</v>
      </c>
      <c r="H121" s="1">
        <f>[1]COMAHT!D18/1000</f>
        <v>0</v>
      </c>
      <c r="I121" s="1">
        <f>[1]COMAHT!E18/1000</f>
        <v>0</v>
      </c>
      <c r="J121" s="1">
        <v>1</v>
      </c>
      <c r="L121" s="1" t="s">
        <v>7</v>
      </c>
      <c r="M121" s="1" t="s">
        <v>100</v>
      </c>
      <c r="N121" s="1" t="s">
        <v>2</v>
      </c>
      <c r="O121" s="1" t="s">
        <v>40</v>
      </c>
      <c r="P121" s="1">
        <f t="shared" si="11"/>
        <v>0</v>
      </c>
      <c r="Q121" s="1">
        <f t="shared" si="11"/>
        <v>0</v>
      </c>
      <c r="R121" s="1">
        <f t="shared" si="11"/>
        <v>0</v>
      </c>
      <c r="S121" s="1">
        <f t="shared" si="11"/>
        <v>0</v>
      </c>
      <c r="T121" s="33">
        <v>0</v>
      </c>
      <c r="U121" s="1">
        <v>1</v>
      </c>
      <c r="W121" s="1" t="s">
        <v>7</v>
      </c>
      <c r="X121" s="1" t="s">
        <v>100</v>
      </c>
      <c r="Y121" s="1" t="s">
        <v>2</v>
      </c>
      <c r="Z121" s="1" t="s">
        <v>39</v>
      </c>
      <c r="AA121" s="1">
        <f t="shared" si="7"/>
        <v>0</v>
      </c>
      <c r="AB121" s="1">
        <f t="shared" si="7"/>
        <v>0</v>
      </c>
      <c r="AC121" s="1">
        <f t="shared" si="7"/>
        <v>0</v>
      </c>
      <c r="AD121" s="1">
        <f t="shared" si="6"/>
        <v>0</v>
      </c>
      <c r="AE121" s="28">
        <f>SUM($I$9,$I$37,$I$65,$I$93,$I$121,$I$149,$I$177,$I$205,$I$233,$I$261)</f>
        <v>15.12316</v>
      </c>
      <c r="AF121" s="1">
        <v>1</v>
      </c>
    </row>
    <row r="122" spans="2:32" x14ac:dyDescent="0.25">
      <c r="B122" s="1" t="s">
        <v>8</v>
      </c>
      <c r="C122" s="1" t="s">
        <v>100</v>
      </c>
      <c r="D122" s="1" t="s">
        <v>2</v>
      </c>
      <c r="E122" s="1"/>
      <c r="F122" s="1">
        <f>[1]COMAHT!B19/1000</f>
        <v>0.223327</v>
      </c>
      <c r="G122" s="1">
        <f>[1]COMAHT!C19/1000</f>
        <v>0.42355999999999999</v>
      </c>
      <c r="H122" s="1">
        <f>[1]COMAHT!D19/1000</f>
        <v>0.86052399999999996</v>
      </c>
      <c r="I122" s="1">
        <f>[1]COMAHT!E19/1000</f>
        <v>1.0167459999999999</v>
      </c>
      <c r="J122" s="1">
        <v>1</v>
      </c>
      <c r="L122" s="1" t="s">
        <v>8</v>
      </c>
      <c r="M122" s="1" t="s">
        <v>100</v>
      </c>
      <c r="N122" s="1" t="s">
        <v>2</v>
      </c>
      <c r="O122" s="1" t="s">
        <v>40</v>
      </c>
      <c r="P122" s="1">
        <f t="shared" si="11"/>
        <v>0.21886046000000001</v>
      </c>
      <c r="Q122" s="1">
        <f t="shared" si="11"/>
        <v>0.41508879999999998</v>
      </c>
      <c r="R122" s="1">
        <f t="shared" si="11"/>
        <v>0.84331351999999993</v>
      </c>
      <c r="S122" s="1">
        <f t="shared" si="11"/>
        <v>0.99641107999999989</v>
      </c>
      <c r="T122" s="33">
        <v>0</v>
      </c>
      <c r="U122" s="1">
        <v>1</v>
      </c>
      <c r="W122" s="1" t="s">
        <v>8</v>
      </c>
      <c r="X122" s="1" t="s">
        <v>100</v>
      </c>
      <c r="Y122" s="1" t="s">
        <v>2</v>
      </c>
      <c r="Z122" s="1" t="s">
        <v>39</v>
      </c>
      <c r="AA122" s="1">
        <f t="shared" si="7"/>
        <v>0.22779353999999999</v>
      </c>
      <c r="AB122" s="1">
        <f t="shared" si="7"/>
        <v>0.4320312</v>
      </c>
      <c r="AC122" s="1">
        <f t="shared" si="7"/>
        <v>0.87773447999999998</v>
      </c>
      <c r="AD122" s="1">
        <f t="shared" si="6"/>
        <v>1.03708092</v>
      </c>
      <c r="AE122" s="28">
        <f>SUM(I$10,I$38,I$66,I$94,I$122,I$150,I$178,I$206,I$234,I$262)</f>
        <v>81.18795200000001</v>
      </c>
      <c r="AF122" s="1">
        <v>1</v>
      </c>
    </row>
    <row r="123" spans="2:32" x14ac:dyDescent="0.25">
      <c r="B123" s="1" t="s">
        <v>9</v>
      </c>
      <c r="C123" s="1" t="s">
        <v>100</v>
      </c>
      <c r="D123" s="1" t="s">
        <v>2</v>
      </c>
      <c r="E123" s="1"/>
      <c r="F123" s="1">
        <f>[1]COMAHT!B20/1000</f>
        <v>0</v>
      </c>
      <c r="G123" s="1">
        <f>[1]COMAHT!C20/1000</f>
        <v>0</v>
      </c>
      <c r="H123" s="1">
        <f>[1]COMAHT!D20/1000</f>
        <v>12.699</v>
      </c>
      <c r="I123" s="1">
        <f>[1]COMAHT!E20/1000</f>
        <v>16.671734000000001</v>
      </c>
      <c r="J123" s="1">
        <v>1</v>
      </c>
      <c r="L123" s="1" t="s">
        <v>9</v>
      </c>
      <c r="M123" s="1" t="s">
        <v>100</v>
      </c>
      <c r="N123" s="1" t="s">
        <v>2</v>
      </c>
      <c r="O123" s="1" t="s">
        <v>40</v>
      </c>
      <c r="P123" s="1">
        <f t="shared" si="11"/>
        <v>0</v>
      </c>
      <c r="Q123" s="1">
        <f t="shared" si="11"/>
        <v>0</v>
      </c>
      <c r="R123" s="1">
        <f t="shared" si="11"/>
        <v>12.44502</v>
      </c>
      <c r="S123" s="1">
        <f t="shared" si="11"/>
        <v>16.338299320000001</v>
      </c>
      <c r="T123" s="33">
        <v>0</v>
      </c>
      <c r="U123" s="1">
        <v>1</v>
      </c>
      <c r="W123" s="1" t="s">
        <v>9</v>
      </c>
      <c r="X123" s="1" t="s">
        <v>100</v>
      </c>
      <c r="Y123" s="1" t="s">
        <v>2</v>
      </c>
      <c r="Z123" s="1" t="s">
        <v>39</v>
      </c>
      <c r="AA123" s="1">
        <f t="shared" si="7"/>
        <v>0</v>
      </c>
      <c r="AB123" s="1">
        <f t="shared" si="7"/>
        <v>0</v>
      </c>
      <c r="AC123" s="1">
        <f t="shared" si="7"/>
        <v>12.95298</v>
      </c>
      <c r="AD123" s="1">
        <f t="shared" si="6"/>
        <v>17.005168680000001</v>
      </c>
      <c r="AE123" s="28">
        <f>SUM($I$11,$I$39,$I$67,$I$95,$I$123,$I$151,$I$179,$I$207,$I$235,$I$263)</f>
        <v>89.565158000000011</v>
      </c>
      <c r="AF123" s="1">
        <v>1</v>
      </c>
    </row>
    <row r="124" spans="2:32" x14ac:dyDescent="0.25">
      <c r="B124" s="1" t="s">
        <v>10</v>
      </c>
      <c r="C124" s="1" t="s">
        <v>100</v>
      </c>
      <c r="D124" s="1" t="s">
        <v>2</v>
      </c>
      <c r="E124" s="1"/>
      <c r="F124" s="1">
        <f>[1]COMAHT!B21/1000</f>
        <v>0</v>
      </c>
      <c r="G124" s="1">
        <f>[1]COMAHT!C21/1000</f>
        <v>7.5469759999999999</v>
      </c>
      <c r="H124" s="1">
        <f>[1]COMAHT!D21/1000</f>
        <v>22.935794999999999</v>
      </c>
      <c r="I124" s="1">
        <f>[1]COMAHT!E21/1000</f>
        <v>33.679648999999998</v>
      </c>
      <c r="J124" s="1">
        <v>1</v>
      </c>
      <c r="L124" s="1" t="s">
        <v>10</v>
      </c>
      <c r="M124" s="1" t="s">
        <v>100</v>
      </c>
      <c r="N124" s="1" t="s">
        <v>2</v>
      </c>
      <c r="O124" s="1" t="s">
        <v>40</v>
      </c>
      <c r="P124" s="1">
        <f t="shared" si="11"/>
        <v>0</v>
      </c>
      <c r="Q124" s="1">
        <f t="shared" si="11"/>
        <v>7.3960364799999994</v>
      </c>
      <c r="R124" s="1">
        <f t="shared" si="11"/>
        <v>22.477079099999997</v>
      </c>
      <c r="S124" s="1">
        <f t="shared" si="11"/>
        <v>33.006056019999995</v>
      </c>
      <c r="T124" s="33">
        <v>0</v>
      </c>
      <c r="U124" s="1">
        <v>1</v>
      </c>
      <c r="W124" s="1" t="s">
        <v>10</v>
      </c>
      <c r="X124" s="1" t="s">
        <v>100</v>
      </c>
      <c r="Y124" s="1" t="s">
        <v>2</v>
      </c>
      <c r="Z124" s="1" t="s">
        <v>39</v>
      </c>
      <c r="AA124" s="1">
        <f t="shared" si="7"/>
        <v>0</v>
      </c>
      <c r="AB124" s="1">
        <f t="shared" si="7"/>
        <v>7.6979155200000005</v>
      </c>
      <c r="AC124" s="1">
        <f t="shared" si="7"/>
        <v>23.3945109</v>
      </c>
      <c r="AD124" s="1">
        <f t="shared" si="6"/>
        <v>34.35324198</v>
      </c>
      <c r="AE124" s="28">
        <f>SUM($I$12,$I$40,$I$68,$I$96,$I$124,$I$152,$I$180,$I$208,$I$236,$I$264)</f>
        <v>427.84543500000007</v>
      </c>
      <c r="AF124" s="1">
        <v>1</v>
      </c>
    </row>
    <row r="125" spans="2:32" x14ac:dyDescent="0.25">
      <c r="B125" s="1" t="s">
        <v>11</v>
      </c>
      <c r="C125" s="1" t="s">
        <v>100</v>
      </c>
      <c r="D125" s="1" t="s">
        <v>2</v>
      </c>
      <c r="E125" s="1"/>
      <c r="F125" s="1">
        <f>[1]COMAHT!B22/1000</f>
        <v>6.6082430000000008</v>
      </c>
      <c r="G125" s="1">
        <f>[1]COMAHT!C22/1000</f>
        <v>15.158854999999999</v>
      </c>
      <c r="H125" s="1">
        <f>[1]COMAHT!D22/1000</f>
        <v>16.397074</v>
      </c>
      <c r="I125" s="1">
        <f>[1]COMAHT!E22/1000</f>
        <v>10.360473000000001</v>
      </c>
      <c r="J125" s="1">
        <v>1</v>
      </c>
      <c r="L125" s="1" t="s">
        <v>11</v>
      </c>
      <c r="M125" s="1" t="s">
        <v>100</v>
      </c>
      <c r="N125" s="1" t="s">
        <v>2</v>
      </c>
      <c r="O125" s="1" t="s">
        <v>40</v>
      </c>
      <c r="P125" s="1">
        <f t="shared" si="11"/>
        <v>6.4760781400000003</v>
      </c>
      <c r="Q125" s="1">
        <f t="shared" si="11"/>
        <v>14.855677899999998</v>
      </c>
      <c r="R125" s="1">
        <f t="shared" si="11"/>
        <v>16.06913252</v>
      </c>
      <c r="S125" s="1">
        <f t="shared" si="11"/>
        <v>10.153263540000001</v>
      </c>
      <c r="T125" s="33">
        <v>0</v>
      </c>
      <c r="U125" s="1">
        <v>1</v>
      </c>
      <c r="W125" s="1" t="s">
        <v>11</v>
      </c>
      <c r="X125" s="1" t="s">
        <v>100</v>
      </c>
      <c r="Y125" s="1" t="s">
        <v>2</v>
      </c>
      <c r="Z125" s="1" t="s">
        <v>39</v>
      </c>
      <c r="AA125" s="1">
        <f t="shared" si="7"/>
        <v>6.7404078600000013</v>
      </c>
      <c r="AB125" s="1">
        <f t="shared" si="7"/>
        <v>15.4620321</v>
      </c>
      <c r="AC125" s="1">
        <f t="shared" si="7"/>
        <v>16.72501548</v>
      </c>
      <c r="AD125" s="1">
        <f t="shared" si="6"/>
        <v>10.56768246</v>
      </c>
      <c r="AE125" s="28">
        <f>SUM($I$13,$I$41,$I$69,$I$97,$I$125,$I$153,$I$181,$I$209,$I$237,$I$265)</f>
        <v>780.29733900000008</v>
      </c>
      <c r="AF125" s="1">
        <v>1</v>
      </c>
    </row>
    <row r="126" spans="2:32" x14ac:dyDescent="0.25">
      <c r="B126" s="1" t="s">
        <v>12</v>
      </c>
      <c r="C126" s="1" t="s">
        <v>100</v>
      </c>
      <c r="D126" s="1" t="s">
        <v>2</v>
      </c>
      <c r="E126" s="1"/>
      <c r="F126" s="1">
        <f>[1]COMAHT!B23/1000</f>
        <v>0</v>
      </c>
      <c r="G126" s="1">
        <f>[1]COMAHT!C23/1000</f>
        <v>0</v>
      </c>
      <c r="H126" s="1">
        <f>[1]COMAHT!D23/1000</f>
        <v>0</v>
      </c>
      <c r="I126" s="1">
        <f>[1]COMAHT!E23/1000</f>
        <v>0</v>
      </c>
      <c r="J126" s="1">
        <v>1</v>
      </c>
      <c r="L126" s="1" t="s">
        <v>12</v>
      </c>
      <c r="M126" s="1" t="s">
        <v>100</v>
      </c>
      <c r="N126" s="1" t="s">
        <v>2</v>
      </c>
      <c r="O126" s="1" t="s">
        <v>40</v>
      </c>
      <c r="P126" s="1">
        <f t="shared" si="11"/>
        <v>0</v>
      </c>
      <c r="Q126" s="1">
        <f t="shared" si="11"/>
        <v>0</v>
      </c>
      <c r="R126" s="1">
        <f t="shared" si="11"/>
        <v>0</v>
      </c>
      <c r="S126" s="1">
        <f t="shared" si="11"/>
        <v>0</v>
      </c>
      <c r="T126" s="33">
        <v>0</v>
      </c>
      <c r="U126" s="1">
        <v>1</v>
      </c>
      <c r="W126" s="1" t="s">
        <v>12</v>
      </c>
      <c r="X126" s="1" t="s">
        <v>100</v>
      </c>
      <c r="Y126" s="1" t="s">
        <v>2</v>
      </c>
      <c r="Z126" s="1" t="s">
        <v>39</v>
      </c>
      <c r="AA126" s="1">
        <f t="shared" si="7"/>
        <v>0</v>
      </c>
      <c r="AB126" s="1">
        <f t="shared" si="7"/>
        <v>0</v>
      </c>
      <c r="AC126" s="1">
        <f t="shared" si="7"/>
        <v>0</v>
      </c>
      <c r="AD126" s="1">
        <f t="shared" si="6"/>
        <v>0</v>
      </c>
      <c r="AE126" s="28">
        <f>SUM($I$14,$I$42,$I$70,$I$98,$I$126,$I$154,$I$182,$I$210,$I$238,$I$266)</f>
        <v>32.639519</v>
      </c>
      <c r="AF126" s="1">
        <v>1</v>
      </c>
    </row>
    <row r="127" spans="2:32" x14ac:dyDescent="0.25">
      <c r="B127" s="1" t="s">
        <v>13</v>
      </c>
      <c r="C127" s="1" t="s">
        <v>100</v>
      </c>
      <c r="D127" s="1" t="s">
        <v>2</v>
      </c>
      <c r="E127" s="1"/>
      <c r="F127" s="1">
        <f>[1]COMAHT!B24/1000</f>
        <v>0</v>
      </c>
      <c r="G127" s="1">
        <f>[1]COMAHT!C24/1000</f>
        <v>0</v>
      </c>
      <c r="H127" s="1">
        <f>[1]COMAHT!D24/1000</f>
        <v>99.647838000000007</v>
      </c>
      <c r="I127" s="1">
        <f>[1]COMAHT!E24/1000</f>
        <v>84.532149999999987</v>
      </c>
      <c r="J127" s="1">
        <v>1</v>
      </c>
      <c r="L127" s="1" t="s">
        <v>13</v>
      </c>
      <c r="M127" s="1" t="s">
        <v>100</v>
      </c>
      <c r="N127" s="1" t="s">
        <v>2</v>
      </c>
      <c r="O127" s="1" t="s">
        <v>40</v>
      </c>
      <c r="P127" s="1">
        <f t="shared" si="11"/>
        <v>0</v>
      </c>
      <c r="Q127" s="1">
        <f t="shared" si="11"/>
        <v>0</v>
      </c>
      <c r="R127" s="1">
        <f t="shared" si="11"/>
        <v>97.654881240000009</v>
      </c>
      <c r="S127" s="1">
        <f t="shared" si="11"/>
        <v>82.841506999999993</v>
      </c>
      <c r="T127" s="33">
        <v>0</v>
      </c>
      <c r="U127" s="1">
        <v>1</v>
      </c>
      <c r="W127" s="1" t="s">
        <v>13</v>
      </c>
      <c r="X127" s="1" t="s">
        <v>100</v>
      </c>
      <c r="Y127" s="1" t="s">
        <v>2</v>
      </c>
      <c r="Z127" s="1" t="s">
        <v>39</v>
      </c>
      <c r="AA127" s="1">
        <f t="shared" si="7"/>
        <v>0</v>
      </c>
      <c r="AB127" s="1">
        <f t="shared" si="7"/>
        <v>0</v>
      </c>
      <c r="AC127" s="1">
        <f t="shared" si="7"/>
        <v>101.64079476000001</v>
      </c>
      <c r="AD127" s="1">
        <f t="shared" si="6"/>
        <v>86.222792999999982</v>
      </c>
      <c r="AE127" s="28">
        <f>SUM($I$15,$I$43,$I$71,$I$99,$I$127,$I$155,$I$183,$I$211,$I$239,$I$267)</f>
        <v>694.24554299999988</v>
      </c>
      <c r="AF127" s="1">
        <v>1</v>
      </c>
    </row>
    <row r="128" spans="2:32" x14ac:dyDescent="0.25">
      <c r="B128" s="1" t="s">
        <v>14</v>
      </c>
      <c r="C128" s="1" t="s">
        <v>100</v>
      </c>
      <c r="D128" s="1" t="s">
        <v>2</v>
      </c>
      <c r="E128" s="1"/>
      <c r="F128" s="1">
        <f>[1]COMAHT!B25/1000</f>
        <v>0</v>
      </c>
      <c r="G128" s="1">
        <f>[1]COMAHT!C25/1000</f>
        <v>0</v>
      </c>
      <c r="H128" s="1">
        <f>[1]COMAHT!D25/1000</f>
        <v>1.4784359999999999</v>
      </c>
      <c r="I128" s="1">
        <f>[1]COMAHT!E25/1000</f>
        <v>1.595561</v>
      </c>
      <c r="J128" s="1">
        <v>1</v>
      </c>
      <c r="L128" s="1" t="s">
        <v>14</v>
      </c>
      <c r="M128" s="1" t="s">
        <v>100</v>
      </c>
      <c r="N128" s="1" t="s">
        <v>2</v>
      </c>
      <c r="O128" s="1" t="s">
        <v>40</v>
      </c>
      <c r="P128" s="1">
        <f t="shared" si="11"/>
        <v>0</v>
      </c>
      <c r="Q128" s="1">
        <f t="shared" si="11"/>
        <v>0</v>
      </c>
      <c r="R128" s="1">
        <f t="shared" si="11"/>
        <v>1.4488672799999998</v>
      </c>
      <c r="S128" s="1">
        <f t="shared" si="11"/>
        <v>1.56364978</v>
      </c>
      <c r="T128" s="33">
        <v>0</v>
      </c>
      <c r="U128" s="1">
        <v>1</v>
      </c>
      <c r="W128" s="1" t="s">
        <v>14</v>
      </c>
      <c r="X128" s="1" t="s">
        <v>100</v>
      </c>
      <c r="Y128" s="1" t="s">
        <v>2</v>
      </c>
      <c r="Z128" s="1" t="s">
        <v>39</v>
      </c>
      <c r="AA128" s="1">
        <f t="shared" si="7"/>
        <v>0</v>
      </c>
      <c r="AB128" s="1">
        <f t="shared" si="7"/>
        <v>0</v>
      </c>
      <c r="AC128" s="1">
        <f t="shared" si="7"/>
        <v>1.50800472</v>
      </c>
      <c r="AD128" s="1">
        <f t="shared" si="6"/>
        <v>1.62747222</v>
      </c>
      <c r="AE128" s="28">
        <f>SUM($I$16,$I$44,$I$72,$I$100,$I$128,$I$156,$I$184,$I$212,$I$240,$I$268)</f>
        <v>12.063378</v>
      </c>
      <c r="AF128" s="1">
        <v>1</v>
      </c>
    </row>
    <row r="129" spans="2:32" x14ac:dyDescent="0.25">
      <c r="B129" s="1" t="s">
        <v>15</v>
      </c>
      <c r="C129" s="1" t="s">
        <v>100</v>
      </c>
      <c r="D129" s="1" t="s">
        <v>2</v>
      </c>
      <c r="E129" s="1"/>
      <c r="F129" s="1">
        <f>[1]COMAHT!B26/1000</f>
        <v>0</v>
      </c>
      <c r="G129" s="1">
        <f>[1]COMAHT!C26/1000</f>
        <v>0</v>
      </c>
      <c r="H129" s="1">
        <f>[1]COMAHT!D26/1000</f>
        <v>3.5720999999999996E-2</v>
      </c>
      <c r="I129" s="1">
        <f>[1]COMAHT!E26/1000</f>
        <v>2.3448E-2</v>
      </c>
      <c r="J129" s="1">
        <v>1</v>
      </c>
      <c r="L129" s="1" t="s">
        <v>15</v>
      </c>
      <c r="M129" s="1" t="s">
        <v>100</v>
      </c>
      <c r="N129" s="1" t="s">
        <v>2</v>
      </c>
      <c r="O129" s="1" t="s">
        <v>40</v>
      </c>
      <c r="P129" s="1">
        <f t="shared" si="11"/>
        <v>0</v>
      </c>
      <c r="Q129" s="1">
        <f t="shared" si="11"/>
        <v>0</v>
      </c>
      <c r="R129" s="1">
        <f t="shared" si="11"/>
        <v>3.5006579999999995E-2</v>
      </c>
      <c r="S129" s="1">
        <f t="shared" si="11"/>
        <v>2.2979039999999999E-2</v>
      </c>
      <c r="T129" s="33">
        <v>0</v>
      </c>
      <c r="U129" s="1">
        <v>1</v>
      </c>
      <c r="W129" s="1" t="s">
        <v>15</v>
      </c>
      <c r="X129" s="1" t="s">
        <v>100</v>
      </c>
      <c r="Y129" s="1" t="s">
        <v>2</v>
      </c>
      <c r="Z129" s="1" t="s">
        <v>39</v>
      </c>
      <c r="AA129" s="1">
        <f t="shared" si="7"/>
        <v>0</v>
      </c>
      <c r="AB129" s="1">
        <f t="shared" si="7"/>
        <v>0</v>
      </c>
      <c r="AC129" s="1">
        <f t="shared" si="7"/>
        <v>3.6435419999999996E-2</v>
      </c>
      <c r="AD129" s="1">
        <f t="shared" si="6"/>
        <v>2.3916960000000001E-2</v>
      </c>
      <c r="AE129" s="28">
        <f>SUM($I$17,$I$45,$I$73,$I$101,$I$129,$I$157,$I$185,$I$213,$I$241,$I$269)</f>
        <v>22.533501999999999</v>
      </c>
      <c r="AF129" s="1">
        <v>1</v>
      </c>
    </row>
    <row r="130" spans="2:32" x14ac:dyDescent="0.25">
      <c r="B130" s="1" t="s">
        <v>16</v>
      </c>
      <c r="C130" s="1" t="s">
        <v>100</v>
      </c>
      <c r="D130" s="1" t="s">
        <v>2</v>
      </c>
      <c r="E130" s="1"/>
      <c r="F130" s="1">
        <f>[1]COMAHT!B27/1000</f>
        <v>0</v>
      </c>
      <c r="G130" s="1">
        <f>[1]COMAHT!C27/1000</f>
        <v>0</v>
      </c>
      <c r="H130" s="1">
        <f>[1]COMAHT!D27/1000</f>
        <v>5.8999999999999997E-2</v>
      </c>
      <c r="I130" s="1">
        <f>[1]COMAHT!E27/1000</f>
        <v>0.20699999999999999</v>
      </c>
      <c r="J130" s="1">
        <v>1</v>
      </c>
      <c r="L130" s="1" t="s">
        <v>16</v>
      </c>
      <c r="M130" s="1" t="s">
        <v>100</v>
      </c>
      <c r="N130" s="1" t="s">
        <v>2</v>
      </c>
      <c r="O130" s="1" t="s">
        <v>40</v>
      </c>
      <c r="P130" s="1">
        <f t="shared" si="11"/>
        <v>0</v>
      </c>
      <c r="Q130" s="1">
        <f t="shared" si="11"/>
        <v>0</v>
      </c>
      <c r="R130" s="1">
        <f t="shared" si="11"/>
        <v>5.7819999999999996E-2</v>
      </c>
      <c r="S130" s="1">
        <f t="shared" si="11"/>
        <v>0.20285999999999998</v>
      </c>
      <c r="T130" s="33">
        <v>0</v>
      </c>
      <c r="U130" s="1">
        <v>1</v>
      </c>
      <c r="W130" s="1" t="s">
        <v>16</v>
      </c>
      <c r="X130" s="1" t="s">
        <v>100</v>
      </c>
      <c r="Y130" s="1" t="s">
        <v>2</v>
      </c>
      <c r="Z130" s="1" t="s">
        <v>39</v>
      </c>
      <c r="AA130" s="1">
        <f t="shared" si="7"/>
        <v>0</v>
      </c>
      <c r="AB130" s="1">
        <f t="shared" si="7"/>
        <v>0</v>
      </c>
      <c r="AC130" s="1">
        <f t="shared" si="7"/>
        <v>6.0179999999999997E-2</v>
      </c>
      <c r="AD130" s="1">
        <f t="shared" si="6"/>
        <v>0.21113999999999999</v>
      </c>
      <c r="AE130" s="28">
        <f>SUM($I$18,$I$46,$I$74,$I$102,$I$130,$I$158,$I$186,$I$214,$I$242,$I$270)</f>
        <v>25.619449000000003</v>
      </c>
      <c r="AF130" s="1">
        <v>1</v>
      </c>
    </row>
    <row r="131" spans="2:32" x14ac:dyDescent="0.25">
      <c r="B131" s="1" t="s">
        <v>17</v>
      </c>
      <c r="C131" s="1" t="s">
        <v>100</v>
      </c>
      <c r="D131" s="1" t="s">
        <v>2</v>
      </c>
      <c r="E131" s="1"/>
      <c r="F131" s="1">
        <f>[1]COMAHT!B28/1000</f>
        <v>0</v>
      </c>
      <c r="G131" s="1">
        <f>[1]COMAHT!C28/1000</f>
        <v>0</v>
      </c>
      <c r="H131" s="1">
        <f>[1]COMAHT!D28/1000</f>
        <v>0</v>
      </c>
      <c r="I131" s="1">
        <f>[1]COMAHT!E28/1000</f>
        <v>0</v>
      </c>
      <c r="J131" s="1">
        <v>1</v>
      </c>
      <c r="L131" s="1" t="s">
        <v>17</v>
      </c>
      <c r="M131" s="1" t="s">
        <v>100</v>
      </c>
      <c r="N131" s="1" t="s">
        <v>2</v>
      </c>
      <c r="O131" s="1" t="s">
        <v>40</v>
      </c>
      <c r="P131" s="1">
        <f t="shared" si="11"/>
        <v>0</v>
      </c>
      <c r="Q131" s="1">
        <f t="shared" si="11"/>
        <v>0</v>
      </c>
      <c r="R131" s="1">
        <f t="shared" si="11"/>
        <v>0</v>
      </c>
      <c r="S131" s="1">
        <f t="shared" si="11"/>
        <v>0</v>
      </c>
      <c r="T131" s="33">
        <v>0</v>
      </c>
      <c r="U131" s="1">
        <v>1</v>
      </c>
      <c r="W131" s="1" t="s">
        <v>17</v>
      </c>
      <c r="X131" s="1" t="s">
        <v>100</v>
      </c>
      <c r="Y131" s="1" t="s">
        <v>2</v>
      </c>
      <c r="Z131" s="1" t="s">
        <v>39</v>
      </c>
      <c r="AA131" s="1">
        <f t="shared" si="7"/>
        <v>0</v>
      </c>
      <c r="AB131" s="1">
        <f t="shared" si="7"/>
        <v>0</v>
      </c>
      <c r="AC131" s="1">
        <f t="shared" si="7"/>
        <v>0</v>
      </c>
      <c r="AD131" s="1">
        <f t="shared" si="7"/>
        <v>0</v>
      </c>
      <c r="AE131" s="28">
        <f>SUM($I$19,$I$47,$I$75,$I$103,$I$131,$I$159,$I$187,$I$215,$I$243,$I$271)</f>
        <v>18.465619999999998</v>
      </c>
      <c r="AF131" s="1">
        <v>1</v>
      </c>
    </row>
    <row r="132" spans="2:32" x14ac:dyDescent="0.25">
      <c r="B132" s="1" t="s">
        <v>18</v>
      </c>
      <c r="C132" s="1" t="s">
        <v>100</v>
      </c>
      <c r="D132" s="1" t="s">
        <v>2</v>
      </c>
      <c r="E132" s="1"/>
      <c r="F132" s="1">
        <f>[1]COMAHT!B29/1000</f>
        <v>0</v>
      </c>
      <c r="G132" s="1">
        <f>[1]COMAHT!C29/1000</f>
        <v>0</v>
      </c>
      <c r="H132" s="1">
        <f>[1]COMAHT!D29/1000</f>
        <v>0.17499999999999999</v>
      </c>
      <c r="I132" s="1">
        <f>[1]COMAHT!E29/1000</f>
        <v>0.99099999999999999</v>
      </c>
      <c r="J132" s="1">
        <v>1</v>
      </c>
      <c r="L132" s="1" t="s">
        <v>18</v>
      </c>
      <c r="M132" s="1" t="s">
        <v>100</v>
      </c>
      <c r="N132" s="1" t="s">
        <v>2</v>
      </c>
      <c r="O132" s="1" t="s">
        <v>40</v>
      </c>
      <c r="P132" s="1">
        <f t="shared" si="11"/>
        <v>0</v>
      </c>
      <c r="Q132" s="1">
        <f t="shared" si="11"/>
        <v>0</v>
      </c>
      <c r="R132" s="1">
        <f t="shared" si="11"/>
        <v>0.17149999999999999</v>
      </c>
      <c r="S132" s="1">
        <f t="shared" si="11"/>
        <v>0.97117999999999993</v>
      </c>
      <c r="T132" s="33">
        <v>0</v>
      </c>
      <c r="U132" s="1">
        <v>1</v>
      </c>
      <c r="W132" s="1" t="s">
        <v>18</v>
      </c>
      <c r="X132" s="1" t="s">
        <v>100</v>
      </c>
      <c r="Y132" s="1" t="s">
        <v>2</v>
      </c>
      <c r="Z132" s="1" t="s">
        <v>39</v>
      </c>
      <c r="AA132" s="1">
        <f t="shared" ref="AA132:AD195" si="12">IF(ISBLANK(F132),":",1.02*F132)</f>
        <v>0</v>
      </c>
      <c r="AB132" s="1">
        <f t="shared" si="12"/>
        <v>0</v>
      </c>
      <c r="AC132" s="1">
        <f t="shared" si="12"/>
        <v>0.17849999999999999</v>
      </c>
      <c r="AD132" s="1">
        <f t="shared" si="12"/>
        <v>1.0108200000000001</v>
      </c>
      <c r="AE132" s="28">
        <f>SUM($I$20,$I$48,$I$76,$I$104,$I$132,$I$160,$I$188,$I$216,$I$244,$I$272)</f>
        <v>68.587658000000005</v>
      </c>
      <c r="AF132" s="1">
        <v>1</v>
      </c>
    </row>
    <row r="133" spans="2:32" x14ac:dyDescent="0.25">
      <c r="B133" s="1" t="s">
        <v>20</v>
      </c>
      <c r="C133" s="1" t="s">
        <v>100</v>
      </c>
      <c r="D133" s="1" t="s">
        <v>2</v>
      </c>
      <c r="E133" s="1"/>
      <c r="F133" s="1">
        <f>[1]COMAHT!B30/1000</f>
        <v>1.789647</v>
      </c>
      <c r="G133" s="1">
        <f>[1]COMAHT!C30/1000</f>
        <v>3.6958310000000001</v>
      </c>
      <c r="H133" s="1">
        <f>[1]COMAHT!D30/1000</f>
        <v>6.7621510000000002</v>
      </c>
      <c r="I133" s="1">
        <f>[1]COMAHT!E30/1000</f>
        <v>9.8086679999999991</v>
      </c>
      <c r="J133" s="1">
        <v>1</v>
      </c>
      <c r="L133" s="1" t="s">
        <v>20</v>
      </c>
      <c r="M133" s="1" t="s">
        <v>100</v>
      </c>
      <c r="N133" s="1" t="s">
        <v>2</v>
      </c>
      <c r="O133" s="1" t="s">
        <v>40</v>
      </c>
      <c r="P133" s="1">
        <f>IF(ISBLANK(F133),":",0.98*F133)</f>
        <v>1.7538540599999999</v>
      </c>
      <c r="Q133" s="1">
        <f t="shared" si="11"/>
        <v>3.6219143800000002</v>
      </c>
      <c r="R133" s="1">
        <f t="shared" si="11"/>
        <v>6.6269079800000004</v>
      </c>
      <c r="S133" s="1">
        <f t="shared" si="11"/>
        <v>9.6124946399999995</v>
      </c>
      <c r="T133" s="33">
        <v>0</v>
      </c>
      <c r="U133" s="1">
        <v>1</v>
      </c>
      <c r="W133" s="1" t="s">
        <v>20</v>
      </c>
      <c r="X133" s="1" t="s">
        <v>100</v>
      </c>
      <c r="Y133" s="1" t="s">
        <v>2</v>
      </c>
      <c r="Z133" s="1" t="s">
        <v>39</v>
      </c>
      <c r="AA133" s="1">
        <f t="shared" si="12"/>
        <v>1.8254399400000001</v>
      </c>
      <c r="AB133" s="1">
        <f t="shared" si="12"/>
        <v>3.76974762</v>
      </c>
      <c r="AC133" s="1">
        <f t="shared" si="12"/>
        <v>6.8973940200000001</v>
      </c>
      <c r="AD133" s="1">
        <f t="shared" si="12"/>
        <v>10.004841359999999</v>
      </c>
      <c r="AE133" s="28">
        <f>SUM($I$21,$I$49,$I$77,$I$105,$I$133,$I$161,$I$189,$I$217,$I$245,$I$273)</f>
        <v>254.70966400000003</v>
      </c>
      <c r="AF133" s="1">
        <v>1</v>
      </c>
    </row>
    <row r="134" spans="2:32" x14ac:dyDescent="0.25">
      <c r="B134" s="1" t="s">
        <v>21</v>
      </c>
      <c r="C134" s="1" t="s">
        <v>100</v>
      </c>
      <c r="D134" s="1" t="s">
        <v>2</v>
      </c>
      <c r="E134" s="1"/>
      <c r="F134" s="1">
        <f>[1]COMAHT!B31/1000</f>
        <v>2.8484980000000002</v>
      </c>
      <c r="G134" s="1">
        <f>[1]COMAHT!C31/1000</f>
        <v>4.6746549999999996</v>
      </c>
      <c r="H134" s="1">
        <f>[1]COMAHT!D31/1000</f>
        <v>5.3545690000000006</v>
      </c>
      <c r="I134" s="1">
        <f>[1]COMAHT!E31/1000</f>
        <v>10.123336</v>
      </c>
      <c r="J134" s="1">
        <v>1</v>
      </c>
      <c r="L134" s="1" t="s">
        <v>21</v>
      </c>
      <c r="M134" s="1" t="s">
        <v>100</v>
      </c>
      <c r="N134" s="1" t="s">
        <v>2</v>
      </c>
      <c r="O134" s="1" t="s">
        <v>40</v>
      </c>
      <c r="P134" s="1">
        <f t="shared" ref="P134:S167" si="13">IF(ISBLANK(F134),":",0.98*F134)</f>
        <v>2.7915280400000002</v>
      </c>
      <c r="Q134" s="1">
        <f t="shared" si="13"/>
        <v>4.5811618999999997</v>
      </c>
      <c r="R134" s="1">
        <f t="shared" si="13"/>
        <v>5.2474776200000006</v>
      </c>
      <c r="S134" s="1">
        <f t="shared" si="13"/>
        <v>9.9208692799999998</v>
      </c>
      <c r="T134" s="33">
        <v>0</v>
      </c>
      <c r="U134" s="1">
        <v>1</v>
      </c>
      <c r="W134" s="1" t="s">
        <v>21</v>
      </c>
      <c r="X134" s="1" t="s">
        <v>100</v>
      </c>
      <c r="Y134" s="1" t="s">
        <v>2</v>
      </c>
      <c r="Z134" s="1" t="s">
        <v>39</v>
      </c>
      <c r="AA134" s="1">
        <f t="shared" si="12"/>
        <v>2.9054679600000002</v>
      </c>
      <c r="AB134" s="1">
        <f t="shared" si="12"/>
        <v>4.7681480999999994</v>
      </c>
      <c r="AC134" s="1">
        <f t="shared" si="12"/>
        <v>5.4616603800000005</v>
      </c>
      <c r="AD134" s="1">
        <f t="shared" si="12"/>
        <v>10.32580272</v>
      </c>
      <c r="AE134" s="28">
        <f>SUM($I$22,$I$50,$I$78,$I$106,$I$134,$I$162,$I$190,$I$218,$I$246,$I$274)</f>
        <v>101.032432</v>
      </c>
      <c r="AF134" s="1">
        <v>1</v>
      </c>
    </row>
    <row r="135" spans="2:32" x14ac:dyDescent="0.25">
      <c r="B135" s="1" t="s">
        <v>22</v>
      </c>
      <c r="C135" s="1" t="s">
        <v>100</v>
      </c>
      <c r="D135" s="1" t="s">
        <v>2</v>
      </c>
      <c r="E135" s="1"/>
      <c r="F135" s="1">
        <f>[1]COMAHT!B32/1000</f>
        <v>0.24811800000000001</v>
      </c>
      <c r="G135" s="1">
        <f>[1]COMAHT!C32/1000</f>
        <v>0.57974700000000001</v>
      </c>
      <c r="H135" s="1">
        <f>[1]COMAHT!D32/1000</f>
        <v>0.842692</v>
      </c>
      <c r="I135" s="1">
        <f>[1]COMAHT!E32/1000</f>
        <v>1.252578</v>
      </c>
      <c r="J135" s="1">
        <v>1</v>
      </c>
      <c r="L135" s="1" t="s">
        <v>22</v>
      </c>
      <c r="M135" s="1" t="s">
        <v>100</v>
      </c>
      <c r="N135" s="1" t="s">
        <v>2</v>
      </c>
      <c r="O135" s="1" t="s">
        <v>40</v>
      </c>
      <c r="P135" s="1">
        <f t="shared" si="13"/>
        <v>0.24315564000000001</v>
      </c>
      <c r="Q135" s="1">
        <f t="shared" si="13"/>
        <v>0.56815205999999996</v>
      </c>
      <c r="R135" s="1">
        <f t="shared" si="13"/>
        <v>0.82583815999999999</v>
      </c>
      <c r="S135" s="1">
        <f t="shared" si="13"/>
        <v>1.2275264399999999</v>
      </c>
      <c r="T135" s="33">
        <v>0</v>
      </c>
      <c r="U135" s="1">
        <v>1</v>
      </c>
      <c r="W135" s="1" t="s">
        <v>22</v>
      </c>
      <c r="X135" s="1" t="s">
        <v>100</v>
      </c>
      <c r="Y135" s="1" t="s">
        <v>2</v>
      </c>
      <c r="Z135" s="1" t="s">
        <v>39</v>
      </c>
      <c r="AA135" s="1">
        <f t="shared" si="12"/>
        <v>0.25308036</v>
      </c>
      <c r="AB135" s="1">
        <f t="shared" si="12"/>
        <v>0.59134194000000007</v>
      </c>
      <c r="AC135" s="1">
        <f t="shared" si="12"/>
        <v>0.85954584000000001</v>
      </c>
      <c r="AD135" s="1">
        <f t="shared" si="12"/>
        <v>1.2776295600000001</v>
      </c>
      <c r="AE135" s="28">
        <f>SUM($I$23,$I$51,$I$79,$I$107,$I$135,$I$163,$I$191,$I$219,$I$247,$I$275)</f>
        <v>338.02420999999998</v>
      </c>
      <c r="AF135" s="1">
        <v>1</v>
      </c>
    </row>
    <row r="136" spans="2:32" x14ac:dyDescent="0.25">
      <c r="B136" s="1" t="s">
        <v>23</v>
      </c>
      <c r="C136" s="1" t="s">
        <v>100</v>
      </c>
      <c r="D136" s="1" t="s">
        <v>2</v>
      </c>
      <c r="E136" s="1"/>
      <c r="F136" s="1">
        <f>[1]COMAHT!B33/1000</f>
        <v>0</v>
      </c>
      <c r="G136" s="1">
        <f>[1]COMAHT!C33/1000</f>
        <v>16.226127000000002</v>
      </c>
      <c r="H136" s="1">
        <f>[1]COMAHT!D33/1000</f>
        <v>19.404</v>
      </c>
      <c r="I136" s="1">
        <f>[1]COMAHT!E33/1000</f>
        <v>23.615939999999998</v>
      </c>
      <c r="J136" s="1">
        <v>1</v>
      </c>
      <c r="L136" s="1" t="s">
        <v>23</v>
      </c>
      <c r="M136" s="1" t="s">
        <v>100</v>
      </c>
      <c r="N136" s="1" t="s">
        <v>2</v>
      </c>
      <c r="O136" s="1" t="s">
        <v>40</v>
      </c>
      <c r="P136" s="1">
        <f t="shared" si="13"/>
        <v>0</v>
      </c>
      <c r="Q136" s="1">
        <f t="shared" si="13"/>
        <v>15.901604460000001</v>
      </c>
      <c r="R136" s="1">
        <f t="shared" si="13"/>
        <v>19.015920000000001</v>
      </c>
      <c r="S136" s="1">
        <f t="shared" si="13"/>
        <v>23.143621199999998</v>
      </c>
      <c r="T136" s="33">
        <v>0</v>
      </c>
      <c r="U136" s="1">
        <v>1</v>
      </c>
      <c r="W136" s="1" t="s">
        <v>23</v>
      </c>
      <c r="X136" s="1" t="s">
        <v>100</v>
      </c>
      <c r="Y136" s="1" t="s">
        <v>2</v>
      </c>
      <c r="Z136" s="1" t="s">
        <v>39</v>
      </c>
      <c r="AA136" s="1">
        <f t="shared" si="12"/>
        <v>0</v>
      </c>
      <c r="AB136" s="1">
        <f t="shared" si="12"/>
        <v>16.550649540000002</v>
      </c>
      <c r="AC136" s="1">
        <f t="shared" si="12"/>
        <v>19.792079999999999</v>
      </c>
      <c r="AD136" s="1">
        <f t="shared" si="12"/>
        <v>24.088258799999998</v>
      </c>
      <c r="AE136" s="28">
        <f>SUM($I$24,$I$52,$I$80,$I$108,$I$136,$I$164,$I$192,$I$220,$I$248,$I$276)</f>
        <v>100.75319400000001</v>
      </c>
      <c r="AF136" s="1">
        <v>1</v>
      </c>
    </row>
    <row r="137" spans="2:32" x14ac:dyDescent="0.25">
      <c r="B137" s="1" t="s">
        <v>24</v>
      </c>
      <c r="C137" s="1" t="s">
        <v>100</v>
      </c>
      <c r="D137" s="1" t="s">
        <v>2</v>
      </c>
      <c r="E137" s="1"/>
      <c r="F137" s="1">
        <f>[1]COMAHT!B34/1000</f>
        <v>0</v>
      </c>
      <c r="G137" s="1">
        <f>[1]COMAHT!C34/1000</f>
        <v>0</v>
      </c>
      <c r="H137" s="1">
        <f>[1]COMAHT!D34/1000</f>
        <v>0</v>
      </c>
      <c r="I137" s="1">
        <f>[1]COMAHT!E34/1000</f>
        <v>0</v>
      </c>
      <c r="J137" s="1">
        <v>1</v>
      </c>
      <c r="L137" s="1" t="s">
        <v>24</v>
      </c>
      <c r="M137" s="1" t="s">
        <v>100</v>
      </c>
      <c r="N137" s="1" t="s">
        <v>2</v>
      </c>
      <c r="O137" s="1" t="s">
        <v>40</v>
      </c>
      <c r="P137" s="1">
        <f t="shared" si="13"/>
        <v>0</v>
      </c>
      <c r="Q137" s="1">
        <f t="shared" si="13"/>
        <v>0</v>
      </c>
      <c r="R137" s="1">
        <f t="shared" si="13"/>
        <v>0</v>
      </c>
      <c r="S137" s="1">
        <f t="shared" si="13"/>
        <v>0</v>
      </c>
      <c r="T137" s="33">
        <v>0</v>
      </c>
      <c r="U137" s="1">
        <v>1</v>
      </c>
      <c r="W137" s="1" t="s">
        <v>24</v>
      </c>
      <c r="X137" s="1" t="s">
        <v>100</v>
      </c>
      <c r="Y137" s="1" t="s">
        <v>2</v>
      </c>
      <c r="Z137" s="1" t="s">
        <v>39</v>
      </c>
      <c r="AA137" s="1">
        <f t="shared" si="12"/>
        <v>0</v>
      </c>
      <c r="AB137" s="1">
        <f t="shared" si="12"/>
        <v>0</v>
      </c>
      <c r="AC137" s="1">
        <f t="shared" si="12"/>
        <v>0</v>
      </c>
      <c r="AD137" s="1">
        <f t="shared" si="12"/>
        <v>0</v>
      </c>
      <c r="AE137" s="28">
        <f>SUM($I$25,$I$53,$I$81,$I$109,$I$137,$I$165,$I$193,$I$221,$I$249,$I$277)</f>
        <v>85.709021000000007</v>
      </c>
      <c r="AF137" s="1">
        <v>1</v>
      </c>
    </row>
    <row r="138" spans="2:32" x14ac:dyDescent="0.25">
      <c r="B138" s="1" t="s">
        <v>25</v>
      </c>
      <c r="C138" s="1" t="s">
        <v>100</v>
      </c>
      <c r="D138" s="1" t="s">
        <v>2</v>
      </c>
      <c r="E138" s="1"/>
      <c r="F138" s="1">
        <f>[1]COMAHT!B35/1000</f>
        <v>0</v>
      </c>
      <c r="G138" s="1">
        <f>[1]COMAHT!C35/1000</f>
        <v>0</v>
      </c>
      <c r="H138" s="1">
        <f>[1]COMAHT!D35/1000</f>
        <v>0</v>
      </c>
      <c r="I138" s="1">
        <f>[1]COMAHT!E35/1000</f>
        <v>0.28924</v>
      </c>
      <c r="J138" s="1">
        <v>1</v>
      </c>
      <c r="L138" s="1" t="s">
        <v>25</v>
      </c>
      <c r="M138" s="1" t="s">
        <v>100</v>
      </c>
      <c r="N138" s="1" t="s">
        <v>2</v>
      </c>
      <c r="O138" s="1" t="s">
        <v>40</v>
      </c>
      <c r="P138" s="1">
        <f t="shared" si="13"/>
        <v>0</v>
      </c>
      <c r="Q138" s="1">
        <f t="shared" si="13"/>
        <v>0</v>
      </c>
      <c r="R138" s="1">
        <f t="shared" si="13"/>
        <v>0</v>
      </c>
      <c r="S138" s="1">
        <f t="shared" si="13"/>
        <v>0.28345520000000002</v>
      </c>
      <c r="T138" s="33">
        <v>0</v>
      </c>
      <c r="U138" s="1">
        <v>1</v>
      </c>
      <c r="W138" s="1" t="s">
        <v>25</v>
      </c>
      <c r="X138" s="1" t="s">
        <v>100</v>
      </c>
      <c r="Y138" s="1" t="s">
        <v>2</v>
      </c>
      <c r="Z138" s="1" t="s">
        <v>39</v>
      </c>
      <c r="AA138" s="1">
        <f t="shared" si="12"/>
        <v>0</v>
      </c>
      <c r="AB138" s="1">
        <f t="shared" si="12"/>
        <v>0</v>
      </c>
      <c r="AC138" s="1">
        <f t="shared" si="12"/>
        <v>0</v>
      </c>
      <c r="AD138" s="1">
        <f t="shared" si="12"/>
        <v>0.29502479999999998</v>
      </c>
      <c r="AE138" s="28">
        <f>SUM($I$26,$I$54,$I$82,$I$110,$I$138,$I$166,$I$194,$I$222,$I$250,$I$278)</f>
        <v>18.304008</v>
      </c>
      <c r="AF138" s="1">
        <v>1</v>
      </c>
    </row>
    <row r="139" spans="2:32" x14ac:dyDescent="0.25">
      <c r="B139" s="1" t="s">
        <v>26</v>
      </c>
      <c r="C139" s="1" t="s">
        <v>100</v>
      </c>
      <c r="D139" s="1" t="s">
        <v>2</v>
      </c>
      <c r="E139" s="1"/>
      <c r="F139" s="1">
        <f>[1]COMAHT!B36/1000</f>
        <v>0</v>
      </c>
      <c r="G139" s="1">
        <f>[1]COMAHT!C36/1000</f>
        <v>0</v>
      </c>
      <c r="H139" s="1">
        <f>[1]COMAHT!D36/1000</f>
        <v>0.55547999999999997</v>
      </c>
      <c r="I139" s="1">
        <f>[1]COMAHT!E36/1000</f>
        <v>0.98319600000000007</v>
      </c>
      <c r="J139" s="1">
        <v>1</v>
      </c>
      <c r="L139" s="1" t="s">
        <v>26</v>
      </c>
      <c r="M139" s="1" t="s">
        <v>100</v>
      </c>
      <c r="N139" s="1" t="s">
        <v>2</v>
      </c>
      <c r="O139" s="1" t="s">
        <v>40</v>
      </c>
      <c r="P139" s="1">
        <f t="shared" si="13"/>
        <v>0</v>
      </c>
      <c r="Q139" s="1">
        <f t="shared" si="13"/>
        <v>0</v>
      </c>
      <c r="R139" s="1">
        <f t="shared" si="13"/>
        <v>0.54437039999999992</v>
      </c>
      <c r="S139" s="1">
        <f t="shared" si="13"/>
        <v>0.96353208000000001</v>
      </c>
      <c r="T139" s="33">
        <v>0</v>
      </c>
      <c r="U139" s="1">
        <v>1</v>
      </c>
      <c r="W139" s="1" t="s">
        <v>26</v>
      </c>
      <c r="X139" s="1" t="s">
        <v>100</v>
      </c>
      <c r="Y139" s="1" t="s">
        <v>2</v>
      </c>
      <c r="Z139" s="1" t="s">
        <v>39</v>
      </c>
      <c r="AA139" s="1">
        <f t="shared" si="12"/>
        <v>0</v>
      </c>
      <c r="AB139" s="1">
        <f t="shared" si="12"/>
        <v>0</v>
      </c>
      <c r="AC139" s="1">
        <f t="shared" si="12"/>
        <v>0.56658960000000003</v>
      </c>
      <c r="AD139" s="1">
        <f t="shared" si="12"/>
        <v>1.0028599200000001</v>
      </c>
      <c r="AE139" s="28">
        <f>SUM($I$27,$I$55,$I$83,$I$111,$I$139,$I$167,$I$195,$I$223,$I$251,$I$279)</f>
        <v>46.794905</v>
      </c>
      <c r="AF139" s="1">
        <v>1</v>
      </c>
    </row>
    <row r="140" spans="2:32" x14ac:dyDescent="0.25">
      <c r="B140" s="1" t="s">
        <v>27</v>
      </c>
      <c r="C140" s="1" t="s">
        <v>100</v>
      </c>
      <c r="D140" s="1" t="s">
        <v>2</v>
      </c>
      <c r="E140" s="1"/>
      <c r="F140" s="1">
        <f>[1]COMAHT!B37/1000</f>
        <v>0</v>
      </c>
      <c r="G140" s="1">
        <f>[1]COMAHT!C37/1000</f>
        <v>0</v>
      </c>
      <c r="H140" s="1">
        <f>[1]COMAHT!D37/1000</f>
        <v>2.125</v>
      </c>
      <c r="I140" s="1">
        <f>[1]COMAHT!E37/1000</f>
        <v>3.8439999999999999</v>
      </c>
      <c r="J140" s="1">
        <v>1</v>
      </c>
      <c r="L140" s="1" t="s">
        <v>27</v>
      </c>
      <c r="M140" s="1" t="s">
        <v>100</v>
      </c>
      <c r="N140" s="1" t="s">
        <v>2</v>
      </c>
      <c r="O140" s="1" t="s">
        <v>40</v>
      </c>
      <c r="P140" s="1">
        <f t="shared" si="13"/>
        <v>0</v>
      </c>
      <c r="Q140" s="1">
        <f t="shared" si="13"/>
        <v>0</v>
      </c>
      <c r="R140" s="1">
        <f t="shared" si="13"/>
        <v>2.0825</v>
      </c>
      <c r="S140" s="1">
        <f t="shared" si="13"/>
        <v>3.7671199999999998</v>
      </c>
      <c r="T140" s="33">
        <v>0</v>
      </c>
      <c r="U140" s="1">
        <v>1</v>
      </c>
      <c r="W140" s="1" t="s">
        <v>27</v>
      </c>
      <c r="X140" s="1" t="s">
        <v>100</v>
      </c>
      <c r="Y140" s="1" t="s">
        <v>2</v>
      </c>
      <c r="Z140" s="1" t="s">
        <v>39</v>
      </c>
      <c r="AA140" s="1">
        <f t="shared" si="12"/>
        <v>0</v>
      </c>
      <c r="AB140" s="1">
        <f t="shared" si="12"/>
        <v>0</v>
      </c>
      <c r="AC140" s="1">
        <f t="shared" si="12"/>
        <v>2.1675</v>
      </c>
      <c r="AD140" s="1">
        <f t="shared" si="12"/>
        <v>3.9208799999999999</v>
      </c>
      <c r="AE140" s="28">
        <f>SUM($I$28,$I$56,$I$84,$I$112,$I$140,$I$168,$I$196,$I$224,$I$252,$I$280)</f>
        <v>121.343903</v>
      </c>
      <c r="AF140" s="1">
        <v>1</v>
      </c>
    </row>
    <row r="141" spans="2:32" x14ac:dyDescent="0.25">
      <c r="B141" s="1" t="s">
        <v>28</v>
      </c>
      <c r="C141" s="1" t="s">
        <v>100</v>
      </c>
      <c r="D141" s="1" t="s">
        <v>2</v>
      </c>
      <c r="E141" s="1"/>
      <c r="F141" s="1">
        <f>[1]COMAHT!B38/1000</f>
        <v>0</v>
      </c>
      <c r="G141" s="1">
        <f>[1]COMAHT!C38/1000</f>
        <v>0</v>
      </c>
      <c r="H141" s="1">
        <f>[1]COMAHT!D38/1000</f>
        <v>0</v>
      </c>
      <c r="I141" s="1">
        <f>[1]COMAHT!E38/1000</f>
        <v>0</v>
      </c>
      <c r="J141" s="1">
        <v>1</v>
      </c>
      <c r="L141" s="1" t="s">
        <v>28</v>
      </c>
      <c r="M141" s="1" t="s">
        <v>100</v>
      </c>
      <c r="N141" s="1" t="s">
        <v>2</v>
      </c>
      <c r="O141" s="1" t="s">
        <v>40</v>
      </c>
      <c r="P141" s="1">
        <f t="shared" si="13"/>
        <v>0</v>
      </c>
      <c r="Q141" s="1">
        <f t="shared" si="13"/>
        <v>0</v>
      </c>
      <c r="R141" s="1">
        <f t="shared" si="13"/>
        <v>0</v>
      </c>
      <c r="S141" s="1">
        <f t="shared" si="13"/>
        <v>0</v>
      </c>
      <c r="T141" s="33">
        <v>0</v>
      </c>
      <c r="U141" s="1">
        <v>1</v>
      </c>
      <c r="W141" s="1" t="s">
        <v>28</v>
      </c>
      <c r="X141" s="1" t="s">
        <v>100</v>
      </c>
      <c r="Y141" s="1" t="s">
        <v>2</v>
      </c>
      <c r="Z141" s="1" t="s">
        <v>39</v>
      </c>
      <c r="AA141" s="1">
        <f t="shared" si="12"/>
        <v>0</v>
      </c>
      <c r="AB141" s="1">
        <f t="shared" si="12"/>
        <v>0</v>
      </c>
      <c r="AC141" s="1">
        <f t="shared" si="12"/>
        <v>0</v>
      </c>
      <c r="AD141" s="1">
        <f t="shared" si="12"/>
        <v>0</v>
      </c>
      <c r="AE141" s="28">
        <f>SUM($I$29,$I$57,$I$85,$I$113,$I$141,$I$169,$I$197,$I$225,$I$253,$I$281)</f>
        <v>174.41146799999999</v>
      </c>
      <c r="AF141" s="1">
        <v>1</v>
      </c>
    </row>
    <row r="142" spans="2:32" x14ac:dyDescent="0.25">
      <c r="B142" s="1" t="s">
        <v>29</v>
      </c>
      <c r="C142" s="1" t="s">
        <v>100</v>
      </c>
      <c r="D142" s="1" t="s">
        <v>2</v>
      </c>
      <c r="E142" s="1"/>
      <c r="F142" s="1">
        <f>[1]COMAHT!B39/1000</f>
        <v>5.0675049999999997</v>
      </c>
      <c r="G142" s="1">
        <f>[1]COMAHT!C39/1000</f>
        <v>7.7358529999999996</v>
      </c>
      <c r="H142" s="1">
        <f>[1]COMAHT!D39/1000</f>
        <v>9.9260149999999996</v>
      </c>
      <c r="I142" s="1">
        <f>[1]COMAHT!E39/1000</f>
        <v>11.298779</v>
      </c>
      <c r="J142" s="1">
        <v>1</v>
      </c>
      <c r="L142" s="1" t="s">
        <v>29</v>
      </c>
      <c r="M142" s="1" t="s">
        <v>100</v>
      </c>
      <c r="N142" s="1" t="s">
        <v>2</v>
      </c>
      <c r="O142" s="1" t="s">
        <v>40</v>
      </c>
      <c r="P142" s="1">
        <f t="shared" si="13"/>
        <v>4.9661548999999994</v>
      </c>
      <c r="Q142" s="1">
        <f t="shared" si="13"/>
        <v>7.5811359399999994</v>
      </c>
      <c r="R142" s="1">
        <f t="shared" si="13"/>
        <v>9.7274946999999994</v>
      </c>
      <c r="S142" s="1">
        <f t="shared" si="13"/>
        <v>11.07280342</v>
      </c>
      <c r="T142" s="33">
        <v>0</v>
      </c>
      <c r="U142" s="1">
        <v>1</v>
      </c>
      <c r="W142" s="1" t="s">
        <v>29</v>
      </c>
      <c r="X142" s="1" t="s">
        <v>100</v>
      </c>
      <c r="Y142" s="1" t="s">
        <v>2</v>
      </c>
      <c r="Z142" s="1" t="s">
        <v>39</v>
      </c>
      <c r="AA142" s="1">
        <f t="shared" si="12"/>
        <v>5.1688551</v>
      </c>
      <c r="AB142" s="1">
        <f t="shared" si="12"/>
        <v>7.8905700599999999</v>
      </c>
      <c r="AC142" s="1">
        <f t="shared" si="12"/>
        <v>10.1245353</v>
      </c>
      <c r="AD142" s="1">
        <f t="shared" si="12"/>
        <v>11.52475458</v>
      </c>
      <c r="AE142" s="28">
        <f>SUM($I$30,$I$58,$I$86,$I$114,$I$142,$I$170,$I$198,$I$226,$I$254,$I$282)</f>
        <v>131.14785900000001</v>
      </c>
      <c r="AF142" s="1">
        <v>1</v>
      </c>
    </row>
    <row r="143" spans="2:32" x14ac:dyDescent="0.25">
      <c r="B143" s="1" t="s">
        <v>30</v>
      </c>
      <c r="C143" s="1" t="s">
        <v>100</v>
      </c>
      <c r="D143" s="1" t="s">
        <v>2</v>
      </c>
      <c r="E143" s="1"/>
      <c r="F143" s="1">
        <f>[1]COMAHT!B40/1000</f>
        <v>0.32235399999999997</v>
      </c>
      <c r="G143" s="1">
        <f>[1]COMAHT!C40/1000</f>
        <v>39.26</v>
      </c>
      <c r="H143" s="42">
        <f>C291</f>
        <v>38.892441240000004</v>
      </c>
      <c r="I143" s="42">
        <f>D291</f>
        <v>43.140787200000005</v>
      </c>
      <c r="J143" s="1">
        <v>1</v>
      </c>
      <c r="L143" s="1" t="s">
        <v>30</v>
      </c>
      <c r="M143" s="1" t="s">
        <v>100</v>
      </c>
      <c r="N143" s="1" t="s">
        <v>2</v>
      </c>
      <c r="O143" s="1" t="s">
        <v>40</v>
      </c>
      <c r="P143" s="1">
        <f t="shared" si="13"/>
        <v>0.31590691999999998</v>
      </c>
      <c r="Q143" s="1">
        <f t="shared" si="13"/>
        <v>38.474799999999995</v>
      </c>
      <c r="R143" s="1">
        <f t="shared" si="13"/>
        <v>38.114592415200001</v>
      </c>
      <c r="S143" s="1">
        <f t="shared" si="13"/>
        <v>42.277971456000003</v>
      </c>
      <c r="T143" s="33">
        <v>0</v>
      </c>
      <c r="U143" s="1">
        <v>1</v>
      </c>
      <c r="W143" s="1" t="s">
        <v>30</v>
      </c>
      <c r="X143" s="1" t="s">
        <v>100</v>
      </c>
      <c r="Y143" s="1" t="s">
        <v>2</v>
      </c>
      <c r="Z143" s="1" t="s">
        <v>39</v>
      </c>
      <c r="AA143" s="1">
        <f t="shared" si="12"/>
        <v>0.32880107999999997</v>
      </c>
      <c r="AB143" s="1">
        <f t="shared" si="12"/>
        <v>40.045200000000001</v>
      </c>
      <c r="AC143" s="1">
        <f t="shared" si="12"/>
        <v>39.670290064800007</v>
      </c>
      <c r="AD143" s="1">
        <f t="shared" si="12"/>
        <v>44.003602944000008</v>
      </c>
      <c r="AE143" s="28">
        <f>SUM($I$31,$I$59,$I$87,$I$115,$I$143,$I$171,$I$199,$I$227,$I$255,$I$283)</f>
        <v>698.48733743314938</v>
      </c>
      <c r="AF143" s="1">
        <v>1</v>
      </c>
    </row>
    <row r="144" spans="2:32" x14ac:dyDescent="0.25">
      <c r="B144" s="24" t="s">
        <v>0</v>
      </c>
      <c r="C144" s="24" t="s">
        <v>101</v>
      </c>
      <c r="D144" s="24" t="s">
        <v>2</v>
      </c>
      <c r="E144" s="24"/>
      <c r="F144" s="24">
        <f>[1]COMBIO!B13/1000</f>
        <v>0.29349999999999998</v>
      </c>
      <c r="G144" s="24">
        <f>[1]COMBIO!C13/1000</f>
        <v>0.81220000000000003</v>
      </c>
      <c r="H144" s="24">
        <f>[1]COMBIO!D13/1000</f>
        <v>0.88279999999999992</v>
      </c>
      <c r="I144" s="24">
        <f>[1]COMBIO!E13/1000</f>
        <v>0.69289999999999996</v>
      </c>
      <c r="J144" s="1">
        <v>1</v>
      </c>
      <c r="L144" s="1" t="s">
        <v>0</v>
      </c>
      <c r="M144" s="24" t="s">
        <v>101</v>
      </c>
      <c r="N144" s="1" t="s">
        <v>2</v>
      </c>
      <c r="O144" s="1" t="s">
        <v>40</v>
      </c>
      <c r="P144" s="1">
        <f t="shared" si="13"/>
        <v>0.28763</v>
      </c>
      <c r="Q144" s="1">
        <f t="shared" si="13"/>
        <v>0.795956</v>
      </c>
      <c r="R144" s="1">
        <f t="shared" si="13"/>
        <v>0.86514399999999991</v>
      </c>
      <c r="S144" s="1">
        <f t="shared" si="13"/>
        <v>0.67904199999999992</v>
      </c>
      <c r="T144" s="33">
        <v>0</v>
      </c>
      <c r="U144" s="1">
        <v>1</v>
      </c>
      <c r="W144" s="1" t="s">
        <v>0</v>
      </c>
      <c r="X144" s="24" t="s">
        <v>101</v>
      </c>
      <c r="Y144" s="1" t="s">
        <v>2</v>
      </c>
      <c r="Z144" s="1" t="s">
        <v>39</v>
      </c>
      <c r="AA144" s="1">
        <f t="shared" si="12"/>
        <v>0.29936999999999997</v>
      </c>
      <c r="AB144" s="1">
        <f t="shared" si="12"/>
        <v>0.82844400000000007</v>
      </c>
      <c r="AC144" s="1">
        <f t="shared" si="12"/>
        <v>0.90045599999999992</v>
      </c>
      <c r="AD144" s="1">
        <f t="shared" si="12"/>
        <v>0.706758</v>
      </c>
      <c r="AE144" s="28">
        <f>SUM($I$4,$I$32,$I$60,$I$88,$I$116,$I$144,$I$172,$I$200,$I$228,$I$256)</f>
        <v>159.04926399999999</v>
      </c>
      <c r="AF144" s="1">
        <v>1</v>
      </c>
    </row>
    <row r="145" spans="2:32" x14ac:dyDescent="0.25">
      <c r="B145" s="24" t="s">
        <v>3</v>
      </c>
      <c r="C145" s="24" t="s">
        <v>101</v>
      </c>
      <c r="D145" s="24" t="s">
        <v>2</v>
      </c>
      <c r="E145" s="24"/>
      <c r="F145" s="24">
        <f>[1]COMBIO!B14/1000</f>
        <v>0.34100000000000003</v>
      </c>
      <c r="G145" s="24">
        <f>[1]COMBIO!C14/1000</f>
        <v>0.50900000000000001</v>
      </c>
      <c r="H145" s="24">
        <f>[1]COMBIO!D14/1000</f>
        <v>3.428388</v>
      </c>
      <c r="I145" s="24">
        <f>[1]COMBIO!E14/1000</f>
        <v>3.796837</v>
      </c>
      <c r="J145" s="1">
        <v>1</v>
      </c>
      <c r="L145" s="1" t="s">
        <v>3</v>
      </c>
      <c r="M145" s="24" t="s">
        <v>101</v>
      </c>
      <c r="N145" s="1" t="s">
        <v>2</v>
      </c>
      <c r="O145" s="1" t="s">
        <v>40</v>
      </c>
      <c r="P145" s="1">
        <f t="shared" si="13"/>
        <v>0.33418000000000003</v>
      </c>
      <c r="Q145" s="1">
        <f t="shared" si="13"/>
        <v>0.49881999999999999</v>
      </c>
      <c r="R145" s="1">
        <f t="shared" si="13"/>
        <v>3.3598202399999999</v>
      </c>
      <c r="S145" s="1">
        <f t="shared" si="13"/>
        <v>3.7209002600000001</v>
      </c>
      <c r="T145" s="33">
        <v>0</v>
      </c>
      <c r="U145" s="1">
        <v>1</v>
      </c>
      <c r="W145" s="1" t="s">
        <v>3</v>
      </c>
      <c r="X145" s="24" t="s">
        <v>101</v>
      </c>
      <c r="Y145" s="1" t="s">
        <v>2</v>
      </c>
      <c r="Z145" s="1" t="s">
        <v>39</v>
      </c>
      <c r="AA145" s="1">
        <f t="shared" si="12"/>
        <v>0.34782000000000002</v>
      </c>
      <c r="AB145" s="1">
        <f t="shared" si="12"/>
        <v>0.51917999999999997</v>
      </c>
      <c r="AC145" s="1">
        <f t="shared" si="12"/>
        <v>3.4969557600000001</v>
      </c>
      <c r="AD145" s="1">
        <f t="shared" si="12"/>
        <v>3.87277374</v>
      </c>
      <c r="AE145" s="28">
        <f>SUM($I$5,$I$33,$I$61,$I$89,$I$117,$I$145,$I$173,$I$201,$I$229,$I$257)</f>
        <v>52.687187999999992</v>
      </c>
      <c r="AF145" s="1">
        <v>1</v>
      </c>
    </row>
    <row r="146" spans="2:32" x14ac:dyDescent="0.25">
      <c r="B146" s="24" t="s">
        <v>4</v>
      </c>
      <c r="C146" s="24" t="s">
        <v>101</v>
      </c>
      <c r="D146" s="24" t="s">
        <v>2</v>
      </c>
      <c r="E146" s="24"/>
      <c r="F146" s="24">
        <f>[1]COMBIO!B15/1000</f>
        <v>0.224</v>
      </c>
      <c r="G146" s="24">
        <f>[1]COMBIO!C15/1000</f>
        <v>0.65900000000000003</v>
      </c>
      <c r="H146" s="24">
        <f>[1]COMBIO!D15/1000</f>
        <v>0.49654999999999999</v>
      </c>
      <c r="I146" s="24">
        <f>[1]COMBIO!E15/1000</f>
        <v>0.44898500000000002</v>
      </c>
      <c r="J146" s="1">
        <v>1</v>
      </c>
      <c r="L146" s="1" t="s">
        <v>4</v>
      </c>
      <c r="M146" s="24" t="s">
        <v>101</v>
      </c>
      <c r="N146" s="1" t="s">
        <v>2</v>
      </c>
      <c r="O146" s="1" t="s">
        <v>40</v>
      </c>
      <c r="P146" s="1">
        <f t="shared" si="13"/>
        <v>0.21951999999999999</v>
      </c>
      <c r="Q146" s="1">
        <f t="shared" si="13"/>
        <v>0.64582000000000006</v>
      </c>
      <c r="R146" s="1">
        <f t="shared" si="13"/>
        <v>0.48661899999999997</v>
      </c>
      <c r="S146" s="1">
        <f t="shared" si="13"/>
        <v>0.44000529999999999</v>
      </c>
      <c r="T146" s="33">
        <v>0</v>
      </c>
      <c r="U146" s="1">
        <v>1</v>
      </c>
      <c r="W146" s="1" t="s">
        <v>4</v>
      </c>
      <c r="X146" s="24" t="s">
        <v>101</v>
      </c>
      <c r="Y146" s="1" t="s">
        <v>2</v>
      </c>
      <c r="Z146" s="1" t="s">
        <v>39</v>
      </c>
      <c r="AA146" s="1">
        <f t="shared" si="12"/>
        <v>0.22848000000000002</v>
      </c>
      <c r="AB146" s="1">
        <f t="shared" si="12"/>
        <v>0.67218</v>
      </c>
      <c r="AC146" s="1">
        <f t="shared" si="12"/>
        <v>0.50648099999999996</v>
      </c>
      <c r="AD146" s="1">
        <f t="shared" si="12"/>
        <v>0.45796470000000006</v>
      </c>
      <c r="AE146" s="28">
        <f>SUM($I$6,$I$34,$I$62,$I$90,$I$118,$I$146,$I$174,$I$202,$I$230,$I$258)</f>
        <v>110.98745699999999</v>
      </c>
      <c r="AF146" s="1">
        <v>1</v>
      </c>
    </row>
    <row r="147" spans="2:32" x14ac:dyDescent="0.25">
      <c r="B147" s="24" t="s">
        <v>5</v>
      </c>
      <c r="C147" s="24" t="s">
        <v>101</v>
      </c>
      <c r="D147" s="24" t="s">
        <v>2</v>
      </c>
      <c r="E147" s="24"/>
      <c r="F147" s="24">
        <f>[1]COMBIO!B16/1000</f>
        <v>0.97935699999999992</v>
      </c>
      <c r="G147" s="24">
        <f>[1]COMBIO!C16/1000</f>
        <v>1.247352</v>
      </c>
      <c r="H147" s="24">
        <f>[1]COMBIO!D16/1000</f>
        <v>1.413154</v>
      </c>
      <c r="I147" s="24">
        <f>[1]COMBIO!E16/1000</f>
        <v>1.100041</v>
      </c>
      <c r="J147" s="1">
        <v>1</v>
      </c>
      <c r="L147" s="1" t="s">
        <v>5</v>
      </c>
      <c r="M147" s="24" t="s">
        <v>101</v>
      </c>
      <c r="N147" s="1" t="s">
        <v>2</v>
      </c>
      <c r="O147" s="1" t="s">
        <v>40</v>
      </c>
      <c r="P147" s="1">
        <f t="shared" si="13"/>
        <v>0.95976985999999986</v>
      </c>
      <c r="Q147" s="1">
        <f t="shared" si="13"/>
        <v>1.22240496</v>
      </c>
      <c r="R147" s="1">
        <f t="shared" si="13"/>
        <v>1.3848909199999999</v>
      </c>
      <c r="S147" s="1">
        <f t="shared" si="13"/>
        <v>1.0780401800000001</v>
      </c>
      <c r="T147" s="33">
        <v>0</v>
      </c>
      <c r="U147" s="1">
        <v>1</v>
      </c>
      <c r="W147" s="1" t="s">
        <v>5</v>
      </c>
      <c r="X147" s="24" t="s">
        <v>101</v>
      </c>
      <c r="Y147" s="1" t="s">
        <v>2</v>
      </c>
      <c r="Z147" s="1" t="s">
        <v>39</v>
      </c>
      <c r="AA147" s="1">
        <f t="shared" si="12"/>
        <v>0.99894413999999998</v>
      </c>
      <c r="AB147" s="1">
        <f t="shared" si="12"/>
        <v>1.27229904</v>
      </c>
      <c r="AC147" s="1">
        <f t="shared" si="12"/>
        <v>1.4414170800000001</v>
      </c>
      <c r="AD147" s="1">
        <f t="shared" si="12"/>
        <v>1.12204182</v>
      </c>
      <c r="AE147" s="28">
        <f>SUM($I$7,$I$35,$I$63,$I$91,$I$119,$I$147,$I$175,$I$203,$I$231,$I$259)</f>
        <v>78.733746999999994</v>
      </c>
      <c r="AF147" s="1">
        <v>1</v>
      </c>
    </row>
    <row r="148" spans="2:32" x14ac:dyDescent="0.25">
      <c r="B148" s="24" t="s">
        <v>6</v>
      </c>
      <c r="C148" s="24" t="s">
        <v>101</v>
      </c>
      <c r="D148" s="24" t="s">
        <v>2</v>
      </c>
      <c r="E148" s="24"/>
      <c r="F148" s="24">
        <f>[1]COMBIO!B17/1000</f>
        <v>70.614999999999995</v>
      </c>
      <c r="G148" s="24">
        <f>[1]COMBIO!C17/1000</f>
        <v>54.926000000000002</v>
      </c>
      <c r="H148" s="24">
        <f>[1]COMBIO!D17/1000</f>
        <v>64.33</v>
      </c>
      <c r="I148" s="24">
        <f>[1]COMBIO!E17/1000</f>
        <v>72.977000000000004</v>
      </c>
      <c r="J148" s="1">
        <v>1</v>
      </c>
      <c r="L148" s="1" t="s">
        <v>6</v>
      </c>
      <c r="M148" s="24" t="s">
        <v>101</v>
      </c>
      <c r="N148" s="1" t="s">
        <v>2</v>
      </c>
      <c r="O148" s="1" t="s">
        <v>40</v>
      </c>
      <c r="P148" s="1">
        <f t="shared" si="13"/>
        <v>69.202699999999993</v>
      </c>
      <c r="Q148" s="1">
        <f t="shared" si="13"/>
        <v>53.827480000000001</v>
      </c>
      <c r="R148" s="1">
        <f t="shared" si="13"/>
        <v>63.043399999999998</v>
      </c>
      <c r="S148" s="1">
        <f t="shared" si="13"/>
        <v>71.51746</v>
      </c>
      <c r="T148" s="33">
        <v>0</v>
      </c>
      <c r="U148" s="1">
        <v>1</v>
      </c>
      <c r="W148" s="1" t="s">
        <v>6</v>
      </c>
      <c r="X148" s="24" t="s">
        <v>101</v>
      </c>
      <c r="Y148" s="1" t="s">
        <v>2</v>
      </c>
      <c r="Z148" s="1" t="s">
        <v>39</v>
      </c>
      <c r="AA148" s="1">
        <f t="shared" si="12"/>
        <v>72.027299999999997</v>
      </c>
      <c r="AB148" s="1">
        <f t="shared" si="12"/>
        <v>56.024520000000003</v>
      </c>
      <c r="AC148" s="1">
        <f t="shared" si="12"/>
        <v>65.616600000000005</v>
      </c>
      <c r="AD148" s="1">
        <f t="shared" si="12"/>
        <v>74.436540000000008</v>
      </c>
      <c r="AE148" s="28">
        <f>SUM($I$8,$I$36,$I$64,$I$92,$I$120,$I$148,$I$176,$I$204,$I$232,$I$260)</f>
        <v>998.19450100000006</v>
      </c>
      <c r="AF148" s="1">
        <v>1</v>
      </c>
    </row>
    <row r="149" spans="2:32" x14ac:dyDescent="0.25">
      <c r="B149" s="24" t="s">
        <v>7</v>
      </c>
      <c r="C149" s="24" t="s">
        <v>101</v>
      </c>
      <c r="D149" s="24" t="s">
        <v>2</v>
      </c>
      <c r="E149" s="24"/>
      <c r="F149" s="24">
        <f>[1]COMBIO!B18/1000</f>
        <v>0.72699999999999998</v>
      </c>
      <c r="G149" s="24">
        <f>[1]COMBIO!C18/1000</f>
        <v>0.4</v>
      </c>
      <c r="H149" s="24">
        <f>[1]COMBIO!D18/1000</f>
        <v>0.56094000000000011</v>
      </c>
      <c r="I149" s="24">
        <f>[1]COMBIO!E18/1000</f>
        <v>0.25651499999999999</v>
      </c>
      <c r="J149" s="1">
        <v>1</v>
      </c>
      <c r="L149" s="1" t="s">
        <v>7</v>
      </c>
      <c r="M149" s="24" t="s">
        <v>101</v>
      </c>
      <c r="N149" s="1" t="s">
        <v>2</v>
      </c>
      <c r="O149" s="1" t="s">
        <v>40</v>
      </c>
      <c r="P149" s="1">
        <f t="shared" si="13"/>
        <v>0.71245999999999998</v>
      </c>
      <c r="Q149" s="1">
        <f t="shared" si="13"/>
        <v>0.39200000000000002</v>
      </c>
      <c r="R149" s="1">
        <f t="shared" si="13"/>
        <v>0.54972120000000013</v>
      </c>
      <c r="S149" s="1">
        <f t="shared" si="13"/>
        <v>0.25138469999999996</v>
      </c>
      <c r="T149" s="33">
        <v>0</v>
      </c>
      <c r="U149" s="1">
        <v>1</v>
      </c>
      <c r="W149" s="1" t="s">
        <v>7</v>
      </c>
      <c r="X149" s="24" t="s">
        <v>101</v>
      </c>
      <c r="Y149" s="1" t="s">
        <v>2</v>
      </c>
      <c r="Z149" s="1" t="s">
        <v>39</v>
      </c>
      <c r="AA149" s="1">
        <f t="shared" si="12"/>
        <v>0.74153999999999998</v>
      </c>
      <c r="AB149" s="1">
        <f t="shared" si="12"/>
        <v>0.40800000000000003</v>
      </c>
      <c r="AC149" s="1">
        <f t="shared" si="12"/>
        <v>0.57215880000000008</v>
      </c>
      <c r="AD149" s="1">
        <f t="shared" si="12"/>
        <v>0.26164530000000003</v>
      </c>
      <c r="AE149" s="28">
        <f>SUM($I$9,$I$37,$I$65,$I$93,$I$121,$I$149,$I$177,$I$205,$I$233,$I$261)</f>
        <v>15.12316</v>
      </c>
      <c r="AF149" s="1">
        <v>1</v>
      </c>
    </row>
    <row r="150" spans="2:32" x14ac:dyDescent="0.25">
      <c r="B150" s="24" t="s">
        <v>8</v>
      </c>
      <c r="C150" s="24" t="s">
        <v>101</v>
      </c>
      <c r="D150" s="24" t="s">
        <v>2</v>
      </c>
      <c r="E150" s="24"/>
      <c r="F150" s="24">
        <f>[1]COMBIO!B19/1000</f>
        <v>0.50273200000000007</v>
      </c>
      <c r="G150" s="24">
        <f>[1]COMBIO!C19/1000</f>
        <v>0.69895499999999999</v>
      </c>
      <c r="H150" s="24">
        <f>[1]COMBIO!D19/1000</f>
        <v>0.65693699999999999</v>
      </c>
      <c r="I150" s="24">
        <f>[1]COMBIO!E19/1000</f>
        <v>0.728935</v>
      </c>
      <c r="J150" s="1">
        <v>1</v>
      </c>
      <c r="L150" s="1" t="s">
        <v>8</v>
      </c>
      <c r="M150" s="24" t="s">
        <v>101</v>
      </c>
      <c r="N150" s="1" t="s">
        <v>2</v>
      </c>
      <c r="O150" s="1" t="s">
        <v>40</v>
      </c>
      <c r="P150" s="1">
        <f t="shared" si="13"/>
        <v>0.49267736000000006</v>
      </c>
      <c r="Q150" s="1">
        <f t="shared" si="13"/>
        <v>0.68497589999999997</v>
      </c>
      <c r="R150" s="1">
        <f t="shared" si="13"/>
        <v>0.64379825999999996</v>
      </c>
      <c r="S150" s="1">
        <f t="shared" si="13"/>
        <v>0.71435629999999994</v>
      </c>
      <c r="T150" s="33">
        <v>0</v>
      </c>
      <c r="U150" s="1">
        <v>1</v>
      </c>
      <c r="W150" s="1" t="s">
        <v>8</v>
      </c>
      <c r="X150" s="24" t="s">
        <v>101</v>
      </c>
      <c r="Y150" s="1" t="s">
        <v>2</v>
      </c>
      <c r="Z150" s="1" t="s">
        <v>39</v>
      </c>
      <c r="AA150" s="1">
        <f t="shared" si="12"/>
        <v>0.51278664000000007</v>
      </c>
      <c r="AB150" s="1">
        <f t="shared" si="12"/>
        <v>0.71293410000000002</v>
      </c>
      <c r="AC150" s="1">
        <f t="shared" si="12"/>
        <v>0.67007574000000003</v>
      </c>
      <c r="AD150" s="1">
        <f t="shared" si="12"/>
        <v>0.74351370000000006</v>
      </c>
      <c r="AE150" s="28">
        <f>SUM(I$10,I$38,I$66,I$94,I$122,I$150,I$178,I$206,I$234,I$262)</f>
        <v>81.18795200000001</v>
      </c>
      <c r="AF150" s="1">
        <v>1</v>
      </c>
    </row>
    <row r="151" spans="2:32" x14ac:dyDescent="0.25">
      <c r="B151" s="24" t="s">
        <v>9</v>
      </c>
      <c r="C151" s="24" t="s">
        <v>101</v>
      </c>
      <c r="D151" s="24" t="s">
        <v>2</v>
      </c>
      <c r="E151" s="24"/>
      <c r="F151" s="24">
        <f>[1]COMBIO!B20/1000</f>
        <v>0</v>
      </c>
      <c r="G151" s="24">
        <f>[1]COMBIO!C20/1000</f>
        <v>0.76400000000000001</v>
      </c>
      <c r="H151" s="24">
        <f>[1]COMBIO!D20/1000</f>
        <v>0.25910500000000003</v>
      </c>
      <c r="I151" s="24">
        <f>[1]COMBIO!E20/1000</f>
        <v>0.169544</v>
      </c>
      <c r="J151" s="1">
        <v>1</v>
      </c>
      <c r="L151" s="1" t="s">
        <v>9</v>
      </c>
      <c r="M151" s="24" t="s">
        <v>101</v>
      </c>
      <c r="N151" s="1" t="s">
        <v>2</v>
      </c>
      <c r="O151" s="1" t="s">
        <v>40</v>
      </c>
      <c r="P151" s="1">
        <f t="shared" si="13"/>
        <v>0</v>
      </c>
      <c r="Q151" s="1">
        <f t="shared" si="13"/>
        <v>0.74872000000000005</v>
      </c>
      <c r="R151" s="1">
        <f t="shared" si="13"/>
        <v>0.25392290000000001</v>
      </c>
      <c r="S151" s="1">
        <f t="shared" si="13"/>
        <v>0.16615311999999999</v>
      </c>
      <c r="T151" s="33">
        <v>0</v>
      </c>
      <c r="U151" s="1">
        <v>1</v>
      </c>
      <c r="W151" s="1" t="s">
        <v>9</v>
      </c>
      <c r="X151" s="24" t="s">
        <v>101</v>
      </c>
      <c r="Y151" s="1" t="s">
        <v>2</v>
      </c>
      <c r="Z151" s="1" t="s">
        <v>39</v>
      </c>
      <c r="AA151" s="1">
        <f t="shared" si="12"/>
        <v>0</v>
      </c>
      <c r="AB151" s="1">
        <f t="shared" si="12"/>
        <v>0.77927999999999997</v>
      </c>
      <c r="AC151" s="1">
        <f t="shared" si="12"/>
        <v>0.26428710000000005</v>
      </c>
      <c r="AD151" s="1">
        <f t="shared" si="12"/>
        <v>0.17293488000000001</v>
      </c>
      <c r="AE151" s="28">
        <f>SUM($I$11,$I$39,$I$67,$I$95,$I$123,$I$151,$I$179,$I$207,$I$235,$I$263)</f>
        <v>89.565158000000011</v>
      </c>
      <c r="AF151" s="1">
        <v>1</v>
      </c>
    </row>
    <row r="152" spans="2:32" x14ac:dyDescent="0.25">
      <c r="B152" s="24" t="s">
        <v>10</v>
      </c>
      <c r="C152" s="24" t="s">
        <v>101</v>
      </c>
      <c r="D152" s="24" t="s">
        <v>2</v>
      </c>
      <c r="E152" s="24"/>
      <c r="F152" s="24">
        <f>[1]COMBIO!B21/1000</f>
        <v>2.5129999999999999</v>
      </c>
      <c r="G152" s="24">
        <f>[1]COMBIO!C21/1000</f>
        <v>3.355</v>
      </c>
      <c r="H152" s="24">
        <f>[1]COMBIO!D21/1000</f>
        <v>4.6900000000000004</v>
      </c>
      <c r="I152" s="24">
        <f>[1]COMBIO!E21/1000</f>
        <v>5.1609999999999996</v>
      </c>
      <c r="J152" s="1">
        <v>1</v>
      </c>
      <c r="L152" s="1" t="s">
        <v>10</v>
      </c>
      <c r="M152" s="24" t="s">
        <v>101</v>
      </c>
      <c r="N152" s="1" t="s">
        <v>2</v>
      </c>
      <c r="O152" s="1" t="s">
        <v>40</v>
      </c>
      <c r="P152" s="1">
        <f t="shared" si="13"/>
        <v>2.4627399999999997</v>
      </c>
      <c r="Q152" s="1">
        <f t="shared" si="13"/>
        <v>3.2879</v>
      </c>
      <c r="R152" s="1">
        <f t="shared" si="13"/>
        <v>4.5962000000000005</v>
      </c>
      <c r="S152" s="1">
        <f t="shared" si="13"/>
        <v>5.0577799999999993</v>
      </c>
      <c r="T152" s="33">
        <v>0</v>
      </c>
      <c r="U152" s="1">
        <v>1</v>
      </c>
      <c r="W152" s="1" t="s">
        <v>10</v>
      </c>
      <c r="X152" s="24" t="s">
        <v>101</v>
      </c>
      <c r="Y152" s="1" t="s">
        <v>2</v>
      </c>
      <c r="Z152" s="1" t="s">
        <v>39</v>
      </c>
      <c r="AA152" s="1">
        <f t="shared" si="12"/>
        <v>2.5632600000000001</v>
      </c>
      <c r="AB152" s="1">
        <f t="shared" si="12"/>
        <v>3.4220999999999999</v>
      </c>
      <c r="AC152" s="1">
        <f t="shared" si="12"/>
        <v>4.7838000000000003</v>
      </c>
      <c r="AD152" s="1">
        <f t="shared" si="12"/>
        <v>5.2642199999999999</v>
      </c>
      <c r="AE152" s="28">
        <f>SUM($I$12,$I$40,$I$68,$I$96,$I$124,$I$152,$I$180,$I$208,$I$236,$I$264)</f>
        <v>427.84543500000007</v>
      </c>
      <c r="AF152" s="1">
        <v>1</v>
      </c>
    </row>
    <row r="153" spans="2:32" x14ac:dyDescent="0.25">
      <c r="B153" s="24" t="s">
        <v>11</v>
      </c>
      <c r="C153" s="24" t="s">
        <v>101</v>
      </c>
      <c r="D153" s="24" t="s">
        <v>2</v>
      </c>
      <c r="E153" s="24"/>
      <c r="F153" s="24">
        <f>[1]COMBIO!B22/1000</f>
        <v>5.6050000000000004</v>
      </c>
      <c r="G153" s="24">
        <f>[1]COMBIO!C22/1000</f>
        <v>10.316834</v>
      </c>
      <c r="H153" s="24">
        <f>[1]COMBIO!D22/1000</f>
        <v>10.286190000000001</v>
      </c>
      <c r="I153" s="24">
        <f>[1]COMBIO!E22/1000</f>
        <v>11.392818</v>
      </c>
      <c r="J153" s="1">
        <v>1</v>
      </c>
      <c r="L153" s="1" t="s">
        <v>11</v>
      </c>
      <c r="M153" s="24" t="s">
        <v>101</v>
      </c>
      <c r="N153" s="1" t="s">
        <v>2</v>
      </c>
      <c r="O153" s="1" t="s">
        <v>40</v>
      </c>
      <c r="P153" s="1">
        <f t="shared" si="13"/>
        <v>5.4929000000000006</v>
      </c>
      <c r="Q153" s="1">
        <f t="shared" si="13"/>
        <v>10.11049732</v>
      </c>
      <c r="R153" s="1">
        <f t="shared" si="13"/>
        <v>10.080466200000002</v>
      </c>
      <c r="S153" s="1">
        <f t="shared" si="13"/>
        <v>11.16496164</v>
      </c>
      <c r="T153" s="33">
        <v>0</v>
      </c>
      <c r="U153" s="1">
        <v>1</v>
      </c>
      <c r="W153" s="1" t="s">
        <v>11</v>
      </c>
      <c r="X153" s="24" t="s">
        <v>101</v>
      </c>
      <c r="Y153" s="1" t="s">
        <v>2</v>
      </c>
      <c r="Z153" s="1" t="s">
        <v>39</v>
      </c>
      <c r="AA153" s="1">
        <f t="shared" si="12"/>
        <v>5.7171000000000003</v>
      </c>
      <c r="AB153" s="1">
        <f t="shared" si="12"/>
        <v>10.52317068</v>
      </c>
      <c r="AC153" s="1">
        <f t="shared" si="12"/>
        <v>10.491913800000001</v>
      </c>
      <c r="AD153" s="1">
        <f t="shared" si="12"/>
        <v>11.620674360000001</v>
      </c>
      <c r="AE153" s="28">
        <f>SUM($I$13,$I$41,$I$69,$I$97,$I$125,$I$153,$I$181,$I$209,$I$237,$I$265)</f>
        <v>780.29733900000008</v>
      </c>
      <c r="AF153" s="1">
        <v>1</v>
      </c>
    </row>
    <row r="154" spans="2:32" x14ac:dyDescent="0.25">
      <c r="B154" s="24" t="s">
        <v>12</v>
      </c>
      <c r="C154" s="24" t="s">
        <v>101</v>
      </c>
      <c r="D154" s="24" t="s">
        <v>2</v>
      </c>
      <c r="E154" s="24"/>
      <c r="F154" s="24">
        <f>[1]COMBIO!B23/1000</f>
        <v>9.9000000000000005E-2</v>
      </c>
      <c r="G154" s="24">
        <f>[1]COMBIO!C23/1000</f>
        <v>0.19800000000000001</v>
      </c>
      <c r="H154" s="24">
        <f>[1]COMBIO!D23/1000</f>
        <v>0.51851899999999995</v>
      </c>
      <c r="I154" s="24">
        <f>[1]COMBIO!E23/1000</f>
        <v>0.51467999999999992</v>
      </c>
      <c r="J154" s="1">
        <v>1</v>
      </c>
      <c r="L154" s="1" t="s">
        <v>12</v>
      </c>
      <c r="M154" s="24" t="s">
        <v>101</v>
      </c>
      <c r="N154" s="1" t="s">
        <v>2</v>
      </c>
      <c r="O154" s="1" t="s">
        <v>40</v>
      </c>
      <c r="P154" s="1">
        <f t="shared" si="13"/>
        <v>9.7020000000000009E-2</v>
      </c>
      <c r="Q154" s="1">
        <f t="shared" si="13"/>
        <v>0.19404000000000002</v>
      </c>
      <c r="R154" s="1">
        <f t="shared" si="13"/>
        <v>0.50814861999999994</v>
      </c>
      <c r="S154" s="1">
        <f t="shared" si="13"/>
        <v>0.5043863999999999</v>
      </c>
      <c r="T154" s="33">
        <v>0</v>
      </c>
      <c r="U154" s="1">
        <v>1</v>
      </c>
      <c r="W154" s="1" t="s">
        <v>12</v>
      </c>
      <c r="X154" s="24" t="s">
        <v>101</v>
      </c>
      <c r="Y154" s="1" t="s">
        <v>2</v>
      </c>
      <c r="Z154" s="1" t="s">
        <v>39</v>
      </c>
      <c r="AA154" s="1">
        <f t="shared" si="12"/>
        <v>0.10098</v>
      </c>
      <c r="AB154" s="1">
        <f t="shared" si="12"/>
        <v>0.20196</v>
      </c>
      <c r="AC154" s="1">
        <f t="shared" si="12"/>
        <v>0.52888937999999996</v>
      </c>
      <c r="AD154" s="1">
        <f t="shared" si="12"/>
        <v>0.52497359999999993</v>
      </c>
      <c r="AE154" s="28">
        <f>SUM($I$14,$I$42,$I$70,$I$98,$I$126,$I$154,$I$182,$I$210,$I$238,$I$266)</f>
        <v>32.639519</v>
      </c>
      <c r="AF154" s="1">
        <v>1</v>
      </c>
    </row>
    <row r="155" spans="2:32" x14ac:dyDescent="0.25">
      <c r="B155" s="24" t="s">
        <v>13</v>
      </c>
      <c r="C155" s="24" t="s">
        <v>101</v>
      </c>
      <c r="D155" s="24" t="s">
        <v>2</v>
      </c>
      <c r="E155" s="24"/>
      <c r="F155" s="24">
        <f>[1]COMBIO!B24/1000</f>
        <v>0.86299999999999999</v>
      </c>
      <c r="G155" s="24">
        <f>[1]COMBIO!C24/1000</f>
        <v>2.1190000000000002</v>
      </c>
      <c r="H155" s="24">
        <f>[1]COMBIO!D24/1000</f>
        <v>3.0616570000000003</v>
      </c>
      <c r="I155" s="24">
        <f>[1]COMBIO!E24/1000</f>
        <v>3.0920450000000002</v>
      </c>
      <c r="J155" s="1">
        <v>1</v>
      </c>
      <c r="L155" s="1" t="s">
        <v>13</v>
      </c>
      <c r="M155" s="24" t="s">
        <v>101</v>
      </c>
      <c r="N155" s="1" t="s">
        <v>2</v>
      </c>
      <c r="O155" s="1" t="s">
        <v>40</v>
      </c>
      <c r="P155" s="1">
        <f t="shared" si="13"/>
        <v>0.84573999999999994</v>
      </c>
      <c r="Q155" s="1">
        <f t="shared" si="13"/>
        <v>2.0766200000000001</v>
      </c>
      <c r="R155" s="1">
        <f t="shared" si="13"/>
        <v>3.0004238600000002</v>
      </c>
      <c r="S155" s="1">
        <f t="shared" si="13"/>
        <v>3.0302041000000002</v>
      </c>
      <c r="T155" s="33">
        <v>0</v>
      </c>
      <c r="U155" s="1">
        <v>1</v>
      </c>
      <c r="W155" s="1" t="s">
        <v>13</v>
      </c>
      <c r="X155" s="24" t="s">
        <v>101</v>
      </c>
      <c r="Y155" s="1" t="s">
        <v>2</v>
      </c>
      <c r="Z155" s="1" t="s">
        <v>39</v>
      </c>
      <c r="AA155" s="1">
        <f t="shared" si="12"/>
        <v>0.88026000000000004</v>
      </c>
      <c r="AB155" s="1">
        <f t="shared" si="12"/>
        <v>2.1613800000000003</v>
      </c>
      <c r="AC155" s="1">
        <f t="shared" si="12"/>
        <v>3.1228901400000004</v>
      </c>
      <c r="AD155" s="1">
        <f t="shared" si="12"/>
        <v>3.1538859000000001</v>
      </c>
      <c r="AE155" s="28">
        <f>SUM($I$15,$I$43,$I$71,$I$99,$I$127,$I$155,$I$183,$I$211,$I$239,$I$267)</f>
        <v>694.24554299999988</v>
      </c>
      <c r="AF155" s="1">
        <v>1</v>
      </c>
    </row>
    <row r="156" spans="2:32" x14ac:dyDescent="0.25">
      <c r="B156" s="24" t="s">
        <v>14</v>
      </c>
      <c r="C156" s="24" t="s">
        <v>101</v>
      </c>
      <c r="D156" s="24" t="s">
        <v>2</v>
      </c>
      <c r="E156" s="24"/>
      <c r="F156" s="24">
        <f>[1]COMBIO!B25/1000</f>
        <v>5.5E-2</v>
      </c>
      <c r="G156" s="24">
        <f>[1]COMBIO!C25/1000</f>
        <v>0.12523699999999999</v>
      </c>
      <c r="H156" s="24">
        <f>[1]COMBIO!D25/1000</f>
        <v>0.131998</v>
      </c>
      <c r="I156" s="24">
        <f>[1]COMBIO!E25/1000</f>
        <v>0.10642499999999999</v>
      </c>
      <c r="J156" s="1">
        <v>1</v>
      </c>
      <c r="L156" s="1" t="s">
        <v>14</v>
      </c>
      <c r="M156" s="24" t="s">
        <v>101</v>
      </c>
      <c r="N156" s="1" t="s">
        <v>2</v>
      </c>
      <c r="O156" s="1" t="s">
        <v>40</v>
      </c>
      <c r="P156" s="1">
        <f t="shared" si="13"/>
        <v>5.3899999999999997E-2</v>
      </c>
      <c r="Q156" s="1">
        <f t="shared" si="13"/>
        <v>0.12273225999999998</v>
      </c>
      <c r="R156" s="1">
        <f t="shared" si="13"/>
        <v>0.12935804000000001</v>
      </c>
      <c r="S156" s="1">
        <f t="shared" si="13"/>
        <v>0.10429649999999999</v>
      </c>
      <c r="T156" s="33">
        <v>0</v>
      </c>
      <c r="U156" s="1">
        <v>1</v>
      </c>
      <c r="W156" s="1" t="s">
        <v>14</v>
      </c>
      <c r="X156" s="24" t="s">
        <v>101</v>
      </c>
      <c r="Y156" s="1" t="s">
        <v>2</v>
      </c>
      <c r="Z156" s="1" t="s">
        <v>39</v>
      </c>
      <c r="AA156" s="1">
        <f t="shared" si="12"/>
        <v>5.6100000000000004E-2</v>
      </c>
      <c r="AB156" s="1">
        <f t="shared" si="12"/>
        <v>0.12774173999999999</v>
      </c>
      <c r="AC156" s="1">
        <f t="shared" si="12"/>
        <v>0.13463796</v>
      </c>
      <c r="AD156" s="1">
        <f t="shared" si="12"/>
        <v>0.1085535</v>
      </c>
      <c r="AE156" s="28">
        <f>SUM($I$16,$I$44,$I$72,$I$100,$I$128,$I$156,$I$184,$I$212,$I$240,$I$268)</f>
        <v>12.063378</v>
      </c>
      <c r="AF156" s="1">
        <v>1</v>
      </c>
    </row>
    <row r="157" spans="2:32" x14ac:dyDescent="0.25">
      <c r="B157" s="24" t="s">
        <v>15</v>
      </c>
      <c r="C157" s="24" t="s">
        <v>101</v>
      </c>
      <c r="D157" s="24" t="s">
        <v>2</v>
      </c>
      <c r="E157" s="24"/>
      <c r="F157" s="24">
        <f>[1]COMBIO!B26/1000</f>
        <v>3.258</v>
      </c>
      <c r="G157" s="24">
        <f>[1]COMBIO!C26/1000</f>
        <v>3.355</v>
      </c>
      <c r="H157" s="24">
        <f>[1]COMBIO!D26/1000</f>
        <v>1.8671289999999998</v>
      </c>
      <c r="I157" s="24">
        <f>[1]COMBIO!E26/1000</f>
        <v>1.6198620000000001</v>
      </c>
      <c r="J157" s="1">
        <v>1</v>
      </c>
      <c r="L157" s="1" t="s">
        <v>15</v>
      </c>
      <c r="M157" s="24" t="s">
        <v>101</v>
      </c>
      <c r="N157" s="1" t="s">
        <v>2</v>
      </c>
      <c r="O157" s="1" t="s">
        <v>40</v>
      </c>
      <c r="P157" s="1">
        <f t="shared" si="13"/>
        <v>3.1928399999999999</v>
      </c>
      <c r="Q157" s="1">
        <f t="shared" si="13"/>
        <v>3.2879</v>
      </c>
      <c r="R157" s="1">
        <f t="shared" si="13"/>
        <v>1.8297864199999998</v>
      </c>
      <c r="S157" s="1">
        <f t="shared" si="13"/>
        <v>1.58746476</v>
      </c>
      <c r="T157" s="33">
        <v>0</v>
      </c>
      <c r="U157" s="1">
        <v>1</v>
      </c>
      <c r="W157" s="1" t="s">
        <v>15</v>
      </c>
      <c r="X157" s="24" t="s">
        <v>101</v>
      </c>
      <c r="Y157" s="1" t="s">
        <v>2</v>
      </c>
      <c r="Z157" s="1" t="s">
        <v>39</v>
      </c>
      <c r="AA157" s="1">
        <f t="shared" si="12"/>
        <v>3.3231600000000001</v>
      </c>
      <c r="AB157" s="1">
        <f t="shared" si="12"/>
        <v>3.4220999999999999</v>
      </c>
      <c r="AC157" s="1">
        <f t="shared" si="12"/>
        <v>1.9044715799999998</v>
      </c>
      <c r="AD157" s="1">
        <f t="shared" si="12"/>
        <v>1.6522592400000002</v>
      </c>
      <c r="AE157" s="28">
        <f>SUM($I$17,$I$45,$I$73,$I$101,$I$129,$I$157,$I$185,$I$213,$I$241,$I$269)</f>
        <v>22.533501999999999</v>
      </c>
      <c r="AF157" s="1">
        <v>1</v>
      </c>
    </row>
    <row r="158" spans="2:32" x14ac:dyDescent="0.25">
      <c r="B158" s="24" t="s">
        <v>16</v>
      </c>
      <c r="C158" s="24" t="s">
        <v>101</v>
      </c>
      <c r="D158" s="24" t="s">
        <v>2</v>
      </c>
      <c r="E158" s="24"/>
      <c r="F158" s="24">
        <f>[1]COMBIO!B27/1000</f>
        <v>1.196</v>
      </c>
      <c r="G158" s="24">
        <f>[1]COMBIO!C27/1000</f>
        <v>1.3520000000000001</v>
      </c>
      <c r="H158" s="24">
        <f>[1]COMBIO!D27/1000</f>
        <v>1.296</v>
      </c>
      <c r="I158" s="24">
        <f>[1]COMBIO!E27/1000</f>
        <v>1.2629999999999999</v>
      </c>
      <c r="J158" s="1">
        <v>1</v>
      </c>
      <c r="L158" s="1" t="s">
        <v>16</v>
      </c>
      <c r="M158" s="24" t="s">
        <v>101</v>
      </c>
      <c r="N158" s="1" t="s">
        <v>2</v>
      </c>
      <c r="O158" s="1" t="s">
        <v>40</v>
      </c>
      <c r="P158" s="1">
        <f t="shared" si="13"/>
        <v>1.17208</v>
      </c>
      <c r="Q158" s="1">
        <f t="shared" si="13"/>
        <v>1.3249600000000001</v>
      </c>
      <c r="R158" s="1">
        <f t="shared" si="13"/>
        <v>1.2700800000000001</v>
      </c>
      <c r="S158" s="1">
        <f t="shared" si="13"/>
        <v>1.2377399999999998</v>
      </c>
      <c r="T158" s="33">
        <v>0</v>
      </c>
      <c r="U158" s="1">
        <v>1</v>
      </c>
      <c r="W158" s="1" t="s">
        <v>16</v>
      </c>
      <c r="X158" s="24" t="s">
        <v>101</v>
      </c>
      <c r="Y158" s="1" t="s">
        <v>2</v>
      </c>
      <c r="Z158" s="1" t="s">
        <v>39</v>
      </c>
      <c r="AA158" s="1">
        <f t="shared" si="12"/>
        <v>1.2199199999999999</v>
      </c>
      <c r="AB158" s="1">
        <f t="shared" si="12"/>
        <v>1.37904</v>
      </c>
      <c r="AC158" s="1">
        <f t="shared" si="12"/>
        <v>1.32192</v>
      </c>
      <c r="AD158" s="1">
        <f t="shared" si="12"/>
        <v>1.28826</v>
      </c>
      <c r="AE158" s="28">
        <f>SUM($I$18,$I$46,$I$74,$I$102,$I$130,$I$158,$I$186,$I$214,$I$242,$I$270)</f>
        <v>25.619449000000003</v>
      </c>
      <c r="AF158" s="1">
        <v>1</v>
      </c>
    </row>
    <row r="159" spans="2:32" x14ac:dyDescent="0.25">
      <c r="B159" s="24" t="s">
        <v>17</v>
      </c>
      <c r="C159" s="24" t="s">
        <v>101</v>
      </c>
      <c r="D159" s="24" t="s">
        <v>2</v>
      </c>
      <c r="E159" s="24"/>
      <c r="F159" s="24">
        <f>[1]COMBIO!B28/1000</f>
        <v>5.8110000000000002E-3</v>
      </c>
      <c r="G159" s="24">
        <f>[1]COMBIO!C28/1000</f>
        <v>9.9740000000000002E-3</v>
      </c>
      <c r="H159" s="24">
        <f>[1]COMBIO!D28/1000</f>
        <v>2.0560000000000001E-3</v>
      </c>
      <c r="I159" s="24">
        <f>[1]COMBIO!E28/1000</f>
        <v>6.1749999999999999E-3</v>
      </c>
      <c r="J159" s="1">
        <v>1</v>
      </c>
      <c r="L159" s="1" t="s">
        <v>17</v>
      </c>
      <c r="M159" s="24" t="s">
        <v>101</v>
      </c>
      <c r="N159" s="1" t="s">
        <v>2</v>
      </c>
      <c r="O159" s="1" t="s">
        <v>40</v>
      </c>
      <c r="P159" s="1">
        <f t="shared" si="13"/>
        <v>5.69478E-3</v>
      </c>
      <c r="Q159" s="1">
        <f t="shared" si="13"/>
        <v>9.7745200000000001E-3</v>
      </c>
      <c r="R159" s="1">
        <f t="shared" si="13"/>
        <v>2.0148800000000001E-3</v>
      </c>
      <c r="S159" s="1">
        <f t="shared" si="13"/>
        <v>6.0514999999999996E-3</v>
      </c>
      <c r="T159" s="33">
        <v>0</v>
      </c>
      <c r="U159" s="1">
        <v>1</v>
      </c>
      <c r="W159" s="1" t="s">
        <v>17</v>
      </c>
      <c r="X159" s="24" t="s">
        <v>101</v>
      </c>
      <c r="Y159" s="1" t="s">
        <v>2</v>
      </c>
      <c r="Z159" s="1" t="s">
        <v>39</v>
      </c>
      <c r="AA159" s="1">
        <f t="shared" si="12"/>
        <v>5.9272200000000004E-3</v>
      </c>
      <c r="AB159" s="1">
        <f t="shared" si="12"/>
        <v>1.017348E-2</v>
      </c>
      <c r="AC159" s="1">
        <f t="shared" si="12"/>
        <v>2.0971200000000001E-3</v>
      </c>
      <c r="AD159" s="1">
        <f t="shared" si="12"/>
        <v>6.2985000000000003E-3</v>
      </c>
      <c r="AE159" s="28">
        <f>SUM($I$19,$I$47,$I$75,$I$103,$I$131,$I$159,$I$187,$I$215,$I$243,$I$271)</f>
        <v>18.465619999999998</v>
      </c>
      <c r="AF159" s="1">
        <v>1</v>
      </c>
    </row>
    <row r="160" spans="2:32" x14ac:dyDescent="0.25">
      <c r="B160" s="24" t="s">
        <v>18</v>
      </c>
      <c r="C160" s="24" t="s">
        <v>101</v>
      </c>
      <c r="D160" s="24" t="s">
        <v>2</v>
      </c>
      <c r="E160" s="24"/>
      <c r="F160" s="24">
        <f>[1]COMBIO!B29/1000</f>
        <v>1.37</v>
      </c>
      <c r="G160" s="24">
        <f>[1]COMBIO!C29/1000</f>
        <v>1.2929999999999999</v>
      </c>
      <c r="H160" s="24">
        <f>[1]COMBIO!D29/1000</f>
        <v>0.96699999999999997</v>
      </c>
      <c r="I160" s="24">
        <f>[1]COMBIO!E29/1000</f>
        <v>1.0329999999999999</v>
      </c>
      <c r="J160" s="1">
        <v>1</v>
      </c>
      <c r="L160" s="1" t="s">
        <v>18</v>
      </c>
      <c r="M160" s="24" t="s">
        <v>101</v>
      </c>
      <c r="N160" s="1" t="s">
        <v>2</v>
      </c>
      <c r="O160" s="1" t="s">
        <v>40</v>
      </c>
      <c r="P160" s="1">
        <f t="shared" si="13"/>
        <v>1.3426</v>
      </c>
      <c r="Q160" s="1">
        <f t="shared" si="13"/>
        <v>1.2671399999999999</v>
      </c>
      <c r="R160" s="1">
        <f t="shared" si="13"/>
        <v>0.94765999999999995</v>
      </c>
      <c r="S160" s="1">
        <f t="shared" si="13"/>
        <v>1.0123399999999998</v>
      </c>
      <c r="T160" s="33">
        <v>0</v>
      </c>
      <c r="U160" s="1">
        <v>1</v>
      </c>
      <c r="W160" s="1" t="s">
        <v>18</v>
      </c>
      <c r="X160" s="24" t="s">
        <v>101</v>
      </c>
      <c r="Y160" s="1" t="s">
        <v>2</v>
      </c>
      <c r="Z160" s="1" t="s">
        <v>39</v>
      </c>
      <c r="AA160" s="1">
        <f t="shared" si="12"/>
        <v>1.3974000000000002</v>
      </c>
      <c r="AB160" s="1">
        <f t="shared" si="12"/>
        <v>1.3188599999999999</v>
      </c>
      <c r="AC160" s="1">
        <f t="shared" si="12"/>
        <v>0.98633999999999999</v>
      </c>
      <c r="AD160" s="1">
        <f t="shared" si="12"/>
        <v>1.05366</v>
      </c>
      <c r="AE160" s="28">
        <f>SUM($I$20,$I$48,$I$76,$I$104,$I$132,$I$160,$I$188,$I$216,$I$244,$I$272)</f>
        <v>68.587658000000005</v>
      </c>
      <c r="AF160" s="1">
        <v>1</v>
      </c>
    </row>
    <row r="161" spans="1:32" x14ac:dyDescent="0.25">
      <c r="B161" s="24" t="s">
        <v>20</v>
      </c>
      <c r="C161" s="24" t="s">
        <v>101</v>
      </c>
      <c r="D161" s="24" t="s">
        <v>2</v>
      </c>
      <c r="E161" s="24"/>
      <c r="F161" s="24">
        <f>[1]COMBIO!B30/1000</f>
        <v>0.40100000000000002</v>
      </c>
      <c r="G161" s="24">
        <f>[1]COMBIO!C30/1000</f>
        <v>1.055936</v>
      </c>
      <c r="H161" s="24">
        <f>[1]COMBIO!D30/1000</f>
        <v>3.7344219999999999</v>
      </c>
      <c r="I161" s="24">
        <f>[1]COMBIO!E30/1000</f>
        <v>3.3843000000000001</v>
      </c>
      <c r="J161" s="1">
        <v>1</v>
      </c>
      <c r="L161" s="1" t="s">
        <v>20</v>
      </c>
      <c r="M161" s="24" t="s">
        <v>101</v>
      </c>
      <c r="N161" s="1" t="s">
        <v>2</v>
      </c>
      <c r="O161" s="1" t="s">
        <v>40</v>
      </c>
      <c r="P161" s="1">
        <f t="shared" si="13"/>
        <v>0.39298</v>
      </c>
      <c r="Q161" s="1">
        <f t="shared" si="13"/>
        <v>1.03481728</v>
      </c>
      <c r="R161" s="1">
        <f t="shared" si="13"/>
        <v>3.6597335599999998</v>
      </c>
      <c r="S161" s="1">
        <f t="shared" si="13"/>
        <v>3.316614</v>
      </c>
      <c r="T161" s="33">
        <v>0</v>
      </c>
      <c r="U161" s="1">
        <v>1</v>
      </c>
      <c r="W161" s="1" t="s">
        <v>20</v>
      </c>
      <c r="X161" s="24" t="s">
        <v>101</v>
      </c>
      <c r="Y161" s="1" t="s">
        <v>2</v>
      </c>
      <c r="Z161" s="1" t="s">
        <v>39</v>
      </c>
      <c r="AA161" s="1">
        <f t="shared" si="12"/>
        <v>0.40902000000000005</v>
      </c>
      <c r="AB161" s="1">
        <f t="shared" si="12"/>
        <v>1.07705472</v>
      </c>
      <c r="AC161" s="1">
        <f t="shared" si="12"/>
        <v>3.80911044</v>
      </c>
      <c r="AD161" s="1">
        <f t="shared" si="12"/>
        <v>3.4519860000000002</v>
      </c>
      <c r="AE161" s="28">
        <f>SUM($I$21,$I$49,$I$77,$I$105,$I$133,$I$161,$I$189,$I$217,$I$245,$I$273)</f>
        <v>254.70966400000003</v>
      </c>
      <c r="AF161" s="1">
        <v>1</v>
      </c>
    </row>
    <row r="162" spans="1:32" x14ac:dyDescent="0.25">
      <c r="B162" s="24" t="s">
        <v>21</v>
      </c>
      <c r="C162" s="24" t="s">
        <v>101</v>
      </c>
      <c r="D162" s="24" t="s">
        <v>2</v>
      </c>
      <c r="E162" s="24"/>
      <c r="F162" s="24">
        <f>[1]COMBIO!B31/1000</f>
        <v>3.1514879999999996</v>
      </c>
      <c r="G162" s="24">
        <f>[1]COMBIO!C31/1000</f>
        <v>2.2989220000000001</v>
      </c>
      <c r="H162" s="24">
        <f>[1]COMBIO!D31/1000</f>
        <v>3.3117969999999999</v>
      </c>
      <c r="I162" s="24">
        <f>[1]COMBIO!E31/1000</f>
        <v>1.8663460000000001</v>
      </c>
      <c r="J162" s="1">
        <v>1</v>
      </c>
      <c r="L162" s="1" t="s">
        <v>21</v>
      </c>
      <c r="M162" s="24" t="s">
        <v>101</v>
      </c>
      <c r="N162" s="1" t="s">
        <v>2</v>
      </c>
      <c r="O162" s="1" t="s">
        <v>40</v>
      </c>
      <c r="P162" s="1">
        <f t="shared" si="13"/>
        <v>3.0884582399999996</v>
      </c>
      <c r="Q162" s="1">
        <f t="shared" si="13"/>
        <v>2.2529435600000003</v>
      </c>
      <c r="R162" s="1">
        <f t="shared" si="13"/>
        <v>3.24556106</v>
      </c>
      <c r="S162" s="1">
        <f t="shared" si="13"/>
        <v>1.8290190800000001</v>
      </c>
      <c r="T162" s="33">
        <v>0</v>
      </c>
      <c r="U162" s="1">
        <v>1</v>
      </c>
      <c r="W162" s="1" t="s">
        <v>21</v>
      </c>
      <c r="X162" s="24" t="s">
        <v>101</v>
      </c>
      <c r="Y162" s="1" t="s">
        <v>2</v>
      </c>
      <c r="Z162" s="1" t="s">
        <v>39</v>
      </c>
      <c r="AA162" s="1">
        <f t="shared" si="12"/>
        <v>3.2145177599999997</v>
      </c>
      <c r="AB162" s="1">
        <f t="shared" si="12"/>
        <v>2.34490044</v>
      </c>
      <c r="AC162" s="1">
        <f t="shared" si="12"/>
        <v>3.3780329399999998</v>
      </c>
      <c r="AD162" s="1">
        <f t="shared" si="12"/>
        <v>1.90367292</v>
      </c>
      <c r="AE162" s="28">
        <f>SUM($I$22,$I$50,$I$78,$I$106,$I$134,$I$162,$I$190,$I$218,$I$246,$I$274)</f>
        <v>101.032432</v>
      </c>
      <c r="AF162" s="1">
        <v>1</v>
      </c>
    </row>
    <row r="163" spans="1:32" x14ac:dyDescent="0.25">
      <c r="B163" s="24" t="s">
        <v>22</v>
      </c>
      <c r="C163" s="24" t="s">
        <v>101</v>
      </c>
      <c r="D163" s="24" t="s">
        <v>2</v>
      </c>
      <c r="E163" s="24"/>
      <c r="F163" s="24">
        <f>[1]COMBIO!B32/1000</f>
        <v>8.0289999999999999</v>
      </c>
      <c r="G163" s="24">
        <f>[1]COMBIO!C32/1000</f>
        <v>7.0430000000000001</v>
      </c>
      <c r="H163" s="24">
        <f>[1]COMBIO!D32/1000</f>
        <v>7.4512089999999995</v>
      </c>
      <c r="I163" s="24">
        <f>[1]COMBIO!E32/1000</f>
        <v>6.5960240000000008</v>
      </c>
      <c r="J163" s="1">
        <v>1</v>
      </c>
      <c r="L163" s="1" t="s">
        <v>22</v>
      </c>
      <c r="M163" s="24" t="s">
        <v>101</v>
      </c>
      <c r="N163" s="1" t="s">
        <v>2</v>
      </c>
      <c r="O163" s="1" t="s">
        <v>40</v>
      </c>
      <c r="P163" s="1">
        <f t="shared" si="13"/>
        <v>7.8684199999999995</v>
      </c>
      <c r="Q163" s="1">
        <f t="shared" si="13"/>
        <v>6.9021400000000002</v>
      </c>
      <c r="R163" s="1">
        <f t="shared" si="13"/>
        <v>7.302184819999999</v>
      </c>
      <c r="S163" s="1">
        <f t="shared" si="13"/>
        <v>6.464103520000001</v>
      </c>
      <c r="T163" s="33">
        <v>0</v>
      </c>
      <c r="U163" s="1">
        <v>1</v>
      </c>
      <c r="W163" s="1" t="s">
        <v>22</v>
      </c>
      <c r="X163" s="24" t="s">
        <v>101</v>
      </c>
      <c r="Y163" s="1" t="s">
        <v>2</v>
      </c>
      <c r="Z163" s="1" t="s">
        <v>39</v>
      </c>
      <c r="AA163" s="1">
        <f t="shared" si="12"/>
        <v>8.1895799999999994</v>
      </c>
      <c r="AB163" s="1">
        <f t="shared" si="12"/>
        <v>7.1838600000000001</v>
      </c>
      <c r="AC163" s="1">
        <f t="shared" si="12"/>
        <v>7.60023318</v>
      </c>
      <c r="AD163" s="1">
        <f t="shared" si="12"/>
        <v>6.7279444800000006</v>
      </c>
      <c r="AE163" s="28">
        <f>SUM($I$23,$I$51,$I$79,$I$107,$I$135,$I$163,$I$191,$I$219,$I$247,$I$275)</f>
        <v>338.02420999999998</v>
      </c>
      <c r="AF163" s="1">
        <v>1</v>
      </c>
    </row>
    <row r="164" spans="1:32" x14ac:dyDescent="0.25">
      <c r="B164" s="24" t="s">
        <v>23</v>
      </c>
      <c r="C164" s="24" t="s">
        <v>101</v>
      </c>
      <c r="D164" s="24" t="s">
        <v>2</v>
      </c>
      <c r="E164" s="24"/>
      <c r="F164" s="24">
        <f>[1]COMBIO!B33/1000</f>
        <v>0</v>
      </c>
      <c r="G164" s="24">
        <f>[1]COMBIO!C33/1000</f>
        <v>0.46</v>
      </c>
      <c r="H164" s="24">
        <f>[1]COMBIO!D33/1000</f>
        <v>0.49190699999999998</v>
      </c>
      <c r="I164" s="24">
        <f>[1]COMBIO!E33/1000</f>
        <v>0.38426499999999997</v>
      </c>
      <c r="J164" s="1">
        <v>1</v>
      </c>
      <c r="L164" s="1" t="s">
        <v>23</v>
      </c>
      <c r="M164" s="24" t="s">
        <v>101</v>
      </c>
      <c r="N164" s="1" t="s">
        <v>2</v>
      </c>
      <c r="O164" s="1" t="s">
        <v>40</v>
      </c>
      <c r="P164" s="1">
        <f t="shared" si="13"/>
        <v>0</v>
      </c>
      <c r="Q164" s="1">
        <f t="shared" si="13"/>
        <v>0.45080000000000003</v>
      </c>
      <c r="R164" s="1">
        <f t="shared" si="13"/>
        <v>0.48206885999999999</v>
      </c>
      <c r="S164" s="1">
        <f t="shared" si="13"/>
        <v>0.37657969999999996</v>
      </c>
      <c r="T164" s="33">
        <v>0</v>
      </c>
      <c r="U164" s="1">
        <v>1</v>
      </c>
      <c r="W164" s="1" t="s">
        <v>23</v>
      </c>
      <c r="X164" s="24" t="s">
        <v>101</v>
      </c>
      <c r="Y164" s="1" t="s">
        <v>2</v>
      </c>
      <c r="Z164" s="1" t="s">
        <v>39</v>
      </c>
      <c r="AA164" s="1">
        <f t="shared" si="12"/>
        <v>0</v>
      </c>
      <c r="AB164" s="1">
        <f t="shared" si="12"/>
        <v>0.46920000000000001</v>
      </c>
      <c r="AC164" s="1">
        <f t="shared" si="12"/>
        <v>0.50174514000000003</v>
      </c>
      <c r="AD164" s="1">
        <f t="shared" si="12"/>
        <v>0.39195029999999997</v>
      </c>
      <c r="AE164" s="28">
        <f>SUM($I$24,$I$52,$I$80,$I$108,$I$136,$I$164,$I$192,$I$220,$I$248,$I$276)</f>
        <v>100.75319400000001</v>
      </c>
      <c r="AF164" s="1">
        <v>1</v>
      </c>
    </row>
    <row r="165" spans="1:32" x14ac:dyDescent="0.25">
      <c r="B165" s="24" t="s">
        <v>24</v>
      </c>
      <c r="C165" s="24" t="s">
        <v>101</v>
      </c>
      <c r="D165" s="24" t="s">
        <v>2</v>
      </c>
      <c r="E165" s="24"/>
      <c r="F165" s="24">
        <f>AVERAGE($H$165:$I$165)</f>
        <v>3.3098160000000001</v>
      </c>
      <c r="G165" s="24">
        <f>AVERAGE($H$165:$I$165)</f>
        <v>3.3098160000000001</v>
      </c>
      <c r="H165" s="24">
        <f>[1]COMBIO!D34/1000</f>
        <v>3.4515990000000003</v>
      </c>
      <c r="I165" s="24">
        <f>[1]COMBIO!E34/1000</f>
        <v>3.1680329999999999</v>
      </c>
      <c r="J165" s="1">
        <v>1</v>
      </c>
      <c r="L165" s="1" t="s">
        <v>24</v>
      </c>
      <c r="M165" s="24" t="s">
        <v>101</v>
      </c>
      <c r="N165" s="1" t="s">
        <v>2</v>
      </c>
      <c r="O165" s="1" t="s">
        <v>40</v>
      </c>
      <c r="P165" s="1">
        <f t="shared" si="13"/>
        <v>3.2436196800000001</v>
      </c>
      <c r="Q165" s="1">
        <f t="shared" si="13"/>
        <v>3.2436196800000001</v>
      </c>
      <c r="R165" s="1">
        <f t="shared" si="13"/>
        <v>3.3825670200000002</v>
      </c>
      <c r="S165" s="1">
        <f t="shared" si="13"/>
        <v>3.10467234</v>
      </c>
      <c r="T165" s="33">
        <v>0</v>
      </c>
      <c r="U165" s="1">
        <v>1</v>
      </c>
      <c r="W165" s="1" t="s">
        <v>24</v>
      </c>
      <c r="X165" s="24" t="s">
        <v>101</v>
      </c>
      <c r="Y165" s="1" t="s">
        <v>2</v>
      </c>
      <c r="Z165" s="1" t="s">
        <v>39</v>
      </c>
      <c r="AA165" s="1">
        <f t="shared" si="12"/>
        <v>3.3760123200000001</v>
      </c>
      <c r="AB165" s="1">
        <f t="shared" si="12"/>
        <v>3.3760123200000001</v>
      </c>
      <c r="AC165" s="1">
        <f t="shared" si="12"/>
        <v>3.5206309800000004</v>
      </c>
      <c r="AD165" s="1">
        <f t="shared" si="12"/>
        <v>3.2313936599999997</v>
      </c>
      <c r="AE165" s="28">
        <f>SUM($I$25,$I$53,$I$81,$I$109,$I$137,$I$165,$I$193,$I$221,$I$249,$I$277)</f>
        <v>85.709021000000007</v>
      </c>
      <c r="AF165" s="1">
        <v>1</v>
      </c>
    </row>
    <row r="166" spans="1:32" x14ac:dyDescent="0.25">
      <c r="B166" s="24" t="s">
        <v>25</v>
      </c>
      <c r="C166" s="24" t="s">
        <v>101</v>
      </c>
      <c r="D166" s="24" t="s">
        <v>2</v>
      </c>
      <c r="E166" s="24"/>
      <c r="F166" s="24">
        <v>0.93171799999999994</v>
      </c>
      <c r="G166" s="24">
        <v>0.93171799999999994</v>
      </c>
      <c r="H166" s="24">
        <v>0.93171799999999994</v>
      </c>
      <c r="I166" s="24">
        <f>[1]COMBIO!E35/1000</f>
        <v>0.93171799999999994</v>
      </c>
      <c r="J166" s="1">
        <v>1</v>
      </c>
      <c r="L166" s="1" t="s">
        <v>25</v>
      </c>
      <c r="M166" s="24" t="s">
        <v>101</v>
      </c>
      <c r="N166" s="1" t="s">
        <v>2</v>
      </c>
      <c r="O166" s="1" t="s">
        <v>40</v>
      </c>
      <c r="P166" s="1">
        <f t="shared" si="13"/>
        <v>0.91308363999999997</v>
      </c>
      <c r="Q166" s="1">
        <f t="shared" si="13"/>
        <v>0.91308363999999997</v>
      </c>
      <c r="R166" s="1">
        <f t="shared" si="13"/>
        <v>0.91308363999999997</v>
      </c>
      <c r="S166" s="1">
        <f t="shared" si="13"/>
        <v>0.91308363999999997</v>
      </c>
      <c r="T166" s="33">
        <v>0</v>
      </c>
      <c r="U166" s="1">
        <v>1</v>
      </c>
      <c r="W166" s="1" t="s">
        <v>25</v>
      </c>
      <c r="X166" s="24" t="s">
        <v>101</v>
      </c>
      <c r="Y166" s="1" t="s">
        <v>2</v>
      </c>
      <c r="Z166" s="1" t="s">
        <v>39</v>
      </c>
      <c r="AA166" s="1">
        <f t="shared" si="12"/>
        <v>0.9503523599999999</v>
      </c>
      <c r="AB166" s="1">
        <f t="shared" si="12"/>
        <v>0.9503523599999999</v>
      </c>
      <c r="AC166" s="1">
        <f t="shared" si="12"/>
        <v>0.9503523599999999</v>
      </c>
      <c r="AD166" s="1">
        <f t="shared" si="12"/>
        <v>0.9503523599999999</v>
      </c>
      <c r="AE166" s="28">
        <f>SUM($I$26,$I$54,$I$82,$I$110,$I$138,$I$166,$I$194,$I$222,$I$250,$I$278)</f>
        <v>18.304008</v>
      </c>
      <c r="AF166" s="1">
        <v>1</v>
      </c>
    </row>
    <row r="167" spans="1:32" x14ac:dyDescent="0.25">
      <c r="B167" s="24" t="s">
        <v>26</v>
      </c>
      <c r="C167" s="24" t="s">
        <v>101</v>
      </c>
      <c r="D167" s="24" t="s">
        <v>2</v>
      </c>
      <c r="E167" s="24"/>
      <c r="F167" s="24">
        <f>[1]COMBIO!B36/1000</f>
        <v>4.5999999999999999E-2</v>
      </c>
      <c r="G167" s="24">
        <f>[1]COMBIO!C36/1000</f>
        <v>0.1</v>
      </c>
      <c r="H167" s="24">
        <f>[1]COMBIO!D36/1000</f>
        <v>0.35899999999999999</v>
      </c>
      <c r="I167" s="24">
        <f>[1]COMBIO!E36/1000</f>
        <v>7.9000000000000001E-2</v>
      </c>
      <c r="J167" s="1">
        <v>1</v>
      </c>
      <c r="L167" s="1" t="s">
        <v>26</v>
      </c>
      <c r="M167" s="24" t="s">
        <v>101</v>
      </c>
      <c r="N167" s="1" t="s">
        <v>2</v>
      </c>
      <c r="O167" s="1" t="s">
        <v>40</v>
      </c>
      <c r="P167" s="1">
        <f t="shared" si="13"/>
        <v>4.5079999999999995E-2</v>
      </c>
      <c r="Q167" s="1">
        <f t="shared" si="13"/>
        <v>9.8000000000000004E-2</v>
      </c>
      <c r="R167" s="1">
        <f t="shared" si="13"/>
        <v>0.35181999999999997</v>
      </c>
      <c r="S167" s="1">
        <f t="shared" si="13"/>
        <v>7.7420000000000003E-2</v>
      </c>
      <c r="T167" s="33">
        <v>0</v>
      </c>
      <c r="U167" s="1">
        <v>1</v>
      </c>
      <c r="W167" s="1" t="s">
        <v>26</v>
      </c>
      <c r="X167" s="24" t="s">
        <v>101</v>
      </c>
      <c r="Y167" s="1" t="s">
        <v>2</v>
      </c>
      <c r="Z167" s="1" t="s">
        <v>39</v>
      </c>
      <c r="AA167" s="1">
        <f t="shared" si="12"/>
        <v>4.6920000000000003E-2</v>
      </c>
      <c r="AB167" s="1">
        <f t="shared" si="12"/>
        <v>0.10200000000000001</v>
      </c>
      <c r="AC167" s="1">
        <f t="shared" si="12"/>
        <v>0.36618000000000001</v>
      </c>
      <c r="AD167" s="1">
        <f t="shared" si="12"/>
        <v>8.0579999999999999E-2</v>
      </c>
      <c r="AE167" s="28">
        <f>SUM($I$27,$I$55,$I$83,$I$111,$I$139,$I$167,$I$195,$I$223,$I$251,$I$279)</f>
        <v>46.794905</v>
      </c>
      <c r="AF167" s="1">
        <v>1</v>
      </c>
    </row>
    <row r="168" spans="1:32" x14ac:dyDescent="0.25">
      <c r="B168" s="24" t="s">
        <v>27</v>
      </c>
      <c r="C168" s="24" t="s">
        <v>101</v>
      </c>
      <c r="D168" s="24" t="s">
        <v>2</v>
      </c>
      <c r="E168" s="24"/>
      <c r="F168" s="24">
        <f>[1]COMBIO!B37/1000</f>
        <v>3.323</v>
      </c>
      <c r="G168" s="24">
        <f>[1]COMBIO!C37/1000</f>
        <v>2.762</v>
      </c>
      <c r="H168" s="24">
        <f>[1]COMBIO!D37/1000</f>
        <v>2.8740000000000001</v>
      </c>
      <c r="I168" s="24">
        <f>[1]COMBIO!E37/1000</f>
        <v>3.2589999999999999</v>
      </c>
      <c r="J168" s="1">
        <v>1</v>
      </c>
      <c r="L168" s="1" t="s">
        <v>27</v>
      </c>
      <c r="M168" s="24" t="s">
        <v>101</v>
      </c>
      <c r="N168" s="1" t="s">
        <v>2</v>
      </c>
      <c r="O168" s="1" t="s">
        <v>40</v>
      </c>
      <c r="P168" s="1">
        <f>IF(ISBLANK(F168),":",0.98*F168)</f>
        <v>3.2565399999999998</v>
      </c>
      <c r="Q168" s="1">
        <f t="shared" ref="Q168:S231" si="14">IF(ISBLANK(G168),":",0.98*G168)</f>
        <v>2.7067600000000001</v>
      </c>
      <c r="R168" s="1">
        <f t="shared" si="14"/>
        <v>2.8165200000000001</v>
      </c>
      <c r="S168" s="1">
        <f t="shared" si="14"/>
        <v>3.1938199999999997</v>
      </c>
      <c r="T168" s="33">
        <v>0</v>
      </c>
      <c r="U168" s="1">
        <v>1</v>
      </c>
      <c r="W168" s="1" t="s">
        <v>27</v>
      </c>
      <c r="X168" s="24" t="s">
        <v>101</v>
      </c>
      <c r="Y168" s="1" t="s">
        <v>2</v>
      </c>
      <c r="Z168" s="1" t="s">
        <v>39</v>
      </c>
      <c r="AA168" s="1">
        <f t="shared" si="12"/>
        <v>3.3894600000000001</v>
      </c>
      <c r="AB168" s="1">
        <f t="shared" si="12"/>
        <v>2.81724</v>
      </c>
      <c r="AC168" s="1">
        <f t="shared" si="12"/>
        <v>2.9314800000000001</v>
      </c>
      <c r="AD168" s="1">
        <f t="shared" si="12"/>
        <v>3.3241800000000001</v>
      </c>
      <c r="AE168" s="28">
        <f>SUM($I$28,$I$56,$I$84,$I$112,$I$140,$I$168,$I$196,$I$224,$I$252,$I$280)</f>
        <v>121.343903</v>
      </c>
      <c r="AF168" s="1">
        <v>1</v>
      </c>
    </row>
    <row r="169" spans="1:32" x14ac:dyDescent="0.25">
      <c r="B169" s="24" t="s">
        <v>28</v>
      </c>
      <c r="C169" s="24" t="s">
        <v>101</v>
      </c>
      <c r="D169" s="24" t="s">
        <v>2</v>
      </c>
      <c r="E169" s="24"/>
      <c r="F169" s="24">
        <f>[1]COMBIO!B38/1000</f>
        <v>1.887</v>
      </c>
      <c r="G169" s="24">
        <f>[1]COMBIO!C38/1000</f>
        <v>1.6879999999999999</v>
      </c>
      <c r="H169" s="24">
        <f>[1]COMBIO!D38/1000</f>
        <v>1.4810000000000001</v>
      </c>
      <c r="I169" s="24">
        <f>[1]COMBIO!E38/1000</f>
        <v>1.4139999999999999</v>
      </c>
      <c r="J169" s="1">
        <v>1</v>
      </c>
      <c r="L169" s="1" t="s">
        <v>28</v>
      </c>
      <c r="M169" s="24" t="s">
        <v>101</v>
      </c>
      <c r="N169" s="1" t="s">
        <v>2</v>
      </c>
      <c r="O169" s="1" t="s">
        <v>40</v>
      </c>
      <c r="P169" s="1">
        <f t="shared" ref="P169:P175" si="15">IF(ISBLANK(F169),":",0.98*F169)</f>
        <v>1.8492599999999999</v>
      </c>
      <c r="Q169" s="1">
        <f t="shared" si="14"/>
        <v>1.6542399999999999</v>
      </c>
      <c r="R169" s="1">
        <f t="shared" si="14"/>
        <v>1.4513800000000001</v>
      </c>
      <c r="S169" s="1">
        <f t="shared" si="14"/>
        <v>1.3857199999999998</v>
      </c>
      <c r="T169" s="33">
        <v>0</v>
      </c>
      <c r="U169" s="1">
        <v>1</v>
      </c>
      <c r="W169" s="1" t="s">
        <v>28</v>
      </c>
      <c r="X169" s="24" t="s">
        <v>101</v>
      </c>
      <c r="Y169" s="1" t="s">
        <v>2</v>
      </c>
      <c r="Z169" s="1" t="s">
        <v>39</v>
      </c>
      <c r="AA169" s="1">
        <f t="shared" si="12"/>
        <v>1.9247400000000001</v>
      </c>
      <c r="AB169" s="1">
        <f t="shared" si="12"/>
        <v>1.72176</v>
      </c>
      <c r="AC169" s="1">
        <f t="shared" si="12"/>
        <v>1.5106200000000001</v>
      </c>
      <c r="AD169" s="1">
        <f t="shared" si="12"/>
        <v>1.44228</v>
      </c>
      <c r="AE169" s="28">
        <f>SUM($I$29,$I$57,$I$85,$I$113,$I$141,$I$169,$I$197,$I$225,$I$253,$I$281)</f>
        <v>174.41146799999999</v>
      </c>
      <c r="AF169" s="1">
        <v>1</v>
      </c>
    </row>
    <row r="170" spans="1:32" x14ac:dyDescent="0.25">
      <c r="B170" s="24" t="s">
        <v>29</v>
      </c>
      <c r="C170" s="24" t="s">
        <v>101</v>
      </c>
      <c r="D170" s="24" t="s">
        <v>2</v>
      </c>
      <c r="E170" s="24"/>
      <c r="F170" s="24">
        <f>[1]COMBIO!B39/1000</f>
        <v>0.63300000000000001</v>
      </c>
      <c r="G170" s="24">
        <f>[1]COMBIO!C39/1000</f>
        <v>0.61099999999999999</v>
      </c>
      <c r="H170" s="24">
        <f>[1]COMBIO!D39/1000</f>
        <v>0.940469</v>
      </c>
      <c r="I170" s="24">
        <f>[1]COMBIO!E39/1000</f>
        <v>0.16512499999999999</v>
      </c>
      <c r="J170" s="1">
        <v>1</v>
      </c>
      <c r="L170" s="1" t="s">
        <v>29</v>
      </c>
      <c r="M170" s="24" t="s">
        <v>101</v>
      </c>
      <c r="N170" s="1" t="s">
        <v>2</v>
      </c>
      <c r="O170" s="1" t="s">
        <v>40</v>
      </c>
      <c r="P170" s="1">
        <f t="shared" si="15"/>
        <v>0.62034</v>
      </c>
      <c r="Q170" s="1">
        <f t="shared" si="14"/>
        <v>0.59877999999999998</v>
      </c>
      <c r="R170" s="1">
        <f t="shared" si="14"/>
        <v>0.92165962000000001</v>
      </c>
      <c r="S170" s="1">
        <f t="shared" si="14"/>
        <v>0.16182249999999998</v>
      </c>
      <c r="T170" s="33">
        <v>0</v>
      </c>
      <c r="U170" s="1">
        <v>1</v>
      </c>
      <c r="W170" s="1" t="s">
        <v>29</v>
      </c>
      <c r="X170" s="24" t="s">
        <v>101</v>
      </c>
      <c r="Y170" s="1" t="s">
        <v>2</v>
      </c>
      <c r="Z170" s="1" t="s">
        <v>39</v>
      </c>
      <c r="AA170" s="1">
        <f t="shared" si="12"/>
        <v>0.64566000000000001</v>
      </c>
      <c r="AB170" s="1">
        <f t="shared" si="12"/>
        <v>0.62322</v>
      </c>
      <c r="AC170" s="1">
        <f t="shared" si="12"/>
        <v>0.95927837999999999</v>
      </c>
      <c r="AD170" s="1">
        <f t="shared" si="12"/>
        <v>0.16842750000000001</v>
      </c>
      <c r="AE170" s="28">
        <f>SUM($I$30,$I$58,$I$86,$I$114,$I$142,$I$170,$I$198,$I$226,$I$254,$I$282)</f>
        <v>131.14785900000001</v>
      </c>
      <c r="AF170" s="1">
        <v>1</v>
      </c>
    </row>
    <row r="171" spans="1:32" x14ac:dyDescent="0.25">
      <c r="B171" s="24" t="s">
        <v>30</v>
      </c>
      <c r="C171" s="24" t="s">
        <v>101</v>
      </c>
      <c r="D171" s="24" t="s">
        <v>2</v>
      </c>
      <c r="E171" s="24"/>
      <c r="F171" s="24">
        <f>[1]COMBIO!B40/1000</f>
        <v>0</v>
      </c>
      <c r="G171" s="24">
        <f>[1]COMBIO!C40/1000</f>
        <v>2.411</v>
      </c>
      <c r="H171" s="43">
        <f>C289</f>
        <v>7.7154350400000009</v>
      </c>
      <c r="I171" s="43">
        <f>D289</f>
        <v>7.9369167599999999</v>
      </c>
      <c r="J171" s="1">
        <v>1</v>
      </c>
      <c r="L171" s="1" t="s">
        <v>30</v>
      </c>
      <c r="M171" s="24" t="s">
        <v>101</v>
      </c>
      <c r="N171" s="1" t="s">
        <v>2</v>
      </c>
      <c r="O171" s="1" t="s">
        <v>40</v>
      </c>
      <c r="P171" s="1">
        <f t="shared" si="15"/>
        <v>0</v>
      </c>
      <c r="Q171" s="1">
        <f t="shared" si="14"/>
        <v>2.3627799999999999</v>
      </c>
      <c r="R171" s="1">
        <f t="shared" si="14"/>
        <v>7.5611263392000003</v>
      </c>
      <c r="S171" s="1">
        <f t="shared" si="14"/>
        <v>7.7781784248000001</v>
      </c>
      <c r="T171" s="33">
        <v>0</v>
      </c>
      <c r="U171" s="1">
        <v>1</v>
      </c>
      <c r="W171" s="1" t="s">
        <v>30</v>
      </c>
      <c r="X171" s="24" t="s">
        <v>101</v>
      </c>
      <c r="Y171" s="1" t="s">
        <v>2</v>
      </c>
      <c r="Z171" s="1" t="s">
        <v>39</v>
      </c>
      <c r="AA171" s="1">
        <f t="shared" si="12"/>
        <v>0</v>
      </c>
      <c r="AB171" s="1">
        <f t="shared" si="12"/>
        <v>2.4592200000000002</v>
      </c>
      <c r="AC171" s="1">
        <f t="shared" si="12"/>
        <v>7.8697437408000015</v>
      </c>
      <c r="AD171" s="1">
        <f t="shared" si="12"/>
        <v>8.0956550951999997</v>
      </c>
      <c r="AE171" s="28">
        <f>SUM($I$31,$I$59,$I$87,$I$115,$I$143,$I$171,$I$199,$I$227,$I$255,$I$283)</f>
        <v>698.48733743314938</v>
      </c>
      <c r="AF171" s="1">
        <v>1</v>
      </c>
    </row>
    <row r="172" spans="1:32" x14ac:dyDescent="0.25">
      <c r="A172" s="27"/>
      <c r="B172" s="1" t="s">
        <v>0</v>
      </c>
      <c r="C172" s="1" t="s">
        <v>102</v>
      </c>
      <c r="D172" s="1" t="s">
        <v>2</v>
      </c>
      <c r="E172" s="1"/>
      <c r="F172" s="1">
        <f>[1]COMELC!B13/1000</f>
        <v>79.836479999999995</v>
      </c>
      <c r="G172" s="1">
        <f>[1]COMELC!C13/1000</f>
        <v>77.34996000000001</v>
      </c>
      <c r="H172" s="1">
        <f>[1]COMELC!D13/1000</f>
        <v>73.909080000000003</v>
      </c>
      <c r="I172" s="1">
        <f>[1]COMELC!E13/1000</f>
        <v>73.566360000000003</v>
      </c>
      <c r="J172" s="1">
        <v>1</v>
      </c>
      <c r="L172" s="1" t="s">
        <v>0</v>
      </c>
      <c r="M172" s="1" t="s">
        <v>102</v>
      </c>
      <c r="N172" s="1" t="s">
        <v>2</v>
      </c>
      <c r="O172" s="1" t="s">
        <v>40</v>
      </c>
      <c r="P172" s="1">
        <f t="shared" si="15"/>
        <v>78.239750399999991</v>
      </c>
      <c r="Q172" s="1">
        <f t="shared" si="14"/>
        <v>75.802960800000008</v>
      </c>
      <c r="R172" s="1">
        <f t="shared" si="14"/>
        <v>72.430898400000004</v>
      </c>
      <c r="S172" s="1">
        <f t="shared" si="14"/>
        <v>72.095032799999998</v>
      </c>
      <c r="T172" s="33">
        <v>0</v>
      </c>
      <c r="U172" s="1">
        <v>1</v>
      </c>
      <c r="W172" s="1" t="s">
        <v>0</v>
      </c>
      <c r="X172" s="1" t="s">
        <v>102</v>
      </c>
      <c r="Y172" s="1" t="s">
        <v>2</v>
      </c>
      <c r="Z172" s="1" t="s">
        <v>39</v>
      </c>
      <c r="AA172" s="1">
        <f t="shared" si="12"/>
        <v>81.433209599999998</v>
      </c>
      <c r="AB172" s="1">
        <f t="shared" si="12"/>
        <v>78.896959200000012</v>
      </c>
      <c r="AC172" s="1">
        <f t="shared" si="12"/>
        <v>75.387261600000002</v>
      </c>
      <c r="AD172" s="1">
        <f t="shared" si="12"/>
        <v>75.037687200000008</v>
      </c>
      <c r="AE172" s="28">
        <f>SUM($I$4,$I$32,$I$60,$I$88,$I$116,$I$144,$I$172,$I$200,$I$228,$I$256)</f>
        <v>159.04926399999999</v>
      </c>
      <c r="AF172" s="1">
        <v>1</v>
      </c>
    </row>
    <row r="173" spans="1:32" x14ac:dyDescent="0.25">
      <c r="B173" s="1" t="s">
        <v>3</v>
      </c>
      <c r="C173" s="1" t="s">
        <v>102</v>
      </c>
      <c r="D173" s="1" t="s">
        <v>2</v>
      </c>
      <c r="E173" s="1"/>
      <c r="F173" s="1">
        <f>[1]COMELC!B14/1000</f>
        <v>29.163599999999999</v>
      </c>
      <c r="G173" s="1">
        <f>[1]COMELC!C14/1000</f>
        <v>29.073599999999999</v>
      </c>
      <c r="H173" s="1">
        <f>[1]COMELC!D14/1000</f>
        <v>25.171937999999997</v>
      </c>
      <c r="I173" s="1">
        <f>[1]COMELC!E14/1000</f>
        <v>28.991458999999999</v>
      </c>
      <c r="J173" s="1">
        <v>1</v>
      </c>
      <c r="L173" s="1" t="s">
        <v>3</v>
      </c>
      <c r="M173" s="1" t="s">
        <v>102</v>
      </c>
      <c r="N173" s="1" t="s">
        <v>2</v>
      </c>
      <c r="O173" s="1" t="s">
        <v>40</v>
      </c>
      <c r="P173" s="1">
        <f t="shared" si="15"/>
        <v>28.580327999999998</v>
      </c>
      <c r="Q173" s="1">
        <f t="shared" si="14"/>
        <v>28.492127999999997</v>
      </c>
      <c r="R173" s="1">
        <f t="shared" si="14"/>
        <v>24.668499239999996</v>
      </c>
      <c r="S173" s="1">
        <f t="shared" si="14"/>
        <v>28.411629819999998</v>
      </c>
      <c r="T173" s="33">
        <v>0</v>
      </c>
      <c r="U173" s="1">
        <v>1</v>
      </c>
      <c r="W173" s="1" t="s">
        <v>3</v>
      </c>
      <c r="X173" s="1" t="s">
        <v>102</v>
      </c>
      <c r="Y173" s="1" t="s">
        <v>2</v>
      </c>
      <c r="Z173" s="1" t="s">
        <v>39</v>
      </c>
      <c r="AA173" s="1">
        <f t="shared" si="12"/>
        <v>29.746872</v>
      </c>
      <c r="AB173" s="1">
        <f t="shared" si="12"/>
        <v>29.655072000000001</v>
      </c>
      <c r="AC173" s="1">
        <f t="shared" si="12"/>
        <v>25.675376759999999</v>
      </c>
      <c r="AD173" s="1">
        <f t="shared" si="12"/>
        <v>29.57128818</v>
      </c>
      <c r="AE173" s="28">
        <f>SUM($I$5,$I$33,$I$61,$I$89,$I$117,$I$145,$I$173,$I$201,$I$229,$I$257)</f>
        <v>52.687187999999992</v>
      </c>
      <c r="AF173" s="1">
        <v>1</v>
      </c>
    </row>
    <row r="174" spans="1:32" x14ac:dyDescent="0.25">
      <c r="B174" s="1" t="s">
        <v>4</v>
      </c>
      <c r="C174" s="1" t="s">
        <v>102</v>
      </c>
      <c r="D174" s="1" t="s">
        <v>2</v>
      </c>
      <c r="E174" s="1"/>
      <c r="F174" s="1">
        <f>[1]COMELC!B15/1000</f>
        <v>53.4636</v>
      </c>
      <c r="G174" s="1">
        <f>[1]COMELC!C15/1000</f>
        <v>53.55</v>
      </c>
      <c r="H174" s="1">
        <f>[1]COMELC!D15/1000</f>
        <v>55.306879000000002</v>
      </c>
      <c r="I174" s="1">
        <f>[1]COMELC!E15/1000</f>
        <v>52.533881999999998</v>
      </c>
      <c r="J174" s="1">
        <v>1</v>
      </c>
      <c r="L174" s="1" t="s">
        <v>4</v>
      </c>
      <c r="M174" s="1" t="s">
        <v>102</v>
      </c>
      <c r="N174" s="1" t="s">
        <v>2</v>
      </c>
      <c r="O174" s="1" t="s">
        <v>40</v>
      </c>
      <c r="P174" s="1">
        <f t="shared" si="15"/>
        <v>52.394328000000002</v>
      </c>
      <c r="Q174" s="1">
        <f t="shared" si="14"/>
        <v>52.478999999999999</v>
      </c>
      <c r="R174" s="1">
        <f t="shared" si="14"/>
        <v>54.20074142</v>
      </c>
      <c r="S174" s="1">
        <f t="shared" si="14"/>
        <v>51.483204359999995</v>
      </c>
      <c r="T174" s="33">
        <v>0</v>
      </c>
      <c r="U174" s="1">
        <v>1</v>
      </c>
      <c r="W174" s="1" t="s">
        <v>4</v>
      </c>
      <c r="X174" s="1" t="s">
        <v>102</v>
      </c>
      <c r="Y174" s="1" t="s">
        <v>2</v>
      </c>
      <c r="Z174" s="1" t="s">
        <v>39</v>
      </c>
      <c r="AA174" s="1">
        <f t="shared" si="12"/>
        <v>54.532871999999998</v>
      </c>
      <c r="AB174" s="1">
        <f t="shared" si="12"/>
        <v>54.620999999999995</v>
      </c>
      <c r="AC174" s="1">
        <f t="shared" si="12"/>
        <v>56.413016580000004</v>
      </c>
      <c r="AD174" s="1">
        <f t="shared" si="12"/>
        <v>53.584559640000002</v>
      </c>
      <c r="AE174" s="28">
        <f>SUM($I$6,$I$34,$I$62,$I$90,$I$118,$I$146,$I$174,$I$202,$I$230,$I$258)</f>
        <v>110.98745699999999</v>
      </c>
      <c r="AF174" s="1">
        <v>1</v>
      </c>
    </row>
    <row r="175" spans="1:32" x14ac:dyDescent="0.25">
      <c r="B175" s="1" t="s">
        <v>5</v>
      </c>
      <c r="C175" s="1" t="s">
        <v>102</v>
      </c>
      <c r="D175" s="1" t="s">
        <v>2</v>
      </c>
      <c r="E175" s="1"/>
      <c r="F175" s="1">
        <f>[1]COMELC!B16/1000</f>
        <v>39.006</v>
      </c>
      <c r="G175" s="1">
        <f>[1]COMELC!C16/1000</f>
        <v>36.314028</v>
      </c>
      <c r="H175" s="1">
        <f>[1]COMELC!D16/1000</f>
        <v>32.649372</v>
      </c>
      <c r="I175" s="1">
        <f>[1]COMELC!E16/1000</f>
        <v>34.288232000000001</v>
      </c>
      <c r="J175" s="1">
        <v>1</v>
      </c>
      <c r="L175" s="1" t="s">
        <v>5</v>
      </c>
      <c r="M175" s="1" t="s">
        <v>102</v>
      </c>
      <c r="N175" s="1" t="s">
        <v>2</v>
      </c>
      <c r="O175" s="1" t="s">
        <v>40</v>
      </c>
      <c r="P175" s="1">
        <f t="shared" si="15"/>
        <v>38.225879999999997</v>
      </c>
      <c r="Q175" s="1">
        <f t="shared" si="14"/>
        <v>35.587747440000001</v>
      </c>
      <c r="R175" s="1">
        <f t="shared" si="14"/>
        <v>31.996384559999999</v>
      </c>
      <c r="S175" s="1">
        <f t="shared" si="14"/>
        <v>33.602467359999999</v>
      </c>
      <c r="T175" s="33">
        <v>0</v>
      </c>
      <c r="U175" s="1">
        <v>1</v>
      </c>
      <c r="W175" s="1" t="s">
        <v>5</v>
      </c>
      <c r="X175" s="1" t="s">
        <v>102</v>
      </c>
      <c r="Y175" s="1" t="s">
        <v>2</v>
      </c>
      <c r="Z175" s="1" t="s">
        <v>39</v>
      </c>
      <c r="AA175" s="1">
        <f t="shared" si="12"/>
        <v>39.786120000000004</v>
      </c>
      <c r="AB175" s="1">
        <f t="shared" si="12"/>
        <v>37.04030856</v>
      </c>
      <c r="AC175" s="1">
        <f t="shared" si="12"/>
        <v>33.302359440000004</v>
      </c>
      <c r="AD175" s="1">
        <f t="shared" si="12"/>
        <v>34.973996640000003</v>
      </c>
      <c r="AE175" s="28">
        <f>SUM($I$7,$I$35,$I$63,$I$91,$I$119,$I$147,$I$175,$I$203,$I$231,$I$259)</f>
        <v>78.733746999999994</v>
      </c>
      <c r="AF175" s="1">
        <v>1</v>
      </c>
    </row>
    <row r="176" spans="1:32" x14ac:dyDescent="0.25">
      <c r="B176" s="1" t="s">
        <v>6</v>
      </c>
      <c r="C176" s="1" t="s">
        <v>102</v>
      </c>
      <c r="D176" s="1" t="s">
        <v>2</v>
      </c>
      <c r="E176" s="1"/>
      <c r="F176" s="1">
        <f>[1]COMELC!B17/1000</f>
        <v>517.90319999999997</v>
      </c>
      <c r="G176" s="1">
        <f>[1]COMELC!C17/1000</f>
        <v>506.64959999999996</v>
      </c>
      <c r="H176" s="1">
        <f>[1]COMELC!D17/1000</f>
        <v>456.74640000000005</v>
      </c>
      <c r="I176" s="1">
        <f>[1]COMELC!E17/1000</f>
        <v>407.47920099999999</v>
      </c>
      <c r="J176" s="1">
        <v>1</v>
      </c>
      <c r="L176" s="1" t="s">
        <v>6</v>
      </c>
      <c r="M176" s="1" t="s">
        <v>102</v>
      </c>
      <c r="N176" s="1" t="s">
        <v>2</v>
      </c>
      <c r="O176" s="1" t="s">
        <v>40</v>
      </c>
      <c r="P176" s="1">
        <f>IF(ISBLANK(F176),":",0.98*F176)</f>
        <v>507.54513599999996</v>
      </c>
      <c r="Q176" s="1">
        <f t="shared" si="14"/>
        <v>496.51660799999996</v>
      </c>
      <c r="R176" s="1">
        <f t="shared" si="14"/>
        <v>447.61147200000005</v>
      </c>
      <c r="S176" s="1">
        <f t="shared" si="14"/>
        <v>399.32961697999997</v>
      </c>
      <c r="T176" s="33">
        <v>0</v>
      </c>
      <c r="U176" s="1">
        <v>1</v>
      </c>
      <c r="W176" s="1" t="s">
        <v>6</v>
      </c>
      <c r="X176" s="1" t="s">
        <v>102</v>
      </c>
      <c r="Y176" s="1" t="s">
        <v>2</v>
      </c>
      <c r="Z176" s="1" t="s">
        <v>39</v>
      </c>
      <c r="AA176" s="1">
        <f t="shared" si="12"/>
        <v>528.26126399999998</v>
      </c>
      <c r="AB176" s="1">
        <f t="shared" si="12"/>
        <v>516.78259200000002</v>
      </c>
      <c r="AC176" s="1">
        <f t="shared" si="12"/>
        <v>465.88132800000005</v>
      </c>
      <c r="AD176" s="1">
        <f t="shared" si="12"/>
        <v>415.62878502000001</v>
      </c>
      <c r="AE176" s="28">
        <f>SUM($I$8,$I$36,$I$64,$I$92,$I$120,$I$148,$I$176,$I$204,$I$232,$I$260)</f>
        <v>998.19450100000006</v>
      </c>
      <c r="AF176" s="1">
        <v>1</v>
      </c>
    </row>
    <row r="177" spans="2:32" x14ac:dyDescent="0.25">
      <c r="B177" s="1" t="s">
        <v>7</v>
      </c>
      <c r="C177" s="1" t="s">
        <v>102</v>
      </c>
      <c r="D177" s="1" t="s">
        <v>2</v>
      </c>
      <c r="E177" s="1"/>
      <c r="F177" s="1">
        <f>[1]COMELC!B18/1000</f>
        <v>9.0396000000000001</v>
      </c>
      <c r="G177" s="1">
        <f>[1]COMELC!C18/1000</f>
        <v>10.126799999999999</v>
      </c>
      <c r="H177" s="1">
        <f>[1]COMELC!D18/1000</f>
        <v>10.2456</v>
      </c>
      <c r="I177" s="1">
        <f>[1]COMELC!E18/1000</f>
        <v>6.6608860000000005</v>
      </c>
      <c r="J177" s="1">
        <v>1</v>
      </c>
      <c r="L177" s="1" t="s">
        <v>7</v>
      </c>
      <c r="M177" s="1" t="s">
        <v>102</v>
      </c>
      <c r="N177" s="1" t="s">
        <v>2</v>
      </c>
      <c r="O177" s="1" t="s">
        <v>40</v>
      </c>
      <c r="P177" s="1">
        <f t="shared" ref="P177:P191" si="16">IF(ISBLANK(F177),":",0.98*F177)</f>
        <v>8.8588079999999998</v>
      </c>
      <c r="Q177" s="1">
        <f t="shared" si="14"/>
        <v>9.9242639999999991</v>
      </c>
      <c r="R177" s="1">
        <f t="shared" si="14"/>
        <v>10.040687999999999</v>
      </c>
      <c r="S177" s="1">
        <f t="shared" si="14"/>
        <v>6.5276682800000003</v>
      </c>
      <c r="T177" s="33">
        <v>0</v>
      </c>
      <c r="U177" s="1">
        <v>1</v>
      </c>
      <c r="W177" s="1" t="s">
        <v>7</v>
      </c>
      <c r="X177" s="1" t="s">
        <v>102</v>
      </c>
      <c r="Y177" s="1" t="s">
        <v>2</v>
      </c>
      <c r="Z177" s="1" t="s">
        <v>39</v>
      </c>
      <c r="AA177" s="1">
        <f t="shared" si="12"/>
        <v>9.2203920000000004</v>
      </c>
      <c r="AB177" s="1">
        <f t="shared" si="12"/>
        <v>10.329336</v>
      </c>
      <c r="AC177" s="1">
        <f t="shared" si="12"/>
        <v>10.450512</v>
      </c>
      <c r="AD177" s="1">
        <f t="shared" si="12"/>
        <v>6.7941037200000007</v>
      </c>
      <c r="AE177" s="28">
        <f>SUM($I$9,$I$37,$I$65,$I$93,$I$121,$I$149,$I$177,$I$205,$I$233,$I$261)</f>
        <v>15.12316</v>
      </c>
      <c r="AF177" s="1">
        <v>1</v>
      </c>
    </row>
    <row r="178" spans="2:32" x14ac:dyDescent="0.25">
      <c r="B178" s="1" t="s">
        <v>8</v>
      </c>
      <c r="C178" s="1" t="s">
        <v>102</v>
      </c>
      <c r="D178" s="1" t="s">
        <v>2</v>
      </c>
      <c r="E178" s="1"/>
      <c r="F178" s="1">
        <f>[1]COMELC!B19/1000</f>
        <v>35.435786</v>
      </c>
      <c r="G178" s="1">
        <f>[1]COMELC!C19/1000</f>
        <v>38.827165999999998</v>
      </c>
      <c r="H178" s="1">
        <f>[1]COMELC!D19/1000</f>
        <v>45.006610000000002</v>
      </c>
      <c r="I178" s="1">
        <f>[1]COMELC!E19/1000</f>
        <v>57.360481</v>
      </c>
      <c r="J178" s="1">
        <v>1</v>
      </c>
      <c r="L178" s="1" t="s">
        <v>8</v>
      </c>
      <c r="M178" s="1" t="s">
        <v>102</v>
      </c>
      <c r="N178" s="1" t="s">
        <v>2</v>
      </c>
      <c r="O178" s="1" t="s">
        <v>40</v>
      </c>
      <c r="P178" s="1">
        <f t="shared" si="16"/>
        <v>34.72707028</v>
      </c>
      <c r="Q178" s="1">
        <f t="shared" si="14"/>
        <v>38.050622679999996</v>
      </c>
      <c r="R178" s="1">
        <f t="shared" si="14"/>
        <v>44.1064778</v>
      </c>
      <c r="S178" s="1">
        <f t="shared" si="14"/>
        <v>56.213271380000002</v>
      </c>
      <c r="T178" s="33">
        <v>0</v>
      </c>
      <c r="U178" s="1">
        <v>1</v>
      </c>
      <c r="W178" s="1" t="s">
        <v>8</v>
      </c>
      <c r="X178" s="1" t="s">
        <v>102</v>
      </c>
      <c r="Y178" s="1" t="s">
        <v>2</v>
      </c>
      <c r="Z178" s="1" t="s">
        <v>39</v>
      </c>
      <c r="AA178" s="1">
        <f t="shared" si="12"/>
        <v>36.144501720000001</v>
      </c>
      <c r="AB178" s="1">
        <f t="shared" si="12"/>
        <v>39.60370932</v>
      </c>
      <c r="AC178" s="1">
        <f t="shared" si="12"/>
        <v>45.906742200000004</v>
      </c>
      <c r="AD178" s="1">
        <f t="shared" si="12"/>
        <v>58.507690619999998</v>
      </c>
      <c r="AE178" s="28">
        <f>SUM(I$10,I$38,I$66,I$94,I$122,I$150,I$178,I$206,I$234,I$262)</f>
        <v>81.18795200000001</v>
      </c>
      <c r="AF178" s="1">
        <v>1</v>
      </c>
    </row>
    <row r="179" spans="2:32" x14ac:dyDescent="0.25">
      <c r="B179" s="1" t="s">
        <v>9</v>
      </c>
      <c r="C179" s="1" t="s">
        <v>102</v>
      </c>
      <c r="D179" s="1" t="s">
        <v>2</v>
      </c>
      <c r="E179" s="1"/>
      <c r="F179" s="1">
        <f>[1]COMELC!B20/1000</f>
        <v>64.8</v>
      </c>
      <c r="G179" s="1">
        <f>[1]COMELC!C20/1000</f>
        <v>64.533599999999993</v>
      </c>
      <c r="H179" s="1">
        <f>[1]COMELC!D20/1000</f>
        <v>56.203271999999998</v>
      </c>
      <c r="I179" s="1">
        <f>[1]COMELC!E20/1000</f>
        <v>61.115728000000004</v>
      </c>
      <c r="J179" s="1">
        <v>1</v>
      </c>
      <c r="L179" s="1" t="s">
        <v>9</v>
      </c>
      <c r="M179" s="1" t="s">
        <v>102</v>
      </c>
      <c r="N179" s="1" t="s">
        <v>2</v>
      </c>
      <c r="O179" s="1" t="s">
        <v>40</v>
      </c>
      <c r="P179" s="1">
        <f t="shared" si="16"/>
        <v>63.503999999999998</v>
      </c>
      <c r="Q179" s="1">
        <f t="shared" si="14"/>
        <v>63.242927999999992</v>
      </c>
      <c r="R179" s="1">
        <f t="shared" si="14"/>
        <v>55.079206559999996</v>
      </c>
      <c r="S179" s="1">
        <f t="shared" si="14"/>
        <v>59.893413440000003</v>
      </c>
      <c r="T179" s="33">
        <v>0</v>
      </c>
      <c r="U179" s="1">
        <v>1</v>
      </c>
      <c r="W179" s="1" t="s">
        <v>9</v>
      </c>
      <c r="X179" s="1" t="s">
        <v>102</v>
      </c>
      <c r="Y179" s="1" t="s">
        <v>2</v>
      </c>
      <c r="Z179" s="1" t="s">
        <v>39</v>
      </c>
      <c r="AA179" s="1">
        <f t="shared" si="12"/>
        <v>66.096000000000004</v>
      </c>
      <c r="AB179" s="1">
        <f t="shared" si="12"/>
        <v>65.824271999999993</v>
      </c>
      <c r="AC179" s="1">
        <f t="shared" si="12"/>
        <v>57.327337440000001</v>
      </c>
      <c r="AD179" s="1">
        <f t="shared" si="12"/>
        <v>62.338042560000005</v>
      </c>
      <c r="AE179" s="28">
        <f>SUM($I$11,$I$39,$I$67,$I$95,$I$123,$I$151,$I$179,$I$207,$I$235,$I$263)</f>
        <v>89.565158000000011</v>
      </c>
      <c r="AF179" s="1">
        <v>1</v>
      </c>
    </row>
    <row r="180" spans="2:32" x14ac:dyDescent="0.25">
      <c r="B180" s="1" t="s">
        <v>10</v>
      </c>
      <c r="C180" s="1" t="s">
        <v>102</v>
      </c>
      <c r="D180" s="1" t="s">
        <v>2</v>
      </c>
      <c r="E180" s="1"/>
      <c r="F180" s="1">
        <f>[1]COMELC!B21/1000</f>
        <v>302.01120000000003</v>
      </c>
      <c r="G180" s="1">
        <f>[1]COMELC!C21/1000</f>
        <v>266.78879999999998</v>
      </c>
      <c r="H180" s="1">
        <f>[1]COMELC!D21/1000</f>
        <v>242.03879999999998</v>
      </c>
      <c r="I180" s="1">
        <f>[1]COMELC!E21/1000</f>
        <v>261.54576000000003</v>
      </c>
      <c r="J180" s="1">
        <v>1</v>
      </c>
      <c r="L180" s="1" t="s">
        <v>10</v>
      </c>
      <c r="M180" s="1" t="s">
        <v>102</v>
      </c>
      <c r="N180" s="1" t="s">
        <v>2</v>
      </c>
      <c r="O180" s="1" t="s">
        <v>40</v>
      </c>
      <c r="P180" s="1">
        <f t="shared" si="16"/>
        <v>295.97097600000001</v>
      </c>
      <c r="Q180" s="1">
        <f t="shared" si="14"/>
        <v>261.45302399999997</v>
      </c>
      <c r="R180" s="1">
        <f t="shared" si="14"/>
        <v>237.19802399999998</v>
      </c>
      <c r="S180" s="1">
        <f t="shared" si="14"/>
        <v>256.3148448</v>
      </c>
      <c r="T180" s="33">
        <v>0</v>
      </c>
      <c r="U180" s="1">
        <v>1</v>
      </c>
      <c r="W180" s="1" t="s">
        <v>10</v>
      </c>
      <c r="X180" s="1" t="s">
        <v>102</v>
      </c>
      <c r="Y180" s="1" t="s">
        <v>2</v>
      </c>
      <c r="Z180" s="1" t="s">
        <v>39</v>
      </c>
      <c r="AA180" s="1">
        <f t="shared" si="12"/>
        <v>308.05142400000005</v>
      </c>
      <c r="AB180" s="1">
        <f t="shared" si="12"/>
        <v>272.12457599999999</v>
      </c>
      <c r="AC180" s="1">
        <f t="shared" si="12"/>
        <v>246.87957599999999</v>
      </c>
      <c r="AD180" s="1">
        <f t="shared" si="12"/>
        <v>266.77667520000006</v>
      </c>
      <c r="AE180" s="28">
        <f>SUM($I$12,$I$40,$I$68,$I$96,$I$124,$I$152,$I$180,$I$208,$I$236,$I$264)</f>
        <v>427.84543500000007</v>
      </c>
      <c r="AF180" s="1">
        <v>1</v>
      </c>
    </row>
    <row r="181" spans="2:32" x14ac:dyDescent="0.25">
      <c r="B181" s="1" t="s">
        <v>11</v>
      </c>
      <c r="C181" s="1" t="s">
        <v>102</v>
      </c>
      <c r="D181" s="1" t="s">
        <v>2</v>
      </c>
      <c r="E181" s="1"/>
      <c r="F181" s="1">
        <f>[1]COMELC!B22/1000</f>
        <v>520.79039999999998</v>
      </c>
      <c r="G181" s="1">
        <f>[1]COMELC!C22/1000</f>
        <v>508.89341899999999</v>
      </c>
      <c r="H181" s="1">
        <f>[1]COMELC!D22/1000</f>
        <v>455.33756199999999</v>
      </c>
      <c r="I181" s="1">
        <f>[1]COMELC!E22/1000</f>
        <v>444.78496100000001</v>
      </c>
      <c r="J181" s="1">
        <v>1</v>
      </c>
      <c r="L181" s="1" t="s">
        <v>11</v>
      </c>
      <c r="M181" s="1" t="s">
        <v>102</v>
      </c>
      <c r="N181" s="1" t="s">
        <v>2</v>
      </c>
      <c r="O181" s="1" t="s">
        <v>40</v>
      </c>
      <c r="P181" s="1">
        <f t="shared" si="16"/>
        <v>510.37459199999995</v>
      </c>
      <c r="Q181" s="1">
        <f t="shared" si="14"/>
        <v>498.71555061999999</v>
      </c>
      <c r="R181" s="1">
        <f t="shared" si="14"/>
        <v>446.23081076</v>
      </c>
      <c r="S181" s="1">
        <f t="shared" si="14"/>
        <v>435.88926178000003</v>
      </c>
      <c r="T181" s="33">
        <v>0</v>
      </c>
      <c r="U181" s="1">
        <v>1</v>
      </c>
      <c r="W181" s="1" t="s">
        <v>11</v>
      </c>
      <c r="X181" s="1" t="s">
        <v>102</v>
      </c>
      <c r="Y181" s="1" t="s">
        <v>2</v>
      </c>
      <c r="Z181" s="1" t="s">
        <v>39</v>
      </c>
      <c r="AA181" s="1">
        <f t="shared" si="12"/>
        <v>531.20620799999995</v>
      </c>
      <c r="AB181" s="1">
        <f t="shared" si="12"/>
        <v>519.07128738000006</v>
      </c>
      <c r="AC181" s="1">
        <f t="shared" si="12"/>
        <v>464.44431323999999</v>
      </c>
      <c r="AD181" s="1">
        <f t="shared" si="12"/>
        <v>453.68066021999999</v>
      </c>
      <c r="AE181" s="28">
        <f>SUM($I$13,$I$41,$I$69,$I$97,$I$125,$I$153,$I$181,$I$209,$I$237,$I$265)</f>
        <v>780.29733900000008</v>
      </c>
      <c r="AF181" s="1">
        <v>1</v>
      </c>
    </row>
    <row r="182" spans="2:32" x14ac:dyDescent="0.25">
      <c r="B182" s="1" t="s">
        <v>12</v>
      </c>
      <c r="C182" s="1" t="s">
        <v>102</v>
      </c>
      <c r="D182" s="1" t="s">
        <v>2</v>
      </c>
      <c r="E182" s="1"/>
      <c r="F182" s="1">
        <f>[1]COMELC!B23/1000</f>
        <v>19.101182000000001</v>
      </c>
      <c r="G182" s="1">
        <f>[1]COMELC!C23/1000</f>
        <v>19.172167000000002</v>
      </c>
      <c r="H182" s="1">
        <f>[1]COMELC!D23/1000</f>
        <v>18.54036</v>
      </c>
      <c r="I182" s="1">
        <f>[1]COMELC!E23/1000</f>
        <v>20.967839999999999</v>
      </c>
      <c r="J182" s="1">
        <v>1</v>
      </c>
      <c r="L182" s="1" t="s">
        <v>12</v>
      </c>
      <c r="M182" s="1" t="s">
        <v>102</v>
      </c>
      <c r="N182" s="1" t="s">
        <v>2</v>
      </c>
      <c r="O182" s="1" t="s">
        <v>40</v>
      </c>
      <c r="P182" s="1">
        <f t="shared" si="16"/>
        <v>18.719158360000002</v>
      </c>
      <c r="Q182" s="1">
        <f t="shared" si="14"/>
        <v>18.788723660000002</v>
      </c>
      <c r="R182" s="1">
        <f t="shared" si="14"/>
        <v>18.169552799999998</v>
      </c>
      <c r="S182" s="1">
        <f t="shared" si="14"/>
        <v>20.5484832</v>
      </c>
      <c r="T182" s="33">
        <v>0</v>
      </c>
      <c r="U182" s="1">
        <v>1</v>
      </c>
      <c r="W182" s="1" t="s">
        <v>12</v>
      </c>
      <c r="X182" s="1" t="s">
        <v>102</v>
      </c>
      <c r="Y182" s="1" t="s">
        <v>2</v>
      </c>
      <c r="Z182" s="1" t="s">
        <v>39</v>
      </c>
      <c r="AA182" s="1">
        <f t="shared" si="12"/>
        <v>19.483205640000001</v>
      </c>
      <c r="AB182" s="1">
        <f t="shared" si="12"/>
        <v>19.555610340000001</v>
      </c>
      <c r="AC182" s="1">
        <f t="shared" si="12"/>
        <v>18.911167200000001</v>
      </c>
      <c r="AD182" s="1">
        <f t="shared" si="12"/>
        <v>21.387196799999998</v>
      </c>
      <c r="AE182" s="28">
        <f>SUM($I$14,$I$42,$I$70,$I$98,$I$126,$I$154,$I$182,$I$210,$I$238,$I$266)</f>
        <v>32.639519</v>
      </c>
      <c r="AF182" s="1">
        <v>1</v>
      </c>
    </row>
    <row r="183" spans="2:32" x14ac:dyDescent="0.25">
      <c r="B183" s="1" t="s">
        <v>13</v>
      </c>
      <c r="C183" s="1" t="s">
        <v>102</v>
      </c>
      <c r="D183" s="1" t="s">
        <v>2</v>
      </c>
      <c r="E183" s="1"/>
      <c r="F183" s="1">
        <f>[1]COMELC!B24/1000</f>
        <v>308.22840000000002</v>
      </c>
      <c r="G183" s="1">
        <f>[1]COMELC!C24/1000</f>
        <v>331.50599999999997</v>
      </c>
      <c r="H183" s="1">
        <f>[1]COMELC!D24/1000</f>
        <v>270.93329599999998</v>
      </c>
      <c r="I183" s="1">
        <f>[1]COMELC!E24/1000</f>
        <v>336.35412400000001</v>
      </c>
      <c r="J183" s="1">
        <v>1</v>
      </c>
      <c r="L183" s="1" t="s">
        <v>13</v>
      </c>
      <c r="M183" s="1" t="s">
        <v>102</v>
      </c>
      <c r="N183" s="1" t="s">
        <v>2</v>
      </c>
      <c r="O183" s="1" t="s">
        <v>40</v>
      </c>
      <c r="P183" s="1">
        <f t="shared" si="16"/>
        <v>302.06383199999999</v>
      </c>
      <c r="Q183" s="1">
        <f t="shared" si="14"/>
        <v>324.87587999999994</v>
      </c>
      <c r="R183" s="1">
        <f t="shared" si="14"/>
        <v>265.51463007999996</v>
      </c>
      <c r="S183" s="1">
        <f t="shared" si="14"/>
        <v>329.62704152000003</v>
      </c>
      <c r="T183" s="33">
        <v>0</v>
      </c>
      <c r="U183" s="1">
        <v>1</v>
      </c>
      <c r="W183" s="1" t="s">
        <v>13</v>
      </c>
      <c r="X183" s="1" t="s">
        <v>102</v>
      </c>
      <c r="Y183" s="1" t="s">
        <v>2</v>
      </c>
      <c r="Z183" s="1" t="s">
        <v>39</v>
      </c>
      <c r="AA183" s="1">
        <f t="shared" si="12"/>
        <v>314.39296800000005</v>
      </c>
      <c r="AB183" s="1">
        <f t="shared" si="12"/>
        <v>338.13612000000001</v>
      </c>
      <c r="AC183" s="1">
        <f t="shared" si="12"/>
        <v>276.35196192000001</v>
      </c>
      <c r="AD183" s="1">
        <f t="shared" si="12"/>
        <v>343.08120647999999</v>
      </c>
      <c r="AE183" s="28">
        <f>SUM($I$15,$I$43,$I$71,$I$99,$I$127,$I$155,$I$183,$I$211,$I$239,$I$267)</f>
        <v>694.24554299999988</v>
      </c>
      <c r="AF183" s="1">
        <v>1</v>
      </c>
    </row>
    <row r="184" spans="2:32" x14ac:dyDescent="0.25">
      <c r="B184" s="1" t="s">
        <v>14</v>
      </c>
      <c r="C184" s="1" t="s">
        <v>102</v>
      </c>
      <c r="D184" s="1" t="s">
        <v>2</v>
      </c>
      <c r="E184" s="1"/>
      <c r="F184" s="1">
        <f>[1]COMELC!B25/1000</f>
        <v>8.122878</v>
      </c>
      <c r="G184" s="1">
        <f>[1]COMELC!C25/1000</f>
        <v>6.7911440000000001</v>
      </c>
      <c r="H184" s="1">
        <f>[1]COMELC!D25/1000</f>
        <v>6.4838300000000002</v>
      </c>
      <c r="I184" s="1">
        <f>[1]COMELC!E25/1000</f>
        <v>8.4675100000000008</v>
      </c>
      <c r="J184" s="1">
        <v>1</v>
      </c>
      <c r="L184" s="1" t="s">
        <v>14</v>
      </c>
      <c r="M184" s="1" t="s">
        <v>102</v>
      </c>
      <c r="N184" s="1" t="s">
        <v>2</v>
      </c>
      <c r="O184" s="1" t="s">
        <v>40</v>
      </c>
      <c r="P184" s="1">
        <f t="shared" si="16"/>
        <v>7.96042044</v>
      </c>
      <c r="Q184" s="1">
        <f t="shared" si="14"/>
        <v>6.65532112</v>
      </c>
      <c r="R184" s="1">
        <f t="shared" si="14"/>
        <v>6.3541534000000004</v>
      </c>
      <c r="S184" s="1">
        <f t="shared" si="14"/>
        <v>8.2981598000000005</v>
      </c>
      <c r="T184" s="33">
        <v>0</v>
      </c>
      <c r="U184" s="1">
        <v>1</v>
      </c>
      <c r="W184" s="1" t="s">
        <v>14</v>
      </c>
      <c r="X184" s="1" t="s">
        <v>102</v>
      </c>
      <c r="Y184" s="1" t="s">
        <v>2</v>
      </c>
      <c r="Z184" s="1" t="s">
        <v>39</v>
      </c>
      <c r="AA184" s="1">
        <f t="shared" si="12"/>
        <v>8.28533556</v>
      </c>
      <c r="AB184" s="1">
        <f t="shared" si="12"/>
        <v>6.9269668800000002</v>
      </c>
      <c r="AC184" s="1">
        <f t="shared" si="12"/>
        <v>6.6135066</v>
      </c>
      <c r="AD184" s="1">
        <f t="shared" si="12"/>
        <v>8.636860200000001</v>
      </c>
      <c r="AE184" s="28">
        <f>SUM($I$16,$I$44,$I$72,$I$100,$I$128,$I$156,$I$184,$I$212,$I$240,$I$268)</f>
        <v>12.063378</v>
      </c>
      <c r="AF184" s="1">
        <v>1</v>
      </c>
    </row>
    <row r="185" spans="2:32" x14ac:dyDescent="0.25">
      <c r="B185" s="1" t="s">
        <v>15</v>
      </c>
      <c r="C185" s="1" t="s">
        <v>102</v>
      </c>
      <c r="D185" s="1" t="s">
        <v>2</v>
      </c>
      <c r="E185" s="1"/>
      <c r="F185" s="1">
        <f>[1]COMELC!B26/1000</f>
        <v>8.7119999999999997</v>
      </c>
      <c r="G185" s="1">
        <f>[1]COMELC!C26/1000</f>
        <v>9.81</v>
      </c>
      <c r="H185" s="1">
        <f>[1]COMELC!D26/1000</f>
        <v>9.4249150000000004</v>
      </c>
      <c r="I185" s="1">
        <f>[1]COMELC!E26/1000</f>
        <v>9.2457940000000001</v>
      </c>
      <c r="J185" s="1">
        <v>1</v>
      </c>
      <c r="L185" s="1" t="s">
        <v>15</v>
      </c>
      <c r="M185" s="1" t="s">
        <v>102</v>
      </c>
      <c r="N185" s="1" t="s">
        <v>2</v>
      </c>
      <c r="O185" s="1" t="s">
        <v>40</v>
      </c>
      <c r="P185" s="1">
        <f t="shared" si="16"/>
        <v>8.5377600000000005</v>
      </c>
      <c r="Q185" s="1">
        <f t="shared" si="14"/>
        <v>9.6137999999999995</v>
      </c>
      <c r="R185" s="1">
        <f t="shared" si="14"/>
        <v>9.2364166999999995</v>
      </c>
      <c r="S185" s="1">
        <f t="shared" si="14"/>
        <v>9.0608781199999999</v>
      </c>
      <c r="T185" s="33">
        <v>0</v>
      </c>
      <c r="U185" s="1">
        <v>1</v>
      </c>
      <c r="W185" s="1" t="s">
        <v>15</v>
      </c>
      <c r="X185" s="1" t="s">
        <v>102</v>
      </c>
      <c r="Y185" s="1" t="s">
        <v>2</v>
      </c>
      <c r="Z185" s="1" t="s">
        <v>39</v>
      </c>
      <c r="AA185" s="1">
        <f t="shared" si="12"/>
        <v>8.886239999999999</v>
      </c>
      <c r="AB185" s="1">
        <f t="shared" si="12"/>
        <v>10.006200000000002</v>
      </c>
      <c r="AC185" s="1">
        <f t="shared" si="12"/>
        <v>9.6134133000000013</v>
      </c>
      <c r="AD185" s="1">
        <f t="shared" si="12"/>
        <v>9.4307098800000002</v>
      </c>
      <c r="AE185" s="28">
        <f>SUM($I$17,$I$45,$I$73,$I$101,$I$129,$I$157,$I$185,$I$213,$I$241,$I$269)</f>
        <v>22.533501999999999</v>
      </c>
      <c r="AF185" s="1">
        <v>1</v>
      </c>
    </row>
    <row r="186" spans="2:32" x14ac:dyDescent="0.25">
      <c r="B186" s="1" t="s">
        <v>16</v>
      </c>
      <c r="C186" s="1" t="s">
        <v>102</v>
      </c>
      <c r="D186" s="1" t="s">
        <v>2</v>
      </c>
      <c r="E186" s="1"/>
      <c r="F186" s="1">
        <f>[1]COMELC!B27/1000</f>
        <v>10.2204</v>
      </c>
      <c r="G186" s="1">
        <f>[1]COMELC!C27/1000</f>
        <v>11.196</v>
      </c>
      <c r="H186" s="1">
        <f>[1]COMELC!D27/1000</f>
        <v>11.883599999999999</v>
      </c>
      <c r="I186" s="1">
        <f>[1]COMELC!E27/1000</f>
        <v>12.22128</v>
      </c>
      <c r="J186" s="1">
        <v>1</v>
      </c>
      <c r="L186" s="1" t="s">
        <v>16</v>
      </c>
      <c r="M186" s="1" t="s">
        <v>102</v>
      </c>
      <c r="N186" s="1" t="s">
        <v>2</v>
      </c>
      <c r="O186" s="1" t="s">
        <v>40</v>
      </c>
      <c r="P186" s="1">
        <f t="shared" si="16"/>
        <v>10.015991999999999</v>
      </c>
      <c r="Q186" s="1">
        <f t="shared" si="14"/>
        <v>10.97208</v>
      </c>
      <c r="R186" s="1">
        <f t="shared" si="14"/>
        <v>11.645928</v>
      </c>
      <c r="S186" s="1">
        <f t="shared" si="14"/>
        <v>11.976854400000001</v>
      </c>
      <c r="T186" s="33">
        <v>0</v>
      </c>
      <c r="U186" s="1">
        <v>1</v>
      </c>
      <c r="W186" s="1" t="s">
        <v>16</v>
      </c>
      <c r="X186" s="1" t="s">
        <v>102</v>
      </c>
      <c r="Y186" s="1" t="s">
        <v>2</v>
      </c>
      <c r="Z186" s="1" t="s">
        <v>39</v>
      </c>
      <c r="AA186" s="1">
        <f t="shared" si="12"/>
        <v>10.424808000000001</v>
      </c>
      <c r="AB186" s="1">
        <f t="shared" si="12"/>
        <v>11.419919999999999</v>
      </c>
      <c r="AC186" s="1">
        <f t="shared" si="12"/>
        <v>12.121271999999999</v>
      </c>
      <c r="AD186" s="1">
        <f t="shared" si="12"/>
        <v>12.4657056</v>
      </c>
      <c r="AE186" s="28">
        <f>SUM($I$18,$I$46,$I$74,$I$102,$I$130,$I$158,$I$186,$I$214,$I$242,$I$270)</f>
        <v>25.619449000000003</v>
      </c>
      <c r="AF186" s="1">
        <v>1</v>
      </c>
    </row>
    <row r="187" spans="2:32" x14ac:dyDescent="0.25">
      <c r="B187" s="1" t="s">
        <v>17</v>
      </c>
      <c r="C187" s="1" t="s">
        <v>102</v>
      </c>
      <c r="D187" s="1" t="s">
        <v>2</v>
      </c>
      <c r="E187" s="1"/>
      <c r="F187" s="1">
        <f>[1]COMELC!B28/1000</f>
        <v>7.1767190000000003</v>
      </c>
      <c r="G187" s="1">
        <f>[1]COMELC!C28/1000</f>
        <v>6.8875669999999998</v>
      </c>
      <c r="H187" s="1">
        <f>[1]COMELC!D28/1000</f>
        <v>7.6881959999999996</v>
      </c>
      <c r="I187" s="1">
        <f>[1]COMELC!E28/1000</f>
        <v>7.0478680000000002</v>
      </c>
      <c r="J187" s="1">
        <v>1</v>
      </c>
      <c r="L187" s="1" t="s">
        <v>17</v>
      </c>
      <c r="M187" s="1" t="s">
        <v>102</v>
      </c>
      <c r="N187" s="1" t="s">
        <v>2</v>
      </c>
      <c r="O187" s="1" t="s">
        <v>40</v>
      </c>
      <c r="P187" s="1">
        <f t="shared" si="16"/>
        <v>7.0331846200000001</v>
      </c>
      <c r="Q187" s="1">
        <f t="shared" si="14"/>
        <v>6.7498156599999994</v>
      </c>
      <c r="R187" s="1">
        <f t="shared" si="14"/>
        <v>7.5344320799999993</v>
      </c>
      <c r="S187" s="1">
        <f t="shared" si="14"/>
        <v>6.9069106400000004</v>
      </c>
      <c r="T187" s="33">
        <v>0</v>
      </c>
      <c r="U187" s="1">
        <v>1</v>
      </c>
      <c r="W187" s="1" t="s">
        <v>17</v>
      </c>
      <c r="X187" s="1" t="s">
        <v>102</v>
      </c>
      <c r="Y187" s="1" t="s">
        <v>2</v>
      </c>
      <c r="Z187" s="1" t="s">
        <v>39</v>
      </c>
      <c r="AA187" s="1">
        <f t="shared" si="12"/>
        <v>7.3202533800000005</v>
      </c>
      <c r="AB187" s="1">
        <f t="shared" si="12"/>
        <v>7.0253183400000001</v>
      </c>
      <c r="AC187" s="1">
        <f t="shared" si="12"/>
        <v>7.8419599199999999</v>
      </c>
      <c r="AD187" s="1">
        <f t="shared" si="12"/>
        <v>7.1888253600000001</v>
      </c>
      <c r="AE187" s="28">
        <f>SUM($I$19,$I$47,$I$75,$I$103,$I$131,$I$159,$I$187,$I$215,$I$243,$I$271)</f>
        <v>18.465619999999998</v>
      </c>
      <c r="AF187" s="1">
        <v>1</v>
      </c>
    </row>
    <row r="188" spans="2:32" x14ac:dyDescent="0.25">
      <c r="B188" s="1" t="s">
        <v>18</v>
      </c>
      <c r="C188" s="1" t="s">
        <v>102</v>
      </c>
      <c r="D188" s="1" t="s">
        <v>2</v>
      </c>
      <c r="E188" s="1"/>
      <c r="F188" s="1">
        <f>[1]COMELC!B29/1000</f>
        <v>40.878</v>
      </c>
      <c r="G188" s="1">
        <f>[1]COMELC!C29/1000</f>
        <v>28.5732</v>
      </c>
      <c r="H188" s="1">
        <f>[1]COMELC!D29/1000</f>
        <v>28.6812</v>
      </c>
      <c r="I188" s="1">
        <f>[1]COMELC!E29/1000</f>
        <v>28.231200000000001</v>
      </c>
      <c r="J188" s="1">
        <v>1</v>
      </c>
      <c r="L188" s="1" t="s">
        <v>18</v>
      </c>
      <c r="M188" s="1" t="s">
        <v>102</v>
      </c>
      <c r="N188" s="1" t="s">
        <v>2</v>
      </c>
      <c r="O188" s="1" t="s">
        <v>40</v>
      </c>
      <c r="P188" s="1">
        <f t="shared" si="16"/>
        <v>40.06044</v>
      </c>
      <c r="Q188" s="1">
        <f t="shared" si="14"/>
        <v>28.001736000000001</v>
      </c>
      <c r="R188" s="1">
        <f t="shared" si="14"/>
        <v>28.107576000000002</v>
      </c>
      <c r="S188" s="1">
        <f t="shared" si="14"/>
        <v>27.666575999999999</v>
      </c>
      <c r="T188" s="33">
        <v>0</v>
      </c>
      <c r="U188" s="1">
        <v>1</v>
      </c>
      <c r="W188" s="1" t="s">
        <v>18</v>
      </c>
      <c r="X188" s="1" t="s">
        <v>102</v>
      </c>
      <c r="Y188" s="1" t="s">
        <v>2</v>
      </c>
      <c r="Z188" s="1" t="s">
        <v>39</v>
      </c>
      <c r="AA188" s="1">
        <f t="shared" si="12"/>
        <v>41.69556</v>
      </c>
      <c r="AB188" s="1">
        <f t="shared" si="12"/>
        <v>29.144663999999999</v>
      </c>
      <c r="AC188" s="1">
        <f t="shared" si="12"/>
        <v>29.254823999999999</v>
      </c>
      <c r="AD188" s="1">
        <f t="shared" si="12"/>
        <v>28.795824000000003</v>
      </c>
      <c r="AE188" s="28">
        <f>SUM($I$20,$I$48,$I$76,$I$104,$I$132,$I$160,$I$188,$I$216,$I$244,$I$272)</f>
        <v>68.587658000000005</v>
      </c>
      <c r="AF188" s="1">
        <v>1</v>
      </c>
    </row>
    <row r="189" spans="2:32" x14ac:dyDescent="0.25">
      <c r="B189" s="1" t="s">
        <v>20</v>
      </c>
      <c r="C189" s="1" t="s">
        <v>102</v>
      </c>
      <c r="D189" s="1" t="s">
        <v>2</v>
      </c>
      <c r="E189" s="1"/>
      <c r="F189" s="1">
        <f>[1]COMELC!B30/1000</f>
        <v>132.35760000000002</v>
      </c>
      <c r="G189" s="1">
        <f>[1]COMELC!C30/1000</f>
        <v>130.75314500000002</v>
      </c>
      <c r="H189" s="1">
        <f>[1]COMELC!D30/1000</f>
        <v>128.543969</v>
      </c>
      <c r="I189" s="1">
        <f>[1]COMELC!E30/1000</f>
        <v>133.93192300000001</v>
      </c>
      <c r="J189" s="1">
        <v>1</v>
      </c>
      <c r="L189" s="1" t="s">
        <v>20</v>
      </c>
      <c r="M189" s="1" t="s">
        <v>102</v>
      </c>
      <c r="N189" s="1" t="s">
        <v>2</v>
      </c>
      <c r="O189" s="1" t="s">
        <v>40</v>
      </c>
      <c r="P189" s="1">
        <f t="shared" si="16"/>
        <v>129.71044800000001</v>
      </c>
      <c r="Q189" s="1">
        <f t="shared" si="14"/>
        <v>128.13808210000002</v>
      </c>
      <c r="R189" s="1">
        <f t="shared" si="14"/>
        <v>125.97308962</v>
      </c>
      <c r="S189" s="1">
        <f t="shared" si="14"/>
        <v>131.25328454000001</v>
      </c>
      <c r="T189" s="33">
        <v>0</v>
      </c>
      <c r="U189" s="1">
        <v>1</v>
      </c>
      <c r="W189" s="1" t="s">
        <v>20</v>
      </c>
      <c r="X189" s="1" t="s">
        <v>102</v>
      </c>
      <c r="Y189" s="1" t="s">
        <v>2</v>
      </c>
      <c r="Z189" s="1" t="s">
        <v>39</v>
      </c>
      <c r="AA189" s="1">
        <f t="shared" si="12"/>
        <v>135.00475200000002</v>
      </c>
      <c r="AB189" s="1">
        <f t="shared" si="12"/>
        <v>133.36820790000002</v>
      </c>
      <c r="AC189" s="1">
        <f t="shared" si="12"/>
        <v>131.11484838000001</v>
      </c>
      <c r="AD189" s="1">
        <f t="shared" si="12"/>
        <v>136.61056146000001</v>
      </c>
      <c r="AE189" s="28">
        <f>SUM($I$21,$I$49,$I$77,$I$105,$I$133,$I$161,$I$189,$I$217,$I$245,$I$273)</f>
        <v>254.70966400000003</v>
      </c>
      <c r="AF189" s="1">
        <v>1</v>
      </c>
    </row>
    <row r="190" spans="2:32" x14ac:dyDescent="0.25">
      <c r="B190" s="1" t="s">
        <v>21</v>
      </c>
      <c r="C190" s="1" t="s">
        <v>102</v>
      </c>
      <c r="D190" s="1" t="s">
        <v>2</v>
      </c>
      <c r="E190" s="1"/>
      <c r="F190" s="1">
        <f>[1]COMELC!B31/1000</f>
        <v>42.571529999999996</v>
      </c>
      <c r="G190" s="1">
        <f>[1]COMELC!C31/1000</f>
        <v>44.484637999999997</v>
      </c>
      <c r="H190" s="1">
        <f>[1]COMELC!D31/1000</f>
        <v>41.105916000000001</v>
      </c>
      <c r="I190" s="1">
        <f>[1]COMELC!E31/1000</f>
        <v>40.642099000000002</v>
      </c>
      <c r="J190" s="1">
        <v>1</v>
      </c>
      <c r="L190" s="1" t="s">
        <v>21</v>
      </c>
      <c r="M190" s="1" t="s">
        <v>102</v>
      </c>
      <c r="N190" s="1" t="s">
        <v>2</v>
      </c>
      <c r="O190" s="1" t="s">
        <v>40</v>
      </c>
      <c r="P190" s="1">
        <f t="shared" si="16"/>
        <v>41.720099399999995</v>
      </c>
      <c r="Q190" s="1">
        <f t="shared" si="14"/>
        <v>43.594945239999994</v>
      </c>
      <c r="R190" s="1">
        <f t="shared" si="14"/>
        <v>40.283797679999999</v>
      </c>
      <c r="S190" s="1">
        <f t="shared" si="14"/>
        <v>39.82925702</v>
      </c>
      <c r="T190" s="33">
        <v>0</v>
      </c>
      <c r="U190" s="1">
        <v>1</v>
      </c>
      <c r="W190" s="1" t="s">
        <v>21</v>
      </c>
      <c r="X190" s="1" t="s">
        <v>102</v>
      </c>
      <c r="Y190" s="1" t="s">
        <v>2</v>
      </c>
      <c r="Z190" s="1" t="s">
        <v>39</v>
      </c>
      <c r="AA190" s="1">
        <f t="shared" si="12"/>
        <v>43.422960599999996</v>
      </c>
      <c r="AB190" s="1">
        <f t="shared" si="12"/>
        <v>45.374330759999999</v>
      </c>
      <c r="AC190" s="1">
        <f t="shared" si="12"/>
        <v>41.928034320000002</v>
      </c>
      <c r="AD190" s="1">
        <f t="shared" si="12"/>
        <v>41.454940980000003</v>
      </c>
      <c r="AE190" s="28">
        <f>SUM($I$22,$I$50,$I$78,$I$106,$I$134,$I$162,$I$190,$I$218,$I$246,$I$274)</f>
        <v>101.032432</v>
      </c>
      <c r="AF190" s="1">
        <v>1</v>
      </c>
    </row>
    <row r="191" spans="2:32" x14ac:dyDescent="0.25">
      <c r="B191" s="1" t="s">
        <v>22</v>
      </c>
      <c r="C191" s="1" t="s">
        <v>102</v>
      </c>
      <c r="D191" s="1" t="s">
        <v>2</v>
      </c>
      <c r="E191" s="1"/>
      <c r="F191" s="1">
        <f>[1]COMELC!B32/1000</f>
        <v>157.20839999999998</v>
      </c>
      <c r="G191" s="1">
        <f>[1]COMELC!C32/1000</f>
        <v>163.59343200000001</v>
      </c>
      <c r="H191" s="1">
        <f>[1]COMELC!D32/1000</f>
        <v>172.75702699999999</v>
      </c>
      <c r="I191" s="1">
        <f>[1]COMELC!E32/1000</f>
        <v>205.380832</v>
      </c>
      <c r="J191" s="1">
        <v>1</v>
      </c>
      <c r="L191" s="1" t="s">
        <v>22</v>
      </c>
      <c r="M191" s="1" t="s">
        <v>102</v>
      </c>
      <c r="N191" s="1" t="s">
        <v>2</v>
      </c>
      <c r="O191" s="1" t="s">
        <v>40</v>
      </c>
      <c r="P191" s="1">
        <f t="shared" si="16"/>
        <v>154.06423199999998</v>
      </c>
      <c r="Q191" s="1">
        <f t="shared" si="14"/>
        <v>160.32156336</v>
      </c>
      <c r="R191" s="1">
        <f t="shared" si="14"/>
        <v>169.30188645999999</v>
      </c>
      <c r="S191" s="1">
        <f t="shared" si="14"/>
        <v>201.27321535999999</v>
      </c>
      <c r="T191" s="33">
        <v>0</v>
      </c>
      <c r="U191" s="1">
        <v>1</v>
      </c>
      <c r="W191" s="1" t="s">
        <v>22</v>
      </c>
      <c r="X191" s="1" t="s">
        <v>102</v>
      </c>
      <c r="Y191" s="1" t="s">
        <v>2</v>
      </c>
      <c r="Z191" s="1" t="s">
        <v>39</v>
      </c>
      <c r="AA191" s="1">
        <f t="shared" si="12"/>
        <v>160.35256799999999</v>
      </c>
      <c r="AB191" s="1">
        <f t="shared" si="12"/>
        <v>166.86530064000002</v>
      </c>
      <c r="AC191" s="1">
        <f t="shared" si="12"/>
        <v>176.21216754</v>
      </c>
      <c r="AD191" s="1">
        <f t="shared" si="12"/>
        <v>209.48844864</v>
      </c>
      <c r="AE191" s="28">
        <f>SUM($I$23,$I$51,$I$79,$I$107,$I$135,$I$163,$I$191,$I$219,$I$247,$I$275)</f>
        <v>338.02420999999998</v>
      </c>
      <c r="AF191" s="1">
        <v>1</v>
      </c>
    </row>
    <row r="192" spans="2:32" x14ac:dyDescent="0.25">
      <c r="B192" s="1" t="s">
        <v>23</v>
      </c>
      <c r="C192" s="1" t="s">
        <v>102</v>
      </c>
      <c r="D192" s="1" t="s">
        <v>2</v>
      </c>
      <c r="E192" s="1"/>
      <c r="F192" s="1">
        <f>[1]COMELC!B33/1000</f>
        <v>59.029199999999996</v>
      </c>
      <c r="G192" s="1">
        <f>[1]COMELC!C33/1000</f>
        <v>61.894800000000004</v>
      </c>
      <c r="H192" s="1">
        <f>[1]COMELC!D33/1000</f>
        <v>54.137603000000006</v>
      </c>
      <c r="I192" s="1">
        <f>[1]COMELC!E33/1000</f>
        <v>59.966917000000002</v>
      </c>
      <c r="J192" s="1">
        <v>1</v>
      </c>
      <c r="L192" s="1" t="s">
        <v>23</v>
      </c>
      <c r="M192" s="1" t="s">
        <v>102</v>
      </c>
      <c r="N192" s="1" t="s">
        <v>2</v>
      </c>
      <c r="O192" s="1" t="s">
        <v>40</v>
      </c>
      <c r="P192" s="1">
        <f>IF(ISBLANK(F192),":",0.98*F192)</f>
        <v>57.848615999999993</v>
      </c>
      <c r="Q192" s="1">
        <f t="shared" si="14"/>
        <v>60.656904000000004</v>
      </c>
      <c r="R192" s="1">
        <f t="shared" si="14"/>
        <v>53.054850940000001</v>
      </c>
      <c r="S192" s="1">
        <f t="shared" si="14"/>
        <v>58.767578659999998</v>
      </c>
      <c r="T192" s="33">
        <v>0</v>
      </c>
      <c r="U192" s="1">
        <v>1</v>
      </c>
      <c r="W192" s="1" t="s">
        <v>23</v>
      </c>
      <c r="X192" s="1" t="s">
        <v>102</v>
      </c>
      <c r="Y192" s="1" t="s">
        <v>2</v>
      </c>
      <c r="Z192" s="1" t="s">
        <v>39</v>
      </c>
      <c r="AA192" s="1">
        <f t="shared" si="12"/>
        <v>60.209783999999999</v>
      </c>
      <c r="AB192" s="1">
        <f t="shared" si="12"/>
        <v>63.132696000000003</v>
      </c>
      <c r="AC192" s="1">
        <f t="shared" si="12"/>
        <v>55.22035506000001</v>
      </c>
      <c r="AD192" s="1">
        <f t="shared" si="12"/>
        <v>61.166255340000006</v>
      </c>
      <c r="AE192" s="28">
        <f>SUM($I$24,$I$52,$I$80,$I$108,$I$136,$I$164,$I$192,$I$220,$I$248,$I$276)</f>
        <v>100.75319400000001</v>
      </c>
      <c r="AF192" s="1">
        <v>1</v>
      </c>
    </row>
    <row r="193" spans="2:32" x14ac:dyDescent="0.25">
      <c r="B193" s="1" t="s">
        <v>24</v>
      </c>
      <c r="C193" s="1" t="s">
        <v>102</v>
      </c>
      <c r="D193" s="1" t="s">
        <v>2</v>
      </c>
      <c r="E193" s="1"/>
      <c r="F193" s="1">
        <f>[1]COMELC!B34/1000</f>
        <v>27.291599999999999</v>
      </c>
      <c r="G193" s="1">
        <f>[1]COMELC!C34/1000</f>
        <v>30.2652</v>
      </c>
      <c r="H193" s="1">
        <f>[1]COMELC!D34/1000</f>
        <v>30.737182000000001</v>
      </c>
      <c r="I193" s="1">
        <f>[1]COMELC!E34/1000</f>
        <v>36.909785000000007</v>
      </c>
      <c r="J193" s="1">
        <v>1</v>
      </c>
      <c r="L193" s="1" t="s">
        <v>24</v>
      </c>
      <c r="M193" s="1" t="s">
        <v>102</v>
      </c>
      <c r="N193" s="1" t="s">
        <v>2</v>
      </c>
      <c r="O193" s="1" t="s">
        <v>40</v>
      </c>
      <c r="P193" s="1">
        <f t="shared" ref="P193:P222" si="17">IF(ISBLANK(F193),":",0.98*F193)</f>
        <v>26.745767999999998</v>
      </c>
      <c r="Q193" s="1">
        <f t="shared" si="14"/>
        <v>29.659896</v>
      </c>
      <c r="R193" s="1">
        <f t="shared" si="14"/>
        <v>30.12243836</v>
      </c>
      <c r="S193" s="1">
        <f t="shared" si="14"/>
        <v>36.171589300000008</v>
      </c>
      <c r="T193" s="33">
        <v>0</v>
      </c>
      <c r="U193" s="1">
        <v>1</v>
      </c>
      <c r="W193" s="1" t="s">
        <v>24</v>
      </c>
      <c r="X193" s="1" t="s">
        <v>102</v>
      </c>
      <c r="Y193" s="1" t="s">
        <v>2</v>
      </c>
      <c r="Z193" s="1" t="s">
        <v>39</v>
      </c>
      <c r="AA193" s="1">
        <f t="shared" si="12"/>
        <v>27.837432</v>
      </c>
      <c r="AB193" s="1">
        <f t="shared" si="12"/>
        <v>30.870504</v>
      </c>
      <c r="AC193" s="1">
        <f t="shared" si="12"/>
        <v>31.351925640000001</v>
      </c>
      <c r="AD193" s="1">
        <f t="shared" si="12"/>
        <v>37.647980700000005</v>
      </c>
      <c r="AE193" s="28">
        <f>SUM($I$25,$I$53,$I$81,$I$109,$I$137,$I$165,$I$193,$I$221,$I$249,$I$277)</f>
        <v>85.709021000000007</v>
      </c>
      <c r="AF193" s="1">
        <v>1</v>
      </c>
    </row>
    <row r="194" spans="2:32" x14ac:dyDescent="0.25">
      <c r="B194" s="1" t="s">
        <v>25</v>
      </c>
      <c r="C194" s="1" t="s">
        <v>102</v>
      </c>
      <c r="D194" s="1" t="s">
        <v>2</v>
      </c>
      <c r="E194" s="1"/>
      <c r="F194" s="1">
        <f>[1]COMELC!B35/1000</f>
        <v>11.037600000000001</v>
      </c>
      <c r="G194" s="1">
        <f>[1]COMELC!C35/1000</f>
        <v>11.635200000000001</v>
      </c>
      <c r="H194" s="1">
        <f>[1]COMELC!D35/1000</f>
        <v>11.293987999999999</v>
      </c>
      <c r="I194" s="1">
        <f>[1]COMELC!E35/1000</f>
        <v>10.342861000000001</v>
      </c>
      <c r="J194" s="1">
        <v>1</v>
      </c>
      <c r="L194" s="1" t="s">
        <v>25</v>
      </c>
      <c r="M194" s="1" t="s">
        <v>102</v>
      </c>
      <c r="N194" s="1" t="s">
        <v>2</v>
      </c>
      <c r="O194" s="1" t="s">
        <v>40</v>
      </c>
      <c r="P194" s="1">
        <f t="shared" si="17"/>
        <v>10.816848</v>
      </c>
      <c r="Q194" s="1">
        <f t="shared" si="14"/>
        <v>11.402496000000001</v>
      </c>
      <c r="R194" s="1">
        <f t="shared" si="14"/>
        <v>11.068108239999999</v>
      </c>
      <c r="S194" s="1">
        <f t="shared" si="14"/>
        <v>10.136003780000001</v>
      </c>
      <c r="T194" s="33">
        <v>0</v>
      </c>
      <c r="U194" s="1">
        <v>1</v>
      </c>
      <c r="W194" s="1" t="s">
        <v>25</v>
      </c>
      <c r="X194" s="1" t="s">
        <v>102</v>
      </c>
      <c r="Y194" s="1" t="s">
        <v>2</v>
      </c>
      <c r="Z194" s="1" t="s">
        <v>39</v>
      </c>
      <c r="AA194" s="1">
        <f t="shared" si="12"/>
        <v>11.258352000000002</v>
      </c>
      <c r="AB194" s="1">
        <f t="shared" si="12"/>
        <v>11.867904000000001</v>
      </c>
      <c r="AC194" s="1">
        <f t="shared" si="12"/>
        <v>11.519867759999999</v>
      </c>
      <c r="AD194" s="1">
        <f t="shared" si="12"/>
        <v>10.549718220000001</v>
      </c>
      <c r="AE194" s="28">
        <f>SUM($I$26,$I$54,$I$82,$I$110,$I$138,$I$166,$I$194,$I$222,$I$250,$I$278)</f>
        <v>18.304008</v>
      </c>
      <c r="AF194" s="1">
        <v>1</v>
      </c>
    </row>
    <row r="195" spans="2:32" x14ac:dyDescent="0.25">
      <c r="B195" s="1" t="s">
        <v>26</v>
      </c>
      <c r="C195" s="1" t="s">
        <v>102</v>
      </c>
      <c r="D195" s="1" t="s">
        <v>2</v>
      </c>
      <c r="E195" s="1"/>
      <c r="F195" s="1">
        <f>[1]COMELC!B36/1000</f>
        <v>28.8504</v>
      </c>
      <c r="G195" s="1">
        <f>[1]COMELC!C36/1000</f>
        <v>24.717599999999997</v>
      </c>
      <c r="H195" s="1">
        <f>[1]COMELC!D36/1000</f>
        <v>24.0624</v>
      </c>
      <c r="I195" s="1">
        <f>[1]COMELC!E36/1000</f>
        <v>20.390400000000003</v>
      </c>
      <c r="J195" s="1">
        <v>1</v>
      </c>
      <c r="L195" s="1" t="s">
        <v>26</v>
      </c>
      <c r="M195" s="1" t="s">
        <v>102</v>
      </c>
      <c r="N195" s="1" t="s">
        <v>2</v>
      </c>
      <c r="O195" s="1" t="s">
        <v>40</v>
      </c>
      <c r="P195" s="1">
        <f t="shared" si="17"/>
        <v>28.273392000000001</v>
      </c>
      <c r="Q195" s="1">
        <f t="shared" si="14"/>
        <v>24.223247999999998</v>
      </c>
      <c r="R195" s="1">
        <f t="shared" si="14"/>
        <v>23.581151999999999</v>
      </c>
      <c r="S195" s="1">
        <f t="shared" si="14"/>
        <v>19.982592000000004</v>
      </c>
      <c r="T195" s="33">
        <v>0</v>
      </c>
      <c r="U195" s="1">
        <v>1</v>
      </c>
      <c r="W195" s="1" t="s">
        <v>26</v>
      </c>
      <c r="X195" s="1" t="s">
        <v>102</v>
      </c>
      <c r="Y195" s="1" t="s">
        <v>2</v>
      </c>
      <c r="Z195" s="1" t="s">
        <v>39</v>
      </c>
      <c r="AA195" s="1">
        <f t="shared" si="12"/>
        <v>29.427408</v>
      </c>
      <c r="AB195" s="1">
        <f t="shared" si="12"/>
        <v>25.211951999999997</v>
      </c>
      <c r="AC195" s="1">
        <f t="shared" si="12"/>
        <v>24.543648000000001</v>
      </c>
      <c r="AD195" s="1">
        <f t="shared" ref="AD195:AD258" si="18">IF(ISBLANK(I195),":",1.02*I195)</f>
        <v>20.798208000000002</v>
      </c>
      <c r="AE195" s="28">
        <f>SUM($I$27,$I$55,$I$83,$I$111,$I$139,$I$167,$I$195,$I$223,$I$251,$I$279)</f>
        <v>46.794905</v>
      </c>
      <c r="AF195" s="1">
        <v>1</v>
      </c>
    </row>
    <row r="196" spans="2:32" x14ac:dyDescent="0.25">
      <c r="B196" s="1" t="s">
        <v>27</v>
      </c>
      <c r="C196" s="1" t="s">
        <v>102</v>
      </c>
      <c r="D196" s="1" t="s">
        <v>2</v>
      </c>
      <c r="E196" s="1"/>
      <c r="F196" s="1">
        <f>[1]COMELC!B37/1000</f>
        <v>64.245599999999996</v>
      </c>
      <c r="G196" s="1">
        <f>[1]COMELC!C37/1000</f>
        <v>62.82</v>
      </c>
      <c r="H196" s="1">
        <f>[1]COMELC!D37/1000</f>
        <v>59.587199999999996</v>
      </c>
      <c r="I196" s="1">
        <f>[1]COMELC!E37/1000</f>
        <v>58.103999999999999</v>
      </c>
      <c r="J196" s="1">
        <v>1</v>
      </c>
      <c r="L196" s="1" t="s">
        <v>27</v>
      </c>
      <c r="M196" s="1" t="s">
        <v>102</v>
      </c>
      <c r="N196" s="1" t="s">
        <v>2</v>
      </c>
      <c r="O196" s="1" t="s">
        <v>40</v>
      </c>
      <c r="P196" s="1">
        <f t="shared" si="17"/>
        <v>62.960687999999998</v>
      </c>
      <c r="Q196" s="1">
        <f t="shared" si="14"/>
        <v>61.563600000000001</v>
      </c>
      <c r="R196" s="1">
        <f t="shared" si="14"/>
        <v>58.395455999999996</v>
      </c>
      <c r="S196" s="1">
        <f t="shared" si="14"/>
        <v>56.941919999999996</v>
      </c>
      <c r="T196" s="33">
        <v>0</v>
      </c>
      <c r="U196" s="1">
        <v>1</v>
      </c>
      <c r="W196" s="1" t="s">
        <v>27</v>
      </c>
      <c r="X196" s="1" t="s">
        <v>102</v>
      </c>
      <c r="Y196" s="1" t="s">
        <v>2</v>
      </c>
      <c r="Z196" s="1" t="s">
        <v>39</v>
      </c>
      <c r="AA196" s="1">
        <f t="shared" ref="AA196:AD259" si="19">IF(ISBLANK(F196),":",1.02*F196)</f>
        <v>65.530512000000002</v>
      </c>
      <c r="AB196" s="1">
        <f t="shared" si="19"/>
        <v>64.076400000000007</v>
      </c>
      <c r="AC196" s="1">
        <f t="shared" si="19"/>
        <v>60.778943999999996</v>
      </c>
      <c r="AD196" s="1">
        <f t="shared" si="18"/>
        <v>59.266080000000002</v>
      </c>
      <c r="AE196" s="28">
        <f>SUM($I$28,$I$56,$I$84,$I$112,$I$140,$I$168,$I$196,$I$224,$I$252,$I$280)</f>
        <v>121.343903</v>
      </c>
      <c r="AF196" s="1">
        <v>1</v>
      </c>
    </row>
    <row r="197" spans="2:32" x14ac:dyDescent="0.25">
      <c r="B197" s="1" t="s">
        <v>28</v>
      </c>
      <c r="C197" s="1" t="s">
        <v>102</v>
      </c>
      <c r="D197" s="1" t="s">
        <v>2</v>
      </c>
      <c r="E197" s="1"/>
      <c r="F197" s="1">
        <f>[1]COMELC!B38/1000</f>
        <v>97.873199999999997</v>
      </c>
      <c r="G197" s="1">
        <f>[1]COMELC!C38/1000</f>
        <v>99.849600000000009</v>
      </c>
      <c r="H197" s="1">
        <f>[1]COMELC!D38/1000</f>
        <v>105.21719999999999</v>
      </c>
      <c r="I197" s="1">
        <f>[1]COMELC!E38/1000</f>
        <v>108.7704</v>
      </c>
      <c r="J197" s="1">
        <v>1</v>
      </c>
      <c r="L197" s="1" t="s">
        <v>28</v>
      </c>
      <c r="M197" s="1" t="s">
        <v>102</v>
      </c>
      <c r="N197" s="1" t="s">
        <v>2</v>
      </c>
      <c r="O197" s="1" t="s">
        <v>40</v>
      </c>
      <c r="P197" s="1">
        <f t="shared" si="17"/>
        <v>95.915735999999995</v>
      </c>
      <c r="Q197" s="1">
        <f t="shared" si="14"/>
        <v>97.852608000000004</v>
      </c>
      <c r="R197" s="1">
        <f t="shared" si="14"/>
        <v>103.11285599999999</v>
      </c>
      <c r="S197" s="1">
        <f t="shared" si="14"/>
        <v>106.59499199999999</v>
      </c>
      <c r="T197" s="33">
        <v>0</v>
      </c>
      <c r="U197" s="1">
        <v>1</v>
      </c>
      <c r="W197" s="1" t="s">
        <v>28</v>
      </c>
      <c r="X197" s="1" t="s">
        <v>102</v>
      </c>
      <c r="Y197" s="1" t="s">
        <v>2</v>
      </c>
      <c r="Z197" s="1" t="s">
        <v>39</v>
      </c>
      <c r="AA197" s="1">
        <f t="shared" si="19"/>
        <v>99.830663999999999</v>
      </c>
      <c r="AB197" s="1">
        <f t="shared" si="19"/>
        <v>101.84659200000002</v>
      </c>
      <c r="AC197" s="1">
        <f t="shared" si="19"/>
        <v>107.32154399999999</v>
      </c>
      <c r="AD197" s="1">
        <f t="shared" si="18"/>
        <v>110.945808</v>
      </c>
      <c r="AE197" s="28">
        <f>SUM($I$29,$I$57,$I$85,$I$113,$I$141,$I$169,$I$197,$I$225,$I$253,$I$281)</f>
        <v>174.41146799999999</v>
      </c>
      <c r="AF197" s="1">
        <v>1</v>
      </c>
    </row>
    <row r="198" spans="2:32" x14ac:dyDescent="0.25">
      <c r="B198" s="1" t="s">
        <v>29</v>
      </c>
      <c r="C198" s="1" t="s">
        <v>102</v>
      </c>
      <c r="D198" s="1" t="s">
        <v>2</v>
      </c>
      <c r="E198" s="1"/>
      <c r="F198" s="1">
        <f>[1]COMELC!B39/1000</f>
        <v>95.646600000000007</v>
      </c>
      <c r="G198" s="1">
        <f>[1]COMELC!C39/1000</f>
        <v>90.539636000000002</v>
      </c>
      <c r="H198" s="1">
        <f>[1]COMELC!D39/1000</f>
        <v>91.103267000000002</v>
      </c>
      <c r="I198" s="1">
        <f>[1]COMELC!E39/1000</f>
        <v>90.366437000000005</v>
      </c>
      <c r="J198" s="1">
        <v>1</v>
      </c>
      <c r="L198" s="1" t="s">
        <v>29</v>
      </c>
      <c r="M198" s="1" t="s">
        <v>102</v>
      </c>
      <c r="N198" s="1" t="s">
        <v>2</v>
      </c>
      <c r="O198" s="1" t="s">
        <v>40</v>
      </c>
      <c r="P198" s="1">
        <f t="shared" si="17"/>
        <v>93.733668000000009</v>
      </c>
      <c r="Q198" s="1">
        <f t="shared" si="14"/>
        <v>88.728843280000007</v>
      </c>
      <c r="R198" s="1">
        <f t="shared" si="14"/>
        <v>89.281201660000008</v>
      </c>
      <c r="S198" s="1">
        <f t="shared" si="14"/>
        <v>88.559108260000002</v>
      </c>
      <c r="T198" s="33">
        <v>0</v>
      </c>
      <c r="U198" s="1">
        <v>1</v>
      </c>
      <c r="W198" s="1" t="s">
        <v>29</v>
      </c>
      <c r="X198" s="1" t="s">
        <v>102</v>
      </c>
      <c r="Y198" s="1" t="s">
        <v>2</v>
      </c>
      <c r="Z198" s="1" t="s">
        <v>39</v>
      </c>
      <c r="AA198" s="1">
        <f t="shared" si="19"/>
        <v>97.559532000000004</v>
      </c>
      <c r="AB198" s="1">
        <f t="shared" si="19"/>
        <v>92.350428719999996</v>
      </c>
      <c r="AC198" s="1">
        <f t="shared" si="19"/>
        <v>92.925332339999997</v>
      </c>
      <c r="AD198" s="1">
        <f t="shared" si="18"/>
        <v>92.173765740000007</v>
      </c>
      <c r="AE198" s="28">
        <f>SUM($I$30,$I$58,$I$86,$I$114,$I$142,$I$170,$I$198,$I$226,$I$254,$I$282)</f>
        <v>131.14785900000001</v>
      </c>
      <c r="AF198" s="1">
        <v>1</v>
      </c>
    </row>
    <row r="199" spans="2:32" x14ac:dyDescent="0.25">
      <c r="B199" s="1" t="s">
        <v>30</v>
      </c>
      <c r="C199" s="1" t="s">
        <v>102</v>
      </c>
      <c r="D199" s="1" t="s">
        <v>2</v>
      </c>
      <c r="E199" s="1"/>
      <c r="F199" s="1">
        <f>[1]COMELC!B40/1000</f>
        <v>350.53919999999999</v>
      </c>
      <c r="G199" s="1">
        <f>[1]COMELC!C40/1000</f>
        <v>338.919757</v>
      </c>
      <c r="H199" s="42">
        <f>C295</f>
        <v>274.67250192</v>
      </c>
      <c r="I199" s="42">
        <f>D295</f>
        <v>280.48503636000004</v>
      </c>
      <c r="J199" s="1">
        <v>1</v>
      </c>
      <c r="L199" s="1" t="s">
        <v>30</v>
      </c>
      <c r="M199" s="1" t="s">
        <v>102</v>
      </c>
      <c r="N199" s="1" t="s">
        <v>2</v>
      </c>
      <c r="O199" s="1" t="s">
        <v>40</v>
      </c>
      <c r="P199" s="1">
        <f t="shared" si="17"/>
        <v>343.52841599999999</v>
      </c>
      <c r="Q199" s="1">
        <f t="shared" si="14"/>
        <v>332.14136186000002</v>
      </c>
      <c r="R199" s="1">
        <f t="shared" si="14"/>
        <v>269.1790518816</v>
      </c>
      <c r="S199" s="1">
        <f t="shared" si="14"/>
        <v>274.87533563280005</v>
      </c>
      <c r="T199" s="33">
        <v>0</v>
      </c>
      <c r="U199" s="1">
        <v>1</v>
      </c>
      <c r="W199" s="1" t="s">
        <v>30</v>
      </c>
      <c r="X199" s="1" t="s">
        <v>102</v>
      </c>
      <c r="Y199" s="1" t="s">
        <v>2</v>
      </c>
      <c r="Z199" s="1" t="s">
        <v>39</v>
      </c>
      <c r="AA199" s="1">
        <f t="shared" si="19"/>
        <v>357.54998399999999</v>
      </c>
      <c r="AB199" s="1">
        <f t="shared" si="19"/>
        <v>345.69815213999999</v>
      </c>
      <c r="AC199" s="1">
        <f t="shared" si="19"/>
        <v>280.1659519584</v>
      </c>
      <c r="AD199" s="1">
        <f t="shared" si="18"/>
        <v>286.09473708720003</v>
      </c>
      <c r="AE199" s="28">
        <f>SUM($I$31,$I$59,$I$87,$I$115,$I$143,$I$171,$I$199,$I$227,$I$255,$I$283)</f>
        <v>698.48733743314938</v>
      </c>
      <c r="AF199" s="1">
        <v>1</v>
      </c>
    </row>
    <row r="200" spans="2:32" x14ac:dyDescent="0.25">
      <c r="B200" s="24" t="s">
        <v>0</v>
      </c>
      <c r="C200" s="24" t="s">
        <v>103</v>
      </c>
      <c r="D200" s="24" t="s">
        <v>2</v>
      </c>
      <c r="E200" s="24"/>
      <c r="F200" s="24">
        <f>[1]COMHET!B13/1000</f>
        <v>2.3564000000000003</v>
      </c>
      <c r="G200" s="24">
        <f>[1]COMHET!C13/1000</f>
        <v>2.8340999999999998</v>
      </c>
      <c r="H200" s="24">
        <f>[1]COMHET!D13/1000</f>
        <v>2.8128000000000002</v>
      </c>
      <c r="I200" s="24">
        <f>[1]COMHET!E13/1000</f>
        <v>3.5638000000000001</v>
      </c>
      <c r="J200" s="1">
        <v>1</v>
      </c>
      <c r="L200" s="1" t="s">
        <v>0</v>
      </c>
      <c r="M200" s="24" t="s">
        <v>103</v>
      </c>
      <c r="N200" s="1" t="s">
        <v>2</v>
      </c>
      <c r="O200" s="1" t="s">
        <v>40</v>
      </c>
      <c r="P200" s="1">
        <f t="shared" si="17"/>
        <v>2.3092720000000004</v>
      </c>
      <c r="Q200" s="1">
        <f t="shared" si="14"/>
        <v>2.7774179999999999</v>
      </c>
      <c r="R200" s="1">
        <f t="shared" si="14"/>
        <v>2.7565440000000003</v>
      </c>
      <c r="S200" s="1">
        <f t="shared" si="14"/>
        <v>3.492524</v>
      </c>
      <c r="T200" s="33">
        <v>0</v>
      </c>
      <c r="U200" s="1">
        <v>1</v>
      </c>
      <c r="W200" s="1" t="s">
        <v>0</v>
      </c>
      <c r="X200" s="24" t="s">
        <v>103</v>
      </c>
      <c r="Y200" s="1" t="s">
        <v>2</v>
      </c>
      <c r="Z200" s="1" t="s">
        <v>39</v>
      </c>
      <c r="AA200" s="1">
        <f t="shared" si="19"/>
        <v>2.4035280000000001</v>
      </c>
      <c r="AB200" s="1">
        <f t="shared" si="19"/>
        <v>2.8907819999999997</v>
      </c>
      <c r="AC200" s="1">
        <f t="shared" si="19"/>
        <v>2.8690560000000001</v>
      </c>
      <c r="AD200" s="1">
        <f t="shared" si="18"/>
        <v>3.6350760000000002</v>
      </c>
      <c r="AE200" s="28">
        <f>SUM($I$4,$I$32,$I$60,$I$88,$I$116,$I$144,$I$172,$I$200,$I$228,$I$256)</f>
        <v>159.04926399999999</v>
      </c>
      <c r="AF200" s="1">
        <v>1</v>
      </c>
    </row>
    <row r="201" spans="2:32" x14ac:dyDescent="0.25">
      <c r="B201" s="24" t="s">
        <v>3</v>
      </c>
      <c r="C201" s="24" t="s">
        <v>103</v>
      </c>
      <c r="D201" s="24" t="s">
        <v>2</v>
      </c>
      <c r="E201" s="24"/>
      <c r="F201" s="24">
        <f>[1]COMHET!B14/1000</f>
        <v>4.8029999999999999</v>
      </c>
      <c r="G201" s="24">
        <f>[1]COMHET!C14/1000</f>
        <v>4.7110000000000003</v>
      </c>
      <c r="H201" s="24">
        <f>[1]COMHET!D14/1000</f>
        <v>4.1238010000000003</v>
      </c>
      <c r="I201" s="24">
        <f>[1]COMHET!E14/1000</f>
        <v>5.0207820000000005</v>
      </c>
      <c r="J201" s="1">
        <v>1</v>
      </c>
      <c r="L201" s="1" t="s">
        <v>3</v>
      </c>
      <c r="M201" s="24" t="s">
        <v>103</v>
      </c>
      <c r="N201" s="1" t="s">
        <v>2</v>
      </c>
      <c r="O201" s="1" t="s">
        <v>40</v>
      </c>
      <c r="P201" s="1">
        <f t="shared" si="17"/>
        <v>4.7069399999999995</v>
      </c>
      <c r="Q201" s="1">
        <f t="shared" si="14"/>
        <v>4.6167800000000003</v>
      </c>
      <c r="R201" s="1">
        <f t="shared" si="14"/>
        <v>4.0413249800000006</v>
      </c>
      <c r="S201" s="1">
        <f t="shared" si="14"/>
        <v>4.92036636</v>
      </c>
      <c r="T201" s="33">
        <v>0</v>
      </c>
      <c r="U201" s="1">
        <v>1</v>
      </c>
      <c r="W201" s="1" t="s">
        <v>3</v>
      </c>
      <c r="X201" s="24" t="s">
        <v>103</v>
      </c>
      <c r="Y201" s="1" t="s">
        <v>2</v>
      </c>
      <c r="Z201" s="1" t="s">
        <v>39</v>
      </c>
      <c r="AA201" s="1">
        <f t="shared" si="19"/>
        <v>4.8990600000000004</v>
      </c>
      <c r="AB201" s="1">
        <f t="shared" si="19"/>
        <v>4.8052200000000003</v>
      </c>
      <c r="AC201" s="1">
        <f t="shared" si="19"/>
        <v>4.2062770199999999</v>
      </c>
      <c r="AD201" s="1">
        <f t="shared" si="18"/>
        <v>5.121197640000001</v>
      </c>
      <c r="AE201" s="28">
        <f>SUM($I$5,$I$33,$I$61,$I$89,$I$117,$I$145,$I$173,$I$201,$I$229,$I$257)</f>
        <v>52.687187999999992</v>
      </c>
      <c r="AF201" s="1">
        <v>1</v>
      </c>
    </row>
    <row r="202" spans="2:32" x14ac:dyDescent="0.25">
      <c r="B202" s="24" t="s">
        <v>4</v>
      </c>
      <c r="C202" s="24" t="s">
        <v>103</v>
      </c>
      <c r="D202" s="24" t="s">
        <v>2</v>
      </c>
      <c r="E202" s="24"/>
      <c r="F202" s="24">
        <f>[1]COMHET!B15/1000</f>
        <v>22.7</v>
      </c>
      <c r="G202" s="24">
        <f>[1]COMHET!C15/1000</f>
        <v>19.363</v>
      </c>
      <c r="H202" s="24">
        <f>[1]COMHET!D15/1000</f>
        <v>19.045622999999999</v>
      </c>
      <c r="I202" s="24">
        <f>[1]COMHET!E15/1000</f>
        <v>18.717080000000003</v>
      </c>
      <c r="J202" s="1">
        <v>1</v>
      </c>
      <c r="L202" s="1" t="s">
        <v>4</v>
      </c>
      <c r="M202" s="24" t="s">
        <v>103</v>
      </c>
      <c r="N202" s="1" t="s">
        <v>2</v>
      </c>
      <c r="O202" s="1" t="s">
        <v>40</v>
      </c>
      <c r="P202" s="1">
        <f t="shared" si="17"/>
        <v>22.245999999999999</v>
      </c>
      <c r="Q202" s="1">
        <f t="shared" si="14"/>
        <v>18.975739999999998</v>
      </c>
      <c r="R202" s="1">
        <f t="shared" si="14"/>
        <v>18.664710539999998</v>
      </c>
      <c r="S202" s="1">
        <f t="shared" si="14"/>
        <v>18.342738400000002</v>
      </c>
      <c r="T202" s="33">
        <v>0</v>
      </c>
      <c r="U202" s="1">
        <v>1</v>
      </c>
      <c r="W202" s="1" t="s">
        <v>4</v>
      </c>
      <c r="X202" s="24" t="s">
        <v>103</v>
      </c>
      <c r="Y202" s="1" t="s">
        <v>2</v>
      </c>
      <c r="Z202" s="1" t="s">
        <v>39</v>
      </c>
      <c r="AA202" s="1">
        <f t="shared" si="19"/>
        <v>23.154</v>
      </c>
      <c r="AB202" s="1">
        <f t="shared" si="19"/>
        <v>19.750260000000001</v>
      </c>
      <c r="AC202" s="1">
        <f t="shared" si="19"/>
        <v>19.42653546</v>
      </c>
      <c r="AD202" s="1">
        <f t="shared" si="18"/>
        <v>19.091421600000004</v>
      </c>
      <c r="AE202" s="28">
        <f>SUM($I$6,$I$34,$I$62,$I$90,$I$118,$I$146,$I$174,$I$202,$I$230,$I$258)</f>
        <v>110.98745699999999</v>
      </c>
      <c r="AF202" s="1">
        <v>1</v>
      </c>
    </row>
    <row r="203" spans="2:32" x14ac:dyDescent="0.25">
      <c r="B203" s="24" t="s">
        <v>5</v>
      </c>
      <c r="C203" s="24" t="s">
        <v>103</v>
      </c>
      <c r="D203" s="24" t="s">
        <v>2</v>
      </c>
      <c r="E203" s="24"/>
      <c r="F203" s="24">
        <f>[1]COMHET!B16/1000</f>
        <v>35.591999999999999</v>
      </c>
      <c r="G203" s="24">
        <f>[1]COMHET!C16/1000</f>
        <v>31.451487</v>
      </c>
      <c r="H203" s="24">
        <f>[1]COMHET!D16/1000</f>
        <v>30.868473999999999</v>
      </c>
      <c r="I203" s="24">
        <f>[1]COMHET!E16/1000</f>
        <v>32.281072000000002</v>
      </c>
      <c r="J203" s="1">
        <v>1</v>
      </c>
      <c r="L203" s="1" t="s">
        <v>5</v>
      </c>
      <c r="M203" s="24" t="s">
        <v>103</v>
      </c>
      <c r="N203" s="1" t="s">
        <v>2</v>
      </c>
      <c r="O203" s="1" t="s">
        <v>40</v>
      </c>
      <c r="P203" s="1">
        <f t="shared" si="17"/>
        <v>34.880159999999997</v>
      </c>
      <c r="Q203" s="1">
        <f t="shared" si="14"/>
        <v>30.82245726</v>
      </c>
      <c r="R203" s="1">
        <f t="shared" si="14"/>
        <v>30.251104519999998</v>
      </c>
      <c r="S203" s="1">
        <f t="shared" si="14"/>
        <v>31.635450560000002</v>
      </c>
      <c r="T203" s="33">
        <v>0</v>
      </c>
      <c r="U203" s="1">
        <v>1</v>
      </c>
      <c r="W203" s="1" t="s">
        <v>5</v>
      </c>
      <c r="X203" s="24" t="s">
        <v>103</v>
      </c>
      <c r="Y203" s="1" t="s">
        <v>2</v>
      </c>
      <c r="Z203" s="1" t="s">
        <v>39</v>
      </c>
      <c r="AA203" s="1">
        <f t="shared" si="19"/>
        <v>36.303840000000001</v>
      </c>
      <c r="AB203" s="1">
        <f t="shared" si="19"/>
        <v>32.08051674</v>
      </c>
      <c r="AC203" s="1">
        <f t="shared" si="19"/>
        <v>31.48584348</v>
      </c>
      <c r="AD203" s="1">
        <f t="shared" si="18"/>
        <v>32.926693440000001</v>
      </c>
      <c r="AE203" s="28">
        <f>SUM($I$7,$I$35,$I$63,$I$91,$I$119,$I$147,$I$175,$I$203,$I$231,$I$259)</f>
        <v>78.733746999999994</v>
      </c>
      <c r="AF203" s="1">
        <v>1</v>
      </c>
    </row>
    <row r="204" spans="2:32" x14ac:dyDescent="0.25">
      <c r="B204" s="24" t="s">
        <v>6</v>
      </c>
      <c r="C204" s="24" t="s">
        <v>103</v>
      </c>
      <c r="D204" s="24" t="s">
        <v>2</v>
      </c>
      <c r="E204" s="24"/>
      <c r="F204" s="24">
        <f>[1]COMHET!B17/1000</f>
        <v>136.24199999999999</v>
      </c>
      <c r="G204" s="24">
        <f>[1]COMHET!C17/1000</f>
        <v>57.843000000000004</v>
      </c>
      <c r="H204" s="24">
        <f>[1]COMHET!D17/1000</f>
        <v>44.530999999999999</v>
      </c>
      <c r="I204" s="24">
        <f>[1]COMHET!E17/1000</f>
        <v>60.886120000000005</v>
      </c>
      <c r="J204" s="1">
        <v>1</v>
      </c>
      <c r="L204" s="1" t="s">
        <v>6</v>
      </c>
      <c r="M204" s="24" t="s">
        <v>103</v>
      </c>
      <c r="N204" s="1" t="s">
        <v>2</v>
      </c>
      <c r="O204" s="1" t="s">
        <v>40</v>
      </c>
      <c r="P204" s="1">
        <f t="shared" si="17"/>
        <v>133.51715999999999</v>
      </c>
      <c r="Q204" s="1">
        <f t="shared" si="14"/>
        <v>56.686140000000002</v>
      </c>
      <c r="R204" s="1">
        <f t="shared" si="14"/>
        <v>43.64038</v>
      </c>
      <c r="S204" s="1">
        <f t="shared" si="14"/>
        <v>59.668397600000006</v>
      </c>
      <c r="T204" s="33">
        <v>0</v>
      </c>
      <c r="U204" s="1">
        <v>1</v>
      </c>
      <c r="W204" s="1" t="s">
        <v>6</v>
      </c>
      <c r="X204" s="24" t="s">
        <v>103</v>
      </c>
      <c r="Y204" s="1" t="s">
        <v>2</v>
      </c>
      <c r="Z204" s="1" t="s">
        <v>39</v>
      </c>
      <c r="AA204" s="1">
        <f t="shared" si="19"/>
        <v>138.96683999999999</v>
      </c>
      <c r="AB204" s="1">
        <f t="shared" si="19"/>
        <v>58.999860000000005</v>
      </c>
      <c r="AC204" s="1">
        <f t="shared" si="19"/>
        <v>45.421619999999997</v>
      </c>
      <c r="AD204" s="1">
        <f t="shared" si="18"/>
        <v>62.103842400000005</v>
      </c>
      <c r="AE204" s="28">
        <f>SUM($I$8,$I$36,$I$64,$I$92,$I$120,$I$148,$I$176,$I$204,$I$232,$I$260)</f>
        <v>998.19450100000006</v>
      </c>
      <c r="AF204" s="1">
        <v>1</v>
      </c>
    </row>
    <row r="205" spans="2:32" x14ac:dyDescent="0.25">
      <c r="B205" s="24" t="s">
        <v>7</v>
      </c>
      <c r="C205" s="24" t="s">
        <v>103</v>
      </c>
      <c r="D205" s="24" t="s">
        <v>2</v>
      </c>
      <c r="E205" s="24"/>
      <c r="F205" s="24">
        <f>[1]COMHET!B18/1000</f>
        <v>5.3890000000000002</v>
      </c>
      <c r="G205" s="24">
        <f>[1]COMHET!C18/1000</f>
        <v>4.5220000000000002</v>
      </c>
      <c r="H205" s="24">
        <f>[1]COMHET!D18/1000</f>
        <v>4.5999999999999996</v>
      </c>
      <c r="I205" s="24">
        <f>[1]COMHET!E18/1000</f>
        <v>5.3007039999999996</v>
      </c>
      <c r="J205" s="1">
        <v>1</v>
      </c>
      <c r="L205" s="1" t="s">
        <v>7</v>
      </c>
      <c r="M205" s="24" t="s">
        <v>103</v>
      </c>
      <c r="N205" s="1" t="s">
        <v>2</v>
      </c>
      <c r="O205" s="1" t="s">
        <v>40</v>
      </c>
      <c r="P205" s="1">
        <f t="shared" si="17"/>
        <v>5.2812200000000002</v>
      </c>
      <c r="Q205" s="1">
        <f t="shared" si="14"/>
        <v>4.4315600000000002</v>
      </c>
      <c r="R205" s="1">
        <f t="shared" si="14"/>
        <v>4.508</v>
      </c>
      <c r="S205" s="1">
        <f t="shared" si="14"/>
        <v>5.1946899199999992</v>
      </c>
      <c r="T205" s="33">
        <v>0</v>
      </c>
      <c r="U205" s="1">
        <v>1</v>
      </c>
      <c r="W205" s="1" t="s">
        <v>7</v>
      </c>
      <c r="X205" s="24" t="s">
        <v>103</v>
      </c>
      <c r="Y205" s="1" t="s">
        <v>2</v>
      </c>
      <c r="Z205" s="1" t="s">
        <v>39</v>
      </c>
      <c r="AA205" s="1">
        <f t="shared" si="19"/>
        <v>5.4967800000000002</v>
      </c>
      <c r="AB205" s="1">
        <f t="shared" si="19"/>
        <v>4.6124400000000003</v>
      </c>
      <c r="AC205" s="1">
        <f t="shared" si="19"/>
        <v>4.6919999999999993</v>
      </c>
      <c r="AD205" s="1">
        <f t="shared" si="18"/>
        <v>5.4067180800000001</v>
      </c>
      <c r="AE205" s="28">
        <f>SUM($I$9,$I$37,$I$65,$I$93,$I$121,$I$149,$I$177,$I$205,$I$233,$I$261)</f>
        <v>15.12316</v>
      </c>
      <c r="AF205" s="1">
        <v>1</v>
      </c>
    </row>
    <row r="206" spans="2:32" x14ac:dyDescent="0.25">
      <c r="B206" s="24" t="s">
        <v>8</v>
      </c>
      <c r="C206" s="24" t="s">
        <v>103</v>
      </c>
      <c r="D206" s="24" t="s">
        <v>2</v>
      </c>
      <c r="E206" s="24"/>
      <c r="F206" s="24">
        <f>[1]COMHET!B19/1000</f>
        <v>0</v>
      </c>
      <c r="G206" s="24">
        <f>[1]COMHET!C19/1000</f>
        <v>0</v>
      </c>
      <c r="H206" s="24">
        <f>[1]COMHET!D19/1000</f>
        <v>0</v>
      </c>
      <c r="I206" s="24">
        <f>[1]COMHET!E19/1000</f>
        <v>0</v>
      </c>
      <c r="J206" s="1">
        <v>1</v>
      </c>
      <c r="L206" s="1" t="s">
        <v>8</v>
      </c>
      <c r="M206" s="24" t="s">
        <v>103</v>
      </c>
      <c r="N206" s="1" t="s">
        <v>2</v>
      </c>
      <c r="O206" s="1" t="s">
        <v>40</v>
      </c>
      <c r="P206" s="1">
        <f t="shared" si="17"/>
        <v>0</v>
      </c>
      <c r="Q206" s="1">
        <f t="shared" si="14"/>
        <v>0</v>
      </c>
      <c r="R206" s="1">
        <f t="shared" si="14"/>
        <v>0</v>
      </c>
      <c r="S206" s="1">
        <f t="shared" si="14"/>
        <v>0</v>
      </c>
      <c r="T206" s="33">
        <v>0</v>
      </c>
      <c r="U206" s="1">
        <v>1</v>
      </c>
      <c r="W206" s="1" t="s">
        <v>8</v>
      </c>
      <c r="X206" s="24" t="s">
        <v>103</v>
      </c>
      <c r="Y206" s="1" t="s">
        <v>2</v>
      </c>
      <c r="Z206" s="1" t="s">
        <v>39</v>
      </c>
      <c r="AA206" s="1">
        <f t="shared" si="19"/>
        <v>0</v>
      </c>
      <c r="AB206" s="1">
        <f t="shared" si="19"/>
        <v>0</v>
      </c>
      <c r="AC206" s="1">
        <f t="shared" si="19"/>
        <v>0</v>
      </c>
      <c r="AD206" s="1">
        <f t="shared" si="18"/>
        <v>0</v>
      </c>
      <c r="AE206" s="28">
        <f>SUM(I$10,I$38,I$66,I$94,I$122,I$150,I$178,I$206,I$234,I$262)</f>
        <v>81.18795200000001</v>
      </c>
      <c r="AF206" s="1">
        <v>1</v>
      </c>
    </row>
    <row r="207" spans="2:32" x14ac:dyDescent="0.25">
      <c r="B207" s="24" t="s">
        <v>9</v>
      </c>
      <c r="C207" s="24" t="s">
        <v>103</v>
      </c>
      <c r="D207" s="24" t="s">
        <v>2</v>
      </c>
      <c r="E207" s="24"/>
      <c r="F207" s="24"/>
      <c r="G207" s="24"/>
      <c r="H207" s="24"/>
      <c r="I207" s="24"/>
      <c r="J207" s="1">
        <v>1</v>
      </c>
      <c r="L207" s="1" t="s">
        <v>9</v>
      </c>
      <c r="M207" s="24" t="s">
        <v>103</v>
      </c>
      <c r="N207" s="1" t="s">
        <v>2</v>
      </c>
      <c r="O207" s="1" t="s">
        <v>40</v>
      </c>
      <c r="P207" s="1" t="str">
        <f t="shared" si="17"/>
        <v>:</v>
      </c>
      <c r="Q207" s="1" t="str">
        <f t="shared" si="14"/>
        <v>:</v>
      </c>
      <c r="R207" s="1" t="str">
        <f t="shared" si="14"/>
        <v>:</v>
      </c>
      <c r="S207" s="1" t="str">
        <f t="shared" si="14"/>
        <v>:</v>
      </c>
      <c r="T207" s="33">
        <v>0</v>
      </c>
      <c r="U207" s="1">
        <v>1</v>
      </c>
      <c r="W207" s="1" t="s">
        <v>9</v>
      </c>
      <c r="X207" s="24" t="s">
        <v>103</v>
      </c>
      <c r="Y207" s="1" t="s">
        <v>2</v>
      </c>
      <c r="Z207" s="1" t="s">
        <v>39</v>
      </c>
      <c r="AA207" s="1" t="str">
        <f t="shared" si="19"/>
        <v>:</v>
      </c>
      <c r="AB207" s="1" t="str">
        <f t="shared" si="19"/>
        <v>:</v>
      </c>
      <c r="AC207" s="1" t="str">
        <f t="shared" si="19"/>
        <v>:</v>
      </c>
      <c r="AD207" s="1" t="str">
        <f t="shared" si="18"/>
        <v>:</v>
      </c>
      <c r="AE207" s="28">
        <f>SUM($I$11,$I$39,$I$67,$I$95,$I$123,$I$151,$I$179,$I$207,$I$235,$I$263)</f>
        <v>89.565158000000011</v>
      </c>
      <c r="AF207" s="1">
        <v>1</v>
      </c>
    </row>
    <row r="208" spans="2:32" x14ac:dyDescent="0.25">
      <c r="B208" s="24" t="s">
        <v>10</v>
      </c>
      <c r="C208" s="24" t="s">
        <v>103</v>
      </c>
      <c r="D208" s="24" t="s">
        <v>2</v>
      </c>
      <c r="E208" s="24"/>
      <c r="F208" s="24"/>
      <c r="G208" s="24"/>
      <c r="H208" s="24"/>
      <c r="I208" s="24"/>
      <c r="J208" s="1">
        <v>1</v>
      </c>
      <c r="L208" s="1" t="s">
        <v>10</v>
      </c>
      <c r="M208" s="24" t="s">
        <v>103</v>
      </c>
      <c r="N208" s="1" t="s">
        <v>2</v>
      </c>
      <c r="O208" s="1" t="s">
        <v>40</v>
      </c>
      <c r="P208" s="1" t="str">
        <f t="shared" si="17"/>
        <v>:</v>
      </c>
      <c r="Q208" s="1" t="str">
        <f t="shared" si="14"/>
        <v>:</v>
      </c>
      <c r="R208" s="1" t="str">
        <f t="shared" si="14"/>
        <v>:</v>
      </c>
      <c r="S208" s="1" t="str">
        <f t="shared" si="14"/>
        <v>:</v>
      </c>
      <c r="T208" s="33">
        <v>0</v>
      </c>
      <c r="U208" s="1">
        <v>1</v>
      </c>
      <c r="W208" s="1" t="s">
        <v>10</v>
      </c>
      <c r="X208" s="24" t="s">
        <v>103</v>
      </c>
      <c r="Y208" s="1" t="s">
        <v>2</v>
      </c>
      <c r="Z208" s="1" t="s">
        <v>39</v>
      </c>
      <c r="AA208" s="1" t="str">
        <f t="shared" si="19"/>
        <v>:</v>
      </c>
      <c r="AB208" s="1" t="str">
        <f t="shared" si="19"/>
        <v>:</v>
      </c>
      <c r="AC208" s="1" t="str">
        <f t="shared" si="19"/>
        <v>:</v>
      </c>
      <c r="AD208" s="1" t="str">
        <f t="shared" si="18"/>
        <v>:</v>
      </c>
      <c r="AE208" s="28">
        <f>SUM($I$12,$I$40,$I$68,$I$96,$I$124,$I$152,$I$180,$I$208,$I$236,$I$264)</f>
        <v>427.84543500000007</v>
      </c>
      <c r="AF208" s="1">
        <v>1</v>
      </c>
    </row>
    <row r="209" spans="2:32" x14ac:dyDescent="0.25">
      <c r="B209" s="24" t="s">
        <v>11</v>
      </c>
      <c r="C209" s="24" t="s">
        <v>103</v>
      </c>
      <c r="D209" s="24" t="s">
        <v>2</v>
      </c>
      <c r="E209" s="24"/>
      <c r="F209" s="24">
        <f>[1]COMHET!B22/1000</f>
        <v>31.658868999999999</v>
      </c>
      <c r="G209" s="24">
        <f>[1]COMHET!C22/1000</f>
        <v>29.805634999999999</v>
      </c>
      <c r="H209" s="24">
        <f>[1]COMHET!D22/1000</f>
        <v>34.318936000000001</v>
      </c>
      <c r="I209" s="24">
        <f>[1]COMHET!E22/1000</f>
        <v>32.904564000000001</v>
      </c>
      <c r="J209" s="1">
        <v>1</v>
      </c>
      <c r="L209" s="1" t="s">
        <v>11</v>
      </c>
      <c r="M209" s="24" t="s">
        <v>103</v>
      </c>
      <c r="N209" s="1" t="s">
        <v>2</v>
      </c>
      <c r="O209" s="1" t="s">
        <v>40</v>
      </c>
      <c r="P209" s="1">
        <f t="shared" si="17"/>
        <v>31.02569162</v>
      </c>
      <c r="Q209" s="1">
        <f t="shared" si="14"/>
        <v>29.2095223</v>
      </c>
      <c r="R209" s="1">
        <f t="shared" si="14"/>
        <v>33.63255728</v>
      </c>
      <c r="S209" s="1">
        <f t="shared" si="14"/>
        <v>32.24647272</v>
      </c>
      <c r="T209" s="33">
        <v>0</v>
      </c>
      <c r="U209" s="1">
        <v>1</v>
      </c>
      <c r="W209" s="1" t="s">
        <v>11</v>
      </c>
      <c r="X209" s="24" t="s">
        <v>103</v>
      </c>
      <c r="Y209" s="1" t="s">
        <v>2</v>
      </c>
      <c r="Z209" s="1" t="s">
        <v>39</v>
      </c>
      <c r="AA209" s="1">
        <f t="shared" si="19"/>
        <v>32.292046380000002</v>
      </c>
      <c r="AB209" s="1">
        <f t="shared" si="19"/>
        <v>30.401747699999998</v>
      </c>
      <c r="AC209" s="1">
        <f t="shared" si="19"/>
        <v>35.005314720000001</v>
      </c>
      <c r="AD209" s="1">
        <f t="shared" si="18"/>
        <v>33.562655280000001</v>
      </c>
      <c r="AE209" s="28">
        <f>SUM($I$13,$I$41,$I$69,$I$97,$I$125,$I$153,$I$181,$I$209,$I$237,$I$265)</f>
        <v>780.29733900000008</v>
      </c>
      <c r="AF209" s="1">
        <v>1</v>
      </c>
    </row>
    <row r="210" spans="2:32" x14ac:dyDescent="0.25">
      <c r="B210" s="24" t="s">
        <v>12</v>
      </c>
      <c r="C210" s="24" t="s">
        <v>103</v>
      </c>
      <c r="D210" s="24" t="s">
        <v>2</v>
      </c>
      <c r="E210" s="24"/>
      <c r="F210" s="24">
        <f>[1]COMHET!B23/1000</f>
        <v>3.0521060000000002</v>
      </c>
      <c r="G210" s="24">
        <f>[1]COMHET!C23/1000</f>
        <v>2.520607</v>
      </c>
      <c r="H210" s="24">
        <f>[1]COMHET!D23/1000</f>
        <v>2.4838</v>
      </c>
      <c r="I210" s="24">
        <f>[1]COMHET!E23/1000</f>
        <v>2.3620000000000001</v>
      </c>
      <c r="J210" s="1">
        <v>1</v>
      </c>
      <c r="L210" s="1" t="s">
        <v>12</v>
      </c>
      <c r="M210" s="24" t="s">
        <v>103</v>
      </c>
      <c r="N210" s="1" t="s">
        <v>2</v>
      </c>
      <c r="O210" s="1" t="s">
        <v>40</v>
      </c>
      <c r="P210" s="1">
        <f t="shared" si="17"/>
        <v>2.99106388</v>
      </c>
      <c r="Q210" s="1">
        <f t="shared" si="14"/>
        <v>2.4701948599999999</v>
      </c>
      <c r="R210" s="1">
        <f t="shared" si="14"/>
        <v>2.4341240000000002</v>
      </c>
      <c r="S210" s="1">
        <f t="shared" si="14"/>
        <v>2.3147600000000002</v>
      </c>
      <c r="T210" s="33">
        <v>0</v>
      </c>
      <c r="U210" s="1">
        <v>1</v>
      </c>
      <c r="W210" s="1" t="s">
        <v>12</v>
      </c>
      <c r="X210" s="24" t="s">
        <v>103</v>
      </c>
      <c r="Y210" s="1" t="s">
        <v>2</v>
      </c>
      <c r="Z210" s="1" t="s">
        <v>39</v>
      </c>
      <c r="AA210" s="1">
        <f t="shared" si="19"/>
        <v>3.1131481200000004</v>
      </c>
      <c r="AB210" s="1">
        <f t="shared" si="19"/>
        <v>2.5710191400000002</v>
      </c>
      <c r="AC210" s="1">
        <f t="shared" si="19"/>
        <v>2.5334759999999998</v>
      </c>
      <c r="AD210" s="1">
        <f t="shared" si="18"/>
        <v>2.40924</v>
      </c>
      <c r="AE210" s="28">
        <f>SUM($I$14,$I$42,$I$70,$I$98,$I$126,$I$154,$I$182,$I$210,$I$238,$I$266)</f>
        <v>32.639519</v>
      </c>
      <c r="AF210" s="1">
        <v>1</v>
      </c>
    </row>
    <row r="211" spans="2:32" x14ac:dyDescent="0.25">
      <c r="B211" s="24" t="s">
        <v>13</v>
      </c>
      <c r="C211" s="24" t="s">
        <v>103</v>
      </c>
      <c r="D211" s="24" t="s">
        <v>2</v>
      </c>
      <c r="E211" s="24"/>
      <c r="F211" s="24">
        <f>[1]COMHET!B24/1000</f>
        <v>2.0649999999999999</v>
      </c>
      <c r="G211" s="24">
        <f>[1]COMHET!C24/1000</f>
        <v>9.2590000000000003</v>
      </c>
      <c r="H211" s="24">
        <f>[1]COMHET!D24/1000</f>
        <v>12.261520000000001</v>
      </c>
      <c r="I211" s="24">
        <f>[1]COMHET!E24/1000</f>
        <v>10.624263000000001</v>
      </c>
      <c r="J211" s="1">
        <v>1</v>
      </c>
      <c r="L211" s="1" t="s">
        <v>13</v>
      </c>
      <c r="M211" s="24" t="s">
        <v>103</v>
      </c>
      <c r="N211" s="1" t="s">
        <v>2</v>
      </c>
      <c r="O211" s="1" t="s">
        <v>40</v>
      </c>
      <c r="P211" s="1">
        <f t="shared" si="17"/>
        <v>2.0236999999999998</v>
      </c>
      <c r="Q211" s="1">
        <f t="shared" si="14"/>
        <v>9.0738199999999996</v>
      </c>
      <c r="R211" s="1">
        <f t="shared" si="14"/>
        <v>12.0162896</v>
      </c>
      <c r="S211" s="1">
        <f t="shared" si="14"/>
        <v>10.411777740000002</v>
      </c>
      <c r="T211" s="33">
        <v>0</v>
      </c>
      <c r="U211" s="1">
        <v>1</v>
      </c>
      <c r="W211" s="1" t="s">
        <v>13</v>
      </c>
      <c r="X211" s="24" t="s">
        <v>103</v>
      </c>
      <c r="Y211" s="1" t="s">
        <v>2</v>
      </c>
      <c r="Z211" s="1" t="s">
        <v>39</v>
      </c>
      <c r="AA211" s="1">
        <f t="shared" si="19"/>
        <v>2.1063000000000001</v>
      </c>
      <c r="AB211" s="1">
        <f t="shared" si="19"/>
        <v>9.4441800000000011</v>
      </c>
      <c r="AC211" s="1">
        <f t="shared" si="19"/>
        <v>12.506750400000001</v>
      </c>
      <c r="AD211" s="1">
        <f t="shared" si="18"/>
        <v>10.83674826</v>
      </c>
      <c r="AE211" s="28">
        <f>SUM($I$15,$I$43,$I$71,$I$99,$I$127,$I$155,$I$183,$I$211,$I$239,$I$267)</f>
        <v>694.24554299999988</v>
      </c>
      <c r="AF211" s="1">
        <v>1</v>
      </c>
    </row>
    <row r="212" spans="2:32" x14ac:dyDescent="0.25">
      <c r="B212" s="24" t="s">
        <v>14</v>
      </c>
      <c r="C212" s="24" t="s">
        <v>103</v>
      </c>
      <c r="D212" s="24" t="s">
        <v>2</v>
      </c>
      <c r="E212" s="24"/>
      <c r="F212" s="24">
        <f>[1]COMHET!B25/1000</f>
        <v>0</v>
      </c>
      <c r="G212" s="24">
        <f>[1]COMHET!C25/1000</f>
        <v>0</v>
      </c>
      <c r="H212" s="24">
        <f>[1]COMHET!D25/1000</f>
        <v>0</v>
      </c>
      <c r="I212" s="24">
        <f>[1]COMHET!E25/1000</f>
        <v>0</v>
      </c>
      <c r="J212" s="1">
        <v>1</v>
      </c>
      <c r="L212" s="1" t="s">
        <v>14</v>
      </c>
      <c r="M212" s="24" t="s">
        <v>103</v>
      </c>
      <c r="N212" s="1" t="s">
        <v>2</v>
      </c>
      <c r="O212" s="1" t="s">
        <v>40</v>
      </c>
      <c r="P212" s="1">
        <f t="shared" si="17"/>
        <v>0</v>
      </c>
      <c r="Q212" s="1">
        <f t="shared" si="14"/>
        <v>0</v>
      </c>
      <c r="R212" s="1">
        <f t="shared" si="14"/>
        <v>0</v>
      </c>
      <c r="S212" s="1">
        <f t="shared" si="14"/>
        <v>0</v>
      </c>
      <c r="T212" s="33">
        <v>0</v>
      </c>
      <c r="U212" s="1">
        <v>1</v>
      </c>
      <c r="W212" s="1" t="s">
        <v>14</v>
      </c>
      <c r="X212" s="24" t="s">
        <v>103</v>
      </c>
      <c r="Y212" s="1" t="s">
        <v>2</v>
      </c>
      <c r="Z212" s="1" t="s">
        <v>39</v>
      </c>
      <c r="AA212" s="1">
        <f t="shared" si="19"/>
        <v>0</v>
      </c>
      <c r="AB212" s="1">
        <f t="shared" si="19"/>
        <v>0</v>
      </c>
      <c r="AC212" s="1">
        <f t="shared" si="19"/>
        <v>0</v>
      </c>
      <c r="AD212" s="1">
        <f t="shared" si="18"/>
        <v>0</v>
      </c>
      <c r="AE212" s="28">
        <f>SUM($I$16,$I$44,$I$72,$I$100,$I$128,$I$156,$I$184,$I$212,$I$240,$I$268)</f>
        <v>12.063378</v>
      </c>
      <c r="AF212" s="1">
        <v>1</v>
      </c>
    </row>
    <row r="213" spans="2:32" x14ac:dyDescent="0.25">
      <c r="B213" s="24" t="s">
        <v>15</v>
      </c>
      <c r="C213" s="24" t="s">
        <v>103</v>
      </c>
      <c r="D213" s="24" t="s">
        <v>2</v>
      </c>
      <c r="E213" s="24"/>
      <c r="F213" s="24">
        <f>[1]COMHET!B26/1000</f>
        <v>5.7130000000000001</v>
      </c>
      <c r="G213" s="24">
        <f>[1]COMHET!C26/1000</f>
        <v>5.226</v>
      </c>
      <c r="H213" s="24">
        <f>[1]COMHET!D26/1000</f>
        <v>5.3680349999999999</v>
      </c>
      <c r="I213" s="24">
        <f>[1]COMHET!E26/1000</f>
        <v>4.7572089999999996</v>
      </c>
      <c r="J213" s="1">
        <v>1</v>
      </c>
      <c r="L213" s="1" t="s">
        <v>15</v>
      </c>
      <c r="M213" s="24" t="s">
        <v>103</v>
      </c>
      <c r="N213" s="1" t="s">
        <v>2</v>
      </c>
      <c r="O213" s="1" t="s">
        <v>40</v>
      </c>
      <c r="P213" s="1">
        <f t="shared" si="17"/>
        <v>5.5987400000000003</v>
      </c>
      <c r="Q213" s="1">
        <f t="shared" si="14"/>
        <v>5.12148</v>
      </c>
      <c r="R213" s="1">
        <f t="shared" si="14"/>
        <v>5.2606742999999998</v>
      </c>
      <c r="S213" s="1">
        <f t="shared" si="14"/>
        <v>4.6620648199999994</v>
      </c>
      <c r="T213" s="33">
        <v>0</v>
      </c>
      <c r="U213" s="1">
        <v>1</v>
      </c>
      <c r="W213" s="1" t="s">
        <v>15</v>
      </c>
      <c r="X213" s="24" t="s">
        <v>103</v>
      </c>
      <c r="Y213" s="1" t="s">
        <v>2</v>
      </c>
      <c r="Z213" s="1" t="s">
        <v>39</v>
      </c>
      <c r="AA213" s="1">
        <f t="shared" si="19"/>
        <v>5.8272599999999999</v>
      </c>
      <c r="AB213" s="1">
        <f t="shared" si="19"/>
        <v>5.3305199999999999</v>
      </c>
      <c r="AC213" s="1">
        <f t="shared" si="19"/>
        <v>5.4753957</v>
      </c>
      <c r="AD213" s="1">
        <f t="shared" si="18"/>
        <v>4.8523531799999997</v>
      </c>
      <c r="AE213" s="28">
        <f>SUM($I$17,$I$45,$I$73,$I$101,$I$129,$I$157,$I$185,$I$213,$I$241,$I$269)</f>
        <v>22.533501999999999</v>
      </c>
      <c r="AF213" s="1">
        <v>1</v>
      </c>
    </row>
    <row r="214" spans="2:32" x14ac:dyDescent="0.25">
      <c r="B214" s="24" t="s">
        <v>16</v>
      </c>
      <c r="C214" s="24" t="s">
        <v>103</v>
      </c>
      <c r="D214" s="24" t="s">
        <v>2</v>
      </c>
      <c r="E214" s="24"/>
      <c r="F214" s="24">
        <f>[1]COMHET!B27/1000</f>
        <v>8.5969999999999995</v>
      </c>
      <c r="G214" s="24">
        <f>[1]COMHET!C27/1000</f>
        <v>7.298</v>
      </c>
      <c r="H214" s="24">
        <f>[1]COMHET!D27/1000</f>
        <v>6.6079999999999997</v>
      </c>
      <c r="I214" s="24">
        <f>[1]COMHET!E27/1000</f>
        <v>7.2119999999999997</v>
      </c>
      <c r="J214" s="1">
        <v>1</v>
      </c>
      <c r="L214" s="1" t="s">
        <v>16</v>
      </c>
      <c r="M214" s="24" t="s">
        <v>103</v>
      </c>
      <c r="N214" s="1" t="s">
        <v>2</v>
      </c>
      <c r="O214" s="1" t="s">
        <v>40</v>
      </c>
      <c r="P214" s="1">
        <f t="shared" si="17"/>
        <v>8.4250600000000002</v>
      </c>
      <c r="Q214" s="1">
        <f t="shared" si="14"/>
        <v>7.1520399999999995</v>
      </c>
      <c r="R214" s="1">
        <f t="shared" si="14"/>
        <v>6.4758399999999998</v>
      </c>
      <c r="S214" s="1">
        <f t="shared" si="14"/>
        <v>7.0677599999999998</v>
      </c>
      <c r="T214" s="33">
        <v>0</v>
      </c>
      <c r="U214" s="1">
        <v>1</v>
      </c>
      <c r="W214" s="1" t="s">
        <v>16</v>
      </c>
      <c r="X214" s="24" t="s">
        <v>103</v>
      </c>
      <c r="Y214" s="1" t="s">
        <v>2</v>
      </c>
      <c r="Z214" s="1" t="s">
        <v>39</v>
      </c>
      <c r="AA214" s="1">
        <f t="shared" si="19"/>
        <v>8.7689399999999988</v>
      </c>
      <c r="AB214" s="1">
        <f t="shared" si="19"/>
        <v>7.4439600000000006</v>
      </c>
      <c r="AC214" s="1">
        <f t="shared" si="19"/>
        <v>6.7401599999999995</v>
      </c>
      <c r="AD214" s="1">
        <f t="shared" si="18"/>
        <v>7.3562399999999997</v>
      </c>
      <c r="AE214" s="28">
        <f>SUM($I$18,$I$46,$I$74,$I$102,$I$130,$I$158,$I$186,$I$214,$I$242,$I$270)</f>
        <v>25.619449000000003</v>
      </c>
      <c r="AF214" s="1">
        <v>1</v>
      </c>
    </row>
    <row r="215" spans="2:32" x14ac:dyDescent="0.25">
      <c r="B215" s="24" t="s">
        <v>17</v>
      </c>
      <c r="C215" s="24" t="s">
        <v>103</v>
      </c>
      <c r="D215" s="24" t="s">
        <v>2</v>
      </c>
      <c r="E215" s="24"/>
      <c r="F215" s="24">
        <f>[1]COMHET!B28/1000</f>
        <v>2.4323299999999999</v>
      </c>
      <c r="G215" s="24">
        <f>[1]COMHET!C28/1000</f>
        <v>2.1316799999999998</v>
      </c>
      <c r="H215" s="24">
        <f>[1]COMHET!D28/1000</f>
        <v>4.9387100000000004</v>
      </c>
      <c r="I215" s="24">
        <f>[1]COMHET!E28/1000</f>
        <v>4.3667939999999996</v>
      </c>
      <c r="J215" s="1">
        <v>1</v>
      </c>
      <c r="L215" s="1" t="s">
        <v>17</v>
      </c>
      <c r="M215" s="24" t="s">
        <v>103</v>
      </c>
      <c r="N215" s="1" t="s">
        <v>2</v>
      </c>
      <c r="O215" s="1" t="s">
        <v>40</v>
      </c>
      <c r="P215" s="1">
        <f t="shared" si="17"/>
        <v>2.3836833999999998</v>
      </c>
      <c r="Q215" s="1">
        <f t="shared" si="14"/>
        <v>2.0890464</v>
      </c>
      <c r="R215" s="1">
        <f t="shared" si="14"/>
        <v>4.8399358000000001</v>
      </c>
      <c r="S215" s="1">
        <f t="shared" si="14"/>
        <v>4.2794581199999993</v>
      </c>
      <c r="T215" s="33">
        <v>0</v>
      </c>
      <c r="U215" s="1">
        <v>1</v>
      </c>
      <c r="W215" s="1" t="s">
        <v>17</v>
      </c>
      <c r="X215" s="24" t="s">
        <v>103</v>
      </c>
      <c r="Y215" s="1" t="s">
        <v>2</v>
      </c>
      <c r="Z215" s="1" t="s">
        <v>39</v>
      </c>
      <c r="AA215" s="1">
        <f t="shared" si="19"/>
        <v>2.4809766</v>
      </c>
      <c r="AB215" s="1">
        <f t="shared" si="19"/>
        <v>2.1743135999999996</v>
      </c>
      <c r="AC215" s="1">
        <f t="shared" si="19"/>
        <v>5.0374842000000006</v>
      </c>
      <c r="AD215" s="1">
        <f t="shared" si="18"/>
        <v>4.45412988</v>
      </c>
      <c r="AE215" s="28">
        <f>SUM($I$19,$I$47,$I$75,$I$103,$I$131,$I$159,$I$187,$I$215,$I$243,$I$271)</f>
        <v>18.465619999999998</v>
      </c>
      <c r="AF215" s="1">
        <v>1</v>
      </c>
    </row>
    <row r="216" spans="2:32" x14ac:dyDescent="0.25">
      <c r="B216" s="24" t="s">
        <v>18</v>
      </c>
      <c r="C216" s="24" t="s">
        <v>103</v>
      </c>
      <c r="D216" s="24" t="s">
        <v>2</v>
      </c>
      <c r="E216" s="24"/>
      <c r="F216" s="24">
        <f>[1]COMHET!B29/1000</f>
        <v>9.1820000000000004</v>
      </c>
      <c r="G216" s="24">
        <f>[1]COMHET!C29/1000</f>
        <v>6.7080000000000002</v>
      </c>
      <c r="H216" s="24">
        <f>[1]COMHET!D29/1000</f>
        <v>6.6280000000000001</v>
      </c>
      <c r="I216" s="24">
        <f>[1]COMHET!E29/1000</f>
        <v>4.7549999999999999</v>
      </c>
      <c r="J216" s="1">
        <v>1</v>
      </c>
      <c r="L216" s="1" t="s">
        <v>18</v>
      </c>
      <c r="M216" s="24" t="s">
        <v>103</v>
      </c>
      <c r="N216" s="1" t="s">
        <v>2</v>
      </c>
      <c r="O216" s="1" t="s">
        <v>40</v>
      </c>
      <c r="P216" s="1">
        <f t="shared" si="17"/>
        <v>8.9983599999999999</v>
      </c>
      <c r="Q216" s="1">
        <f t="shared" si="14"/>
        <v>6.5738399999999997</v>
      </c>
      <c r="R216" s="1">
        <f t="shared" si="14"/>
        <v>6.4954400000000003</v>
      </c>
      <c r="S216" s="1">
        <f t="shared" si="14"/>
        <v>4.6598999999999995</v>
      </c>
      <c r="T216" s="33">
        <v>0</v>
      </c>
      <c r="U216" s="1">
        <v>1</v>
      </c>
      <c r="W216" s="1" t="s">
        <v>18</v>
      </c>
      <c r="X216" s="24" t="s">
        <v>103</v>
      </c>
      <c r="Y216" s="1" t="s">
        <v>2</v>
      </c>
      <c r="Z216" s="1" t="s">
        <v>39</v>
      </c>
      <c r="AA216" s="1">
        <f t="shared" si="19"/>
        <v>9.3656400000000009</v>
      </c>
      <c r="AB216" s="1">
        <f t="shared" si="19"/>
        <v>6.8421600000000007</v>
      </c>
      <c r="AC216" s="1">
        <f t="shared" si="19"/>
        <v>6.7605599999999999</v>
      </c>
      <c r="AD216" s="1">
        <f t="shared" si="18"/>
        <v>4.8501000000000003</v>
      </c>
      <c r="AE216" s="28">
        <f>SUM($I$20,$I$48,$I$76,$I$104,$I$132,$I$160,$I$188,$I$216,$I$244,$I$272)</f>
        <v>68.587658000000005</v>
      </c>
      <c r="AF216" s="1">
        <v>1</v>
      </c>
    </row>
    <row r="217" spans="2:32" x14ac:dyDescent="0.25">
      <c r="B217" s="24" t="s">
        <v>20</v>
      </c>
      <c r="C217" s="24" t="s">
        <v>103</v>
      </c>
      <c r="D217" s="24" t="s">
        <v>2</v>
      </c>
      <c r="E217" s="24"/>
      <c r="F217" s="24">
        <f>[1]COMHET!B30/1000</f>
        <v>12.82</v>
      </c>
      <c r="G217" s="24">
        <f>[1]COMHET!C30/1000</f>
        <v>5.8973770000000005</v>
      </c>
      <c r="H217" s="24">
        <f>[1]COMHET!D30/1000</f>
        <v>9.2310099999999995</v>
      </c>
      <c r="I217" s="24">
        <f>[1]COMHET!E30/1000</f>
        <v>8.4642999999999997</v>
      </c>
      <c r="J217" s="1">
        <v>1</v>
      </c>
      <c r="L217" s="1" t="s">
        <v>20</v>
      </c>
      <c r="M217" s="24" t="s">
        <v>103</v>
      </c>
      <c r="N217" s="1" t="s">
        <v>2</v>
      </c>
      <c r="O217" s="1" t="s">
        <v>40</v>
      </c>
      <c r="P217" s="1">
        <f t="shared" si="17"/>
        <v>12.563599999999999</v>
      </c>
      <c r="Q217" s="1">
        <f t="shared" si="14"/>
        <v>5.7794294600000002</v>
      </c>
      <c r="R217" s="1">
        <f t="shared" si="14"/>
        <v>9.0463898</v>
      </c>
      <c r="S217" s="1">
        <f t="shared" si="14"/>
        <v>8.2950140000000001</v>
      </c>
      <c r="T217" s="33">
        <v>0</v>
      </c>
      <c r="U217" s="1">
        <v>1</v>
      </c>
      <c r="W217" s="1" t="s">
        <v>20</v>
      </c>
      <c r="X217" s="24" t="s">
        <v>103</v>
      </c>
      <c r="Y217" s="1" t="s">
        <v>2</v>
      </c>
      <c r="Z217" s="1" t="s">
        <v>39</v>
      </c>
      <c r="AA217" s="1">
        <f t="shared" si="19"/>
        <v>13.076400000000001</v>
      </c>
      <c r="AB217" s="1">
        <f t="shared" si="19"/>
        <v>6.0153245400000008</v>
      </c>
      <c r="AC217" s="1">
        <f t="shared" si="19"/>
        <v>9.415630199999999</v>
      </c>
      <c r="AD217" s="1">
        <f t="shared" si="18"/>
        <v>8.6335859999999993</v>
      </c>
      <c r="AE217" s="28">
        <f>SUM($I$21,$I$49,$I$77,$I$105,$I$133,$I$161,$I$189,$I$217,$I$245,$I$273)</f>
        <v>254.70966400000003</v>
      </c>
      <c r="AF217" s="1">
        <v>1</v>
      </c>
    </row>
    <row r="218" spans="2:32" x14ac:dyDescent="0.25">
      <c r="B218" s="24" t="s">
        <v>21</v>
      </c>
      <c r="C218" s="24" t="s">
        <v>103</v>
      </c>
      <c r="D218" s="24" t="s">
        <v>2</v>
      </c>
      <c r="E218" s="24"/>
      <c r="F218" s="24">
        <f>[1]COMHET!B31/1000</f>
        <v>30.867238</v>
      </c>
      <c r="G218" s="24">
        <f>[1]COMHET!C31/1000</f>
        <v>27.224857</v>
      </c>
      <c r="H218" s="24">
        <f>[1]COMHET!D31/1000</f>
        <v>26.61675</v>
      </c>
      <c r="I218" s="24">
        <f>[1]COMHET!E31/1000</f>
        <v>26.925208999999999</v>
      </c>
      <c r="J218" s="1">
        <v>1</v>
      </c>
      <c r="L218" s="1" t="s">
        <v>21</v>
      </c>
      <c r="M218" s="24" t="s">
        <v>103</v>
      </c>
      <c r="N218" s="1" t="s">
        <v>2</v>
      </c>
      <c r="O218" s="1" t="s">
        <v>40</v>
      </c>
      <c r="P218" s="1">
        <f t="shared" si="17"/>
        <v>30.249893239999999</v>
      </c>
      <c r="Q218" s="1">
        <f t="shared" si="14"/>
        <v>26.680359859999999</v>
      </c>
      <c r="R218" s="1">
        <f t="shared" si="14"/>
        <v>26.084415</v>
      </c>
      <c r="S218" s="1">
        <f t="shared" si="14"/>
        <v>26.386704819999999</v>
      </c>
      <c r="T218" s="33">
        <v>0</v>
      </c>
      <c r="U218" s="1">
        <v>1</v>
      </c>
      <c r="W218" s="1" t="s">
        <v>21</v>
      </c>
      <c r="X218" s="24" t="s">
        <v>103</v>
      </c>
      <c r="Y218" s="1" t="s">
        <v>2</v>
      </c>
      <c r="Z218" s="1" t="s">
        <v>39</v>
      </c>
      <c r="AA218" s="1">
        <f t="shared" si="19"/>
        <v>31.484582760000002</v>
      </c>
      <c r="AB218" s="1">
        <f t="shared" si="19"/>
        <v>27.769354140000001</v>
      </c>
      <c r="AC218" s="1">
        <f t="shared" si="19"/>
        <v>27.149084999999999</v>
      </c>
      <c r="AD218" s="1">
        <f t="shared" si="18"/>
        <v>27.463713179999999</v>
      </c>
      <c r="AE218" s="28">
        <f>SUM($I$22,$I$50,$I$78,$I$106,$I$134,$I$162,$I$190,$I$218,$I$246,$I$274)</f>
        <v>101.032432</v>
      </c>
      <c r="AF218" s="1">
        <v>1</v>
      </c>
    </row>
    <row r="219" spans="2:32" x14ac:dyDescent="0.25">
      <c r="B219" s="24" t="s">
        <v>22</v>
      </c>
      <c r="C219" s="24" t="s">
        <v>103</v>
      </c>
      <c r="D219" s="24" t="s">
        <v>2</v>
      </c>
      <c r="E219" s="24"/>
      <c r="F219" s="24">
        <f>[1]COMHET!B32/1000</f>
        <v>49.959000000000003</v>
      </c>
      <c r="G219" s="24">
        <f>[1]COMHET!C32/1000</f>
        <v>37.634</v>
      </c>
      <c r="H219" s="24">
        <f>[1]COMHET!D32/1000</f>
        <v>45.703368000000005</v>
      </c>
      <c r="I219" s="24">
        <f>[1]COMHET!E32/1000</f>
        <v>40.291311999999998</v>
      </c>
      <c r="J219" s="1">
        <v>1</v>
      </c>
      <c r="L219" s="1" t="s">
        <v>22</v>
      </c>
      <c r="M219" s="24" t="s">
        <v>103</v>
      </c>
      <c r="N219" s="1" t="s">
        <v>2</v>
      </c>
      <c r="O219" s="1" t="s">
        <v>40</v>
      </c>
      <c r="P219" s="1">
        <f t="shared" si="17"/>
        <v>48.959820000000001</v>
      </c>
      <c r="Q219" s="1">
        <f t="shared" si="14"/>
        <v>36.881320000000002</v>
      </c>
      <c r="R219" s="1">
        <f t="shared" si="14"/>
        <v>44.78930064</v>
      </c>
      <c r="S219" s="1">
        <f t="shared" si="14"/>
        <v>39.485485759999996</v>
      </c>
      <c r="T219" s="33">
        <v>0</v>
      </c>
      <c r="U219" s="1">
        <v>1</v>
      </c>
      <c r="W219" s="1" t="s">
        <v>22</v>
      </c>
      <c r="X219" s="24" t="s">
        <v>103</v>
      </c>
      <c r="Y219" s="1" t="s">
        <v>2</v>
      </c>
      <c r="Z219" s="1" t="s">
        <v>39</v>
      </c>
      <c r="AA219" s="1">
        <f t="shared" si="19"/>
        <v>50.958180000000006</v>
      </c>
      <c r="AB219" s="1">
        <f t="shared" si="19"/>
        <v>38.386679999999998</v>
      </c>
      <c r="AC219" s="1">
        <f t="shared" si="19"/>
        <v>46.617435360000009</v>
      </c>
      <c r="AD219" s="1">
        <f t="shared" si="18"/>
        <v>41.09713824</v>
      </c>
      <c r="AE219" s="28">
        <f>SUM($I$23,$I$51,$I$79,$I$107,$I$135,$I$163,$I$191,$I$219,$I$247,$I$275)</f>
        <v>338.02420999999998</v>
      </c>
      <c r="AF219" s="1">
        <v>1</v>
      </c>
    </row>
    <row r="220" spans="2:32" x14ac:dyDescent="0.25">
      <c r="B220" s="24" t="s">
        <v>23</v>
      </c>
      <c r="C220" s="24" t="s">
        <v>103</v>
      </c>
      <c r="D220" s="24" t="s">
        <v>2</v>
      </c>
      <c r="E220" s="24"/>
      <c r="F220" s="24">
        <f>[1]COMHET!B33/1000</f>
        <v>0.71</v>
      </c>
      <c r="G220" s="24">
        <f>[1]COMHET!C33/1000</f>
        <v>1.0169999999999999</v>
      </c>
      <c r="H220" s="24">
        <f>[1]COMHET!D33/1000</f>
        <v>0.96248100000000003</v>
      </c>
      <c r="I220" s="24">
        <f>[1]COMHET!E33/1000</f>
        <v>0.53681500000000004</v>
      </c>
      <c r="J220" s="1">
        <v>1</v>
      </c>
      <c r="L220" s="1" t="s">
        <v>23</v>
      </c>
      <c r="M220" s="24" t="s">
        <v>103</v>
      </c>
      <c r="N220" s="1" t="s">
        <v>2</v>
      </c>
      <c r="O220" s="1" t="s">
        <v>40</v>
      </c>
      <c r="P220" s="1">
        <f t="shared" si="17"/>
        <v>0.69579999999999997</v>
      </c>
      <c r="Q220" s="1">
        <f t="shared" si="14"/>
        <v>0.99665999999999988</v>
      </c>
      <c r="R220" s="1">
        <f t="shared" si="14"/>
        <v>0.94323138000000006</v>
      </c>
      <c r="S220" s="1">
        <f t="shared" si="14"/>
        <v>0.52607870000000001</v>
      </c>
      <c r="T220" s="33">
        <v>0</v>
      </c>
      <c r="U220" s="1">
        <v>1</v>
      </c>
      <c r="W220" s="1" t="s">
        <v>23</v>
      </c>
      <c r="X220" s="24" t="s">
        <v>103</v>
      </c>
      <c r="Y220" s="1" t="s">
        <v>2</v>
      </c>
      <c r="Z220" s="1" t="s">
        <v>39</v>
      </c>
      <c r="AA220" s="1">
        <f t="shared" si="19"/>
        <v>0.72419999999999995</v>
      </c>
      <c r="AB220" s="1">
        <f t="shared" si="19"/>
        <v>1.0373399999999999</v>
      </c>
      <c r="AC220" s="1">
        <f t="shared" si="19"/>
        <v>0.98173062</v>
      </c>
      <c r="AD220" s="1">
        <f t="shared" si="18"/>
        <v>0.54755130000000007</v>
      </c>
      <c r="AE220" s="28">
        <f>SUM($I$24,$I$52,$I$80,$I$108,$I$136,$I$164,$I$192,$I$220,$I$248,$I$276)</f>
        <v>100.75319400000001</v>
      </c>
      <c r="AF220" s="1">
        <v>1</v>
      </c>
    </row>
    <row r="221" spans="2:32" x14ac:dyDescent="0.25">
      <c r="B221" s="24" t="s">
        <v>24</v>
      </c>
      <c r="C221" s="24" t="s">
        <v>103</v>
      </c>
      <c r="D221" s="24" t="s">
        <v>2</v>
      </c>
      <c r="E221" s="24"/>
      <c r="F221" s="24">
        <f>[1]COMHET!B34/1000</f>
        <v>8.9629999999999992</v>
      </c>
      <c r="G221" s="24">
        <f>[1]COMHET!C34/1000</f>
        <v>7.6950000000000003</v>
      </c>
      <c r="H221" s="24">
        <f>[1]COMHET!D34/1000</f>
        <v>6.065715</v>
      </c>
      <c r="I221" s="24">
        <f>[1]COMHET!E34/1000</f>
        <v>5.4795100000000003</v>
      </c>
      <c r="J221" s="1">
        <v>1</v>
      </c>
      <c r="L221" s="1" t="s">
        <v>24</v>
      </c>
      <c r="M221" s="24" t="s">
        <v>103</v>
      </c>
      <c r="N221" s="1" t="s">
        <v>2</v>
      </c>
      <c r="O221" s="1" t="s">
        <v>40</v>
      </c>
      <c r="P221" s="1">
        <f t="shared" si="17"/>
        <v>8.7837399999999999</v>
      </c>
      <c r="Q221" s="1">
        <f t="shared" si="14"/>
        <v>7.5411000000000001</v>
      </c>
      <c r="R221" s="1">
        <f t="shared" si="14"/>
        <v>5.9444007000000001</v>
      </c>
      <c r="S221" s="1">
        <f t="shared" si="14"/>
        <v>5.3699197999999999</v>
      </c>
      <c r="T221" s="33">
        <v>0</v>
      </c>
      <c r="U221" s="1">
        <v>1</v>
      </c>
      <c r="W221" s="1" t="s">
        <v>24</v>
      </c>
      <c r="X221" s="24" t="s">
        <v>103</v>
      </c>
      <c r="Y221" s="1" t="s">
        <v>2</v>
      </c>
      <c r="Z221" s="1" t="s">
        <v>39</v>
      </c>
      <c r="AA221" s="1">
        <f t="shared" si="19"/>
        <v>9.1422599999999985</v>
      </c>
      <c r="AB221" s="1">
        <f t="shared" si="19"/>
        <v>7.8489000000000004</v>
      </c>
      <c r="AC221" s="1">
        <f t="shared" si="19"/>
        <v>6.1870292999999998</v>
      </c>
      <c r="AD221" s="1">
        <f t="shared" si="18"/>
        <v>5.5891002000000007</v>
      </c>
      <c r="AE221" s="28">
        <f>SUM($I$25,$I$53,$I$81,$I$109,$I$137,$I$165,$I$193,$I$221,$I$249,$I$277)</f>
        <v>85.709021000000007</v>
      </c>
      <c r="AF221" s="1">
        <v>1</v>
      </c>
    </row>
    <row r="222" spans="2:32" x14ac:dyDescent="0.25">
      <c r="B222" s="24" t="s">
        <v>25</v>
      </c>
      <c r="C222" s="24" t="s">
        <v>103</v>
      </c>
      <c r="D222" s="24" t="s">
        <v>2</v>
      </c>
      <c r="E222" s="24"/>
      <c r="F222" s="24">
        <f>[1]COMHET!B35/1000</f>
        <v>1.536</v>
      </c>
      <c r="G222" s="24">
        <f>[1]COMHET!C35/1000</f>
        <v>1.8169999999999999</v>
      </c>
      <c r="H222" s="24">
        <f>[1]COMHET!D35/1000</f>
        <v>1.9726620000000001</v>
      </c>
      <c r="I222" s="24">
        <f>[1]COMHET!E35/1000</f>
        <v>1.696428</v>
      </c>
      <c r="J222" s="1">
        <v>1</v>
      </c>
      <c r="L222" s="1" t="s">
        <v>25</v>
      </c>
      <c r="M222" s="24" t="s">
        <v>103</v>
      </c>
      <c r="N222" s="1" t="s">
        <v>2</v>
      </c>
      <c r="O222" s="1" t="s">
        <v>40</v>
      </c>
      <c r="P222" s="1">
        <f t="shared" si="17"/>
        <v>1.50528</v>
      </c>
      <c r="Q222" s="1">
        <f t="shared" si="14"/>
        <v>1.7806599999999999</v>
      </c>
      <c r="R222" s="1">
        <f t="shared" si="14"/>
        <v>1.9332087600000001</v>
      </c>
      <c r="S222" s="1">
        <f t="shared" si="14"/>
        <v>1.6624994399999999</v>
      </c>
      <c r="T222" s="33">
        <v>0</v>
      </c>
      <c r="U222" s="1">
        <v>1</v>
      </c>
      <c r="W222" s="1" t="s">
        <v>25</v>
      </c>
      <c r="X222" s="24" t="s">
        <v>103</v>
      </c>
      <c r="Y222" s="1" t="s">
        <v>2</v>
      </c>
      <c r="Z222" s="1" t="s">
        <v>39</v>
      </c>
      <c r="AA222" s="1">
        <f t="shared" si="19"/>
        <v>1.5667200000000001</v>
      </c>
      <c r="AB222" s="1">
        <f t="shared" si="19"/>
        <v>1.85334</v>
      </c>
      <c r="AC222" s="1">
        <f t="shared" si="19"/>
        <v>2.01211524</v>
      </c>
      <c r="AD222" s="1">
        <f t="shared" si="18"/>
        <v>1.7303565600000002</v>
      </c>
      <c r="AE222" s="28">
        <f>SUM($I$26,$I$54,$I$82,$I$110,$I$138,$I$166,$I$194,$I$222,$I$250,$I$278)</f>
        <v>18.304008</v>
      </c>
      <c r="AF222" s="1">
        <v>1</v>
      </c>
    </row>
    <row r="223" spans="2:32" x14ac:dyDescent="0.25">
      <c r="B223" s="24" t="s">
        <v>26</v>
      </c>
      <c r="C223" s="24" t="s">
        <v>103</v>
      </c>
      <c r="D223" s="24" t="s">
        <v>2</v>
      </c>
      <c r="E223" s="24"/>
      <c r="F223" s="24">
        <f>[1]COMHET!B36/1000</f>
        <v>10.484999999999999</v>
      </c>
      <c r="G223" s="24">
        <f>[1]COMHET!C36/1000</f>
        <v>1.206</v>
      </c>
      <c r="H223" s="24">
        <f>[1]COMHET!D36/1000</f>
        <v>3.03</v>
      </c>
      <c r="I223" s="24">
        <f>[1]COMHET!E36/1000</f>
        <v>5.3079999999999998</v>
      </c>
      <c r="J223" s="1">
        <v>1</v>
      </c>
      <c r="L223" s="1" t="s">
        <v>26</v>
      </c>
      <c r="M223" s="24" t="s">
        <v>103</v>
      </c>
      <c r="N223" s="1" t="s">
        <v>2</v>
      </c>
      <c r="O223" s="1" t="s">
        <v>40</v>
      </c>
      <c r="P223" s="1">
        <f>IF(ISBLANK(F223),":",0.98*F223)</f>
        <v>10.2753</v>
      </c>
      <c r="Q223" s="1">
        <f t="shared" si="14"/>
        <v>1.18188</v>
      </c>
      <c r="R223" s="1">
        <f t="shared" si="14"/>
        <v>2.9693999999999998</v>
      </c>
      <c r="S223" s="1">
        <f t="shared" si="14"/>
        <v>5.2018399999999998</v>
      </c>
      <c r="T223" s="33">
        <v>0</v>
      </c>
      <c r="U223" s="1">
        <v>1</v>
      </c>
      <c r="W223" s="1" t="s">
        <v>26</v>
      </c>
      <c r="X223" s="24" t="s">
        <v>103</v>
      </c>
      <c r="Y223" s="1" t="s">
        <v>2</v>
      </c>
      <c r="Z223" s="1" t="s">
        <v>39</v>
      </c>
      <c r="AA223" s="1">
        <f t="shared" si="19"/>
        <v>10.694699999999999</v>
      </c>
      <c r="AB223" s="1">
        <f t="shared" si="19"/>
        <v>1.2301199999999999</v>
      </c>
      <c r="AC223" s="1">
        <f t="shared" si="19"/>
        <v>3.0905999999999998</v>
      </c>
      <c r="AD223" s="1">
        <f t="shared" si="18"/>
        <v>5.4141599999999999</v>
      </c>
      <c r="AE223" s="28">
        <f>SUM($I$27,$I$55,$I$83,$I$111,$I$139,$I$167,$I$195,$I$223,$I$251,$I$279)</f>
        <v>46.794905</v>
      </c>
      <c r="AF223" s="1">
        <v>1</v>
      </c>
    </row>
    <row r="224" spans="2:32" x14ac:dyDescent="0.25">
      <c r="B224" s="24" t="s">
        <v>27</v>
      </c>
      <c r="C224" s="24" t="s">
        <v>103</v>
      </c>
      <c r="D224" s="24" t="s">
        <v>2</v>
      </c>
      <c r="E224" s="24"/>
      <c r="F224" s="24">
        <f>[1]COMHET!B37/1000</f>
        <v>47.015999999999998</v>
      </c>
      <c r="G224" s="24">
        <f>[1]COMHET!C37/1000</f>
        <v>36.936</v>
      </c>
      <c r="H224" s="24">
        <f>[1]COMHET!D37/1000</f>
        <v>39.895000000000003</v>
      </c>
      <c r="I224" s="24">
        <f>[1]COMHET!E37/1000</f>
        <v>43.866999999999997</v>
      </c>
      <c r="J224" s="1">
        <v>1</v>
      </c>
      <c r="L224" s="1" t="s">
        <v>27</v>
      </c>
      <c r="M224" s="24" t="s">
        <v>103</v>
      </c>
      <c r="N224" s="1" t="s">
        <v>2</v>
      </c>
      <c r="O224" s="1" t="s">
        <v>40</v>
      </c>
      <c r="P224" s="1">
        <f t="shared" ref="P224:S239" si="20">IF(ISBLANK(F224),":",0.98*F224)</f>
        <v>46.075679999999998</v>
      </c>
      <c r="Q224" s="1">
        <f t="shared" si="14"/>
        <v>36.197279999999999</v>
      </c>
      <c r="R224" s="1">
        <f t="shared" si="14"/>
        <v>39.097100000000005</v>
      </c>
      <c r="S224" s="1">
        <f t="shared" si="14"/>
        <v>42.989659999999994</v>
      </c>
      <c r="T224" s="33">
        <v>0</v>
      </c>
      <c r="U224" s="1">
        <v>1</v>
      </c>
      <c r="W224" s="1" t="s">
        <v>27</v>
      </c>
      <c r="X224" s="24" t="s">
        <v>103</v>
      </c>
      <c r="Y224" s="1" t="s">
        <v>2</v>
      </c>
      <c r="Z224" s="1" t="s">
        <v>39</v>
      </c>
      <c r="AA224" s="1">
        <f t="shared" si="19"/>
        <v>47.956319999999998</v>
      </c>
      <c r="AB224" s="1">
        <f t="shared" si="19"/>
        <v>37.674720000000001</v>
      </c>
      <c r="AC224" s="1">
        <f t="shared" si="19"/>
        <v>40.692900000000002</v>
      </c>
      <c r="AD224" s="1">
        <f t="shared" si="18"/>
        <v>44.744340000000001</v>
      </c>
      <c r="AE224" s="28">
        <f>SUM($I$28,$I$56,$I$84,$I$112,$I$140,$I$168,$I$196,$I$224,$I$252,$I$280)</f>
        <v>121.343903</v>
      </c>
      <c r="AF224" s="1">
        <v>1</v>
      </c>
    </row>
    <row r="225" spans="2:32" x14ac:dyDescent="0.25">
      <c r="B225" s="24" t="s">
        <v>28</v>
      </c>
      <c r="C225" s="24" t="s">
        <v>103</v>
      </c>
      <c r="D225" s="24" t="s">
        <v>2</v>
      </c>
      <c r="E225" s="24"/>
      <c r="F225" s="24">
        <f>[1]COMHET!B38/1000</f>
        <v>60.777000000000001</v>
      </c>
      <c r="G225" s="24">
        <f>[1]COMHET!C38/1000</f>
        <v>51.543999999999997</v>
      </c>
      <c r="H225" s="24">
        <f>[1]COMHET!D38/1000</f>
        <v>45.698</v>
      </c>
      <c r="I225" s="24">
        <f>[1]COMHET!E38/1000</f>
        <v>53.143000000000001</v>
      </c>
      <c r="J225" s="1">
        <v>1</v>
      </c>
      <c r="L225" s="1" t="s">
        <v>28</v>
      </c>
      <c r="M225" s="24" t="s">
        <v>103</v>
      </c>
      <c r="N225" s="1" t="s">
        <v>2</v>
      </c>
      <c r="O225" s="1" t="s">
        <v>40</v>
      </c>
      <c r="P225" s="1">
        <f t="shared" si="20"/>
        <v>59.561459999999997</v>
      </c>
      <c r="Q225" s="1">
        <f t="shared" si="14"/>
        <v>50.513119999999994</v>
      </c>
      <c r="R225" s="1">
        <f t="shared" si="14"/>
        <v>44.784039999999997</v>
      </c>
      <c r="S225" s="1">
        <f t="shared" si="14"/>
        <v>52.08014</v>
      </c>
      <c r="T225" s="33">
        <v>0</v>
      </c>
      <c r="U225" s="1">
        <v>1</v>
      </c>
      <c r="W225" s="1" t="s">
        <v>28</v>
      </c>
      <c r="X225" s="24" t="s">
        <v>103</v>
      </c>
      <c r="Y225" s="1" t="s">
        <v>2</v>
      </c>
      <c r="Z225" s="1" t="s">
        <v>39</v>
      </c>
      <c r="AA225" s="1">
        <f t="shared" si="19"/>
        <v>61.992540000000005</v>
      </c>
      <c r="AB225" s="1">
        <f t="shared" si="19"/>
        <v>52.57488</v>
      </c>
      <c r="AC225" s="1">
        <f t="shared" si="19"/>
        <v>46.611960000000003</v>
      </c>
      <c r="AD225" s="1">
        <f t="shared" si="18"/>
        <v>54.205860000000001</v>
      </c>
      <c r="AE225" s="28">
        <f>SUM($I$29,$I$57,$I$85,$I$113,$I$141,$I$169,$I$197,$I$225,$I$253,$I$281)</f>
        <v>174.41146799999999</v>
      </c>
      <c r="AF225" s="1">
        <v>1</v>
      </c>
    </row>
    <row r="226" spans="2:32" x14ac:dyDescent="0.25">
      <c r="B226" s="24" t="s">
        <v>29</v>
      </c>
      <c r="C226" s="24" t="s">
        <v>103</v>
      </c>
      <c r="D226" s="24" t="s">
        <v>2</v>
      </c>
      <c r="E226" s="24"/>
      <c r="F226" s="24">
        <f>[1]COMHET!B39/1000</f>
        <v>9.3187839999999991</v>
      </c>
      <c r="G226" s="24">
        <f>[1]COMHET!C39/1000</f>
        <v>11.113327</v>
      </c>
      <c r="H226" s="24">
        <f>[1]COMHET!D39/1000</f>
        <v>11.527417999999999</v>
      </c>
      <c r="I226" s="24">
        <f>[1]COMHET!E39/1000</f>
        <v>15.334209000000001</v>
      </c>
      <c r="J226" s="1">
        <v>1</v>
      </c>
      <c r="L226" s="1" t="s">
        <v>29</v>
      </c>
      <c r="M226" s="24" t="s">
        <v>103</v>
      </c>
      <c r="N226" s="1" t="s">
        <v>2</v>
      </c>
      <c r="O226" s="1" t="s">
        <v>40</v>
      </c>
      <c r="P226" s="1">
        <f t="shared" si="20"/>
        <v>9.1324083199999997</v>
      </c>
      <c r="Q226" s="1">
        <f t="shared" si="14"/>
        <v>10.89106046</v>
      </c>
      <c r="R226" s="1">
        <f t="shared" si="14"/>
        <v>11.296869639999999</v>
      </c>
      <c r="S226" s="1">
        <f t="shared" si="14"/>
        <v>15.027524820000002</v>
      </c>
      <c r="T226" s="33">
        <v>0</v>
      </c>
      <c r="U226" s="1">
        <v>1</v>
      </c>
      <c r="W226" s="1" t="s">
        <v>29</v>
      </c>
      <c r="X226" s="24" t="s">
        <v>103</v>
      </c>
      <c r="Y226" s="1" t="s">
        <v>2</v>
      </c>
      <c r="Z226" s="1" t="s">
        <v>39</v>
      </c>
      <c r="AA226" s="1">
        <f t="shared" si="19"/>
        <v>9.5051596799999984</v>
      </c>
      <c r="AB226" s="1">
        <f t="shared" si="19"/>
        <v>11.33559354</v>
      </c>
      <c r="AC226" s="1">
        <f t="shared" si="19"/>
        <v>11.757966359999999</v>
      </c>
      <c r="AD226" s="1">
        <f t="shared" si="18"/>
        <v>15.640893180000001</v>
      </c>
      <c r="AE226" s="28">
        <f>SUM($I$30,$I$58,$I$86,$I$114,$I$142,$I$170,$I$198,$I$226,$I$254,$I$282)</f>
        <v>131.14785900000001</v>
      </c>
      <c r="AF226" s="1">
        <v>1</v>
      </c>
    </row>
    <row r="227" spans="2:32" x14ac:dyDescent="0.25">
      <c r="B227" s="24" t="s">
        <v>30</v>
      </c>
      <c r="C227" s="24" t="s">
        <v>103</v>
      </c>
      <c r="D227" s="24" t="s">
        <v>2</v>
      </c>
      <c r="E227" s="24"/>
      <c r="F227" s="24">
        <f>[1]COMHET!B40/1000</f>
        <v>16.425000000000001</v>
      </c>
      <c r="G227" s="24">
        <f>[1]COMHET!C40/1000</f>
        <v>12.460626</v>
      </c>
      <c r="H227" s="43">
        <f>C297</f>
        <v>13.320722880000002</v>
      </c>
      <c r="I227" s="43">
        <f>D297</f>
        <v>12.867711119999999</v>
      </c>
      <c r="J227" s="1">
        <v>1</v>
      </c>
      <c r="L227" s="1" t="s">
        <v>30</v>
      </c>
      <c r="M227" s="24" t="s">
        <v>103</v>
      </c>
      <c r="N227" s="1" t="s">
        <v>2</v>
      </c>
      <c r="O227" s="1" t="s">
        <v>40</v>
      </c>
      <c r="P227" s="1">
        <f t="shared" si="20"/>
        <v>16.096499999999999</v>
      </c>
      <c r="Q227" s="1">
        <f t="shared" si="14"/>
        <v>12.211413479999999</v>
      </c>
      <c r="R227" s="1">
        <f t="shared" si="14"/>
        <v>13.054308422400002</v>
      </c>
      <c r="S227" s="1">
        <f t="shared" si="14"/>
        <v>12.610356897599999</v>
      </c>
      <c r="T227" s="33">
        <v>0</v>
      </c>
      <c r="U227" s="1">
        <v>1</v>
      </c>
      <c r="W227" s="1" t="s">
        <v>30</v>
      </c>
      <c r="X227" s="24" t="s">
        <v>103</v>
      </c>
      <c r="Y227" s="1" t="s">
        <v>2</v>
      </c>
      <c r="Z227" s="1" t="s">
        <v>39</v>
      </c>
      <c r="AA227" s="1">
        <f t="shared" si="19"/>
        <v>16.753500000000003</v>
      </c>
      <c r="AB227" s="1">
        <f t="shared" si="19"/>
        <v>12.70983852</v>
      </c>
      <c r="AC227" s="1">
        <f t="shared" si="19"/>
        <v>13.587137337600002</v>
      </c>
      <c r="AD227" s="1">
        <f t="shared" si="18"/>
        <v>13.125065342399999</v>
      </c>
      <c r="AE227" s="28">
        <f>SUM($I$31,$I$59,$I$87,$I$115,$I$143,$I$171,$I$199,$I$227,$I$255,$I$283)</f>
        <v>698.48733743314938</v>
      </c>
      <c r="AF227" s="1">
        <v>1</v>
      </c>
    </row>
    <row r="228" spans="2:32" x14ac:dyDescent="0.25">
      <c r="B228" s="1" t="s">
        <v>0</v>
      </c>
      <c r="C228" s="1" t="s">
        <v>104</v>
      </c>
      <c r="D228" s="1" t="s">
        <v>2</v>
      </c>
      <c r="E228" s="1"/>
      <c r="F228" s="1">
        <f>[1]COMGAS!B13/1000</f>
        <v>84.565749999999994</v>
      </c>
      <c r="G228" s="1">
        <f>[1]COMGAS!C13/1000</f>
        <v>74.155723000000009</v>
      </c>
      <c r="H228" s="1">
        <f>[1]COMGAS!D13/1000</f>
        <v>72.819908999999996</v>
      </c>
      <c r="I228" s="1">
        <f>[1]COMGAS!E13/1000</f>
        <v>60.981593999999994</v>
      </c>
      <c r="J228" s="1">
        <v>1</v>
      </c>
      <c r="L228" s="1" t="s">
        <v>0</v>
      </c>
      <c r="M228" s="1" t="s">
        <v>104</v>
      </c>
      <c r="N228" s="1" t="s">
        <v>2</v>
      </c>
      <c r="O228" s="1" t="s">
        <v>40</v>
      </c>
      <c r="P228" s="1">
        <f t="shared" si="20"/>
        <v>82.874434999999991</v>
      </c>
      <c r="Q228" s="1">
        <f t="shared" si="14"/>
        <v>72.672608540000013</v>
      </c>
      <c r="R228" s="1">
        <f t="shared" si="14"/>
        <v>71.363510819999988</v>
      </c>
      <c r="S228" s="1">
        <f t="shared" si="14"/>
        <v>59.761962119999993</v>
      </c>
      <c r="T228" s="33">
        <v>0</v>
      </c>
      <c r="U228" s="1">
        <v>1</v>
      </c>
      <c r="W228" s="1" t="s">
        <v>0</v>
      </c>
      <c r="X228" s="1" t="s">
        <v>104</v>
      </c>
      <c r="Y228" s="1" t="s">
        <v>2</v>
      </c>
      <c r="Z228" s="1" t="s">
        <v>39</v>
      </c>
      <c r="AA228" s="1">
        <f t="shared" si="19"/>
        <v>86.257064999999997</v>
      </c>
      <c r="AB228" s="1">
        <f t="shared" si="19"/>
        <v>75.638837460000005</v>
      </c>
      <c r="AC228" s="1">
        <f t="shared" si="19"/>
        <v>74.276307180000003</v>
      </c>
      <c r="AD228" s="1">
        <f t="shared" si="18"/>
        <v>62.201225879999996</v>
      </c>
      <c r="AE228" s="28">
        <f>SUM($I$4,$I$32,$I$60,$I$88,$I$116,$I$144,$I$172,$I$200,$I$228,$I$256)</f>
        <v>159.04926399999999</v>
      </c>
      <c r="AF228" s="1">
        <v>1</v>
      </c>
    </row>
    <row r="229" spans="2:32" x14ac:dyDescent="0.25">
      <c r="B229" s="1" t="s">
        <v>3</v>
      </c>
      <c r="C229" s="1" t="s">
        <v>104</v>
      </c>
      <c r="D229" s="1" t="s">
        <v>2</v>
      </c>
      <c r="E229" s="1"/>
      <c r="F229" s="1">
        <f>[1]COMGAS!B14/1000</f>
        <v>3.400239</v>
      </c>
      <c r="G229" s="1">
        <f>[1]COMGAS!C14/1000</f>
        <v>3.8867530000000001</v>
      </c>
      <c r="H229" s="1">
        <f>[1]COMGAS!D14/1000</f>
        <v>3.7234629999999997</v>
      </c>
      <c r="I229" s="1">
        <f>[1]COMGAS!E14/1000</f>
        <v>3.719004</v>
      </c>
      <c r="J229" s="1">
        <v>1</v>
      </c>
      <c r="L229" s="1" t="s">
        <v>3</v>
      </c>
      <c r="M229" s="1" t="s">
        <v>104</v>
      </c>
      <c r="N229" s="1" t="s">
        <v>2</v>
      </c>
      <c r="O229" s="1" t="s">
        <v>40</v>
      </c>
      <c r="P229" s="1">
        <f t="shared" si="20"/>
        <v>3.3322342200000001</v>
      </c>
      <c r="Q229" s="1">
        <f t="shared" si="14"/>
        <v>3.8090179399999999</v>
      </c>
      <c r="R229" s="1">
        <f t="shared" si="14"/>
        <v>3.6489937399999999</v>
      </c>
      <c r="S229" s="1">
        <f t="shared" si="14"/>
        <v>3.6446239199999999</v>
      </c>
      <c r="T229" s="33">
        <v>0</v>
      </c>
      <c r="U229" s="1">
        <v>1</v>
      </c>
      <c r="W229" s="1" t="s">
        <v>3</v>
      </c>
      <c r="X229" s="1" t="s">
        <v>104</v>
      </c>
      <c r="Y229" s="1" t="s">
        <v>2</v>
      </c>
      <c r="Z229" s="1" t="s">
        <v>39</v>
      </c>
      <c r="AA229" s="1">
        <f t="shared" si="19"/>
        <v>3.4682437799999999</v>
      </c>
      <c r="AB229" s="1">
        <f t="shared" si="19"/>
        <v>3.9644880600000003</v>
      </c>
      <c r="AC229" s="1">
        <f t="shared" si="19"/>
        <v>3.7979322599999996</v>
      </c>
      <c r="AD229" s="1">
        <f t="shared" si="18"/>
        <v>3.79338408</v>
      </c>
      <c r="AE229" s="28">
        <f>SUM($I$5,$I$33,$I$61,$I$89,$I$117,$I$145,$I$173,$I$201,$I$229,$I$257)</f>
        <v>52.687187999999992</v>
      </c>
      <c r="AF229" s="1">
        <v>1</v>
      </c>
    </row>
    <row r="230" spans="2:32" x14ac:dyDescent="0.25">
      <c r="B230" s="1" t="s">
        <v>4</v>
      </c>
      <c r="C230" s="1" t="s">
        <v>104</v>
      </c>
      <c r="D230" s="1" t="s">
        <v>2</v>
      </c>
      <c r="E230" s="1"/>
      <c r="F230" s="1">
        <f>[1]COMGAS!B15/1000</f>
        <v>54.989199999999997</v>
      </c>
      <c r="G230" s="1">
        <f>[1]COMGAS!C15/1000</f>
        <v>45.981099999999998</v>
      </c>
      <c r="H230" s="1">
        <f>[1]COMGAS!D15/1000</f>
        <v>45.108468999999999</v>
      </c>
      <c r="I230" s="1">
        <f>[1]COMGAS!E15/1000</f>
        <v>35.588127</v>
      </c>
      <c r="J230" s="1">
        <v>1</v>
      </c>
      <c r="L230" s="1" t="s">
        <v>4</v>
      </c>
      <c r="M230" s="1" t="s">
        <v>104</v>
      </c>
      <c r="N230" s="1" t="s">
        <v>2</v>
      </c>
      <c r="O230" s="1" t="s">
        <v>40</v>
      </c>
      <c r="P230" s="1">
        <f t="shared" si="20"/>
        <v>53.889415999999997</v>
      </c>
      <c r="Q230" s="1">
        <f t="shared" si="14"/>
        <v>45.061477999999994</v>
      </c>
      <c r="R230" s="1">
        <f t="shared" si="14"/>
        <v>44.206299619999996</v>
      </c>
      <c r="S230" s="1">
        <f t="shared" si="14"/>
        <v>34.876364459999998</v>
      </c>
      <c r="T230" s="33">
        <v>0</v>
      </c>
      <c r="U230" s="1">
        <v>1</v>
      </c>
      <c r="W230" s="1" t="s">
        <v>4</v>
      </c>
      <c r="X230" s="1" t="s">
        <v>104</v>
      </c>
      <c r="Y230" s="1" t="s">
        <v>2</v>
      </c>
      <c r="Z230" s="1" t="s">
        <v>39</v>
      </c>
      <c r="AA230" s="1">
        <f t="shared" si="19"/>
        <v>56.088983999999996</v>
      </c>
      <c r="AB230" s="1">
        <f t="shared" si="19"/>
        <v>46.900722000000002</v>
      </c>
      <c r="AC230" s="1">
        <f t="shared" si="19"/>
        <v>46.010638380000003</v>
      </c>
      <c r="AD230" s="1">
        <f t="shared" si="18"/>
        <v>36.299889540000002</v>
      </c>
      <c r="AE230" s="28">
        <f>SUM($I$6,$I$34,$I$62,$I$90,$I$118,$I$146,$I$174,$I$202,$I$230,$I$258)</f>
        <v>110.98745699999999</v>
      </c>
      <c r="AF230" s="1">
        <v>1</v>
      </c>
    </row>
    <row r="231" spans="2:32" x14ac:dyDescent="0.25">
      <c r="B231" s="1" t="s">
        <v>5</v>
      </c>
      <c r="C231" s="1" t="s">
        <v>104</v>
      </c>
      <c r="D231" s="1" t="s">
        <v>2</v>
      </c>
      <c r="E231" s="1"/>
      <c r="F231" s="1">
        <f>[1]COMGAS!B16/1000</f>
        <v>9.9092599999999997</v>
      </c>
      <c r="G231" s="1">
        <f>[1]COMGAS!C16/1000</f>
        <v>7.3919750000000004</v>
      </c>
      <c r="H231" s="1">
        <f>[1]COMGAS!D16/1000</f>
        <v>8.4015829999999987</v>
      </c>
      <c r="I231" s="1">
        <f>[1]COMGAS!E16/1000</f>
        <v>9.5316570000000009</v>
      </c>
      <c r="J231" s="1">
        <v>1</v>
      </c>
      <c r="L231" s="1" t="s">
        <v>5</v>
      </c>
      <c r="M231" s="1" t="s">
        <v>104</v>
      </c>
      <c r="N231" s="1" t="s">
        <v>2</v>
      </c>
      <c r="O231" s="1" t="s">
        <v>40</v>
      </c>
      <c r="P231" s="1">
        <f t="shared" si="20"/>
        <v>9.7110748000000005</v>
      </c>
      <c r="Q231" s="1">
        <f t="shared" si="14"/>
        <v>7.2441355000000005</v>
      </c>
      <c r="R231" s="1">
        <f t="shared" si="14"/>
        <v>8.2335513399999982</v>
      </c>
      <c r="S231" s="1">
        <f t="shared" si="14"/>
        <v>9.34102386</v>
      </c>
      <c r="T231" s="33">
        <v>0</v>
      </c>
      <c r="U231" s="1">
        <v>1</v>
      </c>
      <c r="W231" s="1" t="s">
        <v>5</v>
      </c>
      <c r="X231" s="1" t="s">
        <v>104</v>
      </c>
      <c r="Y231" s="1" t="s">
        <v>2</v>
      </c>
      <c r="Z231" s="1" t="s">
        <v>39</v>
      </c>
      <c r="AA231" s="1">
        <f t="shared" si="19"/>
        <v>10.107445199999999</v>
      </c>
      <c r="AB231" s="1">
        <f t="shared" si="19"/>
        <v>7.5398145000000003</v>
      </c>
      <c r="AC231" s="1">
        <f t="shared" si="19"/>
        <v>8.5696146599999992</v>
      </c>
      <c r="AD231" s="1">
        <f t="shared" si="18"/>
        <v>9.7222901400000019</v>
      </c>
      <c r="AE231" s="28">
        <f>SUM($I$7,$I$35,$I$63,$I$91,$I$119,$I$147,$I$175,$I$203,$I$231,$I$259)</f>
        <v>78.733746999999994</v>
      </c>
      <c r="AF231" s="1">
        <v>1</v>
      </c>
    </row>
    <row r="232" spans="2:32" x14ac:dyDescent="0.25">
      <c r="B232" s="1" t="s">
        <v>6</v>
      </c>
      <c r="C232" s="1" t="s">
        <v>104</v>
      </c>
      <c r="D232" s="1" t="s">
        <v>2</v>
      </c>
      <c r="E232" s="1"/>
      <c r="F232" s="1">
        <f>[1]COMGAS!B17/1000</f>
        <v>391.802233</v>
      </c>
      <c r="G232" s="1">
        <f>[1]COMGAS!C17/1000</f>
        <v>418.46449999999999</v>
      </c>
      <c r="H232" s="1">
        <f>[1]COMGAS!D17/1000</f>
        <v>433.12053700000001</v>
      </c>
      <c r="I232" s="1">
        <f>[1]COMGAS!E17/1000</f>
        <v>375.62580400000002</v>
      </c>
      <c r="J232" s="1">
        <v>1</v>
      </c>
      <c r="L232" s="1" t="s">
        <v>6</v>
      </c>
      <c r="M232" s="1" t="s">
        <v>104</v>
      </c>
      <c r="N232" s="1" t="s">
        <v>2</v>
      </c>
      <c r="O232" s="1" t="s">
        <v>40</v>
      </c>
      <c r="P232" s="1">
        <f t="shared" si="20"/>
        <v>383.96618833999997</v>
      </c>
      <c r="Q232" s="1">
        <f t="shared" si="20"/>
        <v>410.09520999999995</v>
      </c>
      <c r="R232" s="1">
        <f t="shared" si="20"/>
        <v>424.45812626000003</v>
      </c>
      <c r="S232" s="1">
        <f t="shared" si="20"/>
        <v>368.11328792</v>
      </c>
      <c r="T232" s="33">
        <v>0</v>
      </c>
      <c r="U232" s="1">
        <v>1</v>
      </c>
      <c r="W232" s="1" t="s">
        <v>6</v>
      </c>
      <c r="X232" s="1" t="s">
        <v>104</v>
      </c>
      <c r="Y232" s="1" t="s">
        <v>2</v>
      </c>
      <c r="Z232" s="1" t="s">
        <v>39</v>
      </c>
      <c r="AA232" s="1">
        <f t="shared" si="19"/>
        <v>399.63827766000003</v>
      </c>
      <c r="AB232" s="1">
        <f t="shared" si="19"/>
        <v>426.83379000000002</v>
      </c>
      <c r="AC232" s="1">
        <f t="shared" si="19"/>
        <v>441.78294774</v>
      </c>
      <c r="AD232" s="1">
        <f t="shared" si="18"/>
        <v>383.13832008000003</v>
      </c>
      <c r="AE232" s="28">
        <f>SUM($I$8,$I$36,$I$64,$I$92,$I$120,$I$148,$I$176,$I$204,$I$232,$I$260)</f>
        <v>998.19450100000006</v>
      </c>
      <c r="AF232" s="1">
        <v>1</v>
      </c>
    </row>
    <row r="233" spans="2:32" x14ac:dyDescent="0.25">
      <c r="B233" s="1" t="s">
        <v>7</v>
      </c>
      <c r="C233" s="1" t="s">
        <v>104</v>
      </c>
      <c r="D233" s="1" t="s">
        <v>2</v>
      </c>
      <c r="E233" s="1"/>
      <c r="F233" s="1">
        <f>[1]COMGAS!B18/1000</f>
        <v>1.2847</v>
      </c>
      <c r="G233" s="1">
        <f>[1]COMGAS!C18/1000</f>
        <v>3.0144000000000002</v>
      </c>
      <c r="H233" s="1">
        <f>[1]COMGAS!D18/1000</f>
        <v>3.2318370000000001</v>
      </c>
      <c r="I233" s="1">
        <f>[1]COMGAS!E18/1000</f>
        <v>1.7286860000000002</v>
      </c>
      <c r="J233" s="1">
        <v>1</v>
      </c>
      <c r="L233" s="1" t="s">
        <v>7</v>
      </c>
      <c r="M233" s="1" t="s">
        <v>104</v>
      </c>
      <c r="N233" s="1" t="s">
        <v>2</v>
      </c>
      <c r="O233" s="1" t="s">
        <v>40</v>
      </c>
      <c r="P233" s="1">
        <f t="shared" si="20"/>
        <v>1.2590059999999998</v>
      </c>
      <c r="Q233" s="1">
        <f t="shared" si="20"/>
        <v>2.9541120000000003</v>
      </c>
      <c r="R233" s="1">
        <f t="shared" si="20"/>
        <v>3.16720026</v>
      </c>
      <c r="S233" s="1">
        <f t="shared" si="20"/>
        <v>1.6941122800000001</v>
      </c>
      <c r="T233" s="33">
        <v>0</v>
      </c>
      <c r="U233" s="1">
        <v>1</v>
      </c>
      <c r="W233" s="1" t="s">
        <v>7</v>
      </c>
      <c r="X233" s="1" t="s">
        <v>104</v>
      </c>
      <c r="Y233" s="1" t="s">
        <v>2</v>
      </c>
      <c r="Z233" s="1" t="s">
        <v>39</v>
      </c>
      <c r="AA233" s="1">
        <f t="shared" si="19"/>
        <v>1.3103940000000001</v>
      </c>
      <c r="AB233" s="1">
        <f t="shared" si="19"/>
        <v>3.0746880000000001</v>
      </c>
      <c r="AC233" s="1">
        <f t="shared" si="19"/>
        <v>3.2964737400000002</v>
      </c>
      <c r="AD233" s="1">
        <f t="shared" si="18"/>
        <v>1.7632597200000002</v>
      </c>
      <c r="AE233" s="28">
        <f>SUM($I$9,$I$37,$I$65,$I$93,$I$121,$I$149,$I$177,$I$205,$I$233,$I$261)</f>
        <v>15.12316</v>
      </c>
      <c r="AF233" s="1">
        <v>1</v>
      </c>
    </row>
    <row r="234" spans="2:32" x14ac:dyDescent="0.25">
      <c r="B234" s="1" t="s">
        <v>8</v>
      </c>
      <c r="C234" s="1" t="s">
        <v>104</v>
      </c>
      <c r="D234" s="1" t="s">
        <v>2</v>
      </c>
      <c r="E234" s="1"/>
      <c r="F234" s="1">
        <f>[1]COMGAS!B19/1000</f>
        <v>14.270382999999999</v>
      </c>
      <c r="G234" s="1">
        <f>[1]COMGAS!C19/1000</f>
        <v>14.950014000000001</v>
      </c>
      <c r="H234" s="1">
        <f>[1]COMGAS!D19/1000</f>
        <v>13.718795</v>
      </c>
      <c r="I234" s="1">
        <f>[1]COMGAS!E19/1000</f>
        <v>13.918637</v>
      </c>
      <c r="J234" s="1">
        <v>1</v>
      </c>
      <c r="L234" s="1" t="s">
        <v>8</v>
      </c>
      <c r="M234" s="1" t="s">
        <v>104</v>
      </c>
      <c r="N234" s="1" t="s">
        <v>2</v>
      </c>
      <c r="O234" s="1" t="s">
        <v>40</v>
      </c>
      <c r="P234" s="1">
        <f t="shared" si="20"/>
        <v>13.984975339999998</v>
      </c>
      <c r="Q234" s="1">
        <f t="shared" si="20"/>
        <v>14.651013720000002</v>
      </c>
      <c r="R234" s="1">
        <f t="shared" si="20"/>
        <v>13.444419099999999</v>
      </c>
      <c r="S234" s="1">
        <f t="shared" si="20"/>
        <v>13.64026426</v>
      </c>
      <c r="T234" s="33">
        <v>0</v>
      </c>
      <c r="U234" s="1">
        <v>1</v>
      </c>
      <c r="W234" s="1" t="s">
        <v>8</v>
      </c>
      <c r="X234" s="1" t="s">
        <v>104</v>
      </c>
      <c r="Y234" s="1" t="s">
        <v>2</v>
      </c>
      <c r="Z234" s="1" t="s">
        <v>39</v>
      </c>
      <c r="AA234" s="1">
        <f t="shared" si="19"/>
        <v>14.55579066</v>
      </c>
      <c r="AB234" s="1">
        <f t="shared" si="19"/>
        <v>15.249014280000001</v>
      </c>
      <c r="AC234" s="1">
        <f t="shared" si="19"/>
        <v>13.993170900000001</v>
      </c>
      <c r="AD234" s="1">
        <f t="shared" si="18"/>
        <v>14.19700974</v>
      </c>
      <c r="AE234" s="28">
        <f>SUM(I$10,I$38,I$66,I$94,I$122,I$150,I$178,I$206,I$234,I$262)</f>
        <v>81.18795200000001</v>
      </c>
      <c r="AF234" s="1">
        <v>1</v>
      </c>
    </row>
    <row r="235" spans="2:32" x14ac:dyDescent="0.25">
      <c r="B235" s="1" t="s">
        <v>9</v>
      </c>
      <c r="C235" s="1" t="s">
        <v>104</v>
      </c>
      <c r="D235" s="1" t="s">
        <v>2</v>
      </c>
      <c r="E235" s="1"/>
      <c r="F235" s="1">
        <f>[1]COMGAS!B20/1000</f>
        <v>5.8745339999999997</v>
      </c>
      <c r="G235" s="1">
        <f>[1]COMGAS!C20/1000</f>
        <v>7.526961</v>
      </c>
      <c r="H235" s="1">
        <f>[1]COMGAS!D20/1000</f>
        <v>6.323169</v>
      </c>
      <c r="I235" s="1">
        <f>[1]COMGAS!E20/1000</f>
        <v>4.8141129999999999</v>
      </c>
      <c r="J235" s="1">
        <v>1</v>
      </c>
      <c r="L235" s="1" t="s">
        <v>9</v>
      </c>
      <c r="M235" s="1" t="s">
        <v>104</v>
      </c>
      <c r="N235" s="1" t="s">
        <v>2</v>
      </c>
      <c r="O235" s="1" t="s">
        <v>40</v>
      </c>
      <c r="P235" s="1">
        <f t="shared" si="20"/>
        <v>5.7570433199999993</v>
      </c>
      <c r="Q235" s="1">
        <f t="shared" si="20"/>
        <v>7.3764217800000003</v>
      </c>
      <c r="R235" s="1">
        <f t="shared" si="20"/>
        <v>6.1967056200000004</v>
      </c>
      <c r="S235" s="1">
        <f t="shared" si="20"/>
        <v>4.7178307400000001</v>
      </c>
      <c r="T235" s="33">
        <v>0</v>
      </c>
      <c r="U235" s="1">
        <v>1</v>
      </c>
      <c r="W235" s="1" t="s">
        <v>9</v>
      </c>
      <c r="X235" s="1" t="s">
        <v>104</v>
      </c>
      <c r="Y235" s="1" t="s">
        <v>2</v>
      </c>
      <c r="Z235" s="1" t="s">
        <v>39</v>
      </c>
      <c r="AA235" s="1">
        <f t="shared" si="19"/>
        <v>5.9920246800000001</v>
      </c>
      <c r="AB235" s="1">
        <f t="shared" si="19"/>
        <v>7.6775002199999998</v>
      </c>
      <c r="AC235" s="1">
        <f t="shared" si="19"/>
        <v>6.4496323799999997</v>
      </c>
      <c r="AD235" s="1">
        <f t="shared" si="18"/>
        <v>4.9103952599999996</v>
      </c>
      <c r="AE235" s="28">
        <f>SUM($I$11,$I$39,$I$67,$I$95,$I$123,$I$151,$I$179,$I$207,$I$235,$I$263)</f>
        <v>89.565158000000011</v>
      </c>
      <c r="AF235" s="1">
        <v>1</v>
      </c>
    </row>
    <row r="236" spans="2:32" x14ac:dyDescent="0.25">
      <c r="B236" s="1" t="s">
        <v>10</v>
      </c>
      <c r="C236" s="1" t="s">
        <v>104</v>
      </c>
      <c r="D236" s="1" t="s">
        <v>2</v>
      </c>
      <c r="E236" s="1"/>
      <c r="F236" s="1">
        <f>[1]COMGAS!B21/1000</f>
        <v>42.390582999999999</v>
      </c>
      <c r="G236" s="1">
        <f>[1]COMGAS!C21/1000</f>
        <v>73.93160499999999</v>
      </c>
      <c r="H236" s="1">
        <f>[1]COMGAS!D21/1000</f>
        <v>82.155525999999995</v>
      </c>
      <c r="I236" s="1">
        <f>[1]COMGAS!E21/1000</f>
        <v>79.401200000000003</v>
      </c>
      <c r="J236" s="1">
        <v>1</v>
      </c>
      <c r="L236" s="1" t="s">
        <v>10</v>
      </c>
      <c r="M236" s="1" t="s">
        <v>104</v>
      </c>
      <c r="N236" s="1" t="s">
        <v>2</v>
      </c>
      <c r="O236" s="1" t="s">
        <v>40</v>
      </c>
      <c r="P236" s="1">
        <f t="shared" si="20"/>
        <v>41.542771340000002</v>
      </c>
      <c r="Q236" s="1">
        <f t="shared" si="20"/>
        <v>72.452972899999992</v>
      </c>
      <c r="R236" s="1">
        <f t="shared" si="20"/>
        <v>80.512415479999987</v>
      </c>
      <c r="S236" s="1">
        <f t="shared" si="20"/>
        <v>77.813175999999999</v>
      </c>
      <c r="T236" s="33">
        <v>0</v>
      </c>
      <c r="U236" s="1">
        <v>1</v>
      </c>
      <c r="W236" s="1" t="s">
        <v>10</v>
      </c>
      <c r="X236" s="1" t="s">
        <v>104</v>
      </c>
      <c r="Y236" s="1" t="s">
        <v>2</v>
      </c>
      <c r="Z236" s="1" t="s">
        <v>39</v>
      </c>
      <c r="AA236" s="1">
        <f t="shared" si="19"/>
        <v>43.238394659999997</v>
      </c>
      <c r="AB236" s="1">
        <f t="shared" si="19"/>
        <v>75.410237099999989</v>
      </c>
      <c r="AC236" s="1">
        <f t="shared" si="19"/>
        <v>83.798636520000002</v>
      </c>
      <c r="AD236" s="1">
        <f t="shared" si="18"/>
        <v>80.989224000000007</v>
      </c>
      <c r="AE236" s="28">
        <f>SUM($I$12,$I$40,$I$68,$I$96,$I$124,$I$152,$I$180,$I$208,$I$236,$I$264)</f>
        <v>427.84543500000007</v>
      </c>
      <c r="AF236" s="1">
        <v>1</v>
      </c>
    </row>
    <row r="237" spans="2:32" x14ac:dyDescent="0.25">
      <c r="B237" s="1" t="s">
        <v>11</v>
      </c>
      <c r="C237" s="1" t="s">
        <v>104</v>
      </c>
      <c r="D237" s="1" t="s">
        <v>2</v>
      </c>
      <c r="E237" s="1"/>
      <c r="F237" s="1">
        <f>[1]COMGAS!B22/1000</f>
        <v>284.20430900000002</v>
      </c>
      <c r="G237" s="1">
        <f>[1]COMGAS!C22/1000</f>
        <v>247.78038599999999</v>
      </c>
      <c r="H237" s="1">
        <f>[1]COMGAS!D22/1000</f>
        <v>240.433527</v>
      </c>
      <c r="I237" s="1">
        <f>[1]COMGAS!E22/1000</f>
        <v>207.21603299999998</v>
      </c>
      <c r="J237" s="1">
        <v>1</v>
      </c>
      <c r="L237" s="1" t="s">
        <v>11</v>
      </c>
      <c r="M237" s="1" t="s">
        <v>104</v>
      </c>
      <c r="N237" s="1" t="s">
        <v>2</v>
      </c>
      <c r="O237" s="1" t="s">
        <v>40</v>
      </c>
      <c r="P237" s="1">
        <f t="shared" si="20"/>
        <v>278.52022282000001</v>
      </c>
      <c r="Q237" s="1">
        <f t="shared" si="20"/>
        <v>242.82477827999998</v>
      </c>
      <c r="R237" s="1">
        <f t="shared" si="20"/>
        <v>235.62485645999999</v>
      </c>
      <c r="S237" s="1">
        <f t="shared" si="20"/>
        <v>203.07171233999998</v>
      </c>
      <c r="T237" s="33">
        <v>0</v>
      </c>
      <c r="U237" s="1">
        <v>1</v>
      </c>
      <c r="W237" s="1" t="s">
        <v>11</v>
      </c>
      <c r="X237" s="1" t="s">
        <v>104</v>
      </c>
      <c r="Y237" s="1" t="s">
        <v>2</v>
      </c>
      <c r="Z237" s="1" t="s">
        <v>39</v>
      </c>
      <c r="AA237" s="1">
        <f t="shared" si="19"/>
        <v>289.88839518000003</v>
      </c>
      <c r="AB237" s="1">
        <f t="shared" si="19"/>
        <v>252.73599372000001</v>
      </c>
      <c r="AC237" s="1">
        <f t="shared" si="19"/>
        <v>245.24219754000001</v>
      </c>
      <c r="AD237" s="1">
        <f t="shared" si="18"/>
        <v>211.36035365999999</v>
      </c>
      <c r="AE237" s="28">
        <f>SUM($I$13,$I$41,$I$69,$I$97,$I$125,$I$153,$I$181,$I$209,$I$237,$I$265)</f>
        <v>780.29733900000008</v>
      </c>
      <c r="AF237" s="1">
        <v>1</v>
      </c>
    </row>
    <row r="238" spans="2:32" x14ac:dyDescent="0.25">
      <c r="B238" s="1" t="s">
        <v>12</v>
      </c>
      <c r="C238" s="1" t="s">
        <v>104</v>
      </c>
      <c r="D238" s="1" t="s">
        <v>2</v>
      </c>
      <c r="E238" s="1"/>
      <c r="F238" s="1">
        <f>[1]COMGAS!B23/1000</f>
        <v>6.57674</v>
      </c>
      <c r="G238" s="1">
        <f>[1]COMGAS!C23/1000</f>
        <v>7.1072540000000002</v>
      </c>
      <c r="H238" s="1">
        <f>[1]COMGAS!D23/1000</f>
        <v>8.2194410000000016</v>
      </c>
      <c r="I238" s="1">
        <f>[1]COMGAS!E23/1000</f>
        <v>7.1947640000000002</v>
      </c>
      <c r="J238" s="1">
        <v>1</v>
      </c>
      <c r="L238" s="1" t="s">
        <v>12</v>
      </c>
      <c r="M238" s="1" t="s">
        <v>104</v>
      </c>
      <c r="N238" s="1" t="s">
        <v>2</v>
      </c>
      <c r="O238" s="1" t="s">
        <v>40</v>
      </c>
      <c r="P238" s="1">
        <f t="shared" si="20"/>
        <v>6.4452052000000002</v>
      </c>
      <c r="Q238" s="1">
        <f t="shared" si="20"/>
        <v>6.9651089200000005</v>
      </c>
      <c r="R238" s="1">
        <f t="shared" si="20"/>
        <v>8.0550521800000006</v>
      </c>
      <c r="S238" s="1">
        <f t="shared" si="20"/>
        <v>7.0508687200000004</v>
      </c>
      <c r="T238" s="33">
        <v>0</v>
      </c>
      <c r="U238" s="1">
        <v>1</v>
      </c>
      <c r="W238" s="1" t="s">
        <v>12</v>
      </c>
      <c r="X238" s="1" t="s">
        <v>104</v>
      </c>
      <c r="Y238" s="1" t="s">
        <v>2</v>
      </c>
      <c r="Z238" s="1" t="s">
        <v>39</v>
      </c>
      <c r="AA238" s="1">
        <f t="shared" si="19"/>
        <v>6.7082747999999999</v>
      </c>
      <c r="AB238" s="1">
        <f t="shared" si="19"/>
        <v>7.2493990799999999</v>
      </c>
      <c r="AC238" s="1">
        <f t="shared" si="19"/>
        <v>8.3838298200000025</v>
      </c>
      <c r="AD238" s="1">
        <f t="shared" si="18"/>
        <v>7.3386592799999999</v>
      </c>
      <c r="AE238" s="28">
        <f>SUM($I$14,$I$42,$I$70,$I$98,$I$126,$I$154,$I$182,$I$210,$I$238,$I$266)</f>
        <v>32.639519</v>
      </c>
      <c r="AF238" s="1">
        <v>1</v>
      </c>
    </row>
    <row r="239" spans="2:32" x14ac:dyDescent="0.25">
      <c r="B239" s="1" t="s">
        <v>13</v>
      </c>
      <c r="C239" s="1" t="s">
        <v>104</v>
      </c>
      <c r="D239" s="1" t="s">
        <v>2</v>
      </c>
      <c r="E239" s="1"/>
      <c r="F239" s="1">
        <f>[1]COMGAS!B24/1000</f>
        <v>360.69440000000003</v>
      </c>
      <c r="G239" s="1">
        <f>[1]COMGAS!C24/1000</f>
        <v>273.14390000000003</v>
      </c>
      <c r="H239" s="1">
        <f>[1]COMGAS!D24/1000</f>
        <v>280.94428099999993</v>
      </c>
      <c r="I239" s="1">
        <f>[1]COMGAS!E24/1000</f>
        <v>233.87654599999999</v>
      </c>
      <c r="J239" s="1">
        <v>1</v>
      </c>
      <c r="L239" s="1" t="s">
        <v>13</v>
      </c>
      <c r="M239" s="1" t="s">
        <v>104</v>
      </c>
      <c r="N239" s="1" t="s">
        <v>2</v>
      </c>
      <c r="O239" s="1" t="s">
        <v>40</v>
      </c>
      <c r="P239" s="1">
        <f>IF(ISBLANK(F239),":",0.98*F239)</f>
        <v>353.48051200000003</v>
      </c>
      <c r="Q239" s="1">
        <f t="shared" si="20"/>
        <v>267.68102200000004</v>
      </c>
      <c r="R239" s="1">
        <f t="shared" si="20"/>
        <v>275.32539537999992</v>
      </c>
      <c r="S239" s="1">
        <f t="shared" si="20"/>
        <v>229.19901507999998</v>
      </c>
      <c r="T239" s="33">
        <v>0</v>
      </c>
      <c r="U239" s="1">
        <v>1</v>
      </c>
      <c r="W239" s="1" t="s">
        <v>13</v>
      </c>
      <c r="X239" s="1" t="s">
        <v>104</v>
      </c>
      <c r="Y239" s="1" t="s">
        <v>2</v>
      </c>
      <c r="Z239" s="1" t="s">
        <v>39</v>
      </c>
      <c r="AA239" s="1">
        <f t="shared" si="19"/>
        <v>367.90828800000003</v>
      </c>
      <c r="AB239" s="1">
        <f t="shared" si="19"/>
        <v>278.60677800000002</v>
      </c>
      <c r="AC239" s="1">
        <f t="shared" si="19"/>
        <v>286.56316661999995</v>
      </c>
      <c r="AD239" s="1">
        <f t="shared" si="18"/>
        <v>238.55407692</v>
      </c>
      <c r="AE239" s="28">
        <f>SUM($I$15,$I$43,$I$71,$I$99,$I$127,$I$155,$I$183,$I$211,$I$239,$I$267)</f>
        <v>694.24554299999988</v>
      </c>
      <c r="AF239" s="1">
        <v>1</v>
      </c>
    </row>
    <row r="240" spans="2:32" x14ac:dyDescent="0.25">
      <c r="B240" s="1" t="s">
        <v>14</v>
      </c>
      <c r="C240" s="1" t="s">
        <v>104</v>
      </c>
      <c r="D240" s="1" t="s">
        <v>2</v>
      </c>
      <c r="E240" s="1"/>
      <c r="F240" s="1">
        <f>[1]COMGAS!B25/1000</f>
        <v>1.2E-2</v>
      </c>
      <c r="G240" s="1">
        <f>[1]COMGAS!C25/1000</f>
        <v>1.2E-2</v>
      </c>
      <c r="H240" s="1">
        <f>[1]COMGAS!D25/1000</f>
        <v>2.0168999999999999E-2</v>
      </c>
      <c r="I240" s="1">
        <f>[1]COMGAS!E25/1000</f>
        <v>3.7081000000000003E-2</v>
      </c>
      <c r="J240" s="1">
        <v>1</v>
      </c>
      <c r="L240" s="1" t="s">
        <v>14</v>
      </c>
      <c r="M240" s="1" t="s">
        <v>104</v>
      </c>
      <c r="N240" s="1" t="s">
        <v>2</v>
      </c>
      <c r="O240" s="1" t="s">
        <v>40</v>
      </c>
      <c r="P240" s="1">
        <f t="shared" ref="P240:S257" si="21">IF(ISBLANK(F240),":",0.98*F240)</f>
        <v>1.176E-2</v>
      </c>
      <c r="Q240" s="1">
        <f t="shared" si="21"/>
        <v>1.176E-2</v>
      </c>
      <c r="R240" s="1">
        <f t="shared" si="21"/>
        <v>1.9765619999999998E-2</v>
      </c>
      <c r="S240" s="1">
        <f t="shared" si="21"/>
        <v>3.6339380000000004E-2</v>
      </c>
      <c r="T240" s="33">
        <v>0</v>
      </c>
      <c r="U240" s="1">
        <v>1</v>
      </c>
      <c r="W240" s="1" t="s">
        <v>14</v>
      </c>
      <c r="X240" s="1" t="s">
        <v>104</v>
      </c>
      <c r="Y240" s="1" t="s">
        <v>2</v>
      </c>
      <c r="Z240" s="1" t="s">
        <v>39</v>
      </c>
      <c r="AA240" s="1">
        <f t="shared" si="19"/>
        <v>1.2240000000000001E-2</v>
      </c>
      <c r="AB240" s="1">
        <f t="shared" si="19"/>
        <v>1.2240000000000001E-2</v>
      </c>
      <c r="AC240" s="1">
        <f t="shared" si="19"/>
        <v>2.0572380000000001E-2</v>
      </c>
      <c r="AD240" s="1">
        <f t="shared" si="18"/>
        <v>3.7822620000000001E-2</v>
      </c>
      <c r="AE240" s="28">
        <f>SUM($I$16,$I$44,$I$72,$I$100,$I$128,$I$156,$I$184,$I$212,$I$240,$I$268)</f>
        <v>12.063378</v>
      </c>
      <c r="AF240" s="1">
        <v>1</v>
      </c>
    </row>
    <row r="241" spans="2:32" x14ac:dyDescent="0.25">
      <c r="B241" s="1" t="s">
        <v>15</v>
      </c>
      <c r="C241" s="1" t="s">
        <v>104</v>
      </c>
      <c r="D241" s="1" t="s">
        <v>2</v>
      </c>
      <c r="E241" s="1"/>
      <c r="F241" s="1">
        <f>[1]COMGAS!B26/1000</f>
        <v>4.9573999999999998</v>
      </c>
      <c r="G241" s="1">
        <f>[1]COMGAS!C26/1000</f>
        <v>3.7159</v>
      </c>
      <c r="H241" s="1">
        <f>[1]COMGAS!D26/1000</f>
        <v>4.7835159999999997</v>
      </c>
      <c r="I241" s="1">
        <f>[1]COMGAS!E26/1000</f>
        <v>4.5337160000000001</v>
      </c>
      <c r="J241" s="1">
        <v>1</v>
      </c>
      <c r="L241" s="1" t="s">
        <v>15</v>
      </c>
      <c r="M241" s="1" t="s">
        <v>104</v>
      </c>
      <c r="N241" s="1" t="s">
        <v>2</v>
      </c>
      <c r="O241" s="1" t="s">
        <v>40</v>
      </c>
      <c r="P241" s="1">
        <f t="shared" si="21"/>
        <v>4.8582519999999993</v>
      </c>
      <c r="Q241" s="1">
        <f t="shared" si="21"/>
        <v>3.6415820000000001</v>
      </c>
      <c r="R241" s="1">
        <f t="shared" si="21"/>
        <v>4.6878456799999997</v>
      </c>
      <c r="S241" s="1">
        <f t="shared" si="21"/>
        <v>4.4430416800000003</v>
      </c>
      <c r="T241" s="33">
        <v>0</v>
      </c>
      <c r="U241" s="1">
        <v>1</v>
      </c>
      <c r="W241" s="1" t="s">
        <v>15</v>
      </c>
      <c r="X241" s="1" t="s">
        <v>104</v>
      </c>
      <c r="Y241" s="1" t="s">
        <v>2</v>
      </c>
      <c r="Z241" s="1" t="s">
        <v>39</v>
      </c>
      <c r="AA241" s="1">
        <f t="shared" si="19"/>
        <v>5.0565480000000003</v>
      </c>
      <c r="AB241" s="1">
        <f t="shared" si="19"/>
        <v>3.7902179999999999</v>
      </c>
      <c r="AC241" s="1">
        <f t="shared" si="19"/>
        <v>4.8791863199999996</v>
      </c>
      <c r="AD241" s="1">
        <f t="shared" si="18"/>
        <v>4.6243903199999998</v>
      </c>
      <c r="AE241" s="28">
        <f>SUM($I$17,$I$45,$I$73,$I$101,$I$129,$I$157,$I$185,$I$213,$I$241,$I$269)</f>
        <v>22.533501999999999</v>
      </c>
      <c r="AF241" s="1">
        <v>1</v>
      </c>
    </row>
    <row r="242" spans="2:32" x14ac:dyDescent="0.25">
      <c r="B242" s="1" t="s">
        <v>16</v>
      </c>
      <c r="C242" s="1" t="s">
        <v>104</v>
      </c>
      <c r="D242" s="1" t="s">
        <v>2</v>
      </c>
      <c r="E242" s="1"/>
      <c r="F242" s="1">
        <f>[1]COMGAS!B27/1000</f>
        <v>2.8500999999999999</v>
      </c>
      <c r="G242" s="1">
        <f>[1]COMGAS!C27/1000</f>
        <v>2.7659000000000002</v>
      </c>
      <c r="H242" s="1">
        <f>[1]COMGAS!D27/1000</f>
        <v>3.0983679999999998</v>
      </c>
      <c r="I242" s="1">
        <f>[1]COMGAS!E27/1000</f>
        <v>4.0782400000000001</v>
      </c>
      <c r="J242" s="1">
        <v>1</v>
      </c>
      <c r="L242" s="1" t="s">
        <v>16</v>
      </c>
      <c r="M242" s="1" t="s">
        <v>104</v>
      </c>
      <c r="N242" s="1" t="s">
        <v>2</v>
      </c>
      <c r="O242" s="1" t="s">
        <v>40</v>
      </c>
      <c r="P242" s="1">
        <f t="shared" si="21"/>
        <v>2.7930979999999996</v>
      </c>
      <c r="Q242" s="1">
        <f t="shared" si="21"/>
        <v>2.710582</v>
      </c>
      <c r="R242" s="1">
        <f t="shared" si="21"/>
        <v>3.0364006399999997</v>
      </c>
      <c r="S242" s="1">
        <f t="shared" si="21"/>
        <v>3.9966751999999999</v>
      </c>
      <c r="T242" s="33">
        <v>0</v>
      </c>
      <c r="U242" s="1">
        <v>1</v>
      </c>
      <c r="W242" s="1" t="s">
        <v>16</v>
      </c>
      <c r="X242" s="1" t="s">
        <v>104</v>
      </c>
      <c r="Y242" s="1" t="s">
        <v>2</v>
      </c>
      <c r="Z242" s="1" t="s">
        <v>39</v>
      </c>
      <c r="AA242" s="1">
        <f t="shared" si="19"/>
        <v>2.9071020000000001</v>
      </c>
      <c r="AB242" s="1">
        <f t="shared" si="19"/>
        <v>2.8212180000000004</v>
      </c>
      <c r="AC242" s="1">
        <f t="shared" si="19"/>
        <v>3.1603353599999999</v>
      </c>
      <c r="AD242" s="1">
        <f t="shared" si="18"/>
        <v>4.1598047999999999</v>
      </c>
      <c r="AE242" s="28">
        <f>SUM($I$18,$I$46,$I$74,$I$102,$I$130,$I$158,$I$186,$I$214,$I$242,$I$270)</f>
        <v>25.619449000000003</v>
      </c>
      <c r="AF242" s="1">
        <v>1</v>
      </c>
    </row>
    <row r="243" spans="2:32" x14ac:dyDescent="0.25">
      <c r="B243" s="1" t="s">
        <v>17</v>
      </c>
      <c r="C243" s="1" t="s">
        <v>104</v>
      </c>
      <c r="D243" s="1" t="s">
        <v>2</v>
      </c>
      <c r="E243" s="1"/>
      <c r="F243" s="1">
        <f>[1]COMGAS!B28/1000</f>
        <v>5.7375129999999999</v>
      </c>
      <c r="G243" s="1">
        <f>[1]COMGAS!C28/1000</f>
        <v>4.374053</v>
      </c>
      <c r="H243" s="1">
        <f>[1]COMGAS!D28/1000</f>
        <v>3.1777500000000001</v>
      </c>
      <c r="I243" s="1">
        <f>[1]COMGAS!E28/1000</f>
        <v>3.3979690000000002</v>
      </c>
      <c r="J243" s="1">
        <v>1</v>
      </c>
      <c r="L243" s="1" t="s">
        <v>17</v>
      </c>
      <c r="M243" s="1" t="s">
        <v>104</v>
      </c>
      <c r="N243" s="1" t="s">
        <v>2</v>
      </c>
      <c r="O243" s="1" t="s">
        <v>40</v>
      </c>
      <c r="P243" s="1">
        <f t="shared" si="21"/>
        <v>5.6227627399999998</v>
      </c>
      <c r="Q243" s="1">
        <f t="shared" si="21"/>
        <v>4.28657194</v>
      </c>
      <c r="R243" s="1">
        <f t="shared" si="21"/>
        <v>3.114195</v>
      </c>
      <c r="S243" s="1">
        <f t="shared" si="21"/>
        <v>3.3300096200000002</v>
      </c>
      <c r="T243" s="33">
        <v>0</v>
      </c>
      <c r="U243" s="1">
        <v>1</v>
      </c>
      <c r="W243" s="1" t="s">
        <v>17</v>
      </c>
      <c r="X243" s="1" t="s">
        <v>104</v>
      </c>
      <c r="Y243" s="1" t="s">
        <v>2</v>
      </c>
      <c r="Z243" s="1" t="s">
        <v>39</v>
      </c>
      <c r="AA243" s="1">
        <f t="shared" si="19"/>
        <v>5.85226326</v>
      </c>
      <c r="AB243" s="1">
        <f t="shared" si="19"/>
        <v>4.46153406</v>
      </c>
      <c r="AC243" s="1">
        <f t="shared" si="19"/>
        <v>3.2413050000000001</v>
      </c>
      <c r="AD243" s="1">
        <f t="shared" si="18"/>
        <v>3.4659283800000003</v>
      </c>
      <c r="AE243" s="28">
        <f>SUM($I$19,$I$47,$I$75,$I$103,$I$131,$I$159,$I$187,$I$215,$I$243,$I$271)</f>
        <v>18.465619999999998</v>
      </c>
      <c r="AF243" s="1">
        <v>1</v>
      </c>
    </row>
    <row r="244" spans="2:32" x14ac:dyDescent="0.25">
      <c r="B244" s="1" t="s">
        <v>18</v>
      </c>
      <c r="C244" s="1" t="s">
        <v>104</v>
      </c>
      <c r="D244" s="1" t="s">
        <v>2</v>
      </c>
      <c r="E244" s="1"/>
      <c r="F244" s="1">
        <f>[1]COMGAS!B29/1000</f>
        <v>71.921999999999997</v>
      </c>
      <c r="G244" s="1">
        <f>[1]COMGAS!C29/1000</f>
        <v>52.8964</v>
      </c>
      <c r="H244" s="1">
        <f>[1]COMGAS!D29/1000</f>
        <v>44.603999999999999</v>
      </c>
      <c r="I244" s="1">
        <f>[1]COMGAS!E29/1000</f>
        <v>30.855799999999999</v>
      </c>
      <c r="J244" s="1">
        <v>1</v>
      </c>
      <c r="L244" s="1" t="s">
        <v>18</v>
      </c>
      <c r="M244" s="1" t="s">
        <v>104</v>
      </c>
      <c r="N244" s="1" t="s">
        <v>2</v>
      </c>
      <c r="O244" s="1" t="s">
        <v>40</v>
      </c>
      <c r="P244" s="1">
        <f t="shared" si="21"/>
        <v>70.483559999999997</v>
      </c>
      <c r="Q244" s="1">
        <f t="shared" si="21"/>
        <v>51.838471999999996</v>
      </c>
      <c r="R244" s="1">
        <f t="shared" si="21"/>
        <v>43.711919999999999</v>
      </c>
      <c r="S244" s="1">
        <f t="shared" si="21"/>
        <v>30.238683999999999</v>
      </c>
      <c r="T244" s="33">
        <v>0</v>
      </c>
      <c r="U244" s="1">
        <v>1</v>
      </c>
      <c r="W244" s="1" t="s">
        <v>18</v>
      </c>
      <c r="X244" s="1" t="s">
        <v>104</v>
      </c>
      <c r="Y244" s="1" t="s">
        <v>2</v>
      </c>
      <c r="Z244" s="1" t="s">
        <v>39</v>
      </c>
      <c r="AA244" s="1">
        <f t="shared" si="19"/>
        <v>73.360439999999997</v>
      </c>
      <c r="AB244" s="1">
        <f t="shared" si="19"/>
        <v>53.954328000000004</v>
      </c>
      <c r="AC244" s="1">
        <f t="shared" si="19"/>
        <v>45.496079999999999</v>
      </c>
      <c r="AD244" s="1">
        <f t="shared" si="18"/>
        <v>31.472915999999998</v>
      </c>
      <c r="AE244" s="28">
        <f>SUM($I$20,$I$48,$I$76,$I$104,$I$132,$I$160,$I$188,$I$216,$I$244,$I$272)</f>
        <v>68.587658000000005</v>
      </c>
      <c r="AF244" s="1">
        <v>1</v>
      </c>
    </row>
    <row r="245" spans="2:32" x14ac:dyDescent="0.25">
      <c r="B245" s="1" t="s">
        <v>20</v>
      </c>
      <c r="C245" s="1" t="s">
        <v>104</v>
      </c>
      <c r="D245" s="1" t="s">
        <v>2</v>
      </c>
      <c r="E245" s="1"/>
      <c r="F245" s="1">
        <f>[1]COMGAS!B30/1000</f>
        <v>170.43623700000001</v>
      </c>
      <c r="G245" s="1">
        <f>[1]COMGAS!C30/1000</f>
        <v>131.79757199999997</v>
      </c>
      <c r="H245" s="1">
        <f>[1]COMGAS!D30/1000</f>
        <v>106.076519</v>
      </c>
      <c r="I245" s="1">
        <f>[1]COMGAS!E30/1000</f>
        <v>90.186592000000005</v>
      </c>
      <c r="J245" s="1">
        <v>1</v>
      </c>
      <c r="L245" s="1" t="s">
        <v>20</v>
      </c>
      <c r="M245" s="1" t="s">
        <v>104</v>
      </c>
      <c r="N245" s="1" t="s">
        <v>2</v>
      </c>
      <c r="O245" s="1" t="s">
        <v>40</v>
      </c>
      <c r="P245" s="1">
        <f t="shared" si="21"/>
        <v>167.02751226000001</v>
      </c>
      <c r="Q245" s="1">
        <f t="shared" si="21"/>
        <v>129.16162055999996</v>
      </c>
      <c r="R245" s="1">
        <f t="shared" si="21"/>
        <v>103.95498862000001</v>
      </c>
      <c r="S245" s="1">
        <f t="shared" si="21"/>
        <v>88.382860160000007</v>
      </c>
      <c r="T245" s="33">
        <v>0</v>
      </c>
      <c r="U245" s="1">
        <v>1</v>
      </c>
      <c r="W245" s="1" t="s">
        <v>20</v>
      </c>
      <c r="X245" s="1" t="s">
        <v>104</v>
      </c>
      <c r="Y245" s="1" t="s">
        <v>2</v>
      </c>
      <c r="Z245" s="1" t="s">
        <v>39</v>
      </c>
      <c r="AA245" s="1">
        <f t="shared" si="19"/>
        <v>173.84496174</v>
      </c>
      <c r="AB245" s="1">
        <f t="shared" si="19"/>
        <v>134.43352343999999</v>
      </c>
      <c r="AC245" s="1">
        <f t="shared" si="19"/>
        <v>108.19804938</v>
      </c>
      <c r="AD245" s="1">
        <f t="shared" si="18"/>
        <v>91.990323840000002</v>
      </c>
      <c r="AE245" s="28">
        <f>SUM($I$21,$I$49,$I$77,$I$105,$I$133,$I$161,$I$189,$I$217,$I$245,$I$273)</f>
        <v>254.70966400000003</v>
      </c>
      <c r="AF245" s="1">
        <v>1</v>
      </c>
    </row>
    <row r="246" spans="2:32" x14ac:dyDescent="0.25">
      <c r="B246" s="1" t="s">
        <v>21</v>
      </c>
      <c r="C246" s="1" t="s">
        <v>104</v>
      </c>
      <c r="D246" s="1" t="s">
        <v>2</v>
      </c>
      <c r="E246" s="1"/>
      <c r="F246" s="1">
        <f>[1]COMGAS!B31/1000</f>
        <v>17.184231</v>
      </c>
      <c r="G246" s="1">
        <f>[1]COMGAS!C31/1000</f>
        <v>15.194825000000002</v>
      </c>
      <c r="H246" s="1">
        <f>[1]COMGAS!D31/1000</f>
        <v>14.567367999999998</v>
      </c>
      <c r="I246" s="1">
        <f>[1]COMGAS!E31/1000</f>
        <v>14.194192999999999</v>
      </c>
      <c r="J246" s="1">
        <v>1</v>
      </c>
      <c r="L246" s="1" t="s">
        <v>21</v>
      </c>
      <c r="M246" s="1" t="s">
        <v>104</v>
      </c>
      <c r="N246" s="1" t="s">
        <v>2</v>
      </c>
      <c r="O246" s="1" t="s">
        <v>40</v>
      </c>
      <c r="P246" s="1">
        <f t="shared" si="21"/>
        <v>16.840546379999999</v>
      </c>
      <c r="Q246" s="1">
        <f t="shared" si="21"/>
        <v>14.890928500000001</v>
      </c>
      <c r="R246" s="1">
        <f t="shared" si="21"/>
        <v>14.276020639999999</v>
      </c>
      <c r="S246" s="1">
        <f t="shared" si="21"/>
        <v>13.910309139999999</v>
      </c>
      <c r="T246" s="33">
        <v>0</v>
      </c>
      <c r="U246" s="1">
        <v>1</v>
      </c>
      <c r="W246" s="1" t="s">
        <v>21</v>
      </c>
      <c r="X246" s="1" t="s">
        <v>104</v>
      </c>
      <c r="Y246" s="1" t="s">
        <v>2</v>
      </c>
      <c r="Z246" s="1" t="s">
        <v>39</v>
      </c>
      <c r="AA246" s="1">
        <f t="shared" si="19"/>
        <v>17.527915620000002</v>
      </c>
      <c r="AB246" s="1">
        <f t="shared" si="19"/>
        <v>15.498721500000002</v>
      </c>
      <c r="AC246" s="1">
        <f t="shared" si="19"/>
        <v>14.858715359999998</v>
      </c>
      <c r="AD246" s="1">
        <f t="shared" si="18"/>
        <v>14.478076859999998</v>
      </c>
      <c r="AE246" s="28">
        <f>SUM($I$22,$I$50,$I$78,$I$106,$I$134,$I$162,$I$190,$I$218,$I$246,$I$274)</f>
        <v>101.032432</v>
      </c>
      <c r="AF246" s="1">
        <v>1</v>
      </c>
    </row>
    <row r="247" spans="2:32" x14ac:dyDescent="0.25">
      <c r="B247" s="1" t="s">
        <v>22</v>
      </c>
      <c r="C247" s="1" t="s">
        <v>104</v>
      </c>
      <c r="D247" s="1" t="s">
        <v>2</v>
      </c>
      <c r="E247" s="1"/>
      <c r="F247" s="1">
        <f>[1]COMGAS!B32/1000</f>
        <v>85.264989</v>
      </c>
      <c r="G247" s="1">
        <f>[1]COMGAS!C32/1000</f>
        <v>74.186671000000004</v>
      </c>
      <c r="H247" s="1">
        <f>[1]COMGAS!D32/1000</f>
        <v>50.642522</v>
      </c>
      <c r="I247" s="1">
        <f>[1]COMGAS!E32/1000</f>
        <v>62.121112000000004</v>
      </c>
      <c r="J247" s="1">
        <v>1</v>
      </c>
      <c r="L247" s="1" t="s">
        <v>22</v>
      </c>
      <c r="M247" s="1" t="s">
        <v>104</v>
      </c>
      <c r="N247" s="1" t="s">
        <v>2</v>
      </c>
      <c r="O247" s="1" t="s">
        <v>40</v>
      </c>
      <c r="P247" s="1">
        <f t="shared" si="21"/>
        <v>83.559689219999996</v>
      </c>
      <c r="Q247" s="1">
        <f t="shared" si="21"/>
        <v>72.702937579999997</v>
      </c>
      <c r="R247" s="1">
        <f t="shared" si="21"/>
        <v>49.629671559999998</v>
      </c>
      <c r="S247" s="1">
        <f t="shared" si="21"/>
        <v>60.87868976</v>
      </c>
      <c r="T247" s="33">
        <v>0</v>
      </c>
      <c r="U247" s="1">
        <v>1</v>
      </c>
      <c r="W247" s="1" t="s">
        <v>22</v>
      </c>
      <c r="X247" s="1" t="s">
        <v>104</v>
      </c>
      <c r="Y247" s="1" t="s">
        <v>2</v>
      </c>
      <c r="Z247" s="1" t="s">
        <v>39</v>
      </c>
      <c r="AA247" s="1">
        <f t="shared" si="19"/>
        <v>86.970288780000004</v>
      </c>
      <c r="AB247" s="1">
        <f t="shared" si="19"/>
        <v>75.670404420000011</v>
      </c>
      <c r="AC247" s="1">
        <f t="shared" si="19"/>
        <v>51.655372440000001</v>
      </c>
      <c r="AD247" s="1">
        <f t="shared" si="18"/>
        <v>63.363534240000007</v>
      </c>
      <c r="AE247" s="28">
        <f>SUM($I$23,$I$51,$I$79,$I$107,$I$135,$I$163,$I$191,$I$219,$I$247,$I$275)</f>
        <v>338.02420999999998</v>
      </c>
      <c r="AF247" s="1">
        <v>1</v>
      </c>
    </row>
    <row r="248" spans="2:32" x14ac:dyDescent="0.25">
      <c r="B248" s="1" t="s">
        <v>23</v>
      </c>
      <c r="C248" s="1" t="s">
        <v>104</v>
      </c>
      <c r="D248" s="1" t="s">
        <v>2</v>
      </c>
      <c r="E248" s="1"/>
      <c r="F248" s="1">
        <f>[1]COMGAS!B33/1000</f>
        <v>8.2179000000000002</v>
      </c>
      <c r="G248" s="1">
        <f>[1]COMGAS!C33/1000</f>
        <v>9.7825190000000006</v>
      </c>
      <c r="H248" s="1">
        <f>[1]COMGAS!D33/1000</f>
        <v>8.4865059999999986</v>
      </c>
      <c r="I248" s="1">
        <f>[1]COMGAS!E33/1000</f>
        <v>9.3749660000000006</v>
      </c>
      <c r="J248" s="1">
        <v>1</v>
      </c>
      <c r="L248" s="1" t="s">
        <v>23</v>
      </c>
      <c r="M248" s="1" t="s">
        <v>104</v>
      </c>
      <c r="N248" s="1" t="s">
        <v>2</v>
      </c>
      <c r="O248" s="1" t="s">
        <v>40</v>
      </c>
      <c r="P248" s="1">
        <f t="shared" si="21"/>
        <v>8.0535420000000002</v>
      </c>
      <c r="Q248" s="1">
        <f t="shared" si="21"/>
        <v>9.5868686200000006</v>
      </c>
      <c r="R248" s="1">
        <f t="shared" si="21"/>
        <v>8.316775879999998</v>
      </c>
      <c r="S248" s="1">
        <f t="shared" si="21"/>
        <v>9.18746668</v>
      </c>
      <c r="T248" s="33">
        <v>0</v>
      </c>
      <c r="U248" s="1">
        <v>1</v>
      </c>
      <c r="W248" s="1" t="s">
        <v>23</v>
      </c>
      <c r="X248" s="1" t="s">
        <v>104</v>
      </c>
      <c r="Y248" s="1" t="s">
        <v>2</v>
      </c>
      <c r="Z248" s="1" t="s">
        <v>39</v>
      </c>
      <c r="AA248" s="1">
        <f t="shared" si="19"/>
        <v>8.3822580000000002</v>
      </c>
      <c r="AB248" s="1">
        <f t="shared" si="19"/>
        <v>9.9781693800000006</v>
      </c>
      <c r="AC248" s="1">
        <f t="shared" si="19"/>
        <v>8.6562361199999991</v>
      </c>
      <c r="AD248" s="1">
        <f t="shared" si="18"/>
        <v>9.5624653200000012</v>
      </c>
      <c r="AE248" s="28">
        <f>SUM($I$24,$I$52,$I$80,$I$108,$I$136,$I$164,$I$192,$I$220,$I$248,$I$276)</f>
        <v>100.75319400000001</v>
      </c>
      <c r="AF248" s="1">
        <v>1</v>
      </c>
    </row>
    <row r="249" spans="2:32" x14ac:dyDescent="0.25">
      <c r="B249" s="1" t="s">
        <v>24</v>
      </c>
      <c r="C249" s="1" t="s">
        <v>104</v>
      </c>
      <c r="D249" s="1" t="s">
        <v>2</v>
      </c>
      <c r="E249" s="1"/>
      <c r="F249" s="1">
        <f>[1]COMGAS!B34/1000</f>
        <v>39.172499999999999</v>
      </c>
      <c r="G249" s="1">
        <f>[1]COMGAS!C34/1000</f>
        <v>31.426200000000001</v>
      </c>
      <c r="H249" s="1">
        <f>[1]COMGAS!D34/1000</f>
        <v>32.345823000000003</v>
      </c>
      <c r="I249" s="1">
        <f>[1]COMGAS!E34/1000</f>
        <v>36.270235999999997</v>
      </c>
      <c r="J249" s="1">
        <v>1</v>
      </c>
      <c r="L249" s="1" t="s">
        <v>24</v>
      </c>
      <c r="M249" s="1" t="s">
        <v>104</v>
      </c>
      <c r="N249" s="1" t="s">
        <v>2</v>
      </c>
      <c r="O249" s="1" t="s">
        <v>40</v>
      </c>
      <c r="P249" s="1">
        <f t="shared" si="21"/>
        <v>38.389049999999997</v>
      </c>
      <c r="Q249" s="1">
        <f t="shared" si="21"/>
        <v>30.797675999999999</v>
      </c>
      <c r="R249" s="1">
        <f t="shared" si="21"/>
        <v>31.698906540000003</v>
      </c>
      <c r="S249" s="1">
        <f t="shared" si="21"/>
        <v>35.544831279999997</v>
      </c>
      <c r="T249" s="33">
        <v>0</v>
      </c>
      <c r="U249" s="1">
        <v>1</v>
      </c>
      <c r="W249" s="1" t="s">
        <v>24</v>
      </c>
      <c r="X249" s="1" t="s">
        <v>104</v>
      </c>
      <c r="Y249" s="1" t="s">
        <v>2</v>
      </c>
      <c r="Z249" s="1" t="s">
        <v>39</v>
      </c>
      <c r="AA249" s="1">
        <f t="shared" si="19"/>
        <v>39.955950000000001</v>
      </c>
      <c r="AB249" s="1">
        <f t="shared" si="19"/>
        <v>32.054724</v>
      </c>
      <c r="AC249" s="1">
        <f t="shared" si="19"/>
        <v>32.992739460000003</v>
      </c>
      <c r="AD249" s="1">
        <f t="shared" si="18"/>
        <v>36.995640719999997</v>
      </c>
      <c r="AE249" s="28">
        <f>SUM($I$25,$I$53,$I$81,$I$109,$I$137,$I$165,$I$193,$I$221,$I$249,$I$277)</f>
        <v>85.709021000000007</v>
      </c>
      <c r="AF249" s="1">
        <v>1</v>
      </c>
    </row>
    <row r="250" spans="2:32" x14ac:dyDescent="0.25">
      <c r="B250" s="1" t="s">
        <v>25</v>
      </c>
      <c r="C250" s="1" t="s">
        <v>104</v>
      </c>
      <c r="D250" s="1" t="s">
        <v>2</v>
      </c>
      <c r="E250" s="1"/>
      <c r="F250" s="1">
        <f>[1]COMGAS!B35/1000</f>
        <v>1.0851</v>
      </c>
      <c r="G250" s="1">
        <f>[1]COMGAS!C35/1000</f>
        <v>2.1628000000000003</v>
      </c>
      <c r="H250" s="1">
        <f>[1]COMGAS!D35/1000</f>
        <v>1.0749040000000001</v>
      </c>
      <c r="I250" s="1">
        <f>[1]COMGAS!E35/1000</f>
        <v>2.3160459999999996</v>
      </c>
      <c r="J250" s="1">
        <v>1</v>
      </c>
      <c r="L250" s="1" t="s">
        <v>25</v>
      </c>
      <c r="M250" s="1" t="s">
        <v>104</v>
      </c>
      <c r="N250" s="1" t="s">
        <v>2</v>
      </c>
      <c r="O250" s="1" t="s">
        <v>40</v>
      </c>
      <c r="P250" s="1">
        <f t="shared" si="21"/>
        <v>1.0633979999999998</v>
      </c>
      <c r="Q250" s="1">
        <f t="shared" si="21"/>
        <v>2.1195440000000003</v>
      </c>
      <c r="R250" s="1">
        <f t="shared" si="21"/>
        <v>1.0534059200000001</v>
      </c>
      <c r="S250" s="1">
        <f t="shared" si="21"/>
        <v>2.2697250799999997</v>
      </c>
      <c r="T250" s="33">
        <v>0</v>
      </c>
      <c r="U250" s="1">
        <v>1</v>
      </c>
      <c r="W250" s="1" t="s">
        <v>25</v>
      </c>
      <c r="X250" s="1" t="s">
        <v>104</v>
      </c>
      <c r="Y250" s="1" t="s">
        <v>2</v>
      </c>
      <c r="Z250" s="1" t="s">
        <v>39</v>
      </c>
      <c r="AA250" s="1">
        <f t="shared" si="19"/>
        <v>1.1068020000000001</v>
      </c>
      <c r="AB250" s="1">
        <f t="shared" si="19"/>
        <v>2.2060560000000002</v>
      </c>
      <c r="AC250" s="1">
        <f t="shared" si="19"/>
        <v>1.0964020800000001</v>
      </c>
      <c r="AD250" s="1">
        <f t="shared" si="18"/>
        <v>2.3623669199999995</v>
      </c>
      <c r="AE250" s="28">
        <f>SUM($I$26,$I$54,$I$82,$I$110,$I$138,$I$166,$I$194,$I$222,$I$250,$I$278)</f>
        <v>18.304008</v>
      </c>
      <c r="AF250" s="1">
        <v>1</v>
      </c>
    </row>
    <row r="251" spans="2:32" x14ac:dyDescent="0.25">
      <c r="B251" s="1" t="s">
        <v>26</v>
      </c>
      <c r="C251" s="1" t="s">
        <v>104</v>
      </c>
      <c r="D251" s="1" t="s">
        <v>2</v>
      </c>
      <c r="E251" s="1"/>
      <c r="F251" s="1">
        <f>[1]COMGAS!B36/1000</f>
        <v>35.478499999999997</v>
      </c>
      <c r="G251" s="1">
        <f>[1]COMGAS!C36/1000</f>
        <v>22.6356</v>
      </c>
      <c r="H251" s="1">
        <f>[1]COMGAS!D36/1000</f>
        <v>15.167870000000001</v>
      </c>
      <c r="I251" s="1">
        <f>[1]COMGAS!E36/1000</f>
        <v>18.3231</v>
      </c>
      <c r="J251" s="1">
        <v>1</v>
      </c>
      <c r="L251" s="1" t="s">
        <v>26</v>
      </c>
      <c r="M251" s="1" t="s">
        <v>104</v>
      </c>
      <c r="N251" s="1" t="s">
        <v>2</v>
      </c>
      <c r="O251" s="1" t="s">
        <v>40</v>
      </c>
      <c r="P251" s="1">
        <f t="shared" si="21"/>
        <v>34.768929999999997</v>
      </c>
      <c r="Q251" s="1">
        <f t="shared" si="21"/>
        <v>22.182887999999998</v>
      </c>
      <c r="R251" s="1">
        <f t="shared" si="21"/>
        <v>14.864512600000001</v>
      </c>
      <c r="S251" s="1">
        <f t="shared" si="21"/>
        <v>17.956637999999998</v>
      </c>
      <c r="T251" s="33">
        <v>0</v>
      </c>
      <c r="U251" s="1">
        <v>1</v>
      </c>
      <c r="W251" s="1" t="s">
        <v>26</v>
      </c>
      <c r="X251" s="1" t="s">
        <v>104</v>
      </c>
      <c r="Y251" s="1" t="s">
        <v>2</v>
      </c>
      <c r="Z251" s="1" t="s">
        <v>39</v>
      </c>
      <c r="AA251" s="1">
        <f t="shared" si="19"/>
        <v>36.188069999999996</v>
      </c>
      <c r="AB251" s="1">
        <f t="shared" si="19"/>
        <v>23.088312000000002</v>
      </c>
      <c r="AC251" s="1">
        <f t="shared" si="19"/>
        <v>15.4712274</v>
      </c>
      <c r="AD251" s="1">
        <f t="shared" si="18"/>
        <v>18.689562000000002</v>
      </c>
      <c r="AE251" s="28">
        <f>SUM($I$27,$I$55,$I$83,$I$111,$I$139,$I$167,$I$195,$I$223,$I$251,$I$279)</f>
        <v>46.794905</v>
      </c>
      <c r="AF251" s="1">
        <v>1</v>
      </c>
    </row>
    <row r="252" spans="2:32" x14ac:dyDescent="0.25">
      <c r="B252" s="1" t="s">
        <v>27</v>
      </c>
      <c r="C252" s="1" t="s">
        <v>104</v>
      </c>
      <c r="D252" s="1" t="s">
        <v>2</v>
      </c>
      <c r="E252" s="1"/>
      <c r="F252" s="1">
        <f>[1]COMGAS!B37/1000</f>
        <v>1.723792</v>
      </c>
      <c r="G252" s="1">
        <f>[1]COMGAS!C37/1000</f>
        <v>1.6859999999999999</v>
      </c>
      <c r="H252" s="1">
        <f>[1]COMGAS!D37/1000</f>
        <v>1.61</v>
      </c>
      <c r="I252" s="1">
        <f>[1]COMGAS!E37/1000</f>
        <v>1.2975700000000001</v>
      </c>
      <c r="J252" s="1">
        <v>1</v>
      </c>
      <c r="L252" s="1" t="s">
        <v>27</v>
      </c>
      <c r="M252" s="1" t="s">
        <v>104</v>
      </c>
      <c r="N252" s="1" t="s">
        <v>2</v>
      </c>
      <c r="O252" s="1" t="s">
        <v>40</v>
      </c>
      <c r="P252" s="1">
        <f t="shared" si="21"/>
        <v>1.68931616</v>
      </c>
      <c r="Q252" s="1">
        <f t="shared" si="21"/>
        <v>1.65228</v>
      </c>
      <c r="R252" s="1">
        <f t="shared" si="21"/>
        <v>1.5778000000000001</v>
      </c>
      <c r="S252" s="1">
        <f t="shared" si="21"/>
        <v>1.2716186</v>
      </c>
      <c r="T252" s="33">
        <v>0</v>
      </c>
      <c r="U252" s="1">
        <v>1</v>
      </c>
      <c r="W252" s="1" t="s">
        <v>27</v>
      </c>
      <c r="X252" s="1" t="s">
        <v>104</v>
      </c>
      <c r="Y252" s="1" t="s">
        <v>2</v>
      </c>
      <c r="Z252" s="1" t="s">
        <v>39</v>
      </c>
      <c r="AA252" s="1">
        <f t="shared" si="19"/>
        <v>1.75826784</v>
      </c>
      <c r="AB252" s="1">
        <f t="shared" si="19"/>
        <v>1.7197199999999999</v>
      </c>
      <c r="AC252" s="1">
        <f t="shared" si="19"/>
        <v>1.6422000000000001</v>
      </c>
      <c r="AD252" s="1">
        <f t="shared" si="18"/>
        <v>1.3235214000000002</v>
      </c>
      <c r="AE252" s="28">
        <f>SUM($I$28,$I$56,$I$84,$I$112,$I$140,$I$168,$I$196,$I$224,$I$252,$I$280)</f>
        <v>121.343903</v>
      </c>
      <c r="AF252" s="1">
        <v>1</v>
      </c>
    </row>
    <row r="253" spans="2:32" x14ac:dyDescent="0.25">
      <c r="B253" s="1" t="s">
        <v>28</v>
      </c>
      <c r="C253" s="1" t="s">
        <v>104</v>
      </c>
      <c r="D253" s="1" t="s">
        <v>2</v>
      </c>
      <c r="E253" s="1"/>
      <c r="F253" s="1">
        <f>[1]COMGAS!B38/1000</f>
        <v>4.2984</v>
      </c>
      <c r="G253" s="1">
        <f>[1]COMGAS!C38/1000</f>
        <v>3.9771000000000001</v>
      </c>
      <c r="H253" s="1">
        <f>[1]COMGAS!D38/1000</f>
        <v>3.9867330000000001</v>
      </c>
      <c r="I253" s="1">
        <f>[1]COMGAS!E38/1000</f>
        <v>3.157816</v>
      </c>
      <c r="J253" s="1">
        <v>1</v>
      </c>
      <c r="L253" s="1" t="s">
        <v>28</v>
      </c>
      <c r="M253" s="1" t="s">
        <v>104</v>
      </c>
      <c r="N253" s="1" t="s">
        <v>2</v>
      </c>
      <c r="O253" s="1" t="s">
        <v>40</v>
      </c>
      <c r="P253" s="1">
        <f t="shared" si="21"/>
        <v>4.2124319999999997</v>
      </c>
      <c r="Q253" s="1">
        <f t="shared" si="21"/>
        <v>3.8975580000000001</v>
      </c>
      <c r="R253" s="1">
        <f t="shared" si="21"/>
        <v>3.9069983399999999</v>
      </c>
      <c r="S253" s="1">
        <f t="shared" si="21"/>
        <v>3.0946596799999999</v>
      </c>
      <c r="T253" s="33">
        <v>0</v>
      </c>
      <c r="U253" s="1">
        <v>1</v>
      </c>
      <c r="W253" s="1" t="s">
        <v>28</v>
      </c>
      <c r="X253" s="1" t="s">
        <v>104</v>
      </c>
      <c r="Y253" s="1" t="s">
        <v>2</v>
      </c>
      <c r="Z253" s="1" t="s">
        <v>39</v>
      </c>
      <c r="AA253" s="1">
        <f t="shared" si="19"/>
        <v>4.3843680000000003</v>
      </c>
      <c r="AB253" s="1">
        <f t="shared" si="19"/>
        <v>4.0566420000000001</v>
      </c>
      <c r="AC253" s="1">
        <f t="shared" si="19"/>
        <v>4.0664676599999998</v>
      </c>
      <c r="AD253" s="1">
        <f t="shared" si="18"/>
        <v>3.22097232</v>
      </c>
      <c r="AE253" s="28">
        <f>SUM($I$29,$I$57,$I$85,$I$113,$I$141,$I$169,$I$197,$I$225,$I$253,$I$281)</f>
        <v>174.41146799999999</v>
      </c>
      <c r="AF253" s="1">
        <v>1</v>
      </c>
    </row>
    <row r="254" spans="2:32" x14ac:dyDescent="0.25">
      <c r="B254" s="1" t="s">
        <v>29</v>
      </c>
      <c r="C254" s="1" t="s">
        <v>104</v>
      </c>
      <c r="D254" s="1" t="s">
        <v>2</v>
      </c>
      <c r="E254" s="1"/>
      <c r="F254" s="1">
        <f>[1]COMGAS!B39/1000</f>
        <v>1.472132</v>
      </c>
      <c r="G254" s="1">
        <f>[1]COMGAS!C39/1000</f>
        <v>1.4985679999999999</v>
      </c>
      <c r="H254" s="1">
        <f>[1]COMGAS!D39/1000</f>
        <v>1.4679980000000001</v>
      </c>
      <c r="I254" s="1">
        <f>[1]COMGAS!E39/1000</f>
        <v>0.842387</v>
      </c>
      <c r="J254" s="1">
        <v>1</v>
      </c>
      <c r="L254" s="1" t="s">
        <v>29</v>
      </c>
      <c r="M254" s="1" t="s">
        <v>104</v>
      </c>
      <c r="N254" s="1" t="s">
        <v>2</v>
      </c>
      <c r="O254" s="1" t="s">
        <v>40</v>
      </c>
      <c r="P254" s="1">
        <f t="shared" si="21"/>
        <v>1.4426893599999999</v>
      </c>
      <c r="Q254" s="1">
        <f t="shared" si="21"/>
        <v>1.4685966399999999</v>
      </c>
      <c r="R254" s="1">
        <f t="shared" si="21"/>
        <v>1.4386380400000001</v>
      </c>
      <c r="S254" s="1">
        <f t="shared" si="21"/>
        <v>0.82553926</v>
      </c>
      <c r="T254" s="33">
        <v>0</v>
      </c>
      <c r="U254" s="1">
        <v>1</v>
      </c>
      <c r="W254" s="1" t="s">
        <v>29</v>
      </c>
      <c r="X254" s="1" t="s">
        <v>104</v>
      </c>
      <c r="Y254" s="1" t="s">
        <v>2</v>
      </c>
      <c r="Z254" s="1" t="s">
        <v>39</v>
      </c>
      <c r="AA254" s="1">
        <f t="shared" si="19"/>
        <v>1.5015746400000001</v>
      </c>
      <c r="AB254" s="1">
        <f t="shared" si="19"/>
        <v>1.5285393599999999</v>
      </c>
      <c r="AC254" s="1">
        <f t="shared" si="19"/>
        <v>1.4973579600000002</v>
      </c>
      <c r="AD254" s="1">
        <f t="shared" si="18"/>
        <v>0.85923474</v>
      </c>
      <c r="AE254" s="28">
        <f>SUM($I$30,$I$58,$I$86,$I$114,$I$142,$I$170,$I$198,$I$226,$I$254,$I$282)</f>
        <v>131.14785900000001</v>
      </c>
      <c r="AF254" s="1">
        <v>1</v>
      </c>
    </row>
    <row r="255" spans="2:32" x14ac:dyDescent="0.25">
      <c r="B255" s="1" t="s">
        <v>30</v>
      </c>
      <c r="C255" s="1" t="s">
        <v>104</v>
      </c>
      <c r="D255" s="1" t="s">
        <v>2</v>
      </c>
      <c r="E255" s="1"/>
      <c r="F255" s="1">
        <f>[1]COMGAS!B40/1000</f>
        <v>294.51400000000001</v>
      </c>
      <c r="G255" s="1">
        <f>[1]COMGAS!C40/1000</f>
        <v>262.07637599999998</v>
      </c>
      <c r="H255" s="1">
        <f>$G$291*D305/$C$305</f>
        <v>250.65663439503848</v>
      </c>
      <c r="I255" s="1">
        <f>$G$291*E305/$C$305</f>
        <v>257.66074028183959</v>
      </c>
      <c r="J255" s="1">
        <v>1</v>
      </c>
      <c r="L255" s="1" t="s">
        <v>30</v>
      </c>
      <c r="M255" s="1" t="s">
        <v>104</v>
      </c>
      <c r="N255" s="1" t="s">
        <v>2</v>
      </c>
      <c r="O255" s="1" t="s">
        <v>40</v>
      </c>
      <c r="P255" s="1">
        <f t="shared" si="21"/>
        <v>288.62371999999999</v>
      </c>
      <c r="Q255" s="1">
        <f t="shared" si="21"/>
        <v>256.83484848000001</v>
      </c>
      <c r="R255" s="1">
        <f t="shared" si="21"/>
        <v>245.64350170713772</v>
      </c>
      <c r="S255" s="1">
        <f t="shared" si="21"/>
        <v>252.5075254762028</v>
      </c>
      <c r="T255" s="33">
        <v>0</v>
      </c>
      <c r="U255" s="1">
        <v>1</v>
      </c>
      <c r="W255" s="1" t="s">
        <v>30</v>
      </c>
      <c r="X255" s="1" t="s">
        <v>104</v>
      </c>
      <c r="Y255" s="1" t="s">
        <v>2</v>
      </c>
      <c r="Z255" s="1" t="s">
        <v>39</v>
      </c>
      <c r="AA255" s="1">
        <f t="shared" si="19"/>
        <v>300.40428000000003</v>
      </c>
      <c r="AB255" s="1">
        <f t="shared" si="19"/>
        <v>267.31790351999996</v>
      </c>
      <c r="AC255" s="1">
        <f t="shared" si="19"/>
        <v>255.66976708293925</v>
      </c>
      <c r="AD255" s="1">
        <f t="shared" si="18"/>
        <v>262.81395508747642</v>
      </c>
      <c r="AE255" s="28">
        <f>SUM($I$31,$I$59,$I$87,$I$115,$I$143,$I$171,$I$199,$I$227,$I$255,$I$283)</f>
        <v>698.48733743314938</v>
      </c>
      <c r="AF255" s="1">
        <v>1</v>
      </c>
    </row>
    <row r="256" spans="2:32" x14ac:dyDescent="0.25">
      <c r="B256" s="24" t="s">
        <v>0</v>
      </c>
      <c r="C256" s="24" t="s">
        <v>105</v>
      </c>
      <c r="D256" s="24" t="s">
        <v>2</v>
      </c>
      <c r="E256" s="24"/>
      <c r="F256" s="26">
        <f>[1]COMGEO!B13/1000</f>
        <v>0</v>
      </c>
      <c r="G256" s="26">
        <f>[1]COMGEO!C13/1000</f>
        <v>0</v>
      </c>
      <c r="H256" s="26">
        <f>[1]COMGEO!D13/1000</f>
        <v>0</v>
      </c>
      <c r="I256" s="26">
        <f>[1]COMGEO!E13/1000</f>
        <v>0</v>
      </c>
      <c r="J256" s="1">
        <v>1</v>
      </c>
      <c r="L256" s="1" t="s">
        <v>0</v>
      </c>
      <c r="M256" s="24" t="s">
        <v>105</v>
      </c>
      <c r="N256" s="1" t="s">
        <v>2</v>
      </c>
      <c r="O256" s="1" t="s">
        <v>40</v>
      </c>
      <c r="P256" s="1">
        <f t="shared" si="21"/>
        <v>0</v>
      </c>
      <c r="Q256" s="1">
        <f t="shared" si="21"/>
        <v>0</v>
      </c>
      <c r="R256" s="1">
        <f t="shared" si="21"/>
        <v>0</v>
      </c>
      <c r="S256" s="1">
        <f t="shared" si="21"/>
        <v>0</v>
      </c>
      <c r="T256" s="33">
        <v>0</v>
      </c>
      <c r="U256" s="1">
        <v>1</v>
      </c>
      <c r="W256" s="1" t="s">
        <v>0</v>
      </c>
      <c r="X256" s="24" t="s">
        <v>105</v>
      </c>
      <c r="Y256" s="1" t="s">
        <v>2</v>
      </c>
      <c r="Z256" s="1" t="s">
        <v>39</v>
      </c>
      <c r="AA256" s="1">
        <f t="shared" si="19"/>
        <v>0</v>
      </c>
      <c r="AB256" s="1">
        <f t="shared" si="19"/>
        <v>0</v>
      </c>
      <c r="AC256" s="1">
        <f t="shared" si="19"/>
        <v>0</v>
      </c>
      <c r="AD256" s="1">
        <f t="shared" si="18"/>
        <v>0</v>
      </c>
      <c r="AE256" s="28">
        <f>SUM($I$4,$I$32,$I$60,$I$88,$I$116,$I$144,$I$172,$I$200,$I$228,$I$256)</f>
        <v>159.04926399999999</v>
      </c>
      <c r="AF256" s="1">
        <v>1</v>
      </c>
    </row>
    <row r="257" spans="2:32" x14ac:dyDescent="0.25">
      <c r="B257" s="24" t="s">
        <v>3</v>
      </c>
      <c r="C257" s="24" t="s">
        <v>105</v>
      </c>
      <c r="D257" s="24" t="s">
        <v>2</v>
      </c>
      <c r="E257" s="24"/>
      <c r="F257" s="26">
        <f>[1]COMGEO!B14/1000</f>
        <v>1.3680000000000001</v>
      </c>
      <c r="G257" s="26">
        <f>[1]COMGEO!C14/1000</f>
        <v>1.4</v>
      </c>
      <c r="H257" s="26">
        <f>[1]COMGEO!D14/1000</f>
        <v>1.4950000000000001</v>
      </c>
      <c r="I257" s="26">
        <f>[1]COMGEO!E14/1000</f>
        <v>1.5539049999999999</v>
      </c>
      <c r="J257" s="1">
        <v>1</v>
      </c>
      <c r="L257" s="1" t="s">
        <v>3</v>
      </c>
      <c r="M257" s="24" t="s">
        <v>105</v>
      </c>
      <c r="N257" s="1" t="s">
        <v>2</v>
      </c>
      <c r="O257" s="1" t="s">
        <v>40</v>
      </c>
      <c r="P257" s="1">
        <f t="shared" si="21"/>
        <v>1.3406400000000001</v>
      </c>
      <c r="Q257" s="1">
        <f t="shared" si="21"/>
        <v>1.3719999999999999</v>
      </c>
      <c r="R257" s="1">
        <f t="shared" si="21"/>
        <v>1.4651000000000001</v>
      </c>
      <c r="S257" s="1">
        <f t="shared" si="21"/>
        <v>1.5228268999999999</v>
      </c>
      <c r="T257" s="33">
        <v>0</v>
      </c>
      <c r="U257" s="1">
        <v>1</v>
      </c>
      <c r="W257" s="1" t="s">
        <v>3</v>
      </c>
      <c r="X257" s="24" t="s">
        <v>105</v>
      </c>
      <c r="Y257" s="1" t="s">
        <v>2</v>
      </c>
      <c r="Z257" s="1" t="s">
        <v>39</v>
      </c>
      <c r="AA257" s="1">
        <f t="shared" si="19"/>
        <v>1.3953600000000002</v>
      </c>
      <c r="AB257" s="1">
        <f t="shared" si="19"/>
        <v>1.4279999999999999</v>
      </c>
      <c r="AC257" s="1">
        <f t="shared" si="19"/>
        <v>1.5249000000000001</v>
      </c>
      <c r="AD257" s="1">
        <f t="shared" si="18"/>
        <v>1.5849830999999999</v>
      </c>
      <c r="AE257" s="28">
        <f>SUM($I$5,$I$33,$I$61,$I$89,$I$117,$I$145,$I$173,$I$201,$I$229,$I$257)</f>
        <v>52.687187999999992</v>
      </c>
      <c r="AF257" s="1">
        <v>1</v>
      </c>
    </row>
    <row r="258" spans="2:32" x14ac:dyDescent="0.25">
      <c r="B258" s="24" t="s">
        <v>4</v>
      </c>
      <c r="C258" s="24" t="s">
        <v>105</v>
      </c>
      <c r="D258" s="24" t="s">
        <v>2</v>
      </c>
      <c r="E258" s="24"/>
      <c r="F258" s="26">
        <f>[1]COMGEO!B15/1000</f>
        <v>0</v>
      </c>
      <c r="G258" s="26">
        <f>[1]COMGEO!C15/1000</f>
        <v>0</v>
      </c>
      <c r="H258" s="26">
        <f>[1]COMGEO!D15/1000</f>
        <v>0</v>
      </c>
      <c r="I258" s="26">
        <f>[1]COMGEO!E15/1000</f>
        <v>0</v>
      </c>
      <c r="J258" s="1">
        <v>1</v>
      </c>
      <c r="L258" s="1" t="s">
        <v>4</v>
      </c>
      <c r="M258" s="24" t="s">
        <v>105</v>
      </c>
      <c r="N258" s="1" t="s">
        <v>2</v>
      </c>
      <c r="O258" s="1" t="s">
        <v>40</v>
      </c>
      <c r="P258" s="1">
        <f>IF(ISBLANK(F258),":",0.98*F258)</f>
        <v>0</v>
      </c>
      <c r="Q258" s="1">
        <f t="shared" ref="Q258:S284" si="22">IF(ISBLANK(G258),":",0.98*G258)</f>
        <v>0</v>
      </c>
      <c r="R258" s="1">
        <f t="shared" si="22"/>
        <v>0</v>
      </c>
      <c r="S258" s="1">
        <f t="shared" si="22"/>
        <v>0</v>
      </c>
      <c r="T258" s="33">
        <v>0</v>
      </c>
      <c r="U258" s="1">
        <v>1</v>
      </c>
      <c r="W258" s="1" t="s">
        <v>4</v>
      </c>
      <c r="X258" s="24" t="s">
        <v>105</v>
      </c>
      <c r="Y258" s="1" t="s">
        <v>2</v>
      </c>
      <c r="Z258" s="1" t="s">
        <v>39</v>
      </c>
      <c r="AA258" s="1">
        <f t="shared" si="19"/>
        <v>0</v>
      </c>
      <c r="AB258" s="1">
        <f t="shared" si="19"/>
        <v>0</v>
      </c>
      <c r="AC258" s="1">
        <f t="shared" si="19"/>
        <v>0</v>
      </c>
      <c r="AD258" s="1">
        <f t="shared" si="18"/>
        <v>0</v>
      </c>
      <c r="AE258" s="28">
        <f>SUM($I$6,$I$34,$I$62,$I$90,$I$118,$I$146,$I$174,$I$202,$I$230,$I$258)</f>
        <v>110.98745699999999</v>
      </c>
      <c r="AF258" s="1">
        <v>1</v>
      </c>
    </row>
    <row r="259" spans="2:32" x14ac:dyDescent="0.25">
      <c r="B259" s="24" t="s">
        <v>5</v>
      </c>
      <c r="C259" s="24" t="s">
        <v>105</v>
      </c>
      <c r="D259" s="24" t="s">
        <v>2</v>
      </c>
      <c r="E259" s="24"/>
      <c r="F259" s="26">
        <f>[1]COMGEO!B16/1000</f>
        <v>0</v>
      </c>
      <c r="G259" s="26">
        <f>[1]COMGEO!C16/1000</f>
        <v>0</v>
      </c>
      <c r="H259" s="26">
        <f>[1]COMGEO!D16/1000</f>
        <v>0</v>
      </c>
      <c r="I259" s="26">
        <f>[1]COMGEO!E16/1000</f>
        <v>0</v>
      </c>
      <c r="J259" s="1">
        <v>1</v>
      </c>
      <c r="L259" s="1" t="s">
        <v>5</v>
      </c>
      <c r="M259" s="24" t="s">
        <v>105</v>
      </c>
      <c r="N259" s="1" t="s">
        <v>2</v>
      </c>
      <c r="O259" s="1" t="s">
        <v>40</v>
      </c>
      <c r="P259" s="1">
        <f t="shared" ref="P259:P273" si="23">IF(ISBLANK(F259),":",0.98*F259)</f>
        <v>0</v>
      </c>
      <c r="Q259" s="1">
        <f t="shared" si="22"/>
        <v>0</v>
      </c>
      <c r="R259" s="1">
        <f t="shared" si="22"/>
        <v>0</v>
      </c>
      <c r="S259" s="1">
        <f t="shared" si="22"/>
        <v>0</v>
      </c>
      <c r="T259" s="33">
        <v>0</v>
      </c>
      <c r="U259" s="1">
        <v>1</v>
      </c>
      <c r="W259" s="1" t="s">
        <v>5</v>
      </c>
      <c r="X259" s="24" t="s">
        <v>105</v>
      </c>
      <c r="Y259" s="1" t="s">
        <v>2</v>
      </c>
      <c r="Z259" s="1" t="s">
        <v>39</v>
      </c>
      <c r="AA259" s="1">
        <f t="shared" si="19"/>
        <v>0</v>
      </c>
      <c r="AB259" s="1">
        <f t="shared" si="19"/>
        <v>0</v>
      </c>
      <c r="AC259" s="1">
        <f t="shared" si="19"/>
        <v>0</v>
      </c>
      <c r="AD259" s="1">
        <f t="shared" si="19"/>
        <v>0</v>
      </c>
      <c r="AE259" s="28">
        <f>SUM($I$7,$I$35,$I$63,$I$91,$I$119,$I$147,$I$175,$I$203,$I$231,$I$259)</f>
        <v>78.733746999999994</v>
      </c>
      <c r="AF259" s="1">
        <v>1</v>
      </c>
    </row>
    <row r="260" spans="2:32" x14ac:dyDescent="0.25">
      <c r="B260" s="24" t="s">
        <v>6</v>
      </c>
      <c r="C260" s="24" t="s">
        <v>105</v>
      </c>
      <c r="D260" s="24" t="s">
        <v>2</v>
      </c>
      <c r="E260" s="24"/>
      <c r="F260" s="26">
        <f>[1]COMGEO!B17/1000</f>
        <v>1.663</v>
      </c>
      <c r="G260" s="26">
        <f>[1]COMGEO!C17/1000</f>
        <v>1.901</v>
      </c>
      <c r="H260" s="26">
        <f>[1]COMGEO!D17/1000</f>
        <v>2.3980000000000001</v>
      </c>
      <c r="I260" s="26">
        <f>[1]COMGEO!E17/1000</f>
        <v>2.3759999999999999</v>
      </c>
      <c r="J260" s="1">
        <v>1</v>
      </c>
      <c r="L260" s="1" t="s">
        <v>6</v>
      </c>
      <c r="M260" s="24" t="s">
        <v>105</v>
      </c>
      <c r="N260" s="1" t="s">
        <v>2</v>
      </c>
      <c r="O260" s="1" t="s">
        <v>40</v>
      </c>
      <c r="P260" s="1">
        <f t="shared" si="23"/>
        <v>1.62974</v>
      </c>
      <c r="Q260" s="1">
        <f t="shared" si="22"/>
        <v>1.8629800000000001</v>
      </c>
      <c r="R260" s="1">
        <f t="shared" si="22"/>
        <v>2.3500399999999999</v>
      </c>
      <c r="S260" s="1">
        <f t="shared" si="22"/>
        <v>2.3284799999999999</v>
      </c>
      <c r="T260" s="33">
        <v>0</v>
      </c>
      <c r="U260" s="1">
        <v>1</v>
      </c>
      <c r="W260" s="1" t="s">
        <v>6</v>
      </c>
      <c r="X260" s="24" t="s">
        <v>105</v>
      </c>
      <c r="Y260" s="1" t="s">
        <v>2</v>
      </c>
      <c r="Z260" s="1" t="s">
        <v>39</v>
      </c>
      <c r="AA260" s="1">
        <f t="shared" ref="AA260:AD284" si="24">IF(ISBLANK(F260),":",1.02*F260)</f>
        <v>1.6962600000000001</v>
      </c>
      <c r="AB260" s="1">
        <f t="shared" si="24"/>
        <v>1.93902</v>
      </c>
      <c r="AC260" s="1">
        <f t="shared" si="24"/>
        <v>2.4459600000000004</v>
      </c>
      <c r="AD260" s="1">
        <f t="shared" si="24"/>
        <v>2.4235199999999999</v>
      </c>
      <c r="AE260" s="28">
        <f>SUM($I$8,$I$36,$I$64,$I$92,$I$120,$I$148,$I$176,$I$204,$I$232,$I$260)</f>
        <v>998.19450100000006</v>
      </c>
      <c r="AF260" s="1">
        <v>1</v>
      </c>
    </row>
    <row r="261" spans="2:32" x14ac:dyDescent="0.25">
      <c r="B261" s="24" t="s">
        <v>7</v>
      </c>
      <c r="C261" s="24" t="s">
        <v>105</v>
      </c>
      <c r="D261" s="24" t="s">
        <v>2</v>
      </c>
      <c r="E261" s="24"/>
      <c r="F261" s="26">
        <f>[1]COMGEO!B18/1000</f>
        <v>0</v>
      </c>
      <c r="G261" s="26">
        <f>[1]COMGEO!C18/1000</f>
        <v>0</v>
      </c>
      <c r="H261" s="26">
        <f>[1]COMGEO!D18/1000</f>
        <v>0</v>
      </c>
      <c r="I261" s="26">
        <f>[1]COMGEO!E18/1000</f>
        <v>0</v>
      </c>
      <c r="J261" s="1">
        <v>1</v>
      </c>
      <c r="L261" s="1" t="s">
        <v>7</v>
      </c>
      <c r="M261" s="24" t="s">
        <v>105</v>
      </c>
      <c r="N261" s="1" t="s">
        <v>2</v>
      </c>
      <c r="O261" s="1" t="s">
        <v>40</v>
      </c>
      <c r="P261" s="1">
        <f t="shared" si="23"/>
        <v>0</v>
      </c>
      <c r="Q261" s="1">
        <f t="shared" si="22"/>
        <v>0</v>
      </c>
      <c r="R261" s="1">
        <f t="shared" si="22"/>
        <v>0</v>
      </c>
      <c r="S261" s="1">
        <f t="shared" si="22"/>
        <v>0</v>
      </c>
      <c r="T261" s="33">
        <v>0</v>
      </c>
      <c r="U261" s="1">
        <v>1</v>
      </c>
      <c r="W261" s="1" t="s">
        <v>7</v>
      </c>
      <c r="X261" s="24" t="s">
        <v>105</v>
      </c>
      <c r="Y261" s="1" t="s">
        <v>2</v>
      </c>
      <c r="Z261" s="1" t="s">
        <v>39</v>
      </c>
      <c r="AA261" s="1">
        <f t="shared" si="24"/>
        <v>0</v>
      </c>
      <c r="AB261" s="1">
        <f t="shared" si="24"/>
        <v>0</v>
      </c>
      <c r="AC261" s="1">
        <f t="shared" si="24"/>
        <v>0</v>
      </c>
      <c r="AD261" s="1">
        <f t="shared" si="24"/>
        <v>0</v>
      </c>
      <c r="AE261" s="28">
        <f>SUM($I$9,$I$37,$I$65,$I$93,$I$121,$I$149,$I$177,$I$205,$I$233,$I$261)</f>
        <v>15.12316</v>
      </c>
      <c r="AF261" s="1">
        <v>1</v>
      </c>
    </row>
    <row r="262" spans="2:32" x14ac:dyDescent="0.25">
      <c r="B262" s="24" t="s">
        <v>8</v>
      </c>
      <c r="C262" s="24" t="s">
        <v>105</v>
      </c>
      <c r="D262" s="24" t="s">
        <v>2</v>
      </c>
      <c r="E262" s="24"/>
      <c r="F262" s="26">
        <f>[1]COMGEO!B19/1000</f>
        <v>0</v>
      </c>
      <c r="G262" s="26">
        <f>[1]COMGEO!C19/1000</f>
        <v>0</v>
      </c>
      <c r="H262" s="26">
        <f>[1]COMGEO!D19/1000</f>
        <v>0</v>
      </c>
      <c r="I262" s="26">
        <f>[1]COMGEO!E19/1000</f>
        <v>0</v>
      </c>
      <c r="J262" s="1">
        <v>1</v>
      </c>
      <c r="L262" s="1" t="s">
        <v>8</v>
      </c>
      <c r="M262" s="24" t="s">
        <v>105</v>
      </c>
      <c r="N262" s="1" t="s">
        <v>2</v>
      </c>
      <c r="O262" s="1" t="s">
        <v>40</v>
      </c>
      <c r="P262" s="1">
        <f t="shared" si="23"/>
        <v>0</v>
      </c>
      <c r="Q262" s="1">
        <f t="shared" si="22"/>
        <v>0</v>
      </c>
      <c r="R262" s="1">
        <f t="shared" si="22"/>
        <v>0</v>
      </c>
      <c r="S262" s="1">
        <f t="shared" si="22"/>
        <v>0</v>
      </c>
      <c r="T262" s="33">
        <v>0</v>
      </c>
      <c r="U262" s="1">
        <v>1</v>
      </c>
      <c r="W262" s="1" t="s">
        <v>8</v>
      </c>
      <c r="X262" s="24" t="s">
        <v>105</v>
      </c>
      <c r="Y262" s="1" t="s">
        <v>2</v>
      </c>
      <c r="Z262" s="1" t="s">
        <v>39</v>
      </c>
      <c r="AA262" s="1">
        <f t="shared" si="24"/>
        <v>0</v>
      </c>
      <c r="AB262" s="1">
        <f t="shared" si="24"/>
        <v>0</v>
      </c>
      <c r="AC262" s="1">
        <f t="shared" si="24"/>
        <v>0</v>
      </c>
      <c r="AD262" s="1">
        <f t="shared" si="24"/>
        <v>0</v>
      </c>
      <c r="AE262" s="28">
        <f>SUM(I$10,I$38,I$66,I$94,I$122,I$150,I$178,I$206,I$234,I$262)</f>
        <v>81.18795200000001</v>
      </c>
      <c r="AF262" s="1">
        <v>1</v>
      </c>
    </row>
    <row r="263" spans="2:32" x14ac:dyDescent="0.25">
      <c r="B263" s="24" t="s">
        <v>9</v>
      </c>
      <c r="C263" s="24" t="s">
        <v>105</v>
      </c>
      <c r="D263" s="24" t="s">
        <v>2</v>
      </c>
      <c r="E263" s="24"/>
      <c r="F263" s="26">
        <f>[1]COMGEO!B20/1000</f>
        <v>0.246</v>
      </c>
      <c r="G263" s="26">
        <f>[1]COMGEO!C20/1000</f>
        <v>0.251</v>
      </c>
      <c r="H263" s="26">
        <f>[1]COMGEO!D20/1000</f>
        <v>0.105</v>
      </c>
      <c r="I263" s="26">
        <f>[1]COMGEO!E20/1000</f>
        <v>0.25900000000000001</v>
      </c>
      <c r="J263" s="1">
        <v>1</v>
      </c>
      <c r="L263" s="1" t="s">
        <v>9</v>
      </c>
      <c r="M263" s="24" t="s">
        <v>105</v>
      </c>
      <c r="N263" s="1" t="s">
        <v>2</v>
      </c>
      <c r="O263" s="1" t="s">
        <v>40</v>
      </c>
      <c r="P263" s="1">
        <f t="shared" si="23"/>
        <v>0.24107999999999999</v>
      </c>
      <c r="Q263" s="1">
        <f t="shared" si="22"/>
        <v>0.24598</v>
      </c>
      <c r="R263" s="1">
        <f t="shared" si="22"/>
        <v>0.10289999999999999</v>
      </c>
      <c r="S263" s="1">
        <f t="shared" si="22"/>
        <v>0.25381999999999999</v>
      </c>
      <c r="T263" s="33">
        <v>0</v>
      </c>
      <c r="U263" s="1">
        <v>1</v>
      </c>
      <c r="W263" s="1" t="s">
        <v>9</v>
      </c>
      <c r="X263" s="24" t="s">
        <v>105</v>
      </c>
      <c r="Y263" s="1" t="s">
        <v>2</v>
      </c>
      <c r="Z263" s="1" t="s">
        <v>39</v>
      </c>
      <c r="AA263" s="1">
        <f t="shared" si="24"/>
        <v>0.25091999999999998</v>
      </c>
      <c r="AB263" s="1">
        <f t="shared" si="24"/>
        <v>0.25602000000000003</v>
      </c>
      <c r="AC263" s="1">
        <f t="shared" si="24"/>
        <v>0.1071</v>
      </c>
      <c r="AD263" s="1">
        <f t="shared" si="24"/>
        <v>0.26418000000000003</v>
      </c>
      <c r="AE263" s="28">
        <f>SUM($I$11,$I$39,$I$67,$I$95,$I$123,$I$151,$I$179,$I$207,$I$235,$I$263)</f>
        <v>89.565158000000011</v>
      </c>
      <c r="AF263" s="1">
        <v>1</v>
      </c>
    </row>
    <row r="264" spans="2:32" x14ac:dyDescent="0.25">
      <c r="B264" s="24" t="s">
        <v>10</v>
      </c>
      <c r="C264" s="24" t="s">
        <v>105</v>
      </c>
      <c r="D264" s="24" t="s">
        <v>2</v>
      </c>
      <c r="E264" s="24"/>
      <c r="F264" s="26">
        <f>[1]COMGEO!B21/1000</f>
        <v>4.2000000000000006E-3</v>
      </c>
      <c r="G264" s="26">
        <f>[1]COMGEO!C21/1000</f>
        <v>4.2000000000000006E-3</v>
      </c>
      <c r="H264" s="26">
        <f>[1]COMGEO!D21/1000</f>
        <v>4.2000000000000006E-3</v>
      </c>
      <c r="I264" s="26">
        <f>[1]COMGEO!E21/1000</f>
        <v>4.2000000000000006E-3</v>
      </c>
      <c r="J264" s="1">
        <v>1</v>
      </c>
      <c r="L264" s="1" t="s">
        <v>10</v>
      </c>
      <c r="M264" s="24" t="s">
        <v>105</v>
      </c>
      <c r="N264" s="1" t="s">
        <v>2</v>
      </c>
      <c r="O264" s="1" t="s">
        <v>40</v>
      </c>
      <c r="P264" s="1">
        <f t="shared" si="23"/>
        <v>4.1160000000000007E-3</v>
      </c>
      <c r="Q264" s="1">
        <f t="shared" si="22"/>
        <v>4.1160000000000007E-3</v>
      </c>
      <c r="R264" s="1">
        <f t="shared" si="22"/>
        <v>4.1160000000000007E-3</v>
      </c>
      <c r="S264" s="1">
        <f t="shared" si="22"/>
        <v>4.1160000000000007E-3</v>
      </c>
      <c r="T264" s="33">
        <v>0</v>
      </c>
      <c r="U264" s="1">
        <v>1</v>
      </c>
      <c r="W264" s="1" t="s">
        <v>10</v>
      </c>
      <c r="X264" s="24" t="s">
        <v>105</v>
      </c>
      <c r="Y264" s="1" t="s">
        <v>2</v>
      </c>
      <c r="Z264" s="1" t="s">
        <v>39</v>
      </c>
      <c r="AA264" s="1">
        <f t="shared" si="24"/>
        <v>4.2840000000000005E-3</v>
      </c>
      <c r="AB264" s="1">
        <f t="shared" si="24"/>
        <v>4.2840000000000005E-3</v>
      </c>
      <c r="AC264" s="1">
        <f t="shared" si="24"/>
        <v>4.2840000000000005E-3</v>
      </c>
      <c r="AD264" s="1">
        <f t="shared" si="24"/>
        <v>4.2840000000000005E-3</v>
      </c>
      <c r="AE264" s="28">
        <f>SUM($I$12,$I$40,$I$68,$I$96,$I$124,$I$152,$I$180,$I$208,$I$236,$I$264)</f>
        <v>427.84543500000007</v>
      </c>
      <c r="AF264" s="1">
        <v>1</v>
      </c>
    </row>
    <row r="265" spans="2:32" x14ac:dyDescent="0.25">
      <c r="B265" s="24" t="s">
        <v>11</v>
      </c>
      <c r="C265" s="24" t="s">
        <v>105</v>
      </c>
      <c r="D265" s="24" t="s">
        <v>2</v>
      </c>
      <c r="E265" s="24"/>
      <c r="F265" s="26">
        <f>[1]COMGEO!B22/1000</f>
        <v>0.60250400000000004</v>
      </c>
      <c r="G265" s="26">
        <f>[1]COMGEO!C22/1000</f>
        <v>0.70014999999999994</v>
      </c>
      <c r="H265" s="26">
        <f>[1]COMGEO!D22/1000</f>
        <v>0.70014999999999994</v>
      </c>
      <c r="I265" s="26">
        <f>[1]COMGEO!E22/1000</f>
        <v>0.70014999999999994</v>
      </c>
      <c r="J265" s="1">
        <v>1</v>
      </c>
      <c r="L265" s="1" t="s">
        <v>11</v>
      </c>
      <c r="M265" s="24" t="s">
        <v>105</v>
      </c>
      <c r="N265" s="1" t="s">
        <v>2</v>
      </c>
      <c r="O265" s="1" t="s">
        <v>40</v>
      </c>
      <c r="P265" s="1">
        <f t="shared" si="23"/>
        <v>0.59045392000000008</v>
      </c>
      <c r="Q265" s="1">
        <f t="shared" si="22"/>
        <v>0.68614699999999995</v>
      </c>
      <c r="R265" s="1">
        <f t="shared" si="22"/>
        <v>0.68614699999999995</v>
      </c>
      <c r="S265" s="1">
        <f t="shared" si="22"/>
        <v>0.68614699999999995</v>
      </c>
      <c r="T265" s="33">
        <v>0</v>
      </c>
      <c r="U265" s="1">
        <v>1</v>
      </c>
      <c r="W265" s="1" t="s">
        <v>11</v>
      </c>
      <c r="X265" s="24" t="s">
        <v>105</v>
      </c>
      <c r="Y265" s="1" t="s">
        <v>2</v>
      </c>
      <c r="Z265" s="1" t="s">
        <v>39</v>
      </c>
      <c r="AA265" s="1">
        <f t="shared" si="24"/>
        <v>0.61455408</v>
      </c>
      <c r="AB265" s="1">
        <f t="shared" si="24"/>
        <v>0.71415299999999993</v>
      </c>
      <c r="AC265" s="1">
        <f t="shared" si="24"/>
        <v>0.71415299999999993</v>
      </c>
      <c r="AD265" s="1">
        <f t="shared" si="24"/>
        <v>0.71415299999999993</v>
      </c>
      <c r="AE265" s="28">
        <f>SUM($I$13,$I$41,$I$69,$I$97,$I$125,$I$153,$I$181,$I$209,$I$237,$I$265)</f>
        <v>780.29733900000008</v>
      </c>
      <c r="AF265" s="1">
        <v>1</v>
      </c>
    </row>
    <row r="266" spans="2:32" x14ac:dyDescent="0.25">
      <c r="B266" s="24" t="s">
        <v>12</v>
      </c>
      <c r="C266" s="24" t="s">
        <v>105</v>
      </c>
      <c r="D266" s="24" t="s">
        <v>2</v>
      </c>
      <c r="E266" s="24"/>
      <c r="F266" s="26">
        <f>[1]COMGEO!B23/1000</f>
        <v>0.28499999999999998</v>
      </c>
      <c r="G266" s="26">
        <f>[1]COMGEO!C23/1000</f>
        <v>0.20399999999999999</v>
      </c>
      <c r="H266" s="26">
        <f>[1]COMGEO!D23/1000</f>
        <v>0.15759999999999999</v>
      </c>
      <c r="I266" s="26">
        <f>[1]COMGEO!E23/1000</f>
        <v>8.8599999999999998E-2</v>
      </c>
      <c r="J266" s="1">
        <v>1</v>
      </c>
      <c r="L266" s="1" t="s">
        <v>12</v>
      </c>
      <c r="M266" s="24" t="s">
        <v>105</v>
      </c>
      <c r="N266" s="1" t="s">
        <v>2</v>
      </c>
      <c r="O266" s="1" t="s">
        <v>40</v>
      </c>
      <c r="P266" s="1">
        <f t="shared" si="23"/>
        <v>0.27929999999999999</v>
      </c>
      <c r="Q266" s="1">
        <f t="shared" si="22"/>
        <v>0.19991999999999999</v>
      </c>
      <c r="R266" s="1">
        <f t="shared" si="22"/>
        <v>0.15444799999999997</v>
      </c>
      <c r="S266" s="1">
        <f t="shared" si="22"/>
        <v>8.6828000000000002E-2</v>
      </c>
      <c r="T266" s="33">
        <v>0</v>
      </c>
      <c r="U266" s="1">
        <v>1</v>
      </c>
      <c r="W266" s="1" t="s">
        <v>12</v>
      </c>
      <c r="X266" s="24" t="s">
        <v>105</v>
      </c>
      <c r="Y266" s="1" t="s">
        <v>2</v>
      </c>
      <c r="Z266" s="1" t="s">
        <v>39</v>
      </c>
      <c r="AA266" s="1">
        <f t="shared" si="24"/>
        <v>0.29069999999999996</v>
      </c>
      <c r="AB266" s="1">
        <f t="shared" si="24"/>
        <v>0.20807999999999999</v>
      </c>
      <c r="AC266" s="1">
        <f t="shared" si="24"/>
        <v>0.16075200000000001</v>
      </c>
      <c r="AD266" s="1">
        <f t="shared" si="24"/>
        <v>9.0371999999999994E-2</v>
      </c>
      <c r="AE266" s="28">
        <f>SUM($I$14,$I$42,$I$70,$I$98,$I$126,$I$154,$I$182,$I$210,$I$238,$I$266)</f>
        <v>32.639519</v>
      </c>
      <c r="AF266" s="1">
        <v>1</v>
      </c>
    </row>
    <row r="267" spans="2:32" x14ac:dyDescent="0.25">
      <c r="B267" s="24" t="s">
        <v>13</v>
      </c>
      <c r="C267" s="24" t="s">
        <v>105</v>
      </c>
      <c r="D267" s="24" t="s">
        <v>2</v>
      </c>
      <c r="E267" s="24"/>
      <c r="F267" s="26">
        <f>[1]COMGEO!B24/1000</f>
        <v>3.1850000000000001</v>
      </c>
      <c r="G267" s="26">
        <f>[1]COMGEO!C24/1000</f>
        <v>3.1970000000000001</v>
      </c>
      <c r="H267" s="26">
        <f>[1]COMGEO!D24/1000</f>
        <v>3.0627759999999999</v>
      </c>
      <c r="I267" s="26">
        <f>[1]COMGEO!E24/1000</f>
        <v>2.7402919999999997</v>
      </c>
      <c r="J267" s="1">
        <v>1</v>
      </c>
      <c r="L267" s="1" t="s">
        <v>13</v>
      </c>
      <c r="M267" s="24" t="s">
        <v>105</v>
      </c>
      <c r="N267" s="1" t="s">
        <v>2</v>
      </c>
      <c r="O267" s="1" t="s">
        <v>40</v>
      </c>
      <c r="P267" s="1">
        <f t="shared" si="23"/>
        <v>3.1213000000000002</v>
      </c>
      <c r="Q267" s="1">
        <f t="shared" si="22"/>
        <v>3.13306</v>
      </c>
      <c r="R267" s="1">
        <f t="shared" si="22"/>
        <v>3.0015204799999999</v>
      </c>
      <c r="S267" s="1">
        <f t="shared" si="22"/>
        <v>2.6854861599999995</v>
      </c>
      <c r="T267" s="33">
        <v>0</v>
      </c>
      <c r="U267" s="1">
        <v>1</v>
      </c>
      <c r="W267" s="1" t="s">
        <v>13</v>
      </c>
      <c r="X267" s="24" t="s">
        <v>105</v>
      </c>
      <c r="Y267" s="1" t="s">
        <v>2</v>
      </c>
      <c r="Z267" s="1" t="s">
        <v>39</v>
      </c>
      <c r="AA267" s="1">
        <f t="shared" si="24"/>
        <v>3.2486999999999999</v>
      </c>
      <c r="AB267" s="1">
        <f t="shared" si="24"/>
        <v>3.2609400000000002</v>
      </c>
      <c r="AC267" s="1">
        <f t="shared" si="24"/>
        <v>3.12403152</v>
      </c>
      <c r="AD267" s="1">
        <f t="shared" si="24"/>
        <v>2.7950978399999999</v>
      </c>
      <c r="AE267" s="28">
        <f>SUM($I$15,$I$43,$I$71,$I$99,$I$127,$I$155,$I$183,$I$211,$I$239,$I$267)</f>
        <v>694.24554299999988</v>
      </c>
      <c r="AF267" s="1">
        <v>1</v>
      </c>
    </row>
    <row r="268" spans="2:32" x14ac:dyDescent="0.25">
      <c r="B268" s="24" t="s">
        <v>14</v>
      </c>
      <c r="C268" s="24" t="s">
        <v>105</v>
      </c>
      <c r="D268" s="24" t="s">
        <v>2</v>
      </c>
      <c r="E268" s="24"/>
      <c r="F268" s="26">
        <f>[1]COMGEO!B25/1000</f>
        <v>0</v>
      </c>
      <c r="G268" s="26">
        <f>[1]COMGEO!C25/1000</f>
        <v>0</v>
      </c>
      <c r="H268" s="26">
        <f>[1]COMGEO!D25/1000</f>
        <v>0</v>
      </c>
      <c r="I268" s="26">
        <f>[1]COMGEO!E25/1000</f>
        <v>0</v>
      </c>
      <c r="J268" s="1">
        <v>1</v>
      </c>
      <c r="L268" s="1" t="s">
        <v>14</v>
      </c>
      <c r="M268" s="24" t="s">
        <v>105</v>
      </c>
      <c r="N268" s="1" t="s">
        <v>2</v>
      </c>
      <c r="O268" s="1" t="s">
        <v>40</v>
      </c>
      <c r="P268" s="1">
        <f t="shared" si="23"/>
        <v>0</v>
      </c>
      <c r="Q268" s="1">
        <f t="shared" si="22"/>
        <v>0</v>
      </c>
      <c r="R268" s="1">
        <f t="shared" si="22"/>
        <v>0</v>
      </c>
      <c r="S268" s="1">
        <f t="shared" si="22"/>
        <v>0</v>
      </c>
      <c r="T268" s="33">
        <v>0</v>
      </c>
      <c r="U268" s="1">
        <v>1</v>
      </c>
      <c r="W268" s="1" t="s">
        <v>14</v>
      </c>
      <c r="X268" s="24" t="s">
        <v>105</v>
      </c>
      <c r="Y268" s="1" t="s">
        <v>2</v>
      </c>
      <c r="Z268" s="1" t="s">
        <v>39</v>
      </c>
      <c r="AA268" s="1">
        <f t="shared" si="24"/>
        <v>0</v>
      </c>
      <c r="AB268" s="1">
        <f t="shared" si="24"/>
        <v>0</v>
      </c>
      <c r="AC268" s="1">
        <f t="shared" si="24"/>
        <v>0</v>
      </c>
      <c r="AD268" s="1">
        <f t="shared" si="24"/>
        <v>0</v>
      </c>
      <c r="AE268" s="28">
        <f>SUM($I$16,$I$44,$I$72,$I$100,$I$128,$I$156,$I$184,$I$212,$I$240,$I$268)</f>
        <v>12.063378</v>
      </c>
      <c r="AF268" s="1">
        <v>1</v>
      </c>
    </row>
    <row r="269" spans="2:32" x14ac:dyDescent="0.25">
      <c r="B269" s="24" t="s">
        <v>15</v>
      </c>
      <c r="C269" s="24" t="s">
        <v>105</v>
      </c>
      <c r="D269" s="24" t="s">
        <v>2</v>
      </c>
      <c r="E269" s="24"/>
      <c r="F269" s="26">
        <f>[1]COMGEO!B26/1000</f>
        <v>0</v>
      </c>
      <c r="G269" s="26">
        <f>[1]COMGEO!C26/1000</f>
        <v>0</v>
      </c>
      <c r="H269" s="26">
        <f>[1]COMGEO!D26/1000</f>
        <v>0</v>
      </c>
      <c r="I269" s="26">
        <f>[1]COMGEO!E26/1000</f>
        <v>0</v>
      </c>
      <c r="J269" s="1">
        <v>1</v>
      </c>
      <c r="L269" s="1" t="s">
        <v>15</v>
      </c>
      <c r="M269" s="24" t="s">
        <v>105</v>
      </c>
      <c r="N269" s="1" t="s">
        <v>2</v>
      </c>
      <c r="O269" s="1" t="s">
        <v>40</v>
      </c>
      <c r="P269" s="1">
        <f t="shared" si="23"/>
        <v>0</v>
      </c>
      <c r="Q269" s="1">
        <f t="shared" si="22"/>
        <v>0</v>
      </c>
      <c r="R269" s="1">
        <f t="shared" si="22"/>
        <v>0</v>
      </c>
      <c r="S269" s="1">
        <f t="shared" si="22"/>
        <v>0</v>
      </c>
      <c r="T269" s="33">
        <v>0</v>
      </c>
      <c r="U269" s="1">
        <v>1</v>
      </c>
      <c r="W269" s="1" t="s">
        <v>15</v>
      </c>
      <c r="X269" s="24" t="s">
        <v>105</v>
      </c>
      <c r="Y269" s="1" t="s">
        <v>2</v>
      </c>
      <c r="Z269" s="1" t="s">
        <v>39</v>
      </c>
      <c r="AA269" s="1">
        <f t="shared" si="24"/>
        <v>0</v>
      </c>
      <c r="AB269" s="1">
        <f t="shared" si="24"/>
        <v>0</v>
      </c>
      <c r="AC269" s="1">
        <f t="shared" si="24"/>
        <v>0</v>
      </c>
      <c r="AD269" s="1">
        <f t="shared" si="24"/>
        <v>0</v>
      </c>
      <c r="AE269" s="28">
        <f>SUM($I$17,$I$45,$I$73,$I$101,$I$129,$I$157,$I$185,$I$213,$I$241,$I$269)</f>
        <v>22.533501999999999</v>
      </c>
      <c r="AF269" s="1">
        <v>1</v>
      </c>
    </row>
    <row r="270" spans="2:32" x14ac:dyDescent="0.25">
      <c r="B270" s="24" t="s">
        <v>16</v>
      </c>
      <c r="C270" s="24" t="s">
        <v>105</v>
      </c>
      <c r="D270" s="24" t="s">
        <v>2</v>
      </c>
      <c r="E270" s="24"/>
      <c r="F270" s="26">
        <f>[1]COMGEO!B27/1000</f>
        <v>0</v>
      </c>
      <c r="G270" s="26">
        <f>[1]COMGEO!C27/1000</f>
        <v>0</v>
      </c>
      <c r="H270" s="26">
        <f>[1]COMGEO!D27/1000</f>
        <v>0</v>
      </c>
      <c r="I270" s="26">
        <f>[1]COMGEO!E27/1000</f>
        <v>0</v>
      </c>
      <c r="J270" s="1">
        <v>1</v>
      </c>
      <c r="L270" s="1" t="s">
        <v>16</v>
      </c>
      <c r="M270" s="24" t="s">
        <v>105</v>
      </c>
      <c r="N270" s="1" t="s">
        <v>2</v>
      </c>
      <c r="O270" s="1" t="s">
        <v>40</v>
      </c>
      <c r="P270" s="1">
        <f t="shared" si="23"/>
        <v>0</v>
      </c>
      <c r="Q270" s="1">
        <f t="shared" si="22"/>
        <v>0</v>
      </c>
      <c r="R270" s="1">
        <f t="shared" si="22"/>
        <v>0</v>
      </c>
      <c r="S270" s="1">
        <f t="shared" si="22"/>
        <v>0</v>
      </c>
      <c r="T270" s="33">
        <v>0</v>
      </c>
      <c r="U270" s="1">
        <v>1</v>
      </c>
      <c r="W270" s="1" t="s">
        <v>16</v>
      </c>
      <c r="X270" s="24" t="s">
        <v>105</v>
      </c>
      <c r="Y270" s="1" t="s">
        <v>2</v>
      </c>
      <c r="Z270" s="1" t="s">
        <v>39</v>
      </c>
      <c r="AA270" s="1">
        <f t="shared" si="24"/>
        <v>0</v>
      </c>
      <c r="AB270" s="1">
        <f t="shared" si="24"/>
        <v>0</v>
      </c>
      <c r="AC270" s="1">
        <f t="shared" si="24"/>
        <v>0</v>
      </c>
      <c r="AD270" s="1">
        <f t="shared" si="24"/>
        <v>0</v>
      </c>
      <c r="AE270" s="28">
        <f>SUM($I$18,$I$46,$I$74,$I$102,$I$130,$I$158,$I$186,$I$214,$I$242,$I$270)</f>
        <v>25.619449000000003</v>
      </c>
      <c r="AF270" s="1">
        <v>1</v>
      </c>
    </row>
    <row r="271" spans="2:32" x14ac:dyDescent="0.25">
      <c r="B271" s="24" t="s">
        <v>17</v>
      </c>
      <c r="C271" s="24" t="s">
        <v>105</v>
      </c>
      <c r="D271" s="24" t="s">
        <v>2</v>
      </c>
      <c r="E271" s="24"/>
      <c r="F271" s="26">
        <f>[1]COMGEO!B28/1000</f>
        <v>0</v>
      </c>
      <c r="G271" s="26">
        <f>[1]COMGEO!C28/1000</f>
        <v>0</v>
      </c>
      <c r="H271" s="26">
        <f>[1]COMGEO!D28/1000</f>
        <v>0</v>
      </c>
      <c r="I271" s="26">
        <f>[1]COMGEO!E28/1000</f>
        <v>0</v>
      </c>
      <c r="J271" s="1">
        <v>1</v>
      </c>
      <c r="L271" s="1" t="s">
        <v>17</v>
      </c>
      <c r="M271" s="24" t="s">
        <v>105</v>
      </c>
      <c r="N271" s="1" t="s">
        <v>2</v>
      </c>
      <c r="O271" s="1" t="s">
        <v>40</v>
      </c>
      <c r="P271" s="1">
        <f t="shared" si="23"/>
        <v>0</v>
      </c>
      <c r="Q271" s="1">
        <f t="shared" si="22"/>
        <v>0</v>
      </c>
      <c r="R271" s="1">
        <f t="shared" si="22"/>
        <v>0</v>
      </c>
      <c r="S271" s="1">
        <f t="shared" si="22"/>
        <v>0</v>
      </c>
      <c r="T271" s="33">
        <v>0</v>
      </c>
      <c r="U271" s="1">
        <v>1</v>
      </c>
      <c r="W271" s="1" t="s">
        <v>17</v>
      </c>
      <c r="X271" s="24" t="s">
        <v>105</v>
      </c>
      <c r="Y271" s="1" t="s">
        <v>2</v>
      </c>
      <c r="Z271" s="1" t="s">
        <v>39</v>
      </c>
      <c r="AA271" s="1">
        <f t="shared" si="24"/>
        <v>0</v>
      </c>
      <c r="AB271" s="1">
        <f t="shared" si="24"/>
        <v>0</v>
      </c>
      <c r="AC271" s="1">
        <f t="shared" si="24"/>
        <v>0</v>
      </c>
      <c r="AD271" s="1">
        <f t="shared" si="24"/>
        <v>0</v>
      </c>
      <c r="AE271" s="28">
        <f>SUM($I$19,$I$47,$I$75,$I$103,$I$131,$I$159,$I$187,$I$215,$I$243,$I$271)</f>
        <v>18.465619999999998</v>
      </c>
      <c r="AF271" s="1">
        <v>1</v>
      </c>
    </row>
    <row r="272" spans="2:32" x14ac:dyDescent="0.25">
      <c r="B272" s="24" t="s">
        <v>18</v>
      </c>
      <c r="C272" s="24" t="s">
        <v>105</v>
      </c>
      <c r="D272" s="24" t="s">
        <v>2</v>
      </c>
      <c r="E272" s="24"/>
      <c r="F272" s="26">
        <f>[1]COMGEO!B29/1000</f>
        <v>3.274</v>
      </c>
      <c r="G272" s="26">
        <f>[1]COMGEO!C29/1000</f>
        <v>0.81899999999999995</v>
      </c>
      <c r="H272" s="26">
        <f>[1]COMGEO!D29/1000</f>
        <v>0.91900000000000004</v>
      </c>
      <c r="I272" s="26">
        <f>[1]COMGEO!E29/1000</f>
        <v>1.5780000000000001</v>
      </c>
      <c r="J272" s="1">
        <v>1</v>
      </c>
      <c r="L272" s="1" t="s">
        <v>18</v>
      </c>
      <c r="M272" s="24" t="s">
        <v>105</v>
      </c>
      <c r="N272" s="1" t="s">
        <v>2</v>
      </c>
      <c r="O272" s="1" t="s">
        <v>40</v>
      </c>
      <c r="P272" s="1">
        <f t="shared" si="23"/>
        <v>3.20852</v>
      </c>
      <c r="Q272" s="1">
        <f t="shared" si="22"/>
        <v>0.80261999999999989</v>
      </c>
      <c r="R272" s="1">
        <f t="shared" si="22"/>
        <v>0.90061999999999998</v>
      </c>
      <c r="S272" s="1">
        <f t="shared" si="22"/>
        <v>1.54644</v>
      </c>
      <c r="T272" s="33">
        <v>0</v>
      </c>
      <c r="U272" s="1">
        <v>1</v>
      </c>
      <c r="W272" s="1" t="s">
        <v>18</v>
      </c>
      <c r="X272" s="24" t="s">
        <v>105</v>
      </c>
      <c r="Y272" s="1" t="s">
        <v>2</v>
      </c>
      <c r="Z272" s="1" t="s">
        <v>39</v>
      </c>
      <c r="AA272" s="1">
        <f t="shared" si="24"/>
        <v>3.33948</v>
      </c>
      <c r="AB272" s="1">
        <f t="shared" si="24"/>
        <v>0.83538000000000001</v>
      </c>
      <c r="AC272" s="1">
        <f t="shared" si="24"/>
        <v>0.9373800000000001</v>
      </c>
      <c r="AD272" s="1">
        <f t="shared" si="24"/>
        <v>1.6095600000000001</v>
      </c>
      <c r="AE272" s="28">
        <f>SUM($I$20,$I$48,$I$76,$I$104,$I$132,$I$160,$I$188,$I$216,$I$244,$I$272)</f>
        <v>68.587658000000005</v>
      </c>
      <c r="AF272" s="1">
        <v>1</v>
      </c>
    </row>
    <row r="273" spans="1:32" x14ac:dyDescent="0.25">
      <c r="B273" s="24" t="s">
        <v>20</v>
      </c>
      <c r="C273" s="24" t="s">
        <v>105</v>
      </c>
      <c r="D273" s="24" t="s">
        <v>2</v>
      </c>
      <c r="E273" s="24"/>
      <c r="F273" s="26">
        <f>[1]COMGEO!B30/1000</f>
        <v>0</v>
      </c>
      <c r="G273" s="26">
        <f>[1]COMGEO!C30/1000</f>
        <v>0</v>
      </c>
      <c r="H273" s="26">
        <f>[1]COMGEO!D30/1000</f>
        <v>0</v>
      </c>
      <c r="I273" s="26">
        <f>[1]COMGEO!E30/1000</f>
        <v>0</v>
      </c>
      <c r="J273" s="1">
        <v>1</v>
      </c>
      <c r="L273" s="1" t="s">
        <v>20</v>
      </c>
      <c r="M273" s="24" t="s">
        <v>105</v>
      </c>
      <c r="N273" s="1" t="s">
        <v>2</v>
      </c>
      <c r="O273" s="1" t="s">
        <v>40</v>
      </c>
      <c r="P273" s="1">
        <f t="shared" si="23"/>
        <v>0</v>
      </c>
      <c r="Q273" s="1">
        <f t="shared" si="22"/>
        <v>0</v>
      </c>
      <c r="R273" s="1">
        <f t="shared" si="22"/>
        <v>0</v>
      </c>
      <c r="S273" s="1">
        <f t="shared" si="22"/>
        <v>0</v>
      </c>
      <c r="T273" s="33">
        <v>0</v>
      </c>
      <c r="U273" s="1">
        <v>1</v>
      </c>
      <c r="W273" s="1" t="s">
        <v>20</v>
      </c>
      <c r="X273" s="24" t="s">
        <v>105</v>
      </c>
      <c r="Y273" s="1" t="s">
        <v>2</v>
      </c>
      <c r="Z273" s="1" t="s">
        <v>39</v>
      </c>
      <c r="AA273" s="1">
        <f t="shared" si="24"/>
        <v>0</v>
      </c>
      <c r="AB273" s="1">
        <f t="shared" si="24"/>
        <v>0</v>
      </c>
      <c r="AC273" s="1">
        <f t="shared" si="24"/>
        <v>0</v>
      </c>
      <c r="AD273" s="1">
        <f t="shared" si="24"/>
        <v>0</v>
      </c>
      <c r="AE273" s="28">
        <f>SUM($I$21,$I$49,$I$77,$I$105,$I$133,$I$161,$I$189,$I$217,$I$245,$I$273)</f>
        <v>254.70966400000003</v>
      </c>
      <c r="AF273" s="1">
        <v>1</v>
      </c>
    </row>
    <row r="274" spans="1:32" x14ac:dyDescent="0.25">
      <c r="B274" s="24" t="s">
        <v>21</v>
      </c>
      <c r="C274" s="24" t="s">
        <v>105</v>
      </c>
      <c r="D274" s="24" t="s">
        <v>2</v>
      </c>
      <c r="E274" s="24"/>
      <c r="F274" s="26">
        <f>[1]COMGEO!B31/1000</f>
        <v>0.32065199999999999</v>
      </c>
      <c r="G274" s="26">
        <f>[1]COMGEO!C31/1000</f>
        <v>0.30083900000000002</v>
      </c>
      <c r="H274" s="26">
        <f>[1]COMGEO!D31/1000</f>
        <v>0.492815</v>
      </c>
      <c r="I274" s="26">
        <f>[1]COMGEO!E31/1000</f>
        <v>0.32389400000000002</v>
      </c>
      <c r="J274" s="1">
        <v>1</v>
      </c>
      <c r="L274" s="1" t="s">
        <v>21</v>
      </c>
      <c r="M274" s="24" t="s">
        <v>105</v>
      </c>
      <c r="N274" s="1" t="s">
        <v>2</v>
      </c>
      <c r="O274" s="1" t="s">
        <v>40</v>
      </c>
      <c r="P274" s="1">
        <f>IF(ISBLANK(F274),":",0.98*F274)</f>
        <v>0.31423896000000001</v>
      </c>
      <c r="Q274" s="1">
        <f t="shared" si="22"/>
        <v>0.29482222000000002</v>
      </c>
      <c r="R274" s="1">
        <f t="shared" si="22"/>
        <v>0.48295870000000002</v>
      </c>
      <c r="S274" s="1">
        <f t="shared" si="22"/>
        <v>0.31741612000000002</v>
      </c>
      <c r="T274" s="33">
        <v>0</v>
      </c>
      <c r="U274" s="1">
        <v>1</v>
      </c>
      <c r="W274" s="1" t="s">
        <v>21</v>
      </c>
      <c r="X274" s="24" t="s">
        <v>105</v>
      </c>
      <c r="Y274" s="1" t="s">
        <v>2</v>
      </c>
      <c r="Z274" s="1" t="s">
        <v>39</v>
      </c>
      <c r="AA274" s="1">
        <f t="shared" si="24"/>
        <v>0.32706503999999997</v>
      </c>
      <c r="AB274" s="1">
        <f t="shared" si="24"/>
        <v>0.30685578000000002</v>
      </c>
      <c r="AC274" s="1">
        <f t="shared" si="24"/>
        <v>0.50267130000000004</v>
      </c>
      <c r="AD274" s="1">
        <f t="shared" si="24"/>
        <v>0.33037188000000001</v>
      </c>
      <c r="AE274" s="28">
        <f>SUM($I$22,$I$50,$I$78,$I$106,$I$134,$I$162,$I$190,$I$218,$I$246,$I$274)</f>
        <v>101.032432</v>
      </c>
      <c r="AF274" s="1">
        <v>1</v>
      </c>
    </row>
    <row r="275" spans="1:32" x14ac:dyDescent="0.25">
      <c r="B275" s="24" t="s">
        <v>22</v>
      </c>
      <c r="C275" s="24" t="s">
        <v>105</v>
      </c>
      <c r="D275" s="24" t="s">
        <v>2</v>
      </c>
      <c r="E275" s="24"/>
      <c r="F275" s="26">
        <f>[1]COMGEO!B32/1000</f>
        <v>0.123</v>
      </c>
      <c r="G275" s="26">
        <f>[1]COMGEO!C32/1000</f>
        <v>0.23499999999999999</v>
      </c>
      <c r="H275" s="26">
        <f>[1]COMGEO!D32/1000</f>
        <v>0.26837</v>
      </c>
      <c r="I275" s="26">
        <f>[1]COMGEO!E32/1000</f>
        <v>0.34307299999999996</v>
      </c>
      <c r="J275" s="1">
        <v>1</v>
      </c>
      <c r="L275" s="1" t="s">
        <v>22</v>
      </c>
      <c r="M275" s="24" t="s">
        <v>105</v>
      </c>
      <c r="N275" s="1" t="s">
        <v>2</v>
      </c>
      <c r="O275" s="1" t="s">
        <v>40</v>
      </c>
      <c r="P275" s="1">
        <f t="shared" ref="P275:P284" si="25">IF(ISBLANK(F275),":",0.98*F275)</f>
        <v>0.12053999999999999</v>
      </c>
      <c r="Q275" s="1">
        <f t="shared" si="22"/>
        <v>0.23029999999999998</v>
      </c>
      <c r="R275" s="1">
        <f t="shared" si="22"/>
        <v>0.26300259999999998</v>
      </c>
      <c r="S275" s="1">
        <f t="shared" si="22"/>
        <v>0.33621153999999998</v>
      </c>
      <c r="T275" s="33">
        <v>0</v>
      </c>
      <c r="U275" s="1">
        <v>1</v>
      </c>
      <c r="W275" s="1" t="s">
        <v>22</v>
      </c>
      <c r="X275" s="24" t="s">
        <v>105</v>
      </c>
      <c r="Y275" s="1" t="s">
        <v>2</v>
      </c>
      <c r="Z275" s="1" t="s">
        <v>39</v>
      </c>
      <c r="AA275" s="1">
        <f t="shared" si="24"/>
        <v>0.12545999999999999</v>
      </c>
      <c r="AB275" s="1">
        <f t="shared" si="24"/>
        <v>0.2397</v>
      </c>
      <c r="AC275" s="1">
        <f t="shared" si="24"/>
        <v>0.27373740000000002</v>
      </c>
      <c r="AD275" s="1">
        <f t="shared" si="24"/>
        <v>0.34993445999999995</v>
      </c>
      <c r="AE275" s="28">
        <f>SUM($I$23,$I$51,$I$79,$I$107,$I$135,$I$163,$I$191,$I$219,$I$247,$I$275)</f>
        <v>338.02420999999998</v>
      </c>
      <c r="AF275" s="1">
        <v>1</v>
      </c>
    </row>
    <row r="276" spans="1:32" x14ac:dyDescent="0.25">
      <c r="B276" s="24" t="s">
        <v>23</v>
      </c>
      <c r="C276" s="24" t="s">
        <v>105</v>
      </c>
      <c r="D276" s="24" t="s">
        <v>2</v>
      </c>
      <c r="E276" s="24"/>
      <c r="F276" s="26">
        <f>[1]COMGEO!B33/1000</f>
        <v>4.2000000000000003E-2</v>
      </c>
      <c r="G276" s="26">
        <f>[1]COMGEO!C33/1000</f>
        <v>6.4000000000000001E-2</v>
      </c>
      <c r="H276" s="26">
        <f>[1]COMGEO!D33/1000</f>
        <v>5.5E-2</v>
      </c>
      <c r="I276" s="26">
        <f>[1]COMGEO!E33/1000</f>
        <v>7.9000000000000001E-2</v>
      </c>
      <c r="J276" s="1">
        <v>1</v>
      </c>
      <c r="L276" s="1" t="s">
        <v>23</v>
      </c>
      <c r="M276" s="24" t="s">
        <v>105</v>
      </c>
      <c r="N276" s="1" t="s">
        <v>2</v>
      </c>
      <c r="O276" s="1" t="s">
        <v>40</v>
      </c>
      <c r="P276" s="1">
        <f t="shared" si="25"/>
        <v>4.1160000000000002E-2</v>
      </c>
      <c r="Q276" s="1">
        <f t="shared" si="22"/>
        <v>6.2719999999999998E-2</v>
      </c>
      <c r="R276" s="1">
        <f t="shared" si="22"/>
        <v>5.3899999999999997E-2</v>
      </c>
      <c r="S276" s="1">
        <f t="shared" si="22"/>
        <v>7.7420000000000003E-2</v>
      </c>
      <c r="T276" s="33">
        <v>0</v>
      </c>
      <c r="U276" s="1">
        <v>1</v>
      </c>
      <c r="W276" s="1" t="s">
        <v>23</v>
      </c>
      <c r="X276" s="24" t="s">
        <v>105</v>
      </c>
      <c r="Y276" s="1" t="s">
        <v>2</v>
      </c>
      <c r="Z276" s="1" t="s">
        <v>39</v>
      </c>
      <c r="AA276" s="1">
        <f t="shared" si="24"/>
        <v>4.2840000000000003E-2</v>
      </c>
      <c r="AB276" s="1">
        <f t="shared" si="24"/>
        <v>6.5280000000000005E-2</v>
      </c>
      <c r="AC276" s="1">
        <f t="shared" si="24"/>
        <v>5.6100000000000004E-2</v>
      </c>
      <c r="AD276" s="1">
        <f t="shared" si="24"/>
        <v>8.0579999999999999E-2</v>
      </c>
      <c r="AE276" s="28">
        <f>SUM($I$24,$I$52,$I$80,$I$108,$I$136,$I$164,$I$192,$I$220,$I$248,$I$276)</f>
        <v>100.75319400000001</v>
      </c>
      <c r="AF276" s="1">
        <v>1</v>
      </c>
    </row>
    <row r="277" spans="1:32" x14ac:dyDescent="0.25">
      <c r="B277" s="24" t="s">
        <v>24</v>
      </c>
      <c r="C277" s="24" t="s">
        <v>105</v>
      </c>
      <c r="D277" s="24" t="s">
        <v>2</v>
      </c>
      <c r="E277" s="24"/>
      <c r="F277" s="26">
        <f>[1]COMGEO!B34/1000</f>
        <v>0.17699999999999999</v>
      </c>
      <c r="G277" s="26">
        <f>[1]COMGEO!C34/1000</f>
        <v>0.64200000000000002</v>
      </c>
      <c r="H277" s="26">
        <f>[1]COMGEO!D34/1000</f>
        <v>0.241227</v>
      </c>
      <c r="I277" s="26">
        <f>[1]COMGEO!E34/1000</f>
        <v>0.29631099999999999</v>
      </c>
      <c r="J277" s="1">
        <v>1</v>
      </c>
      <c r="L277" s="1" t="s">
        <v>24</v>
      </c>
      <c r="M277" s="24" t="s">
        <v>105</v>
      </c>
      <c r="N277" s="1" t="s">
        <v>2</v>
      </c>
      <c r="O277" s="1" t="s">
        <v>40</v>
      </c>
      <c r="P277" s="1">
        <f t="shared" si="25"/>
        <v>0.17345999999999998</v>
      </c>
      <c r="Q277" s="1">
        <f t="shared" si="22"/>
        <v>0.62916000000000005</v>
      </c>
      <c r="R277" s="1">
        <f t="shared" si="22"/>
        <v>0.23640245999999998</v>
      </c>
      <c r="S277" s="1">
        <f t="shared" si="22"/>
        <v>0.29038478000000001</v>
      </c>
      <c r="T277" s="33">
        <v>0</v>
      </c>
      <c r="U277" s="1">
        <v>1</v>
      </c>
      <c r="W277" s="1" t="s">
        <v>24</v>
      </c>
      <c r="X277" s="24" t="s">
        <v>105</v>
      </c>
      <c r="Y277" s="1" t="s">
        <v>2</v>
      </c>
      <c r="Z277" s="1" t="s">
        <v>39</v>
      </c>
      <c r="AA277" s="1">
        <f t="shared" si="24"/>
        <v>0.18054000000000001</v>
      </c>
      <c r="AB277" s="1">
        <f t="shared" si="24"/>
        <v>0.65483999999999998</v>
      </c>
      <c r="AC277" s="1">
        <f t="shared" si="24"/>
        <v>0.24605154000000001</v>
      </c>
      <c r="AD277" s="1">
        <f t="shared" si="24"/>
        <v>0.30223721999999997</v>
      </c>
      <c r="AE277" s="28">
        <f>SUM($I$25,$I$53,$I$81,$I$109,$I$137,$I$165,$I$193,$I$221,$I$249,$I$277)</f>
        <v>85.709021000000007</v>
      </c>
      <c r="AF277" s="1">
        <v>1</v>
      </c>
    </row>
    <row r="278" spans="1:32" x14ac:dyDescent="0.25">
      <c r="B278" s="24" t="s">
        <v>25</v>
      </c>
      <c r="C278" s="24" t="s">
        <v>105</v>
      </c>
      <c r="D278" s="24" t="s">
        <v>2</v>
      </c>
      <c r="E278" s="24"/>
      <c r="F278" s="26">
        <f>[1]COMGEO!B35/1000</f>
        <v>0.63300000000000001</v>
      </c>
      <c r="G278" s="26">
        <f>[1]COMGEO!C35/1000</f>
        <v>0.34699999999999998</v>
      </c>
      <c r="H278" s="26">
        <f>[1]COMGEO!D35/1000</f>
        <v>0.34805000000000003</v>
      </c>
      <c r="I278" s="26">
        <f>[1]COMGEO!E35/1000</f>
        <v>0.43677999999999995</v>
      </c>
      <c r="J278" s="1">
        <v>1</v>
      </c>
      <c r="L278" s="1" t="s">
        <v>25</v>
      </c>
      <c r="M278" s="24" t="s">
        <v>105</v>
      </c>
      <c r="N278" s="1" t="s">
        <v>2</v>
      </c>
      <c r="O278" s="1" t="s">
        <v>40</v>
      </c>
      <c r="P278" s="1">
        <f t="shared" si="25"/>
        <v>0.62034</v>
      </c>
      <c r="Q278" s="1">
        <f t="shared" si="22"/>
        <v>0.34005999999999997</v>
      </c>
      <c r="R278" s="1">
        <f t="shared" si="22"/>
        <v>0.34108900000000003</v>
      </c>
      <c r="S278" s="1">
        <f t="shared" si="22"/>
        <v>0.42804439999999994</v>
      </c>
      <c r="T278" s="33">
        <v>0</v>
      </c>
      <c r="U278" s="1">
        <v>1</v>
      </c>
      <c r="W278" s="1" t="s">
        <v>25</v>
      </c>
      <c r="X278" s="24" t="s">
        <v>105</v>
      </c>
      <c r="Y278" s="1" t="s">
        <v>2</v>
      </c>
      <c r="Z278" s="1" t="s">
        <v>39</v>
      </c>
      <c r="AA278" s="1">
        <f t="shared" si="24"/>
        <v>0.64566000000000001</v>
      </c>
      <c r="AB278" s="1">
        <f t="shared" si="24"/>
        <v>0.35393999999999998</v>
      </c>
      <c r="AC278" s="1">
        <f t="shared" si="24"/>
        <v>0.35501100000000002</v>
      </c>
      <c r="AD278" s="1">
        <f t="shared" si="24"/>
        <v>0.44551559999999996</v>
      </c>
      <c r="AE278" s="28">
        <f>SUM($I$26,$I$54,$I$82,$I$110,$I$138,$I$166,$I$194,$I$222,$I$250,$I$278)</f>
        <v>18.304008</v>
      </c>
      <c r="AF278" s="1">
        <v>1</v>
      </c>
    </row>
    <row r="279" spans="1:32" x14ac:dyDescent="0.25">
      <c r="B279" s="24" t="s">
        <v>26</v>
      </c>
      <c r="C279" s="24" t="s">
        <v>105</v>
      </c>
      <c r="D279" s="24" t="s">
        <v>2</v>
      </c>
      <c r="E279" s="24"/>
      <c r="F279" s="26">
        <f>[1]COMGEO!B36/1000</f>
        <v>4.8000000000000001E-2</v>
      </c>
      <c r="G279" s="26">
        <f>[1]COMGEO!C36/1000</f>
        <v>2.9000000000000001E-2</v>
      </c>
      <c r="H279" s="26">
        <f>[1]COMGEO!D36/1000</f>
        <v>0</v>
      </c>
      <c r="I279" s="26">
        <f>[1]COMGEO!E36/1000</f>
        <v>0</v>
      </c>
      <c r="J279" s="1">
        <v>1</v>
      </c>
      <c r="L279" s="1" t="s">
        <v>26</v>
      </c>
      <c r="M279" s="24" t="s">
        <v>105</v>
      </c>
      <c r="N279" s="1" t="s">
        <v>2</v>
      </c>
      <c r="O279" s="1" t="s">
        <v>40</v>
      </c>
      <c r="P279" s="1">
        <f t="shared" si="25"/>
        <v>4.7039999999999998E-2</v>
      </c>
      <c r="Q279" s="1">
        <f t="shared" si="22"/>
        <v>2.8420000000000001E-2</v>
      </c>
      <c r="R279" s="1">
        <f t="shared" si="22"/>
        <v>0</v>
      </c>
      <c r="S279" s="1">
        <f t="shared" si="22"/>
        <v>0</v>
      </c>
      <c r="T279" s="33">
        <v>0</v>
      </c>
      <c r="U279" s="1">
        <v>1</v>
      </c>
      <c r="W279" s="1" t="s">
        <v>26</v>
      </c>
      <c r="X279" s="24" t="s">
        <v>105</v>
      </c>
      <c r="Y279" s="1" t="s">
        <v>2</v>
      </c>
      <c r="Z279" s="1" t="s">
        <v>39</v>
      </c>
      <c r="AA279" s="1">
        <f t="shared" si="24"/>
        <v>4.8960000000000004E-2</v>
      </c>
      <c r="AB279" s="1">
        <f t="shared" si="24"/>
        <v>2.9580000000000002E-2</v>
      </c>
      <c r="AC279" s="1">
        <f t="shared" si="24"/>
        <v>0</v>
      </c>
      <c r="AD279" s="1">
        <f t="shared" si="24"/>
        <v>0</v>
      </c>
      <c r="AE279" s="28">
        <f>SUM($I$27,$I$55,$I$83,$I$111,$I$139,$I$167,$I$195,$I$223,$I$251,$I$279)</f>
        <v>46.794905</v>
      </c>
      <c r="AF279" s="1">
        <v>1</v>
      </c>
    </row>
    <row r="280" spans="1:32" x14ac:dyDescent="0.25">
      <c r="B280" s="24" t="s">
        <v>27</v>
      </c>
      <c r="C280" s="24" t="s">
        <v>105</v>
      </c>
      <c r="D280" s="24" t="s">
        <v>2</v>
      </c>
      <c r="E280" s="24"/>
      <c r="F280" s="26">
        <f>[1]COMGEO!B37/1000</f>
        <v>0</v>
      </c>
      <c r="G280" s="26">
        <f>[1]COMGEO!C37/1000</f>
        <v>0</v>
      </c>
      <c r="H280" s="26">
        <f>[1]COMGEO!D37/1000</f>
        <v>0</v>
      </c>
      <c r="I280" s="26">
        <f>[1]COMGEO!E37/1000</f>
        <v>0</v>
      </c>
      <c r="J280" s="1">
        <v>1</v>
      </c>
      <c r="L280" s="1" t="s">
        <v>27</v>
      </c>
      <c r="M280" s="24" t="s">
        <v>105</v>
      </c>
      <c r="N280" s="1" t="s">
        <v>2</v>
      </c>
      <c r="O280" s="1" t="s">
        <v>40</v>
      </c>
      <c r="P280" s="1">
        <f t="shared" si="25"/>
        <v>0</v>
      </c>
      <c r="Q280" s="1">
        <f t="shared" si="22"/>
        <v>0</v>
      </c>
      <c r="R280" s="1">
        <f t="shared" si="22"/>
        <v>0</v>
      </c>
      <c r="S280" s="1">
        <f t="shared" si="22"/>
        <v>0</v>
      </c>
      <c r="T280" s="33">
        <v>0</v>
      </c>
      <c r="U280" s="1">
        <v>1</v>
      </c>
      <c r="W280" s="1" t="s">
        <v>27</v>
      </c>
      <c r="X280" s="24" t="s">
        <v>105</v>
      </c>
      <c r="Y280" s="1" t="s">
        <v>2</v>
      </c>
      <c r="Z280" s="1" t="s">
        <v>39</v>
      </c>
      <c r="AA280" s="1">
        <f t="shared" si="24"/>
        <v>0</v>
      </c>
      <c r="AB280" s="1">
        <f t="shared" si="24"/>
        <v>0</v>
      </c>
      <c r="AC280" s="1">
        <f t="shared" si="24"/>
        <v>0</v>
      </c>
      <c r="AD280" s="1">
        <f t="shared" si="24"/>
        <v>0</v>
      </c>
      <c r="AE280" s="28">
        <f>SUM($I$28,$I$56,$I$84,$I$112,$I$140,$I$168,$I$196,$I$224,$I$252,$I$280)</f>
        <v>121.343903</v>
      </c>
      <c r="AF280" s="1">
        <v>1</v>
      </c>
    </row>
    <row r="281" spans="1:32" x14ac:dyDescent="0.25">
      <c r="B281" s="24" t="s">
        <v>28</v>
      </c>
      <c r="C281" s="24" t="s">
        <v>105</v>
      </c>
      <c r="D281" s="24" t="s">
        <v>2</v>
      </c>
      <c r="E281" s="24"/>
      <c r="F281" s="26">
        <f>[1]COMGEO!B38/1000</f>
        <v>0</v>
      </c>
      <c r="G281" s="26">
        <f>[1]COMGEO!C38/1000</f>
        <v>0</v>
      </c>
      <c r="H281" s="26">
        <f>[1]COMGEO!D38/1000</f>
        <v>0</v>
      </c>
      <c r="I281" s="26">
        <f>[1]COMGEO!E38/1000</f>
        <v>0</v>
      </c>
      <c r="J281" s="1">
        <v>1</v>
      </c>
      <c r="L281" s="1" t="s">
        <v>28</v>
      </c>
      <c r="M281" s="24" t="s">
        <v>105</v>
      </c>
      <c r="N281" s="1" t="s">
        <v>2</v>
      </c>
      <c r="O281" s="1" t="s">
        <v>40</v>
      </c>
      <c r="P281" s="1">
        <f t="shared" si="25"/>
        <v>0</v>
      </c>
      <c r="Q281" s="1">
        <f t="shared" si="22"/>
        <v>0</v>
      </c>
      <c r="R281" s="1">
        <f t="shared" si="22"/>
        <v>0</v>
      </c>
      <c r="S281" s="1">
        <f t="shared" si="22"/>
        <v>0</v>
      </c>
      <c r="T281" s="33">
        <v>0</v>
      </c>
      <c r="U281" s="1">
        <v>1</v>
      </c>
      <c r="W281" s="1" t="s">
        <v>28</v>
      </c>
      <c r="X281" s="24" t="s">
        <v>105</v>
      </c>
      <c r="Y281" s="1" t="s">
        <v>2</v>
      </c>
      <c r="Z281" s="1" t="s">
        <v>39</v>
      </c>
      <c r="AA281" s="1">
        <f t="shared" si="24"/>
        <v>0</v>
      </c>
      <c r="AB281" s="1">
        <f t="shared" si="24"/>
        <v>0</v>
      </c>
      <c r="AC281" s="1">
        <f t="shared" si="24"/>
        <v>0</v>
      </c>
      <c r="AD281" s="1">
        <f t="shared" si="24"/>
        <v>0</v>
      </c>
      <c r="AE281" s="28">
        <f>SUM($I$29,$I$57,$I$85,$I$113,$I$141,$I$169,$I$197,$I$225,$I$253,$I$281)</f>
        <v>174.41146799999999</v>
      </c>
      <c r="AF281" s="1">
        <v>1</v>
      </c>
    </row>
    <row r="282" spans="1:32" x14ac:dyDescent="0.25">
      <c r="B282" s="24" t="s">
        <v>29</v>
      </c>
      <c r="C282" s="24" t="s">
        <v>105</v>
      </c>
      <c r="D282" s="24" t="s">
        <v>2</v>
      </c>
      <c r="E282" s="24"/>
      <c r="F282" s="26">
        <f>[1]COMGEO!B39/1000</f>
        <v>0</v>
      </c>
      <c r="G282" s="26">
        <f>[1]COMGEO!C39/1000</f>
        <v>0</v>
      </c>
      <c r="H282" s="26">
        <f>[1]COMGEO!D39/1000</f>
        <v>0</v>
      </c>
      <c r="I282" s="26">
        <f>[1]COMGEO!E39/1000</f>
        <v>0</v>
      </c>
      <c r="J282" s="1">
        <v>1</v>
      </c>
      <c r="L282" s="1" t="s">
        <v>29</v>
      </c>
      <c r="M282" s="24" t="s">
        <v>105</v>
      </c>
      <c r="N282" s="1" t="s">
        <v>2</v>
      </c>
      <c r="O282" s="1" t="s">
        <v>40</v>
      </c>
      <c r="P282" s="1">
        <f t="shared" si="25"/>
        <v>0</v>
      </c>
      <c r="Q282" s="1">
        <f t="shared" si="22"/>
        <v>0</v>
      </c>
      <c r="R282" s="1">
        <f t="shared" si="22"/>
        <v>0</v>
      </c>
      <c r="S282" s="1">
        <f t="shared" si="22"/>
        <v>0</v>
      </c>
      <c r="T282" s="33">
        <v>0</v>
      </c>
      <c r="U282" s="1">
        <v>1</v>
      </c>
      <c r="W282" s="1" t="s">
        <v>29</v>
      </c>
      <c r="X282" s="24" t="s">
        <v>105</v>
      </c>
      <c r="Y282" s="1" t="s">
        <v>2</v>
      </c>
      <c r="Z282" s="1" t="s">
        <v>39</v>
      </c>
      <c r="AA282" s="1">
        <f t="shared" si="24"/>
        <v>0</v>
      </c>
      <c r="AB282" s="1">
        <f t="shared" si="24"/>
        <v>0</v>
      </c>
      <c r="AC282" s="1">
        <f t="shared" si="24"/>
        <v>0</v>
      </c>
      <c r="AD282" s="1">
        <f t="shared" si="24"/>
        <v>0</v>
      </c>
      <c r="AE282" s="28">
        <f>SUM($I$30,$I$58,$I$86,$I$114,$I$142,$I$170,$I$198,$I$226,$I$254,$I$282)</f>
        <v>131.14785900000001</v>
      </c>
      <c r="AF282" s="1">
        <v>1</v>
      </c>
    </row>
    <row r="283" spans="1:32" x14ac:dyDescent="0.25">
      <c r="B283" s="24" t="s">
        <v>30</v>
      </c>
      <c r="C283" s="24" t="s">
        <v>105</v>
      </c>
      <c r="D283" s="24" t="s">
        <v>2</v>
      </c>
      <c r="E283" s="24"/>
      <c r="F283" s="26">
        <f>[1]COMGEO!B40/1000</f>
        <v>3.3000000000000002E-2</v>
      </c>
      <c r="G283" s="26">
        <f>[1]COMGEO!C40/1000</f>
        <v>1.6500000000000001E-2</v>
      </c>
      <c r="H283" s="26">
        <v>1.7000000000000001E-2</v>
      </c>
      <c r="I283" s="26">
        <v>1.7000000000000001E-2</v>
      </c>
      <c r="J283" s="1">
        <v>1</v>
      </c>
      <c r="L283" s="1" t="s">
        <v>30</v>
      </c>
      <c r="M283" s="24" t="s">
        <v>105</v>
      </c>
      <c r="N283" s="1" t="s">
        <v>2</v>
      </c>
      <c r="O283" s="1" t="s">
        <v>40</v>
      </c>
      <c r="P283" s="1">
        <f t="shared" si="25"/>
        <v>3.2340000000000001E-2</v>
      </c>
      <c r="Q283" s="1">
        <f t="shared" si="22"/>
        <v>1.617E-2</v>
      </c>
      <c r="R283" s="1">
        <f t="shared" si="22"/>
        <v>1.6660000000000001E-2</v>
      </c>
      <c r="S283" s="1">
        <f t="shared" si="22"/>
        <v>1.6660000000000001E-2</v>
      </c>
      <c r="T283" s="33">
        <v>0</v>
      </c>
      <c r="U283" s="1">
        <v>1</v>
      </c>
      <c r="W283" s="1" t="s">
        <v>30</v>
      </c>
      <c r="X283" s="24" t="s">
        <v>105</v>
      </c>
      <c r="Y283" s="1" t="s">
        <v>2</v>
      </c>
      <c r="Z283" s="1" t="s">
        <v>39</v>
      </c>
      <c r="AA283" s="1">
        <f t="shared" si="24"/>
        <v>3.3660000000000002E-2</v>
      </c>
      <c r="AB283" s="1">
        <f t="shared" si="24"/>
        <v>1.6830000000000001E-2</v>
      </c>
      <c r="AC283" s="1">
        <f t="shared" si="24"/>
        <v>1.7340000000000001E-2</v>
      </c>
      <c r="AD283" s="1">
        <f t="shared" si="24"/>
        <v>1.7340000000000001E-2</v>
      </c>
      <c r="AE283" s="28">
        <f>SUM($I$31,$I$59,$I$87,$I$115,$I$143,$I$171,$I$199,$I$227,$I$255,$I$283)</f>
        <v>698.48733743314938</v>
      </c>
      <c r="AF283" s="1">
        <v>1</v>
      </c>
    </row>
    <row r="284" spans="1:32" x14ac:dyDescent="0.25">
      <c r="B284" s="24" t="s">
        <v>48</v>
      </c>
      <c r="C284" s="24" t="s">
        <v>105</v>
      </c>
      <c r="D284" s="24" t="s">
        <v>2</v>
      </c>
      <c r="E284" s="24"/>
      <c r="F284" s="26">
        <v>1.59</v>
      </c>
      <c r="G284" s="26">
        <v>1.589</v>
      </c>
      <c r="H284" s="26">
        <v>0.25900000000000001</v>
      </c>
      <c r="I284" s="26">
        <v>0.26300000000000001</v>
      </c>
      <c r="J284" s="1">
        <v>1</v>
      </c>
      <c r="L284" s="1" t="s">
        <v>48</v>
      </c>
      <c r="M284" s="24" t="s">
        <v>105</v>
      </c>
      <c r="N284" s="1" t="s">
        <v>2</v>
      </c>
      <c r="O284" s="1" t="s">
        <v>40</v>
      </c>
      <c r="P284" s="1">
        <f t="shared" si="25"/>
        <v>1.5582</v>
      </c>
      <c r="Q284" s="1">
        <f t="shared" si="22"/>
        <v>1.55722</v>
      </c>
      <c r="R284" s="1">
        <f t="shared" si="22"/>
        <v>0.25381999999999999</v>
      </c>
      <c r="S284" s="1">
        <f t="shared" si="22"/>
        <v>0.25774000000000002</v>
      </c>
      <c r="T284" s="33">
        <v>0</v>
      </c>
      <c r="U284" s="1">
        <v>1</v>
      </c>
      <c r="W284" s="1" t="s">
        <v>48</v>
      </c>
      <c r="X284" s="24" t="s">
        <v>105</v>
      </c>
      <c r="Y284" s="1" t="s">
        <v>2</v>
      </c>
      <c r="Z284" s="1" t="s">
        <v>39</v>
      </c>
      <c r="AA284" s="1">
        <f t="shared" si="24"/>
        <v>1.6218000000000001</v>
      </c>
      <c r="AB284" s="1">
        <f t="shared" si="24"/>
        <v>1.6207799999999999</v>
      </c>
      <c r="AC284" s="1">
        <f t="shared" si="24"/>
        <v>0.26418000000000003</v>
      </c>
      <c r="AD284" s="1">
        <f t="shared" si="24"/>
        <v>0.26826</v>
      </c>
      <c r="AE284" s="28">
        <f>AVERAGE(AE4:AE283)</f>
        <v>204.94799540832676</v>
      </c>
      <c r="AF284" s="1">
        <v>1</v>
      </c>
    </row>
    <row r="285" spans="1:32" x14ac:dyDescent="0.25">
      <c r="L285" s="1" t="s">
        <v>0</v>
      </c>
      <c r="M285" s="1" t="s">
        <v>96</v>
      </c>
      <c r="N285" s="1" t="s">
        <v>2</v>
      </c>
      <c r="O285" s="1" t="s">
        <v>40</v>
      </c>
      <c r="P285" s="1"/>
      <c r="Q285" s="1"/>
      <c r="R285" s="1"/>
      <c r="S285" s="1"/>
      <c r="T285" s="33">
        <v>0</v>
      </c>
      <c r="U285" s="1">
        <v>1</v>
      </c>
      <c r="W285" s="1" t="s">
        <v>0</v>
      </c>
      <c r="X285" s="1" t="s">
        <v>96</v>
      </c>
      <c r="Y285" s="1" t="s">
        <v>2</v>
      </c>
      <c r="Z285" s="1" t="s">
        <v>39</v>
      </c>
      <c r="AA285" s="1">
        <v>0</v>
      </c>
      <c r="AB285" s="1">
        <v>0</v>
      </c>
      <c r="AC285" s="1">
        <v>0</v>
      </c>
      <c r="AD285" s="1">
        <v>0</v>
      </c>
      <c r="AE285" s="28">
        <f>SUM($I$4,$I$32,$I$60,$I$88,$I$116,$I$144,$I$172,$I$200,$I$228,$I$256)</f>
        <v>159.04926399999999</v>
      </c>
      <c r="AF285" s="1">
        <v>1</v>
      </c>
    </row>
    <row r="286" spans="1:32" x14ac:dyDescent="0.25">
      <c r="B286" s="2" t="s">
        <v>106</v>
      </c>
      <c r="L286" s="1" t="s">
        <v>3</v>
      </c>
      <c r="M286" s="1" t="s">
        <v>96</v>
      </c>
      <c r="N286" s="1" t="s">
        <v>2</v>
      </c>
      <c r="O286" s="1" t="s">
        <v>40</v>
      </c>
      <c r="P286" s="1"/>
      <c r="Q286" s="1"/>
      <c r="R286" s="1"/>
      <c r="S286" s="1"/>
      <c r="T286" s="33">
        <v>0</v>
      </c>
      <c r="U286" s="1">
        <v>1</v>
      </c>
      <c r="W286" s="1" t="s">
        <v>3</v>
      </c>
      <c r="X286" s="1" t="s">
        <v>96</v>
      </c>
      <c r="Y286" s="1" t="s">
        <v>2</v>
      </c>
      <c r="Z286" s="1" t="s">
        <v>39</v>
      </c>
      <c r="AA286" s="1">
        <v>0</v>
      </c>
      <c r="AB286" s="1">
        <v>0</v>
      </c>
      <c r="AC286" s="1">
        <v>0</v>
      </c>
      <c r="AD286" s="1">
        <v>0</v>
      </c>
      <c r="AE286" s="28">
        <f>SUM($I$5,$I$33,$I$61,$I$89,$I$117,$I$145,$I$173,$I$201,$I$229,$I$257)</f>
        <v>52.687187999999992</v>
      </c>
      <c r="AF286" s="1">
        <v>1</v>
      </c>
    </row>
    <row r="287" spans="1:32" ht="15.75" thickBot="1" x14ac:dyDescent="0.3">
      <c r="C287" s="44">
        <v>2020</v>
      </c>
      <c r="D287" s="45">
        <v>2024</v>
      </c>
      <c r="E287" s="19"/>
      <c r="F287" s="2" t="s">
        <v>107</v>
      </c>
      <c r="H287" s="9"/>
      <c r="I287" s="9"/>
      <c r="L287" s="1" t="s">
        <v>4</v>
      </c>
      <c r="M287" s="1" t="s">
        <v>96</v>
      </c>
      <c r="N287" s="1" t="s">
        <v>2</v>
      </c>
      <c r="O287" s="1" t="s">
        <v>40</v>
      </c>
      <c r="P287" s="1"/>
      <c r="Q287" s="1"/>
      <c r="R287" s="1"/>
      <c r="S287" s="1"/>
      <c r="T287" s="33">
        <v>0</v>
      </c>
      <c r="U287" s="1">
        <v>1</v>
      </c>
      <c r="W287" s="1" t="s">
        <v>4</v>
      </c>
      <c r="X287" s="1" t="s">
        <v>96</v>
      </c>
      <c r="Y287" s="1" t="s">
        <v>2</v>
      </c>
      <c r="Z287" s="1" t="s">
        <v>39</v>
      </c>
      <c r="AA287" s="1">
        <v>0</v>
      </c>
      <c r="AB287" s="1">
        <v>0</v>
      </c>
      <c r="AC287" s="1">
        <v>0</v>
      </c>
      <c r="AD287" s="1">
        <v>0</v>
      </c>
      <c r="AE287" s="28">
        <f>SUM($I$6,$I$34,$I$62,$I$90,$I$118,$I$146,$I$174,$I$202,$I$230,$I$258)</f>
        <v>110.98745699999999</v>
      </c>
      <c r="AF287" s="1">
        <v>1</v>
      </c>
    </row>
    <row r="288" spans="1:32" x14ac:dyDescent="0.25">
      <c r="A288" s="46" t="s">
        <v>63</v>
      </c>
      <c r="B288" s="47" t="s">
        <v>108</v>
      </c>
      <c r="C288" s="48">
        <f>SUM('[2]2020'!$B$60:$E$61)</f>
        <v>184.28</v>
      </c>
      <c r="D288" s="49">
        <f>SUM('[2]2024'!$B$60:$E$61)</f>
        <v>189.57</v>
      </c>
      <c r="E288" s="19" t="s">
        <v>58</v>
      </c>
      <c r="G288" s="14" t="s">
        <v>66</v>
      </c>
      <c r="H288" s="9"/>
      <c r="I288" s="9"/>
      <c r="L288" s="1" t="s">
        <v>5</v>
      </c>
      <c r="M288" s="1" t="s">
        <v>96</v>
      </c>
      <c r="N288" s="1" t="s">
        <v>2</v>
      </c>
      <c r="O288" s="1" t="s">
        <v>40</v>
      </c>
      <c r="P288" s="1"/>
      <c r="Q288" s="1"/>
      <c r="R288" s="1"/>
      <c r="S288" s="1"/>
      <c r="T288" s="33">
        <v>0</v>
      </c>
      <c r="U288" s="1">
        <v>1</v>
      </c>
      <c r="W288" s="1" t="s">
        <v>5</v>
      </c>
      <c r="X288" s="1" t="s">
        <v>96</v>
      </c>
      <c r="Y288" s="1" t="s">
        <v>2</v>
      </c>
      <c r="Z288" s="1" t="s">
        <v>39</v>
      </c>
      <c r="AA288" s="1">
        <v>0</v>
      </c>
      <c r="AB288" s="1">
        <v>0</v>
      </c>
      <c r="AC288" s="1">
        <v>0</v>
      </c>
      <c r="AD288" s="1">
        <v>0</v>
      </c>
      <c r="AE288" s="28">
        <f>SUM($I$7,$I$35,$I$63,$I$91,$I$119,$I$147,$I$175,$I$203,$I$231,$I$259)</f>
        <v>78.733746999999994</v>
      </c>
      <c r="AF288" s="1">
        <v>1</v>
      </c>
    </row>
    <row r="289" spans="1:32" ht="15.75" thickBot="1" x14ac:dyDescent="0.3">
      <c r="B289" s="50"/>
      <c r="C289" s="51">
        <f>0.041868*C288</f>
        <v>7.7154350400000009</v>
      </c>
      <c r="D289" s="52">
        <f>0.041868*D288</f>
        <v>7.9369167599999999</v>
      </c>
      <c r="E289" s="19" t="s">
        <v>59</v>
      </c>
      <c r="F289" s="14" t="s">
        <v>99</v>
      </c>
      <c r="G289" s="17">
        <v>0.71899999999999997</v>
      </c>
      <c r="H289" s="9"/>
      <c r="I289" s="9"/>
      <c r="L289" s="1" t="s">
        <v>6</v>
      </c>
      <c r="M289" s="1" t="s">
        <v>96</v>
      </c>
      <c r="N289" s="1" t="s">
        <v>2</v>
      </c>
      <c r="O289" s="1" t="s">
        <v>40</v>
      </c>
      <c r="P289" s="1"/>
      <c r="Q289" s="1"/>
      <c r="R289" s="1"/>
      <c r="S289" s="1"/>
      <c r="T289" s="33">
        <v>0</v>
      </c>
      <c r="U289" s="1">
        <v>1</v>
      </c>
      <c r="W289" s="1" t="s">
        <v>6</v>
      </c>
      <c r="X289" s="1" t="s">
        <v>96</v>
      </c>
      <c r="Y289" s="1" t="s">
        <v>2</v>
      </c>
      <c r="Z289" s="1" t="s">
        <v>39</v>
      </c>
      <c r="AA289" s="1">
        <v>0</v>
      </c>
      <c r="AB289" s="1">
        <v>0</v>
      </c>
      <c r="AC289" s="1">
        <v>0</v>
      </c>
      <c r="AD289" s="1">
        <v>0</v>
      </c>
      <c r="AE289" s="28">
        <f>SUM($I$8,$I$36,$I$64,$I$92,$I$120,$I$148,$I$176,$I$204,$I$232,$I$260)</f>
        <v>998.19450100000006</v>
      </c>
      <c r="AF289" s="1">
        <v>1</v>
      </c>
    </row>
    <row r="290" spans="1:32" x14ac:dyDescent="0.25">
      <c r="B290" s="53" t="s">
        <v>109</v>
      </c>
      <c r="C290" s="54">
        <f>SUM('[2]2020'!$N$60:$N$61)</f>
        <v>928.93</v>
      </c>
      <c r="D290" s="55">
        <f>SUM('[2]2024'!$N$60:$N$61)</f>
        <v>1030.4000000000001</v>
      </c>
      <c r="E290" s="19" t="s">
        <v>58</v>
      </c>
      <c r="F290" s="14" t="s">
        <v>110</v>
      </c>
      <c r="G290" s="17">
        <v>77.415789999999987</v>
      </c>
      <c r="H290" s="9"/>
      <c r="I290" s="9"/>
      <c r="L290" s="1" t="s">
        <v>7</v>
      </c>
      <c r="M290" s="1" t="s">
        <v>96</v>
      </c>
      <c r="N290" s="1" t="s">
        <v>2</v>
      </c>
      <c r="O290" s="1" t="s">
        <v>40</v>
      </c>
      <c r="P290" s="1"/>
      <c r="Q290" s="1"/>
      <c r="R290" s="1"/>
      <c r="S290" s="1"/>
      <c r="T290" s="33">
        <v>0</v>
      </c>
      <c r="U290" s="1">
        <v>1</v>
      </c>
      <c r="W290" s="1" t="s">
        <v>7</v>
      </c>
      <c r="X290" s="1" t="s">
        <v>96</v>
      </c>
      <c r="Y290" s="1" t="s">
        <v>2</v>
      </c>
      <c r="Z290" s="1" t="s">
        <v>39</v>
      </c>
      <c r="AA290" s="1">
        <v>0</v>
      </c>
      <c r="AB290" s="1">
        <v>0</v>
      </c>
      <c r="AC290" s="1">
        <v>0</v>
      </c>
      <c r="AD290" s="1">
        <v>0</v>
      </c>
      <c r="AE290" s="28">
        <f>SUM($I$9,$I$37,$I$65,$I$93,$I$121,$I$149,$I$177,$I$205,$I$233,$I$261)</f>
        <v>15.12316</v>
      </c>
      <c r="AF290" s="1">
        <v>1</v>
      </c>
    </row>
    <row r="291" spans="1:32" ht="15.75" thickBot="1" x14ac:dyDescent="0.3">
      <c r="B291" s="56"/>
      <c r="C291" s="57">
        <f>0.041868*C290</f>
        <v>38.892441240000004</v>
      </c>
      <c r="D291" s="58">
        <f>0.041868*D290</f>
        <v>43.140787200000005</v>
      </c>
      <c r="E291" s="19" t="s">
        <v>59</v>
      </c>
      <c r="F291" s="14" t="s">
        <v>104</v>
      </c>
      <c r="G291" s="17">
        <v>274.882408</v>
      </c>
      <c r="H291" s="9"/>
      <c r="I291" s="9"/>
      <c r="L291" s="1" t="s">
        <v>8</v>
      </c>
      <c r="M291" s="1" t="s">
        <v>96</v>
      </c>
      <c r="N291" s="1" t="s">
        <v>2</v>
      </c>
      <c r="O291" s="1" t="s">
        <v>40</v>
      </c>
      <c r="P291" s="1"/>
      <c r="Q291" s="1"/>
      <c r="R291" s="1"/>
      <c r="S291" s="1"/>
      <c r="T291" s="33">
        <v>0</v>
      </c>
      <c r="U291" s="1">
        <v>1</v>
      </c>
      <c r="W291" s="1" t="s">
        <v>8</v>
      </c>
      <c r="X291" s="1" t="s">
        <v>96</v>
      </c>
      <c r="Y291" s="1" t="s">
        <v>2</v>
      </c>
      <c r="Z291" s="1" t="s">
        <v>39</v>
      </c>
      <c r="AA291" s="1">
        <v>0</v>
      </c>
      <c r="AB291" s="1">
        <v>0</v>
      </c>
      <c r="AC291" s="1">
        <v>0</v>
      </c>
      <c r="AD291" s="1">
        <v>0</v>
      </c>
      <c r="AE291" s="28">
        <f>SUM(I$10,I$38,I$66,I$94,I$122,I$150,I$178,I$206,I$234,I$262)</f>
        <v>81.18795200000001</v>
      </c>
      <c r="AF291" s="1">
        <v>1</v>
      </c>
    </row>
    <row r="292" spans="1:32" x14ac:dyDescent="0.25">
      <c r="A292" s="46" t="s">
        <v>111</v>
      </c>
      <c r="B292" s="59" t="s">
        <v>112</v>
      </c>
      <c r="C292" s="60">
        <f>SUM('[3]2020'!$B$58:$B$59)</f>
        <v>16.549999999999997</v>
      </c>
      <c r="D292" s="61">
        <f>SUM('[3]2024'!$B$58:$B$59)</f>
        <v>4.88</v>
      </c>
      <c r="E292" s="19" t="s">
        <v>58</v>
      </c>
      <c r="H292" s="9"/>
      <c r="I292" s="9"/>
      <c r="L292" s="1" t="s">
        <v>9</v>
      </c>
      <c r="M292" s="1" t="s">
        <v>96</v>
      </c>
      <c r="N292" s="1" t="s">
        <v>2</v>
      </c>
      <c r="O292" s="1" t="s">
        <v>40</v>
      </c>
      <c r="P292" s="1"/>
      <c r="Q292" s="1"/>
      <c r="R292" s="1"/>
      <c r="S292" s="1"/>
      <c r="T292" s="33">
        <v>0</v>
      </c>
      <c r="U292" s="1">
        <v>1</v>
      </c>
      <c r="W292" s="1" t="s">
        <v>9</v>
      </c>
      <c r="X292" s="1" t="s">
        <v>96</v>
      </c>
      <c r="Y292" s="1" t="s">
        <v>2</v>
      </c>
      <c r="Z292" s="1" t="s">
        <v>39</v>
      </c>
      <c r="AA292" s="1">
        <v>0</v>
      </c>
      <c r="AB292" s="1">
        <v>0</v>
      </c>
      <c r="AC292" s="1">
        <v>0</v>
      </c>
      <c r="AD292" s="1">
        <v>0</v>
      </c>
      <c r="AE292" s="28">
        <f>SUM($I$11,$I$39,$I$67,$I$95,$I$123,$I$151,$I$179,$I$207,$I$235,$I$263)</f>
        <v>89.565158000000011</v>
      </c>
      <c r="AF292" s="1">
        <v>1</v>
      </c>
    </row>
    <row r="293" spans="1:32" ht="15.75" thickBot="1" x14ac:dyDescent="0.3">
      <c r="B293" s="62"/>
      <c r="C293" s="63">
        <f>0.041868*C292</f>
        <v>0.69291539999999996</v>
      </c>
      <c r="D293" s="64">
        <f>0.041868*D292</f>
        <v>0.20431584</v>
      </c>
      <c r="E293" s="19" t="s">
        <v>59</v>
      </c>
      <c r="H293" s="9"/>
      <c r="I293" s="9"/>
      <c r="L293" s="1" t="s">
        <v>10</v>
      </c>
      <c r="M293" s="1" t="s">
        <v>96</v>
      </c>
      <c r="N293" s="1" t="s">
        <v>2</v>
      </c>
      <c r="O293" s="1" t="s">
        <v>40</v>
      </c>
      <c r="P293" s="1"/>
      <c r="Q293" s="1"/>
      <c r="R293" s="1"/>
      <c r="S293" s="1"/>
      <c r="T293" s="33">
        <v>0</v>
      </c>
      <c r="U293" s="1">
        <v>1</v>
      </c>
      <c r="W293" s="1" t="s">
        <v>10</v>
      </c>
      <c r="X293" s="1" t="s">
        <v>96</v>
      </c>
      <c r="Y293" s="1" t="s">
        <v>2</v>
      </c>
      <c r="Z293" s="1" t="s">
        <v>39</v>
      </c>
      <c r="AA293" s="1">
        <v>0</v>
      </c>
      <c r="AB293" s="1">
        <v>0</v>
      </c>
      <c r="AC293" s="1">
        <v>0</v>
      </c>
      <c r="AD293" s="1">
        <v>0</v>
      </c>
      <c r="AE293" s="28">
        <f>SUM($I$12,$I$40,$I$68,$I$96,$I$124,$I$152,$I$180,$I$208,$I$236,$I$264)</f>
        <v>427.84543500000007</v>
      </c>
      <c r="AF293" s="1">
        <v>1</v>
      </c>
    </row>
    <row r="294" spans="1:32" x14ac:dyDescent="0.25">
      <c r="B294" s="65" t="s">
        <v>113</v>
      </c>
      <c r="C294" s="66">
        <f>SUM('[3]2020'!$I$58:$I$59)</f>
        <v>6560.44</v>
      </c>
      <c r="D294" s="67">
        <f>SUM('[3]2024'!$I$58:$I$59)</f>
        <v>6699.27</v>
      </c>
      <c r="E294" s="19" t="s">
        <v>58</v>
      </c>
      <c r="H294" s="9"/>
      <c r="I294" s="9"/>
      <c r="L294" s="1" t="s">
        <v>11</v>
      </c>
      <c r="M294" s="1" t="s">
        <v>96</v>
      </c>
      <c r="N294" s="1" t="s">
        <v>2</v>
      </c>
      <c r="O294" s="1" t="s">
        <v>40</v>
      </c>
      <c r="P294" s="1"/>
      <c r="Q294" s="1"/>
      <c r="R294" s="1"/>
      <c r="S294" s="1"/>
      <c r="T294" s="33">
        <v>0</v>
      </c>
      <c r="U294" s="1">
        <v>1</v>
      </c>
      <c r="W294" s="1" t="s">
        <v>11</v>
      </c>
      <c r="X294" s="1" t="s">
        <v>96</v>
      </c>
      <c r="Y294" s="1" t="s">
        <v>2</v>
      </c>
      <c r="Z294" s="1" t="s">
        <v>39</v>
      </c>
      <c r="AA294" s="1">
        <v>0</v>
      </c>
      <c r="AB294" s="1">
        <v>0</v>
      </c>
      <c r="AC294" s="1">
        <v>0</v>
      </c>
      <c r="AD294" s="1">
        <v>0</v>
      </c>
      <c r="AE294" s="28">
        <f>SUM($I$13,$I$41,$I$69,$I$97,$I$125,$I$153,$I$181,$I$209,$I$237,$I$265)</f>
        <v>780.29733900000008</v>
      </c>
      <c r="AF294" s="1">
        <v>1</v>
      </c>
    </row>
    <row r="295" spans="1:32" ht="15.75" thickBot="1" x14ac:dyDescent="0.3">
      <c r="B295" s="68"/>
      <c r="C295" s="69">
        <f>0.041868*C294</f>
        <v>274.67250192</v>
      </c>
      <c r="D295" s="70">
        <f>0.041868*D294</f>
        <v>280.48503636000004</v>
      </c>
      <c r="E295" s="19" t="s">
        <v>59</v>
      </c>
      <c r="H295" s="7"/>
      <c r="I295" s="7"/>
      <c r="L295" s="1" t="s">
        <v>12</v>
      </c>
      <c r="M295" s="1" t="s">
        <v>96</v>
      </c>
      <c r="N295" s="1" t="s">
        <v>2</v>
      </c>
      <c r="O295" s="1" t="s">
        <v>40</v>
      </c>
      <c r="P295" s="1"/>
      <c r="Q295" s="1"/>
      <c r="R295" s="1"/>
      <c r="S295" s="1"/>
      <c r="T295" s="33">
        <v>0</v>
      </c>
      <c r="U295" s="1">
        <v>1</v>
      </c>
      <c r="W295" s="1" t="s">
        <v>12</v>
      </c>
      <c r="X295" s="1" t="s">
        <v>96</v>
      </c>
      <c r="Y295" s="1" t="s">
        <v>2</v>
      </c>
      <c r="Z295" s="1" t="s">
        <v>39</v>
      </c>
      <c r="AA295" s="1">
        <v>0</v>
      </c>
      <c r="AB295" s="1">
        <v>0</v>
      </c>
      <c r="AC295" s="1">
        <v>0</v>
      </c>
      <c r="AD295" s="1">
        <v>0</v>
      </c>
      <c r="AE295" s="28">
        <f>SUM($I$14,$I$42,$I$70,$I$98,$I$126,$I$154,$I$182,$I$210,$I$238,$I$266)</f>
        <v>32.639519</v>
      </c>
      <c r="AF295" s="1">
        <v>1</v>
      </c>
    </row>
    <row r="296" spans="1:32" x14ac:dyDescent="0.25">
      <c r="B296" s="71" t="s">
        <v>114</v>
      </c>
      <c r="C296" s="72">
        <f>SUM('[3]2020'!$J$58:$J$59)</f>
        <v>318.16000000000003</v>
      </c>
      <c r="D296" s="73">
        <f>SUM('[3]2024'!$J$58:$J$59)</f>
        <v>307.33999999999997</v>
      </c>
      <c r="E296" s="19" t="s">
        <v>58</v>
      </c>
      <c r="G296" s="30"/>
      <c r="H296" s="9"/>
      <c r="I296" s="9"/>
      <c r="L296" s="1" t="s">
        <v>13</v>
      </c>
      <c r="M296" s="1" t="s">
        <v>96</v>
      </c>
      <c r="N296" s="1" t="s">
        <v>2</v>
      </c>
      <c r="O296" s="1" t="s">
        <v>40</v>
      </c>
      <c r="P296" s="1"/>
      <c r="Q296" s="1"/>
      <c r="R296" s="1"/>
      <c r="S296" s="1"/>
      <c r="T296" s="33">
        <v>0</v>
      </c>
      <c r="U296" s="1">
        <v>1</v>
      </c>
      <c r="W296" s="1" t="s">
        <v>13</v>
      </c>
      <c r="X296" s="1" t="s">
        <v>96</v>
      </c>
      <c r="Y296" s="1" t="s">
        <v>2</v>
      </c>
      <c r="Z296" s="1" t="s">
        <v>39</v>
      </c>
      <c r="AA296" s="1">
        <v>0</v>
      </c>
      <c r="AB296" s="1">
        <v>0</v>
      </c>
      <c r="AC296" s="1">
        <v>0</v>
      </c>
      <c r="AD296" s="1">
        <v>0</v>
      </c>
      <c r="AE296" s="28">
        <f>SUM($I$15,$I$43,$I$71,$I$99,$I$127,$I$155,$I$183,$I$211,$I$239,$I$267)</f>
        <v>694.24554299999988</v>
      </c>
      <c r="AF296" s="1">
        <v>1</v>
      </c>
    </row>
    <row r="297" spans="1:32" ht="15.75" thickBot="1" x14ac:dyDescent="0.3">
      <c r="B297" s="74"/>
      <c r="C297" s="75">
        <f>0.041868*C296</f>
        <v>13.320722880000002</v>
      </c>
      <c r="D297" s="76">
        <f>0.041868*D296</f>
        <v>12.867711119999999</v>
      </c>
      <c r="E297" s="19" t="s">
        <v>59</v>
      </c>
      <c r="F297" s="9"/>
      <c r="G297" s="9"/>
      <c r="H297" s="9"/>
      <c r="I297" s="9"/>
      <c r="L297" s="1" t="s">
        <v>14</v>
      </c>
      <c r="M297" s="1" t="s">
        <v>96</v>
      </c>
      <c r="N297" s="1" t="s">
        <v>2</v>
      </c>
      <c r="O297" s="1" t="s">
        <v>40</v>
      </c>
      <c r="P297" s="1"/>
      <c r="Q297" s="1"/>
      <c r="R297" s="1"/>
      <c r="S297" s="1"/>
      <c r="T297" s="33">
        <v>0</v>
      </c>
      <c r="U297" s="1">
        <v>1</v>
      </c>
      <c r="W297" s="1" t="s">
        <v>14</v>
      </c>
      <c r="X297" s="1" t="s">
        <v>96</v>
      </c>
      <c r="Y297" s="1" t="s">
        <v>2</v>
      </c>
      <c r="Z297" s="1" t="s">
        <v>39</v>
      </c>
      <c r="AA297" s="1">
        <v>0</v>
      </c>
      <c r="AB297" s="1">
        <v>0</v>
      </c>
      <c r="AC297" s="1">
        <v>0</v>
      </c>
      <c r="AD297" s="1">
        <v>0</v>
      </c>
      <c r="AE297" s="28">
        <f>SUM($I$16,$I$44,$I$72,$I$100,$I$128,$I$156,$I$184,$I$212,$I$240,$I$268)</f>
        <v>12.063378</v>
      </c>
      <c r="AF297" s="1">
        <v>1</v>
      </c>
    </row>
    <row r="298" spans="1:32" x14ac:dyDescent="0.25">
      <c r="A298" s="46" t="s">
        <v>61</v>
      </c>
      <c r="B298" s="77" t="s">
        <v>115</v>
      </c>
      <c r="C298" s="78">
        <f>SUM('[4]2020'!$C$59:$D$60)</f>
        <v>329.54</v>
      </c>
      <c r="D298" s="79">
        <f>SUM('[4]2024'!$C$59:$D$60)</f>
        <v>406.91</v>
      </c>
      <c r="E298" s="19" t="s">
        <v>116</v>
      </c>
      <c r="F298" s="9"/>
      <c r="G298" s="9"/>
      <c r="H298" s="7"/>
      <c r="I298" s="7"/>
      <c r="L298" s="1" t="s">
        <v>15</v>
      </c>
      <c r="M298" s="1" t="s">
        <v>96</v>
      </c>
      <c r="N298" s="1" t="s">
        <v>2</v>
      </c>
      <c r="O298" s="1" t="s">
        <v>40</v>
      </c>
      <c r="P298" s="1"/>
      <c r="Q298" s="1"/>
      <c r="R298" s="1"/>
      <c r="S298" s="1"/>
      <c r="T298" s="33">
        <v>0</v>
      </c>
      <c r="U298" s="1">
        <v>1</v>
      </c>
      <c r="W298" s="1" t="s">
        <v>15</v>
      </c>
      <c r="X298" s="1" t="s">
        <v>96</v>
      </c>
      <c r="Y298" s="1" t="s">
        <v>2</v>
      </c>
      <c r="Z298" s="1" t="s">
        <v>39</v>
      </c>
      <c r="AA298" s="1">
        <v>0</v>
      </c>
      <c r="AB298" s="1">
        <v>0</v>
      </c>
      <c r="AC298" s="1">
        <v>0</v>
      </c>
      <c r="AD298" s="1">
        <v>0</v>
      </c>
      <c r="AE298" s="28">
        <f>SUM($I$17,$I$45,$I$73,$I$101,$I$129,$I$157,$I$185,$I$213,$I$241,$I$269)</f>
        <v>22.533501999999999</v>
      </c>
      <c r="AF298" s="1">
        <v>1</v>
      </c>
    </row>
    <row r="299" spans="1:32" ht="15.75" thickBot="1" x14ac:dyDescent="0.3">
      <c r="B299" s="80"/>
      <c r="C299" s="81">
        <f>C298*46.15/1000</f>
        <v>15.208271</v>
      </c>
      <c r="D299" s="82">
        <f>D298*46.15/1000</f>
        <v>18.778896499999998</v>
      </c>
      <c r="E299" s="19" t="s">
        <v>59</v>
      </c>
      <c r="F299" s="9"/>
      <c r="G299" s="9"/>
      <c r="H299" s="9"/>
      <c r="I299" s="9"/>
      <c r="L299" s="1" t="s">
        <v>16</v>
      </c>
      <c r="M299" s="1" t="s">
        <v>96</v>
      </c>
      <c r="N299" s="1" t="s">
        <v>2</v>
      </c>
      <c r="O299" s="1" t="s">
        <v>40</v>
      </c>
      <c r="P299" s="1"/>
      <c r="Q299" s="1"/>
      <c r="R299" s="1"/>
      <c r="S299" s="1"/>
      <c r="T299" s="33">
        <v>0</v>
      </c>
      <c r="U299" s="1">
        <v>1</v>
      </c>
      <c r="W299" s="1" t="s">
        <v>16</v>
      </c>
      <c r="X299" s="1" t="s">
        <v>96</v>
      </c>
      <c r="Y299" s="1" t="s">
        <v>2</v>
      </c>
      <c r="Z299" s="1" t="s">
        <v>39</v>
      </c>
      <c r="AA299" s="1">
        <v>0</v>
      </c>
      <c r="AB299" s="1">
        <v>0</v>
      </c>
      <c r="AC299" s="1">
        <v>0</v>
      </c>
      <c r="AD299" s="1">
        <v>0</v>
      </c>
      <c r="AE299" s="28">
        <f>SUM($I$18,$I$46,$I$74,$I$102,$I$130,$I$158,$I$186,$I$214,$I$242,$I$270)</f>
        <v>25.619449000000003</v>
      </c>
      <c r="AF299" s="1">
        <v>1</v>
      </c>
    </row>
    <row r="300" spans="1:32" x14ac:dyDescent="0.25">
      <c r="F300" s="9"/>
      <c r="G300" s="9"/>
      <c r="H300" s="9"/>
      <c r="I300" s="9"/>
      <c r="L300" s="1" t="s">
        <v>17</v>
      </c>
      <c r="M300" s="1" t="s">
        <v>96</v>
      </c>
      <c r="N300" s="1" t="s">
        <v>2</v>
      </c>
      <c r="O300" s="1" t="s">
        <v>40</v>
      </c>
      <c r="P300" s="1"/>
      <c r="Q300" s="1"/>
      <c r="R300" s="1"/>
      <c r="S300" s="1"/>
      <c r="T300" s="33">
        <v>0</v>
      </c>
      <c r="U300" s="1">
        <v>1</v>
      </c>
      <c r="W300" s="1" t="s">
        <v>17</v>
      </c>
      <c r="X300" s="1" t="s">
        <v>96</v>
      </c>
      <c r="Y300" s="1" t="s">
        <v>2</v>
      </c>
      <c r="Z300" s="1" t="s">
        <v>39</v>
      </c>
      <c r="AA300" s="1">
        <v>0</v>
      </c>
      <c r="AB300" s="1">
        <v>0</v>
      </c>
      <c r="AC300" s="1">
        <v>0</v>
      </c>
      <c r="AD300" s="1">
        <v>0</v>
      </c>
      <c r="AE300" s="28">
        <f>SUM($I$19,$I$47,$I$75,$I$103,$I$131,$I$159,$I$187,$I$215,$I$243,$I$271)</f>
        <v>18.465619999999998</v>
      </c>
      <c r="AF300" s="1">
        <v>1</v>
      </c>
    </row>
    <row r="301" spans="1:32" x14ac:dyDescent="0.25">
      <c r="F301" s="9"/>
      <c r="G301" s="9"/>
      <c r="H301" s="9"/>
      <c r="I301" s="9"/>
      <c r="L301" s="1" t="s">
        <v>18</v>
      </c>
      <c r="M301" s="1" t="s">
        <v>96</v>
      </c>
      <c r="N301" s="1" t="s">
        <v>2</v>
      </c>
      <c r="O301" s="1" t="s">
        <v>40</v>
      </c>
      <c r="P301" s="1"/>
      <c r="Q301" s="1"/>
      <c r="R301" s="1"/>
      <c r="S301" s="1"/>
      <c r="T301" s="33">
        <v>0</v>
      </c>
      <c r="U301" s="1">
        <v>1</v>
      </c>
      <c r="W301" s="1" t="s">
        <v>18</v>
      </c>
      <c r="X301" s="1" t="s">
        <v>96</v>
      </c>
      <c r="Y301" s="1" t="s">
        <v>2</v>
      </c>
      <c r="Z301" s="1" t="s">
        <v>39</v>
      </c>
      <c r="AA301" s="1">
        <v>0</v>
      </c>
      <c r="AB301" s="1">
        <v>0</v>
      </c>
      <c r="AC301" s="1">
        <v>0</v>
      </c>
      <c r="AD301" s="1">
        <v>0</v>
      </c>
      <c r="AE301" s="28">
        <f>SUM($I$20,$I$48,$I$76,$I$104,$I$132,$I$160,$I$188,$I$216,$I$244,$I$272)</f>
        <v>68.587658000000005</v>
      </c>
      <c r="AF301" s="1">
        <v>1</v>
      </c>
    </row>
    <row r="302" spans="1:32" x14ac:dyDescent="0.25">
      <c r="B302" s="19"/>
      <c r="C302" s="19"/>
      <c r="D302" s="19"/>
      <c r="E302" s="19"/>
      <c r="F302" s="9"/>
      <c r="G302" s="9"/>
      <c r="H302" s="9"/>
      <c r="I302" s="9"/>
      <c r="L302" s="1" t="s">
        <v>20</v>
      </c>
      <c r="M302" s="1" t="s">
        <v>96</v>
      </c>
      <c r="N302" s="1" t="s">
        <v>2</v>
      </c>
      <c r="O302" s="1" t="s">
        <v>40</v>
      </c>
      <c r="P302" s="1"/>
      <c r="Q302" s="1"/>
      <c r="R302" s="1"/>
      <c r="S302" s="1"/>
      <c r="T302" s="33">
        <v>0</v>
      </c>
      <c r="U302" s="1">
        <v>1</v>
      </c>
      <c r="W302" s="1" t="s">
        <v>20</v>
      </c>
      <c r="X302" s="1" t="s">
        <v>96</v>
      </c>
      <c r="Y302" s="1" t="s">
        <v>2</v>
      </c>
      <c r="Z302" s="1" t="s">
        <v>39</v>
      </c>
      <c r="AA302" s="1">
        <v>0</v>
      </c>
      <c r="AB302" s="1">
        <v>0</v>
      </c>
      <c r="AC302" s="1">
        <v>0</v>
      </c>
      <c r="AD302" s="1">
        <v>0</v>
      </c>
      <c r="AE302" s="28">
        <f>SUM($I$21,$I$49,$I$77,$I$105,$I$133,$I$161,$I$189,$I$217,$I$245,$I$273)</f>
        <v>254.70966400000003</v>
      </c>
      <c r="AF302" s="1">
        <v>1</v>
      </c>
    </row>
    <row r="303" spans="1:32" x14ac:dyDescent="0.25">
      <c r="B303" s="2" t="s">
        <v>117</v>
      </c>
      <c r="C303" s="19"/>
      <c r="D303" s="19"/>
      <c r="E303" s="19"/>
      <c r="F303" s="9"/>
      <c r="G303" s="9"/>
      <c r="H303" s="9"/>
      <c r="I303" s="9"/>
      <c r="L303" s="1" t="s">
        <v>21</v>
      </c>
      <c r="M303" s="1" t="s">
        <v>96</v>
      </c>
      <c r="N303" s="1" t="s">
        <v>2</v>
      </c>
      <c r="O303" s="1" t="s">
        <v>40</v>
      </c>
      <c r="P303" s="1"/>
      <c r="Q303" s="1"/>
      <c r="R303" s="1"/>
      <c r="S303" s="1"/>
      <c r="T303" s="33">
        <v>0</v>
      </c>
      <c r="U303" s="1">
        <v>1</v>
      </c>
      <c r="W303" s="1" t="s">
        <v>21</v>
      </c>
      <c r="X303" s="1" t="s">
        <v>96</v>
      </c>
      <c r="Y303" s="1" t="s">
        <v>2</v>
      </c>
      <c r="Z303" s="1" t="s">
        <v>39</v>
      </c>
      <c r="AA303" s="1">
        <v>0</v>
      </c>
      <c r="AB303" s="1">
        <v>0</v>
      </c>
      <c r="AC303" s="1">
        <v>0</v>
      </c>
      <c r="AD303" s="1">
        <v>0</v>
      </c>
      <c r="AE303" s="28">
        <f>SUM($I$22,$I$50,$I$78,$I$106,$I$134,$I$162,$I$190,$I$218,$I$246,$I$274)</f>
        <v>101.032432</v>
      </c>
      <c r="AF303" s="1">
        <v>1</v>
      </c>
    </row>
    <row r="304" spans="1:32" ht="15.75" thickBot="1" x14ac:dyDescent="0.3">
      <c r="B304" s="19"/>
      <c r="C304" s="83">
        <v>2019</v>
      </c>
      <c r="D304" s="84">
        <v>2020</v>
      </c>
      <c r="E304" s="85">
        <v>2024</v>
      </c>
      <c r="F304" s="19"/>
      <c r="G304" s="9"/>
      <c r="H304" s="9"/>
      <c r="I304" s="9"/>
      <c r="L304" s="1" t="s">
        <v>22</v>
      </c>
      <c r="M304" s="1" t="s">
        <v>96</v>
      </c>
      <c r="N304" s="1" t="s">
        <v>2</v>
      </c>
      <c r="O304" s="1" t="s">
        <v>40</v>
      </c>
      <c r="P304" s="1"/>
      <c r="Q304" s="1"/>
      <c r="R304" s="1"/>
      <c r="S304" s="1"/>
      <c r="T304" s="33">
        <v>0</v>
      </c>
      <c r="U304" s="1">
        <v>1</v>
      </c>
      <c r="W304" s="1" t="s">
        <v>22</v>
      </c>
      <c r="X304" s="1" t="s">
        <v>96</v>
      </c>
      <c r="Y304" s="1" t="s">
        <v>2</v>
      </c>
      <c r="Z304" s="1" t="s">
        <v>39</v>
      </c>
      <c r="AA304" s="1">
        <v>0</v>
      </c>
      <c r="AB304" s="1">
        <v>0</v>
      </c>
      <c r="AC304" s="1">
        <v>0</v>
      </c>
      <c r="AD304" s="1">
        <v>0</v>
      </c>
      <c r="AE304" s="28">
        <f>SUM($I$23,$I$51,$I$79,$I$107,$I$135,$I$163,$I$191,$I$219,$I$247,$I$275)</f>
        <v>338.02420999999998</v>
      </c>
      <c r="AF304" s="1">
        <v>1</v>
      </c>
    </row>
    <row r="305" spans="2:32" x14ac:dyDescent="0.25">
      <c r="B305" s="86" t="s">
        <v>118</v>
      </c>
      <c r="C305" s="87">
        <f>SUM('[3]2019'!$F$58:$F$59)</f>
        <v>7386.47</v>
      </c>
      <c r="D305" s="87">
        <f>SUM('[3]2020'!$F$58:$F$59)</f>
        <v>6735.49</v>
      </c>
      <c r="E305" s="88">
        <f>SUM('[3]2024'!$F$58:$F$59)</f>
        <v>6923.7</v>
      </c>
      <c r="F305" s="19" t="s">
        <v>58</v>
      </c>
      <c r="G305" s="9"/>
      <c r="H305" s="9"/>
      <c r="I305" s="9"/>
      <c r="L305" s="1" t="s">
        <v>23</v>
      </c>
      <c r="M305" s="1" t="s">
        <v>96</v>
      </c>
      <c r="N305" s="1" t="s">
        <v>2</v>
      </c>
      <c r="O305" s="1" t="s">
        <v>40</v>
      </c>
      <c r="P305" s="1"/>
      <c r="Q305" s="1"/>
      <c r="R305" s="1"/>
      <c r="S305" s="1"/>
      <c r="T305" s="33">
        <v>0</v>
      </c>
      <c r="U305" s="1">
        <v>1</v>
      </c>
      <c r="W305" s="1" t="s">
        <v>23</v>
      </c>
      <c r="X305" s="1" t="s">
        <v>96</v>
      </c>
      <c r="Y305" s="1" t="s">
        <v>2</v>
      </c>
      <c r="Z305" s="1" t="s">
        <v>39</v>
      </c>
      <c r="AA305" s="1">
        <v>0</v>
      </c>
      <c r="AB305" s="1">
        <v>0</v>
      </c>
      <c r="AC305" s="1">
        <v>0</v>
      </c>
      <c r="AD305" s="1">
        <v>0</v>
      </c>
      <c r="AE305" s="28">
        <f>SUM($I$24,$I$52,$I$80,$I$108,$I$136,$I$164,$I$192,$I$220,$I$248,$I$276)</f>
        <v>100.75319400000001</v>
      </c>
      <c r="AF305" s="1">
        <v>1</v>
      </c>
    </row>
    <row r="306" spans="2:32" ht="15.75" thickBot="1" x14ac:dyDescent="0.3">
      <c r="B306" s="89" t="s">
        <v>119</v>
      </c>
      <c r="C306" s="90">
        <f>0.041868*C305</f>
        <v>309.25672596000004</v>
      </c>
      <c r="D306" s="90">
        <f>0.041868*D305</f>
        <v>282.00149532</v>
      </c>
      <c r="E306" s="91">
        <f>0.041868*E305</f>
        <v>289.8814716</v>
      </c>
      <c r="F306" s="19" t="s">
        <v>59</v>
      </c>
      <c r="G306" s="9"/>
      <c r="H306" s="9"/>
      <c r="I306" s="9"/>
      <c r="L306" s="1" t="s">
        <v>24</v>
      </c>
      <c r="M306" s="1" t="s">
        <v>96</v>
      </c>
      <c r="N306" s="1" t="s">
        <v>2</v>
      </c>
      <c r="O306" s="1" t="s">
        <v>40</v>
      </c>
      <c r="P306" s="1"/>
      <c r="Q306" s="1"/>
      <c r="R306" s="1"/>
      <c r="S306" s="1"/>
      <c r="T306" s="33">
        <v>0</v>
      </c>
      <c r="U306" s="1">
        <v>1</v>
      </c>
      <c r="W306" s="1" t="s">
        <v>24</v>
      </c>
      <c r="X306" s="1" t="s">
        <v>96</v>
      </c>
      <c r="Y306" s="1" t="s">
        <v>2</v>
      </c>
      <c r="Z306" s="1" t="s">
        <v>39</v>
      </c>
      <c r="AA306" s="1">
        <v>0</v>
      </c>
      <c r="AB306" s="1">
        <v>0</v>
      </c>
      <c r="AC306" s="1">
        <v>0</v>
      </c>
      <c r="AD306" s="1">
        <v>0</v>
      </c>
      <c r="AE306" s="28">
        <f>SUM($I$25,$I$53,$I$81,$I$109,$I$137,$I$165,$I$193,$I$221,$I$249,$I$277)</f>
        <v>85.709021000000007</v>
      </c>
      <c r="AF306" s="1">
        <v>1</v>
      </c>
    </row>
    <row r="307" spans="2:32" x14ac:dyDescent="0.25">
      <c r="B307" s="92" t="s">
        <v>120</v>
      </c>
      <c r="C307" s="93">
        <f>SUM('[3]2019'!$E$58:$E$59)</f>
        <v>2504.19</v>
      </c>
      <c r="D307" s="93">
        <f>SUM('[3]2020'!$E$58:$E$59)</f>
        <v>2341.04</v>
      </c>
      <c r="E307" s="94">
        <f>SUM('[3]2024'!$E$58:$E$59)</f>
        <v>2480.29</v>
      </c>
      <c r="F307" s="19" t="s">
        <v>58</v>
      </c>
      <c r="G307" s="9"/>
      <c r="H307" s="7"/>
      <c r="I307" s="7"/>
      <c r="L307" s="1" t="s">
        <v>25</v>
      </c>
      <c r="M307" s="1" t="s">
        <v>96</v>
      </c>
      <c r="N307" s="1" t="s">
        <v>2</v>
      </c>
      <c r="O307" s="1" t="s">
        <v>40</v>
      </c>
      <c r="P307" s="1"/>
      <c r="Q307" s="1"/>
      <c r="R307" s="1"/>
      <c r="S307" s="1"/>
      <c r="T307" s="33">
        <v>0</v>
      </c>
      <c r="U307" s="1">
        <v>1</v>
      </c>
      <c r="W307" s="1" t="s">
        <v>25</v>
      </c>
      <c r="X307" s="1" t="s">
        <v>96</v>
      </c>
      <c r="Y307" s="1" t="s">
        <v>2</v>
      </c>
      <c r="Z307" s="1" t="s">
        <v>39</v>
      </c>
      <c r="AA307" s="1">
        <v>0</v>
      </c>
      <c r="AB307" s="1">
        <v>0</v>
      </c>
      <c r="AC307" s="1">
        <v>0</v>
      </c>
      <c r="AD307" s="1">
        <v>0</v>
      </c>
      <c r="AE307" s="28">
        <f>SUM($I$26,$I$54,$I$82,$I$110,$I$138,$I$166,$I$194,$I$222,$I$250,$I$278)</f>
        <v>18.304008</v>
      </c>
      <c r="AF307" s="1">
        <v>1</v>
      </c>
    </row>
    <row r="308" spans="2:32" ht="15.75" thickBot="1" x14ac:dyDescent="0.3">
      <c r="B308" s="95" t="s">
        <v>121</v>
      </c>
      <c r="C308" s="96">
        <f>0.041868*C307</f>
        <v>104.84542692000001</v>
      </c>
      <c r="D308" s="96">
        <f>0.041868*D307</f>
        <v>98.014662720000004</v>
      </c>
      <c r="E308" s="97">
        <f>0.041868*E307</f>
        <v>103.84478172</v>
      </c>
      <c r="F308" s="19" t="s">
        <v>59</v>
      </c>
      <c r="G308" s="9"/>
      <c r="H308" s="9"/>
      <c r="I308" s="9"/>
      <c r="L308" s="1" t="s">
        <v>26</v>
      </c>
      <c r="M308" s="1" t="s">
        <v>96</v>
      </c>
      <c r="N308" s="1" t="s">
        <v>2</v>
      </c>
      <c r="O308" s="1" t="s">
        <v>40</v>
      </c>
      <c r="P308" s="1"/>
      <c r="Q308" s="1"/>
      <c r="R308" s="1"/>
      <c r="S308" s="1"/>
      <c r="T308" s="33">
        <v>0</v>
      </c>
      <c r="U308" s="1">
        <v>1</v>
      </c>
      <c r="W308" s="1" t="s">
        <v>26</v>
      </c>
      <c r="X308" s="1" t="s">
        <v>96</v>
      </c>
      <c r="Y308" s="1" t="s">
        <v>2</v>
      </c>
      <c r="Z308" s="1" t="s">
        <v>39</v>
      </c>
      <c r="AA308" s="1">
        <v>0</v>
      </c>
      <c r="AB308" s="1">
        <v>0</v>
      </c>
      <c r="AC308" s="1">
        <v>0</v>
      </c>
      <c r="AD308" s="1">
        <v>0</v>
      </c>
      <c r="AE308" s="28">
        <f>SUM($I$27,$I$55,$I$83,$I$111,$I$139,$I$167,$I$195,$I$223,$I$251,$I$279)</f>
        <v>46.794905</v>
      </c>
      <c r="AF308" s="1">
        <v>1</v>
      </c>
    </row>
    <row r="309" spans="2:32" x14ac:dyDescent="0.25">
      <c r="B309" s="19"/>
      <c r="C309" s="19"/>
      <c r="D309" s="19"/>
      <c r="E309" s="19"/>
      <c r="F309" s="9"/>
      <c r="G309" s="9"/>
      <c r="H309" s="7"/>
      <c r="I309" s="7"/>
      <c r="L309" s="1" t="s">
        <v>27</v>
      </c>
      <c r="M309" s="1" t="s">
        <v>96</v>
      </c>
      <c r="N309" s="1" t="s">
        <v>2</v>
      </c>
      <c r="O309" s="1" t="s">
        <v>40</v>
      </c>
      <c r="P309" s="1"/>
      <c r="Q309" s="1"/>
      <c r="R309" s="1"/>
      <c r="S309" s="1"/>
      <c r="T309" s="33">
        <v>0</v>
      </c>
      <c r="U309" s="1">
        <v>1</v>
      </c>
      <c r="W309" s="1" t="s">
        <v>27</v>
      </c>
      <c r="X309" s="1" t="s">
        <v>96</v>
      </c>
      <c r="Y309" s="1" t="s">
        <v>2</v>
      </c>
      <c r="Z309" s="1" t="s">
        <v>39</v>
      </c>
      <c r="AA309" s="1">
        <v>0</v>
      </c>
      <c r="AB309" s="1">
        <v>0</v>
      </c>
      <c r="AC309" s="1">
        <v>0</v>
      </c>
      <c r="AD309" s="1">
        <v>0</v>
      </c>
      <c r="AE309" s="28">
        <f>SUM($I$28,$I$56,$I$84,$I$112,$I$140,$I$168,$I$196,$I$224,$I$252,$I$280)</f>
        <v>121.343903</v>
      </c>
      <c r="AF309" s="1">
        <v>1</v>
      </c>
    </row>
    <row r="310" spans="2:32" x14ac:dyDescent="0.25">
      <c r="B310" s="19"/>
      <c r="C310" s="19"/>
      <c r="D310" s="19"/>
      <c r="E310" s="19"/>
      <c r="F310" s="9"/>
      <c r="G310" s="9"/>
      <c r="H310" s="9"/>
      <c r="I310" s="9"/>
      <c r="L310" s="1" t="s">
        <v>28</v>
      </c>
      <c r="M310" s="1" t="s">
        <v>96</v>
      </c>
      <c r="N310" s="1" t="s">
        <v>2</v>
      </c>
      <c r="O310" s="1" t="s">
        <v>40</v>
      </c>
      <c r="P310" s="1"/>
      <c r="Q310" s="1"/>
      <c r="R310" s="1"/>
      <c r="S310" s="1"/>
      <c r="T310" s="33">
        <v>0</v>
      </c>
      <c r="U310" s="1">
        <v>1</v>
      </c>
      <c r="W310" s="1" t="s">
        <v>28</v>
      </c>
      <c r="X310" s="1" t="s">
        <v>96</v>
      </c>
      <c r="Y310" s="1" t="s">
        <v>2</v>
      </c>
      <c r="Z310" s="1" t="s">
        <v>39</v>
      </c>
      <c r="AA310" s="1">
        <v>0</v>
      </c>
      <c r="AB310" s="1">
        <v>0</v>
      </c>
      <c r="AC310" s="1">
        <v>0</v>
      </c>
      <c r="AD310" s="1">
        <v>0</v>
      </c>
      <c r="AE310" s="28">
        <f>SUM($I$29,$I$57,$I$85,$I$113,$I$141,$I$169,$I$197,$I$225,$I$253,$I$281)</f>
        <v>174.41146799999999</v>
      </c>
      <c r="AF310" s="1">
        <v>1</v>
      </c>
    </row>
    <row r="311" spans="2:32" x14ac:dyDescent="0.25">
      <c r="B311" s="19"/>
      <c r="C311" s="19"/>
      <c r="D311" s="19"/>
      <c r="E311" s="19"/>
      <c r="F311" s="9"/>
      <c r="G311" s="9"/>
      <c r="H311" s="9"/>
      <c r="I311" s="9"/>
      <c r="L311" s="1" t="s">
        <v>29</v>
      </c>
      <c r="M311" s="1" t="s">
        <v>96</v>
      </c>
      <c r="N311" s="1" t="s">
        <v>2</v>
      </c>
      <c r="O311" s="1" t="s">
        <v>40</v>
      </c>
      <c r="P311" s="1"/>
      <c r="Q311" s="1"/>
      <c r="R311" s="1"/>
      <c r="S311" s="1"/>
      <c r="T311" s="33">
        <v>0</v>
      </c>
      <c r="U311" s="1">
        <v>1</v>
      </c>
      <c r="W311" s="1" t="s">
        <v>29</v>
      </c>
      <c r="X311" s="1" t="s">
        <v>96</v>
      </c>
      <c r="Y311" s="1" t="s">
        <v>2</v>
      </c>
      <c r="Z311" s="1" t="s">
        <v>39</v>
      </c>
      <c r="AA311" s="1">
        <v>0</v>
      </c>
      <c r="AB311" s="1">
        <v>0</v>
      </c>
      <c r="AC311" s="1">
        <v>0</v>
      </c>
      <c r="AD311" s="1">
        <v>0</v>
      </c>
      <c r="AE311" s="28">
        <f>SUM($I$30,$I$58,$I$86,$I$114,$I$142,$I$170,$I$198,$I$226,$I$254,$I$282)</f>
        <v>131.14785900000001</v>
      </c>
      <c r="AF311" s="1">
        <v>1</v>
      </c>
    </row>
    <row r="312" spans="2:32" x14ac:dyDescent="0.25">
      <c r="B312" s="19"/>
      <c r="C312" s="19"/>
      <c r="D312" s="19"/>
      <c r="E312" s="19"/>
      <c r="F312" s="9"/>
      <c r="G312" s="9"/>
      <c r="H312" s="9"/>
      <c r="I312" s="9"/>
      <c r="L312" s="1" t="s">
        <v>30</v>
      </c>
      <c r="M312" s="1" t="s">
        <v>96</v>
      </c>
      <c r="N312" s="1" t="s">
        <v>2</v>
      </c>
      <c r="O312" s="1" t="s">
        <v>40</v>
      </c>
      <c r="P312" s="1"/>
      <c r="Q312" s="1"/>
      <c r="R312" s="1"/>
      <c r="S312" s="1"/>
      <c r="T312" s="33">
        <v>0</v>
      </c>
      <c r="U312" s="1">
        <v>1</v>
      </c>
      <c r="W312" s="1" t="s">
        <v>30</v>
      </c>
      <c r="X312" s="1" t="s">
        <v>96</v>
      </c>
      <c r="Y312" s="1" t="s">
        <v>2</v>
      </c>
      <c r="Z312" s="1" t="s">
        <v>39</v>
      </c>
      <c r="AA312" s="1">
        <v>0</v>
      </c>
      <c r="AB312" s="1">
        <v>0</v>
      </c>
      <c r="AC312" s="1">
        <v>0</v>
      </c>
      <c r="AD312" s="1">
        <v>0</v>
      </c>
      <c r="AE312" s="28">
        <f>SUM($I$31,$I$59,$I$87,$I$115,$I$143,$I$171,$I$199,$I$227,$I$255,$I$283)</f>
        <v>698.48733743314938</v>
      </c>
      <c r="AF312" s="1">
        <v>1</v>
      </c>
    </row>
    <row r="313" spans="2:32" x14ac:dyDescent="0.25">
      <c r="B313" s="19"/>
      <c r="C313" s="19"/>
      <c r="D313" s="19"/>
      <c r="E313" s="19"/>
      <c r="F313" s="9"/>
      <c r="G313" s="9"/>
      <c r="H313" s="9"/>
      <c r="I313" s="9"/>
    </row>
    <row r="314" spans="2:32" x14ac:dyDescent="0.25">
      <c r="B314" s="19"/>
      <c r="C314" s="19"/>
      <c r="D314" s="19"/>
      <c r="E314" s="19"/>
      <c r="F314" s="9"/>
      <c r="G314" s="9"/>
      <c r="H314" s="9"/>
      <c r="I314" s="9"/>
    </row>
    <row r="315" spans="2:32" x14ac:dyDescent="0.25">
      <c r="B315" s="19"/>
      <c r="C315" s="19"/>
      <c r="D315" s="19"/>
      <c r="E315" s="19"/>
      <c r="F315" s="9"/>
      <c r="G315" s="9"/>
      <c r="H315" s="98"/>
      <c r="I315" s="98"/>
    </row>
    <row r="316" spans="2:32" x14ac:dyDescent="0.25">
      <c r="B316" s="19"/>
      <c r="C316" s="19"/>
      <c r="D316" s="19"/>
      <c r="E316" s="19"/>
      <c r="F316" s="9"/>
      <c r="G316" s="9"/>
      <c r="H316" s="9"/>
      <c r="I316" s="9"/>
    </row>
  </sheetData>
  <hyperlinks>
    <hyperlink ref="A288" r:id="rId1" xr:uid="{DABF93E3-D02A-45F7-B76C-3AF19A5A49B2}"/>
    <hyperlink ref="A292" r:id="rId2" xr:uid="{7A4E21B8-6445-475C-A00F-A1F96AA4A184}"/>
    <hyperlink ref="A298" r:id="rId3" xr:uid="{FD904143-3278-4E71-A014-2DEDC53A6CF6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DE5C5-29E0-4ADA-82FF-BF88BD942CC1}">
  <dimension ref="B2:M36"/>
  <sheetViews>
    <sheetView tabSelected="1" zoomScaleNormal="100" workbookViewId="0"/>
  </sheetViews>
  <sheetFormatPr defaultRowHeight="12.75" x14ac:dyDescent="0.2"/>
  <cols>
    <col min="1" max="1" width="33.85546875" style="100" bestFit="1" customWidth="1"/>
    <col min="2" max="2" width="10.140625" style="100" bestFit="1" customWidth="1"/>
    <col min="3" max="3" width="11" style="100" bestFit="1" customWidth="1"/>
    <col min="4" max="4" width="11.5703125" style="100" bestFit="1" customWidth="1"/>
    <col min="5" max="5" width="9.7109375" style="100" bestFit="1" customWidth="1"/>
    <col min="6" max="6" width="11" style="100" bestFit="1" customWidth="1"/>
    <col min="7" max="7" width="5.140625" style="100" bestFit="1" customWidth="1"/>
    <col min="8" max="8" width="10.7109375" style="100" bestFit="1" customWidth="1"/>
    <col min="9" max="9" width="10.42578125" style="100" bestFit="1" customWidth="1"/>
    <col min="10" max="10" width="19" style="100" bestFit="1" customWidth="1"/>
    <col min="11" max="11" width="9.5703125" style="100" bestFit="1" customWidth="1"/>
    <col min="12" max="12" width="9.42578125" style="100" bestFit="1" customWidth="1"/>
    <col min="13" max="13" width="10.28515625" style="100" bestFit="1" customWidth="1"/>
    <col min="14" max="14" width="5.5703125" style="100" bestFit="1" customWidth="1"/>
    <col min="15" max="19" width="4.5703125" style="100" bestFit="1" customWidth="1"/>
    <col min="20" max="20" width="3.5703125" style="100" bestFit="1" customWidth="1"/>
    <col min="21" max="24" width="4.5703125" style="100" bestFit="1" customWidth="1"/>
    <col min="25" max="25" width="3.85546875" style="100" bestFit="1" customWidth="1"/>
    <col min="26" max="26" width="5.5703125" style="100" bestFit="1" customWidth="1"/>
    <col min="27" max="27" width="3.85546875" style="100" bestFit="1" customWidth="1"/>
    <col min="28" max="28" width="4.5703125" style="100" bestFit="1" customWidth="1"/>
    <col min="29" max="29" width="3.5703125" style="100" bestFit="1" customWidth="1"/>
    <col min="30" max="34" width="4.5703125" style="100" bestFit="1" customWidth="1"/>
    <col min="35" max="35" width="3.140625" style="100" bestFit="1" customWidth="1"/>
    <col min="36" max="36" width="3.42578125" style="100" bestFit="1" customWidth="1"/>
    <col min="37" max="37" width="3.85546875" style="100" bestFit="1" customWidth="1"/>
    <col min="38" max="38" width="4" style="100" bestFit="1" customWidth="1"/>
    <col min="39" max="40" width="3.140625" style="100" bestFit="1" customWidth="1"/>
    <col min="41" max="16384" width="9.140625" style="100"/>
  </cols>
  <sheetData>
    <row r="2" spans="2:13" x14ac:dyDescent="0.2">
      <c r="B2" s="99" t="s">
        <v>91</v>
      </c>
      <c r="H2" s="101"/>
      <c r="I2" s="101"/>
    </row>
    <row r="3" spans="2:13" ht="13.5" thickBot="1" x14ac:dyDescent="0.25">
      <c r="B3" s="102" t="s">
        <v>79</v>
      </c>
      <c r="C3" s="102" t="s">
        <v>45</v>
      </c>
      <c r="D3" s="102" t="s">
        <v>123</v>
      </c>
      <c r="E3" s="102" t="s">
        <v>124</v>
      </c>
      <c r="F3" s="102" t="s">
        <v>44</v>
      </c>
      <c r="G3" s="102" t="s">
        <v>80</v>
      </c>
      <c r="H3" s="103" t="s">
        <v>81</v>
      </c>
      <c r="I3" s="104" t="s">
        <v>125</v>
      </c>
      <c r="J3" s="104" t="s">
        <v>126</v>
      </c>
      <c r="K3" s="104" t="s">
        <v>127</v>
      </c>
      <c r="L3" s="104" t="s">
        <v>128</v>
      </c>
      <c r="M3" s="104" t="s">
        <v>129</v>
      </c>
    </row>
    <row r="4" spans="2:13" x14ac:dyDescent="0.2">
      <c r="D4" s="105" t="s">
        <v>130</v>
      </c>
      <c r="E4" s="100" t="s">
        <v>131</v>
      </c>
      <c r="F4" s="100" t="s">
        <v>132</v>
      </c>
      <c r="G4" s="100">
        <v>0</v>
      </c>
      <c r="H4" s="100">
        <v>2</v>
      </c>
      <c r="I4" s="100" t="s">
        <v>133</v>
      </c>
      <c r="J4" s="100" t="s">
        <v>134</v>
      </c>
      <c r="K4" s="100" t="s">
        <v>135</v>
      </c>
      <c r="L4" s="100" t="s">
        <v>135</v>
      </c>
      <c r="M4" s="100" t="s">
        <v>136</v>
      </c>
    </row>
    <row r="5" spans="2:13" x14ac:dyDescent="0.2">
      <c r="D5" s="105" t="s">
        <v>130</v>
      </c>
      <c r="E5" s="100">
        <v>0</v>
      </c>
      <c r="F5" s="100" t="s">
        <v>132</v>
      </c>
      <c r="G5" s="100">
        <v>0</v>
      </c>
      <c r="H5" s="100">
        <v>2</v>
      </c>
      <c r="I5" s="100" t="s">
        <v>133</v>
      </c>
      <c r="J5" s="100" t="s">
        <v>134</v>
      </c>
      <c r="K5" s="100" t="s">
        <v>135</v>
      </c>
      <c r="L5" s="100" t="s">
        <v>135</v>
      </c>
      <c r="M5" s="100" t="s">
        <v>136</v>
      </c>
    </row>
    <row r="11" spans="2:13" x14ac:dyDescent="0.2">
      <c r="B11" s="99" t="s">
        <v>137</v>
      </c>
    </row>
    <row r="12" spans="2:13" ht="13.5" thickBot="1" x14ac:dyDescent="0.25">
      <c r="B12" s="104" t="s">
        <v>125</v>
      </c>
      <c r="C12" s="104" t="s">
        <v>126</v>
      </c>
      <c r="D12" s="103" t="s">
        <v>81</v>
      </c>
      <c r="E12" s="104" t="s">
        <v>128</v>
      </c>
    </row>
    <row r="13" spans="2:13" x14ac:dyDescent="0.2">
      <c r="C13" s="100" t="s">
        <v>138</v>
      </c>
      <c r="D13" s="106" t="s">
        <v>139</v>
      </c>
      <c r="E13" s="100" t="s">
        <v>35</v>
      </c>
    </row>
    <row r="14" spans="2:13" x14ac:dyDescent="0.2">
      <c r="C14" s="100" t="s">
        <v>140</v>
      </c>
      <c r="D14" s="106" t="s">
        <v>139</v>
      </c>
      <c r="E14" s="100" t="s">
        <v>93</v>
      </c>
    </row>
    <row r="15" spans="2:13" x14ac:dyDescent="0.2">
      <c r="C15" s="100" t="s">
        <v>141</v>
      </c>
      <c r="D15" s="106" t="s">
        <v>139</v>
      </c>
      <c r="E15" s="100" t="s">
        <v>142</v>
      </c>
    </row>
    <row r="16" spans="2:13" x14ac:dyDescent="0.2">
      <c r="D16" s="106"/>
    </row>
    <row r="19" spans="2:11" x14ac:dyDescent="0.2">
      <c r="B19" s="99" t="s">
        <v>143</v>
      </c>
    </row>
    <row r="20" spans="2:11" ht="13.5" thickBot="1" x14ac:dyDescent="0.25">
      <c r="B20" s="102" t="s">
        <v>79</v>
      </c>
      <c r="C20" s="102" t="s">
        <v>44</v>
      </c>
      <c r="D20" s="102" t="s">
        <v>144</v>
      </c>
      <c r="E20" s="102" t="s">
        <v>80</v>
      </c>
      <c r="F20" s="103" t="s">
        <v>81</v>
      </c>
      <c r="G20" s="104" t="s">
        <v>126</v>
      </c>
      <c r="H20" s="104" t="s">
        <v>128</v>
      </c>
    </row>
    <row r="21" spans="2:11" x14ac:dyDescent="0.2">
      <c r="B21" s="100" t="s">
        <v>83</v>
      </c>
      <c r="C21" s="100" t="s">
        <v>145</v>
      </c>
      <c r="D21" s="100" t="str">
        <f t="shared" ref="D21:D28" si="0">K21&amp;"_NRGI"</f>
        <v>R_ES-SH-FL_ELC-HPA_NRGI</v>
      </c>
      <c r="E21" s="106">
        <v>2020</v>
      </c>
      <c r="F21" s="106">
        <v>1</v>
      </c>
      <c r="G21" s="100" t="str">
        <f t="shared" ref="G21:G28" si="1">K21</f>
        <v>R_ES-SH-FL_ELC-HPA</v>
      </c>
      <c r="K21" s="100" t="s">
        <v>146</v>
      </c>
    </row>
    <row r="22" spans="2:11" x14ac:dyDescent="0.2">
      <c r="B22" s="100" t="s">
        <v>83</v>
      </c>
      <c r="C22" s="100" t="s">
        <v>145</v>
      </c>
      <c r="D22" s="100" t="str">
        <f t="shared" si="0"/>
        <v>R_ES-SH-DH_ELC-HPA_NRGI</v>
      </c>
      <c r="E22" s="106">
        <v>2020</v>
      </c>
      <c r="F22" s="106">
        <v>1</v>
      </c>
      <c r="G22" s="100" t="str">
        <f t="shared" si="1"/>
        <v>R_ES-SH-DH_ELC-HPA</v>
      </c>
      <c r="K22" s="100" t="s">
        <v>147</v>
      </c>
    </row>
    <row r="23" spans="2:11" x14ac:dyDescent="0.2">
      <c r="B23" s="100" t="s">
        <v>83</v>
      </c>
      <c r="C23" s="100" t="s">
        <v>145</v>
      </c>
      <c r="D23" s="100" t="str">
        <f t="shared" si="0"/>
        <v>R_ES-SH-DH-70_ELC-HPA_NRGI</v>
      </c>
      <c r="E23" s="106">
        <v>2020</v>
      </c>
      <c r="F23" s="106">
        <v>1</v>
      </c>
      <c r="G23" s="100" t="str">
        <f t="shared" si="1"/>
        <v>R_ES-SH-DH-70_ELC-HPA</v>
      </c>
      <c r="K23" s="100" t="s">
        <v>148</v>
      </c>
    </row>
    <row r="24" spans="2:11" x14ac:dyDescent="0.2">
      <c r="B24" s="100" t="s">
        <v>83</v>
      </c>
      <c r="C24" s="100" t="s">
        <v>145</v>
      </c>
      <c r="D24" s="100" t="str">
        <f t="shared" si="0"/>
        <v>R_ES-SH-SD_ELC-HPA_NRGI</v>
      </c>
      <c r="E24" s="106">
        <v>2020</v>
      </c>
      <c r="F24" s="106">
        <v>1</v>
      </c>
      <c r="G24" s="100" t="str">
        <f t="shared" si="1"/>
        <v>R_ES-SH-SD_ELC-HPA</v>
      </c>
      <c r="K24" s="100" t="s">
        <v>149</v>
      </c>
    </row>
    <row r="25" spans="2:11" x14ac:dyDescent="0.2">
      <c r="B25" s="100" t="s">
        <v>83</v>
      </c>
      <c r="C25" s="100" t="s">
        <v>145</v>
      </c>
      <c r="D25" s="100" t="str">
        <f t="shared" si="0"/>
        <v>R_ES-SH-FL_ELC-HPG_NRGI</v>
      </c>
      <c r="E25" s="106">
        <v>2020</v>
      </c>
      <c r="F25" s="106">
        <v>1</v>
      </c>
      <c r="G25" s="100" t="str">
        <f t="shared" si="1"/>
        <v>R_ES-SH-FL_ELC-HPG</v>
      </c>
      <c r="K25" s="100" t="s">
        <v>150</v>
      </c>
    </row>
    <row r="26" spans="2:11" x14ac:dyDescent="0.2">
      <c r="B26" s="100" t="s">
        <v>83</v>
      </c>
      <c r="C26" s="100" t="s">
        <v>145</v>
      </c>
      <c r="D26" s="100" t="str">
        <f t="shared" si="0"/>
        <v>R_ES-SH-DH_ELC-HPG_NRGI</v>
      </c>
      <c r="E26" s="106">
        <v>2020</v>
      </c>
      <c r="F26" s="106">
        <v>1</v>
      </c>
      <c r="G26" s="100" t="str">
        <f t="shared" si="1"/>
        <v>R_ES-SH-DH_ELC-HPG</v>
      </c>
      <c r="K26" s="100" t="s">
        <v>151</v>
      </c>
    </row>
    <row r="27" spans="2:11" x14ac:dyDescent="0.2">
      <c r="B27" s="100" t="s">
        <v>83</v>
      </c>
      <c r="C27" s="100" t="s">
        <v>145</v>
      </c>
      <c r="D27" s="100" t="str">
        <f t="shared" si="0"/>
        <v>R_ES-SH-DH-70_ELC-HPG_NRGI</v>
      </c>
      <c r="E27" s="106">
        <v>2020</v>
      </c>
      <c r="F27" s="106">
        <v>1</v>
      </c>
      <c r="G27" s="100" t="str">
        <f t="shared" si="1"/>
        <v>R_ES-SH-DH-70_ELC-HPG</v>
      </c>
      <c r="K27" s="100" t="s">
        <v>152</v>
      </c>
    </row>
    <row r="28" spans="2:11" x14ac:dyDescent="0.2">
      <c r="B28" s="100" t="s">
        <v>83</v>
      </c>
      <c r="C28" s="100" t="s">
        <v>145</v>
      </c>
      <c r="D28" s="100" t="str">
        <f t="shared" si="0"/>
        <v>R_ES-SH-SD_ELC-HPG_NRGI</v>
      </c>
      <c r="E28" s="106">
        <v>2020</v>
      </c>
      <c r="F28" s="106">
        <v>1</v>
      </c>
      <c r="G28" s="100" t="str">
        <f t="shared" si="1"/>
        <v>R_ES-SH-SD_ELC-HPG</v>
      </c>
      <c r="K28" s="100" t="s">
        <v>153</v>
      </c>
    </row>
    <row r="29" spans="2:11" x14ac:dyDescent="0.2">
      <c r="B29" s="100" t="s">
        <v>83</v>
      </c>
      <c r="C29" s="100" t="s">
        <v>154</v>
      </c>
      <c r="D29" s="100" t="s">
        <v>35</v>
      </c>
      <c r="E29" s="106">
        <v>0</v>
      </c>
      <c r="F29" s="106">
        <v>2</v>
      </c>
      <c r="G29" s="100" t="str">
        <f>G21</f>
        <v>R_ES-SH-FL_ELC-HPA</v>
      </c>
    </row>
    <row r="30" spans="2:11" x14ac:dyDescent="0.2">
      <c r="B30" s="100" t="s">
        <v>83</v>
      </c>
      <c r="C30" s="100" t="s">
        <v>154</v>
      </c>
      <c r="D30" s="100" t="s">
        <v>35</v>
      </c>
      <c r="E30" s="106">
        <v>0</v>
      </c>
      <c r="F30" s="106">
        <v>2</v>
      </c>
      <c r="G30" s="100" t="str">
        <f t="shared" ref="G30:G36" si="2">G22</f>
        <v>R_ES-SH-DH_ELC-HPA</v>
      </c>
    </row>
    <row r="31" spans="2:11" x14ac:dyDescent="0.2">
      <c r="B31" s="100" t="s">
        <v>83</v>
      </c>
      <c r="C31" s="100" t="s">
        <v>154</v>
      </c>
      <c r="D31" s="100" t="s">
        <v>35</v>
      </c>
      <c r="E31" s="106">
        <v>0</v>
      </c>
      <c r="F31" s="106">
        <v>2</v>
      </c>
      <c r="G31" s="100" t="str">
        <f t="shared" si="2"/>
        <v>R_ES-SH-DH-70_ELC-HPA</v>
      </c>
    </row>
    <row r="32" spans="2:11" x14ac:dyDescent="0.2">
      <c r="B32" s="100" t="s">
        <v>83</v>
      </c>
      <c r="C32" s="100" t="s">
        <v>154</v>
      </c>
      <c r="D32" s="100" t="s">
        <v>35</v>
      </c>
      <c r="E32" s="106">
        <v>0</v>
      </c>
      <c r="F32" s="106">
        <v>2</v>
      </c>
      <c r="G32" s="100" t="str">
        <f t="shared" si="2"/>
        <v>R_ES-SH-SD_ELC-HPA</v>
      </c>
    </row>
    <row r="33" spans="2:7" x14ac:dyDescent="0.2">
      <c r="B33" s="100" t="s">
        <v>83</v>
      </c>
      <c r="C33" s="100" t="s">
        <v>154</v>
      </c>
      <c r="D33" s="100" t="s">
        <v>93</v>
      </c>
      <c r="E33" s="106">
        <v>0</v>
      </c>
      <c r="F33" s="106">
        <v>2</v>
      </c>
      <c r="G33" s="100" t="str">
        <f t="shared" si="2"/>
        <v>R_ES-SH-FL_ELC-HPG</v>
      </c>
    </row>
    <row r="34" spans="2:7" x14ac:dyDescent="0.2">
      <c r="B34" s="100" t="s">
        <v>83</v>
      </c>
      <c r="C34" s="100" t="s">
        <v>154</v>
      </c>
      <c r="D34" s="100" t="s">
        <v>93</v>
      </c>
      <c r="E34" s="106">
        <v>0</v>
      </c>
      <c r="F34" s="106">
        <v>2</v>
      </c>
      <c r="G34" s="100" t="str">
        <f t="shared" si="2"/>
        <v>R_ES-SH-DH_ELC-HPG</v>
      </c>
    </row>
    <row r="35" spans="2:7" x14ac:dyDescent="0.2">
      <c r="B35" s="100" t="s">
        <v>83</v>
      </c>
      <c r="C35" s="100" t="s">
        <v>154</v>
      </c>
      <c r="D35" s="100" t="s">
        <v>93</v>
      </c>
      <c r="E35" s="106">
        <v>0</v>
      </c>
      <c r="F35" s="106">
        <v>2</v>
      </c>
      <c r="G35" s="100" t="str">
        <f t="shared" si="2"/>
        <v>R_ES-SH-DH-70_ELC-HPG</v>
      </c>
    </row>
    <row r="36" spans="2:7" x14ac:dyDescent="0.2">
      <c r="B36" s="100" t="s">
        <v>83</v>
      </c>
      <c r="C36" s="100" t="s">
        <v>154</v>
      </c>
      <c r="D36" s="100" t="s">
        <v>93</v>
      </c>
      <c r="E36" s="106">
        <v>0</v>
      </c>
      <c r="F36" s="106">
        <v>2</v>
      </c>
      <c r="G36" s="100" t="str">
        <f t="shared" si="2"/>
        <v>R_ES-SH-SD_ELC-HPG</v>
      </c>
    </row>
  </sheetData>
  <pageMargins left="0.75" right="0.75" top="1" bottom="1" header="0.5" footer="0.5"/>
  <pageSetup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E4B64-2671-4EBE-A2D6-62D1797212CC}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RSD</vt:lpstr>
      <vt:lpstr>COM</vt:lpstr>
      <vt:lpstr>Data Rules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Kellomäki Julius</dc:creator>
  <cp:lastModifiedBy>Johanna Markkanen</cp:lastModifiedBy>
  <dcterms:created xsi:type="dcterms:W3CDTF">2025-07-28T17:00:08Z</dcterms:created>
  <dcterms:modified xsi:type="dcterms:W3CDTF">2025-12-05T08:18:32Z</dcterms:modified>
</cp:coreProperties>
</file>