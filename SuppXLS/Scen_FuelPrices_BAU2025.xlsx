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32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bookViews>
    <workbookView xWindow="0" yWindow="0" windowWidth="14400" windowHeight="17400" activeTab="1"/>
  </bookViews>
  <sheets>
    <sheet name="common data" sheetId="2" r:id="rId3"/>
    <sheet name="REF2016 Prices" sheetId="15" r:id="rId4"/>
    <sheet name="PRIMESprices SEC 2011" sheetId="17" r:id="rId5"/>
    <sheet name="Worldprices" sheetId="1" r:id="rId6"/>
    <sheet name="MaterialPrices" sheetId="11" r:id="rId7"/>
    <sheet name="INPUTtoVEDAMatPrices" sheetId="12" r:id="rId8"/>
    <sheet name="INPUTtoVEDA_importprice TR" sheetId="10" r:id="rId9"/>
    <sheet name="INPUTtoVEDA_miningprice" sheetId="13" r:id="rId10"/>
    <sheet name="INPUTtoVEDA_importpriceNT" sheetId="7" r:id="rId11"/>
  </sheets>
  <externalReferences>
    <externalReference r:id="rId13"/>
  </externalReferences>
  <definedNames>
    <definedName name="conv" localSheetId="2">'common data'!#REF!</definedName>
    <definedName name="conv">'common data'!#REF!</definedName>
    <definedName name="discount" localSheetId="2">'common data'!#REF!</definedName>
    <definedName name="discount">'common data'!#REF!</definedName>
    <definedName name="perio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ndaaa65</author>
  </authors>
  <commentList>
    <comment ref="C38" authorId="0" shapeId="0" xr:uid="{00000000-0006-0000-0000-000001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to convert IEA data to ecu, multiplication with factor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ndaaa65</author>
  </authors>
  <commentList>
    <comment ref="C4" authorId="0" shapeId="0" xr:uid="{00000000-0006-0000-0300-000001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kept the initial baseyear data instead of the new poles data</t>
        </r>
      </text>
    </comment>
    <comment ref="C6" authorId="0" shapeId="0" xr:uid="{00000000-0006-0000-0300-000002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EU member states average NG pipeline import price
</t>
        </r>
      </text>
    </comment>
    <comment ref="C7" authorId="0" shapeId="0" xr:uid="{00000000-0006-0000-0300-000003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steam coal import cost EU15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FEB</author>
  </authors>
  <commentList>
    <comment ref="G12" authorId="0" shapeId="0" xr:uid="{00000000-0006-0000-0400-000001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81  was leading to overproduction of paper to produce BLQ
</t>
        </r>
      </text>
    </comment>
    <comment ref="F18" authorId="1" shapeId="0" xr:uid="{00000000-0006-0000-0400-000002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NL prices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FEB</author>
    <author>Amit Kanudia</author>
  </authors>
  <commentList>
    <comment ref="J12" authorId="0" shapeId="0" xr:uid="{00000000-0006-0000-0600-000001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Romania
</t>
        </r>
      </text>
    </comment>
    <comment ref="D154" authorId="1" shapeId="0" xr:uid="{00000000-0006-0000-0600-000002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55" authorId="1" shapeId="0" xr:uid="{00000000-0006-0000-0600-000003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56" authorId="1" shapeId="0" xr:uid="{00000000-0006-0000-0600-000004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57" authorId="1" shapeId="0" xr:uid="{00000000-0006-0000-0600-000005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58" authorId="1" shapeId="0" xr:uid="{00000000-0006-0000-0600-000006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59" authorId="1" shapeId="0" xr:uid="{00000000-0006-0000-0600-000007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60" authorId="1" shapeId="0" xr:uid="{00000000-0006-0000-0600-000008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61" authorId="1" shapeId="0" xr:uid="{00000000-0006-0000-0600-000009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62" authorId="1" shapeId="0" xr:uid="{00000000-0006-0000-0600-00000A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</authors>
  <commentList>
    <comment ref="M4" authorId="0" shapeId="0" xr:uid="{00000000-0006-0000-0700-000001000000}">
      <text>
        <r>
          <rPr>
            <b/>
            <sz val="9"/>
            <rFont val="Tahoma"/>
            <family val="2"/>
          </rPr>
          <t>4 Records</t>
        </r>
      </text>
    </comment>
    <comment ref="P4" authorId="0" shapeId="0" xr:uid="{00000000-0006-0000-0700-000002000000}">
      <text>
        <r>
          <rPr>
            <b/>
            <sz val="9"/>
            <rFont val="Tahoma"/>
            <family val="2"/>
          </rPr>
          <t>4 Records</t>
        </r>
      </text>
    </comment>
    <comment ref="Q4" authorId="0" shapeId="0" xr:uid="{00000000-0006-0000-0700-000003000000}">
      <text>
        <r>
          <rPr>
            <b/>
            <sz val="9"/>
            <rFont val="Tahoma"/>
            <family val="2"/>
          </rPr>
          <t>4 Records</t>
        </r>
      </text>
    </comment>
    <comment ref="T4" authorId="0" shapeId="0" xr:uid="{00000000-0006-0000-0700-000004000000}">
      <text>
        <r>
          <rPr>
            <b/>
            <sz val="9"/>
            <rFont val="Tahoma"/>
            <family val="2"/>
          </rPr>
          <t>4 Records</t>
        </r>
      </text>
    </comment>
    <comment ref="V4" authorId="0" shapeId="0" xr:uid="{00000000-0006-0000-0700-000005000000}">
      <text>
        <r>
          <rPr>
            <b/>
            <sz val="9"/>
            <rFont val="Tahoma"/>
            <family val="2"/>
          </rPr>
          <t>4 Records</t>
        </r>
      </text>
    </comment>
    <comment ref="X4" authorId="0" shapeId="0" xr:uid="{00000000-0006-0000-0700-000006000000}">
      <text>
        <r>
          <rPr>
            <b/>
            <sz val="9"/>
            <rFont val="Tahoma"/>
            <family val="2"/>
          </rPr>
          <t>2 Records</t>
        </r>
      </text>
    </comment>
    <comment ref="Z4" authorId="0" shapeId="0" xr:uid="{00000000-0006-0000-0700-000007000000}">
      <text>
        <r>
          <rPr>
            <b/>
            <sz val="9"/>
            <rFont val="Tahoma"/>
            <family val="2"/>
          </rPr>
          <t>4 Records</t>
        </r>
      </text>
    </comment>
    <comment ref="AA4" authorId="0" shapeId="0" xr:uid="{00000000-0006-0000-0700-000008000000}">
      <text>
        <r>
          <rPr>
            <b/>
            <sz val="9"/>
            <rFont val="Tahoma"/>
            <family val="2"/>
          </rPr>
          <t>4 Records</t>
        </r>
      </text>
    </comment>
    <comment ref="AH4" authorId="0" shapeId="0" xr:uid="{00000000-0006-0000-0700-000009000000}">
      <text>
        <r>
          <rPr>
            <b/>
            <sz val="9"/>
            <rFont val="Tahoma"/>
            <family val="2"/>
          </rPr>
          <t>4 Records</t>
        </r>
      </text>
    </comment>
    <comment ref="AJ4" authorId="0" shapeId="0" xr:uid="{00000000-0006-0000-0700-00000A000000}">
      <text>
        <r>
          <rPr>
            <b/>
            <sz val="9"/>
            <rFont val="Tahoma"/>
            <family val="2"/>
          </rPr>
          <t>4 Records</t>
        </r>
      </text>
    </comment>
    <comment ref="AL4" authorId="0" shapeId="0" xr:uid="{00000000-0006-0000-0700-00000B000000}">
      <text>
        <r>
          <rPr>
            <b/>
            <sz val="9"/>
            <rFont val="Tahoma"/>
            <family val="2"/>
          </rPr>
          <t>4 Records</t>
        </r>
      </text>
    </comment>
    <comment ref="AN4" authorId="0" shapeId="0" xr:uid="{00000000-0006-0000-0700-00000C000000}">
      <text>
        <r>
          <rPr>
            <b/>
            <sz val="9"/>
            <rFont val="Tahoma"/>
            <family val="2"/>
          </rPr>
          <t>4 Records</t>
        </r>
      </text>
    </comment>
    <comment ref="AU4" authorId="0" shapeId="0" xr:uid="{00000000-0006-0000-0700-00000D000000}">
      <text>
        <r>
          <rPr>
            <b/>
            <sz val="9"/>
            <rFont val="Tahoma"/>
            <family val="2"/>
          </rPr>
          <t>4 Records</t>
        </r>
      </text>
    </comment>
    <comment ref="P5" authorId="0" shapeId="0" xr:uid="{00000000-0006-0000-0700-00000E000000}">
      <text>
        <r>
          <rPr>
            <b/>
            <sz val="9"/>
            <rFont val="Tahoma"/>
            <family val="2"/>
          </rPr>
          <t>4 Records</t>
        </r>
      </text>
    </comment>
    <comment ref="Q5" authorId="0" shapeId="0" xr:uid="{00000000-0006-0000-0700-00000F000000}">
      <text>
        <r>
          <rPr>
            <b/>
            <sz val="9"/>
            <rFont val="Tahoma"/>
            <family val="2"/>
          </rPr>
          <t>4 Records</t>
        </r>
      </text>
    </comment>
    <comment ref="T5" authorId="0" shapeId="0" xr:uid="{00000000-0006-0000-0700-000010000000}">
      <text>
        <r>
          <rPr>
            <b/>
            <sz val="9"/>
            <rFont val="Tahoma"/>
            <family val="2"/>
          </rPr>
          <t>4 Records</t>
        </r>
      </text>
    </comment>
    <comment ref="AA5" authorId="0" shapeId="0" xr:uid="{00000000-0006-0000-0700-000011000000}">
      <text>
        <r>
          <rPr>
            <b/>
            <sz val="9"/>
            <rFont val="Tahoma"/>
            <family val="2"/>
          </rPr>
          <t>4 Records</t>
        </r>
      </text>
    </comment>
    <comment ref="AG5" authorId="0" shapeId="0" xr:uid="{00000000-0006-0000-0700-000012000000}">
      <text>
        <r>
          <rPr>
            <b/>
            <sz val="9"/>
            <rFont val="Tahoma"/>
            <family val="2"/>
          </rPr>
          <t>4 Records</t>
        </r>
      </text>
    </comment>
    <comment ref="AH5" authorId="0" shapeId="0" xr:uid="{00000000-0006-0000-0700-000013000000}">
      <text>
        <r>
          <rPr>
            <b/>
            <sz val="9"/>
            <rFont val="Tahoma"/>
            <family val="2"/>
          </rPr>
          <t>4 Records</t>
        </r>
      </text>
    </comment>
    <comment ref="AJ5" authorId="0" shapeId="0" xr:uid="{00000000-0006-0000-0700-000014000000}">
      <text>
        <r>
          <rPr>
            <b/>
            <sz val="9"/>
            <rFont val="Tahoma"/>
            <family val="2"/>
          </rPr>
          <t>4 Records</t>
        </r>
      </text>
    </comment>
    <comment ref="AL5" authorId="0" shapeId="0" xr:uid="{00000000-0006-0000-0700-000015000000}">
      <text>
        <r>
          <rPr>
            <b/>
            <sz val="9"/>
            <rFont val="Tahoma"/>
            <family val="2"/>
          </rPr>
          <t>4 Records</t>
        </r>
      </text>
    </comment>
    <comment ref="AN5" authorId="0" shapeId="0" xr:uid="{00000000-0006-0000-0700-000016000000}">
      <text>
        <r>
          <rPr>
            <b/>
            <sz val="9"/>
            <rFont val="Tahoma"/>
            <family val="2"/>
          </rPr>
          <t>4 Records</t>
        </r>
      </text>
    </comment>
    <comment ref="K7" authorId="0" shapeId="0" xr:uid="{00000000-0006-0000-0700-000017000000}">
      <text>
        <r>
          <rPr>
            <b/>
            <sz val="9"/>
            <rFont val="Tahoma"/>
            <family val="2"/>
          </rPr>
          <t>4 Records</t>
        </r>
      </text>
    </comment>
    <comment ref="M7" authorId="0" shapeId="0" xr:uid="{00000000-0006-0000-0700-000018000000}">
      <text>
        <r>
          <rPr>
            <b/>
            <sz val="9"/>
            <rFont val="Tahoma"/>
            <family val="2"/>
          </rPr>
          <t>4 Records</t>
        </r>
      </text>
    </comment>
    <comment ref="P7" authorId="0" shapeId="0" xr:uid="{00000000-0006-0000-0700-000019000000}">
      <text>
        <r>
          <rPr>
            <b/>
            <sz val="9"/>
            <rFont val="Tahoma"/>
            <family val="2"/>
          </rPr>
          <t>4 Records</t>
        </r>
      </text>
    </comment>
    <comment ref="Q7" authorId="0" shapeId="0" xr:uid="{00000000-0006-0000-0700-00001A000000}">
      <text>
        <r>
          <rPr>
            <b/>
            <sz val="9"/>
            <rFont val="Tahoma"/>
            <family val="2"/>
          </rPr>
          <t>4 Records</t>
        </r>
      </text>
    </comment>
    <comment ref="S7" authorId="0" shapeId="0" xr:uid="{00000000-0006-0000-0700-00001B000000}">
      <text>
        <r>
          <rPr>
            <b/>
            <sz val="9"/>
            <rFont val="Tahoma"/>
            <family val="2"/>
          </rPr>
          <t>4 Records</t>
        </r>
      </text>
    </comment>
    <comment ref="T7" authorId="0" shapeId="0" xr:uid="{00000000-0006-0000-0700-00001C000000}">
      <text>
        <r>
          <rPr>
            <b/>
            <sz val="9"/>
            <rFont val="Tahoma"/>
            <family val="2"/>
          </rPr>
          <t>4 Records</t>
        </r>
      </text>
    </comment>
    <comment ref="U7" authorId="0" shapeId="0" xr:uid="{00000000-0006-0000-0700-00001D000000}">
      <text>
        <r>
          <rPr>
            <b/>
            <sz val="9"/>
            <rFont val="Tahoma"/>
            <family val="2"/>
          </rPr>
          <t>4 Records</t>
        </r>
      </text>
    </comment>
    <comment ref="W7" authorId="0" shapeId="0" xr:uid="{00000000-0006-0000-0700-00001E000000}">
      <text>
        <r>
          <rPr>
            <b/>
            <sz val="9"/>
            <rFont val="Tahoma"/>
            <family val="2"/>
          </rPr>
          <t>4 Records</t>
        </r>
      </text>
    </comment>
    <comment ref="X7" authorId="0" shapeId="0" xr:uid="{00000000-0006-0000-0700-00001F000000}">
      <text>
        <r>
          <rPr>
            <b/>
            <sz val="9"/>
            <rFont val="Tahoma"/>
            <family val="2"/>
          </rPr>
          <t>2 Records</t>
        </r>
      </text>
    </comment>
    <comment ref="Y7" authorId="0" shapeId="0" xr:uid="{00000000-0006-0000-0700-000020000000}">
      <text>
        <r>
          <rPr>
            <b/>
            <sz val="9"/>
            <rFont val="Tahoma"/>
            <family val="2"/>
          </rPr>
          <t>4 Records</t>
        </r>
      </text>
    </comment>
    <comment ref="AA7" authorId="0" shapeId="0" xr:uid="{00000000-0006-0000-0700-000021000000}">
      <text>
        <r>
          <rPr>
            <b/>
            <sz val="9"/>
            <rFont val="Tahoma"/>
            <family val="2"/>
          </rPr>
          <t>4 Records</t>
        </r>
      </text>
    </comment>
    <comment ref="AB7" authorId="0" shapeId="0" xr:uid="{00000000-0006-0000-0700-000022000000}">
      <text>
        <r>
          <rPr>
            <b/>
            <sz val="9"/>
            <rFont val="Tahoma"/>
            <family val="2"/>
          </rPr>
          <t>4 Records</t>
        </r>
      </text>
    </comment>
    <comment ref="AD7" authorId="0" shapeId="0" xr:uid="{00000000-0006-0000-0700-000023000000}">
      <text>
        <r>
          <rPr>
            <b/>
            <sz val="9"/>
            <rFont val="Tahoma"/>
            <family val="2"/>
          </rPr>
          <t>4 Records</t>
        </r>
      </text>
    </comment>
    <comment ref="AH7" authorId="0" shapeId="0" xr:uid="{00000000-0006-0000-0700-000024000000}">
      <text>
        <r>
          <rPr>
            <b/>
            <sz val="9"/>
            <rFont val="Tahoma"/>
            <family val="2"/>
          </rPr>
          <t>4 Records</t>
        </r>
      </text>
    </comment>
    <comment ref="AJ7" authorId="0" shapeId="0" xr:uid="{00000000-0006-0000-0700-000025000000}">
      <text>
        <r>
          <rPr>
            <b/>
            <sz val="9"/>
            <rFont val="Tahoma"/>
            <family val="2"/>
          </rPr>
          <t>4 Records</t>
        </r>
      </text>
    </comment>
    <comment ref="AK7" authorId="0" shapeId="0" xr:uid="{00000000-0006-0000-0700-000026000000}">
      <text>
        <r>
          <rPr>
            <b/>
            <sz val="9"/>
            <rFont val="Tahoma"/>
            <family val="2"/>
          </rPr>
          <t>4 Records</t>
        </r>
      </text>
    </comment>
    <comment ref="AL7" authorId="0" shapeId="0" xr:uid="{00000000-0006-0000-0700-000027000000}">
      <text>
        <r>
          <rPr>
            <b/>
            <sz val="9"/>
            <rFont val="Tahoma"/>
            <family val="2"/>
          </rPr>
          <t>4 Records</t>
        </r>
      </text>
    </comment>
    <comment ref="AM7" authorId="0" shapeId="0" xr:uid="{00000000-0006-0000-0700-000028000000}">
      <text>
        <r>
          <rPr>
            <b/>
            <sz val="9"/>
            <rFont val="Tahoma"/>
            <family val="2"/>
          </rPr>
          <t>4 Records</t>
        </r>
      </text>
    </comment>
    <comment ref="AO7" authorId="0" shapeId="0" xr:uid="{00000000-0006-0000-0700-000029000000}">
      <text>
        <r>
          <rPr>
            <b/>
            <sz val="9"/>
            <rFont val="Tahoma"/>
            <family val="2"/>
          </rPr>
          <t>4 Records</t>
        </r>
      </text>
    </comment>
    <comment ref="AP7" authorId="0" shapeId="0" xr:uid="{00000000-0006-0000-0700-00002A000000}">
      <text>
        <r>
          <rPr>
            <b/>
            <sz val="9"/>
            <rFont val="Tahoma"/>
            <family val="2"/>
          </rPr>
          <t>4 Records</t>
        </r>
      </text>
    </comment>
    <comment ref="AR7" authorId="0" shapeId="0" xr:uid="{00000000-0006-0000-0700-00002B000000}">
      <text>
        <r>
          <rPr>
            <b/>
            <sz val="9"/>
            <rFont val="Tahoma"/>
            <family val="2"/>
          </rPr>
          <t>4 Records</t>
        </r>
      </text>
    </comment>
    <comment ref="AS7" authorId="0" shapeId="0" xr:uid="{00000000-0006-0000-0700-00002C000000}">
      <text>
        <r>
          <rPr>
            <b/>
            <sz val="9"/>
            <rFont val="Tahoma"/>
            <family val="2"/>
          </rPr>
          <t>4 Records</t>
        </r>
      </text>
    </comment>
    <comment ref="AT7" authorId="0" shapeId="0" xr:uid="{00000000-0006-0000-0700-00002D000000}">
      <text>
        <r>
          <rPr>
            <b/>
            <sz val="9"/>
            <rFont val="Tahoma"/>
            <family val="2"/>
          </rPr>
          <t>4 Records</t>
        </r>
      </text>
    </comment>
    <comment ref="AU7" authorId="0" shapeId="0" xr:uid="{00000000-0006-0000-0700-00002E000000}">
      <text>
        <r>
          <rPr>
            <b/>
            <sz val="9"/>
            <rFont val="Tahoma"/>
            <family val="2"/>
          </rPr>
          <t>4 Records</t>
        </r>
      </text>
    </comment>
    <comment ref="P8" authorId="0" shapeId="0" xr:uid="{00000000-0006-0000-0700-00002F000000}">
      <text>
        <r>
          <rPr>
            <b/>
            <sz val="9"/>
            <rFont val="Tahoma"/>
            <family val="2"/>
          </rPr>
          <t>4 Records</t>
        </r>
      </text>
    </comment>
    <comment ref="Q8" authorId="0" shapeId="0" xr:uid="{00000000-0006-0000-0700-000030000000}">
      <text>
        <r>
          <rPr>
            <b/>
            <sz val="9"/>
            <rFont val="Tahoma"/>
            <family val="2"/>
          </rPr>
          <t>4 Records</t>
        </r>
      </text>
    </comment>
    <comment ref="S8" authorId="0" shapeId="0" xr:uid="{00000000-0006-0000-0700-000031000000}">
      <text>
        <r>
          <rPr>
            <b/>
            <sz val="9"/>
            <rFont val="Tahoma"/>
            <family val="2"/>
          </rPr>
          <t>4 Records</t>
        </r>
      </text>
    </comment>
    <comment ref="T8" authorId="0" shapeId="0" xr:uid="{00000000-0006-0000-0700-000032000000}">
      <text>
        <r>
          <rPr>
            <b/>
            <sz val="9"/>
            <rFont val="Tahoma"/>
            <family val="2"/>
          </rPr>
          <t>4 Records</t>
        </r>
      </text>
    </comment>
    <comment ref="U8" authorId="0" shapeId="0" xr:uid="{00000000-0006-0000-0700-000033000000}">
      <text>
        <r>
          <rPr>
            <b/>
            <sz val="9"/>
            <rFont val="Tahoma"/>
            <family val="2"/>
          </rPr>
          <t>4 Records</t>
        </r>
      </text>
    </comment>
    <comment ref="W8" authorId="0" shapeId="0" xr:uid="{00000000-0006-0000-0700-000034000000}">
      <text>
        <r>
          <rPr>
            <b/>
            <sz val="9"/>
            <rFont val="Tahoma"/>
            <family val="2"/>
          </rPr>
          <t>4 Records</t>
        </r>
      </text>
    </comment>
    <comment ref="Y8" authorId="0" shapeId="0" xr:uid="{00000000-0006-0000-0700-000035000000}">
      <text>
        <r>
          <rPr>
            <b/>
            <sz val="9"/>
            <rFont val="Tahoma"/>
            <family val="2"/>
          </rPr>
          <t>4 Records</t>
        </r>
      </text>
    </comment>
    <comment ref="AA8" authorId="0" shapeId="0" xr:uid="{00000000-0006-0000-0700-000036000000}">
      <text>
        <r>
          <rPr>
            <b/>
            <sz val="9"/>
            <rFont val="Tahoma"/>
            <family val="2"/>
          </rPr>
          <t>4 Records</t>
        </r>
      </text>
    </comment>
    <comment ref="AH8" authorId="0" shapeId="0" xr:uid="{00000000-0006-0000-0700-000037000000}">
      <text>
        <r>
          <rPr>
            <b/>
            <sz val="9"/>
            <rFont val="Tahoma"/>
            <family val="2"/>
          </rPr>
          <t>4 Records</t>
        </r>
      </text>
    </comment>
    <comment ref="AJ8" authorId="0" shapeId="0" xr:uid="{00000000-0006-0000-0700-000038000000}">
      <text>
        <r>
          <rPr>
            <b/>
            <sz val="9"/>
            <rFont val="Tahoma"/>
            <family val="2"/>
          </rPr>
          <t>4 Records</t>
        </r>
      </text>
    </comment>
    <comment ref="AL8" authorId="0" shapeId="0" xr:uid="{00000000-0006-0000-0700-000039000000}">
      <text>
        <r>
          <rPr>
            <b/>
            <sz val="9"/>
            <rFont val="Tahoma"/>
            <family val="2"/>
          </rPr>
          <t>4 Records</t>
        </r>
      </text>
    </comment>
    <comment ref="AP8" authorId="0" shapeId="0" xr:uid="{00000000-0006-0000-0700-00003A000000}">
      <text>
        <r>
          <rPr>
            <b/>
            <sz val="9"/>
            <rFont val="Tahoma"/>
            <family val="2"/>
          </rPr>
          <t>4 Records</t>
        </r>
      </text>
    </comment>
    <comment ref="S9" authorId="0" shapeId="0" xr:uid="{00000000-0006-0000-0700-00003B000000}">
      <text>
        <r>
          <rPr>
            <b/>
            <sz val="9"/>
            <rFont val="Tahoma"/>
            <family val="2"/>
          </rPr>
          <t>4 Records</t>
        </r>
      </text>
    </comment>
    <comment ref="T9" authorId="0" shapeId="0" xr:uid="{00000000-0006-0000-0700-00003C000000}">
      <text>
        <r>
          <rPr>
            <b/>
            <sz val="9"/>
            <rFont val="Tahoma"/>
            <family val="2"/>
          </rPr>
          <t>4 Records</t>
        </r>
      </text>
    </comment>
    <comment ref="U9" authorId="0" shapeId="0" xr:uid="{00000000-0006-0000-0700-00003D000000}">
      <text>
        <r>
          <rPr>
            <b/>
            <sz val="9"/>
            <rFont val="Tahoma"/>
            <family val="2"/>
          </rPr>
          <t>4 Records</t>
        </r>
      </text>
    </comment>
    <comment ref="AA9" authorId="0" shapeId="0" xr:uid="{00000000-0006-0000-0700-00003E000000}">
      <text>
        <r>
          <rPr>
            <b/>
            <sz val="9"/>
            <rFont val="Tahoma"/>
            <family val="2"/>
          </rPr>
          <t>4 Records</t>
        </r>
      </text>
    </comment>
    <comment ref="AJ9" authorId="0" shapeId="0" xr:uid="{00000000-0006-0000-0700-00003F000000}">
      <text>
        <r>
          <rPr>
            <b/>
            <sz val="9"/>
            <rFont val="Tahoma"/>
            <family val="2"/>
          </rPr>
          <t>4 Records</t>
        </r>
      </text>
    </comment>
    <comment ref="K10" authorId="0" shapeId="0" xr:uid="{00000000-0006-0000-0700-000040000000}">
      <text>
        <r>
          <rPr>
            <b/>
            <sz val="9"/>
            <rFont val="Tahoma"/>
            <family val="2"/>
          </rPr>
          <t>4 Records</t>
        </r>
      </text>
    </comment>
    <comment ref="M10" authorId="0" shapeId="0" xr:uid="{00000000-0006-0000-0700-000041000000}">
      <text>
        <r>
          <rPr>
            <b/>
            <sz val="9"/>
            <rFont val="Tahoma"/>
            <family val="2"/>
          </rPr>
          <t>4 Records</t>
        </r>
      </text>
    </comment>
    <comment ref="P10" authorId="0" shapeId="0" xr:uid="{00000000-0006-0000-0700-000042000000}">
      <text>
        <r>
          <rPr>
            <b/>
            <sz val="9"/>
            <rFont val="Tahoma"/>
            <family val="2"/>
          </rPr>
          <t>4 Records</t>
        </r>
      </text>
    </comment>
    <comment ref="Q10" authorId="0" shapeId="0" xr:uid="{00000000-0006-0000-0700-000043000000}">
      <text>
        <r>
          <rPr>
            <b/>
            <sz val="9"/>
            <rFont val="Tahoma"/>
            <family val="2"/>
          </rPr>
          <t>4 Records</t>
        </r>
      </text>
    </comment>
    <comment ref="R10" authorId="0" shapeId="0" xr:uid="{00000000-0006-0000-0700-000044000000}">
      <text>
        <r>
          <rPr>
            <b/>
            <sz val="9"/>
            <rFont val="Tahoma"/>
            <family val="2"/>
          </rPr>
          <t>4 Records</t>
        </r>
      </text>
    </comment>
    <comment ref="T10" authorId="0" shapeId="0" xr:uid="{00000000-0006-0000-0700-000045000000}">
      <text>
        <r>
          <rPr>
            <b/>
            <sz val="9"/>
            <rFont val="Tahoma"/>
            <family val="2"/>
          </rPr>
          <t>4 Records</t>
        </r>
      </text>
    </comment>
    <comment ref="V10" authorId="0" shapeId="0" xr:uid="{00000000-0006-0000-0700-000046000000}">
      <text>
        <r>
          <rPr>
            <b/>
            <sz val="9"/>
            <rFont val="Tahoma"/>
            <family val="2"/>
          </rPr>
          <t>4 Records</t>
        </r>
      </text>
    </comment>
    <comment ref="W10" authorId="0" shapeId="0" xr:uid="{00000000-0006-0000-0700-000047000000}">
      <text>
        <r>
          <rPr>
            <b/>
            <sz val="9"/>
            <rFont val="Tahoma"/>
            <family val="2"/>
          </rPr>
          <t>4 Records</t>
        </r>
      </text>
    </comment>
    <comment ref="X10" authorId="0" shapeId="0" xr:uid="{00000000-0006-0000-0700-000048000000}">
      <text>
        <r>
          <rPr>
            <b/>
            <sz val="9"/>
            <rFont val="Tahoma"/>
            <family val="2"/>
          </rPr>
          <t>4 Records</t>
        </r>
      </text>
    </comment>
    <comment ref="Y10" authorId="0" shapeId="0" xr:uid="{00000000-0006-0000-0700-000049000000}">
      <text>
        <r>
          <rPr>
            <b/>
            <sz val="9"/>
            <rFont val="Tahoma"/>
            <family val="2"/>
          </rPr>
          <t>4 Records</t>
        </r>
      </text>
    </comment>
    <comment ref="AF10" authorId="0" shapeId="0" xr:uid="{00000000-0006-0000-0700-00004A000000}">
      <text>
        <r>
          <rPr>
            <b/>
            <sz val="9"/>
            <rFont val="Tahoma"/>
            <family val="2"/>
          </rPr>
          <t>4 Records</t>
        </r>
      </text>
    </comment>
    <comment ref="AG10" authorId="0" shapeId="0" xr:uid="{00000000-0006-0000-0700-00004B000000}">
      <text>
        <r>
          <rPr>
            <b/>
            <sz val="9"/>
            <rFont val="Tahoma"/>
            <family val="2"/>
          </rPr>
          <t>4 Records</t>
        </r>
      </text>
    </comment>
    <comment ref="AH10" authorId="0" shapeId="0" xr:uid="{00000000-0006-0000-0700-00004C000000}">
      <text>
        <r>
          <rPr>
            <b/>
            <sz val="9"/>
            <rFont val="Tahoma"/>
            <family val="2"/>
          </rPr>
          <t>4 Records</t>
        </r>
      </text>
    </comment>
    <comment ref="AI10" authorId="0" shapeId="0" xr:uid="{00000000-0006-0000-0700-00004D000000}">
      <text>
        <r>
          <rPr>
            <b/>
            <sz val="9"/>
            <rFont val="Tahoma"/>
            <family val="2"/>
          </rPr>
          <t>4 Records</t>
        </r>
      </text>
    </comment>
    <comment ref="AJ10" authorId="0" shapeId="0" xr:uid="{00000000-0006-0000-0700-00004E000000}">
      <text>
        <r>
          <rPr>
            <b/>
            <sz val="9"/>
            <rFont val="Tahoma"/>
            <family val="2"/>
          </rPr>
          <t>4 Records</t>
        </r>
      </text>
    </comment>
    <comment ref="AK10" authorId="0" shapeId="0" xr:uid="{00000000-0006-0000-0700-00004F000000}">
      <text>
        <r>
          <rPr>
            <b/>
            <sz val="9"/>
            <rFont val="Tahoma"/>
            <family val="2"/>
          </rPr>
          <t>4 Records</t>
        </r>
      </text>
    </comment>
    <comment ref="AM10" authorId="0" shapeId="0" xr:uid="{00000000-0006-0000-0700-000050000000}">
      <text>
        <r>
          <rPr>
            <b/>
            <sz val="9"/>
            <rFont val="Tahoma"/>
            <family val="2"/>
          </rPr>
          <t>4 Records</t>
        </r>
      </text>
    </comment>
    <comment ref="AN10" authorId="0" shapeId="0" xr:uid="{00000000-0006-0000-0700-000051000000}">
      <text>
        <r>
          <rPr>
            <b/>
            <sz val="9"/>
            <rFont val="Tahoma"/>
            <family val="2"/>
          </rPr>
          <t>4 Records</t>
        </r>
      </text>
    </comment>
    <comment ref="AO10" authorId="0" shapeId="0" xr:uid="{00000000-0006-0000-0700-000052000000}">
      <text>
        <r>
          <rPr>
            <b/>
            <sz val="9"/>
            <rFont val="Tahoma"/>
            <family val="2"/>
          </rPr>
          <t>4 Records</t>
        </r>
      </text>
    </comment>
    <comment ref="AQ10" authorId="0" shapeId="0" xr:uid="{00000000-0006-0000-0700-000053000000}">
      <text>
        <r>
          <rPr>
            <b/>
            <sz val="9"/>
            <rFont val="Tahoma"/>
            <family val="2"/>
          </rPr>
          <t>4 Records</t>
        </r>
      </text>
    </comment>
    <comment ref="AU10" authorId="0" shapeId="0" xr:uid="{00000000-0006-0000-0700-000054000000}">
      <text>
        <r>
          <rPr>
            <b/>
            <sz val="9"/>
            <rFont val="Tahoma"/>
            <family val="2"/>
          </rPr>
          <t>4 Records</t>
        </r>
      </text>
    </comment>
    <comment ref="K13" authorId="0" shapeId="0" xr:uid="{00000000-0006-0000-0700-000055000000}">
      <text>
        <r>
          <rPr>
            <b/>
            <sz val="9"/>
            <rFont val="Tahoma"/>
            <family val="2"/>
          </rPr>
          <t>4 Records</t>
        </r>
      </text>
    </comment>
    <comment ref="M13" authorId="0" shapeId="0" xr:uid="{00000000-0006-0000-0700-000056000000}">
      <text>
        <r>
          <rPr>
            <b/>
            <sz val="9"/>
            <rFont val="Tahoma"/>
            <family val="2"/>
          </rPr>
          <t>4 Records</t>
        </r>
      </text>
    </comment>
    <comment ref="P13" authorId="0" shapeId="0" xr:uid="{00000000-0006-0000-0700-000057000000}">
      <text>
        <r>
          <rPr>
            <b/>
            <sz val="9"/>
            <rFont val="Tahoma"/>
            <family val="2"/>
          </rPr>
          <t>4 Records</t>
        </r>
      </text>
    </comment>
    <comment ref="Q13" authorId="0" shapeId="0" xr:uid="{00000000-0006-0000-0700-000058000000}">
      <text>
        <r>
          <rPr>
            <b/>
            <sz val="9"/>
            <rFont val="Tahoma"/>
            <family val="2"/>
          </rPr>
          <t>4 Records</t>
        </r>
      </text>
    </comment>
    <comment ref="R13" authorId="0" shapeId="0" xr:uid="{00000000-0006-0000-0700-000059000000}">
      <text>
        <r>
          <rPr>
            <b/>
            <sz val="9"/>
            <rFont val="Tahoma"/>
            <family val="2"/>
          </rPr>
          <t>4 Records</t>
        </r>
      </text>
    </comment>
    <comment ref="T13" authorId="0" shapeId="0" xr:uid="{00000000-0006-0000-0700-00005A000000}">
      <text>
        <r>
          <rPr>
            <b/>
            <sz val="9"/>
            <rFont val="Tahoma"/>
            <family val="2"/>
          </rPr>
          <t>4 Records</t>
        </r>
      </text>
    </comment>
    <comment ref="V13" authorId="0" shapeId="0" xr:uid="{00000000-0006-0000-0700-00005B000000}">
      <text>
        <r>
          <rPr>
            <b/>
            <sz val="9"/>
            <rFont val="Tahoma"/>
            <family val="2"/>
          </rPr>
          <t>4 Records</t>
        </r>
      </text>
    </comment>
    <comment ref="W13" authorId="0" shapeId="0" xr:uid="{00000000-0006-0000-0700-00005C000000}">
      <text>
        <r>
          <rPr>
            <b/>
            <sz val="9"/>
            <rFont val="Tahoma"/>
            <family val="2"/>
          </rPr>
          <t>4 Records</t>
        </r>
      </text>
    </comment>
    <comment ref="X13" authorId="0" shapeId="0" xr:uid="{00000000-0006-0000-0700-00005D000000}">
      <text>
        <r>
          <rPr>
            <b/>
            <sz val="9"/>
            <rFont val="Tahoma"/>
            <family val="2"/>
          </rPr>
          <t>4 Records</t>
        </r>
      </text>
    </comment>
    <comment ref="Y13" authorId="0" shapeId="0" xr:uid="{00000000-0006-0000-0700-00005E000000}">
      <text>
        <r>
          <rPr>
            <b/>
            <sz val="9"/>
            <rFont val="Tahoma"/>
            <family val="2"/>
          </rPr>
          <t>4 Records</t>
        </r>
      </text>
    </comment>
    <comment ref="AF13" authorId="0" shapeId="0" xr:uid="{00000000-0006-0000-0700-00005F000000}">
      <text>
        <r>
          <rPr>
            <b/>
            <sz val="9"/>
            <rFont val="Tahoma"/>
            <family val="2"/>
          </rPr>
          <t>4 Records</t>
        </r>
      </text>
    </comment>
    <comment ref="AG13" authorId="0" shapeId="0" xr:uid="{00000000-0006-0000-0700-000060000000}">
      <text>
        <r>
          <rPr>
            <b/>
            <sz val="9"/>
            <rFont val="Tahoma"/>
            <family val="2"/>
          </rPr>
          <t>4 Records</t>
        </r>
      </text>
    </comment>
    <comment ref="AH13" authorId="0" shapeId="0" xr:uid="{00000000-0006-0000-0700-000061000000}">
      <text>
        <r>
          <rPr>
            <b/>
            <sz val="9"/>
            <rFont val="Tahoma"/>
            <family val="2"/>
          </rPr>
          <t>4 Records</t>
        </r>
      </text>
    </comment>
    <comment ref="AI13" authorId="0" shapeId="0" xr:uid="{00000000-0006-0000-0700-000062000000}">
      <text>
        <r>
          <rPr>
            <b/>
            <sz val="9"/>
            <rFont val="Tahoma"/>
            <family val="2"/>
          </rPr>
          <t>4 Records</t>
        </r>
      </text>
    </comment>
    <comment ref="AJ13" authorId="0" shapeId="0" xr:uid="{00000000-0006-0000-0700-000063000000}">
      <text>
        <r>
          <rPr>
            <b/>
            <sz val="9"/>
            <rFont val="Tahoma"/>
            <family val="2"/>
          </rPr>
          <t>4 Records</t>
        </r>
      </text>
    </comment>
    <comment ref="AK13" authorId="0" shapeId="0" xr:uid="{00000000-0006-0000-0700-000064000000}">
      <text>
        <r>
          <rPr>
            <b/>
            <sz val="9"/>
            <rFont val="Tahoma"/>
            <family val="2"/>
          </rPr>
          <t>4 Records</t>
        </r>
      </text>
    </comment>
    <comment ref="AM13" authorId="0" shapeId="0" xr:uid="{00000000-0006-0000-0700-000065000000}">
      <text>
        <r>
          <rPr>
            <b/>
            <sz val="9"/>
            <rFont val="Tahoma"/>
            <family val="2"/>
          </rPr>
          <t>4 Records</t>
        </r>
      </text>
    </comment>
    <comment ref="AN13" authorId="0" shapeId="0" xr:uid="{00000000-0006-0000-0700-000066000000}">
      <text>
        <r>
          <rPr>
            <b/>
            <sz val="9"/>
            <rFont val="Tahoma"/>
            <family val="2"/>
          </rPr>
          <t>4 Records</t>
        </r>
      </text>
    </comment>
    <comment ref="K16" authorId="0" shapeId="0" xr:uid="{00000000-0006-0000-0700-000067000000}">
      <text>
        <r>
          <rPr>
            <b/>
            <sz val="9"/>
            <rFont val="Tahoma"/>
            <family val="2"/>
          </rPr>
          <t>4 Records</t>
        </r>
      </text>
    </comment>
    <comment ref="P16" authorId="0" shapeId="0" xr:uid="{00000000-0006-0000-0700-000068000000}">
      <text>
        <r>
          <rPr>
            <b/>
            <sz val="9"/>
            <rFont val="Tahoma"/>
            <family val="2"/>
          </rPr>
          <t>4 Records</t>
        </r>
      </text>
    </comment>
    <comment ref="Q16" authorId="0" shapeId="0" xr:uid="{00000000-0006-0000-0700-000069000000}">
      <text>
        <r>
          <rPr>
            <b/>
            <sz val="9"/>
            <rFont val="Tahoma"/>
            <family val="2"/>
          </rPr>
          <t>4 Records</t>
        </r>
      </text>
    </comment>
    <comment ref="R16" authorId="0" shapeId="0" xr:uid="{00000000-0006-0000-0700-00006A000000}">
      <text>
        <r>
          <rPr>
            <b/>
            <sz val="9"/>
            <rFont val="Tahoma"/>
            <family val="2"/>
          </rPr>
          <t>4 Records</t>
        </r>
      </text>
    </comment>
    <comment ref="T16" authorId="0" shapeId="0" xr:uid="{00000000-0006-0000-0700-00006B000000}">
      <text>
        <r>
          <rPr>
            <b/>
            <sz val="9"/>
            <rFont val="Tahoma"/>
            <family val="2"/>
          </rPr>
          <t>4 Records</t>
        </r>
      </text>
    </comment>
    <comment ref="V16" authorId="0" shapeId="0" xr:uid="{00000000-0006-0000-0700-00006C000000}">
      <text>
        <r>
          <rPr>
            <b/>
            <sz val="9"/>
            <rFont val="Tahoma"/>
            <family val="2"/>
          </rPr>
          <t>4 Records</t>
        </r>
      </text>
    </comment>
    <comment ref="X16" authorId="0" shapeId="0" xr:uid="{00000000-0006-0000-0700-00006D000000}">
      <text>
        <r>
          <rPr>
            <b/>
            <sz val="9"/>
            <rFont val="Tahoma"/>
            <family val="2"/>
          </rPr>
          <t>4 Records</t>
        </r>
      </text>
    </comment>
    <comment ref="AF16" authorId="0" shapeId="0" xr:uid="{00000000-0006-0000-0700-00006E000000}">
      <text>
        <r>
          <rPr>
            <b/>
            <sz val="9"/>
            <rFont val="Tahoma"/>
            <family val="2"/>
          </rPr>
          <t>4 Records</t>
        </r>
      </text>
    </comment>
    <comment ref="AG16" authorId="0" shapeId="0" xr:uid="{00000000-0006-0000-0700-00006F000000}">
      <text>
        <r>
          <rPr>
            <b/>
            <sz val="9"/>
            <rFont val="Tahoma"/>
            <family val="2"/>
          </rPr>
          <t>4 Records</t>
        </r>
      </text>
    </comment>
    <comment ref="AH16" authorId="0" shapeId="0" xr:uid="{00000000-0006-0000-0700-000070000000}">
      <text>
        <r>
          <rPr>
            <b/>
            <sz val="9"/>
            <rFont val="Tahoma"/>
            <family val="2"/>
          </rPr>
          <t>4 Records</t>
        </r>
      </text>
    </comment>
    <comment ref="AJ16" authorId="0" shapeId="0" xr:uid="{00000000-0006-0000-0700-000071000000}">
      <text>
        <r>
          <rPr>
            <b/>
            <sz val="9"/>
            <rFont val="Tahoma"/>
            <family val="2"/>
          </rPr>
          <t>4 Records</t>
        </r>
      </text>
    </comment>
    <comment ref="AL16" authorId="0" shapeId="0" xr:uid="{00000000-0006-0000-0700-000072000000}">
      <text>
        <r>
          <rPr>
            <b/>
            <sz val="9"/>
            <rFont val="Tahoma"/>
            <family val="2"/>
          </rPr>
          <t>4 Records</t>
        </r>
      </text>
    </comment>
    <comment ref="AN16" authorId="0" shapeId="0" xr:uid="{00000000-0006-0000-0700-000073000000}">
      <text>
        <r>
          <rPr>
            <b/>
            <sz val="9"/>
            <rFont val="Tahoma"/>
            <family val="2"/>
          </rPr>
          <t>4 Records</t>
        </r>
      </text>
    </comment>
    <comment ref="K19" authorId="0" shapeId="0" xr:uid="{00000000-0006-0000-0700-000074000000}">
      <text>
        <r>
          <rPr>
            <b/>
            <sz val="9"/>
            <rFont val="Tahoma"/>
            <family val="2"/>
          </rPr>
          <t>4 Records</t>
        </r>
      </text>
    </comment>
    <comment ref="M19" authorId="0" shapeId="0" xr:uid="{00000000-0006-0000-0700-000075000000}">
      <text>
        <r>
          <rPr>
            <b/>
            <sz val="9"/>
            <rFont val="Tahoma"/>
            <family val="2"/>
          </rPr>
          <t>4 Records</t>
        </r>
      </text>
    </comment>
    <comment ref="P19" authorId="0" shapeId="0" xr:uid="{00000000-0006-0000-0700-000076000000}">
      <text>
        <r>
          <rPr>
            <b/>
            <sz val="9"/>
            <rFont val="Tahoma"/>
            <family val="2"/>
          </rPr>
          <t>4 Records</t>
        </r>
      </text>
    </comment>
    <comment ref="Q19" authorId="0" shapeId="0" xr:uid="{00000000-0006-0000-0700-000077000000}">
      <text>
        <r>
          <rPr>
            <b/>
            <sz val="9"/>
            <rFont val="Tahoma"/>
            <family val="2"/>
          </rPr>
          <t>4 Records</t>
        </r>
      </text>
    </comment>
    <comment ref="R19" authorId="0" shapeId="0" xr:uid="{00000000-0006-0000-0700-000078000000}">
      <text>
        <r>
          <rPr>
            <b/>
            <sz val="9"/>
            <rFont val="Tahoma"/>
            <family val="2"/>
          </rPr>
          <t>4 Records</t>
        </r>
      </text>
    </comment>
    <comment ref="T19" authorId="0" shapeId="0" xr:uid="{00000000-0006-0000-0700-000079000000}">
      <text>
        <r>
          <rPr>
            <b/>
            <sz val="9"/>
            <rFont val="Tahoma"/>
            <family val="2"/>
          </rPr>
          <t>4 Records</t>
        </r>
      </text>
    </comment>
    <comment ref="V19" authorId="0" shapeId="0" xr:uid="{00000000-0006-0000-0700-00007A000000}">
      <text>
        <r>
          <rPr>
            <b/>
            <sz val="9"/>
            <rFont val="Tahoma"/>
            <family val="2"/>
          </rPr>
          <t>4 Records</t>
        </r>
      </text>
    </comment>
    <comment ref="W19" authorId="0" shapeId="0" xr:uid="{00000000-0006-0000-0700-00007B000000}">
      <text>
        <r>
          <rPr>
            <b/>
            <sz val="9"/>
            <rFont val="Tahoma"/>
            <family val="2"/>
          </rPr>
          <t>4 Records</t>
        </r>
      </text>
    </comment>
    <comment ref="X19" authorId="0" shapeId="0" xr:uid="{00000000-0006-0000-0700-00007C000000}">
      <text>
        <r>
          <rPr>
            <b/>
            <sz val="9"/>
            <rFont val="Tahoma"/>
            <family val="2"/>
          </rPr>
          <t>4 Records</t>
        </r>
      </text>
    </comment>
    <comment ref="AB19" authorId="0" shapeId="0" xr:uid="{00000000-0006-0000-0700-00007D000000}">
      <text>
        <r>
          <rPr>
            <b/>
            <sz val="9"/>
            <rFont val="Tahoma"/>
            <family val="2"/>
          </rPr>
          <t>4 Records</t>
        </r>
      </text>
    </comment>
    <comment ref="AF19" authorId="0" shapeId="0" xr:uid="{00000000-0006-0000-0700-00007E000000}">
      <text>
        <r>
          <rPr>
            <b/>
            <sz val="9"/>
            <rFont val="Tahoma"/>
            <family val="2"/>
          </rPr>
          <t>4 Records</t>
        </r>
      </text>
    </comment>
    <comment ref="AG19" authorId="0" shapeId="0" xr:uid="{00000000-0006-0000-0700-00007F000000}">
      <text>
        <r>
          <rPr>
            <b/>
            <sz val="9"/>
            <rFont val="Tahoma"/>
            <family val="2"/>
          </rPr>
          <t>4 Records</t>
        </r>
      </text>
    </comment>
    <comment ref="AH19" authorId="0" shapeId="0" xr:uid="{00000000-0006-0000-0700-000080000000}">
      <text>
        <r>
          <rPr>
            <b/>
            <sz val="9"/>
            <rFont val="Tahoma"/>
            <family val="2"/>
          </rPr>
          <t>4 Records</t>
        </r>
      </text>
    </comment>
    <comment ref="AJ19" authorId="0" shapeId="0" xr:uid="{00000000-0006-0000-0700-000081000000}">
      <text>
        <r>
          <rPr>
            <b/>
            <sz val="9"/>
            <rFont val="Tahoma"/>
            <family val="2"/>
          </rPr>
          <t>4 Records</t>
        </r>
      </text>
    </comment>
    <comment ref="AM19" authorId="0" shapeId="0" xr:uid="{00000000-0006-0000-0700-000082000000}">
      <text>
        <r>
          <rPr>
            <b/>
            <sz val="9"/>
            <rFont val="Tahoma"/>
            <family val="2"/>
          </rPr>
          <t>4 Records</t>
        </r>
      </text>
    </comment>
    <comment ref="AN19" authorId="0" shapeId="0" xr:uid="{00000000-0006-0000-0700-000083000000}">
      <text>
        <r>
          <rPr>
            <b/>
            <sz val="9"/>
            <rFont val="Tahoma"/>
            <family val="2"/>
          </rPr>
          <t>4 Records</t>
        </r>
      </text>
    </comment>
    <comment ref="AO19" authorId="0" shapeId="0" xr:uid="{00000000-0006-0000-0700-000084000000}">
      <text>
        <r>
          <rPr>
            <b/>
            <sz val="9"/>
            <rFont val="Tahoma"/>
            <family val="2"/>
          </rPr>
          <t>4 Records</t>
        </r>
      </text>
    </comment>
    <comment ref="AQ19" authorId="0" shapeId="0" xr:uid="{00000000-0006-0000-0700-000085000000}">
      <text>
        <r>
          <rPr>
            <b/>
            <sz val="9"/>
            <rFont val="Tahoma"/>
            <family val="2"/>
          </rPr>
          <t>4 Records</t>
        </r>
      </text>
    </comment>
    <comment ref="AU19" authorId="0" shapeId="0" xr:uid="{00000000-0006-0000-0700-000086000000}">
      <text>
        <r>
          <rPr>
            <b/>
            <sz val="9"/>
            <rFont val="Tahoma"/>
            <family val="2"/>
          </rPr>
          <t>4 Records</t>
        </r>
      </text>
    </comment>
    <comment ref="AB20" authorId="0" shapeId="0" xr:uid="{00000000-0006-0000-0700-000087000000}">
      <text>
        <r>
          <rPr>
            <b/>
            <sz val="9"/>
            <rFont val="Tahoma"/>
            <family val="2"/>
          </rPr>
          <t>4 Records</t>
        </r>
      </text>
    </comment>
    <comment ref="K22" authorId="0" shapeId="0" xr:uid="{00000000-0006-0000-0700-000088000000}">
      <text>
        <r>
          <rPr>
            <b/>
            <sz val="9"/>
            <rFont val="Tahoma"/>
            <family val="2"/>
          </rPr>
          <t>4 Records</t>
        </r>
      </text>
    </comment>
    <comment ref="M22" authorId="0" shapeId="0" xr:uid="{00000000-0006-0000-0700-000089000000}">
      <text>
        <r>
          <rPr>
            <b/>
            <sz val="9"/>
            <rFont val="Tahoma"/>
            <family val="2"/>
          </rPr>
          <t>4 Records</t>
        </r>
      </text>
    </comment>
    <comment ref="P22" authorId="0" shapeId="0" xr:uid="{00000000-0006-0000-0700-00008A000000}">
      <text>
        <r>
          <rPr>
            <b/>
            <sz val="9"/>
            <rFont val="Tahoma"/>
            <family val="2"/>
          </rPr>
          <t>4 Records</t>
        </r>
      </text>
    </comment>
    <comment ref="Q22" authorId="0" shapeId="0" xr:uid="{00000000-0006-0000-0700-00008B000000}">
      <text>
        <r>
          <rPr>
            <b/>
            <sz val="9"/>
            <rFont val="Tahoma"/>
            <family val="2"/>
          </rPr>
          <t>4 Records</t>
        </r>
      </text>
    </comment>
    <comment ref="R22" authorId="0" shapeId="0" xr:uid="{00000000-0006-0000-0700-00008C000000}">
      <text>
        <r>
          <rPr>
            <b/>
            <sz val="9"/>
            <rFont val="Tahoma"/>
            <family val="2"/>
          </rPr>
          <t>4 Records</t>
        </r>
      </text>
    </comment>
    <comment ref="T22" authorId="0" shapeId="0" xr:uid="{00000000-0006-0000-0700-00008D000000}">
      <text>
        <r>
          <rPr>
            <b/>
            <sz val="9"/>
            <rFont val="Tahoma"/>
            <family val="2"/>
          </rPr>
          <t>4 Records</t>
        </r>
      </text>
    </comment>
    <comment ref="V22" authorId="0" shapeId="0" xr:uid="{00000000-0006-0000-0700-00008E000000}">
      <text>
        <r>
          <rPr>
            <b/>
            <sz val="9"/>
            <rFont val="Tahoma"/>
            <family val="2"/>
          </rPr>
          <t>4 Records</t>
        </r>
      </text>
    </comment>
    <comment ref="W22" authorId="0" shapeId="0" xr:uid="{00000000-0006-0000-0700-00008F000000}">
      <text>
        <r>
          <rPr>
            <b/>
            <sz val="9"/>
            <rFont val="Tahoma"/>
            <family val="2"/>
          </rPr>
          <t>4 Records</t>
        </r>
      </text>
    </comment>
    <comment ref="X22" authorId="0" shapeId="0" xr:uid="{00000000-0006-0000-0700-000090000000}">
      <text>
        <r>
          <rPr>
            <b/>
            <sz val="9"/>
            <rFont val="Tahoma"/>
            <family val="2"/>
          </rPr>
          <t>4 Records</t>
        </r>
      </text>
    </comment>
    <comment ref="AF22" authorId="0" shapeId="0" xr:uid="{00000000-0006-0000-0700-000091000000}">
      <text>
        <r>
          <rPr>
            <b/>
            <sz val="9"/>
            <rFont val="Tahoma"/>
            <family val="2"/>
          </rPr>
          <t>4 Records</t>
        </r>
      </text>
    </comment>
    <comment ref="AG22" authorId="0" shapeId="0" xr:uid="{00000000-0006-0000-0700-000092000000}">
      <text>
        <r>
          <rPr>
            <b/>
            <sz val="9"/>
            <rFont val="Tahoma"/>
            <family val="2"/>
          </rPr>
          <t>4 Records</t>
        </r>
      </text>
    </comment>
    <comment ref="AH22" authorId="0" shapeId="0" xr:uid="{00000000-0006-0000-0700-000093000000}">
      <text>
        <r>
          <rPr>
            <b/>
            <sz val="9"/>
            <rFont val="Tahoma"/>
            <family val="2"/>
          </rPr>
          <t>4 Records</t>
        </r>
      </text>
    </comment>
    <comment ref="AJ22" authorId="0" shapeId="0" xr:uid="{00000000-0006-0000-0700-000094000000}">
      <text>
        <r>
          <rPr>
            <b/>
            <sz val="9"/>
            <rFont val="Tahoma"/>
            <family val="2"/>
          </rPr>
          <t>4 Records</t>
        </r>
      </text>
    </comment>
    <comment ref="AM22" authorId="0" shapeId="0" xr:uid="{00000000-0006-0000-0700-000095000000}">
      <text>
        <r>
          <rPr>
            <b/>
            <sz val="9"/>
            <rFont val="Tahoma"/>
            <family val="2"/>
          </rPr>
          <t>4 Records</t>
        </r>
      </text>
    </comment>
    <comment ref="AN22" authorId="0" shapeId="0" xr:uid="{00000000-0006-0000-0700-000096000000}">
      <text>
        <r>
          <rPr>
            <b/>
            <sz val="9"/>
            <rFont val="Tahoma"/>
            <family val="2"/>
          </rPr>
          <t>4 Records</t>
        </r>
      </text>
    </comment>
    <comment ref="M25" authorId="0" shapeId="0" xr:uid="{00000000-0006-0000-0700-000097000000}">
      <text>
        <r>
          <rPr>
            <b/>
            <sz val="9"/>
            <rFont val="Tahoma"/>
            <family val="2"/>
          </rPr>
          <t>4 Records</t>
        </r>
      </text>
    </comment>
    <comment ref="P25" authorId="0" shapeId="0" xr:uid="{00000000-0006-0000-0700-000098000000}">
      <text>
        <r>
          <rPr>
            <b/>
            <sz val="9"/>
            <rFont val="Tahoma"/>
            <family val="2"/>
          </rPr>
          <t>4 Records</t>
        </r>
      </text>
    </comment>
    <comment ref="Q25" authorId="0" shapeId="0" xr:uid="{00000000-0006-0000-0700-000099000000}">
      <text>
        <r>
          <rPr>
            <b/>
            <sz val="9"/>
            <rFont val="Tahoma"/>
            <family val="2"/>
          </rPr>
          <t>4 Records</t>
        </r>
      </text>
    </comment>
    <comment ref="R25" authorId="0" shapeId="0" xr:uid="{00000000-0006-0000-0700-00009A000000}">
      <text>
        <r>
          <rPr>
            <b/>
            <sz val="9"/>
            <rFont val="Tahoma"/>
            <family val="2"/>
          </rPr>
          <t>4 Records</t>
        </r>
      </text>
    </comment>
    <comment ref="T25" authorId="0" shapeId="0" xr:uid="{00000000-0006-0000-0700-00009B000000}">
      <text>
        <r>
          <rPr>
            <b/>
            <sz val="9"/>
            <rFont val="Tahoma"/>
            <family val="2"/>
          </rPr>
          <t>4 Records</t>
        </r>
      </text>
    </comment>
    <comment ref="V25" authorId="0" shapeId="0" xr:uid="{00000000-0006-0000-0700-00009C000000}">
      <text>
        <r>
          <rPr>
            <b/>
            <sz val="9"/>
            <rFont val="Tahoma"/>
            <family val="2"/>
          </rPr>
          <t>4 Records</t>
        </r>
      </text>
    </comment>
    <comment ref="X25" authorId="0" shapeId="0" xr:uid="{00000000-0006-0000-0700-00009D000000}">
      <text>
        <r>
          <rPr>
            <b/>
            <sz val="9"/>
            <rFont val="Tahoma"/>
            <family val="2"/>
          </rPr>
          <t>4 Records</t>
        </r>
      </text>
    </comment>
    <comment ref="AF25" authorId="0" shapeId="0" xr:uid="{00000000-0006-0000-0700-00009E000000}">
      <text>
        <r>
          <rPr>
            <b/>
            <sz val="9"/>
            <rFont val="Tahoma"/>
            <family val="2"/>
          </rPr>
          <t>4 Records</t>
        </r>
      </text>
    </comment>
    <comment ref="AG25" authorId="0" shapeId="0" xr:uid="{00000000-0006-0000-0700-00009F000000}">
      <text>
        <r>
          <rPr>
            <b/>
            <sz val="9"/>
            <rFont val="Tahoma"/>
            <family val="2"/>
          </rPr>
          <t>4 Records</t>
        </r>
      </text>
    </comment>
    <comment ref="AH25" authorId="0" shapeId="0" xr:uid="{00000000-0006-0000-0700-0000A0000000}">
      <text>
        <r>
          <rPr>
            <b/>
            <sz val="9"/>
            <rFont val="Tahoma"/>
            <family val="2"/>
          </rPr>
          <t>4 Records</t>
        </r>
      </text>
    </comment>
    <comment ref="AJ25" authorId="0" shapeId="0" xr:uid="{00000000-0006-0000-0700-0000A1000000}">
      <text>
        <r>
          <rPr>
            <b/>
            <sz val="9"/>
            <rFont val="Tahoma"/>
            <family val="2"/>
          </rPr>
          <t>4 Records</t>
        </r>
      </text>
    </comment>
    <comment ref="AM25" authorId="0" shapeId="0" xr:uid="{00000000-0006-0000-0700-0000A2000000}">
      <text>
        <r>
          <rPr>
            <b/>
            <sz val="9"/>
            <rFont val="Tahoma"/>
            <family val="2"/>
          </rPr>
          <t>4 Records</t>
        </r>
      </text>
    </comment>
    <comment ref="AN25" authorId="0" shapeId="0" xr:uid="{00000000-0006-0000-0700-0000A3000000}">
      <text>
        <r>
          <rPr>
            <b/>
            <sz val="9"/>
            <rFont val="Tahoma"/>
            <family val="2"/>
          </rPr>
          <t>4 Records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FEB</author>
    <author>Amit Kanudia</author>
  </authors>
  <commentList>
    <comment ref="S9" authorId="0" shapeId="0" xr:uid="{00000000-0006-0000-0800-000001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ES has only one cat of wood</t>
        </r>
      </text>
    </comment>
    <comment ref="I13" authorId="0" shapeId="0" xr:uid="{00000000-0006-0000-0800-000002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Romania
</t>
        </r>
      </text>
    </comment>
    <comment ref="C22" authorId="1" shapeId="0" xr:uid="{00000000-0006-0000-0800-000003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12/16/2015
modeled with ACT_COST
</t>
        </r>
      </text>
    </comment>
  </commentList>
</comments>
</file>

<file path=xl/sharedStrings.xml><?xml version="1.0" encoding="utf-8"?>
<sst xmlns="http://schemas.openxmlformats.org/spreadsheetml/2006/main" count="1902" uniqueCount="357">
  <si>
    <t>Conversion factors</t>
  </si>
  <si>
    <t>Tc</t>
  </si>
  <si>
    <t xml:space="preserve">1 year = </t>
  </si>
  <si>
    <t>hours</t>
  </si>
  <si>
    <t>Tf</t>
  </si>
  <si>
    <t xml:space="preserve">1kWh e = </t>
  </si>
  <si>
    <t>kWh th</t>
  </si>
  <si>
    <t>Carnot</t>
  </si>
  <si>
    <t>Conversion energy units</t>
  </si>
  <si>
    <t>PJ</t>
  </si>
  <si>
    <t>=</t>
  </si>
  <si>
    <t>GWh</t>
  </si>
  <si>
    <t>GJ</t>
  </si>
  <si>
    <t>kWh</t>
  </si>
  <si>
    <t>MJ</t>
  </si>
  <si>
    <t>Ws</t>
  </si>
  <si>
    <t>wh</t>
  </si>
  <si>
    <t>Basic Unit Conversion Factors</t>
  </si>
  <si>
    <t>1BOE</t>
  </si>
  <si>
    <t>1 MBTU GAS</t>
  </si>
  <si>
    <t>1 TOE</t>
  </si>
  <si>
    <t>1 Kwh</t>
  </si>
  <si>
    <t>1PJ =</t>
  </si>
  <si>
    <t xml:space="preserve">1 t coal </t>
  </si>
  <si>
    <t>10e7kcal</t>
  </si>
  <si>
    <t>GW</t>
  </si>
  <si>
    <t>IEA source</t>
  </si>
  <si>
    <t>GJ/L</t>
  </si>
  <si>
    <t>TOE/TON</t>
  </si>
  <si>
    <t>KG/L</t>
  </si>
  <si>
    <t>L/TOE</t>
  </si>
  <si>
    <t>Gasoline</t>
  </si>
  <si>
    <t>Diesel</t>
  </si>
  <si>
    <t>GJ/1000l</t>
  </si>
  <si>
    <t>GJ/ton</t>
  </si>
  <si>
    <t>Light fuel</t>
  </si>
  <si>
    <t>Heavy Fuel Oil</t>
  </si>
  <si>
    <t>oil</t>
  </si>
  <si>
    <t>gas</t>
  </si>
  <si>
    <t>coal</t>
  </si>
  <si>
    <t>($/boe)</t>
  </si>
  <si>
    <t>($/MBTU)</t>
  </si>
  <si>
    <t xml:space="preserve">($/ton) </t>
  </si>
  <si>
    <t>coking coal</t>
  </si>
  <si>
    <t>in EURO2000/GJ</t>
  </si>
  <si>
    <t>price increase 2000/2005=</t>
  </si>
  <si>
    <t>conversion factor</t>
  </si>
  <si>
    <t>AT</t>
  </si>
  <si>
    <t>BE</t>
  </si>
  <si>
    <t>DE</t>
  </si>
  <si>
    <t xml:space="preserve">DK </t>
  </si>
  <si>
    <t>FI</t>
  </si>
  <si>
    <t>FR</t>
  </si>
  <si>
    <t>IE</t>
  </si>
  <si>
    <t>IT</t>
  </si>
  <si>
    <t>NL</t>
  </si>
  <si>
    <t>PT</t>
  </si>
  <si>
    <t>ES</t>
  </si>
  <si>
    <t xml:space="preserve">SE </t>
  </si>
  <si>
    <t xml:space="preserve">UK </t>
  </si>
  <si>
    <t xml:space="preserve">HU </t>
  </si>
  <si>
    <t xml:space="preserve">PL </t>
  </si>
  <si>
    <t xml:space="preserve">CZ </t>
  </si>
  <si>
    <t xml:space="preserve">SK </t>
  </si>
  <si>
    <t>NC/EURO</t>
  </si>
  <si>
    <t>Conversion Factor for IEA prices in EURO</t>
  </si>
  <si>
    <t>Exchange Rates</t>
  </si>
  <si>
    <t>EX_AT</t>
  </si>
  <si>
    <t>EX_BE</t>
  </si>
  <si>
    <t>EX_DE</t>
  </si>
  <si>
    <t>EX_DK</t>
  </si>
  <si>
    <t>EX_FI</t>
  </si>
  <si>
    <t>EX_FR</t>
  </si>
  <si>
    <t>EX_EL</t>
  </si>
  <si>
    <t>EX_IE</t>
  </si>
  <si>
    <t xml:space="preserve">EX_IT </t>
  </si>
  <si>
    <t xml:space="preserve">EX_NL </t>
  </si>
  <si>
    <t>EX_PT</t>
  </si>
  <si>
    <t>EX_ES</t>
  </si>
  <si>
    <t>EX_SE</t>
  </si>
  <si>
    <t>EX_UK</t>
  </si>
  <si>
    <t xml:space="preserve">EX_HU </t>
  </si>
  <si>
    <t>EX_SI</t>
  </si>
  <si>
    <t>EX_CZ</t>
  </si>
  <si>
    <t>EX_SK</t>
  </si>
  <si>
    <t>EX_CH</t>
  </si>
  <si>
    <t>EX_EE</t>
  </si>
  <si>
    <t>EX_LT</t>
  </si>
  <si>
    <t>EX_LV</t>
  </si>
  <si>
    <t>EX_US</t>
  </si>
  <si>
    <t>US$ per EURO</t>
  </si>
  <si>
    <t xml:space="preserve">Inflation </t>
  </si>
  <si>
    <t>Going from Crude/Coal to Refined Products</t>
  </si>
  <si>
    <t>Coal to coke</t>
  </si>
  <si>
    <t>Crude to Heavy Fuel</t>
  </si>
  <si>
    <t>Crude to Light Distillate</t>
  </si>
  <si>
    <t>Crude to LPG</t>
  </si>
  <si>
    <t>Crude to Gasoline</t>
  </si>
  <si>
    <t>Heavy Distillate Oil</t>
  </si>
  <si>
    <t>Light Distilate Oil</t>
  </si>
  <si>
    <t>LPG</t>
  </si>
  <si>
    <t xml:space="preserve"> LWR Fabricated Fuel</t>
  </si>
  <si>
    <t>COAHAR</t>
  </si>
  <si>
    <t>COACOK</t>
  </si>
  <si>
    <t>OILCRD</t>
  </si>
  <si>
    <t>OILLPG</t>
  </si>
  <si>
    <t>OILGSL</t>
  </si>
  <si>
    <t>OILKER</t>
  </si>
  <si>
    <t>OILNAP</t>
  </si>
  <si>
    <t>OILDST</t>
  </si>
  <si>
    <t>OILHFO</t>
  </si>
  <si>
    <t>GASNAT</t>
  </si>
  <si>
    <t>BIOMUN</t>
  </si>
  <si>
    <t>EURO/GJ</t>
  </si>
  <si>
    <t>Price for Import of Fuels (basic import price to which to add the delivery cost to have the final consumer price without taxes)</t>
  </si>
  <si>
    <t>(IEA Europe E15 Import Costs)</t>
  </si>
  <si>
    <t xml:space="preserve">Prices for TIMES </t>
  </si>
  <si>
    <t>Coal</t>
  </si>
  <si>
    <t>Coke (rel coal)</t>
  </si>
  <si>
    <t>Crude</t>
  </si>
  <si>
    <t>Natural Gas</t>
  </si>
  <si>
    <t>Lignite</t>
  </si>
  <si>
    <t>Coal to brown coal</t>
  </si>
  <si>
    <t>Coal to Lignite</t>
  </si>
  <si>
    <t>Brown coal</t>
  </si>
  <si>
    <t>Municipal Waste</t>
  </si>
  <si>
    <t>other oil products</t>
  </si>
  <si>
    <t>Feedstock</t>
  </si>
  <si>
    <t>Non energy use</t>
  </si>
  <si>
    <t>Naphta</t>
  </si>
  <si>
    <t>Crude to Naphta, Fdst &amp; NEU</t>
  </si>
  <si>
    <t>from Belgium source</t>
  </si>
  <si>
    <t>BIOWOO</t>
  </si>
  <si>
    <t>Kerosene</t>
  </si>
  <si>
    <t>OILOTH</t>
  </si>
  <si>
    <t>OILFDS</t>
  </si>
  <si>
    <t>OILNEU</t>
  </si>
  <si>
    <t>BioWood imp</t>
  </si>
  <si>
    <t>Bio Wood nat</t>
  </si>
  <si>
    <t>COABRO</t>
  </si>
  <si>
    <t>COALIG</t>
  </si>
  <si>
    <t>Wood residue</t>
  </si>
  <si>
    <t>WOODB +20%</t>
  </si>
  <si>
    <t>~TFM_INS</t>
  </si>
  <si>
    <t>CH</t>
  </si>
  <si>
    <t>CY</t>
  </si>
  <si>
    <t>EE</t>
  </si>
  <si>
    <t>IS</t>
  </si>
  <si>
    <t>LT</t>
  </si>
  <si>
    <t>LU</t>
  </si>
  <si>
    <t>LV</t>
  </si>
  <si>
    <t>MT</t>
  </si>
  <si>
    <t>RO</t>
  </si>
  <si>
    <t>SI</t>
  </si>
  <si>
    <t>COST</t>
  </si>
  <si>
    <t>Adjustment factors derived from the computation of the delivery cost</t>
  </si>
  <si>
    <t>Table with the prices to be used for the import table for VEDA</t>
  </si>
  <si>
    <t>Fuel</t>
  </si>
  <si>
    <t>Technology</t>
  </si>
  <si>
    <t>Level</t>
  </si>
  <si>
    <t>Mun Waste</t>
  </si>
  <si>
    <t>Wood Imp.</t>
  </si>
  <si>
    <t>Wood Dom.</t>
  </si>
  <si>
    <t>gr per year</t>
  </si>
  <si>
    <t>NO</t>
  </si>
  <si>
    <t>EXPORT PRICES: 1% less than above</t>
  </si>
  <si>
    <t>NUCRSV</t>
  </si>
  <si>
    <t>MAT</t>
  </si>
  <si>
    <t>MISORE</t>
  </si>
  <si>
    <t>Iron and Steel: Ore</t>
  </si>
  <si>
    <t>MISSCR</t>
  </si>
  <si>
    <t>Iron and Steel: Scrap Iron</t>
  </si>
  <si>
    <t>MISOXY</t>
  </si>
  <si>
    <t>Iron and Steel: Oxygen</t>
  </si>
  <si>
    <t>MISQLI</t>
  </si>
  <si>
    <t>Iron and Steel: Quick Lime</t>
  </si>
  <si>
    <t>MLMSTN</t>
  </si>
  <si>
    <t>Lime: Limestone</t>
  </si>
  <si>
    <t>MGHRYC</t>
  </si>
  <si>
    <t>Glass: Recycled</t>
  </si>
  <si>
    <t>MPPWOO</t>
  </si>
  <si>
    <t>Paper: Wood</t>
  </si>
  <si>
    <t>MPPRYC</t>
  </si>
  <si>
    <t>Paper: Recycled</t>
  </si>
  <si>
    <t>MPPNOH</t>
  </si>
  <si>
    <t>Paper: Sodium Hydraxide</t>
  </si>
  <si>
    <t>MPPOXY</t>
  </si>
  <si>
    <t>Paper: Oxygen</t>
  </si>
  <si>
    <t>MPPKAO</t>
  </si>
  <si>
    <t>Paper: Kaolin</t>
  </si>
  <si>
    <t>MPPGYP</t>
  </si>
  <si>
    <t>Paper: Gypsum</t>
  </si>
  <si>
    <t>Voor biomass heb ik</t>
  </si>
  <si>
    <t>BioWoodImpB</t>
  </si>
  <si>
    <t>Materials which need prices are those which have an influence on technology choices</t>
  </si>
  <si>
    <t>The materials in TIMES are</t>
  </si>
  <si>
    <t>tech</t>
  </si>
  <si>
    <t>mat</t>
  </si>
  <si>
    <t>M€/Mt</t>
  </si>
  <si>
    <t>MINMISORE1</t>
  </si>
  <si>
    <t>prices 2007, google</t>
  </si>
  <si>
    <t>MINMISSCR1</t>
  </si>
  <si>
    <t>one third of steel price</t>
  </si>
  <si>
    <t>MINMISOXY1</t>
  </si>
  <si>
    <t>(density is about 1.4 kg/Nm3)</t>
  </si>
  <si>
    <t>MINMISQLI1</t>
  </si>
  <si>
    <t>MINMLMSTN1</t>
  </si>
  <si>
    <t>MINMGHRYC1</t>
  </si>
  <si>
    <t>MINMPPWOO1</t>
  </si>
  <si>
    <t>Stookwaarde: 15GJ/ton, geeft dus ongeveer 2 €/GJ</t>
  </si>
  <si>
    <t>MINMPPRYC1</t>
  </si>
  <si>
    <t>one third of paper price</t>
  </si>
  <si>
    <t>MINMPPNOH1</t>
  </si>
  <si>
    <t>MINMPPOXY1</t>
  </si>
  <si>
    <t>MINMPPKAO1</t>
  </si>
  <si>
    <t>MINMPPGYP1</t>
  </si>
  <si>
    <t>IISBOXFUR00</t>
  </si>
  <si>
    <t>IIS.Blast Oxygen Furnace BOF.Regular.00.</t>
  </si>
  <si>
    <t>Simplified material cost</t>
  </si>
  <si>
    <t>MISRIR</t>
  </si>
  <si>
    <t>€/ton</t>
  </si>
  <si>
    <t>energy cost from Veda</t>
  </si>
  <si>
    <t>INDGAS</t>
  </si>
  <si>
    <t>MISCST</t>
  </si>
  <si>
    <t>GASBFG</t>
  </si>
  <si>
    <t>IISBLAFUR00</t>
  </si>
  <si>
    <t>IIS.Iron Blast Furnace.00.</t>
  </si>
  <si>
    <t>MISPLT</t>
  </si>
  <si>
    <t>MISSNT</t>
  </si>
  <si>
    <t>INDCOK</t>
  </si>
  <si>
    <t>INDCOA</t>
  </si>
  <si>
    <t>INDHFO</t>
  </si>
  <si>
    <t>INDELC</t>
  </si>
  <si>
    <t>INDBFG</t>
  </si>
  <si>
    <t>MISBFS</t>
  </si>
  <si>
    <t>IISSINTER00</t>
  </si>
  <si>
    <t>IIS.Sinter Production.00.</t>
  </si>
  <si>
    <t>INDCOG</t>
  </si>
  <si>
    <t>*</t>
  </si>
  <si>
    <t>AllRegions</t>
  </si>
  <si>
    <t>TimeSlice</t>
  </si>
  <si>
    <t>LimType</t>
  </si>
  <si>
    <t>Attribute</t>
  </si>
  <si>
    <t>Year</t>
  </si>
  <si>
    <t>Pset_CO</t>
  </si>
  <si>
    <t>Pset_PN</t>
  </si>
  <si>
    <t>Cset_CN</t>
  </si>
  <si>
    <t>~TFM_DINS</t>
  </si>
  <si>
    <t>ANNUAL</t>
  </si>
  <si>
    <t>DK</t>
  </si>
  <si>
    <t>SE</t>
  </si>
  <si>
    <t>UK</t>
  </si>
  <si>
    <t>HU</t>
  </si>
  <si>
    <t>PL</t>
  </si>
  <si>
    <t>CZ</t>
  </si>
  <si>
    <t>SK</t>
  </si>
  <si>
    <t>BG</t>
  </si>
  <si>
    <t>from IER</t>
  </si>
  <si>
    <t>(BE = 30)</t>
  </si>
  <si>
    <t>Bio Wood nat (MINWOO3)</t>
  </si>
  <si>
    <t>EX_PL</t>
  </si>
  <si>
    <t>MALBAU</t>
  </si>
  <si>
    <t>MALSCR</t>
  </si>
  <si>
    <t>MCUORE</t>
  </si>
  <si>
    <t>MCUSCR</t>
  </si>
  <si>
    <t>MINMALBAU1</t>
  </si>
  <si>
    <t>MINMALSCR1</t>
  </si>
  <si>
    <t>MINMCUORE1</t>
  </si>
  <si>
    <t>MINMCUSCR1</t>
  </si>
  <si>
    <t>GASRSV</t>
  </si>
  <si>
    <t>OILRSV</t>
  </si>
  <si>
    <t>~TFM_FILL</t>
  </si>
  <si>
    <t>Operation_Sum_Avg_Count</t>
  </si>
  <si>
    <t>Scenario Name</t>
  </si>
  <si>
    <t>Other_Indexes</t>
  </si>
  <si>
    <t>A</t>
  </si>
  <si>
    <t>BASE</t>
  </si>
  <si>
    <t>MINCOLRSV1</t>
  </si>
  <si>
    <t>MINCOHRSV1</t>
  </si>
  <si>
    <t>MINGASRSV1</t>
  </si>
  <si>
    <t>MINOILRSV1</t>
  </si>
  <si>
    <t>MINCOHRSV2</t>
  </si>
  <si>
    <t>MINGASRSV3</t>
  </si>
  <si>
    <t>MINOILRSV3</t>
  </si>
  <si>
    <t>MINCOLRSV2</t>
  </si>
  <si>
    <t>MINCOLRSV3</t>
  </si>
  <si>
    <t>MINOILRSV4</t>
  </si>
  <si>
    <t>MINOILRSV7</t>
  </si>
  <si>
    <t>MINCOHRSV3</t>
  </si>
  <si>
    <t>MINGASRSV2</t>
  </si>
  <si>
    <t>MINGASRSV4</t>
  </si>
  <si>
    <t>MINGASRSV5</t>
  </si>
  <si>
    <t>MINGASRSV6</t>
  </si>
  <si>
    <t>MINGASRSV7</t>
  </si>
  <si>
    <t>MINGASRSV8</t>
  </si>
  <si>
    <t>MINGASRSV9</t>
  </si>
  <si>
    <t>MINOILRSV2</t>
  </si>
  <si>
    <t>MINOILRSV5</t>
  </si>
  <si>
    <t>MINOILRSV6</t>
  </si>
  <si>
    <t>MINOILRSV8</t>
  </si>
  <si>
    <t>MINOILRSV9</t>
  </si>
  <si>
    <t>Growth of oil and gas price for evolution of domestic produced oil and gas</t>
  </si>
  <si>
    <t>Growth rate Import GASNAT and Crude oil</t>
  </si>
  <si>
    <t>CRUDE</t>
  </si>
  <si>
    <t>BIOfuel and mining biocrop are put in the BIOCOST scenario</t>
  </si>
  <si>
    <t>*COST</t>
  </si>
  <si>
    <t>AL</t>
  </si>
  <si>
    <t>BH</t>
  </si>
  <si>
    <t>HR</t>
  </si>
  <si>
    <t>ME</t>
  </si>
  <si>
    <t>MK</t>
  </si>
  <si>
    <t>RS</t>
  </si>
  <si>
    <t>IMPLNG*</t>
  </si>
  <si>
    <t>GASLNG</t>
  </si>
  <si>
    <t>IMPGAS*,-*BkStp</t>
  </si>
  <si>
    <t xml:space="preserve">Energy 2050 Roadmap. Impact assessment 1 - including Part 1 of Annex 1 "Scenarios - assumptions and results" [SEC(2011)1565/1] </t>
  </si>
  <si>
    <t>http://ec.europa.eu/energy/energy2020/roadmap/doc/sec_2011_1565_part1.pdf</t>
  </si>
  <si>
    <t>Annex 1 Table 3: Energy import prices in the Reference scenario and low and high price variants</t>
  </si>
  <si>
    <t>USD of 2008 per boe</t>
  </si>
  <si>
    <t>Oil</t>
  </si>
  <si>
    <t>Reference</t>
  </si>
  <si>
    <t>High prices</t>
  </si>
  <si>
    <t>Low Prices</t>
  </si>
  <si>
    <t>Gas</t>
  </si>
  <si>
    <t>Oil P Ref</t>
  </si>
  <si>
    <t>Oil P High</t>
  </si>
  <si>
    <t>Oil P Low</t>
  </si>
  <si>
    <t>Oil T Ref</t>
  </si>
  <si>
    <t>Oil T Base</t>
  </si>
  <si>
    <t>Gas P Ref</t>
  </si>
  <si>
    <t>Gas P High</t>
  </si>
  <si>
    <t>Gas P Low</t>
  </si>
  <si>
    <t>Gas T Ref</t>
  </si>
  <si>
    <t>Gas T Base</t>
  </si>
  <si>
    <t>Coal P Ref</t>
  </si>
  <si>
    <t>Coal P High</t>
  </si>
  <si>
    <t>Coal P Low</t>
  </si>
  <si>
    <t>Coal T Ref</t>
  </si>
  <si>
    <t>Coal T Base</t>
  </si>
  <si>
    <t>PRIMES in eur 2000/GJ</t>
  </si>
  <si>
    <t>Low prices</t>
  </si>
  <si>
    <t xml:space="preserve">Source: Energy 2050 Roadmap. Impact assessment 1 - including Part 1 of Annex 1 "Scenarios - assumptions and results" [SEC(2011)1565/1] </t>
  </si>
  <si>
    <t>PRIMES (euro2000/GJ)</t>
  </si>
  <si>
    <t>These in yellow are still from POLES as we do not have these prices in EU2050 Roadmap</t>
  </si>
  <si>
    <t>Conversion to EURO per GJ for 2000</t>
  </si>
  <si>
    <t>The prices in yellow are estimated from 2000 real prices from an unclear source and assuming the same growth rate as from the POLES prices from 2000-2005. SSimoes ESE-IET 09/April 2013</t>
  </si>
  <si>
    <t>BA</t>
  </si>
  <si>
    <t>KS</t>
  </si>
  <si>
    <t>PRIMES in eur 2010/GJ</t>
  </si>
  <si>
    <t>PRIMES in eur 2010/boe</t>
  </si>
  <si>
    <t>Curr</t>
  </si>
  <si>
    <t>EUR10</t>
  </si>
  <si>
    <t>USD of 2010 per boe</t>
  </si>
  <si>
    <t>Energy Trends Reference Scenario 2015</t>
  </si>
  <si>
    <t>EL</t>
  </si>
  <si>
    <t>\I:</t>
  </si>
  <si>
    <t>Updated from EU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</si>
</sst>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&quot;€&quot;* #,##0.00_);_(&quot;€&quot;* \(#,##0.00\);_(&quot;€&quot;* &quot;-&quot;??_);_(@_)"/>
    <numFmt numFmtId="165" formatCode="_(* #,##0.00_);_(* \(#,##0.00\);_(* &quot;-&quot;??_);_(@_)"/>
    <numFmt numFmtId="166" formatCode="_(* #,##0_);_(* \(#,##0\);_(* &quot;-&quot;_);_(@_)"/>
    <numFmt numFmtId="167" formatCode="_-* #,##0.00\ _€_-;\-* #,##0.00\ _€_-;_-* &quot;-&quot;??\ _€_-;_-@_-"/>
    <numFmt numFmtId="168" formatCode="0.000"/>
    <numFmt numFmtId="169" formatCode="0.0"/>
    <numFmt numFmtId="170" formatCode="0.00000"/>
    <numFmt numFmtId="171" formatCode="0.0000"/>
    <numFmt numFmtId="172" formatCode="0.0%"/>
    <numFmt numFmtId="173" formatCode="_-* #,##0.00\ [$€]_-;\-* #,##0.00\ [$€]_-;_-* &quot;-&quot;??\ [$€]_-;_-@_-"/>
    <numFmt numFmtId="174" formatCode="_-[$€-2]\ * #,##0.00_-;\-[$€-2]\ * #,##0.00_-;_-[$€-2]\ * &quot;-&quot;??_-"/>
    <numFmt numFmtId="175" formatCode="#,##0;\-\ #,##0;_-\ &quot;- &quot;"/>
    <numFmt numFmtId="176" formatCode="_([$€-2]* #,##0.00_);_([$€-2]* \(#,##0.00\);_([$€-2]* &quot;-&quot;??_)"/>
    <numFmt numFmtId="177" formatCode="_([$€]* #,##0.00_);_([$€]* \(#,##0.00\);_([$€]* &quot;-&quot;??_);_(@_)"/>
    <numFmt numFmtId="178" formatCode="\(##\);\(##\)"/>
    <numFmt numFmtId="179" formatCode="#,##0.0"/>
  </numFmts>
  <fonts count="59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sz val="10"/>
      <name val="Tahoma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sz val="10"/>
      <color indexed="10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8"/>
      <name val="Helvetica"/>
      <family val="2"/>
    </font>
    <font>
      <sz val="10"/>
      <name val="Courier"/>
      <family val="3"/>
    </font>
    <font>
      <u val="single"/>
      <sz val="10"/>
      <color indexed="12"/>
      <name val="Times New Roman"/>
      <family val="1"/>
    </font>
    <font>
      <u val="single"/>
      <sz val="10"/>
      <color indexed="12"/>
      <name val="Arial"/>
      <family val="2"/>
    </font>
    <font>
      <u val="single"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9"/>
      <name val="Tahoma"/>
      <family val="2"/>
    </font>
    <font>
      <b/>
      <sz val="10"/>
      <color rgb="FFFF0000"/>
      <name val="Arial"/>
      <family val="2"/>
    </font>
    <font>
      <b/>
      <sz val="10"/>
      <color rgb="FF3264FF"/>
      <name val="Arial"/>
      <family val="2"/>
    </font>
    <font>
      <b/>
      <i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darkTrellis"/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29988384247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 style="medium">
        <color auto="1"/>
      </left>
      <right/>
      <top/>
      <bottom/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 style="thick">
        <color auto="1"/>
      </left>
      <right/>
      <top/>
      <bottom/>
    </border>
    <border>
      <left/>
      <right/>
      <top/>
      <bottom style="thin">
        <color auto="1"/>
      </bottom>
    </border>
  </borders>
  <cellStyleXfs count="27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34" fillId="0" borderId="1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34" fillId="0" borderId="2" applyNumberFormat="0" applyFont="0" applyFill="0" applyBorder="0" applyProtection="0">
      <alignment horizontal="left" vertical="center" indent="5"/>
    </xf>
    <xf numFmtId="0" fontId="0" fillId="0" borderId="0" applyNumberFormat="0" applyFont="0" applyFill="0" applyBorder="0" applyProtection="0">
      <alignment horizontal="left" vertical="center" indent="5"/>
    </xf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3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35" fillId="6" borderId="0" applyBorder="0" applyAlignment="0">
      <protection/>
    </xf>
    <xf numFmtId="0" fontId="34" fillId="6" borderId="0" applyBorder="0">
      <alignment horizontal="right" vertical="center"/>
      <protection/>
    </xf>
    <xf numFmtId="0" fontId="34" fillId="4" borderId="0" applyBorder="0">
      <alignment horizontal="right" vertical="center"/>
      <protection/>
    </xf>
    <xf numFmtId="0" fontId="34" fillId="4" borderId="0" applyBorder="0">
      <alignment horizontal="right" vertical="center"/>
      <protection/>
    </xf>
    <xf numFmtId="0" fontId="36" fillId="4" borderId="1">
      <alignment horizontal="right" vertical="center"/>
      <protection/>
    </xf>
    <xf numFmtId="0" fontId="37" fillId="4" borderId="1">
      <alignment horizontal="right" vertical="center"/>
      <protection/>
    </xf>
    <xf numFmtId="0" fontId="36" fillId="7" borderId="1">
      <alignment horizontal="right" vertical="center"/>
      <protection/>
    </xf>
    <xf numFmtId="0" fontId="36" fillId="7" borderId="1">
      <alignment horizontal="right" vertical="center"/>
      <protection/>
    </xf>
    <xf numFmtId="0" fontId="36" fillId="7" borderId="3">
      <alignment horizontal="right" vertical="center"/>
      <protection/>
    </xf>
    <xf numFmtId="0" fontId="36" fillId="7" borderId="2">
      <alignment horizontal="right" vertical="center"/>
      <protection/>
    </xf>
    <xf numFmtId="0" fontId="36" fillId="7" borderId="4">
      <alignment horizontal="right" vertical="center"/>
      <protection/>
    </xf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4" fontId="35" fillId="0" borderId="5" applyFill="0" applyBorder="0" applyProtection="0">
      <alignment horizontal="right" vertical="center"/>
    </xf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49" fontId="0" fillId="6" borderId="8">
      <alignment vertical="top" wrapText="1"/>
      <protection/>
    </xf>
    <xf numFmtId="166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0" fontId="36" fillId="0" borderId="0" applyNumberFormat="0">
      <alignment horizontal="right"/>
      <protection/>
    </xf>
    <xf numFmtId="0" fontId="34" fillId="7" borderId="9">
      <alignment horizontal="left" vertical="center" wrapText="1" indent="2"/>
      <protection/>
    </xf>
    <xf numFmtId="0" fontId="34" fillId="0" borderId="9">
      <alignment horizontal="left" vertical="center" wrapText="1" indent="2"/>
      <protection/>
    </xf>
    <xf numFmtId="0" fontId="34" fillId="4" borderId="2">
      <alignment horizontal="left" vertical="center"/>
      <protection/>
    </xf>
    <xf numFmtId="0" fontId="36" fillId="0" borderId="10">
      <alignment horizontal="left" vertical="top" wrapText="1"/>
      <protection/>
    </xf>
    <xf numFmtId="3" fontId="48" fillId="0" borderId="8">
      <alignment horizontal="right" vertical="top"/>
      <protection/>
    </xf>
    <xf numFmtId="0" fontId="38" fillId="0" borderId="11">
      <alignment/>
      <protection/>
    </xf>
    <xf numFmtId="0" fontId="3" fillId="14" borderId="1">
      <alignment horizontal="centerContinuous" vertical="top" wrapText="1"/>
      <protection/>
    </xf>
    <xf numFmtId="0" fontId="49" fillId="0" borderId="0">
      <alignment vertical="top" wrapText="1"/>
      <protection/>
    </xf>
    <xf numFmtId="0" fontId="33" fillId="0" borderId="0">
      <alignment vertical="top"/>
      <protection/>
    </xf>
    <xf numFmtId="173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6" fillId="0" borderId="0" applyNumberFormat="0" applyFill="0" applyBorder="0">
      <alignment/>
      <protection locked="0"/>
    </xf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34" fillId="0" borderId="0" applyBorder="0">
      <alignment horizontal="right" vertical="center"/>
      <protection/>
    </xf>
    <xf numFmtId="4" fontId="34" fillId="0" borderId="0" applyBorder="0">
      <alignment horizontal="right" vertical="center"/>
      <protection/>
    </xf>
    <xf numFmtId="0" fontId="34" fillId="0" borderId="1">
      <alignment horizontal="right" vertical="center"/>
      <protection/>
    </xf>
    <xf numFmtId="1" fontId="40" fillId="4" borderId="0" applyBorder="0">
      <alignment horizontal="right" vertical="center"/>
      <protection/>
    </xf>
    <xf numFmtId="0" fontId="39" fillId="0" borderId="0">
      <alignment/>
      <protection/>
    </xf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41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0" fillId="0" borderId="0">
      <alignment vertical="top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 vertical="top"/>
      <protection/>
    </xf>
    <xf numFmtId="0" fontId="4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15" fillId="0" borderId="0">
      <alignment/>
      <protection/>
    </xf>
    <xf numFmtId="0" fontId="14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4" fontId="34" fillId="0" borderId="1" applyFill="0" applyBorder="0" applyProtection="0">
      <alignment horizontal="right" vertical="center"/>
    </xf>
    <xf numFmtId="0" fontId="35" fillId="0" borderId="1" applyNumberFormat="0" applyFill="0" applyBorder="0" applyProtection="0">
      <alignment horizontal="left" vertical="center"/>
    </xf>
    <xf numFmtId="0" fontId="35" fillId="0" borderId="0" applyNumberFormat="0" applyFill="0" applyBorder="0" applyProtection="0">
      <alignment horizontal="left" vertical="center"/>
    </xf>
    <xf numFmtId="0" fontId="34" fillId="0" borderId="1" applyNumberFormat="0" applyFill="0" applyAlignment="0" applyProtection="0"/>
    <xf numFmtId="0" fontId="43" fillId="20" borderId="0" applyNumberFormat="0" applyFont="0" applyBorder="0" applyAlignment="0" applyProtection="0"/>
    <xf numFmtId="0" fontId="0" fillId="21" borderId="0" applyNumberFormat="0" applyFont="0" applyBorder="0" applyAlignment="0" applyProtection="0"/>
    <xf numFmtId="0" fontId="44" fillId="0" borderId="0">
      <alignment/>
      <protection/>
    </xf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178" fontId="50" fillId="0" borderId="0">
      <alignment horizontal="right"/>
      <protection/>
    </xf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4" fillId="24" borderId="1" applyNumberFormat="0" applyFont="0" applyBorder="0" applyProtection="0">
      <alignment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34" fillId="21" borderId="1">
      <alignment/>
      <protection/>
    </xf>
    <xf numFmtId="0" fontId="49" fillId="0" borderId="0">
      <alignment vertical="top" wrapText="1"/>
      <protection/>
    </xf>
    <xf numFmtId="0" fontId="0" fillId="0" borderId="0">
      <alignment/>
      <protection/>
    </xf>
    <xf numFmtId="0" fontId="0" fillId="0" borderId="0">
      <alignment/>
      <protection/>
    </xf>
    <xf numFmtId="0" fontId="33" fillId="0" borderId="0">
      <alignment vertical="top"/>
      <protection/>
    </xf>
    <xf numFmtId="179" fontId="51" fillId="25" borderId="18">
      <alignment vertical="center"/>
      <protection/>
    </xf>
    <xf numFmtId="172" fontId="52" fillId="25" borderId="18">
      <alignment vertical="center"/>
      <protection/>
    </xf>
    <xf numFmtId="179" fontId="53" fillId="26" borderId="18">
      <alignment vertical="center"/>
      <protection/>
    </xf>
    <xf numFmtId="0" fontId="0" fillId="18" borderId="19" applyBorder="0">
      <alignment horizontal="left" vertical="center"/>
      <protection/>
    </xf>
    <xf numFmtId="49" fontId="0" fillId="27" borderId="1">
      <alignment vertical="center" wrapText="1"/>
      <protection/>
    </xf>
    <xf numFmtId="0" fontId="0" fillId="28" borderId="20">
      <alignment horizontal="left" vertical="center" wrapText="1"/>
      <protection/>
    </xf>
    <xf numFmtId="0" fontId="54" fillId="29" borderId="1">
      <alignment horizontal="left" vertical="center" wrapText="1"/>
      <protection/>
    </xf>
    <xf numFmtId="0" fontId="0" fillId="15" borderId="1">
      <alignment horizontal="left" vertical="center" wrapText="1"/>
      <protection/>
    </xf>
    <xf numFmtId="0" fontId="0" fillId="30" borderId="1">
      <alignment horizontal="left" vertical="center" wrapText="1"/>
      <protection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4" fillId="0" borderId="0">
      <alignment/>
      <protection/>
    </xf>
    <xf numFmtId="0" fontId="47" fillId="0" borderId="0" applyNumberFormat="0" applyFill="0" applyBorder="0" applyProtection="0">
      <alignment/>
    </xf>
  </cellStyleXfs>
  <cellXfs count="105">
    <xf numFmtId="0" fontId="0" fillId="0" borderId="0" xfId="0"/>
    <xf numFmtId="0" fontId="3" fillId="0" borderId="0" xfId="0" applyFont="1"/>
    <xf numFmtId="9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9" fontId="0" fillId="0" borderId="0" xfId="15" applyFont="1"/>
    <xf numFmtId="0" fontId="3" fillId="31" borderId="0" xfId="0" applyFont="1" applyFill="1"/>
    <xf numFmtId="0" fontId="0" fillId="31" borderId="0" xfId="0" applyFill="1"/>
    <xf numFmtId="0" fontId="0" fillId="31" borderId="0" xfId="0" applyFill="1" applyAlignment="1">
      <alignment horizontal="right"/>
    </xf>
    <xf numFmtId="0" fontId="0" fillId="0" borderId="0" xfId="0" applyAlignment="1">
      <alignment horizontal="center"/>
    </xf>
    <xf numFmtId="168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69" fontId="0" fillId="0" borderId="0" xfId="0" applyNumberForma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 quotePrefix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0" fillId="0" borderId="22" xfId="0" applyBorder="1"/>
    <xf numFmtId="170" fontId="0" fillId="0" borderId="0" xfId="0" applyNumberFormat="1" applyBorder="1"/>
    <xf numFmtId="171" fontId="0" fillId="0" borderId="0" xfId="0" applyNumberFormat="1"/>
    <xf numFmtId="170" fontId="3" fillId="0" borderId="0" xfId="0" applyNumberFormat="1" applyFont="1" applyBorder="1" applyAlignment="1">
      <alignment horizontal="center"/>
    </xf>
    <xf numFmtId="168" fontId="0" fillId="0" borderId="0" xfId="0" applyNumberFormat="1" applyFill="1" applyBorder="1"/>
    <xf numFmtId="0" fontId="0" fillId="0" borderId="0" xfId="0" applyFont="1" applyFill="1"/>
    <xf numFmtId="10" fontId="0" fillId="0" borderId="0" xfId="0" applyNumberFormat="1"/>
    <xf numFmtId="10" fontId="0" fillId="0" borderId="0" xfId="15" applyNumberFormat="1" applyFont="1"/>
    <xf numFmtId="0" fontId="0" fillId="0" borderId="0" xfId="15" applyNumberFormat="1" applyFont="1"/>
    <xf numFmtId="169" fontId="0" fillId="0" borderId="0" xfId="15" applyNumberFormat="1" applyFont="1"/>
    <xf numFmtId="0" fontId="0" fillId="0" borderId="0" xfId="0" applyFont="1"/>
    <xf numFmtId="0" fontId="0" fillId="0" borderId="0" xfId="0" applyAlignment="1">
      <alignment horizontal="left"/>
    </xf>
    <xf numFmtId="0" fontId="7" fillId="0" borderId="0" xfId="0" applyFont="1"/>
    <xf numFmtId="168" fontId="7" fillId="0" borderId="0" xfId="0" applyNumberFormat="1" applyFont="1"/>
    <xf numFmtId="168" fontId="0" fillId="0" borderId="0" xfId="0" applyNumberFormat="1" applyFont="1"/>
    <xf numFmtId="168" fontId="6" fillId="0" borderId="0" xfId="0" applyNumberFormat="1" applyFont="1"/>
    <xf numFmtId="0" fontId="6" fillId="0" borderId="0" xfId="0" applyFont="1"/>
    <xf numFmtId="168" fontId="0" fillId="0" borderId="0" xfId="0" applyNumberFormat="1" applyAlignment="1">
      <alignment horizontal="right"/>
    </xf>
    <xf numFmtId="168" fontId="0" fillId="0" borderId="0" xfId="15" applyNumberFormat="1" applyFont="1"/>
    <xf numFmtId="0" fontId="3" fillId="0" borderId="0" xfId="0" applyFont="1" applyAlignment="1" quotePrefix="1">
      <alignment horizontal="left"/>
    </xf>
    <xf numFmtId="0" fontId="0" fillId="0" borderId="0" xfId="0" applyAlignment="1" quotePrefix="1">
      <alignment horizontal="right"/>
    </xf>
    <xf numFmtId="0" fontId="3" fillId="0" borderId="0" xfId="0" applyFont="1" applyBorder="1"/>
    <xf numFmtId="0" fontId="3" fillId="0" borderId="0" xfId="0" applyFont="1" applyFill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 wrapText="1"/>
    </xf>
    <xf numFmtId="0" fontId="9" fillId="0" borderId="0" xfId="0" applyFont="1"/>
    <xf numFmtId="0" fontId="0" fillId="0" borderId="0" xfId="0" applyFont="1"/>
    <xf numFmtId="0" fontId="10" fillId="0" borderId="0" xfId="0" applyFont="1"/>
    <xf numFmtId="0" fontId="3" fillId="11" borderId="23" xfId="0" applyFont="1" applyFill="1" applyBorder="1"/>
    <xf numFmtId="0" fontId="3" fillId="22" borderId="24" xfId="0" applyFont="1" applyFill="1" applyBorder="1" applyAlignment="1">
      <alignment horizontal="center"/>
    </xf>
    <xf numFmtId="0" fontId="3" fillId="17" borderId="24" xfId="0" applyFont="1" applyFill="1" applyBorder="1" applyAlignment="1">
      <alignment horizontal="center"/>
    </xf>
    <xf numFmtId="0" fontId="3" fillId="11" borderId="0" xfId="0" applyFont="1" applyFill="1"/>
    <xf numFmtId="0" fontId="0" fillId="0" borderId="25" xfId="0" applyBorder="1" applyAlignment="1">
      <alignment horizontal="left"/>
    </xf>
    <xf numFmtId="0" fontId="0" fillId="0" borderId="25" xfId="0" applyBorder="1"/>
    <xf numFmtId="168" fontId="3" fillId="0" borderId="0" xfId="0" applyNumberFormat="1" applyFont="1"/>
    <xf numFmtId="0" fontId="3" fillId="17" borderId="0" xfId="0" applyFont="1" applyFill="1" applyBorder="1" applyAlignment="1">
      <alignment horizontal="center"/>
    </xf>
    <xf numFmtId="0" fontId="0" fillId="22" borderId="0" xfId="0" applyFont="1" applyFill="1" applyBorder="1" applyAlignment="1" applyProtection="1">
      <alignment horizontal="right"/>
      <protection locked="0"/>
    </xf>
    <xf numFmtId="0" fontId="11" fillId="22" borderId="0" xfId="0" applyFont="1" applyFill="1" applyBorder="1"/>
    <xf numFmtId="0" fontId="12" fillId="3" borderId="0" xfId="0" applyFont="1" applyFill="1" applyBorder="1" applyAlignment="1">
      <alignment horizontal="left"/>
    </xf>
    <xf numFmtId="0" fontId="12" fillId="3" borderId="0" xfId="0" applyFont="1" applyFill="1" applyBorder="1"/>
    <xf numFmtId="0" fontId="0" fillId="3" borderId="0" xfId="0" applyFill="1"/>
    <xf numFmtId="0" fontId="12" fillId="3" borderId="0" xfId="0" applyFont="1" applyFill="1"/>
    <xf numFmtId="0" fontId="11" fillId="22" borderId="26" xfId="0" applyFont="1" applyFill="1" applyBorder="1"/>
    <xf numFmtId="0" fontId="12" fillId="3" borderId="26" xfId="0" applyFont="1" applyFill="1" applyBorder="1" applyAlignment="1">
      <alignment horizontal="left"/>
    </xf>
    <xf numFmtId="0" fontId="12" fillId="3" borderId="26" xfId="0" applyFont="1" applyFill="1" applyBorder="1"/>
    <xf numFmtId="0" fontId="0" fillId="22" borderId="0" xfId="0" applyFill="1"/>
    <xf numFmtId="0" fontId="0" fillId="22" borderId="0" xfId="0" applyFill="1" applyBorder="1"/>
    <xf numFmtId="0" fontId="0" fillId="22" borderId="0" xfId="0" applyFont="1" applyFill="1" applyBorder="1" applyAlignment="1">
      <alignment horizontal="left"/>
    </xf>
    <xf numFmtId="0" fontId="6" fillId="7" borderId="0" xfId="0" applyFont="1" applyFill="1"/>
    <xf numFmtId="0" fontId="0" fillId="22" borderId="0" xfId="0" applyFont="1" applyFill="1"/>
    <xf numFmtId="0" fontId="0" fillId="7" borderId="0" xfId="0" applyFont="1" applyFill="1"/>
    <xf numFmtId="0" fontId="13" fillId="7" borderId="0" xfId="0" applyFont="1" applyFill="1" applyBorder="1" applyAlignment="1">
      <alignment vertical="top" wrapText="1"/>
    </xf>
    <xf numFmtId="0" fontId="0" fillId="3" borderId="0" xfId="0" applyFont="1" applyFill="1"/>
    <xf numFmtId="0" fontId="0" fillId="3" borderId="0" xfId="0" applyFont="1" applyFill="1" applyBorder="1" applyAlignment="1" quotePrefix="1">
      <alignment horizontal="left"/>
    </xf>
    <xf numFmtId="0" fontId="13" fillId="10" borderId="0" xfId="0" applyFont="1" applyFill="1" applyBorder="1" applyAlignment="1">
      <alignment vertical="top" wrapText="1"/>
    </xf>
    <xf numFmtId="0" fontId="14" fillId="7" borderId="0" xfId="0" applyFont="1" applyFill="1" applyBorder="1" applyAlignment="1">
      <alignment vertical="top" wrapText="1"/>
    </xf>
    <xf numFmtId="2" fontId="6" fillId="10" borderId="0" xfId="0" applyNumberFormat="1" applyFont="1" applyFill="1"/>
    <xf numFmtId="0" fontId="10" fillId="0" borderId="0" xfId="0" applyFont="1" applyAlignment="1" quotePrefix="1">
      <alignment horizontal="left"/>
    </xf>
    <xf numFmtId="0" fontId="3" fillId="22" borderId="23" xfId="0" applyFont="1" applyFill="1" applyBorder="1" applyAlignment="1">
      <alignment horizontal="center"/>
    </xf>
    <xf numFmtId="2" fontId="0" fillId="7" borderId="0" xfId="0" applyNumberFormat="1" applyFont="1" applyFill="1" applyBorder="1" applyAlignment="1">
      <alignment horizontal="right"/>
    </xf>
    <xf numFmtId="0" fontId="0" fillId="0" borderId="0" xfId="0" applyBorder="1"/>
    <xf numFmtId="0" fontId="15" fillId="0" borderId="0" xfId="1794">
      <alignment/>
      <protection/>
    </xf>
    <xf numFmtId="0" fontId="15" fillId="0" borderId="0" xfId="1684">
      <alignment/>
      <protection/>
    </xf>
    <xf numFmtId="0" fontId="17" fillId="31" borderId="0" xfId="1794" applyFont="1" applyFill="1">
      <alignment/>
      <protection/>
    </xf>
    <xf numFmtId="0" fontId="16" fillId="11" borderId="0" xfId="1794" applyFont="1" applyFill="1">
      <alignment/>
      <protection/>
    </xf>
    <xf numFmtId="0" fontId="16" fillId="31" borderId="0" xfId="1684" applyFont="1" applyFill="1">
      <alignment/>
      <protection/>
    </xf>
    <xf numFmtId="0" fontId="16" fillId="31" borderId="0" xfId="1794" applyFont="1" applyFill="1">
      <alignment/>
      <protection/>
    </xf>
    <xf numFmtId="0" fontId="3" fillId="2" borderId="0" xfId="0" applyFont="1" applyFill="1"/>
    <xf numFmtId="49" fontId="0" fillId="0" borderId="0" xfId="0" applyNumberFormat="1"/>
    <xf numFmtId="0" fontId="3" fillId="11" borderId="23" xfId="0" applyFont="1" applyFill="1" applyBorder="1" applyAlignment="1">
      <alignment horizontal="center"/>
    </xf>
    <xf numFmtId="0" fontId="3" fillId="32" borderId="0" xfId="0" applyFont="1" applyFill="1"/>
    <xf numFmtId="2" fontId="3" fillId="33" borderId="0" xfId="0" applyNumberFormat="1" applyFont="1" applyFill="1"/>
    <xf numFmtId="0" fontId="56" fillId="0" borderId="0" xfId="0" applyFont="1"/>
    <xf numFmtId="0" fontId="16" fillId="0" borderId="0" xfId="1673" applyFont="1">
      <alignment/>
      <protection/>
    </xf>
    <xf numFmtId="0" fontId="2" fillId="0" borderId="0" xfId="1673">
      <alignment/>
      <protection/>
    </xf>
    <xf numFmtId="169" fontId="2" fillId="0" borderId="0" xfId="1673" applyNumberFormat="1">
      <alignment/>
      <protection/>
    </xf>
    <xf numFmtId="2" fontId="2" fillId="0" borderId="0" xfId="1673" applyNumberFormat="1">
      <alignment/>
      <protection/>
    </xf>
    <xf numFmtId="2" fontId="0" fillId="34" borderId="25" xfId="0" applyNumberFormat="1" applyFill="1" applyBorder="1"/>
    <xf numFmtId="2" fontId="0" fillId="34" borderId="0" xfId="0" applyNumberFormat="1" applyFill="1"/>
    <xf numFmtId="0" fontId="3" fillId="11" borderId="0" xfId="0" applyFont="1" applyFill="1" applyBorder="1" applyAlignment="1">
      <alignment horizontal="center"/>
    </xf>
    <xf numFmtId="0" fontId="57" fillId="0" borderId="0" xfId="0" applyFont="1"/>
    <xf numFmtId="2" fontId="0" fillId="35" borderId="0" xfId="0" applyNumberFormat="1" applyFill="1"/>
    <xf numFmtId="0" fontId="16" fillId="35" borderId="0" xfId="1673" applyFont="1" applyFill="1">
      <alignment/>
      <protection/>
    </xf>
    <xf numFmtId="0" fontId="2" fillId="35" borderId="0" xfId="1673" applyFill="1">
      <alignment/>
      <protection/>
    </xf>
    <xf numFmtId="2" fontId="2" fillId="35" borderId="0" xfId="1673" applyNumberFormat="1" applyFill="1">
      <alignment/>
      <protection/>
    </xf>
    <xf numFmtId="0" fontId="58" fillId="0" borderId="0" xfId="1673" applyFont="1">
      <alignment/>
      <protection/>
    </xf>
    <xf numFmtId="0" fontId="2" fillId="35" borderId="0" xfId="1673" applyFont="1" applyFill="1">
      <alignment/>
      <protection/>
    </xf>
  </cellXfs>
  <cellStyles count="2712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 10" xfId="20"/>
    <cellStyle name="20% - Accent1 11" xfId="21"/>
    <cellStyle name="20% - Accent1 12" xfId="22"/>
    <cellStyle name="20% - Accent1 13" xfId="23"/>
    <cellStyle name="20% - Accent1 14" xfId="24"/>
    <cellStyle name="20% - Accent1 15" xfId="25"/>
    <cellStyle name="20% - Accent1 16" xfId="26"/>
    <cellStyle name="20% - Accent1 17" xfId="27"/>
    <cellStyle name="20% - Accent1 18" xfId="28"/>
    <cellStyle name="20% - Accent1 19" xfId="29"/>
    <cellStyle name="20% - Accent1 2" xfId="30"/>
    <cellStyle name="20% - Accent1 20" xfId="31"/>
    <cellStyle name="20% - Accent1 21" xfId="32"/>
    <cellStyle name="20% - Accent1 22" xfId="33"/>
    <cellStyle name="20% - Accent1 23" xfId="34"/>
    <cellStyle name="20% - Accent1 24" xfId="35"/>
    <cellStyle name="20% - Accent1 25" xfId="36"/>
    <cellStyle name="20% - Accent1 26" xfId="37"/>
    <cellStyle name="20% - Accent1 27" xfId="38"/>
    <cellStyle name="20% - Accent1 28" xfId="39"/>
    <cellStyle name="20% - Accent1 29" xfId="40"/>
    <cellStyle name="20% - Accent1 3" xfId="41"/>
    <cellStyle name="20% - Accent1 30" xfId="42"/>
    <cellStyle name="20% - Accent1 31" xfId="43"/>
    <cellStyle name="20% - Accent1 32" xfId="44"/>
    <cellStyle name="20% - Accent1 33" xfId="45"/>
    <cellStyle name="20% - Accent1 34" xfId="46"/>
    <cellStyle name="20% - Accent1 35" xfId="47"/>
    <cellStyle name="20% - Accent1 36" xfId="48"/>
    <cellStyle name="20% - Accent1 37" xfId="49"/>
    <cellStyle name="20% - Accent1 38" xfId="50"/>
    <cellStyle name="20% - Accent1 39" xfId="51"/>
    <cellStyle name="20% - Accent1 4" xfId="52"/>
    <cellStyle name="20% - Accent1 40" xfId="53"/>
    <cellStyle name="20% - Accent1 41" xfId="54"/>
    <cellStyle name="20% - Accent1 42" xfId="55"/>
    <cellStyle name="20% - Accent1 43" xfId="56"/>
    <cellStyle name="20% - Accent1 5" xfId="57"/>
    <cellStyle name="20% - Accent1 6" xfId="58"/>
    <cellStyle name="20% - Accent1 7" xfId="59"/>
    <cellStyle name="20% - Accent1 8" xfId="60"/>
    <cellStyle name="20% - Accent1 9" xfId="61"/>
    <cellStyle name="20% - Accent2 10" xfId="62"/>
    <cellStyle name="20% - Accent2 11" xfId="63"/>
    <cellStyle name="20% - Accent2 12" xfId="64"/>
    <cellStyle name="20% - Accent2 13" xfId="65"/>
    <cellStyle name="20% - Accent2 14" xfId="66"/>
    <cellStyle name="20% - Accent2 15" xfId="67"/>
    <cellStyle name="20% - Accent2 16" xfId="68"/>
    <cellStyle name="20% - Accent2 17" xfId="69"/>
    <cellStyle name="20% - Accent2 18" xfId="70"/>
    <cellStyle name="20% - Accent2 19" xfId="71"/>
    <cellStyle name="20% - Accent2 2" xfId="72"/>
    <cellStyle name="20% - Accent2 20" xfId="73"/>
    <cellStyle name="20% - Accent2 21" xfId="74"/>
    <cellStyle name="20% - Accent2 22" xfId="75"/>
    <cellStyle name="20% - Accent2 23" xfId="76"/>
    <cellStyle name="20% - Accent2 24" xfId="77"/>
    <cellStyle name="20% - Accent2 25" xfId="78"/>
    <cellStyle name="20% - Accent2 26" xfId="79"/>
    <cellStyle name="20% - Accent2 27" xfId="80"/>
    <cellStyle name="20% - Accent2 28" xfId="81"/>
    <cellStyle name="20% - Accent2 29" xfId="82"/>
    <cellStyle name="20% - Accent2 3" xfId="83"/>
    <cellStyle name="20% - Accent2 30" xfId="84"/>
    <cellStyle name="20% - Accent2 31" xfId="85"/>
    <cellStyle name="20% - Accent2 32" xfId="86"/>
    <cellStyle name="20% - Accent2 33" xfId="87"/>
    <cellStyle name="20% - Accent2 34" xfId="88"/>
    <cellStyle name="20% - Accent2 35" xfId="89"/>
    <cellStyle name="20% - Accent2 36" xfId="90"/>
    <cellStyle name="20% - Accent2 37" xfId="91"/>
    <cellStyle name="20% - Accent2 38" xfId="92"/>
    <cellStyle name="20% - Accent2 39" xfId="93"/>
    <cellStyle name="20% - Accent2 4" xfId="94"/>
    <cellStyle name="20% - Accent2 40" xfId="95"/>
    <cellStyle name="20% - Accent2 41" xfId="96"/>
    <cellStyle name="20% - Accent2 42" xfId="97"/>
    <cellStyle name="20% - Accent2 43" xfId="98"/>
    <cellStyle name="20% - Accent2 5" xfId="99"/>
    <cellStyle name="20% - Accent2 6" xfId="100"/>
    <cellStyle name="20% - Accent2 7" xfId="101"/>
    <cellStyle name="20% - Accent2 8" xfId="102"/>
    <cellStyle name="20% - Accent2 9" xfId="103"/>
    <cellStyle name="20% - Accent3 10" xfId="104"/>
    <cellStyle name="20% - Accent3 11" xfId="105"/>
    <cellStyle name="20% - Accent3 12" xfId="106"/>
    <cellStyle name="20% - Accent3 13" xfId="107"/>
    <cellStyle name="20% - Accent3 14" xfId="108"/>
    <cellStyle name="20% - Accent3 15" xfId="109"/>
    <cellStyle name="20% - Accent3 16" xfId="110"/>
    <cellStyle name="20% - Accent3 17" xfId="111"/>
    <cellStyle name="20% - Accent3 18" xfId="112"/>
    <cellStyle name="20% - Accent3 19" xfId="113"/>
    <cellStyle name="20% - Accent3 2" xfId="114"/>
    <cellStyle name="20% - Accent3 20" xfId="115"/>
    <cellStyle name="20% - Accent3 21" xfId="116"/>
    <cellStyle name="20% - Accent3 22" xfId="117"/>
    <cellStyle name="20% - Accent3 23" xfId="118"/>
    <cellStyle name="20% - Accent3 24" xfId="119"/>
    <cellStyle name="20% - Accent3 25" xfId="120"/>
    <cellStyle name="20% - Accent3 26" xfId="121"/>
    <cellStyle name="20% - Accent3 27" xfId="122"/>
    <cellStyle name="20% - Accent3 28" xfId="123"/>
    <cellStyle name="20% - Accent3 29" xfId="124"/>
    <cellStyle name="20% - Accent3 3" xfId="125"/>
    <cellStyle name="20% - Accent3 30" xfId="126"/>
    <cellStyle name="20% - Accent3 31" xfId="127"/>
    <cellStyle name="20% - Accent3 32" xfId="128"/>
    <cellStyle name="20% - Accent3 33" xfId="129"/>
    <cellStyle name="20% - Accent3 34" xfId="130"/>
    <cellStyle name="20% - Accent3 35" xfId="131"/>
    <cellStyle name="20% - Accent3 36" xfId="132"/>
    <cellStyle name="20% - Accent3 37" xfId="133"/>
    <cellStyle name="20% - Accent3 38" xfId="134"/>
    <cellStyle name="20% - Accent3 39" xfId="135"/>
    <cellStyle name="20% - Accent3 4" xfId="136"/>
    <cellStyle name="20% - Accent3 40" xfId="137"/>
    <cellStyle name="20% - Accent3 41" xfId="138"/>
    <cellStyle name="20% - Accent3 42" xfId="139"/>
    <cellStyle name="20% - Accent3 43" xfId="140"/>
    <cellStyle name="20% - Accent3 5" xfId="141"/>
    <cellStyle name="20% - Accent3 6" xfId="142"/>
    <cellStyle name="20% - Accent3 7" xfId="143"/>
    <cellStyle name="20% - Accent3 8" xfId="144"/>
    <cellStyle name="20% - Accent3 9" xfId="145"/>
    <cellStyle name="20% - Accent4 10" xfId="146"/>
    <cellStyle name="20% - Accent4 11" xfId="147"/>
    <cellStyle name="20% - Accent4 12" xfId="148"/>
    <cellStyle name="20% - Accent4 13" xfId="149"/>
    <cellStyle name="20% - Accent4 14" xfId="150"/>
    <cellStyle name="20% - Accent4 15" xfId="151"/>
    <cellStyle name="20% - Accent4 16" xfId="152"/>
    <cellStyle name="20% - Accent4 17" xfId="153"/>
    <cellStyle name="20% - Accent4 18" xfId="154"/>
    <cellStyle name="20% - Accent4 19" xfId="155"/>
    <cellStyle name="20% - Accent4 2" xfId="156"/>
    <cellStyle name="20% - Accent4 20" xfId="157"/>
    <cellStyle name="20% - Accent4 21" xfId="158"/>
    <cellStyle name="20% - Accent4 22" xfId="159"/>
    <cellStyle name="20% - Accent4 23" xfId="160"/>
    <cellStyle name="20% - Accent4 24" xfId="161"/>
    <cellStyle name="20% - Accent4 25" xfId="162"/>
    <cellStyle name="20% - Accent4 26" xfId="163"/>
    <cellStyle name="20% - Accent4 27" xfId="164"/>
    <cellStyle name="20% - Accent4 28" xfId="165"/>
    <cellStyle name="20% - Accent4 29" xfId="166"/>
    <cellStyle name="20% - Accent4 3" xfId="167"/>
    <cellStyle name="20% - Accent4 30" xfId="168"/>
    <cellStyle name="20% - Accent4 31" xfId="169"/>
    <cellStyle name="20% - Accent4 32" xfId="170"/>
    <cellStyle name="20% - Accent4 33" xfId="171"/>
    <cellStyle name="20% - Accent4 34" xfId="172"/>
    <cellStyle name="20% - Accent4 35" xfId="173"/>
    <cellStyle name="20% - Accent4 36" xfId="174"/>
    <cellStyle name="20% - Accent4 37" xfId="175"/>
    <cellStyle name="20% - Accent4 38" xfId="176"/>
    <cellStyle name="20% - Accent4 39" xfId="177"/>
    <cellStyle name="20% - Accent4 4" xfId="178"/>
    <cellStyle name="20% - Accent4 40" xfId="179"/>
    <cellStyle name="20% - Accent4 41" xfId="180"/>
    <cellStyle name="20% - Accent4 42" xfId="181"/>
    <cellStyle name="20% - Accent4 43" xfId="182"/>
    <cellStyle name="20% - Accent4 5" xfId="183"/>
    <cellStyle name="20% - Accent4 6" xfId="184"/>
    <cellStyle name="20% - Accent4 7" xfId="185"/>
    <cellStyle name="20% - Accent4 8" xfId="186"/>
    <cellStyle name="20% - Accent4 9" xfId="187"/>
    <cellStyle name="20% - Accent5 10" xfId="188"/>
    <cellStyle name="20% - Accent5 11" xfId="189"/>
    <cellStyle name="20% - Accent5 12" xfId="190"/>
    <cellStyle name="20% - Accent5 13" xfId="191"/>
    <cellStyle name="20% - Accent5 14" xfId="192"/>
    <cellStyle name="20% - Accent5 15" xfId="193"/>
    <cellStyle name="20% - Accent5 16" xfId="194"/>
    <cellStyle name="20% - Accent5 17" xfId="195"/>
    <cellStyle name="20% - Accent5 18" xfId="196"/>
    <cellStyle name="20% - Accent5 19" xfId="197"/>
    <cellStyle name="20% - Accent5 2" xfId="198"/>
    <cellStyle name="20% - Accent5 20" xfId="199"/>
    <cellStyle name="20% - Accent5 21" xfId="200"/>
    <cellStyle name="20% - Accent5 22" xfId="201"/>
    <cellStyle name="20% - Accent5 23" xfId="202"/>
    <cellStyle name="20% - Accent5 24" xfId="203"/>
    <cellStyle name="20% - Accent5 25" xfId="204"/>
    <cellStyle name="20% - Accent5 26" xfId="205"/>
    <cellStyle name="20% - Accent5 27" xfId="206"/>
    <cellStyle name="20% - Accent5 28" xfId="207"/>
    <cellStyle name="20% - Accent5 29" xfId="208"/>
    <cellStyle name="20% - Accent5 3" xfId="209"/>
    <cellStyle name="20% - Accent5 30" xfId="210"/>
    <cellStyle name="20% - Accent5 31" xfId="211"/>
    <cellStyle name="20% - Accent5 32" xfId="212"/>
    <cellStyle name="20% - Accent5 33" xfId="213"/>
    <cellStyle name="20% - Accent5 34" xfId="214"/>
    <cellStyle name="20% - Accent5 35" xfId="215"/>
    <cellStyle name="20% - Accent5 36" xfId="216"/>
    <cellStyle name="20% - Accent5 37" xfId="217"/>
    <cellStyle name="20% - Accent5 38" xfId="218"/>
    <cellStyle name="20% - Accent5 39" xfId="219"/>
    <cellStyle name="20% - Accent5 4" xfId="220"/>
    <cellStyle name="20% - Accent5 40" xfId="221"/>
    <cellStyle name="20% - Accent5 41" xfId="222"/>
    <cellStyle name="20% - Accent5 42" xfId="223"/>
    <cellStyle name="20% - Accent5 43" xfId="224"/>
    <cellStyle name="20% - Accent5 5" xfId="225"/>
    <cellStyle name="20% - Accent5 6" xfId="226"/>
    <cellStyle name="20% - Accent5 7" xfId="227"/>
    <cellStyle name="20% - Accent5 8" xfId="228"/>
    <cellStyle name="20% - Accent5 9" xfId="229"/>
    <cellStyle name="20% - Accent6 10" xfId="230"/>
    <cellStyle name="20% - Accent6 11" xfId="231"/>
    <cellStyle name="20% - Accent6 12" xfId="232"/>
    <cellStyle name="20% - Accent6 13" xfId="233"/>
    <cellStyle name="20% - Accent6 14" xfId="234"/>
    <cellStyle name="20% - Accent6 15" xfId="235"/>
    <cellStyle name="20% - Accent6 16" xfId="236"/>
    <cellStyle name="20% - Accent6 17" xfId="237"/>
    <cellStyle name="20% - Accent6 18" xfId="238"/>
    <cellStyle name="20% - Accent6 19" xfId="239"/>
    <cellStyle name="20% - Accent6 2" xfId="240"/>
    <cellStyle name="20% - Accent6 20" xfId="241"/>
    <cellStyle name="20% - Accent6 21" xfId="242"/>
    <cellStyle name="20% - Accent6 22" xfId="243"/>
    <cellStyle name="20% - Accent6 23" xfId="244"/>
    <cellStyle name="20% - Accent6 24" xfId="245"/>
    <cellStyle name="20% - Accent6 25" xfId="246"/>
    <cellStyle name="20% - Accent6 26" xfId="247"/>
    <cellStyle name="20% - Accent6 27" xfId="248"/>
    <cellStyle name="20% - Accent6 28" xfId="249"/>
    <cellStyle name="20% - Accent6 29" xfId="250"/>
    <cellStyle name="20% - Accent6 3" xfId="251"/>
    <cellStyle name="20% - Accent6 30" xfId="252"/>
    <cellStyle name="20% - Accent6 31" xfId="253"/>
    <cellStyle name="20% - Accent6 32" xfId="254"/>
    <cellStyle name="20% - Accent6 33" xfId="255"/>
    <cellStyle name="20% - Accent6 34" xfId="256"/>
    <cellStyle name="20% - Accent6 35" xfId="257"/>
    <cellStyle name="20% - Accent6 36" xfId="258"/>
    <cellStyle name="20% - Accent6 37" xfId="259"/>
    <cellStyle name="20% - Accent6 38" xfId="260"/>
    <cellStyle name="20% - Accent6 39" xfId="261"/>
    <cellStyle name="20% - Accent6 4" xfId="262"/>
    <cellStyle name="20% - Accent6 40" xfId="263"/>
    <cellStyle name="20% - Accent6 41" xfId="264"/>
    <cellStyle name="20% - Accent6 42" xfId="265"/>
    <cellStyle name="20% - Accent6 43" xfId="266"/>
    <cellStyle name="20% - Accent6 5" xfId="267"/>
    <cellStyle name="20% - Accent6 6" xfId="268"/>
    <cellStyle name="20% - Accent6 7" xfId="269"/>
    <cellStyle name="20% - Accent6 8" xfId="270"/>
    <cellStyle name="20% - Accent6 9" xfId="271"/>
    <cellStyle name="2x indented GHG Textfiels" xfId="272"/>
    <cellStyle name="40% - Accent1 10" xfId="273"/>
    <cellStyle name="40% - Accent1 11" xfId="274"/>
    <cellStyle name="40% - Accent1 12" xfId="275"/>
    <cellStyle name="40% - Accent1 13" xfId="276"/>
    <cellStyle name="40% - Accent1 14" xfId="277"/>
    <cellStyle name="40% - Accent1 15" xfId="278"/>
    <cellStyle name="40% - Accent1 16" xfId="279"/>
    <cellStyle name="40% - Accent1 17" xfId="280"/>
    <cellStyle name="40% - Accent1 18" xfId="281"/>
    <cellStyle name="40% - Accent1 19" xfId="282"/>
    <cellStyle name="40% - Accent1 2" xfId="283"/>
    <cellStyle name="40% - Accent1 20" xfId="284"/>
    <cellStyle name="40% - Accent1 21" xfId="285"/>
    <cellStyle name="40% - Accent1 22" xfId="286"/>
    <cellStyle name="40% - Accent1 23" xfId="287"/>
    <cellStyle name="40% - Accent1 24" xfId="288"/>
    <cellStyle name="40% - Accent1 25" xfId="289"/>
    <cellStyle name="40% - Accent1 26" xfId="290"/>
    <cellStyle name="40% - Accent1 27" xfId="291"/>
    <cellStyle name="40% - Accent1 28" xfId="292"/>
    <cellStyle name="40% - Accent1 29" xfId="293"/>
    <cellStyle name="40% - Accent1 3" xfId="294"/>
    <cellStyle name="40% - Accent1 30" xfId="295"/>
    <cellStyle name="40% - Accent1 31" xfId="296"/>
    <cellStyle name="40% - Accent1 32" xfId="297"/>
    <cellStyle name="40% - Accent1 33" xfId="298"/>
    <cellStyle name="40% - Accent1 34" xfId="299"/>
    <cellStyle name="40% - Accent1 35" xfId="300"/>
    <cellStyle name="40% - Accent1 36" xfId="301"/>
    <cellStyle name="40% - Accent1 37" xfId="302"/>
    <cellStyle name="40% - Accent1 38" xfId="303"/>
    <cellStyle name="40% - Accent1 39" xfId="304"/>
    <cellStyle name="40% - Accent1 4" xfId="305"/>
    <cellStyle name="40% - Accent1 40" xfId="306"/>
    <cellStyle name="40% - Accent1 41" xfId="307"/>
    <cellStyle name="40% - Accent1 42" xfId="308"/>
    <cellStyle name="40% - Accent1 43" xfId="309"/>
    <cellStyle name="40% - Accent1 5" xfId="310"/>
    <cellStyle name="40% - Accent1 6" xfId="311"/>
    <cellStyle name="40% - Accent1 7" xfId="312"/>
    <cellStyle name="40% - Accent1 8" xfId="313"/>
    <cellStyle name="40% - Accent1 9" xfId="314"/>
    <cellStyle name="40% - Accent2 10" xfId="315"/>
    <cellStyle name="40% - Accent2 11" xfId="316"/>
    <cellStyle name="40% - Accent2 12" xfId="317"/>
    <cellStyle name="40% - Accent2 13" xfId="318"/>
    <cellStyle name="40% - Accent2 14" xfId="319"/>
    <cellStyle name="40% - Accent2 15" xfId="320"/>
    <cellStyle name="40% - Accent2 16" xfId="321"/>
    <cellStyle name="40% - Accent2 17" xfId="322"/>
    <cellStyle name="40% - Accent2 18" xfId="323"/>
    <cellStyle name="40% - Accent2 19" xfId="324"/>
    <cellStyle name="40% - Accent2 2" xfId="325"/>
    <cellStyle name="40% - Accent2 20" xfId="326"/>
    <cellStyle name="40% - Accent2 21" xfId="327"/>
    <cellStyle name="40% - Accent2 22" xfId="328"/>
    <cellStyle name="40% - Accent2 23" xfId="329"/>
    <cellStyle name="40% - Accent2 24" xfId="330"/>
    <cellStyle name="40% - Accent2 25" xfId="331"/>
    <cellStyle name="40% - Accent2 26" xfId="332"/>
    <cellStyle name="40% - Accent2 27" xfId="333"/>
    <cellStyle name="40% - Accent2 28" xfId="334"/>
    <cellStyle name="40% - Accent2 29" xfId="335"/>
    <cellStyle name="40% - Accent2 3" xfId="336"/>
    <cellStyle name="40% - Accent2 30" xfId="337"/>
    <cellStyle name="40% - Accent2 31" xfId="338"/>
    <cellStyle name="40% - Accent2 32" xfId="339"/>
    <cellStyle name="40% - Accent2 33" xfId="340"/>
    <cellStyle name="40% - Accent2 34" xfId="341"/>
    <cellStyle name="40% - Accent2 35" xfId="342"/>
    <cellStyle name="40% - Accent2 36" xfId="343"/>
    <cellStyle name="40% - Accent2 37" xfId="344"/>
    <cellStyle name="40% - Accent2 38" xfId="345"/>
    <cellStyle name="40% - Accent2 39" xfId="346"/>
    <cellStyle name="40% - Accent2 4" xfId="347"/>
    <cellStyle name="40% - Accent2 40" xfId="348"/>
    <cellStyle name="40% - Accent2 41" xfId="349"/>
    <cellStyle name="40% - Accent2 42" xfId="350"/>
    <cellStyle name="40% - Accent2 43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14" xfId="361"/>
    <cellStyle name="40% - Accent3 15" xfId="362"/>
    <cellStyle name="40% - Accent3 16" xfId="363"/>
    <cellStyle name="40% - Accent3 17" xfId="364"/>
    <cellStyle name="40% - Accent3 18" xfId="365"/>
    <cellStyle name="40% - Accent3 19" xfId="366"/>
    <cellStyle name="40% - Accent3 2" xfId="367"/>
    <cellStyle name="40% - Accent3 20" xfId="368"/>
    <cellStyle name="40% - Accent3 21" xfId="369"/>
    <cellStyle name="40% - Accent3 22" xfId="370"/>
    <cellStyle name="40% - Accent3 23" xfId="371"/>
    <cellStyle name="40% - Accent3 24" xfId="372"/>
    <cellStyle name="40% - Accent3 25" xfId="373"/>
    <cellStyle name="40% - Accent3 26" xfId="374"/>
    <cellStyle name="40% - Accent3 27" xfId="375"/>
    <cellStyle name="40% - Accent3 28" xfId="376"/>
    <cellStyle name="40% - Accent3 29" xfId="377"/>
    <cellStyle name="40% - Accent3 3" xfId="378"/>
    <cellStyle name="40% - Accent3 30" xfId="379"/>
    <cellStyle name="40% - Accent3 31" xfId="380"/>
    <cellStyle name="40% - Accent3 32" xfId="381"/>
    <cellStyle name="40% - Accent3 33" xfId="382"/>
    <cellStyle name="40% - Accent3 34" xfId="383"/>
    <cellStyle name="40% - Accent3 35" xfId="384"/>
    <cellStyle name="40% - Accent3 36" xfId="385"/>
    <cellStyle name="40% - Accent3 37" xfId="386"/>
    <cellStyle name="40% - Accent3 38" xfId="387"/>
    <cellStyle name="40% - Accent3 39" xfId="388"/>
    <cellStyle name="40% - Accent3 4" xfId="389"/>
    <cellStyle name="40% - Accent3 40" xfId="390"/>
    <cellStyle name="40% - Accent3 41" xfId="391"/>
    <cellStyle name="40% - Accent3 42" xfId="392"/>
    <cellStyle name="40% - Accent3 43" xfId="393"/>
    <cellStyle name="40% - Accent3 5" xfId="394"/>
    <cellStyle name="40% - Accent3 6" xfId="395"/>
    <cellStyle name="40% - Accent3 7" xfId="396"/>
    <cellStyle name="40% - Accent3 8" xfId="397"/>
    <cellStyle name="40% - Accent3 9" xfId="398"/>
    <cellStyle name="40% - Accent4 10" xfId="399"/>
    <cellStyle name="40% - Accent4 11" xfId="400"/>
    <cellStyle name="40% - Accent4 12" xfId="401"/>
    <cellStyle name="40% - Accent4 13" xfId="402"/>
    <cellStyle name="40% - Accent4 14" xfId="403"/>
    <cellStyle name="40% - Accent4 15" xfId="404"/>
    <cellStyle name="40% - Accent4 16" xfId="405"/>
    <cellStyle name="40% - Accent4 17" xfId="406"/>
    <cellStyle name="40% - Accent4 18" xfId="407"/>
    <cellStyle name="40% - Accent4 19" xfId="408"/>
    <cellStyle name="40% - Accent4 2" xfId="409"/>
    <cellStyle name="40% - Accent4 20" xfId="410"/>
    <cellStyle name="40% - Accent4 21" xfId="411"/>
    <cellStyle name="40% - Accent4 22" xfId="412"/>
    <cellStyle name="40% - Accent4 23" xfId="413"/>
    <cellStyle name="40% - Accent4 24" xfId="414"/>
    <cellStyle name="40% - Accent4 25" xfId="415"/>
    <cellStyle name="40% - Accent4 26" xfId="416"/>
    <cellStyle name="40% - Accent4 27" xfId="417"/>
    <cellStyle name="40% - Accent4 28" xfId="418"/>
    <cellStyle name="40% - Accent4 29" xfId="419"/>
    <cellStyle name="40% - Accent4 3" xfId="420"/>
    <cellStyle name="40% - Accent4 30" xfId="421"/>
    <cellStyle name="40% - Accent4 31" xfId="422"/>
    <cellStyle name="40% - Accent4 32" xfId="423"/>
    <cellStyle name="40% - Accent4 33" xfId="424"/>
    <cellStyle name="40% - Accent4 34" xfId="425"/>
    <cellStyle name="40% - Accent4 35" xfId="426"/>
    <cellStyle name="40% - Accent4 36" xfId="427"/>
    <cellStyle name="40% - Accent4 37" xfId="428"/>
    <cellStyle name="40% - Accent4 38" xfId="429"/>
    <cellStyle name="40% - Accent4 39" xfId="430"/>
    <cellStyle name="40% - Accent4 4" xfId="431"/>
    <cellStyle name="40% - Accent4 40" xfId="432"/>
    <cellStyle name="40% - Accent4 41" xfId="433"/>
    <cellStyle name="40% - Accent4 42" xfId="434"/>
    <cellStyle name="40% - Accent4 43" xfId="435"/>
    <cellStyle name="40% - Accent4 5" xfId="436"/>
    <cellStyle name="40% - Accent4 6" xfId="437"/>
    <cellStyle name="40% - Accent4 7" xfId="438"/>
    <cellStyle name="40% - Accent4 8" xfId="439"/>
    <cellStyle name="40% - Accent4 9" xfId="440"/>
    <cellStyle name="40% - Accent5 10" xfId="441"/>
    <cellStyle name="40% - Accent5 11" xfId="442"/>
    <cellStyle name="40% - Accent5 12" xfId="443"/>
    <cellStyle name="40% - Accent5 13" xfId="444"/>
    <cellStyle name="40% - Accent5 14" xfId="445"/>
    <cellStyle name="40% - Accent5 15" xfId="446"/>
    <cellStyle name="40% - Accent5 16" xfId="447"/>
    <cellStyle name="40% - Accent5 17" xfId="448"/>
    <cellStyle name="40% - Accent5 18" xfId="449"/>
    <cellStyle name="40% - Accent5 19" xfId="450"/>
    <cellStyle name="40% - Accent5 2" xfId="451"/>
    <cellStyle name="40% - Accent5 20" xfId="452"/>
    <cellStyle name="40% - Accent5 21" xfId="453"/>
    <cellStyle name="40% - Accent5 22" xfId="454"/>
    <cellStyle name="40% - Accent5 23" xfId="455"/>
    <cellStyle name="40% - Accent5 24" xfId="456"/>
    <cellStyle name="40% - Accent5 25" xfId="457"/>
    <cellStyle name="40% - Accent5 26" xfId="458"/>
    <cellStyle name="40% - Accent5 27" xfId="459"/>
    <cellStyle name="40% - Accent5 28" xfId="460"/>
    <cellStyle name="40% - Accent5 29" xfId="461"/>
    <cellStyle name="40% - Accent5 3" xfId="462"/>
    <cellStyle name="40% - Accent5 30" xfId="463"/>
    <cellStyle name="40% - Accent5 31" xfId="464"/>
    <cellStyle name="40% - Accent5 32" xfId="465"/>
    <cellStyle name="40% - Accent5 33" xfId="466"/>
    <cellStyle name="40% - Accent5 34" xfId="467"/>
    <cellStyle name="40% - Accent5 35" xfId="468"/>
    <cellStyle name="40% - Accent5 36" xfId="469"/>
    <cellStyle name="40% - Accent5 37" xfId="470"/>
    <cellStyle name="40% - Accent5 38" xfId="471"/>
    <cellStyle name="40% - Accent5 39" xfId="472"/>
    <cellStyle name="40% - Accent5 4" xfId="473"/>
    <cellStyle name="40% - Accent5 40" xfId="474"/>
    <cellStyle name="40% - Accent5 41" xfId="475"/>
    <cellStyle name="40% - Accent5 42" xfId="476"/>
    <cellStyle name="40% - Accent5 43" xfId="477"/>
    <cellStyle name="40% - Accent5 5" xfId="478"/>
    <cellStyle name="40% - Accent5 6" xfId="479"/>
    <cellStyle name="40% - Accent5 7" xfId="480"/>
    <cellStyle name="40% - Accent5 8" xfId="481"/>
    <cellStyle name="40% - Accent5 9" xfId="482"/>
    <cellStyle name="40% - Accent6 10" xfId="483"/>
    <cellStyle name="40% - Accent6 11" xfId="484"/>
    <cellStyle name="40% - Accent6 12" xfId="485"/>
    <cellStyle name="40% - Accent6 13" xfId="486"/>
    <cellStyle name="40% - Accent6 14" xfId="487"/>
    <cellStyle name="40% - Accent6 15" xfId="488"/>
    <cellStyle name="40% - Accent6 16" xfId="489"/>
    <cellStyle name="40% - Accent6 17" xfId="490"/>
    <cellStyle name="40% - Accent6 18" xfId="491"/>
    <cellStyle name="40% - Accent6 19" xfId="492"/>
    <cellStyle name="40% - Accent6 2" xfId="493"/>
    <cellStyle name="40% - Accent6 20" xfId="494"/>
    <cellStyle name="40% - Accent6 21" xfId="495"/>
    <cellStyle name="40% - Accent6 22" xfId="496"/>
    <cellStyle name="40% - Accent6 23" xfId="497"/>
    <cellStyle name="40% - Accent6 24" xfId="498"/>
    <cellStyle name="40% - Accent6 25" xfId="499"/>
    <cellStyle name="40% - Accent6 26" xfId="500"/>
    <cellStyle name="40% - Accent6 27" xfId="501"/>
    <cellStyle name="40% - Accent6 28" xfId="502"/>
    <cellStyle name="40% - Accent6 29" xfId="503"/>
    <cellStyle name="40% - Accent6 3" xfId="504"/>
    <cellStyle name="40% - Accent6 30" xfId="505"/>
    <cellStyle name="40% - Accent6 31" xfId="506"/>
    <cellStyle name="40% - Accent6 32" xfId="507"/>
    <cellStyle name="40% - Accent6 33" xfId="508"/>
    <cellStyle name="40% - Accent6 34" xfId="509"/>
    <cellStyle name="40% - Accent6 35" xfId="510"/>
    <cellStyle name="40% - Accent6 36" xfId="511"/>
    <cellStyle name="40% - Accent6 37" xfId="512"/>
    <cellStyle name="40% - Accent6 38" xfId="513"/>
    <cellStyle name="40% - Accent6 39" xfId="514"/>
    <cellStyle name="40% - Accent6 4" xfId="515"/>
    <cellStyle name="40% - Accent6 40" xfId="516"/>
    <cellStyle name="40% - Accent6 41" xfId="517"/>
    <cellStyle name="40% - Accent6 42" xfId="518"/>
    <cellStyle name="40% - Accent6 43" xfId="519"/>
    <cellStyle name="40% - Accent6 5" xfId="520"/>
    <cellStyle name="40% - Accent6 6" xfId="521"/>
    <cellStyle name="40% - Accent6 7" xfId="522"/>
    <cellStyle name="40% - Accent6 8" xfId="523"/>
    <cellStyle name="40% - Accent6 9" xfId="524"/>
    <cellStyle name="5x indented GHG Textfiels" xfId="525"/>
    <cellStyle name="5x indented GHG Textfiels 2" xfId="526"/>
    <cellStyle name="60% - Accent1 10" xfId="527"/>
    <cellStyle name="60% - Accent1 11" xfId="528"/>
    <cellStyle name="60% - Accent1 12" xfId="529"/>
    <cellStyle name="60% - Accent1 13" xfId="530"/>
    <cellStyle name="60% - Accent1 14" xfId="531"/>
    <cellStyle name="60% - Accent1 15" xfId="532"/>
    <cellStyle name="60% - Accent1 16" xfId="533"/>
    <cellStyle name="60% - Accent1 17" xfId="534"/>
    <cellStyle name="60% - Accent1 18" xfId="535"/>
    <cellStyle name="60% - Accent1 19" xfId="536"/>
    <cellStyle name="60% - Accent1 2" xfId="537"/>
    <cellStyle name="60% - Accent1 20" xfId="538"/>
    <cellStyle name="60% - Accent1 21" xfId="539"/>
    <cellStyle name="60% - Accent1 22" xfId="540"/>
    <cellStyle name="60% - Accent1 23" xfId="541"/>
    <cellStyle name="60% - Accent1 24" xfId="542"/>
    <cellStyle name="60% - Accent1 25" xfId="543"/>
    <cellStyle name="60% - Accent1 26" xfId="544"/>
    <cellStyle name="60% - Accent1 27" xfId="545"/>
    <cellStyle name="60% - Accent1 28" xfId="546"/>
    <cellStyle name="60% - Accent1 29" xfId="547"/>
    <cellStyle name="60% - Accent1 3" xfId="548"/>
    <cellStyle name="60% - Accent1 30" xfId="549"/>
    <cellStyle name="60% - Accent1 31" xfId="550"/>
    <cellStyle name="60% - Accent1 32" xfId="551"/>
    <cellStyle name="60% - Accent1 33" xfId="552"/>
    <cellStyle name="60% - Accent1 34" xfId="553"/>
    <cellStyle name="60% - Accent1 35" xfId="554"/>
    <cellStyle name="60% - Accent1 36" xfId="555"/>
    <cellStyle name="60% - Accent1 37" xfId="556"/>
    <cellStyle name="60% - Accent1 38" xfId="557"/>
    <cellStyle name="60% - Accent1 39" xfId="558"/>
    <cellStyle name="60% - Accent1 4" xfId="559"/>
    <cellStyle name="60% - Accent1 40" xfId="560"/>
    <cellStyle name="60% - Accent1 41" xfId="561"/>
    <cellStyle name="60% - Accent1 42" xfId="562"/>
    <cellStyle name="60% - Accent1 43" xfId="563"/>
    <cellStyle name="60% - Accent1 5" xfId="564"/>
    <cellStyle name="60% - Accent1 6" xfId="565"/>
    <cellStyle name="60% - Accent1 7" xfId="566"/>
    <cellStyle name="60% - Accent1 8" xfId="567"/>
    <cellStyle name="60% - Accent1 9" xfId="568"/>
    <cellStyle name="60% - Accent2 10" xfId="569"/>
    <cellStyle name="60% - Accent2 11" xfId="570"/>
    <cellStyle name="60% - Accent2 12" xfId="571"/>
    <cellStyle name="60% - Accent2 13" xfId="572"/>
    <cellStyle name="60% - Accent2 14" xfId="573"/>
    <cellStyle name="60% - Accent2 15" xfId="574"/>
    <cellStyle name="60% - Accent2 16" xfId="575"/>
    <cellStyle name="60% - Accent2 17" xfId="576"/>
    <cellStyle name="60% - Accent2 18" xfId="577"/>
    <cellStyle name="60% - Accent2 19" xfId="578"/>
    <cellStyle name="60% - Accent2 2" xfId="579"/>
    <cellStyle name="60% - Accent2 20" xfId="580"/>
    <cellStyle name="60% - Accent2 21" xfId="581"/>
    <cellStyle name="60% - Accent2 22" xfId="582"/>
    <cellStyle name="60% - Accent2 23" xfId="583"/>
    <cellStyle name="60% - Accent2 24" xfId="584"/>
    <cellStyle name="60% - Accent2 25" xfId="585"/>
    <cellStyle name="60% - Accent2 26" xfId="586"/>
    <cellStyle name="60% - Accent2 27" xfId="587"/>
    <cellStyle name="60% - Accent2 28" xfId="588"/>
    <cellStyle name="60% - Accent2 29" xfId="589"/>
    <cellStyle name="60% - Accent2 3" xfId="590"/>
    <cellStyle name="60% - Accent2 30" xfId="591"/>
    <cellStyle name="60% - Accent2 31" xfId="592"/>
    <cellStyle name="60% - Accent2 32" xfId="593"/>
    <cellStyle name="60% - Accent2 33" xfId="594"/>
    <cellStyle name="60% - Accent2 34" xfId="595"/>
    <cellStyle name="60% - Accent2 35" xfId="596"/>
    <cellStyle name="60% - Accent2 36" xfId="597"/>
    <cellStyle name="60% - Accent2 37" xfId="598"/>
    <cellStyle name="60% - Accent2 38" xfId="599"/>
    <cellStyle name="60% - Accent2 39" xfId="600"/>
    <cellStyle name="60% - Accent2 4" xfId="601"/>
    <cellStyle name="60% - Accent2 40" xfId="602"/>
    <cellStyle name="60% - Accent2 41" xfId="603"/>
    <cellStyle name="60% - Accent2 42" xfId="604"/>
    <cellStyle name="60% - Accent2 43" xfId="605"/>
    <cellStyle name="60% - Accent2 5" xfId="606"/>
    <cellStyle name="60% - Accent2 6" xfId="607"/>
    <cellStyle name="60% - Accent2 7" xfId="608"/>
    <cellStyle name="60% - Accent2 8" xfId="609"/>
    <cellStyle name="60% - Accent2 9" xfId="610"/>
    <cellStyle name="60% - Accent3 10" xfId="611"/>
    <cellStyle name="60% - Accent3 11" xfId="612"/>
    <cellStyle name="60% - Accent3 12" xfId="613"/>
    <cellStyle name="60% - Accent3 13" xfId="614"/>
    <cellStyle name="60% - Accent3 14" xfId="615"/>
    <cellStyle name="60% - Accent3 15" xfId="616"/>
    <cellStyle name="60% - Accent3 16" xfId="617"/>
    <cellStyle name="60% - Accent3 17" xfId="618"/>
    <cellStyle name="60% - Accent3 18" xfId="619"/>
    <cellStyle name="60% - Accent3 19" xfId="620"/>
    <cellStyle name="60% - Accent3 2" xfId="621"/>
    <cellStyle name="60% - Accent3 20" xfId="622"/>
    <cellStyle name="60% - Accent3 21" xfId="623"/>
    <cellStyle name="60% - Accent3 22" xfId="624"/>
    <cellStyle name="60% - Accent3 23" xfId="625"/>
    <cellStyle name="60% - Accent3 24" xfId="626"/>
    <cellStyle name="60% - Accent3 25" xfId="627"/>
    <cellStyle name="60% - Accent3 26" xfId="628"/>
    <cellStyle name="60% - Accent3 27" xfId="629"/>
    <cellStyle name="60% - Accent3 28" xfId="630"/>
    <cellStyle name="60% - Accent3 29" xfId="631"/>
    <cellStyle name="60% - Accent3 3" xfId="632"/>
    <cellStyle name="60% - Accent3 30" xfId="633"/>
    <cellStyle name="60% - Accent3 31" xfId="634"/>
    <cellStyle name="60% - Accent3 32" xfId="635"/>
    <cellStyle name="60% - Accent3 33" xfId="636"/>
    <cellStyle name="60% - Accent3 34" xfId="637"/>
    <cellStyle name="60% - Accent3 35" xfId="638"/>
    <cellStyle name="60% - Accent3 36" xfId="639"/>
    <cellStyle name="60% - Accent3 37" xfId="640"/>
    <cellStyle name="60% - Accent3 38" xfId="641"/>
    <cellStyle name="60% - Accent3 39" xfId="642"/>
    <cellStyle name="60% - Accent3 4" xfId="643"/>
    <cellStyle name="60% - Accent3 40" xfId="644"/>
    <cellStyle name="60% - Accent3 41" xfId="645"/>
    <cellStyle name="60% - Accent3 42" xfId="646"/>
    <cellStyle name="60% - Accent3 43" xfId="647"/>
    <cellStyle name="60% - Accent3 5" xfId="648"/>
    <cellStyle name="60% - Accent3 6" xfId="649"/>
    <cellStyle name="60% - Accent3 7" xfId="650"/>
    <cellStyle name="60% - Accent3 8" xfId="651"/>
    <cellStyle name="60% - Accent3 9" xfId="652"/>
    <cellStyle name="60% - Accent4 10" xfId="653"/>
    <cellStyle name="60% - Accent4 11" xfId="654"/>
    <cellStyle name="60% - Accent4 12" xfId="655"/>
    <cellStyle name="60% - Accent4 13" xfId="656"/>
    <cellStyle name="60% - Accent4 14" xfId="657"/>
    <cellStyle name="60% - Accent4 15" xfId="658"/>
    <cellStyle name="60% - Accent4 16" xfId="659"/>
    <cellStyle name="60% - Accent4 17" xfId="660"/>
    <cellStyle name="60% - Accent4 18" xfId="661"/>
    <cellStyle name="60% - Accent4 19" xfId="662"/>
    <cellStyle name="60% - Accent4 2" xfId="663"/>
    <cellStyle name="60% - Accent4 20" xfId="664"/>
    <cellStyle name="60% - Accent4 21" xfId="665"/>
    <cellStyle name="60% - Accent4 22" xfId="666"/>
    <cellStyle name="60% - Accent4 23" xfId="667"/>
    <cellStyle name="60% - Accent4 24" xfId="668"/>
    <cellStyle name="60% - Accent4 25" xfId="669"/>
    <cellStyle name="60% - Accent4 26" xfId="670"/>
    <cellStyle name="60% - Accent4 27" xfId="671"/>
    <cellStyle name="60% - Accent4 28" xfId="672"/>
    <cellStyle name="60% - Accent4 29" xfId="673"/>
    <cellStyle name="60% - Accent4 3" xfId="674"/>
    <cellStyle name="60% - Accent4 30" xfId="675"/>
    <cellStyle name="60% - Accent4 31" xfId="676"/>
    <cellStyle name="60% - Accent4 32" xfId="677"/>
    <cellStyle name="60% - Accent4 33" xfId="678"/>
    <cellStyle name="60% - Accent4 34" xfId="679"/>
    <cellStyle name="60% - Accent4 35" xfId="680"/>
    <cellStyle name="60% - Accent4 36" xfId="681"/>
    <cellStyle name="60% - Accent4 37" xfId="682"/>
    <cellStyle name="60% - Accent4 38" xfId="683"/>
    <cellStyle name="60% - Accent4 39" xfId="684"/>
    <cellStyle name="60% - Accent4 4" xfId="685"/>
    <cellStyle name="60% - Accent4 40" xfId="686"/>
    <cellStyle name="60% - Accent4 41" xfId="687"/>
    <cellStyle name="60% - Accent4 42" xfId="688"/>
    <cellStyle name="60% - Accent4 43" xfId="689"/>
    <cellStyle name="60% - Accent4 5" xfId="690"/>
    <cellStyle name="60% - Accent4 6" xfId="691"/>
    <cellStyle name="60% - Accent4 7" xfId="692"/>
    <cellStyle name="60% - Accent4 8" xfId="693"/>
    <cellStyle name="60% - Accent4 9" xfId="694"/>
    <cellStyle name="60% - Accent5 10" xfId="695"/>
    <cellStyle name="60% - Accent5 11" xfId="696"/>
    <cellStyle name="60% - Accent5 12" xfId="697"/>
    <cellStyle name="60% - Accent5 13" xfId="698"/>
    <cellStyle name="60% - Accent5 14" xfId="699"/>
    <cellStyle name="60% - Accent5 15" xfId="700"/>
    <cellStyle name="60% - Accent5 16" xfId="701"/>
    <cellStyle name="60% - Accent5 17" xfId="702"/>
    <cellStyle name="60% - Accent5 18" xfId="703"/>
    <cellStyle name="60% - Accent5 19" xfId="704"/>
    <cellStyle name="60% - Accent5 2" xfId="705"/>
    <cellStyle name="60% - Accent5 20" xfId="706"/>
    <cellStyle name="60% - Accent5 21" xfId="707"/>
    <cellStyle name="60% - Accent5 22" xfId="708"/>
    <cellStyle name="60% - Accent5 23" xfId="709"/>
    <cellStyle name="60% - Accent5 24" xfId="710"/>
    <cellStyle name="60% - Accent5 25" xfId="711"/>
    <cellStyle name="60% - Accent5 26" xfId="712"/>
    <cellStyle name="60% - Accent5 27" xfId="713"/>
    <cellStyle name="60% - Accent5 28" xfId="714"/>
    <cellStyle name="60% - Accent5 29" xfId="715"/>
    <cellStyle name="60% - Accent5 3" xfId="716"/>
    <cellStyle name="60% - Accent5 30" xfId="717"/>
    <cellStyle name="60% - Accent5 31" xfId="718"/>
    <cellStyle name="60% - Accent5 32" xfId="719"/>
    <cellStyle name="60% - Accent5 33" xfId="720"/>
    <cellStyle name="60% - Accent5 34" xfId="721"/>
    <cellStyle name="60% - Accent5 35" xfId="722"/>
    <cellStyle name="60% - Accent5 36" xfId="723"/>
    <cellStyle name="60% - Accent5 37" xfId="724"/>
    <cellStyle name="60% - Accent5 38" xfId="725"/>
    <cellStyle name="60% - Accent5 39" xfId="726"/>
    <cellStyle name="60% - Accent5 4" xfId="727"/>
    <cellStyle name="60% - Accent5 40" xfId="728"/>
    <cellStyle name="60% - Accent5 41" xfId="729"/>
    <cellStyle name="60% - Accent5 42" xfId="730"/>
    <cellStyle name="60% - Accent5 43" xfId="731"/>
    <cellStyle name="60% - Accent5 5" xfId="732"/>
    <cellStyle name="60% - Accent5 6" xfId="733"/>
    <cellStyle name="60% - Accent5 7" xfId="734"/>
    <cellStyle name="60% - Accent5 8" xfId="735"/>
    <cellStyle name="60% - Accent5 9" xfId="736"/>
    <cellStyle name="60% - Accent6 10" xfId="737"/>
    <cellStyle name="60% - Accent6 11" xfId="738"/>
    <cellStyle name="60% - Accent6 12" xfId="739"/>
    <cellStyle name="60% - Accent6 13" xfId="740"/>
    <cellStyle name="60% - Accent6 14" xfId="741"/>
    <cellStyle name="60% - Accent6 15" xfId="742"/>
    <cellStyle name="60% - Accent6 16" xfId="743"/>
    <cellStyle name="60% - Accent6 17" xfId="744"/>
    <cellStyle name="60% - Accent6 18" xfId="745"/>
    <cellStyle name="60% - Accent6 19" xfId="746"/>
    <cellStyle name="60% - Accent6 2" xfId="747"/>
    <cellStyle name="60% - Accent6 20" xfId="748"/>
    <cellStyle name="60% - Accent6 21" xfId="749"/>
    <cellStyle name="60% - Accent6 22" xfId="750"/>
    <cellStyle name="60% - Accent6 23" xfId="751"/>
    <cellStyle name="60% - Accent6 24" xfId="752"/>
    <cellStyle name="60% - Accent6 25" xfId="753"/>
    <cellStyle name="60% - Accent6 26" xfId="754"/>
    <cellStyle name="60% - Accent6 27" xfId="755"/>
    <cellStyle name="60% - Accent6 28" xfId="756"/>
    <cellStyle name="60% - Accent6 29" xfId="757"/>
    <cellStyle name="60% - Accent6 3" xfId="758"/>
    <cellStyle name="60% - Accent6 30" xfId="759"/>
    <cellStyle name="60% - Accent6 31" xfId="760"/>
    <cellStyle name="60% - Accent6 32" xfId="761"/>
    <cellStyle name="60% - Accent6 33" xfId="762"/>
    <cellStyle name="60% - Accent6 34" xfId="763"/>
    <cellStyle name="60% - Accent6 35" xfId="764"/>
    <cellStyle name="60% - Accent6 36" xfId="765"/>
    <cellStyle name="60% - Accent6 37" xfId="766"/>
    <cellStyle name="60% - Accent6 38" xfId="767"/>
    <cellStyle name="60% - Accent6 39" xfId="768"/>
    <cellStyle name="60% - Accent6 4" xfId="769"/>
    <cellStyle name="60% - Accent6 40" xfId="770"/>
    <cellStyle name="60% - Accent6 41" xfId="771"/>
    <cellStyle name="60% - Accent6 42" xfId="772"/>
    <cellStyle name="60% - Accent6 43" xfId="773"/>
    <cellStyle name="60% - Accent6 5" xfId="774"/>
    <cellStyle name="60% - Accent6 6" xfId="775"/>
    <cellStyle name="60% - Accent6 7" xfId="776"/>
    <cellStyle name="60% - Accent6 8" xfId="777"/>
    <cellStyle name="60% - Accent6 9" xfId="778"/>
    <cellStyle name="60% - Cor4 2" xfId="779"/>
    <cellStyle name="Accent1 10" xfId="780"/>
    <cellStyle name="Accent1 11" xfId="781"/>
    <cellStyle name="Accent1 12" xfId="782"/>
    <cellStyle name="Accent1 13" xfId="783"/>
    <cellStyle name="Accent1 14" xfId="784"/>
    <cellStyle name="Accent1 15" xfId="785"/>
    <cellStyle name="Accent1 16" xfId="786"/>
    <cellStyle name="Accent1 17" xfId="787"/>
    <cellStyle name="Accent1 18" xfId="788"/>
    <cellStyle name="Accent1 19" xfId="789"/>
    <cellStyle name="Accent1 2" xfId="790"/>
    <cellStyle name="Accent1 20" xfId="791"/>
    <cellStyle name="Accent1 21" xfId="792"/>
    <cellStyle name="Accent1 22" xfId="793"/>
    <cellStyle name="Accent1 23" xfId="794"/>
    <cellStyle name="Accent1 24" xfId="795"/>
    <cellStyle name="Accent1 25" xfId="796"/>
    <cellStyle name="Accent1 26" xfId="797"/>
    <cellStyle name="Accent1 27" xfId="798"/>
    <cellStyle name="Accent1 28" xfId="799"/>
    <cellStyle name="Accent1 29" xfId="800"/>
    <cellStyle name="Accent1 3" xfId="801"/>
    <cellStyle name="Accent1 30" xfId="802"/>
    <cellStyle name="Accent1 31" xfId="803"/>
    <cellStyle name="Accent1 32" xfId="804"/>
    <cellStyle name="Accent1 33" xfId="805"/>
    <cellStyle name="Accent1 34" xfId="806"/>
    <cellStyle name="Accent1 35" xfId="807"/>
    <cellStyle name="Accent1 36" xfId="808"/>
    <cellStyle name="Accent1 37" xfId="809"/>
    <cellStyle name="Accent1 38" xfId="810"/>
    <cellStyle name="Accent1 39" xfId="811"/>
    <cellStyle name="Accent1 4" xfId="812"/>
    <cellStyle name="Accent1 40" xfId="813"/>
    <cellStyle name="Accent1 41" xfId="814"/>
    <cellStyle name="Accent1 42" xfId="815"/>
    <cellStyle name="Accent1 43" xfId="816"/>
    <cellStyle name="Accent1 5" xfId="817"/>
    <cellStyle name="Accent1 6" xfId="818"/>
    <cellStyle name="Accent1 7" xfId="819"/>
    <cellStyle name="Accent1 8" xfId="820"/>
    <cellStyle name="Accent1 9" xfId="821"/>
    <cellStyle name="Accent2 10" xfId="822"/>
    <cellStyle name="Accent2 11" xfId="823"/>
    <cellStyle name="Accent2 12" xfId="824"/>
    <cellStyle name="Accent2 13" xfId="825"/>
    <cellStyle name="Accent2 14" xfId="826"/>
    <cellStyle name="Accent2 15" xfId="827"/>
    <cellStyle name="Accent2 16" xfId="828"/>
    <cellStyle name="Accent2 17" xfId="829"/>
    <cellStyle name="Accent2 18" xfId="830"/>
    <cellStyle name="Accent2 19" xfId="831"/>
    <cellStyle name="Accent2 2" xfId="832"/>
    <cellStyle name="Accent2 20" xfId="833"/>
    <cellStyle name="Accent2 21" xfId="834"/>
    <cellStyle name="Accent2 22" xfId="835"/>
    <cellStyle name="Accent2 23" xfId="836"/>
    <cellStyle name="Accent2 24" xfId="837"/>
    <cellStyle name="Accent2 25" xfId="838"/>
    <cellStyle name="Accent2 26" xfId="839"/>
    <cellStyle name="Accent2 27" xfId="840"/>
    <cellStyle name="Accent2 28" xfId="841"/>
    <cellStyle name="Accent2 29" xfId="842"/>
    <cellStyle name="Accent2 3" xfId="843"/>
    <cellStyle name="Accent2 30" xfId="844"/>
    <cellStyle name="Accent2 31" xfId="845"/>
    <cellStyle name="Accent2 32" xfId="846"/>
    <cellStyle name="Accent2 33" xfId="847"/>
    <cellStyle name="Accent2 34" xfId="848"/>
    <cellStyle name="Accent2 35" xfId="849"/>
    <cellStyle name="Accent2 36" xfId="850"/>
    <cellStyle name="Accent2 37" xfId="851"/>
    <cellStyle name="Accent2 38" xfId="852"/>
    <cellStyle name="Accent2 39" xfId="853"/>
    <cellStyle name="Accent2 4" xfId="854"/>
    <cellStyle name="Accent2 40" xfId="855"/>
    <cellStyle name="Accent2 41" xfId="856"/>
    <cellStyle name="Accent2 42" xfId="857"/>
    <cellStyle name="Accent2 43" xfId="858"/>
    <cellStyle name="Accent2 5" xfId="859"/>
    <cellStyle name="Accent2 6" xfId="860"/>
    <cellStyle name="Accent2 7" xfId="861"/>
    <cellStyle name="Accent2 8" xfId="862"/>
    <cellStyle name="Accent2 9" xfId="863"/>
    <cellStyle name="Accent3 10" xfId="864"/>
    <cellStyle name="Accent3 11" xfId="865"/>
    <cellStyle name="Accent3 12" xfId="866"/>
    <cellStyle name="Accent3 13" xfId="867"/>
    <cellStyle name="Accent3 14" xfId="868"/>
    <cellStyle name="Accent3 15" xfId="869"/>
    <cellStyle name="Accent3 16" xfId="870"/>
    <cellStyle name="Accent3 17" xfId="871"/>
    <cellStyle name="Accent3 18" xfId="872"/>
    <cellStyle name="Accent3 19" xfId="873"/>
    <cellStyle name="Accent3 2" xfId="874"/>
    <cellStyle name="Accent3 20" xfId="875"/>
    <cellStyle name="Accent3 21" xfId="876"/>
    <cellStyle name="Accent3 22" xfId="877"/>
    <cellStyle name="Accent3 23" xfId="878"/>
    <cellStyle name="Accent3 24" xfId="879"/>
    <cellStyle name="Accent3 25" xfId="880"/>
    <cellStyle name="Accent3 26" xfId="881"/>
    <cellStyle name="Accent3 27" xfId="882"/>
    <cellStyle name="Accent3 28" xfId="883"/>
    <cellStyle name="Accent3 29" xfId="884"/>
    <cellStyle name="Accent3 3" xfId="885"/>
    <cellStyle name="Accent3 30" xfId="886"/>
    <cellStyle name="Accent3 31" xfId="887"/>
    <cellStyle name="Accent3 32" xfId="888"/>
    <cellStyle name="Accent3 33" xfId="889"/>
    <cellStyle name="Accent3 34" xfId="890"/>
    <cellStyle name="Accent3 35" xfId="891"/>
    <cellStyle name="Accent3 36" xfId="892"/>
    <cellStyle name="Accent3 37" xfId="893"/>
    <cellStyle name="Accent3 38" xfId="894"/>
    <cellStyle name="Accent3 39" xfId="895"/>
    <cellStyle name="Accent3 4" xfId="896"/>
    <cellStyle name="Accent3 40" xfId="897"/>
    <cellStyle name="Accent3 41" xfId="898"/>
    <cellStyle name="Accent3 42" xfId="899"/>
    <cellStyle name="Accent3 43" xfId="900"/>
    <cellStyle name="Accent3 5" xfId="901"/>
    <cellStyle name="Accent3 6" xfId="902"/>
    <cellStyle name="Accent3 7" xfId="903"/>
    <cellStyle name="Accent3 8" xfId="904"/>
    <cellStyle name="Accent3 9" xfId="905"/>
    <cellStyle name="Accent4 10" xfId="906"/>
    <cellStyle name="Accent4 11" xfId="907"/>
    <cellStyle name="Accent4 12" xfId="908"/>
    <cellStyle name="Accent4 13" xfId="909"/>
    <cellStyle name="Accent4 14" xfId="910"/>
    <cellStyle name="Accent4 15" xfId="911"/>
    <cellStyle name="Accent4 16" xfId="912"/>
    <cellStyle name="Accent4 17" xfId="913"/>
    <cellStyle name="Accent4 18" xfId="914"/>
    <cellStyle name="Accent4 19" xfId="915"/>
    <cellStyle name="Accent4 2" xfId="916"/>
    <cellStyle name="Accent4 20" xfId="917"/>
    <cellStyle name="Accent4 21" xfId="918"/>
    <cellStyle name="Accent4 22" xfId="919"/>
    <cellStyle name="Accent4 23" xfId="920"/>
    <cellStyle name="Accent4 24" xfId="921"/>
    <cellStyle name="Accent4 25" xfId="922"/>
    <cellStyle name="Accent4 26" xfId="923"/>
    <cellStyle name="Accent4 27" xfId="924"/>
    <cellStyle name="Accent4 28" xfId="925"/>
    <cellStyle name="Accent4 29" xfId="926"/>
    <cellStyle name="Accent4 3" xfId="927"/>
    <cellStyle name="Accent4 30" xfId="928"/>
    <cellStyle name="Accent4 31" xfId="929"/>
    <cellStyle name="Accent4 32" xfId="930"/>
    <cellStyle name="Accent4 33" xfId="931"/>
    <cellStyle name="Accent4 34" xfId="932"/>
    <cellStyle name="Accent4 35" xfId="933"/>
    <cellStyle name="Accent4 36" xfId="934"/>
    <cellStyle name="Accent4 37" xfId="935"/>
    <cellStyle name="Accent4 38" xfId="936"/>
    <cellStyle name="Accent4 39" xfId="937"/>
    <cellStyle name="Accent4 4" xfId="938"/>
    <cellStyle name="Accent4 40" xfId="939"/>
    <cellStyle name="Accent4 41" xfId="940"/>
    <cellStyle name="Accent4 42" xfId="941"/>
    <cellStyle name="Accent4 43" xfId="942"/>
    <cellStyle name="Accent4 5" xfId="943"/>
    <cellStyle name="Accent4 6" xfId="944"/>
    <cellStyle name="Accent4 7" xfId="945"/>
    <cellStyle name="Accent4 8" xfId="946"/>
    <cellStyle name="Accent4 9" xfId="947"/>
    <cellStyle name="Accent5 10" xfId="948"/>
    <cellStyle name="Accent5 11" xfId="949"/>
    <cellStyle name="Accent5 12" xfId="950"/>
    <cellStyle name="Accent5 13" xfId="951"/>
    <cellStyle name="Accent5 14" xfId="952"/>
    <cellStyle name="Accent5 15" xfId="953"/>
    <cellStyle name="Accent5 16" xfId="954"/>
    <cellStyle name="Accent5 17" xfId="955"/>
    <cellStyle name="Accent5 18" xfId="956"/>
    <cellStyle name="Accent5 19" xfId="957"/>
    <cellStyle name="Accent5 2" xfId="958"/>
    <cellStyle name="Accent5 20" xfId="959"/>
    <cellStyle name="Accent5 21" xfId="960"/>
    <cellStyle name="Accent5 22" xfId="961"/>
    <cellStyle name="Accent5 23" xfId="962"/>
    <cellStyle name="Accent5 24" xfId="963"/>
    <cellStyle name="Accent5 25" xfId="964"/>
    <cellStyle name="Accent5 26" xfId="965"/>
    <cellStyle name="Accent5 27" xfId="966"/>
    <cellStyle name="Accent5 28" xfId="967"/>
    <cellStyle name="Accent5 29" xfId="968"/>
    <cellStyle name="Accent5 3" xfId="969"/>
    <cellStyle name="Accent5 30" xfId="970"/>
    <cellStyle name="Accent5 31" xfId="971"/>
    <cellStyle name="Accent5 32" xfId="972"/>
    <cellStyle name="Accent5 33" xfId="973"/>
    <cellStyle name="Accent5 34" xfId="974"/>
    <cellStyle name="Accent5 35" xfId="975"/>
    <cellStyle name="Accent5 36" xfId="976"/>
    <cellStyle name="Accent5 37" xfId="977"/>
    <cellStyle name="Accent5 38" xfId="978"/>
    <cellStyle name="Accent5 39" xfId="979"/>
    <cellStyle name="Accent5 4" xfId="980"/>
    <cellStyle name="Accent5 40" xfId="981"/>
    <cellStyle name="Accent5 41" xfId="982"/>
    <cellStyle name="Accent5 42" xfId="983"/>
    <cellStyle name="Accent5 43" xfId="984"/>
    <cellStyle name="Accent5 5" xfId="985"/>
    <cellStyle name="Accent5 6" xfId="986"/>
    <cellStyle name="Accent5 7" xfId="987"/>
    <cellStyle name="Accent5 8" xfId="988"/>
    <cellStyle name="Accent5 9" xfId="989"/>
    <cellStyle name="Accent6 10" xfId="990"/>
    <cellStyle name="Accent6 11" xfId="991"/>
    <cellStyle name="Accent6 12" xfId="992"/>
    <cellStyle name="Accent6 13" xfId="993"/>
    <cellStyle name="Accent6 14" xfId="994"/>
    <cellStyle name="Accent6 15" xfId="995"/>
    <cellStyle name="Accent6 16" xfId="996"/>
    <cellStyle name="Accent6 17" xfId="997"/>
    <cellStyle name="Accent6 18" xfId="998"/>
    <cellStyle name="Accent6 19" xfId="999"/>
    <cellStyle name="Accent6 2" xfId="1000"/>
    <cellStyle name="Accent6 20" xfId="1001"/>
    <cellStyle name="Accent6 21" xfId="1002"/>
    <cellStyle name="Accent6 22" xfId="1003"/>
    <cellStyle name="Accent6 23" xfId="1004"/>
    <cellStyle name="Accent6 24" xfId="1005"/>
    <cellStyle name="Accent6 25" xfId="1006"/>
    <cellStyle name="Accent6 26" xfId="1007"/>
    <cellStyle name="Accent6 27" xfId="1008"/>
    <cellStyle name="Accent6 28" xfId="1009"/>
    <cellStyle name="Accent6 29" xfId="1010"/>
    <cellStyle name="Accent6 3" xfId="1011"/>
    <cellStyle name="Accent6 30" xfId="1012"/>
    <cellStyle name="Accent6 31" xfId="1013"/>
    <cellStyle name="Accent6 32" xfId="1014"/>
    <cellStyle name="Accent6 33" xfId="1015"/>
    <cellStyle name="Accent6 34" xfId="1016"/>
    <cellStyle name="Accent6 35" xfId="1017"/>
    <cellStyle name="Accent6 36" xfId="1018"/>
    <cellStyle name="Accent6 37" xfId="1019"/>
    <cellStyle name="Accent6 38" xfId="1020"/>
    <cellStyle name="Accent6 39" xfId="1021"/>
    <cellStyle name="Accent6 4" xfId="1022"/>
    <cellStyle name="Accent6 40" xfId="1023"/>
    <cellStyle name="Accent6 41" xfId="1024"/>
    <cellStyle name="Accent6 42" xfId="1025"/>
    <cellStyle name="Accent6 43" xfId="1026"/>
    <cellStyle name="Accent6 5" xfId="1027"/>
    <cellStyle name="Accent6 6" xfId="1028"/>
    <cellStyle name="Accent6 7" xfId="1029"/>
    <cellStyle name="Accent6 8" xfId="1030"/>
    <cellStyle name="Accent6 9" xfId="1031"/>
    <cellStyle name="AggblueBoldCels" xfId="1032"/>
    <cellStyle name="AggblueCels" xfId="1033"/>
    <cellStyle name="AggBoldCells" xfId="1034"/>
    <cellStyle name="AggCels" xfId="1035"/>
    <cellStyle name="AggGreen" xfId="1036"/>
    <cellStyle name="AggGreen12" xfId="1037"/>
    <cellStyle name="AggOrange" xfId="1038"/>
    <cellStyle name="AggOrange9" xfId="1039"/>
    <cellStyle name="AggOrangeLB_2x" xfId="1040"/>
    <cellStyle name="AggOrangeLBorder" xfId="1041"/>
    <cellStyle name="AggOrangeRBorder" xfId="1042"/>
    <cellStyle name="Bad 10" xfId="1043"/>
    <cellStyle name="Bad 11" xfId="1044"/>
    <cellStyle name="Bad 12" xfId="1045"/>
    <cellStyle name="Bad 13" xfId="1046"/>
    <cellStyle name="Bad 14" xfId="1047"/>
    <cellStyle name="Bad 15" xfId="1048"/>
    <cellStyle name="Bad 16" xfId="1049"/>
    <cellStyle name="Bad 17" xfId="1050"/>
    <cellStyle name="Bad 18" xfId="1051"/>
    <cellStyle name="Bad 19" xfId="1052"/>
    <cellStyle name="Bad 2" xfId="1053"/>
    <cellStyle name="Bad 20" xfId="1054"/>
    <cellStyle name="Bad 21" xfId="1055"/>
    <cellStyle name="Bad 22" xfId="1056"/>
    <cellStyle name="Bad 23" xfId="1057"/>
    <cellStyle name="Bad 24" xfId="1058"/>
    <cellStyle name="Bad 25" xfId="1059"/>
    <cellStyle name="Bad 26" xfId="1060"/>
    <cellStyle name="Bad 27" xfId="1061"/>
    <cellStyle name="Bad 28" xfId="1062"/>
    <cellStyle name="Bad 29" xfId="1063"/>
    <cellStyle name="Bad 3" xfId="1064"/>
    <cellStyle name="Bad 30" xfId="1065"/>
    <cellStyle name="Bad 31" xfId="1066"/>
    <cellStyle name="Bad 32" xfId="1067"/>
    <cellStyle name="Bad 33" xfId="1068"/>
    <cellStyle name="Bad 34" xfId="1069"/>
    <cellStyle name="Bad 35" xfId="1070"/>
    <cellStyle name="Bad 36" xfId="1071"/>
    <cellStyle name="Bad 37" xfId="1072"/>
    <cellStyle name="Bad 38" xfId="1073"/>
    <cellStyle name="Bad 39" xfId="1074"/>
    <cellStyle name="Bad 4" xfId="1075"/>
    <cellStyle name="Bad 40" xfId="1076"/>
    <cellStyle name="Bad 41" xfId="1077"/>
    <cellStyle name="Bad 42" xfId="1078"/>
    <cellStyle name="Bad 43" xfId="1079"/>
    <cellStyle name="Bad 5" xfId="1080"/>
    <cellStyle name="Bad 6" xfId="1081"/>
    <cellStyle name="Bad 7" xfId="1082"/>
    <cellStyle name="Bad 8" xfId="1083"/>
    <cellStyle name="Bad 9" xfId="1084"/>
    <cellStyle name="Bold GHG Numbers (0.00)" xfId="1085"/>
    <cellStyle name="Calculation 10" xfId="1086"/>
    <cellStyle name="Calculation 11" xfId="1087"/>
    <cellStyle name="Calculation 12" xfId="1088"/>
    <cellStyle name="Calculation 13" xfId="1089"/>
    <cellStyle name="Calculation 14" xfId="1090"/>
    <cellStyle name="Calculation 15" xfId="1091"/>
    <cellStyle name="Calculation 16" xfId="1092"/>
    <cellStyle name="Calculation 17" xfId="1093"/>
    <cellStyle name="Calculation 18" xfId="1094"/>
    <cellStyle name="Calculation 19" xfId="1095"/>
    <cellStyle name="Calculation 2" xfId="1096"/>
    <cellStyle name="Calculation 20" xfId="1097"/>
    <cellStyle name="Calculation 21" xfId="1098"/>
    <cellStyle name="Calculation 22" xfId="1099"/>
    <cellStyle name="Calculation 23" xfId="1100"/>
    <cellStyle name="Calculation 24" xfId="1101"/>
    <cellStyle name="Calculation 25" xfId="1102"/>
    <cellStyle name="Calculation 26" xfId="1103"/>
    <cellStyle name="Calculation 27" xfId="1104"/>
    <cellStyle name="Calculation 28" xfId="1105"/>
    <cellStyle name="Calculation 29" xfId="1106"/>
    <cellStyle name="Calculation 3" xfId="1107"/>
    <cellStyle name="Calculation 30" xfId="1108"/>
    <cellStyle name="Calculation 31" xfId="1109"/>
    <cellStyle name="Calculation 32" xfId="1110"/>
    <cellStyle name="Calculation 33" xfId="1111"/>
    <cellStyle name="Calculation 34" xfId="1112"/>
    <cellStyle name="Calculation 35" xfId="1113"/>
    <cellStyle name="Calculation 36" xfId="1114"/>
    <cellStyle name="Calculation 37" xfId="1115"/>
    <cellStyle name="Calculation 38" xfId="1116"/>
    <cellStyle name="Calculation 39" xfId="1117"/>
    <cellStyle name="Calculation 4" xfId="1118"/>
    <cellStyle name="Calculation 40" xfId="1119"/>
    <cellStyle name="Calculation 41" xfId="1120"/>
    <cellStyle name="Calculation 42" xfId="1121"/>
    <cellStyle name="Calculation 43" xfId="1122"/>
    <cellStyle name="Calculation 5" xfId="1123"/>
    <cellStyle name="Calculation 6" xfId="1124"/>
    <cellStyle name="Calculation 7" xfId="1125"/>
    <cellStyle name="Calculation 8" xfId="1126"/>
    <cellStyle name="Calculation 9" xfId="1127"/>
    <cellStyle name="Check Cell 10" xfId="1128"/>
    <cellStyle name="Check Cell 11" xfId="1129"/>
    <cellStyle name="Check Cell 12" xfId="1130"/>
    <cellStyle name="Check Cell 13" xfId="1131"/>
    <cellStyle name="Check Cell 14" xfId="1132"/>
    <cellStyle name="Check Cell 15" xfId="1133"/>
    <cellStyle name="Check Cell 16" xfId="1134"/>
    <cellStyle name="Check Cell 17" xfId="1135"/>
    <cellStyle name="Check Cell 18" xfId="1136"/>
    <cellStyle name="Check Cell 19" xfId="1137"/>
    <cellStyle name="Check Cell 2" xfId="1138"/>
    <cellStyle name="Check Cell 20" xfId="1139"/>
    <cellStyle name="Check Cell 21" xfId="1140"/>
    <cellStyle name="Check Cell 22" xfId="1141"/>
    <cellStyle name="Check Cell 23" xfId="1142"/>
    <cellStyle name="Check Cell 24" xfId="1143"/>
    <cellStyle name="Check Cell 25" xfId="1144"/>
    <cellStyle name="Check Cell 26" xfId="1145"/>
    <cellStyle name="Check Cell 27" xfId="1146"/>
    <cellStyle name="Check Cell 28" xfId="1147"/>
    <cellStyle name="Check Cell 29" xfId="1148"/>
    <cellStyle name="Check Cell 3" xfId="1149"/>
    <cellStyle name="Check Cell 30" xfId="1150"/>
    <cellStyle name="Check Cell 31" xfId="1151"/>
    <cellStyle name="Check Cell 32" xfId="1152"/>
    <cellStyle name="Check Cell 33" xfId="1153"/>
    <cellStyle name="Check Cell 34" xfId="1154"/>
    <cellStyle name="Check Cell 35" xfId="1155"/>
    <cellStyle name="Check Cell 36" xfId="1156"/>
    <cellStyle name="Check Cell 37" xfId="1157"/>
    <cellStyle name="Check Cell 38" xfId="1158"/>
    <cellStyle name="Check Cell 39" xfId="1159"/>
    <cellStyle name="Check Cell 4" xfId="1160"/>
    <cellStyle name="Check Cell 40" xfId="1161"/>
    <cellStyle name="Check Cell 41" xfId="1162"/>
    <cellStyle name="Check Cell 42" xfId="1163"/>
    <cellStyle name="Check Cell 43" xfId="1164"/>
    <cellStyle name="Check Cell 5" xfId="1165"/>
    <cellStyle name="Check Cell 6" xfId="1166"/>
    <cellStyle name="Check Cell 7" xfId="1167"/>
    <cellStyle name="Check Cell 8" xfId="1168"/>
    <cellStyle name="Check Cell 9" xfId="1169"/>
    <cellStyle name="coin" xfId="1170"/>
    <cellStyle name="Comma [0] 2" xfId="1171"/>
    <cellStyle name="Comma 14" xfId="1172"/>
    <cellStyle name="Comma 2" xfId="1173"/>
    <cellStyle name="Comma 2 2" xfId="1174"/>
    <cellStyle name="Comma 2 3" xfId="1175"/>
    <cellStyle name="Comma 3" xfId="1176"/>
    <cellStyle name="Comma 3 2" xfId="1177"/>
    <cellStyle name="Comma 4" xfId="1178"/>
    <cellStyle name="Comma 5 2" xfId="1179"/>
    <cellStyle name="Comma 5 3" xfId="1180"/>
    <cellStyle name="Comma 5 3 2" xfId="1181"/>
    <cellStyle name="Comma 8 2" xfId="1182"/>
    <cellStyle name="Comma 8 2 2" xfId="1183"/>
    <cellStyle name="Constants" xfId="1184"/>
    <cellStyle name="CustomCellsOrange" xfId="1185"/>
    <cellStyle name="CustomizationCells" xfId="1186"/>
    <cellStyle name="CustomizationGreenCells" xfId="1187"/>
    <cellStyle name="DocBox_EmptyRow" xfId="1188"/>
    <cellStyle name="donn_normal" xfId="1189"/>
    <cellStyle name="Empty_B_border" xfId="1190"/>
    <cellStyle name="ent_col_ser" xfId="1191"/>
    <cellStyle name="entete_source" xfId="1192"/>
    <cellStyle name="Estilo 1" xfId="1193"/>
    <cellStyle name="Euro" xfId="1194"/>
    <cellStyle name="Euro 10" xfId="1195"/>
    <cellStyle name="Euro 10 2" xfId="1196"/>
    <cellStyle name="Euro 11" xfId="1197"/>
    <cellStyle name="Euro 11 2" xfId="1198"/>
    <cellStyle name="Euro 12" xfId="1199"/>
    <cellStyle name="Euro 13" xfId="1200"/>
    <cellStyle name="Euro 14" xfId="1201"/>
    <cellStyle name="Euro 15" xfId="1202"/>
    <cellStyle name="Euro 16" xfId="1203"/>
    <cellStyle name="Euro 17" xfId="1204"/>
    <cellStyle name="Euro 18" xfId="1205"/>
    <cellStyle name="Euro 19" xfId="1206"/>
    <cellStyle name="Euro 2" xfId="1207"/>
    <cellStyle name="Euro 2 2" xfId="1208"/>
    <cellStyle name="Euro 2 3" xfId="1209"/>
    <cellStyle name="Euro 2 3 2" xfId="1210"/>
    <cellStyle name="Euro 2 4" xfId="1211"/>
    <cellStyle name="Euro 20" xfId="1212"/>
    <cellStyle name="Euro 21" xfId="1213"/>
    <cellStyle name="Euro 22" xfId="1214"/>
    <cellStyle name="Euro 23" xfId="1215"/>
    <cellStyle name="Euro 24" xfId="1216"/>
    <cellStyle name="Euro 25" xfId="1217"/>
    <cellStyle name="Euro 26" xfId="1218"/>
    <cellStyle name="Euro 27" xfId="1219"/>
    <cellStyle name="Euro 28" xfId="1220"/>
    <cellStyle name="Euro 29" xfId="1221"/>
    <cellStyle name="Euro 3" xfId="1222"/>
    <cellStyle name="Euro 3 2" xfId="1223"/>
    <cellStyle name="Euro 3 3" xfId="1224"/>
    <cellStyle name="Euro 30" xfId="1225"/>
    <cellStyle name="Euro 31" xfId="1226"/>
    <cellStyle name="Euro 32" xfId="1227"/>
    <cellStyle name="Euro 33" xfId="1228"/>
    <cellStyle name="Euro 34" xfId="1229"/>
    <cellStyle name="Euro 35" xfId="1230"/>
    <cellStyle name="Euro 36" xfId="1231"/>
    <cellStyle name="Euro 37" xfId="1232"/>
    <cellStyle name="Euro 38" xfId="1233"/>
    <cellStyle name="Euro 39" xfId="1234"/>
    <cellStyle name="Euro 4" xfId="1235"/>
    <cellStyle name="Euro 4 2" xfId="1236"/>
    <cellStyle name="Euro 4 3" xfId="1237"/>
    <cellStyle name="Euro 40" xfId="1238"/>
    <cellStyle name="Euro 41" xfId="1239"/>
    <cellStyle name="Euro 42" xfId="1240"/>
    <cellStyle name="Euro 43" xfId="1241"/>
    <cellStyle name="Euro 44" xfId="1242"/>
    <cellStyle name="Euro 45" xfId="1243"/>
    <cellStyle name="Euro 46" xfId="1244"/>
    <cellStyle name="Euro 47" xfId="1245"/>
    <cellStyle name="Euro 48" xfId="1246"/>
    <cellStyle name="Euro 48 2" xfId="1247"/>
    <cellStyle name="Euro 49" xfId="1248"/>
    <cellStyle name="Euro 49 2" xfId="1249"/>
    <cellStyle name="Euro 5" xfId="1250"/>
    <cellStyle name="Euro 5 2" xfId="1251"/>
    <cellStyle name="Euro 5 3" xfId="1252"/>
    <cellStyle name="Euro 50" xfId="1253"/>
    <cellStyle name="Euro 50 2" xfId="1254"/>
    <cellStyle name="Euro 51" xfId="1255"/>
    <cellStyle name="Euro 51 2" xfId="1256"/>
    <cellStyle name="Euro 52" xfId="1257"/>
    <cellStyle name="Euro 52 2" xfId="1258"/>
    <cellStyle name="Euro 53" xfId="1259"/>
    <cellStyle name="Euro 53 2" xfId="1260"/>
    <cellStyle name="Euro 54" xfId="1261"/>
    <cellStyle name="Euro 54 2" xfId="1262"/>
    <cellStyle name="Euro 55" xfId="1263"/>
    <cellStyle name="Euro 55 2" xfId="1264"/>
    <cellStyle name="Euro 56" xfId="1265"/>
    <cellStyle name="Euro 56 2" xfId="1266"/>
    <cellStyle name="Euro 57" xfId="1267"/>
    <cellStyle name="Euro 58" xfId="1268"/>
    <cellStyle name="Euro 6" xfId="1269"/>
    <cellStyle name="Euro 6 2" xfId="1270"/>
    <cellStyle name="Euro 6 3" xfId="1271"/>
    <cellStyle name="Euro 7" xfId="1272"/>
    <cellStyle name="Euro 7 2" xfId="1273"/>
    <cellStyle name="Euro 7 3" xfId="1274"/>
    <cellStyle name="Euro 8" xfId="1275"/>
    <cellStyle name="Euro 8 2" xfId="1276"/>
    <cellStyle name="Euro 8 3" xfId="1277"/>
    <cellStyle name="Euro 9" xfId="1278"/>
    <cellStyle name="Euro 9 2" xfId="1279"/>
    <cellStyle name="Explanatory Text 10" xfId="1280"/>
    <cellStyle name="Explanatory Text 11" xfId="1281"/>
    <cellStyle name="Explanatory Text 12" xfId="1282"/>
    <cellStyle name="Explanatory Text 13" xfId="1283"/>
    <cellStyle name="Explanatory Text 14" xfId="1284"/>
    <cellStyle name="Explanatory Text 15" xfId="1285"/>
    <cellStyle name="Explanatory Text 16" xfId="1286"/>
    <cellStyle name="Explanatory Text 17" xfId="1287"/>
    <cellStyle name="Explanatory Text 18" xfId="1288"/>
    <cellStyle name="Explanatory Text 19" xfId="1289"/>
    <cellStyle name="Explanatory Text 2" xfId="1290"/>
    <cellStyle name="Explanatory Text 20" xfId="1291"/>
    <cellStyle name="Explanatory Text 21" xfId="1292"/>
    <cellStyle name="Explanatory Text 22" xfId="1293"/>
    <cellStyle name="Explanatory Text 23" xfId="1294"/>
    <cellStyle name="Explanatory Text 24" xfId="1295"/>
    <cellStyle name="Explanatory Text 25" xfId="1296"/>
    <cellStyle name="Explanatory Text 26" xfId="1297"/>
    <cellStyle name="Explanatory Text 27" xfId="1298"/>
    <cellStyle name="Explanatory Text 28" xfId="1299"/>
    <cellStyle name="Explanatory Text 29" xfId="1300"/>
    <cellStyle name="Explanatory Text 3" xfId="1301"/>
    <cellStyle name="Explanatory Text 30" xfId="1302"/>
    <cellStyle name="Explanatory Text 31" xfId="1303"/>
    <cellStyle name="Explanatory Text 32" xfId="1304"/>
    <cellStyle name="Explanatory Text 33" xfId="1305"/>
    <cellStyle name="Explanatory Text 34" xfId="1306"/>
    <cellStyle name="Explanatory Text 35" xfId="1307"/>
    <cellStyle name="Explanatory Text 36" xfId="1308"/>
    <cellStyle name="Explanatory Text 37" xfId="1309"/>
    <cellStyle name="Explanatory Text 38" xfId="1310"/>
    <cellStyle name="Explanatory Text 39" xfId="1311"/>
    <cellStyle name="Explanatory Text 4" xfId="1312"/>
    <cellStyle name="Explanatory Text 40" xfId="1313"/>
    <cellStyle name="Explanatory Text 41" xfId="1314"/>
    <cellStyle name="Explanatory Text 42" xfId="1315"/>
    <cellStyle name="Explanatory Text 43" xfId="1316"/>
    <cellStyle name="Explanatory Text 5" xfId="1317"/>
    <cellStyle name="Explanatory Text 6" xfId="1318"/>
    <cellStyle name="Explanatory Text 7" xfId="1319"/>
    <cellStyle name="Explanatory Text 8" xfId="1320"/>
    <cellStyle name="Explanatory Text 9" xfId="1321"/>
    <cellStyle name="Good 10" xfId="1322"/>
    <cellStyle name="Good 11" xfId="1323"/>
    <cellStyle name="Good 12" xfId="1324"/>
    <cellStyle name="Good 13" xfId="1325"/>
    <cellStyle name="Good 14" xfId="1326"/>
    <cellStyle name="Good 15" xfId="1327"/>
    <cellStyle name="Good 16" xfId="1328"/>
    <cellStyle name="Good 17" xfId="1329"/>
    <cellStyle name="Good 18" xfId="1330"/>
    <cellStyle name="Good 19" xfId="1331"/>
    <cellStyle name="Good 2" xfId="1332"/>
    <cellStyle name="Good 20" xfId="1333"/>
    <cellStyle name="Good 21" xfId="1334"/>
    <cellStyle name="Good 22" xfId="1335"/>
    <cellStyle name="Good 23" xfId="1336"/>
    <cellStyle name="Good 24" xfId="1337"/>
    <cellStyle name="Good 25" xfId="1338"/>
    <cellStyle name="Good 26" xfId="1339"/>
    <cellStyle name="Good 27" xfId="1340"/>
    <cellStyle name="Good 28" xfId="1341"/>
    <cellStyle name="Good 29" xfId="1342"/>
    <cellStyle name="Good 3" xfId="1343"/>
    <cellStyle name="Good 30" xfId="1344"/>
    <cellStyle name="Good 31" xfId="1345"/>
    <cellStyle name="Good 32" xfId="1346"/>
    <cellStyle name="Good 33" xfId="1347"/>
    <cellStyle name="Good 34" xfId="1348"/>
    <cellStyle name="Good 35" xfId="1349"/>
    <cellStyle name="Good 36" xfId="1350"/>
    <cellStyle name="Good 37" xfId="1351"/>
    <cellStyle name="Good 38" xfId="1352"/>
    <cellStyle name="Good 39" xfId="1353"/>
    <cellStyle name="Good 4" xfId="1354"/>
    <cellStyle name="Good 40" xfId="1355"/>
    <cellStyle name="Good 41" xfId="1356"/>
    <cellStyle name="Good 5" xfId="1357"/>
    <cellStyle name="Good 6" xfId="1358"/>
    <cellStyle name="Good 7" xfId="1359"/>
    <cellStyle name="Good 8" xfId="1360"/>
    <cellStyle name="Good 9" xfId="1361"/>
    <cellStyle name="Heading 1 10" xfId="1362"/>
    <cellStyle name="Heading 1 11" xfId="1363"/>
    <cellStyle name="Heading 1 12" xfId="1364"/>
    <cellStyle name="Heading 1 13" xfId="1365"/>
    <cellStyle name="Heading 1 14" xfId="1366"/>
    <cellStyle name="Heading 1 15" xfId="1367"/>
    <cellStyle name="Heading 1 16" xfId="1368"/>
    <cellStyle name="Heading 1 17" xfId="1369"/>
    <cellStyle name="Heading 1 18" xfId="1370"/>
    <cellStyle name="Heading 1 19" xfId="1371"/>
    <cellStyle name="Heading 1 2" xfId="1372"/>
    <cellStyle name="Heading 1 20" xfId="1373"/>
    <cellStyle name="Heading 1 21" xfId="1374"/>
    <cellStyle name="Heading 1 22" xfId="1375"/>
    <cellStyle name="Heading 1 23" xfId="1376"/>
    <cellStyle name="Heading 1 24" xfId="1377"/>
    <cellStyle name="Heading 1 25" xfId="1378"/>
    <cellStyle name="Heading 1 26" xfId="1379"/>
    <cellStyle name="Heading 1 27" xfId="1380"/>
    <cellStyle name="Heading 1 28" xfId="1381"/>
    <cellStyle name="Heading 1 29" xfId="1382"/>
    <cellStyle name="Heading 1 3" xfId="1383"/>
    <cellStyle name="Heading 1 30" xfId="1384"/>
    <cellStyle name="Heading 1 31" xfId="1385"/>
    <cellStyle name="Heading 1 32" xfId="1386"/>
    <cellStyle name="Heading 1 33" xfId="1387"/>
    <cellStyle name="Heading 1 34" xfId="1388"/>
    <cellStyle name="Heading 1 35" xfId="1389"/>
    <cellStyle name="Heading 1 36" xfId="1390"/>
    <cellStyle name="Heading 1 37" xfId="1391"/>
    <cellStyle name="Heading 1 38" xfId="1392"/>
    <cellStyle name="Heading 1 39" xfId="1393"/>
    <cellStyle name="Heading 1 4" xfId="1394"/>
    <cellStyle name="Heading 1 40" xfId="1395"/>
    <cellStyle name="Heading 1 41" xfId="1396"/>
    <cellStyle name="Heading 1 5" xfId="1397"/>
    <cellStyle name="Heading 1 6" xfId="1398"/>
    <cellStyle name="Heading 1 7" xfId="1399"/>
    <cellStyle name="Heading 1 8" xfId="1400"/>
    <cellStyle name="Heading 1 9" xfId="1401"/>
    <cellStyle name="Heading 2 10" xfId="1402"/>
    <cellStyle name="Heading 2 11" xfId="1403"/>
    <cellStyle name="Heading 2 12" xfId="1404"/>
    <cellStyle name="Heading 2 13" xfId="1405"/>
    <cellStyle name="Heading 2 14" xfId="1406"/>
    <cellStyle name="Heading 2 15" xfId="1407"/>
    <cellStyle name="Heading 2 16" xfId="1408"/>
    <cellStyle name="Heading 2 17" xfId="1409"/>
    <cellStyle name="Heading 2 18" xfId="1410"/>
    <cellStyle name="Heading 2 19" xfId="1411"/>
    <cellStyle name="Heading 2 2" xfId="1412"/>
    <cellStyle name="Heading 2 20" xfId="1413"/>
    <cellStyle name="Heading 2 21" xfId="1414"/>
    <cellStyle name="Heading 2 22" xfId="1415"/>
    <cellStyle name="Heading 2 23" xfId="1416"/>
    <cellStyle name="Heading 2 24" xfId="1417"/>
    <cellStyle name="Heading 2 25" xfId="1418"/>
    <cellStyle name="Heading 2 26" xfId="1419"/>
    <cellStyle name="Heading 2 27" xfId="1420"/>
    <cellStyle name="Heading 2 28" xfId="1421"/>
    <cellStyle name="Heading 2 29" xfId="1422"/>
    <cellStyle name="Heading 2 3" xfId="1423"/>
    <cellStyle name="Heading 2 30" xfId="1424"/>
    <cellStyle name="Heading 2 31" xfId="1425"/>
    <cellStyle name="Heading 2 32" xfId="1426"/>
    <cellStyle name="Heading 2 33" xfId="1427"/>
    <cellStyle name="Heading 2 34" xfId="1428"/>
    <cellStyle name="Heading 2 35" xfId="1429"/>
    <cellStyle name="Heading 2 36" xfId="1430"/>
    <cellStyle name="Heading 2 37" xfId="1431"/>
    <cellStyle name="Heading 2 38" xfId="1432"/>
    <cellStyle name="Heading 2 39" xfId="1433"/>
    <cellStyle name="Heading 2 4" xfId="1434"/>
    <cellStyle name="Heading 2 40" xfId="1435"/>
    <cellStyle name="Heading 2 41" xfId="1436"/>
    <cellStyle name="Heading 2 5" xfId="1437"/>
    <cellStyle name="Heading 2 6" xfId="1438"/>
    <cellStyle name="Heading 2 7" xfId="1439"/>
    <cellStyle name="Heading 2 8" xfId="1440"/>
    <cellStyle name="Heading 2 9" xfId="1441"/>
    <cellStyle name="Heading 3 10" xfId="1442"/>
    <cellStyle name="Heading 3 11" xfId="1443"/>
    <cellStyle name="Heading 3 12" xfId="1444"/>
    <cellStyle name="Heading 3 13" xfId="1445"/>
    <cellStyle name="Heading 3 14" xfId="1446"/>
    <cellStyle name="Heading 3 15" xfId="1447"/>
    <cellStyle name="Heading 3 16" xfId="1448"/>
    <cellStyle name="Heading 3 17" xfId="1449"/>
    <cellStyle name="Heading 3 18" xfId="1450"/>
    <cellStyle name="Heading 3 19" xfId="1451"/>
    <cellStyle name="Heading 3 2" xfId="1452"/>
    <cellStyle name="Heading 3 20" xfId="1453"/>
    <cellStyle name="Heading 3 21" xfId="1454"/>
    <cellStyle name="Heading 3 22" xfId="1455"/>
    <cellStyle name="Heading 3 23" xfId="1456"/>
    <cellStyle name="Heading 3 24" xfId="1457"/>
    <cellStyle name="Heading 3 25" xfId="1458"/>
    <cellStyle name="Heading 3 26" xfId="1459"/>
    <cellStyle name="Heading 3 27" xfId="1460"/>
    <cellStyle name="Heading 3 28" xfId="1461"/>
    <cellStyle name="Heading 3 29" xfId="1462"/>
    <cellStyle name="Heading 3 3" xfId="1463"/>
    <cellStyle name="Heading 3 30" xfId="1464"/>
    <cellStyle name="Heading 3 31" xfId="1465"/>
    <cellStyle name="Heading 3 32" xfId="1466"/>
    <cellStyle name="Heading 3 33" xfId="1467"/>
    <cellStyle name="Heading 3 34" xfId="1468"/>
    <cellStyle name="Heading 3 35" xfId="1469"/>
    <cellStyle name="Heading 3 36" xfId="1470"/>
    <cellStyle name="Heading 3 37" xfId="1471"/>
    <cellStyle name="Heading 3 38" xfId="1472"/>
    <cellStyle name="Heading 3 39" xfId="1473"/>
    <cellStyle name="Heading 3 4" xfId="1474"/>
    <cellStyle name="Heading 3 40" xfId="1475"/>
    <cellStyle name="Heading 3 41" xfId="1476"/>
    <cellStyle name="Heading 3 5" xfId="1477"/>
    <cellStyle name="Heading 3 6" xfId="1478"/>
    <cellStyle name="Heading 3 7" xfId="1479"/>
    <cellStyle name="Heading 3 8" xfId="1480"/>
    <cellStyle name="Heading 3 9" xfId="1481"/>
    <cellStyle name="Heading 4 10" xfId="1482"/>
    <cellStyle name="Heading 4 11" xfId="1483"/>
    <cellStyle name="Heading 4 12" xfId="1484"/>
    <cellStyle name="Heading 4 13" xfId="1485"/>
    <cellStyle name="Heading 4 14" xfId="1486"/>
    <cellStyle name="Heading 4 15" xfId="1487"/>
    <cellStyle name="Heading 4 16" xfId="1488"/>
    <cellStyle name="Heading 4 17" xfId="1489"/>
    <cellStyle name="Heading 4 18" xfId="1490"/>
    <cellStyle name="Heading 4 19" xfId="1491"/>
    <cellStyle name="Heading 4 2" xfId="1492"/>
    <cellStyle name="Heading 4 20" xfId="1493"/>
    <cellStyle name="Heading 4 21" xfId="1494"/>
    <cellStyle name="Heading 4 22" xfId="1495"/>
    <cellStyle name="Heading 4 23" xfId="1496"/>
    <cellStyle name="Heading 4 24" xfId="1497"/>
    <cellStyle name="Heading 4 25" xfId="1498"/>
    <cellStyle name="Heading 4 26" xfId="1499"/>
    <cellStyle name="Heading 4 27" xfId="1500"/>
    <cellStyle name="Heading 4 28" xfId="1501"/>
    <cellStyle name="Heading 4 29" xfId="1502"/>
    <cellStyle name="Heading 4 3" xfId="1503"/>
    <cellStyle name="Heading 4 30" xfId="1504"/>
    <cellStyle name="Heading 4 31" xfId="1505"/>
    <cellStyle name="Heading 4 32" xfId="1506"/>
    <cellStyle name="Heading 4 33" xfId="1507"/>
    <cellStyle name="Heading 4 34" xfId="1508"/>
    <cellStyle name="Heading 4 35" xfId="1509"/>
    <cellStyle name="Heading 4 36" xfId="1510"/>
    <cellStyle name="Heading 4 37" xfId="1511"/>
    <cellStyle name="Heading 4 38" xfId="1512"/>
    <cellStyle name="Heading 4 39" xfId="1513"/>
    <cellStyle name="Heading 4 4" xfId="1514"/>
    <cellStyle name="Heading 4 40" xfId="1515"/>
    <cellStyle name="Heading 4 41" xfId="1516"/>
    <cellStyle name="Heading 4 5" xfId="1517"/>
    <cellStyle name="Heading 4 6" xfId="1518"/>
    <cellStyle name="Heading 4 7" xfId="1519"/>
    <cellStyle name="Heading 4 8" xfId="1520"/>
    <cellStyle name="Heading 4 9" xfId="1521"/>
    <cellStyle name="Headline" xfId="1522"/>
    <cellStyle name="Hyperlink 2" xfId="1523"/>
    <cellStyle name="Input 10 2" xfId="1524"/>
    <cellStyle name="Input 11 2" xfId="1525"/>
    <cellStyle name="Input 12 2" xfId="1526"/>
    <cellStyle name="Input 13 2" xfId="1527"/>
    <cellStyle name="Input 14 2" xfId="1528"/>
    <cellStyle name="Input 15 2" xfId="1529"/>
    <cellStyle name="Input 16 2" xfId="1530"/>
    <cellStyle name="Input 17 2" xfId="1531"/>
    <cellStyle name="Input 18 2" xfId="1532"/>
    <cellStyle name="Input 19 2" xfId="1533"/>
    <cellStyle name="Input 2" xfId="1534"/>
    <cellStyle name="Input 2 2" xfId="1535"/>
    <cellStyle name="Input 2_Scen_XBase" xfId="1536"/>
    <cellStyle name="Input 20 2" xfId="1537"/>
    <cellStyle name="Input 21 2" xfId="1538"/>
    <cellStyle name="Input 22 2" xfId="1539"/>
    <cellStyle name="Input 23 2" xfId="1540"/>
    <cellStyle name="Input 24 2" xfId="1541"/>
    <cellStyle name="Input 25 2" xfId="1542"/>
    <cellStyle name="Input 26 2" xfId="1543"/>
    <cellStyle name="Input 27 2" xfId="1544"/>
    <cellStyle name="Input 28 2" xfId="1545"/>
    <cellStyle name="Input 29 2" xfId="1546"/>
    <cellStyle name="Input 3" xfId="1547"/>
    <cellStyle name="Input 3 2" xfId="1548"/>
    <cellStyle name="Input 30 2" xfId="1549"/>
    <cellStyle name="Input 31 2" xfId="1550"/>
    <cellStyle name="Input 32 2" xfId="1551"/>
    <cellStyle name="Input 33 2" xfId="1552"/>
    <cellStyle name="Input 34" xfId="1553"/>
    <cellStyle name="Input 34 2" xfId="1554"/>
    <cellStyle name="Input 34_Scen_XBase" xfId="1555"/>
    <cellStyle name="Input 35" xfId="1556"/>
    <cellStyle name="Input 36" xfId="1557"/>
    <cellStyle name="Input 37" xfId="1558"/>
    <cellStyle name="Input 38" xfId="1559"/>
    <cellStyle name="Input 39" xfId="1560"/>
    <cellStyle name="Input 4 2" xfId="1561"/>
    <cellStyle name="Input 40" xfId="1562"/>
    <cellStyle name="Input 5 2" xfId="1563"/>
    <cellStyle name="Input 6 2" xfId="1564"/>
    <cellStyle name="Input 7 2" xfId="1565"/>
    <cellStyle name="Input 8 2" xfId="1566"/>
    <cellStyle name="Input 9 2" xfId="1567"/>
    <cellStyle name="InputCells" xfId="1568"/>
    <cellStyle name="InputCells 2" xfId="1569"/>
    <cellStyle name="InputCells12" xfId="1570"/>
    <cellStyle name="IntCells" xfId="1571"/>
    <cellStyle name="ligne_titre_0" xfId="1572"/>
    <cellStyle name="Linked Cell 10" xfId="1573"/>
    <cellStyle name="Linked Cell 11" xfId="1574"/>
    <cellStyle name="Linked Cell 12" xfId="1575"/>
    <cellStyle name="Linked Cell 13" xfId="1576"/>
    <cellStyle name="Linked Cell 14" xfId="1577"/>
    <cellStyle name="Linked Cell 15" xfId="1578"/>
    <cellStyle name="Linked Cell 16" xfId="1579"/>
    <cellStyle name="Linked Cell 17" xfId="1580"/>
    <cellStyle name="Linked Cell 18" xfId="1581"/>
    <cellStyle name="Linked Cell 19" xfId="1582"/>
    <cellStyle name="Linked Cell 2" xfId="1583"/>
    <cellStyle name="Linked Cell 20" xfId="1584"/>
    <cellStyle name="Linked Cell 21" xfId="1585"/>
    <cellStyle name="Linked Cell 22" xfId="1586"/>
    <cellStyle name="Linked Cell 23" xfId="1587"/>
    <cellStyle name="Linked Cell 24" xfId="1588"/>
    <cellStyle name="Linked Cell 25" xfId="1589"/>
    <cellStyle name="Linked Cell 26" xfId="1590"/>
    <cellStyle name="Linked Cell 27" xfId="1591"/>
    <cellStyle name="Linked Cell 28" xfId="1592"/>
    <cellStyle name="Linked Cell 29" xfId="1593"/>
    <cellStyle name="Linked Cell 3" xfId="1594"/>
    <cellStyle name="Linked Cell 30" xfId="1595"/>
    <cellStyle name="Linked Cell 31" xfId="1596"/>
    <cellStyle name="Linked Cell 32" xfId="1597"/>
    <cellStyle name="Linked Cell 33" xfId="1598"/>
    <cellStyle name="Linked Cell 34" xfId="1599"/>
    <cellStyle name="Linked Cell 35" xfId="1600"/>
    <cellStyle name="Linked Cell 36" xfId="1601"/>
    <cellStyle name="Linked Cell 37" xfId="1602"/>
    <cellStyle name="Linked Cell 38" xfId="1603"/>
    <cellStyle name="Linked Cell 39" xfId="1604"/>
    <cellStyle name="Linked Cell 4" xfId="1605"/>
    <cellStyle name="Linked Cell 40" xfId="1606"/>
    <cellStyle name="Linked Cell 41" xfId="1607"/>
    <cellStyle name="Linked Cell 5" xfId="1608"/>
    <cellStyle name="Linked Cell 6" xfId="1609"/>
    <cellStyle name="Linked Cell 7" xfId="1610"/>
    <cellStyle name="Linked Cell 8" xfId="1611"/>
    <cellStyle name="Linked Cell 9" xfId="1612"/>
    <cellStyle name="Neutral 10" xfId="1613"/>
    <cellStyle name="Neutral 11" xfId="1614"/>
    <cellStyle name="Neutral 12" xfId="1615"/>
    <cellStyle name="Neutral 13" xfId="1616"/>
    <cellStyle name="Neutral 14" xfId="1617"/>
    <cellStyle name="Neutral 15" xfId="1618"/>
    <cellStyle name="Neutral 16" xfId="1619"/>
    <cellStyle name="Neutral 17" xfId="1620"/>
    <cellStyle name="Neutral 18" xfId="1621"/>
    <cellStyle name="Neutral 19" xfId="1622"/>
    <cellStyle name="Neutral 2" xfId="1623"/>
    <cellStyle name="Neutral 20" xfId="1624"/>
    <cellStyle name="Neutral 21" xfId="1625"/>
    <cellStyle name="Neutral 22" xfId="1626"/>
    <cellStyle name="Neutral 23" xfId="1627"/>
    <cellStyle name="Neutral 24" xfId="1628"/>
    <cellStyle name="Neutral 25" xfId="1629"/>
    <cellStyle name="Neutral 26" xfId="1630"/>
    <cellStyle name="Neutral 27" xfId="1631"/>
    <cellStyle name="Neutral 28" xfId="1632"/>
    <cellStyle name="Neutral 29" xfId="1633"/>
    <cellStyle name="Neutral 3" xfId="1634"/>
    <cellStyle name="Neutral 30" xfId="1635"/>
    <cellStyle name="Neutral 31" xfId="1636"/>
    <cellStyle name="Neutral 32" xfId="1637"/>
    <cellStyle name="Neutral 33" xfId="1638"/>
    <cellStyle name="Neutral 34" xfId="1639"/>
    <cellStyle name="Neutral 35" xfId="1640"/>
    <cellStyle name="Neutral 36" xfId="1641"/>
    <cellStyle name="Neutral 37" xfId="1642"/>
    <cellStyle name="Neutral 38" xfId="1643"/>
    <cellStyle name="Neutral 39" xfId="1644"/>
    <cellStyle name="Neutral 4" xfId="1645"/>
    <cellStyle name="Neutral 40" xfId="1646"/>
    <cellStyle name="Neutral 41" xfId="1647"/>
    <cellStyle name="Neutral 42" xfId="1648"/>
    <cellStyle name="Neutral 43" xfId="1649"/>
    <cellStyle name="Neutral 5" xfId="1650"/>
    <cellStyle name="Neutral 6" xfId="1651"/>
    <cellStyle name="Neutral 7" xfId="1652"/>
    <cellStyle name="Neutral 8" xfId="1653"/>
    <cellStyle name="Neutral 9" xfId="1654"/>
    <cellStyle name="Normal 10" xfId="1655"/>
    <cellStyle name="Normal 10 2" xfId="1656"/>
    <cellStyle name="Normal 11" xfId="1657"/>
    <cellStyle name="Normal 11 2" xfId="1658"/>
    <cellStyle name="Normal 12" xfId="1659"/>
    <cellStyle name="Normal 13" xfId="1660"/>
    <cellStyle name="Normal 13 2" xfId="1661"/>
    <cellStyle name="Normal 14" xfId="1662"/>
    <cellStyle name="Normal 14 2" xfId="1663"/>
    <cellStyle name="Normal 15" xfId="1664"/>
    <cellStyle name="Normal 15 2" xfId="1665"/>
    <cellStyle name="Normal 16" xfId="1666"/>
    <cellStyle name="Normal 16 2" xfId="1667"/>
    <cellStyle name="Normal 17" xfId="1668"/>
    <cellStyle name="Normal 17 2" xfId="1669"/>
    <cellStyle name="Normal 18" xfId="1670"/>
    <cellStyle name="Normal 18 2" xfId="1671"/>
    <cellStyle name="Normal 19" xfId="1672"/>
    <cellStyle name="Normal 2" xfId="1673"/>
    <cellStyle name="Normal 2 10" xfId="1674"/>
    <cellStyle name="Normal 2 11" xfId="1675"/>
    <cellStyle name="Normal 2 12" xfId="1676"/>
    <cellStyle name="Normal 2 13" xfId="1677"/>
    <cellStyle name="Normal 2 14" xfId="1678"/>
    <cellStyle name="Normal 2 15" xfId="1679"/>
    <cellStyle name="Normal 2 16" xfId="1680"/>
    <cellStyle name="Normal 2 17" xfId="1681"/>
    <cellStyle name="Normal 2 18" xfId="1682"/>
    <cellStyle name="Normal 2 19" xfId="1683"/>
    <cellStyle name="Normal 2 2" xfId="1684"/>
    <cellStyle name="Normal 2 2 2" xfId="1685"/>
    <cellStyle name="Normal 2 2 2 2" xfId="1686"/>
    <cellStyle name="Normal 2 2 2 3" xfId="1687"/>
    <cellStyle name="Normal 2 2 3" xfId="1688"/>
    <cellStyle name="Normal 2 2 4" xfId="1689"/>
    <cellStyle name="Normal 2 20" xfId="1690"/>
    <cellStyle name="Normal 2 21" xfId="1691"/>
    <cellStyle name="Normal 2 22" xfId="1692"/>
    <cellStyle name="Normal 2 23" xfId="1693"/>
    <cellStyle name="Normal 2 24" xfId="1694"/>
    <cellStyle name="Normal 2 25" xfId="1695"/>
    <cellStyle name="Normal 2 26" xfId="1696"/>
    <cellStyle name="Normal 2 27" xfId="1697"/>
    <cellStyle name="Normal 2 28" xfId="1698"/>
    <cellStyle name="Normal 2 29" xfId="1699"/>
    <cellStyle name="Normal 2 3" xfId="1700"/>
    <cellStyle name="Normal 2 30" xfId="1701"/>
    <cellStyle name="Normal 2 31" xfId="1702"/>
    <cellStyle name="Normal 2 32" xfId="1703"/>
    <cellStyle name="Normal 2 33" xfId="1704"/>
    <cellStyle name="Normal 2 34" xfId="1705"/>
    <cellStyle name="Normal 2 35" xfId="1706"/>
    <cellStyle name="Normal 2 36" xfId="1707"/>
    <cellStyle name="Normal 2 37" xfId="1708"/>
    <cellStyle name="Normal 2 38" xfId="1709"/>
    <cellStyle name="Normal 2 39" xfId="1710"/>
    <cellStyle name="Normal 2 4" xfId="1711"/>
    <cellStyle name="Normal 2 40" xfId="1712"/>
    <cellStyle name="Normal 2 41" xfId="1713"/>
    <cellStyle name="Normal 2 42" xfId="1714"/>
    <cellStyle name="Normal 2 43" xfId="1715"/>
    <cellStyle name="Normal 2 44" xfId="1716"/>
    <cellStyle name="Normal 2 5" xfId="1717"/>
    <cellStyle name="Normal 2 5 10" xfId="1718"/>
    <cellStyle name="Normal 2 5 11" xfId="1719"/>
    <cellStyle name="Normal 2 5 12" xfId="1720"/>
    <cellStyle name="Normal 2 5 13" xfId="1721"/>
    <cellStyle name="Normal 2 5 14" xfId="1722"/>
    <cellStyle name="Normal 2 5 15" xfId="1723"/>
    <cellStyle name="Normal 2 5 2" xfId="1724"/>
    <cellStyle name="Normal 2 5 3" xfId="1725"/>
    <cellStyle name="Normal 2 5 4" xfId="1726"/>
    <cellStyle name="Normal 2 5 5" xfId="1727"/>
    <cellStyle name="Normal 2 5 6" xfId="1728"/>
    <cellStyle name="Normal 2 5 7" xfId="1729"/>
    <cellStyle name="Normal 2 5 8" xfId="1730"/>
    <cellStyle name="Normal 2 5 9" xfId="1731"/>
    <cellStyle name="Normal 2 6" xfId="1732"/>
    <cellStyle name="Normal 2 6 10" xfId="1733"/>
    <cellStyle name="Normal 2 6 11" xfId="1734"/>
    <cellStyle name="Normal 2 6 12" xfId="1735"/>
    <cellStyle name="Normal 2 6 13" xfId="1736"/>
    <cellStyle name="Normal 2 6 14" xfId="1737"/>
    <cellStyle name="Normal 2 6 15" xfId="1738"/>
    <cellStyle name="Normal 2 6 2" xfId="1739"/>
    <cellStyle name="Normal 2 6 3" xfId="1740"/>
    <cellStyle name="Normal 2 6 4" xfId="1741"/>
    <cellStyle name="Normal 2 6 5" xfId="1742"/>
    <cellStyle name="Normal 2 6 6" xfId="1743"/>
    <cellStyle name="Normal 2 6 7" xfId="1744"/>
    <cellStyle name="Normal 2 6 8" xfId="1745"/>
    <cellStyle name="Normal 2 6 9" xfId="1746"/>
    <cellStyle name="Normal 2 7" xfId="1747"/>
    <cellStyle name="Normal 2 8" xfId="1748"/>
    <cellStyle name="Normal 2 9" xfId="1749"/>
    <cellStyle name="Normal 20" xfId="1750"/>
    <cellStyle name="Normal 20 2" xfId="1751"/>
    <cellStyle name="Normal 21" xfId="1752"/>
    <cellStyle name="Normal 21 2" xfId="1753"/>
    <cellStyle name="Normal 21_Scen_XBase" xfId="1754"/>
    <cellStyle name="Normal 22" xfId="1755"/>
    <cellStyle name="Normal 23" xfId="1756"/>
    <cellStyle name="Normal 23 2" xfId="1757"/>
    <cellStyle name="Normal 23 3" xfId="1758"/>
    <cellStyle name="Normal 24 10" xfId="1759"/>
    <cellStyle name="Normal 24 11" xfId="1760"/>
    <cellStyle name="Normal 24 12" xfId="1761"/>
    <cellStyle name="Normal 24 13" xfId="1762"/>
    <cellStyle name="Normal 24 14" xfId="1763"/>
    <cellStyle name="Normal 24 15" xfId="1764"/>
    <cellStyle name="Normal 24 16" xfId="1765"/>
    <cellStyle name="Normal 24 17" xfId="1766"/>
    <cellStyle name="Normal 24 18" xfId="1767"/>
    <cellStyle name="Normal 24 19" xfId="1768"/>
    <cellStyle name="Normal 24 2" xfId="1769"/>
    <cellStyle name="Normal 24 20" xfId="1770"/>
    <cellStyle name="Normal 24 3" xfId="1771"/>
    <cellStyle name="Normal 24 4" xfId="1772"/>
    <cellStyle name="Normal 24 5" xfId="1773"/>
    <cellStyle name="Normal 24 6" xfId="1774"/>
    <cellStyle name="Normal 24 7" xfId="1775"/>
    <cellStyle name="Normal 24 8" xfId="1776"/>
    <cellStyle name="Normal 24 9" xfId="1777"/>
    <cellStyle name="Normal 26 2" xfId="1778"/>
    <cellStyle name="Normal 27" xfId="1779"/>
    <cellStyle name="Normal 27 2" xfId="1780"/>
    <cellStyle name="Normal 28" xfId="1781"/>
    <cellStyle name="Normal 29" xfId="1782"/>
    <cellStyle name="Normal 3" xfId="1783"/>
    <cellStyle name="Normal 3 10" xfId="1784"/>
    <cellStyle name="Normal 3 11" xfId="1785"/>
    <cellStyle name="Normal 3 12" xfId="1786"/>
    <cellStyle name="Normal 3 13" xfId="1787"/>
    <cellStyle name="Normal 3 14" xfId="1788"/>
    <cellStyle name="Normal 3 15" xfId="1789"/>
    <cellStyle name="Normal 3 16" xfId="1790"/>
    <cellStyle name="Normal 3 17" xfId="1791"/>
    <cellStyle name="Normal 3 18" xfId="1792"/>
    <cellStyle name="Normal 3 19" xfId="1793"/>
    <cellStyle name="Normal 3 2" xfId="1794"/>
    <cellStyle name="Normal 3 2 2" xfId="1795"/>
    <cellStyle name="Normal 3 2 3" xfId="1796"/>
    <cellStyle name="Normal 3 20" xfId="1797"/>
    <cellStyle name="Normal 3 21" xfId="1798"/>
    <cellStyle name="Normal 3 22" xfId="1799"/>
    <cellStyle name="Normal 3 23" xfId="1800"/>
    <cellStyle name="Normal 3 24" xfId="1801"/>
    <cellStyle name="Normal 3 25" xfId="1802"/>
    <cellStyle name="Normal 3 26" xfId="1803"/>
    <cellStyle name="Normal 3 3" xfId="1804"/>
    <cellStyle name="Normal 3 4" xfId="1805"/>
    <cellStyle name="Normal 3 5" xfId="1806"/>
    <cellStyle name="Normal 3 6" xfId="1807"/>
    <cellStyle name="Normal 3 7" xfId="1808"/>
    <cellStyle name="Normal 3 8" xfId="1809"/>
    <cellStyle name="Normal 3 9" xfId="1810"/>
    <cellStyle name="Normal 30" xfId="1811"/>
    <cellStyle name="Normal 31 2" xfId="1812"/>
    <cellStyle name="Normal 32" xfId="1813"/>
    <cellStyle name="Normal 32 2" xfId="1814"/>
    <cellStyle name="Normal 33" xfId="1815"/>
    <cellStyle name="Normal 33 10" xfId="1816"/>
    <cellStyle name="Normal 33 11" xfId="1817"/>
    <cellStyle name="Normal 33 12" xfId="1818"/>
    <cellStyle name="Normal 33 13" xfId="1819"/>
    <cellStyle name="Normal 33 2" xfId="1820"/>
    <cellStyle name="Normal 33 3" xfId="1821"/>
    <cellStyle name="Normal 33 4" xfId="1822"/>
    <cellStyle name="Normal 33 5" xfId="1823"/>
    <cellStyle name="Normal 33 6" xfId="1824"/>
    <cellStyle name="Normal 33 7" xfId="1825"/>
    <cellStyle name="Normal 33 8" xfId="1826"/>
    <cellStyle name="Normal 33 9" xfId="1827"/>
    <cellStyle name="Normal 33_Scen_XBase" xfId="1828"/>
    <cellStyle name="Normal 4" xfId="1829"/>
    <cellStyle name="Normal 4 2" xfId="1830"/>
    <cellStyle name="Normal 4 2 2" xfId="1831"/>
    <cellStyle name="Normal 4 2_Scen_XBase" xfId="1832"/>
    <cellStyle name="Normal 4 3" xfId="1833"/>
    <cellStyle name="Normal 4 3 2" xfId="1834"/>
    <cellStyle name="Normal 4 3_Scen_XBase" xfId="1835"/>
    <cellStyle name="Normal 4 4" xfId="1836"/>
    <cellStyle name="Normal 4 5" xfId="1837"/>
    <cellStyle name="Normal 4 6" xfId="1838"/>
    <cellStyle name="Normal 40" xfId="1839"/>
    <cellStyle name="Normal 5" xfId="1840"/>
    <cellStyle name="Normal 5 10" xfId="1841"/>
    <cellStyle name="Normal 5 11" xfId="1842"/>
    <cellStyle name="Normal 5 2" xfId="1843"/>
    <cellStyle name="Normal 5 2 2" xfId="1844"/>
    <cellStyle name="Normal 5 3" xfId="1845"/>
    <cellStyle name="Normal 5 4" xfId="1846"/>
    <cellStyle name="Normal 5 5" xfId="1847"/>
    <cellStyle name="Normal 5 6" xfId="1848"/>
    <cellStyle name="Normal 5 7" xfId="1849"/>
    <cellStyle name="Normal 5 8" xfId="1850"/>
    <cellStyle name="Normal 5 9" xfId="1851"/>
    <cellStyle name="Normal 50" xfId="1852"/>
    <cellStyle name="Normal 51" xfId="1853"/>
    <cellStyle name="Normal 52" xfId="1854"/>
    <cellStyle name="Normal 53" xfId="1855"/>
    <cellStyle name="Normal 54" xfId="1856"/>
    <cellStyle name="Normal 55" xfId="1857"/>
    <cellStyle name="Normal 6" xfId="1858"/>
    <cellStyle name="Normal 6 10" xfId="1859"/>
    <cellStyle name="Normal 6 2" xfId="1860"/>
    <cellStyle name="Normal 6 2 10" xfId="1861"/>
    <cellStyle name="Normal 6 2 11" xfId="1862"/>
    <cellStyle name="Normal 6 2 12" xfId="1863"/>
    <cellStyle name="Normal 6 2 13" xfId="1864"/>
    <cellStyle name="Normal 6 2 14" xfId="1865"/>
    <cellStyle name="Normal 6 2 2" xfId="1866"/>
    <cellStyle name="Normal 6 2 3" xfId="1867"/>
    <cellStyle name="Normal 6 2 4" xfId="1868"/>
    <cellStyle name="Normal 6 2 5" xfId="1869"/>
    <cellStyle name="Normal 6 2 6" xfId="1870"/>
    <cellStyle name="Normal 6 2 7" xfId="1871"/>
    <cellStyle name="Normal 6 2 8" xfId="1872"/>
    <cellStyle name="Normal 6 2 9" xfId="1873"/>
    <cellStyle name="Normal 6 3" xfId="1874"/>
    <cellStyle name="Normal 6 3 10" xfId="1875"/>
    <cellStyle name="Normal 6 3 11" xfId="1876"/>
    <cellStyle name="Normal 6 3 12" xfId="1877"/>
    <cellStyle name="Normal 6 3 13" xfId="1878"/>
    <cellStyle name="Normal 6 3 14" xfId="1879"/>
    <cellStyle name="Normal 6 3 2" xfId="1880"/>
    <cellStyle name="Normal 6 3 3" xfId="1881"/>
    <cellStyle name="Normal 6 3 4" xfId="1882"/>
    <cellStyle name="Normal 6 3 5" xfId="1883"/>
    <cellStyle name="Normal 6 3 6" xfId="1884"/>
    <cellStyle name="Normal 6 3 7" xfId="1885"/>
    <cellStyle name="Normal 6 3 8" xfId="1886"/>
    <cellStyle name="Normal 6 3 9" xfId="1887"/>
    <cellStyle name="Normal 6 4" xfId="1888"/>
    <cellStyle name="Normal 6 5" xfId="1889"/>
    <cellStyle name="Normal 6 6" xfId="1890"/>
    <cellStyle name="Normal 6 7" xfId="1891"/>
    <cellStyle name="Normal 6 8" xfId="1892"/>
    <cellStyle name="Normal 6 9" xfId="1893"/>
    <cellStyle name="Normal 7" xfId="1894"/>
    <cellStyle name="Normal 7 2" xfId="1895"/>
    <cellStyle name="Normal 7 2 2" xfId="1896"/>
    <cellStyle name="Normal 7 2_Scen_XBase" xfId="1897"/>
    <cellStyle name="Normal 8" xfId="1898"/>
    <cellStyle name="Normal 8 10" xfId="1899"/>
    <cellStyle name="Normal 8 2" xfId="1900"/>
    <cellStyle name="Normal 8 3" xfId="1901"/>
    <cellStyle name="Normal 8 4" xfId="1902"/>
    <cellStyle name="Normal 8 5" xfId="1903"/>
    <cellStyle name="Normal 8 6" xfId="1904"/>
    <cellStyle name="Normal 8 7" xfId="1905"/>
    <cellStyle name="Normal 8 8" xfId="1906"/>
    <cellStyle name="Normal 8 9" xfId="1907"/>
    <cellStyle name="Normal 9" xfId="1908"/>
    <cellStyle name="Normal 9 2" xfId="1909"/>
    <cellStyle name="Normal 9 3" xfId="1910"/>
    <cellStyle name="Normal 9 4" xfId="1911"/>
    <cellStyle name="Normal 9 5" xfId="1912"/>
    <cellStyle name="Normal 9 6" xfId="1913"/>
    <cellStyle name="Normal 9 7" xfId="1914"/>
    <cellStyle name="Normal 9 8" xfId="1915"/>
    <cellStyle name="Normal 9 9" xfId="1916"/>
    <cellStyle name="Normal GHG Numbers (0.00)" xfId="1917"/>
    <cellStyle name="Normal GHG Textfiels Bold" xfId="1918"/>
    <cellStyle name="Normal GHG Textfiels Bold 2" xfId="1919"/>
    <cellStyle name="Normal GHG whole table" xfId="1920"/>
    <cellStyle name="Normal GHG-Shade" xfId="1921"/>
    <cellStyle name="Normal GHG-Shade 2" xfId="1922"/>
    <cellStyle name="Normale_B2020" xfId="1923"/>
    <cellStyle name="Note 10" xfId="1924"/>
    <cellStyle name="Note 10 2" xfId="1925"/>
    <cellStyle name="Note 10 3" xfId="1926"/>
    <cellStyle name="Note 10 3 2" xfId="1927"/>
    <cellStyle name="Note 10 3_Scen_XBase" xfId="1928"/>
    <cellStyle name="Note 10_Scen_XBase" xfId="1929"/>
    <cellStyle name="Note 11" xfId="1930"/>
    <cellStyle name="Note 11 2" xfId="1931"/>
    <cellStyle name="Note 11_Scen_XBase" xfId="1932"/>
    <cellStyle name="Note 12" xfId="1933"/>
    <cellStyle name="Note 12 2" xfId="1934"/>
    <cellStyle name="Note 12_Scen_XBase" xfId="1935"/>
    <cellStyle name="Note 13" xfId="1936"/>
    <cellStyle name="Note 13 2" xfId="1937"/>
    <cellStyle name="Note 13_Scen_XBase" xfId="1938"/>
    <cellStyle name="Note 14" xfId="1939"/>
    <cellStyle name="Note 14 2" xfId="1940"/>
    <cellStyle name="Note 14_Scen_XBase" xfId="1941"/>
    <cellStyle name="Note 15" xfId="1942"/>
    <cellStyle name="Note 15 2" xfId="1943"/>
    <cellStyle name="Note 15_Scen_XBase" xfId="1944"/>
    <cellStyle name="Note 16" xfId="1945"/>
    <cellStyle name="Note 16 2" xfId="1946"/>
    <cellStyle name="Note 16_Scen_XBase" xfId="1947"/>
    <cellStyle name="Note 17" xfId="1948"/>
    <cellStyle name="Note 17 2" xfId="1949"/>
    <cellStyle name="Note 17_Scen_XBase" xfId="1950"/>
    <cellStyle name="Note 18" xfId="1951"/>
    <cellStyle name="Note 18 2" xfId="1952"/>
    <cellStyle name="Note 18_Scen_XBase" xfId="1953"/>
    <cellStyle name="Note 19" xfId="1954"/>
    <cellStyle name="Note 2" xfId="1955"/>
    <cellStyle name="Note 2 2" xfId="1956"/>
    <cellStyle name="Note 2_Scen_XBase" xfId="1957"/>
    <cellStyle name="Note 20" xfId="1958"/>
    <cellStyle name="Note 21" xfId="1959"/>
    <cellStyle name="Note 22" xfId="1960"/>
    <cellStyle name="Note 23" xfId="1961"/>
    <cellStyle name="Note 24" xfId="1962"/>
    <cellStyle name="Note 25" xfId="1963"/>
    <cellStyle name="Note 26" xfId="1964"/>
    <cellStyle name="Note 27" xfId="1965"/>
    <cellStyle name="Note 28" xfId="1966"/>
    <cellStyle name="Note 29" xfId="1967"/>
    <cellStyle name="Note 3" xfId="1968"/>
    <cellStyle name="Note 3 2" xfId="1969"/>
    <cellStyle name="Note 3_Scen_XBase" xfId="1970"/>
    <cellStyle name="Note 30" xfId="1971"/>
    <cellStyle name="Note 31" xfId="1972"/>
    <cellStyle name="Note 32" xfId="1973"/>
    <cellStyle name="Note 33" xfId="1974"/>
    <cellStyle name="Note 34" xfId="1975"/>
    <cellStyle name="Note 35" xfId="1976"/>
    <cellStyle name="Note 36" xfId="1977"/>
    <cellStyle name="Note 37" xfId="1978"/>
    <cellStyle name="Note 38" xfId="1979"/>
    <cellStyle name="Note 39" xfId="1980"/>
    <cellStyle name="Note 4" xfId="1981"/>
    <cellStyle name="Note 4 2" xfId="1982"/>
    <cellStyle name="Note 4 3" xfId="1983"/>
    <cellStyle name="Note 4 3 2" xfId="1984"/>
    <cellStyle name="Note 4 3_Scen_XBase" xfId="1985"/>
    <cellStyle name="Note 4 4" xfId="1986"/>
    <cellStyle name="Note 4_Scen_XBase" xfId="1987"/>
    <cellStyle name="Note 40" xfId="1988"/>
    <cellStyle name="Note 41" xfId="1989"/>
    <cellStyle name="Note 5" xfId="1990"/>
    <cellStyle name="Note 5 2" xfId="1991"/>
    <cellStyle name="Note 5 3" xfId="1992"/>
    <cellStyle name="Note 5 3 2" xfId="1993"/>
    <cellStyle name="Note 5 3_Scen_XBase" xfId="1994"/>
    <cellStyle name="Note 5 4" xfId="1995"/>
    <cellStyle name="Note 5_Scen_XBase" xfId="1996"/>
    <cellStyle name="Note 6" xfId="1997"/>
    <cellStyle name="Note 6 2" xfId="1998"/>
    <cellStyle name="Note 6 3" xfId="1999"/>
    <cellStyle name="Note 6 3 2" xfId="2000"/>
    <cellStyle name="Note 6 3_Scen_XBase" xfId="2001"/>
    <cellStyle name="Note 6 4" xfId="2002"/>
    <cellStyle name="Note 6_Scen_XBase" xfId="2003"/>
    <cellStyle name="Note 7" xfId="2004"/>
    <cellStyle name="Note 7 2" xfId="2005"/>
    <cellStyle name="Note 7 3" xfId="2006"/>
    <cellStyle name="Note 7 3 2" xfId="2007"/>
    <cellStyle name="Note 7 3_Scen_XBase" xfId="2008"/>
    <cellStyle name="Note 7 4" xfId="2009"/>
    <cellStyle name="Note 7_Scen_XBase" xfId="2010"/>
    <cellStyle name="Note 8" xfId="2011"/>
    <cellStyle name="Note 8 2" xfId="2012"/>
    <cellStyle name="Note 8 3" xfId="2013"/>
    <cellStyle name="Note 8 3 2" xfId="2014"/>
    <cellStyle name="Note 8 3_Scen_XBase" xfId="2015"/>
    <cellStyle name="Note 8 4" xfId="2016"/>
    <cellStyle name="Note 8_Scen_XBase" xfId="2017"/>
    <cellStyle name="Note 9" xfId="2018"/>
    <cellStyle name="Note 9 2" xfId="2019"/>
    <cellStyle name="Note 9 3" xfId="2020"/>
    <cellStyle name="Note 9 3 2" xfId="2021"/>
    <cellStyle name="Note 9 3_Scen_XBase" xfId="2022"/>
    <cellStyle name="Note 9 4" xfId="2023"/>
    <cellStyle name="Note 9_Scen_XBase" xfId="2024"/>
    <cellStyle name="num_note" xfId="2025"/>
    <cellStyle name="Nuovo" xfId="2026"/>
    <cellStyle name="Nuovo 10" xfId="2027"/>
    <cellStyle name="Nuovo 11" xfId="2028"/>
    <cellStyle name="Nuovo 12" xfId="2029"/>
    <cellStyle name="Nuovo 13" xfId="2030"/>
    <cellStyle name="Nuovo 14" xfId="2031"/>
    <cellStyle name="Nuovo 15" xfId="2032"/>
    <cellStyle name="Nuovo 16" xfId="2033"/>
    <cellStyle name="Nuovo 17" xfId="2034"/>
    <cellStyle name="Nuovo 18" xfId="2035"/>
    <cellStyle name="Nuovo 19" xfId="2036"/>
    <cellStyle name="Nuovo 2" xfId="2037"/>
    <cellStyle name="Nuovo 20" xfId="2038"/>
    <cellStyle name="Nuovo 21" xfId="2039"/>
    <cellStyle name="Nuovo 22" xfId="2040"/>
    <cellStyle name="Nuovo 23" xfId="2041"/>
    <cellStyle name="Nuovo 24" xfId="2042"/>
    <cellStyle name="Nuovo 25" xfId="2043"/>
    <cellStyle name="Nuovo 26" xfId="2044"/>
    <cellStyle name="Nuovo 27" xfId="2045"/>
    <cellStyle name="Nuovo 28" xfId="2046"/>
    <cellStyle name="Nuovo 29" xfId="2047"/>
    <cellStyle name="Nuovo 3" xfId="2048"/>
    <cellStyle name="Nuovo 30" xfId="2049"/>
    <cellStyle name="Nuovo 31" xfId="2050"/>
    <cellStyle name="Nuovo 32" xfId="2051"/>
    <cellStyle name="Nuovo 33" xfId="2052"/>
    <cellStyle name="Nuovo 34" xfId="2053"/>
    <cellStyle name="Nuovo 35" xfId="2054"/>
    <cellStyle name="Nuovo 36" xfId="2055"/>
    <cellStyle name="Nuovo 37" xfId="2056"/>
    <cellStyle name="Nuovo 4" xfId="2057"/>
    <cellStyle name="Nuovo 5" xfId="2058"/>
    <cellStyle name="Nuovo 6" xfId="2059"/>
    <cellStyle name="Nuovo 7" xfId="2060"/>
    <cellStyle name="Nuovo 8" xfId="2061"/>
    <cellStyle name="Nuovo 9" xfId="2062"/>
    <cellStyle name="Output 10" xfId="2063"/>
    <cellStyle name="Output 11" xfId="2064"/>
    <cellStyle name="Output 12" xfId="2065"/>
    <cellStyle name="Output 13" xfId="2066"/>
    <cellStyle name="Output 14" xfId="2067"/>
    <cellStyle name="Output 15" xfId="2068"/>
    <cellStyle name="Output 16" xfId="2069"/>
    <cellStyle name="Output 17" xfId="2070"/>
    <cellStyle name="Output 18" xfId="2071"/>
    <cellStyle name="Output 19" xfId="2072"/>
    <cellStyle name="Output 2" xfId="2073"/>
    <cellStyle name="Output 20" xfId="2074"/>
    <cellStyle name="Output 21" xfId="2075"/>
    <cellStyle name="Output 22" xfId="2076"/>
    <cellStyle name="Output 23" xfId="2077"/>
    <cellStyle name="Output 24" xfId="2078"/>
    <cellStyle name="Output 25" xfId="2079"/>
    <cellStyle name="Output 26" xfId="2080"/>
    <cellStyle name="Output 27" xfId="2081"/>
    <cellStyle name="Output 28" xfId="2082"/>
    <cellStyle name="Output 29" xfId="2083"/>
    <cellStyle name="Output 3" xfId="2084"/>
    <cellStyle name="Output 30" xfId="2085"/>
    <cellStyle name="Output 31" xfId="2086"/>
    <cellStyle name="Output 32" xfId="2087"/>
    <cellStyle name="Output 33" xfId="2088"/>
    <cellStyle name="Output 34" xfId="2089"/>
    <cellStyle name="Output 35" xfId="2090"/>
    <cellStyle name="Output 36" xfId="2091"/>
    <cellStyle name="Output 37" xfId="2092"/>
    <cellStyle name="Output 38" xfId="2093"/>
    <cellStyle name="Output 39" xfId="2094"/>
    <cellStyle name="Output 4" xfId="2095"/>
    <cellStyle name="Output 40" xfId="2096"/>
    <cellStyle name="Output 41" xfId="2097"/>
    <cellStyle name="Output 42" xfId="2098"/>
    <cellStyle name="Output 43" xfId="2099"/>
    <cellStyle name="Output 5" xfId="2100"/>
    <cellStyle name="Output 6" xfId="2101"/>
    <cellStyle name="Output 7" xfId="2102"/>
    <cellStyle name="Output 8" xfId="2103"/>
    <cellStyle name="Output 9" xfId="2104"/>
    <cellStyle name="Pattern" xfId="2105"/>
    <cellStyle name="Percent 10 10" xfId="2106"/>
    <cellStyle name="Percent 10 11" xfId="2107"/>
    <cellStyle name="Percent 10 12" xfId="2108"/>
    <cellStyle name="Percent 10 13" xfId="2109"/>
    <cellStyle name="Percent 10 14" xfId="2110"/>
    <cellStyle name="Percent 10 15" xfId="2111"/>
    <cellStyle name="Percent 10 16" xfId="2112"/>
    <cellStyle name="Percent 10 17" xfId="2113"/>
    <cellStyle name="Percent 10 18" xfId="2114"/>
    <cellStyle name="Percent 10 19" xfId="2115"/>
    <cellStyle name="Percent 10 2" xfId="2116"/>
    <cellStyle name="Percent 10 20" xfId="2117"/>
    <cellStyle name="Percent 10 3" xfId="2118"/>
    <cellStyle name="Percent 10 4" xfId="2119"/>
    <cellStyle name="Percent 10 5" xfId="2120"/>
    <cellStyle name="Percent 10 6" xfId="2121"/>
    <cellStyle name="Percent 10 7" xfId="2122"/>
    <cellStyle name="Percent 10 7 2" xfId="2123"/>
    <cellStyle name="Percent 10 7 3" xfId="2124"/>
    <cellStyle name="Percent 10 8" xfId="2125"/>
    <cellStyle name="Percent 10 9" xfId="2126"/>
    <cellStyle name="Percent 11 10" xfId="2127"/>
    <cellStyle name="Percent 11 2" xfId="2128"/>
    <cellStyle name="Percent 11 3" xfId="2129"/>
    <cellStyle name="Percent 11 4" xfId="2130"/>
    <cellStyle name="Percent 11 5" xfId="2131"/>
    <cellStyle name="Percent 11 6" xfId="2132"/>
    <cellStyle name="Percent 11 7" xfId="2133"/>
    <cellStyle name="Percent 11 7 2" xfId="2134"/>
    <cellStyle name="Percent 11 7 3" xfId="2135"/>
    <cellStyle name="Percent 11 8" xfId="2136"/>
    <cellStyle name="Percent 11 9" xfId="2137"/>
    <cellStyle name="Percent 12 10" xfId="2138"/>
    <cellStyle name="Percent 12 2" xfId="2139"/>
    <cellStyle name="Percent 12 3" xfId="2140"/>
    <cellStyle name="Percent 12 4" xfId="2141"/>
    <cellStyle name="Percent 12 5" xfId="2142"/>
    <cellStyle name="Percent 12 6" xfId="2143"/>
    <cellStyle name="Percent 12 7" xfId="2144"/>
    <cellStyle name="Percent 12 7 2" xfId="2145"/>
    <cellStyle name="Percent 12 7 3" xfId="2146"/>
    <cellStyle name="Percent 12 8" xfId="2147"/>
    <cellStyle name="Percent 12 9" xfId="2148"/>
    <cellStyle name="Percent 13 10" xfId="2149"/>
    <cellStyle name="Percent 13 2" xfId="2150"/>
    <cellStyle name="Percent 13 3" xfId="2151"/>
    <cellStyle name="Percent 13 4" xfId="2152"/>
    <cellStyle name="Percent 13 5" xfId="2153"/>
    <cellStyle name="Percent 13 6" xfId="2154"/>
    <cellStyle name="Percent 13 7" xfId="2155"/>
    <cellStyle name="Percent 13 7 2" xfId="2156"/>
    <cellStyle name="Percent 13 7 3" xfId="2157"/>
    <cellStyle name="Percent 13 8" xfId="2158"/>
    <cellStyle name="Percent 13 9" xfId="2159"/>
    <cellStyle name="Percent 14 10" xfId="2160"/>
    <cellStyle name="Percent 14 2" xfId="2161"/>
    <cellStyle name="Percent 14 3" xfId="2162"/>
    <cellStyle name="Percent 14 4" xfId="2163"/>
    <cellStyle name="Percent 14 5" xfId="2164"/>
    <cellStyle name="Percent 14 6" xfId="2165"/>
    <cellStyle name="Percent 14 7" xfId="2166"/>
    <cellStyle name="Percent 14 7 2" xfId="2167"/>
    <cellStyle name="Percent 14 7 3" xfId="2168"/>
    <cellStyle name="Percent 14 8" xfId="2169"/>
    <cellStyle name="Percent 14 9" xfId="2170"/>
    <cellStyle name="Percent 15" xfId="2171"/>
    <cellStyle name="Percent 15 2" xfId="2172"/>
    <cellStyle name="Percent 15 3" xfId="2173"/>
    <cellStyle name="Percent 15 4" xfId="2174"/>
    <cellStyle name="Percent 15 5" xfId="2175"/>
    <cellStyle name="Percent 15 6" xfId="2176"/>
    <cellStyle name="Percent 15 7" xfId="2177"/>
    <cellStyle name="Percent 15 7 2" xfId="2178"/>
    <cellStyle name="Percent 15 7 3" xfId="2179"/>
    <cellStyle name="Percent 16 2" xfId="2180"/>
    <cellStyle name="Percent 16 3" xfId="2181"/>
    <cellStyle name="Percent 16 4" xfId="2182"/>
    <cellStyle name="Percent 16 5" xfId="2183"/>
    <cellStyle name="Percent 16 6" xfId="2184"/>
    <cellStyle name="Percent 16 7" xfId="2185"/>
    <cellStyle name="Percent 16 7 2" xfId="2186"/>
    <cellStyle name="Percent 16 7 3" xfId="2187"/>
    <cellStyle name="Percent 17" xfId="2188"/>
    <cellStyle name="Percent 17 2" xfId="2189"/>
    <cellStyle name="Percent 17 3" xfId="2190"/>
    <cellStyle name="Percent 17 4" xfId="2191"/>
    <cellStyle name="Percent 17 5" xfId="2192"/>
    <cellStyle name="Percent 17 6" xfId="2193"/>
    <cellStyle name="Percent 17 7" xfId="2194"/>
    <cellStyle name="Percent 17 7 2" xfId="2195"/>
    <cellStyle name="Percent 17 7 3" xfId="2196"/>
    <cellStyle name="Percent 17 8" xfId="2197"/>
    <cellStyle name="Percent 17 8 2" xfId="2198"/>
    <cellStyle name="Percent 2" xfId="2199"/>
    <cellStyle name="Percent 2 10" xfId="2200"/>
    <cellStyle name="Percent 2 10 2" xfId="2201"/>
    <cellStyle name="Percent 2 11" xfId="2202"/>
    <cellStyle name="Percent 2 11 2" xfId="2203"/>
    <cellStyle name="Percent 2 12" xfId="2204"/>
    <cellStyle name="Percent 2 13" xfId="2205"/>
    <cellStyle name="Percent 2 14" xfId="2206"/>
    <cellStyle name="Percent 2 15" xfId="2207"/>
    <cellStyle name="Percent 2 16" xfId="2208"/>
    <cellStyle name="Percent 2 17" xfId="2209"/>
    <cellStyle name="Percent 2 18" xfId="2210"/>
    <cellStyle name="Percent 2 19" xfId="2211"/>
    <cellStyle name="Percent 2 2" xfId="2212"/>
    <cellStyle name="Percent 2 2 2" xfId="2213"/>
    <cellStyle name="Percent 2 2 3" xfId="2214"/>
    <cellStyle name="Percent 2 2 4" xfId="2215"/>
    <cellStyle name="Percent 2 20" xfId="2216"/>
    <cellStyle name="Percent 2 21" xfId="2217"/>
    <cellStyle name="Percent 2 22" xfId="2218"/>
    <cellStyle name="Percent 2 23" xfId="2219"/>
    <cellStyle name="Percent 2 24" xfId="2220"/>
    <cellStyle name="Percent 2 25" xfId="2221"/>
    <cellStyle name="Percent 2 26" xfId="2222"/>
    <cellStyle name="Percent 2 27" xfId="2223"/>
    <cellStyle name="Percent 2 28" xfId="2224"/>
    <cellStyle name="Percent 2 29" xfId="2225"/>
    <cellStyle name="Percent 2 3" xfId="2226"/>
    <cellStyle name="Percent 2 3 10" xfId="2227"/>
    <cellStyle name="Percent 2 3 11" xfId="2228"/>
    <cellStyle name="Percent 2 3 12" xfId="2229"/>
    <cellStyle name="Percent 2 3 13" xfId="2230"/>
    <cellStyle name="Percent 2 3 14" xfId="2231"/>
    <cellStyle name="Percent 2 3 15" xfId="2232"/>
    <cellStyle name="Percent 2 3 2" xfId="2233"/>
    <cellStyle name="Percent 2 3 3" xfId="2234"/>
    <cellStyle name="Percent 2 3 4" xfId="2235"/>
    <cellStyle name="Percent 2 3 5" xfId="2236"/>
    <cellStyle name="Percent 2 3 6" xfId="2237"/>
    <cellStyle name="Percent 2 3 7" xfId="2238"/>
    <cellStyle name="Percent 2 3 8" xfId="2239"/>
    <cellStyle name="Percent 2 3 9" xfId="2240"/>
    <cellStyle name="Percent 2 30" xfId="2241"/>
    <cellStyle name="Percent 2 31" xfId="2242"/>
    <cellStyle name="Percent 2 32" xfId="2243"/>
    <cellStyle name="Percent 2 33" xfId="2244"/>
    <cellStyle name="Percent 2 34" xfId="2245"/>
    <cellStyle name="Percent 2 35" xfId="2246"/>
    <cellStyle name="Percent 2 36" xfId="2247"/>
    <cellStyle name="Percent 2 37" xfId="2248"/>
    <cellStyle name="Percent 2 38" xfId="2249"/>
    <cellStyle name="Percent 2 39" xfId="2250"/>
    <cellStyle name="Percent 2 4" xfId="2251"/>
    <cellStyle name="Percent 2 4 10" xfId="2252"/>
    <cellStyle name="Percent 2 4 11" xfId="2253"/>
    <cellStyle name="Percent 2 4 12" xfId="2254"/>
    <cellStyle name="Percent 2 4 13" xfId="2255"/>
    <cellStyle name="Percent 2 4 14" xfId="2256"/>
    <cellStyle name="Percent 2 4 15" xfId="2257"/>
    <cellStyle name="Percent 2 4 2" xfId="2258"/>
    <cellStyle name="Percent 2 4 3" xfId="2259"/>
    <cellStyle name="Percent 2 4 4" xfId="2260"/>
    <cellStyle name="Percent 2 4 5" xfId="2261"/>
    <cellStyle name="Percent 2 4 6" xfId="2262"/>
    <cellStyle name="Percent 2 4 7" xfId="2263"/>
    <cellStyle name="Percent 2 4 8" xfId="2264"/>
    <cellStyle name="Percent 2 4 9" xfId="2265"/>
    <cellStyle name="Percent 2 40" xfId="2266"/>
    <cellStyle name="Percent 2 41" xfId="2267"/>
    <cellStyle name="Percent 2 42" xfId="2268"/>
    <cellStyle name="Percent 2 43" xfId="2269"/>
    <cellStyle name="Percent 2 44" xfId="2270"/>
    <cellStyle name="Percent 2 45" xfId="2271"/>
    <cellStyle name="Percent 2 46" xfId="2272"/>
    <cellStyle name="Percent 2 47" xfId="2273"/>
    <cellStyle name="Percent 2 48" xfId="2274"/>
    <cellStyle name="Percent 2 5" xfId="2275"/>
    <cellStyle name="Percent 2 5 10" xfId="2276"/>
    <cellStyle name="Percent 2 5 11" xfId="2277"/>
    <cellStyle name="Percent 2 5 12" xfId="2278"/>
    <cellStyle name="Percent 2 5 13" xfId="2279"/>
    <cellStyle name="Percent 2 5 14" xfId="2280"/>
    <cellStyle name="Percent 2 5 15" xfId="2281"/>
    <cellStyle name="Percent 2 5 2" xfId="2282"/>
    <cellStyle name="Percent 2 5 3" xfId="2283"/>
    <cellStyle name="Percent 2 5 4" xfId="2284"/>
    <cellStyle name="Percent 2 5 5" xfId="2285"/>
    <cellStyle name="Percent 2 5 6" xfId="2286"/>
    <cellStyle name="Percent 2 5 7" xfId="2287"/>
    <cellStyle name="Percent 2 5 8" xfId="2288"/>
    <cellStyle name="Percent 2 5 9" xfId="2289"/>
    <cellStyle name="Percent 2 6" xfId="2290"/>
    <cellStyle name="Percent 2 6 10" xfId="2291"/>
    <cellStyle name="Percent 2 6 11" xfId="2292"/>
    <cellStyle name="Percent 2 6 12" xfId="2293"/>
    <cellStyle name="Percent 2 6 13" xfId="2294"/>
    <cellStyle name="Percent 2 6 14" xfId="2295"/>
    <cellStyle name="Percent 2 6 15" xfId="2296"/>
    <cellStyle name="Percent 2 6 2" xfId="2297"/>
    <cellStyle name="Percent 2 6 3" xfId="2298"/>
    <cellStyle name="Percent 2 6 4" xfId="2299"/>
    <cellStyle name="Percent 2 6 5" xfId="2300"/>
    <cellStyle name="Percent 2 6 6" xfId="2301"/>
    <cellStyle name="Percent 2 6 7" xfId="2302"/>
    <cellStyle name="Percent 2 6 8" xfId="2303"/>
    <cellStyle name="Percent 2 6 9" xfId="2304"/>
    <cellStyle name="Percent 2 7" xfId="2305"/>
    <cellStyle name="Percent 2 7 2" xfId="2306"/>
    <cellStyle name="Percent 2 8" xfId="2307"/>
    <cellStyle name="Percent 2 8 2" xfId="2308"/>
    <cellStyle name="Percent 2 9" xfId="2309"/>
    <cellStyle name="Percent 2 9 2" xfId="2310"/>
    <cellStyle name="Percent 20" xfId="2311"/>
    <cellStyle name="Percent 20 2" xfId="2312"/>
    <cellStyle name="Percent 20 3" xfId="2313"/>
    <cellStyle name="Percent 20 4" xfId="2314"/>
    <cellStyle name="Percent 20 5" xfId="2315"/>
    <cellStyle name="Percent 20 6" xfId="2316"/>
    <cellStyle name="Percent 20 7" xfId="2317"/>
    <cellStyle name="Percent 20 7 2" xfId="2318"/>
    <cellStyle name="Percent 20 7 3" xfId="2319"/>
    <cellStyle name="Percent 21" xfId="2320"/>
    <cellStyle name="Percent 21 2" xfId="2321"/>
    <cellStyle name="Percent 21 3" xfId="2322"/>
    <cellStyle name="Percent 21 4" xfId="2323"/>
    <cellStyle name="Percent 21 5" xfId="2324"/>
    <cellStyle name="Percent 21 6" xfId="2325"/>
    <cellStyle name="Percent 21 7" xfId="2326"/>
    <cellStyle name="Percent 21 7 2" xfId="2327"/>
    <cellStyle name="Percent 21 7 3" xfId="2328"/>
    <cellStyle name="Percent 22" xfId="2329"/>
    <cellStyle name="Percent 22 2" xfId="2330"/>
    <cellStyle name="Percent 22 3" xfId="2331"/>
    <cellStyle name="Percent 22 4" xfId="2332"/>
    <cellStyle name="Percent 22 5" xfId="2333"/>
    <cellStyle name="Percent 22 6" xfId="2334"/>
    <cellStyle name="Percent 22 7" xfId="2335"/>
    <cellStyle name="Percent 22 7 2" xfId="2336"/>
    <cellStyle name="Percent 22 7 3" xfId="2337"/>
    <cellStyle name="Percent 23" xfId="2338"/>
    <cellStyle name="Percent 23 2" xfId="2339"/>
    <cellStyle name="Percent 23 3" xfId="2340"/>
    <cellStyle name="Percent 23 4" xfId="2341"/>
    <cellStyle name="Percent 23 5" xfId="2342"/>
    <cellStyle name="Percent 23 6" xfId="2343"/>
    <cellStyle name="Percent 23 7" xfId="2344"/>
    <cellStyle name="Percent 23 7 2" xfId="2345"/>
    <cellStyle name="Percent 23 7 3" xfId="2346"/>
    <cellStyle name="Percent 24 2" xfId="2347"/>
    <cellStyle name="Percent 24 3" xfId="2348"/>
    <cellStyle name="Percent 24 4" xfId="2349"/>
    <cellStyle name="Percent 24 5" xfId="2350"/>
    <cellStyle name="Percent 24 6" xfId="2351"/>
    <cellStyle name="Percent 24 7" xfId="2352"/>
    <cellStyle name="Percent 24 7 2" xfId="2353"/>
    <cellStyle name="Percent 24 7 3" xfId="2354"/>
    <cellStyle name="Percent 25" xfId="2355"/>
    <cellStyle name="Percent 25 2" xfId="2356"/>
    <cellStyle name="Percent 25 3" xfId="2357"/>
    <cellStyle name="Percent 25 4" xfId="2358"/>
    <cellStyle name="Percent 25 5" xfId="2359"/>
    <cellStyle name="Percent 25 6" xfId="2360"/>
    <cellStyle name="Percent 25 7" xfId="2361"/>
    <cellStyle name="Percent 25 7 2" xfId="2362"/>
    <cellStyle name="Percent 25 7 3" xfId="2363"/>
    <cellStyle name="Percent 26" xfId="2364"/>
    <cellStyle name="Percent 26 2" xfId="2365"/>
    <cellStyle name="Percent 26 3" xfId="2366"/>
    <cellStyle name="Percent 26 4" xfId="2367"/>
    <cellStyle name="Percent 26 5" xfId="2368"/>
    <cellStyle name="Percent 26 6" xfId="2369"/>
    <cellStyle name="Percent 26 7" xfId="2370"/>
    <cellStyle name="Percent 26 7 2" xfId="2371"/>
    <cellStyle name="Percent 26 7 3" xfId="2372"/>
    <cellStyle name="Percent 27" xfId="2373"/>
    <cellStyle name="Percent 3" xfId="2374"/>
    <cellStyle name="Percent 3 10" xfId="2375"/>
    <cellStyle name="Percent 3 10 10" xfId="2376"/>
    <cellStyle name="Percent 3 10 11" xfId="2377"/>
    <cellStyle name="Percent 3 10 12" xfId="2378"/>
    <cellStyle name="Percent 3 10 13" xfId="2379"/>
    <cellStyle name="Percent 3 10 14" xfId="2380"/>
    <cellStyle name="Percent 3 10 15" xfId="2381"/>
    <cellStyle name="Percent 3 10 2" xfId="2382"/>
    <cellStyle name="Percent 3 10 3" xfId="2383"/>
    <cellStyle name="Percent 3 10 4" xfId="2384"/>
    <cellStyle name="Percent 3 10 5" xfId="2385"/>
    <cellStyle name="Percent 3 10 6" xfId="2386"/>
    <cellStyle name="Percent 3 10 7" xfId="2387"/>
    <cellStyle name="Percent 3 10 8" xfId="2388"/>
    <cellStyle name="Percent 3 10 9" xfId="2389"/>
    <cellStyle name="Percent 3 11" xfId="2390"/>
    <cellStyle name="Percent 3 12" xfId="2391"/>
    <cellStyle name="Percent 3 13" xfId="2392"/>
    <cellStyle name="Percent 3 14" xfId="2393"/>
    <cellStyle name="Percent 3 15" xfId="2394"/>
    <cellStyle name="Percent 3 16" xfId="2395"/>
    <cellStyle name="Percent 3 17" xfId="2396"/>
    <cellStyle name="Percent 3 18" xfId="2397"/>
    <cellStyle name="Percent 3 19" xfId="2398"/>
    <cellStyle name="Percent 3 2" xfId="2399"/>
    <cellStyle name="Percent 3 2 10" xfId="2400"/>
    <cellStyle name="Percent 3 2 11" xfId="2401"/>
    <cellStyle name="Percent 3 2 12" xfId="2402"/>
    <cellStyle name="Percent 3 2 13" xfId="2403"/>
    <cellStyle name="Percent 3 2 14" xfId="2404"/>
    <cellStyle name="Percent 3 2 15" xfId="2405"/>
    <cellStyle name="Percent 3 2 2" xfId="2406"/>
    <cellStyle name="Percent 3 2 3" xfId="2407"/>
    <cellStyle name="Percent 3 2 4" xfId="2408"/>
    <cellStyle name="Percent 3 2 5" xfId="2409"/>
    <cellStyle name="Percent 3 2 6" xfId="2410"/>
    <cellStyle name="Percent 3 2 7" xfId="2411"/>
    <cellStyle name="Percent 3 2 8" xfId="2412"/>
    <cellStyle name="Percent 3 2 9" xfId="2413"/>
    <cellStyle name="Percent 3 20" xfId="2414"/>
    <cellStyle name="Percent 3 21" xfId="2415"/>
    <cellStyle name="Percent 3 22" xfId="2416"/>
    <cellStyle name="Percent 3 23" xfId="2417"/>
    <cellStyle name="Percent 3 24" xfId="2418"/>
    <cellStyle name="Percent 3 25" xfId="2419"/>
    <cellStyle name="Percent 3 26" xfId="2420"/>
    <cellStyle name="Percent 3 27" xfId="2421"/>
    <cellStyle name="Percent 3 28" xfId="2422"/>
    <cellStyle name="Percent 3 29" xfId="2423"/>
    <cellStyle name="Percent 3 3" xfId="2424"/>
    <cellStyle name="Percent 3 3 10" xfId="2425"/>
    <cellStyle name="Percent 3 3 11" xfId="2426"/>
    <cellStyle name="Percent 3 3 12" xfId="2427"/>
    <cellStyle name="Percent 3 3 13" xfId="2428"/>
    <cellStyle name="Percent 3 3 14" xfId="2429"/>
    <cellStyle name="Percent 3 3 15" xfId="2430"/>
    <cellStyle name="Percent 3 3 2" xfId="2431"/>
    <cellStyle name="Percent 3 3 3" xfId="2432"/>
    <cellStyle name="Percent 3 3 4" xfId="2433"/>
    <cellStyle name="Percent 3 3 5" xfId="2434"/>
    <cellStyle name="Percent 3 3 6" xfId="2435"/>
    <cellStyle name="Percent 3 3 7" xfId="2436"/>
    <cellStyle name="Percent 3 3 8" xfId="2437"/>
    <cellStyle name="Percent 3 3 9" xfId="2438"/>
    <cellStyle name="Percent 3 4" xfId="2439"/>
    <cellStyle name="Percent 3 4 10" xfId="2440"/>
    <cellStyle name="Percent 3 4 11" xfId="2441"/>
    <cellStyle name="Percent 3 4 12" xfId="2442"/>
    <cellStyle name="Percent 3 4 13" xfId="2443"/>
    <cellStyle name="Percent 3 4 14" xfId="2444"/>
    <cellStyle name="Percent 3 4 15" xfId="2445"/>
    <cellStyle name="Percent 3 4 2" xfId="2446"/>
    <cellStyle name="Percent 3 4 3" xfId="2447"/>
    <cellStyle name="Percent 3 4 4" xfId="2448"/>
    <cellStyle name="Percent 3 4 5" xfId="2449"/>
    <cellStyle name="Percent 3 4 6" xfId="2450"/>
    <cellStyle name="Percent 3 4 7" xfId="2451"/>
    <cellStyle name="Percent 3 4 8" xfId="2452"/>
    <cellStyle name="Percent 3 4 9" xfId="2453"/>
    <cellStyle name="Percent 3 5" xfId="2454"/>
    <cellStyle name="Percent 3 5 10" xfId="2455"/>
    <cellStyle name="Percent 3 5 11" xfId="2456"/>
    <cellStyle name="Percent 3 5 12" xfId="2457"/>
    <cellStyle name="Percent 3 5 13" xfId="2458"/>
    <cellStyle name="Percent 3 5 14" xfId="2459"/>
    <cellStyle name="Percent 3 5 15" xfId="2460"/>
    <cellStyle name="Percent 3 5 2" xfId="2461"/>
    <cellStyle name="Percent 3 5 3" xfId="2462"/>
    <cellStyle name="Percent 3 5 4" xfId="2463"/>
    <cellStyle name="Percent 3 5 5" xfId="2464"/>
    <cellStyle name="Percent 3 5 6" xfId="2465"/>
    <cellStyle name="Percent 3 5 7" xfId="2466"/>
    <cellStyle name="Percent 3 5 8" xfId="2467"/>
    <cellStyle name="Percent 3 5 9" xfId="2468"/>
    <cellStyle name="Percent 3 6" xfId="2469"/>
    <cellStyle name="Percent 3 6 10" xfId="2470"/>
    <cellStyle name="Percent 3 6 11" xfId="2471"/>
    <cellStyle name="Percent 3 6 12" xfId="2472"/>
    <cellStyle name="Percent 3 6 13" xfId="2473"/>
    <cellStyle name="Percent 3 6 14" xfId="2474"/>
    <cellStyle name="Percent 3 6 15" xfId="2475"/>
    <cellStyle name="Percent 3 6 2" xfId="2476"/>
    <cellStyle name="Percent 3 6 3" xfId="2477"/>
    <cellStyle name="Percent 3 6 4" xfId="2478"/>
    <cellStyle name="Percent 3 6 5" xfId="2479"/>
    <cellStyle name="Percent 3 6 6" xfId="2480"/>
    <cellStyle name="Percent 3 6 7" xfId="2481"/>
    <cellStyle name="Percent 3 6 8" xfId="2482"/>
    <cellStyle name="Percent 3 6 9" xfId="2483"/>
    <cellStyle name="Percent 3 7" xfId="2484"/>
    <cellStyle name="Percent 3 7 10" xfId="2485"/>
    <cellStyle name="Percent 3 7 11" xfId="2486"/>
    <cellStyle name="Percent 3 7 12" xfId="2487"/>
    <cellStyle name="Percent 3 7 13" xfId="2488"/>
    <cellStyle name="Percent 3 7 14" xfId="2489"/>
    <cellStyle name="Percent 3 7 15" xfId="2490"/>
    <cellStyle name="Percent 3 7 2" xfId="2491"/>
    <cellStyle name="Percent 3 7 3" xfId="2492"/>
    <cellStyle name="Percent 3 7 4" xfId="2493"/>
    <cellStyle name="Percent 3 7 5" xfId="2494"/>
    <cellStyle name="Percent 3 7 6" xfId="2495"/>
    <cellStyle name="Percent 3 7 7" xfId="2496"/>
    <cellStyle name="Percent 3 7 8" xfId="2497"/>
    <cellStyle name="Percent 3 7 9" xfId="2498"/>
    <cellStyle name="Percent 3 8" xfId="2499"/>
    <cellStyle name="Percent 3 8 10" xfId="2500"/>
    <cellStyle name="Percent 3 8 11" xfId="2501"/>
    <cellStyle name="Percent 3 8 12" xfId="2502"/>
    <cellStyle name="Percent 3 8 13" xfId="2503"/>
    <cellStyle name="Percent 3 8 14" xfId="2504"/>
    <cellStyle name="Percent 3 8 15" xfId="2505"/>
    <cellStyle name="Percent 3 8 2" xfId="2506"/>
    <cellStyle name="Percent 3 8 3" xfId="2507"/>
    <cellStyle name="Percent 3 8 4" xfId="2508"/>
    <cellStyle name="Percent 3 8 5" xfId="2509"/>
    <cellStyle name="Percent 3 8 6" xfId="2510"/>
    <cellStyle name="Percent 3 8 7" xfId="2511"/>
    <cellStyle name="Percent 3 8 8" xfId="2512"/>
    <cellStyle name="Percent 3 8 9" xfId="2513"/>
    <cellStyle name="Percent 3 9" xfId="2514"/>
    <cellStyle name="Percent 3 9 10" xfId="2515"/>
    <cellStyle name="Percent 3 9 11" xfId="2516"/>
    <cellStyle name="Percent 3 9 12" xfId="2517"/>
    <cellStyle name="Percent 3 9 13" xfId="2518"/>
    <cellStyle name="Percent 3 9 14" xfId="2519"/>
    <cellStyle name="Percent 3 9 15" xfId="2520"/>
    <cellStyle name="Percent 3 9 2" xfId="2521"/>
    <cellStyle name="Percent 3 9 3" xfId="2522"/>
    <cellStyle name="Percent 3 9 4" xfId="2523"/>
    <cellStyle name="Percent 3 9 5" xfId="2524"/>
    <cellStyle name="Percent 3 9 6" xfId="2525"/>
    <cellStyle name="Percent 3 9 7" xfId="2526"/>
    <cellStyle name="Percent 3 9 8" xfId="2527"/>
    <cellStyle name="Percent 3 9 9" xfId="2528"/>
    <cellStyle name="Percent 31" xfId="2529"/>
    <cellStyle name="Percent 4" xfId="2530"/>
    <cellStyle name="Percent 4 10" xfId="2531"/>
    <cellStyle name="Percent 4 11" xfId="2532"/>
    <cellStyle name="Percent 4 12" xfId="2533"/>
    <cellStyle name="Percent 4 13" xfId="2534"/>
    <cellStyle name="Percent 4 14" xfId="2535"/>
    <cellStyle name="Percent 4 15" xfId="2536"/>
    <cellStyle name="Percent 4 16" xfId="2537"/>
    <cellStyle name="Percent 4 17" xfId="2538"/>
    <cellStyle name="Percent 4 18" xfId="2539"/>
    <cellStyle name="Percent 4 19" xfId="2540"/>
    <cellStyle name="Percent 4 2" xfId="2541"/>
    <cellStyle name="Percent 4 20" xfId="2542"/>
    <cellStyle name="Percent 4 21" xfId="2543"/>
    <cellStyle name="Percent 4 22" xfId="2544"/>
    <cellStyle name="Percent 4 23" xfId="2545"/>
    <cellStyle name="Percent 4 24" xfId="2546"/>
    <cellStyle name="Percent 4 25" xfId="2547"/>
    <cellStyle name="Percent 4 26" xfId="2548"/>
    <cellStyle name="Percent 4 27" xfId="2549"/>
    <cellStyle name="Percent 4 28" xfId="2550"/>
    <cellStyle name="Percent 4 29" xfId="2551"/>
    <cellStyle name="Percent 4 3" xfId="2552"/>
    <cellStyle name="Percent 4 4" xfId="2553"/>
    <cellStyle name="Percent 4 5" xfId="2554"/>
    <cellStyle name="Percent 4 6" xfId="2555"/>
    <cellStyle name="Percent 4 7" xfId="2556"/>
    <cellStyle name="Percent 4 8" xfId="2557"/>
    <cellStyle name="Percent 4 9" xfId="2558"/>
    <cellStyle name="Percent 5" xfId="2559"/>
    <cellStyle name="Percent 6" xfId="2560"/>
    <cellStyle name="Percent 7" xfId="2561"/>
    <cellStyle name="Percent 8" xfId="2562"/>
    <cellStyle name="Percent 9 10" xfId="2563"/>
    <cellStyle name="Percent 9 11" xfId="2564"/>
    <cellStyle name="Percent 9 12" xfId="2565"/>
    <cellStyle name="Percent 9 13" xfId="2566"/>
    <cellStyle name="Percent 9 14" xfId="2567"/>
    <cellStyle name="Percent 9 15" xfId="2568"/>
    <cellStyle name="Percent 9 16" xfId="2569"/>
    <cellStyle name="Percent 9 17" xfId="2570"/>
    <cellStyle name="Percent 9 18" xfId="2571"/>
    <cellStyle name="Percent 9 19" xfId="2572"/>
    <cellStyle name="Percent 9 2" xfId="2573"/>
    <cellStyle name="Percent 9 20" xfId="2574"/>
    <cellStyle name="Percent 9 3" xfId="2575"/>
    <cellStyle name="Percent 9 4" xfId="2576"/>
    <cellStyle name="Percent 9 5" xfId="2577"/>
    <cellStyle name="Percent 9 6" xfId="2578"/>
    <cellStyle name="Percent 9 7" xfId="2579"/>
    <cellStyle name="Percent 9 7 2" xfId="2580"/>
    <cellStyle name="Percent 9 7 3" xfId="2581"/>
    <cellStyle name="Percent 9 8" xfId="2582"/>
    <cellStyle name="Percent 9 9" xfId="2583"/>
    <cellStyle name="Percentagem 2 2" xfId="2584"/>
    <cellStyle name="Percentagem 2 3" xfId="2585"/>
    <cellStyle name="Shade" xfId="2586"/>
    <cellStyle name="source" xfId="2587"/>
    <cellStyle name="Standard 2" xfId="2588"/>
    <cellStyle name="Standard 3" xfId="2589"/>
    <cellStyle name="Style 1" xfId="2590"/>
    <cellStyle name="tableau | cellule | normal | decimal 1" xfId="2591"/>
    <cellStyle name="tableau | cellule | normal | pourcentage | decimal 1" xfId="2592"/>
    <cellStyle name="tableau | cellule | total | decimal 1" xfId="2593"/>
    <cellStyle name="tableau | coin superieur gauche" xfId="2594"/>
    <cellStyle name="tableau | entete-colonne | series" xfId="2595"/>
    <cellStyle name="tableau | entete-ligne | normal" xfId="2596"/>
    <cellStyle name="tableau | entete-ligne | total" xfId="2597"/>
    <cellStyle name="tableau | ligne-titre | niveau1" xfId="2598"/>
    <cellStyle name="tableau | ligne-titre | niveau2" xfId="2599"/>
    <cellStyle name="Title 10" xfId="2600"/>
    <cellStyle name="Title 11" xfId="2601"/>
    <cellStyle name="Title 12" xfId="2602"/>
    <cellStyle name="Title 13" xfId="2603"/>
    <cellStyle name="Title 14" xfId="2604"/>
    <cellStyle name="Title 15" xfId="2605"/>
    <cellStyle name="Title 16" xfId="2606"/>
    <cellStyle name="Title 17" xfId="2607"/>
    <cellStyle name="Title 18" xfId="2608"/>
    <cellStyle name="Title 19" xfId="2609"/>
    <cellStyle name="Title 2" xfId="2610"/>
    <cellStyle name="Title 20" xfId="2611"/>
    <cellStyle name="Title 21" xfId="2612"/>
    <cellStyle name="Title 22" xfId="2613"/>
    <cellStyle name="Title 23" xfId="2614"/>
    <cellStyle name="Title 24" xfId="2615"/>
    <cellStyle name="Title 25" xfId="2616"/>
    <cellStyle name="Title 26" xfId="2617"/>
    <cellStyle name="Title 27" xfId="2618"/>
    <cellStyle name="Title 28" xfId="2619"/>
    <cellStyle name="Title 29" xfId="2620"/>
    <cellStyle name="Title 3" xfId="2621"/>
    <cellStyle name="Title 30" xfId="2622"/>
    <cellStyle name="Title 31" xfId="2623"/>
    <cellStyle name="Title 32" xfId="2624"/>
    <cellStyle name="Title 33" xfId="2625"/>
    <cellStyle name="Title 34" xfId="2626"/>
    <cellStyle name="Title 35" xfId="2627"/>
    <cellStyle name="Title 36" xfId="2628"/>
    <cellStyle name="Title 37" xfId="2629"/>
    <cellStyle name="Title 38" xfId="2630"/>
    <cellStyle name="Title 39" xfId="2631"/>
    <cellStyle name="Title 4" xfId="2632"/>
    <cellStyle name="Title 40" xfId="2633"/>
    <cellStyle name="Title 41" xfId="2634"/>
    <cellStyle name="Title 42" xfId="2635"/>
    <cellStyle name="Title 43" xfId="2636"/>
    <cellStyle name="Title 5" xfId="2637"/>
    <cellStyle name="Title 6" xfId="2638"/>
    <cellStyle name="Title 7" xfId="2639"/>
    <cellStyle name="Title 8" xfId="2640"/>
    <cellStyle name="Title 9" xfId="2641"/>
    <cellStyle name="Total 10" xfId="2642"/>
    <cellStyle name="Total 11" xfId="2643"/>
    <cellStyle name="Total 12" xfId="2644"/>
    <cellStyle name="Total 13" xfId="2645"/>
    <cellStyle name="Total 14" xfId="2646"/>
    <cellStyle name="Total 15" xfId="2647"/>
    <cellStyle name="Total 16" xfId="2648"/>
    <cellStyle name="Total 17" xfId="2649"/>
    <cellStyle name="Total 18" xfId="2650"/>
    <cellStyle name="Total 19" xfId="2651"/>
    <cellStyle name="Total 2" xfId="2652"/>
    <cellStyle name="Total 20" xfId="2653"/>
    <cellStyle name="Total 21" xfId="2654"/>
    <cellStyle name="Total 22" xfId="2655"/>
    <cellStyle name="Total 23" xfId="2656"/>
    <cellStyle name="Total 24" xfId="2657"/>
    <cellStyle name="Total 25" xfId="2658"/>
    <cellStyle name="Total 26" xfId="2659"/>
    <cellStyle name="Total 27" xfId="2660"/>
    <cellStyle name="Total 28" xfId="2661"/>
    <cellStyle name="Total 29" xfId="2662"/>
    <cellStyle name="Total 3" xfId="2663"/>
    <cellStyle name="Total 30" xfId="2664"/>
    <cellStyle name="Total 31" xfId="2665"/>
    <cellStyle name="Total 32" xfId="2666"/>
    <cellStyle name="Total 33" xfId="2667"/>
    <cellStyle name="Total 34" xfId="2668"/>
    <cellStyle name="Total 35" xfId="2669"/>
    <cellStyle name="Total 36" xfId="2670"/>
    <cellStyle name="Total 37" xfId="2671"/>
    <cellStyle name="Total 38" xfId="2672"/>
    <cellStyle name="Total 39" xfId="2673"/>
    <cellStyle name="Total 4" xfId="2674"/>
    <cellStyle name="Total 40" xfId="2675"/>
    <cellStyle name="Total 41" xfId="2676"/>
    <cellStyle name="Total 42" xfId="2677"/>
    <cellStyle name="Total 5" xfId="2678"/>
    <cellStyle name="Total 6" xfId="2679"/>
    <cellStyle name="Total 7" xfId="2680"/>
    <cellStyle name="Total 8" xfId="2681"/>
    <cellStyle name="Total 9" xfId="2682"/>
    <cellStyle name="Warning Text 10" xfId="2683"/>
    <cellStyle name="Warning Text 11" xfId="2684"/>
    <cellStyle name="Warning Text 12" xfId="2685"/>
    <cellStyle name="Warning Text 13" xfId="2686"/>
    <cellStyle name="Warning Text 14" xfId="2687"/>
    <cellStyle name="Warning Text 15" xfId="2688"/>
    <cellStyle name="Warning Text 16" xfId="2689"/>
    <cellStyle name="Warning Text 17" xfId="2690"/>
    <cellStyle name="Warning Text 18" xfId="2691"/>
    <cellStyle name="Warning Text 19" xfId="2692"/>
    <cellStyle name="Warning Text 2" xfId="2693"/>
    <cellStyle name="Warning Text 20" xfId="2694"/>
    <cellStyle name="Warning Text 21" xfId="2695"/>
    <cellStyle name="Warning Text 22" xfId="2696"/>
    <cellStyle name="Warning Text 23" xfId="2697"/>
    <cellStyle name="Warning Text 24" xfId="2698"/>
    <cellStyle name="Warning Text 25" xfId="2699"/>
    <cellStyle name="Warning Text 26" xfId="2700"/>
    <cellStyle name="Warning Text 27" xfId="2701"/>
    <cellStyle name="Warning Text 28" xfId="2702"/>
    <cellStyle name="Warning Text 29" xfId="2703"/>
    <cellStyle name="Warning Text 3" xfId="2704"/>
    <cellStyle name="Warning Text 30" xfId="2705"/>
    <cellStyle name="Warning Text 31" xfId="2706"/>
    <cellStyle name="Warning Text 32" xfId="2707"/>
    <cellStyle name="Warning Text 33" xfId="2708"/>
    <cellStyle name="Warning Text 34" xfId="2709"/>
    <cellStyle name="Warning Text 35" xfId="2710"/>
    <cellStyle name="Warning Text 36" xfId="2711"/>
    <cellStyle name="Warning Text 37" xfId="2712"/>
    <cellStyle name="Warning Text 38" xfId="2713"/>
    <cellStyle name="Warning Text 39" xfId="2714"/>
    <cellStyle name="Warning Text 4" xfId="2715"/>
    <cellStyle name="Warning Text 40" xfId="2716"/>
    <cellStyle name="Warning Text 41" xfId="2717"/>
    <cellStyle name="Warning Text 5" xfId="2718"/>
    <cellStyle name="Warning Text 6" xfId="2719"/>
    <cellStyle name="Warning Text 7" xfId="2720"/>
    <cellStyle name="Warning Text 8" xfId="2721"/>
    <cellStyle name="Warning Text 9" xfId="2722"/>
    <cellStyle name="Гиперссылка" xfId="2723"/>
    <cellStyle name="Обычный_2++" xfId="2724"/>
    <cellStyle name="已访问的超链接" xfId="272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4" Type="http://schemas.openxmlformats.org/officeDocument/2006/relationships/calcChain" Target="calcChain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sharedStrings" Target="sharedStrings.xml" /><Relationship Id="rId13" Type="http://schemas.openxmlformats.org/officeDocument/2006/relationships/externalLink" Target="externalLinks/externalLink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Fossil prices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0"/>
          <c:order val="0"/>
          <c:tx>
            <c:strRef>
              <c:f>'REF2016 Prices'!$A$20</c:f>
              <c:strCache>
                <c:ptCount val="1"/>
                <c:pt idx="0">
                  <c:v>Oil P Ref</c:v>
                </c:pt>
              </c:strCache>
            </c:strRef>
          </c:tx>
          <c:spPr>
            <a:ln w="25400" cmpd="sng">
              <a:solidFill>
                <a:srgbClr val="CC99FF"/>
              </a:solidFill>
              <a:prstDash val="solid"/>
            </a:ln>
            <a:effectLst/>
          </c:spPr>
          <c:marker>
            <c:symbol val="none"/>
          </c:marker>
          <c:cat>
            <c:numRef>
              <c:f>'REF2016 Prices'!$B$19:$F$19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'REF2016 Prices'!$B$20:$F$20</c:f>
              <c:numCache>
                <c:formatCode>0.0</c:formatCode>
                <c:ptCount val="5"/>
                <c:pt idx="0">
                  <c:v>79.5</c:v>
                </c:pt>
                <c:pt idx="1">
                  <c:v>84.7</c:v>
                </c:pt>
                <c:pt idx="2">
                  <c:v>106.7</c:v>
                </c:pt>
                <c:pt idx="3">
                  <c:v>117.9</c:v>
                </c:pt>
                <c:pt idx="4">
                  <c:v>123.4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0-46FB-9B28-504DBADC9459}"/>
            </c:ext>
          </c:extLst>
        </c:ser>
        <c:ser>
          <c:idx val="5"/>
          <c:order val="1"/>
          <c:tx>
            <c:strRef>
              <c:f>'REF2016 Prices'!$A$25</c:f>
              <c:strCache>
                <c:ptCount val="1"/>
                <c:pt idx="0">
                  <c:v>Gas P Ref</c:v>
                </c:pt>
              </c:strCache>
            </c:strRef>
          </c:tx>
          <c:marker>
            <c:symbol val="none"/>
          </c:marker>
          <c:cat>
            <c:numRef>
              <c:f>'REF2016 Prices'!$B$19:$F$19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'REF2016 Prices'!$B$25:$F$25</c:f>
              <c:numCache>
                <c:formatCode>0.0</c:formatCode>
                <c:ptCount val="5"/>
                <c:pt idx="0">
                  <c:v>50.2</c:v>
                </c:pt>
                <c:pt idx="1">
                  <c:v>54.8</c:v>
                </c:pt>
                <c:pt idx="2">
                  <c:v>64.6</c:v>
                </c:pt>
                <c:pt idx="3">
                  <c:v>71.3</c:v>
                </c:pt>
                <c:pt idx="4">
                  <c:v>73.9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00-46FB-9B28-504DBADC9459}"/>
            </c:ext>
          </c:extLst>
        </c:ser>
        <c:ser>
          <c:idx val="10"/>
          <c:order val="2"/>
          <c:tx>
            <c:strRef>
              <c:f>'REF2016 Prices'!$A$30</c:f>
              <c:strCache>
                <c:ptCount val="1"/>
                <c:pt idx="0">
                  <c:v>Coal P Ref</c:v>
                </c:pt>
              </c:strCache>
            </c:strRef>
          </c:tx>
          <c:marker>
            <c:symbol val="none"/>
          </c:marker>
          <c:cat>
            <c:numRef>
              <c:f>'REF2016 Prices'!$B$19:$F$19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'REF2016 Prices'!$B$30:$F$30</c:f>
              <c:numCache>
                <c:formatCode>0.0</c:formatCode>
                <c:ptCount val="5"/>
                <c:pt idx="0">
                  <c:v>21.2</c:v>
                </c:pt>
                <c:pt idx="1">
                  <c:v>16.2</c:v>
                </c:pt>
                <c:pt idx="2">
                  <c:v>23.3</c:v>
                </c:pt>
                <c:pt idx="3">
                  <c:v>25.8</c:v>
                </c:pt>
                <c:pt idx="4">
                  <c:v>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00-46FB-9B28-504DBADC9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13087089"/>
        <c:axId val="13431654"/>
      </c:lineChart>
      <c:catAx>
        <c:axId val="130870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13431654"/>
        <c:crosses val="autoZero"/>
        <c:auto val="1"/>
        <c:lblOffset val="100"/>
        <c:noMultiLvlLbl val="0"/>
      </c:catAx>
      <c:valAx>
        <c:axId val="13431654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USD2010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1308708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1645"/>
          <c:h val="0.18125"/>
        </c:manualLayout>
      </c:layout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Primary Energy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'PRIMESprices SEC 2011'!$A$20</c:f>
              <c:strCache>
                <c:ptCount val="1"/>
                <c:pt idx="0">
                  <c:v>Oil P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2011'!$B$20:$F$20</c:f>
              <c:numCache>
                <c:formatCode>0.0</c:formatCode>
                <c:ptCount val="5"/>
                <c:pt idx="0">
                  <c:v>84.6</c:v>
                </c:pt>
                <c:pt idx="1">
                  <c:v>88.4</c:v>
                </c:pt>
                <c:pt idx="2">
                  <c:v>105.9</c:v>
                </c:pt>
                <c:pt idx="3">
                  <c:v>116.2</c:v>
                </c:pt>
                <c:pt idx="4">
                  <c:v>126.8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4-4DA4-8BB5-E93CF418266A}"/>
            </c:ext>
          </c:extLst>
        </c:ser>
        <c:ser>
          <c:idx val="1"/>
          <c:order val="1"/>
          <c:tx>
            <c:strRef>
              <c:f>'PRIMESprices SEC 2011'!$A$21</c:f>
              <c:strCache>
                <c:ptCount val="1"/>
                <c:pt idx="0">
                  <c:v>Oil P High</c:v>
                </c:pt>
              </c:strCache>
            </c:strRef>
          </c:tx>
          <c:spPr>
            <a:ln w="28575" cmpd="sng">
              <a:solidFill>
                <a:schemeClr val="bg1">
                  <a:lumMod val="5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2011'!$B$21:$F$21</c:f>
              <c:numCache>
                <c:formatCode>0.0</c:formatCode>
                <c:ptCount val="5"/>
                <c:pt idx="0">
                  <c:v>84.6</c:v>
                </c:pt>
                <c:pt idx="1">
                  <c:v>132.2</c:v>
                </c:pt>
                <c:pt idx="2">
                  <c:v>149.3</c:v>
                </c:pt>
                <c:pt idx="3">
                  <c:v>148.8</c:v>
                </c:pt>
                <c:pt idx="4">
                  <c:v>162.3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A4-4DA4-8BB5-E93CF418266A}"/>
            </c:ext>
          </c:extLst>
        </c:ser>
        <c:ser>
          <c:idx val="2"/>
          <c:order val="2"/>
          <c:tx>
            <c:strRef>
              <c:f>'PRIMESprices SEC 2011'!$A$22</c:f>
              <c:strCache>
                <c:ptCount val="1"/>
                <c:pt idx="0">
                  <c:v>Oil P Low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2011'!$B$22:$F$22</c:f>
              <c:numCache>
                <c:formatCode>0.0</c:formatCode>
                <c:ptCount val="5"/>
                <c:pt idx="0">
                  <c:v>84.6</c:v>
                </c:pt>
                <c:pt idx="1">
                  <c:v>78.8</c:v>
                </c:pt>
                <c:pt idx="2">
                  <c:v>91.5</c:v>
                </c:pt>
                <c:pt idx="3">
                  <c:v>87.9</c:v>
                </c:pt>
                <c:pt idx="4">
                  <c:v>83.9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A4-4DA4-8BB5-E93CF418266A}"/>
            </c:ext>
          </c:extLst>
        </c:ser>
        <c:ser>
          <c:idx val="3"/>
          <c:order val="3"/>
          <c:tx>
            <c:strRef>
              <c:f>'PRIMESprices SEC 2011'!$A$23</c:f>
              <c:strCache>
                <c:ptCount val="1"/>
                <c:pt idx="0">
                  <c:v>Oil T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2011'!$B$23:$F$23</c:f>
              <c:numCache>
                <c:formatCode>0.0</c:formatCode>
                <c:ptCount val="5"/>
                <c:pt idx="0">
                  <c:v>73.8317325560861</c:v>
                </c:pt>
                <c:pt idx="1">
                  <c:v>84.3583573932228</c:v>
                </c:pt>
                <c:pt idx="2">
                  <c:v>98.1318284616636</c:v>
                </c:pt>
                <c:pt idx="3">
                  <c:v>111.981854509827</c:v>
                </c:pt>
                <c:pt idx="4">
                  <c:v>114.649819699123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A4-4DA4-8BB5-E93CF418266A}"/>
            </c:ext>
          </c:extLst>
        </c:ser>
        <c:ser>
          <c:idx val="4"/>
          <c:order val="4"/>
          <c:tx>
            <c:strRef>
              <c:f>'PRIMESprices SEC 2011'!$A$24</c:f>
              <c:strCache>
                <c:ptCount val="1"/>
                <c:pt idx="0">
                  <c:v>Oil T Base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2011'!$B$24:$F$24</c:f>
              <c:numCache>
                <c:formatCode>0.0</c:formatCode>
                <c:ptCount val="5"/>
                <c:pt idx="0">
                  <c:v>73.8317325560861</c:v>
                </c:pt>
                <c:pt idx="1">
                  <c:v>90.1093609650909</c:v>
                </c:pt>
                <c:pt idx="2">
                  <c:v>112.997908439889</c:v>
                </c:pt>
                <c:pt idx="3">
                  <c:v>153.886722791285</c:v>
                </c:pt>
                <c:pt idx="4">
                  <c:v>165.752982015382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A4-4DA4-8BB5-E93CF418266A}"/>
            </c:ext>
          </c:extLst>
        </c:ser>
        <c:ser>
          <c:idx val="5"/>
          <c:order val="5"/>
          <c:tx>
            <c:strRef>
              <c:f>'PRIMESprices SEC 2011'!$A$25</c:f>
              <c:strCache>
                <c:ptCount val="1"/>
                <c:pt idx="0">
                  <c:v>Gas P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2011'!$B$25:$F$25</c:f>
              <c:numCache>
                <c:formatCode>0.0</c:formatCode>
                <c:ptCount val="5"/>
                <c:pt idx="0">
                  <c:v>53.5</c:v>
                </c:pt>
                <c:pt idx="1">
                  <c:v>62.1</c:v>
                </c:pt>
                <c:pt idx="2">
                  <c:v>76.6</c:v>
                </c:pt>
                <c:pt idx="3">
                  <c:v>86.8</c:v>
                </c:pt>
                <c:pt idx="4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A4-4DA4-8BB5-E93CF418266A}"/>
            </c:ext>
          </c:extLst>
        </c:ser>
        <c:ser>
          <c:idx val="6"/>
          <c:order val="6"/>
          <c:tx>
            <c:strRef>
              <c:f>'PRIMESprices SEC 2011'!$A$26</c:f>
              <c:strCache>
                <c:ptCount val="1"/>
                <c:pt idx="0">
                  <c:v>Gas P High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2011'!$B$26:$F$26</c:f>
              <c:numCache>
                <c:formatCode>0.0</c:formatCode>
                <c:ptCount val="5"/>
                <c:pt idx="0">
                  <c:v>53.5</c:v>
                </c:pt>
                <c:pt idx="1">
                  <c:v>85.5</c:v>
                </c:pt>
                <c:pt idx="2">
                  <c:v>101.5</c:v>
                </c:pt>
                <c:pt idx="3">
                  <c:v>111.6</c:v>
                </c:pt>
                <c:pt idx="4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A4-4DA4-8BB5-E93CF418266A}"/>
            </c:ext>
          </c:extLst>
        </c:ser>
        <c:ser>
          <c:idx val="7"/>
          <c:order val="7"/>
          <c:tx>
            <c:strRef>
              <c:f>'PRIMESprices SEC 2011'!$A$27</c:f>
              <c:strCache>
                <c:ptCount val="1"/>
                <c:pt idx="0">
                  <c:v>Gas P Low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2011'!$B$27:$F$27</c:f>
              <c:numCache>
                <c:formatCode>0.0</c:formatCode>
                <c:ptCount val="5"/>
                <c:pt idx="0">
                  <c:v>53.5</c:v>
                </c:pt>
                <c:pt idx="1">
                  <c:v>43.7</c:v>
                </c:pt>
                <c:pt idx="2">
                  <c:v>50.9</c:v>
                </c:pt>
                <c:pt idx="3">
                  <c:v>49.9</c:v>
                </c:pt>
                <c:pt idx="4">
                  <c:v>54.1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A4-4DA4-8BB5-E93CF418266A}"/>
            </c:ext>
          </c:extLst>
        </c:ser>
        <c:ser>
          <c:idx val="8"/>
          <c:order val="8"/>
          <c:tx>
            <c:strRef>
              <c:f>'PRIMESprices SEC 2011'!$A$28</c:f>
              <c:strCache>
                <c:ptCount val="1"/>
                <c:pt idx="0">
                  <c:v>Gas T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2011'!$B$28:$F$28</c:f>
              <c:numCache>
                <c:formatCode>0.0</c:formatCode>
                <c:ptCount val="5"/>
                <c:pt idx="0">
                  <c:v>23.1427179336559</c:v>
                </c:pt>
                <c:pt idx="1">
                  <c:v>30.903102757061</c:v>
                </c:pt>
                <c:pt idx="2">
                  <c:v>34.341529464988</c:v>
                </c:pt>
                <c:pt idx="3">
                  <c:v>40.0639727096578</c:v>
                </c:pt>
                <c:pt idx="4">
                  <c:v>41.1043707417913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A4-4DA4-8BB5-E93CF418266A}"/>
            </c:ext>
          </c:extLst>
        </c:ser>
        <c:ser>
          <c:idx val="9"/>
          <c:order val="9"/>
          <c:tx>
            <c:strRef>
              <c:f>'PRIMESprices SEC 2011'!$A$29</c:f>
              <c:strCache>
                <c:ptCount val="1"/>
                <c:pt idx="0">
                  <c:v>Gas T Base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2011'!$B$29:$F$29</c:f>
              <c:numCache>
                <c:formatCode>0.0</c:formatCode>
                <c:ptCount val="5"/>
                <c:pt idx="0">
                  <c:v>23.2125425774077</c:v>
                </c:pt>
                <c:pt idx="1">
                  <c:v>32.5268475436748</c:v>
                </c:pt>
                <c:pt idx="2">
                  <c:v>39.0692188289851</c:v>
                </c:pt>
                <c:pt idx="3">
                  <c:v>53.8761456546255</c:v>
                </c:pt>
                <c:pt idx="4">
                  <c:v>60.0973852324965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A4-4DA4-8BB5-E93CF418266A}"/>
            </c:ext>
          </c:extLst>
        </c:ser>
        <c:ser>
          <c:idx val="10"/>
          <c:order val="10"/>
          <c:tx>
            <c:strRef>
              <c:f>'PRIMESprices SEC 2011'!$A$30</c:f>
              <c:strCache>
                <c:ptCount val="1"/>
                <c:pt idx="0">
                  <c:v>Coal P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2011'!$B$30:$F$30</c:f>
              <c:numCache>
                <c:formatCode>0.0</c:formatCode>
                <c:ptCount val="5"/>
                <c:pt idx="0">
                  <c:v>22.6</c:v>
                </c:pt>
                <c:pt idx="1">
                  <c:v>28.7</c:v>
                </c:pt>
                <c:pt idx="2">
                  <c:v>32.6</c:v>
                </c:pt>
                <c:pt idx="3">
                  <c:v>32.6</c:v>
                </c:pt>
                <c:pt idx="4">
                  <c:v>33.5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A4-4DA4-8BB5-E93CF418266A}"/>
            </c:ext>
          </c:extLst>
        </c:ser>
        <c:ser>
          <c:idx val="11"/>
          <c:order val="11"/>
          <c:tx>
            <c:strRef>
              <c:f>'PRIMESprices SEC 2011'!$A$31</c:f>
              <c:strCache>
                <c:ptCount val="1"/>
                <c:pt idx="0">
                  <c:v>Coal P High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2011'!$B$31:$F$31</c:f>
              <c:numCache>
                <c:formatCode>0.0</c:formatCode>
                <c:ptCount val="5"/>
                <c:pt idx="0">
                  <c:v>22.6</c:v>
                </c:pt>
                <c:pt idx="1">
                  <c:v>39.3</c:v>
                </c:pt>
                <c:pt idx="2">
                  <c:v>45.7</c:v>
                </c:pt>
                <c:pt idx="3">
                  <c:v>42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FA4-4DA4-8BB5-E93CF418266A}"/>
            </c:ext>
          </c:extLst>
        </c:ser>
        <c:ser>
          <c:idx val="12"/>
          <c:order val="12"/>
          <c:tx>
            <c:strRef>
              <c:f>'PRIMESprices SEC 2011'!$A$32</c:f>
              <c:strCache>
                <c:ptCount val="1"/>
                <c:pt idx="0">
                  <c:v>Coal P Low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2011'!$B$32:$F$32</c:f>
              <c:numCache>
                <c:formatCode>0.0</c:formatCode>
                <c:ptCount val="5"/>
                <c:pt idx="0">
                  <c:v>22.6</c:v>
                </c:pt>
                <c:pt idx="1">
                  <c:v>21.9</c:v>
                </c:pt>
                <c:pt idx="2">
                  <c:v>23.8</c:v>
                </c:pt>
                <c:pt idx="3">
                  <c:v>22.2</c:v>
                </c:pt>
                <c:pt idx="4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A4-4DA4-8BB5-E93CF418266A}"/>
            </c:ext>
          </c:extLst>
        </c:ser>
        <c:ser>
          <c:idx val="13"/>
          <c:order val="13"/>
          <c:tx>
            <c:strRef>
              <c:f>'PRIMESprices SEC 2011'!$A$33</c:f>
              <c:strCache>
                <c:ptCount val="1"/>
                <c:pt idx="0">
                  <c:v>Coal T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2011'!$B$33:$F$33</c:f>
              <c:numCache>
                <c:formatCode>0.0</c:formatCode>
                <c:ptCount val="5"/>
                <c:pt idx="0">
                  <c:v>14.9424964842518</c:v>
                </c:pt>
                <c:pt idx="1">
                  <c:v>16.3735698207682</c:v>
                </c:pt>
                <c:pt idx="2">
                  <c:v>17.6678705506436</c:v>
                </c:pt>
                <c:pt idx="3">
                  <c:v>19.5497392861423</c:v>
                </c:pt>
                <c:pt idx="4">
                  <c:v>20.1412909403472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FA4-4DA4-8BB5-E93CF418266A}"/>
            </c:ext>
          </c:extLst>
        </c:ser>
        <c:ser>
          <c:idx val="14"/>
          <c:order val="14"/>
          <c:tx>
            <c:strRef>
              <c:f>'PRIMESprices SEC 2011'!$A$34</c:f>
              <c:strCache>
                <c:ptCount val="1"/>
                <c:pt idx="0">
                  <c:v>Coal T Base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2011'!$B$34:$F$34</c:f>
              <c:numCache>
                <c:formatCode>0.0</c:formatCode>
                <c:ptCount val="5"/>
                <c:pt idx="0">
                  <c:v>14.9435377567682</c:v>
                </c:pt>
                <c:pt idx="1">
                  <c:v>16.9615793340025</c:v>
                </c:pt>
                <c:pt idx="2">
                  <c:v>18.4805187331611</c:v>
                </c:pt>
                <c:pt idx="3">
                  <c:v>20.618705821046</c:v>
                </c:pt>
                <c:pt idx="4">
                  <c:v>21.3067662005801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A4-4DA4-8BB5-E93CF4182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64312760"/>
        <c:axId val="19613027"/>
      </c:lineChart>
      <c:catAx>
        <c:axId val="64312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19613027"/>
        <c:crosses val="autoZero"/>
        <c:auto val="1"/>
        <c:lblOffset val="100"/>
        <c:noMultiLvlLbl val="0"/>
      </c:catAx>
      <c:valAx>
        <c:axId val="19613027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USD2005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64312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475"/>
          <c:y val="0.1355"/>
          <c:w val="0.1425"/>
          <c:h val="0.8005"/>
        </c:manualLayout>
      </c:layout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Oil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0"/>
          <c:order val="0"/>
          <c:tx>
            <c:strRef>
              <c:f>'PRIMESprices SEC 2011'!$A$20</c:f>
              <c:strCache>
                <c:ptCount val="1"/>
                <c:pt idx="0">
                  <c:v>Oil P Ref</c:v>
                </c:pt>
              </c:strCache>
            </c:strRef>
          </c:tx>
          <c:spPr>
            <a:ln w="25400" cmpd="sng">
              <a:solidFill>
                <a:srgbClr val="CC99FF"/>
              </a:solidFill>
              <a:prstDash val="solid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2011'!$B$20:$F$20</c:f>
              <c:numCache>
                <c:formatCode>0.0</c:formatCode>
                <c:ptCount val="5"/>
                <c:pt idx="0">
                  <c:v>84.6</c:v>
                </c:pt>
                <c:pt idx="1">
                  <c:v>88.4</c:v>
                </c:pt>
                <c:pt idx="2">
                  <c:v>105.9</c:v>
                </c:pt>
                <c:pt idx="3">
                  <c:v>116.2</c:v>
                </c:pt>
                <c:pt idx="4">
                  <c:v>126.8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BE-4169-94B2-35EFF9D9FBF9}"/>
            </c:ext>
          </c:extLst>
        </c:ser>
        <c:ser>
          <c:idx val="1"/>
          <c:order val="1"/>
          <c:tx>
            <c:strRef>
              <c:f>'PRIMESprices SEC 2011'!$A$21</c:f>
              <c:strCache>
                <c:ptCount val="1"/>
                <c:pt idx="0">
                  <c:v>Oil P High</c:v>
                </c:pt>
              </c:strCache>
            </c:strRef>
          </c:tx>
          <c:spPr>
            <a:ln w="25400" cmpd="sng">
              <a:solidFill>
                <a:srgbClr val="333399"/>
              </a:solidFill>
              <a:prstDash val="solid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2011'!$B$21:$F$21</c:f>
              <c:numCache>
                <c:formatCode>0.0</c:formatCode>
                <c:ptCount val="5"/>
                <c:pt idx="0">
                  <c:v>84.6</c:v>
                </c:pt>
                <c:pt idx="1">
                  <c:v>132.2</c:v>
                </c:pt>
                <c:pt idx="2">
                  <c:v>149.3</c:v>
                </c:pt>
                <c:pt idx="3">
                  <c:v>148.8</c:v>
                </c:pt>
                <c:pt idx="4">
                  <c:v>162.3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BE-4169-94B2-35EFF9D9FBF9}"/>
            </c:ext>
          </c:extLst>
        </c:ser>
        <c:ser>
          <c:idx val="2"/>
          <c:order val="2"/>
          <c:tx>
            <c:strRef>
              <c:f>'PRIMESprices SEC 2011'!$A$22</c:f>
              <c:strCache>
                <c:ptCount val="1"/>
                <c:pt idx="0">
                  <c:v>Oil P Low</c:v>
                </c:pt>
              </c:strCache>
            </c:strRef>
          </c:tx>
          <c:spPr>
            <a:ln w="25400" cmpd="sng">
              <a:solidFill>
                <a:srgbClr val="CCCCFF"/>
              </a:solidFill>
              <a:prstDash val="solid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2011'!$B$22:$F$22</c:f>
              <c:numCache>
                <c:formatCode>0.0</c:formatCode>
                <c:ptCount val="5"/>
                <c:pt idx="0">
                  <c:v>84.6</c:v>
                </c:pt>
                <c:pt idx="1">
                  <c:v>78.8</c:v>
                </c:pt>
                <c:pt idx="2">
                  <c:v>91.5</c:v>
                </c:pt>
                <c:pt idx="3">
                  <c:v>87.9</c:v>
                </c:pt>
                <c:pt idx="4">
                  <c:v>83.9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BE-4169-94B2-35EFF9D9FBF9}"/>
            </c:ext>
          </c:extLst>
        </c:ser>
        <c:ser>
          <c:idx val="3"/>
          <c:order val="3"/>
          <c:tx>
            <c:strRef>
              <c:f>'PRIMESprices SEC 2011'!$A$23</c:f>
              <c:strCache>
                <c:ptCount val="1"/>
                <c:pt idx="0">
                  <c:v>Oil T Ref</c:v>
                </c:pt>
              </c:strCache>
            </c:strRef>
          </c:tx>
          <c:spPr>
            <a:ln w="25400" cmpd="sng">
              <a:solidFill>
                <a:srgbClr val="99CCFF"/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2011'!$B$23:$F$23</c:f>
              <c:numCache>
                <c:formatCode>0.0</c:formatCode>
                <c:ptCount val="5"/>
                <c:pt idx="0">
                  <c:v>73.8317325560861</c:v>
                </c:pt>
                <c:pt idx="1">
                  <c:v>84.3583573932228</c:v>
                </c:pt>
                <c:pt idx="2">
                  <c:v>98.1318284616636</c:v>
                </c:pt>
                <c:pt idx="3">
                  <c:v>111.981854509827</c:v>
                </c:pt>
                <c:pt idx="4">
                  <c:v>114.649819699123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BE-4169-94B2-35EFF9D9FBF9}"/>
            </c:ext>
          </c:extLst>
        </c:ser>
        <c:ser>
          <c:idx val="4"/>
          <c:order val="4"/>
          <c:tx>
            <c:strRef>
              <c:f>'PRIMESprices SEC 2011'!$A$24</c:f>
              <c:strCache>
                <c:ptCount val="1"/>
                <c:pt idx="0">
                  <c:v>Oil T Base</c:v>
                </c:pt>
              </c:strCache>
            </c:strRef>
          </c:tx>
          <c:spPr>
            <a:ln w="25400" cmpd="sng">
              <a:solidFill>
                <a:srgbClr val="0000FF"/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2011'!$B$24:$F$24</c:f>
              <c:numCache>
                <c:formatCode>0.0</c:formatCode>
                <c:ptCount val="5"/>
                <c:pt idx="0">
                  <c:v>73.8317325560861</c:v>
                </c:pt>
                <c:pt idx="1">
                  <c:v>90.1093609650909</c:v>
                </c:pt>
                <c:pt idx="2">
                  <c:v>112.997908439889</c:v>
                </c:pt>
                <c:pt idx="3">
                  <c:v>153.886722791285</c:v>
                </c:pt>
                <c:pt idx="4">
                  <c:v>165.752982015382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BE-4169-94B2-35EFF9D9F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22432352"/>
        <c:axId val="2785683"/>
      </c:lineChart>
      <c:catAx>
        <c:axId val="2243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2785683"/>
        <c:crosses val="autoZero"/>
        <c:auto val="1"/>
        <c:lblOffset val="100"/>
        <c:noMultiLvlLbl val="0"/>
      </c:catAx>
      <c:valAx>
        <c:axId val="2785683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USD2008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2243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23375"/>
          <c:h val="0.377"/>
        </c:manualLayout>
      </c:layout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Gas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5"/>
          <c:order val="0"/>
          <c:tx>
            <c:strRef>
              <c:f>'PRIMESprices SEC 2011'!$A$25</c:f>
              <c:strCache>
                <c:ptCount val="1"/>
                <c:pt idx="0">
                  <c:v>Gas P Ref</c:v>
                </c:pt>
              </c:strCache>
            </c:strRef>
          </c:tx>
          <c:spPr>
            <a:ln w="28575" cmpd="sng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2011'!$B$25:$F$25</c:f>
              <c:numCache>
                <c:formatCode>0.0</c:formatCode>
                <c:ptCount val="5"/>
                <c:pt idx="0">
                  <c:v>53.5</c:v>
                </c:pt>
                <c:pt idx="1">
                  <c:v>62.1</c:v>
                </c:pt>
                <c:pt idx="2">
                  <c:v>76.6</c:v>
                </c:pt>
                <c:pt idx="3">
                  <c:v>86.8</c:v>
                </c:pt>
                <c:pt idx="4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E-478F-8769-DD3B3EEC6FE0}"/>
            </c:ext>
          </c:extLst>
        </c:ser>
        <c:ser>
          <c:idx val="6"/>
          <c:order val="1"/>
          <c:tx>
            <c:strRef>
              <c:f>'PRIMESprices SEC 2011'!$A$26</c:f>
              <c:strCache>
                <c:ptCount val="1"/>
                <c:pt idx="0">
                  <c:v>Gas P High</c:v>
                </c:pt>
              </c:strCache>
            </c:strRef>
          </c:tx>
          <c:spPr>
            <a:ln w="28575" cmpd="sng">
              <a:solidFill>
                <a:schemeClr val="accent4">
                  <a:lumMod val="75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2011'!$B$26:$F$26</c:f>
              <c:numCache>
                <c:formatCode>0.0</c:formatCode>
                <c:ptCount val="5"/>
                <c:pt idx="0">
                  <c:v>53.5</c:v>
                </c:pt>
                <c:pt idx="1">
                  <c:v>85.5</c:v>
                </c:pt>
                <c:pt idx="2">
                  <c:v>101.5</c:v>
                </c:pt>
                <c:pt idx="3">
                  <c:v>111.6</c:v>
                </c:pt>
                <c:pt idx="4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E-478F-8769-DD3B3EEC6FE0}"/>
            </c:ext>
          </c:extLst>
        </c:ser>
        <c:ser>
          <c:idx val="7"/>
          <c:order val="2"/>
          <c:tx>
            <c:strRef>
              <c:f>'PRIMESprices SEC 2011'!$A$27</c:f>
              <c:strCache>
                <c:ptCount val="1"/>
                <c:pt idx="0">
                  <c:v>Gas P Low</c:v>
                </c:pt>
              </c:strCache>
            </c:strRef>
          </c:tx>
          <c:spPr>
            <a:ln w="28575" cmpd="sng"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2011'!$B$27:$F$27</c:f>
              <c:numCache>
                <c:formatCode>0.0</c:formatCode>
                <c:ptCount val="5"/>
                <c:pt idx="0">
                  <c:v>53.5</c:v>
                </c:pt>
                <c:pt idx="1">
                  <c:v>43.7</c:v>
                </c:pt>
                <c:pt idx="2">
                  <c:v>50.9</c:v>
                </c:pt>
                <c:pt idx="3">
                  <c:v>49.9</c:v>
                </c:pt>
                <c:pt idx="4">
                  <c:v>54.1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9E-478F-8769-DD3B3EEC6FE0}"/>
            </c:ext>
          </c:extLst>
        </c:ser>
        <c:ser>
          <c:idx val="8"/>
          <c:order val="3"/>
          <c:tx>
            <c:strRef>
              <c:f>'PRIMESprices SEC 2011'!$A$28</c:f>
              <c:strCache>
                <c:ptCount val="1"/>
                <c:pt idx="0">
                  <c:v>Gas T Ref</c:v>
                </c:pt>
              </c:strCache>
            </c:strRef>
          </c:tx>
          <c:spPr>
            <a:ln w="28575" cmpd="sng">
              <a:solidFill>
                <a:schemeClr val="tx2">
                  <a:lumMod val="40000"/>
                  <a:lumOff val="60000"/>
                </a:schemeClr>
              </a:solidFill>
              <a:prstDash val="sysDot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2011'!$B$28:$F$28</c:f>
              <c:numCache>
                <c:formatCode>0.0</c:formatCode>
                <c:ptCount val="5"/>
                <c:pt idx="0">
                  <c:v>23.1427179336559</c:v>
                </c:pt>
                <c:pt idx="1">
                  <c:v>30.903102757061</c:v>
                </c:pt>
                <c:pt idx="2">
                  <c:v>34.341529464988</c:v>
                </c:pt>
                <c:pt idx="3">
                  <c:v>40.0639727096578</c:v>
                </c:pt>
                <c:pt idx="4">
                  <c:v>41.1043707417913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9E-478F-8769-DD3B3EEC6FE0}"/>
            </c:ext>
          </c:extLst>
        </c:ser>
        <c:ser>
          <c:idx val="9"/>
          <c:order val="4"/>
          <c:tx>
            <c:strRef>
              <c:f>'PRIMESprices SEC 2011'!$A$29</c:f>
              <c:strCache>
                <c:ptCount val="1"/>
                <c:pt idx="0">
                  <c:v>Gas T Base</c:v>
                </c:pt>
              </c:strCache>
            </c:strRef>
          </c:tx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2011'!$B$29:$F$29</c:f>
              <c:numCache>
                <c:formatCode>0.0</c:formatCode>
                <c:ptCount val="5"/>
                <c:pt idx="0">
                  <c:v>23.2125425774077</c:v>
                </c:pt>
                <c:pt idx="1">
                  <c:v>32.5268475436748</c:v>
                </c:pt>
                <c:pt idx="2">
                  <c:v>39.0692188289851</c:v>
                </c:pt>
                <c:pt idx="3">
                  <c:v>53.8761456546255</c:v>
                </c:pt>
                <c:pt idx="4">
                  <c:v>60.0973852324965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9E-478F-8769-DD3B3EEC6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43317071"/>
        <c:axId val="56058778"/>
      </c:lineChart>
      <c:catAx>
        <c:axId val="4331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56058778"/>
        <c:crosses val="autoZero"/>
        <c:auto val="1"/>
        <c:lblOffset val="100"/>
        <c:noMultiLvlLbl val="0"/>
      </c:catAx>
      <c:valAx>
        <c:axId val="56058778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USD2008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4331707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225"/>
          <c:h val="0.4185"/>
        </c:manualLayout>
      </c:layout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Coal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5"/>
          <c:order val="0"/>
          <c:tx>
            <c:strRef>
              <c:f>'PRIMESprices SEC 2011'!$A$30</c:f>
              <c:strCache>
                <c:ptCount val="1"/>
                <c:pt idx="0">
                  <c:v>Coal P Ref</c:v>
                </c:pt>
              </c:strCache>
            </c:strRef>
          </c:tx>
          <c:spPr>
            <a:ln w="28575" cmpd="sng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2011'!$B$30:$F$30</c:f>
              <c:numCache>
                <c:formatCode>0.0</c:formatCode>
                <c:ptCount val="5"/>
                <c:pt idx="0">
                  <c:v>22.6</c:v>
                </c:pt>
                <c:pt idx="1">
                  <c:v>28.7</c:v>
                </c:pt>
                <c:pt idx="2">
                  <c:v>32.6</c:v>
                </c:pt>
                <c:pt idx="3">
                  <c:v>32.6</c:v>
                </c:pt>
                <c:pt idx="4">
                  <c:v>33.5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4-4E73-8CE4-AD3A36802224}"/>
            </c:ext>
          </c:extLst>
        </c:ser>
        <c:ser>
          <c:idx val="6"/>
          <c:order val="1"/>
          <c:tx>
            <c:strRef>
              <c:f>'PRIMESprices SEC 2011'!$A$31</c:f>
              <c:strCache>
                <c:ptCount val="1"/>
                <c:pt idx="0">
                  <c:v>Coal P High</c:v>
                </c:pt>
              </c:strCache>
            </c:strRef>
          </c:tx>
          <c:spPr>
            <a:ln w="28575" cmpd="sng">
              <a:solidFill>
                <a:schemeClr val="accent4">
                  <a:lumMod val="75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2011'!$B$31:$F$31</c:f>
              <c:numCache>
                <c:formatCode>0.0</c:formatCode>
                <c:ptCount val="5"/>
                <c:pt idx="0">
                  <c:v>22.6</c:v>
                </c:pt>
                <c:pt idx="1">
                  <c:v>39.3</c:v>
                </c:pt>
                <c:pt idx="2">
                  <c:v>45.7</c:v>
                </c:pt>
                <c:pt idx="3">
                  <c:v>42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34-4E73-8CE4-AD3A36802224}"/>
            </c:ext>
          </c:extLst>
        </c:ser>
        <c:ser>
          <c:idx val="7"/>
          <c:order val="2"/>
          <c:tx>
            <c:strRef>
              <c:f>'PRIMESprices SEC 2011'!$A$32</c:f>
              <c:strCache>
                <c:ptCount val="1"/>
                <c:pt idx="0">
                  <c:v>Coal P Low</c:v>
                </c:pt>
              </c:strCache>
            </c:strRef>
          </c:tx>
          <c:spPr>
            <a:ln w="28575" cmpd="sng"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2011'!$B$32:$F$32</c:f>
              <c:numCache>
                <c:formatCode>0.0</c:formatCode>
                <c:ptCount val="5"/>
                <c:pt idx="0">
                  <c:v>22.6</c:v>
                </c:pt>
                <c:pt idx="1">
                  <c:v>21.9</c:v>
                </c:pt>
                <c:pt idx="2">
                  <c:v>23.8</c:v>
                </c:pt>
                <c:pt idx="3">
                  <c:v>22.2</c:v>
                </c:pt>
                <c:pt idx="4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34-4E73-8CE4-AD3A36802224}"/>
            </c:ext>
          </c:extLst>
        </c:ser>
        <c:ser>
          <c:idx val="8"/>
          <c:order val="3"/>
          <c:tx>
            <c:strRef>
              <c:f>'PRIMESprices SEC 2011'!$A$33</c:f>
              <c:strCache>
                <c:ptCount val="1"/>
                <c:pt idx="0">
                  <c:v>Coal T Ref</c:v>
                </c:pt>
              </c:strCache>
            </c:strRef>
          </c:tx>
          <c:spPr>
            <a:ln w="28575" cmpd="sng">
              <a:solidFill>
                <a:schemeClr val="tx2">
                  <a:lumMod val="40000"/>
                  <a:lumOff val="60000"/>
                </a:schemeClr>
              </a:solidFill>
              <a:prstDash val="sysDot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2011'!$B$33:$F$33</c:f>
              <c:numCache>
                <c:formatCode>0.0</c:formatCode>
                <c:ptCount val="5"/>
                <c:pt idx="0">
                  <c:v>14.9424964842518</c:v>
                </c:pt>
                <c:pt idx="1">
                  <c:v>16.3735698207682</c:v>
                </c:pt>
                <c:pt idx="2">
                  <c:v>17.6678705506436</c:v>
                </c:pt>
                <c:pt idx="3">
                  <c:v>19.5497392861423</c:v>
                </c:pt>
                <c:pt idx="4">
                  <c:v>20.1412909403472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34-4E73-8CE4-AD3A36802224}"/>
            </c:ext>
          </c:extLst>
        </c:ser>
        <c:ser>
          <c:idx val="9"/>
          <c:order val="4"/>
          <c:tx>
            <c:strRef>
              <c:f>'PRIMESprices SEC 2011'!$A$34</c:f>
              <c:strCache>
                <c:ptCount val="1"/>
                <c:pt idx="0">
                  <c:v>Coal T Base</c:v>
                </c:pt>
              </c:strCache>
            </c:strRef>
          </c:tx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2011'!$B$34:$F$34</c:f>
              <c:numCache>
                <c:formatCode>0.0</c:formatCode>
                <c:ptCount val="5"/>
                <c:pt idx="0">
                  <c:v>14.9435377567682</c:v>
                </c:pt>
                <c:pt idx="1">
                  <c:v>16.9615793340025</c:v>
                </c:pt>
                <c:pt idx="2">
                  <c:v>18.4805187331611</c:v>
                </c:pt>
                <c:pt idx="3">
                  <c:v>20.618705821046</c:v>
                </c:pt>
                <c:pt idx="4">
                  <c:v>21.3067662005801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34-4E73-8CE4-AD3A36802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65209527"/>
        <c:axId val="43672362"/>
      </c:lineChart>
      <c:catAx>
        <c:axId val="65209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43672362"/>
        <c:crosses val="autoZero"/>
        <c:auto val="1"/>
        <c:lblOffset val="100"/>
        <c:noMultiLvlLbl val="0"/>
      </c:catAx>
      <c:valAx>
        <c:axId val="43672362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USD2008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6520952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24425"/>
          <c:h val="0.4185"/>
        </c:manualLayout>
      </c:layout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 /><Relationship Id="rId3" Type="http://schemas.openxmlformats.org/officeDocument/2006/relationships/image" Target="../media/image1.png" /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chart" Target="../charts/chart5.xml" /><Relationship Id="rId2" Type="http://schemas.openxmlformats.org/officeDocument/2006/relationships/chart" Target="../charts/chart3.xml" /><Relationship Id="rId3" Type="http://schemas.openxmlformats.org/officeDocument/2006/relationships/chart" Target="../charts/chart4.xml" /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28575</xdr:colOff>
      <xdr:row>4</xdr:row>
      <xdr:rowOff>57150</xdr:rowOff>
    </xdr:from>
    <xdr:to>
      <xdr:col>16</xdr:col>
      <xdr:colOff>9525</xdr:colOff>
      <xdr:row>24</xdr:row>
      <xdr:rowOff>47625</xdr:rowOff>
    </xdr:to>
    <xdr:graphicFrame>
      <xdr:nvGraphicFramePr>
        <xdr:cNvPr id="39222" name="Chart 3">
          <a:extLst>
            <a:ext uri="{FF2B5EF4-FFF2-40B4-BE49-F238E27FC236}">
              <a16:creationId xmlns:a16="http://schemas.microsoft.com/office/drawing/2014/main" id="{b81101f7-1a3e-4fda-9e5a-b9a73179b4f4}"/>
            </a:ext>
          </a:extLst>
        </xdr:cNvPr>
        <xdr:cNvGraphicFramePr/>
      </xdr:nvGraphicFramePr>
      <xdr:xfrm>
        <a:off x="5314950" y="819150"/>
        <a:ext cx="5467350" cy="38004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8</xdr:col>
      <xdr:colOff>0</xdr:colOff>
      <xdr:row>26</xdr:row>
      <xdr:rowOff>0</xdr:rowOff>
    </xdr:from>
    <xdr:to>
      <xdr:col>18</xdr:col>
      <xdr:colOff>438150</xdr:colOff>
      <xdr:row>50</xdr:row>
      <xdr:rowOff>142875</xdr:rowOff>
    </xdr:to>
    <xdr:pic>
      <xdr:nvPicPr>
        <xdr:cNvPr id="39223" name="Picture 5">
          <a:extLst>
            <a:ext uri="{FF2B5EF4-FFF2-40B4-BE49-F238E27FC236}">
              <a16:creationId xmlns:a16="http://schemas.microsoft.com/office/drawing/2014/main" id="{45dc5fd4-6359-44aa-af26-d9d06eb222b4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5895975" y="4953000"/>
          <a:ext cx="6534150" cy="47148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13</xdr:col>
      <xdr:colOff>501710</xdr:colOff>
      <xdr:row>108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192000"/>
          <a:ext cx="9448800" cy="838200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18</xdr:col>
      <xdr:colOff>552450</xdr:colOff>
      <xdr:row>3</xdr:row>
      <xdr:rowOff>76200</xdr:rowOff>
    </xdr:from>
    <xdr:to>
      <xdr:col>29</xdr:col>
      <xdr:colOff>600075</xdr:colOff>
      <xdr:row>24</xdr:row>
      <xdr:rowOff>85725</xdr:rowOff>
    </xdr:to>
    <xdr:graphicFrame>
      <xdr:nvGraphicFramePr>
        <xdr:cNvPr id="302297" name="Chart 2">
          <a:extLst>
            <a:ext uri="{FF2B5EF4-FFF2-40B4-BE49-F238E27FC236}">
              <a16:creationId xmlns:a16="http://schemas.microsoft.com/office/drawing/2014/main" id="{eff5e5b4-e988-4265-9525-8fca0264ea55}"/>
            </a:ext>
          </a:extLst>
        </xdr:cNvPr>
        <xdr:cNvGraphicFramePr/>
      </xdr:nvGraphicFramePr>
      <xdr:xfrm>
        <a:off x="11896725" y="647700"/>
        <a:ext cx="6753225" cy="40100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7</xdr:col>
      <xdr:colOff>28575</xdr:colOff>
      <xdr:row>4</xdr:row>
      <xdr:rowOff>57150</xdr:rowOff>
    </xdr:from>
    <xdr:to>
      <xdr:col>14</xdr:col>
      <xdr:colOff>333375</xdr:colOff>
      <xdr:row>18</xdr:row>
      <xdr:rowOff>133350</xdr:rowOff>
    </xdr:to>
    <xdr:graphicFrame>
      <xdr:nvGraphicFramePr>
        <xdr:cNvPr id="302298" name="Chart 3">
          <a:extLst>
            <a:ext uri="{FF2B5EF4-FFF2-40B4-BE49-F238E27FC236}">
              <a16:creationId xmlns:a16="http://schemas.microsoft.com/office/drawing/2014/main" id="{247c13f3-f602-4316-af62-add954bce134}"/>
            </a:ext>
          </a:extLst>
        </xdr:cNvPr>
        <xdr:cNvGraphicFramePr/>
      </xdr:nvGraphicFramePr>
      <xdr:xfrm>
        <a:off x="4667250" y="819150"/>
        <a:ext cx="4572000" cy="27432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7</xdr:col>
      <xdr:colOff>47625</xdr:colOff>
      <xdr:row>19</xdr:row>
      <xdr:rowOff>152400</xdr:rowOff>
    </xdr:from>
    <xdr:to>
      <xdr:col>14</xdr:col>
      <xdr:colOff>352425</xdr:colOff>
      <xdr:row>34</xdr:row>
      <xdr:rowOff>38100</xdr:rowOff>
    </xdr:to>
    <xdr:graphicFrame>
      <xdr:nvGraphicFramePr>
        <xdr:cNvPr id="302299" name="Chart 4">
          <a:extLst>
            <a:ext uri="{FF2B5EF4-FFF2-40B4-BE49-F238E27FC236}">
              <a16:creationId xmlns:a16="http://schemas.microsoft.com/office/drawing/2014/main" id="{ad2713e6-f3b4-43a0-9f66-c1f08ff8cf07}"/>
            </a:ext>
          </a:extLst>
        </xdr:cNvPr>
        <xdr:cNvGraphicFramePr/>
      </xdr:nvGraphicFramePr>
      <xdr:xfrm>
        <a:off x="4686300" y="3771900"/>
        <a:ext cx="4572000" cy="274320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14</xdr:col>
      <xdr:colOff>304800</xdr:colOff>
      <xdr:row>49</xdr:row>
      <xdr:rowOff>76200</xdr:rowOff>
    </xdr:to>
    <xdr:graphicFrame>
      <xdr:nvGraphicFramePr>
        <xdr:cNvPr id="302300" name="Chart 5">
          <a:extLst>
            <a:ext uri="{FF2B5EF4-FFF2-40B4-BE49-F238E27FC236}">
              <a16:creationId xmlns:a16="http://schemas.microsoft.com/office/drawing/2014/main" id="{bc3b06bf-b740-4bc4-8ba2-2038c377880d}"/>
            </a:ext>
          </a:extLst>
        </xdr:cNvPr>
        <xdr:cNvGraphicFramePr/>
      </xdr:nvGraphicFramePr>
      <xdr:xfrm>
        <a:off x="4638675" y="6667500"/>
        <a:ext cx="4572000" cy="274320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Users/Old_XP_D_Drive/ESE_Unit/TIMES_JRC/PrimaryEnergyPrices_TIM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arts"/>
      <sheetName val="POLES"/>
      <sheetName val="PRIMES"/>
      <sheetName val="ETP2012"/>
      <sheetName val="Table"/>
      <sheetName val="Price_conversion"/>
      <sheetName val="EU_GDP_deflators"/>
    </sheetNames>
    <sheetDataSet>
      <sheetData sheetId="0"/>
      <sheetData sheetId="1">
        <row r="33">
          <cell r="E33">
            <v>73.8317325560861</v>
          </cell>
          <cell r="G33">
            <v>84.3583573932228</v>
          </cell>
          <cell r="I33">
            <v>98.1318284616636</v>
          </cell>
          <cell r="L33">
            <v>111.981854509827</v>
          </cell>
          <cell r="M33">
            <v>114.649819699123</v>
          </cell>
        </row>
        <row r="34">
          <cell r="E34">
            <v>23.1427179336559</v>
          </cell>
          <cell r="G34">
            <v>30.903102757061</v>
          </cell>
          <cell r="I34">
            <v>34.341529464988</v>
          </cell>
          <cell r="L34">
            <v>40.0639727096578</v>
          </cell>
          <cell r="M34">
            <v>41.1043707417913</v>
          </cell>
        </row>
        <row r="35">
          <cell r="E35">
            <v>14.9424964842518</v>
          </cell>
          <cell r="G35">
            <v>16.3735698207682</v>
          </cell>
          <cell r="I35">
            <v>17.6678705506436</v>
          </cell>
          <cell r="L35">
            <v>19.5497392861423</v>
          </cell>
          <cell r="M35">
            <v>20.1412909403472</v>
          </cell>
        </row>
        <row r="36">
          <cell r="E36">
            <v>73.8317325560861</v>
          </cell>
          <cell r="G36">
            <v>90.1093609650909</v>
          </cell>
          <cell r="I36">
            <v>112.997908439889</v>
          </cell>
          <cell r="L36">
            <v>153.886722791285</v>
          </cell>
          <cell r="M36">
            <v>165.752982015382</v>
          </cell>
        </row>
        <row r="37">
          <cell r="E37">
            <v>23.2125425774077</v>
          </cell>
          <cell r="G37">
            <v>32.5268475436748</v>
          </cell>
          <cell r="I37">
            <v>39.0692188289851</v>
          </cell>
          <cell r="L37">
            <v>53.8761456546255</v>
          </cell>
          <cell r="M37">
            <v>60.0973852324965</v>
          </cell>
        </row>
        <row r="38">
          <cell r="E38">
            <v>14.9435377567682</v>
          </cell>
          <cell r="G38">
            <v>16.9615793340025</v>
          </cell>
          <cell r="I38">
            <v>18.4805187331611</v>
          </cell>
          <cell r="L38">
            <v>20.618705821046</v>
          </cell>
          <cell r="M38">
            <v>21.3067662005801</v>
          </cell>
        </row>
      </sheetData>
      <sheetData sheetId="2"/>
      <sheetData sheetId="3"/>
      <sheetData sheetId="4"/>
      <sheetData sheetId="5">
        <row r="25">
          <cell r="C25">
            <v>0.81</v>
          </cell>
        </row>
        <row r="31">
          <cell r="C31">
            <v>1.08500191256831</v>
          </cell>
        </row>
        <row r="46">
          <cell r="B46">
            <v>6.1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 /><Relationship Id="rId1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 /><Relationship Id="rId1" Type="http://schemas.openxmlformats.org/officeDocument/2006/relationships/drawing" Target="../drawings/drawing2.xml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1" Type="http://schemas.openxmlformats.org/officeDocument/2006/relationships/comments" Target="../comments5.xml" 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 /><Relationship Id="rId3" Type="http://schemas.openxmlformats.org/officeDocument/2006/relationships/printerSettings" Target="../printerSettings/printerSettings4.bin" /><Relationship Id="rId1" Type="http://schemas.openxmlformats.org/officeDocument/2006/relationships/comments" Target="../comments7.xml" 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 /><Relationship Id="rId3" Type="http://schemas.openxmlformats.org/officeDocument/2006/relationships/printerSettings" Target="../printerSettings/printerSettings5.bin" /><Relationship Id="rId1" Type="http://schemas.openxmlformats.org/officeDocument/2006/relationships/comments" Target="../comments8.xml" 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 /><Relationship Id="rId3" Type="http://schemas.openxmlformats.org/officeDocument/2006/relationships/printerSettings" Target="../printerSettings/printerSettings6.bin" /><Relationship Id="rId1" Type="http://schemas.openxmlformats.org/officeDocument/2006/relationships/comments" Target="../comments9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P147"/>
  <sheetViews>
    <sheetView workbookViewId="0" topLeftCell="A1"/>
  </sheetViews>
  <sheetFormatPr defaultRowHeight="12.75"/>
  <cols>
    <col min="1" max="1" width="24.4285714285714" customWidth="1"/>
    <col min="2" max="2" width="15.8571428571429" customWidth="1"/>
    <col min="3" max="3" width="9.71428571428571" customWidth="1"/>
    <col min="4" max="4" width="11.1428571428571" customWidth="1"/>
    <col min="5" max="5" width="11.5714285714286" bestFit="1" customWidth="1"/>
    <col min="6" max="6" width="7.14285714285714" customWidth="1"/>
    <col min="16" max="16" width="9.85714285714286" customWidth="1"/>
    <col min="17" max="17" width="43.7142857142857" customWidth="1"/>
    <col min="18" max="18" width="74.8571428571429" customWidth="1"/>
  </cols>
  <sheetData>
    <row r="2" spans="1:1" ht="12.75">
      <c r="A2" s="1" t="s">
        <v>0</v>
      </c>
    </row>
    <row r="4" spans="5:13" ht="12.75">
      <c r="E4" s="3"/>
      <c r="M4" s="3"/>
    </row>
    <row r="5" spans="2:13" ht="12.75">
      <c r="B5" s="4"/>
      <c r="G5" t="s">
        <v>1</v>
      </c>
      <c r="H5">
        <v>1100</v>
      </c>
      <c r="M5" s="3"/>
    </row>
    <row r="6" spans="1:13" ht="12.75">
      <c r="A6" t="s">
        <v>2</v>
      </c>
      <c r="B6">
        <f>24*365</f>
        <v>8760</v>
      </c>
      <c r="C6" t="s">
        <v>3</v>
      </c>
      <c r="G6" t="s">
        <v>4</v>
      </c>
      <c r="H6">
        <v>30</v>
      </c>
      <c r="M6" s="3"/>
    </row>
    <row r="7" spans="1:13" ht="12.75">
      <c r="A7" t="s">
        <v>5</v>
      </c>
      <c r="B7">
        <v>7</v>
      </c>
      <c r="C7" t="s">
        <v>6</v>
      </c>
      <c r="G7" t="s">
        <v>7</v>
      </c>
      <c r="H7" s="5">
        <f>(H5+273-H6-273)/(H5+273)</f>
        <v>0.77931536780772037</v>
      </c>
      <c r="M7" s="3"/>
    </row>
    <row r="8" spans="13:13" ht="12.75">
      <c r="M8" s="3"/>
    </row>
    <row r="9" spans="1:13" ht="12.75">
      <c r="A9" s="6" t="s">
        <v>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0" spans="2:13" ht="12.75">
      <c r="B10">
        <v>1</v>
      </c>
      <c r="C10" s="9" t="s">
        <v>9</v>
      </c>
      <c r="D10" s="9" t="s">
        <v>10</v>
      </c>
      <c r="F10" s="9" t="s">
        <v>11</v>
      </c>
      <c r="M10" s="3"/>
    </row>
    <row r="11" spans="2:13" ht="12.75">
      <c r="B11">
        <v>1</v>
      </c>
      <c r="C11" s="9" t="s">
        <v>12</v>
      </c>
      <c r="E11">
        <v>277.80</v>
      </c>
      <c r="F11" s="9" t="s">
        <v>13</v>
      </c>
      <c r="M11" s="3"/>
    </row>
    <row r="12" spans="2:13" ht="12.75">
      <c r="B12">
        <v>1</v>
      </c>
      <c r="C12" s="9" t="s">
        <v>14</v>
      </c>
      <c r="E12" s="10">
        <f>B12/3600*1000</f>
        <v>0.27777777777777779</v>
      </c>
      <c r="F12" s="9" t="s">
        <v>13</v>
      </c>
      <c r="M12" s="3"/>
    </row>
    <row r="13" spans="2:13" ht="12.75">
      <c r="B13">
        <f>1000000000000000</f>
        <v>1000000000000000</v>
      </c>
      <c r="C13" s="9" t="s">
        <v>15</v>
      </c>
      <c r="F13" s="9"/>
      <c r="M13" s="3"/>
    </row>
    <row r="14" spans="2:13" ht="12.75">
      <c r="B14">
        <f>B13/3600</f>
        <v>277777777777.77777</v>
      </c>
      <c r="C14" s="9" t="s">
        <v>16</v>
      </c>
      <c r="F14" s="9"/>
      <c r="M14" s="3"/>
    </row>
    <row r="15" spans="2:13" ht="12.75">
      <c r="B15">
        <f>B14/1000000000</f>
        <v>277.77777777777777</v>
      </c>
      <c r="C15" s="9" t="s">
        <v>11</v>
      </c>
      <c r="M15" s="3"/>
    </row>
    <row r="17" spans="10:10" ht="12.75">
      <c r="J17">
        <f>416/C29</f>
        <v>11162.778676220461</v>
      </c>
    </row>
    <row r="18" spans="1:1" ht="12.75">
      <c r="A18" t="s">
        <v>17</v>
      </c>
    </row>
    <row r="19" spans="1:3" ht="12.75">
      <c r="A19" s="11" t="s">
        <v>18</v>
      </c>
      <c r="B19" s="11">
        <v>6.10</v>
      </c>
      <c r="C19" s="11" t="s">
        <v>12</v>
      </c>
    </row>
    <row r="20" spans="1:3" ht="12.75">
      <c r="A20" s="11" t="s">
        <v>19</v>
      </c>
      <c r="B20" s="11">
        <v>1.054</v>
      </c>
      <c r="C20" s="11" t="s">
        <v>12</v>
      </c>
    </row>
    <row r="21" spans="1:4" ht="12.75">
      <c r="A21" s="11" t="s">
        <v>20</v>
      </c>
      <c r="B21" s="11">
        <v>41.868000000000002</v>
      </c>
      <c r="C21" s="11" t="s">
        <v>12</v>
      </c>
      <c r="D21" s="11"/>
    </row>
    <row r="22" spans="1:9" ht="12.75">
      <c r="A22" s="12" t="s">
        <v>21</v>
      </c>
      <c r="B22" s="12">
        <v>0.0035999999999999999</v>
      </c>
      <c r="C22" s="12" t="s">
        <v>12</v>
      </c>
      <c r="E22" t="s">
        <v>22</v>
      </c>
      <c r="F22" s="13">
        <f>1/B22</f>
        <v>277.77777777777777</v>
      </c>
      <c r="G22" s="9" t="s">
        <v>11</v>
      </c>
      <c r="H22">
        <f>F22*1000000</f>
        <v>277777777.77777779</v>
      </c>
      <c r="I22" s="9" t="s">
        <v>13</v>
      </c>
    </row>
    <row r="23" spans="1:3" ht="12.75">
      <c r="A23" s="14" t="s">
        <v>23</v>
      </c>
      <c r="B23" s="15">
        <v>28.10</v>
      </c>
      <c r="C23" s="14" t="s">
        <v>12</v>
      </c>
    </row>
    <row r="24" spans="1:3" ht="12.75">
      <c r="A24" s="16" t="s">
        <v>24</v>
      </c>
      <c r="B24" s="15">
        <v>41.84</v>
      </c>
      <c r="C24" s="14" t="s">
        <v>12</v>
      </c>
    </row>
    <row r="25" spans="1:3" ht="12.75">
      <c r="A25" s="16" t="s">
        <v>25</v>
      </c>
      <c r="B25" s="11">
        <v>31.536000000000001</v>
      </c>
      <c r="C25" s="14" t="s">
        <v>9</v>
      </c>
    </row>
    <row r="26" spans="1:3" ht="12.75">
      <c r="A26" s="14"/>
      <c r="B26" s="15"/>
      <c r="C26" s="15"/>
    </row>
    <row r="27" spans="1:6" ht="12.75">
      <c r="A27" s="17" t="s">
        <v>26</v>
      </c>
      <c r="B27" s="15"/>
      <c r="C27" s="14" t="s">
        <v>27</v>
      </c>
      <c r="D27" s="11" t="s">
        <v>28</v>
      </c>
      <c r="E27" s="11" t="s">
        <v>29</v>
      </c>
      <c r="F27" s="11" t="s">
        <v>30</v>
      </c>
    </row>
    <row r="28" spans="1:6" ht="12.75">
      <c r="A28" s="18"/>
      <c r="B28" s="39" t="s">
        <v>31</v>
      </c>
      <c r="C28" s="19">
        <f>$B$21/F28</f>
        <v>0.034943032800000003</v>
      </c>
      <c r="D28" s="10">
        <v>1.07</v>
      </c>
      <c r="E28" s="20">
        <v>0.78</v>
      </c>
      <c r="F28" s="13">
        <f>1000/(D28*E28)</f>
        <v>1198.1787682722261</v>
      </c>
    </row>
    <row r="29" spans="1:6" ht="12.75">
      <c r="A29" s="18"/>
      <c r="B29" s="39" t="s">
        <v>32</v>
      </c>
      <c r="C29" s="19">
        <f>$B$21/F29</f>
        <v>0.037266706799999993</v>
      </c>
      <c r="D29" s="10">
        <v>1.0349999999999999</v>
      </c>
      <c r="E29" s="20">
        <v>0.86</v>
      </c>
      <c r="F29" s="13">
        <f>1000/(D29*E29)</f>
        <v>1123.4692731153805</v>
      </c>
    </row>
    <row r="30" spans="1:7" ht="12.75">
      <c r="A30" s="18"/>
      <c r="B30" s="39"/>
      <c r="C30" s="11" t="s">
        <v>33</v>
      </c>
      <c r="D30" s="11" t="s">
        <v>28</v>
      </c>
      <c r="E30" s="11" t="s">
        <v>29</v>
      </c>
      <c r="F30" s="11" t="s">
        <v>30</v>
      </c>
      <c r="G30" s="21" t="s">
        <v>34</v>
      </c>
    </row>
    <row r="31" spans="1:7" ht="12.75">
      <c r="A31" s="18"/>
      <c r="B31" s="40" t="s">
        <v>35</v>
      </c>
      <c r="C31" s="10">
        <f>(B21/F31)*1000</f>
        <v>36.375420815999995</v>
      </c>
      <c r="D31" s="22">
        <v>1.0343</v>
      </c>
      <c r="E31" s="20">
        <v>0.84</v>
      </c>
      <c r="F31" s="13">
        <f>1000/(D31*E31)</f>
        <v>1150.9969935958529</v>
      </c>
      <c r="G31">
        <f>D31*B21</f>
        <v>43.304072400000003</v>
      </c>
    </row>
    <row r="32" spans="1:6" ht="12.75">
      <c r="A32" s="18"/>
      <c r="B32" s="40"/>
      <c r="C32" s="21" t="s">
        <v>34</v>
      </c>
      <c r="D32" s="11" t="s">
        <v>28</v>
      </c>
      <c r="E32" s="11" t="s">
        <v>29</v>
      </c>
      <c r="F32" s="11" t="s">
        <v>30</v>
      </c>
    </row>
    <row r="33" spans="1:6" ht="12.75">
      <c r="A33" s="18"/>
      <c r="B33" s="39" t="s">
        <v>36</v>
      </c>
      <c r="C33" s="19">
        <f>D33*B21</f>
        <v>40.193280000000001</v>
      </c>
      <c r="D33" s="10">
        <v>0.96</v>
      </c>
      <c r="E33" s="20">
        <v>0.95</v>
      </c>
      <c r="F33" s="13">
        <f>1000/(D33*E33)</f>
        <v>1096.4912280701756</v>
      </c>
    </row>
    <row r="34" spans="1:6" ht="12.75">
      <c r="A34" s="78"/>
      <c r="B34" s="39"/>
      <c r="C34" s="19"/>
      <c r="D34" s="10"/>
      <c r="E34" s="20"/>
      <c r="F34" s="13"/>
    </row>
    <row r="35" spans="3:7" ht="12.75">
      <c r="C35" s="1"/>
      <c r="D35" s="11"/>
      <c r="E35" s="1"/>
      <c r="G35" s="11"/>
    </row>
    <row r="37" spans="1:1" ht="12.75">
      <c r="A37" s="1" t="s">
        <v>66</v>
      </c>
    </row>
    <row r="38" spans="2:3" ht="12.75">
      <c r="B38" s="9" t="s">
        <v>64</v>
      </c>
      <c r="C38" s="29" t="s">
        <v>65</v>
      </c>
    </row>
    <row r="39" spans="2:4" ht="12.75">
      <c r="B39">
        <v>2000</v>
      </c>
      <c r="C39">
        <v>2000</v>
      </c>
      <c r="D39">
        <v>2005</v>
      </c>
    </row>
    <row r="40" spans="1:8" ht="12.75">
      <c r="A40" t="s">
        <v>67</v>
      </c>
      <c r="B40" s="30">
        <v>13.760300000000001</v>
      </c>
      <c r="C40">
        <f>1</f>
        <v>1</v>
      </c>
      <c r="E40" s="20"/>
      <c r="H40" s="20"/>
    </row>
    <row r="41" spans="1:8" ht="12.75">
      <c r="A41" t="s">
        <v>68</v>
      </c>
      <c r="B41" s="30">
        <v>40.3399</v>
      </c>
      <c r="C41">
        <f>1</f>
        <v>1</v>
      </c>
      <c r="E41" s="20"/>
      <c r="H41" s="20"/>
    </row>
    <row r="42" spans="1:8" ht="12.75">
      <c r="A42" t="s">
        <v>69</v>
      </c>
      <c r="B42" s="30">
        <v>1.95583</v>
      </c>
      <c r="C42">
        <f>1</f>
        <v>1</v>
      </c>
      <c r="E42" s="20"/>
      <c r="H42" s="20"/>
    </row>
    <row r="43" spans="1:8" ht="12.75">
      <c r="A43" t="s">
        <v>70</v>
      </c>
      <c r="B43" s="10">
        <v>7.4621834554199999</v>
      </c>
      <c r="C43" s="20">
        <f>1/B43</f>
        <v>0.13400903448355603</v>
      </c>
      <c r="E43" s="20"/>
      <c r="H43" s="20"/>
    </row>
    <row r="44" spans="1:8" ht="12.75">
      <c r="A44" t="s">
        <v>71</v>
      </c>
      <c r="B44" s="31">
        <v>5.9457300000000002</v>
      </c>
      <c r="C44">
        <f>1</f>
        <v>1</v>
      </c>
      <c r="E44" s="20"/>
      <c r="H44" s="20"/>
    </row>
    <row r="45" spans="1:8" ht="12.75">
      <c r="A45" t="s">
        <v>72</v>
      </c>
      <c r="B45" s="31">
        <v>6.5595699999999999</v>
      </c>
      <c r="C45">
        <f>1</f>
        <v>1</v>
      </c>
      <c r="E45" s="20"/>
      <c r="H45" s="20"/>
    </row>
    <row r="46" spans="1:8" ht="12.75">
      <c r="A46" t="s">
        <v>73</v>
      </c>
      <c r="B46" s="31">
        <v>340.75</v>
      </c>
      <c r="C46">
        <f>1</f>
        <v>1</v>
      </c>
      <c r="E46" s="20"/>
      <c r="H46" s="20"/>
    </row>
    <row r="47" spans="1:8" ht="12.75">
      <c r="A47" t="s">
        <v>74</v>
      </c>
      <c r="B47" s="31">
        <v>0.78756400000000004</v>
      </c>
      <c r="C47">
        <f>1</f>
        <v>1</v>
      </c>
      <c r="E47" s="20"/>
      <c r="H47" s="20"/>
    </row>
    <row r="48" spans="1:8" ht="12.75">
      <c r="A48" t="s">
        <v>75</v>
      </c>
      <c r="B48" s="31">
        <v>1.9362699999999999</v>
      </c>
      <c r="C48">
        <f>1</f>
        <v>1</v>
      </c>
      <c r="E48" s="20"/>
      <c r="H48" s="20"/>
    </row>
    <row r="49" spans="1:8" ht="12.75">
      <c r="A49" t="s">
        <v>76</v>
      </c>
      <c r="B49" s="31">
        <v>2.2037100000000001</v>
      </c>
      <c r="C49">
        <f>1</f>
        <v>1</v>
      </c>
      <c r="E49" s="20"/>
      <c r="H49" s="20"/>
    </row>
    <row r="50" spans="1:8" ht="12.75">
      <c r="A50" t="s">
        <v>77</v>
      </c>
      <c r="B50" s="32">
        <v>200.482</v>
      </c>
      <c r="C50">
        <f>1</f>
        <v>1</v>
      </c>
      <c r="E50" s="20"/>
      <c r="H50" s="20"/>
    </row>
    <row r="51" spans="1:8" ht="12.75">
      <c r="A51" t="s">
        <v>78</v>
      </c>
      <c r="B51" s="32">
        <v>166.386</v>
      </c>
      <c r="C51">
        <f>1</f>
        <v>1</v>
      </c>
      <c r="E51" s="20"/>
      <c r="H51" s="20"/>
    </row>
    <row r="52" spans="1:8" ht="12.75">
      <c r="A52" t="s">
        <v>79</v>
      </c>
      <c r="B52" s="10">
        <v>8.4539055252660003</v>
      </c>
      <c r="C52" s="20">
        <f>1/B52</f>
        <v>0.11828852321702936</v>
      </c>
      <c r="E52" s="20"/>
      <c r="H52" s="20"/>
    </row>
    <row r="53" spans="1:8" ht="12.75">
      <c r="A53" t="s">
        <v>80</v>
      </c>
      <c r="B53" s="10">
        <v>0.60996428654043</v>
      </c>
      <c r="C53" s="20">
        <f>1/B53</f>
        <v>1.6394402460376136</v>
      </c>
      <c r="E53" s="20"/>
      <c r="H53" s="20"/>
    </row>
    <row r="54" spans="1:5" ht="12.75">
      <c r="A54" t="s">
        <v>89</v>
      </c>
      <c r="B54">
        <v>0.92359999999999998</v>
      </c>
      <c r="C54" s="20"/>
      <c r="D54">
        <v>1.2482</v>
      </c>
      <c r="E54" t="s">
        <v>90</v>
      </c>
    </row>
    <row r="55" spans="1:8" ht="12.75">
      <c r="A55" t="s">
        <v>81</v>
      </c>
      <c r="B55" s="33">
        <v>260.31857842143</v>
      </c>
      <c r="C55" s="20">
        <f t="shared" si="0" ref="C55:C63">1/B55</f>
        <v>0.0038414469150223271</v>
      </c>
      <c r="E55" s="20"/>
      <c r="H55" s="20"/>
    </row>
    <row r="56" spans="1:8" ht="12.75">
      <c r="A56" t="s">
        <v>260</v>
      </c>
      <c r="B56" s="10">
        <v>4.0108790429609993</v>
      </c>
      <c r="C56" s="20">
        <f t="shared" si="0"/>
        <v>0.24932190407361624</v>
      </c>
      <c r="E56" s="20"/>
      <c r="H56" s="20"/>
    </row>
    <row r="57" spans="1:8" ht="12.75">
      <c r="A57" t="s">
        <v>82</v>
      </c>
      <c r="B57" s="10">
        <v>206.81536754321999</v>
      </c>
      <c r="C57" s="20">
        <f t="shared" si="0"/>
        <v>0.0048352306304850455</v>
      </c>
      <c r="E57" s="20"/>
      <c r="H57" s="20"/>
    </row>
    <row r="58" spans="1:8" ht="12.75">
      <c r="A58" t="s">
        <v>83</v>
      </c>
      <c r="B58" s="10">
        <v>35.638887732617995</v>
      </c>
      <c r="C58" s="20">
        <f t="shared" si="0"/>
        <v>0.028059237075593803</v>
      </c>
      <c r="E58" s="20"/>
      <c r="H58" s="20"/>
    </row>
    <row r="59" spans="1:8" ht="12.75">
      <c r="A59" t="s">
        <v>84</v>
      </c>
      <c r="B59" s="10">
        <v>42.642461312630999</v>
      </c>
      <c r="C59" s="20">
        <f t="shared" si="0"/>
        <v>0.023450803945591972</v>
      </c>
      <c r="E59" s="20"/>
      <c r="H59" s="20"/>
    </row>
    <row r="60" spans="1:8" ht="12.75">
      <c r="A60" t="s">
        <v>85</v>
      </c>
      <c r="B60" s="10">
        <v>1.5590493231474001</v>
      </c>
      <c r="C60" s="20">
        <f t="shared" si="0"/>
        <v>0.64141652554083761</v>
      </c>
      <c r="E60" s="20"/>
      <c r="H60" s="20"/>
    </row>
    <row r="61" spans="1:8" ht="12.75">
      <c r="A61" t="s">
        <v>86</v>
      </c>
      <c r="B61" s="10">
        <v>15.664212326682001</v>
      </c>
      <c r="C61" s="20">
        <f t="shared" si="0"/>
        <v>0.063839788375226927</v>
      </c>
      <c r="E61" s="20"/>
      <c r="H61" s="20"/>
    </row>
    <row r="62" spans="1:8" ht="12.75">
      <c r="A62" t="s">
        <v>87</v>
      </c>
      <c r="B62" s="10">
        <v>3.6951109055142006</v>
      </c>
      <c r="C62" s="20">
        <f t="shared" si="0"/>
        <v>0.27062787168517827</v>
      </c>
      <c r="E62" s="20"/>
      <c r="H62" s="20"/>
    </row>
    <row r="63" spans="1:8" ht="12.75">
      <c r="A63" t="s">
        <v>88</v>
      </c>
      <c r="B63" s="10">
        <v>0.55966750902528006</v>
      </c>
      <c r="C63" s="20">
        <f t="shared" si="0"/>
        <v>1.7867751546656789</v>
      </c>
      <c r="E63" s="20"/>
      <c r="H63" s="20"/>
    </row>
    <row r="64" spans="2:8" ht="12.75">
      <c r="B64" s="10"/>
      <c r="C64" s="20"/>
      <c r="E64" s="20"/>
      <c r="H64" s="20"/>
    </row>
    <row r="65" spans="1:1" ht="12.75">
      <c r="A65" t="s">
        <v>91</v>
      </c>
    </row>
    <row r="66" spans="1:2" ht="12.75">
      <c r="A66" s="25" t="s">
        <v>45</v>
      </c>
      <c r="B66">
        <v>1.20</v>
      </c>
    </row>
    <row r="67" spans="7:7" ht="12.75">
      <c r="G67" s="25"/>
    </row>
    <row r="69" spans="1:10" ht="12.75">
      <c r="A69" s="41"/>
      <c r="B69" s="42"/>
      <c r="C69" s="42"/>
      <c r="D69" s="42"/>
      <c r="E69" s="42"/>
      <c r="F69" s="42"/>
      <c r="G69" s="42"/>
      <c r="H69" s="42"/>
      <c r="I69" s="42"/>
      <c r="J69" s="42"/>
    </row>
    <row r="70" spans="1:10" ht="12.75">
      <c r="A70" s="41"/>
      <c r="B70" s="42"/>
      <c r="C70" s="42"/>
      <c r="D70" s="42"/>
      <c r="E70" s="42"/>
      <c r="F70" s="42"/>
      <c r="G70" s="42"/>
      <c r="H70" s="42"/>
      <c r="I70" s="42"/>
      <c r="J70" s="42"/>
    </row>
    <row r="106" spans="16:16" ht="12.75">
      <c r="P106" s="23"/>
    </row>
    <row r="147" spans="16:16" ht="12.75">
      <c r="P147" s="23"/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tabSelected="1" workbookViewId="0" topLeftCell="A29">
      <selection pane="topLeft" activeCell="F50" sqref="F50"/>
    </sheetView>
  </sheetViews>
  <sheetFormatPr defaultColWidth="9.14428571428571" defaultRowHeight="15"/>
  <cols>
    <col min="1" max="1" width="14.7142857142857" style="92" customWidth="1"/>
    <col min="2" max="5" width="9.14285714285714" style="92"/>
    <col min="6" max="6" width="18.8571428571429" style="92" bestFit="1" customWidth="1"/>
    <col min="7" max="16384" width="9.14285714285714" style="92"/>
  </cols>
  <sheetData>
    <row r="1" spans="1:1" ht="15">
      <c r="A1" s="91" t="s">
        <v>353</v>
      </c>
    </row>
    <row r="4" spans="1:1" ht="15">
      <c r="A4" s="91" t="s">
        <v>352</v>
      </c>
    </row>
    <row r="5" spans="2:6" ht="15">
      <c r="B5" s="91">
        <v>2010</v>
      </c>
      <c r="C5" s="91">
        <v>2020</v>
      </c>
      <c r="D5" s="91">
        <v>2030</v>
      </c>
      <c r="E5" s="91">
        <v>2040</v>
      </c>
      <c r="F5" s="91">
        <v>2050</v>
      </c>
    </row>
    <row r="6" spans="1:1" ht="15">
      <c r="A6" s="91" t="s">
        <v>319</v>
      </c>
    </row>
    <row r="7" spans="1:6" ht="15">
      <c r="A7" s="92" t="s">
        <v>320</v>
      </c>
      <c r="B7" s="92">
        <v>79.50</v>
      </c>
      <c r="C7" s="92">
        <v>84.70</v>
      </c>
      <c r="D7" s="92">
        <v>106.70</v>
      </c>
      <c r="E7" s="92">
        <v>117.90</v>
      </c>
      <c r="F7" s="92">
        <v>123.40</v>
      </c>
    </row>
    <row r="8" spans="1:1" ht="15">
      <c r="A8" s="92" t="s">
        <v>321</v>
      </c>
    </row>
    <row r="9" spans="1:1" ht="15">
      <c r="A9" s="92" t="s">
        <v>322</v>
      </c>
    </row>
    <row r="10" spans="1:1" ht="15">
      <c r="A10" s="91" t="s">
        <v>323</v>
      </c>
    </row>
    <row r="11" spans="1:6" ht="15">
      <c r="A11" s="92" t="s">
        <v>320</v>
      </c>
      <c r="B11" s="92">
        <v>50.20</v>
      </c>
      <c r="C11" s="92">
        <v>54.80</v>
      </c>
      <c r="D11" s="92">
        <v>64.599999999999994</v>
      </c>
      <c r="E11" s="92">
        <v>71.30</v>
      </c>
      <c r="F11" s="92">
        <v>73.900000000000006</v>
      </c>
    </row>
    <row r="12" spans="1:6" ht="15">
      <c r="A12" s="92" t="s">
        <v>321</v>
      </c>
      <c r="F12" s="93"/>
    </row>
    <row r="13" spans="1:1" ht="15">
      <c r="A13" s="92" t="s">
        <v>322</v>
      </c>
    </row>
    <row r="14" spans="1:1" ht="15">
      <c r="A14" s="91" t="s">
        <v>117</v>
      </c>
    </row>
    <row r="15" spans="1:6" ht="15">
      <c r="A15" s="92" t="s">
        <v>320</v>
      </c>
      <c r="B15" s="92">
        <v>21.20</v>
      </c>
      <c r="C15" s="92">
        <v>16.20</v>
      </c>
      <c r="D15" s="92">
        <v>23.30</v>
      </c>
      <c r="E15" s="92">
        <v>25.80</v>
      </c>
      <c r="F15" s="92">
        <v>27.40</v>
      </c>
    </row>
    <row r="16" spans="1:1" ht="15">
      <c r="A16" s="92" t="s">
        <v>321</v>
      </c>
    </row>
    <row r="17" spans="1:1" ht="15">
      <c r="A17" s="92" t="s">
        <v>322</v>
      </c>
    </row>
    <row r="19" spans="2:6" ht="15">
      <c r="B19" s="91">
        <v>2010</v>
      </c>
      <c r="C19" s="91">
        <v>2020</v>
      </c>
      <c r="D19" s="91">
        <v>2030</v>
      </c>
      <c r="E19" s="91">
        <v>2040</v>
      </c>
      <c r="F19" s="91">
        <v>2050</v>
      </c>
    </row>
    <row r="20" spans="1:6" ht="15">
      <c r="A20" s="92" t="s">
        <v>324</v>
      </c>
      <c r="B20" s="93">
        <f t="shared" si="0" ref="B20:F22">B7</f>
        <v>79.5</v>
      </c>
      <c r="C20" s="93">
        <f t="shared" si="0"/>
        <v>84.700000000000003</v>
      </c>
      <c r="D20" s="93">
        <f t="shared" si="0"/>
        <v>106.7</v>
      </c>
      <c r="E20" s="93">
        <f t="shared" si="0"/>
        <v>117.90000000000001</v>
      </c>
      <c r="F20" s="93">
        <f t="shared" si="0"/>
        <v>123.40000000000001</v>
      </c>
    </row>
    <row r="21" spans="1:6" ht="15">
      <c r="A21" s="92" t="s">
        <v>325</v>
      </c>
      <c r="B21" s="93">
        <f t="shared" si="0"/>
        <v>0</v>
      </c>
      <c r="C21" s="93">
        <f t="shared" si="0"/>
        <v>0</v>
      </c>
      <c r="D21" s="93">
        <f t="shared" si="0"/>
        <v>0</v>
      </c>
      <c r="E21" s="93">
        <f t="shared" si="0"/>
        <v>0</v>
      </c>
      <c r="F21" s="93">
        <f t="shared" si="0"/>
        <v>0</v>
      </c>
    </row>
    <row r="22" spans="1:6" ht="15">
      <c r="A22" s="92" t="s">
        <v>326</v>
      </c>
      <c r="B22" s="93">
        <f t="shared" si="0"/>
        <v>0</v>
      </c>
      <c r="C22" s="93">
        <f t="shared" si="0"/>
        <v>0</v>
      </c>
      <c r="D22" s="93">
        <f t="shared" si="0"/>
        <v>0</v>
      </c>
      <c r="E22" s="93">
        <f t="shared" si="0"/>
        <v>0</v>
      </c>
      <c r="F22" s="93">
        <f t="shared" si="0"/>
        <v>0</v>
      </c>
    </row>
    <row r="23" spans="1:6" ht="15">
      <c r="A23" s="92" t="s">
        <v>327</v>
      </c>
      <c r="B23" s="93">
        <f>[1]POLES!E33</f>
        <v>73.831732556086095</v>
      </c>
      <c r="C23" s="93">
        <f>[1]POLES!G33</f>
        <v>84.358357393222803</v>
      </c>
      <c r="D23" s="93">
        <f>[1]POLES!I33</f>
        <v>98.131828461663602</v>
      </c>
      <c r="E23" s="93">
        <f>[1]POLES!L33</f>
        <v>111.981854509827</v>
      </c>
      <c r="F23" s="93">
        <f>[1]POLES!M33</f>
        <v>114.649819699123</v>
      </c>
    </row>
    <row r="24" spans="1:6" ht="15">
      <c r="A24" s="92" t="s">
        <v>328</v>
      </c>
      <c r="B24" s="93">
        <f>[1]POLES!E36</f>
        <v>73.831732556086095</v>
      </c>
      <c r="C24" s="93">
        <f>[1]POLES!G36</f>
        <v>90.1093609650909</v>
      </c>
      <c r="D24" s="93">
        <f>[1]POLES!I36</f>
        <v>112.997908439889</v>
      </c>
      <c r="E24" s="93">
        <f>[1]POLES!L36</f>
        <v>153.886722791285</v>
      </c>
      <c r="F24" s="93">
        <f>[1]POLES!M36</f>
        <v>165.752982015382</v>
      </c>
    </row>
    <row r="25" spans="1:6" ht="15">
      <c r="A25" s="92" t="s">
        <v>329</v>
      </c>
      <c r="B25" s="93">
        <f>B11</f>
        <v>50.200000000000003</v>
      </c>
      <c r="C25" s="93">
        <f>C11</f>
        <v>54.799999999999997</v>
      </c>
      <c r="D25" s="93">
        <f>D11</f>
        <v>64.599999999999994</v>
      </c>
      <c r="E25" s="93">
        <f>E11</f>
        <v>71.299999999999997</v>
      </c>
      <c r="F25" s="93">
        <f>F11</f>
        <v>73.900000000000006</v>
      </c>
    </row>
    <row r="26" spans="1:6" ht="15">
      <c r="A26" s="92" t="s">
        <v>330</v>
      </c>
      <c r="B26" s="93">
        <f t="shared" si="1" ref="B26:F27">B12</f>
        <v>0</v>
      </c>
      <c r="C26" s="93">
        <f t="shared" si="1"/>
        <v>0</v>
      </c>
      <c r="D26" s="93">
        <f t="shared" si="1"/>
        <v>0</v>
      </c>
      <c r="E26" s="93">
        <f t="shared" si="1"/>
        <v>0</v>
      </c>
      <c r="F26" s="93">
        <f t="shared" si="1"/>
        <v>0</v>
      </c>
    </row>
    <row r="27" spans="1:6" ht="15">
      <c r="A27" s="92" t="s">
        <v>331</v>
      </c>
      <c r="B27" s="93">
        <f t="shared" si="1"/>
        <v>0</v>
      </c>
      <c r="C27" s="93">
        <f t="shared" si="1"/>
        <v>0</v>
      </c>
      <c r="D27" s="93">
        <f t="shared" si="1"/>
        <v>0</v>
      </c>
      <c r="E27" s="93">
        <f t="shared" si="1"/>
        <v>0</v>
      </c>
      <c r="F27" s="93">
        <f t="shared" si="1"/>
        <v>0</v>
      </c>
    </row>
    <row r="28" spans="1:6" ht="15">
      <c r="A28" s="92" t="s">
        <v>332</v>
      </c>
      <c r="B28" s="93">
        <f>[1]POLES!E34</f>
        <v>23.142717933655899</v>
      </c>
      <c r="C28" s="93">
        <f>[1]POLES!G34</f>
        <v>30.903102757060999</v>
      </c>
      <c r="D28" s="93">
        <f>[1]POLES!I34</f>
        <v>34.341529464988</v>
      </c>
      <c r="E28" s="93">
        <f>[1]POLES!L34</f>
        <v>40.063972709657797</v>
      </c>
      <c r="F28" s="93">
        <f>[1]POLES!M34</f>
        <v>41.1043707417913</v>
      </c>
    </row>
    <row r="29" spans="1:6" ht="15">
      <c r="A29" s="92" t="s">
        <v>333</v>
      </c>
      <c r="B29" s="93">
        <f>[1]POLES!E37</f>
        <v>23.212542577407699</v>
      </c>
      <c r="C29" s="93">
        <f>[1]POLES!G37</f>
        <v>32.526847543674798</v>
      </c>
      <c r="D29" s="93">
        <f>[1]POLES!I37</f>
        <v>39.0692188289851</v>
      </c>
      <c r="E29" s="93">
        <f>[1]POLES!L37</f>
        <v>53.876145654625503</v>
      </c>
      <c r="F29" s="93">
        <f>[1]POLES!M37</f>
        <v>60.097385232496499</v>
      </c>
    </row>
    <row r="30" spans="1:6" ht="15">
      <c r="A30" s="92" t="s">
        <v>334</v>
      </c>
      <c r="B30" s="93">
        <f>B15</f>
        <v>21.199999999999999</v>
      </c>
      <c r="C30" s="93">
        <f>C15</f>
        <v>16.199999999999999</v>
      </c>
      <c r="D30" s="93">
        <f>D15</f>
        <v>23.300000000000001</v>
      </c>
      <c r="E30" s="93">
        <f>E15</f>
        <v>25.800000000000001</v>
      </c>
      <c r="F30" s="93">
        <f>F15</f>
        <v>27.399999999999999</v>
      </c>
    </row>
    <row r="31" spans="1:6" ht="15">
      <c r="A31" s="92" t="s">
        <v>335</v>
      </c>
      <c r="B31" s="93">
        <f t="shared" si="2" ref="B31:F32">B16</f>
        <v>0</v>
      </c>
      <c r="C31" s="93">
        <f t="shared" si="2"/>
        <v>0</v>
      </c>
      <c r="D31" s="93">
        <f t="shared" si="2"/>
        <v>0</v>
      </c>
      <c r="E31" s="93">
        <f t="shared" si="2"/>
        <v>0</v>
      </c>
      <c r="F31" s="93">
        <f t="shared" si="2"/>
        <v>0</v>
      </c>
    </row>
    <row r="32" spans="1:6" ht="15">
      <c r="A32" s="92" t="s">
        <v>336</v>
      </c>
      <c r="B32" s="93">
        <f t="shared" si="2"/>
        <v>0</v>
      </c>
      <c r="C32" s="93">
        <f t="shared" si="2"/>
        <v>0</v>
      </c>
      <c r="D32" s="93">
        <f t="shared" si="2"/>
        <v>0</v>
      </c>
      <c r="E32" s="93">
        <f t="shared" si="2"/>
        <v>0</v>
      </c>
      <c r="F32" s="93">
        <f t="shared" si="2"/>
        <v>0</v>
      </c>
    </row>
    <row r="33" spans="1:6" ht="15">
      <c r="A33" s="92" t="s">
        <v>337</v>
      </c>
      <c r="B33" s="93">
        <f>[1]POLES!E35</f>
        <v>14.9424964842518</v>
      </c>
      <c r="C33" s="93">
        <f>[1]POLES!G35</f>
        <v>16.3735698207682</v>
      </c>
      <c r="D33" s="93">
        <f>[1]POLES!I35</f>
        <v>17.667870550643599</v>
      </c>
      <c r="E33" s="93">
        <f>[1]POLES!L35</f>
        <v>19.549739286142302</v>
      </c>
      <c r="F33" s="93">
        <f>[1]POLES!M35</f>
        <v>20.141290940347201</v>
      </c>
    </row>
    <row r="34" spans="1:6" ht="15">
      <c r="A34" s="92" t="s">
        <v>338</v>
      </c>
      <c r="B34" s="93">
        <f>[1]POLES!E38</f>
        <v>14.943537756768199</v>
      </c>
      <c r="C34" s="93">
        <f>[1]POLES!G38</f>
        <v>16.961579334002501</v>
      </c>
      <c r="D34" s="93">
        <f>[1]POLES!I38</f>
        <v>18.480518733161102</v>
      </c>
      <c r="E34" s="93">
        <f>[1]POLES!L38</f>
        <v>20.618705821045999</v>
      </c>
      <c r="F34" s="93">
        <f>[1]POLES!M38</f>
        <v>21.3067662005801</v>
      </c>
    </row>
    <row r="36" spans="1:1" ht="15">
      <c r="A36" s="103" t="s">
        <v>356</v>
      </c>
    </row>
    <row r="37" spans="1:6" ht="15">
      <c r="A37" s="100" t="s">
        <v>348</v>
      </c>
      <c r="B37" s="101"/>
      <c r="C37" s="101"/>
      <c r="D37" s="101"/>
      <c r="E37" s="101"/>
      <c r="F37" s="104"/>
    </row>
    <row r="38" spans="1:6" ht="15">
      <c r="A38" s="101"/>
      <c r="B38" s="100">
        <v>2010</v>
      </c>
      <c r="C38" s="100">
        <v>2020</v>
      </c>
      <c r="D38" s="100">
        <v>2030</v>
      </c>
      <c r="E38" s="100">
        <v>2040</v>
      </c>
      <c r="F38" s="100">
        <v>2050</v>
      </c>
    </row>
    <row r="39" spans="1:6" ht="15">
      <c r="A39" s="100" t="s">
        <v>319</v>
      </c>
      <c r="B39" s="101"/>
      <c r="C39" s="101"/>
      <c r="D39" s="101"/>
      <c r="E39" s="101"/>
      <c r="F39" s="101"/>
    </row>
    <row r="40" spans="1:6" ht="15">
      <c r="A40" s="101" t="s">
        <v>320</v>
      </c>
      <c r="B40" s="102">
        <f>B53/'common data'!$B$19</f>
        <v>9.8196721311475414</v>
      </c>
      <c r="C40" s="102">
        <v>9.31</v>
      </c>
      <c r="D40" s="102">
        <v>13.65</v>
      </c>
      <c r="E40" s="102">
        <v>14.45</v>
      </c>
      <c r="F40" s="102">
        <v>17.47</v>
      </c>
    </row>
    <row r="41" spans="1:6" ht="15">
      <c r="A41" s="101" t="s">
        <v>321</v>
      </c>
      <c r="B41" s="102"/>
      <c r="C41" s="102"/>
      <c r="D41" s="102"/>
      <c r="E41" s="102"/>
      <c r="F41" s="102"/>
    </row>
    <row r="42" spans="1:6" ht="15">
      <c r="A42" s="101" t="s">
        <v>322</v>
      </c>
      <c r="B42" s="102"/>
      <c r="C42" s="102"/>
      <c r="D42" s="102"/>
      <c r="E42" s="102"/>
      <c r="F42" s="102"/>
    </row>
    <row r="43" spans="1:6" ht="15">
      <c r="A43" s="100" t="s">
        <v>323</v>
      </c>
      <c r="B43" s="101"/>
      <c r="C43" s="101"/>
      <c r="D43" s="101"/>
      <c r="E43" s="101"/>
      <c r="F43" s="101"/>
    </row>
    <row r="44" spans="1:6" ht="15">
      <c r="A44" s="101" t="s">
        <v>320</v>
      </c>
      <c r="B44" s="102">
        <f>B54/'common data'!$B$19</f>
        <v>6.1967213114754101</v>
      </c>
      <c r="C44" s="102">
        <v>13.39</v>
      </c>
      <c r="D44" s="102">
        <v>7</v>
      </c>
      <c r="E44" s="102">
        <v>7</v>
      </c>
      <c r="F44" s="102">
        <v>7</v>
      </c>
    </row>
    <row r="45" spans="1:6" ht="15">
      <c r="A45" s="101" t="s">
        <v>321</v>
      </c>
      <c r="B45" s="102"/>
      <c r="C45" s="102"/>
      <c r="D45" s="102"/>
      <c r="E45" s="102"/>
      <c r="F45" s="102"/>
    </row>
    <row r="46" spans="1:6" ht="15">
      <c r="A46" s="101" t="s">
        <v>322</v>
      </c>
      <c r="B46" s="102"/>
      <c r="C46" s="102"/>
      <c r="D46" s="102"/>
      <c r="E46" s="102"/>
      <c r="F46" s="102"/>
    </row>
    <row r="47" spans="1:6" ht="15">
      <c r="A47" s="100" t="s">
        <v>117</v>
      </c>
      <c r="B47" s="101"/>
      <c r="C47" s="101"/>
      <c r="D47" s="101"/>
      <c r="E47" s="101"/>
      <c r="F47" s="101"/>
    </row>
    <row r="48" spans="1:6" ht="15">
      <c r="A48" s="101" t="s">
        <v>320</v>
      </c>
      <c r="B48" s="102">
        <f>B55/'common data'!$B$19</f>
        <v>2.6229508196721314</v>
      </c>
      <c r="C48" s="102">
        <v>3.37</v>
      </c>
      <c r="D48" s="102">
        <v>2.75</v>
      </c>
      <c r="E48" s="102">
        <v>2.93</v>
      </c>
      <c r="F48" s="102">
        <v>3.28</v>
      </c>
    </row>
    <row r="49" spans="1:6" ht="15">
      <c r="A49" s="101" t="s">
        <v>321</v>
      </c>
      <c r="B49" s="102"/>
      <c r="C49" s="102"/>
      <c r="D49" s="102"/>
      <c r="E49" s="102"/>
      <c r="F49" s="102"/>
    </row>
    <row r="50" spans="1:6" ht="15">
      <c r="A50" s="101" t="s">
        <v>322</v>
      </c>
      <c r="B50" s="102"/>
      <c r="C50" s="102"/>
      <c r="D50" s="102"/>
      <c r="E50" s="102"/>
      <c r="F50" s="102"/>
    </row>
    <row r="51" spans="1:1" ht="15">
      <c r="A51" s="91" t="s">
        <v>349</v>
      </c>
    </row>
    <row r="52" spans="1:6" ht="15">
      <c r="A52" s="91" t="s">
        <v>320</v>
      </c>
      <c r="B52" s="91">
        <v>2010</v>
      </c>
      <c r="C52" s="91">
        <v>2020</v>
      </c>
      <c r="D52" s="91">
        <v>2030</v>
      </c>
      <c r="E52" s="91">
        <v>2040</v>
      </c>
      <c r="F52" s="91">
        <v>2050</v>
      </c>
    </row>
    <row r="53" spans="1:6" ht="15">
      <c r="A53" s="92" t="s">
        <v>319</v>
      </c>
      <c r="B53" s="94">
        <v>59.90</v>
      </c>
      <c r="C53" s="94">
        <v>69.80</v>
      </c>
      <c r="D53" s="94">
        <v>89.70</v>
      </c>
      <c r="E53" s="94">
        <v>99.10</v>
      </c>
      <c r="F53" s="94">
        <v>103.70</v>
      </c>
    </row>
    <row r="54" spans="1:6" ht="15">
      <c r="A54" s="92" t="s">
        <v>323</v>
      </c>
      <c r="B54" s="94">
        <v>37.799999999999997</v>
      </c>
      <c r="C54" s="94">
        <v>45.10</v>
      </c>
      <c r="D54" s="94">
        <v>54.30</v>
      </c>
      <c r="E54" s="94">
        <v>60</v>
      </c>
      <c r="F54" s="94">
        <v>62.10</v>
      </c>
    </row>
    <row r="55" spans="1:6" ht="15">
      <c r="A55" s="92" t="s">
        <v>117</v>
      </c>
      <c r="B55" s="94">
        <v>16</v>
      </c>
      <c r="C55" s="94">
        <v>13.40</v>
      </c>
      <c r="D55" s="94">
        <v>19.60</v>
      </c>
      <c r="E55" s="94">
        <v>21.70</v>
      </c>
      <c r="F55" s="94">
        <v>23.10</v>
      </c>
    </row>
    <row r="56" spans="1:1" ht="15">
      <c r="A56" s="91" t="s">
        <v>321</v>
      </c>
    </row>
    <row r="57" spans="1:6" ht="15">
      <c r="A57" s="92" t="s">
        <v>319</v>
      </c>
      <c r="B57" s="94">
        <f>B41</f>
        <v>0</v>
      </c>
      <c r="C57" s="94">
        <f>C41</f>
        <v>0</v>
      </c>
      <c r="D57" s="94">
        <f>D41</f>
        <v>0</v>
      </c>
      <c r="E57" s="94">
        <f>E41</f>
        <v>0</v>
      </c>
      <c r="F57" s="94">
        <f>F41</f>
        <v>0</v>
      </c>
    </row>
    <row r="58" spans="1:6" ht="15">
      <c r="A58" s="92" t="s">
        <v>323</v>
      </c>
      <c r="B58" s="94">
        <f>B45</f>
        <v>0</v>
      </c>
      <c r="C58" s="94">
        <f>C45</f>
        <v>0</v>
      </c>
      <c r="D58" s="94">
        <f>D45</f>
        <v>0</v>
      </c>
      <c r="E58" s="94">
        <f>E45</f>
        <v>0</v>
      </c>
      <c r="F58" s="94">
        <f>F45</f>
        <v>0</v>
      </c>
    </row>
    <row r="59" spans="1:6" ht="15">
      <c r="A59" s="92" t="s">
        <v>117</v>
      </c>
      <c r="B59" s="94">
        <f>B49</f>
        <v>0</v>
      </c>
      <c r="C59" s="94">
        <f>C49</f>
        <v>0</v>
      </c>
      <c r="D59" s="94">
        <f>D49</f>
        <v>0</v>
      </c>
      <c r="E59" s="94">
        <f>E49</f>
        <v>0</v>
      </c>
      <c r="F59" s="94">
        <f>F49</f>
        <v>0</v>
      </c>
    </row>
    <row r="60" spans="1:1" ht="15">
      <c r="A60" s="91" t="s">
        <v>340</v>
      </c>
    </row>
    <row r="61" spans="1:6" ht="15">
      <c r="A61" s="92" t="s">
        <v>319</v>
      </c>
      <c r="B61" s="94">
        <f>B42</f>
        <v>0</v>
      </c>
      <c r="C61" s="94">
        <f>C42</f>
        <v>0</v>
      </c>
      <c r="D61" s="94">
        <f>D42</f>
        <v>0</v>
      </c>
      <c r="E61" s="94">
        <f>E42</f>
        <v>0</v>
      </c>
      <c r="F61" s="94">
        <f>F42</f>
        <v>0</v>
      </c>
    </row>
    <row r="62" spans="1:6" ht="15">
      <c r="A62" s="92" t="s">
        <v>323</v>
      </c>
      <c r="B62" s="94">
        <f>B46</f>
        <v>0</v>
      </c>
      <c r="C62" s="94">
        <f>C46</f>
        <v>0</v>
      </c>
      <c r="D62" s="94">
        <f>D46</f>
        <v>0</v>
      </c>
      <c r="E62" s="94">
        <f>E46</f>
        <v>0</v>
      </c>
      <c r="F62" s="94">
        <f>F46</f>
        <v>0</v>
      </c>
    </row>
    <row r="63" spans="1:6" ht="15">
      <c r="A63" s="92" t="s">
        <v>117</v>
      </c>
      <c r="B63" s="94">
        <f>B50</f>
        <v>0</v>
      </c>
      <c r="C63" s="94">
        <f>C50</f>
        <v>0</v>
      </c>
      <c r="D63" s="94">
        <f>D50</f>
        <v>0</v>
      </c>
      <c r="E63" s="94">
        <f>E50</f>
        <v>0</v>
      </c>
      <c r="F63" s="94">
        <f>F50</f>
        <v>0</v>
      </c>
    </row>
  </sheetData>
  <pageMargins left="0.7" right="0.7" top="0.75" bottom="0.75" header="0.3" footer="0.3"/>
  <pageSetup orientation="portrait" paperSize="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 topLeftCell="A4">
      <selection pane="topLeft" activeCell="D23" sqref="D23"/>
    </sheetView>
  </sheetViews>
  <sheetFormatPr defaultColWidth="9.14428571428571" defaultRowHeight="15"/>
  <cols>
    <col min="1" max="1" width="14.7142857142857" style="92" customWidth="1"/>
    <col min="2" max="16384" width="9.14285714285714" style="92"/>
  </cols>
  <sheetData>
    <row r="1" spans="1:1" ht="15">
      <c r="A1" s="91" t="s">
        <v>315</v>
      </c>
    </row>
    <row r="2" spans="1:1" ht="15">
      <c r="A2" s="92" t="s">
        <v>316</v>
      </c>
    </row>
    <row r="3" spans="1:1" ht="15">
      <c r="A3" s="92" t="s">
        <v>317</v>
      </c>
    </row>
    <row r="4" spans="1:1" ht="15">
      <c r="A4" s="91" t="s">
        <v>318</v>
      </c>
    </row>
    <row r="5" spans="2:6" ht="15">
      <c r="B5" s="91">
        <v>2010</v>
      </c>
      <c r="C5" s="91">
        <v>2020</v>
      </c>
      <c r="D5" s="91">
        <v>2030</v>
      </c>
      <c r="E5" s="91">
        <v>2040</v>
      </c>
      <c r="F5" s="91">
        <v>2050</v>
      </c>
    </row>
    <row r="6" spans="1:1" ht="15">
      <c r="A6" s="91" t="s">
        <v>319</v>
      </c>
    </row>
    <row r="7" spans="1:6" ht="15">
      <c r="A7" s="92" t="s">
        <v>320</v>
      </c>
      <c r="B7" s="92">
        <v>84.60</v>
      </c>
      <c r="C7" s="92">
        <v>88.40</v>
      </c>
      <c r="D7" s="92">
        <v>105.90</v>
      </c>
      <c r="E7" s="92">
        <v>116.20</v>
      </c>
      <c r="F7" s="92">
        <v>126.80</v>
      </c>
    </row>
    <row r="8" spans="1:6" ht="15">
      <c r="A8" s="92" t="s">
        <v>321</v>
      </c>
      <c r="B8" s="92">
        <v>84.60</v>
      </c>
      <c r="C8" s="92">
        <v>132.19999999999999</v>
      </c>
      <c r="D8" s="92">
        <v>149.30000000000001</v>
      </c>
      <c r="E8" s="92">
        <v>148.80000000000001</v>
      </c>
      <c r="F8" s="92">
        <v>162.30000000000001</v>
      </c>
    </row>
    <row r="9" spans="1:6" ht="15">
      <c r="A9" s="92" t="s">
        <v>322</v>
      </c>
      <c r="B9" s="92">
        <v>84.60</v>
      </c>
      <c r="C9" s="92">
        <v>78.80</v>
      </c>
      <c r="D9" s="92">
        <v>91.50</v>
      </c>
      <c r="E9" s="92">
        <v>87.90</v>
      </c>
      <c r="F9" s="92">
        <v>83.90</v>
      </c>
    </row>
    <row r="10" spans="1:1" ht="15">
      <c r="A10" s="91" t="s">
        <v>323</v>
      </c>
    </row>
    <row r="11" spans="1:6" ht="15">
      <c r="A11" s="92" t="s">
        <v>320</v>
      </c>
      <c r="B11" s="92">
        <v>53.50</v>
      </c>
      <c r="C11" s="92">
        <v>62.10</v>
      </c>
      <c r="D11" s="92">
        <v>76.599999999999994</v>
      </c>
      <c r="E11" s="92">
        <v>86.80</v>
      </c>
      <c r="F11" s="92">
        <v>98.40</v>
      </c>
    </row>
    <row r="12" spans="1:6" ht="15">
      <c r="A12" s="92" t="s">
        <v>321</v>
      </c>
      <c r="B12" s="92">
        <v>53.50</v>
      </c>
      <c r="C12" s="92">
        <v>85.50</v>
      </c>
      <c r="D12" s="92">
        <v>101.50</v>
      </c>
      <c r="E12" s="92">
        <v>111.60</v>
      </c>
      <c r="F12" s="93">
        <v>129</v>
      </c>
    </row>
    <row r="13" spans="1:6" ht="15">
      <c r="A13" s="92" t="s">
        <v>322</v>
      </c>
      <c r="B13" s="92">
        <v>53.50</v>
      </c>
      <c r="C13" s="92">
        <v>43.70</v>
      </c>
      <c r="D13" s="92">
        <v>50.90</v>
      </c>
      <c r="E13" s="92">
        <v>49.90</v>
      </c>
      <c r="F13" s="92">
        <v>54.10</v>
      </c>
    </row>
    <row r="14" spans="1:1" ht="15">
      <c r="A14" s="91" t="s">
        <v>117</v>
      </c>
    </row>
    <row r="15" spans="1:6" ht="15">
      <c r="A15" s="92" t="s">
        <v>320</v>
      </c>
      <c r="B15" s="92">
        <v>22.60</v>
      </c>
      <c r="C15" s="92">
        <v>28.70</v>
      </c>
      <c r="D15" s="92">
        <v>32.60</v>
      </c>
      <c r="E15" s="92">
        <v>32.60</v>
      </c>
      <c r="F15" s="92">
        <v>33.50</v>
      </c>
    </row>
    <row r="16" spans="1:6" ht="15">
      <c r="A16" s="92" t="s">
        <v>321</v>
      </c>
      <c r="B16" s="92">
        <v>22.60</v>
      </c>
      <c r="C16" s="92">
        <v>39.299999999999997</v>
      </c>
      <c r="D16" s="92">
        <v>45.70</v>
      </c>
      <c r="E16" s="92">
        <v>42</v>
      </c>
      <c r="F16" s="92">
        <v>40</v>
      </c>
    </row>
    <row r="17" spans="1:6" ht="15">
      <c r="A17" s="92" t="s">
        <v>322</v>
      </c>
      <c r="B17" s="92">
        <v>22.60</v>
      </c>
      <c r="C17" s="92">
        <v>21.90</v>
      </c>
      <c r="D17" s="92">
        <v>23.80</v>
      </c>
      <c r="E17" s="92">
        <v>22.20</v>
      </c>
      <c r="F17" s="92">
        <v>23.10</v>
      </c>
    </row>
    <row r="19" spans="2:6" ht="15">
      <c r="B19" s="91">
        <v>2010</v>
      </c>
      <c r="C19" s="91">
        <v>2020</v>
      </c>
      <c r="D19" s="91">
        <v>2030</v>
      </c>
      <c r="E19" s="91">
        <v>2040</v>
      </c>
      <c r="F19" s="91">
        <v>2050</v>
      </c>
    </row>
    <row r="20" spans="1:6" ht="15">
      <c r="A20" s="92" t="s">
        <v>324</v>
      </c>
      <c r="B20" s="93">
        <f t="shared" si="0" ref="B20:F22">B7</f>
        <v>84.599999999999994</v>
      </c>
      <c r="C20" s="93">
        <f t="shared" si="0"/>
        <v>88.400000000000006</v>
      </c>
      <c r="D20" s="93">
        <f t="shared" si="0"/>
        <v>105.90000000000001</v>
      </c>
      <c r="E20" s="93">
        <f t="shared" si="0"/>
        <v>116.2</v>
      </c>
      <c r="F20" s="93">
        <f t="shared" si="0"/>
        <v>126.8</v>
      </c>
    </row>
    <row r="21" spans="1:6" ht="15">
      <c r="A21" s="92" t="s">
        <v>325</v>
      </c>
      <c r="B21" s="93">
        <f t="shared" si="0"/>
        <v>84.599999999999994</v>
      </c>
      <c r="C21" s="93">
        <f t="shared" si="0"/>
        <v>132.19999999999999</v>
      </c>
      <c r="D21" s="93">
        <f t="shared" si="0"/>
        <v>149.30000000000001</v>
      </c>
      <c r="E21" s="93">
        <f t="shared" si="0"/>
        <v>148.80000000000001</v>
      </c>
      <c r="F21" s="93">
        <f t="shared" si="0"/>
        <v>162.30000000000001</v>
      </c>
    </row>
    <row r="22" spans="1:6" ht="15">
      <c r="A22" s="92" t="s">
        <v>326</v>
      </c>
      <c r="B22" s="93">
        <f t="shared" si="0"/>
        <v>84.599999999999994</v>
      </c>
      <c r="C22" s="93">
        <f t="shared" si="0"/>
        <v>78.799999999999997</v>
      </c>
      <c r="D22" s="93">
        <f t="shared" si="0"/>
        <v>91.5</v>
      </c>
      <c r="E22" s="93">
        <f t="shared" si="0"/>
        <v>87.900000000000006</v>
      </c>
      <c r="F22" s="93">
        <f t="shared" si="0"/>
        <v>83.900000000000006</v>
      </c>
    </row>
    <row r="23" spans="1:6" ht="15">
      <c r="A23" s="92" t="s">
        <v>327</v>
      </c>
      <c r="B23" s="93">
        <f>[1]POLES!E33</f>
        <v>73.831732556086095</v>
      </c>
      <c r="C23" s="93">
        <f>[1]POLES!G33</f>
        <v>84.358357393222803</v>
      </c>
      <c r="D23" s="93">
        <f>[1]POLES!I33</f>
        <v>98.131828461663602</v>
      </c>
      <c r="E23" s="93">
        <f>[1]POLES!L33</f>
        <v>111.981854509827</v>
      </c>
      <c r="F23" s="93">
        <f>[1]POLES!M33</f>
        <v>114.649819699123</v>
      </c>
    </row>
    <row r="24" spans="1:6" ht="15">
      <c r="A24" s="92" t="s">
        <v>328</v>
      </c>
      <c r="B24" s="93">
        <f>[1]POLES!E36</f>
        <v>73.831732556086095</v>
      </c>
      <c r="C24" s="93">
        <f>[1]POLES!G36</f>
        <v>90.1093609650909</v>
      </c>
      <c r="D24" s="93">
        <f>[1]POLES!I36</f>
        <v>112.997908439889</v>
      </c>
      <c r="E24" s="93">
        <f>[1]POLES!L36</f>
        <v>153.886722791285</v>
      </c>
      <c r="F24" s="93">
        <f>[1]POLES!M36</f>
        <v>165.752982015382</v>
      </c>
    </row>
    <row r="25" spans="1:6" ht="15">
      <c r="A25" s="92" t="s">
        <v>329</v>
      </c>
      <c r="B25" s="93">
        <f>B11</f>
        <v>53.5</v>
      </c>
      <c r="C25" s="93">
        <f>C11</f>
        <v>62.100000000000001</v>
      </c>
      <c r="D25" s="93">
        <f>D11</f>
        <v>76.599999999999994</v>
      </c>
      <c r="E25" s="93">
        <f>E11</f>
        <v>86.799999999999997</v>
      </c>
      <c r="F25" s="93">
        <f>F11</f>
        <v>98.400000000000006</v>
      </c>
    </row>
    <row r="26" spans="1:6" ht="15">
      <c r="A26" s="92" t="s">
        <v>330</v>
      </c>
      <c r="B26" s="93">
        <f t="shared" si="1" ref="B26:F27">B12</f>
        <v>53.5</v>
      </c>
      <c r="C26" s="93">
        <f t="shared" si="1"/>
        <v>85.5</v>
      </c>
      <c r="D26" s="93">
        <f t="shared" si="1"/>
        <v>101.5</v>
      </c>
      <c r="E26" s="93">
        <f t="shared" si="1"/>
        <v>111.59999999999999</v>
      </c>
      <c r="F26" s="93">
        <f t="shared" si="1"/>
        <v>129</v>
      </c>
    </row>
    <row r="27" spans="1:6" ht="15">
      <c r="A27" s="92" t="s">
        <v>331</v>
      </c>
      <c r="B27" s="93">
        <f t="shared" si="1"/>
        <v>53.5</v>
      </c>
      <c r="C27" s="93">
        <f t="shared" si="1"/>
        <v>43.700000000000003</v>
      </c>
      <c r="D27" s="93">
        <f t="shared" si="1"/>
        <v>50.899999999999999</v>
      </c>
      <c r="E27" s="93">
        <f t="shared" si="1"/>
        <v>49.899999999999999</v>
      </c>
      <c r="F27" s="93">
        <f t="shared" si="1"/>
        <v>54.100000000000001</v>
      </c>
    </row>
    <row r="28" spans="1:6" ht="15">
      <c r="A28" s="92" t="s">
        <v>332</v>
      </c>
      <c r="B28" s="93">
        <f>[1]POLES!E34</f>
        <v>23.142717933655899</v>
      </c>
      <c r="C28" s="93">
        <f>[1]POLES!G34</f>
        <v>30.903102757060999</v>
      </c>
      <c r="D28" s="93">
        <f>[1]POLES!I34</f>
        <v>34.341529464988</v>
      </c>
      <c r="E28" s="93">
        <f>[1]POLES!L34</f>
        <v>40.063972709657797</v>
      </c>
      <c r="F28" s="93">
        <f>[1]POLES!M34</f>
        <v>41.1043707417913</v>
      </c>
    </row>
    <row r="29" spans="1:6" ht="15">
      <c r="A29" s="92" t="s">
        <v>333</v>
      </c>
      <c r="B29" s="93">
        <f>[1]POLES!E37</f>
        <v>23.212542577407699</v>
      </c>
      <c r="C29" s="93">
        <f>[1]POLES!G37</f>
        <v>32.526847543674798</v>
      </c>
      <c r="D29" s="93">
        <f>[1]POLES!I37</f>
        <v>39.0692188289851</v>
      </c>
      <c r="E29" s="93">
        <f>[1]POLES!L37</f>
        <v>53.876145654625503</v>
      </c>
      <c r="F29" s="93">
        <f>[1]POLES!M37</f>
        <v>60.097385232496499</v>
      </c>
    </row>
    <row r="30" spans="1:6" ht="15">
      <c r="A30" s="92" t="s">
        <v>334</v>
      </c>
      <c r="B30" s="93">
        <f>B15</f>
        <v>22.600000000000001</v>
      </c>
      <c r="C30" s="93">
        <f>C15</f>
        <v>28.699999999999999</v>
      </c>
      <c r="D30" s="93">
        <f>D15</f>
        <v>32.600000000000001</v>
      </c>
      <c r="E30" s="93">
        <f>E15</f>
        <v>32.600000000000001</v>
      </c>
      <c r="F30" s="93">
        <f>F15</f>
        <v>33.5</v>
      </c>
    </row>
    <row r="31" spans="1:6" ht="15">
      <c r="A31" s="92" t="s">
        <v>335</v>
      </c>
      <c r="B31" s="93">
        <f t="shared" si="2" ref="B31:F32">B16</f>
        <v>22.600000000000001</v>
      </c>
      <c r="C31" s="93">
        <f t="shared" si="2"/>
        <v>39.299999999999997</v>
      </c>
      <c r="D31" s="93">
        <f t="shared" si="2"/>
        <v>45.700000000000003</v>
      </c>
      <c r="E31" s="93">
        <f t="shared" si="2"/>
        <v>42</v>
      </c>
      <c r="F31" s="93">
        <f t="shared" si="2"/>
        <v>40</v>
      </c>
    </row>
    <row r="32" spans="1:6" ht="15">
      <c r="A32" s="92" t="s">
        <v>336</v>
      </c>
      <c r="B32" s="93">
        <f t="shared" si="2"/>
        <v>22.600000000000001</v>
      </c>
      <c r="C32" s="93">
        <f t="shared" si="2"/>
        <v>21.899999999999999</v>
      </c>
      <c r="D32" s="93">
        <f t="shared" si="2"/>
        <v>23.800000000000001</v>
      </c>
      <c r="E32" s="93">
        <f t="shared" si="2"/>
        <v>22.199999999999999</v>
      </c>
      <c r="F32" s="93">
        <f t="shared" si="2"/>
        <v>23.100000000000001</v>
      </c>
    </row>
    <row r="33" spans="1:6" ht="15">
      <c r="A33" s="92" t="s">
        <v>337</v>
      </c>
      <c r="B33" s="93">
        <f>[1]POLES!E35</f>
        <v>14.9424964842518</v>
      </c>
      <c r="C33" s="93">
        <f>[1]POLES!G35</f>
        <v>16.3735698207682</v>
      </c>
      <c r="D33" s="93">
        <f>[1]POLES!I35</f>
        <v>17.667870550643599</v>
      </c>
      <c r="E33" s="93">
        <f>[1]POLES!L35</f>
        <v>19.549739286142302</v>
      </c>
      <c r="F33" s="93">
        <f>[1]POLES!M35</f>
        <v>20.141290940347201</v>
      </c>
    </row>
    <row r="34" spans="1:6" ht="15">
      <c r="A34" s="92" t="s">
        <v>338</v>
      </c>
      <c r="B34" s="93">
        <f>[1]POLES!E38</f>
        <v>14.943537756768199</v>
      </c>
      <c r="C34" s="93">
        <f>[1]POLES!G38</f>
        <v>16.961579334002501</v>
      </c>
      <c r="D34" s="93">
        <f>[1]POLES!I38</f>
        <v>18.480518733161102</v>
      </c>
      <c r="E34" s="93">
        <f>[1]POLES!L38</f>
        <v>20.618705821045999</v>
      </c>
      <c r="F34" s="93">
        <f>[1]POLES!M38</f>
        <v>21.3067662005801</v>
      </c>
    </row>
    <row r="37" spans="1:1" ht="15">
      <c r="A37" s="91" t="s">
        <v>339</v>
      </c>
    </row>
    <row r="38" spans="2:6" ht="15">
      <c r="B38" s="91">
        <v>2010</v>
      </c>
      <c r="C38" s="91">
        <v>2020</v>
      </c>
      <c r="D38" s="91">
        <v>2030</v>
      </c>
      <c r="E38" s="91">
        <v>2040</v>
      </c>
      <c r="F38" s="91">
        <v>2050</v>
      </c>
    </row>
    <row r="39" spans="1:1" ht="15">
      <c r="A39" s="91" t="s">
        <v>319</v>
      </c>
    </row>
    <row r="40" spans="1:6" ht="15">
      <c r="A40" s="92" t="s">
        <v>320</v>
      </c>
      <c r="B40" s="94">
        <f>B7*[1]Price_conversion!$C$25*[1]Price_conversion!$C$31/[1]Price_conversion!$B$46</f>
        <v>12.18866246896</v>
      </c>
      <c r="C40" s="94">
        <f>C7*[1]Price_conversion!$C$25*[1]Price_conversion!$C$31/[1]Price_conversion!$B$46</f>
        <v>12.736143761892013</v>
      </c>
      <c r="D40" s="94">
        <f>D7*[1]Price_conversion!$C$25*[1]Price_conversion!$C$31/[1]Price_conversion!$B$46</f>
        <v>15.257439189868371</v>
      </c>
      <c r="E40" s="94">
        <f>E7*[1]Price_conversion!$C$25*[1]Price_conversion!$C$31/[1]Price_conversion!$B$46</f>
        <v>16.74140164176303</v>
      </c>
      <c r="F40" s="94">
        <f>F7*[1]Price_conversion!$C$25*[1]Price_conversion!$C$31/[1]Price_conversion!$B$46</f>
        <v>18.268586300994425</v>
      </c>
    </row>
    <row r="41" spans="1:6" ht="15">
      <c r="A41" s="92" t="s">
        <v>321</v>
      </c>
      <c r="B41" s="94">
        <f>B8*[1]Price_conversion!$C$25*[1]Price_conversion!$C$31/[1]Price_conversion!$B$46</f>
        <v>12.18866246896</v>
      </c>
      <c r="C41" s="94">
        <f>C8*[1]Price_conversion!$C$25*[1]Price_conversion!$C$31/[1]Price_conversion!$B$46</f>
        <v>19.0465860330557</v>
      </c>
      <c r="D41" s="94">
        <f>D8*[1]Price_conversion!$C$25*[1]Price_conversion!$C$31/[1]Price_conversion!$B$46</f>
        <v>21.510251851249745</v>
      </c>
      <c r="E41" s="94">
        <f>E8*[1]Price_conversion!$C$25*[1]Price_conversion!$C$31/[1]Price_conversion!$B$46</f>
        <v>21.438214839021853</v>
      </c>
      <c r="F41" s="94">
        <f>F8*[1]Price_conversion!$C$25*[1]Price_conversion!$C$31/[1]Price_conversion!$B$46</f>
        <v>23.383214169175044</v>
      </c>
    </row>
    <row r="42" spans="1:6" ht="15">
      <c r="A42" s="92" t="s">
        <v>322</v>
      </c>
      <c r="B42" s="94">
        <f>B9*[1]Price_conversion!$C$25*[1]Price_conversion!$C$31/[1]Price_conversion!$B$46</f>
        <v>12.18866246896</v>
      </c>
      <c r="C42" s="94">
        <f>C9*[1]Price_conversion!$C$25*[1]Price_conversion!$C$31/[1]Price_conversion!$B$46</f>
        <v>11.353033127116408</v>
      </c>
      <c r="D42" s="94">
        <f>D9*[1]Price_conversion!$C$25*[1]Price_conversion!$C$31/[1]Price_conversion!$B$46</f>
        <v>13.182773237704968</v>
      </c>
      <c r="E42" s="94">
        <f>E9*[1]Price_conversion!$C$25*[1]Price_conversion!$C$31/[1]Price_conversion!$B$46</f>
        <v>12.664106749664116</v>
      </c>
      <c r="F42" s="94">
        <f>F9*[1]Price_conversion!$C$25*[1]Price_conversion!$C$31/[1]Price_conversion!$B$46</f>
        <v>12.087810651840948</v>
      </c>
    </row>
    <row r="43" spans="1:1" ht="15">
      <c r="A43" s="91" t="s">
        <v>323</v>
      </c>
    </row>
    <row r="44" spans="1:6" ht="15">
      <c r="A44" s="92" t="s">
        <v>320</v>
      </c>
      <c r="B44" s="94">
        <f>B11*[1]Price_conversion!$C$25*[1]Price_conversion!$C$31/[1]Price_conversion!$B$46</f>
        <v>7.7079603083848713</v>
      </c>
      <c r="C44" s="94">
        <f>C11*[1]Price_conversion!$C$25*[1]Price_conversion!$C$31/[1]Price_conversion!$B$46</f>
        <v>8.9469969187046825</v>
      </c>
      <c r="D44" s="94">
        <f>D11*[1]Price_conversion!$C$25*[1]Price_conversion!$C$31/[1]Price_conversion!$B$46</f>
        <v>11.036070273313664</v>
      </c>
      <c r="E44" s="94">
        <f>E11*[1]Price_conversion!$C$25*[1]Price_conversion!$C$31/[1]Price_conversion!$B$46</f>
        <v>12.505625322762745</v>
      </c>
      <c r="F44" s="94">
        <f>F11*[1]Price_conversion!$C$25*[1]Price_conversion!$C$31/[1]Price_conversion!$B$46</f>
        <v>14.176884006449932</v>
      </c>
    </row>
    <row r="45" spans="1:6" ht="15">
      <c r="A45" s="92" t="s">
        <v>321</v>
      </c>
      <c r="B45" s="94">
        <f>B12*[1]Price_conversion!$C$25*[1]Price_conversion!$C$31/[1]Price_conversion!$B$46</f>
        <v>7.7079603083848713</v>
      </c>
      <c r="C45" s="94">
        <f>C12*[1]Price_conversion!$C$25*[1]Price_conversion!$C$31/[1]Price_conversion!$B$46</f>
        <v>12.318329090970215</v>
      </c>
      <c r="D45" s="94">
        <f>D12*[1]Price_conversion!$C$25*[1]Price_conversion!$C$31/[1]Price_conversion!$B$46</f>
        <v>14.623513482262885</v>
      </c>
      <c r="E45" s="94">
        <f>E12*[1]Price_conversion!$C$25*[1]Price_conversion!$C$31/[1]Price_conversion!$B$46</f>
        <v>16.078661129266386</v>
      </c>
      <c r="F45" s="94">
        <f>F12*[1]Price_conversion!$C$25*[1]Price_conversion!$C$31/[1]Price_conversion!$B$46</f>
        <v>18.585549154797167</v>
      </c>
    </row>
    <row r="46" spans="1:6" ht="15">
      <c r="A46" s="92" t="s">
        <v>322</v>
      </c>
      <c r="B46" s="94">
        <f>B13*[1]Price_conversion!$C$25*[1]Price_conversion!$C$31/[1]Price_conversion!$B$46</f>
        <v>7.7079603083848713</v>
      </c>
      <c r="C46" s="94">
        <f>C13*[1]Price_conversion!$C$25*[1]Price_conversion!$C$31/[1]Price_conversion!$B$46</f>
        <v>6.2960348687181105</v>
      </c>
      <c r="D46" s="94">
        <f>D13*[1]Price_conversion!$C$25*[1]Price_conversion!$C$31/[1]Price_conversion!$B$46</f>
        <v>7.3333678447998114</v>
      </c>
      <c r="E46" s="94">
        <f>E13*[1]Price_conversion!$C$25*[1]Price_conversion!$C$31/[1]Price_conversion!$B$46</f>
        <v>7.1892938203440204</v>
      </c>
      <c r="F46" s="94">
        <f>F13*[1]Price_conversion!$C$25*[1]Price_conversion!$C$31/[1]Price_conversion!$B$46</f>
        <v>7.7944047230583466</v>
      </c>
    </row>
    <row r="47" spans="1:1" ht="15">
      <c r="A47" s="91" t="s">
        <v>117</v>
      </c>
    </row>
    <row r="48" spans="1:6" ht="15">
      <c r="A48" s="92" t="s">
        <v>320</v>
      </c>
      <c r="B48" s="94">
        <f>B15*[1]Price_conversion!$C$25*[1]Price_conversion!$C$31/[1]Price_conversion!$B$46</f>
        <v>3.2560729527008991</v>
      </c>
      <c r="C48" s="94">
        <f>C15*[1]Price_conversion!$C$25*[1]Price_conversion!$C$31/[1]Price_conversion!$B$46</f>
        <v>4.1349245018812297</v>
      </c>
      <c r="D48" s="94">
        <f>D15*[1]Price_conversion!$C$25*[1]Price_conversion!$C$31/[1]Price_conversion!$B$46</f>
        <v>4.6968131972588187</v>
      </c>
      <c r="E48" s="94">
        <f>E15*[1]Price_conversion!$C$25*[1]Price_conversion!$C$31/[1]Price_conversion!$B$46</f>
        <v>4.6968131972588187</v>
      </c>
      <c r="F48" s="94">
        <f>F15*[1]Price_conversion!$C$25*[1]Price_conversion!$C$31/[1]Price_conversion!$B$46</f>
        <v>4.8264798192690321</v>
      </c>
    </row>
    <row r="49" spans="1:6" ht="15">
      <c r="A49" s="92" t="s">
        <v>321</v>
      </c>
      <c r="B49" s="94">
        <f>B16*[1]Price_conversion!$C$25*[1]Price_conversion!$C$31/[1]Price_conversion!$B$46</f>
        <v>3.2560729527008991</v>
      </c>
      <c r="C49" s="94">
        <f>C16*[1]Price_conversion!$C$25*[1]Price_conversion!$C$31/[1]Price_conversion!$B$46</f>
        <v>5.6621091611126246</v>
      </c>
      <c r="D49" s="94">
        <f>D16*[1]Price_conversion!$C$25*[1]Price_conversion!$C$31/[1]Price_conversion!$B$46</f>
        <v>6.5841829176296942</v>
      </c>
      <c r="E49" s="94">
        <f>E16*[1]Price_conversion!$C$25*[1]Price_conversion!$C$31/[1]Price_conversion!$B$46</f>
        <v>6.0511090271432639</v>
      </c>
      <c r="F49" s="94">
        <f>F16*[1]Price_conversion!$C$25*[1]Price_conversion!$C$31/[1]Price_conversion!$B$46</f>
        <v>5.7629609782316802</v>
      </c>
    </row>
    <row r="50" spans="1:6" ht="15">
      <c r="A50" s="92" t="s">
        <v>322</v>
      </c>
      <c r="B50" s="94">
        <f>B17*[1]Price_conversion!$C$25*[1]Price_conversion!$C$31/[1]Price_conversion!$B$46</f>
        <v>3.2560729527008991</v>
      </c>
      <c r="C50" s="94">
        <f>C17*[1]Price_conversion!$C$25*[1]Price_conversion!$C$31/[1]Price_conversion!$B$46</f>
        <v>3.1552211355818445</v>
      </c>
      <c r="D50" s="94">
        <f>D17*[1]Price_conversion!$C$25*[1]Price_conversion!$C$31/[1]Price_conversion!$B$46</f>
        <v>3.4289617820478493</v>
      </c>
      <c r="E50" s="94">
        <f>E17*[1]Price_conversion!$C$25*[1]Price_conversion!$C$31/[1]Price_conversion!$B$46</f>
        <v>3.1984433429185817</v>
      </c>
      <c r="F50" s="94">
        <f>F17*[1]Price_conversion!$C$25*[1]Price_conversion!$C$31/[1]Price_conversion!$B$46</f>
        <v>3.3281099649287951</v>
      </c>
    </row>
    <row r="51" spans="1:1" ht="15">
      <c r="A51" s="91" t="s">
        <v>339</v>
      </c>
    </row>
    <row r="52" spans="1:6" ht="15">
      <c r="A52" s="91" t="s">
        <v>320</v>
      </c>
      <c r="B52" s="91">
        <v>2010</v>
      </c>
      <c r="C52" s="91">
        <v>2020</v>
      </c>
      <c r="D52" s="91">
        <v>2030</v>
      </c>
      <c r="E52" s="91">
        <v>2040</v>
      </c>
      <c r="F52" s="91">
        <v>2050</v>
      </c>
    </row>
    <row r="53" spans="1:6" ht="15">
      <c r="A53" s="92" t="s">
        <v>319</v>
      </c>
      <c r="B53" s="94">
        <f>B40</f>
        <v>12.18866246896</v>
      </c>
      <c r="C53" s="94">
        <f>C40</f>
        <v>12.736143761892013</v>
      </c>
      <c r="D53" s="94">
        <f>D40</f>
        <v>15.257439189868371</v>
      </c>
      <c r="E53" s="94">
        <f>E40</f>
        <v>16.74140164176303</v>
      </c>
      <c r="F53" s="94">
        <f>F40</f>
        <v>18.268586300994425</v>
      </c>
    </row>
    <row r="54" spans="1:6" ht="15">
      <c r="A54" s="92" t="s">
        <v>323</v>
      </c>
      <c r="B54" s="94">
        <f>B44</f>
        <v>7.7079603083848713</v>
      </c>
      <c r="C54" s="94">
        <f>C44</f>
        <v>8.9469969187046825</v>
      </c>
      <c r="D54" s="94">
        <f>D44</f>
        <v>11.036070273313664</v>
      </c>
      <c r="E54" s="94">
        <f>E44</f>
        <v>12.505625322762745</v>
      </c>
      <c r="F54" s="94">
        <f>F44</f>
        <v>14.176884006449932</v>
      </c>
    </row>
    <row r="55" spans="1:6" ht="15">
      <c r="A55" s="92" t="s">
        <v>117</v>
      </c>
      <c r="B55" s="94">
        <f>B48</f>
        <v>3.2560729527008991</v>
      </c>
      <c r="C55" s="94">
        <f>C48</f>
        <v>4.1349245018812297</v>
      </c>
      <c r="D55" s="94">
        <f>D48</f>
        <v>4.6968131972588187</v>
      </c>
      <c r="E55" s="94">
        <f>E48</f>
        <v>4.6968131972588187</v>
      </c>
      <c r="F55" s="94">
        <f>F48</f>
        <v>4.8264798192690321</v>
      </c>
    </row>
    <row r="56" spans="1:1" ht="15">
      <c r="A56" s="91" t="s">
        <v>321</v>
      </c>
    </row>
    <row r="57" spans="1:6" ht="15">
      <c r="A57" s="92" t="s">
        <v>319</v>
      </c>
      <c r="B57" s="94">
        <f>B41</f>
        <v>12.18866246896</v>
      </c>
      <c r="C57" s="94">
        <f>C41</f>
        <v>19.0465860330557</v>
      </c>
      <c r="D57" s="94">
        <f>D41</f>
        <v>21.510251851249745</v>
      </c>
      <c r="E57" s="94">
        <f>E41</f>
        <v>21.438214839021853</v>
      </c>
      <c r="F57" s="94">
        <f>F41</f>
        <v>23.383214169175044</v>
      </c>
    </row>
    <row r="58" spans="1:6" ht="15">
      <c r="A58" s="92" t="s">
        <v>323</v>
      </c>
      <c r="B58" s="94">
        <f>B45</f>
        <v>7.7079603083848713</v>
      </c>
      <c r="C58" s="94">
        <f>C45</f>
        <v>12.318329090970215</v>
      </c>
      <c r="D58" s="94">
        <f>D45</f>
        <v>14.623513482262885</v>
      </c>
      <c r="E58" s="94">
        <f>E45</f>
        <v>16.078661129266386</v>
      </c>
      <c r="F58" s="94">
        <f>F45</f>
        <v>18.585549154797167</v>
      </c>
    </row>
    <row r="59" spans="1:6" ht="15">
      <c r="A59" s="92" t="s">
        <v>117</v>
      </c>
      <c r="B59" s="94">
        <f>B49</f>
        <v>3.2560729527008991</v>
      </c>
      <c r="C59" s="94">
        <f>C49</f>
        <v>5.6621091611126246</v>
      </c>
      <c r="D59" s="94">
        <f>D49</f>
        <v>6.5841829176296942</v>
      </c>
      <c r="E59" s="94">
        <f>E49</f>
        <v>6.0511090271432639</v>
      </c>
      <c r="F59" s="94">
        <f>F49</f>
        <v>5.7629609782316802</v>
      </c>
    </row>
    <row r="60" spans="1:1" ht="15">
      <c r="A60" s="91" t="s">
        <v>340</v>
      </c>
    </row>
    <row r="61" spans="1:6" ht="15">
      <c r="A61" s="92" t="s">
        <v>319</v>
      </c>
      <c r="B61" s="94">
        <f>B42</f>
        <v>12.18866246896</v>
      </c>
      <c r="C61" s="94">
        <f>C42</f>
        <v>11.353033127116408</v>
      </c>
      <c r="D61" s="94">
        <f>D42</f>
        <v>13.182773237704968</v>
      </c>
      <c r="E61" s="94">
        <f>E42</f>
        <v>12.664106749664116</v>
      </c>
      <c r="F61" s="94">
        <f>F42</f>
        <v>12.087810651840948</v>
      </c>
    </row>
    <row r="62" spans="1:6" ht="15">
      <c r="A62" s="92" t="s">
        <v>323</v>
      </c>
      <c r="B62" s="94">
        <f>B46</f>
        <v>7.7079603083848713</v>
      </c>
      <c r="C62" s="94">
        <f>C46</f>
        <v>6.2960348687181105</v>
      </c>
      <c r="D62" s="94">
        <f>D46</f>
        <v>7.3333678447998114</v>
      </c>
      <c r="E62" s="94">
        <f>E46</f>
        <v>7.1892938203440204</v>
      </c>
      <c r="F62" s="94">
        <f>F46</f>
        <v>7.7944047230583466</v>
      </c>
    </row>
    <row r="63" spans="1:6" ht="15">
      <c r="A63" s="92" t="s">
        <v>117</v>
      </c>
      <c r="B63" s="94">
        <f>B50</f>
        <v>3.2560729527008991</v>
      </c>
      <c r="C63" s="94">
        <f>C50</f>
        <v>3.1552211355818445</v>
      </c>
      <c r="D63" s="94">
        <f>D50</f>
        <v>3.4289617820478493</v>
      </c>
      <c r="E63" s="94">
        <f>E50</f>
        <v>3.1984433429185817</v>
      </c>
      <c r="F63" s="94">
        <f>F50</f>
        <v>3.3281099649287951</v>
      </c>
    </row>
  </sheetData>
  <pageMargins left="0.7" right="0.7" top="0.75" bottom="0.75" header="0.3" footer="0.3"/>
  <pageSetup orientation="portrait" paperSize="9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X109"/>
  <sheetViews>
    <sheetView workbookViewId="0" topLeftCell="F1">
      <selection pane="topLeft" activeCell="O5" sqref="O5"/>
    </sheetView>
  </sheetViews>
  <sheetFormatPr defaultRowHeight="12.75"/>
  <cols>
    <col min="1" max="1" width="20.4285714285714" customWidth="1"/>
    <col min="3" max="3" width="14" customWidth="1"/>
    <col min="4" max="4" width="11.8571428571429" customWidth="1"/>
    <col min="5" max="6" width="10.5714285714286" bestFit="1" customWidth="1"/>
    <col min="7" max="7" width="12.2857142857143" bestFit="1" customWidth="1"/>
    <col min="8" max="8" width="12" bestFit="1" customWidth="1"/>
    <col min="9" max="11" width="11.8571428571429" bestFit="1" customWidth="1"/>
    <col min="12" max="12" width="12" bestFit="1" customWidth="1"/>
    <col min="13" max="13" width="11.8571428571429" bestFit="1" customWidth="1"/>
    <col min="14" max="16" width="12" bestFit="1" customWidth="1"/>
    <col min="17" max="17" width="12.7142857142857" bestFit="1" customWidth="1"/>
    <col min="18" max="19" width="13.2857142857143" bestFit="1" customWidth="1"/>
    <col min="20" max="20" width="12.7142857142857" bestFit="1" customWidth="1"/>
    <col min="21" max="21" width="12.2857142857143" bestFit="1" customWidth="1"/>
    <col min="22" max="22" width="12.8571428571429" bestFit="1" customWidth="1"/>
  </cols>
  <sheetData>
    <row r="1" spans="1:11" ht="12.75">
      <c r="A1" s="1" t="s">
        <v>341</v>
      </c>
      <c r="I1" s="34"/>
      <c r="K1" s="2"/>
    </row>
    <row r="2" spans="11:11" ht="12.75">
      <c r="K2" s="2"/>
    </row>
    <row r="3" spans="3:12" ht="12.75">
      <c r="C3" s="3" t="s">
        <v>115</v>
      </c>
      <c r="D3" s="50" t="s">
        <v>342</v>
      </c>
      <c r="L3" s="24"/>
    </row>
    <row r="4" spans="3:15" ht="12.75">
      <c r="C4">
        <v>2000</v>
      </c>
      <c r="D4" s="51">
        <v>2000</v>
      </c>
      <c r="E4">
        <v>2001</v>
      </c>
      <c r="F4">
        <v>2005</v>
      </c>
      <c r="G4">
        <v>2010</v>
      </c>
      <c r="H4">
        <v>2015</v>
      </c>
      <c r="I4">
        <v>2020</v>
      </c>
      <c r="J4">
        <v>2025</v>
      </c>
      <c r="K4">
        <v>2030</v>
      </c>
      <c r="L4" s="44">
        <f>K4+5</f>
        <v>2035</v>
      </c>
      <c r="M4" s="44">
        <f>L4+5</f>
        <v>2040</v>
      </c>
      <c r="N4" s="44">
        <f>M4+5</f>
        <v>2045</v>
      </c>
      <c r="O4" s="44">
        <f>N4+5</f>
        <v>2050</v>
      </c>
    </row>
    <row r="5" spans="1:15" ht="12.75">
      <c r="A5" t="s">
        <v>40</v>
      </c>
      <c r="B5" t="s">
        <v>37</v>
      </c>
      <c r="C5">
        <v>27.89</v>
      </c>
      <c r="D5" s="95">
        <v>3.5163710874935523</v>
      </c>
      <c r="E5" s="96">
        <v>2.9455134202619306</v>
      </c>
      <c r="F5" s="96">
        <v>5.967171952578628</v>
      </c>
      <c r="G5" s="4">
        <f>'REF2016 Prices'!B40</f>
        <v>9.8196721311475414</v>
      </c>
      <c r="H5" s="4">
        <f>AVERAGE(G5,I5)</f>
        <v>9.5648360655737719</v>
      </c>
      <c r="I5" s="99">
        <f>'REF2016 Prices'!C40</f>
        <v>9.3100000000000005</v>
      </c>
      <c r="J5" s="99">
        <f>AVERAGE(I5,K5)</f>
        <v>11.48</v>
      </c>
      <c r="K5" s="99">
        <f>'REF2016 Prices'!D40</f>
        <v>13.65</v>
      </c>
      <c r="L5" s="99">
        <f>AVERAGE(K5,M5)</f>
        <v>14.050000000000001</v>
      </c>
      <c r="M5" s="99">
        <f>'REF2016 Prices'!E40</f>
        <v>14.449999999999999</v>
      </c>
      <c r="N5" s="99">
        <f>AVERAGE(M5,O5)</f>
        <v>15.959999999999999</v>
      </c>
      <c r="O5" s="99">
        <f>'REF2016 Prices'!F40</f>
        <v>17.469999999999999</v>
      </c>
    </row>
    <row r="6" spans="1:15" ht="12.75">
      <c r="A6" t="s">
        <v>41</v>
      </c>
      <c r="B6" t="s">
        <v>38</v>
      </c>
      <c r="C6">
        <v>2.78</v>
      </c>
      <c r="D6" s="95">
        <v>2.4506660099957362</v>
      </c>
      <c r="E6" s="96">
        <v>3.1824870041182818</v>
      </c>
      <c r="F6" s="96">
        <v>4.0634080435960556</v>
      </c>
      <c r="G6" s="4">
        <f>'REF2016 Prices'!B44</f>
        <v>6.1967213114754101</v>
      </c>
      <c r="H6" s="4">
        <f>AVERAGE(G6,I6)</f>
        <v>9.7933606557377058</v>
      </c>
      <c r="I6" s="99">
        <f>'REF2016 Prices'!C44</f>
        <v>13.390000000000001</v>
      </c>
      <c r="J6" s="99">
        <f>AVERAGE(I6,K6)</f>
        <v>10.195</v>
      </c>
      <c r="K6" s="99">
        <f>'REF2016 Prices'!D44</f>
        <v>7</v>
      </c>
      <c r="L6" s="99">
        <f>AVERAGE(K6,M6)</f>
        <v>7</v>
      </c>
      <c r="M6" s="99">
        <f>'REF2016 Prices'!E44</f>
        <v>7</v>
      </c>
      <c r="N6" s="99">
        <f>AVERAGE(M6,O6)</f>
        <v>7</v>
      </c>
      <c r="O6" s="99">
        <f>'REF2016 Prices'!F44</f>
        <v>7</v>
      </c>
    </row>
    <row r="7" spans="1:15" ht="12.75">
      <c r="A7" t="s">
        <v>42</v>
      </c>
      <c r="B7" t="s">
        <v>39</v>
      </c>
      <c r="C7">
        <v>34.93</v>
      </c>
      <c r="D7" s="95">
        <v>0.970368583201216</v>
      </c>
      <c r="E7" s="96">
        <v>1.0380398481754836</v>
      </c>
      <c r="F7" s="96">
        <v>1.4745066949822514</v>
      </c>
      <c r="G7" s="4">
        <f>'REF2016 Prices'!B48</f>
        <v>2.6229508196721314</v>
      </c>
      <c r="H7" s="4">
        <f>AVERAGE(G7,I7)</f>
        <v>2.9964754098360658</v>
      </c>
      <c r="I7" s="99">
        <f>'REF2016 Prices'!C48</f>
        <v>3.3700000000000001</v>
      </c>
      <c r="J7" s="99">
        <f>AVERAGE(I7,K7)</f>
        <v>3.0600000000000001</v>
      </c>
      <c r="K7" s="99">
        <f>'REF2016 Prices'!D48</f>
        <v>2.75</v>
      </c>
      <c r="L7" s="99">
        <f>AVERAGE(K7,M7)</f>
        <v>2.8399999999999999</v>
      </c>
      <c r="M7" s="99">
        <f>'REF2016 Prices'!E48</f>
        <v>2.9300000000000002</v>
      </c>
      <c r="N7" s="99">
        <f>AVERAGE(M7,O7)</f>
        <v>3.105</v>
      </c>
      <c r="O7" s="99">
        <f>'REF2016 Prices'!F48</f>
        <v>3.2799999999999998</v>
      </c>
    </row>
    <row r="8" spans="2:4" ht="12.75">
      <c r="B8" t="s">
        <v>43</v>
      </c>
      <c r="C8">
        <v>47.85</v>
      </c>
      <c r="D8" t="s">
        <v>343</v>
      </c>
    </row>
    <row r="10" spans="1:10" ht="12.75">
      <c r="A10" t="s">
        <v>344</v>
      </c>
      <c r="D10" s="36"/>
      <c r="J10" s="10"/>
    </row>
    <row r="11" spans="1:1" ht="12.75">
      <c r="A11" t="s">
        <v>44</v>
      </c>
    </row>
    <row r="12" spans="1:14" ht="12.75">
      <c r="A12" t="s">
        <v>46</v>
      </c>
      <c r="C12">
        <v>2000</v>
      </c>
      <c r="D12">
        <v>2001</v>
      </c>
      <c r="E12" s="26">
        <v>2005</v>
      </c>
      <c r="F12">
        <v>2010</v>
      </c>
      <c r="G12">
        <v>2015</v>
      </c>
      <c r="H12">
        <v>2020</v>
      </c>
      <c r="I12">
        <v>2025</v>
      </c>
      <c r="J12">
        <v>2030</v>
      </c>
      <c r="K12">
        <f>J12+5</f>
        <v>2035</v>
      </c>
      <c r="L12">
        <f>K12+5</f>
        <v>2040</v>
      </c>
      <c r="M12">
        <f>L12+5</f>
        <v>2045</v>
      </c>
      <c r="N12">
        <f>M12+5</f>
        <v>2050</v>
      </c>
    </row>
    <row r="13" spans="1:14" ht="12.75">
      <c r="A13">
        <f>'common data'!B19</f>
        <v>6.0999999999999996</v>
      </c>
      <c r="B13" t="s">
        <v>37</v>
      </c>
      <c r="C13" s="96">
        <f>C5/A13/'common data'!B54</f>
        <v>4.9503368856008922</v>
      </c>
      <c r="D13" s="96">
        <f t="shared" si="0" ref="D13:E15">C13*E5/D5</f>
        <v>4.1466851388965678</v>
      </c>
      <c r="E13" s="96">
        <f t="shared" si="0"/>
        <v>8.400567142823558</v>
      </c>
      <c r="F13" s="4">
        <f>G5</f>
        <v>9.8196721311475414</v>
      </c>
      <c r="G13" s="4">
        <f t="shared" si="1" ref="G13:N13">H5</f>
        <v>9.5648360655737719</v>
      </c>
      <c r="H13" s="4">
        <f t="shared" si="1"/>
        <v>9.3100000000000005</v>
      </c>
      <c r="I13" s="4">
        <f t="shared" si="1"/>
        <v>11.48</v>
      </c>
      <c r="J13" s="4">
        <f t="shared" si="1"/>
        <v>13.65</v>
      </c>
      <c r="K13" s="4">
        <f t="shared" si="1"/>
        <v>14.050000000000001</v>
      </c>
      <c r="L13" s="4">
        <f t="shared" si="1"/>
        <v>14.449999999999999</v>
      </c>
      <c r="M13" s="4">
        <f t="shared" si="1"/>
        <v>15.959999999999999</v>
      </c>
      <c r="N13" s="4">
        <f t="shared" si="1"/>
        <v>17.469999999999999</v>
      </c>
    </row>
    <row r="14" spans="1:14" ht="12.75">
      <c r="A14">
        <f>'common data'!B20</f>
        <v>1.054</v>
      </c>
      <c r="B14" t="s">
        <v>38</v>
      </c>
      <c r="C14" s="96">
        <f>C6/A14/'common data'!B54</f>
        <v>2.8557504953391684</v>
      </c>
      <c r="D14" s="96">
        <f t="shared" si="0"/>
        <v>3.7085383325804813</v>
      </c>
      <c r="E14" s="96">
        <f t="shared" si="0"/>
        <v>4.7350718073919769</v>
      </c>
      <c r="F14" s="4">
        <f t="shared" si="2" ref="F14:N15">G6</f>
        <v>6.1967213114754101</v>
      </c>
      <c r="G14" s="4">
        <f t="shared" si="2"/>
        <v>9.7933606557377058</v>
      </c>
      <c r="H14" s="4">
        <f t="shared" si="2"/>
        <v>13.390000000000001</v>
      </c>
      <c r="I14" s="4">
        <f t="shared" si="2"/>
        <v>10.195</v>
      </c>
      <c r="J14" s="4">
        <f t="shared" si="2"/>
        <v>7</v>
      </c>
      <c r="K14" s="4">
        <f t="shared" si="2"/>
        <v>7</v>
      </c>
      <c r="L14" s="4">
        <f t="shared" si="2"/>
        <v>7</v>
      </c>
      <c r="M14" s="4">
        <f t="shared" si="2"/>
        <v>7</v>
      </c>
      <c r="N14" s="4">
        <f t="shared" si="2"/>
        <v>7</v>
      </c>
    </row>
    <row r="15" spans="1:14" ht="12.75">
      <c r="A15">
        <f>'common data'!B23</f>
        <v>28.100000000000001</v>
      </c>
      <c r="B15" t="s">
        <v>39</v>
      </c>
      <c r="C15" s="96">
        <f>C7/A15/'common data'!B54</f>
        <v>1.3458862042233009</v>
      </c>
      <c r="D15" s="96">
        <f t="shared" si="0"/>
        <v>1.4397452012352849</v>
      </c>
      <c r="E15" s="96">
        <f t="shared" si="0"/>
        <v>2.0451179615323514</v>
      </c>
      <c r="F15" s="4">
        <f t="shared" si="2"/>
        <v>2.6229508196721314</v>
      </c>
      <c r="G15" s="4">
        <f t="shared" si="2"/>
        <v>2.9964754098360658</v>
      </c>
      <c r="H15" s="4">
        <f t="shared" si="2"/>
        <v>3.3700000000000001</v>
      </c>
      <c r="I15" s="4">
        <f t="shared" si="2"/>
        <v>3.0600000000000001</v>
      </c>
      <c r="J15" s="4">
        <f t="shared" si="2"/>
        <v>2.75</v>
      </c>
      <c r="K15" s="4">
        <f t="shared" si="2"/>
        <v>2.8399999999999999</v>
      </c>
      <c r="L15" s="4">
        <f t="shared" si="2"/>
        <v>2.9300000000000002</v>
      </c>
      <c r="M15" s="4">
        <f t="shared" si="2"/>
        <v>3.105</v>
      </c>
      <c r="N15" s="4">
        <f t="shared" si="2"/>
        <v>3.2799999999999998</v>
      </c>
    </row>
    <row r="16" spans="3:3" ht="12.75">
      <c r="C16" t="s">
        <v>345</v>
      </c>
    </row>
    <row r="17" spans="10:10" ht="12.75">
      <c r="J17" s="27"/>
    </row>
    <row r="18" spans="1:5" ht="12.75">
      <c r="A18" s="1" t="s">
        <v>92</v>
      </c>
      <c r="E18" s="13"/>
    </row>
    <row r="19" spans="1:5" ht="12.75">
      <c r="A19" t="s">
        <v>93</v>
      </c>
      <c r="B19">
        <v>1.27</v>
      </c>
      <c r="E19" s="13"/>
    </row>
    <row r="20" spans="1:5" ht="12.75">
      <c r="A20" t="s">
        <v>122</v>
      </c>
      <c r="B20">
        <v>0.95</v>
      </c>
      <c r="E20" s="13"/>
    </row>
    <row r="21" spans="1:9" ht="12.75">
      <c r="A21" t="s">
        <v>123</v>
      </c>
      <c r="B21">
        <f>B20</f>
        <v>0.94999999999999996</v>
      </c>
      <c r="D21" s="13"/>
      <c r="E21" s="13"/>
      <c r="F21" s="13"/>
      <c r="G21" s="13"/>
      <c r="H21" s="13"/>
      <c r="I21" s="13"/>
    </row>
    <row r="22" spans="1:9" ht="12.75">
      <c r="A22" t="s">
        <v>94</v>
      </c>
      <c r="B22" s="3">
        <v>0.81</v>
      </c>
      <c r="D22" s="13">
        <f>B22*$C$13-$C$13</f>
        <v>-0.94056400826416908</v>
      </c>
      <c r="E22" s="13"/>
      <c r="F22" s="13"/>
      <c r="G22" s="13"/>
      <c r="H22" s="13"/>
      <c r="I22" s="13"/>
    </row>
    <row r="23" spans="1:4" ht="12.75">
      <c r="A23" t="s">
        <v>95</v>
      </c>
      <c r="B23">
        <v>1.30</v>
      </c>
      <c r="D23" s="13">
        <f>B23*$C$13-$C$13</f>
        <v>1.4851010656802677</v>
      </c>
    </row>
    <row r="24" spans="1:4" ht="12.75">
      <c r="A24" t="s">
        <v>96</v>
      </c>
      <c r="B24">
        <v>1.1000000000000001</v>
      </c>
      <c r="D24" s="13">
        <f>B24*$C$13-$C$13</f>
        <v>0.49503368856008922</v>
      </c>
    </row>
    <row r="25" spans="1:4" ht="12.75">
      <c r="A25" t="s">
        <v>97</v>
      </c>
      <c r="B25">
        <v>1.40</v>
      </c>
      <c r="D25" s="13">
        <f>B25*$C$13-$C$13</f>
        <v>1.9801347542403569</v>
      </c>
    </row>
    <row r="26" spans="1:4" ht="12.75">
      <c r="A26" t="s">
        <v>130</v>
      </c>
      <c r="B26">
        <v>1</v>
      </c>
      <c r="D26" s="13">
        <f>B26*$C$13-$C$13</f>
        <v>0</v>
      </c>
    </row>
    <row r="29" spans="1:1" ht="12.75">
      <c r="A29" s="37" t="s">
        <v>116</v>
      </c>
    </row>
    <row r="31" spans="1:1" ht="12.75">
      <c r="A31" s="1" t="s">
        <v>114</v>
      </c>
    </row>
    <row r="32" spans="1:1" ht="12.75">
      <c r="A32" s="11" t="s">
        <v>113</v>
      </c>
    </row>
    <row r="33" spans="3:14" ht="12.75">
      <c r="C33">
        <v>2000</v>
      </c>
      <c r="D33">
        <v>2001</v>
      </c>
      <c r="E33" s="26">
        <v>2005</v>
      </c>
      <c r="F33">
        <v>2010</v>
      </c>
      <c r="G33">
        <v>2015</v>
      </c>
      <c r="H33">
        <v>2020</v>
      </c>
      <c r="I33">
        <v>2025</v>
      </c>
      <c r="J33">
        <v>2030</v>
      </c>
      <c r="K33">
        <f>J33+5</f>
        <v>2035</v>
      </c>
      <c r="L33">
        <f>K33+5</f>
        <v>2040</v>
      </c>
      <c r="M33">
        <f>L33+5</f>
        <v>2045</v>
      </c>
      <c r="N33">
        <f>M33+5</f>
        <v>2050</v>
      </c>
    </row>
    <row r="34" spans="1:14" ht="12.75">
      <c r="A34" s="38" t="s">
        <v>117</v>
      </c>
      <c r="C34" s="10">
        <f>C15</f>
        <v>1.3458862042233009</v>
      </c>
      <c r="D34" s="10">
        <f t="shared" si="3" ref="D34:N34">C34*D15/C15</f>
        <v>1.4397452012352849</v>
      </c>
      <c r="E34" s="10">
        <f t="shared" si="3"/>
        <v>2.0451179615323514</v>
      </c>
      <c r="F34" s="10">
        <f t="shared" si="3"/>
        <v>2.6229508196721314</v>
      </c>
      <c r="G34" s="10">
        <f t="shared" si="3"/>
        <v>2.9964754098360658</v>
      </c>
      <c r="H34" s="10">
        <f t="shared" si="3"/>
        <v>3.3700000000000006</v>
      </c>
      <c r="I34" s="10">
        <f t="shared" si="3"/>
        <v>3.0600000000000005</v>
      </c>
      <c r="J34" s="10">
        <f t="shared" si="3"/>
        <v>2.7500000000000004</v>
      </c>
      <c r="K34" s="10">
        <f t="shared" si="3"/>
        <v>2.8400000000000003</v>
      </c>
      <c r="L34" s="10">
        <f t="shared" si="3"/>
        <v>2.9300000000000006</v>
      </c>
      <c r="M34" s="10">
        <f t="shared" si="3"/>
        <v>3.1050000000000004</v>
      </c>
      <c r="N34" s="10">
        <f t="shared" si="3"/>
        <v>3.2800000000000002</v>
      </c>
    </row>
    <row r="35" spans="1:14" ht="12.75">
      <c r="A35" s="38" t="s">
        <v>118</v>
      </c>
      <c r="C35" s="35">
        <f t="shared" si="4" ref="C35:N35">$B19*C34</f>
        <v>1.709275479363592</v>
      </c>
      <c r="D35" s="35">
        <f t="shared" si="4"/>
        <v>1.8284764055688119</v>
      </c>
      <c r="E35" s="35">
        <f t="shared" si="4"/>
        <v>2.5972998111460863</v>
      </c>
      <c r="F35" s="35">
        <f t="shared" si="4"/>
        <v>3.3311475409836069</v>
      </c>
      <c r="G35" s="35">
        <f t="shared" si="4"/>
        <v>3.8055237704918037</v>
      </c>
      <c r="H35" s="35">
        <f t="shared" si="4"/>
        <v>4.2799000000000005</v>
      </c>
      <c r="I35" s="35">
        <f t="shared" si="4"/>
        <v>3.8862000000000005</v>
      </c>
      <c r="J35" s="35">
        <f t="shared" si="4"/>
        <v>3.4925000000000006</v>
      </c>
      <c r="K35" s="35">
        <f t="shared" si="4"/>
        <v>3.6068000000000002</v>
      </c>
      <c r="L35" s="35">
        <f t="shared" si="4"/>
        <v>3.7211000000000007</v>
      </c>
      <c r="M35" s="35">
        <f t="shared" si="4"/>
        <v>3.9433500000000006</v>
      </c>
      <c r="N35" s="35">
        <f t="shared" si="4"/>
        <v>4.1656000000000004</v>
      </c>
    </row>
    <row r="36" spans="1:14" ht="12.75">
      <c r="A36" s="3" t="s">
        <v>124</v>
      </c>
      <c r="C36" s="35">
        <f t="shared" si="5" ref="C36:N36">$B20*C34</f>
        <v>1.2785918940121357</v>
      </c>
      <c r="D36" s="35">
        <f t="shared" si="5"/>
        <v>1.3677579411735206</v>
      </c>
      <c r="E36" s="35">
        <f t="shared" si="5"/>
        <v>1.9428620634557336</v>
      </c>
      <c r="F36" s="35">
        <f t="shared" si="5"/>
        <v>2.4918032786885247</v>
      </c>
      <c r="G36" s="35">
        <f t="shared" si="5"/>
        <v>2.8466516393442625</v>
      </c>
      <c r="H36" s="35">
        <f t="shared" si="5"/>
        <v>3.2015000000000002</v>
      </c>
      <c r="I36" s="35">
        <f t="shared" si="5"/>
        <v>2.9070000000000005</v>
      </c>
      <c r="J36" s="35">
        <f t="shared" si="5"/>
        <v>2.6125000000000003</v>
      </c>
      <c r="K36" s="35">
        <f t="shared" si="5"/>
        <v>2.698</v>
      </c>
      <c r="L36" s="35">
        <f t="shared" si="5"/>
        <v>2.7835000000000005</v>
      </c>
      <c r="M36" s="35">
        <f t="shared" si="5"/>
        <v>2.9497500000000003</v>
      </c>
      <c r="N36" s="35">
        <f t="shared" si="5"/>
        <v>3.1160000000000001</v>
      </c>
    </row>
    <row r="37" spans="1:14" ht="12.75">
      <c r="A37" s="3" t="s">
        <v>121</v>
      </c>
      <c r="C37" s="35">
        <f t="shared" si="6" ref="C37:N37">$B21*C34</f>
        <v>1.2785918940121357</v>
      </c>
      <c r="D37" s="35">
        <f t="shared" si="6"/>
        <v>1.3677579411735206</v>
      </c>
      <c r="E37" s="35">
        <f t="shared" si="6"/>
        <v>1.9428620634557336</v>
      </c>
      <c r="F37" s="35">
        <f t="shared" si="6"/>
        <v>2.4918032786885247</v>
      </c>
      <c r="G37" s="35">
        <f t="shared" si="6"/>
        <v>2.8466516393442625</v>
      </c>
      <c r="H37" s="35">
        <f t="shared" si="6"/>
        <v>3.2015000000000002</v>
      </c>
      <c r="I37" s="35">
        <f t="shared" si="6"/>
        <v>2.9070000000000005</v>
      </c>
      <c r="J37" s="35">
        <f t="shared" si="6"/>
        <v>2.6125000000000003</v>
      </c>
      <c r="K37" s="35">
        <f t="shared" si="6"/>
        <v>2.698</v>
      </c>
      <c r="L37" s="35">
        <f t="shared" si="6"/>
        <v>2.7835000000000005</v>
      </c>
      <c r="M37" s="35">
        <f t="shared" si="6"/>
        <v>2.9497500000000003</v>
      </c>
      <c r="N37" s="35">
        <f t="shared" si="6"/>
        <v>3.1160000000000001</v>
      </c>
    </row>
    <row r="38" spans="1:14" ht="12.75">
      <c r="A38" s="38" t="s">
        <v>119</v>
      </c>
      <c r="C38" s="10">
        <f>C13</f>
        <v>4.9503368856008922</v>
      </c>
      <c r="D38" s="10">
        <f>C38*D13/C13</f>
        <v>4.1466851388965678</v>
      </c>
      <c r="E38" s="10">
        <f t="shared" si="7" ref="E38:N38">D38*E13/D13</f>
        <v>8.400567142823558</v>
      </c>
      <c r="F38" s="10">
        <f>E38*F13/E13</f>
        <v>9.8196721311475414</v>
      </c>
      <c r="G38" s="10">
        <f>F38*G13/F13</f>
        <v>9.5648360655737719</v>
      </c>
      <c r="H38" s="10">
        <f>G38*H13/G13</f>
        <v>9.3100000000000005</v>
      </c>
      <c r="I38" s="10">
        <f t="shared" si="7"/>
        <v>11.48</v>
      </c>
      <c r="J38" s="10">
        <f t="shared" si="7"/>
        <v>13.649999999999999</v>
      </c>
      <c r="K38" s="10">
        <f t="shared" si="7"/>
        <v>14.049999999999999</v>
      </c>
      <c r="L38" s="10">
        <f t="shared" si="7"/>
        <v>14.449999999999998</v>
      </c>
      <c r="M38" s="10">
        <f t="shared" si="7"/>
        <v>15.959999999999997</v>
      </c>
      <c r="N38" s="10">
        <f t="shared" si="7"/>
        <v>17.469999999999995</v>
      </c>
    </row>
    <row r="39" spans="1:14" ht="12.75">
      <c r="A39" s="3" t="s">
        <v>98</v>
      </c>
      <c r="C39" s="35">
        <f t="shared" si="8" ref="C39:N39">$B22*C38</f>
        <v>4.0097728773367232</v>
      </c>
      <c r="D39" s="35">
        <f t="shared" si="8"/>
        <v>3.3588149625062202</v>
      </c>
      <c r="E39" s="35">
        <f t="shared" si="8"/>
        <v>6.8044593856870828</v>
      </c>
      <c r="F39" s="35">
        <f t="shared" si="8"/>
        <v>7.9539344262295089</v>
      </c>
      <c r="G39" s="35">
        <f t="shared" si="8"/>
        <v>7.7475172131147554</v>
      </c>
      <c r="H39" s="35">
        <f t="shared" si="8"/>
        <v>7.541100000000001</v>
      </c>
      <c r="I39" s="35">
        <f t="shared" si="8"/>
        <v>9.2988000000000017</v>
      </c>
      <c r="J39" s="35">
        <f t="shared" si="8"/>
        <v>11.0565</v>
      </c>
      <c r="K39" s="35">
        <f t="shared" si="8"/>
        <v>11.3805</v>
      </c>
      <c r="L39" s="35">
        <f t="shared" si="8"/>
        <v>11.704499999999999</v>
      </c>
      <c r="M39" s="35">
        <f t="shared" si="8"/>
        <v>12.927599999999998</v>
      </c>
      <c r="N39" s="35">
        <f t="shared" si="8"/>
        <v>14.150699999999997</v>
      </c>
    </row>
    <row r="40" spans="1:14" ht="12.75">
      <c r="A40" s="3" t="s">
        <v>99</v>
      </c>
      <c r="C40" s="35">
        <f t="shared" si="9" ref="C40:N40">$B23*C38</f>
        <v>6.4354379512811599</v>
      </c>
      <c r="D40" s="35">
        <f t="shared" si="9"/>
        <v>5.3906906805655384</v>
      </c>
      <c r="E40" s="35">
        <f t="shared" si="9"/>
        <v>10.920737285670626</v>
      </c>
      <c r="F40" s="35">
        <f t="shared" si="9"/>
        <v>12.765573770491804</v>
      </c>
      <c r="G40" s="35">
        <f t="shared" si="9"/>
        <v>12.434286885245903</v>
      </c>
      <c r="H40" s="35">
        <f t="shared" si="9"/>
        <v>12.103000000000002</v>
      </c>
      <c r="I40" s="35">
        <f t="shared" si="9"/>
        <v>14.924000000000001</v>
      </c>
      <c r="J40" s="35">
        <f t="shared" si="9"/>
        <v>17.744999999999997</v>
      </c>
      <c r="K40" s="35">
        <f t="shared" si="9"/>
        <v>18.265000000000001</v>
      </c>
      <c r="L40" s="35">
        <f t="shared" si="9"/>
        <v>18.784999999999997</v>
      </c>
      <c r="M40" s="35">
        <f t="shared" si="9"/>
        <v>20.747999999999998</v>
      </c>
      <c r="N40" s="35">
        <f t="shared" si="9"/>
        <v>22.710999999999995</v>
      </c>
    </row>
    <row r="41" spans="1:14" ht="12.75">
      <c r="A41" s="3" t="s">
        <v>100</v>
      </c>
      <c r="C41" s="35">
        <f t="shared" si="10" ref="C41:N41">$B24*C38</f>
        <v>5.4453705741609815</v>
      </c>
      <c r="D41" s="35">
        <f t="shared" si="10"/>
        <v>4.5613536527862246</v>
      </c>
      <c r="E41" s="35">
        <f t="shared" si="10"/>
        <v>9.2406238571059145</v>
      </c>
      <c r="F41" s="35">
        <f t="shared" si="10"/>
        <v>10.801639344262297</v>
      </c>
      <c r="G41" s="35">
        <f t="shared" si="10"/>
        <v>10.521319672131149</v>
      </c>
      <c r="H41" s="35">
        <f t="shared" si="10"/>
        <v>10.241000000000001</v>
      </c>
      <c r="I41" s="35">
        <f t="shared" si="10"/>
        <v>12.628000000000002</v>
      </c>
      <c r="J41" s="35">
        <f t="shared" si="10"/>
        <v>15.014999999999999</v>
      </c>
      <c r="K41" s="35">
        <f t="shared" si="10"/>
        <v>15.455</v>
      </c>
      <c r="L41" s="35">
        <f t="shared" si="10"/>
        <v>15.894999999999998</v>
      </c>
      <c r="M41" s="35">
        <f t="shared" si="10"/>
        <v>17.555999999999997</v>
      </c>
      <c r="N41" s="35">
        <f t="shared" si="10"/>
        <v>19.216999999999995</v>
      </c>
    </row>
    <row r="42" spans="1:14" ht="12.75">
      <c r="A42" s="3" t="s">
        <v>31</v>
      </c>
      <c r="C42" s="35">
        <f t="shared" si="11" ref="C42:N42">$B25*C38</f>
        <v>6.9304716398412491</v>
      </c>
      <c r="D42" s="35">
        <f t="shared" si="11"/>
        <v>5.8053591944551943</v>
      </c>
      <c r="E42" s="35">
        <f t="shared" si="11"/>
        <v>11.76079399995298</v>
      </c>
      <c r="F42" s="35">
        <f t="shared" si="11"/>
        <v>13.747540983606557</v>
      </c>
      <c r="G42" s="35">
        <f t="shared" si="11"/>
        <v>13.390770491803281</v>
      </c>
      <c r="H42" s="35">
        <f t="shared" si="11"/>
        <v>13.034000000000001</v>
      </c>
      <c r="I42" s="35">
        <f t="shared" si="11"/>
        <v>16.071999999999999</v>
      </c>
      <c r="J42" s="35">
        <f t="shared" si="11"/>
        <v>19.109999999999996</v>
      </c>
      <c r="K42" s="35">
        <f t="shared" si="11"/>
        <v>19.669999999999998</v>
      </c>
      <c r="L42" s="35">
        <f t="shared" si="11"/>
        <v>20.229999999999997</v>
      </c>
      <c r="M42" s="35">
        <f t="shared" si="11"/>
        <v>22.343999999999994</v>
      </c>
      <c r="N42" s="35">
        <f t="shared" si="11"/>
        <v>24.457999999999991</v>
      </c>
    </row>
    <row r="43" spans="1:14" ht="12.75">
      <c r="A43" s="3" t="s">
        <v>133</v>
      </c>
      <c r="C43" s="35">
        <f t="shared" si="12" ref="C43:N43">C42</f>
        <v>6.9304716398412491</v>
      </c>
      <c r="D43" s="35">
        <f t="shared" si="12"/>
        <v>5.8053591944551943</v>
      </c>
      <c r="E43" s="35">
        <f t="shared" si="12"/>
        <v>11.76079399995298</v>
      </c>
      <c r="F43" s="35">
        <f t="shared" si="12"/>
        <v>13.747540983606557</v>
      </c>
      <c r="G43" s="35">
        <f t="shared" si="12"/>
        <v>13.390770491803281</v>
      </c>
      <c r="H43" s="35">
        <f t="shared" si="12"/>
        <v>13.034000000000001</v>
      </c>
      <c r="I43" s="35">
        <f t="shared" si="12"/>
        <v>16.071999999999999</v>
      </c>
      <c r="J43" s="35">
        <f t="shared" si="12"/>
        <v>19.109999999999996</v>
      </c>
      <c r="K43" s="35">
        <f t="shared" si="12"/>
        <v>19.669999999999998</v>
      </c>
      <c r="L43" s="35">
        <f t="shared" si="12"/>
        <v>20.229999999999997</v>
      </c>
      <c r="M43" s="35">
        <f t="shared" si="12"/>
        <v>22.343999999999994</v>
      </c>
      <c r="N43" s="35">
        <f t="shared" si="12"/>
        <v>24.457999999999991</v>
      </c>
    </row>
    <row r="44" spans="1:14" ht="12.75">
      <c r="A44" s="3" t="s">
        <v>126</v>
      </c>
      <c r="C44" s="35">
        <f t="shared" si="13" ref="C44:N47">$B$26*C$38</f>
        <v>4.9503368856008922</v>
      </c>
      <c r="D44" s="35">
        <f t="shared" si="13"/>
        <v>4.1466851388965678</v>
      </c>
      <c r="E44" s="35">
        <f t="shared" si="13"/>
        <v>8.400567142823558</v>
      </c>
      <c r="F44" s="35">
        <f t="shared" si="13"/>
        <v>9.8196721311475414</v>
      </c>
      <c r="G44" s="35">
        <f t="shared" si="13"/>
        <v>9.5648360655737719</v>
      </c>
      <c r="H44" s="35">
        <f t="shared" si="13"/>
        <v>9.3100000000000005</v>
      </c>
      <c r="I44" s="35">
        <f t="shared" si="13"/>
        <v>11.48</v>
      </c>
      <c r="J44" s="35">
        <f t="shared" si="13"/>
        <v>13.649999999999999</v>
      </c>
      <c r="K44" s="35">
        <f t="shared" si="13"/>
        <v>14.049999999999999</v>
      </c>
      <c r="L44" s="35">
        <f t="shared" si="13"/>
        <v>14.449999999999998</v>
      </c>
      <c r="M44" s="35">
        <f t="shared" si="13"/>
        <v>15.959999999999997</v>
      </c>
      <c r="N44" s="35">
        <f t="shared" si="13"/>
        <v>17.469999999999995</v>
      </c>
    </row>
    <row r="45" spans="1:14" ht="12.75">
      <c r="A45" s="3" t="s">
        <v>129</v>
      </c>
      <c r="C45" s="35">
        <f t="shared" si="13"/>
        <v>4.9503368856008922</v>
      </c>
      <c r="D45" s="35">
        <f t="shared" si="13"/>
        <v>4.1466851388965678</v>
      </c>
      <c r="E45" s="35">
        <f t="shared" si="13"/>
        <v>8.400567142823558</v>
      </c>
      <c r="F45" s="35">
        <f t="shared" si="13"/>
        <v>9.8196721311475414</v>
      </c>
      <c r="G45" s="35">
        <f t="shared" si="13"/>
        <v>9.5648360655737719</v>
      </c>
      <c r="H45" s="35">
        <f t="shared" si="13"/>
        <v>9.3100000000000005</v>
      </c>
      <c r="I45" s="35">
        <f t="shared" si="13"/>
        <v>11.48</v>
      </c>
      <c r="J45" s="35">
        <f t="shared" si="13"/>
        <v>13.649999999999999</v>
      </c>
      <c r="K45" s="35">
        <f t="shared" si="13"/>
        <v>14.049999999999999</v>
      </c>
      <c r="L45" s="35">
        <f t="shared" si="13"/>
        <v>14.449999999999998</v>
      </c>
      <c r="M45" s="35">
        <f t="shared" si="13"/>
        <v>15.959999999999997</v>
      </c>
      <c r="N45" s="35">
        <f t="shared" si="13"/>
        <v>17.469999999999995</v>
      </c>
    </row>
    <row r="46" spans="1:14" ht="12.75">
      <c r="A46" s="3" t="s">
        <v>127</v>
      </c>
      <c r="C46" s="35">
        <f t="shared" si="13"/>
        <v>4.9503368856008922</v>
      </c>
      <c r="D46" s="35">
        <f t="shared" si="13"/>
        <v>4.1466851388965678</v>
      </c>
      <c r="E46" s="35">
        <f t="shared" si="13"/>
        <v>8.400567142823558</v>
      </c>
      <c r="F46" s="35">
        <f t="shared" si="13"/>
        <v>9.8196721311475414</v>
      </c>
      <c r="G46" s="35">
        <f t="shared" si="13"/>
        <v>9.5648360655737719</v>
      </c>
      <c r="H46" s="35">
        <f t="shared" si="13"/>
        <v>9.3100000000000005</v>
      </c>
      <c r="I46" s="35">
        <f t="shared" si="13"/>
        <v>11.48</v>
      </c>
      <c r="J46" s="35">
        <f t="shared" si="13"/>
        <v>13.649999999999999</v>
      </c>
      <c r="K46" s="35">
        <f t="shared" si="13"/>
        <v>14.049999999999999</v>
      </c>
      <c r="L46" s="35">
        <f t="shared" si="13"/>
        <v>14.449999999999998</v>
      </c>
      <c r="M46" s="35">
        <f t="shared" si="13"/>
        <v>15.959999999999997</v>
      </c>
      <c r="N46" s="35">
        <f t="shared" si="13"/>
        <v>17.469999999999995</v>
      </c>
    </row>
    <row r="47" spans="1:14" ht="12.75">
      <c r="A47" s="3" t="s">
        <v>128</v>
      </c>
      <c r="C47" s="35">
        <f t="shared" si="13"/>
        <v>4.9503368856008922</v>
      </c>
      <c r="D47" s="35">
        <f t="shared" si="13"/>
        <v>4.1466851388965678</v>
      </c>
      <c r="E47" s="35">
        <f t="shared" si="13"/>
        <v>8.400567142823558</v>
      </c>
      <c r="F47" s="35">
        <f t="shared" si="13"/>
        <v>9.8196721311475414</v>
      </c>
      <c r="G47" s="35">
        <f t="shared" si="13"/>
        <v>9.5648360655737719</v>
      </c>
      <c r="H47" s="35">
        <f t="shared" si="13"/>
        <v>9.3100000000000005</v>
      </c>
      <c r="I47" s="35">
        <f t="shared" si="13"/>
        <v>11.48</v>
      </c>
      <c r="J47" s="35">
        <f t="shared" si="13"/>
        <v>13.649999999999999</v>
      </c>
      <c r="K47" s="35">
        <f t="shared" si="13"/>
        <v>14.049999999999999</v>
      </c>
      <c r="L47" s="35">
        <f t="shared" si="13"/>
        <v>14.449999999999998</v>
      </c>
      <c r="M47" s="35">
        <f t="shared" si="13"/>
        <v>15.959999999999997</v>
      </c>
      <c r="N47" s="35">
        <f t="shared" si="13"/>
        <v>17.469999999999995</v>
      </c>
    </row>
    <row r="48" spans="1:14" ht="12.75">
      <c r="A48" s="38" t="s">
        <v>120</v>
      </c>
      <c r="C48" s="10">
        <f>C14</f>
        <v>2.8557504953391684</v>
      </c>
      <c r="D48" s="10">
        <f t="shared" si="14" ref="D48:N48">C48*D14/C14</f>
        <v>3.7085383325804813</v>
      </c>
      <c r="E48" s="10">
        <f t="shared" si="14"/>
        <v>4.7350718073919769</v>
      </c>
      <c r="F48" s="10">
        <f t="shared" si="14"/>
        <v>6.1967213114754101</v>
      </c>
      <c r="G48" s="10">
        <f t="shared" si="14"/>
        <v>9.7933606557377058</v>
      </c>
      <c r="H48" s="10">
        <f t="shared" si="14"/>
        <v>13.390000000000001</v>
      </c>
      <c r="I48" s="10">
        <f t="shared" si="14"/>
        <v>10.195</v>
      </c>
      <c r="J48" s="10">
        <f t="shared" si="14"/>
        <v>7.0000000000000009</v>
      </c>
      <c r="K48" s="10">
        <f t="shared" si="14"/>
        <v>7.0000000000000009</v>
      </c>
      <c r="L48" s="10">
        <f t="shared" si="14"/>
        <v>7.0000000000000009</v>
      </c>
      <c r="M48" s="10">
        <f t="shared" si="14"/>
        <v>7.0000000000000009</v>
      </c>
      <c r="N48" s="10">
        <f t="shared" si="14"/>
        <v>7.0000000000000009</v>
      </c>
    </row>
    <row r="49" spans="1:14" ht="12.75">
      <c r="A49" s="3" t="s">
        <v>101</v>
      </c>
      <c r="C49" s="10">
        <v>0.80</v>
      </c>
      <c r="D49" s="10">
        <f t="shared" si="15" ref="D49:N49">C49</f>
        <v>0.80000000000000004</v>
      </c>
      <c r="E49" s="10">
        <f t="shared" si="15"/>
        <v>0.80000000000000004</v>
      </c>
      <c r="F49" s="10">
        <f t="shared" si="15"/>
        <v>0.80000000000000004</v>
      </c>
      <c r="G49" s="10">
        <f t="shared" si="15"/>
        <v>0.80000000000000004</v>
      </c>
      <c r="H49" s="10">
        <f t="shared" si="15"/>
        <v>0.80000000000000004</v>
      </c>
      <c r="I49" s="10">
        <f t="shared" si="15"/>
        <v>0.80000000000000004</v>
      </c>
      <c r="J49" s="10">
        <f t="shared" si="15"/>
        <v>0.80000000000000004</v>
      </c>
      <c r="K49" s="10">
        <f t="shared" si="15"/>
        <v>0.80000000000000004</v>
      </c>
      <c r="L49" s="10">
        <f t="shared" si="15"/>
        <v>0.80000000000000004</v>
      </c>
      <c r="M49" s="10">
        <f t="shared" si="15"/>
        <v>0.80000000000000004</v>
      </c>
      <c r="N49" s="10">
        <f t="shared" si="15"/>
        <v>0.80000000000000004</v>
      </c>
    </row>
    <row r="51" spans="1:14" ht="12.75">
      <c r="A51" s="3" t="s">
        <v>125</v>
      </c>
      <c r="C51" s="10">
        <v>1.9831481981859154</v>
      </c>
      <c r="D51" s="10">
        <v>1.9831481981859154</v>
      </c>
      <c r="E51" s="10">
        <v>1.9831481981859154</v>
      </c>
      <c r="F51" s="10">
        <v>1.9831481981859154</v>
      </c>
      <c r="G51" s="10">
        <v>1.9831481981859154</v>
      </c>
      <c r="H51" s="10">
        <v>1.9831481981859154</v>
      </c>
      <c r="I51" s="10">
        <v>1.9831481981859154</v>
      </c>
      <c r="J51" s="10">
        <v>1.9831481981859154</v>
      </c>
      <c r="K51" s="10">
        <v>1.9831481981859154</v>
      </c>
      <c r="L51" s="10">
        <v>1.9831481981859154</v>
      </c>
      <c r="M51" s="10">
        <v>1.9831481981859154</v>
      </c>
      <c r="N51" s="10">
        <v>1.9831481981859154</v>
      </c>
    </row>
    <row r="61" spans="1:1" ht="12.75">
      <c r="A61" t="s">
        <v>156</v>
      </c>
    </row>
    <row r="62" spans="2:21" ht="12.75">
      <c r="B62" t="s">
        <v>158</v>
      </c>
      <c r="C62" t="str">
        <f>"IMP"&amp;C63&amp;"*"</f>
        <v>IMPCOAHAR*</v>
      </c>
      <c r="D62" t="str">
        <f>"IMP"&amp;D63&amp;"*"</f>
        <v>IMPCOACOK*</v>
      </c>
      <c r="E62" t="str">
        <f>"IMP"&amp;E63&amp;"*"</f>
        <v>IMPCOABRO*</v>
      </c>
      <c r="F62" t="str">
        <f>"IMP"&amp;F63&amp;"*"</f>
        <v>IMPCOALIG*</v>
      </c>
      <c r="G62" t="str">
        <f t="shared" si="16" ref="G62:R62">"IMP"&amp;G63</f>
        <v>IMPOILCRD</v>
      </c>
      <c r="H62" t="str">
        <f t="shared" si="16"/>
        <v>IMPOILHFO</v>
      </c>
      <c r="I62" t="str">
        <f t="shared" si="16"/>
        <v>IMPOILDST</v>
      </c>
      <c r="J62" t="str">
        <f t="shared" si="16"/>
        <v>IMPOILLPG</v>
      </c>
      <c r="K62" t="str">
        <f t="shared" si="16"/>
        <v>IMPOILGSL</v>
      </c>
      <c r="L62" t="str">
        <f t="shared" si="16"/>
        <v>IMPOILKER</v>
      </c>
      <c r="M62" t="str">
        <f t="shared" si="16"/>
        <v>IMPOILOTH</v>
      </c>
      <c r="N62" t="str">
        <f t="shared" si="16"/>
        <v>IMPOILNAP</v>
      </c>
      <c r="O62" t="str">
        <f t="shared" si="16"/>
        <v>IMPOILFDS</v>
      </c>
      <c r="P62" t="str">
        <f t="shared" si="16"/>
        <v>IMPOILNEU</v>
      </c>
      <c r="Q62" t="str">
        <f t="shared" si="16"/>
        <v>IMPGASNAT</v>
      </c>
      <c r="R62" t="str">
        <f t="shared" si="16"/>
        <v>IMPBIOWOO</v>
      </c>
      <c r="S62" t="str">
        <f>"IMP"&amp;S63&amp;"B"</f>
        <v>IMPBIOWOOB</v>
      </c>
      <c r="T62" t="str">
        <f>"IMP"&amp;T63</f>
        <v>IMPNUCRSV</v>
      </c>
      <c r="U62" t="str">
        <f>"MIN"&amp;U63</f>
        <v>MINBIOMUN</v>
      </c>
    </row>
    <row r="63" spans="2:21" ht="12.75">
      <c r="B63" t="s">
        <v>157</v>
      </c>
      <c r="C63" t="s">
        <v>102</v>
      </c>
      <c r="D63" t="s">
        <v>103</v>
      </c>
      <c r="E63" t="s">
        <v>139</v>
      </c>
      <c r="F63" t="s">
        <v>140</v>
      </c>
      <c r="G63" t="s">
        <v>104</v>
      </c>
      <c r="H63" t="s">
        <v>110</v>
      </c>
      <c r="I63" t="s">
        <v>109</v>
      </c>
      <c r="J63" t="s">
        <v>105</v>
      </c>
      <c r="K63" t="s">
        <v>106</v>
      </c>
      <c r="L63" t="s">
        <v>107</v>
      </c>
      <c r="M63" t="s">
        <v>134</v>
      </c>
      <c r="N63" t="s">
        <v>108</v>
      </c>
      <c r="O63" t="s">
        <v>135</v>
      </c>
      <c r="P63" t="s">
        <v>136</v>
      </c>
      <c r="Q63" t="s">
        <v>111</v>
      </c>
      <c r="R63" t="s">
        <v>132</v>
      </c>
      <c r="S63" t="s">
        <v>132</v>
      </c>
      <c r="T63" t="s">
        <v>166</v>
      </c>
      <c r="U63" t="s">
        <v>112</v>
      </c>
    </row>
    <row r="64" spans="1:24" s="1" customFormat="1" ht="12.75">
      <c r="A64" s="1" t="s">
        <v>159</v>
      </c>
      <c r="B64" s="1">
        <v>2000</v>
      </c>
      <c r="C64" s="52">
        <f>$C34</f>
        <v>1.3458862042233009</v>
      </c>
      <c r="D64" s="52">
        <f>$C35</f>
        <v>1.709275479363592</v>
      </c>
      <c r="E64" s="52">
        <f>$C36</f>
        <v>1.2785918940121357</v>
      </c>
      <c r="F64" s="52">
        <f>$C37</f>
        <v>1.2785918940121357</v>
      </c>
      <c r="G64" s="52">
        <f>$C38</f>
        <v>4.9503368856008922</v>
      </c>
      <c r="H64" s="52">
        <f>$C39</f>
        <v>4.0097728773367232</v>
      </c>
      <c r="I64" s="52">
        <f>$C40</f>
        <v>6.4354379512811599</v>
      </c>
      <c r="J64" s="52">
        <f>$C41</f>
        <v>5.4453705741609815</v>
      </c>
      <c r="K64" s="52">
        <f>$C42</f>
        <v>6.9304716398412491</v>
      </c>
      <c r="L64" s="52">
        <f>$C43</f>
        <v>6.9304716398412491</v>
      </c>
      <c r="M64" s="52">
        <f>$C44</f>
        <v>4.9503368856008922</v>
      </c>
      <c r="N64" s="52">
        <f>$C45</f>
        <v>4.9503368856008922</v>
      </c>
      <c r="O64" s="52">
        <f>$C46</f>
        <v>4.9503368856008922</v>
      </c>
      <c r="P64" s="52">
        <f>$C47</f>
        <v>4.9503368856008922</v>
      </c>
      <c r="Q64" s="52">
        <f>$C48</f>
        <v>2.8557504953391684</v>
      </c>
      <c r="R64" s="52">
        <f>$C101</f>
        <v>3.0314705882352944</v>
      </c>
      <c r="S64" s="52">
        <f>$C102</f>
        <v>3.6377647058823532</v>
      </c>
      <c r="T64" s="52">
        <f>$C49</f>
        <v>0.80000000000000004</v>
      </c>
      <c r="U64" s="52">
        <f>$C51</f>
        <v>1.9831481981859154</v>
      </c>
      <c r="V64" s="52"/>
      <c r="W64" s="52"/>
      <c r="X64" s="52"/>
    </row>
    <row r="65" spans="2:24" ht="12.75">
      <c r="B65">
        <v>2001</v>
      </c>
      <c r="C65" s="10">
        <f>$D$34</f>
        <v>1.4397452012352849</v>
      </c>
      <c r="D65" s="10">
        <f>$D$35</f>
        <v>1.8284764055688119</v>
      </c>
      <c r="E65" s="10">
        <f>$D$36</f>
        <v>1.3677579411735206</v>
      </c>
      <c r="F65" s="10">
        <f>$D$37</f>
        <v>1.3677579411735206</v>
      </c>
      <c r="G65" s="10">
        <f>$D$38</f>
        <v>4.1466851388965678</v>
      </c>
      <c r="H65" s="10">
        <f>$D$39</f>
        <v>3.3588149625062202</v>
      </c>
      <c r="I65" s="10">
        <f>$D$40</f>
        <v>5.3906906805655384</v>
      </c>
      <c r="J65" s="10">
        <f>$D$41</f>
        <v>4.5613536527862246</v>
      </c>
      <c r="K65" s="10">
        <f>$D$42</f>
        <v>5.8053591944551943</v>
      </c>
      <c r="L65" s="10">
        <f>$D$43</f>
        <v>5.8053591944551943</v>
      </c>
      <c r="M65" s="10">
        <f>$D$44</f>
        <v>4.1466851388965678</v>
      </c>
      <c r="N65" s="10">
        <f>$D$45</f>
        <v>4.1466851388965678</v>
      </c>
      <c r="O65" s="10">
        <f>$D$46</f>
        <v>4.1466851388965678</v>
      </c>
      <c r="P65" s="10">
        <f>$D$47</f>
        <v>4.1466851388965678</v>
      </c>
      <c r="Q65" s="10">
        <f>$D$48</f>
        <v>3.7085383325804813</v>
      </c>
      <c r="R65" s="10">
        <f>$D$101</f>
        <v>3.0860370588235293</v>
      </c>
      <c r="S65" s="10">
        <f>$D$102</f>
        <v>3.7032444705882348</v>
      </c>
      <c r="T65" s="10">
        <f>$D$49</f>
        <v>0.80000000000000004</v>
      </c>
      <c r="U65" s="10">
        <f>$D$51</f>
        <v>1.9831481981859154</v>
      </c>
      <c r="V65" s="10"/>
      <c r="W65" s="10"/>
      <c r="X65" s="10"/>
    </row>
    <row r="66" spans="2:24" ht="12.75">
      <c r="B66">
        <v>2005</v>
      </c>
      <c r="C66" s="10">
        <f>$E$34</f>
        <v>2.0451179615323514</v>
      </c>
      <c r="D66" s="10">
        <f>$E$35</f>
        <v>2.5972998111460863</v>
      </c>
      <c r="E66" s="10">
        <f>$E$36</f>
        <v>1.9428620634557336</v>
      </c>
      <c r="F66" s="10">
        <f>$E$37</f>
        <v>1.9428620634557336</v>
      </c>
      <c r="G66" s="10">
        <f>$E$38</f>
        <v>8.400567142823558</v>
      </c>
      <c r="H66" s="10">
        <f>$E$39</f>
        <v>6.8044593856870828</v>
      </c>
      <c r="I66" s="10">
        <f>$E$40</f>
        <v>10.920737285670626</v>
      </c>
      <c r="J66" s="10">
        <f>$E$41</f>
        <v>9.2406238571059145</v>
      </c>
      <c r="K66" s="10">
        <f>$E$42</f>
        <v>11.76079399995298</v>
      </c>
      <c r="L66" s="10">
        <f>$E$43</f>
        <v>11.76079399995298</v>
      </c>
      <c r="M66" s="10">
        <f>$E$44</f>
        <v>8.400567142823558</v>
      </c>
      <c r="N66" s="10">
        <f>$E$45</f>
        <v>8.400567142823558</v>
      </c>
      <c r="O66" s="10">
        <f>$E$46</f>
        <v>8.400567142823558</v>
      </c>
      <c r="P66" s="10">
        <f>$E$47</f>
        <v>8.400567142823558</v>
      </c>
      <c r="Q66" s="10">
        <f>$E$48</f>
        <v>4.7350718073919769</v>
      </c>
      <c r="R66" s="10">
        <f>$E$101</f>
        <v>3.3143032981335114</v>
      </c>
      <c r="S66" s="10">
        <f>$E$102</f>
        <v>3.9771639577602134</v>
      </c>
      <c r="T66" s="10">
        <f>$E$49</f>
        <v>0.80000000000000004</v>
      </c>
      <c r="U66" s="10">
        <f>$E$51</f>
        <v>1.9831481981859154</v>
      </c>
      <c r="V66" s="10"/>
      <c r="W66" s="10"/>
      <c r="X66" s="10"/>
    </row>
    <row r="67" spans="2:24" ht="12.75">
      <c r="B67">
        <v>2010</v>
      </c>
      <c r="C67" s="10">
        <f>$F$34</f>
        <v>2.6229508196721314</v>
      </c>
      <c r="D67" s="10">
        <f>$F$35</f>
        <v>3.3311475409836069</v>
      </c>
      <c r="E67" s="10">
        <f>$F$36</f>
        <v>2.4918032786885247</v>
      </c>
      <c r="F67" s="10">
        <f>$F$37</f>
        <v>2.4918032786885247</v>
      </c>
      <c r="G67" s="10">
        <f>$F$38</f>
        <v>9.8196721311475414</v>
      </c>
      <c r="H67" s="10">
        <f>$F$39</f>
        <v>7.9539344262295089</v>
      </c>
      <c r="I67" s="10">
        <f>$F$40</f>
        <v>12.765573770491804</v>
      </c>
      <c r="J67" s="10">
        <f>$F$41</f>
        <v>10.801639344262297</v>
      </c>
      <c r="K67" s="10">
        <f>$F$42</f>
        <v>13.747540983606557</v>
      </c>
      <c r="L67" s="10">
        <f>$F$43</f>
        <v>13.747540983606557</v>
      </c>
      <c r="M67" s="10">
        <f>$F$44</f>
        <v>9.8196721311475414</v>
      </c>
      <c r="N67" s="10">
        <f>$F$45</f>
        <v>9.8196721311475414</v>
      </c>
      <c r="O67" s="10">
        <f>$F$46</f>
        <v>9.8196721311475414</v>
      </c>
      <c r="P67" s="10">
        <f>$F$47</f>
        <v>9.8196721311475414</v>
      </c>
      <c r="Q67" s="10">
        <f>$F$48</f>
        <v>6.1967213114754101</v>
      </c>
      <c r="R67" s="10">
        <f>$F$101</f>
        <v>3.6235239736939437</v>
      </c>
      <c r="S67" s="10">
        <f>$F$102</f>
        <v>4.3482287684327323</v>
      </c>
      <c r="T67" s="10">
        <f>$F$49</f>
        <v>0.80000000000000004</v>
      </c>
      <c r="U67" s="10">
        <f>$F$51</f>
        <v>1.9831481981859154</v>
      </c>
      <c r="V67" s="10"/>
      <c r="W67" s="10"/>
      <c r="X67" s="10"/>
    </row>
    <row r="68" spans="2:24" ht="12.75">
      <c r="B68">
        <v>2015</v>
      </c>
      <c r="C68" s="10">
        <f>$G$34</f>
        <v>2.9964754098360658</v>
      </c>
      <c r="D68" s="10">
        <f>$G$35</f>
        <v>3.8055237704918037</v>
      </c>
      <c r="E68" s="10">
        <f>$G$36</f>
        <v>2.8466516393442625</v>
      </c>
      <c r="F68" s="10">
        <f>$G$37</f>
        <v>2.8466516393442625</v>
      </c>
      <c r="G68" s="10">
        <f>$G$38</f>
        <v>9.5648360655737719</v>
      </c>
      <c r="H68" s="10">
        <f>$G$39</f>
        <v>7.7475172131147554</v>
      </c>
      <c r="I68" s="10">
        <f>$G$40</f>
        <v>12.434286885245903</v>
      </c>
      <c r="J68" s="10">
        <f>$G$41</f>
        <v>10.521319672131149</v>
      </c>
      <c r="K68" s="10">
        <f>$G$42</f>
        <v>13.390770491803281</v>
      </c>
      <c r="L68" s="10">
        <f>$G$43</f>
        <v>13.390770491803281</v>
      </c>
      <c r="M68" s="10">
        <f>$G$44</f>
        <v>9.5648360655737719</v>
      </c>
      <c r="N68" s="10">
        <f>$G$45</f>
        <v>9.5648360655737719</v>
      </c>
      <c r="O68" s="10">
        <f>$G$46</f>
        <v>9.5648360655737719</v>
      </c>
      <c r="P68" s="10">
        <f>$G$47</f>
        <v>9.5648360655737719</v>
      </c>
      <c r="Q68" s="10">
        <f>$G$48</f>
        <v>9.7933606557377058</v>
      </c>
      <c r="R68" s="10">
        <f>$G$101</f>
        <v>3.9615945816814717</v>
      </c>
      <c r="S68" s="10">
        <f>$G$102</f>
        <v>4.7539134980177655</v>
      </c>
      <c r="T68" s="10">
        <f>$G$49</f>
        <v>0.80000000000000004</v>
      </c>
      <c r="U68" s="10">
        <f>$G$51</f>
        <v>1.9831481981859154</v>
      </c>
      <c r="V68" s="10"/>
      <c r="W68" s="10"/>
      <c r="X68" s="10"/>
    </row>
    <row r="69" spans="2:24" ht="12.75">
      <c r="B69">
        <v>2020</v>
      </c>
      <c r="C69" s="10">
        <f>$H$34</f>
        <v>3.3700000000000006</v>
      </c>
      <c r="D69" s="10">
        <f>$H$35</f>
        <v>4.2799000000000005</v>
      </c>
      <c r="E69" s="10">
        <f>$H$36</f>
        <v>3.2015000000000002</v>
      </c>
      <c r="F69" s="10">
        <f>$H$37</f>
        <v>3.2015000000000002</v>
      </c>
      <c r="G69" s="10">
        <f>$H$38</f>
        <v>9.3100000000000005</v>
      </c>
      <c r="H69" s="10">
        <f>$H$39</f>
        <v>7.541100000000001</v>
      </c>
      <c r="I69" s="10">
        <f>$H$40</f>
        <v>12.103000000000002</v>
      </c>
      <c r="J69" s="10">
        <f>$H$41</f>
        <v>10.241000000000001</v>
      </c>
      <c r="K69" s="10">
        <f>$H$42</f>
        <v>13.034000000000001</v>
      </c>
      <c r="L69" s="10">
        <f>$H$43</f>
        <v>13.034000000000001</v>
      </c>
      <c r="M69" s="10">
        <f>$H$44</f>
        <v>9.3100000000000005</v>
      </c>
      <c r="N69" s="10">
        <f>$H$45</f>
        <v>9.3100000000000005</v>
      </c>
      <c r="O69" s="10">
        <f>$H$46</f>
        <v>9.3100000000000005</v>
      </c>
      <c r="P69" s="10">
        <f>$H$47</f>
        <v>9.3100000000000005</v>
      </c>
      <c r="Q69" s="10">
        <f>$H$48</f>
        <v>13.390000000000001</v>
      </c>
      <c r="R69" s="10">
        <f>$H$101</f>
        <v>4.331206787520923</v>
      </c>
      <c r="S69" s="10">
        <f>$H$102</f>
        <v>5.1974481450251071</v>
      </c>
      <c r="T69" s="10">
        <f>$H$49</f>
        <v>0.80000000000000004</v>
      </c>
      <c r="U69" s="10">
        <f>$H$51</f>
        <v>1.9831481981859154</v>
      </c>
      <c r="V69" s="10"/>
      <c r="W69" s="10"/>
      <c r="X69" s="10"/>
    </row>
    <row r="70" spans="2:24" ht="12.75">
      <c r="B70">
        <v>2025</v>
      </c>
      <c r="C70" s="10">
        <f>$I$34</f>
        <v>3.0600000000000005</v>
      </c>
      <c r="D70" s="10">
        <f>$I$35</f>
        <v>3.8862000000000005</v>
      </c>
      <c r="E70" s="10">
        <f>$I$36</f>
        <v>2.9070000000000005</v>
      </c>
      <c r="F70" s="10">
        <f>$I$37</f>
        <v>2.9070000000000005</v>
      </c>
      <c r="G70" s="10">
        <f>$I$38</f>
        <v>11.48</v>
      </c>
      <c r="H70" s="10">
        <f>$I$39</f>
        <v>9.2988000000000017</v>
      </c>
      <c r="I70" s="10">
        <f>$I$40</f>
        <v>14.924000000000001</v>
      </c>
      <c r="J70" s="10">
        <f>$I$41</f>
        <v>12.628000000000002</v>
      </c>
      <c r="K70" s="10">
        <f>$I$42</f>
        <v>16.071999999999999</v>
      </c>
      <c r="L70" s="10">
        <f>$I$43</f>
        <v>16.071999999999999</v>
      </c>
      <c r="M70" s="10">
        <f>$I$44</f>
        <v>11.48</v>
      </c>
      <c r="N70" s="10">
        <f>$I$45</f>
        <v>11.48</v>
      </c>
      <c r="O70" s="10">
        <f>$I$46</f>
        <v>11.48</v>
      </c>
      <c r="P70" s="10">
        <f>$I$47</f>
        <v>11.48</v>
      </c>
      <c r="Q70" s="10">
        <f>$I$48</f>
        <v>10.195</v>
      </c>
      <c r="R70" s="10">
        <f>$I$101</f>
        <v>4.7353033859171507</v>
      </c>
      <c r="S70" s="10">
        <f>$I$102</f>
        <v>5.6823640631005805</v>
      </c>
      <c r="T70" s="10">
        <f>$I$49</f>
        <v>0.80000000000000004</v>
      </c>
      <c r="U70" s="10">
        <f>$I$51</f>
        <v>1.9831481981859154</v>
      </c>
      <c r="V70" s="10"/>
      <c r="W70" s="10"/>
      <c r="X70" s="10"/>
    </row>
    <row r="71" spans="2:24" ht="12.75">
      <c r="B71">
        <v>2030</v>
      </c>
      <c r="C71" s="10">
        <f>$J$34</f>
        <v>2.7500000000000004</v>
      </c>
      <c r="D71" s="10">
        <f>$J$35</f>
        <v>3.4925000000000006</v>
      </c>
      <c r="E71" s="10">
        <f>$J$36</f>
        <v>2.6125000000000003</v>
      </c>
      <c r="F71" s="10">
        <f>$J$37</f>
        <v>2.6125000000000003</v>
      </c>
      <c r="G71" s="10">
        <f>$J$38</f>
        <v>13.649999999999999</v>
      </c>
      <c r="H71" s="10">
        <f>$J$39</f>
        <v>11.0565</v>
      </c>
      <c r="I71" s="10">
        <f>$J$40</f>
        <v>17.744999999999997</v>
      </c>
      <c r="J71" s="10">
        <f>$J$41</f>
        <v>15.014999999999999</v>
      </c>
      <c r="K71" s="10">
        <f>$J$42</f>
        <v>19.109999999999996</v>
      </c>
      <c r="L71" s="10">
        <f>$J$43</f>
        <v>19.109999999999996</v>
      </c>
      <c r="M71" s="10">
        <f>$J$44</f>
        <v>13.649999999999999</v>
      </c>
      <c r="N71" s="10">
        <f>$J$45</f>
        <v>13.649999999999999</v>
      </c>
      <c r="O71" s="10">
        <f>$J$46</f>
        <v>13.649999999999999</v>
      </c>
      <c r="P71" s="10">
        <f>$J$47</f>
        <v>13.649999999999999</v>
      </c>
      <c r="Q71" s="10">
        <f>$J$48</f>
        <v>7.0000000000000009</v>
      </c>
      <c r="R71" s="10">
        <f>$J$101</f>
        <v>5.1771017309272525</v>
      </c>
      <c r="S71" s="10">
        <f>$J$102</f>
        <v>6.2125220771127028</v>
      </c>
      <c r="T71" s="10">
        <f>$J$49</f>
        <v>0.80000000000000004</v>
      </c>
      <c r="U71" s="10">
        <f>$J$51</f>
        <v>1.9831481981859154</v>
      </c>
      <c r="V71" s="10"/>
      <c r="W71" s="10"/>
      <c r="X71" s="10"/>
    </row>
    <row r="72" spans="2:24" ht="12.75">
      <c r="B72">
        <v>2035</v>
      </c>
      <c r="C72" s="10">
        <f>$K$34</f>
        <v>2.8400000000000003</v>
      </c>
      <c r="D72" s="10">
        <f>$K$35</f>
        <v>3.6068000000000002</v>
      </c>
      <c r="E72" s="10">
        <f>$K$36</f>
        <v>2.698</v>
      </c>
      <c r="F72" s="10">
        <f>$K$37</f>
        <v>2.698</v>
      </c>
      <c r="G72" s="10">
        <f>$K$38</f>
        <v>14.049999999999999</v>
      </c>
      <c r="H72" s="10">
        <f>$K$39</f>
        <v>11.3805</v>
      </c>
      <c r="I72" s="10">
        <f>$K$40</f>
        <v>18.265000000000001</v>
      </c>
      <c r="J72" s="10">
        <f>$K$41</f>
        <v>15.455</v>
      </c>
      <c r="K72" s="10">
        <f>$K$42</f>
        <v>19.669999999999998</v>
      </c>
      <c r="L72" s="10">
        <f>$K$43</f>
        <v>19.669999999999998</v>
      </c>
      <c r="M72" s="10">
        <f>$K$44</f>
        <v>14.049999999999999</v>
      </c>
      <c r="N72" s="10">
        <f>$K$45</f>
        <v>14.049999999999999</v>
      </c>
      <c r="O72" s="10">
        <f>$K$46</f>
        <v>14.049999999999999</v>
      </c>
      <c r="P72" s="10">
        <f>$K$47</f>
        <v>14.049999999999999</v>
      </c>
      <c r="Q72" s="10">
        <f>$K$48</f>
        <v>7.0000000000000009</v>
      </c>
      <c r="R72" s="10">
        <f>$K$101</f>
        <v>5.6601193520314999</v>
      </c>
      <c r="S72" s="10">
        <f>$K$102</f>
        <v>6.7921432224378</v>
      </c>
      <c r="T72" s="10">
        <f>$K$49</f>
        <v>0.80000000000000004</v>
      </c>
      <c r="U72" s="10">
        <f>$K$51</f>
        <v>1.9831481981859154</v>
      </c>
      <c r="V72" s="10"/>
      <c r="W72" s="10"/>
      <c r="X72" s="10"/>
    </row>
    <row r="73" spans="2:24" ht="12.75">
      <c r="B73">
        <v>2040</v>
      </c>
      <c r="C73" s="10">
        <f>$L$34</f>
        <v>2.9300000000000006</v>
      </c>
      <c r="D73" s="10">
        <f>$L$35</f>
        <v>3.7211000000000007</v>
      </c>
      <c r="E73" s="10">
        <f>$L$36</f>
        <v>2.7835000000000005</v>
      </c>
      <c r="F73" s="10">
        <f>$L$37</f>
        <v>2.7835000000000005</v>
      </c>
      <c r="G73" s="10">
        <f>$L$38</f>
        <v>14.449999999999998</v>
      </c>
      <c r="H73" s="10">
        <f>$L$39</f>
        <v>11.704499999999999</v>
      </c>
      <c r="I73" s="10">
        <f>$L$40</f>
        <v>18.784999999999997</v>
      </c>
      <c r="J73" s="10">
        <f>$L$41</f>
        <v>15.894999999999998</v>
      </c>
      <c r="K73" s="10">
        <f>$L$42</f>
        <v>20.229999999999997</v>
      </c>
      <c r="L73" s="10">
        <f>$L$43</f>
        <v>20.229999999999997</v>
      </c>
      <c r="M73" s="10">
        <f>$L$44</f>
        <v>14.449999999999998</v>
      </c>
      <c r="N73" s="10">
        <f>$L$45</f>
        <v>14.449999999999998</v>
      </c>
      <c r="O73" s="10">
        <f>$L$46</f>
        <v>14.449999999999998</v>
      </c>
      <c r="P73" s="10">
        <f>$L$47</f>
        <v>14.449999999999998</v>
      </c>
      <c r="Q73" s="10">
        <f>$L$48</f>
        <v>7.0000000000000009</v>
      </c>
      <c r="R73" s="10">
        <f>$L$101</f>
        <v>6.1882019601541538</v>
      </c>
      <c r="S73" s="10">
        <f>$L$102</f>
        <v>7.4258423521849846</v>
      </c>
      <c r="T73" s="10">
        <f>$L$49</f>
        <v>0.80000000000000004</v>
      </c>
      <c r="U73" s="10">
        <f>$L$51</f>
        <v>1.9831481981859154</v>
      </c>
      <c r="V73" s="10"/>
      <c r="W73" s="10"/>
      <c r="X73" s="10"/>
    </row>
    <row r="74" spans="2:24" ht="12.75">
      <c r="B74">
        <v>2045</v>
      </c>
      <c r="C74" s="10">
        <f>$M$34</f>
        <v>3.1050000000000004</v>
      </c>
      <c r="D74" s="10">
        <f>$M$35</f>
        <v>3.9433500000000006</v>
      </c>
      <c r="E74" s="10">
        <f>$M$36</f>
        <v>2.9497500000000003</v>
      </c>
      <c r="F74" s="10">
        <f>$M$37</f>
        <v>2.9497500000000003</v>
      </c>
      <c r="G74" s="10">
        <f>$M$38</f>
        <v>15.959999999999997</v>
      </c>
      <c r="H74" s="10">
        <f>$M$39</f>
        <v>12.927599999999998</v>
      </c>
      <c r="I74" s="10">
        <f>$M$40</f>
        <v>20.747999999999998</v>
      </c>
      <c r="J74" s="10">
        <f>$M$41</f>
        <v>17.555999999999997</v>
      </c>
      <c r="K74" s="10">
        <f>$M$42</f>
        <v>22.343999999999994</v>
      </c>
      <c r="L74" s="10">
        <f>$M$43</f>
        <v>22.343999999999994</v>
      </c>
      <c r="M74" s="10">
        <f>$M$44</f>
        <v>15.959999999999997</v>
      </c>
      <c r="N74" s="10">
        <f>$M$45</f>
        <v>15.959999999999997</v>
      </c>
      <c r="O74" s="10">
        <f>$M$46</f>
        <v>15.959999999999997</v>
      </c>
      <c r="P74" s="10">
        <f>$M$47</f>
        <v>15.959999999999997</v>
      </c>
      <c r="Q74" s="10">
        <f>$M$48</f>
        <v>7.0000000000000009</v>
      </c>
      <c r="R74" s="10">
        <f>$M$101</f>
        <v>6.7655540666137179</v>
      </c>
      <c r="S74" s="10">
        <f>$M$102</f>
        <v>8.1186648799364605</v>
      </c>
      <c r="T74" s="10">
        <f>$M$49</f>
        <v>0.80000000000000004</v>
      </c>
      <c r="U74" s="10">
        <f>$M$51</f>
        <v>1.9831481981859154</v>
      </c>
      <c r="V74" s="10"/>
      <c r="W74" s="10"/>
      <c r="X74" s="10"/>
    </row>
    <row r="75" spans="2:24" ht="12.75">
      <c r="B75">
        <v>2050</v>
      </c>
      <c r="C75" s="10">
        <f>$N$34</f>
        <v>3.2800000000000002</v>
      </c>
      <c r="D75" s="10">
        <f>$N$35</f>
        <v>4.1656000000000004</v>
      </c>
      <c r="E75" s="10">
        <f>$N$36</f>
        <v>3.1160000000000001</v>
      </c>
      <c r="F75" s="10">
        <f>$N$37</f>
        <v>3.1160000000000001</v>
      </c>
      <c r="G75" s="10">
        <f>$N$38</f>
        <v>17.469999999999995</v>
      </c>
      <c r="H75" s="10">
        <f>$N$39</f>
        <v>14.150699999999997</v>
      </c>
      <c r="I75" s="10">
        <f>$N$40</f>
        <v>22.710999999999995</v>
      </c>
      <c r="J75" s="10">
        <f>$N$41</f>
        <v>19.216999999999995</v>
      </c>
      <c r="K75" s="10">
        <f>$N$42</f>
        <v>24.457999999999991</v>
      </c>
      <c r="L75" s="10">
        <f>$N$43</f>
        <v>24.457999999999991</v>
      </c>
      <c r="M75" s="10">
        <f>$N$44</f>
        <v>17.469999999999995</v>
      </c>
      <c r="N75" s="10">
        <f>$N$45</f>
        <v>17.469999999999995</v>
      </c>
      <c r="O75" s="10">
        <f>$N$46</f>
        <v>17.469999999999995</v>
      </c>
      <c r="P75" s="10">
        <f>$N$47</f>
        <v>17.469999999999995</v>
      </c>
      <c r="Q75" s="10">
        <f>$N$48</f>
        <v>7.0000000000000009</v>
      </c>
      <c r="R75" s="10">
        <f>$N$101</f>
        <v>7.3967724587859394</v>
      </c>
      <c r="S75" s="10">
        <f>$N$102</f>
        <v>8.8761269505431262</v>
      </c>
      <c r="T75" s="10">
        <f>$N$49</f>
        <v>0.80000000000000004</v>
      </c>
      <c r="U75" s="10">
        <f>$N$51</f>
        <v>1.9831481981859154</v>
      </c>
      <c r="V75" s="10"/>
      <c r="W75" s="10"/>
      <c r="X75" s="10"/>
    </row>
    <row r="78" spans="1:1" ht="12.75">
      <c r="A78" t="s">
        <v>301</v>
      </c>
    </row>
    <row r="99" spans="1:1" ht="12.75">
      <c r="A99" t="s">
        <v>304</v>
      </c>
    </row>
    <row r="101" spans="1:14" ht="12.75">
      <c r="A101" s="3" t="s">
        <v>137</v>
      </c>
      <c r="C101" s="10">
        <f t="shared" si="17" ref="C101:N101">C107*1.1</f>
        <v>3.0314705882352944</v>
      </c>
      <c r="D101" s="10">
        <f t="shared" si="17"/>
        <v>3.0860370588235293</v>
      </c>
      <c r="E101" s="10">
        <f t="shared" si="17"/>
        <v>3.3143032981335114</v>
      </c>
      <c r="F101" s="10">
        <f t="shared" si="17"/>
        <v>3.6235239736939437</v>
      </c>
      <c r="G101" s="10">
        <f t="shared" si="17"/>
        <v>3.9615945816814717</v>
      </c>
      <c r="H101" s="10">
        <f t="shared" si="17"/>
        <v>4.331206787520923</v>
      </c>
      <c r="I101" s="10">
        <f t="shared" si="17"/>
        <v>4.7353033859171507</v>
      </c>
      <c r="J101" s="10">
        <f t="shared" si="17"/>
        <v>5.1771017309272525</v>
      </c>
      <c r="K101" s="10">
        <f t="shared" si="17"/>
        <v>5.6601193520314999</v>
      </c>
      <c r="L101" s="10">
        <f t="shared" si="17"/>
        <v>6.1882019601541538</v>
      </c>
      <c r="M101" s="10">
        <f t="shared" si="17"/>
        <v>6.7655540666137179</v>
      </c>
      <c r="N101" s="10">
        <f t="shared" si="17"/>
        <v>7.3967724587859394</v>
      </c>
    </row>
    <row r="102" spans="1:14" ht="12.75">
      <c r="A102" t="s">
        <v>142</v>
      </c>
      <c r="B102">
        <v>1.20</v>
      </c>
      <c r="C102" s="4">
        <f t="shared" si="18" ref="C102:N102">C101*$B$102</f>
        <v>3.6377647058823532</v>
      </c>
      <c r="D102" s="4">
        <f t="shared" si="18"/>
        <v>3.7032444705882348</v>
      </c>
      <c r="E102" s="4">
        <f t="shared" si="18"/>
        <v>3.9771639577602134</v>
      </c>
      <c r="F102" s="4">
        <f t="shared" si="18"/>
        <v>4.3482287684327323</v>
      </c>
      <c r="G102" s="4">
        <f t="shared" si="18"/>
        <v>4.7539134980177655</v>
      </c>
      <c r="H102" s="4">
        <f t="shared" si="18"/>
        <v>5.1974481450251071</v>
      </c>
      <c r="I102" s="4">
        <f t="shared" si="18"/>
        <v>5.6823640631005805</v>
      </c>
      <c r="J102" s="4">
        <f t="shared" si="18"/>
        <v>6.2125220771127028</v>
      </c>
      <c r="K102" s="4">
        <f t="shared" si="18"/>
        <v>6.7921432224378</v>
      </c>
      <c r="L102" s="4">
        <f t="shared" si="18"/>
        <v>7.4258423521849846</v>
      </c>
      <c r="M102" s="4">
        <f t="shared" si="18"/>
        <v>8.1186648799364605</v>
      </c>
      <c r="N102" s="4">
        <f t="shared" si="18"/>
        <v>8.8761269505431262</v>
      </c>
    </row>
    <row r="103" spans="1:1" ht="12.75">
      <c r="A103" s="29" t="s">
        <v>131</v>
      </c>
    </row>
    <row r="106" spans="1:14" ht="12.75">
      <c r="A106" s="3" t="s">
        <v>141</v>
      </c>
      <c r="B106">
        <v>0.02</v>
      </c>
      <c r="C106" s="10">
        <v>1.1000000000000001</v>
      </c>
      <c r="D106" s="10">
        <f>C106*(1+$B$106)</f>
        <v>1.1220000000000001</v>
      </c>
      <c r="E106" s="10">
        <f>D106*(1+$B$106)^4</f>
        <v>1.2144888835200001</v>
      </c>
      <c r="F106" s="10">
        <f t="shared" si="19" ref="F106:N106">E106*(1+$B$106)^5</f>
        <v>1.340893861994233</v>
      </c>
      <c r="G106" s="10">
        <f t="shared" si="19"/>
        <v>1.4804551721565427</v>
      </c>
      <c r="H106" s="10">
        <f t="shared" si="19"/>
        <v>1.63454213557619</v>
      </c>
      <c r="I106" s="10">
        <f t="shared" si="19"/>
        <v>1.8046665939112032</v>
      </c>
      <c r="J106" s="10">
        <f t="shared" si="19"/>
        <v>1.9924977425136896</v>
      </c>
      <c r="K106" s="10">
        <f t="shared" si="19"/>
        <v>2.1998785079287013</v>
      </c>
      <c r="L106" s="10">
        <f t="shared" si="19"/>
        <v>2.4288436299763383</v>
      </c>
      <c r="M106" s="10">
        <f t="shared" si="19"/>
        <v>2.6816396258314792</v>
      </c>
      <c r="N106" s="10">
        <f t="shared" si="19"/>
        <v>2.9607468319809671</v>
      </c>
    </row>
    <row r="107" spans="1:14" ht="12.75">
      <c r="A107" s="3" t="s">
        <v>138</v>
      </c>
      <c r="B107">
        <v>0.017999999999999999</v>
      </c>
      <c r="C107" s="4">
        <v>2.7558823529411764</v>
      </c>
      <c r="D107" s="10">
        <f>C107*(1+$B$107)</f>
        <v>2.8054882352941175</v>
      </c>
      <c r="E107" s="10">
        <f>D107*(1+$B$107)^4</f>
        <v>3.0130029983031918</v>
      </c>
      <c r="F107" s="10">
        <f t="shared" si="20" ref="F107:N107">E107*(1+$B$107)^5</f>
        <v>3.2941127033581306</v>
      </c>
      <c r="G107" s="10">
        <f t="shared" si="20"/>
        <v>3.6014496197104284</v>
      </c>
      <c r="H107" s="10">
        <f t="shared" si="20"/>
        <v>3.9374607159281112</v>
      </c>
      <c r="I107" s="10">
        <f t="shared" si="20"/>
        <v>4.3048212599246822</v>
      </c>
      <c r="J107" s="10">
        <f t="shared" si="20"/>
        <v>4.7064561190247742</v>
      </c>
      <c r="K107" s="10">
        <f t="shared" si="20"/>
        <v>5.1455630473013629</v>
      </c>
      <c r="L107" s="10">
        <f t="shared" si="20"/>
        <v>5.6256381455946851</v>
      </c>
      <c r="M107" s="10">
        <f t="shared" si="20"/>
        <v>6.150503696921561</v>
      </c>
      <c r="N107" s="10">
        <f t="shared" si="20"/>
        <v>6.724338598896308</v>
      </c>
    </row>
    <row r="108" spans="1:14" ht="12.75">
      <c r="A108" s="3" t="s">
        <v>259</v>
      </c>
      <c r="C108" s="4">
        <f>C107*1.3</f>
        <v>3.5826470588235293</v>
      </c>
      <c r="D108" s="10">
        <f>C108*(1+$B$107)</f>
        <v>3.6471347058823529</v>
      </c>
      <c r="E108" s="10">
        <f>D108*(1+$B$107)^4</f>
        <v>3.9169038977941497</v>
      </c>
      <c r="F108" s="10">
        <f t="shared" si="21" ref="F108:N108">E108*(1+$B$107)^5</f>
        <v>4.2823465143655701</v>
      </c>
      <c r="G108" s="10">
        <f t="shared" si="21"/>
        <v>4.6818845056235574</v>
      </c>
      <c r="H108" s="10">
        <f t="shared" si="21"/>
        <v>5.1186989307065449</v>
      </c>
      <c r="I108" s="10">
        <f t="shared" si="21"/>
        <v>5.5962676379020868</v>
      </c>
      <c r="J108" s="10">
        <f t="shared" si="21"/>
        <v>6.1183929547322062</v>
      </c>
      <c r="K108" s="10">
        <f t="shared" si="21"/>
        <v>6.6892319614917719</v>
      </c>
      <c r="L108" s="10">
        <f t="shared" si="21"/>
        <v>7.3133295892730903</v>
      </c>
      <c r="M108" s="10">
        <f t="shared" si="21"/>
        <v>7.9956548059980292</v>
      </c>
      <c r="N108" s="10">
        <f t="shared" si="21"/>
        <v>8.7416401785652003</v>
      </c>
    </row>
    <row r="109" spans="1:2" ht="12.75">
      <c r="A109" s="29"/>
      <c r="B109" t="s">
        <v>163</v>
      </c>
    </row>
  </sheetData>
  <pageMargins left="0.75" right="0.75" top="1" bottom="1" header="0.5" footer="0.5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5"/>
  <sheetViews>
    <sheetView workbookViewId="0" topLeftCell="A19">
      <selection pane="topLeft" activeCell="J28" sqref="J28"/>
    </sheetView>
  </sheetViews>
  <sheetFormatPr defaultRowHeight="12.75"/>
  <cols>
    <col min="2" max="2" width="15.2857142857143" customWidth="1"/>
  </cols>
  <sheetData>
    <row r="1" spans="1:1" ht="12.75">
      <c r="A1" t="s">
        <v>194</v>
      </c>
    </row>
    <row r="3" spans="1:1" ht="12.75">
      <c r="A3" t="s">
        <v>195</v>
      </c>
    </row>
    <row r="5" spans="2:6" ht="12.75">
      <c r="B5" t="s">
        <v>196</v>
      </c>
      <c r="C5" t="s">
        <v>197</v>
      </c>
      <c r="F5" t="s">
        <v>198</v>
      </c>
    </row>
    <row r="6" spans="1:8" ht="12.75">
      <c r="A6" s="55" t="s">
        <v>167</v>
      </c>
      <c r="B6" s="63" t="s">
        <v>199</v>
      </c>
      <c r="C6" s="56" t="s">
        <v>168</v>
      </c>
      <c r="D6" s="57" t="s">
        <v>169</v>
      </c>
      <c r="F6">
        <v>80</v>
      </c>
      <c r="G6">
        <f>F6</f>
        <v>80</v>
      </c>
      <c r="H6" t="s">
        <v>200</v>
      </c>
    </row>
    <row r="7" spans="1:8" ht="12.75">
      <c r="A7" s="55"/>
      <c r="B7" s="63" t="s">
        <v>201</v>
      </c>
      <c r="C7" s="56" t="s">
        <v>170</v>
      </c>
      <c r="D7" s="57" t="s">
        <v>171</v>
      </c>
      <c r="F7">
        <f>390/3</f>
        <v>130</v>
      </c>
      <c r="G7">
        <f t="shared" si="0" ref="G7:G17">F7</f>
        <v>130</v>
      </c>
      <c r="H7" t="s">
        <v>202</v>
      </c>
    </row>
    <row r="8" spans="1:8" ht="12.75">
      <c r="A8" s="55"/>
      <c r="B8" s="63" t="s">
        <v>203</v>
      </c>
      <c r="C8" s="58" t="s">
        <v>172</v>
      </c>
      <c r="D8" s="57" t="s">
        <v>173</v>
      </c>
      <c r="F8">
        <v>10</v>
      </c>
      <c r="G8">
        <f t="shared" si="0"/>
        <v>10</v>
      </c>
      <c r="H8" t="s">
        <v>204</v>
      </c>
    </row>
    <row r="9" spans="1:7" ht="12.75">
      <c r="A9" s="55"/>
      <c r="B9" s="63" t="s">
        <v>205</v>
      </c>
      <c r="C9" s="59" t="s">
        <v>174</v>
      </c>
      <c r="D9" s="57" t="s">
        <v>175</v>
      </c>
      <c r="F9">
        <v>70</v>
      </c>
      <c r="G9">
        <f t="shared" si="0"/>
        <v>70</v>
      </c>
    </row>
    <row r="10" spans="1:7" ht="12.75">
      <c r="A10" s="55"/>
      <c r="B10" s="63" t="s">
        <v>206</v>
      </c>
      <c r="C10" s="56" t="s">
        <v>176</v>
      </c>
      <c r="D10" s="57" t="s">
        <v>177</v>
      </c>
      <c r="F10">
        <v>50</v>
      </c>
      <c r="G10">
        <f t="shared" si="0"/>
        <v>50</v>
      </c>
    </row>
    <row r="11" spans="1:7" ht="12.75">
      <c r="A11" s="60"/>
      <c r="B11" s="63" t="s">
        <v>207</v>
      </c>
      <c r="C11" s="61" t="s">
        <v>178</v>
      </c>
      <c r="D11" s="62" t="s">
        <v>179</v>
      </c>
      <c r="F11">
        <v>10</v>
      </c>
      <c r="G11">
        <f t="shared" si="0"/>
        <v>10</v>
      </c>
    </row>
    <row r="12" spans="1:14" ht="12.75">
      <c r="A12" s="55"/>
      <c r="B12" s="63" t="s">
        <v>208</v>
      </c>
      <c r="C12" s="56" t="s">
        <v>180</v>
      </c>
      <c r="D12" s="57" t="s">
        <v>181</v>
      </c>
      <c r="F12">
        <v>81</v>
      </c>
      <c r="G12">
        <v>200</v>
      </c>
      <c r="H12" t="s">
        <v>209</v>
      </c>
      <c r="M12" s="7" t="s">
        <v>257</v>
      </c>
      <c r="N12" s="7" t="s">
        <v>258</v>
      </c>
    </row>
    <row r="13" spans="1:8" ht="12.75">
      <c r="A13" s="55"/>
      <c r="B13" s="64" t="s">
        <v>210</v>
      </c>
      <c r="C13" s="56" t="s">
        <v>182</v>
      </c>
      <c r="D13" s="57" t="s">
        <v>183</v>
      </c>
      <c r="F13">
        <f>450/3</f>
        <v>150</v>
      </c>
      <c r="G13">
        <f t="shared" si="0"/>
        <v>150</v>
      </c>
      <c r="H13" t="s">
        <v>211</v>
      </c>
    </row>
    <row r="14" spans="1:4" ht="12.75">
      <c r="A14" s="55"/>
      <c r="B14" s="64" t="s">
        <v>212</v>
      </c>
      <c r="C14" s="56" t="s">
        <v>184</v>
      </c>
      <c r="D14" s="57" t="s">
        <v>185</v>
      </c>
    </row>
    <row r="15" spans="1:7" ht="12.75">
      <c r="A15" s="55"/>
      <c r="B15" s="64" t="s">
        <v>213</v>
      </c>
      <c r="C15" s="56" t="s">
        <v>186</v>
      </c>
      <c r="D15" s="57" t="s">
        <v>187</v>
      </c>
      <c r="F15">
        <v>10</v>
      </c>
      <c r="G15">
        <f t="shared" si="0"/>
        <v>10</v>
      </c>
    </row>
    <row r="16" spans="1:7" ht="12.75">
      <c r="A16" s="55"/>
      <c r="B16" s="64" t="s">
        <v>214</v>
      </c>
      <c r="C16" s="56" t="s">
        <v>188</v>
      </c>
      <c r="D16" s="57" t="s">
        <v>189</v>
      </c>
      <c r="F16">
        <v>150</v>
      </c>
      <c r="G16">
        <f t="shared" si="0"/>
        <v>150</v>
      </c>
    </row>
    <row r="17" spans="1:7" ht="12.75">
      <c r="A17" s="60"/>
      <c r="B17" s="64" t="s">
        <v>215</v>
      </c>
      <c r="C17" s="61" t="s">
        <v>190</v>
      </c>
      <c r="D17" s="62" t="s">
        <v>191</v>
      </c>
      <c r="F17">
        <v>20</v>
      </c>
      <c r="G17">
        <f t="shared" si="0"/>
        <v>20</v>
      </c>
    </row>
    <row r="18" spans="1:6" ht="12.75">
      <c r="A18" s="55"/>
      <c r="B18" s="63" t="s">
        <v>265</v>
      </c>
      <c r="C18" s="56" t="s">
        <v>261</v>
      </c>
      <c r="D18" s="56"/>
      <c r="F18" s="77">
        <f>0.1191*1000</f>
        <v>119.09999999999999</v>
      </c>
    </row>
    <row r="19" spans="1:6" ht="12.75">
      <c r="A19" s="55"/>
      <c r="B19" s="63" t="s">
        <v>266</v>
      </c>
      <c r="C19" s="56" t="s">
        <v>262</v>
      </c>
      <c r="D19" s="56"/>
      <c r="F19" s="77">
        <f>1.1645*1000</f>
        <v>1164.5</v>
      </c>
    </row>
    <row r="20" spans="1:6" ht="12.75">
      <c r="A20" s="55"/>
      <c r="B20" s="63" t="s">
        <v>267</v>
      </c>
      <c r="C20" s="56" t="s">
        <v>263</v>
      </c>
      <c r="D20" s="56"/>
      <c r="F20" s="77">
        <f>0.743*1000</f>
        <v>743</v>
      </c>
    </row>
    <row r="21" spans="1:6" ht="12.75">
      <c r="A21" s="55"/>
      <c r="B21" s="63" t="s">
        <v>268</v>
      </c>
      <c r="C21" s="56" t="s">
        <v>264</v>
      </c>
      <c r="D21" s="56"/>
      <c r="F21" s="77">
        <f>0.9839*1000</f>
        <v>983.89999999999998</v>
      </c>
    </row>
    <row r="24" spans="1:3" ht="12.75">
      <c r="A24" t="s">
        <v>192</v>
      </c>
      <c r="C24" s="57" t="s">
        <v>113</v>
      </c>
    </row>
    <row r="25" spans="3:13" ht="12.75">
      <c r="C25">
        <v>2000</v>
      </c>
      <c r="D25">
        <v>2005</v>
      </c>
      <c r="E25">
        <v>2010</v>
      </c>
      <c r="F25">
        <v>2015</v>
      </c>
      <c r="G25">
        <v>2020</v>
      </c>
      <c r="H25">
        <v>2025</v>
      </c>
      <c r="I25">
        <v>2030</v>
      </c>
      <c r="J25">
        <v>2035</v>
      </c>
      <c r="K25">
        <v>2040</v>
      </c>
      <c r="L25">
        <v>2045</v>
      </c>
      <c r="M25">
        <v>2050</v>
      </c>
    </row>
    <row r="26" spans="1:13" ht="12.75">
      <c r="A26" t="s">
        <v>125</v>
      </c>
      <c r="B26" t="s">
        <v>112</v>
      </c>
      <c r="C26">
        <v>1.9831481981859154</v>
      </c>
      <c r="D26">
        <v>1.9831481981859154</v>
      </c>
      <c r="E26">
        <v>1.9831481981859154</v>
      </c>
      <c r="F26">
        <v>1.9831481981859154</v>
      </c>
      <c r="G26">
        <v>1.9831481981859154</v>
      </c>
      <c r="H26">
        <v>1.9831481981859154</v>
      </c>
      <c r="I26">
        <v>1.9831481981859154</v>
      </c>
      <c r="J26">
        <v>1.9831481981859154</v>
      </c>
      <c r="K26">
        <v>1.9831481981859154</v>
      </c>
      <c r="L26">
        <v>1.9831481981859154</v>
      </c>
      <c r="M26">
        <v>1.9831481981859154</v>
      </c>
    </row>
    <row r="27" spans="1:15" ht="12.75">
      <c r="A27" t="s">
        <v>138</v>
      </c>
      <c r="B27" t="s">
        <v>132</v>
      </c>
      <c r="C27">
        <v>2.7558823529411764</v>
      </c>
      <c r="D27">
        <v>3.0130029983031923</v>
      </c>
      <c r="E27">
        <v>3.294112703358131</v>
      </c>
      <c r="F27">
        <v>3.6014496197104289</v>
      </c>
      <c r="G27">
        <v>3.9374607159281116</v>
      </c>
      <c r="H27">
        <v>4.3048212599246822</v>
      </c>
      <c r="I27">
        <v>4.7064561190247742</v>
      </c>
      <c r="J27">
        <v>5.1455630473013629</v>
      </c>
      <c r="K27">
        <v>5.6256381455946851</v>
      </c>
      <c r="L27">
        <v>6.150503696921561</v>
      </c>
      <c r="M27">
        <v>6.724338598896308</v>
      </c>
      <c r="O27">
        <v>0.017999999999999999</v>
      </c>
    </row>
    <row r="28" spans="1:15" ht="12.75">
      <c r="A28" t="s">
        <v>141</v>
      </c>
      <c r="B28" t="s">
        <v>132</v>
      </c>
      <c r="C28">
        <v>1.1000000000000001</v>
      </c>
      <c r="D28">
        <v>1.2144888835200001</v>
      </c>
      <c r="E28">
        <v>1.340893861994233</v>
      </c>
      <c r="F28">
        <v>1.4804551721565427</v>
      </c>
      <c r="G28">
        <v>1.6345421355761902</v>
      </c>
      <c r="H28">
        <v>1.8046665939112034</v>
      </c>
      <c r="I28">
        <v>1.9924977425136898</v>
      </c>
      <c r="J28">
        <v>2.1998785079287018</v>
      </c>
      <c r="K28">
        <v>2.4288436299763387</v>
      </c>
      <c r="L28">
        <v>2.6816396258314796</v>
      </c>
      <c r="M28">
        <v>2.9607468319809676</v>
      </c>
      <c r="O28">
        <v>0.02</v>
      </c>
    </row>
    <row r="30" spans="1:13" ht="12.75">
      <c r="A30" t="s">
        <v>137</v>
      </c>
      <c r="B30" t="s">
        <v>132</v>
      </c>
      <c r="C30">
        <v>3.0314705882352944</v>
      </c>
      <c r="D30">
        <v>3.3143032981335119</v>
      </c>
      <c r="E30">
        <v>3.6235239736939442</v>
      </c>
      <c r="F30">
        <v>3.9615945816814722</v>
      </c>
      <c r="G30">
        <v>4.331206787520923</v>
      </c>
      <c r="H30">
        <v>4.7353033859171507</v>
      </c>
      <c r="I30">
        <v>5.1771017309272525</v>
      </c>
      <c r="J30">
        <v>5.6601193520314999</v>
      </c>
      <c r="K30">
        <v>6.1882019601541538</v>
      </c>
      <c r="L30">
        <v>6.7655540666137179</v>
      </c>
      <c r="M30">
        <v>7.3967724587859394</v>
      </c>
    </row>
    <row r="31" spans="1:13" ht="12.75">
      <c r="A31" t="s">
        <v>193</v>
      </c>
      <c r="B31" t="s">
        <v>132</v>
      </c>
      <c r="C31">
        <v>3.6377647058823532</v>
      </c>
      <c r="D31">
        <v>3.9771639577602147</v>
      </c>
      <c r="E31">
        <v>4.3482287684327341</v>
      </c>
      <c r="F31">
        <v>4.7539134980177673</v>
      </c>
      <c r="G31">
        <v>5.197448145025108</v>
      </c>
      <c r="H31">
        <v>5.6823640631005814</v>
      </c>
      <c r="I31">
        <v>6.2125220771127037</v>
      </c>
      <c r="J31">
        <v>6.7921432224378009</v>
      </c>
      <c r="K31">
        <v>7.4258423521849855</v>
      </c>
      <c r="L31">
        <v>8.1186648799364622</v>
      </c>
      <c r="M31">
        <v>8.8761269505431279</v>
      </c>
    </row>
    <row r="35" spans="2:7" ht="12.75">
      <c r="B35" s="59" t="s">
        <v>216</v>
      </c>
      <c r="C35" s="58" t="s">
        <v>217</v>
      </c>
      <c r="G35" t="s">
        <v>218</v>
      </c>
    </row>
    <row r="36" spans="2:8" ht="12.75">
      <c r="B36" s="65" t="s">
        <v>219</v>
      </c>
      <c r="C36" s="65"/>
      <c r="D36" s="66">
        <v>0.85</v>
      </c>
      <c r="E36" s="67"/>
      <c r="G36">
        <f>D36*D47*D61*F6</f>
        <v>104.72</v>
      </c>
      <c r="H36" t="s">
        <v>220</v>
      </c>
    </row>
    <row r="37" spans="2:7" ht="12.75">
      <c r="B37" s="65" t="s">
        <v>170</v>
      </c>
      <c r="C37" s="65"/>
      <c r="D37" s="66">
        <v>0.25</v>
      </c>
      <c r="E37" s="67"/>
      <c r="G37">
        <f>D37*F7</f>
        <v>32.5</v>
      </c>
    </row>
    <row r="38" spans="2:7" ht="12.75">
      <c r="B38" s="67" t="s">
        <v>174</v>
      </c>
      <c r="C38" s="67"/>
      <c r="D38" s="68">
        <v>0.05</v>
      </c>
      <c r="E38" s="67"/>
      <c r="G38">
        <f>SUM(G36:G37)</f>
        <v>137.22</v>
      </c>
    </row>
    <row r="39" spans="2:8" ht="12.75">
      <c r="B39" s="67" t="s">
        <v>172</v>
      </c>
      <c r="C39" s="67"/>
      <c r="D39" s="66">
        <v>0.05</v>
      </c>
      <c r="E39" s="67"/>
      <c r="G39">
        <v>150</v>
      </c>
      <c r="H39" t="s">
        <v>221</v>
      </c>
    </row>
    <row r="40" spans="2:5" ht="12.75">
      <c r="B40" s="65" t="s">
        <v>222</v>
      </c>
      <c r="C40" s="67"/>
      <c r="D40" s="69">
        <v>0.20</v>
      </c>
      <c r="E40" s="67"/>
    </row>
    <row r="41" spans="2:5" ht="12.75">
      <c r="B41" s="65"/>
      <c r="C41" s="65" t="s">
        <v>223</v>
      </c>
      <c r="D41" s="67"/>
      <c r="E41" s="67">
        <v>1</v>
      </c>
    </row>
    <row r="42" spans="2:5" ht="12.75">
      <c r="B42" s="65"/>
      <c r="C42" s="65" t="s">
        <v>224</v>
      </c>
      <c r="D42" s="67"/>
      <c r="E42" s="68"/>
    </row>
    <row r="45" spans="2:3" ht="12.75">
      <c r="B45" s="70" t="s">
        <v>225</v>
      </c>
      <c r="C45" s="71" t="s">
        <v>226</v>
      </c>
    </row>
    <row r="46" spans="2:5" ht="12.75">
      <c r="B46" s="67" t="s">
        <v>227</v>
      </c>
      <c r="C46" s="65"/>
      <c r="D46" s="66">
        <v>0.04</v>
      </c>
      <c r="E46" s="67"/>
    </row>
    <row r="47" spans="2:5" ht="12.75">
      <c r="B47" s="67" t="s">
        <v>228</v>
      </c>
      <c r="C47" s="65"/>
      <c r="D47" s="66">
        <v>1.54</v>
      </c>
      <c r="E47" s="67"/>
    </row>
    <row r="48" spans="2:5" ht="12.75">
      <c r="B48" s="67" t="s">
        <v>172</v>
      </c>
      <c r="C48" s="67"/>
      <c r="D48" s="66">
        <v>0.05</v>
      </c>
      <c r="E48" s="67"/>
    </row>
    <row r="49" spans="2:5" ht="12.75">
      <c r="B49" s="65" t="s">
        <v>229</v>
      </c>
      <c r="C49" s="67"/>
      <c r="D49" s="72">
        <f>8.75-1.3</f>
        <v>7.4500000000000002</v>
      </c>
      <c r="E49" s="67"/>
    </row>
    <row r="50" spans="2:5" ht="12.75">
      <c r="B50" s="65" t="s">
        <v>230</v>
      </c>
      <c r="C50" s="67"/>
      <c r="D50" s="69">
        <v>5.50</v>
      </c>
      <c r="E50" s="67"/>
    </row>
    <row r="51" spans="2:5" ht="12.75">
      <c r="B51" s="65" t="s">
        <v>231</v>
      </c>
      <c r="C51" s="67"/>
      <c r="D51" s="69">
        <v>0</v>
      </c>
      <c r="E51" s="67"/>
    </row>
    <row r="52" spans="2:5" ht="12.75">
      <c r="B52" s="65" t="s">
        <v>232</v>
      </c>
      <c r="C52" s="67"/>
      <c r="D52" s="69">
        <v>0.17</v>
      </c>
      <c r="E52" s="67"/>
    </row>
    <row r="53" spans="2:5" ht="12.75">
      <c r="B53" s="65" t="s">
        <v>233</v>
      </c>
      <c r="C53" s="67"/>
      <c r="D53" s="72">
        <f>1.75-1.75</f>
        <v>0</v>
      </c>
      <c r="E53" s="67"/>
    </row>
    <row r="54" spans="2:5" ht="12.75">
      <c r="B54" s="65"/>
      <c r="C54" s="65" t="s">
        <v>219</v>
      </c>
      <c r="D54" s="67"/>
      <c r="E54" s="67">
        <v>1</v>
      </c>
    </row>
    <row r="55" spans="2:5" ht="12.75">
      <c r="B55" s="67"/>
      <c r="C55" s="65" t="s">
        <v>234</v>
      </c>
      <c r="D55" s="67"/>
      <c r="E55" s="73">
        <v>0.25</v>
      </c>
    </row>
    <row r="56" spans="2:5" ht="12.75">
      <c r="B56" s="67"/>
      <c r="C56" s="67" t="s">
        <v>224</v>
      </c>
      <c r="D56" s="67"/>
      <c r="E56" s="72">
        <f>5-1.75</f>
        <v>3.25</v>
      </c>
    </row>
    <row r="59" spans="2:3" ht="12.75">
      <c r="B59" s="70" t="s">
        <v>235</v>
      </c>
      <c r="C59" s="71" t="s">
        <v>236</v>
      </c>
    </row>
    <row r="61" spans="2:5" ht="12.75">
      <c r="B61" s="67" t="s">
        <v>168</v>
      </c>
      <c r="C61" s="67"/>
      <c r="D61" s="67">
        <v>1</v>
      </c>
      <c r="E61" s="67"/>
    </row>
    <row r="62" spans="2:5" ht="12.75">
      <c r="B62" s="65" t="s">
        <v>229</v>
      </c>
      <c r="C62" s="67"/>
      <c r="D62" s="66">
        <v>1.1599999999999999</v>
      </c>
      <c r="E62" s="67"/>
    </row>
    <row r="63" spans="2:5" ht="12.75">
      <c r="B63" s="65" t="s">
        <v>237</v>
      </c>
      <c r="C63" s="67"/>
      <c r="D63" s="74">
        <v>0.66</v>
      </c>
      <c r="E63" s="67"/>
    </row>
    <row r="64" spans="2:5" ht="12.75">
      <c r="B64" s="65" t="s">
        <v>232</v>
      </c>
      <c r="C64" s="67"/>
      <c r="D64" s="66">
        <v>0.10</v>
      </c>
      <c r="E64" s="67"/>
    </row>
    <row r="65" spans="2:5" ht="12.75">
      <c r="B65" s="67"/>
      <c r="C65" s="67" t="s">
        <v>228</v>
      </c>
      <c r="D65" s="67"/>
      <c r="E65" s="67">
        <v>1</v>
      </c>
    </row>
  </sheetData>
  <pageMargins left="0.75" right="0.75" top="1" bottom="1" header="0.5" footer="0.5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9"/>
  <sheetViews>
    <sheetView workbookViewId="0" topLeftCell="A1">
      <selection pane="topLeft" activeCell="E10" sqref="E10"/>
    </sheetView>
  </sheetViews>
  <sheetFormatPr defaultRowHeight="12.75"/>
  <cols>
    <col min="1" max="1" width="10.1428571428571" bestFit="1" customWidth="1"/>
    <col min="2" max="2" width="8.85714285714286" bestFit="1" customWidth="1"/>
    <col min="3" max="3" width="8.71428571428571" bestFit="1" customWidth="1"/>
    <col min="4" max="4" width="9.57142857142857" bestFit="1" customWidth="1"/>
    <col min="5" max="5" width="10.7142857142857" bestFit="1" customWidth="1"/>
    <col min="6" max="6" width="8.71428571428571" bestFit="1" customWidth="1"/>
    <col min="7" max="7" width="14.2857142857143" bestFit="1" customWidth="1"/>
    <col min="8" max="8" width="8.71428571428571" bestFit="1" customWidth="1"/>
  </cols>
  <sheetData>
    <row r="1" spans="1:1" ht="12.75">
      <c r="A1" s="75"/>
    </row>
    <row r="2" spans="1:22" s="43" customFormat="1" ht="12.75">
      <c r="A2" s="45" t="s">
        <v>143</v>
      </c>
      <c r="F2" s="45"/>
      <c r="G2" s="45"/>
      <c r="H2" s="45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8" ht="13.5" thickBot="1">
      <c r="A3" s="46" t="s">
        <v>240</v>
      </c>
      <c r="B3" s="46" t="s">
        <v>241</v>
      </c>
      <c r="C3" s="46" t="s">
        <v>242</v>
      </c>
      <c r="D3" s="46" t="s">
        <v>243</v>
      </c>
      <c r="E3" s="76" t="s">
        <v>239</v>
      </c>
      <c r="F3" s="6" t="s">
        <v>244</v>
      </c>
      <c r="G3" s="6" t="s">
        <v>245</v>
      </c>
      <c r="H3" s="49" t="s">
        <v>246</v>
      </c>
    </row>
    <row r="4" spans="1:8" ht="12.75">
      <c r="A4" t="s">
        <v>248</v>
      </c>
      <c r="C4" s="54" t="s">
        <v>154</v>
      </c>
      <c r="D4" s="86"/>
      <c r="E4" s="4">
        <f>MaterialPrices!G6</f>
        <v>80</v>
      </c>
      <c r="F4" s="56" t="str">
        <f>MaterialPrices!C6</f>
        <v>MISORE</v>
      </c>
      <c r="G4" s="63" t="str">
        <f>MaterialPrices!B6</f>
        <v>MINMISORE1</v>
      </c>
      <c r="H4" s="56" t="str">
        <f>F4</f>
        <v>MISORE</v>
      </c>
    </row>
    <row r="5" spans="1:8" ht="12.75">
      <c r="A5" t="s">
        <v>248</v>
      </c>
      <c r="C5" s="54" t="s">
        <v>154</v>
      </c>
      <c r="D5" s="86"/>
      <c r="E5" s="4">
        <f>MaterialPrices!G7</f>
        <v>130</v>
      </c>
      <c r="F5" s="56" t="str">
        <f>MaterialPrices!C7</f>
        <v>MISSCR</v>
      </c>
      <c r="G5" s="63" t="str">
        <f>MaterialPrices!B7</f>
        <v>MINMISSCR1</v>
      </c>
      <c r="H5" s="56" t="str">
        <f t="shared" si="0" ref="H5:H15">F5</f>
        <v>MISSCR</v>
      </c>
    </row>
    <row r="6" spans="1:8" ht="12.75">
      <c r="A6" t="s">
        <v>248</v>
      </c>
      <c r="C6" s="54" t="s">
        <v>154</v>
      </c>
      <c r="D6" s="86"/>
      <c r="E6" s="4">
        <f>MaterialPrices!G8</f>
        <v>10</v>
      </c>
      <c r="F6" s="56" t="str">
        <f>MaterialPrices!C8</f>
        <v>MISOXY</v>
      </c>
      <c r="G6" s="63" t="str">
        <f>MaterialPrices!B8</f>
        <v>MINMISOXY1</v>
      </c>
      <c r="H6" s="56" t="str">
        <f t="shared" si="0"/>
        <v>MISOXY</v>
      </c>
    </row>
    <row r="7" spans="1:8" ht="12.75">
      <c r="A7" t="s">
        <v>248</v>
      </c>
      <c r="C7" s="54" t="s">
        <v>154</v>
      </c>
      <c r="D7" s="86"/>
      <c r="E7" s="4">
        <f>MaterialPrices!G9</f>
        <v>70</v>
      </c>
      <c r="F7" s="56" t="str">
        <f>MaterialPrices!C9</f>
        <v>MISQLI</v>
      </c>
      <c r="G7" s="63" t="str">
        <f>MaterialPrices!B9</f>
        <v>MINMISQLI1</v>
      </c>
      <c r="H7" s="56" t="str">
        <f t="shared" si="0"/>
        <v>MISQLI</v>
      </c>
    </row>
    <row r="8" spans="1:8" ht="12.75">
      <c r="A8" t="s">
        <v>248</v>
      </c>
      <c r="C8" s="54" t="s">
        <v>154</v>
      </c>
      <c r="D8" s="86"/>
      <c r="E8" s="4">
        <f>MaterialPrices!G10</f>
        <v>50</v>
      </c>
      <c r="F8" s="56" t="str">
        <f>MaterialPrices!C10</f>
        <v>MLMSTN</v>
      </c>
      <c r="G8" s="63" t="str">
        <f>MaterialPrices!B10</f>
        <v>MINMLMSTN1</v>
      </c>
      <c r="H8" s="56" t="str">
        <f t="shared" si="0"/>
        <v>MLMSTN</v>
      </c>
    </row>
    <row r="9" spans="1:8" ht="12.75">
      <c r="A9" t="s">
        <v>248</v>
      </c>
      <c r="C9" s="54" t="s">
        <v>154</v>
      </c>
      <c r="D9" s="86"/>
      <c r="E9" s="4">
        <f>MaterialPrices!G11</f>
        <v>10</v>
      </c>
      <c r="F9" s="56" t="str">
        <f>MaterialPrices!C11</f>
        <v>MGHRYC</v>
      </c>
      <c r="G9" s="63" t="str">
        <f>MaterialPrices!B11</f>
        <v>MINMGHRYC1</v>
      </c>
      <c r="H9" s="56" t="str">
        <f t="shared" si="0"/>
        <v>MGHRYC</v>
      </c>
    </row>
    <row r="10" spans="1:8" ht="12.75">
      <c r="A10" t="s">
        <v>248</v>
      </c>
      <c r="C10" s="54" t="s">
        <v>154</v>
      </c>
      <c r="D10" s="86"/>
      <c r="E10" s="4">
        <f>MaterialPrices!G12</f>
        <v>200</v>
      </c>
      <c r="F10" s="56" t="str">
        <f>MaterialPrices!C12</f>
        <v>MPPWOO</v>
      </c>
      <c r="G10" s="63" t="str">
        <f>MaterialPrices!B12</f>
        <v>MINMPPWOO1</v>
      </c>
      <c r="H10" s="56" t="str">
        <f t="shared" si="0"/>
        <v>MPPWOO</v>
      </c>
    </row>
    <row r="11" spans="1:8" ht="12.75">
      <c r="A11" t="s">
        <v>248</v>
      </c>
      <c r="C11" s="54" t="s">
        <v>154</v>
      </c>
      <c r="D11" s="86"/>
      <c r="E11" s="4">
        <f>MaterialPrices!G13</f>
        <v>150</v>
      </c>
      <c r="F11" s="56" t="str">
        <f>MaterialPrices!C13</f>
        <v>MPPRYC</v>
      </c>
      <c r="G11" s="63" t="str">
        <f>MaterialPrices!B13</f>
        <v>MINMPPRYC1</v>
      </c>
      <c r="H11" s="56" t="str">
        <f t="shared" si="0"/>
        <v>MPPRYC</v>
      </c>
    </row>
    <row r="12" spans="1:8" ht="12.75">
      <c r="A12" t="s">
        <v>248</v>
      </c>
      <c r="C12" s="54" t="s">
        <v>154</v>
      </c>
      <c r="D12" s="86"/>
      <c r="E12" s="4">
        <f>MaterialPrices!G14</f>
        <v>0</v>
      </c>
      <c r="F12" s="56" t="str">
        <f>MaterialPrices!C14</f>
        <v>MPPNOH</v>
      </c>
      <c r="G12" s="63" t="str">
        <f>MaterialPrices!B14</f>
        <v>MINMPPNOH1</v>
      </c>
      <c r="H12" s="56" t="str">
        <f t="shared" si="0"/>
        <v>MPPNOH</v>
      </c>
    </row>
    <row r="13" spans="1:8" ht="12.75">
      <c r="A13" t="s">
        <v>248</v>
      </c>
      <c r="C13" s="54" t="s">
        <v>154</v>
      </c>
      <c r="D13" s="86"/>
      <c r="E13" s="4">
        <f>MaterialPrices!G15</f>
        <v>10</v>
      </c>
      <c r="F13" s="56" t="str">
        <f>MaterialPrices!C15</f>
        <v>MPPOXY</v>
      </c>
      <c r="G13" s="63" t="str">
        <f>MaterialPrices!B15</f>
        <v>MINMPPOXY1</v>
      </c>
      <c r="H13" s="56" t="str">
        <f t="shared" si="0"/>
        <v>MPPOXY</v>
      </c>
    </row>
    <row r="14" spans="1:8" ht="12.75">
      <c r="A14" t="s">
        <v>248</v>
      </c>
      <c r="C14" s="54" t="s">
        <v>154</v>
      </c>
      <c r="D14" s="86"/>
      <c r="E14" s="4">
        <f>MaterialPrices!G16</f>
        <v>150</v>
      </c>
      <c r="F14" s="56" t="str">
        <f>MaterialPrices!C16</f>
        <v>MPPKAO</v>
      </c>
      <c r="G14" s="63" t="str">
        <f>MaterialPrices!B16</f>
        <v>MINMPPKAO1</v>
      </c>
      <c r="H14" s="56" t="str">
        <f t="shared" si="0"/>
        <v>MPPKAO</v>
      </c>
    </row>
    <row r="15" spans="1:8" ht="12.75">
      <c r="A15" t="s">
        <v>248</v>
      </c>
      <c r="C15" s="54" t="s">
        <v>154</v>
      </c>
      <c r="D15" s="86"/>
      <c r="E15" s="4">
        <f>MaterialPrices!G17</f>
        <v>20</v>
      </c>
      <c r="F15" s="56" t="str">
        <f>MaterialPrices!C17</f>
        <v>MPPGYP</v>
      </c>
      <c r="G15" s="63" t="str">
        <f>MaterialPrices!B17</f>
        <v>MINMPPGYP1</v>
      </c>
      <c r="H15" s="56" t="str">
        <f t="shared" si="0"/>
        <v>MPPGYP</v>
      </c>
    </row>
    <row r="16" spans="1:8" ht="12.75">
      <c r="A16" t="s">
        <v>248</v>
      </c>
      <c r="C16" s="54" t="s">
        <v>154</v>
      </c>
      <c r="D16" s="86"/>
      <c r="E16" s="4">
        <f>MaterialPrices!G18</f>
        <v>0</v>
      </c>
      <c r="F16" s="56" t="str">
        <f>MaterialPrices!C18</f>
        <v>MALBAU</v>
      </c>
      <c r="G16" s="63" t="str">
        <f>MaterialPrices!B18</f>
        <v>MINMALBAU1</v>
      </c>
      <c r="H16" s="56" t="str">
        <f>F16</f>
        <v>MALBAU</v>
      </c>
    </row>
    <row r="17" spans="1:8" ht="12.75">
      <c r="A17" t="s">
        <v>248</v>
      </c>
      <c r="C17" s="54" t="s">
        <v>154</v>
      </c>
      <c r="D17" s="86"/>
      <c r="E17" s="4">
        <f>MaterialPrices!G19</f>
        <v>0</v>
      </c>
      <c r="F17" s="56" t="str">
        <f>MaterialPrices!C19</f>
        <v>MALSCR</v>
      </c>
      <c r="G17" s="63" t="str">
        <f>MaterialPrices!B19</f>
        <v>MINMALSCR1</v>
      </c>
      <c r="H17" s="56" t="str">
        <f>F17</f>
        <v>MALSCR</v>
      </c>
    </row>
    <row r="18" spans="1:8" ht="12.75">
      <c r="A18" t="s">
        <v>248</v>
      </c>
      <c r="C18" s="54" t="s">
        <v>154</v>
      </c>
      <c r="D18" s="86"/>
      <c r="E18" s="4">
        <f>MaterialPrices!G20</f>
        <v>0</v>
      </c>
      <c r="F18" s="56" t="str">
        <f>MaterialPrices!C20</f>
        <v>MCUORE</v>
      </c>
      <c r="G18" s="63" t="str">
        <f>MaterialPrices!B20</f>
        <v>MINMCUORE1</v>
      </c>
      <c r="H18" s="56" t="str">
        <f>F18</f>
        <v>MCUORE</v>
      </c>
    </row>
    <row r="19" spans="1:8" ht="12.75">
      <c r="A19" t="s">
        <v>248</v>
      </c>
      <c r="C19" s="54" t="s">
        <v>154</v>
      </c>
      <c r="D19" s="86"/>
      <c r="E19" s="4">
        <f>MaterialPrices!G21</f>
        <v>0</v>
      </c>
      <c r="F19" s="56" t="str">
        <f>MaterialPrices!C21</f>
        <v>MCUSCR</v>
      </c>
      <c r="G19" s="63" t="str">
        <f>MaterialPrices!B21</f>
        <v>MINMCUSCR1</v>
      </c>
      <c r="H19" s="56" t="str">
        <f>F19</f>
        <v>MCUSCR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162"/>
  <sheetViews>
    <sheetView zoomScale="75" zoomScaleNormal="75" workbookViewId="0" topLeftCell="A1">
      <selection pane="topLeft" activeCell="G40" sqref="G40"/>
    </sheetView>
  </sheetViews>
  <sheetFormatPr defaultRowHeight="12.75"/>
  <cols>
    <col min="1" max="2" width="18.7142857142857" customWidth="1"/>
    <col min="6" max="6" width="13.8571428571429" customWidth="1"/>
    <col min="37" max="37" width="13.8571428571429" bestFit="1" customWidth="1"/>
  </cols>
  <sheetData>
    <row r="1" spans="1:2" ht="12.75">
      <c r="A1" s="1" t="s">
        <v>155</v>
      </c>
      <c r="B1" s="1"/>
    </row>
    <row r="3" spans="4:44" ht="12.75">
      <c r="D3" s="11"/>
      <c r="H3" t="s">
        <v>47</v>
      </c>
      <c r="I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354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144</v>
      </c>
      <c r="AB3" t="s">
        <v>145</v>
      </c>
      <c r="AC3" t="s">
        <v>146</v>
      </c>
      <c r="AD3" t="s">
        <v>147</v>
      </c>
      <c r="AE3" t="s">
        <v>148</v>
      </c>
      <c r="AF3" t="s">
        <v>149</v>
      </c>
      <c r="AG3" t="s">
        <v>150</v>
      </c>
      <c r="AH3" t="s">
        <v>151</v>
      </c>
      <c r="AI3" t="s">
        <v>152</v>
      </c>
      <c r="AJ3" t="s">
        <v>153</v>
      </c>
      <c r="AK3" t="s">
        <v>164</v>
      </c>
      <c r="AL3" t="s">
        <v>306</v>
      </c>
      <c r="AM3" t="s">
        <v>307</v>
      </c>
      <c r="AN3" t="s">
        <v>308</v>
      </c>
      <c r="AO3" t="s">
        <v>309</v>
      </c>
      <c r="AP3" t="s">
        <v>310</v>
      </c>
      <c r="AQ3" t="s">
        <v>311</v>
      </c>
      <c r="AR3" t="s">
        <v>347</v>
      </c>
    </row>
    <row r="4" spans="4:44" ht="12.75">
      <c r="D4" t="s">
        <v>117</v>
      </c>
      <c r="H4">
        <v>1</v>
      </c>
      <c r="I4">
        <v>0.935</v>
      </c>
      <c r="K4">
        <v>1</v>
      </c>
      <c r="L4">
        <v>1</v>
      </c>
      <c r="M4">
        <v>1</v>
      </c>
      <c r="N4">
        <v>1</v>
      </c>
      <c r="O4">
        <v>1</v>
      </c>
      <c r="P4">
        <v>0.85</v>
      </c>
      <c r="Q4">
        <v>0.95</v>
      </c>
      <c r="R4">
        <v>1</v>
      </c>
      <c r="S4">
        <v>0.85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</row>
    <row r="5" spans="4:44" ht="12.75">
      <c r="D5" t="s">
        <v>98</v>
      </c>
      <c r="E5" s="10"/>
      <c r="H5">
        <v>0.90</v>
      </c>
      <c r="I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0.85</v>
      </c>
      <c r="Q5">
        <v>1</v>
      </c>
      <c r="R5">
        <v>1</v>
      </c>
      <c r="S5">
        <v>1</v>
      </c>
      <c r="T5">
        <v>1</v>
      </c>
      <c r="U5">
        <v>0.90</v>
      </c>
      <c r="V5">
        <v>0.90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</row>
    <row r="6" spans="4:44" ht="12.75">
      <c r="D6" t="s">
        <v>99</v>
      </c>
      <c r="E6" s="10"/>
      <c r="H6">
        <v>1</v>
      </c>
      <c r="I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0.95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</row>
    <row r="7" spans="4:44" ht="12.75">
      <c r="D7" t="s">
        <v>31</v>
      </c>
      <c r="E7" s="10"/>
      <c r="H7">
        <v>1</v>
      </c>
      <c r="I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0.95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</row>
    <row r="8" spans="4:44" ht="12.75">
      <c r="D8" t="s">
        <v>120</v>
      </c>
      <c r="E8" s="10"/>
      <c r="H8">
        <v>1</v>
      </c>
      <c r="I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0.85</v>
      </c>
      <c r="Q8">
        <v>0.90</v>
      </c>
      <c r="R8">
        <v>1</v>
      </c>
      <c r="S8">
        <v>1</v>
      </c>
      <c r="T8">
        <v>1</v>
      </c>
      <c r="U8">
        <v>1</v>
      </c>
      <c r="V8">
        <v>0.90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</row>
    <row r="11" spans="1:37" ht="12.75">
      <c r="A11" s="45" t="s">
        <v>247</v>
      </c>
      <c r="B11" s="45"/>
      <c r="F11" s="45"/>
      <c r="AK11" s="45"/>
    </row>
    <row r="12" spans="1:44" ht="13.5" thickBot="1">
      <c r="A12" s="46" t="s">
        <v>240</v>
      </c>
      <c r="B12" s="46" t="s">
        <v>350</v>
      </c>
      <c r="C12" s="46" t="s">
        <v>241</v>
      </c>
      <c r="D12" s="46" t="s">
        <v>242</v>
      </c>
      <c r="E12" s="46" t="s">
        <v>243</v>
      </c>
      <c r="F12" s="6" t="s">
        <v>245</v>
      </c>
      <c r="G12" s="49" t="s">
        <v>246</v>
      </c>
      <c r="H12" s="47" t="s">
        <v>47</v>
      </c>
      <c r="I12" s="47" t="s">
        <v>48</v>
      </c>
      <c r="J12" s="47" t="s">
        <v>256</v>
      </c>
      <c r="K12" s="47" t="s">
        <v>49</v>
      </c>
      <c r="L12" s="47" t="s">
        <v>249</v>
      </c>
      <c r="M12" s="47" t="s">
        <v>51</v>
      </c>
      <c r="N12" s="47" t="s">
        <v>52</v>
      </c>
      <c r="O12" s="47" t="s">
        <v>354</v>
      </c>
      <c r="P12" s="47" t="s">
        <v>53</v>
      </c>
      <c r="Q12" s="47" t="s">
        <v>54</v>
      </c>
      <c r="R12" s="47" t="s">
        <v>55</v>
      </c>
      <c r="S12" s="47" t="s">
        <v>56</v>
      </c>
      <c r="T12" s="47" t="s">
        <v>57</v>
      </c>
      <c r="U12" s="47" t="s">
        <v>250</v>
      </c>
      <c r="V12" s="47" t="s">
        <v>251</v>
      </c>
      <c r="W12" s="47" t="s">
        <v>252</v>
      </c>
      <c r="X12" s="47" t="s">
        <v>253</v>
      </c>
      <c r="Y12" s="47" t="s">
        <v>254</v>
      </c>
      <c r="Z12" s="47" t="s">
        <v>255</v>
      </c>
      <c r="AA12" s="48" t="s">
        <v>144</v>
      </c>
      <c r="AB12" s="48" t="s">
        <v>145</v>
      </c>
      <c r="AC12" s="48" t="s">
        <v>146</v>
      </c>
      <c r="AD12" s="48" t="s">
        <v>147</v>
      </c>
      <c r="AE12" s="48" t="s">
        <v>148</v>
      </c>
      <c r="AF12" s="48" t="s">
        <v>149</v>
      </c>
      <c r="AG12" s="48" t="s">
        <v>150</v>
      </c>
      <c r="AH12" s="48" t="s">
        <v>151</v>
      </c>
      <c r="AI12" s="48" t="s">
        <v>152</v>
      </c>
      <c r="AJ12" s="48" t="s">
        <v>153</v>
      </c>
      <c r="AK12" s="53" t="s">
        <v>164</v>
      </c>
      <c r="AL12" s="87" t="s">
        <v>306</v>
      </c>
      <c r="AM12" s="87" t="s">
        <v>346</v>
      </c>
      <c r="AN12" s="87" t="s">
        <v>308</v>
      </c>
      <c r="AO12" s="87" t="s">
        <v>309</v>
      </c>
      <c r="AP12" s="87" t="s">
        <v>310</v>
      </c>
      <c r="AQ12" s="87" t="s">
        <v>311</v>
      </c>
      <c r="AR12" s="97" t="s">
        <v>347</v>
      </c>
    </row>
    <row r="13" spans="1:44" ht="12.75">
      <c r="A13" t="s">
        <v>248</v>
      </c>
      <c r="B13" t="s">
        <v>351</v>
      </c>
      <c r="D13" t="str">
        <f t="shared" si="0" ref="D13:D70">IF(RIGHT(F13,6)="GASNAT","*","COST")</f>
        <v>COST</v>
      </c>
      <c r="E13">
        <v>2010</v>
      </c>
      <c r="F13" t="str">
        <f>Worldprices!$G$62</f>
        <v>IMPOILCRD</v>
      </c>
      <c r="G13" t="str">
        <f>Worldprices!$G$63</f>
        <v>OILCRD</v>
      </c>
      <c r="H13">
        <f>Worldprices!$G$67*H$5</f>
        <v>8.837704918032788</v>
      </c>
      <c r="I13">
        <f>Worldprices!$G$67*I$5</f>
        <v>9.8196721311475414</v>
      </c>
      <c r="J13">
        <f t="shared" si="1" ref="J13:J56">AI13</f>
        <v>9.8196721311475414</v>
      </c>
      <c r="K13">
        <f>Worldprices!$G$67*K$5</f>
        <v>9.8196721311475414</v>
      </c>
      <c r="L13">
        <f>Worldprices!$G$67*L$5</f>
        <v>9.8196721311475414</v>
      </c>
      <c r="M13">
        <f>Worldprices!$G$67*M$5</f>
        <v>9.8196721311475414</v>
      </c>
      <c r="N13">
        <f>Worldprices!$G$67*N$5</f>
        <v>9.8196721311475414</v>
      </c>
      <c r="O13">
        <f>Worldprices!$G$67*O$5</f>
        <v>9.8196721311475414</v>
      </c>
      <c r="P13">
        <f>Worldprices!$G$67*P$5</f>
        <v>8.3467213114754095</v>
      </c>
      <c r="Q13">
        <f>Worldprices!$G$67*Q$5</f>
        <v>9.8196721311475414</v>
      </c>
      <c r="R13">
        <f>Worldprices!$G$67*R$5</f>
        <v>9.8196721311475414</v>
      </c>
      <c r="S13">
        <f>Worldprices!$G$67*S$5</f>
        <v>9.8196721311475414</v>
      </c>
      <c r="T13">
        <f>Worldprices!$G$67*T$5</f>
        <v>9.8196721311475414</v>
      </c>
      <c r="U13">
        <f>Worldprices!$G$67*U$5</f>
        <v>8.837704918032788</v>
      </c>
      <c r="V13">
        <f>Worldprices!$G$67*V$5</f>
        <v>8.837704918032788</v>
      </c>
      <c r="W13">
        <f>Worldprices!$G$67*W$5</f>
        <v>9.8196721311475414</v>
      </c>
      <c r="X13">
        <f>Worldprices!$G$67*X$5</f>
        <v>9.8196721311475414</v>
      </c>
      <c r="Y13">
        <f>Worldprices!$G$67*Y$5</f>
        <v>9.8196721311475414</v>
      </c>
      <c r="Z13">
        <f>Worldprices!$G$67*Z$5</f>
        <v>9.8196721311475414</v>
      </c>
      <c r="AA13">
        <f>Worldprices!$G$67*AA$5</f>
        <v>9.8196721311475414</v>
      </c>
      <c r="AB13">
        <f>Worldprices!$G$67*AB$5</f>
        <v>9.8196721311475414</v>
      </c>
      <c r="AC13">
        <f>Worldprices!$G$67*AC$5</f>
        <v>9.8196721311475414</v>
      </c>
      <c r="AD13">
        <f>Worldprices!$G$67*AD$5</f>
        <v>9.8196721311475414</v>
      </c>
      <c r="AE13">
        <f>Worldprices!$G$67*AE$5</f>
        <v>9.8196721311475414</v>
      </c>
      <c r="AF13">
        <f>Worldprices!$G$67*AF$5</f>
        <v>9.8196721311475414</v>
      </c>
      <c r="AG13">
        <f>Worldprices!$G$67*AG$5</f>
        <v>9.8196721311475414</v>
      </c>
      <c r="AH13">
        <f>Worldprices!$G$67*AH$5</f>
        <v>9.8196721311475414</v>
      </c>
      <c r="AI13">
        <f>Worldprices!$G$67*AI$5</f>
        <v>9.8196721311475414</v>
      </c>
      <c r="AJ13">
        <f>Worldprices!$G$67*AJ$5</f>
        <v>9.8196721311475414</v>
      </c>
      <c r="AK13">
        <f>Worldprices!$G$67*AK$5</f>
        <v>9.8196721311475414</v>
      </c>
      <c r="AL13">
        <f>Worldprices!$G$67*AL$5</f>
        <v>9.8196721311475414</v>
      </c>
      <c r="AM13">
        <f>Worldprices!$G$67*AM$5</f>
        <v>9.8196721311475414</v>
      </c>
      <c r="AN13">
        <f>Worldprices!$G$67*AN$5</f>
        <v>9.8196721311475414</v>
      </c>
      <c r="AO13">
        <f>Worldprices!$G$67*AO$5</f>
        <v>9.8196721311475414</v>
      </c>
      <c r="AP13">
        <f>Worldprices!$G$67*AP$5</f>
        <v>9.8196721311475414</v>
      </c>
      <c r="AQ13">
        <f>Worldprices!$G$67*AQ$5</f>
        <v>9.8196721311475414</v>
      </c>
      <c r="AR13">
        <f t="shared" si="2" ref="AR13:AR70">AQ13</f>
        <v>9.8196721311475414</v>
      </c>
    </row>
    <row r="14" spans="1:44" ht="12.75">
      <c r="A14" t="s">
        <v>248</v>
      </c>
      <c r="B14" t="s">
        <v>351</v>
      </c>
      <c r="D14" t="str">
        <f t="shared" si="0"/>
        <v>COST</v>
      </c>
      <c r="E14">
        <v>2010</v>
      </c>
      <c r="F14" t="str">
        <f>Worldprices!$H$62</f>
        <v>IMPOILHFO</v>
      </c>
      <c r="G14" t="str">
        <f>Worldprices!$H$63</f>
        <v>OILHFO</v>
      </c>
      <c r="H14">
        <f>Worldprices!$H$67*H$5</f>
        <v>7.1585409836065583</v>
      </c>
      <c r="I14">
        <f>Worldprices!$H$67*I$5</f>
        <v>7.9539344262295089</v>
      </c>
      <c r="J14">
        <f t="shared" si="1"/>
        <v>7.9539344262295089</v>
      </c>
      <c r="K14">
        <f>Worldprices!$H$67*K$5</f>
        <v>7.9539344262295089</v>
      </c>
      <c r="L14">
        <f>Worldprices!$H$67*L$5</f>
        <v>7.9539344262295089</v>
      </c>
      <c r="M14">
        <f>Worldprices!$H$67*M$5</f>
        <v>7.9539344262295089</v>
      </c>
      <c r="N14">
        <f>Worldprices!$H$67*N$5</f>
        <v>7.9539344262295089</v>
      </c>
      <c r="O14">
        <f>Worldprices!$H$67*O$5</f>
        <v>7.9539344262295089</v>
      </c>
      <c r="P14">
        <f>Worldprices!$H$67*P$5</f>
        <v>6.7608442622950822</v>
      </c>
      <c r="Q14">
        <f>Worldprices!$H$67*Q$5</f>
        <v>7.9539344262295089</v>
      </c>
      <c r="R14">
        <f>Worldprices!$H$67*R$5</f>
        <v>7.9539344262295089</v>
      </c>
      <c r="S14">
        <f>Worldprices!$H$67*S$5</f>
        <v>7.9539344262295089</v>
      </c>
      <c r="T14">
        <f>Worldprices!$H$67*T$5</f>
        <v>7.9539344262295089</v>
      </c>
      <c r="U14">
        <f>Worldprices!$H$67*U$5</f>
        <v>7.1585409836065583</v>
      </c>
      <c r="V14">
        <f>Worldprices!$H$67*V$5</f>
        <v>7.1585409836065583</v>
      </c>
      <c r="W14">
        <f>Worldprices!$H$67*W$5</f>
        <v>7.9539344262295089</v>
      </c>
      <c r="X14">
        <f>Worldprices!$H$67*X$5</f>
        <v>7.9539344262295089</v>
      </c>
      <c r="Y14">
        <f>Worldprices!$H$67*Y$5</f>
        <v>7.9539344262295089</v>
      </c>
      <c r="Z14">
        <f>Worldprices!$H$67*Z$5</f>
        <v>7.9539344262295089</v>
      </c>
      <c r="AA14">
        <f>Worldprices!$H$67*AA$5</f>
        <v>7.9539344262295089</v>
      </c>
      <c r="AB14">
        <f>Worldprices!$H$67*AB$5</f>
        <v>7.9539344262295089</v>
      </c>
      <c r="AC14">
        <f>Worldprices!$H$67*AC$5</f>
        <v>7.9539344262295089</v>
      </c>
      <c r="AD14">
        <f>Worldprices!$H$67*AD$5</f>
        <v>7.9539344262295089</v>
      </c>
      <c r="AE14">
        <f>Worldprices!$H$67*AE$5</f>
        <v>7.9539344262295089</v>
      </c>
      <c r="AF14">
        <f>Worldprices!$H$67*AF$5</f>
        <v>7.9539344262295089</v>
      </c>
      <c r="AG14">
        <f>Worldprices!$H$67*AG$5</f>
        <v>7.9539344262295089</v>
      </c>
      <c r="AH14">
        <f>Worldprices!$H$67*AH$5</f>
        <v>7.9539344262295089</v>
      </c>
      <c r="AI14">
        <f>Worldprices!$H$67*AI$5</f>
        <v>7.9539344262295089</v>
      </c>
      <c r="AJ14">
        <f>Worldprices!$H$67*AJ$5</f>
        <v>7.9539344262295089</v>
      </c>
      <c r="AK14">
        <f>Worldprices!$H$67*AK$5</f>
        <v>7.9539344262295089</v>
      </c>
      <c r="AL14">
        <f>Worldprices!$H$67*AL$5</f>
        <v>7.9539344262295089</v>
      </c>
      <c r="AM14">
        <f>Worldprices!$H$67*AM$5</f>
        <v>7.9539344262295089</v>
      </c>
      <c r="AN14">
        <f>Worldprices!$H$67*AN$5</f>
        <v>7.9539344262295089</v>
      </c>
      <c r="AO14">
        <f>Worldprices!$H$67*AO$5</f>
        <v>7.9539344262295089</v>
      </c>
      <c r="AP14">
        <f>Worldprices!$H$67*AP$5</f>
        <v>7.9539344262295089</v>
      </c>
      <c r="AQ14">
        <f>Worldprices!$H$67*AQ$5</f>
        <v>7.9539344262295089</v>
      </c>
      <c r="AR14">
        <f t="shared" si="2"/>
        <v>7.9539344262295089</v>
      </c>
    </row>
    <row r="15" spans="1:44" ht="12.75">
      <c r="A15" t="s">
        <v>248</v>
      </c>
      <c r="B15" t="s">
        <v>351</v>
      </c>
      <c r="D15" t="str">
        <f t="shared" si="0"/>
        <v>COST</v>
      </c>
      <c r="E15">
        <v>2010</v>
      </c>
      <c r="F15" t="str">
        <f>Worldprices!$I$62</f>
        <v>IMPOILDST</v>
      </c>
      <c r="G15" t="str">
        <f>Worldprices!$I$63</f>
        <v>OILDST</v>
      </c>
      <c r="H15">
        <f>Worldprices!$I$67*H$6</f>
        <v>12.765573770491804</v>
      </c>
      <c r="I15">
        <f>Worldprices!$I$67*I$6</f>
        <v>12.765573770491804</v>
      </c>
      <c r="J15">
        <f t="shared" si="1"/>
        <v>12.765573770491804</v>
      </c>
      <c r="K15">
        <f>Worldprices!$I$67*K$6</f>
        <v>12.765573770491804</v>
      </c>
      <c r="L15">
        <f>Worldprices!$I$67*L$6</f>
        <v>12.765573770491804</v>
      </c>
      <c r="M15">
        <f>Worldprices!$I$67*M$6</f>
        <v>12.765573770491804</v>
      </c>
      <c r="N15">
        <f>Worldprices!$I$67*N$6</f>
        <v>12.765573770491804</v>
      </c>
      <c r="O15">
        <f>Worldprices!$I$67*O$6</f>
        <v>12.765573770491804</v>
      </c>
      <c r="P15">
        <f>Worldprices!$I$67*P$6</f>
        <v>12.765573770491804</v>
      </c>
      <c r="Q15">
        <f>Worldprices!$I$67*Q$6</f>
        <v>12.765573770491804</v>
      </c>
      <c r="R15">
        <f>Worldprices!$I$67*R$6</f>
        <v>12.765573770491804</v>
      </c>
      <c r="S15">
        <f>Worldprices!$I$67*S$6</f>
        <v>12.765573770491804</v>
      </c>
      <c r="T15">
        <f>Worldprices!$I$67*T$6</f>
        <v>12.765573770491804</v>
      </c>
      <c r="U15">
        <f>Worldprices!$I$67*U$6</f>
        <v>12.765573770491804</v>
      </c>
      <c r="V15">
        <f>Worldprices!$I$67*V$6</f>
        <v>12.127295081967214</v>
      </c>
      <c r="W15">
        <f>Worldprices!$I$67*W$6</f>
        <v>12.765573770491804</v>
      </c>
      <c r="X15">
        <f>Worldprices!$I$67*X$6</f>
        <v>12.765573770491804</v>
      </c>
      <c r="Y15">
        <f>Worldprices!$I$67*Y$6</f>
        <v>12.765573770491804</v>
      </c>
      <c r="Z15">
        <f>Worldprices!$I$67*Z$6</f>
        <v>12.765573770491804</v>
      </c>
      <c r="AA15">
        <f>Worldprices!$I$67*AA$6</f>
        <v>12.765573770491804</v>
      </c>
      <c r="AB15">
        <f>Worldprices!$I$67*AB$6</f>
        <v>12.765573770491804</v>
      </c>
      <c r="AC15">
        <f>Worldprices!$I$67*AC$6</f>
        <v>12.765573770491804</v>
      </c>
      <c r="AD15">
        <f>Worldprices!$I$67*AD$6</f>
        <v>12.765573770491804</v>
      </c>
      <c r="AE15">
        <f>Worldprices!$I$67*AE$6</f>
        <v>12.765573770491804</v>
      </c>
      <c r="AF15">
        <f>Worldprices!$I$67*AF$6</f>
        <v>12.765573770491804</v>
      </c>
      <c r="AG15">
        <f>Worldprices!$I$67*AG$6</f>
        <v>12.765573770491804</v>
      </c>
      <c r="AH15">
        <f>Worldprices!$I$67*AH$6</f>
        <v>12.765573770491804</v>
      </c>
      <c r="AI15">
        <f>Worldprices!$I$67*AI$6</f>
        <v>12.765573770491804</v>
      </c>
      <c r="AJ15">
        <f>Worldprices!$I$67*AJ$6</f>
        <v>12.765573770491804</v>
      </c>
      <c r="AK15">
        <f>Worldprices!$I$67*AK$6</f>
        <v>12.765573770491804</v>
      </c>
      <c r="AL15">
        <f>Worldprices!$I$67*AL$6</f>
        <v>12.765573770491804</v>
      </c>
      <c r="AM15">
        <f>Worldprices!$I$67*AM$6</f>
        <v>12.765573770491804</v>
      </c>
      <c r="AN15">
        <f>Worldprices!$I$67*AN$6</f>
        <v>12.765573770491804</v>
      </c>
      <c r="AO15">
        <f>Worldprices!$I$67*AO$6</f>
        <v>12.765573770491804</v>
      </c>
      <c r="AP15">
        <f>Worldprices!$I$67*AP$6</f>
        <v>12.765573770491804</v>
      </c>
      <c r="AQ15">
        <f>Worldprices!$I$67*AQ$6</f>
        <v>12.765573770491804</v>
      </c>
      <c r="AR15">
        <f t="shared" si="2"/>
        <v>12.765573770491804</v>
      </c>
    </row>
    <row r="16" spans="1:44" ht="12.75">
      <c r="A16" t="s">
        <v>248</v>
      </c>
      <c r="B16" t="s">
        <v>351</v>
      </c>
      <c r="D16" t="str">
        <f t="shared" si="0"/>
        <v>COST</v>
      </c>
      <c r="E16">
        <v>2010</v>
      </c>
      <c r="F16" t="str">
        <f>Worldprices!$J$62</f>
        <v>IMPOILLPG</v>
      </c>
      <c r="G16" t="str">
        <f>Worldprices!$J$63</f>
        <v>OILLPG</v>
      </c>
      <c r="H16">
        <f>Worldprices!$J$67*H$7</f>
        <v>10.801639344262297</v>
      </c>
      <c r="I16">
        <f>Worldprices!$J$67*I$7</f>
        <v>10.801639344262297</v>
      </c>
      <c r="J16">
        <f t="shared" si="1"/>
        <v>10.801639344262297</v>
      </c>
      <c r="K16">
        <f>Worldprices!$J$67*K$7</f>
        <v>10.801639344262297</v>
      </c>
      <c r="L16">
        <f>Worldprices!$J$67*L$7</f>
        <v>10.801639344262297</v>
      </c>
      <c r="M16">
        <f>Worldprices!$J$67*M$7</f>
        <v>10.801639344262297</v>
      </c>
      <c r="N16">
        <f>Worldprices!$J$67*N$7</f>
        <v>10.801639344262297</v>
      </c>
      <c r="O16">
        <f>Worldprices!$J$67*O$7</f>
        <v>10.801639344262297</v>
      </c>
      <c r="P16">
        <f>Worldprices!$J$67*P$7</f>
        <v>10.801639344262297</v>
      </c>
      <c r="Q16">
        <f>Worldprices!$J$67*Q$7</f>
        <v>10.801639344262297</v>
      </c>
      <c r="R16">
        <f>Worldprices!$J$67*R$7</f>
        <v>10.801639344262297</v>
      </c>
      <c r="S16">
        <f>Worldprices!$J$67*S$7</f>
        <v>10.801639344262297</v>
      </c>
      <c r="T16">
        <f>Worldprices!$J$67*T$7</f>
        <v>10.801639344262297</v>
      </c>
      <c r="U16">
        <f>Worldprices!$J$67*U$7</f>
        <v>10.801639344262297</v>
      </c>
      <c r="V16">
        <f>Worldprices!$J$67*V$7</f>
        <v>10.261557377049181</v>
      </c>
      <c r="W16">
        <f>Worldprices!$J$67*W$7</f>
        <v>10.801639344262297</v>
      </c>
      <c r="X16">
        <f>Worldprices!$J$67*X$7</f>
        <v>10.801639344262297</v>
      </c>
      <c r="Y16">
        <f>Worldprices!$J$67*Y$7</f>
        <v>10.801639344262297</v>
      </c>
      <c r="Z16">
        <f>Worldprices!$J$67*Z$7</f>
        <v>10.801639344262297</v>
      </c>
      <c r="AA16">
        <f>Worldprices!$J$67*AA$7</f>
        <v>10.801639344262297</v>
      </c>
      <c r="AB16">
        <f>Worldprices!$J$67*AB$7</f>
        <v>10.801639344262297</v>
      </c>
      <c r="AC16">
        <f>Worldprices!$J$67*AC$7</f>
        <v>10.801639344262297</v>
      </c>
      <c r="AD16">
        <f>Worldprices!$J$67*AD$7</f>
        <v>10.801639344262297</v>
      </c>
      <c r="AE16">
        <f>Worldprices!$J$67*AE$7</f>
        <v>10.801639344262297</v>
      </c>
      <c r="AF16">
        <f>Worldprices!$J$67*AF$7</f>
        <v>10.801639344262297</v>
      </c>
      <c r="AG16">
        <f>Worldprices!$J$67*AG$7</f>
        <v>10.801639344262297</v>
      </c>
      <c r="AH16">
        <f>Worldprices!$J$67*AH$7</f>
        <v>10.801639344262297</v>
      </c>
      <c r="AI16">
        <f>Worldprices!$J$67*AI$7</f>
        <v>10.801639344262297</v>
      </c>
      <c r="AJ16">
        <f>Worldprices!$J$67*AJ$7</f>
        <v>10.801639344262297</v>
      </c>
      <c r="AK16">
        <f>Worldprices!$J$67*AK$7</f>
        <v>10.801639344262297</v>
      </c>
      <c r="AL16">
        <f>Worldprices!$J$67*AL$7</f>
        <v>10.801639344262297</v>
      </c>
      <c r="AM16">
        <f>Worldprices!$J$67*AM$7</f>
        <v>10.801639344262297</v>
      </c>
      <c r="AN16">
        <f>Worldprices!$J$67*AN$7</f>
        <v>10.801639344262297</v>
      </c>
      <c r="AO16">
        <f>Worldprices!$J$67*AO$7</f>
        <v>10.801639344262297</v>
      </c>
      <c r="AP16">
        <f>Worldprices!$J$67*AP$7</f>
        <v>10.801639344262297</v>
      </c>
      <c r="AQ16">
        <f>Worldprices!$J$67*AQ$7</f>
        <v>10.801639344262297</v>
      </c>
      <c r="AR16">
        <f t="shared" si="2"/>
        <v>10.801639344262297</v>
      </c>
    </row>
    <row r="17" spans="1:44" ht="12.75">
      <c r="A17" t="s">
        <v>248</v>
      </c>
      <c r="B17" t="s">
        <v>351</v>
      </c>
      <c r="D17" t="str">
        <f t="shared" si="0"/>
        <v>COST</v>
      </c>
      <c r="E17">
        <v>2010</v>
      </c>
      <c r="F17" t="str">
        <f>Worldprices!$K$62</f>
        <v>IMPOILGSL</v>
      </c>
      <c r="G17" t="str">
        <f>Worldprices!$K$63</f>
        <v>OILGSL</v>
      </c>
      <c r="H17">
        <f>Worldprices!$K$67*H$7</f>
        <v>13.747540983606557</v>
      </c>
      <c r="I17">
        <f>Worldprices!$K$67*I$7</f>
        <v>13.747540983606557</v>
      </c>
      <c r="J17">
        <f t="shared" si="1"/>
        <v>13.747540983606557</v>
      </c>
      <c r="K17">
        <f>Worldprices!$K$67*K$7</f>
        <v>13.747540983606557</v>
      </c>
      <c r="L17">
        <f>Worldprices!$K$67*L$7</f>
        <v>13.747540983606557</v>
      </c>
      <c r="M17">
        <f>Worldprices!$K$67*M$7</f>
        <v>13.747540983606557</v>
      </c>
      <c r="N17">
        <f>Worldprices!$K$67*N$7</f>
        <v>13.747540983606557</v>
      </c>
      <c r="O17">
        <f>Worldprices!$K$67*O$7</f>
        <v>13.747540983606557</v>
      </c>
      <c r="P17">
        <f>Worldprices!$K$67*P$7</f>
        <v>13.747540983606557</v>
      </c>
      <c r="Q17">
        <f>Worldprices!$K$67*Q$7</f>
        <v>13.747540983606557</v>
      </c>
      <c r="R17">
        <f>Worldprices!$K$67*R$7</f>
        <v>13.747540983606557</v>
      </c>
      <c r="S17">
        <f>Worldprices!$K$67*S$7</f>
        <v>13.747540983606557</v>
      </c>
      <c r="T17">
        <f>Worldprices!$K$67*T$7</f>
        <v>13.747540983606557</v>
      </c>
      <c r="U17">
        <f>Worldprices!$K$67*U$7</f>
        <v>13.747540983606557</v>
      </c>
      <c r="V17">
        <f>Worldprices!$K$67*V$7</f>
        <v>13.060163934426228</v>
      </c>
      <c r="W17">
        <f>Worldprices!$K$67*W$7</f>
        <v>13.747540983606557</v>
      </c>
      <c r="X17">
        <f>Worldprices!$K$67*X$7</f>
        <v>13.747540983606557</v>
      </c>
      <c r="Y17">
        <f>Worldprices!$K$67*Y$7</f>
        <v>13.747540983606557</v>
      </c>
      <c r="Z17">
        <f>Worldprices!$K$67*Z$7</f>
        <v>13.747540983606557</v>
      </c>
      <c r="AA17">
        <f>Worldprices!$K$67*AA$7</f>
        <v>13.747540983606557</v>
      </c>
      <c r="AB17">
        <f>Worldprices!$K$67*AB$7</f>
        <v>13.747540983606557</v>
      </c>
      <c r="AC17">
        <f>Worldprices!$K$67*AC$7</f>
        <v>13.747540983606557</v>
      </c>
      <c r="AD17">
        <f>Worldprices!$K$67*AD$7</f>
        <v>13.747540983606557</v>
      </c>
      <c r="AE17">
        <f>Worldprices!$K$67*AE$7</f>
        <v>13.747540983606557</v>
      </c>
      <c r="AF17">
        <f>Worldprices!$K$67*AF$7</f>
        <v>13.747540983606557</v>
      </c>
      <c r="AG17">
        <f>Worldprices!$K$67*AG$7</f>
        <v>13.747540983606557</v>
      </c>
      <c r="AH17">
        <f>Worldprices!$K$67*AH$7</f>
        <v>13.747540983606557</v>
      </c>
      <c r="AI17">
        <f>Worldprices!$K$67*AI$7</f>
        <v>13.747540983606557</v>
      </c>
      <c r="AJ17">
        <f>Worldprices!$K$67*AJ$7</f>
        <v>13.747540983606557</v>
      </c>
      <c r="AK17">
        <f>Worldprices!$K$67*AK$7</f>
        <v>13.747540983606557</v>
      </c>
      <c r="AL17">
        <f>Worldprices!$K$67*AL$7</f>
        <v>13.747540983606557</v>
      </c>
      <c r="AM17">
        <f>Worldprices!$K$67*AM$7</f>
        <v>13.747540983606557</v>
      </c>
      <c r="AN17">
        <f>Worldprices!$K$67*AN$7</f>
        <v>13.747540983606557</v>
      </c>
      <c r="AO17">
        <f>Worldprices!$K$67*AO$7</f>
        <v>13.747540983606557</v>
      </c>
      <c r="AP17">
        <f>Worldprices!$K$67*AP$7</f>
        <v>13.747540983606557</v>
      </c>
      <c r="AQ17">
        <f>Worldprices!$K$67*AQ$7</f>
        <v>13.747540983606557</v>
      </c>
      <c r="AR17">
        <f t="shared" si="2"/>
        <v>13.747540983606557</v>
      </c>
    </row>
    <row r="18" spans="1:44" ht="12.75">
      <c r="A18" t="s">
        <v>248</v>
      </c>
      <c r="B18" t="s">
        <v>351</v>
      </c>
      <c r="D18" t="str">
        <f t="shared" si="0"/>
        <v>COST</v>
      </c>
      <c r="E18">
        <v>2010</v>
      </c>
      <c r="F18" t="str">
        <f>Worldprices!$L$62</f>
        <v>IMPOILKER</v>
      </c>
      <c r="G18" t="str">
        <f>Worldprices!$L$63</f>
        <v>OILKER</v>
      </c>
      <c r="H18">
        <f>Worldprices!$L$67*H$7</f>
        <v>13.747540983606557</v>
      </c>
      <c r="I18">
        <f>Worldprices!$L$67*I$7</f>
        <v>13.747540983606557</v>
      </c>
      <c r="J18">
        <f t="shared" si="1"/>
        <v>13.747540983606557</v>
      </c>
      <c r="K18">
        <f>Worldprices!$L$67*K$7</f>
        <v>13.747540983606557</v>
      </c>
      <c r="L18">
        <f>Worldprices!$L$67*L$7</f>
        <v>13.747540983606557</v>
      </c>
      <c r="M18">
        <f>Worldprices!$L$67*M$7</f>
        <v>13.747540983606557</v>
      </c>
      <c r="N18">
        <f>Worldprices!$L$67*N$7</f>
        <v>13.747540983606557</v>
      </c>
      <c r="O18">
        <f>Worldprices!$L$67*O$7</f>
        <v>13.747540983606557</v>
      </c>
      <c r="P18">
        <f>Worldprices!$L$67*P$7</f>
        <v>13.747540983606557</v>
      </c>
      <c r="Q18">
        <f>Worldprices!$L$67*Q$7</f>
        <v>13.747540983606557</v>
      </c>
      <c r="R18">
        <f>Worldprices!$L$67*R$7</f>
        <v>13.747540983606557</v>
      </c>
      <c r="S18">
        <f>Worldprices!$L$67*S$7</f>
        <v>13.747540983606557</v>
      </c>
      <c r="T18">
        <f>Worldprices!$L$67*T$7</f>
        <v>13.747540983606557</v>
      </c>
      <c r="U18">
        <f>Worldprices!$L$67*U$7</f>
        <v>13.747540983606557</v>
      </c>
      <c r="V18">
        <f>Worldprices!$L$67*V$7</f>
        <v>13.060163934426228</v>
      </c>
      <c r="W18">
        <f>Worldprices!$L$67*W$7</f>
        <v>13.747540983606557</v>
      </c>
      <c r="X18">
        <f>Worldprices!$L$67*X$7</f>
        <v>13.747540983606557</v>
      </c>
      <c r="Y18">
        <f>Worldprices!$L$67*Y$7</f>
        <v>13.747540983606557</v>
      </c>
      <c r="Z18">
        <f>Worldprices!$L$67*Z$7</f>
        <v>13.747540983606557</v>
      </c>
      <c r="AA18">
        <f>Worldprices!$L$67*AA$7</f>
        <v>13.747540983606557</v>
      </c>
      <c r="AB18">
        <f>Worldprices!$L$67*AB$7</f>
        <v>13.747540983606557</v>
      </c>
      <c r="AC18">
        <f>Worldprices!$L$67*AC$7</f>
        <v>13.747540983606557</v>
      </c>
      <c r="AD18">
        <f>Worldprices!$L$67*AD$7</f>
        <v>13.747540983606557</v>
      </c>
      <c r="AE18">
        <f>Worldprices!$L$67*AE$7</f>
        <v>13.747540983606557</v>
      </c>
      <c r="AF18">
        <f>Worldprices!$L$67*AF$7</f>
        <v>13.747540983606557</v>
      </c>
      <c r="AG18">
        <f>Worldprices!$L$67*AG$7</f>
        <v>13.747540983606557</v>
      </c>
      <c r="AH18">
        <f>Worldprices!$L$67*AH$7</f>
        <v>13.747540983606557</v>
      </c>
      <c r="AI18">
        <f>Worldprices!$L$67*AI$7</f>
        <v>13.747540983606557</v>
      </c>
      <c r="AJ18">
        <f>Worldprices!$L$67*AJ$7</f>
        <v>13.747540983606557</v>
      </c>
      <c r="AK18">
        <f>Worldprices!$L$67*AK$7</f>
        <v>13.747540983606557</v>
      </c>
      <c r="AL18">
        <f>Worldprices!$L$67*AL$7</f>
        <v>13.747540983606557</v>
      </c>
      <c r="AM18">
        <f>Worldprices!$L$67*AM$7</f>
        <v>13.747540983606557</v>
      </c>
      <c r="AN18">
        <f>Worldprices!$L$67*AN$7</f>
        <v>13.747540983606557</v>
      </c>
      <c r="AO18">
        <f>Worldprices!$L$67*AO$7</f>
        <v>13.747540983606557</v>
      </c>
      <c r="AP18">
        <f>Worldprices!$L$67*AP$7</f>
        <v>13.747540983606557</v>
      </c>
      <c r="AQ18">
        <f>Worldprices!$L$67*AQ$7</f>
        <v>13.747540983606557</v>
      </c>
      <c r="AR18">
        <f t="shared" si="2"/>
        <v>13.747540983606557</v>
      </c>
    </row>
    <row r="19" spans="1:44" ht="12.75">
      <c r="A19" t="s">
        <v>248</v>
      </c>
      <c r="B19" t="s">
        <v>351</v>
      </c>
      <c r="D19" t="str">
        <f t="shared" si="0"/>
        <v>*</v>
      </c>
      <c r="E19">
        <v>2010</v>
      </c>
      <c r="F19" t="str">
        <f>Worldprices!$Q$62</f>
        <v>IMPGASNAT</v>
      </c>
      <c r="G19" t="str">
        <f>Worldprices!$Q$63</f>
        <v>GASNAT</v>
      </c>
      <c r="H19">
        <f>Worldprices!$Q$67*H$8</f>
        <v>6.1967213114754101</v>
      </c>
      <c r="I19">
        <f>Worldprices!$Q$67*I$8</f>
        <v>6.1967213114754101</v>
      </c>
      <c r="J19">
        <f t="shared" si="1"/>
        <v>6.1967213114754101</v>
      </c>
      <c r="K19">
        <f>Worldprices!$Q$67*K$8</f>
        <v>6.1967213114754101</v>
      </c>
      <c r="L19">
        <f>Worldprices!$Q$67*L$8</f>
        <v>6.1967213114754101</v>
      </c>
      <c r="M19">
        <f>Worldprices!$Q$67*M$8</f>
        <v>6.1967213114754101</v>
      </c>
      <c r="N19">
        <f>Worldprices!$Q$67*N$8</f>
        <v>6.1967213114754101</v>
      </c>
      <c r="O19">
        <f>Worldprices!$Q$67*O$8</f>
        <v>6.1967213114754101</v>
      </c>
      <c r="P19">
        <f>Worldprices!$Q$67*P$8</f>
        <v>5.2672131147540986</v>
      </c>
      <c r="Q19">
        <f>Worldprices!$Q$67*Q$8</f>
        <v>5.5770491803278688</v>
      </c>
      <c r="R19">
        <f>Worldprices!$Q$67*R$8</f>
        <v>6.1967213114754101</v>
      </c>
      <c r="S19">
        <f>Worldprices!$Q$67*S$8</f>
        <v>6.1967213114754101</v>
      </c>
      <c r="T19">
        <f>Worldprices!$Q$67*T$8</f>
        <v>6.1967213114754101</v>
      </c>
      <c r="U19">
        <f>Worldprices!$Q$67*U$8</f>
        <v>6.1967213114754101</v>
      </c>
      <c r="V19">
        <f>Worldprices!$Q$67*V$8</f>
        <v>5.5770491803278688</v>
      </c>
      <c r="W19">
        <f>Worldprices!$Q$67*W$8</f>
        <v>6.1967213114754101</v>
      </c>
      <c r="X19">
        <f>Worldprices!$Q$67*X$8</f>
        <v>6.1967213114754101</v>
      </c>
      <c r="Y19">
        <f>Worldprices!$Q$67*Y$8</f>
        <v>6.1967213114754101</v>
      </c>
      <c r="Z19">
        <f>Worldprices!$Q$67*Z$8</f>
        <v>6.1967213114754101</v>
      </c>
      <c r="AA19">
        <f>Worldprices!$Q$67*AA$8</f>
        <v>6.1967213114754101</v>
      </c>
      <c r="AB19">
        <f>Worldprices!$Q$67*AB$8</f>
        <v>6.1967213114754101</v>
      </c>
      <c r="AC19">
        <f>Worldprices!$Q$67*AC$8</f>
        <v>6.1967213114754101</v>
      </c>
      <c r="AD19">
        <f>Worldprices!$Q$67*AD$8</f>
        <v>6.1967213114754101</v>
      </c>
      <c r="AE19">
        <f>Worldprices!$Q$67*AE$8</f>
        <v>6.1967213114754101</v>
      </c>
      <c r="AF19">
        <f>Worldprices!$Q$67*AF$8</f>
        <v>6.1967213114754101</v>
      </c>
      <c r="AG19">
        <f>Worldprices!$Q$67*AG$8</f>
        <v>6.1967213114754101</v>
      </c>
      <c r="AH19">
        <f>Worldprices!$Q$67*AH$8</f>
        <v>6.1967213114754101</v>
      </c>
      <c r="AI19">
        <f>Worldprices!$Q$67*AI$8</f>
        <v>6.1967213114754101</v>
      </c>
      <c r="AJ19">
        <f>Worldprices!$Q$67*AJ$8</f>
        <v>6.1967213114754101</v>
      </c>
      <c r="AK19">
        <f>Worldprices!$Q$67*AK$8</f>
        <v>6.1967213114754101</v>
      </c>
      <c r="AL19">
        <f>Worldprices!$Q$67*AL$8</f>
        <v>6.1967213114754101</v>
      </c>
      <c r="AM19">
        <f>Worldprices!$Q$67*AM$8</f>
        <v>6.1967213114754101</v>
      </c>
      <c r="AN19">
        <f>Worldprices!$Q$67*AN$8</f>
        <v>6.1967213114754101</v>
      </c>
      <c r="AO19">
        <f>Worldprices!$Q$67*AO$8</f>
        <v>6.1967213114754101</v>
      </c>
      <c r="AP19">
        <f>Worldprices!$Q$67*AP$8</f>
        <v>6.1967213114754101</v>
      </c>
      <c r="AQ19">
        <f>Worldprices!$Q$67*AQ$8</f>
        <v>6.1967213114754101</v>
      </c>
      <c r="AR19">
        <f t="shared" si="2"/>
        <v>6.1967213114754101</v>
      </c>
    </row>
    <row r="20" spans="1:44" ht="12.75">
      <c r="A20" t="s">
        <v>248</v>
      </c>
      <c r="B20" t="s">
        <v>351</v>
      </c>
      <c r="D20" t="str">
        <f t="shared" si="0"/>
        <v>COST</v>
      </c>
      <c r="E20">
        <v>2015</v>
      </c>
      <c r="F20" t="str">
        <f>Worldprices!$G$62</f>
        <v>IMPOILCRD</v>
      </c>
      <c r="G20" t="str">
        <f>Worldprices!$G$63</f>
        <v>OILCRD</v>
      </c>
      <c r="H20">
        <f>Worldprices!$G$68*H$5</f>
        <v>8.6083524590163947</v>
      </c>
      <c r="I20">
        <f>Worldprices!$G$68*I$5</f>
        <v>9.5648360655737719</v>
      </c>
      <c r="J20">
        <f t="shared" si="1"/>
        <v>9.5648360655737719</v>
      </c>
      <c r="K20">
        <f>Worldprices!$G$68*K$5</f>
        <v>9.5648360655737719</v>
      </c>
      <c r="L20">
        <f>Worldprices!$G$68*L$5</f>
        <v>9.5648360655737719</v>
      </c>
      <c r="M20">
        <f>Worldprices!$G$68*M$5</f>
        <v>9.5648360655737719</v>
      </c>
      <c r="N20">
        <f>Worldprices!$G$68*N$5</f>
        <v>9.5648360655737719</v>
      </c>
      <c r="O20">
        <f>Worldprices!$G$68*O$5</f>
        <v>9.5648360655737719</v>
      </c>
      <c r="P20">
        <f>Worldprices!$G$68*P$5</f>
        <v>8.1301106557377061</v>
      </c>
      <c r="Q20">
        <f>Worldprices!$G$68*Q$5</f>
        <v>9.5648360655737719</v>
      </c>
      <c r="R20">
        <f>Worldprices!$G$68*R$5</f>
        <v>9.5648360655737719</v>
      </c>
      <c r="S20">
        <f>Worldprices!$G$68*S$5</f>
        <v>9.5648360655737719</v>
      </c>
      <c r="T20">
        <f>Worldprices!$G$68*T$5</f>
        <v>9.5648360655737719</v>
      </c>
      <c r="U20">
        <f>Worldprices!$G$68*U$5</f>
        <v>8.6083524590163947</v>
      </c>
      <c r="V20">
        <f>Worldprices!$G$68*V$5</f>
        <v>8.6083524590163947</v>
      </c>
      <c r="W20">
        <f>Worldprices!$G$68*W$5</f>
        <v>9.5648360655737719</v>
      </c>
      <c r="X20">
        <f>Worldprices!$G$68*X$5</f>
        <v>9.5648360655737719</v>
      </c>
      <c r="Y20">
        <f>Worldprices!$G$68*Y$5</f>
        <v>9.5648360655737719</v>
      </c>
      <c r="Z20">
        <f>Worldprices!$G$68*Z$5</f>
        <v>9.5648360655737719</v>
      </c>
      <c r="AA20">
        <f>Worldprices!$G$68*AA$5</f>
        <v>9.5648360655737719</v>
      </c>
      <c r="AB20">
        <f>Worldprices!$G$68*AB$5</f>
        <v>9.5648360655737719</v>
      </c>
      <c r="AC20">
        <f>Worldprices!$G$68*AC$5</f>
        <v>9.5648360655737719</v>
      </c>
      <c r="AD20">
        <f>Worldprices!$G$68*AD$5</f>
        <v>9.5648360655737719</v>
      </c>
      <c r="AE20">
        <f>Worldprices!$G$68*AE$5</f>
        <v>9.5648360655737719</v>
      </c>
      <c r="AF20">
        <f>Worldprices!$G$68*AF$5</f>
        <v>9.5648360655737719</v>
      </c>
      <c r="AG20">
        <f>Worldprices!$G$68*AG$5</f>
        <v>9.5648360655737719</v>
      </c>
      <c r="AH20">
        <f>Worldprices!$G$68*AH$5</f>
        <v>9.5648360655737719</v>
      </c>
      <c r="AI20">
        <f>Worldprices!$G$68*AI$5</f>
        <v>9.5648360655737719</v>
      </c>
      <c r="AJ20">
        <f>Worldprices!$G$68*AJ$5</f>
        <v>9.5648360655737719</v>
      </c>
      <c r="AK20">
        <f>Worldprices!$G$68*AK$5</f>
        <v>9.5648360655737719</v>
      </c>
      <c r="AL20">
        <f>Worldprices!$G$68*AL$5</f>
        <v>9.5648360655737719</v>
      </c>
      <c r="AM20">
        <f>Worldprices!$G$68*AM$5</f>
        <v>9.5648360655737719</v>
      </c>
      <c r="AN20">
        <f>Worldprices!$G$68*AN$5</f>
        <v>9.5648360655737719</v>
      </c>
      <c r="AO20">
        <f>Worldprices!$G$68*AO$5</f>
        <v>9.5648360655737719</v>
      </c>
      <c r="AP20">
        <f>Worldprices!$G$68*AP$5</f>
        <v>9.5648360655737719</v>
      </c>
      <c r="AQ20">
        <f>Worldprices!$G$68*AQ$5</f>
        <v>9.5648360655737719</v>
      </c>
      <c r="AR20">
        <f t="shared" si="2"/>
        <v>9.5648360655737719</v>
      </c>
    </row>
    <row r="21" spans="1:44" ht="12.75">
      <c r="A21" t="s">
        <v>248</v>
      </c>
      <c r="B21" t="s">
        <v>351</v>
      </c>
      <c r="D21" t="str">
        <f t="shared" si="0"/>
        <v>COST</v>
      </c>
      <c r="E21">
        <v>2015</v>
      </c>
      <c r="F21" t="str">
        <f>Worldprices!$H$62</f>
        <v>IMPOILHFO</v>
      </c>
      <c r="G21" t="str">
        <f>Worldprices!$H$63</f>
        <v>OILHFO</v>
      </c>
      <c r="H21">
        <f>Worldprices!$H$68*H$5</f>
        <v>6.9727654918032798</v>
      </c>
      <c r="I21">
        <f>Worldprices!$H$68*I$5</f>
        <v>7.7475172131147554</v>
      </c>
      <c r="J21">
        <f t="shared" si="1"/>
        <v>7.7475172131147554</v>
      </c>
      <c r="K21">
        <f>Worldprices!$H$68*K$5</f>
        <v>7.7475172131147554</v>
      </c>
      <c r="L21">
        <f>Worldprices!$H$68*L$5</f>
        <v>7.7475172131147554</v>
      </c>
      <c r="M21">
        <f>Worldprices!$H$68*M$5</f>
        <v>7.7475172131147554</v>
      </c>
      <c r="N21">
        <f>Worldprices!$H$68*N$5</f>
        <v>7.7475172131147554</v>
      </c>
      <c r="O21">
        <f>Worldprices!$H$68*O$5</f>
        <v>7.7475172131147554</v>
      </c>
      <c r="P21">
        <f>Worldprices!$H$68*P$5</f>
        <v>6.5853896311475415</v>
      </c>
      <c r="Q21">
        <f>Worldprices!$H$68*Q$5</f>
        <v>7.7475172131147554</v>
      </c>
      <c r="R21">
        <f>Worldprices!$H$68*R$5</f>
        <v>7.7475172131147554</v>
      </c>
      <c r="S21">
        <f>Worldprices!$H$68*S$5</f>
        <v>7.7475172131147554</v>
      </c>
      <c r="T21">
        <f>Worldprices!$H$68*T$5</f>
        <v>7.7475172131147554</v>
      </c>
      <c r="U21">
        <f>Worldprices!$H$68*U$5</f>
        <v>6.9727654918032798</v>
      </c>
      <c r="V21">
        <f>Worldprices!$H$68*V$5</f>
        <v>6.9727654918032798</v>
      </c>
      <c r="W21">
        <f>Worldprices!$H$68*W$5</f>
        <v>7.7475172131147554</v>
      </c>
      <c r="X21">
        <f>Worldprices!$H$68*X$5</f>
        <v>7.7475172131147554</v>
      </c>
      <c r="Y21">
        <f>Worldprices!$H$68*Y$5</f>
        <v>7.7475172131147554</v>
      </c>
      <c r="Z21">
        <f>Worldprices!$H$68*Z$5</f>
        <v>7.7475172131147554</v>
      </c>
      <c r="AA21">
        <f>Worldprices!$H$68*AA$5</f>
        <v>7.7475172131147554</v>
      </c>
      <c r="AB21">
        <f>Worldprices!$H$68*AB$5</f>
        <v>7.7475172131147554</v>
      </c>
      <c r="AC21">
        <f>Worldprices!$H$68*AC$5</f>
        <v>7.7475172131147554</v>
      </c>
      <c r="AD21">
        <f>Worldprices!$H$68*AD$5</f>
        <v>7.7475172131147554</v>
      </c>
      <c r="AE21">
        <f>Worldprices!$H$68*AE$5</f>
        <v>7.7475172131147554</v>
      </c>
      <c r="AF21">
        <f>Worldprices!$H$68*AF$5</f>
        <v>7.7475172131147554</v>
      </c>
      <c r="AG21">
        <f>Worldprices!$H$68*AG$5</f>
        <v>7.7475172131147554</v>
      </c>
      <c r="AH21">
        <f>Worldprices!$H$68*AH$5</f>
        <v>7.7475172131147554</v>
      </c>
      <c r="AI21">
        <f>Worldprices!$H$68*AI$5</f>
        <v>7.7475172131147554</v>
      </c>
      <c r="AJ21">
        <f>Worldprices!$H$68*AJ$5</f>
        <v>7.7475172131147554</v>
      </c>
      <c r="AK21">
        <f>Worldprices!$H$68*AK$5</f>
        <v>7.7475172131147554</v>
      </c>
      <c r="AL21">
        <f>Worldprices!$H$68*AL$5</f>
        <v>7.7475172131147554</v>
      </c>
      <c r="AM21">
        <f>Worldprices!$H$68*AM$5</f>
        <v>7.7475172131147554</v>
      </c>
      <c r="AN21">
        <f>Worldprices!$H$68*AN$5</f>
        <v>7.7475172131147554</v>
      </c>
      <c r="AO21">
        <f>Worldprices!$H$68*AO$5</f>
        <v>7.7475172131147554</v>
      </c>
      <c r="AP21">
        <f>Worldprices!$H$68*AP$5</f>
        <v>7.7475172131147554</v>
      </c>
      <c r="AQ21">
        <f>Worldprices!$H$68*AQ$5</f>
        <v>7.7475172131147554</v>
      </c>
      <c r="AR21">
        <f t="shared" si="2"/>
        <v>7.7475172131147554</v>
      </c>
    </row>
    <row r="22" spans="1:44" ht="12.75">
      <c r="A22" t="s">
        <v>248</v>
      </c>
      <c r="B22" t="s">
        <v>351</v>
      </c>
      <c r="D22" t="str">
        <f t="shared" si="0"/>
        <v>COST</v>
      </c>
      <c r="E22">
        <v>2015</v>
      </c>
      <c r="F22" t="str">
        <f>Worldprices!$I$62</f>
        <v>IMPOILDST</v>
      </c>
      <c r="G22" t="str">
        <f>Worldprices!$I$63</f>
        <v>OILDST</v>
      </c>
      <c r="H22">
        <f>Worldprices!$I$68*H$6</f>
        <v>12.434286885245903</v>
      </c>
      <c r="I22">
        <f>Worldprices!$I$68*I$6</f>
        <v>12.434286885245903</v>
      </c>
      <c r="J22">
        <f t="shared" si="1"/>
        <v>12.434286885245903</v>
      </c>
      <c r="K22">
        <f>Worldprices!$I$68*K$6</f>
        <v>12.434286885245903</v>
      </c>
      <c r="L22">
        <f>Worldprices!$I$68*L$6</f>
        <v>12.434286885245903</v>
      </c>
      <c r="M22">
        <f>Worldprices!$I$68*M$6</f>
        <v>12.434286885245903</v>
      </c>
      <c r="N22">
        <f>Worldprices!$I$68*N$6</f>
        <v>12.434286885245903</v>
      </c>
      <c r="O22">
        <f>Worldprices!$I$68*O$6</f>
        <v>12.434286885245903</v>
      </c>
      <c r="P22">
        <f>Worldprices!$I$68*P$6</f>
        <v>12.434286885245903</v>
      </c>
      <c r="Q22">
        <f>Worldprices!$I$68*Q$6</f>
        <v>12.434286885245903</v>
      </c>
      <c r="R22">
        <f>Worldprices!$I$68*R$6</f>
        <v>12.434286885245903</v>
      </c>
      <c r="S22">
        <f>Worldprices!$I$68*S$6</f>
        <v>12.434286885245903</v>
      </c>
      <c r="T22">
        <f>Worldprices!$I$68*T$6</f>
        <v>12.434286885245903</v>
      </c>
      <c r="U22">
        <f>Worldprices!$I$68*U$6</f>
        <v>12.434286885245903</v>
      </c>
      <c r="V22">
        <f>Worldprices!$I$68*V$6</f>
        <v>11.812572540983608</v>
      </c>
      <c r="W22">
        <f>Worldprices!$I$68*W$6</f>
        <v>12.434286885245903</v>
      </c>
      <c r="X22">
        <f>Worldprices!$I$68*X$6</f>
        <v>12.434286885245903</v>
      </c>
      <c r="Y22">
        <f>Worldprices!$I$68*Y$6</f>
        <v>12.434286885245903</v>
      </c>
      <c r="Z22">
        <f>Worldprices!$I$68*Z$6</f>
        <v>12.434286885245903</v>
      </c>
      <c r="AA22">
        <f>Worldprices!$I$68*AA$6</f>
        <v>12.434286885245903</v>
      </c>
      <c r="AB22">
        <f>Worldprices!$I$68*AB$6</f>
        <v>12.434286885245903</v>
      </c>
      <c r="AC22">
        <f>Worldprices!$I$68*AC$6</f>
        <v>12.434286885245903</v>
      </c>
      <c r="AD22">
        <f>Worldprices!$I$68*AD$6</f>
        <v>12.434286885245903</v>
      </c>
      <c r="AE22">
        <f>Worldprices!$I$68*AE$6</f>
        <v>12.434286885245903</v>
      </c>
      <c r="AF22">
        <f>Worldprices!$I$68*AF$6</f>
        <v>12.434286885245903</v>
      </c>
      <c r="AG22">
        <f>Worldprices!$I$68*AG$6</f>
        <v>12.434286885245903</v>
      </c>
      <c r="AH22">
        <f>Worldprices!$I$68*AH$6</f>
        <v>12.434286885245903</v>
      </c>
      <c r="AI22">
        <f>Worldprices!$I$68*AI$6</f>
        <v>12.434286885245903</v>
      </c>
      <c r="AJ22">
        <f>Worldprices!$I$68*AJ$6</f>
        <v>12.434286885245903</v>
      </c>
      <c r="AK22">
        <f>Worldprices!$I$68*AK$6</f>
        <v>12.434286885245903</v>
      </c>
      <c r="AL22">
        <f>Worldprices!$I$68*AL$6</f>
        <v>12.434286885245903</v>
      </c>
      <c r="AM22">
        <f>Worldprices!$I$68*AM$6</f>
        <v>12.434286885245903</v>
      </c>
      <c r="AN22">
        <f>Worldprices!$I$68*AN$6</f>
        <v>12.434286885245903</v>
      </c>
      <c r="AO22">
        <f>Worldprices!$I$68*AO$6</f>
        <v>12.434286885245903</v>
      </c>
      <c r="AP22">
        <f>Worldprices!$I$68*AP$6</f>
        <v>12.434286885245903</v>
      </c>
      <c r="AQ22">
        <f>Worldprices!$I$68*AQ$6</f>
        <v>12.434286885245903</v>
      </c>
      <c r="AR22">
        <f t="shared" si="2"/>
        <v>12.434286885245903</v>
      </c>
    </row>
    <row r="23" spans="1:44" ht="12.75">
      <c r="A23" t="s">
        <v>248</v>
      </c>
      <c r="B23" t="s">
        <v>351</v>
      </c>
      <c r="D23" t="str">
        <f t="shared" si="0"/>
        <v>COST</v>
      </c>
      <c r="E23">
        <v>2015</v>
      </c>
      <c r="F23" t="str">
        <f>Worldprices!$J$62</f>
        <v>IMPOILLPG</v>
      </c>
      <c r="G23" t="str">
        <f>Worldprices!$J$63</f>
        <v>OILLPG</v>
      </c>
      <c r="H23">
        <f>Worldprices!$J$68*H$7</f>
        <v>10.521319672131149</v>
      </c>
      <c r="I23">
        <f>Worldprices!$J$68*I$7</f>
        <v>10.521319672131149</v>
      </c>
      <c r="J23">
        <f t="shared" si="1"/>
        <v>10.521319672131149</v>
      </c>
      <c r="K23">
        <f>Worldprices!$J$68*K$7</f>
        <v>10.521319672131149</v>
      </c>
      <c r="L23">
        <f>Worldprices!$J$68*L$7</f>
        <v>10.521319672131149</v>
      </c>
      <c r="M23">
        <f>Worldprices!$J$68*M$7</f>
        <v>10.521319672131149</v>
      </c>
      <c r="N23">
        <f>Worldprices!$J$68*N$7</f>
        <v>10.521319672131149</v>
      </c>
      <c r="O23">
        <f>Worldprices!$J$68*O$7</f>
        <v>10.521319672131149</v>
      </c>
      <c r="P23">
        <f>Worldprices!$J$68*P$7</f>
        <v>10.521319672131149</v>
      </c>
      <c r="Q23">
        <f>Worldprices!$J$68*Q$7</f>
        <v>10.521319672131149</v>
      </c>
      <c r="R23">
        <f>Worldprices!$J$68*R$7</f>
        <v>10.521319672131149</v>
      </c>
      <c r="S23">
        <f>Worldprices!$J$68*S$7</f>
        <v>10.521319672131149</v>
      </c>
      <c r="T23">
        <f>Worldprices!$J$68*T$7</f>
        <v>10.521319672131149</v>
      </c>
      <c r="U23">
        <f>Worldprices!$J$68*U$7</f>
        <v>10.521319672131149</v>
      </c>
      <c r="V23">
        <f>Worldprices!$J$68*V$7</f>
        <v>9.995253688524592</v>
      </c>
      <c r="W23">
        <f>Worldprices!$J$68*W$7</f>
        <v>10.521319672131149</v>
      </c>
      <c r="X23">
        <f>Worldprices!$J$68*X$7</f>
        <v>10.521319672131149</v>
      </c>
      <c r="Y23">
        <f>Worldprices!$J$68*Y$7</f>
        <v>10.521319672131149</v>
      </c>
      <c r="Z23">
        <f>Worldprices!$J$68*Z$7</f>
        <v>10.521319672131149</v>
      </c>
      <c r="AA23">
        <f>Worldprices!$J$68*AA$7</f>
        <v>10.521319672131149</v>
      </c>
      <c r="AB23">
        <f>Worldprices!$J$68*AB$7</f>
        <v>10.521319672131149</v>
      </c>
      <c r="AC23">
        <f>Worldprices!$J$68*AC$7</f>
        <v>10.521319672131149</v>
      </c>
      <c r="AD23">
        <f>Worldprices!$J$68*AD$7</f>
        <v>10.521319672131149</v>
      </c>
      <c r="AE23">
        <f>Worldprices!$J$68*AE$7</f>
        <v>10.521319672131149</v>
      </c>
      <c r="AF23">
        <f>Worldprices!$J$68*AF$7</f>
        <v>10.521319672131149</v>
      </c>
      <c r="AG23">
        <f>Worldprices!$J$68*AG$7</f>
        <v>10.521319672131149</v>
      </c>
      <c r="AH23">
        <f>Worldprices!$J$68*AH$7</f>
        <v>10.521319672131149</v>
      </c>
      <c r="AI23">
        <f>Worldprices!$J$68*AI$7</f>
        <v>10.521319672131149</v>
      </c>
      <c r="AJ23">
        <f>Worldprices!$J$68*AJ$7</f>
        <v>10.521319672131149</v>
      </c>
      <c r="AK23">
        <f>Worldprices!$J$68*AK$7</f>
        <v>10.521319672131149</v>
      </c>
      <c r="AL23">
        <f>Worldprices!$J$68*AL$7</f>
        <v>10.521319672131149</v>
      </c>
      <c r="AM23">
        <f>Worldprices!$J$68*AM$7</f>
        <v>10.521319672131149</v>
      </c>
      <c r="AN23">
        <f>Worldprices!$J$68*AN$7</f>
        <v>10.521319672131149</v>
      </c>
      <c r="AO23">
        <f>Worldprices!$J$68*AO$7</f>
        <v>10.521319672131149</v>
      </c>
      <c r="AP23">
        <f>Worldprices!$J$68*AP$7</f>
        <v>10.521319672131149</v>
      </c>
      <c r="AQ23">
        <f>Worldprices!$J$68*AQ$7</f>
        <v>10.521319672131149</v>
      </c>
      <c r="AR23">
        <f t="shared" si="2"/>
        <v>10.521319672131149</v>
      </c>
    </row>
    <row r="24" spans="1:44" ht="12.75">
      <c r="A24" t="s">
        <v>248</v>
      </c>
      <c r="B24" t="s">
        <v>351</v>
      </c>
      <c r="D24" t="str">
        <f t="shared" si="0"/>
        <v>COST</v>
      </c>
      <c r="E24">
        <v>2015</v>
      </c>
      <c r="F24" t="str">
        <f>Worldprices!$K$62</f>
        <v>IMPOILGSL</v>
      </c>
      <c r="G24" t="str">
        <f>Worldprices!$K$63</f>
        <v>OILGSL</v>
      </c>
      <c r="H24">
        <f>Worldprices!$K$68*H$7</f>
        <v>13.390770491803281</v>
      </c>
      <c r="I24">
        <f>Worldprices!$K$68*I$7</f>
        <v>13.390770491803281</v>
      </c>
      <c r="J24">
        <f t="shared" si="1"/>
        <v>13.390770491803281</v>
      </c>
      <c r="K24">
        <f>Worldprices!$K$68*K$7</f>
        <v>13.390770491803281</v>
      </c>
      <c r="L24">
        <f>Worldprices!$K$68*L$7</f>
        <v>13.390770491803281</v>
      </c>
      <c r="M24">
        <f>Worldprices!$K$68*M$7</f>
        <v>13.390770491803281</v>
      </c>
      <c r="N24">
        <f>Worldprices!$K$68*N$7</f>
        <v>13.390770491803281</v>
      </c>
      <c r="O24">
        <f>Worldprices!$K$68*O$7</f>
        <v>13.390770491803281</v>
      </c>
      <c r="P24">
        <f>Worldprices!$K$68*P$7</f>
        <v>13.390770491803281</v>
      </c>
      <c r="Q24">
        <f>Worldprices!$K$68*Q$7</f>
        <v>13.390770491803281</v>
      </c>
      <c r="R24">
        <f>Worldprices!$K$68*R$7</f>
        <v>13.390770491803281</v>
      </c>
      <c r="S24">
        <f>Worldprices!$K$68*S$7</f>
        <v>13.390770491803281</v>
      </c>
      <c r="T24">
        <f>Worldprices!$K$68*T$7</f>
        <v>13.390770491803281</v>
      </c>
      <c r="U24">
        <f>Worldprices!$K$68*U$7</f>
        <v>13.390770491803281</v>
      </c>
      <c r="V24">
        <f>Worldprices!$K$68*V$7</f>
        <v>12.721231967213116</v>
      </c>
      <c r="W24">
        <f>Worldprices!$K$68*W$7</f>
        <v>13.390770491803281</v>
      </c>
      <c r="X24">
        <f>Worldprices!$K$68*X$7</f>
        <v>13.390770491803281</v>
      </c>
      <c r="Y24">
        <f>Worldprices!$K$68*Y$7</f>
        <v>13.390770491803281</v>
      </c>
      <c r="Z24">
        <f>Worldprices!$K$68*Z$7</f>
        <v>13.390770491803281</v>
      </c>
      <c r="AA24">
        <f>Worldprices!$K$68*AA$7</f>
        <v>13.390770491803281</v>
      </c>
      <c r="AB24">
        <f>Worldprices!$K$68*AB$7</f>
        <v>13.390770491803281</v>
      </c>
      <c r="AC24">
        <f>Worldprices!$K$68*AC$7</f>
        <v>13.390770491803281</v>
      </c>
      <c r="AD24">
        <f>Worldprices!$K$68*AD$7</f>
        <v>13.390770491803281</v>
      </c>
      <c r="AE24">
        <f>Worldprices!$K$68*AE$7</f>
        <v>13.390770491803281</v>
      </c>
      <c r="AF24">
        <f>Worldprices!$K$68*AF$7</f>
        <v>13.390770491803281</v>
      </c>
      <c r="AG24">
        <f>Worldprices!$K$68*AG$7</f>
        <v>13.390770491803281</v>
      </c>
      <c r="AH24">
        <f>Worldprices!$K$68*AH$7</f>
        <v>13.390770491803281</v>
      </c>
      <c r="AI24">
        <f>Worldprices!$K$68*AI$7</f>
        <v>13.390770491803281</v>
      </c>
      <c r="AJ24">
        <f>Worldprices!$K$68*AJ$7</f>
        <v>13.390770491803281</v>
      </c>
      <c r="AK24">
        <f>Worldprices!$K$68*AK$7</f>
        <v>13.390770491803281</v>
      </c>
      <c r="AL24">
        <f>Worldprices!$K$68*AL$7</f>
        <v>13.390770491803281</v>
      </c>
      <c r="AM24">
        <f>Worldprices!$K$68*AM$7</f>
        <v>13.390770491803281</v>
      </c>
      <c r="AN24">
        <f>Worldprices!$K$68*AN$7</f>
        <v>13.390770491803281</v>
      </c>
      <c r="AO24">
        <f>Worldprices!$K$68*AO$7</f>
        <v>13.390770491803281</v>
      </c>
      <c r="AP24">
        <f>Worldprices!$K$68*AP$7</f>
        <v>13.390770491803281</v>
      </c>
      <c r="AQ24">
        <f>Worldprices!$K$68*AQ$7</f>
        <v>13.390770491803281</v>
      </c>
      <c r="AR24">
        <f t="shared" si="2"/>
        <v>13.390770491803281</v>
      </c>
    </row>
    <row r="25" spans="1:44" ht="12.75">
      <c r="A25" t="s">
        <v>248</v>
      </c>
      <c r="B25" t="s">
        <v>351</v>
      </c>
      <c r="D25" t="str">
        <f t="shared" si="0"/>
        <v>COST</v>
      </c>
      <c r="E25">
        <v>2015</v>
      </c>
      <c r="F25" t="str">
        <f>Worldprices!$L$62</f>
        <v>IMPOILKER</v>
      </c>
      <c r="G25" t="str">
        <f>Worldprices!$L$63</f>
        <v>OILKER</v>
      </c>
      <c r="H25">
        <f>Worldprices!$L$68*H$7</f>
        <v>13.390770491803281</v>
      </c>
      <c r="I25">
        <f>Worldprices!$L$68*I$7</f>
        <v>13.390770491803281</v>
      </c>
      <c r="J25">
        <f t="shared" si="1"/>
        <v>13.390770491803281</v>
      </c>
      <c r="K25">
        <f>Worldprices!$L$68*K$7</f>
        <v>13.390770491803281</v>
      </c>
      <c r="L25">
        <f>Worldprices!$L$68*L$7</f>
        <v>13.390770491803281</v>
      </c>
      <c r="M25">
        <f>Worldprices!$L$68*M$7</f>
        <v>13.390770491803281</v>
      </c>
      <c r="N25">
        <f>Worldprices!$L$68*N$7</f>
        <v>13.390770491803281</v>
      </c>
      <c r="O25">
        <f>Worldprices!$L$68*O$7</f>
        <v>13.390770491803281</v>
      </c>
      <c r="P25">
        <f>Worldprices!$L$68*P$7</f>
        <v>13.390770491803281</v>
      </c>
      <c r="Q25">
        <f>Worldprices!$L$68*Q$7</f>
        <v>13.390770491803281</v>
      </c>
      <c r="R25">
        <f>Worldprices!$L$68*R$7</f>
        <v>13.390770491803281</v>
      </c>
      <c r="S25">
        <f>Worldprices!$L$68*S$7</f>
        <v>13.390770491803281</v>
      </c>
      <c r="T25">
        <f>Worldprices!$L$68*T$7</f>
        <v>13.390770491803281</v>
      </c>
      <c r="U25">
        <f>Worldprices!$L$68*U$7</f>
        <v>13.390770491803281</v>
      </c>
      <c r="V25">
        <f>Worldprices!$L$68*V$7</f>
        <v>12.721231967213116</v>
      </c>
      <c r="W25">
        <f>Worldprices!$L$68*W$7</f>
        <v>13.390770491803281</v>
      </c>
      <c r="X25">
        <f>Worldprices!$L$68*X$7</f>
        <v>13.390770491803281</v>
      </c>
      <c r="Y25">
        <f>Worldprices!$L$68*Y$7</f>
        <v>13.390770491803281</v>
      </c>
      <c r="Z25">
        <f>Worldprices!$L$68*Z$7</f>
        <v>13.390770491803281</v>
      </c>
      <c r="AA25">
        <f>Worldprices!$L$68*AA$7</f>
        <v>13.390770491803281</v>
      </c>
      <c r="AB25">
        <f>Worldprices!$L$68*AB$7</f>
        <v>13.390770491803281</v>
      </c>
      <c r="AC25">
        <f>Worldprices!$L$68*AC$7</f>
        <v>13.390770491803281</v>
      </c>
      <c r="AD25">
        <f>Worldprices!$L$68*AD$7</f>
        <v>13.390770491803281</v>
      </c>
      <c r="AE25">
        <f>Worldprices!$L$68*AE$7</f>
        <v>13.390770491803281</v>
      </c>
      <c r="AF25">
        <f>Worldprices!$L$68*AF$7</f>
        <v>13.390770491803281</v>
      </c>
      <c r="AG25">
        <f>Worldprices!$L$68*AG$7</f>
        <v>13.390770491803281</v>
      </c>
      <c r="AH25">
        <f>Worldprices!$L$68*AH$7</f>
        <v>13.390770491803281</v>
      </c>
      <c r="AI25">
        <f>Worldprices!$L$68*AI$7</f>
        <v>13.390770491803281</v>
      </c>
      <c r="AJ25">
        <f>Worldprices!$L$68*AJ$7</f>
        <v>13.390770491803281</v>
      </c>
      <c r="AK25">
        <f>Worldprices!$L$68*AK$7</f>
        <v>13.390770491803281</v>
      </c>
      <c r="AL25">
        <f>Worldprices!$L$68*AL$7</f>
        <v>13.390770491803281</v>
      </c>
      <c r="AM25">
        <f>Worldprices!$L$68*AM$7</f>
        <v>13.390770491803281</v>
      </c>
      <c r="AN25">
        <f>Worldprices!$L$68*AN$7</f>
        <v>13.390770491803281</v>
      </c>
      <c r="AO25">
        <f>Worldprices!$L$68*AO$7</f>
        <v>13.390770491803281</v>
      </c>
      <c r="AP25">
        <f>Worldprices!$L$68*AP$7</f>
        <v>13.390770491803281</v>
      </c>
      <c r="AQ25">
        <f>Worldprices!$L$68*AQ$7</f>
        <v>13.390770491803281</v>
      </c>
      <c r="AR25">
        <f t="shared" si="2"/>
        <v>13.390770491803281</v>
      </c>
    </row>
    <row r="26" spans="1:44" ht="12.75">
      <c r="A26" t="s">
        <v>248</v>
      </c>
      <c r="B26" t="s">
        <v>351</v>
      </c>
      <c r="D26" t="str">
        <f t="shared" si="0"/>
        <v>*</v>
      </c>
      <c r="E26">
        <v>2015</v>
      </c>
      <c r="F26" t="str">
        <f>Worldprices!$Q$62</f>
        <v>IMPGASNAT</v>
      </c>
      <c r="G26" t="str">
        <f>Worldprices!$Q$63</f>
        <v>GASNAT</v>
      </c>
      <c r="H26">
        <f>Worldprices!$Q$68*H$8</f>
        <v>9.7933606557377058</v>
      </c>
      <c r="I26">
        <f>Worldprices!$Q$68*I$8</f>
        <v>9.7933606557377058</v>
      </c>
      <c r="J26">
        <f t="shared" si="1"/>
        <v>9.7933606557377058</v>
      </c>
      <c r="K26">
        <f>Worldprices!$Q$68*K$8</f>
        <v>9.7933606557377058</v>
      </c>
      <c r="L26">
        <f>Worldprices!$Q$68*L$8</f>
        <v>9.7933606557377058</v>
      </c>
      <c r="M26">
        <f>Worldprices!$Q$68*M$8</f>
        <v>9.7933606557377058</v>
      </c>
      <c r="N26">
        <f>Worldprices!$Q$68*N$8</f>
        <v>9.7933606557377058</v>
      </c>
      <c r="O26">
        <f>Worldprices!$Q$68*O$8</f>
        <v>9.7933606557377058</v>
      </c>
      <c r="P26">
        <f>Worldprices!$Q$68*P$8</f>
        <v>8.3243565573770493</v>
      </c>
      <c r="Q26">
        <f>Worldprices!$Q$68*Q$8</f>
        <v>8.8140245901639354</v>
      </c>
      <c r="R26">
        <f>Worldprices!$Q$68*R$8</f>
        <v>9.7933606557377058</v>
      </c>
      <c r="S26">
        <f>Worldprices!$Q$68*S$8</f>
        <v>9.7933606557377058</v>
      </c>
      <c r="T26">
        <f>Worldprices!$Q$68*T$8</f>
        <v>9.7933606557377058</v>
      </c>
      <c r="U26">
        <f>Worldprices!$Q$68*U$8</f>
        <v>9.7933606557377058</v>
      </c>
      <c r="V26">
        <f>Worldprices!$Q$68*V$8</f>
        <v>8.8140245901639354</v>
      </c>
      <c r="W26">
        <f>Worldprices!$Q$68*W$8</f>
        <v>9.7933606557377058</v>
      </c>
      <c r="X26">
        <f>Worldprices!$Q$68*X$8</f>
        <v>9.7933606557377058</v>
      </c>
      <c r="Y26">
        <f>Worldprices!$Q$68*Y$8</f>
        <v>9.7933606557377058</v>
      </c>
      <c r="Z26">
        <f>Worldprices!$Q$68*Z$8</f>
        <v>9.7933606557377058</v>
      </c>
      <c r="AA26">
        <f>Worldprices!$Q$68*AA$8</f>
        <v>9.7933606557377058</v>
      </c>
      <c r="AB26">
        <f>Worldprices!$Q$68*AB$8</f>
        <v>9.7933606557377058</v>
      </c>
      <c r="AC26">
        <f>Worldprices!$Q$68*AC$8</f>
        <v>9.7933606557377058</v>
      </c>
      <c r="AD26">
        <f>Worldprices!$Q$68*AD$8</f>
        <v>9.7933606557377058</v>
      </c>
      <c r="AE26">
        <f>Worldprices!$Q$68*AE$8</f>
        <v>9.7933606557377058</v>
      </c>
      <c r="AF26">
        <f>Worldprices!$Q$68*AF$8</f>
        <v>9.7933606557377058</v>
      </c>
      <c r="AG26">
        <f>Worldprices!$Q$68*AG$8</f>
        <v>9.7933606557377058</v>
      </c>
      <c r="AH26">
        <f>Worldprices!$Q$68*AH$8</f>
        <v>9.7933606557377058</v>
      </c>
      <c r="AI26">
        <f>Worldprices!$Q$68*AI$8</f>
        <v>9.7933606557377058</v>
      </c>
      <c r="AJ26">
        <f>Worldprices!$Q$68*AJ$8</f>
        <v>9.7933606557377058</v>
      </c>
      <c r="AK26">
        <f>Worldprices!$Q$68*AK$8</f>
        <v>9.7933606557377058</v>
      </c>
      <c r="AL26">
        <f>Worldprices!$Q$68*AL$8</f>
        <v>9.7933606557377058</v>
      </c>
      <c r="AM26">
        <f>Worldprices!$Q$68*AM$8</f>
        <v>9.7933606557377058</v>
      </c>
      <c r="AN26">
        <f>Worldprices!$Q$68*AN$8</f>
        <v>9.7933606557377058</v>
      </c>
      <c r="AO26">
        <f>Worldprices!$Q$68*AO$8</f>
        <v>9.7933606557377058</v>
      </c>
      <c r="AP26">
        <f>Worldprices!$Q$68*AP$8</f>
        <v>9.7933606557377058</v>
      </c>
      <c r="AQ26">
        <f>Worldprices!$Q$68*AQ$8</f>
        <v>9.7933606557377058</v>
      </c>
      <c r="AR26">
        <f t="shared" si="2"/>
        <v>9.7933606557377058</v>
      </c>
    </row>
    <row r="27" spans="1:44" ht="12.75">
      <c r="A27" t="s">
        <v>248</v>
      </c>
      <c r="B27" t="s">
        <v>351</v>
      </c>
      <c r="D27" t="str">
        <f t="shared" si="0"/>
        <v>COST</v>
      </c>
      <c r="E27">
        <v>2020</v>
      </c>
      <c r="F27" t="str">
        <f>Worldprices!$G$62</f>
        <v>IMPOILCRD</v>
      </c>
      <c r="G27" t="str">
        <f>Worldprices!$G$63</f>
        <v>OILCRD</v>
      </c>
      <c r="H27">
        <f>Worldprices!$G$69*H$5</f>
        <v>8.3790000000000013</v>
      </c>
      <c r="I27">
        <f>Worldprices!$G$69*I$5</f>
        <v>9.3100000000000005</v>
      </c>
      <c r="J27">
        <f t="shared" si="1"/>
        <v>9.3100000000000005</v>
      </c>
      <c r="K27">
        <f>Worldprices!$G$69*K$5</f>
        <v>9.3100000000000005</v>
      </c>
      <c r="L27">
        <f>Worldprices!$G$69*L$5</f>
        <v>9.3100000000000005</v>
      </c>
      <c r="M27">
        <f>Worldprices!$G$69*M$5</f>
        <v>9.3100000000000005</v>
      </c>
      <c r="N27">
        <f>Worldprices!$G$69*N$5</f>
        <v>9.3100000000000005</v>
      </c>
      <c r="O27">
        <f>Worldprices!$G$69*O$5</f>
        <v>9.3100000000000005</v>
      </c>
      <c r="P27">
        <f>Worldprices!$G$69*P$5</f>
        <v>7.9135</v>
      </c>
      <c r="Q27">
        <f>Worldprices!$G$69*Q$5</f>
        <v>9.3100000000000005</v>
      </c>
      <c r="R27">
        <f>Worldprices!$G$69*R$5</f>
        <v>9.3100000000000005</v>
      </c>
      <c r="S27">
        <f>Worldprices!$G$69*S$5</f>
        <v>9.3100000000000005</v>
      </c>
      <c r="T27">
        <f>Worldprices!$G$69*T$5</f>
        <v>9.3100000000000005</v>
      </c>
      <c r="U27">
        <f>Worldprices!$G$69*U$5</f>
        <v>8.3790000000000013</v>
      </c>
      <c r="V27">
        <f>Worldprices!$G$69*V$5</f>
        <v>8.3790000000000013</v>
      </c>
      <c r="W27">
        <f>Worldprices!$G$69*W$5</f>
        <v>9.3100000000000005</v>
      </c>
      <c r="X27">
        <f>Worldprices!$G$69*X$5</f>
        <v>9.3100000000000005</v>
      </c>
      <c r="Y27">
        <f>Worldprices!$G$69*Y$5</f>
        <v>9.3100000000000005</v>
      </c>
      <c r="Z27">
        <f>Worldprices!$G$69*Z$5</f>
        <v>9.3100000000000005</v>
      </c>
      <c r="AA27">
        <f>Worldprices!$G$69*AA$5</f>
        <v>9.3100000000000005</v>
      </c>
      <c r="AB27">
        <f>Worldprices!$G$69*AB$5</f>
        <v>9.3100000000000005</v>
      </c>
      <c r="AC27">
        <f>Worldprices!$G$69*AC$5</f>
        <v>9.3100000000000005</v>
      </c>
      <c r="AD27">
        <f>Worldprices!$G$69*AD$5</f>
        <v>9.3100000000000005</v>
      </c>
      <c r="AE27">
        <f>Worldprices!$G$69*AE$5</f>
        <v>9.3100000000000005</v>
      </c>
      <c r="AF27">
        <f>Worldprices!$G$69*AF$5</f>
        <v>9.3100000000000005</v>
      </c>
      <c r="AG27">
        <f>Worldprices!$G$69*AG$5</f>
        <v>9.3100000000000005</v>
      </c>
      <c r="AH27">
        <f>Worldprices!$G$69*AH$5</f>
        <v>9.3100000000000005</v>
      </c>
      <c r="AI27">
        <f>Worldprices!$G$69*AI$5</f>
        <v>9.3100000000000005</v>
      </c>
      <c r="AJ27">
        <f>Worldprices!$G$69*AJ$5</f>
        <v>9.3100000000000005</v>
      </c>
      <c r="AK27">
        <f>Worldprices!$G$69*AK$5</f>
        <v>9.3100000000000005</v>
      </c>
      <c r="AL27">
        <f>Worldprices!$G$69*AL$5</f>
        <v>9.3100000000000005</v>
      </c>
      <c r="AM27">
        <f>Worldprices!$G$69*AM$5</f>
        <v>9.3100000000000005</v>
      </c>
      <c r="AN27">
        <f>Worldprices!$G$69*AN$5</f>
        <v>9.3100000000000005</v>
      </c>
      <c r="AO27">
        <f>Worldprices!$G$69*AO$5</f>
        <v>9.3100000000000005</v>
      </c>
      <c r="AP27">
        <f>Worldprices!$G$69*AP$5</f>
        <v>9.3100000000000005</v>
      </c>
      <c r="AQ27">
        <f>Worldprices!$G$69*AQ$5</f>
        <v>9.3100000000000005</v>
      </c>
      <c r="AR27">
        <f t="shared" si="2"/>
        <v>9.3100000000000005</v>
      </c>
    </row>
    <row r="28" spans="1:44" ht="12.75">
      <c r="A28" t="s">
        <v>248</v>
      </c>
      <c r="B28" t="s">
        <v>351</v>
      </c>
      <c r="D28" t="str">
        <f t="shared" si="0"/>
        <v>COST</v>
      </c>
      <c r="E28">
        <v>2020</v>
      </c>
      <c r="F28" t="str">
        <f>Worldprices!$H$62</f>
        <v>IMPOILHFO</v>
      </c>
      <c r="G28" t="str">
        <f>Worldprices!$H$63</f>
        <v>OILHFO</v>
      </c>
      <c r="H28">
        <f>Worldprices!$H$69*H$5</f>
        <v>6.7869900000000012</v>
      </c>
      <c r="I28">
        <f>Worldprices!$H$69*I$5</f>
        <v>7.541100000000001</v>
      </c>
      <c r="J28">
        <f t="shared" si="1"/>
        <v>7.541100000000001</v>
      </c>
      <c r="K28">
        <f>Worldprices!$H$69*K$5</f>
        <v>7.541100000000001</v>
      </c>
      <c r="L28">
        <f>Worldprices!$H$69*L$5</f>
        <v>7.541100000000001</v>
      </c>
      <c r="M28">
        <f>Worldprices!$H$69*M$5</f>
        <v>7.541100000000001</v>
      </c>
      <c r="N28">
        <f>Worldprices!$H$69*N$5</f>
        <v>7.541100000000001</v>
      </c>
      <c r="O28">
        <f>Worldprices!$H$69*O$5</f>
        <v>7.541100000000001</v>
      </c>
      <c r="P28">
        <f>Worldprices!$H$69*P$5</f>
        <v>6.4099350000000008</v>
      </c>
      <c r="Q28">
        <f>Worldprices!$H$69*Q$5</f>
        <v>7.541100000000001</v>
      </c>
      <c r="R28">
        <f>Worldprices!$H$69*R$5</f>
        <v>7.541100000000001</v>
      </c>
      <c r="S28">
        <f>Worldprices!$H$69*S$5</f>
        <v>7.541100000000001</v>
      </c>
      <c r="T28">
        <f>Worldprices!$H$69*T$5</f>
        <v>7.541100000000001</v>
      </c>
      <c r="U28">
        <f>Worldprices!$H$69*U$5</f>
        <v>6.7869900000000012</v>
      </c>
      <c r="V28">
        <f>Worldprices!$H$69*V$5</f>
        <v>6.7869900000000012</v>
      </c>
      <c r="W28">
        <f>Worldprices!$H$69*W$5</f>
        <v>7.541100000000001</v>
      </c>
      <c r="X28">
        <f>Worldprices!$H$69*X$5</f>
        <v>7.541100000000001</v>
      </c>
      <c r="Y28">
        <f>Worldprices!$H$69*Y$5</f>
        <v>7.541100000000001</v>
      </c>
      <c r="Z28">
        <f>Worldprices!$H$69*Z$5</f>
        <v>7.541100000000001</v>
      </c>
      <c r="AA28">
        <f>Worldprices!$H$69*AA$5</f>
        <v>7.541100000000001</v>
      </c>
      <c r="AB28">
        <f>Worldprices!$H$69*AB$5</f>
        <v>7.541100000000001</v>
      </c>
      <c r="AC28">
        <f>Worldprices!$H$69*AC$5</f>
        <v>7.541100000000001</v>
      </c>
      <c r="AD28">
        <f>Worldprices!$H$69*AD$5</f>
        <v>7.541100000000001</v>
      </c>
      <c r="AE28">
        <f>Worldprices!$H$69*AE$5</f>
        <v>7.541100000000001</v>
      </c>
      <c r="AF28">
        <f>Worldprices!$H$69*AF$5</f>
        <v>7.541100000000001</v>
      </c>
      <c r="AG28">
        <f>Worldprices!$H$69*AG$5</f>
        <v>7.541100000000001</v>
      </c>
      <c r="AH28">
        <f>Worldprices!$H$69*AH$5</f>
        <v>7.541100000000001</v>
      </c>
      <c r="AI28">
        <f>Worldprices!$H$69*AI$5</f>
        <v>7.541100000000001</v>
      </c>
      <c r="AJ28">
        <f>Worldprices!$H$69*AJ$5</f>
        <v>7.541100000000001</v>
      </c>
      <c r="AK28">
        <f>Worldprices!$H$69*AK$5</f>
        <v>7.541100000000001</v>
      </c>
      <c r="AL28">
        <f>Worldprices!$H$69*AL$5</f>
        <v>7.541100000000001</v>
      </c>
      <c r="AM28">
        <f>Worldprices!$H$69*AM$5</f>
        <v>7.541100000000001</v>
      </c>
      <c r="AN28">
        <f>Worldprices!$H$69*AN$5</f>
        <v>7.541100000000001</v>
      </c>
      <c r="AO28">
        <f>Worldprices!$H$69*AO$5</f>
        <v>7.541100000000001</v>
      </c>
      <c r="AP28">
        <f>Worldprices!$H$69*AP$5</f>
        <v>7.541100000000001</v>
      </c>
      <c r="AQ28">
        <f>Worldprices!$H$69*AQ$5</f>
        <v>7.541100000000001</v>
      </c>
      <c r="AR28">
        <f t="shared" si="2"/>
        <v>7.541100000000001</v>
      </c>
    </row>
    <row r="29" spans="1:44" ht="12.75">
      <c r="A29" t="s">
        <v>248</v>
      </c>
      <c r="B29" t="s">
        <v>351</v>
      </c>
      <c r="D29" t="str">
        <f t="shared" si="0"/>
        <v>COST</v>
      </c>
      <c r="E29">
        <v>2020</v>
      </c>
      <c r="F29" t="str">
        <f>Worldprices!$I$62</f>
        <v>IMPOILDST</v>
      </c>
      <c r="G29" t="str">
        <f>Worldprices!$I$63</f>
        <v>OILDST</v>
      </c>
      <c r="H29">
        <f>Worldprices!$I$69*H$6</f>
        <v>12.103000000000002</v>
      </c>
      <c r="I29">
        <f>Worldprices!$I$69*I$6</f>
        <v>12.103000000000002</v>
      </c>
      <c r="J29">
        <f t="shared" si="1"/>
        <v>12.103000000000002</v>
      </c>
      <c r="K29">
        <f>Worldprices!$I$69*K$6</f>
        <v>12.103000000000002</v>
      </c>
      <c r="L29">
        <f>Worldprices!$I$69*L$6</f>
        <v>12.103000000000002</v>
      </c>
      <c r="M29">
        <f>Worldprices!$I$69*M$6</f>
        <v>12.103000000000002</v>
      </c>
      <c r="N29">
        <f>Worldprices!$I$69*N$6</f>
        <v>12.103000000000002</v>
      </c>
      <c r="O29">
        <f>Worldprices!$I$69*O$6</f>
        <v>12.103000000000002</v>
      </c>
      <c r="P29">
        <f>Worldprices!$I$69*P$6</f>
        <v>12.103000000000002</v>
      </c>
      <c r="Q29">
        <f>Worldprices!$I$69*Q$6</f>
        <v>12.103000000000002</v>
      </c>
      <c r="R29">
        <f>Worldprices!$I$69*R$6</f>
        <v>12.103000000000002</v>
      </c>
      <c r="S29">
        <f>Worldprices!$I$69*S$6</f>
        <v>12.103000000000002</v>
      </c>
      <c r="T29">
        <f>Worldprices!$I$69*T$6</f>
        <v>12.103000000000002</v>
      </c>
      <c r="U29">
        <f>Worldprices!$I$69*U$6</f>
        <v>12.103000000000002</v>
      </c>
      <c r="V29">
        <f>Worldprices!$I$69*V$6</f>
        <v>11.497850000000001</v>
      </c>
      <c r="W29">
        <f>Worldprices!$I$69*W$6</f>
        <v>12.103000000000002</v>
      </c>
      <c r="X29">
        <f>Worldprices!$I$69*X$6</f>
        <v>12.103000000000002</v>
      </c>
      <c r="Y29">
        <f>Worldprices!$I$69*Y$6</f>
        <v>12.103000000000002</v>
      </c>
      <c r="Z29">
        <f>Worldprices!$I$69*Z$6</f>
        <v>12.103000000000002</v>
      </c>
      <c r="AA29">
        <f>Worldprices!$I$69*AA$6</f>
        <v>12.103000000000002</v>
      </c>
      <c r="AB29">
        <f>Worldprices!$I$69*AB$6</f>
        <v>12.103000000000002</v>
      </c>
      <c r="AC29">
        <f>Worldprices!$I$69*AC$6</f>
        <v>12.103000000000002</v>
      </c>
      <c r="AD29">
        <f>Worldprices!$I$69*AD$6</f>
        <v>12.103000000000002</v>
      </c>
      <c r="AE29">
        <f>Worldprices!$I$69*AE$6</f>
        <v>12.103000000000002</v>
      </c>
      <c r="AF29">
        <f>Worldprices!$I$69*AF$6</f>
        <v>12.103000000000002</v>
      </c>
      <c r="AG29">
        <f>Worldprices!$I$69*AG$6</f>
        <v>12.103000000000002</v>
      </c>
      <c r="AH29">
        <f>Worldprices!$I$69*AH$6</f>
        <v>12.103000000000002</v>
      </c>
      <c r="AI29">
        <f>Worldprices!$I$69*AI$6</f>
        <v>12.103000000000002</v>
      </c>
      <c r="AJ29">
        <f>Worldprices!$I$69*AJ$6</f>
        <v>12.103000000000002</v>
      </c>
      <c r="AK29">
        <f>Worldprices!$I$69*AK$6</f>
        <v>12.103000000000002</v>
      </c>
      <c r="AL29">
        <f>Worldprices!$I$69*AL$6</f>
        <v>12.103000000000002</v>
      </c>
      <c r="AM29">
        <f>Worldprices!$I$69*AM$6</f>
        <v>12.103000000000002</v>
      </c>
      <c r="AN29">
        <f>Worldprices!$I$69*AN$6</f>
        <v>12.103000000000002</v>
      </c>
      <c r="AO29">
        <f>Worldprices!$I$69*AO$6</f>
        <v>12.103000000000002</v>
      </c>
      <c r="AP29">
        <f>Worldprices!$I$69*AP$6</f>
        <v>12.103000000000002</v>
      </c>
      <c r="AQ29">
        <f>Worldprices!$I$69*AQ$6</f>
        <v>12.103000000000002</v>
      </c>
      <c r="AR29">
        <f t="shared" si="2"/>
        <v>12.103000000000002</v>
      </c>
    </row>
    <row r="30" spans="1:44" ht="12.75">
      <c r="A30" t="s">
        <v>248</v>
      </c>
      <c r="B30" t="s">
        <v>351</v>
      </c>
      <c r="D30" t="str">
        <f t="shared" si="0"/>
        <v>COST</v>
      </c>
      <c r="E30">
        <v>2020</v>
      </c>
      <c r="F30" t="str">
        <f>Worldprices!$J$62</f>
        <v>IMPOILLPG</v>
      </c>
      <c r="G30" t="str">
        <f>Worldprices!$J$63</f>
        <v>OILLPG</v>
      </c>
      <c r="H30">
        <f>Worldprices!$J$69*H$7</f>
        <v>10.241000000000001</v>
      </c>
      <c r="I30">
        <f>Worldprices!$J$69*I$7</f>
        <v>10.241000000000001</v>
      </c>
      <c r="J30">
        <f t="shared" si="1"/>
        <v>10.241000000000001</v>
      </c>
      <c r="K30">
        <f>Worldprices!$J$69*K$7</f>
        <v>10.241000000000001</v>
      </c>
      <c r="L30">
        <f>Worldprices!$J$69*L$7</f>
        <v>10.241000000000001</v>
      </c>
      <c r="M30">
        <f>Worldprices!$J$69*M$7</f>
        <v>10.241000000000001</v>
      </c>
      <c r="N30">
        <f>Worldprices!$J$69*N$7</f>
        <v>10.241000000000001</v>
      </c>
      <c r="O30">
        <f>Worldprices!$J$69*O$7</f>
        <v>10.241000000000001</v>
      </c>
      <c r="P30">
        <f>Worldprices!$J$69*P$7</f>
        <v>10.241000000000001</v>
      </c>
      <c r="Q30">
        <f>Worldprices!$J$69*Q$7</f>
        <v>10.241000000000001</v>
      </c>
      <c r="R30">
        <f>Worldprices!$J$69*R$7</f>
        <v>10.241000000000001</v>
      </c>
      <c r="S30">
        <f>Worldprices!$J$69*S$7</f>
        <v>10.241000000000001</v>
      </c>
      <c r="T30">
        <f>Worldprices!$J$69*T$7</f>
        <v>10.241000000000001</v>
      </c>
      <c r="U30">
        <f>Worldprices!$J$69*U$7</f>
        <v>10.241000000000001</v>
      </c>
      <c r="V30">
        <f>Worldprices!$J$69*V$7</f>
        <v>9.7289500000000011</v>
      </c>
      <c r="W30">
        <f>Worldprices!$J$69*W$7</f>
        <v>10.241000000000001</v>
      </c>
      <c r="X30">
        <f>Worldprices!$J$69*X$7</f>
        <v>10.241000000000001</v>
      </c>
      <c r="Y30">
        <f>Worldprices!$J$69*Y$7</f>
        <v>10.241000000000001</v>
      </c>
      <c r="Z30">
        <f>Worldprices!$J$69*Z$7</f>
        <v>10.241000000000001</v>
      </c>
      <c r="AA30">
        <f>Worldprices!$J$69*AA$7</f>
        <v>10.241000000000001</v>
      </c>
      <c r="AB30">
        <f>Worldprices!$J$69*AB$7</f>
        <v>10.241000000000001</v>
      </c>
      <c r="AC30">
        <f>Worldprices!$J$69*AC$7</f>
        <v>10.241000000000001</v>
      </c>
      <c r="AD30">
        <f>Worldprices!$J$69*AD$7</f>
        <v>10.241000000000001</v>
      </c>
      <c r="AE30">
        <f>Worldprices!$J$69*AE$7</f>
        <v>10.241000000000001</v>
      </c>
      <c r="AF30">
        <f>Worldprices!$J$69*AF$7</f>
        <v>10.241000000000001</v>
      </c>
      <c r="AG30">
        <f>Worldprices!$J$69*AG$7</f>
        <v>10.241000000000001</v>
      </c>
      <c r="AH30">
        <f>Worldprices!$J$69*AH$7</f>
        <v>10.241000000000001</v>
      </c>
      <c r="AI30">
        <f>Worldprices!$J$69*AI$7</f>
        <v>10.241000000000001</v>
      </c>
      <c r="AJ30">
        <f>Worldprices!$J$69*AJ$7</f>
        <v>10.241000000000001</v>
      </c>
      <c r="AK30">
        <f>Worldprices!$J$69*AK$7</f>
        <v>10.241000000000001</v>
      </c>
      <c r="AL30">
        <f>Worldprices!$J$69*AL$7</f>
        <v>10.241000000000001</v>
      </c>
      <c r="AM30">
        <f>Worldprices!$J$69*AM$7</f>
        <v>10.241000000000001</v>
      </c>
      <c r="AN30">
        <f>Worldprices!$J$69*AN$7</f>
        <v>10.241000000000001</v>
      </c>
      <c r="AO30">
        <f>Worldprices!$J$69*AO$7</f>
        <v>10.241000000000001</v>
      </c>
      <c r="AP30">
        <f>Worldprices!$J$69*AP$7</f>
        <v>10.241000000000001</v>
      </c>
      <c r="AQ30">
        <f>Worldprices!$J$69*AQ$7</f>
        <v>10.241000000000001</v>
      </c>
      <c r="AR30">
        <f t="shared" si="2"/>
        <v>10.241000000000001</v>
      </c>
    </row>
    <row r="31" spans="1:44" ht="12.75">
      <c r="A31" t="s">
        <v>248</v>
      </c>
      <c r="B31" t="s">
        <v>351</v>
      </c>
      <c r="D31" t="str">
        <f t="shared" si="0"/>
        <v>COST</v>
      </c>
      <c r="E31">
        <v>2020</v>
      </c>
      <c r="F31" t="str">
        <f>Worldprices!$K$62</f>
        <v>IMPOILGSL</v>
      </c>
      <c r="G31" t="str">
        <f>Worldprices!$K$63</f>
        <v>OILGSL</v>
      </c>
      <c r="H31">
        <f>Worldprices!$K$69*H$7</f>
        <v>13.034000000000001</v>
      </c>
      <c r="I31">
        <f>Worldprices!$K$69*I$7</f>
        <v>13.034000000000001</v>
      </c>
      <c r="J31">
        <f t="shared" si="1"/>
        <v>13.034000000000001</v>
      </c>
      <c r="K31">
        <f>Worldprices!$K$69*K$7</f>
        <v>13.034000000000001</v>
      </c>
      <c r="L31">
        <f>Worldprices!$K$69*L$7</f>
        <v>13.034000000000001</v>
      </c>
      <c r="M31">
        <f>Worldprices!$K$69*M$7</f>
        <v>13.034000000000001</v>
      </c>
      <c r="N31">
        <f>Worldprices!$K$69*N$7</f>
        <v>13.034000000000001</v>
      </c>
      <c r="O31">
        <f>Worldprices!$K$69*O$7</f>
        <v>13.034000000000001</v>
      </c>
      <c r="P31">
        <f>Worldprices!$K$69*P$7</f>
        <v>13.034000000000001</v>
      </c>
      <c r="Q31">
        <f>Worldprices!$K$69*Q$7</f>
        <v>13.034000000000001</v>
      </c>
      <c r="R31">
        <f>Worldprices!$K$69*R$7</f>
        <v>13.034000000000001</v>
      </c>
      <c r="S31">
        <f>Worldprices!$K$69*S$7</f>
        <v>13.034000000000001</v>
      </c>
      <c r="T31">
        <f>Worldprices!$K$69*T$7</f>
        <v>13.034000000000001</v>
      </c>
      <c r="U31">
        <f>Worldprices!$K$69*U$7</f>
        <v>13.034000000000001</v>
      </c>
      <c r="V31">
        <f>Worldprices!$K$69*V$7</f>
        <v>12.382300000000001</v>
      </c>
      <c r="W31">
        <f>Worldprices!$K$69*W$7</f>
        <v>13.034000000000001</v>
      </c>
      <c r="X31">
        <f>Worldprices!$K$69*X$7</f>
        <v>13.034000000000001</v>
      </c>
      <c r="Y31">
        <f>Worldprices!$K$69*Y$7</f>
        <v>13.034000000000001</v>
      </c>
      <c r="Z31">
        <f>Worldprices!$K$69*Z$7</f>
        <v>13.034000000000001</v>
      </c>
      <c r="AA31">
        <f>Worldprices!$K$69*AA$7</f>
        <v>13.034000000000001</v>
      </c>
      <c r="AB31">
        <f>Worldprices!$K$69*AB$7</f>
        <v>13.034000000000001</v>
      </c>
      <c r="AC31">
        <f>Worldprices!$K$69*AC$7</f>
        <v>13.034000000000001</v>
      </c>
      <c r="AD31">
        <f>Worldprices!$K$69*AD$7</f>
        <v>13.034000000000001</v>
      </c>
      <c r="AE31">
        <f>Worldprices!$K$69*AE$7</f>
        <v>13.034000000000001</v>
      </c>
      <c r="AF31">
        <f>Worldprices!$K$69*AF$7</f>
        <v>13.034000000000001</v>
      </c>
      <c r="AG31">
        <f>Worldprices!$K$69*AG$7</f>
        <v>13.034000000000001</v>
      </c>
      <c r="AH31">
        <f>Worldprices!$K$69*AH$7</f>
        <v>13.034000000000001</v>
      </c>
      <c r="AI31">
        <f>Worldprices!$K$69*AI$7</f>
        <v>13.034000000000001</v>
      </c>
      <c r="AJ31">
        <f>Worldprices!$K$69*AJ$7</f>
        <v>13.034000000000001</v>
      </c>
      <c r="AK31">
        <f>Worldprices!$K$69*AK$7</f>
        <v>13.034000000000001</v>
      </c>
      <c r="AL31">
        <f>Worldprices!$K$69*AL$7</f>
        <v>13.034000000000001</v>
      </c>
      <c r="AM31">
        <f>Worldprices!$K$69*AM$7</f>
        <v>13.034000000000001</v>
      </c>
      <c r="AN31">
        <f>Worldprices!$K$69*AN$7</f>
        <v>13.034000000000001</v>
      </c>
      <c r="AO31">
        <f>Worldprices!$K$69*AO$7</f>
        <v>13.034000000000001</v>
      </c>
      <c r="AP31">
        <f>Worldprices!$K$69*AP$7</f>
        <v>13.034000000000001</v>
      </c>
      <c r="AQ31">
        <f>Worldprices!$K$69*AQ$7</f>
        <v>13.034000000000001</v>
      </c>
      <c r="AR31">
        <f t="shared" si="2"/>
        <v>13.034000000000001</v>
      </c>
    </row>
    <row r="32" spans="1:44" ht="12.75">
      <c r="A32" t="s">
        <v>248</v>
      </c>
      <c r="B32" t="s">
        <v>351</v>
      </c>
      <c r="D32" t="str">
        <f t="shared" si="0"/>
        <v>COST</v>
      </c>
      <c r="E32">
        <v>2020</v>
      </c>
      <c r="F32" t="str">
        <f>Worldprices!$L$62</f>
        <v>IMPOILKER</v>
      </c>
      <c r="G32" t="str">
        <f>Worldprices!$L$63</f>
        <v>OILKER</v>
      </c>
      <c r="H32">
        <f>Worldprices!$L$69*H$7</f>
        <v>13.034000000000001</v>
      </c>
      <c r="I32">
        <f>Worldprices!$L$69*I$7</f>
        <v>13.034000000000001</v>
      </c>
      <c r="J32">
        <f t="shared" si="1"/>
        <v>13.034000000000001</v>
      </c>
      <c r="K32">
        <f>Worldprices!$L$69*K$7</f>
        <v>13.034000000000001</v>
      </c>
      <c r="L32">
        <f>Worldprices!$L$69*L$7</f>
        <v>13.034000000000001</v>
      </c>
      <c r="M32">
        <f>Worldprices!$L$69*M$7</f>
        <v>13.034000000000001</v>
      </c>
      <c r="N32">
        <f>Worldprices!$L$69*N$7</f>
        <v>13.034000000000001</v>
      </c>
      <c r="O32">
        <f>Worldprices!$L$69*O$7</f>
        <v>13.034000000000001</v>
      </c>
      <c r="P32">
        <f>Worldprices!$L$69*P$7</f>
        <v>13.034000000000001</v>
      </c>
      <c r="Q32">
        <f>Worldprices!$L$69*Q$7</f>
        <v>13.034000000000001</v>
      </c>
      <c r="R32">
        <f>Worldprices!$L$69*R$7</f>
        <v>13.034000000000001</v>
      </c>
      <c r="S32">
        <f>Worldprices!$L$69*S$7</f>
        <v>13.034000000000001</v>
      </c>
      <c r="T32">
        <f>Worldprices!$L$69*T$7</f>
        <v>13.034000000000001</v>
      </c>
      <c r="U32">
        <f>Worldprices!$L$69*U$7</f>
        <v>13.034000000000001</v>
      </c>
      <c r="V32">
        <f>Worldprices!$L$69*V$7</f>
        <v>12.382300000000001</v>
      </c>
      <c r="W32">
        <f>Worldprices!$L$69*W$7</f>
        <v>13.034000000000001</v>
      </c>
      <c r="X32">
        <f>Worldprices!$L$69*X$7</f>
        <v>13.034000000000001</v>
      </c>
      <c r="Y32">
        <f>Worldprices!$L$69*Y$7</f>
        <v>13.034000000000001</v>
      </c>
      <c r="Z32">
        <f>Worldprices!$L$69*Z$7</f>
        <v>13.034000000000001</v>
      </c>
      <c r="AA32">
        <f>Worldprices!$L$69*AA$7</f>
        <v>13.034000000000001</v>
      </c>
      <c r="AB32">
        <f>Worldprices!$L$69*AB$7</f>
        <v>13.034000000000001</v>
      </c>
      <c r="AC32">
        <f>Worldprices!$L$69*AC$7</f>
        <v>13.034000000000001</v>
      </c>
      <c r="AD32">
        <f>Worldprices!$L$69*AD$7</f>
        <v>13.034000000000001</v>
      </c>
      <c r="AE32">
        <f>Worldprices!$L$69*AE$7</f>
        <v>13.034000000000001</v>
      </c>
      <c r="AF32">
        <f>Worldprices!$L$69*AF$7</f>
        <v>13.034000000000001</v>
      </c>
      <c r="AG32">
        <f>Worldprices!$L$69*AG$7</f>
        <v>13.034000000000001</v>
      </c>
      <c r="AH32">
        <f>Worldprices!$L$69*AH$7</f>
        <v>13.034000000000001</v>
      </c>
      <c r="AI32">
        <f>Worldprices!$L$69*AI$7</f>
        <v>13.034000000000001</v>
      </c>
      <c r="AJ32">
        <f>Worldprices!$L$69*AJ$7</f>
        <v>13.034000000000001</v>
      </c>
      <c r="AK32">
        <f>Worldprices!$L$69*AK$7</f>
        <v>13.034000000000001</v>
      </c>
      <c r="AL32">
        <f>Worldprices!$L$69*AL$7</f>
        <v>13.034000000000001</v>
      </c>
      <c r="AM32">
        <f>Worldprices!$L$69*AM$7</f>
        <v>13.034000000000001</v>
      </c>
      <c r="AN32">
        <f>Worldprices!$L$69*AN$7</f>
        <v>13.034000000000001</v>
      </c>
      <c r="AO32">
        <f>Worldprices!$L$69*AO$7</f>
        <v>13.034000000000001</v>
      </c>
      <c r="AP32">
        <f>Worldprices!$L$69*AP$7</f>
        <v>13.034000000000001</v>
      </c>
      <c r="AQ32">
        <f>Worldprices!$L$69*AQ$7</f>
        <v>13.034000000000001</v>
      </c>
      <c r="AR32">
        <f t="shared" si="2"/>
        <v>13.034000000000001</v>
      </c>
    </row>
    <row r="33" spans="1:44" ht="12.75">
      <c r="A33" t="s">
        <v>248</v>
      </c>
      <c r="B33" t="s">
        <v>351</v>
      </c>
      <c r="D33" t="str">
        <f t="shared" si="0"/>
        <v>*</v>
      </c>
      <c r="E33">
        <v>2020</v>
      </c>
      <c r="F33" t="str">
        <f>Worldprices!$Q$62</f>
        <v>IMPGASNAT</v>
      </c>
      <c r="G33" t="str">
        <f>Worldprices!$Q$63</f>
        <v>GASNAT</v>
      </c>
      <c r="H33">
        <f>Worldprices!$Q$69*H$8</f>
        <v>13.390000000000001</v>
      </c>
      <c r="I33">
        <f>Worldprices!$Q$69*I$8</f>
        <v>13.390000000000001</v>
      </c>
      <c r="J33">
        <f t="shared" si="1"/>
        <v>13.390000000000001</v>
      </c>
      <c r="K33">
        <f>Worldprices!$Q$69*K$8</f>
        <v>13.390000000000001</v>
      </c>
      <c r="L33">
        <f>Worldprices!$Q$69*L$8</f>
        <v>13.390000000000001</v>
      </c>
      <c r="M33">
        <f>Worldprices!$Q$69*M$8</f>
        <v>13.390000000000001</v>
      </c>
      <c r="N33">
        <f>Worldprices!$Q$69*N$8</f>
        <v>13.390000000000001</v>
      </c>
      <c r="O33">
        <f>Worldprices!$Q$69*O$8</f>
        <v>13.390000000000001</v>
      </c>
      <c r="P33">
        <f>Worldprices!$Q$69*P$8</f>
        <v>11.381500000000001</v>
      </c>
      <c r="Q33">
        <f>Worldprices!$Q$69*Q$8</f>
        <v>12.051</v>
      </c>
      <c r="R33">
        <f>Worldprices!$Q$69*R$8</f>
        <v>13.390000000000001</v>
      </c>
      <c r="S33">
        <f>Worldprices!$Q$69*S$8</f>
        <v>13.390000000000001</v>
      </c>
      <c r="T33">
        <f>Worldprices!$Q$69*T$8</f>
        <v>13.390000000000001</v>
      </c>
      <c r="U33">
        <f>Worldprices!$Q$69*U$8</f>
        <v>13.390000000000001</v>
      </c>
      <c r="V33">
        <f>Worldprices!$Q$69*V$8</f>
        <v>12.051</v>
      </c>
      <c r="W33">
        <f>Worldprices!$Q$69*W$8</f>
        <v>13.390000000000001</v>
      </c>
      <c r="X33">
        <f>Worldprices!$Q$69*X$8</f>
        <v>13.390000000000001</v>
      </c>
      <c r="Y33">
        <f>Worldprices!$Q$69*Y$8</f>
        <v>13.390000000000001</v>
      </c>
      <c r="Z33">
        <f>Worldprices!$Q$69*Z$8</f>
        <v>13.390000000000001</v>
      </c>
      <c r="AA33">
        <f>Worldprices!$Q$69*AA$8</f>
        <v>13.390000000000001</v>
      </c>
      <c r="AB33">
        <f>Worldprices!$Q$69*AB$8</f>
        <v>13.390000000000001</v>
      </c>
      <c r="AC33">
        <f>Worldprices!$Q$69*AC$8</f>
        <v>13.390000000000001</v>
      </c>
      <c r="AD33">
        <f>Worldprices!$Q$69*AD$8</f>
        <v>13.390000000000001</v>
      </c>
      <c r="AE33">
        <f>Worldprices!$Q$69*AE$8</f>
        <v>13.390000000000001</v>
      </c>
      <c r="AF33">
        <f>Worldprices!$Q$69*AF$8</f>
        <v>13.390000000000001</v>
      </c>
      <c r="AG33">
        <f>Worldprices!$Q$69*AG$8</f>
        <v>13.390000000000001</v>
      </c>
      <c r="AH33">
        <f>Worldprices!$Q$69*AH$8</f>
        <v>13.390000000000001</v>
      </c>
      <c r="AI33">
        <f>Worldprices!$Q$69*AI$8</f>
        <v>13.390000000000001</v>
      </c>
      <c r="AJ33">
        <f>Worldprices!$Q$69*AJ$8</f>
        <v>13.390000000000001</v>
      </c>
      <c r="AK33">
        <f>Worldprices!$Q$69*AK$8</f>
        <v>13.390000000000001</v>
      </c>
      <c r="AL33">
        <f>Worldprices!$Q$69*AL$8</f>
        <v>13.390000000000001</v>
      </c>
      <c r="AM33">
        <f>Worldprices!$Q$69*AM$8</f>
        <v>13.390000000000001</v>
      </c>
      <c r="AN33">
        <f>Worldprices!$Q$69*AN$8</f>
        <v>13.390000000000001</v>
      </c>
      <c r="AO33">
        <f>Worldprices!$Q$69*AO$8</f>
        <v>13.390000000000001</v>
      </c>
      <c r="AP33">
        <f>Worldprices!$Q$69*AP$8</f>
        <v>13.390000000000001</v>
      </c>
      <c r="AQ33">
        <f>Worldprices!$Q$69*AQ$8</f>
        <v>13.390000000000001</v>
      </c>
      <c r="AR33">
        <f t="shared" si="2"/>
        <v>13.390000000000001</v>
      </c>
    </row>
    <row r="34" spans="1:44" ht="12.75">
      <c r="A34" t="s">
        <v>248</v>
      </c>
      <c r="B34" t="s">
        <v>351</v>
      </c>
      <c r="D34" t="str">
        <f t="shared" si="0"/>
        <v>COST</v>
      </c>
      <c r="E34">
        <v>2025</v>
      </c>
      <c r="F34" t="str">
        <f>Worldprices!$G$62</f>
        <v>IMPOILCRD</v>
      </c>
      <c r="G34" t="str">
        <f>Worldprices!$G$63</f>
        <v>OILCRD</v>
      </c>
      <c r="H34">
        <f>Worldprices!$G$70*H$5</f>
        <v>10.332000000000001</v>
      </c>
      <c r="I34">
        <f>Worldprices!$G$70*I$5</f>
        <v>11.48</v>
      </c>
      <c r="J34">
        <f t="shared" si="1"/>
        <v>11.48</v>
      </c>
      <c r="K34">
        <f>Worldprices!$G$70*K$5</f>
        <v>11.48</v>
      </c>
      <c r="L34">
        <f>Worldprices!$G$70*L$5</f>
        <v>11.48</v>
      </c>
      <c r="M34">
        <f>Worldprices!$G$70*M$5</f>
        <v>11.48</v>
      </c>
      <c r="N34">
        <f>Worldprices!$G$70*N$5</f>
        <v>11.48</v>
      </c>
      <c r="O34">
        <f>Worldprices!$G$70*O$5</f>
        <v>11.48</v>
      </c>
      <c r="P34">
        <f>Worldprices!$G$70*P$5</f>
        <v>9.7580000000000009</v>
      </c>
      <c r="Q34">
        <f>Worldprices!$G$70*Q$5</f>
        <v>11.48</v>
      </c>
      <c r="R34">
        <f>Worldprices!$G$70*R$5</f>
        <v>11.48</v>
      </c>
      <c r="S34">
        <f>Worldprices!$G$70*S$5</f>
        <v>11.48</v>
      </c>
      <c r="T34">
        <f>Worldprices!$G$70*T$5</f>
        <v>11.48</v>
      </c>
      <c r="U34">
        <f>Worldprices!$G$70*U$5</f>
        <v>10.332000000000001</v>
      </c>
      <c r="V34">
        <f>Worldprices!$G$70*V$5</f>
        <v>10.332000000000001</v>
      </c>
      <c r="W34">
        <f>Worldprices!$G$70*W$5</f>
        <v>11.48</v>
      </c>
      <c r="X34">
        <f>Worldprices!$G$70*X$5</f>
        <v>11.48</v>
      </c>
      <c r="Y34">
        <f>Worldprices!$G$70*Y$5</f>
        <v>11.48</v>
      </c>
      <c r="Z34">
        <f>Worldprices!$G$70*Z$5</f>
        <v>11.48</v>
      </c>
      <c r="AA34">
        <f>Worldprices!$G$70*AA$5</f>
        <v>11.48</v>
      </c>
      <c r="AB34">
        <f>Worldprices!$G$70*AB$5</f>
        <v>11.48</v>
      </c>
      <c r="AC34">
        <f>Worldprices!$G$70*AC$5</f>
        <v>11.48</v>
      </c>
      <c r="AD34">
        <f>Worldprices!$G$70*AD$5</f>
        <v>11.48</v>
      </c>
      <c r="AE34">
        <f>Worldprices!$G$70*AE$5</f>
        <v>11.48</v>
      </c>
      <c r="AF34">
        <f>Worldprices!$G$70*AF$5</f>
        <v>11.48</v>
      </c>
      <c r="AG34">
        <f>Worldprices!$G$70*AG$5</f>
        <v>11.48</v>
      </c>
      <c r="AH34">
        <f>Worldprices!$G$70*AH$5</f>
        <v>11.48</v>
      </c>
      <c r="AI34">
        <f>Worldprices!$G$70*AI$5</f>
        <v>11.48</v>
      </c>
      <c r="AJ34">
        <f>Worldprices!$G$70*AJ$5</f>
        <v>11.48</v>
      </c>
      <c r="AK34">
        <f>Worldprices!$G$70*AK$5</f>
        <v>11.48</v>
      </c>
      <c r="AL34">
        <f>Worldprices!$G$70*AL$5</f>
        <v>11.48</v>
      </c>
      <c r="AM34">
        <f>Worldprices!$G$70*AM$5</f>
        <v>11.48</v>
      </c>
      <c r="AN34">
        <f>Worldprices!$G$70*AN$5</f>
        <v>11.48</v>
      </c>
      <c r="AO34">
        <f>Worldprices!$G$70*AO$5</f>
        <v>11.48</v>
      </c>
      <c r="AP34">
        <f>Worldprices!$G$70*AP$5</f>
        <v>11.48</v>
      </c>
      <c r="AQ34">
        <f>Worldprices!$G$70*AQ$5</f>
        <v>11.48</v>
      </c>
      <c r="AR34">
        <f t="shared" si="2"/>
        <v>11.48</v>
      </c>
    </row>
    <row r="35" spans="1:44" ht="12.75">
      <c r="A35" t="s">
        <v>248</v>
      </c>
      <c r="B35" t="s">
        <v>351</v>
      </c>
      <c r="D35" t="str">
        <f t="shared" si="0"/>
        <v>COST</v>
      </c>
      <c r="E35">
        <v>2025</v>
      </c>
      <c r="F35" t="str">
        <f>Worldprices!$H$62</f>
        <v>IMPOILHFO</v>
      </c>
      <c r="G35" t="str">
        <f>Worldprices!$H$63</f>
        <v>OILHFO</v>
      </c>
      <c r="H35">
        <f>Worldprices!$H$70*H$5</f>
        <v>8.368920000000001</v>
      </c>
      <c r="I35">
        <f>Worldprices!$H$70*I$5</f>
        <v>9.2988000000000017</v>
      </c>
      <c r="J35">
        <f t="shared" si="1"/>
        <v>9.2988000000000017</v>
      </c>
      <c r="K35">
        <f>Worldprices!$H$70*K$5</f>
        <v>9.2988000000000017</v>
      </c>
      <c r="L35">
        <f>Worldprices!$H$70*L$5</f>
        <v>9.2988000000000017</v>
      </c>
      <c r="M35">
        <f>Worldprices!$H$70*M$5</f>
        <v>9.2988000000000017</v>
      </c>
      <c r="N35">
        <f>Worldprices!$H$70*N$5</f>
        <v>9.2988000000000017</v>
      </c>
      <c r="O35">
        <f>Worldprices!$H$70*O$5</f>
        <v>9.2988000000000017</v>
      </c>
      <c r="P35">
        <f>Worldprices!$H$70*P$5</f>
        <v>7.9039800000000016</v>
      </c>
      <c r="Q35">
        <f>Worldprices!$H$70*Q$5</f>
        <v>9.2988000000000017</v>
      </c>
      <c r="R35">
        <f>Worldprices!$H$70*R$5</f>
        <v>9.2988000000000017</v>
      </c>
      <c r="S35">
        <f>Worldprices!$H$70*S$5</f>
        <v>9.2988000000000017</v>
      </c>
      <c r="T35">
        <f>Worldprices!$H$70*T$5</f>
        <v>9.2988000000000017</v>
      </c>
      <c r="U35">
        <f>Worldprices!$H$70*U$5</f>
        <v>8.368920000000001</v>
      </c>
      <c r="V35">
        <f>Worldprices!$H$70*V$5</f>
        <v>8.368920000000001</v>
      </c>
      <c r="W35">
        <f>Worldprices!$H$70*W$5</f>
        <v>9.2988000000000017</v>
      </c>
      <c r="X35">
        <f>Worldprices!$H$70*X$5</f>
        <v>9.2988000000000017</v>
      </c>
      <c r="Y35">
        <f>Worldprices!$H$70*Y$5</f>
        <v>9.2988000000000017</v>
      </c>
      <c r="Z35">
        <f>Worldprices!$H$70*Z$5</f>
        <v>9.2988000000000017</v>
      </c>
      <c r="AA35">
        <f>Worldprices!$H$70*AA$5</f>
        <v>9.2988000000000017</v>
      </c>
      <c r="AB35">
        <f>Worldprices!$H$70*AB$5</f>
        <v>9.2988000000000017</v>
      </c>
      <c r="AC35">
        <f>Worldprices!$H$70*AC$5</f>
        <v>9.2988000000000017</v>
      </c>
      <c r="AD35">
        <f>Worldprices!$H$70*AD$5</f>
        <v>9.2988000000000017</v>
      </c>
      <c r="AE35">
        <f>Worldprices!$H$70*AE$5</f>
        <v>9.2988000000000017</v>
      </c>
      <c r="AF35">
        <f>Worldprices!$H$70*AF$5</f>
        <v>9.2988000000000017</v>
      </c>
      <c r="AG35">
        <f>Worldprices!$H$70*AG$5</f>
        <v>9.2988000000000017</v>
      </c>
      <c r="AH35">
        <f>Worldprices!$H$70*AH$5</f>
        <v>9.2988000000000017</v>
      </c>
      <c r="AI35">
        <f>Worldprices!$H$70*AI$5</f>
        <v>9.2988000000000017</v>
      </c>
      <c r="AJ35">
        <f>Worldprices!$H$70*AJ$5</f>
        <v>9.2988000000000017</v>
      </c>
      <c r="AK35">
        <f>Worldprices!$H$70*AK$5</f>
        <v>9.2988000000000017</v>
      </c>
      <c r="AL35">
        <f>Worldprices!$H$70*AL$5</f>
        <v>9.2988000000000017</v>
      </c>
      <c r="AM35">
        <f>Worldprices!$H$70*AM$5</f>
        <v>9.2988000000000017</v>
      </c>
      <c r="AN35">
        <f>Worldprices!$H$70*AN$5</f>
        <v>9.2988000000000017</v>
      </c>
      <c r="AO35">
        <f>Worldprices!$H$70*AO$5</f>
        <v>9.2988000000000017</v>
      </c>
      <c r="AP35">
        <f>Worldprices!$H$70*AP$5</f>
        <v>9.2988000000000017</v>
      </c>
      <c r="AQ35">
        <f>Worldprices!$H$70*AQ$5</f>
        <v>9.2988000000000017</v>
      </c>
      <c r="AR35">
        <f t="shared" si="2"/>
        <v>9.2988000000000017</v>
      </c>
    </row>
    <row r="36" spans="1:44" ht="12.75">
      <c r="A36" t="s">
        <v>248</v>
      </c>
      <c r="B36" t="s">
        <v>351</v>
      </c>
      <c r="D36" t="str">
        <f t="shared" si="0"/>
        <v>COST</v>
      </c>
      <c r="E36">
        <v>2025</v>
      </c>
      <c r="F36" t="str">
        <f>Worldprices!$I$62</f>
        <v>IMPOILDST</v>
      </c>
      <c r="G36" t="str">
        <f>Worldprices!$I$63</f>
        <v>OILDST</v>
      </c>
      <c r="H36">
        <f>Worldprices!$I$70*H$6</f>
        <v>14.924000000000001</v>
      </c>
      <c r="I36">
        <f>Worldprices!$I$70*I$6</f>
        <v>14.924000000000001</v>
      </c>
      <c r="J36">
        <f t="shared" si="1"/>
        <v>14.924000000000001</v>
      </c>
      <c r="K36">
        <f>Worldprices!$I$70*K$6</f>
        <v>14.924000000000001</v>
      </c>
      <c r="L36">
        <f>Worldprices!$I$70*L$6</f>
        <v>14.924000000000001</v>
      </c>
      <c r="M36">
        <f>Worldprices!$I$70*M$6</f>
        <v>14.924000000000001</v>
      </c>
      <c r="N36">
        <f>Worldprices!$I$70*N$6</f>
        <v>14.924000000000001</v>
      </c>
      <c r="O36">
        <f>Worldprices!$I$70*O$6</f>
        <v>14.924000000000001</v>
      </c>
      <c r="P36">
        <f>Worldprices!$I$70*P$6</f>
        <v>14.924000000000001</v>
      </c>
      <c r="Q36">
        <f>Worldprices!$I$70*Q$6</f>
        <v>14.924000000000001</v>
      </c>
      <c r="R36">
        <f>Worldprices!$I$70*R$6</f>
        <v>14.924000000000001</v>
      </c>
      <c r="S36">
        <f>Worldprices!$I$70*S$6</f>
        <v>14.924000000000001</v>
      </c>
      <c r="T36">
        <f>Worldprices!$I$70*T$6</f>
        <v>14.924000000000001</v>
      </c>
      <c r="U36">
        <f>Worldprices!$I$70*U$6</f>
        <v>14.924000000000001</v>
      </c>
      <c r="V36">
        <f>Worldprices!$I$70*V$6</f>
        <v>14.177800000000001</v>
      </c>
      <c r="W36">
        <f>Worldprices!$I$70*W$6</f>
        <v>14.924000000000001</v>
      </c>
      <c r="X36">
        <f>Worldprices!$I$70*X$6</f>
        <v>14.924000000000001</v>
      </c>
      <c r="Y36">
        <f>Worldprices!$I$70*Y$6</f>
        <v>14.924000000000001</v>
      </c>
      <c r="Z36">
        <f>Worldprices!$I$70*Z$6</f>
        <v>14.924000000000001</v>
      </c>
      <c r="AA36">
        <f>Worldprices!$I$70*AA$6</f>
        <v>14.924000000000001</v>
      </c>
      <c r="AB36">
        <f>Worldprices!$I$70*AB$6</f>
        <v>14.924000000000001</v>
      </c>
      <c r="AC36">
        <f>Worldprices!$I$70*AC$6</f>
        <v>14.924000000000001</v>
      </c>
      <c r="AD36">
        <f>Worldprices!$I$70*AD$6</f>
        <v>14.924000000000001</v>
      </c>
      <c r="AE36">
        <f>Worldprices!$I$70*AE$6</f>
        <v>14.924000000000001</v>
      </c>
      <c r="AF36">
        <f>Worldprices!$I$70*AF$6</f>
        <v>14.924000000000001</v>
      </c>
      <c r="AG36">
        <f>Worldprices!$I$70*AG$6</f>
        <v>14.924000000000001</v>
      </c>
      <c r="AH36">
        <f>Worldprices!$I$70*AH$6</f>
        <v>14.924000000000001</v>
      </c>
      <c r="AI36">
        <f>Worldprices!$I$70*AI$6</f>
        <v>14.924000000000001</v>
      </c>
      <c r="AJ36">
        <f>Worldprices!$I$70*AJ$6</f>
        <v>14.924000000000001</v>
      </c>
      <c r="AK36">
        <f>Worldprices!$I$70*AK$6</f>
        <v>14.924000000000001</v>
      </c>
      <c r="AL36">
        <f>Worldprices!$I$70*AL$6</f>
        <v>14.924000000000001</v>
      </c>
      <c r="AM36">
        <f>Worldprices!$I$70*AM$6</f>
        <v>14.924000000000001</v>
      </c>
      <c r="AN36">
        <f>Worldprices!$I$70*AN$6</f>
        <v>14.924000000000001</v>
      </c>
      <c r="AO36">
        <f>Worldprices!$I$70*AO$6</f>
        <v>14.924000000000001</v>
      </c>
      <c r="AP36">
        <f>Worldprices!$I$70*AP$6</f>
        <v>14.924000000000001</v>
      </c>
      <c r="AQ36">
        <f>Worldprices!$I$70*AQ$6</f>
        <v>14.924000000000001</v>
      </c>
      <c r="AR36">
        <f t="shared" si="2"/>
        <v>14.924000000000001</v>
      </c>
    </row>
    <row r="37" spans="1:44" ht="12.75">
      <c r="A37" t="s">
        <v>248</v>
      </c>
      <c r="B37" t="s">
        <v>351</v>
      </c>
      <c r="D37" t="str">
        <f t="shared" si="0"/>
        <v>COST</v>
      </c>
      <c r="E37">
        <v>2025</v>
      </c>
      <c r="F37" t="str">
        <f>Worldprices!$J$62</f>
        <v>IMPOILLPG</v>
      </c>
      <c r="G37" t="str">
        <f>Worldprices!$J$63</f>
        <v>OILLPG</v>
      </c>
      <c r="H37">
        <f>Worldprices!$J$70*H$7</f>
        <v>12.628000000000002</v>
      </c>
      <c r="I37">
        <f>Worldprices!$J$70*I$7</f>
        <v>12.628000000000002</v>
      </c>
      <c r="J37">
        <f t="shared" si="1"/>
        <v>12.628000000000002</v>
      </c>
      <c r="K37">
        <f>Worldprices!$J$70*K$7</f>
        <v>12.628000000000002</v>
      </c>
      <c r="L37">
        <f>Worldprices!$J$70*L$7</f>
        <v>12.628000000000002</v>
      </c>
      <c r="M37">
        <f>Worldprices!$J$70*M$7</f>
        <v>12.628000000000002</v>
      </c>
      <c r="N37">
        <f>Worldprices!$J$70*N$7</f>
        <v>12.628000000000002</v>
      </c>
      <c r="O37">
        <f>Worldprices!$J$70*O$7</f>
        <v>12.628000000000002</v>
      </c>
      <c r="P37">
        <f>Worldprices!$J$70*P$7</f>
        <v>12.628000000000002</v>
      </c>
      <c r="Q37">
        <f>Worldprices!$J$70*Q$7</f>
        <v>12.628000000000002</v>
      </c>
      <c r="R37">
        <f>Worldprices!$J$70*R$7</f>
        <v>12.628000000000002</v>
      </c>
      <c r="S37">
        <f>Worldprices!$J$70*S$7</f>
        <v>12.628000000000002</v>
      </c>
      <c r="T37">
        <f>Worldprices!$J$70*T$7</f>
        <v>12.628000000000002</v>
      </c>
      <c r="U37">
        <f>Worldprices!$J$70*U$7</f>
        <v>12.628000000000002</v>
      </c>
      <c r="V37">
        <f>Worldprices!$J$70*V$7</f>
        <v>11.996600000000001</v>
      </c>
      <c r="W37">
        <f>Worldprices!$J$70*W$7</f>
        <v>12.628000000000002</v>
      </c>
      <c r="X37">
        <f>Worldprices!$J$70*X$7</f>
        <v>12.628000000000002</v>
      </c>
      <c r="Y37">
        <f>Worldprices!$J$70*Y$7</f>
        <v>12.628000000000002</v>
      </c>
      <c r="Z37">
        <f>Worldprices!$J$70*Z$7</f>
        <v>12.628000000000002</v>
      </c>
      <c r="AA37">
        <f>Worldprices!$J$70*AA$7</f>
        <v>12.628000000000002</v>
      </c>
      <c r="AB37">
        <f>Worldprices!$J$70*AB$7</f>
        <v>12.628000000000002</v>
      </c>
      <c r="AC37">
        <f>Worldprices!$J$70*AC$7</f>
        <v>12.628000000000002</v>
      </c>
      <c r="AD37">
        <f>Worldprices!$J$70*AD$7</f>
        <v>12.628000000000002</v>
      </c>
      <c r="AE37">
        <f>Worldprices!$J$70*AE$7</f>
        <v>12.628000000000002</v>
      </c>
      <c r="AF37">
        <f>Worldprices!$J$70*AF$7</f>
        <v>12.628000000000002</v>
      </c>
      <c r="AG37">
        <f>Worldprices!$J$70*AG$7</f>
        <v>12.628000000000002</v>
      </c>
      <c r="AH37">
        <f>Worldprices!$J$70*AH$7</f>
        <v>12.628000000000002</v>
      </c>
      <c r="AI37">
        <f>Worldprices!$J$70*AI$7</f>
        <v>12.628000000000002</v>
      </c>
      <c r="AJ37">
        <f>Worldprices!$J$70*AJ$7</f>
        <v>12.628000000000002</v>
      </c>
      <c r="AK37">
        <f>Worldprices!$J$70*AK$7</f>
        <v>12.628000000000002</v>
      </c>
      <c r="AL37">
        <f>Worldprices!$J$70*AL$7</f>
        <v>12.628000000000002</v>
      </c>
      <c r="AM37">
        <f>Worldprices!$J$70*AM$7</f>
        <v>12.628000000000002</v>
      </c>
      <c r="AN37">
        <f>Worldprices!$J$70*AN$7</f>
        <v>12.628000000000002</v>
      </c>
      <c r="AO37">
        <f>Worldprices!$J$70*AO$7</f>
        <v>12.628000000000002</v>
      </c>
      <c r="AP37">
        <f>Worldprices!$J$70*AP$7</f>
        <v>12.628000000000002</v>
      </c>
      <c r="AQ37">
        <f>Worldprices!$J$70*AQ$7</f>
        <v>12.628000000000002</v>
      </c>
      <c r="AR37">
        <f t="shared" si="2"/>
        <v>12.628000000000002</v>
      </c>
    </row>
    <row r="38" spans="1:44" ht="12.75">
      <c r="A38" t="s">
        <v>248</v>
      </c>
      <c r="B38" t="s">
        <v>351</v>
      </c>
      <c r="D38" t="str">
        <f t="shared" si="0"/>
        <v>COST</v>
      </c>
      <c r="E38">
        <v>2025</v>
      </c>
      <c r="F38" t="str">
        <f>Worldprices!$K$62</f>
        <v>IMPOILGSL</v>
      </c>
      <c r="G38" t="str">
        <f>Worldprices!$K$63</f>
        <v>OILGSL</v>
      </c>
      <c r="H38">
        <f>Worldprices!$K$70*H$7</f>
        <v>16.071999999999999</v>
      </c>
      <c r="I38">
        <f>Worldprices!$K$70*I$7</f>
        <v>16.071999999999999</v>
      </c>
      <c r="J38">
        <f t="shared" si="1"/>
        <v>16.071999999999999</v>
      </c>
      <c r="K38">
        <f>Worldprices!$K$70*K$7</f>
        <v>16.071999999999999</v>
      </c>
      <c r="L38">
        <f>Worldprices!$K$70*L$7</f>
        <v>16.071999999999999</v>
      </c>
      <c r="M38">
        <f>Worldprices!$K$70*M$7</f>
        <v>16.071999999999999</v>
      </c>
      <c r="N38">
        <f>Worldprices!$K$70*N$7</f>
        <v>16.071999999999999</v>
      </c>
      <c r="O38">
        <f>Worldprices!$K$70*O$7</f>
        <v>16.071999999999999</v>
      </c>
      <c r="P38">
        <f>Worldprices!$K$70*P$7</f>
        <v>16.071999999999999</v>
      </c>
      <c r="Q38">
        <f>Worldprices!$K$70*Q$7</f>
        <v>16.071999999999999</v>
      </c>
      <c r="R38">
        <f>Worldprices!$K$70*R$7</f>
        <v>16.071999999999999</v>
      </c>
      <c r="S38">
        <f>Worldprices!$K$70*S$7</f>
        <v>16.071999999999999</v>
      </c>
      <c r="T38">
        <f>Worldprices!$K$70*T$7</f>
        <v>16.071999999999999</v>
      </c>
      <c r="U38">
        <f>Worldprices!$K$70*U$7</f>
        <v>16.071999999999999</v>
      </c>
      <c r="V38">
        <f>Worldprices!$K$70*V$7</f>
        <v>15.268399999999998</v>
      </c>
      <c r="W38">
        <f>Worldprices!$K$70*W$7</f>
        <v>16.071999999999999</v>
      </c>
      <c r="X38">
        <f>Worldprices!$K$70*X$7</f>
        <v>16.071999999999999</v>
      </c>
      <c r="Y38">
        <f>Worldprices!$K$70*Y$7</f>
        <v>16.071999999999999</v>
      </c>
      <c r="Z38">
        <f>Worldprices!$K$70*Z$7</f>
        <v>16.071999999999999</v>
      </c>
      <c r="AA38">
        <f>Worldprices!$K$70*AA$7</f>
        <v>16.071999999999999</v>
      </c>
      <c r="AB38">
        <f>Worldprices!$K$70*AB$7</f>
        <v>16.071999999999999</v>
      </c>
      <c r="AC38">
        <f>Worldprices!$K$70*AC$7</f>
        <v>16.071999999999999</v>
      </c>
      <c r="AD38">
        <f>Worldprices!$K$70*AD$7</f>
        <v>16.071999999999999</v>
      </c>
      <c r="AE38">
        <f>Worldprices!$K$70*AE$7</f>
        <v>16.071999999999999</v>
      </c>
      <c r="AF38">
        <f>Worldprices!$K$70*AF$7</f>
        <v>16.071999999999999</v>
      </c>
      <c r="AG38">
        <f>Worldprices!$K$70*AG$7</f>
        <v>16.071999999999999</v>
      </c>
      <c r="AH38">
        <f>Worldprices!$K$70*AH$7</f>
        <v>16.071999999999999</v>
      </c>
      <c r="AI38">
        <f>Worldprices!$K$70*AI$7</f>
        <v>16.071999999999999</v>
      </c>
      <c r="AJ38">
        <f>Worldprices!$K$70*AJ$7</f>
        <v>16.071999999999999</v>
      </c>
      <c r="AK38">
        <f>Worldprices!$K$70*AK$7</f>
        <v>16.071999999999999</v>
      </c>
      <c r="AL38">
        <f>Worldprices!$K$70*AL$7</f>
        <v>16.071999999999999</v>
      </c>
      <c r="AM38">
        <f>Worldprices!$K$70*AM$7</f>
        <v>16.071999999999999</v>
      </c>
      <c r="AN38">
        <f>Worldprices!$K$70*AN$7</f>
        <v>16.071999999999999</v>
      </c>
      <c r="AO38">
        <f>Worldprices!$K$70*AO$7</f>
        <v>16.071999999999999</v>
      </c>
      <c r="AP38">
        <f>Worldprices!$K$70*AP$7</f>
        <v>16.071999999999999</v>
      </c>
      <c r="AQ38">
        <f>Worldprices!$K$70*AQ$7</f>
        <v>16.071999999999999</v>
      </c>
      <c r="AR38">
        <f t="shared" si="2"/>
        <v>16.071999999999999</v>
      </c>
    </row>
    <row r="39" spans="1:44" ht="12.75">
      <c r="A39" t="s">
        <v>248</v>
      </c>
      <c r="B39" t="s">
        <v>351</v>
      </c>
      <c r="D39" t="str">
        <f t="shared" si="0"/>
        <v>COST</v>
      </c>
      <c r="E39">
        <v>2025</v>
      </c>
      <c r="F39" t="str">
        <f>Worldprices!$L$62</f>
        <v>IMPOILKER</v>
      </c>
      <c r="G39" t="str">
        <f>Worldprices!$L$63</f>
        <v>OILKER</v>
      </c>
      <c r="H39">
        <f>Worldprices!$L$70*H$7</f>
        <v>16.071999999999999</v>
      </c>
      <c r="I39">
        <f>Worldprices!$L$70*I$7</f>
        <v>16.071999999999999</v>
      </c>
      <c r="J39">
        <f t="shared" si="1"/>
        <v>16.071999999999999</v>
      </c>
      <c r="K39">
        <f>Worldprices!$L$70*K$7</f>
        <v>16.071999999999999</v>
      </c>
      <c r="L39">
        <f>Worldprices!$L$70*L$7</f>
        <v>16.071999999999999</v>
      </c>
      <c r="M39">
        <f>Worldprices!$L$70*M$7</f>
        <v>16.071999999999999</v>
      </c>
      <c r="N39">
        <f>Worldprices!$L$70*N$7</f>
        <v>16.071999999999999</v>
      </c>
      <c r="O39">
        <f>Worldprices!$L$70*O$7</f>
        <v>16.071999999999999</v>
      </c>
      <c r="P39">
        <f>Worldprices!$L$70*P$7</f>
        <v>16.071999999999999</v>
      </c>
      <c r="Q39">
        <f>Worldprices!$L$70*Q$7</f>
        <v>16.071999999999999</v>
      </c>
      <c r="R39">
        <f>Worldprices!$L$70*R$7</f>
        <v>16.071999999999999</v>
      </c>
      <c r="S39">
        <f>Worldprices!$L$70*S$7</f>
        <v>16.071999999999999</v>
      </c>
      <c r="T39">
        <f>Worldprices!$L$70*T$7</f>
        <v>16.071999999999999</v>
      </c>
      <c r="U39">
        <f>Worldprices!$L$70*U$7</f>
        <v>16.071999999999999</v>
      </c>
      <c r="V39">
        <f>Worldprices!$L$70*V$7</f>
        <v>15.268399999999998</v>
      </c>
      <c r="W39">
        <f>Worldprices!$L$70*W$7</f>
        <v>16.071999999999999</v>
      </c>
      <c r="X39">
        <f>Worldprices!$L$70*X$7</f>
        <v>16.071999999999999</v>
      </c>
      <c r="Y39">
        <f>Worldprices!$L$70*Y$7</f>
        <v>16.071999999999999</v>
      </c>
      <c r="Z39">
        <f>Worldprices!$L$70*Z$7</f>
        <v>16.071999999999999</v>
      </c>
      <c r="AA39">
        <f>Worldprices!$L$70*AA$7</f>
        <v>16.071999999999999</v>
      </c>
      <c r="AB39">
        <f>Worldprices!$L$70*AB$7</f>
        <v>16.071999999999999</v>
      </c>
      <c r="AC39">
        <f>Worldprices!$L$70*AC$7</f>
        <v>16.071999999999999</v>
      </c>
      <c r="AD39">
        <f>Worldprices!$L$70*AD$7</f>
        <v>16.071999999999999</v>
      </c>
      <c r="AE39">
        <f>Worldprices!$L$70*AE$7</f>
        <v>16.071999999999999</v>
      </c>
      <c r="AF39">
        <f>Worldprices!$L$70*AF$7</f>
        <v>16.071999999999999</v>
      </c>
      <c r="AG39">
        <f>Worldprices!$L$70*AG$7</f>
        <v>16.071999999999999</v>
      </c>
      <c r="AH39">
        <f>Worldprices!$L$70*AH$7</f>
        <v>16.071999999999999</v>
      </c>
      <c r="AI39">
        <f>Worldprices!$L$70*AI$7</f>
        <v>16.071999999999999</v>
      </c>
      <c r="AJ39">
        <f>Worldprices!$L$70*AJ$7</f>
        <v>16.071999999999999</v>
      </c>
      <c r="AK39">
        <f>Worldprices!$L$70*AK$7</f>
        <v>16.071999999999999</v>
      </c>
      <c r="AL39">
        <f>Worldprices!$L$70*AL$7</f>
        <v>16.071999999999999</v>
      </c>
      <c r="AM39">
        <f>Worldprices!$L$70*AM$7</f>
        <v>16.071999999999999</v>
      </c>
      <c r="AN39">
        <f>Worldprices!$L$70*AN$7</f>
        <v>16.071999999999999</v>
      </c>
      <c r="AO39">
        <f>Worldprices!$L$70*AO$7</f>
        <v>16.071999999999999</v>
      </c>
      <c r="AP39">
        <f>Worldprices!$L$70*AP$7</f>
        <v>16.071999999999999</v>
      </c>
      <c r="AQ39">
        <f>Worldprices!$L$70*AQ$7</f>
        <v>16.071999999999999</v>
      </c>
      <c r="AR39">
        <f t="shared" si="2"/>
        <v>16.071999999999999</v>
      </c>
    </row>
    <row r="40" spans="1:44" ht="12.75">
      <c r="A40" t="s">
        <v>248</v>
      </c>
      <c r="B40" t="s">
        <v>351</v>
      </c>
      <c r="D40" t="str">
        <f t="shared" si="0"/>
        <v>*</v>
      </c>
      <c r="E40">
        <v>2025</v>
      </c>
      <c r="F40" t="str">
        <f>Worldprices!$Q$62</f>
        <v>IMPGASNAT</v>
      </c>
      <c r="G40" t="str">
        <f>Worldprices!$Q$63</f>
        <v>GASNAT</v>
      </c>
      <c r="H40">
        <f>Worldprices!$Q$70*H$8</f>
        <v>10.195</v>
      </c>
      <c r="I40">
        <f>Worldprices!$Q$70*I$8</f>
        <v>10.195</v>
      </c>
      <c r="J40">
        <f t="shared" si="1"/>
        <v>10.195</v>
      </c>
      <c r="K40">
        <f>Worldprices!$Q$70*K$8</f>
        <v>10.195</v>
      </c>
      <c r="L40">
        <f>Worldprices!$Q$70*L$8</f>
        <v>10.195</v>
      </c>
      <c r="M40">
        <f>Worldprices!$Q$70*M$8</f>
        <v>10.195</v>
      </c>
      <c r="N40">
        <f>Worldprices!$Q$70*N$8</f>
        <v>10.195</v>
      </c>
      <c r="O40">
        <f>Worldprices!$Q$70*O$8</f>
        <v>10.195</v>
      </c>
      <c r="P40">
        <f>Worldprices!$Q$70*P$8</f>
        <v>8.6657499999999992</v>
      </c>
      <c r="Q40">
        <f>Worldprices!$Q$70*Q$8</f>
        <v>9.1755000000000013</v>
      </c>
      <c r="R40">
        <f>Worldprices!$Q$70*R$8</f>
        <v>10.195</v>
      </c>
      <c r="S40">
        <f>Worldprices!$Q$70*S$8</f>
        <v>10.195</v>
      </c>
      <c r="T40">
        <f>Worldprices!$Q$70*T$8</f>
        <v>10.195</v>
      </c>
      <c r="U40">
        <f>Worldprices!$Q$70*U$8</f>
        <v>10.195</v>
      </c>
      <c r="V40">
        <f>Worldprices!$Q$70*V$8</f>
        <v>9.1755000000000013</v>
      </c>
      <c r="W40">
        <f>Worldprices!$Q$70*W$8</f>
        <v>10.195</v>
      </c>
      <c r="X40">
        <f>Worldprices!$Q$70*X$8</f>
        <v>10.195</v>
      </c>
      <c r="Y40">
        <f>Worldprices!$Q$70*Y$8</f>
        <v>10.195</v>
      </c>
      <c r="Z40">
        <f>Worldprices!$Q$70*Z$8</f>
        <v>10.195</v>
      </c>
      <c r="AA40">
        <f>Worldprices!$Q$70*AA$8</f>
        <v>10.195</v>
      </c>
      <c r="AB40">
        <f>Worldprices!$Q$70*AB$8</f>
        <v>10.195</v>
      </c>
      <c r="AC40">
        <f>Worldprices!$Q$70*AC$8</f>
        <v>10.195</v>
      </c>
      <c r="AD40">
        <f>Worldprices!$Q$70*AD$8</f>
        <v>10.195</v>
      </c>
      <c r="AE40">
        <f>Worldprices!$Q$70*AE$8</f>
        <v>10.195</v>
      </c>
      <c r="AF40">
        <f>Worldprices!$Q$70*AF$8</f>
        <v>10.195</v>
      </c>
      <c r="AG40">
        <f>Worldprices!$Q$70*AG$8</f>
        <v>10.195</v>
      </c>
      <c r="AH40">
        <f>Worldprices!$Q$70*AH$8</f>
        <v>10.195</v>
      </c>
      <c r="AI40">
        <f>Worldprices!$Q$70*AI$8</f>
        <v>10.195</v>
      </c>
      <c r="AJ40">
        <f>Worldprices!$Q$70*AJ$8</f>
        <v>10.195</v>
      </c>
      <c r="AK40">
        <f>Worldprices!$Q$70*AK$8</f>
        <v>10.195</v>
      </c>
      <c r="AL40">
        <f>Worldprices!$Q$70*AL$8</f>
        <v>10.195</v>
      </c>
      <c r="AM40">
        <f>Worldprices!$Q$70*AM$8</f>
        <v>10.195</v>
      </c>
      <c r="AN40">
        <f>Worldprices!$Q$70*AN$8</f>
        <v>10.195</v>
      </c>
      <c r="AO40">
        <f>Worldprices!$Q$70*AO$8</f>
        <v>10.195</v>
      </c>
      <c r="AP40">
        <f>Worldprices!$Q$70*AP$8</f>
        <v>10.195</v>
      </c>
      <c r="AQ40">
        <f>Worldprices!$Q$70*AQ$8</f>
        <v>10.195</v>
      </c>
      <c r="AR40">
        <f t="shared" si="2"/>
        <v>10.195</v>
      </c>
    </row>
    <row r="41" spans="1:44" ht="12.75">
      <c r="A41" t="s">
        <v>248</v>
      </c>
      <c r="B41" t="s">
        <v>351</v>
      </c>
      <c r="D41" t="str">
        <f t="shared" si="0"/>
        <v>COST</v>
      </c>
      <c r="E41">
        <v>2030</v>
      </c>
      <c r="F41" t="str">
        <f>Worldprices!$G$62</f>
        <v>IMPOILCRD</v>
      </c>
      <c r="G41" t="str">
        <f>Worldprices!$G$63</f>
        <v>OILCRD</v>
      </c>
      <c r="H41">
        <f>Worldprices!$G$71*H$5</f>
        <v>12.284999999999998</v>
      </c>
      <c r="I41">
        <f>Worldprices!$G$71*I$5</f>
        <v>13.649999999999999</v>
      </c>
      <c r="J41">
        <f t="shared" si="1"/>
        <v>13.649999999999999</v>
      </c>
      <c r="K41">
        <f>Worldprices!$G$71*K$5</f>
        <v>13.649999999999999</v>
      </c>
      <c r="L41">
        <f>Worldprices!$G$71*L$5</f>
        <v>13.649999999999999</v>
      </c>
      <c r="M41">
        <f>Worldprices!$G$71*M$5</f>
        <v>13.649999999999999</v>
      </c>
      <c r="N41">
        <f>Worldprices!$G$71*N$5</f>
        <v>13.649999999999999</v>
      </c>
      <c r="O41">
        <f>Worldprices!$G$71*O$5</f>
        <v>13.649999999999999</v>
      </c>
      <c r="P41">
        <f>Worldprices!$G$71*P$5</f>
        <v>11.602499999999999</v>
      </c>
      <c r="Q41">
        <f>Worldprices!$G$71*Q$5</f>
        <v>13.649999999999999</v>
      </c>
      <c r="R41">
        <f>Worldprices!$G$71*R$5</f>
        <v>13.649999999999999</v>
      </c>
      <c r="S41">
        <f>Worldprices!$G$71*S$5</f>
        <v>13.649999999999999</v>
      </c>
      <c r="T41">
        <f>Worldprices!$G$71*T$5</f>
        <v>13.649999999999999</v>
      </c>
      <c r="U41">
        <f>Worldprices!$G$71*U$5</f>
        <v>12.284999999999998</v>
      </c>
      <c r="V41">
        <f>Worldprices!$G$71*V$5</f>
        <v>12.284999999999998</v>
      </c>
      <c r="W41">
        <f>Worldprices!$G$71*W$5</f>
        <v>13.649999999999999</v>
      </c>
      <c r="X41">
        <f>Worldprices!$G$71*X$5</f>
        <v>13.649999999999999</v>
      </c>
      <c r="Y41">
        <f>Worldprices!$G$71*Y$5</f>
        <v>13.649999999999999</v>
      </c>
      <c r="Z41">
        <f>Worldprices!$G$71*Z$5</f>
        <v>13.649999999999999</v>
      </c>
      <c r="AA41">
        <f>Worldprices!$G$71*AA$5</f>
        <v>13.649999999999999</v>
      </c>
      <c r="AB41">
        <f>Worldprices!$G$71*AB$5</f>
        <v>13.649999999999999</v>
      </c>
      <c r="AC41">
        <f>Worldprices!$G$71*AC$5</f>
        <v>13.649999999999999</v>
      </c>
      <c r="AD41">
        <f>Worldprices!$G$71*AD$5</f>
        <v>13.649999999999999</v>
      </c>
      <c r="AE41">
        <f>Worldprices!$G$71*AE$5</f>
        <v>13.649999999999999</v>
      </c>
      <c r="AF41">
        <f>Worldprices!$G$71*AF$5</f>
        <v>13.649999999999999</v>
      </c>
      <c r="AG41">
        <f>Worldprices!$G$71*AG$5</f>
        <v>13.649999999999999</v>
      </c>
      <c r="AH41">
        <f>Worldprices!$G$71*AH$5</f>
        <v>13.649999999999999</v>
      </c>
      <c r="AI41">
        <f>Worldprices!$G$71*AI$5</f>
        <v>13.649999999999999</v>
      </c>
      <c r="AJ41">
        <f>Worldprices!$G$71*AJ$5</f>
        <v>13.649999999999999</v>
      </c>
      <c r="AK41">
        <f>Worldprices!$G$71*AK$5</f>
        <v>13.649999999999999</v>
      </c>
      <c r="AL41">
        <f>Worldprices!$G$71*AL$5</f>
        <v>13.649999999999999</v>
      </c>
      <c r="AM41">
        <f>Worldprices!$G$71*AM$5</f>
        <v>13.649999999999999</v>
      </c>
      <c r="AN41">
        <f>Worldprices!$G$71*AN$5</f>
        <v>13.649999999999999</v>
      </c>
      <c r="AO41">
        <f>Worldprices!$G$71*AO$5</f>
        <v>13.649999999999999</v>
      </c>
      <c r="AP41">
        <f>Worldprices!$G$71*AP$5</f>
        <v>13.649999999999999</v>
      </c>
      <c r="AQ41">
        <f>Worldprices!$G$71*AQ$5</f>
        <v>13.649999999999999</v>
      </c>
      <c r="AR41">
        <f t="shared" si="2"/>
        <v>13.649999999999999</v>
      </c>
    </row>
    <row r="42" spans="1:44" ht="12.75">
      <c r="A42" t="s">
        <v>248</v>
      </c>
      <c r="B42" t="s">
        <v>351</v>
      </c>
      <c r="D42" t="str">
        <f t="shared" si="0"/>
        <v>COST</v>
      </c>
      <c r="E42">
        <v>2030</v>
      </c>
      <c r="F42" t="str">
        <f>Worldprices!$H$62</f>
        <v>IMPOILHFO</v>
      </c>
      <c r="G42" t="str">
        <f>Worldprices!$H$63</f>
        <v>OILHFO</v>
      </c>
      <c r="H42">
        <f>Worldprices!$H$71*H$5</f>
        <v>9.9508500000000009</v>
      </c>
      <c r="I42">
        <f>Worldprices!$H$71*I$5</f>
        <v>11.0565</v>
      </c>
      <c r="J42">
        <f t="shared" si="1"/>
        <v>11.0565</v>
      </c>
      <c r="K42">
        <f>Worldprices!$H$71*K$5</f>
        <v>11.0565</v>
      </c>
      <c r="L42">
        <f>Worldprices!$H$71*L$5</f>
        <v>11.0565</v>
      </c>
      <c r="M42">
        <f>Worldprices!$H$71*M$5</f>
        <v>11.0565</v>
      </c>
      <c r="N42">
        <f>Worldprices!$H$71*N$5</f>
        <v>11.0565</v>
      </c>
      <c r="O42">
        <f>Worldprices!$H$71*O$5</f>
        <v>11.0565</v>
      </c>
      <c r="P42">
        <f>Worldprices!$H$71*P$5</f>
        <v>9.3980249999999987</v>
      </c>
      <c r="Q42">
        <f>Worldprices!$H$71*Q$5</f>
        <v>11.0565</v>
      </c>
      <c r="R42">
        <f>Worldprices!$H$71*R$5</f>
        <v>11.0565</v>
      </c>
      <c r="S42">
        <f>Worldprices!$H$71*S$5</f>
        <v>11.0565</v>
      </c>
      <c r="T42">
        <f>Worldprices!$H$71*T$5</f>
        <v>11.0565</v>
      </c>
      <c r="U42">
        <f>Worldprices!$H$71*U$5</f>
        <v>9.9508500000000009</v>
      </c>
      <c r="V42">
        <f>Worldprices!$H$71*V$5</f>
        <v>9.9508500000000009</v>
      </c>
      <c r="W42">
        <f>Worldprices!$H$71*W$5</f>
        <v>11.0565</v>
      </c>
      <c r="X42">
        <f>Worldprices!$H$71*X$5</f>
        <v>11.0565</v>
      </c>
      <c r="Y42">
        <f>Worldprices!$H$71*Y$5</f>
        <v>11.0565</v>
      </c>
      <c r="Z42">
        <f>Worldprices!$H$71*Z$5</f>
        <v>11.0565</v>
      </c>
      <c r="AA42">
        <f>Worldprices!$H$71*AA$5</f>
        <v>11.0565</v>
      </c>
      <c r="AB42">
        <f>Worldprices!$H$71*AB$5</f>
        <v>11.0565</v>
      </c>
      <c r="AC42">
        <f>Worldprices!$H$71*AC$5</f>
        <v>11.0565</v>
      </c>
      <c r="AD42">
        <f>Worldprices!$H$71*AD$5</f>
        <v>11.0565</v>
      </c>
      <c r="AE42">
        <f>Worldprices!$H$71*AE$5</f>
        <v>11.0565</v>
      </c>
      <c r="AF42">
        <f>Worldprices!$H$71*AF$5</f>
        <v>11.0565</v>
      </c>
      <c r="AG42">
        <f>Worldprices!$H$71*AG$5</f>
        <v>11.0565</v>
      </c>
      <c r="AH42">
        <f>Worldprices!$H$71*AH$5</f>
        <v>11.0565</v>
      </c>
      <c r="AI42">
        <f>Worldprices!$H$71*AI$5</f>
        <v>11.0565</v>
      </c>
      <c r="AJ42">
        <f>Worldprices!$H$71*AJ$5</f>
        <v>11.0565</v>
      </c>
      <c r="AK42">
        <f>Worldprices!$H$71*AK$5</f>
        <v>11.0565</v>
      </c>
      <c r="AL42">
        <f>Worldprices!$H$71*AL$5</f>
        <v>11.0565</v>
      </c>
      <c r="AM42">
        <f>Worldprices!$H$71*AM$5</f>
        <v>11.0565</v>
      </c>
      <c r="AN42">
        <f>Worldprices!$H$71*AN$5</f>
        <v>11.0565</v>
      </c>
      <c r="AO42">
        <f>Worldprices!$H$71*AO$5</f>
        <v>11.0565</v>
      </c>
      <c r="AP42">
        <f>Worldprices!$H$71*AP$5</f>
        <v>11.0565</v>
      </c>
      <c r="AQ42">
        <f>Worldprices!$H$71*AQ$5</f>
        <v>11.0565</v>
      </c>
      <c r="AR42">
        <f t="shared" si="2"/>
        <v>11.0565</v>
      </c>
    </row>
    <row r="43" spans="1:44" ht="12.75">
      <c r="A43" t="s">
        <v>248</v>
      </c>
      <c r="B43" t="s">
        <v>351</v>
      </c>
      <c r="D43" t="str">
        <f t="shared" si="0"/>
        <v>COST</v>
      </c>
      <c r="E43">
        <v>2030</v>
      </c>
      <c r="F43" t="str">
        <f>Worldprices!$I$62</f>
        <v>IMPOILDST</v>
      </c>
      <c r="G43" t="str">
        <f>Worldprices!$I$63</f>
        <v>OILDST</v>
      </c>
      <c r="H43">
        <f>Worldprices!$I$71*H$6</f>
        <v>17.744999999999997</v>
      </c>
      <c r="I43">
        <f>Worldprices!$I$71*I$6</f>
        <v>17.744999999999997</v>
      </c>
      <c r="J43">
        <f t="shared" si="1"/>
        <v>17.744999999999997</v>
      </c>
      <c r="K43">
        <f>Worldprices!$I$71*K$6</f>
        <v>17.744999999999997</v>
      </c>
      <c r="L43">
        <f>Worldprices!$I$71*L$6</f>
        <v>17.744999999999997</v>
      </c>
      <c r="M43">
        <f>Worldprices!$I$71*M$6</f>
        <v>17.744999999999997</v>
      </c>
      <c r="N43">
        <f>Worldprices!$I$71*N$6</f>
        <v>17.744999999999997</v>
      </c>
      <c r="O43">
        <f>Worldprices!$I$71*O$6</f>
        <v>17.744999999999997</v>
      </c>
      <c r="P43">
        <f>Worldprices!$I$71*P$6</f>
        <v>17.744999999999997</v>
      </c>
      <c r="Q43">
        <f>Worldprices!$I$71*Q$6</f>
        <v>17.744999999999997</v>
      </c>
      <c r="R43">
        <f>Worldprices!$I$71*R$6</f>
        <v>17.744999999999997</v>
      </c>
      <c r="S43">
        <f>Worldprices!$I$71*S$6</f>
        <v>17.744999999999997</v>
      </c>
      <c r="T43">
        <f>Worldprices!$I$71*T$6</f>
        <v>17.744999999999997</v>
      </c>
      <c r="U43">
        <f>Worldprices!$I$71*U$6</f>
        <v>17.744999999999997</v>
      </c>
      <c r="V43">
        <f>Worldprices!$I$71*V$6</f>
        <v>16.857749999999996</v>
      </c>
      <c r="W43">
        <f>Worldprices!$I$71*W$6</f>
        <v>17.744999999999997</v>
      </c>
      <c r="X43">
        <f>Worldprices!$I$71*X$6</f>
        <v>17.744999999999997</v>
      </c>
      <c r="Y43">
        <f>Worldprices!$I$71*Y$6</f>
        <v>17.744999999999997</v>
      </c>
      <c r="Z43">
        <f>Worldprices!$I$71*Z$6</f>
        <v>17.744999999999997</v>
      </c>
      <c r="AA43">
        <f>Worldprices!$I$71*AA$6</f>
        <v>17.744999999999997</v>
      </c>
      <c r="AB43">
        <f>Worldprices!$I$71*AB$6</f>
        <v>17.744999999999997</v>
      </c>
      <c r="AC43">
        <f>Worldprices!$I$71*AC$6</f>
        <v>17.744999999999997</v>
      </c>
      <c r="AD43">
        <f>Worldprices!$I$71*AD$6</f>
        <v>17.744999999999997</v>
      </c>
      <c r="AE43">
        <f>Worldprices!$I$71*AE$6</f>
        <v>17.744999999999997</v>
      </c>
      <c r="AF43">
        <f>Worldprices!$I$71*AF$6</f>
        <v>17.744999999999997</v>
      </c>
      <c r="AG43">
        <f>Worldprices!$I$71*AG$6</f>
        <v>17.744999999999997</v>
      </c>
      <c r="AH43">
        <f>Worldprices!$I$71*AH$6</f>
        <v>17.744999999999997</v>
      </c>
      <c r="AI43">
        <f>Worldprices!$I$71*AI$6</f>
        <v>17.744999999999997</v>
      </c>
      <c r="AJ43">
        <f>Worldprices!$I$71*AJ$6</f>
        <v>17.744999999999997</v>
      </c>
      <c r="AK43">
        <f>Worldprices!$I$71*AK$6</f>
        <v>17.744999999999997</v>
      </c>
      <c r="AL43">
        <f>Worldprices!$I$71*AL$6</f>
        <v>17.744999999999997</v>
      </c>
      <c r="AM43">
        <f>Worldprices!$I$71*AM$6</f>
        <v>17.744999999999997</v>
      </c>
      <c r="AN43">
        <f>Worldprices!$I$71*AN$6</f>
        <v>17.744999999999997</v>
      </c>
      <c r="AO43">
        <f>Worldprices!$I$71*AO$6</f>
        <v>17.744999999999997</v>
      </c>
      <c r="AP43">
        <f>Worldprices!$I$71*AP$6</f>
        <v>17.744999999999997</v>
      </c>
      <c r="AQ43">
        <f>Worldprices!$I$71*AQ$6</f>
        <v>17.744999999999997</v>
      </c>
      <c r="AR43">
        <f t="shared" si="2"/>
        <v>17.744999999999997</v>
      </c>
    </row>
    <row r="44" spans="1:44" ht="12.75">
      <c r="A44" t="s">
        <v>248</v>
      </c>
      <c r="B44" t="s">
        <v>351</v>
      </c>
      <c r="D44" t="str">
        <f t="shared" si="0"/>
        <v>COST</v>
      </c>
      <c r="E44">
        <v>2030</v>
      </c>
      <c r="F44" t="str">
        <f>Worldprices!$J$62</f>
        <v>IMPOILLPG</v>
      </c>
      <c r="G44" t="str">
        <f>Worldprices!$J$63</f>
        <v>OILLPG</v>
      </c>
      <c r="H44">
        <f>Worldprices!$J$71*H$7</f>
        <v>15.014999999999999</v>
      </c>
      <c r="I44">
        <f>Worldprices!$J$71*I$7</f>
        <v>15.014999999999999</v>
      </c>
      <c r="J44">
        <f t="shared" si="1"/>
        <v>15.014999999999999</v>
      </c>
      <c r="K44">
        <f>Worldprices!$J$71*K$7</f>
        <v>15.014999999999999</v>
      </c>
      <c r="L44">
        <f>Worldprices!$J$71*L$7</f>
        <v>15.014999999999999</v>
      </c>
      <c r="M44">
        <f>Worldprices!$J$71*M$7</f>
        <v>15.014999999999999</v>
      </c>
      <c r="N44">
        <f>Worldprices!$J$71*N$7</f>
        <v>15.014999999999999</v>
      </c>
      <c r="O44">
        <f>Worldprices!$J$71*O$7</f>
        <v>15.014999999999999</v>
      </c>
      <c r="P44">
        <f>Worldprices!$J$71*P$7</f>
        <v>15.014999999999999</v>
      </c>
      <c r="Q44">
        <f>Worldprices!$J$71*Q$7</f>
        <v>15.014999999999999</v>
      </c>
      <c r="R44">
        <f>Worldprices!$J$71*R$7</f>
        <v>15.014999999999999</v>
      </c>
      <c r="S44">
        <f>Worldprices!$J$71*S$7</f>
        <v>15.014999999999999</v>
      </c>
      <c r="T44">
        <f>Worldprices!$J$71*T$7</f>
        <v>15.014999999999999</v>
      </c>
      <c r="U44">
        <f>Worldprices!$J$71*U$7</f>
        <v>15.014999999999999</v>
      </c>
      <c r="V44">
        <f>Worldprices!$J$71*V$7</f>
        <v>14.264249999999999</v>
      </c>
      <c r="W44">
        <f>Worldprices!$J$71*W$7</f>
        <v>15.014999999999999</v>
      </c>
      <c r="X44">
        <f>Worldprices!$J$71*X$7</f>
        <v>15.014999999999999</v>
      </c>
      <c r="Y44">
        <f>Worldprices!$J$71*Y$7</f>
        <v>15.014999999999999</v>
      </c>
      <c r="Z44">
        <f>Worldprices!$J$71*Z$7</f>
        <v>15.014999999999999</v>
      </c>
      <c r="AA44">
        <f>Worldprices!$J$71*AA$7</f>
        <v>15.014999999999999</v>
      </c>
      <c r="AB44">
        <f>Worldprices!$J$71*AB$7</f>
        <v>15.014999999999999</v>
      </c>
      <c r="AC44">
        <f>Worldprices!$J$71*AC$7</f>
        <v>15.014999999999999</v>
      </c>
      <c r="AD44">
        <f>Worldprices!$J$71*AD$7</f>
        <v>15.014999999999999</v>
      </c>
      <c r="AE44">
        <f>Worldprices!$J$71*AE$7</f>
        <v>15.014999999999999</v>
      </c>
      <c r="AF44">
        <f>Worldprices!$J$71*AF$7</f>
        <v>15.014999999999999</v>
      </c>
      <c r="AG44">
        <f>Worldprices!$J$71*AG$7</f>
        <v>15.014999999999999</v>
      </c>
      <c r="AH44">
        <f>Worldprices!$J$71*AH$7</f>
        <v>15.014999999999999</v>
      </c>
      <c r="AI44">
        <f>Worldprices!$J$71*AI$7</f>
        <v>15.014999999999999</v>
      </c>
      <c r="AJ44">
        <f>Worldprices!$J$71*AJ$7</f>
        <v>15.014999999999999</v>
      </c>
      <c r="AK44">
        <f>Worldprices!$J$71*AK$7</f>
        <v>15.014999999999999</v>
      </c>
      <c r="AL44">
        <f>Worldprices!$J$71*AL$7</f>
        <v>15.014999999999999</v>
      </c>
      <c r="AM44">
        <f>Worldprices!$J$71*AM$7</f>
        <v>15.014999999999999</v>
      </c>
      <c r="AN44">
        <f>Worldprices!$J$71*AN$7</f>
        <v>15.014999999999999</v>
      </c>
      <c r="AO44">
        <f>Worldprices!$J$71*AO$7</f>
        <v>15.014999999999999</v>
      </c>
      <c r="AP44">
        <f>Worldprices!$J$71*AP$7</f>
        <v>15.014999999999999</v>
      </c>
      <c r="AQ44">
        <f>Worldprices!$J$71*AQ$7</f>
        <v>15.014999999999999</v>
      </c>
      <c r="AR44">
        <f t="shared" si="2"/>
        <v>15.014999999999999</v>
      </c>
    </row>
    <row r="45" spans="1:44" ht="12.75">
      <c r="A45" t="s">
        <v>248</v>
      </c>
      <c r="B45" t="s">
        <v>351</v>
      </c>
      <c r="D45" t="str">
        <f t="shared" si="0"/>
        <v>COST</v>
      </c>
      <c r="E45">
        <v>2030</v>
      </c>
      <c r="F45" t="str">
        <f>Worldprices!$K$62</f>
        <v>IMPOILGSL</v>
      </c>
      <c r="G45" t="str">
        <f>Worldprices!$K$63</f>
        <v>OILGSL</v>
      </c>
      <c r="H45">
        <f>Worldprices!$K$71*H$7</f>
        <v>19.109999999999996</v>
      </c>
      <c r="I45">
        <f>Worldprices!$K$71*I$7</f>
        <v>19.109999999999996</v>
      </c>
      <c r="J45">
        <f t="shared" si="1"/>
        <v>19.109999999999996</v>
      </c>
      <c r="K45">
        <f>Worldprices!$K$71*K$7</f>
        <v>19.109999999999996</v>
      </c>
      <c r="L45">
        <f>Worldprices!$K$71*L$7</f>
        <v>19.109999999999996</v>
      </c>
      <c r="M45">
        <f>Worldprices!$K$71*M$7</f>
        <v>19.109999999999996</v>
      </c>
      <c r="N45">
        <f>Worldprices!$K$71*N$7</f>
        <v>19.109999999999996</v>
      </c>
      <c r="O45">
        <f>Worldprices!$K$71*O$7</f>
        <v>19.109999999999996</v>
      </c>
      <c r="P45">
        <f>Worldprices!$K$71*P$7</f>
        <v>19.109999999999996</v>
      </c>
      <c r="Q45">
        <f>Worldprices!$K$71*Q$7</f>
        <v>19.109999999999996</v>
      </c>
      <c r="R45">
        <f>Worldprices!$K$71*R$7</f>
        <v>19.109999999999996</v>
      </c>
      <c r="S45">
        <f>Worldprices!$K$71*S$7</f>
        <v>19.109999999999996</v>
      </c>
      <c r="T45">
        <f>Worldprices!$K$71*T$7</f>
        <v>19.109999999999996</v>
      </c>
      <c r="U45">
        <f>Worldprices!$K$71*U$7</f>
        <v>19.109999999999996</v>
      </c>
      <c r="V45">
        <f>Worldprices!$K$71*V$7</f>
        <v>18.154499999999995</v>
      </c>
      <c r="W45">
        <f>Worldprices!$K$71*W$7</f>
        <v>19.109999999999996</v>
      </c>
      <c r="X45">
        <f>Worldprices!$K$71*X$7</f>
        <v>19.109999999999996</v>
      </c>
      <c r="Y45">
        <f>Worldprices!$K$71*Y$7</f>
        <v>19.109999999999996</v>
      </c>
      <c r="Z45">
        <f>Worldprices!$K$71*Z$7</f>
        <v>19.109999999999996</v>
      </c>
      <c r="AA45">
        <f>Worldprices!$K$71*AA$7</f>
        <v>19.109999999999996</v>
      </c>
      <c r="AB45">
        <f>Worldprices!$K$71*AB$7</f>
        <v>19.109999999999996</v>
      </c>
      <c r="AC45">
        <f>Worldprices!$K$71*AC$7</f>
        <v>19.109999999999996</v>
      </c>
      <c r="AD45">
        <f>Worldprices!$K$71*AD$7</f>
        <v>19.109999999999996</v>
      </c>
      <c r="AE45">
        <f>Worldprices!$K$71*AE$7</f>
        <v>19.109999999999996</v>
      </c>
      <c r="AF45">
        <f>Worldprices!$K$71*AF$7</f>
        <v>19.109999999999996</v>
      </c>
      <c r="AG45">
        <f>Worldprices!$K$71*AG$7</f>
        <v>19.109999999999996</v>
      </c>
      <c r="AH45">
        <f>Worldprices!$K$71*AH$7</f>
        <v>19.109999999999996</v>
      </c>
      <c r="AI45">
        <f>Worldprices!$K$71*AI$7</f>
        <v>19.109999999999996</v>
      </c>
      <c r="AJ45">
        <f>Worldprices!$K$71*AJ$7</f>
        <v>19.109999999999996</v>
      </c>
      <c r="AK45">
        <f>Worldprices!$K$71*AK$7</f>
        <v>19.109999999999996</v>
      </c>
      <c r="AL45">
        <f>Worldprices!$K$71*AL$7</f>
        <v>19.109999999999996</v>
      </c>
      <c r="AM45">
        <f>Worldprices!$K$71*AM$7</f>
        <v>19.109999999999996</v>
      </c>
      <c r="AN45">
        <f>Worldprices!$K$71*AN$7</f>
        <v>19.109999999999996</v>
      </c>
      <c r="AO45">
        <f>Worldprices!$K$71*AO$7</f>
        <v>19.109999999999996</v>
      </c>
      <c r="AP45">
        <f>Worldprices!$K$71*AP$7</f>
        <v>19.109999999999996</v>
      </c>
      <c r="AQ45">
        <f>Worldprices!$K$71*AQ$7</f>
        <v>19.109999999999996</v>
      </c>
      <c r="AR45">
        <f t="shared" si="2"/>
        <v>19.109999999999996</v>
      </c>
    </row>
    <row r="46" spans="1:44" ht="12.75">
      <c r="A46" t="s">
        <v>248</v>
      </c>
      <c r="B46" t="s">
        <v>351</v>
      </c>
      <c r="D46" t="str">
        <f t="shared" si="0"/>
        <v>COST</v>
      </c>
      <c r="E46">
        <v>2030</v>
      </c>
      <c r="F46" t="str">
        <f>Worldprices!$L$62</f>
        <v>IMPOILKER</v>
      </c>
      <c r="G46" t="str">
        <f>Worldprices!$L$63</f>
        <v>OILKER</v>
      </c>
      <c r="H46">
        <f>Worldprices!$L$71*H$7</f>
        <v>19.109999999999996</v>
      </c>
      <c r="I46">
        <f>Worldprices!$L$71*I$7</f>
        <v>19.109999999999996</v>
      </c>
      <c r="J46">
        <f t="shared" si="1"/>
        <v>19.109999999999996</v>
      </c>
      <c r="K46">
        <f>Worldprices!$L$71*K$7</f>
        <v>19.109999999999996</v>
      </c>
      <c r="L46">
        <f>Worldprices!$L$71*L$7</f>
        <v>19.109999999999996</v>
      </c>
      <c r="M46">
        <f>Worldprices!$L$71*M$7</f>
        <v>19.109999999999996</v>
      </c>
      <c r="N46">
        <f>Worldprices!$L$71*N$7</f>
        <v>19.109999999999996</v>
      </c>
      <c r="O46">
        <f>Worldprices!$L$71*O$7</f>
        <v>19.109999999999996</v>
      </c>
      <c r="P46">
        <f>Worldprices!$L$71*P$7</f>
        <v>19.109999999999996</v>
      </c>
      <c r="Q46">
        <f>Worldprices!$L$71*Q$7</f>
        <v>19.109999999999996</v>
      </c>
      <c r="R46">
        <f>Worldprices!$L$71*R$7</f>
        <v>19.109999999999996</v>
      </c>
      <c r="S46">
        <f>Worldprices!$L$71*S$7</f>
        <v>19.109999999999996</v>
      </c>
      <c r="T46">
        <f>Worldprices!$L$71*T$7</f>
        <v>19.109999999999996</v>
      </c>
      <c r="U46">
        <f>Worldprices!$L$71*U$7</f>
        <v>19.109999999999996</v>
      </c>
      <c r="V46">
        <f>Worldprices!$L$71*V$7</f>
        <v>18.154499999999995</v>
      </c>
      <c r="W46">
        <f>Worldprices!$L$71*W$7</f>
        <v>19.109999999999996</v>
      </c>
      <c r="X46">
        <f>Worldprices!$L$71*X$7</f>
        <v>19.109999999999996</v>
      </c>
      <c r="Y46">
        <f>Worldprices!$L$71*Y$7</f>
        <v>19.109999999999996</v>
      </c>
      <c r="Z46">
        <f>Worldprices!$L$71*Z$7</f>
        <v>19.109999999999996</v>
      </c>
      <c r="AA46">
        <f>Worldprices!$L$71*AA$7</f>
        <v>19.109999999999996</v>
      </c>
      <c r="AB46">
        <f>Worldprices!$L$71*AB$7</f>
        <v>19.109999999999996</v>
      </c>
      <c r="AC46">
        <f>Worldprices!$L$71*AC$7</f>
        <v>19.109999999999996</v>
      </c>
      <c r="AD46">
        <f>Worldprices!$L$71*AD$7</f>
        <v>19.109999999999996</v>
      </c>
      <c r="AE46">
        <f>Worldprices!$L$71*AE$7</f>
        <v>19.109999999999996</v>
      </c>
      <c r="AF46">
        <f>Worldprices!$L$71*AF$7</f>
        <v>19.109999999999996</v>
      </c>
      <c r="AG46">
        <f>Worldprices!$L$71*AG$7</f>
        <v>19.109999999999996</v>
      </c>
      <c r="AH46">
        <f>Worldprices!$L$71*AH$7</f>
        <v>19.109999999999996</v>
      </c>
      <c r="AI46">
        <f>Worldprices!$L$71*AI$7</f>
        <v>19.109999999999996</v>
      </c>
      <c r="AJ46">
        <f>Worldprices!$L$71*AJ$7</f>
        <v>19.109999999999996</v>
      </c>
      <c r="AK46">
        <f>Worldprices!$L$71*AK$7</f>
        <v>19.109999999999996</v>
      </c>
      <c r="AL46">
        <f>Worldprices!$L$71*AL$7</f>
        <v>19.109999999999996</v>
      </c>
      <c r="AM46">
        <f>Worldprices!$L$71*AM$7</f>
        <v>19.109999999999996</v>
      </c>
      <c r="AN46">
        <f>Worldprices!$L$71*AN$7</f>
        <v>19.109999999999996</v>
      </c>
      <c r="AO46">
        <f>Worldprices!$L$71*AO$7</f>
        <v>19.109999999999996</v>
      </c>
      <c r="AP46">
        <f>Worldprices!$L$71*AP$7</f>
        <v>19.109999999999996</v>
      </c>
      <c r="AQ46">
        <f>Worldprices!$L$71*AQ$7</f>
        <v>19.109999999999996</v>
      </c>
      <c r="AR46">
        <f t="shared" si="2"/>
        <v>19.109999999999996</v>
      </c>
    </row>
    <row r="47" spans="1:44" ht="12.75">
      <c r="A47" t="s">
        <v>248</v>
      </c>
      <c r="B47" t="s">
        <v>351</v>
      </c>
      <c r="D47" t="str">
        <f t="shared" si="0"/>
        <v>*</v>
      </c>
      <c r="E47">
        <v>2030</v>
      </c>
      <c r="F47" t="str">
        <f>Worldprices!$Q$62</f>
        <v>IMPGASNAT</v>
      </c>
      <c r="G47" t="str">
        <f>Worldprices!$Q$63</f>
        <v>GASNAT</v>
      </c>
      <c r="H47">
        <f>Worldprices!$Q$71*H$8</f>
        <v>7.0000000000000009</v>
      </c>
      <c r="I47">
        <f>Worldprices!$Q$71*I$8</f>
        <v>7.0000000000000009</v>
      </c>
      <c r="J47">
        <f t="shared" si="1"/>
        <v>7.0000000000000009</v>
      </c>
      <c r="K47">
        <f>Worldprices!$Q$71*K$8</f>
        <v>7.0000000000000009</v>
      </c>
      <c r="L47">
        <f>Worldprices!$Q$71*L$8</f>
        <v>7.0000000000000009</v>
      </c>
      <c r="M47">
        <f>Worldprices!$Q$71*M$8</f>
        <v>7.0000000000000009</v>
      </c>
      <c r="N47">
        <f>Worldprices!$Q$71*N$8</f>
        <v>7.0000000000000009</v>
      </c>
      <c r="O47">
        <f>Worldprices!$Q$71*O$8</f>
        <v>7.0000000000000009</v>
      </c>
      <c r="P47">
        <f>Worldprices!$Q$71*P$8</f>
        <v>5.9500000000000002</v>
      </c>
      <c r="Q47">
        <f>Worldprices!$Q$71*Q$8</f>
        <v>6.3000000000000007</v>
      </c>
      <c r="R47">
        <f>Worldprices!$Q$71*R$8</f>
        <v>7.0000000000000009</v>
      </c>
      <c r="S47">
        <f>Worldprices!$Q$71*S$8</f>
        <v>7.0000000000000009</v>
      </c>
      <c r="T47">
        <f>Worldprices!$Q$71*T$8</f>
        <v>7.0000000000000009</v>
      </c>
      <c r="U47">
        <f>Worldprices!$Q$71*U$8</f>
        <v>7.0000000000000009</v>
      </c>
      <c r="V47">
        <f>Worldprices!$Q$71*V$8</f>
        <v>6.3000000000000007</v>
      </c>
      <c r="W47">
        <f>Worldprices!$Q$71*W$8</f>
        <v>7.0000000000000009</v>
      </c>
      <c r="X47">
        <f>Worldprices!$Q$71*X$8</f>
        <v>7.0000000000000009</v>
      </c>
      <c r="Y47">
        <f>Worldprices!$Q$71*Y$8</f>
        <v>7.0000000000000009</v>
      </c>
      <c r="Z47">
        <f>Worldprices!$Q$71*Z$8</f>
        <v>7.0000000000000009</v>
      </c>
      <c r="AA47">
        <f>Worldprices!$Q$71*AA$8</f>
        <v>7.0000000000000009</v>
      </c>
      <c r="AB47">
        <f>Worldprices!$Q$71*AB$8</f>
        <v>7.0000000000000009</v>
      </c>
      <c r="AC47">
        <f>Worldprices!$Q$71*AC$8</f>
        <v>7.0000000000000009</v>
      </c>
      <c r="AD47">
        <f>Worldprices!$Q$71*AD$8</f>
        <v>7.0000000000000009</v>
      </c>
      <c r="AE47">
        <f>Worldprices!$Q$71*AE$8</f>
        <v>7.0000000000000009</v>
      </c>
      <c r="AF47">
        <f>Worldprices!$Q$71*AF$8</f>
        <v>7.0000000000000009</v>
      </c>
      <c r="AG47">
        <f>Worldprices!$Q$71*AG$8</f>
        <v>7.0000000000000009</v>
      </c>
      <c r="AH47">
        <f>Worldprices!$Q$71*AH$8</f>
        <v>7.0000000000000009</v>
      </c>
      <c r="AI47">
        <f>Worldprices!$Q$71*AI$8</f>
        <v>7.0000000000000009</v>
      </c>
      <c r="AJ47">
        <f>Worldprices!$Q$71*AJ$8</f>
        <v>7.0000000000000009</v>
      </c>
      <c r="AK47">
        <f>Worldprices!$Q$71*AK$8</f>
        <v>7.0000000000000009</v>
      </c>
      <c r="AL47">
        <f>Worldprices!$Q$71*AL$8</f>
        <v>7.0000000000000009</v>
      </c>
      <c r="AM47">
        <f>Worldprices!$Q$71*AM$8</f>
        <v>7.0000000000000009</v>
      </c>
      <c r="AN47">
        <f>Worldprices!$Q$71*AN$8</f>
        <v>7.0000000000000009</v>
      </c>
      <c r="AO47">
        <f>Worldprices!$Q$71*AO$8</f>
        <v>7.0000000000000009</v>
      </c>
      <c r="AP47">
        <f>Worldprices!$Q$71*AP$8</f>
        <v>7.0000000000000009</v>
      </c>
      <c r="AQ47">
        <f>Worldprices!$Q$71*AQ$8</f>
        <v>7.0000000000000009</v>
      </c>
      <c r="AR47">
        <f t="shared" si="2"/>
        <v>7.0000000000000009</v>
      </c>
    </row>
    <row r="48" spans="1:44" ht="12.75">
      <c r="A48" t="s">
        <v>248</v>
      </c>
      <c r="B48" t="s">
        <v>351</v>
      </c>
      <c r="D48" t="str">
        <f t="shared" si="0"/>
        <v>COST</v>
      </c>
      <c r="E48">
        <v>2035</v>
      </c>
      <c r="F48" t="str">
        <f>Worldprices!$G$62</f>
        <v>IMPOILCRD</v>
      </c>
      <c r="G48" t="str">
        <f>Worldprices!$G$63</f>
        <v>OILCRD</v>
      </c>
      <c r="H48">
        <f>Worldprices!$G$72*H$5</f>
        <v>12.645</v>
      </c>
      <c r="I48">
        <f>Worldprices!$G$72*I$5</f>
        <v>14.049999999999999</v>
      </c>
      <c r="J48">
        <f t="shared" si="1"/>
        <v>14.049999999999999</v>
      </c>
      <c r="K48">
        <f>Worldprices!$G$72*K$5</f>
        <v>14.049999999999999</v>
      </c>
      <c r="L48">
        <f>Worldprices!$G$72*L$5</f>
        <v>14.049999999999999</v>
      </c>
      <c r="M48">
        <f>Worldprices!$G$72*M$5</f>
        <v>14.049999999999999</v>
      </c>
      <c r="N48">
        <f>Worldprices!$G$72*N$5</f>
        <v>14.049999999999999</v>
      </c>
      <c r="O48">
        <f>Worldprices!$G$72*O$5</f>
        <v>14.049999999999999</v>
      </c>
      <c r="P48">
        <f>Worldprices!$G$72*P$5</f>
        <v>11.942499999999999</v>
      </c>
      <c r="Q48">
        <f>Worldprices!$G$72*Q$5</f>
        <v>14.049999999999999</v>
      </c>
      <c r="R48">
        <f>Worldprices!$G$72*R$5</f>
        <v>14.049999999999999</v>
      </c>
      <c r="S48">
        <f>Worldprices!$G$72*S$5</f>
        <v>14.049999999999999</v>
      </c>
      <c r="T48">
        <f>Worldprices!$G$72*T$5</f>
        <v>14.049999999999999</v>
      </c>
      <c r="U48">
        <f>Worldprices!$G$72*U$5</f>
        <v>12.645</v>
      </c>
      <c r="V48">
        <f>Worldprices!$G$72*V$5</f>
        <v>12.645</v>
      </c>
      <c r="W48">
        <f>Worldprices!$G$72*W$5</f>
        <v>14.049999999999999</v>
      </c>
      <c r="X48">
        <f>Worldprices!$G$72*X$5</f>
        <v>14.049999999999999</v>
      </c>
      <c r="Y48">
        <f>Worldprices!$G$72*Y$5</f>
        <v>14.049999999999999</v>
      </c>
      <c r="Z48">
        <f>Worldprices!$G$72*Z$5</f>
        <v>14.049999999999999</v>
      </c>
      <c r="AA48">
        <f>Worldprices!$G$72*AA$5</f>
        <v>14.049999999999999</v>
      </c>
      <c r="AB48">
        <f>Worldprices!$G$72*AB$5</f>
        <v>14.049999999999999</v>
      </c>
      <c r="AC48">
        <f>Worldprices!$G$72*AC$5</f>
        <v>14.049999999999999</v>
      </c>
      <c r="AD48">
        <f>Worldprices!$G$72*AD$5</f>
        <v>14.049999999999999</v>
      </c>
      <c r="AE48">
        <f>Worldprices!$G$72*AE$5</f>
        <v>14.049999999999999</v>
      </c>
      <c r="AF48">
        <f>Worldprices!$G$72*AF$5</f>
        <v>14.049999999999999</v>
      </c>
      <c r="AG48">
        <f>Worldprices!$G$72*AG$5</f>
        <v>14.049999999999999</v>
      </c>
      <c r="AH48">
        <f>Worldprices!$G$72*AH$5</f>
        <v>14.049999999999999</v>
      </c>
      <c r="AI48">
        <f>Worldprices!$G$72*AI$5</f>
        <v>14.049999999999999</v>
      </c>
      <c r="AJ48">
        <f>Worldprices!$G$72*AJ$5</f>
        <v>14.049999999999999</v>
      </c>
      <c r="AK48">
        <f>Worldprices!$G$72*AK$5</f>
        <v>14.049999999999999</v>
      </c>
      <c r="AL48">
        <f>Worldprices!$G$72*AL$5</f>
        <v>14.049999999999999</v>
      </c>
      <c r="AM48">
        <f>Worldprices!$G$72*AM$5</f>
        <v>14.049999999999999</v>
      </c>
      <c r="AN48">
        <f>Worldprices!$G$72*AN$5</f>
        <v>14.049999999999999</v>
      </c>
      <c r="AO48">
        <f>Worldprices!$G$72*AO$5</f>
        <v>14.049999999999999</v>
      </c>
      <c r="AP48">
        <f>Worldprices!$G$72*AP$5</f>
        <v>14.049999999999999</v>
      </c>
      <c r="AQ48">
        <f>Worldprices!$G$72*AQ$5</f>
        <v>14.049999999999999</v>
      </c>
      <c r="AR48">
        <f t="shared" si="2"/>
        <v>14.049999999999999</v>
      </c>
    </row>
    <row r="49" spans="1:44" ht="12.75">
      <c r="A49" t="s">
        <v>248</v>
      </c>
      <c r="B49" t="s">
        <v>351</v>
      </c>
      <c r="D49" t="str">
        <f t="shared" si="0"/>
        <v>COST</v>
      </c>
      <c r="E49">
        <v>2035</v>
      </c>
      <c r="F49" t="str">
        <f>Worldprices!$H$62</f>
        <v>IMPOILHFO</v>
      </c>
      <c r="G49" t="str">
        <f>Worldprices!$H$63</f>
        <v>OILHFO</v>
      </c>
      <c r="H49">
        <f>Worldprices!$H$72*H$5</f>
        <v>10.24245</v>
      </c>
      <c r="I49">
        <f>Worldprices!$H$72*I$5</f>
        <v>11.3805</v>
      </c>
      <c r="J49">
        <f t="shared" si="1"/>
        <v>11.3805</v>
      </c>
      <c r="K49">
        <f>Worldprices!$H$72*K$5</f>
        <v>11.3805</v>
      </c>
      <c r="L49">
        <f>Worldprices!$H$72*L$5</f>
        <v>11.3805</v>
      </c>
      <c r="M49">
        <f>Worldprices!$H$72*M$5</f>
        <v>11.3805</v>
      </c>
      <c r="N49">
        <f>Worldprices!$H$72*N$5</f>
        <v>11.3805</v>
      </c>
      <c r="O49">
        <f>Worldprices!$H$72*O$5</f>
        <v>11.3805</v>
      </c>
      <c r="P49">
        <f>Worldprices!$H$72*P$5</f>
        <v>9.6734249999999999</v>
      </c>
      <c r="Q49">
        <f>Worldprices!$H$72*Q$5</f>
        <v>11.3805</v>
      </c>
      <c r="R49">
        <f>Worldprices!$H$72*R$5</f>
        <v>11.3805</v>
      </c>
      <c r="S49">
        <f>Worldprices!$H$72*S$5</f>
        <v>11.3805</v>
      </c>
      <c r="T49">
        <f>Worldprices!$H$72*T$5</f>
        <v>11.3805</v>
      </c>
      <c r="U49">
        <f>Worldprices!$H$72*U$5</f>
        <v>10.24245</v>
      </c>
      <c r="V49">
        <f>Worldprices!$H$72*V$5</f>
        <v>10.24245</v>
      </c>
      <c r="W49">
        <f>Worldprices!$H$72*W$5</f>
        <v>11.3805</v>
      </c>
      <c r="X49">
        <f>Worldprices!$H$72*X$5</f>
        <v>11.3805</v>
      </c>
      <c r="Y49">
        <f>Worldprices!$H$72*Y$5</f>
        <v>11.3805</v>
      </c>
      <c r="Z49">
        <f>Worldprices!$H$72*Z$5</f>
        <v>11.3805</v>
      </c>
      <c r="AA49">
        <f>Worldprices!$H$72*AA$5</f>
        <v>11.3805</v>
      </c>
      <c r="AB49">
        <f>Worldprices!$H$72*AB$5</f>
        <v>11.3805</v>
      </c>
      <c r="AC49">
        <f>Worldprices!$H$72*AC$5</f>
        <v>11.3805</v>
      </c>
      <c r="AD49">
        <f>Worldprices!$H$72*AD$5</f>
        <v>11.3805</v>
      </c>
      <c r="AE49">
        <f>Worldprices!$H$72*AE$5</f>
        <v>11.3805</v>
      </c>
      <c r="AF49">
        <f>Worldprices!$H$72*AF$5</f>
        <v>11.3805</v>
      </c>
      <c r="AG49">
        <f>Worldprices!$H$72*AG$5</f>
        <v>11.3805</v>
      </c>
      <c r="AH49">
        <f>Worldprices!$H$72*AH$5</f>
        <v>11.3805</v>
      </c>
      <c r="AI49">
        <f>Worldprices!$H$72*AI$5</f>
        <v>11.3805</v>
      </c>
      <c r="AJ49">
        <f>Worldprices!$H$72*AJ$5</f>
        <v>11.3805</v>
      </c>
      <c r="AK49">
        <f>Worldprices!$H$72*AK$5</f>
        <v>11.3805</v>
      </c>
      <c r="AL49">
        <f>Worldprices!$H$72*AL$5</f>
        <v>11.3805</v>
      </c>
      <c r="AM49">
        <f>Worldprices!$H$72*AM$5</f>
        <v>11.3805</v>
      </c>
      <c r="AN49">
        <f>Worldprices!$H$72*AN$5</f>
        <v>11.3805</v>
      </c>
      <c r="AO49">
        <f>Worldprices!$H$72*AO$5</f>
        <v>11.3805</v>
      </c>
      <c r="AP49">
        <f>Worldprices!$H$72*AP$5</f>
        <v>11.3805</v>
      </c>
      <c r="AQ49">
        <f>Worldprices!$H$72*AQ$5</f>
        <v>11.3805</v>
      </c>
      <c r="AR49">
        <f t="shared" si="2"/>
        <v>11.3805</v>
      </c>
    </row>
    <row r="50" spans="1:44" ht="12.75">
      <c r="A50" t="s">
        <v>248</v>
      </c>
      <c r="B50" t="s">
        <v>351</v>
      </c>
      <c r="D50" t="str">
        <f t="shared" si="0"/>
        <v>COST</v>
      </c>
      <c r="E50">
        <v>2035</v>
      </c>
      <c r="F50" t="str">
        <f>Worldprices!$I$62</f>
        <v>IMPOILDST</v>
      </c>
      <c r="G50" t="str">
        <f>Worldprices!$I$63</f>
        <v>OILDST</v>
      </c>
      <c r="H50">
        <f>Worldprices!$I$72*H$6</f>
        <v>18.265000000000001</v>
      </c>
      <c r="I50">
        <f>Worldprices!$I$72*I$6</f>
        <v>18.265000000000001</v>
      </c>
      <c r="J50">
        <f t="shared" si="1"/>
        <v>18.265000000000001</v>
      </c>
      <c r="K50">
        <f>Worldprices!$I$72*K$6</f>
        <v>18.265000000000001</v>
      </c>
      <c r="L50">
        <f>Worldprices!$I$72*L$6</f>
        <v>18.265000000000001</v>
      </c>
      <c r="M50">
        <f>Worldprices!$I$72*M$6</f>
        <v>18.265000000000001</v>
      </c>
      <c r="N50">
        <f>Worldprices!$I$72*N$6</f>
        <v>18.265000000000001</v>
      </c>
      <c r="O50">
        <f>Worldprices!$I$72*O$6</f>
        <v>18.265000000000001</v>
      </c>
      <c r="P50">
        <f>Worldprices!$I$72*P$6</f>
        <v>18.265000000000001</v>
      </c>
      <c r="Q50">
        <f>Worldprices!$I$72*Q$6</f>
        <v>18.265000000000001</v>
      </c>
      <c r="R50">
        <f>Worldprices!$I$72*R$6</f>
        <v>18.265000000000001</v>
      </c>
      <c r="S50">
        <f>Worldprices!$I$72*S$6</f>
        <v>18.265000000000001</v>
      </c>
      <c r="T50">
        <f>Worldprices!$I$72*T$6</f>
        <v>18.265000000000001</v>
      </c>
      <c r="U50">
        <f>Worldprices!$I$72*U$6</f>
        <v>18.265000000000001</v>
      </c>
      <c r="V50">
        <f>Worldprices!$I$72*V$6</f>
        <v>17.351749999999999</v>
      </c>
      <c r="W50">
        <f>Worldprices!$I$72*W$6</f>
        <v>18.265000000000001</v>
      </c>
      <c r="X50">
        <f>Worldprices!$I$72*X$6</f>
        <v>18.265000000000001</v>
      </c>
      <c r="Y50">
        <f>Worldprices!$I$72*Y$6</f>
        <v>18.265000000000001</v>
      </c>
      <c r="Z50">
        <f>Worldprices!$I$72*Z$6</f>
        <v>18.265000000000001</v>
      </c>
      <c r="AA50">
        <f>Worldprices!$I$72*AA$6</f>
        <v>18.265000000000001</v>
      </c>
      <c r="AB50">
        <f>Worldprices!$I$72*AB$6</f>
        <v>18.265000000000001</v>
      </c>
      <c r="AC50">
        <f>Worldprices!$I$72*AC$6</f>
        <v>18.265000000000001</v>
      </c>
      <c r="AD50">
        <f>Worldprices!$I$72*AD$6</f>
        <v>18.265000000000001</v>
      </c>
      <c r="AE50">
        <f>Worldprices!$I$72*AE$6</f>
        <v>18.265000000000001</v>
      </c>
      <c r="AF50">
        <f>Worldprices!$I$72*AF$6</f>
        <v>18.265000000000001</v>
      </c>
      <c r="AG50">
        <f>Worldprices!$I$72*AG$6</f>
        <v>18.265000000000001</v>
      </c>
      <c r="AH50">
        <f>Worldprices!$I$72*AH$6</f>
        <v>18.265000000000001</v>
      </c>
      <c r="AI50">
        <f>Worldprices!$I$72*AI$6</f>
        <v>18.265000000000001</v>
      </c>
      <c r="AJ50">
        <f>Worldprices!$I$72*AJ$6</f>
        <v>18.265000000000001</v>
      </c>
      <c r="AK50">
        <f>Worldprices!$I$72*AK$6</f>
        <v>18.265000000000001</v>
      </c>
      <c r="AL50">
        <f>Worldprices!$I$72*AL$6</f>
        <v>18.265000000000001</v>
      </c>
      <c r="AM50">
        <f>Worldprices!$I$72*AM$6</f>
        <v>18.265000000000001</v>
      </c>
      <c r="AN50">
        <f>Worldprices!$I$72*AN$6</f>
        <v>18.265000000000001</v>
      </c>
      <c r="AO50">
        <f>Worldprices!$I$72*AO$6</f>
        <v>18.265000000000001</v>
      </c>
      <c r="AP50">
        <f>Worldprices!$I$72*AP$6</f>
        <v>18.265000000000001</v>
      </c>
      <c r="AQ50">
        <f>Worldprices!$I$72*AQ$6</f>
        <v>18.265000000000001</v>
      </c>
      <c r="AR50">
        <f t="shared" si="2"/>
        <v>18.265000000000001</v>
      </c>
    </row>
    <row r="51" spans="1:44" ht="12.75">
      <c r="A51" t="s">
        <v>248</v>
      </c>
      <c r="B51" t="s">
        <v>351</v>
      </c>
      <c r="D51" t="str">
        <f t="shared" si="0"/>
        <v>COST</v>
      </c>
      <c r="E51">
        <v>2035</v>
      </c>
      <c r="F51" t="str">
        <f>Worldprices!$J$62</f>
        <v>IMPOILLPG</v>
      </c>
      <c r="G51" t="str">
        <f>Worldprices!$J$63</f>
        <v>OILLPG</v>
      </c>
      <c r="H51">
        <f>Worldprices!$J$72*H$7</f>
        <v>15.455</v>
      </c>
      <c r="I51">
        <f>Worldprices!$J$72*I$7</f>
        <v>15.455</v>
      </c>
      <c r="J51">
        <f t="shared" si="1"/>
        <v>15.455</v>
      </c>
      <c r="K51">
        <f>Worldprices!$J$72*K$7</f>
        <v>15.455</v>
      </c>
      <c r="L51">
        <f>Worldprices!$J$72*L$7</f>
        <v>15.455</v>
      </c>
      <c r="M51">
        <f>Worldprices!$J$72*M$7</f>
        <v>15.455</v>
      </c>
      <c r="N51">
        <f>Worldprices!$J$72*N$7</f>
        <v>15.455</v>
      </c>
      <c r="O51">
        <f>Worldprices!$J$72*O$7</f>
        <v>15.455</v>
      </c>
      <c r="P51">
        <f>Worldprices!$J$72*P$7</f>
        <v>15.455</v>
      </c>
      <c r="Q51">
        <f>Worldprices!$J$72*Q$7</f>
        <v>15.455</v>
      </c>
      <c r="R51">
        <f>Worldprices!$J$72*R$7</f>
        <v>15.455</v>
      </c>
      <c r="S51">
        <f>Worldprices!$J$72*S$7</f>
        <v>15.455</v>
      </c>
      <c r="T51">
        <f>Worldprices!$J$72*T$7</f>
        <v>15.455</v>
      </c>
      <c r="U51">
        <f>Worldprices!$J$72*U$7</f>
        <v>15.455</v>
      </c>
      <c r="V51">
        <f>Worldprices!$J$72*V$7</f>
        <v>14.68225</v>
      </c>
      <c r="W51">
        <f>Worldprices!$J$72*W$7</f>
        <v>15.455</v>
      </c>
      <c r="X51">
        <f>Worldprices!$J$72*X$7</f>
        <v>15.455</v>
      </c>
      <c r="Y51">
        <f>Worldprices!$J$72*Y$7</f>
        <v>15.455</v>
      </c>
      <c r="Z51">
        <f>Worldprices!$J$72*Z$7</f>
        <v>15.455</v>
      </c>
      <c r="AA51">
        <f>Worldprices!$J$72*AA$7</f>
        <v>15.455</v>
      </c>
      <c r="AB51">
        <f>Worldprices!$J$72*AB$7</f>
        <v>15.455</v>
      </c>
      <c r="AC51">
        <f>Worldprices!$J$72*AC$7</f>
        <v>15.455</v>
      </c>
      <c r="AD51">
        <f>Worldprices!$J$72*AD$7</f>
        <v>15.455</v>
      </c>
      <c r="AE51">
        <f>Worldprices!$J$72*AE$7</f>
        <v>15.455</v>
      </c>
      <c r="AF51">
        <f>Worldprices!$J$72*AF$7</f>
        <v>15.455</v>
      </c>
      <c r="AG51">
        <f>Worldprices!$J$72*AG$7</f>
        <v>15.455</v>
      </c>
      <c r="AH51">
        <f>Worldprices!$J$72*AH$7</f>
        <v>15.455</v>
      </c>
      <c r="AI51">
        <f>Worldprices!$J$72*AI$7</f>
        <v>15.455</v>
      </c>
      <c r="AJ51">
        <f>Worldprices!$J$72*AJ$7</f>
        <v>15.455</v>
      </c>
      <c r="AK51">
        <f>Worldprices!$J$72*AK$7</f>
        <v>15.455</v>
      </c>
      <c r="AL51">
        <f>Worldprices!$J$72*AL$7</f>
        <v>15.455</v>
      </c>
      <c r="AM51">
        <f>Worldprices!$J$72*AM$7</f>
        <v>15.455</v>
      </c>
      <c r="AN51">
        <f>Worldprices!$J$72*AN$7</f>
        <v>15.455</v>
      </c>
      <c r="AO51">
        <f>Worldprices!$J$72*AO$7</f>
        <v>15.455</v>
      </c>
      <c r="AP51">
        <f>Worldprices!$J$72*AP$7</f>
        <v>15.455</v>
      </c>
      <c r="AQ51">
        <f>Worldprices!$J$72*AQ$7</f>
        <v>15.455</v>
      </c>
      <c r="AR51">
        <f t="shared" si="2"/>
        <v>15.455</v>
      </c>
    </row>
    <row r="52" spans="1:44" ht="12.75">
      <c r="A52" t="s">
        <v>248</v>
      </c>
      <c r="B52" t="s">
        <v>351</v>
      </c>
      <c r="D52" t="str">
        <f t="shared" si="0"/>
        <v>COST</v>
      </c>
      <c r="E52">
        <v>2035</v>
      </c>
      <c r="F52" t="str">
        <f>Worldprices!$K$62</f>
        <v>IMPOILGSL</v>
      </c>
      <c r="G52" t="str">
        <f>Worldprices!$K$63</f>
        <v>OILGSL</v>
      </c>
      <c r="H52">
        <f>Worldprices!$K$72*H$7</f>
        <v>19.669999999999998</v>
      </c>
      <c r="I52">
        <f>Worldprices!$K$72*I$7</f>
        <v>19.669999999999998</v>
      </c>
      <c r="J52">
        <f t="shared" si="1"/>
        <v>19.669999999999998</v>
      </c>
      <c r="K52">
        <f>Worldprices!$K$72*K$7</f>
        <v>19.669999999999998</v>
      </c>
      <c r="L52">
        <f>Worldprices!$K$72*L$7</f>
        <v>19.669999999999998</v>
      </c>
      <c r="M52">
        <f>Worldprices!$K$72*M$7</f>
        <v>19.669999999999998</v>
      </c>
      <c r="N52">
        <f>Worldprices!$K$72*N$7</f>
        <v>19.669999999999998</v>
      </c>
      <c r="O52">
        <f>Worldprices!$K$72*O$7</f>
        <v>19.669999999999998</v>
      </c>
      <c r="P52">
        <f>Worldprices!$K$72*P$7</f>
        <v>19.669999999999998</v>
      </c>
      <c r="Q52">
        <f>Worldprices!$K$72*Q$7</f>
        <v>19.669999999999998</v>
      </c>
      <c r="R52">
        <f>Worldprices!$K$72*R$7</f>
        <v>19.669999999999998</v>
      </c>
      <c r="S52">
        <f>Worldprices!$K$72*S$7</f>
        <v>19.669999999999998</v>
      </c>
      <c r="T52">
        <f>Worldprices!$K$72*T$7</f>
        <v>19.669999999999998</v>
      </c>
      <c r="U52">
        <f>Worldprices!$K$72*U$7</f>
        <v>19.669999999999998</v>
      </c>
      <c r="V52">
        <f>Worldprices!$K$72*V$7</f>
        <v>18.686499999999999</v>
      </c>
      <c r="W52">
        <f>Worldprices!$K$72*W$7</f>
        <v>19.669999999999998</v>
      </c>
      <c r="X52">
        <f>Worldprices!$K$72*X$7</f>
        <v>19.669999999999998</v>
      </c>
      <c r="Y52">
        <f>Worldprices!$K$72*Y$7</f>
        <v>19.669999999999998</v>
      </c>
      <c r="Z52">
        <f>Worldprices!$K$72*Z$7</f>
        <v>19.669999999999998</v>
      </c>
      <c r="AA52">
        <f>Worldprices!$K$72*AA$7</f>
        <v>19.669999999999998</v>
      </c>
      <c r="AB52">
        <f>Worldprices!$K$72*AB$7</f>
        <v>19.669999999999998</v>
      </c>
      <c r="AC52">
        <f>Worldprices!$K$72*AC$7</f>
        <v>19.669999999999998</v>
      </c>
      <c r="AD52">
        <f>Worldprices!$K$72*AD$7</f>
        <v>19.669999999999998</v>
      </c>
      <c r="AE52">
        <f>Worldprices!$K$72*AE$7</f>
        <v>19.669999999999998</v>
      </c>
      <c r="AF52">
        <f>Worldprices!$K$72*AF$7</f>
        <v>19.669999999999998</v>
      </c>
      <c r="AG52">
        <f>Worldprices!$K$72*AG$7</f>
        <v>19.669999999999998</v>
      </c>
      <c r="AH52">
        <f>Worldprices!$K$72*AH$7</f>
        <v>19.669999999999998</v>
      </c>
      <c r="AI52">
        <f>Worldprices!$K$72*AI$7</f>
        <v>19.669999999999998</v>
      </c>
      <c r="AJ52">
        <f>Worldprices!$K$72*AJ$7</f>
        <v>19.669999999999998</v>
      </c>
      <c r="AK52">
        <f>Worldprices!$K$72*AK$7</f>
        <v>19.669999999999998</v>
      </c>
      <c r="AL52">
        <f>Worldprices!$K$72*AL$7</f>
        <v>19.669999999999998</v>
      </c>
      <c r="AM52">
        <f>Worldprices!$K$72*AM$7</f>
        <v>19.669999999999998</v>
      </c>
      <c r="AN52">
        <f>Worldprices!$K$72*AN$7</f>
        <v>19.669999999999998</v>
      </c>
      <c r="AO52">
        <f>Worldprices!$K$72*AO$7</f>
        <v>19.669999999999998</v>
      </c>
      <c r="AP52">
        <f>Worldprices!$K$72*AP$7</f>
        <v>19.669999999999998</v>
      </c>
      <c r="AQ52">
        <f>Worldprices!$K$72*AQ$7</f>
        <v>19.669999999999998</v>
      </c>
      <c r="AR52">
        <f t="shared" si="2"/>
        <v>19.669999999999998</v>
      </c>
    </row>
    <row r="53" spans="1:44" ht="12.75">
      <c r="A53" t="s">
        <v>248</v>
      </c>
      <c r="B53" t="s">
        <v>351</v>
      </c>
      <c r="D53" t="str">
        <f t="shared" si="0"/>
        <v>COST</v>
      </c>
      <c r="E53">
        <v>2035</v>
      </c>
      <c r="F53" t="str">
        <f>Worldprices!$L$62</f>
        <v>IMPOILKER</v>
      </c>
      <c r="G53" t="str">
        <f>Worldprices!$L$63</f>
        <v>OILKER</v>
      </c>
      <c r="H53">
        <f>Worldprices!$L$72*H$7</f>
        <v>19.669999999999998</v>
      </c>
      <c r="I53">
        <f>Worldprices!$L$72*I$7</f>
        <v>19.669999999999998</v>
      </c>
      <c r="J53">
        <f t="shared" si="1"/>
        <v>19.669999999999998</v>
      </c>
      <c r="K53">
        <f>Worldprices!$L$72*K$7</f>
        <v>19.669999999999998</v>
      </c>
      <c r="L53">
        <f>Worldprices!$L$72*L$7</f>
        <v>19.669999999999998</v>
      </c>
      <c r="M53">
        <f>Worldprices!$L$72*M$7</f>
        <v>19.669999999999998</v>
      </c>
      <c r="N53">
        <f>Worldprices!$L$72*N$7</f>
        <v>19.669999999999998</v>
      </c>
      <c r="O53">
        <f>Worldprices!$L$72*O$7</f>
        <v>19.669999999999998</v>
      </c>
      <c r="P53">
        <f>Worldprices!$L$72*P$7</f>
        <v>19.669999999999998</v>
      </c>
      <c r="Q53">
        <f>Worldprices!$L$72*Q$7</f>
        <v>19.669999999999998</v>
      </c>
      <c r="R53">
        <f>Worldprices!$L$72*R$7</f>
        <v>19.669999999999998</v>
      </c>
      <c r="S53">
        <f>Worldprices!$L$72*S$7</f>
        <v>19.669999999999998</v>
      </c>
      <c r="T53">
        <f>Worldprices!$L$72*T$7</f>
        <v>19.669999999999998</v>
      </c>
      <c r="U53">
        <f>Worldprices!$L$72*U$7</f>
        <v>19.669999999999998</v>
      </c>
      <c r="V53">
        <f>Worldprices!$L$72*V$7</f>
        <v>18.686499999999999</v>
      </c>
      <c r="W53">
        <f>Worldprices!$L$72*W$7</f>
        <v>19.669999999999998</v>
      </c>
      <c r="X53">
        <f>Worldprices!$L$72*X$7</f>
        <v>19.669999999999998</v>
      </c>
      <c r="Y53">
        <f>Worldprices!$L$72*Y$7</f>
        <v>19.669999999999998</v>
      </c>
      <c r="Z53">
        <f>Worldprices!$L$72*Z$7</f>
        <v>19.669999999999998</v>
      </c>
      <c r="AA53">
        <f>Worldprices!$L$72*AA$7</f>
        <v>19.669999999999998</v>
      </c>
      <c r="AB53">
        <f>Worldprices!$L$72*AB$7</f>
        <v>19.669999999999998</v>
      </c>
      <c r="AC53">
        <f>Worldprices!$L$72*AC$7</f>
        <v>19.669999999999998</v>
      </c>
      <c r="AD53">
        <f>Worldprices!$L$72*AD$7</f>
        <v>19.669999999999998</v>
      </c>
      <c r="AE53">
        <f>Worldprices!$L$72*AE$7</f>
        <v>19.669999999999998</v>
      </c>
      <c r="AF53">
        <f>Worldprices!$L$72*AF$7</f>
        <v>19.669999999999998</v>
      </c>
      <c r="AG53">
        <f>Worldprices!$L$72*AG$7</f>
        <v>19.669999999999998</v>
      </c>
      <c r="AH53">
        <f>Worldprices!$L$72*AH$7</f>
        <v>19.669999999999998</v>
      </c>
      <c r="AI53">
        <f>Worldprices!$L$72*AI$7</f>
        <v>19.669999999999998</v>
      </c>
      <c r="AJ53">
        <f>Worldprices!$L$72*AJ$7</f>
        <v>19.669999999999998</v>
      </c>
      <c r="AK53">
        <f>Worldprices!$L$72*AK$7</f>
        <v>19.669999999999998</v>
      </c>
      <c r="AL53">
        <f>Worldprices!$L$72*AL$7</f>
        <v>19.669999999999998</v>
      </c>
      <c r="AM53">
        <f>Worldprices!$L$72*AM$7</f>
        <v>19.669999999999998</v>
      </c>
      <c r="AN53">
        <f>Worldprices!$L$72*AN$7</f>
        <v>19.669999999999998</v>
      </c>
      <c r="AO53">
        <f>Worldprices!$L$72*AO$7</f>
        <v>19.669999999999998</v>
      </c>
      <c r="AP53">
        <f>Worldprices!$L$72*AP$7</f>
        <v>19.669999999999998</v>
      </c>
      <c r="AQ53">
        <f>Worldprices!$L$72*AQ$7</f>
        <v>19.669999999999998</v>
      </c>
      <c r="AR53">
        <f t="shared" si="2"/>
        <v>19.669999999999998</v>
      </c>
    </row>
    <row r="54" spans="1:44" ht="12.75">
      <c r="A54" t="s">
        <v>248</v>
      </c>
      <c r="B54" t="s">
        <v>351</v>
      </c>
      <c r="D54" t="str">
        <f t="shared" si="0"/>
        <v>*</v>
      </c>
      <c r="E54">
        <v>2035</v>
      </c>
      <c r="F54" t="str">
        <f>Worldprices!$Q$62</f>
        <v>IMPGASNAT</v>
      </c>
      <c r="G54" t="str">
        <f>Worldprices!$Q$63</f>
        <v>GASNAT</v>
      </c>
      <c r="H54">
        <f>Worldprices!$Q$72*H$8</f>
        <v>7.0000000000000009</v>
      </c>
      <c r="I54">
        <f>Worldprices!$Q$72*I$8</f>
        <v>7.0000000000000009</v>
      </c>
      <c r="J54">
        <f t="shared" si="1"/>
        <v>7.0000000000000009</v>
      </c>
      <c r="K54">
        <f>Worldprices!$Q$72*K$8</f>
        <v>7.0000000000000009</v>
      </c>
      <c r="L54">
        <f>Worldprices!$Q$72*L$8</f>
        <v>7.0000000000000009</v>
      </c>
      <c r="M54">
        <f>Worldprices!$Q$72*M$8</f>
        <v>7.0000000000000009</v>
      </c>
      <c r="N54">
        <f>Worldprices!$Q$72*N$8</f>
        <v>7.0000000000000009</v>
      </c>
      <c r="O54">
        <f>Worldprices!$Q$72*O$8</f>
        <v>7.0000000000000009</v>
      </c>
      <c r="P54">
        <f>Worldprices!$Q$72*P$8</f>
        <v>5.9500000000000002</v>
      </c>
      <c r="Q54">
        <f>Worldprices!$Q$72*Q$8</f>
        <v>6.3000000000000007</v>
      </c>
      <c r="R54">
        <f>Worldprices!$Q$72*R$8</f>
        <v>7.0000000000000009</v>
      </c>
      <c r="S54">
        <f>Worldprices!$Q$72*S$8</f>
        <v>7.0000000000000009</v>
      </c>
      <c r="T54">
        <f>Worldprices!$Q$72*T$8</f>
        <v>7.0000000000000009</v>
      </c>
      <c r="U54">
        <f>Worldprices!$Q$72*U$8</f>
        <v>7.0000000000000009</v>
      </c>
      <c r="V54">
        <f>Worldprices!$Q$72*V$8</f>
        <v>6.3000000000000007</v>
      </c>
      <c r="W54">
        <f>Worldprices!$Q$72*W$8</f>
        <v>7.0000000000000009</v>
      </c>
      <c r="X54">
        <f>Worldprices!$Q$72*X$8</f>
        <v>7.0000000000000009</v>
      </c>
      <c r="Y54">
        <f>Worldprices!$Q$72*Y$8</f>
        <v>7.0000000000000009</v>
      </c>
      <c r="Z54">
        <f>Worldprices!$Q$72*Z$8</f>
        <v>7.0000000000000009</v>
      </c>
      <c r="AA54">
        <f>Worldprices!$Q$72*AA$8</f>
        <v>7.0000000000000009</v>
      </c>
      <c r="AB54">
        <f>Worldprices!$Q$72*AB$8</f>
        <v>7.0000000000000009</v>
      </c>
      <c r="AC54">
        <f>Worldprices!$Q$72*AC$8</f>
        <v>7.0000000000000009</v>
      </c>
      <c r="AD54">
        <f>Worldprices!$Q$72*AD$8</f>
        <v>7.0000000000000009</v>
      </c>
      <c r="AE54">
        <f>Worldprices!$Q$72*AE$8</f>
        <v>7.0000000000000009</v>
      </c>
      <c r="AF54">
        <f>Worldprices!$Q$72*AF$8</f>
        <v>7.0000000000000009</v>
      </c>
      <c r="AG54">
        <f>Worldprices!$Q$72*AG$8</f>
        <v>7.0000000000000009</v>
      </c>
      <c r="AH54">
        <f>Worldprices!$Q$72*AH$8</f>
        <v>7.0000000000000009</v>
      </c>
      <c r="AI54">
        <f>Worldprices!$Q$72*AI$8</f>
        <v>7.0000000000000009</v>
      </c>
      <c r="AJ54">
        <f>Worldprices!$Q$72*AJ$8</f>
        <v>7.0000000000000009</v>
      </c>
      <c r="AK54">
        <f>Worldprices!$Q$72*AK$8</f>
        <v>7.0000000000000009</v>
      </c>
      <c r="AL54">
        <f>Worldprices!$Q$72*AL$8</f>
        <v>7.0000000000000009</v>
      </c>
      <c r="AM54">
        <f>Worldprices!$Q$72*AM$8</f>
        <v>7.0000000000000009</v>
      </c>
      <c r="AN54">
        <f>Worldprices!$Q$72*AN$8</f>
        <v>7.0000000000000009</v>
      </c>
      <c r="AO54">
        <f>Worldprices!$Q$72*AO$8</f>
        <v>7.0000000000000009</v>
      </c>
      <c r="AP54">
        <f>Worldprices!$Q$72*AP$8</f>
        <v>7.0000000000000009</v>
      </c>
      <c r="AQ54">
        <f>Worldprices!$Q$72*AQ$8</f>
        <v>7.0000000000000009</v>
      </c>
      <c r="AR54">
        <f t="shared" si="2"/>
        <v>7.0000000000000009</v>
      </c>
    </row>
    <row r="55" spans="1:44" ht="12.75">
      <c r="A55" t="s">
        <v>248</v>
      </c>
      <c r="B55" t="s">
        <v>351</v>
      </c>
      <c r="D55" t="str">
        <f t="shared" si="0"/>
        <v>COST</v>
      </c>
      <c r="E55">
        <v>2040</v>
      </c>
      <c r="F55" t="str">
        <f>Worldprices!$G$62</f>
        <v>IMPOILCRD</v>
      </c>
      <c r="G55" t="str">
        <f>Worldprices!$G$63</f>
        <v>OILCRD</v>
      </c>
      <c r="H55">
        <f>Worldprices!$G$73*H$5</f>
        <v>13.004999999999997</v>
      </c>
      <c r="I55">
        <f>Worldprices!$G$73*I$5</f>
        <v>14.449999999999998</v>
      </c>
      <c r="J55">
        <f t="shared" si="1"/>
        <v>14.449999999999998</v>
      </c>
      <c r="K55">
        <f>Worldprices!$G$73*K$5</f>
        <v>14.449999999999998</v>
      </c>
      <c r="L55">
        <f>Worldprices!$G$73*L$5</f>
        <v>14.449999999999998</v>
      </c>
      <c r="M55">
        <f>Worldprices!$G$73*M$5</f>
        <v>14.449999999999998</v>
      </c>
      <c r="N55">
        <f>Worldprices!$G$73*N$5</f>
        <v>14.449999999999998</v>
      </c>
      <c r="O55">
        <f>Worldprices!$G$73*O$5</f>
        <v>14.449999999999998</v>
      </c>
      <c r="P55">
        <f>Worldprices!$G$73*P$5</f>
        <v>12.282499999999997</v>
      </c>
      <c r="Q55">
        <f>Worldprices!$G$73*Q$5</f>
        <v>14.449999999999998</v>
      </c>
      <c r="R55">
        <f>Worldprices!$G$73*R$5</f>
        <v>14.449999999999998</v>
      </c>
      <c r="S55">
        <f>Worldprices!$G$73*S$5</f>
        <v>14.449999999999998</v>
      </c>
      <c r="T55">
        <f>Worldprices!$G$73*T$5</f>
        <v>14.449999999999998</v>
      </c>
      <c r="U55">
        <f>Worldprices!$G$73*U$5</f>
        <v>13.004999999999997</v>
      </c>
      <c r="V55">
        <f>Worldprices!$G$73*V$5</f>
        <v>13.004999999999997</v>
      </c>
      <c r="W55">
        <f>Worldprices!$G$73*W$5</f>
        <v>14.449999999999998</v>
      </c>
      <c r="X55">
        <f>Worldprices!$G$73*X$5</f>
        <v>14.449999999999998</v>
      </c>
      <c r="Y55">
        <f>Worldprices!$G$73*Y$5</f>
        <v>14.449999999999998</v>
      </c>
      <c r="Z55">
        <f>Worldprices!$G$73*Z$5</f>
        <v>14.449999999999998</v>
      </c>
      <c r="AA55">
        <f>Worldprices!$G$73*AA$5</f>
        <v>14.449999999999998</v>
      </c>
      <c r="AB55">
        <f>Worldprices!$G$73*AB$5</f>
        <v>14.449999999999998</v>
      </c>
      <c r="AC55">
        <f>Worldprices!$G$73*AC$5</f>
        <v>14.449999999999998</v>
      </c>
      <c r="AD55">
        <f>Worldprices!$G$73*AD$5</f>
        <v>14.449999999999998</v>
      </c>
      <c r="AE55">
        <f>Worldprices!$G$73*AE$5</f>
        <v>14.449999999999998</v>
      </c>
      <c r="AF55">
        <f>Worldprices!$G$73*AF$5</f>
        <v>14.449999999999998</v>
      </c>
      <c r="AG55">
        <f>Worldprices!$G$73*AG$5</f>
        <v>14.449999999999998</v>
      </c>
      <c r="AH55">
        <f>Worldprices!$G$73*AH$5</f>
        <v>14.449999999999998</v>
      </c>
      <c r="AI55">
        <f>Worldprices!$G$73*AI$5</f>
        <v>14.449999999999998</v>
      </c>
      <c r="AJ55">
        <f>Worldprices!$G$73*AJ$5</f>
        <v>14.449999999999998</v>
      </c>
      <c r="AK55">
        <f>Worldprices!$G$73*AK$5</f>
        <v>14.449999999999998</v>
      </c>
      <c r="AL55">
        <f>Worldprices!$G$73*AL$5</f>
        <v>14.449999999999998</v>
      </c>
      <c r="AM55">
        <f>Worldprices!$G$73*AM$5</f>
        <v>14.449999999999998</v>
      </c>
      <c r="AN55">
        <f>Worldprices!$G$73*AN$5</f>
        <v>14.449999999999998</v>
      </c>
      <c r="AO55">
        <f>Worldprices!$G$73*AO$5</f>
        <v>14.449999999999998</v>
      </c>
      <c r="AP55">
        <f>Worldprices!$G$73*AP$5</f>
        <v>14.449999999999998</v>
      </c>
      <c r="AQ55">
        <f>Worldprices!$G$73*AQ$5</f>
        <v>14.449999999999998</v>
      </c>
      <c r="AR55">
        <f t="shared" si="2"/>
        <v>14.449999999999998</v>
      </c>
    </row>
    <row r="56" spans="1:44" ht="12.75">
      <c r="A56" t="s">
        <v>248</v>
      </c>
      <c r="B56" t="s">
        <v>351</v>
      </c>
      <c r="D56" t="str">
        <f t="shared" si="0"/>
        <v>COST</v>
      </c>
      <c r="E56">
        <v>2040</v>
      </c>
      <c r="F56" t="str">
        <f>Worldprices!$H$62</f>
        <v>IMPOILHFO</v>
      </c>
      <c r="G56" t="str">
        <f>Worldprices!$H$63</f>
        <v>OILHFO</v>
      </c>
      <c r="H56">
        <f>Worldprices!$H$73*H$5</f>
        <v>10.534050000000001</v>
      </c>
      <c r="I56">
        <f>Worldprices!$H$73*I$5</f>
        <v>11.704499999999999</v>
      </c>
      <c r="J56">
        <f t="shared" si="1"/>
        <v>11.704499999999999</v>
      </c>
      <c r="K56">
        <f>Worldprices!$H$73*K$5</f>
        <v>11.704499999999999</v>
      </c>
      <c r="L56">
        <f>Worldprices!$H$73*L$5</f>
        <v>11.704499999999999</v>
      </c>
      <c r="M56">
        <f>Worldprices!$H$73*M$5</f>
        <v>11.704499999999999</v>
      </c>
      <c r="N56">
        <f>Worldprices!$H$73*N$5</f>
        <v>11.704499999999999</v>
      </c>
      <c r="O56">
        <f>Worldprices!$H$73*O$5</f>
        <v>11.704499999999999</v>
      </c>
      <c r="P56">
        <f>Worldprices!$H$73*P$5</f>
        <v>9.9488249999999994</v>
      </c>
      <c r="Q56">
        <f>Worldprices!$H$73*Q$5</f>
        <v>11.704499999999999</v>
      </c>
      <c r="R56">
        <f>Worldprices!$H$73*R$5</f>
        <v>11.704499999999999</v>
      </c>
      <c r="S56">
        <f>Worldprices!$H$73*S$5</f>
        <v>11.704499999999999</v>
      </c>
      <c r="T56">
        <f>Worldprices!$H$73*T$5</f>
        <v>11.704499999999999</v>
      </c>
      <c r="U56">
        <f>Worldprices!$H$73*U$5</f>
        <v>10.534050000000001</v>
      </c>
      <c r="V56">
        <f>Worldprices!$H$73*V$5</f>
        <v>10.534050000000001</v>
      </c>
      <c r="W56">
        <f>Worldprices!$H$73*W$5</f>
        <v>11.704499999999999</v>
      </c>
      <c r="X56">
        <f>Worldprices!$H$73*X$5</f>
        <v>11.704499999999999</v>
      </c>
      <c r="Y56">
        <f>Worldprices!$H$73*Y$5</f>
        <v>11.704499999999999</v>
      </c>
      <c r="Z56">
        <f>Worldprices!$H$73*Z$5</f>
        <v>11.704499999999999</v>
      </c>
      <c r="AA56">
        <f>Worldprices!$H$73*AA$5</f>
        <v>11.704499999999999</v>
      </c>
      <c r="AB56">
        <f>Worldprices!$H$73*AB$5</f>
        <v>11.704499999999999</v>
      </c>
      <c r="AC56">
        <f>Worldprices!$H$73*AC$5</f>
        <v>11.704499999999999</v>
      </c>
      <c r="AD56">
        <f>Worldprices!$H$73*AD$5</f>
        <v>11.704499999999999</v>
      </c>
      <c r="AE56">
        <f>Worldprices!$H$73*AE$5</f>
        <v>11.704499999999999</v>
      </c>
      <c r="AF56">
        <f>Worldprices!$H$73*AF$5</f>
        <v>11.704499999999999</v>
      </c>
      <c r="AG56">
        <f>Worldprices!$H$73*AG$5</f>
        <v>11.704499999999999</v>
      </c>
      <c r="AH56">
        <f>Worldprices!$H$73*AH$5</f>
        <v>11.704499999999999</v>
      </c>
      <c r="AI56">
        <f>Worldprices!$H$73*AI$5</f>
        <v>11.704499999999999</v>
      </c>
      <c r="AJ56">
        <f>Worldprices!$H$73*AJ$5</f>
        <v>11.704499999999999</v>
      </c>
      <c r="AK56">
        <f>Worldprices!$H$73*AK$5</f>
        <v>11.704499999999999</v>
      </c>
      <c r="AL56">
        <f>Worldprices!$H$73*AL$5</f>
        <v>11.704499999999999</v>
      </c>
      <c r="AM56">
        <f>Worldprices!$H$73*AM$5</f>
        <v>11.704499999999999</v>
      </c>
      <c r="AN56">
        <f>Worldprices!$H$73*AN$5</f>
        <v>11.704499999999999</v>
      </c>
      <c r="AO56">
        <f>Worldprices!$H$73*AO$5</f>
        <v>11.704499999999999</v>
      </c>
      <c r="AP56">
        <f>Worldprices!$H$73*AP$5</f>
        <v>11.704499999999999</v>
      </c>
      <c r="AQ56">
        <f>Worldprices!$H$73*AQ$5</f>
        <v>11.704499999999999</v>
      </c>
      <c r="AR56">
        <f t="shared" si="2"/>
        <v>11.704499999999999</v>
      </c>
    </row>
    <row r="57" spans="1:44" ht="12.75">
      <c r="A57" t="s">
        <v>248</v>
      </c>
      <c r="B57" t="s">
        <v>351</v>
      </c>
      <c r="D57" t="str">
        <f t="shared" si="0"/>
        <v>COST</v>
      </c>
      <c r="E57">
        <v>2040</v>
      </c>
      <c r="F57" t="str">
        <f>Worldprices!$I$62</f>
        <v>IMPOILDST</v>
      </c>
      <c r="G57" t="str">
        <f>Worldprices!$I$63</f>
        <v>OILDST</v>
      </c>
      <c r="H57">
        <f>Worldprices!$I$73*H$6</f>
        <v>18.784999999999997</v>
      </c>
      <c r="I57">
        <f>Worldprices!$I$73*I$6</f>
        <v>18.784999999999997</v>
      </c>
      <c r="J57">
        <f t="shared" si="3" ref="J57:J75">AI57</f>
        <v>18.784999999999997</v>
      </c>
      <c r="K57">
        <f>Worldprices!$I$73*K$6</f>
        <v>18.784999999999997</v>
      </c>
      <c r="L57">
        <f>Worldprices!$I$73*L$6</f>
        <v>18.784999999999997</v>
      </c>
      <c r="M57">
        <f>Worldprices!$I$73*M$6</f>
        <v>18.784999999999997</v>
      </c>
      <c r="N57">
        <f>Worldprices!$I$73*N$6</f>
        <v>18.784999999999997</v>
      </c>
      <c r="O57">
        <f>Worldprices!$I$73*O$6</f>
        <v>18.784999999999997</v>
      </c>
      <c r="P57">
        <f>Worldprices!$I$73*P$6</f>
        <v>18.784999999999997</v>
      </c>
      <c r="Q57">
        <f>Worldprices!$I$73*Q$6</f>
        <v>18.784999999999997</v>
      </c>
      <c r="R57">
        <f>Worldprices!$I$73*R$6</f>
        <v>18.784999999999997</v>
      </c>
      <c r="S57">
        <f>Worldprices!$I$73*S$6</f>
        <v>18.784999999999997</v>
      </c>
      <c r="T57">
        <f>Worldprices!$I$73*T$6</f>
        <v>18.784999999999997</v>
      </c>
      <c r="U57">
        <f>Worldprices!$I$73*U$6</f>
        <v>18.784999999999997</v>
      </c>
      <c r="V57">
        <f>Worldprices!$I$73*V$6</f>
        <v>17.845749999999995</v>
      </c>
      <c r="W57">
        <f>Worldprices!$I$73*W$6</f>
        <v>18.784999999999997</v>
      </c>
      <c r="X57">
        <f>Worldprices!$I$73*X$6</f>
        <v>18.784999999999997</v>
      </c>
      <c r="Y57">
        <f>Worldprices!$I$73*Y$6</f>
        <v>18.784999999999997</v>
      </c>
      <c r="Z57">
        <f>Worldprices!$I$73*Z$6</f>
        <v>18.784999999999997</v>
      </c>
      <c r="AA57">
        <f>Worldprices!$I$73*AA$6</f>
        <v>18.784999999999997</v>
      </c>
      <c r="AB57">
        <f>Worldprices!$I$73*AB$6</f>
        <v>18.784999999999997</v>
      </c>
      <c r="AC57">
        <f>Worldprices!$I$73*AC$6</f>
        <v>18.784999999999997</v>
      </c>
      <c r="AD57">
        <f>Worldprices!$I$73*AD$6</f>
        <v>18.784999999999997</v>
      </c>
      <c r="AE57">
        <f>Worldprices!$I$73*AE$6</f>
        <v>18.784999999999997</v>
      </c>
      <c r="AF57">
        <f>Worldprices!$I$73*AF$6</f>
        <v>18.784999999999997</v>
      </c>
      <c r="AG57">
        <f>Worldprices!$I$73*AG$6</f>
        <v>18.784999999999997</v>
      </c>
      <c r="AH57">
        <f>Worldprices!$I$73*AH$6</f>
        <v>18.784999999999997</v>
      </c>
      <c r="AI57">
        <f>Worldprices!$I$73*AI$6</f>
        <v>18.784999999999997</v>
      </c>
      <c r="AJ57">
        <f>Worldprices!$I$73*AJ$6</f>
        <v>18.784999999999997</v>
      </c>
      <c r="AK57">
        <f>Worldprices!$I$73*AK$6</f>
        <v>18.784999999999997</v>
      </c>
      <c r="AL57">
        <f>Worldprices!$I$73*AL$6</f>
        <v>18.784999999999997</v>
      </c>
      <c r="AM57">
        <f>Worldprices!$I$73*AM$6</f>
        <v>18.784999999999997</v>
      </c>
      <c r="AN57">
        <f>Worldprices!$I$73*AN$6</f>
        <v>18.784999999999997</v>
      </c>
      <c r="AO57">
        <f>Worldprices!$I$73*AO$6</f>
        <v>18.784999999999997</v>
      </c>
      <c r="AP57">
        <f>Worldprices!$I$73*AP$6</f>
        <v>18.784999999999997</v>
      </c>
      <c r="AQ57">
        <f>Worldprices!$I$73*AQ$6</f>
        <v>18.784999999999997</v>
      </c>
      <c r="AR57">
        <f t="shared" si="2"/>
        <v>18.784999999999997</v>
      </c>
    </row>
    <row r="58" spans="1:44" ht="12.75">
      <c r="A58" t="s">
        <v>248</v>
      </c>
      <c r="B58" t="s">
        <v>351</v>
      </c>
      <c r="D58" t="str">
        <f t="shared" si="0"/>
        <v>COST</v>
      </c>
      <c r="E58">
        <v>2040</v>
      </c>
      <c r="F58" t="str">
        <f>Worldprices!$J$62</f>
        <v>IMPOILLPG</v>
      </c>
      <c r="G58" t="str">
        <f>Worldprices!$J$63</f>
        <v>OILLPG</v>
      </c>
      <c r="H58">
        <f>Worldprices!$J$73*H$7</f>
        <v>15.894999999999998</v>
      </c>
      <c r="I58">
        <f>Worldprices!$J$73*I$7</f>
        <v>15.894999999999998</v>
      </c>
      <c r="J58">
        <f t="shared" si="3"/>
        <v>15.894999999999998</v>
      </c>
      <c r="K58">
        <f>Worldprices!$J$73*K$7</f>
        <v>15.894999999999998</v>
      </c>
      <c r="L58">
        <f>Worldprices!$J$73*L$7</f>
        <v>15.894999999999998</v>
      </c>
      <c r="M58">
        <f>Worldprices!$J$73*M$7</f>
        <v>15.894999999999998</v>
      </c>
      <c r="N58">
        <f>Worldprices!$J$73*N$7</f>
        <v>15.894999999999998</v>
      </c>
      <c r="O58">
        <f>Worldprices!$J$73*O$7</f>
        <v>15.894999999999998</v>
      </c>
      <c r="P58">
        <f>Worldprices!$J$73*P$7</f>
        <v>15.894999999999998</v>
      </c>
      <c r="Q58">
        <f>Worldprices!$J$73*Q$7</f>
        <v>15.894999999999998</v>
      </c>
      <c r="R58">
        <f>Worldprices!$J$73*R$7</f>
        <v>15.894999999999998</v>
      </c>
      <c r="S58">
        <f>Worldprices!$J$73*S$7</f>
        <v>15.894999999999998</v>
      </c>
      <c r="T58">
        <f>Worldprices!$J$73*T$7</f>
        <v>15.894999999999998</v>
      </c>
      <c r="U58">
        <f>Worldprices!$J$73*U$7</f>
        <v>15.894999999999998</v>
      </c>
      <c r="V58">
        <f>Worldprices!$J$73*V$7</f>
        <v>15.100249999999997</v>
      </c>
      <c r="W58">
        <f>Worldprices!$J$73*W$7</f>
        <v>15.894999999999998</v>
      </c>
      <c r="X58">
        <f>Worldprices!$J$73*X$7</f>
        <v>15.894999999999998</v>
      </c>
      <c r="Y58">
        <f>Worldprices!$J$73*Y$7</f>
        <v>15.894999999999998</v>
      </c>
      <c r="Z58">
        <f>Worldprices!$J$73*Z$7</f>
        <v>15.894999999999998</v>
      </c>
      <c r="AA58">
        <f>Worldprices!$J$73*AA$7</f>
        <v>15.894999999999998</v>
      </c>
      <c r="AB58">
        <f>Worldprices!$J$73*AB$7</f>
        <v>15.894999999999998</v>
      </c>
      <c r="AC58">
        <f>Worldprices!$J$73*AC$7</f>
        <v>15.894999999999998</v>
      </c>
      <c r="AD58">
        <f>Worldprices!$J$73*AD$7</f>
        <v>15.894999999999998</v>
      </c>
      <c r="AE58">
        <f>Worldprices!$J$73*AE$7</f>
        <v>15.894999999999998</v>
      </c>
      <c r="AF58">
        <f>Worldprices!$J$73*AF$7</f>
        <v>15.894999999999998</v>
      </c>
      <c r="AG58">
        <f>Worldprices!$J$73*AG$7</f>
        <v>15.894999999999998</v>
      </c>
      <c r="AH58">
        <f>Worldprices!$J$73*AH$7</f>
        <v>15.894999999999998</v>
      </c>
      <c r="AI58">
        <f>Worldprices!$J$73*AI$7</f>
        <v>15.894999999999998</v>
      </c>
      <c r="AJ58">
        <f>Worldprices!$J$73*AJ$7</f>
        <v>15.894999999999998</v>
      </c>
      <c r="AK58">
        <f>Worldprices!$J$73*AK$7</f>
        <v>15.894999999999998</v>
      </c>
      <c r="AL58">
        <f>Worldprices!$J$73*AL$7</f>
        <v>15.894999999999998</v>
      </c>
      <c r="AM58">
        <f>Worldprices!$J$73*AM$7</f>
        <v>15.894999999999998</v>
      </c>
      <c r="AN58">
        <f>Worldprices!$J$73*AN$7</f>
        <v>15.894999999999998</v>
      </c>
      <c r="AO58">
        <f>Worldprices!$J$73*AO$7</f>
        <v>15.894999999999998</v>
      </c>
      <c r="AP58">
        <f>Worldprices!$J$73*AP$7</f>
        <v>15.894999999999998</v>
      </c>
      <c r="AQ58">
        <f>Worldprices!$J$73*AQ$7</f>
        <v>15.894999999999998</v>
      </c>
      <c r="AR58">
        <f t="shared" si="2"/>
        <v>15.894999999999998</v>
      </c>
    </row>
    <row r="59" spans="1:44" ht="12.75">
      <c r="A59" t="s">
        <v>248</v>
      </c>
      <c r="B59" t="s">
        <v>351</v>
      </c>
      <c r="D59" t="str">
        <f t="shared" si="0"/>
        <v>COST</v>
      </c>
      <c r="E59">
        <v>2040</v>
      </c>
      <c r="F59" t="str">
        <f>Worldprices!$K$62</f>
        <v>IMPOILGSL</v>
      </c>
      <c r="G59" t="str">
        <f>Worldprices!$K$63</f>
        <v>OILGSL</v>
      </c>
      <c r="H59">
        <f>Worldprices!$K$73*H$7</f>
        <v>20.229999999999997</v>
      </c>
      <c r="I59">
        <f>Worldprices!$K$73*I$7</f>
        <v>20.229999999999997</v>
      </c>
      <c r="J59">
        <f t="shared" si="3"/>
        <v>20.229999999999997</v>
      </c>
      <c r="K59">
        <f>Worldprices!$K$73*K$7</f>
        <v>20.229999999999997</v>
      </c>
      <c r="L59">
        <f>Worldprices!$K$73*L$7</f>
        <v>20.229999999999997</v>
      </c>
      <c r="M59">
        <f>Worldprices!$K$73*M$7</f>
        <v>20.229999999999997</v>
      </c>
      <c r="N59">
        <f>Worldprices!$K$73*N$7</f>
        <v>20.229999999999997</v>
      </c>
      <c r="O59">
        <f>Worldprices!$K$73*O$7</f>
        <v>20.229999999999997</v>
      </c>
      <c r="P59">
        <f>Worldprices!$K$73*P$7</f>
        <v>20.229999999999997</v>
      </c>
      <c r="Q59">
        <f>Worldprices!$K$73*Q$7</f>
        <v>20.229999999999997</v>
      </c>
      <c r="R59">
        <f>Worldprices!$K$73*R$7</f>
        <v>20.229999999999997</v>
      </c>
      <c r="S59">
        <f>Worldprices!$K$73*S$7</f>
        <v>20.229999999999997</v>
      </c>
      <c r="T59">
        <f>Worldprices!$K$73*T$7</f>
        <v>20.229999999999997</v>
      </c>
      <c r="U59">
        <f>Worldprices!$K$73*U$7</f>
        <v>20.229999999999997</v>
      </c>
      <c r="V59">
        <f>Worldprices!$K$73*V$7</f>
        <v>19.218499999999995</v>
      </c>
      <c r="W59">
        <f>Worldprices!$K$73*W$7</f>
        <v>20.229999999999997</v>
      </c>
      <c r="X59">
        <f>Worldprices!$K$73*X$7</f>
        <v>20.229999999999997</v>
      </c>
      <c r="Y59">
        <f>Worldprices!$K$73*Y$7</f>
        <v>20.229999999999997</v>
      </c>
      <c r="Z59">
        <f>Worldprices!$K$73*Z$7</f>
        <v>20.229999999999997</v>
      </c>
      <c r="AA59">
        <f>Worldprices!$K$73*AA$7</f>
        <v>20.229999999999997</v>
      </c>
      <c r="AB59">
        <f>Worldprices!$K$73*AB$7</f>
        <v>20.229999999999997</v>
      </c>
      <c r="AC59">
        <f>Worldprices!$K$73*AC$7</f>
        <v>20.229999999999997</v>
      </c>
      <c r="AD59">
        <f>Worldprices!$K$73*AD$7</f>
        <v>20.229999999999997</v>
      </c>
      <c r="AE59">
        <f>Worldprices!$K$73*AE$7</f>
        <v>20.229999999999997</v>
      </c>
      <c r="AF59">
        <f>Worldprices!$K$73*AF$7</f>
        <v>20.229999999999997</v>
      </c>
      <c r="AG59">
        <f>Worldprices!$K$73*AG$7</f>
        <v>20.229999999999997</v>
      </c>
      <c r="AH59">
        <f>Worldprices!$K$73*AH$7</f>
        <v>20.229999999999997</v>
      </c>
      <c r="AI59">
        <f>Worldprices!$K$73*AI$7</f>
        <v>20.229999999999997</v>
      </c>
      <c r="AJ59">
        <f>Worldprices!$K$73*AJ$7</f>
        <v>20.229999999999997</v>
      </c>
      <c r="AK59">
        <f>Worldprices!$K$73*AK$7</f>
        <v>20.229999999999997</v>
      </c>
      <c r="AL59">
        <f>Worldprices!$K$73*AL$7</f>
        <v>20.229999999999997</v>
      </c>
      <c r="AM59">
        <f>Worldprices!$K$73*AM$7</f>
        <v>20.229999999999997</v>
      </c>
      <c r="AN59">
        <f>Worldprices!$K$73*AN$7</f>
        <v>20.229999999999997</v>
      </c>
      <c r="AO59">
        <f>Worldprices!$K$73*AO$7</f>
        <v>20.229999999999997</v>
      </c>
      <c r="AP59">
        <f>Worldprices!$K$73*AP$7</f>
        <v>20.229999999999997</v>
      </c>
      <c r="AQ59">
        <f>Worldprices!$K$73*AQ$7</f>
        <v>20.229999999999997</v>
      </c>
      <c r="AR59">
        <f t="shared" si="2"/>
        <v>20.229999999999997</v>
      </c>
    </row>
    <row r="60" spans="1:44" ht="12.75">
      <c r="A60" t="s">
        <v>248</v>
      </c>
      <c r="B60" t="s">
        <v>351</v>
      </c>
      <c r="D60" t="str">
        <f t="shared" si="0"/>
        <v>COST</v>
      </c>
      <c r="E60">
        <v>2040</v>
      </c>
      <c r="F60" t="str">
        <f>Worldprices!$L$62</f>
        <v>IMPOILKER</v>
      </c>
      <c r="G60" t="str">
        <f>Worldprices!$L$63</f>
        <v>OILKER</v>
      </c>
      <c r="H60">
        <f>Worldprices!$L$73*H$7</f>
        <v>20.229999999999997</v>
      </c>
      <c r="I60">
        <f>Worldprices!$L$73*I$7</f>
        <v>20.229999999999997</v>
      </c>
      <c r="J60">
        <f t="shared" si="3"/>
        <v>20.229999999999997</v>
      </c>
      <c r="K60">
        <f>Worldprices!$L$73*K$7</f>
        <v>20.229999999999997</v>
      </c>
      <c r="L60">
        <f>Worldprices!$L$73*L$7</f>
        <v>20.229999999999997</v>
      </c>
      <c r="M60">
        <f>Worldprices!$L$73*M$7</f>
        <v>20.229999999999997</v>
      </c>
      <c r="N60">
        <f>Worldprices!$L$73*N$7</f>
        <v>20.229999999999997</v>
      </c>
      <c r="O60">
        <f>Worldprices!$L$73*O$7</f>
        <v>20.229999999999997</v>
      </c>
      <c r="P60">
        <f>Worldprices!$L$73*P$7</f>
        <v>20.229999999999997</v>
      </c>
      <c r="Q60">
        <f>Worldprices!$L$73*Q$7</f>
        <v>20.229999999999997</v>
      </c>
      <c r="R60">
        <f>Worldprices!$L$73*R$7</f>
        <v>20.229999999999997</v>
      </c>
      <c r="S60">
        <f>Worldprices!$L$73*S$7</f>
        <v>20.229999999999997</v>
      </c>
      <c r="T60">
        <f>Worldprices!$L$73*T$7</f>
        <v>20.229999999999997</v>
      </c>
      <c r="U60">
        <f>Worldprices!$L$73*U$7</f>
        <v>20.229999999999997</v>
      </c>
      <c r="V60">
        <f>Worldprices!$L$73*V$7</f>
        <v>19.218499999999995</v>
      </c>
      <c r="W60">
        <f>Worldprices!$L$73*W$7</f>
        <v>20.229999999999997</v>
      </c>
      <c r="X60">
        <f>Worldprices!$L$73*X$7</f>
        <v>20.229999999999997</v>
      </c>
      <c r="Y60">
        <f>Worldprices!$L$73*Y$7</f>
        <v>20.229999999999997</v>
      </c>
      <c r="Z60">
        <f>Worldprices!$L$73*Z$7</f>
        <v>20.229999999999997</v>
      </c>
      <c r="AA60">
        <f>Worldprices!$L$73*AA$7</f>
        <v>20.229999999999997</v>
      </c>
      <c r="AB60">
        <f>Worldprices!$L$73*AB$7</f>
        <v>20.229999999999997</v>
      </c>
      <c r="AC60">
        <f>Worldprices!$L$73*AC$7</f>
        <v>20.229999999999997</v>
      </c>
      <c r="AD60">
        <f>Worldprices!$L$73*AD$7</f>
        <v>20.229999999999997</v>
      </c>
      <c r="AE60">
        <f>Worldprices!$L$73*AE$7</f>
        <v>20.229999999999997</v>
      </c>
      <c r="AF60">
        <f>Worldprices!$L$73*AF$7</f>
        <v>20.229999999999997</v>
      </c>
      <c r="AG60">
        <f>Worldprices!$L$73*AG$7</f>
        <v>20.229999999999997</v>
      </c>
      <c r="AH60">
        <f>Worldprices!$L$73*AH$7</f>
        <v>20.229999999999997</v>
      </c>
      <c r="AI60">
        <f>Worldprices!$L$73*AI$7</f>
        <v>20.229999999999997</v>
      </c>
      <c r="AJ60">
        <f>Worldprices!$L$73*AJ$7</f>
        <v>20.229999999999997</v>
      </c>
      <c r="AK60">
        <f>Worldprices!$L$73*AK$7</f>
        <v>20.229999999999997</v>
      </c>
      <c r="AL60">
        <f>Worldprices!$L$73*AL$7</f>
        <v>20.229999999999997</v>
      </c>
      <c r="AM60">
        <f>Worldprices!$L$73*AM$7</f>
        <v>20.229999999999997</v>
      </c>
      <c r="AN60">
        <f>Worldprices!$L$73*AN$7</f>
        <v>20.229999999999997</v>
      </c>
      <c r="AO60">
        <f>Worldprices!$L$73*AO$7</f>
        <v>20.229999999999997</v>
      </c>
      <c r="AP60">
        <f>Worldprices!$L$73*AP$7</f>
        <v>20.229999999999997</v>
      </c>
      <c r="AQ60">
        <f>Worldprices!$L$73*AQ$7</f>
        <v>20.229999999999997</v>
      </c>
      <c r="AR60">
        <f t="shared" si="2"/>
        <v>20.229999999999997</v>
      </c>
    </row>
    <row r="61" spans="1:44" ht="12.75">
      <c r="A61" t="s">
        <v>248</v>
      </c>
      <c r="B61" t="s">
        <v>351</v>
      </c>
      <c r="D61" t="str">
        <f t="shared" si="0"/>
        <v>*</v>
      </c>
      <c r="E61">
        <v>2040</v>
      </c>
      <c r="F61" t="str">
        <f>Worldprices!$Q$62</f>
        <v>IMPGASNAT</v>
      </c>
      <c r="G61" t="str">
        <f>Worldprices!$Q$63</f>
        <v>GASNAT</v>
      </c>
      <c r="H61">
        <f>Worldprices!$Q$73*H$8</f>
        <v>7.0000000000000009</v>
      </c>
      <c r="I61">
        <f>Worldprices!$Q$73*I$8</f>
        <v>7.0000000000000009</v>
      </c>
      <c r="J61">
        <f t="shared" si="3"/>
        <v>7.0000000000000009</v>
      </c>
      <c r="K61">
        <f>Worldprices!$Q$73*K$8</f>
        <v>7.0000000000000009</v>
      </c>
      <c r="L61">
        <f>Worldprices!$Q$73*L$8</f>
        <v>7.0000000000000009</v>
      </c>
      <c r="M61">
        <f>Worldprices!$Q$73*M$8</f>
        <v>7.0000000000000009</v>
      </c>
      <c r="N61">
        <f>Worldprices!$Q$73*N$8</f>
        <v>7.0000000000000009</v>
      </c>
      <c r="O61">
        <f>Worldprices!$Q$73*O$8</f>
        <v>7.0000000000000009</v>
      </c>
      <c r="P61">
        <f>Worldprices!$Q$73*P$8</f>
        <v>5.9500000000000002</v>
      </c>
      <c r="Q61">
        <f>Worldprices!$Q$73*Q$8</f>
        <v>6.3000000000000007</v>
      </c>
      <c r="R61">
        <f>Worldprices!$Q$73*R$8</f>
        <v>7.0000000000000009</v>
      </c>
      <c r="S61">
        <f>Worldprices!$Q$73*S$8</f>
        <v>7.0000000000000009</v>
      </c>
      <c r="T61">
        <f>Worldprices!$Q$73*T$8</f>
        <v>7.0000000000000009</v>
      </c>
      <c r="U61">
        <f>Worldprices!$Q$73*U$8</f>
        <v>7.0000000000000009</v>
      </c>
      <c r="V61">
        <f>Worldprices!$Q$73*V$8</f>
        <v>6.3000000000000007</v>
      </c>
      <c r="W61">
        <f>Worldprices!$Q$73*W$8</f>
        <v>7.0000000000000009</v>
      </c>
      <c r="X61">
        <f>Worldprices!$Q$73*X$8</f>
        <v>7.0000000000000009</v>
      </c>
      <c r="Y61">
        <f>Worldprices!$Q$73*Y$8</f>
        <v>7.0000000000000009</v>
      </c>
      <c r="Z61">
        <f>Worldprices!$Q$73*Z$8</f>
        <v>7.0000000000000009</v>
      </c>
      <c r="AA61">
        <f>Worldprices!$Q$73*AA$8</f>
        <v>7.0000000000000009</v>
      </c>
      <c r="AB61">
        <f>Worldprices!$Q$73*AB$8</f>
        <v>7.0000000000000009</v>
      </c>
      <c r="AC61">
        <f>Worldprices!$Q$73*AC$8</f>
        <v>7.0000000000000009</v>
      </c>
      <c r="AD61">
        <f>Worldprices!$Q$73*AD$8</f>
        <v>7.0000000000000009</v>
      </c>
      <c r="AE61">
        <f>Worldprices!$Q$73*AE$8</f>
        <v>7.0000000000000009</v>
      </c>
      <c r="AF61">
        <f>Worldprices!$Q$73*AF$8</f>
        <v>7.0000000000000009</v>
      </c>
      <c r="AG61">
        <f>Worldprices!$Q$73*AG$8</f>
        <v>7.0000000000000009</v>
      </c>
      <c r="AH61">
        <f>Worldprices!$Q$73*AH$8</f>
        <v>7.0000000000000009</v>
      </c>
      <c r="AI61">
        <f>Worldprices!$Q$73*AI$8</f>
        <v>7.0000000000000009</v>
      </c>
      <c r="AJ61">
        <f>Worldprices!$Q$73*AJ$8</f>
        <v>7.0000000000000009</v>
      </c>
      <c r="AK61">
        <f>Worldprices!$Q$73*AK$8</f>
        <v>7.0000000000000009</v>
      </c>
      <c r="AL61">
        <f>Worldprices!$Q$73*AL$8</f>
        <v>7.0000000000000009</v>
      </c>
      <c r="AM61">
        <f>Worldprices!$Q$73*AM$8</f>
        <v>7.0000000000000009</v>
      </c>
      <c r="AN61">
        <f>Worldprices!$Q$73*AN$8</f>
        <v>7.0000000000000009</v>
      </c>
      <c r="AO61">
        <f>Worldprices!$Q$73*AO$8</f>
        <v>7.0000000000000009</v>
      </c>
      <c r="AP61">
        <f>Worldprices!$Q$73*AP$8</f>
        <v>7.0000000000000009</v>
      </c>
      <c r="AQ61">
        <f>Worldprices!$Q$73*AQ$8</f>
        <v>7.0000000000000009</v>
      </c>
      <c r="AR61">
        <f t="shared" si="2"/>
        <v>7.0000000000000009</v>
      </c>
    </row>
    <row r="62" spans="1:44" ht="12.75">
      <c r="A62" t="s">
        <v>248</v>
      </c>
      <c r="B62" t="s">
        <v>351</v>
      </c>
      <c r="D62" t="str">
        <f t="shared" si="0"/>
        <v>COST</v>
      </c>
      <c r="E62">
        <v>2045</v>
      </c>
      <c r="F62" t="str">
        <f>Worldprices!$G$62</f>
        <v>IMPOILCRD</v>
      </c>
      <c r="G62" t="str">
        <f>Worldprices!$G$63</f>
        <v>OILCRD</v>
      </c>
      <c r="H62">
        <f>Worldprices!$G$74*H$5</f>
        <v>14.363999999999997</v>
      </c>
      <c r="I62">
        <f>Worldprices!$G$74*I$5</f>
        <v>15.959999999999997</v>
      </c>
      <c r="J62">
        <f t="shared" si="3"/>
        <v>15.959999999999997</v>
      </c>
      <c r="K62">
        <f>Worldprices!$G$74*K$5</f>
        <v>15.959999999999997</v>
      </c>
      <c r="L62">
        <f>Worldprices!$G$74*L$5</f>
        <v>15.959999999999997</v>
      </c>
      <c r="M62">
        <f>Worldprices!$G$74*M$5</f>
        <v>15.959999999999997</v>
      </c>
      <c r="N62">
        <f>Worldprices!$G$74*N$5</f>
        <v>15.959999999999997</v>
      </c>
      <c r="O62">
        <f>Worldprices!$G$74*O$5</f>
        <v>15.959999999999997</v>
      </c>
      <c r="P62">
        <f>Worldprices!$G$74*P$5</f>
        <v>13.565999999999997</v>
      </c>
      <c r="Q62">
        <f>Worldprices!$G$74*Q$5</f>
        <v>15.959999999999997</v>
      </c>
      <c r="R62">
        <f>Worldprices!$G$74*R$5</f>
        <v>15.959999999999997</v>
      </c>
      <c r="S62">
        <f>Worldprices!$G$74*S$5</f>
        <v>15.959999999999997</v>
      </c>
      <c r="T62">
        <f>Worldprices!$G$74*T$5</f>
        <v>15.959999999999997</v>
      </c>
      <c r="U62">
        <f>Worldprices!$G$74*U$5</f>
        <v>14.363999999999997</v>
      </c>
      <c r="V62">
        <f>Worldprices!$G$74*V$5</f>
        <v>14.363999999999997</v>
      </c>
      <c r="W62">
        <f>Worldprices!$G$74*W$5</f>
        <v>15.959999999999997</v>
      </c>
      <c r="X62">
        <f>Worldprices!$G$74*X$5</f>
        <v>15.959999999999997</v>
      </c>
      <c r="Y62">
        <f>Worldprices!$G$74*Y$5</f>
        <v>15.959999999999997</v>
      </c>
      <c r="Z62">
        <f>Worldprices!$G$74*Z$5</f>
        <v>15.959999999999997</v>
      </c>
      <c r="AA62">
        <f>Worldprices!$G$74*AA$5</f>
        <v>15.959999999999997</v>
      </c>
      <c r="AB62">
        <f>Worldprices!$G$74*AB$5</f>
        <v>15.959999999999997</v>
      </c>
      <c r="AC62">
        <f>Worldprices!$G$74*AC$5</f>
        <v>15.959999999999997</v>
      </c>
      <c r="AD62">
        <f>Worldprices!$G$74*AD$5</f>
        <v>15.959999999999997</v>
      </c>
      <c r="AE62">
        <f>Worldprices!$G$74*AE$5</f>
        <v>15.959999999999997</v>
      </c>
      <c r="AF62">
        <f>Worldprices!$G$74*AF$5</f>
        <v>15.959999999999997</v>
      </c>
      <c r="AG62">
        <f>Worldprices!$G$74*AG$5</f>
        <v>15.959999999999997</v>
      </c>
      <c r="AH62">
        <f>Worldprices!$G$74*AH$5</f>
        <v>15.959999999999997</v>
      </c>
      <c r="AI62">
        <f>Worldprices!$G$74*AI$5</f>
        <v>15.959999999999997</v>
      </c>
      <c r="AJ62">
        <f>Worldprices!$G$74*AJ$5</f>
        <v>15.959999999999997</v>
      </c>
      <c r="AK62">
        <f>Worldprices!$G$74*AK$5</f>
        <v>15.959999999999997</v>
      </c>
      <c r="AL62">
        <f>Worldprices!$G$74*AL$5</f>
        <v>15.959999999999997</v>
      </c>
      <c r="AM62">
        <f>Worldprices!$G$74*AM$5</f>
        <v>15.959999999999997</v>
      </c>
      <c r="AN62">
        <f>Worldprices!$G$74*AN$5</f>
        <v>15.959999999999997</v>
      </c>
      <c r="AO62">
        <f>Worldprices!$G$74*AO$5</f>
        <v>15.959999999999997</v>
      </c>
      <c r="AP62">
        <f>Worldprices!$G$74*AP$5</f>
        <v>15.959999999999997</v>
      </c>
      <c r="AQ62">
        <f>Worldprices!$G$74*AQ$5</f>
        <v>15.959999999999997</v>
      </c>
      <c r="AR62">
        <f t="shared" si="2"/>
        <v>15.959999999999997</v>
      </c>
    </row>
    <row r="63" spans="1:44" ht="12.75">
      <c r="A63" t="s">
        <v>248</v>
      </c>
      <c r="B63" t="s">
        <v>351</v>
      </c>
      <c r="D63" t="str">
        <f t="shared" si="0"/>
        <v>COST</v>
      </c>
      <c r="E63">
        <v>2045</v>
      </c>
      <c r="F63" t="str">
        <f>Worldprices!$H$62</f>
        <v>IMPOILHFO</v>
      </c>
      <c r="G63" t="str">
        <f>Worldprices!$H$63</f>
        <v>OILHFO</v>
      </c>
      <c r="H63">
        <f>Worldprices!$H$74*H$5</f>
        <v>11.634839999999999</v>
      </c>
      <c r="I63">
        <f>Worldprices!$H$74*I$5</f>
        <v>12.927599999999998</v>
      </c>
      <c r="J63">
        <f t="shared" si="3"/>
        <v>12.927599999999998</v>
      </c>
      <c r="K63">
        <f>Worldprices!$H$74*K$5</f>
        <v>12.927599999999998</v>
      </c>
      <c r="L63">
        <f>Worldprices!$H$74*L$5</f>
        <v>12.927599999999998</v>
      </c>
      <c r="M63">
        <f>Worldprices!$H$74*M$5</f>
        <v>12.927599999999998</v>
      </c>
      <c r="N63">
        <f>Worldprices!$H$74*N$5</f>
        <v>12.927599999999998</v>
      </c>
      <c r="O63">
        <f>Worldprices!$H$74*O$5</f>
        <v>12.927599999999998</v>
      </c>
      <c r="P63">
        <f>Worldprices!$H$74*P$5</f>
        <v>10.988459999999998</v>
      </c>
      <c r="Q63">
        <f>Worldprices!$H$74*Q$5</f>
        <v>12.927599999999998</v>
      </c>
      <c r="R63">
        <f>Worldprices!$H$74*R$5</f>
        <v>12.927599999999998</v>
      </c>
      <c r="S63">
        <f>Worldprices!$H$74*S$5</f>
        <v>12.927599999999998</v>
      </c>
      <c r="T63">
        <f>Worldprices!$H$74*T$5</f>
        <v>12.927599999999998</v>
      </c>
      <c r="U63">
        <f>Worldprices!$H$74*U$5</f>
        <v>11.634839999999999</v>
      </c>
      <c r="V63">
        <f>Worldprices!$H$74*V$5</f>
        <v>11.634839999999999</v>
      </c>
      <c r="W63">
        <f>Worldprices!$H$74*W$5</f>
        <v>12.927599999999998</v>
      </c>
      <c r="X63">
        <f>Worldprices!$H$74*X$5</f>
        <v>12.927599999999998</v>
      </c>
      <c r="Y63">
        <f>Worldprices!$H$74*Y$5</f>
        <v>12.927599999999998</v>
      </c>
      <c r="Z63">
        <f>Worldprices!$H$74*Z$5</f>
        <v>12.927599999999998</v>
      </c>
      <c r="AA63">
        <f>Worldprices!$H$74*AA$5</f>
        <v>12.927599999999998</v>
      </c>
      <c r="AB63">
        <f>Worldprices!$H$74*AB$5</f>
        <v>12.927599999999998</v>
      </c>
      <c r="AC63">
        <f>Worldprices!$H$74*AC$5</f>
        <v>12.927599999999998</v>
      </c>
      <c r="AD63">
        <f>Worldprices!$H$74*AD$5</f>
        <v>12.927599999999998</v>
      </c>
      <c r="AE63">
        <f>Worldprices!$H$74*AE$5</f>
        <v>12.927599999999998</v>
      </c>
      <c r="AF63">
        <f>Worldprices!$H$74*AF$5</f>
        <v>12.927599999999998</v>
      </c>
      <c r="AG63">
        <f>Worldprices!$H$74*AG$5</f>
        <v>12.927599999999998</v>
      </c>
      <c r="AH63">
        <f>Worldprices!$H$74*AH$5</f>
        <v>12.927599999999998</v>
      </c>
      <c r="AI63">
        <f>Worldprices!$H$74*AI$5</f>
        <v>12.927599999999998</v>
      </c>
      <c r="AJ63">
        <f>Worldprices!$H$74*AJ$5</f>
        <v>12.927599999999998</v>
      </c>
      <c r="AK63">
        <f>Worldprices!$H$74*AK$5</f>
        <v>12.927599999999998</v>
      </c>
      <c r="AL63">
        <f>Worldprices!$H$74*AL$5</f>
        <v>12.927599999999998</v>
      </c>
      <c r="AM63">
        <f>Worldprices!$H$74*AM$5</f>
        <v>12.927599999999998</v>
      </c>
      <c r="AN63">
        <f>Worldprices!$H$74*AN$5</f>
        <v>12.927599999999998</v>
      </c>
      <c r="AO63">
        <f>Worldprices!$H$74*AO$5</f>
        <v>12.927599999999998</v>
      </c>
      <c r="AP63">
        <f>Worldprices!$H$74*AP$5</f>
        <v>12.927599999999998</v>
      </c>
      <c r="AQ63">
        <f>Worldprices!$H$74*AQ$5</f>
        <v>12.927599999999998</v>
      </c>
      <c r="AR63">
        <f t="shared" si="2"/>
        <v>12.927599999999998</v>
      </c>
    </row>
    <row r="64" spans="1:44" ht="12.75">
      <c r="A64" t="s">
        <v>248</v>
      </c>
      <c r="B64" t="s">
        <v>351</v>
      </c>
      <c r="D64" t="str">
        <f t="shared" si="0"/>
        <v>COST</v>
      </c>
      <c r="E64">
        <v>2045</v>
      </c>
      <c r="F64" t="str">
        <f>Worldprices!$I$62</f>
        <v>IMPOILDST</v>
      </c>
      <c r="G64" t="str">
        <f>Worldprices!$I$63</f>
        <v>OILDST</v>
      </c>
      <c r="H64">
        <f>Worldprices!$I$74*H$6</f>
        <v>20.747999999999998</v>
      </c>
      <c r="I64">
        <f>Worldprices!$I$74*I$6</f>
        <v>20.747999999999998</v>
      </c>
      <c r="J64">
        <f t="shared" si="3"/>
        <v>20.747999999999998</v>
      </c>
      <c r="K64">
        <f>Worldprices!$I$74*K$6</f>
        <v>20.747999999999998</v>
      </c>
      <c r="L64">
        <f>Worldprices!$I$74*L$6</f>
        <v>20.747999999999998</v>
      </c>
      <c r="M64">
        <f>Worldprices!$I$74*M$6</f>
        <v>20.747999999999998</v>
      </c>
      <c r="N64">
        <f>Worldprices!$I$74*N$6</f>
        <v>20.747999999999998</v>
      </c>
      <c r="O64">
        <f>Worldprices!$I$74*O$6</f>
        <v>20.747999999999998</v>
      </c>
      <c r="P64">
        <f>Worldprices!$I$74*P$6</f>
        <v>20.747999999999998</v>
      </c>
      <c r="Q64">
        <f>Worldprices!$I$74*Q$6</f>
        <v>20.747999999999998</v>
      </c>
      <c r="R64">
        <f>Worldprices!$I$74*R$6</f>
        <v>20.747999999999998</v>
      </c>
      <c r="S64">
        <f>Worldprices!$I$74*S$6</f>
        <v>20.747999999999998</v>
      </c>
      <c r="T64">
        <f>Worldprices!$I$74*T$6</f>
        <v>20.747999999999998</v>
      </c>
      <c r="U64">
        <f>Worldprices!$I$74*U$6</f>
        <v>20.747999999999998</v>
      </c>
      <c r="V64">
        <f>Worldprices!$I$74*V$6</f>
        <v>19.710599999999996</v>
      </c>
      <c r="W64">
        <f>Worldprices!$I$74*W$6</f>
        <v>20.747999999999998</v>
      </c>
      <c r="X64">
        <f>Worldprices!$I$74*X$6</f>
        <v>20.747999999999998</v>
      </c>
      <c r="Y64">
        <f>Worldprices!$I$74*Y$6</f>
        <v>20.747999999999998</v>
      </c>
      <c r="Z64">
        <f>Worldprices!$I$74*Z$6</f>
        <v>20.747999999999998</v>
      </c>
      <c r="AA64">
        <f>Worldprices!$I$74*AA$6</f>
        <v>20.747999999999998</v>
      </c>
      <c r="AB64">
        <f>Worldprices!$I$74*AB$6</f>
        <v>20.747999999999998</v>
      </c>
      <c r="AC64">
        <f>Worldprices!$I$74*AC$6</f>
        <v>20.747999999999998</v>
      </c>
      <c r="AD64">
        <f>Worldprices!$I$74*AD$6</f>
        <v>20.747999999999998</v>
      </c>
      <c r="AE64">
        <f>Worldprices!$I$74*AE$6</f>
        <v>20.747999999999998</v>
      </c>
      <c r="AF64">
        <f>Worldprices!$I$74*AF$6</f>
        <v>20.747999999999998</v>
      </c>
      <c r="AG64">
        <f>Worldprices!$I$74*AG$6</f>
        <v>20.747999999999998</v>
      </c>
      <c r="AH64">
        <f>Worldprices!$I$74*AH$6</f>
        <v>20.747999999999998</v>
      </c>
      <c r="AI64">
        <f>Worldprices!$I$74*AI$6</f>
        <v>20.747999999999998</v>
      </c>
      <c r="AJ64">
        <f>Worldprices!$I$74*AJ$6</f>
        <v>20.747999999999998</v>
      </c>
      <c r="AK64">
        <f>Worldprices!$I$74*AK$6</f>
        <v>20.747999999999998</v>
      </c>
      <c r="AL64">
        <f>Worldprices!$I$74*AL$6</f>
        <v>20.747999999999998</v>
      </c>
      <c r="AM64">
        <f>Worldprices!$I$74*AM$6</f>
        <v>20.747999999999998</v>
      </c>
      <c r="AN64">
        <f>Worldprices!$I$74*AN$6</f>
        <v>20.747999999999998</v>
      </c>
      <c r="AO64">
        <f>Worldprices!$I$74*AO$6</f>
        <v>20.747999999999998</v>
      </c>
      <c r="AP64">
        <f>Worldprices!$I$74*AP$6</f>
        <v>20.747999999999998</v>
      </c>
      <c r="AQ64">
        <f>Worldprices!$I$74*AQ$6</f>
        <v>20.747999999999998</v>
      </c>
      <c r="AR64">
        <f t="shared" si="2"/>
        <v>20.747999999999998</v>
      </c>
    </row>
    <row r="65" spans="1:44" ht="12.75">
      <c r="A65" t="s">
        <v>248</v>
      </c>
      <c r="B65" t="s">
        <v>351</v>
      </c>
      <c r="D65" t="str">
        <f t="shared" si="0"/>
        <v>COST</v>
      </c>
      <c r="E65">
        <v>2045</v>
      </c>
      <c r="F65" t="str">
        <f>Worldprices!$J$62</f>
        <v>IMPOILLPG</v>
      </c>
      <c r="G65" t="str">
        <f>Worldprices!$J$63</f>
        <v>OILLPG</v>
      </c>
      <c r="H65">
        <f>Worldprices!$J$74*H$7</f>
        <v>17.555999999999997</v>
      </c>
      <c r="I65">
        <f>Worldprices!$J$74*I$7</f>
        <v>17.555999999999997</v>
      </c>
      <c r="J65">
        <f t="shared" si="3"/>
        <v>17.555999999999997</v>
      </c>
      <c r="K65">
        <f>Worldprices!$J$74*K$7</f>
        <v>17.555999999999997</v>
      </c>
      <c r="L65">
        <f>Worldprices!$J$74*L$7</f>
        <v>17.555999999999997</v>
      </c>
      <c r="M65">
        <f>Worldprices!$J$74*M$7</f>
        <v>17.555999999999997</v>
      </c>
      <c r="N65">
        <f>Worldprices!$J$74*N$7</f>
        <v>17.555999999999997</v>
      </c>
      <c r="O65">
        <f>Worldprices!$J$74*O$7</f>
        <v>17.555999999999997</v>
      </c>
      <c r="P65">
        <f>Worldprices!$J$74*P$7</f>
        <v>17.555999999999997</v>
      </c>
      <c r="Q65">
        <f>Worldprices!$J$74*Q$7</f>
        <v>17.555999999999997</v>
      </c>
      <c r="R65">
        <f>Worldprices!$J$74*R$7</f>
        <v>17.555999999999997</v>
      </c>
      <c r="S65">
        <f>Worldprices!$J$74*S$7</f>
        <v>17.555999999999997</v>
      </c>
      <c r="T65">
        <f>Worldprices!$J$74*T$7</f>
        <v>17.555999999999997</v>
      </c>
      <c r="U65">
        <f>Worldprices!$J$74*U$7</f>
        <v>17.555999999999997</v>
      </c>
      <c r="V65">
        <f>Worldprices!$J$74*V$7</f>
        <v>16.678199999999997</v>
      </c>
      <c r="W65">
        <f>Worldprices!$J$74*W$7</f>
        <v>17.555999999999997</v>
      </c>
      <c r="X65">
        <f>Worldprices!$J$74*X$7</f>
        <v>17.555999999999997</v>
      </c>
      <c r="Y65">
        <f>Worldprices!$J$74*Y$7</f>
        <v>17.555999999999997</v>
      </c>
      <c r="Z65">
        <f>Worldprices!$J$74*Z$7</f>
        <v>17.555999999999997</v>
      </c>
      <c r="AA65">
        <f>Worldprices!$J$74*AA$7</f>
        <v>17.555999999999997</v>
      </c>
      <c r="AB65">
        <f>Worldprices!$J$74*AB$7</f>
        <v>17.555999999999997</v>
      </c>
      <c r="AC65">
        <f>Worldprices!$J$74*AC$7</f>
        <v>17.555999999999997</v>
      </c>
      <c r="AD65">
        <f>Worldprices!$J$74*AD$7</f>
        <v>17.555999999999997</v>
      </c>
      <c r="AE65">
        <f>Worldprices!$J$74*AE$7</f>
        <v>17.555999999999997</v>
      </c>
      <c r="AF65">
        <f>Worldprices!$J$74*AF$7</f>
        <v>17.555999999999997</v>
      </c>
      <c r="AG65">
        <f>Worldprices!$J$74*AG$7</f>
        <v>17.555999999999997</v>
      </c>
      <c r="AH65">
        <f>Worldprices!$J$74*AH$7</f>
        <v>17.555999999999997</v>
      </c>
      <c r="AI65">
        <f>Worldprices!$J$74*AI$7</f>
        <v>17.555999999999997</v>
      </c>
      <c r="AJ65">
        <f>Worldprices!$J$74*AJ$7</f>
        <v>17.555999999999997</v>
      </c>
      <c r="AK65">
        <f>Worldprices!$J$74*AK$7</f>
        <v>17.555999999999997</v>
      </c>
      <c r="AL65">
        <f>Worldprices!$J$74*AL$7</f>
        <v>17.555999999999997</v>
      </c>
      <c r="AM65">
        <f>Worldprices!$J$74*AM$7</f>
        <v>17.555999999999997</v>
      </c>
      <c r="AN65">
        <f>Worldprices!$J$74*AN$7</f>
        <v>17.555999999999997</v>
      </c>
      <c r="AO65">
        <f>Worldprices!$J$74*AO$7</f>
        <v>17.555999999999997</v>
      </c>
      <c r="AP65">
        <f>Worldprices!$J$74*AP$7</f>
        <v>17.555999999999997</v>
      </c>
      <c r="AQ65">
        <f>Worldprices!$J$74*AQ$7</f>
        <v>17.555999999999997</v>
      </c>
      <c r="AR65">
        <f t="shared" si="2"/>
        <v>17.555999999999997</v>
      </c>
    </row>
    <row r="66" spans="1:44" ht="12.75">
      <c r="A66" t="s">
        <v>248</v>
      </c>
      <c r="B66" t="s">
        <v>351</v>
      </c>
      <c r="D66" t="str">
        <f t="shared" si="0"/>
        <v>COST</v>
      </c>
      <c r="E66">
        <v>2045</v>
      </c>
      <c r="F66" t="str">
        <f>Worldprices!$K$62</f>
        <v>IMPOILGSL</v>
      </c>
      <c r="G66" t="str">
        <f>Worldprices!$K$63</f>
        <v>OILGSL</v>
      </c>
      <c r="H66">
        <f>Worldprices!$K$74*H$7</f>
        <v>22.343999999999994</v>
      </c>
      <c r="I66">
        <f>Worldprices!$K$74*I$7</f>
        <v>22.343999999999994</v>
      </c>
      <c r="J66">
        <f t="shared" si="3"/>
        <v>22.343999999999994</v>
      </c>
      <c r="K66">
        <f>Worldprices!$K$74*K$7</f>
        <v>22.343999999999994</v>
      </c>
      <c r="L66">
        <f>Worldprices!$K$74*L$7</f>
        <v>22.343999999999994</v>
      </c>
      <c r="M66">
        <f>Worldprices!$K$74*M$7</f>
        <v>22.343999999999994</v>
      </c>
      <c r="N66">
        <f>Worldprices!$K$74*N$7</f>
        <v>22.343999999999994</v>
      </c>
      <c r="O66">
        <f>Worldprices!$K$74*O$7</f>
        <v>22.343999999999994</v>
      </c>
      <c r="P66">
        <f>Worldprices!$K$74*P$7</f>
        <v>22.343999999999994</v>
      </c>
      <c r="Q66">
        <f>Worldprices!$K$74*Q$7</f>
        <v>22.343999999999994</v>
      </c>
      <c r="R66">
        <f>Worldprices!$K$74*R$7</f>
        <v>22.343999999999994</v>
      </c>
      <c r="S66">
        <f>Worldprices!$K$74*S$7</f>
        <v>22.343999999999994</v>
      </c>
      <c r="T66">
        <f>Worldprices!$K$74*T$7</f>
        <v>22.343999999999994</v>
      </c>
      <c r="U66">
        <f>Worldprices!$K$74*U$7</f>
        <v>22.343999999999994</v>
      </c>
      <c r="V66">
        <f>Worldprices!$K$74*V$7</f>
        <v>21.226799999999994</v>
      </c>
      <c r="W66">
        <f>Worldprices!$K$74*W$7</f>
        <v>22.343999999999994</v>
      </c>
      <c r="X66">
        <f>Worldprices!$K$74*X$7</f>
        <v>22.343999999999994</v>
      </c>
      <c r="Y66">
        <f>Worldprices!$K$74*Y$7</f>
        <v>22.343999999999994</v>
      </c>
      <c r="Z66">
        <f>Worldprices!$K$74*Z$7</f>
        <v>22.343999999999994</v>
      </c>
      <c r="AA66">
        <f>Worldprices!$K$74*AA$7</f>
        <v>22.343999999999994</v>
      </c>
      <c r="AB66">
        <f>Worldprices!$K$74*AB$7</f>
        <v>22.343999999999994</v>
      </c>
      <c r="AC66">
        <f>Worldprices!$K$74*AC$7</f>
        <v>22.343999999999994</v>
      </c>
      <c r="AD66">
        <f>Worldprices!$K$74*AD$7</f>
        <v>22.343999999999994</v>
      </c>
      <c r="AE66">
        <f>Worldprices!$K$74*AE$7</f>
        <v>22.343999999999994</v>
      </c>
      <c r="AF66">
        <f>Worldprices!$K$74*AF$7</f>
        <v>22.343999999999994</v>
      </c>
      <c r="AG66">
        <f>Worldprices!$K$74*AG$7</f>
        <v>22.343999999999994</v>
      </c>
      <c r="AH66">
        <f>Worldprices!$K$74*AH$7</f>
        <v>22.343999999999994</v>
      </c>
      <c r="AI66">
        <f>Worldprices!$K$74*AI$7</f>
        <v>22.343999999999994</v>
      </c>
      <c r="AJ66">
        <f>Worldprices!$K$74*AJ$7</f>
        <v>22.343999999999994</v>
      </c>
      <c r="AK66">
        <f>Worldprices!$K$74*AK$7</f>
        <v>22.343999999999994</v>
      </c>
      <c r="AL66">
        <f>Worldprices!$K$74*AL$7</f>
        <v>22.343999999999994</v>
      </c>
      <c r="AM66">
        <f>Worldprices!$K$74*AM$7</f>
        <v>22.343999999999994</v>
      </c>
      <c r="AN66">
        <f>Worldprices!$K$74*AN$7</f>
        <v>22.343999999999994</v>
      </c>
      <c r="AO66">
        <f>Worldprices!$K$74*AO$7</f>
        <v>22.343999999999994</v>
      </c>
      <c r="AP66">
        <f>Worldprices!$K$74*AP$7</f>
        <v>22.343999999999994</v>
      </c>
      <c r="AQ66">
        <f>Worldprices!$K$74*AQ$7</f>
        <v>22.343999999999994</v>
      </c>
      <c r="AR66">
        <f t="shared" si="2"/>
        <v>22.343999999999994</v>
      </c>
    </row>
    <row r="67" spans="1:44" ht="12.75">
      <c r="A67" t="s">
        <v>248</v>
      </c>
      <c r="B67" t="s">
        <v>351</v>
      </c>
      <c r="D67" t="str">
        <f t="shared" si="0"/>
        <v>COST</v>
      </c>
      <c r="E67">
        <v>2045</v>
      </c>
      <c r="F67" t="str">
        <f>Worldprices!$L$62</f>
        <v>IMPOILKER</v>
      </c>
      <c r="G67" t="str">
        <f>Worldprices!$L$63</f>
        <v>OILKER</v>
      </c>
      <c r="H67">
        <f>Worldprices!$L$74*H$7</f>
        <v>22.343999999999994</v>
      </c>
      <c r="I67">
        <f>Worldprices!$L$74*I$7</f>
        <v>22.343999999999994</v>
      </c>
      <c r="J67">
        <f t="shared" si="3"/>
        <v>22.343999999999994</v>
      </c>
      <c r="K67">
        <f>Worldprices!$L$74*K$7</f>
        <v>22.343999999999994</v>
      </c>
      <c r="L67">
        <f>Worldprices!$L$74*L$7</f>
        <v>22.343999999999994</v>
      </c>
      <c r="M67">
        <f>Worldprices!$L$74*M$7</f>
        <v>22.343999999999994</v>
      </c>
      <c r="N67">
        <f>Worldprices!$L$74*N$7</f>
        <v>22.343999999999994</v>
      </c>
      <c r="O67">
        <f>Worldprices!$L$74*O$7</f>
        <v>22.343999999999994</v>
      </c>
      <c r="P67">
        <f>Worldprices!$L$74*P$7</f>
        <v>22.343999999999994</v>
      </c>
      <c r="Q67">
        <f>Worldprices!$L$74*Q$7</f>
        <v>22.343999999999994</v>
      </c>
      <c r="R67">
        <f>Worldprices!$L$74*R$7</f>
        <v>22.343999999999994</v>
      </c>
      <c r="S67">
        <f>Worldprices!$L$74*S$7</f>
        <v>22.343999999999994</v>
      </c>
      <c r="T67">
        <f>Worldprices!$L$74*T$7</f>
        <v>22.343999999999994</v>
      </c>
      <c r="U67">
        <f>Worldprices!$L$74*U$7</f>
        <v>22.343999999999994</v>
      </c>
      <c r="V67">
        <f>Worldprices!$L$74*V$7</f>
        <v>21.226799999999994</v>
      </c>
      <c r="W67">
        <f>Worldprices!$L$74*W$7</f>
        <v>22.343999999999994</v>
      </c>
      <c r="X67">
        <f>Worldprices!$L$74*X$7</f>
        <v>22.343999999999994</v>
      </c>
      <c r="Y67">
        <f>Worldprices!$L$74*Y$7</f>
        <v>22.343999999999994</v>
      </c>
      <c r="Z67">
        <f>Worldprices!$L$74*Z$7</f>
        <v>22.343999999999994</v>
      </c>
      <c r="AA67">
        <f>Worldprices!$L$74*AA$7</f>
        <v>22.343999999999994</v>
      </c>
      <c r="AB67">
        <f>Worldprices!$L$74*AB$7</f>
        <v>22.343999999999994</v>
      </c>
      <c r="AC67">
        <f>Worldprices!$L$74*AC$7</f>
        <v>22.343999999999994</v>
      </c>
      <c r="AD67">
        <f>Worldprices!$L$74*AD$7</f>
        <v>22.343999999999994</v>
      </c>
      <c r="AE67">
        <f>Worldprices!$L$74*AE$7</f>
        <v>22.343999999999994</v>
      </c>
      <c r="AF67">
        <f>Worldprices!$L$74*AF$7</f>
        <v>22.343999999999994</v>
      </c>
      <c r="AG67">
        <f>Worldprices!$L$74*AG$7</f>
        <v>22.343999999999994</v>
      </c>
      <c r="AH67">
        <f>Worldprices!$L$74*AH$7</f>
        <v>22.343999999999994</v>
      </c>
      <c r="AI67">
        <f>Worldprices!$L$74*AI$7</f>
        <v>22.343999999999994</v>
      </c>
      <c r="AJ67">
        <f>Worldprices!$L$74*AJ$7</f>
        <v>22.343999999999994</v>
      </c>
      <c r="AK67">
        <f>Worldprices!$L$74*AK$7</f>
        <v>22.343999999999994</v>
      </c>
      <c r="AL67">
        <f>Worldprices!$L$74*AL$7</f>
        <v>22.343999999999994</v>
      </c>
      <c r="AM67">
        <f>Worldprices!$L$74*AM$7</f>
        <v>22.343999999999994</v>
      </c>
      <c r="AN67">
        <f>Worldprices!$L$74*AN$7</f>
        <v>22.343999999999994</v>
      </c>
      <c r="AO67">
        <f>Worldprices!$L$74*AO$7</f>
        <v>22.343999999999994</v>
      </c>
      <c r="AP67">
        <f>Worldprices!$L$74*AP$7</f>
        <v>22.343999999999994</v>
      </c>
      <c r="AQ67">
        <f>Worldprices!$L$74*AQ$7</f>
        <v>22.343999999999994</v>
      </c>
      <c r="AR67">
        <f t="shared" si="2"/>
        <v>22.343999999999994</v>
      </c>
    </row>
    <row r="68" spans="1:44" ht="12.75">
      <c r="A68" t="s">
        <v>248</v>
      </c>
      <c r="B68" t="s">
        <v>351</v>
      </c>
      <c r="D68" t="str">
        <f t="shared" si="0"/>
        <v>*</v>
      </c>
      <c r="E68">
        <v>2045</v>
      </c>
      <c r="F68" t="str">
        <f>Worldprices!$Q$62</f>
        <v>IMPGASNAT</v>
      </c>
      <c r="G68" t="str">
        <f>Worldprices!$Q$63</f>
        <v>GASNAT</v>
      </c>
      <c r="H68">
        <f>Worldprices!$Q$74*H$8</f>
        <v>7.0000000000000009</v>
      </c>
      <c r="I68">
        <f>Worldprices!$Q$74*I$8</f>
        <v>7.0000000000000009</v>
      </c>
      <c r="J68">
        <f t="shared" si="3"/>
        <v>7.0000000000000009</v>
      </c>
      <c r="K68">
        <f>Worldprices!$Q$74*K$8</f>
        <v>7.0000000000000009</v>
      </c>
      <c r="L68">
        <f>Worldprices!$Q$74*L$8</f>
        <v>7.0000000000000009</v>
      </c>
      <c r="M68">
        <f>Worldprices!$Q$74*M$8</f>
        <v>7.0000000000000009</v>
      </c>
      <c r="N68">
        <f>Worldprices!$Q$74*N$8</f>
        <v>7.0000000000000009</v>
      </c>
      <c r="O68">
        <f>Worldprices!$Q$74*O$8</f>
        <v>7.0000000000000009</v>
      </c>
      <c r="P68">
        <f>Worldprices!$Q$74*P$8</f>
        <v>5.9500000000000002</v>
      </c>
      <c r="Q68">
        <f>Worldprices!$Q$74*Q$8</f>
        <v>6.3000000000000007</v>
      </c>
      <c r="R68">
        <f>Worldprices!$Q$74*R$8</f>
        <v>7.0000000000000009</v>
      </c>
      <c r="S68">
        <f>Worldprices!$Q$74*S$8</f>
        <v>7.0000000000000009</v>
      </c>
      <c r="T68">
        <f>Worldprices!$Q$74*T$8</f>
        <v>7.0000000000000009</v>
      </c>
      <c r="U68">
        <f>Worldprices!$Q$74*U$8</f>
        <v>7.0000000000000009</v>
      </c>
      <c r="V68">
        <f>Worldprices!$Q$74*V$8</f>
        <v>6.3000000000000007</v>
      </c>
      <c r="W68">
        <f>Worldprices!$Q$74*W$8</f>
        <v>7.0000000000000009</v>
      </c>
      <c r="X68">
        <f>Worldprices!$Q$74*X$8</f>
        <v>7.0000000000000009</v>
      </c>
      <c r="Y68">
        <f>Worldprices!$Q$74*Y$8</f>
        <v>7.0000000000000009</v>
      </c>
      <c r="Z68">
        <f>Worldprices!$Q$74*Z$8</f>
        <v>7.0000000000000009</v>
      </c>
      <c r="AA68">
        <f>Worldprices!$Q$74*AA$8</f>
        <v>7.0000000000000009</v>
      </c>
      <c r="AB68">
        <f>Worldprices!$Q$74*AB$8</f>
        <v>7.0000000000000009</v>
      </c>
      <c r="AC68">
        <f>Worldprices!$Q$74*AC$8</f>
        <v>7.0000000000000009</v>
      </c>
      <c r="AD68">
        <f>Worldprices!$Q$74*AD$8</f>
        <v>7.0000000000000009</v>
      </c>
      <c r="AE68">
        <f>Worldprices!$Q$74*AE$8</f>
        <v>7.0000000000000009</v>
      </c>
      <c r="AF68">
        <f>Worldprices!$Q$74*AF$8</f>
        <v>7.0000000000000009</v>
      </c>
      <c r="AG68">
        <f>Worldprices!$Q$74*AG$8</f>
        <v>7.0000000000000009</v>
      </c>
      <c r="AH68">
        <f>Worldprices!$Q$74*AH$8</f>
        <v>7.0000000000000009</v>
      </c>
      <c r="AI68">
        <f>Worldprices!$Q$74*AI$8</f>
        <v>7.0000000000000009</v>
      </c>
      <c r="AJ68">
        <f>Worldprices!$Q$74*AJ$8</f>
        <v>7.0000000000000009</v>
      </c>
      <c r="AK68">
        <f>Worldprices!$Q$74*AK$8</f>
        <v>7.0000000000000009</v>
      </c>
      <c r="AL68">
        <f>Worldprices!$Q$74*AL$8</f>
        <v>7.0000000000000009</v>
      </c>
      <c r="AM68">
        <f>Worldprices!$Q$74*AM$8</f>
        <v>7.0000000000000009</v>
      </c>
      <c r="AN68">
        <f>Worldprices!$Q$74*AN$8</f>
        <v>7.0000000000000009</v>
      </c>
      <c r="AO68">
        <f>Worldprices!$Q$74*AO$8</f>
        <v>7.0000000000000009</v>
      </c>
      <c r="AP68">
        <f>Worldprices!$Q$74*AP$8</f>
        <v>7.0000000000000009</v>
      </c>
      <c r="AQ68">
        <f>Worldprices!$Q$74*AQ$8</f>
        <v>7.0000000000000009</v>
      </c>
      <c r="AR68">
        <f t="shared" si="2"/>
        <v>7.0000000000000009</v>
      </c>
    </row>
    <row r="69" spans="1:44" ht="12.75">
      <c r="A69" t="s">
        <v>248</v>
      </c>
      <c r="B69" t="s">
        <v>351</v>
      </c>
      <c r="D69" t="str">
        <f t="shared" si="0"/>
        <v>COST</v>
      </c>
      <c r="E69">
        <v>2050</v>
      </c>
      <c r="F69" t="str">
        <f>Worldprices!$G$62</f>
        <v>IMPOILCRD</v>
      </c>
      <c r="G69" t="str">
        <f>Worldprices!$G$63</f>
        <v>OILCRD</v>
      </c>
      <c r="H69">
        <f>Worldprices!$G$75*H$5</f>
        <v>15.722999999999995</v>
      </c>
      <c r="I69">
        <f>Worldprices!$G$75*I$5</f>
        <v>17.469999999999995</v>
      </c>
      <c r="J69">
        <f t="shared" si="3"/>
        <v>17.469999999999995</v>
      </c>
      <c r="K69">
        <f>Worldprices!$G$75*K$5</f>
        <v>17.469999999999995</v>
      </c>
      <c r="L69">
        <f>Worldprices!$G$75*L$5</f>
        <v>17.469999999999995</v>
      </c>
      <c r="M69">
        <f>Worldprices!$G$75*M$5</f>
        <v>17.469999999999995</v>
      </c>
      <c r="N69">
        <f>Worldprices!$G$75*N$5</f>
        <v>17.469999999999995</v>
      </c>
      <c r="O69">
        <f>Worldprices!$G$75*O$5</f>
        <v>17.469999999999995</v>
      </c>
      <c r="P69">
        <f>Worldprices!$G$75*P$5</f>
        <v>14.849499999999995</v>
      </c>
      <c r="Q69">
        <f>Worldprices!$G$75*Q$5</f>
        <v>17.469999999999995</v>
      </c>
      <c r="R69">
        <f>Worldprices!$G$75*R$5</f>
        <v>17.469999999999995</v>
      </c>
      <c r="S69">
        <f>Worldprices!$G$75*S$5</f>
        <v>17.469999999999995</v>
      </c>
      <c r="T69">
        <f>Worldprices!$G$75*T$5</f>
        <v>17.469999999999995</v>
      </c>
      <c r="U69">
        <f>Worldprices!$G$75*U$5</f>
        <v>15.722999999999995</v>
      </c>
      <c r="V69">
        <f>Worldprices!$G$75*V$5</f>
        <v>15.722999999999995</v>
      </c>
      <c r="W69">
        <f>Worldprices!$G$75*W$5</f>
        <v>17.469999999999995</v>
      </c>
      <c r="X69">
        <f>Worldprices!$G$75*X$5</f>
        <v>17.469999999999995</v>
      </c>
      <c r="Y69">
        <f>Worldprices!$G$75*Y$5</f>
        <v>17.469999999999995</v>
      </c>
      <c r="Z69">
        <f>Worldprices!$G$75*Z$5</f>
        <v>17.469999999999995</v>
      </c>
      <c r="AA69">
        <f>Worldprices!$G$75*AA$5</f>
        <v>17.469999999999995</v>
      </c>
      <c r="AB69">
        <f>Worldprices!$G$75*AB$5</f>
        <v>17.469999999999995</v>
      </c>
      <c r="AC69">
        <f>Worldprices!$G$75*AC$5</f>
        <v>17.469999999999995</v>
      </c>
      <c r="AD69">
        <f>Worldprices!$G$75*AD$5</f>
        <v>17.469999999999995</v>
      </c>
      <c r="AE69">
        <f>Worldprices!$G$75*AE$5</f>
        <v>17.469999999999995</v>
      </c>
      <c r="AF69">
        <f>Worldprices!$G$75*AF$5</f>
        <v>17.469999999999995</v>
      </c>
      <c r="AG69">
        <f>Worldprices!$G$75*AG$5</f>
        <v>17.469999999999995</v>
      </c>
      <c r="AH69">
        <f>Worldprices!$G$75*AH$5</f>
        <v>17.469999999999995</v>
      </c>
      <c r="AI69">
        <f>Worldprices!$G$75*AI$5</f>
        <v>17.469999999999995</v>
      </c>
      <c r="AJ69">
        <f>Worldprices!$G$75*AJ$5</f>
        <v>17.469999999999995</v>
      </c>
      <c r="AK69">
        <f>Worldprices!$G$75*AK$5</f>
        <v>17.469999999999995</v>
      </c>
      <c r="AL69">
        <f>Worldprices!$G$75*AL$5</f>
        <v>17.469999999999995</v>
      </c>
      <c r="AM69">
        <f>Worldprices!$G$75*AM$5</f>
        <v>17.469999999999995</v>
      </c>
      <c r="AN69">
        <f>Worldprices!$G$75*AN$5</f>
        <v>17.469999999999995</v>
      </c>
      <c r="AO69">
        <f>Worldprices!$G$75*AO$5</f>
        <v>17.469999999999995</v>
      </c>
      <c r="AP69">
        <f>Worldprices!$G$75*AP$5</f>
        <v>17.469999999999995</v>
      </c>
      <c r="AQ69">
        <f>Worldprices!$G$75*AQ$5</f>
        <v>17.469999999999995</v>
      </c>
      <c r="AR69">
        <f t="shared" si="2"/>
        <v>17.469999999999995</v>
      </c>
    </row>
    <row r="70" spans="1:44" ht="12.75">
      <c r="A70" t="s">
        <v>248</v>
      </c>
      <c r="B70" t="s">
        <v>351</v>
      </c>
      <c r="D70" t="str">
        <f t="shared" si="0"/>
        <v>COST</v>
      </c>
      <c r="E70">
        <v>2050</v>
      </c>
      <c r="F70" t="str">
        <f>Worldprices!$H$62</f>
        <v>IMPOILHFO</v>
      </c>
      <c r="G70" t="str">
        <f>Worldprices!$H$63</f>
        <v>OILHFO</v>
      </c>
      <c r="H70">
        <f>Worldprices!$H$75*H$5</f>
        <v>12.735629999999997</v>
      </c>
      <c r="I70">
        <f>Worldprices!$H$75*I$5</f>
        <v>14.150699999999997</v>
      </c>
      <c r="J70">
        <f t="shared" si="3"/>
        <v>14.150699999999997</v>
      </c>
      <c r="K70">
        <f>Worldprices!$H$75*K$5</f>
        <v>14.150699999999997</v>
      </c>
      <c r="L70">
        <f>Worldprices!$H$75*L$5</f>
        <v>14.150699999999997</v>
      </c>
      <c r="M70">
        <f>Worldprices!$H$75*M$5</f>
        <v>14.150699999999997</v>
      </c>
      <c r="N70">
        <f>Worldprices!$H$75*N$5</f>
        <v>14.150699999999997</v>
      </c>
      <c r="O70">
        <f>Worldprices!$H$75*O$5</f>
        <v>14.150699999999997</v>
      </c>
      <c r="P70">
        <f>Worldprices!$H$75*P$5</f>
        <v>12.028094999999997</v>
      </c>
      <c r="Q70">
        <f>Worldprices!$H$75*Q$5</f>
        <v>14.150699999999997</v>
      </c>
      <c r="R70">
        <f>Worldprices!$H$75*R$5</f>
        <v>14.150699999999997</v>
      </c>
      <c r="S70">
        <f>Worldprices!$H$75*S$5</f>
        <v>14.150699999999997</v>
      </c>
      <c r="T70">
        <f>Worldprices!$H$75*T$5</f>
        <v>14.150699999999997</v>
      </c>
      <c r="U70">
        <f>Worldprices!$H$75*U$5</f>
        <v>12.735629999999997</v>
      </c>
      <c r="V70">
        <f>Worldprices!$H$75*V$5</f>
        <v>12.735629999999997</v>
      </c>
      <c r="W70">
        <f>Worldprices!$H$75*W$5</f>
        <v>14.150699999999997</v>
      </c>
      <c r="X70">
        <f>Worldprices!$H$75*X$5</f>
        <v>14.150699999999997</v>
      </c>
      <c r="Y70">
        <f>Worldprices!$H$75*Y$5</f>
        <v>14.150699999999997</v>
      </c>
      <c r="Z70">
        <f>Worldprices!$H$75*Z$5</f>
        <v>14.150699999999997</v>
      </c>
      <c r="AA70">
        <f>Worldprices!$H$75*AA$5</f>
        <v>14.150699999999997</v>
      </c>
      <c r="AB70">
        <f>Worldprices!$H$75*AB$5</f>
        <v>14.150699999999997</v>
      </c>
      <c r="AC70">
        <f>Worldprices!$H$75*AC$5</f>
        <v>14.150699999999997</v>
      </c>
      <c r="AD70">
        <f>Worldprices!$H$75*AD$5</f>
        <v>14.150699999999997</v>
      </c>
      <c r="AE70">
        <f>Worldprices!$H$75*AE$5</f>
        <v>14.150699999999997</v>
      </c>
      <c r="AF70">
        <f>Worldprices!$H$75*AF$5</f>
        <v>14.150699999999997</v>
      </c>
      <c r="AG70">
        <f>Worldprices!$H$75*AG$5</f>
        <v>14.150699999999997</v>
      </c>
      <c r="AH70">
        <f>Worldprices!$H$75*AH$5</f>
        <v>14.150699999999997</v>
      </c>
      <c r="AI70">
        <f>Worldprices!$H$75*AI$5</f>
        <v>14.150699999999997</v>
      </c>
      <c r="AJ70">
        <f>Worldprices!$H$75*AJ$5</f>
        <v>14.150699999999997</v>
      </c>
      <c r="AK70">
        <f>Worldprices!$H$75*AK$5</f>
        <v>14.150699999999997</v>
      </c>
      <c r="AL70">
        <f>Worldprices!$H$75*AL$5</f>
        <v>14.150699999999997</v>
      </c>
      <c r="AM70">
        <f>Worldprices!$H$75*AM$5</f>
        <v>14.150699999999997</v>
      </c>
      <c r="AN70">
        <f>Worldprices!$H$75*AN$5</f>
        <v>14.150699999999997</v>
      </c>
      <c r="AO70">
        <f>Worldprices!$H$75*AO$5</f>
        <v>14.150699999999997</v>
      </c>
      <c r="AP70">
        <f>Worldprices!$H$75*AP$5</f>
        <v>14.150699999999997</v>
      </c>
      <c r="AQ70">
        <f>Worldprices!$H$75*AQ$5</f>
        <v>14.150699999999997</v>
      </c>
      <c r="AR70">
        <f t="shared" si="2"/>
        <v>14.150699999999997</v>
      </c>
    </row>
    <row r="71" spans="1:44" ht="12.75">
      <c r="A71" t="s">
        <v>248</v>
      </c>
      <c r="B71" t="s">
        <v>351</v>
      </c>
      <c r="D71" t="str">
        <f t="shared" si="4" ref="D71:D127">IF(RIGHT(F71,6)="GASNAT","*","COST")</f>
        <v>COST</v>
      </c>
      <c r="E71">
        <v>2050</v>
      </c>
      <c r="F71" t="str">
        <f>Worldprices!$I$62</f>
        <v>IMPOILDST</v>
      </c>
      <c r="G71" t="str">
        <f>Worldprices!$I$63</f>
        <v>OILDST</v>
      </c>
      <c r="H71">
        <f>Worldprices!$I$75*H$6</f>
        <v>22.710999999999995</v>
      </c>
      <c r="I71">
        <f>Worldprices!$I$75*I$6</f>
        <v>22.710999999999995</v>
      </c>
      <c r="J71">
        <f t="shared" si="3"/>
        <v>22.710999999999995</v>
      </c>
      <c r="K71">
        <f>Worldprices!$I$75*K$6</f>
        <v>22.710999999999995</v>
      </c>
      <c r="L71">
        <f>Worldprices!$I$75*L$6</f>
        <v>22.710999999999995</v>
      </c>
      <c r="M71">
        <f>Worldprices!$I$75*M$6</f>
        <v>22.710999999999995</v>
      </c>
      <c r="N71">
        <f>Worldprices!$I$75*N$6</f>
        <v>22.710999999999995</v>
      </c>
      <c r="O71">
        <f>Worldprices!$I$75*O$6</f>
        <v>22.710999999999995</v>
      </c>
      <c r="P71">
        <f>Worldprices!$I$75*P$6</f>
        <v>22.710999999999995</v>
      </c>
      <c r="Q71">
        <f>Worldprices!$I$75*Q$6</f>
        <v>22.710999999999995</v>
      </c>
      <c r="R71">
        <f>Worldprices!$I$75*R$6</f>
        <v>22.710999999999995</v>
      </c>
      <c r="S71">
        <f>Worldprices!$I$75*S$6</f>
        <v>22.710999999999995</v>
      </c>
      <c r="T71">
        <f>Worldprices!$I$75*T$6</f>
        <v>22.710999999999995</v>
      </c>
      <c r="U71">
        <f>Worldprices!$I$75*U$6</f>
        <v>22.710999999999995</v>
      </c>
      <c r="V71">
        <f>Worldprices!$I$75*V$6</f>
        <v>21.575449999999993</v>
      </c>
      <c r="W71">
        <f>Worldprices!$I$75*W$6</f>
        <v>22.710999999999995</v>
      </c>
      <c r="X71">
        <f>Worldprices!$I$75*X$6</f>
        <v>22.710999999999995</v>
      </c>
      <c r="Y71">
        <f>Worldprices!$I$75*Y$6</f>
        <v>22.710999999999995</v>
      </c>
      <c r="Z71">
        <f>Worldprices!$I$75*Z$6</f>
        <v>22.710999999999995</v>
      </c>
      <c r="AA71">
        <f>Worldprices!$I$75*AA$6</f>
        <v>22.710999999999995</v>
      </c>
      <c r="AB71">
        <f>Worldprices!$I$75*AB$6</f>
        <v>22.710999999999995</v>
      </c>
      <c r="AC71">
        <f>Worldprices!$I$75*AC$6</f>
        <v>22.710999999999995</v>
      </c>
      <c r="AD71">
        <f>Worldprices!$I$75*AD$6</f>
        <v>22.710999999999995</v>
      </c>
      <c r="AE71">
        <f>Worldprices!$I$75*AE$6</f>
        <v>22.710999999999995</v>
      </c>
      <c r="AF71">
        <f>Worldprices!$I$75*AF$6</f>
        <v>22.710999999999995</v>
      </c>
      <c r="AG71">
        <f>Worldprices!$I$75*AG$6</f>
        <v>22.710999999999995</v>
      </c>
      <c r="AH71">
        <f>Worldprices!$I$75*AH$6</f>
        <v>22.710999999999995</v>
      </c>
      <c r="AI71">
        <f>Worldprices!$I$75*AI$6</f>
        <v>22.710999999999995</v>
      </c>
      <c r="AJ71">
        <f>Worldprices!$I$75*AJ$6</f>
        <v>22.710999999999995</v>
      </c>
      <c r="AK71">
        <f>Worldprices!$I$75*AK$6</f>
        <v>22.710999999999995</v>
      </c>
      <c r="AL71">
        <f>Worldprices!$I$75*AL$6</f>
        <v>22.710999999999995</v>
      </c>
      <c r="AM71">
        <f>Worldprices!$I$75*AM$6</f>
        <v>22.710999999999995</v>
      </c>
      <c r="AN71">
        <f>Worldprices!$I$75*AN$6</f>
        <v>22.710999999999995</v>
      </c>
      <c r="AO71">
        <f>Worldprices!$I$75*AO$6</f>
        <v>22.710999999999995</v>
      </c>
      <c r="AP71">
        <f>Worldprices!$I$75*AP$6</f>
        <v>22.710999999999995</v>
      </c>
      <c r="AQ71">
        <f>Worldprices!$I$75*AQ$6</f>
        <v>22.710999999999995</v>
      </c>
      <c r="AR71">
        <f>AQ71</f>
        <v>22.710999999999995</v>
      </c>
    </row>
    <row r="72" spans="1:44" ht="12.75">
      <c r="A72" t="s">
        <v>248</v>
      </c>
      <c r="B72" t="s">
        <v>351</v>
      </c>
      <c r="D72" t="str">
        <f t="shared" si="4"/>
        <v>COST</v>
      </c>
      <c r="E72">
        <v>2050</v>
      </c>
      <c r="F72" t="str">
        <f>Worldprices!$J$62</f>
        <v>IMPOILLPG</v>
      </c>
      <c r="G72" t="str">
        <f>Worldprices!$J$63</f>
        <v>OILLPG</v>
      </c>
      <c r="H72">
        <f>Worldprices!$J$75*H$7</f>
        <v>19.216999999999995</v>
      </c>
      <c r="I72">
        <f>Worldprices!$J$75*I$7</f>
        <v>19.216999999999995</v>
      </c>
      <c r="J72">
        <f t="shared" si="3"/>
        <v>19.216999999999995</v>
      </c>
      <c r="K72">
        <f>Worldprices!$J$75*K$7</f>
        <v>19.216999999999995</v>
      </c>
      <c r="L72">
        <f>Worldprices!$J$75*L$7</f>
        <v>19.216999999999995</v>
      </c>
      <c r="M72">
        <f>Worldprices!$J$75*M$7</f>
        <v>19.216999999999995</v>
      </c>
      <c r="N72">
        <f>Worldprices!$J$75*N$7</f>
        <v>19.216999999999995</v>
      </c>
      <c r="O72">
        <f>Worldprices!$J$75*O$7</f>
        <v>19.216999999999995</v>
      </c>
      <c r="P72">
        <f>Worldprices!$J$75*P$7</f>
        <v>19.216999999999995</v>
      </c>
      <c r="Q72">
        <f>Worldprices!$J$75*Q$7</f>
        <v>19.216999999999995</v>
      </c>
      <c r="R72">
        <f>Worldprices!$J$75*R$7</f>
        <v>19.216999999999995</v>
      </c>
      <c r="S72">
        <f>Worldprices!$J$75*S$7</f>
        <v>19.216999999999995</v>
      </c>
      <c r="T72">
        <f>Worldprices!$J$75*T$7</f>
        <v>19.216999999999995</v>
      </c>
      <c r="U72">
        <f>Worldprices!$J$75*U$7</f>
        <v>19.216999999999995</v>
      </c>
      <c r="V72">
        <f>Worldprices!$J$75*V$7</f>
        <v>18.256149999999995</v>
      </c>
      <c r="W72">
        <f>Worldprices!$J$75*W$7</f>
        <v>19.216999999999995</v>
      </c>
      <c r="X72">
        <f>Worldprices!$J$75*X$7</f>
        <v>19.216999999999995</v>
      </c>
      <c r="Y72">
        <f>Worldprices!$J$75*Y$7</f>
        <v>19.216999999999995</v>
      </c>
      <c r="Z72">
        <f>Worldprices!$J$75*Z$7</f>
        <v>19.216999999999995</v>
      </c>
      <c r="AA72">
        <f>Worldprices!$J$75*AA$7</f>
        <v>19.216999999999995</v>
      </c>
      <c r="AB72">
        <f>Worldprices!$J$75*AB$7</f>
        <v>19.216999999999995</v>
      </c>
      <c r="AC72">
        <f>Worldprices!$J$75*AC$7</f>
        <v>19.216999999999995</v>
      </c>
      <c r="AD72">
        <f>Worldprices!$J$75*AD$7</f>
        <v>19.216999999999995</v>
      </c>
      <c r="AE72">
        <f>Worldprices!$J$75*AE$7</f>
        <v>19.216999999999995</v>
      </c>
      <c r="AF72">
        <f>Worldprices!$J$75*AF$7</f>
        <v>19.216999999999995</v>
      </c>
      <c r="AG72">
        <f>Worldprices!$J$75*AG$7</f>
        <v>19.216999999999995</v>
      </c>
      <c r="AH72">
        <f>Worldprices!$J$75*AH$7</f>
        <v>19.216999999999995</v>
      </c>
      <c r="AI72">
        <f>Worldprices!$J$75*AI$7</f>
        <v>19.216999999999995</v>
      </c>
      <c r="AJ72">
        <f>Worldprices!$J$75*AJ$7</f>
        <v>19.216999999999995</v>
      </c>
      <c r="AK72">
        <f>Worldprices!$J$75*AK$7</f>
        <v>19.216999999999995</v>
      </c>
      <c r="AL72">
        <f>Worldprices!$J$75*AL$7</f>
        <v>19.216999999999995</v>
      </c>
      <c r="AM72">
        <f>Worldprices!$J$75*AM$7</f>
        <v>19.216999999999995</v>
      </c>
      <c r="AN72">
        <f>Worldprices!$J$75*AN$7</f>
        <v>19.216999999999995</v>
      </c>
      <c r="AO72">
        <f>Worldprices!$J$75*AO$7</f>
        <v>19.216999999999995</v>
      </c>
      <c r="AP72">
        <f>Worldprices!$J$75*AP$7</f>
        <v>19.216999999999995</v>
      </c>
      <c r="AQ72">
        <f>Worldprices!$J$75*AQ$7</f>
        <v>19.216999999999995</v>
      </c>
      <c r="AR72">
        <f>AQ72</f>
        <v>19.216999999999995</v>
      </c>
    </row>
    <row r="73" spans="1:44" ht="12.75">
      <c r="A73" t="s">
        <v>248</v>
      </c>
      <c r="B73" t="s">
        <v>351</v>
      </c>
      <c r="D73" t="str">
        <f t="shared" si="4"/>
        <v>COST</v>
      </c>
      <c r="E73">
        <v>2050</v>
      </c>
      <c r="F73" t="str">
        <f>Worldprices!$K$62</f>
        <v>IMPOILGSL</v>
      </c>
      <c r="G73" t="str">
        <f>Worldprices!$K$63</f>
        <v>OILGSL</v>
      </c>
      <c r="H73">
        <f>Worldprices!$K$75*H$7</f>
        <v>24.457999999999991</v>
      </c>
      <c r="I73">
        <f>Worldprices!$K$75*I$7</f>
        <v>24.457999999999991</v>
      </c>
      <c r="J73">
        <f t="shared" si="3"/>
        <v>24.457999999999991</v>
      </c>
      <c r="K73">
        <f>Worldprices!$K$75*K$7</f>
        <v>24.457999999999991</v>
      </c>
      <c r="L73">
        <f>Worldprices!$K$75*L$7</f>
        <v>24.457999999999991</v>
      </c>
      <c r="M73">
        <f>Worldprices!$K$75*M$7</f>
        <v>24.457999999999991</v>
      </c>
      <c r="N73">
        <f>Worldprices!$K$75*N$7</f>
        <v>24.457999999999991</v>
      </c>
      <c r="O73">
        <f>Worldprices!$K$75*O$7</f>
        <v>24.457999999999991</v>
      </c>
      <c r="P73">
        <f>Worldprices!$K$75*P$7</f>
        <v>24.457999999999991</v>
      </c>
      <c r="Q73">
        <f>Worldprices!$K$75*Q$7</f>
        <v>24.457999999999991</v>
      </c>
      <c r="R73">
        <f>Worldprices!$K$75*R$7</f>
        <v>24.457999999999991</v>
      </c>
      <c r="S73">
        <f>Worldprices!$K$75*S$7</f>
        <v>24.457999999999991</v>
      </c>
      <c r="T73">
        <f>Worldprices!$K$75*T$7</f>
        <v>24.457999999999991</v>
      </c>
      <c r="U73">
        <f>Worldprices!$K$75*U$7</f>
        <v>24.457999999999991</v>
      </c>
      <c r="V73">
        <f>Worldprices!$K$75*V$7</f>
        <v>23.235099999999992</v>
      </c>
      <c r="W73">
        <f>Worldprices!$K$75*W$7</f>
        <v>24.457999999999991</v>
      </c>
      <c r="X73">
        <f>Worldprices!$K$75*X$7</f>
        <v>24.457999999999991</v>
      </c>
      <c r="Y73">
        <f>Worldprices!$K$75*Y$7</f>
        <v>24.457999999999991</v>
      </c>
      <c r="Z73">
        <f>Worldprices!$K$75*Z$7</f>
        <v>24.457999999999991</v>
      </c>
      <c r="AA73">
        <f>Worldprices!$K$75*AA$7</f>
        <v>24.457999999999991</v>
      </c>
      <c r="AB73">
        <f>Worldprices!$K$75*AB$7</f>
        <v>24.457999999999991</v>
      </c>
      <c r="AC73">
        <f>Worldprices!$K$75*AC$7</f>
        <v>24.457999999999991</v>
      </c>
      <c r="AD73">
        <f>Worldprices!$K$75*AD$7</f>
        <v>24.457999999999991</v>
      </c>
      <c r="AE73">
        <f>Worldprices!$K$75*AE$7</f>
        <v>24.457999999999991</v>
      </c>
      <c r="AF73">
        <f>Worldprices!$K$75*AF$7</f>
        <v>24.457999999999991</v>
      </c>
      <c r="AG73">
        <f>Worldprices!$K$75*AG$7</f>
        <v>24.457999999999991</v>
      </c>
      <c r="AH73">
        <f>Worldprices!$K$75*AH$7</f>
        <v>24.457999999999991</v>
      </c>
      <c r="AI73">
        <f>Worldprices!$K$75*AI$7</f>
        <v>24.457999999999991</v>
      </c>
      <c r="AJ73">
        <f>Worldprices!$K$75*AJ$7</f>
        <v>24.457999999999991</v>
      </c>
      <c r="AK73">
        <f>Worldprices!$K$75*AK$7</f>
        <v>24.457999999999991</v>
      </c>
      <c r="AL73">
        <f>Worldprices!$K$75*AL$7</f>
        <v>24.457999999999991</v>
      </c>
      <c r="AM73">
        <f>Worldprices!$K$75*AM$7</f>
        <v>24.457999999999991</v>
      </c>
      <c r="AN73">
        <f>Worldprices!$K$75*AN$7</f>
        <v>24.457999999999991</v>
      </c>
      <c r="AO73">
        <f>Worldprices!$K$75*AO$7</f>
        <v>24.457999999999991</v>
      </c>
      <c r="AP73">
        <f>Worldprices!$K$75*AP$7</f>
        <v>24.457999999999991</v>
      </c>
      <c r="AQ73">
        <f>Worldprices!$K$75*AQ$7</f>
        <v>24.457999999999991</v>
      </c>
      <c r="AR73">
        <f>AQ73</f>
        <v>24.457999999999991</v>
      </c>
    </row>
    <row r="74" spans="1:44" ht="12.75">
      <c r="A74" t="s">
        <v>248</v>
      </c>
      <c r="B74" t="s">
        <v>351</v>
      </c>
      <c r="D74" t="str">
        <f t="shared" si="4"/>
        <v>COST</v>
      </c>
      <c r="E74">
        <v>2050</v>
      </c>
      <c r="F74" t="str">
        <f>Worldprices!$L$62</f>
        <v>IMPOILKER</v>
      </c>
      <c r="G74" t="str">
        <f>Worldprices!$L$63</f>
        <v>OILKER</v>
      </c>
      <c r="H74">
        <f>Worldprices!$L$75*H$7</f>
        <v>24.457999999999991</v>
      </c>
      <c r="I74">
        <f>Worldprices!$L$75*I$7</f>
        <v>24.457999999999991</v>
      </c>
      <c r="J74">
        <f t="shared" si="3"/>
        <v>24.457999999999991</v>
      </c>
      <c r="K74">
        <f>Worldprices!$L$75*K$7</f>
        <v>24.457999999999991</v>
      </c>
      <c r="L74">
        <f>Worldprices!$L$75*L$7</f>
        <v>24.457999999999991</v>
      </c>
      <c r="M74">
        <f>Worldprices!$L$75*M$7</f>
        <v>24.457999999999991</v>
      </c>
      <c r="N74">
        <f>Worldprices!$L$75*N$7</f>
        <v>24.457999999999991</v>
      </c>
      <c r="O74">
        <f>Worldprices!$L$75*O$7</f>
        <v>24.457999999999991</v>
      </c>
      <c r="P74">
        <f>Worldprices!$L$75*P$7</f>
        <v>24.457999999999991</v>
      </c>
      <c r="Q74">
        <f>Worldprices!$L$75*Q$7</f>
        <v>24.457999999999991</v>
      </c>
      <c r="R74">
        <f>Worldprices!$L$75*R$7</f>
        <v>24.457999999999991</v>
      </c>
      <c r="S74">
        <f>Worldprices!$L$75*S$7</f>
        <v>24.457999999999991</v>
      </c>
      <c r="T74">
        <f>Worldprices!$L$75*T$7</f>
        <v>24.457999999999991</v>
      </c>
      <c r="U74">
        <f>Worldprices!$L$75*U$7</f>
        <v>24.457999999999991</v>
      </c>
      <c r="V74">
        <f>Worldprices!$L$75*V$7</f>
        <v>23.235099999999992</v>
      </c>
      <c r="W74">
        <f>Worldprices!$L$75*W$7</f>
        <v>24.457999999999991</v>
      </c>
      <c r="X74">
        <f>Worldprices!$L$75*X$7</f>
        <v>24.457999999999991</v>
      </c>
      <c r="Y74">
        <f>Worldprices!$L$75*Y$7</f>
        <v>24.457999999999991</v>
      </c>
      <c r="Z74">
        <f>Worldprices!$L$75*Z$7</f>
        <v>24.457999999999991</v>
      </c>
      <c r="AA74">
        <f>Worldprices!$L$75*AA$7</f>
        <v>24.457999999999991</v>
      </c>
      <c r="AB74">
        <f>Worldprices!$L$75*AB$7</f>
        <v>24.457999999999991</v>
      </c>
      <c r="AC74">
        <f>Worldprices!$L$75*AC$7</f>
        <v>24.457999999999991</v>
      </c>
      <c r="AD74">
        <f>Worldprices!$L$75*AD$7</f>
        <v>24.457999999999991</v>
      </c>
      <c r="AE74">
        <f>Worldprices!$L$75*AE$7</f>
        <v>24.457999999999991</v>
      </c>
      <c r="AF74">
        <f>Worldprices!$L$75*AF$7</f>
        <v>24.457999999999991</v>
      </c>
      <c r="AG74">
        <f>Worldprices!$L$75*AG$7</f>
        <v>24.457999999999991</v>
      </c>
      <c r="AH74">
        <f>Worldprices!$L$75*AH$7</f>
        <v>24.457999999999991</v>
      </c>
      <c r="AI74">
        <f>Worldprices!$L$75*AI$7</f>
        <v>24.457999999999991</v>
      </c>
      <c r="AJ74">
        <f>Worldprices!$L$75*AJ$7</f>
        <v>24.457999999999991</v>
      </c>
      <c r="AK74">
        <f>Worldprices!$L$75*AK$7</f>
        <v>24.457999999999991</v>
      </c>
      <c r="AL74">
        <f>Worldprices!$L$75*AL$7</f>
        <v>24.457999999999991</v>
      </c>
      <c r="AM74">
        <f>Worldprices!$L$75*AM$7</f>
        <v>24.457999999999991</v>
      </c>
      <c r="AN74">
        <f>Worldprices!$L$75*AN$7</f>
        <v>24.457999999999991</v>
      </c>
      <c r="AO74">
        <f>Worldprices!$L$75*AO$7</f>
        <v>24.457999999999991</v>
      </c>
      <c r="AP74">
        <f>Worldprices!$L$75*AP$7</f>
        <v>24.457999999999991</v>
      </c>
      <c r="AQ74">
        <f>Worldprices!$L$75*AQ$7</f>
        <v>24.457999999999991</v>
      </c>
      <c r="AR74">
        <f>AQ74</f>
        <v>24.457999999999991</v>
      </c>
    </row>
    <row r="75" spans="1:44" ht="12.75">
      <c r="A75" t="s">
        <v>248</v>
      </c>
      <c r="B75" t="s">
        <v>351</v>
      </c>
      <c r="D75" t="str">
        <f t="shared" si="4"/>
        <v>*</v>
      </c>
      <c r="E75">
        <v>2050</v>
      </c>
      <c r="F75" t="str">
        <f>Worldprices!$Q$62</f>
        <v>IMPGASNAT</v>
      </c>
      <c r="G75" t="str">
        <f>Worldprices!$Q$63</f>
        <v>GASNAT</v>
      </c>
      <c r="H75">
        <f>Worldprices!$Q$75*H$8</f>
        <v>7.0000000000000009</v>
      </c>
      <c r="I75">
        <f>Worldprices!$Q$75*I$8</f>
        <v>7.0000000000000009</v>
      </c>
      <c r="J75">
        <f t="shared" si="3"/>
        <v>7.0000000000000009</v>
      </c>
      <c r="K75">
        <f>Worldprices!$Q$75*K$8</f>
        <v>7.0000000000000009</v>
      </c>
      <c r="L75">
        <f>Worldprices!$Q$75*L$8</f>
        <v>7.0000000000000009</v>
      </c>
      <c r="M75">
        <f>Worldprices!$Q$75*M$8</f>
        <v>7.0000000000000009</v>
      </c>
      <c r="N75">
        <f>Worldprices!$Q$75*N$8</f>
        <v>7.0000000000000009</v>
      </c>
      <c r="O75">
        <f>Worldprices!$Q$75*O$8</f>
        <v>7.0000000000000009</v>
      </c>
      <c r="P75">
        <f>Worldprices!$Q$75*P$8</f>
        <v>5.9500000000000002</v>
      </c>
      <c r="Q75">
        <f>Worldprices!$Q$75*Q$8</f>
        <v>6.3000000000000007</v>
      </c>
      <c r="R75">
        <f>Worldprices!$Q$75*R$8</f>
        <v>7.0000000000000009</v>
      </c>
      <c r="S75">
        <f>Worldprices!$Q$75*S$8</f>
        <v>7.0000000000000009</v>
      </c>
      <c r="T75">
        <f>Worldprices!$Q$75*T$8</f>
        <v>7.0000000000000009</v>
      </c>
      <c r="U75">
        <f>Worldprices!$Q$75*U$8</f>
        <v>7.0000000000000009</v>
      </c>
      <c r="V75">
        <f>Worldprices!$Q$75*V$8</f>
        <v>6.3000000000000007</v>
      </c>
      <c r="W75">
        <f>Worldprices!$Q$75*W$8</f>
        <v>7.0000000000000009</v>
      </c>
      <c r="X75">
        <f>Worldprices!$Q$75*X$8</f>
        <v>7.0000000000000009</v>
      </c>
      <c r="Y75">
        <f>Worldprices!$Q$75*Y$8</f>
        <v>7.0000000000000009</v>
      </c>
      <c r="Z75">
        <f>Worldprices!$Q$75*Z$8</f>
        <v>7.0000000000000009</v>
      </c>
      <c r="AA75">
        <f>Worldprices!$Q$75*AA$8</f>
        <v>7.0000000000000009</v>
      </c>
      <c r="AB75">
        <f>Worldprices!$Q$75*AB$8</f>
        <v>7.0000000000000009</v>
      </c>
      <c r="AC75">
        <f>Worldprices!$Q$75*AC$8</f>
        <v>7.0000000000000009</v>
      </c>
      <c r="AD75">
        <f>Worldprices!$Q$75*AD$8</f>
        <v>7.0000000000000009</v>
      </c>
      <c r="AE75">
        <f>Worldprices!$Q$75*AE$8</f>
        <v>7.0000000000000009</v>
      </c>
      <c r="AF75">
        <f>Worldprices!$Q$75*AF$8</f>
        <v>7.0000000000000009</v>
      </c>
      <c r="AG75">
        <f>Worldprices!$Q$75*AG$8</f>
        <v>7.0000000000000009</v>
      </c>
      <c r="AH75">
        <f>Worldprices!$Q$75*AH$8</f>
        <v>7.0000000000000009</v>
      </c>
      <c r="AI75">
        <f>Worldprices!$Q$75*AI$8</f>
        <v>7.0000000000000009</v>
      </c>
      <c r="AJ75">
        <f>Worldprices!$Q$75*AJ$8</f>
        <v>7.0000000000000009</v>
      </c>
      <c r="AK75">
        <f>Worldprices!$Q$75*AK$8</f>
        <v>7.0000000000000009</v>
      </c>
      <c r="AL75">
        <f>Worldprices!$Q$75*AL$8</f>
        <v>7.0000000000000009</v>
      </c>
      <c r="AM75">
        <f>Worldprices!$Q$75*AM$8</f>
        <v>7.0000000000000009</v>
      </c>
      <c r="AN75">
        <f>Worldprices!$Q$75*AN$8</f>
        <v>7.0000000000000009</v>
      </c>
      <c r="AO75">
        <f>Worldprices!$Q$75*AO$8</f>
        <v>7.0000000000000009</v>
      </c>
      <c r="AP75">
        <f>Worldprices!$Q$75*AP$8</f>
        <v>7.0000000000000009</v>
      </c>
      <c r="AQ75">
        <f>Worldprices!$Q$75*AQ$8</f>
        <v>7.0000000000000009</v>
      </c>
      <c r="AR75">
        <f>AQ75</f>
        <v>7.0000000000000009</v>
      </c>
    </row>
    <row r="76" spans="1:5" ht="12.75">
      <c r="A76" t="s">
        <v>248</v>
      </c>
      <c r="B76" t="s">
        <v>351</v>
      </c>
      <c r="D76" s="54" t="s">
        <v>238</v>
      </c>
      <c r="E76" t="s">
        <v>165</v>
      </c>
    </row>
    <row r="77" spans="1:44" ht="12.75">
      <c r="A77" t="s">
        <v>248</v>
      </c>
      <c r="B77" t="s">
        <v>351</v>
      </c>
      <c r="D77" t="str">
        <f t="shared" si="4"/>
        <v>COST</v>
      </c>
      <c r="E77">
        <f t="shared" si="5" ref="E77:E108">E13</f>
        <v>2010</v>
      </c>
      <c r="F77" t="str">
        <f t="shared" si="6" ref="F77:F87">"EXP"&amp;G77</f>
        <v>EXPOILCRD</v>
      </c>
      <c r="G77" t="str">
        <f t="shared" si="7" ref="G77:G108">G13</f>
        <v>OILCRD</v>
      </c>
      <c r="H77" s="4">
        <f t="shared" si="8" ref="H77:AQ77">H13*0.99</f>
        <v>8.7493278688524594</v>
      </c>
      <c r="I77" s="4">
        <f t="shared" si="8"/>
        <v>9.7214754098360654</v>
      </c>
      <c r="J77" s="4">
        <f t="shared" si="8"/>
        <v>9.7214754098360654</v>
      </c>
      <c r="K77" s="4">
        <f t="shared" si="8"/>
        <v>9.7214754098360654</v>
      </c>
      <c r="L77" s="4">
        <f t="shared" si="8"/>
        <v>9.7214754098360654</v>
      </c>
      <c r="M77" s="4">
        <f t="shared" si="8"/>
        <v>9.7214754098360654</v>
      </c>
      <c r="N77" s="4">
        <f t="shared" si="8"/>
        <v>9.7214754098360654</v>
      </c>
      <c r="O77" s="4">
        <f t="shared" si="8"/>
        <v>9.7214754098360654</v>
      </c>
      <c r="P77" s="4">
        <f t="shared" si="8"/>
        <v>8.2632540983606546</v>
      </c>
      <c r="Q77" s="4">
        <f t="shared" si="8"/>
        <v>9.7214754098360654</v>
      </c>
      <c r="R77" s="4">
        <f t="shared" si="8"/>
        <v>9.7214754098360654</v>
      </c>
      <c r="S77" s="4">
        <f t="shared" si="8"/>
        <v>9.7214754098360654</v>
      </c>
      <c r="T77" s="4">
        <f t="shared" si="8"/>
        <v>9.7214754098360654</v>
      </c>
      <c r="U77" s="4">
        <f t="shared" si="8"/>
        <v>8.7493278688524594</v>
      </c>
      <c r="V77" s="4">
        <f t="shared" si="8"/>
        <v>8.7493278688524594</v>
      </c>
      <c r="W77" s="4">
        <f t="shared" si="8"/>
        <v>9.7214754098360654</v>
      </c>
      <c r="X77" s="4">
        <f t="shared" si="8"/>
        <v>9.7214754098360654</v>
      </c>
      <c r="Y77" s="4">
        <f t="shared" si="8"/>
        <v>9.7214754098360654</v>
      </c>
      <c r="Z77" s="4">
        <f t="shared" si="8"/>
        <v>9.7214754098360654</v>
      </c>
      <c r="AA77" s="4">
        <f t="shared" si="8"/>
        <v>9.7214754098360654</v>
      </c>
      <c r="AB77" s="4">
        <f t="shared" si="8"/>
        <v>9.7214754098360654</v>
      </c>
      <c r="AC77" s="4">
        <f t="shared" si="8"/>
        <v>9.7214754098360654</v>
      </c>
      <c r="AD77" s="4">
        <f t="shared" si="8"/>
        <v>9.7214754098360654</v>
      </c>
      <c r="AE77" s="4">
        <f t="shared" si="8"/>
        <v>9.7214754098360654</v>
      </c>
      <c r="AF77" s="4">
        <f t="shared" si="8"/>
        <v>9.7214754098360654</v>
      </c>
      <c r="AG77" s="4">
        <f t="shared" si="8"/>
        <v>9.7214754098360654</v>
      </c>
      <c r="AH77" s="4">
        <f t="shared" si="8"/>
        <v>9.7214754098360654</v>
      </c>
      <c r="AI77" s="4">
        <f t="shared" si="8"/>
        <v>9.7214754098360654</v>
      </c>
      <c r="AJ77" s="4">
        <f t="shared" si="8"/>
        <v>9.7214754098360654</v>
      </c>
      <c r="AK77" s="4">
        <f t="shared" si="8"/>
        <v>9.7214754098360654</v>
      </c>
      <c r="AL77" s="4">
        <f t="shared" si="8"/>
        <v>9.7214754098360654</v>
      </c>
      <c r="AM77" s="4">
        <f t="shared" si="8"/>
        <v>9.7214754098360654</v>
      </c>
      <c r="AN77" s="4">
        <f t="shared" si="8"/>
        <v>9.7214754098360654</v>
      </c>
      <c r="AO77" s="4">
        <f t="shared" si="8"/>
        <v>9.7214754098360654</v>
      </c>
      <c r="AP77" s="4">
        <f t="shared" si="8"/>
        <v>9.7214754098360654</v>
      </c>
      <c r="AQ77" s="4">
        <f t="shared" si="8"/>
        <v>9.7214754098360654</v>
      </c>
      <c r="AR77">
        <f t="shared" si="9" ref="AR77:AR133">AQ77</f>
        <v>9.7214754098360654</v>
      </c>
    </row>
    <row r="78" spans="1:44" ht="12.75">
      <c r="A78" t="s">
        <v>248</v>
      </c>
      <c r="B78" t="s">
        <v>351</v>
      </c>
      <c r="D78" t="str">
        <f t="shared" si="4"/>
        <v>COST</v>
      </c>
      <c r="E78">
        <f t="shared" si="5"/>
        <v>2010</v>
      </c>
      <c r="F78" t="str">
        <f t="shared" si="6"/>
        <v>EXPOILHFO</v>
      </c>
      <c r="G78" t="str">
        <f t="shared" si="7"/>
        <v>OILHFO</v>
      </c>
      <c r="H78" s="4">
        <f t="shared" si="10" ref="H78:AQ78">H14*0.99</f>
        <v>7.086955573770493</v>
      </c>
      <c r="I78" s="4">
        <f t="shared" si="10"/>
        <v>7.8743950819672133</v>
      </c>
      <c r="J78" s="4">
        <f t="shared" si="10"/>
        <v>7.8743950819672133</v>
      </c>
      <c r="K78" s="4">
        <f t="shared" si="10"/>
        <v>7.8743950819672133</v>
      </c>
      <c r="L78" s="4">
        <f t="shared" si="10"/>
        <v>7.8743950819672133</v>
      </c>
      <c r="M78" s="4">
        <f t="shared" si="10"/>
        <v>7.8743950819672133</v>
      </c>
      <c r="N78" s="4">
        <f t="shared" si="10"/>
        <v>7.8743950819672133</v>
      </c>
      <c r="O78" s="4">
        <f t="shared" si="10"/>
        <v>7.8743950819672133</v>
      </c>
      <c r="P78" s="4">
        <f t="shared" si="10"/>
        <v>6.6932358196721315</v>
      </c>
      <c r="Q78" s="4">
        <f t="shared" si="10"/>
        <v>7.8743950819672133</v>
      </c>
      <c r="R78" s="4">
        <f t="shared" si="10"/>
        <v>7.8743950819672133</v>
      </c>
      <c r="S78" s="4">
        <f t="shared" si="10"/>
        <v>7.8743950819672133</v>
      </c>
      <c r="T78" s="4">
        <f t="shared" si="10"/>
        <v>7.8743950819672133</v>
      </c>
      <c r="U78" s="4">
        <f t="shared" si="10"/>
        <v>7.086955573770493</v>
      </c>
      <c r="V78" s="4">
        <f t="shared" si="10"/>
        <v>7.086955573770493</v>
      </c>
      <c r="W78" s="4">
        <f t="shared" si="10"/>
        <v>7.8743950819672133</v>
      </c>
      <c r="X78" s="4">
        <f t="shared" si="10"/>
        <v>7.8743950819672133</v>
      </c>
      <c r="Y78" s="4">
        <f t="shared" si="10"/>
        <v>7.8743950819672133</v>
      </c>
      <c r="Z78" s="4">
        <f t="shared" si="10"/>
        <v>7.8743950819672133</v>
      </c>
      <c r="AA78" s="4">
        <f t="shared" si="10"/>
        <v>7.8743950819672133</v>
      </c>
      <c r="AB78" s="4">
        <f t="shared" si="10"/>
        <v>7.8743950819672133</v>
      </c>
      <c r="AC78" s="4">
        <f t="shared" si="10"/>
        <v>7.8743950819672133</v>
      </c>
      <c r="AD78" s="4">
        <f t="shared" si="10"/>
        <v>7.8743950819672133</v>
      </c>
      <c r="AE78" s="4">
        <f t="shared" si="10"/>
        <v>7.8743950819672133</v>
      </c>
      <c r="AF78" s="4">
        <f t="shared" si="10"/>
        <v>7.8743950819672133</v>
      </c>
      <c r="AG78" s="4">
        <f t="shared" si="10"/>
        <v>7.8743950819672133</v>
      </c>
      <c r="AH78" s="4">
        <f t="shared" si="10"/>
        <v>7.8743950819672133</v>
      </c>
      <c r="AI78" s="4">
        <f t="shared" si="10"/>
        <v>7.8743950819672133</v>
      </c>
      <c r="AJ78" s="4">
        <f t="shared" si="10"/>
        <v>7.8743950819672133</v>
      </c>
      <c r="AK78" s="4">
        <f t="shared" si="10"/>
        <v>7.8743950819672133</v>
      </c>
      <c r="AL78" s="4">
        <f t="shared" si="10"/>
        <v>7.8743950819672133</v>
      </c>
      <c r="AM78" s="4">
        <f t="shared" si="10"/>
        <v>7.8743950819672133</v>
      </c>
      <c r="AN78" s="4">
        <f t="shared" si="10"/>
        <v>7.8743950819672133</v>
      </c>
      <c r="AO78" s="4">
        <f t="shared" si="10"/>
        <v>7.8743950819672133</v>
      </c>
      <c r="AP78" s="4">
        <f t="shared" si="10"/>
        <v>7.8743950819672133</v>
      </c>
      <c r="AQ78" s="4">
        <f t="shared" si="10"/>
        <v>7.8743950819672133</v>
      </c>
      <c r="AR78">
        <f t="shared" si="9"/>
        <v>7.8743950819672133</v>
      </c>
    </row>
    <row r="79" spans="1:44" ht="12.75">
      <c r="A79" t="s">
        <v>248</v>
      </c>
      <c r="B79" t="s">
        <v>351</v>
      </c>
      <c r="D79" t="str">
        <f t="shared" si="4"/>
        <v>COST</v>
      </c>
      <c r="E79">
        <f t="shared" si="5"/>
        <v>2010</v>
      </c>
      <c r="F79" t="str">
        <f t="shared" si="6"/>
        <v>EXPOILDST</v>
      </c>
      <c r="G79" t="str">
        <f t="shared" si="7"/>
        <v>OILDST</v>
      </c>
      <c r="H79" s="4">
        <f t="shared" si="11" ref="H79:AQ79">H15*0.99</f>
        <v>12.637918032786885</v>
      </c>
      <c r="I79" s="4">
        <f t="shared" si="11"/>
        <v>12.637918032786885</v>
      </c>
      <c r="J79" s="4">
        <f t="shared" si="11"/>
        <v>12.637918032786885</v>
      </c>
      <c r="K79" s="4">
        <f t="shared" si="11"/>
        <v>12.637918032786885</v>
      </c>
      <c r="L79" s="4">
        <f t="shared" si="11"/>
        <v>12.637918032786885</v>
      </c>
      <c r="M79" s="4">
        <f t="shared" si="11"/>
        <v>12.637918032786885</v>
      </c>
      <c r="N79" s="4">
        <f t="shared" si="11"/>
        <v>12.637918032786885</v>
      </c>
      <c r="O79" s="4">
        <f t="shared" si="11"/>
        <v>12.637918032786885</v>
      </c>
      <c r="P79" s="4">
        <f t="shared" si="11"/>
        <v>12.637918032786885</v>
      </c>
      <c r="Q79" s="4">
        <f t="shared" si="11"/>
        <v>12.637918032786885</v>
      </c>
      <c r="R79" s="4">
        <f t="shared" si="11"/>
        <v>12.637918032786885</v>
      </c>
      <c r="S79" s="4">
        <f t="shared" si="11"/>
        <v>12.637918032786885</v>
      </c>
      <c r="T79" s="4">
        <f t="shared" si="11"/>
        <v>12.637918032786885</v>
      </c>
      <c r="U79" s="4">
        <f t="shared" si="11"/>
        <v>12.637918032786885</v>
      </c>
      <c r="V79" s="4">
        <f t="shared" si="11"/>
        <v>12.006022131147541</v>
      </c>
      <c r="W79" s="4">
        <f t="shared" si="11"/>
        <v>12.637918032786885</v>
      </c>
      <c r="X79" s="4">
        <f t="shared" si="11"/>
        <v>12.637918032786885</v>
      </c>
      <c r="Y79" s="4">
        <f t="shared" si="11"/>
        <v>12.637918032786885</v>
      </c>
      <c r="Z79" s="4">
        <f t="shared" si="11"/>
        <v>12.637918032786885</v>
      </c>
      <c r="AA79" s="4">
        <f t="shared" si="11"/>
        <v>12.637918032786885</v>
      </c>
      <c r="AB79" s="4">
        <f t="shared" si="11"/>
        <v>12.637918032786885</v>
      </c>
      <c r="AC79" s="4">
        <f t="shared" si="11"/>
        <v>12.637918032786885</v>
      </c>
      <c r="AD79" s="4">
        <f t="shared" si="11"/>
        <v>12.637918032786885</v>
      </c>
      <c r="AE79" s="4">
        <f t="shared" si="11"/>
        <v>12.637918032786885</v>
      </c>
      <c r="AF79" s="4">
        <f t="shared" si="11"/>
        <v>12.637918032786885</v>
      </c>
      <c r="AG79" s="4">
        <f t="shared" si="11"/>
        <v>12.637918032786885</v>
      </c>
      <c r="AH79" s="4">
        <f t="shared" si="11"/>
        <v>12.637918032786885</v>
      </c>
      <c r="AI79" s="4">
        <f t="shared" si="11"/>
        <v>12.637918032786885</v>
      </c>
      <c r="AJ79" s="4">
        <f t="shared" si="11"/>
        <v>12.637918032786885</v>
      </c>
      <c r="AK79" s="4">
        <f t="shared" si="11"/>
        <v>12.637918032786885</v>
      </c>
      <c r="AL79" s="4">
        <f t="shared" si="11"/>
        <v>12.637918032786885</v>
      </c>
      <c r="AM79" s="4">
        <f t="shared" si="11"/>
        <v>12.637918032786885</v>
      </c>
      <c r="AN79" s="4">
        <f t="shared" si="11"/>
        <v>12.637918032786885</v>
      </c>
      <c r="AO79" s="4">
        <f t="shared" si="11"/>
        <v>12.637918032786885</v>
      </c>
      <c r="AP79" s="4">
        <f t="shared" si="11"/>
        <v>12.637918032786885</v>
      </c>
      <c r="AQ79" s="4">
        <f t="shared" si="11"/>
        <v>12.637918032786885</v>
      </c>
      <c r="AR79">
        <f t="shared" si="9"/>
        <v>12.637918032786885</v>
      </c>
    </row>
    <row r="80" spans="1:44" ht="12.75">
      <c r="A80" t="s">
        <v>248</v>
      </c>
      <c r="B80" t="s">
        <v>351</v>
      </c>
      <c r="D80" t="str">
        <f t="shared" si="4"/>
        <v>COST</v>
      </c>
      <c r="E80">
        <f t="shared" si="5"/>
        <v>2010</v>
      </c>
      <c r="F80" t="str">
        <f t="shared" si="6"/>
        <v>EXPOILLPG</v>
      </c>
      <c r="G80" t="str">
        <f t="shared" si="7"/>
        <v>OILLPG</v>
      </c>
      <c r="H80" s="4">
        <f t="shared" si="12" ref="H80:AQ80">H16*0.99</f>
        <v>10.693622950819673</v>
      </c>
      <c r="I80" s="4">
        <f t="shared" si="12"/>
        <v>10.693622950819673</v>
      </c>
      <c r="J80" s="4">
        <f t="shared" si="12"/>
        <v>10.693622950819673</v>
      </c>
      <c r="K80" s="4">
        <f t="shared" si="12"/>
        <v>10.693622950819673</v>
      </c>
      <c r="L80" s="4">
        <f t="shared" si="12"/>
        <v>10.693622950819673</v>
      </c>
      <c r="M80" s="4">
        <f t="shared" si="12"/>
        <v>10.693622950819673</v>
      </c>
      <c r="N80" s="4">
        <f t="shared" si="12"/>
        <v>10.693622950819673</v>
      </c>
      <c r="O80" s="4">
        <f t="shared" si="12"/>
        <v>10.693622950819673</v>
      </c>
      <c r="P80" s="4">
        <f t="shared" si="12"/>
        <v>10.693622950819673</v>
      </c>
      <c r="Q80" s="4">
        <f t="shared" si="12"/>
        <v>10.693622950819673</v>
      </c>
      <c r="R80" s="4">
        <f t="shared" si="12"/>
        <v>10.693622950819673</v>
      </c>
      <c r="S80" s="4">
        <f t="shared" si="12"/>
        <v>10.693622950819673</v>
      </c>
      <c r="T80" s="4">
        <f t="shared" si="12"/>
        <v>10.693622950819673</v>
      </c>
      <c r="U80" s="4">
        <f t="shared" si="12"/>
        <v>10.693622950819673</v>
      </c>
      <c r="V80" s="4">
        <f t="shared" si="12"/>
        <v>10.158941803278688</v>
      </c>
      <c r="W80" s="4">
        <f t="shared" si="12"/>
        <v>10.693622950819673</v>
      </c>
      <c r="X80" s="4">
        <f t="shared" si="12"/>
        <v>10.693622950819673</v>
      </c>
      <c r="Y80" s="4">
        <f t="shared" si="12"/>
        <v>10.693622950819673</v>
      </c>
      <c r="Z80" s="4">
        <f t="shared" si="12"/>
        <v>10.693622950819673</v>
      </c>
      <c r="AA80" s="4">
        <f t="shared" si="12"/>
        <v>10.693622950819673</v>
      </c>
      <c r="AB80" s="4">
        <f t="shared" si="12"/>
        <v>10.693622950819673</v>
      </c>
      <c r="AC80" s="4">
        <f t="shared" si="12"/>
        <v>10.693622950819673</v>
      </c>
      <c r="AD80" s="4">
        <f t="shared" si="12"/>
        <v>10.693622950819673</v>
      </c>
      <c r="AE80" s="4">
        <f t="shared" si="12"/>
        <v>10.693622950819673</v>
      </c>
      <c r="AF80" s="4">
        <f t="shared" si="12"/>
        <v>10.693622950819673</v>
      </c>
      <c r="AG80" s="4">
        <f t="shared" si="12"/>
        <v>10.693622950819673</v>
      </c>
      <c r="AH80" s="4">
        <f t="shared" si="12"/>
        <v>10.693622950819673</v>
      </c>
      <c r="AI80" s="4">
        <f t="shared" si="12"/>
        <v>10.693622950819673</v>
      </c>
      <c r="AJ80" s="4">
        <f t="shared" si="12"/>
        <v>10.693622950819673</v>
      </c>
      <c r="AK80" s="4">
        <f t="shared" si="12"/>
        <v>10.693622950819673</v>
      </c>
      <c r="AL80" s="4">
        <f t="shared" si="12"/>
        <v>10.693622950819673</v>
      </c>
      <c r="AM80" s="4">
        <f t="shared" si="12"/>
        <v>10.693622950819673</v>
      </c>
      <c r="AN80" s="4">
        <f t="shared" si="12"/>
        <v>10.693622950819673</v>
      </c>
      <c r="AO80" s="4">
        <f t="shared" si="12"/>
        <v>10.693622950819673</v>
      </c>
      <c r="AP80" s="4">
        <f t="shared" si="12"/>
        <v>10.693622950819673</v>
      </c>
      <c r="AQ80" s="4">
        <f t="shared" si="12"/>
        <v>10.693622950819673</v>
      </c>
      <c r="AR80">
        <f t="shared" si="9"/>
        <v>10.693622950819673</v>
      </c>
    </row>
    <row r="81" spans="1:44" ht="12.75">
      <c r="A81" t="s">
        <v>248</v>
      </c>
      <c r="B81" t="s">
        <v>351</v>
      </c>
      <c r="D81" t="str">
        <f t="shared" si="4"/>
        <v>COST</v>
      </c>
      <c r="E81">
        <f t="shared" si="5"/>
        <v>2010</v>
      </c>
      <c r="F81" t="str">
        <f t="shared" si="6"/>
        <v>EXPOILGSL</v>
      </c>
      <c r="G81" t="str">
        <f t="shared" si="7"/>
        <v>OILGSL</v>
      </c>
      <c r="H81" s="4">
        <f t="shared" si="13" ref="H81:AQ81">H17*0.99</f>
        <v>13.610065573770491</v>
      </c>
      <c r="I81" s="4">
        <f t="shared" si="13"/>
        <v>13.610065573770491</v>
      </c>
      <c r="J81" s="4">
        <f t="shared" si="13"/>
        <v>13.610065573770491</v>
      </c>
      <c r="K81" s="4">
        <f t="shared" si="13"/>
        <v>13.610065573770491</v>
      </c>
      <c r="L81" s="4">
        <f t="shared" si="13"/>
        <v>13.610065573770491</v>
      </c>
      <c r="M81" s="4">
        <f t="shared" si="13"/>
        <v>13.610065573770491</v>
      </c>
      <c r="N81" s="4">
        <f t="shared" si="13"/>
        <v>13.610065573770491</v>
      </c>
      <c r="O81" s="4">
        <f t="shared" si="13"/>
        <v>13.610065573770491</v>
      </c>
      <c r="P81" s="4">
        <f t="shared" si="13"/>
        <v>13.610065573770491</v>
      </c>
      <c r="Q81" s="4">
        <f t="shared" si="13"/>
        <v>13.610065573770491</v>
      </c>
      <c r="R81" s="4">
        <f t="shared" si="13"/>
        <v>13.610065573770491</v>
      </c>
      <c r="S81" s="4">
        <f t="shared" si="13"/>
        <v>13.610065573770491</v>
      </c>
      <c r="T81" s="4">
        <f t="shared" si="13"/>
        <v>13.610065573770491</v>
      </c>
      <c r="U81" s="4">
        <f t="shared" si="13"/>
        <v>13.610065573770491</v>
      </c>
      <c r="V81" s="4">
        <f t="shared" si="13"/>
        <v>12.929562295081965</v>
      </c>
      <c r="W81" s="4">
        <f t="shared" si="13"/>
        <v>13.610065573770491</v>
      </c>
      <c r="X81" s="4">
        <f t="shared" si="13"/>
        <v>13.610065573770491</v>
      </c>
      <c r="Y81" s="4">
        <f t="shared" si="13"/>
        <v>13.610065573770491</v>
      </c>
      <c r="Z81" s="4">
        <f t="shared" si="13"/>
        <v>13.610065573770491</v>
      </c>
      <c r="AA81" s="4">
        <f t="shared" si="13"/>
        <v>13.610065573770491</v>
      </c>
      <c r="AB81" s="4">
        <f t="shared" si="13"/>
        <v>13.610065573770491</v>
      </c>
      <c r="AC81" s="4">
        <f t="shared" si="13"/>
        <v>13.610065573770491</v>
      </c>
      <c r="AD81" s="4">
        <f t="shared" si="13"/>
        <v>13.610065573770491</v>
      </c>
      <c r="AE81" s="4">
        <f t="shared" si="13"/>
        <v>13.610065573770491</v>
      </c>
      <c r="AF81" s="4">
        <f t="shared" si="13"/>
        <v>13.610065573770491</v>
      </c>
      <c r="AG81" s="4">
        <f t="shared" si="13"/>
        <v>13.610065573770491</v>
      </c>
      <c r="AH81" s="4">
        <f t="shared" si="13"/>
        <v>13.610065573770491</v>
      </c>
      <c r="AI81" s="4">
        <f t="shared" si="13"/>
        <v>13.610065573770491</v>
      </c>
      <c r="AJ81" s="4">
        <f t="shared" si="13"/>
        <v>13.610065573770491</v>
      </c>
      <c r="AK81" s="4">
        <f t="shared" si="13"/>
        <v>13.610065573770491</v>
      </c>
      <c r="AL81" s="4">
        <f t="shared" si="13"/>
        <v>13.610065573770491</v>
      </c>
      <c r="AM81" s="4">
        <f t="shared" si="13"/>
        <v>13.610065573770491</v>
      </c>
      <c r="AN81" s="4">
        <f t="shared" si="13"/>
        <v>13.610065573770491</v>
      </c>
      <c r="AO81" s="4">
        <f t="shared" si="13"/>
        <v>13.610065573770491</v>
      </c>
      <c r="AP81" s="4">
        <f t="shared" si="13"/>
        <v>13.610065573770491</v>
      </c>
      <c r="AQ81" s="4">
        <f t="shared" si="13"/>
        <v>13.610065573770491</v>
      </c>
      <c r="AR81">
        <f t="shared" si="9"/>
        <v>13.610065573770491</v>
      </c>
    </row>
    <row r="82" spans="1:44" ht="12.75">
      <c r="A82" t="s">
        <v>248</v>
      </c>
      <c r="B82" t="s">
        <v>351</v>
      </c>
      <c r="D82" t="str">
        <f t="shared" si="4"/>
        <v>COST</v>
      </c>
      <c r="E82">
        <f t="shared" si="5"/>
        <v>2010</v>
      </c>
      <c r="F82" t="str">
        <f t="shared" si="6"/>
        <v>EXPOILKER</v>
      </c>
      <c r="G82" t="str">
        <f t="shared" si="7"/>
        <v>OILKER</v>
      </c>
      <c r="H82" s="4">
        <f t="shared" si="14" ref="H82:AQ82">H18*0.99</f>
        <v>13.610065573770491</v>
      </c>
      <c r="I82" s="4">
        <f t="shared" si="14"/>
        <v>13.610065573770491</v>
      </c>
      <c r="J82" s="4">
        <f t="shared" si="14"/>
        <v>13.610065573770491</v>
      </c>
      <c r="K82" s="4">
        <f t="shared" si="14"/>
        <v>13.610065573770491</v>
      </c>
      <c r="L82" s="4">
        <f t="shared" si="14"/>
        <v>13.610065573770491</v>
      </c>
      <c r="M82" s="4">
        <f t="shared" si="14"/>
        <v>13.610065573770491</v>
      </c>
      <c r="N82" s="4">
        <f t="shared" si="14"/>
        <v>13.610065573770491</v>
      </c>
      <c r="O82" s="4">
        <f t="shared" si="14"/>
        <v>13.610065573770491</v>
      </c>
      <c r="P82" s="4">
        <f t="shared" si="14"/>
        <v>13.610065573770491</v>
      </c>
      <c r="Q82" s="4">
        <f t="shared" si="14"/>
        <v>13.610065573770491</v>
      </c>
      <c r="R82" s="4">
        <f t="shared" si="14"/>
        <v>13.610065573770491</v>
      </c>
      <c r="S82" s="4">
        <f t="shared" si="14"/>
        <v>13.610065573770491</v>
      </c>
      <c r="T82" s="4">
        <f t="shared" si="14"/>
        <v>13.610065573770491</v>
      </c>
      <c r="U82" s="4">
        <f t="shared" si="14"/>
        <v>13.610065573770491</v>
      </c>
      <c r="V82" s="4">
        <f t="shared" si="14"/>
        <v>12.929562295081965</v>
      </c>
      <c r="W82" s="4">
        <f t="shared" si="14"/>
        <v>13.610065573770491</v>
      </c>
      <c r="X82" s="4">
        <f t="shared" si="14"/>
        <v>13.610065573770491</v>
      </c>
      <c r="Y82" s="4">
        <f t="shared" si="14"/>
        <v>13.610065573770491</v>
      </c>
      <c r="Z82" s="4">
        <f t="shared" si="14"/>
        <v>13.610065573770491</v>
      </c>
      <c r="AA82" s="4">
        <f t="shared" si="14"/>
        <v>13.610065573770491</v>
      </c>
      <c r="AB82" s="4">
        <f t="shared" si="14"/>
        <v>13.610065573770491</v>
      </c>
      <c r="AC82" s="4">
        <f t="shared" si="14"/>
        <v>13.610065573770491</v>
      </c>
      <c r="AD82" s="4">
        <f t="shared" si="14"/>
        <v>13.610065573770491</v>
      </c>
      <c r="AE82" s="4">
        <f t="shared" si="14"/>
        <v>13.610065573770491</v>
      </c>
      <c r="AF82" s="4">
        <f t="shared" si="14"/>
        <v>13.610065573770491</v>
      </c>
      <c r="AG82" s="4">
        <f t="shared" si="14"/>
        <v>13.610065573770491</v>
      </c>
      <c r="AH82" s="4">
        <f t="shared" si="14"/>
        <v>13.610065573770491</v>
      </c>
      <c r="AI82" s="4">
        <f t="shared" si="14"/>
        <v>13.610065573770491</v>
      </c>
      <c r="AJ82" s="4">
        <f t="shared" si="14"/>
        <v>13.610065573770491</v>
      </c>
      <c r="AK82" s="4">
        <f t="shared" si="14"/>
        <v>13.610065573770491</v>
      </c>
      <c r="AL82" s="4">
        <f t="shared" si="14"/>
        <v>13.610065573770491</v>
      </c>
      <c r="AM82" s="4">
        <f t="shared" si="14"/>
        <v>13.610065573770491</v>
      </c>
      <c r="AN82" s="4">
        <f t="shared" si="14"/>
        <v>13.610065573770491</v>
      </c>
      <c r="AO82" s="4">
        <f t="shared" si="14"/>
        <v>13.610065573770491</v>
      </c>
      <c r="AP82" s="4">
        <f t="shared" si="14"/>
        <v>13.610065573770491</v>
      </c>
      <c r="AQ82" s="4">
        <f t="shared" si="14"/>
        <v>13.610065573770491</v>
      </c>
      <c r="AR82">
        <f t="shared" si="9"/>
        <v>13.610065573770491</v>
      </c>
    </row>
    <row r="83" spans="1:44" ht="12.75">
      <c r="A83" t="s">
        <v>248</v>
      </c>
      <c r="B83" t="s">
        <v>351</v>
      </c>
      <c r="D83" t="str">
        <f t="shared" si="4"/>
        <v>*</v>
      </c>
      <c r="E83">
        <f t="shared" si="5"/>
        <v>2010</v>
      </c>
      <c r="F83" t="str">
        <f t="shared" si="6"/>
        <v>EXPGASNAT</v>
      </c>
      <c r="G83" t="str">
        <f t="shared" si="7"/>
        <v>GASNAT</v>
      </c>
      <c r="H83" s="4">
        <f t="shared" si="15" ref="H83:AQ83">H19*0.99</f>
        <v>6.1347540983606557</v>
      </c>
      <c r="I83" s="4">
        <f t="shared" si="15"/>
        <v>6.1347540983606557</v>
      </c>
      <c r="J83" s="4">
        <f t="shared" si="15"/>
        <v>6.1347540983606557</v>
      </c>
      <c r="K83" s="4">
        <f t="shared" si="15"/>
        <v>6.1347540983606557</v>
      </c>
      <c r="L83" s="4">
        <f t="shared" si="15"/>
        <v>6.1347540983606557</v>
      </c>
      <c r="M83" s="4">
        <f t="shared" si="15"/>
        <v>6.1347540983606557</v>
      </c>
      <c r="N83" s="4">
        <f t="shared" si="15"/>
        <v>6.1347540983606557</v>
      </c>
      <c r="O83" s="4">
        <f t="shared" si="15"/>
        <v>6.1347540983606557</v>
      </c>
      <c r="P83" s="4">
        <f t="shared" si="15"/>
        <v>5.2145409836065575</v>
      </c>
      <c r="Q83" s="4">
        <f t="shared" si="15"/>
        <v>5.5212786885245899</v>
      </c>
      <c r="R83" s="4">
        <f t="shared" si="15"/>
        <v>6.1347540983606557</v>
      </c>
      <c r="S83" s="4">
        <f t="shared" si="15"/>
        <v>6.1347540983606557</v>
      </c>
      <c r="T83" s="4">
        <f t="shared" si="15"/>
        <v>6.1347540983606557</v>
      </c>
      <c r="U83" s="4">
        <f t="shared" si="15"/>
        <v>6.1347540983606557</v>
      </c>
      <c r="V83" s="4">
        <f t="shared" si="15"/>
        <v>5.5212786885245899</v>
      </c>
      <c r="W83" s="4">
        <f t="shared" si="15"/>
        <v>6.1347540983606557</v>
      </c>
      <c r="X83" s="4">
        <f t="shared" si="15"/>
        <v>6.1347540983606557</v>
      </c>
      <c r="Y83" s="4">
        <f t="shared" si="15"/>
        <v>6.1347540983606557</v>
      </c>
      <c r="Z83" s="4">
        <f t="shared" si="15"/>
        <v>6.1347540983606557</v>
      </c>
      <c r="AA83" s="4">
        <f t="shared" si="15"/>
        <v>6.1347540983606557</v>
      </c>
      <c r="AB83" s="4">
        <f t="shared" si="15"/>
        <v>6.1347540983606557</v>
      </c>
      <c r="AC83" s="4">
        <f t="shared" si="15"/>
        <v>6.1347540983606557</v>
      </c>
      <c r="AD83" s="4">
        <f t="shared" si="15"/>
        <v>6.1347540983606557</v>
      </c>
      <c r="AE83" s="4">
        <f t="shared" si="15"/>
        <v>6.1347540983606557</v>
      </c>
      <c r="AF83" s="4">
        <f t="shared" si="15"/>
        <v>6.1347540983606557</v>
      </c>
      <c r="AG83" s="4">
        <f t="shared" si="15"/>
        <v>6.1347540983606557</v>
      </c>
      <c r="AH83" s="4">
        <f t="shared" si="15"/>
        <v>6.1347540983606557</v>
      </c>
      <c r="AI83" s="4">
        <f t="shared" si="15"/>
        <v>6.1347540983606557</v>
      </c>
      <c r="AJ83" s="4">
        <f t="shared" si="15"/>
        <v>6.1347540983606557</v>
      </c>
      <c r="AK83" s="4">
        <f t="shared" si="15"/>
        <v>6.1347540983606557</v>
      </c>
      <c r="AL83" s="4">
        <f t="shared" si="15"/>
        <v>6.1347540983606557</v>
      </c>
      <c r="AM83" s="4">
        <f t="shared" si="15"/>
        <v>6.1347540983606557</v>
      </c>
      <c r="AN83" s="4">
        <f t="shared" si="15"/>
        <v>6.1347540983606557</v>
      </c>
      <c r="AO83" s="4">
        <f t="shared" si="15"/>
        <v>6.1347540983606557</v>
      </c>
      <c r="AP83" s="4">
        <f t="shared" si="15"/>
        <v>6.1347540983606557</v>
      </c>
      <c r="AQ83" s="4">
        <f t="shared" si="15"/>
        <v>6.1347540983606557</v>
      </c>
      <c r="AR83">
        <f t="shared" si="9"/>
        <v>6.1347540983606557</v>
      </c>
    </row>
    <row r="84" spans="1:44" ht="12.75">
      <c r="A84" t="s">
        <v>248</v>
      </c>
      <c r="B84" t="s">
        <v>351</v>
      </c>
      <c r="D84" t="str">
        <f t="shared" si="4"/>
        <v>COST</v>
      </c>
      <c r="E84">
        <f t="shared" si="5"/>
        <v>2015</v>
      </c>
      <c r="F84" t="str">
        <f t="shared" si="6"/>
        <v>EXPOILCRD</v>
      </c>
      <c r="G84" t="str">
        <f t="shared" si="7"/>
        <v>OILCRD</v>
      </c>
      <c r="H84" s="4">
        <f t="shared" si="16" ref="H84:AQ84">H20*0.99</f>
        <v>8.522268934426231</v>
      </c>
      <c r="I84" s="4">
        <f t="shared" si="16"/>
        <v>9.4691877049180349</v>
      </c>
      <c r="J84" s="4">
        <f t="shared" si="16"/>
        <v>9.4691877049180349</v>
      </c>
      <c r="K84" s="4">
        <f t="shared" si="16"/>
        <v>9.4691877049180349</v>
      </c>
      <c r="L84" s="4">
        <f t="shared" si="16"/>
        <v>9.4691877049180349</v>
      </c>
      <c r="M84" s="4">
        <f t="shared" si="16"/>
        <v>9.4691877049180349</v>
      </c>
      <c r="N84" s="4">
        <f t="shared" si="16"/>
        <v>9.4691877049180349</v>
      </c>
      <c r="O84" s="4">
        <f t="shared" si="16"/>
        <v>9.4691877049180349</v>
      </c>
      <c r="P84" s="4">
        <f t="shared" si="16"/>
        <v>8.0488095491803282</v>
      </c>
      <c r="Q84" s="4">
        <f t="shared" si="16"/>
        <v>9.4691877049180349</v>
      </c>
      <c r="R84" s="4">
        <f t="shared" si="16"/>
        <v>9.4691877049180349</v>
      </c>
      <c r="S84" s="4">
        <f t="shared" si="16"/>
        <v>9.4691877049180349</v>
      </c>
      <c r="T84" s="4">
        <f t="shared" si="16"/>
        <v>9.4691877049180349</v>
      </c>
      <c r="U84" s="4">
        <f t="shared" si="16"/>
        <v>8.522268934426231</v>
      </c>
      <c r="V84" s="4">
        <f t="shared" si="16"/>
        <v>8.522268934426231</v>
      </c>
      <c r="W84" s="4">
        <f t="shared" si="16"/>
        <v>9.4691877049180349</v>
      </c>
      <c r="X84" s="4">
        <f t="shared" si="16"/>
        <v>9.4691877049180349</v>
      </c>
      <c r="Y84" s="4">
        <f t="shared" si="16"/>
        <v>9.4691877049180349</v>
      </c>
      <c r="Z84" s="4">
        <f t="shared" si="16"/>
        <v>9.4691877049180349</v>
      </c>
      <c r="AA84" s="4">
        <f t="shared" si="16"/>
        <v>9.4691877049180349</v>
      </c>
      <c r="AB84" s="4">
        <f t="shared" si="16"/>
        <v>9.4691877049180349</v>
      </c>
      <c r="AC84" s="4">
        <f t="shared" si="16"/>
        <v>9.4691877049180349</v>
      </c>
      <c r="AD84" s="4">
        <f t="shared" si="16"/>
        <v>9.4691877049180349</v>
      </c>
      <c r="AE84" s="4">
        <f t="shared" si="16"/>
        <v>9.4691877049180349</v>
      </c>
      <c r="AF84" s="4">
        <f t="shared" si="16"/>
        <v>9.4691877049180349</v>
      </c>
      <c r="AG84" s="4">
        <f t="shared" si="16"/>
        <v>9.4691877049180349</v>
      </c>
      <c r="AH84" s="4">
        <f t="shared" si="16"/>
        <v>9.4691877049180349</v>
      </c>
      <c r="AI84" s="4">
        <f t="shared" si="16"/>
        <v>9.4691877049180349</v>
      </c>
      <c r="AJ84" s="4">
        <f t="shared" si="16"/>
        <v>9.4691877049180349</v>
      </c>
      <c r="AK84" s="4">
        <f t="shared" si="16"/>
        <v>9.4691877049180349</v>
      </c>
      <c r="AL84" s="4">
        <f t="shared" si="16"/>
        <v>9.4691877049180349</v>
      </c>
      <c r="AM84" s="4">
        <f t="shared" si="16"/>
        <v>9.4691877049180349</v>
      </c>
      <c r="AN84" s="4">
        <f t="shared" si="16"/>
        <v>9.4691877049180349</v>
      </c>
      <c r="AO84" s="4">
        <f t="shared" si="16"/>
        <v>9.4691877049180349</v>
      </c>
      <c r="AP84" s="4">
        <f t="shared" si="16"/>
        <v>9.4691877049180349</v>
      </c>
      <c r="AQ84" s="4">
        <f t="shared" si="16"/>
        <v>9.4691877049180349</v>
      </c>
      <c r="AR84">
        <f t="shared" si="9"/>
        <v>9.4691877049180349</v>
      </c>
    </row>
    <row r="85" spans="1:44" ht="12.75">
      <c r="A85" t="s">
        <v>248</v>
      </c>
      <c r="B85" t="s">
        <v>351</v>
      </c>
      <c r="D85" t="str">
        <f t="shared" si="4"/>
        <v>COST</v>
      </c>
      <c r="E85">
        <f t="shared" si="5"/>
        <v>2015</v>
      </c>
      <c r="F85" t="str">
        <f t="shared" si="6"/>
        <v>EXPOILHFO</v>
      </c>
      <c r="G85" t="str">
        <f t="shared" si="7"/>
        <v>OILHFO</v>
      </c>
      <c r="H85" s="4">
        <f t="shared" si="17" ref="H85:AQ85">H21*0.99</f>
        <v>6.9030378368852467</v>
      </c>
      <c r="I85" s="4">
        <f t="shared" si="17"/>
        <v>7.6700420409836081</v>
      </c>
      <c r="J85" s="4">
        <f t="shared" si="17"/>
        <v>7.6700420409836081</v>
      </c>
      <c r="K85" s="4">
        <f t="shared" si="17"/>
        <v>7.6700420409836081</v>
      </c>
      <c r="L85" s="4">
        <f t="shared" si="17"/>
        <v>7.6700420409836081</v>
      </c>
      <c r="M85" s="4">
        <f t="shared" si="17"/>
        <v>7.6700420409836081</v>
      </c>
      <c r="N85" s="4">
        <f t="shared" si="17"/>
        <v>7.6700420409836081</v>
      </c>
      <c r="O85" s="4">
        <f t="shared" si="17"/>
        <v>7.6700420409836081</v>
      </c>
      <c r="P85" s="4">
        <f t="shared" si="17"/>
        <v>6.5195357348360661</v>
      </c>
      <c r="Q85" s="4">
        <f t="shared" si="17"/>
        <v>7.6700420409836081</v>
      </c>
      <c r="R85" s="4">
        <f t="shared" si="17"/>
        <v>7.6700420409836081</v>
      </c>
      <c r="S85" s="4">
        <f t="shared" si="17"/>
        <v>7.6700420409836081</v>
      </c>
      <c r="T85" s="4">
        <f t="shared" si="17"/>
        <v>7.6700420409836081</v>
      </c>
      <c r="U85" s="4">
        <f t="shared" si="17"/>
        <v>6.9030378368852467</v>
      </c>
      <c r="V85" s="4">
        <f t="shared" si="17"/>
        <v>6.9030378368852467</v>
      </c>
      <c r="W85" s="4">
        <f t="shared" si="17"/>
        <v>7.6700420409836081</v>
      </c>
      <c r="X85" s="4">
        <f t="shared" si="17"/>
        <v>7.6700420409836081</v>
      </c>
      <c r="Y85" s="4">
        <f t="shared" si="17"/>
        <v>7.6700420409836081</v>
      </c>
      <c r="Z85" s="4">
        <f t="shared" si="17"/>
        <v>7.6700420409836081</v>
      </c>
      <c r="AA85" s="4">
        <f t="shared" si="17"/>
        <v>7.6700420409836081</v>
      </c>
      <c r="AB85" s="4">
        <f t="shared" si="17"/>
        <v>7.6700420409836081</v>
      </c>
      <c r="AC85" s="4">
        <f t="shared" si="17"/>
        <v>7.6700420409836081</v>
      </c>
      <c r="AD85" s="4">
        <f t="shared" si="17"/>
        <v>7.6700420409836081</v>
      </c>
      <c r="AE85" s="4">
        <f t="shared" si="17"/>
        <v>7.6700420409836081</v>
      </c>
      <c r="AF85" s="4">
        <f t="shared" si="17"/>
        <v>7.6700420409836081</v>
      </c>
      <c r="AG85" s="4">
        <f t="shared" si="17"/>
        <v>7.6700420409836081</v>
      </c>
      <c r="AH85" s="4">
        <f t="shared" si="17"/>
        <v>7.6700420409836081</v>
      </c>
      <c r="AI85" s="4">
        <f t="shared" si="17"/>
        <v>7.6700420409836081</v>
      </c>
      <c r="AJ85" s="4">
        <f t="shared" si="17"/>
        <v>7.6700420409836081</v>
      </c>
      <c r="AK85" s="4">
        <f t="shared" si="17"/>
        <v>7.6700420409836081</v>
      </c>
      <c r="AL85" s="4">
        <f t="shared" si="17"/>
        <v>7.6700420409836081</v>
      </c>
      <c r="AM85" s="4">
        <f t="shared" si="17"/>
        <v>7.6700420409836081</v>
      </c>
      <c r="AN85" s="4">
        <f t="shared" si="17"/>
        <v>7.6700420409836081</v>
      </c>
      <c r="AO85" s="4">
        <f t="shared" si="17"/>
        <v>7.6700420409836081</v>
      </c>
      <c r="AP85" s="4">
        <f t="shared" si="17"/>
        <v>7.6700420409836081</v>
      </c>
      <c r="AQ85" s="4">
        <f t="shared" si="17"/>
        <v>7.6700420409836081</v>
      </c>
      <c r="AR85">
        <f t="shared" si="9"/>
        <v>7.6700420409836081</v>
      </c>
    </row>
    <row r="86" spans="1:44" ht="12.75">
      <c r="A86" t="s">
        <v>248</v>
      </c>
      <c r="B86" t="s">
        <v>351</v>
      </c>
      <c r="D86" t="str">
        <f t="shared" si="4"/>
        <v>COST</v>
      </c>
      <c r="E86">
        <f t="shared" si="5"/>
        <v>2015</v>
      </c>
      <c r="F86" t="str">
        <f t="shared" si="6"/>
        <v>EXPOILDST</v>
      </c>
      <c r="G86" t="str">
        <f t="shared" si="7"/>
        <v>OILDST</v>
      </c>
      <c r="H86" s="4">
        <f t="shared" si="18" ref="H86:AQ86">H22*0.99</f>
        <v>12.309944016393445</v>
      </c>
      <c r="I86" s="4">
        <f t="shared" si="18"/>
        <v>12.309944016393445</v>
      </c>
      <c r="J86" s="4">
        <f t="shared" si="18"/>
        <v>12.309944016393445</v>
      </c>
      <c r="K86" s="4">
        <f t="shared" si="18"/>
        <v>12.309944016393445</v>
      </c>
      <c r="L86" s="4">
        <f t="shared" si="18"/>
        <v>12.309944016393445</v>
      </c>
      <c r="M86" s="4">
        <f t="shared" si="18"/>
        <v>12.309944016393445</v>
      </c>
      <c r="N86" s="4">
        <f t="shared" si="18"/>
        <v>12.309944016393445</v>
      </c>
      <c r="O86" s="4">
        <f t="shared" si="18"/>
        <v>12.309944016393445</v>
      </c>
      <c r="P86" s="4">
        <f t="shared" si="18"/>
        <v>12.309944016393445</v>
      </c>
      <c r="Q86" s="4">
        <f t="shared" si="18"/>
        <v>12.309944016393445</v>
      </c>
      <c r="R86" s="4">
        <f t="shared" si="18"/>
        <v>12.309944016393445</v>
      </c>
      <c r="S86" s="4">
        <f t="shared" si="18"/>
        <v>12.309944016393445</v>
      </c>
      <c r="T86" s="4">
        <f t="shared" si="18"/>
        <v>12.309944016393445</v>
      </c>
      <c r="U86" s="4">
        <f t="shared" si="18"/>
        <v>12.309944016393445</v>
      </c>
      <c r="V86" s="4">
        <f t="shared" si="18"/>
        <v>11.694446815573771</v>
      </c>
      <c r="W86" s="4">
        <f t="shared" si="18"/>
        <v>12.309944016393445</v>
      </c>
      <c r="X86" s="4">
        <f t="shared" si="18"/>
        <v>12.309944016393445</v>
      </c>
      <c r="Y86" s="4">
        <f t="shared" si="18"/>
        <v>12.309944016393445</v>
      </c>
      <c r="Z86" s="4">
        <f t="shared" si="18"/>
        <v>12.309944016393445</v>
      </c>
      <c r="AA86" s="4">
        <f t="shared" si="18"/>
        <v>12.309944016393445</v>
      </c>
      <c r="AB86" s="4">
        <f t="shared" si="18"/>
        <v>12.309944016393445</v>
      </c>
      <c r="AC86" s="4">
        <f t="shared" si="18"/>
        <v>12.309944016393445</v>
      </c>
      <c r="AD86" s="4">
        <f t="shared" si="18"/>
        <v>12.309944016393445</v>
      </c>
      <c r="AE86" s="4">
        <f t="shared" si="18"/>
        <v>12.309944016393445</v>
      </c>
      <c r="AF86" s="4">
        <f t="shared" si="18"/>
        <v>12.309944016393445</v>
      </c>
      <c r="AG86" s="4">
        <f t="shared" si="18"/>
        <v>12.309944016393445</v>
      </c>
      <c r="AH86" s="4">
        <f t="shared" si="18"/>
        <v>12.309944016393445</v>
      </c>
      <c r="AI86" s="4">
        <f t="shared" si="18"/>
        <v>12.309944016393445</v>
      </c>
      <c r="AJ86" s="4">
        <f t="shared" si="18"/>
        <v>12.309944016393445</v>
      </c>
      <c r="AK86" s="4">
        <f t="shared" si="18"/>
        <v>12.309944016393445</v>
      </c>
      <c r="AL86" s="4">
        <f t="shared" si="18"/>
        <v>12.309944016393445</v>
      </c>
      <c r="AM86" s="4">
        <f t="shared" si="18"/>
        <v>12.309944016393445</v>
      </c>
      <c r="AN86" s="4">
        <f t="shared" si="18"/>
        <v>12.309944016393445</v>
      </c>
      <c r="AO86" s="4">
        <f t="shared" si="18"/>
        <v>12.309944016393445</v>
      </c>
      <c r="AP86" s="4">
        <f t="shared" si="18"/>
        <v>12.309944016393445</v>
      </c>
      <c r="AQ86" s="4">
        <f t="shared" si="18"/>
        <v>12.309944016393445</v>
      </c>
      <c r="AR86">
        <f t="shared" si="9"/>
        <v>12.309944016393445</v>
      </c>
    </row>
    <row r="87" spans="1:44" ht="12.75">
      <c r="A87" t="s">
        <v>248</v>
      </c>
      <c r="B87" t="s">
        <v>351</v>
      </c>
      <c r="D87" t="str">
        <f t="shared" si="4"/>
        <v>COST</v>
      </c>
      <c r="E87">
        <f t="shared" si="5"/>
        <v>2015</v>
      </c>
      <c r="F87" t="str">
        <f t="shared" si="6"/>
        <v>EXPOILLPG</v>
      </c>
      <c r="G87" t="str">
        <f t="shared" si="7"/>
        <v>OILLPG</v>
      </c>
      <c r="H87" s="4">
        <f t="shared" si="19" ref="H87:AQ87">H23*0.99</f>
        <v>10.416106475409837</v>
      </c>
      <c r="I87" s="4">
        <f t="shared" si="19"/>
        <v>10.416106475409837</v>
      </c>
      <c r="J87" s="4">
        <f t="shared" si="19"/>
        <v>10.416106475409837</v>
      </c>
      <c r="K87" s="4">
        <f t="shared" si="19"/>
        <v>10.416106475409837</v>
      </c>
      <c r="L87" s="4">
        <f t="shared" si="19"/>
        <v>10.416106475409837</v>
      </c>
      <c r="M87" s="4">
        <f t="shared" si="19"/>
        <v>10.416106475409837</v>
      </c>
      <c r="N87" s="4">
        <f t="shared" si="19"/>
        <v>10.416106475409837</v>
      </c>
      <c r="O87" s="4">
        <f t="shared" si="19"/>
        <v>10.416106475409837</v>
      </c>
      <c r="P87" s="4">
        <f t="shared" si="19"/>
        <v>10.416106475409837</v>
      </c>
      <c r="Q87" s="4">
        <f t="shared" si="19"/>
        <v>10.416106475409837</v>
      </c>
      <c r="R87" s="4">
        <f t="shared" si="19"/>
        <v>10.416106475409837</v>
      </c>
      <c r="S87" s="4">
        <f t="shared" si="19"/>
        <v>10.416106475409837</v>
      </c>
      <c r="T87" s="4">
        <f t="shared" si="19"/>
        <v>10.416106475409837</v>
      </c>
      <c r="U87" s="4">
        <f t="shared" si="19"/>
        <v>10.416106475409837</v>
      </c>
      <c r="V87" s="4">
        <f t="shared" si="19"/>
        <v>9.8953011516393463</v>
      </c>
      <c r="W87" s="4">
        <f t="shared" si="19"/>
        <v>10.416106475409837</v>
      </c>
      <c r="X87" s="4">
        <f t="shared" si="19"/>
        <v>10.416106475409837</v>
      </c>
      <c r="Y87" s="4">
        <f t="shared" si="19"/>
        <v>10.416106475409837</v>
      </c>
      <c r="Z87" s="4">
        <f t="shared" si="19"/>
        <v>10.416106475409837</v>
      </c>
      <c r="AA87" s="4">
        <f t="shared" si="19"/>
        <v>10.416106475409837</v>
      </c>
      <c r="AB87" s="4">
        <f t="shared" si="19"/>
        <v>10.416106475409837</v>
      </c>
      <c r="AC87" s="4">
        <f t="shared" si="19"/>
        <v>10.416106475409837</v>
      </c>
      <c r="AD87" s="4">
        <f t="shared" si="19"/>
        <v>10.416106475409837</v>
      </c>
      <c r="AE87" s="4">
        <f t="shared" si="19"/>
        <v>10.416106475409837</v>
      </c>
      <c r="AF87" s="4">
        <f t="shared" si="19"/>
        <v>10.416106475409837</v>
      </c>
      <c r="AG87" s="4">
        <f t="shared" si="19"/>
        <v>10.416106475409837</v>
      </c>
      <c r="AH87" s="4">
        <f t="shared" si="19"/>
        <v>10.416106475409837</v>
      </c>
      <c r="AI87" s="4">
        <f t="shared" si="19"/>
        <v>10.416106475409837</v>
      </c>
      <c r="AJ87" s="4">
        <f t="shared" si="19"/>
        <v>10.416106475409837</v>
      </c>
      <c r="AK87" s="4">
        <f t="shared" si="19"/>
        <v>10.416106475409837</v>
      </c>
      <c r="AL87" s="4">
        <f t="shared" si="19"/>
        <v>10.416106475409837</v>
      </c>
      <c r="AM87" s="4">
        <f t="shared" si="19"/>
        <v>10.416106475409837</v>
      </c>
      <c r="AN87" s="4">
        <f t="shared" si="19"/>
        <v>10.416106475409837</v>
      </c>
      <c r="AO87" s="4">
        <f t="shared" si="19"/>
        <v>10.416106475409837</v>
      </c>
      <c r="AP87" s="4">
        <f t="shared" si="19"/>
        <v>10.416106475409837</v>
      </c>
      <c r="AQ87" s="4">
        <f t="shared" si="19"/>
        <v>10.416106475409837</v>
      </c>
      <c r="AR87">
        <f t="shared" si="9"/>
        <v>10.416106475409837</v>
      </c>
    </row>
    <row r="88" spans="1:44" ht="12.75">
      <c r="A88" t="s">
        <v>248</v>
      </c>
      <c r="B88" t="s">
        <v>351</v>
      </c>
      <c r="D88" t="str">
        <f t="shared" si="4"/>
        <v>COST</v>
      </c>
      <c r="E88">
        <f t="shared" si="5"/>
        <v>2015</v>
      </c>
      <c r="F88" t="str">
        <f t="shared" si="20" ref="F88:F119">"EXP"&amp;G88</f>
        <v>EXPOILGSL</v>
      </c>
      <c r="G88" t="str">
        <f t="shared" si="7"/>
        <v>OILGSL</v>
      </c>
      <c r="H88" s="4">
        <f t="shared" si="21" ref="H88:AQ88">H24*0.99</f>
        <v>13.256862786885248</v>
      </c>
      <c r="I88" s="4">
        <f t="shared" si="21"/>
        <v>13.256862786885248</v>
      </c>
      <c r="J88" s="4">
        <f t="shared" si="21"/>
        <v>13.256862786885248</v>
      </c>
      <c r="K88" s="4">
        <f t="shared" si="21"/>
        <v>13.256862786885248</v>
      </c>
      <c r="L88" s="4">
        <f t="shared" si="21"/>
        <v>13.256862786885248</v>
      </c>
      <c r="M88" s="4">
        <f t="shared" si="21"/>
        <v>13.256862786885248</v>
      </c>
      <c r="N88" s="4">
        <f t="shared" si="21"/>
        <v>13.256862786885248</v>
      </c>
      <c r="O88" s="4">
        <f t="shared" si="21"/>
        <v>13.256862786885248</v>
      </c>
      <c r="P88" s="4">
        <f t="shared" si="21"/>
        <v>13.256862786885248</v>
      </c>
      <c r="Q88" s="4">
        <f t="shared" si="21"/>
        <v>13.256862786885248</v>
      </c>
      <c r="R88" s="4">
        <f t="shared" si="21"/>
        <v>13.256862786885248</v>
      </c>
      <c r="S88" s="4">
        <f t="shared" si="21"/>
        <v>13.256862786885248</v>
      </c>
      <c r="T88" s="4">
        <f t="shared" si="21"/>
        <v>13.256862786885248</v>
      </c>
      <c r="U88" s="4">
        <f t="shared" si="21"/>
        <v>13.256862786885248</v>
      </c>
      <c r="V88" s="4">
        <f t="shared" si="21"/>
        <v>12.594019647540986</v>
      </c>
      <c r="W88" s="4">
        <f t="shared" si="21"/>
        <v>13.256862786885248</v>
      </c>
      <c r="X88" s="4">
        <f t="shared" si="21"/>
        <v>13.256862786885248</v>
      </c>
      <c r="Y88" s="4">
        <f t="shared" si="21"/>
        <v>13.256862786885248</v>
      </c>
      <c r="Z88" s="4">
        <f t="shared" si="21"/>
        <v>13.256862786885248</v>
      </c>
      <c r="AA88" s="4">
        <f t="shared" si="21"/>
        <v>13.256862786885248</v>
      </c>
      <c r="AB88" s="4">
        <f t="shared" si="21"/>
        <v>13.256862786885248</v>
      </c>
      <c r="AC88" s="4">
        <f t="shared" si="21"/>
        <v>13.256862786885248</v>
      </c>
      <c r="AD88" s="4">
        <f t="shared" si="21"/>
        <v>13.256862786885248</v>
      </c>
      <c r="AE88" s="4">
        <f t="shared" si="21"/>
        <v>13.256862786885248</v>
      </c>
      <c r="AF88" s="4">
        <f t="shared" si="21"/>
        <v>13.256862786885248</v>
      </c>
      <c r="AG88" s="4">
        <f t="shared" si="21"/>
        <v>13.256862786885248</v>
      </c>
      <c r="AH88" s="4">
        <f t="shared" si="21"/>
        <v>13.256862786885248</v>
      </c>
      <c r="AI88" s="4">
        <f t="shared" si="21"/>
        <v>13.256862786885248</v>
      </c>
      <c r="AJ88" s="4">
        <f t="shared" si="21"/>
        <v>13.256862786885248</v>
      </c>
      <c r="AK88" s="4">
        <f t="shared" si="21"/>
        <v>13.256862786885248</v>
      </c>
      <c r="AL88" s="4">
        <f t="shared" si="21"/>
        <v>13.256862786885248</v>
      </c>
      <c r="AM88" s="4">
        <f t="shared" si="21"/>
        <v>13.256862786885248</v>
      </c>
      <c r="AN88" s="4">
        <f t="shared" si="21"/>
        <v>13.256862786885248</v>
      </c>
      <c r="AO88" s="4">
        <f t="shared" si="21"/>
        <v>13.256862786885248</v>
      </c>
      <c r="AP88" s="4">
        <f t="shared" si="21"/>
        <v>13.256862786885248</v>
      </c>
      <c r="AQ88" s="4">
        <f t="shared" si="21"/>
        <v>13.256862786885248</v>
      </c>
      <c r="AR88">
        <f t="shared" si="9"/>
        <v>13.256862786885248</v>
      </c>
    </row>
    <row r="89" spans="1:44" ht="12.75">
      <c r="A89" t="s">
        <v>248</v>
      </c>
      <c r="B89" t="s">
        <v>351</v>
      </c>
      <c r="D89" t="str">
        <f t="shared" si="4"/>
        <v>COST</v>
      </c>
      <c r="E89">
        <f t="shared" si="5"/>
        <v>2015</v>
      </c>
      <c r="F89" t="str">
        <f t="shared" si="20"/>
        <v>EXPOILKER</v>
      </c>
      <c r="G89" t="str">
        <f t="shared" si="7"/>
        <v>OILKER</v>
      </c>
      <c r="H89" s="4">
        <f t="shared" si="22" ref="H89:AQ89">H25*0.99</f>
        <v>13.256862786885248</v>
      </c>
      <c r="I89" s="4">
        <f t="shared" si="22"/>
        <v>13.256862786885248</v>
      </c>
      <c r="J89" s="4">
        <f t="shared" si="22"/>
        <v>13.256862786885248</v>
      </c>
      <c r="K89" s="4">
        <f t="shared" si="22"/>
        <v>13.256862786885248</v>
      </c>
      <c r="L89" s="4">
        <f t="shared" si="22"/>
        <v>13.256862786885248</v>
      </c>
      <c r="M89" s="4">
        <f t="shared" si="22"/>
        <v>13.256862786885248</v>
      </c>
      <c r="N89" s="4">
        <f t="shared" si="22"/>
        <v>13.256862786885248</v>
      </c>
      <c r="O89" s="4">
        <f t="shared" si="22"/>
        <v>13.256862786885248</v>
      </c>
      <c r="P89" s="4">
        <f t="shared" si="22"/>
        <v>13.256862786885248</v>
      </c>
      <c r="Q89" s="4">
        <f t="shared" si="22"/>
        <v>13.256862786885248</v>
      </c>
      <c r="R89" s="4">
        <f t="shared" si="22"/>
        <v>13.256862786885248</v>
      </c>
      <c r="S89" s="4">
        <f t="shared" si="22"/>
        <v>13.256862786885248</v>
      </c>
      <c r="T89" s="4">
        <f t="shared" si="22"/>
        <v>13.256862786885248</v>
      </c>
      <c r="U89" s="4">
        <f t="shared" si="22"/>
        <v>13.256862786885248</v>
      </c>
      <c r="V89" s="4">
        <f t="shared" si="22"/>
        <v>12.594019647540986</v>
      </c>
      <c r="W89" s="4">
        <f t="shared" si="22"/>
        <v>13.256862786885248</v>
      </c>
      <c r="X89" s="4">
        <f t="shared" si="22"/>
        <v>13.256862786885248</v>
      </c>
      <c r="Y89" s="4">
        <f t="shared" si="22"/>
        <v>13.256862786885248</v>
      </c>
      <c r="Z89" s="4">
        <f t="shared" si="22"/>
        <v>13.256862786885248</v>
      </c>
      <c r="AA89" s="4">
        <f t="shared" si="22"/>
        <v>13.256862786885248</v>
      </c>
      <c r="AB89" s="4">
        <f t="shared" si="22"/>
        <v>13.256862786885248</v>
      </c>
      <c r="AC89" s="4">
        <f t="shared" si="22"/>
        <v>13.256862786885248</v>
      </c>
      <c r="AD89" s="4">
        <f t="shared" si="22"/>
        <v>13.256862786885248</v>
      </c>
      <c r="AE89" s="4">
        <f t="shared" si="22"/>
        <v>13.256862786885248</v>
      </c>
      <c r="AF89" s="4">
        <f t="shared" si="22"/>
        <v>13.256862786885248</v>
      </c>
      <c r="AG89" s="4">
        <f t="shared" si="22"/>
        <v>13.256862786885248</v>
      </c>
      <c r="AH89" s="4">
        <f t="shared" si="22"/>
        <v>13.256862786885248</v>
      </c>
      <c r="AI89" s="4">
        <f t="shared" si="22"/>
        <v>13.256862786885248</v>
      </c>
      <c r="AJ89" s="4">
        <f t="shared" si="22"/>
        <v>13.256862786885248</v>
      </c>
      <c r="AK89" s="4">
        <f t="shared" si="22"/>
        <v>13.256862786885248</v>
      </c>
      <c r="AL89" s="4">
        <f t="shared" si="22"/>
        <v>13.256862786885248</v>
      </c>
      <c r="AM89" s="4">
        <f t="shared" si="22"/>
        <v>13.256862786885248</v>
      </c>
      <c r="AN89" s="4">
        <f t="shared" si="22"/>
        <v>13.256862786885248</v>
      </c>
      <c r="AO89" s="4">
        <f t="shared" si="22"/>
        <v>13.256862786885248</v>
      </c>
      <c r="AP89" s="4">
        <f t="shared" si="22"/>
        <v>13.256862786885248</v>
      </c>
      <c r="AQ89" s="4">
        <f t="shared" si="22"/>
        <v>13.256862786885248</v>
      </c>
      <c r="AR89">
        <f t="shared" si="9"/>
        <v>13.256862786885248</v>
      </c>
    </row>
    <row r="90" spans="1:44" ht="12.75">
      <c r="A90" t="s">
        <v>248</v>
      </c>
      <c r="B90" t="s">
        <v>351</v>
      </c>
      <c r="D90" t="str">
        <f t="shared" si="4"/>
        <v>*</v>
      </c>
      <c r="E90">
        <f t="shared" si="5"/>
        <v>2015</v>
      </c>
      <c r="F90" t="str">
        <f t="shared" si="20"/>
        <v>EXPGASNAT</v>
      </c>
      <c r="G90" t="str">
        <f t="shared" si="7"/>
        <v>GASNAT</v>
      </c>
      <c r="H90" s="4">
        <f t="shared" si="23" ref="H90:AQ90">H26*0.99</f>
        <v>9.6954270491803278</v>
      </c>
      <c r="I90" s="4">
        <f t="shared" si="23"/>
        <v>9.6954270491803278</v>
      </c>
      <c r="J90" s="4">
        <f t="shared" si="23"/>
        <v>9.6954270491803278</v>
      </c>
      <c r="K90" s="4">
        <f t="shared" si="23"/>
        <v>9.6954270491803278</v>
      </c>
      <c r="L90" s="4">
        <f t="shared" si="23"/>
        <v>9.6954270491803278</v>
      </c>
      <c r="M90" s="4">
        <f t="shared" si="23"/>
        <v>9.6954270491803278</v>
      </c>
      <c r="N90" s="4">
        <f t="shared" si="23"/>
        <v>9.6954270491803278</v>
      </c>
      <c r="O90" s="4">
        <f t="shared" si="23"/>
        <v>9.6954270491803278</v>
      </c>
      <c r="P90" s="4">
        <f t="shared" si="23"/>
        <v>8.2411129918032788</v>
      </c>
      <c r="Q90" s="4">
        <f t="shared" si="23"/>
        <v>8.7258843442622958</v>
      </c>
      <c r="R90" s="4">
        <f t="shared" si="23"/>
        <v>9.6954270491803278</v>
      </c>
      <c r="S90" s="4">
        <f t="shared" si="23"/>
        <v>9.6954270491803278</v>
      </c>
      <c r="T90" s="4">
        <f t="shared" si="23"/>
        <v>9.6954270491803278</v>
      </c>
      <c r="U90" s="4">
        <f t="shared" si="23"/>
        <v>9.6954270491803278</v>
      </c>
      <c r="V90" s="4">
        <f t="shared" si="23"/>
        <v>8.7258843442622958</v>
      </c>
      <c r="W90" s="4">
        <f t="shared" si="23"/>
        <v>9.6954270491803278</v>
      </c>
      <c r="X90" s="4">
        <f t="shared" si="23"/>
        <v>9.6954270491803278</v>
      </c>
      <c r="Y90" s="4">
        <f t="shared" si="23"/>
        <v>9.6954270491803278</v>
      </c>
      <c r="Z90" s="4">
        <f t="shared" si="23"/>
        <v>9.6954270491803278</v>
      </c>
      <c r="AA90" s="4">
        <f t="shared" si="23"/>
        <v>9.6954270491803278</v>
      </c>
      <c r="AB90" s="4">
        <f t="shared" si="23"/>
        <v>9.6954270491803278</v>
      </c>
      <c r="AC90" s="4">
        <f t="shared" si="23"/>
        <v>9.6954270491803278</v>
      </c>
      <c r="AD90" s="4">
        <f t="shared" si="23"/>
        <v>9.6954270491803278</v>
      </c>
      <c r="AE90" s="4">
        <f t="shared" si="23"/>
        <v>9.6954270491803278</v>
      </c>
      <c r="AF90" s="4">
        <f t="shared" si="23"/>
        <v>9.6954270491803278</v>
      </c>
      <c r="AG90" s="4">
        <f t="shared" si="23"/>
        <v>9.6954270491803278</v>
      </c>
      <c r="AH90" s="4">
        <f t="shared" si="23"/>
        <v>9.6954270491803278</v>
      </c>
      <c r="AI90" s="4">
        <f t="shared" si="23"/>
        <v>9.6954270491803278</v>
      </c>
      <c r="AJ90" s="4">
        <f t="shared" si="23"/>
        <v>9.6954270491803278</v>
      </c>
      <c r="AK90" s="4">
        <f t="shared" si="23"/>
        <v>9.6954270491803278</v>
      </c>
      <c r="AL90" s="4">
        <f t="shared" si="23"/>
        <v>9.6954270491803278</v>
      </c>
      <c r="AM90" s="4">
        <f t="shared" si="23"/>
        <v>9.6954270491803278</v>
      </c>
      <c r="AN90" s="4">
        <f t="shared" si="23"/>
        <v>9.6954270491803278</v>
      </c>
      <c r="AO90" s="4">
        <f t="shared" si="23"/>
        <v>9.6954270491803278</v>
      </c>
      <c r="AP90" s="4">
        <f t="shared" si="23"/>
        <v>9.6954270491803278</v>
      </c>
      <c r="AQ90" s="4">
        <f t="shared" si="23"/>
        <v>9.6954270491803278</v>
      </c>
      <c r="AR90">
        <f t="shared" si="9"/>
        <v>9.6954270491803278</v>
      </c>
    </row>
    <row r="91" spans="1:44" ht="12.75">
      <c r="A91" t="s">
        <v>248</v>
      </c>
      <c r="B91" t="s">
        <v>351</v>
      </c>
      <c r="D91" t="str">
        <f t="shared" si="4"/>
        <v>COST</v>
      </c>
      <c r="E91">
        <f t="shared" si="5"/>
        <v>2020</v>
      </c>
      <c r="F91" t="str">
        <f t="shared" si="20"/>
        <v>EXPOILCRD</v>
      </c>
      <c r="G91" t="str">
        <f t="shared" si="7"/>
        <v>OILCRD</v>
      </c>
      <c r="H91" s="4">
        <f t="shared" si="24" ref="H91:AQ91">H27*0.99</f>
        <v>8.2952100000000009</v>
      </c>
      <c r="I91" s="4">
        <f t="shared" si="24"/>
        <v>9.2169000000000008</v>
      </c>
      <c r="J91" s="4">
        <f t="shared" si="24"/>
        <v>9.2169000000000008</v>
      </c>
      <c r="K91" s="4">
        <f t="shared" si="24"/>
        <v>9.2169000000000008</v>
      </c>
      <c r="L91" s="4">
        <f t="shared" si="24"/>
        <v>9.2169000000000008</v>
      </c>
      <c r="M91" s="4">
        <f t="shared" si="24"/>
        <v>9.2169000000000008</v>
      </c>
      <c r="N91" s="4">
        <f t="shared" si="24"/>
        <v>9.2169000000000008</v>
      </c>
      <c r="O91" s="4">
        <f t="shared" si="24"/>
        <v>9.2169000000000008</v>
      </c>
      <c r="P91" s="4">
        <f t="shared" si="24"/>
        <v>7.834365</v>
      </c>
      <c r="Q91" s="4">
        <f t="shared" si="24"/>
        <v>9.2169000000000008</v>
      </c>
      <c r="R91" s="4">
        <f t="shared" si="24"/>
        <v>9.2169000000000008</v>
      </c>
      <c r="S91" s="4">
        <f t="shared" si="24"/>
        <v>9.2169000000000008</v>
      </c>
      <c r="T91" s="4">
        <f t="shared" si="24"/>
        <v>9.2169000000000008</v>
      </c>
      <c r="U91" s="4">
        <f t="shared" si="24"/>
        <v>8.2952100000000009</v>
      </c>
      <c r="V91" s="4">
        <f t="shared" si="24"/>
        <v>8.2952100000000009</v>
      </c>
      <c r="W91" s="4">
        <f t="shared" si="24"/>
        <v>9.2169000000000008</v>
      </c>
      <c r="X91" s="4">
        <f t="shared" si="24"/>
        <v>9.2169000000000008</v>
      </c>
      <c r="Y91" s="4">
        <f t="shared" si="24"/>
        <v>9.2169000000000008</v>
      </c>
      <c r="Z91" s="4">
        <f t="shared" si="24"/>
        <v>9.2169000000000008</v>
      </c>
      <c r="AA91" s="4">
        <f t="shared" si="24"/>
        <v>9.2169000000000008</v>
      </c>
      <c r="AB91" s="4">
        <f t="shared" si="24"/>
        <v>9.2169000000000008</v>
      </c>
      <c r="AC91" s="4">
        <f t="shared" si="24"/>
        <v>9.2169000000000008</v>
      </c>
      <c r="AD91" s="4">
        <f t="shared" si="24"/>
        <v>9.2169000000000008</v>
      </c>
      <c r="AE91" s="4">
        <f t="shared" si="24"/>
        <v>9.2169000000000008</v>
      </c>
      <c r="AF91" s="4">
        <f t="shared" si="24"/>
        <v>9.2169000000000008</v>
      </c>
      <c r="AG91" s="4">
        <f t="shared" si="24"/>
        <v>9.2169000000000008</v>
      </c>
      <c r="AH91" s="4">
        <f t="shared" si="24"/>
        <v>9.2169000000000008</v>
      </c>
      <c r="AI91" s="4">
        <f t="shared" si="24"/>
        <v>9.2169000000000008</v>
      </c>
      <c r="AJ91" s="4">
        <f t="shared" si="24"/>
        <v>9.2169000000000008</v>
      </c>
      <c r="AK91" s="4">
        <f t="shared" si="24"/>
        <v>9.2169000000000008</v>
      </c>
      <c r="AL91" s="4">
        <f t="shared" si="24"/>
        <v>9.2169000000000008</v>
      </c>
      <c r="AM91" s="4">
        <f t="shared" si="24"/>
        <v>9.2169000000000008</v>
      </c>
      <c r="AN91" s="4">
        <f t="shared" si="24"/>
        <v>9.2169000000000008</v>
      </c>
      <c r="AO91" s="4">
        <f t="shared" si="24"/>
        <v>9.2169000000000008</v>
      </c>
      <c r="AP91" s="4">
        <f t="shared" si="24"/>
        <v>9.2169000000000008</v>
      </c>
      <c r="AQ91" s="4">
        <f t="shared" si="24"/>
        <v>9.2169000000000008</v>
      </c>
      <c r="AR91">
        <f t="shared" si="9"/>
        <v>9.2169000000000008</v>
      </c>
    </row>
    <row r="92" spans="1:44" ht="12.75">
      <c r="A92" t="s">
        <v>248</v>
      </c>
      <c r="B92" t="s">
        <v>351</v>
      </c>
      <c r="D92" t="str">
        <f t="shared" si="4"/>
        <v>COST</v>
      </c>
      <c r="E92">
        <f t="shared" si="5"/>
        <v>2020</v>
      </c>
      <c r="F92" t="str">
        <f t="shared" si="20"/>
        <v>EXPOILHFO</v>
      </c>
      <c r="G92" t="str">
        <f t="shared" si="7"/>
        <v>OILHFO</v>
      </c>
      <c r="H92" s="4">
        <f t="shared" si="25" ref="H92:AQ92">H28*0.99</f>
        <v>6.7191201000000014</v>
      </c>
      <c r="I92" s="4">
        <f t="shared" si="25"/>
        <v>7.4656890000000011</v>
      </c>
      <c r="J92" s="4">
        <f t="shared" si="25"/>
        <v>7.4656890000000011</v>
      </c>
      <c r="K92" s="4">
        <f t="shared" si="25"/>
        <v>7.4656890000000011</v>
      </c>
      <c r="L92" s="4">
        <f t="shared" si="25"/>
        <v>7.4656890000000011</v>
      </c>
      <c r="M92" s="4">
        <f t="shared" si="25"/>
        <v>7.4656890000000011</v>
      </c>
      <c r="N92" s="4">
        <f t="shared" si="25"/>
        <v>7.4656890000000011</v>
      </c>
      <c r="O92" s="4">
        <f t="shared" si="25"/>
        <v>7.4656890000000011</v>
      </c>
      <c r="P92" s="4">
        <f t="shared" si="25"/>
        <v>6.3458356500000006</v>
      </c>
      <c r="Q92" s="4">
        <f t="shared" si="25"/>
        <v>7.4656890000000011</v>
      </c>
      <c r="R92" s="4">
        <f t="shared" si="25"/>
        <v>7.4656890000000011</v>
      </c>
      <c r="S92" s="4">
        <f t="shared" si="25"/>
        <v>7.4656890000000011</v>
      </c>
      <c r="T92" s="4">
        <f t="shared" si="25"/>
        <v>7.4656890000000011</v>
      </c>
      <c r="U92" s="4">
        <f t="shared" si="25"/>
        <v>6.7191201000000014</v>
      </c>
      <c r="V92" s="4">
        <f t="shared" si="25"/>
        <v>6.7191201000000014</v>
      </c>
      <c r="W92" s="4">
        <f t="shared" si="25"/>
        <v>7.4656890000000011</v>
      </c>
      <c r="X92" s="4">
        <f t="shared" si="25"/>
        <v>7.4656890000000011</v>
      </c>
      <c r="Y92" s="4">
        <f t="shared" si="25"/>
        <v>7.4656890000000011</v>
      </c>
      <c r="Z92" s="4">
        <f t="shared" si="25"/>
        <v>7.4656890000000011</v>
      </c>
      <c r="AA92" s="4">
        <f t="shared" si="25"/>
        <v>7.4656890000000011</v>
      </c>
      <c r="AB92" s="4">
        <f t="shared" si="25"/>
        <v>7.4656890000000011</v>
      </c>
      <c r="AC92" s="4">
        <f t="shared" si="25"/>
        <v>7.4656890000000011</v>
      </c>
      <c r="AD92" s="4">
        <f t="shared" si="25"/>
        <v>7.4656890000000011</v>
      </c>
      <c r="AE92" s="4">
        <f t="shared" si="25"/>
        <v>7.4656890000000011</v>
      </c>
      <c r="AF92" s="4">
        <f t="shared" si="25"/>
        <v>7.4656890000000011</v>
      </c>
      <c r="AG92" s="4">
        <f t="shared" si="25"/>
        <v>7.4656890000000011</v>
      </c>
      <c r="AH92" s="4">
        <f t="shared" si="25"/>
        <v>7.4656890000000011</v>
      </c>
      <c r="AI92" s="4">
        <f t="shared" si="25"/>
        <v>7.4656890000000011</v>
      </c>
      <c r="AJ92" s="4">
        <f t="shared" si="25"/>
        <v>7.4656890000000011</v>
      </c>
      <c r="AK92" s="4">
        <f t="shared" si="25"/>
        <v>7.4656890000000011</v>
      </c>
      <c r="AL92" s="4">
        <f t="shared" si="25"/>
        <v>7.4656890000000011</v>
      </c>
      <c r="AM92" s="4">
        <f t="shared" si="25"/>
        <v>7.4656890000000011</v>
      </c>
      <c r="AN92" s="4">
        <f t="shared" si="25"/>
        <v>7.4656890000000011</v>
      </c>
      <c r="AO92" s="4">
        <f t="shared" si="25"/>
        <v>7.4656890000000011</v>
      </c>
      <c r="AP92" s="4">
        <f t="shared" si="25"/>
        <v>7.4656890000000011</v>
      </c>
      <c r="AQ92" s="4">
        <f t="shared" si="25"/>
        <v>7.4656890000000011</v>
      </c>
      <c r="AR92">
        <f t="shared" si="9"/>
        <v>7.4656890000000011</v>
      </c>
    </row>
    <row r="93" spans="1:44" ht="12.75">
      <c r="A93" t="s">
        <v>248</v>
      </c>
      <c r="B93" t="s">
        <v>351</v>
      </c>
      <c r="D93" t="str">
        <f t="shared" si="4"/>
        <v>COST</v>
      </c>
      <c r="E93">
        <f t="shared" si="5"/>
        <v>2020</v>
      </c>
      <c r="F93" t="str">
        <f t="shared" si="20"/>
        <v>EXPOILDST</v>
      </c>
      <c r="G93" t="str">
        <f t="shared" si="7"/>
        <v>OILDST</v>
      </c>
      <c r="H93" s="4">
        <f t="shared" si="26" ref="H93:AQ93">H29*0.99</f>
        <v>11.981970000000002</v>
      </c>
      <c r="I93" s="4">
        <f t="shared" si="26"/>
        <v>11.981970000000002</v>
      </c>
      <c r="J93" s="4">
        <f t="shared" si="26"/>
        <v>11.981970000000002</v>
      </c>
      <c r="K93" s="4">
        <f t="shared" si="26"/>
        <v>11.981970000000002</v>
      </c>
      <c r="L93" s="4">
        <f t="shared" si="26"/>
        <v>11.981970000000002</v>
      </c>
      <c r="M93" s="4">
        <f t="shared" si="26"/>
        <v>11.981970000000002</v>
      </c>
      <c r="N93" s="4">
        <f t="shared" si="26"/>
        <v>11.981970000000002</v>
      </c>
      <c r="O93" s="4">
        <f t="shared" si="26"/>
        <v>11.981970000000002</v>
      </c>
      <c r="P93" s="4">
        <f t="shared" si="26"/>
        <v>11.981970000000002</v>
      </c>
      <c r="Q93" s="4">
        <f t="shared" si="26"/>
        <v>11.981970000000002</v>
      </c>
      <c r="R93" s="4">
        <f t="shared" si="26"/>
        <v>11.981970000000002</v>
      </c>
      <c r="S93" s="4">
        <f t="shared" si="26"/>
        <v>11.981970000000002</v>
      </c>
      <c r="T93" s="4">
        <f t="shared" si="26"/>
        <v>11.981970000000002</v>
      </c>
      <c r="U93" s="4">
        <f t="shared" si="26"/>
        <v>11.981970000000002</v>
      </c>
      <c r="V93" s="4">
        <f t="shared" si="26"/>
        <v>11.382871500000002</v>
      </c>
      <c r="W93" s="4">
        <f t="shared" si="26"/>
        <v>11.981970000000002</v>
      </c>
      <c r="X93" s="4">
        <f t="shared" si="26"/>
        <v>11.981970000000002</v>
      </c>
      <c r="Y93" s="4">
        <f t="shared" si="26"/>
        <v>11.981970000000002</v>
      </c>
      <c r="Z93" s="4">
        <f t="shared" si="26"/>
        <v>11.981970000000002</v>
      </c>
      <c r="AA93" s="4">
        <f t="shared" si="26"/>
        <v>11.981970000000002</v>
      </c>
      <c r="AB93" s="4">
        <f t="shared" si="26"/>
        <v>11.981970000000002</v>
      </c>
      <c r="AC93" s="4">
        <f t="shared" si="26"/>
        <v>11.981970000000002</v>
      </c>
      <c r="AD93" s="4">
        <f t="shared" si="26"/>
        <v>11.981970000000002</v>
      </c>
      <c r="AE93" s="4">
        <f t="shared" si="26"/>
        <v>11.981970000000002</v>
      </c>
      <c r="AF93" s="4">
        <f t="shared" si="26"/>
        <v>11.981970000000002</v>
      </c>
      <c r="AG93" s="4">
        <f t="shared" si="26"/>
        <v>11.981970000000002</v>
      </c>
      <c r="AH93" s="4">
        <f t="shared" si="26"/>
        <v>11.981970000000002</v>
      </c>
      <c r="AI93" s="4">
        <f t="shared" si="26"/>
        <v>11.981970000000002</v>
      </c>
      <c r="AJ93" s="4">
        <f t="shared" si="26"/>
        <v>11.981970000000002</v>
      </c>
      <c r="AK93" s="4">
        <f t="shared" si="26"/>
        <v>11.981970000000002</v>
      </c>
      <c r="AL93" s="4">
        <f t="shared" si="26"/>
        <v>11.981970000000002</v>
      </c>
      <c r="AM93" s="4">
        <f t="shared" si="26"/>
        <v>11.981970000000002</v>
      </c>
      <c r="AN93" s="4">
        <f t="shared" si="26"/>
        <v>11.981970000000002</v>
      </c>
      <c r="AO93" s="4">
        <f t="shared" si="26"/>
        <v>11.981970000000002</v>
      </c>
      <c r="AP93" s="4">
        <f t="shared" si="26"/>
        <v>11.981970000000002</v>
      </c>
      <c r="AQ93" s="4">
        <f t="shared" si="26"/>
        <v>11.981970000000002</v>
      </c>
      <c r="AR93">
        <f t="shared" si="9"/>
        <v>11.981970000000002</v>
      </c>
    </row>
    <row r="94" spans="1:44" ht="12.75">
      <c r="A94" t="s">
        <v>248</v>
      </c>
      <c r="B94" t="s">
        <v>351</v>
      </c>
      <c r="D94" t="str">
        <f t="shared" si="4"/>
        <v>COST</v>
      </c>
      <c r="E94">
        <f t="shared" si="5"/>
        <v>2020</v>
      </c>
      <c r="F94" t="str">
        <f t="shared" si="20"/>
        <v>EXPOILLPG</v>
      </c>
      <c r="G94" t="str">
        <f t="shared" si="7"/>
        <v>OILLPG</v>
      </c>
      <c r="H94" s="4">
        <f t="shared" si="27" ref="H94:AQ94">H30*0.99</f>
        <v>10.138590000000001</v>
      </c>
      <c r="I94" s="4">
        <f t="shared" si="27"/>
        <v>10.138590000000001</v>
      </c>
      <c r="J94" s="4">
        <f t="shared" si="27"/>
        <v>10.138590000000001</v>
      </c>
      <c r="K94" s="4">
        <f t="shared" si="27"/>
        <v>10.138590000000001</v>
      </c>
      <c r="L94" s="4">
        <f t="shared" si="27"/>
        <v>10.138590000000001</v>
      </c>
      <c r="M94" s="4">
        <f t="shared" si="27"/>
        <v>10.138590000000001</v>
      </c>
      <c r="N94" s="4">
        <f t="shared" si="27"/>
        <v>10.138590000000001</v>
      </c>
      <c r="O94" s="4">
        <f t="shared" si="27"/>
        <v>10.138590000000001</v>
      </c>
      <c r="P94" s="4">
        <f t="shared" si="27"/>
        <v>10.138590000000001</v>
      </c>
      <c r="Q94" s="4">
        <f t="shared" si="27"/>
        <v>10.138590000000001</v>
      </c>
      <c r="R94" s="4">
        <f t="shared" si="27"/>
        <v>10.138590000000001</v>
      </c>
      <c r="S94" s="4">
        <f t="shared" si="27"/>
        <v>10.138590000000001</v>
      </c>
      <c r="T94" s="4">
        <f t="shared" si="27"/>
        <v>10.138590000000001</v>
      </c>
      <c r="U94" s="4">
        <f t="shared" si="27"/>
        <v>10.138590000000001</v>
      </c>
      <c r="V94" s="4">
        <f t="shared" si="27"/>
        <v>9.6316605000000006</v>
      </c>
      <c r="W94" s="4">
        <f t="shared" si="27"/>
        <v>10.138590000000001</v>
      </c>
      <c r="X94" s="4">
        <f t="shared" si="27"/>
        <v>10.138590000000001</v>
      </c>
      <c r="Y94" s="4">
        <f t="shared" si="27"/>
        <v>10.138590000000001</v>
      </c>
      <c r="Z94" s="4">
        <f t="shared" si="27"/>
        <v>10.138590000000001</v>
      </c>
      <c r="AA94" s="4">
        <f t="shared" si="27"/>
        <v>10.138590000000001</v>
      </c>
      <c r="AB94" s="4">
        <f t="shared" si="27"/>
        <v>10.138590000000001</v>
      </c>
      <c r="AC94" s="4">
        <f t="shared" si="27"/>
        <v>10.138590000000001</v>
      </c>
      <c r="AD94" s="4">
        <f t="shared" si="27"/>
        <v>10.138590000000001</v>
      </c>
      <c r="AE94" s="4">
        <f t="shared" si="27"/>
        <v>10.138590000000001</v>
      </c>
      <c r="AF94" s="4">
        <f t="shared" si="27"/>
        <v>10.138590000000001</v>
      </c>
      <c r="AG94" s="4">
        <f t="shared" si="27"/>
        <v>10.138590000000001</v>
      </c>
      <c r="AH94" s="4">
        <f t="shared" si="27"/>
        <v>10.138590000000001</v>
      </c>
      <c r="AI94" s="4">
        <f t="shared" si="27"/>
        <v>10.138590000000001</v>
      </c>
      <c r="AJ94" s="4">
        <f t="shared" si="27"/>
        <v>10.138590000000001</v>
      </c>
      <c r="AK94" s="4">
        <f t="shared" si="27"/>
        <v>10.138590000000001</v>
      </c>
      <c r="AL94" s="4">
        <f t="shared" si="27"/>
        <v>10.138590000000001</v>
      </c>
      <c r="AM94" s="4">
        <f t="shared" si="27"/>
        <v>10.138590000000001</v>
      </c>
      <c r="AN94" s="4">
        <f t="shared" si="27"/>
        <v>10.138590000000001</v>
      </c>
      <c r="AO94" s="4">
        <f t="shared" si="27"/>
        <v>10.138590000000001</v>
      </c>
      <c r="AP94" s="4">
        <f t="shared" si="27"/>
        <v>10.138590000000001</v>
      </c>
      <c r="AQ94" s="4">
        <f t="shared" si="27"/>
        <v>10.138590000000001</v>
      </c>
      <c r="AR94">
        <f t="shared" si="9"/>
        <v>10.138590000000001</v>
      </c>
    </row>
    <row r="95" spans="1:44" ht="12.75">
      <c r="A95" t="s">
        <v>248</v>
      </c>
      <c r="B95" t="s">
        <v>351</v>
      </c>
      <c r="D95" t="str">
        <f t="shared" si="4"/>
        <v>COST</v>
      </c>
      <c r="E95">
        <f t="shared" si="5"/>
        <v>2020</v>
      </c>
      <c r="F95" t="str">
        <f t="shared" si="20"/>
        <v>EXPOILGSL</v>
      </c>
      <c r="G95" t="str">
        <f t="shared" si="7"/>
        <v>OILGSL</v>
      </c>
      <c r="H95" s="4">
        <f t="shared" si="28" ref="H95:AQ95">H31*0.99</f>
        <v>12.90366</v>
      </c>
      <c r="I95" s="4">
        <f t="shared" si="28"/>
        <v>12.90366</v>
      </c>
      <c r="J95" s="4">
        <f t="shared" si="28"/>
        <v>12.90366</v>
      </c>
      <c r="K95" s="4">
        <f t="shared" si="28"/>
        <v>12.90366</v>
      </c>
      <c r="L95" s="4">
        <f t="shared" si="28"/>
        <v>12.90366</v>
      </c>
      <c r="M95" s="4">
        <f t="shared" si="28"/>
        <v>12.90366</v>
      </c>
      <c r="N95" s="4">
        <f t="shared" si="28"/>
        <v>12.90366</v>
      </c>
      <c r="O95" s="4">
        <f t="shared" si="28"/>
        <v>12.90366</v>
      </c>
      <c r="P95" s="4">
        <f t="shared" si="28"/>
        <v>12.90366</v>
      </c>
      <c r="Q95" s="4">
        <f t="shared" si="28"/>
        <v>12.90366</v>
      </c>
      <c r="R95" s="4">
        <f t="shared" si="28"/>
        <v>12.90366</v>
      </c>
      <c r="S95" s="4">
        <f t="shared" si="28"/>
        <v>12.90366</v>
      </c>
      <c r="T95" s="4">
        <f t="shared" si="28"/>
        <v>12.90366</v>
      </c>
      <c r="U95" s="4">
        <f t="shared" si="28"/>
        <v>12.90366</v>
      </c>
      <c r="V95" s="4">
        <f t="shared" si="28"/>
        <v>12.258477000000001</v>
      </c>
      <c r="W95" s="4">
        <f t="shared" si="28"/>
        <v>12.90366</v>
      </c>
      <c r="X95" s="4">
        <f t="shared" si="28"/>
        <v>12.90366</v>
      </c>
      <c r="Y95" s="4">
        <f t="shared" si="28"/>
        <v>12.90366</v>
      </c>
      <c r="Z95" s="4">
        <f t="shared" si="28"/>
        <v>12.90366</v>
      </c>
      <c r="AA95" s="4">
        <f t="shared" si="28"/>
        <v>12.90366</v>
      </c>
      <c r="AB95" s="4">
        <f t="shared" si="28"/>
        <v>12.90366</v>
      </c>
      <c r="AC95" s="4">
        <f t="shared" si="28"/>
        <v>12.90366</v>
      </c>
      <c r="AD95" s="4">
        <f t="shared" si="28"/>
        <v>12.90366</v>
      </c>
      <c r="AE95" s="4">
        <f t="shared" si="28"/>
        <v>12.90366</v>
      </c>
      <c r="AF95" s="4">
        <f t="shared" si="28"/>
        <v>12.90366</v>
      </c>
      <c r="AG95" s="4">
        <f t="shared" si="28"/>
        <v>12.90366</v>
      </c>
      <c r="AH95" s="4">
        <f t="shared" si="28"/>
        <v>12.90366</v>
      </c>
      <c r="AI95" s="4">
        <f t="shared" si="28"/>
        <v>12.90366</v>
      </c>
      <c r="AJ95" s="4">
        <f t="shared" si="28"/>
        <v>12.90366</v>
      </c>
      <c r="AK95" s="4">
        <f t="shared" si="28"/>
        <v>12.90366</v>
      </c>
      <c r="AL95" s="4">
        <f t="shared" si="28"/>
        <v>12.90366</v>
      </c>
      <c r="AM95" s="4">
        <f t="shared" si="28"/>
        <v>12.90366</v>
      </c>
      <c r="AN95" s="4">
        <f t="shared" si="28"/>
        <v>12.90366</v>
      </c>
      <c r="AO95" s="4">
        <f t="shared" si="28"/>
        <v>12.90366</v>
      </c>
      <c r="AP95" s="4">
        <f t="shared" si="28"/>
        <v>12.90366</v>
      </c>
      <c r="AQ95" s="4">
        <f t="shared" si="28"/>
        <v>12.90366</v>
      </c>
      <c r="AR95">
        <f t="shared" si="9"/>
        <v>12.90366</v>
      </c>
    </row>
    <row r="96" spans="1:44" ht="12.75">
      <c r="A96" t="s">
        <v>248</v>
      </c>
      <c r="B96" t="s">
        <v>351</v>
      </c>
      <c r="D96" t="str">
        <f t="shared" si="4"/>
        <v>COST</v>
      </c>
      <c r="E96">
        <f t="shared" si="5"/>
        <v>2020</v>
      </c>
      <c r="F96" t="str">
        <f t="shared" si="20"/>
        <v>EXPOILKER</v>
      </c>
      <c r="G96" t="str">
        <f t="shared" si="7"/>
        <v>OILKER</v>
      </c>
      <c r="H96" s="4">
        <f t="shared" si="29" ref="H96:AQ96">H32*0.99</f>
        <v>12.90366</v>
      </c>
      <c r="I96" s="4">
        <f t="shared" si="29"/>
        <v>12.90366</v>
      </c>
      <c r="J96" s="4">
        <f t="shared" si="29"/>
        <v>12.90366</v>
      </c>
      <c r="K96" s="4">
        <f t="shared" si="29"/>
        <v>12.90366</v>
      </c>
      <c r="L96" s="4">
        <f t="shared" si="29"/>
        <v>12.90366</v>
      </c>
      <c r="M96" s="4">
        <f t="shared" si="29"/>
        <v>12.90366</v>
      </c>
      <c r="N96" s="4">
        <f t="shared" si="29"/>
        <v>12.90366</v>
      </c>
      <c r="O96" s="4">
        <f t="shared" si="29"/>
        <v>12.90366</v>
      </c>
      <c r="P96" s="4">
        <f t="shared" si="29"/>
        <v>12.90366</v>
      </c>
      <c r="Q96" s="4">
        <f t="shared" si="29"/>
        <v>12.90366</v>
      </c>
      <c r="R96" s="4">
        <f t="shared" si="29"/>
        <v>12.90366</v>
      </c>
      <c r="S96" s="4">
        <f t="shared" si="29"/>
        <v>12.90366</v>
      </c>
      <c r="T96" s="4">
        <f t="shared" si="29"/>
        <v>12.90366</v>
      </c>
      <c r="U96" s="4">
        <f t="shared" si="29"/>
        <v>12.90366</v>
      </c>
      <c r="V96" s="4">
        <f t="shared" si="29"/>
        <v>12.258477000000001</v>
      </c>
      <c r="W96" s="4">
        <f t="shared" si="29"/>
        <v>12.90366</v>
      </c>
      <c r="X96" s="4">
        <f t="shared" si="29"/>
        <v>12.90366</v>
      </c>
      <c r="Y96" s="4">
        <f t="shared" si="29"/>
        <v>12.90366</v>
      </c>
      <c r="Z96" s="4">
        <f t="shared" si="29"/>
        <v>12.90366</v>
      </c>
      <c r="AA96" s="4">
        <f t="shared" si="29"/>
        <v>12.90366</v>
      </c>
      <c r="AB96" s="4">
        <f t="shared" si="29"/>
        <v>12.90366</v>
      </c>
      <c r="AC96" s="4">
        <f t="shared" si="29"/>
        <v>12.90366</v>
      </c>
      <c r="AD96" s="4">
        <f t="shared" si="29"/>
        <v>12.90366</v>
      </c>
      <c r="AE96" s="4">
        <f t="shared" si="29"/>
        <v>12.90366</v>
      </c>
      <c r="AF96" s="4">
        <f t="shared" si="29"/>
        <v>12.90366</v>
      </c>
      <c r="AG96" s="4">
        <f t="shared" si="29"/>
        <v>12.90366</v>
      </c>
      <c r="AH96" s="4">
        <f t="shared" si="29"/>
        <v>12.90366</v>
      </c>
      <c r="AI96" s="4">
        <f t="shared" si="29"/>
        <v>12.90366</v>
      </c>
      <c r="AJ96" s="4">
        <f t="shared" si="29"/>
        <v>12.90366</v>
      </c>
      <c r="AK96" s="4">
        <f t="shared" si="29"/>
        <v>12.90366</v>
      </c>
      <c r="AL96" s="4">
        <f t="shared" si="29"/>
        <v>12.90366</v>
      </c>
      <c r="AM96" s="4">
        <f t="shared" si="29"/>
        <v>12.90366</v>
      </c>
      <c r="AN96" s="4">
        <f t="shared" si="29"/>
        <v>12.90366</v>
      </c>
      <c r="AO96" s="4">
        <f t="shared" si="29"/>
        <v>12.90366</v>
      </c>
      <c r="AP96" s="4">
        <f t="shared" si="29"/>
        <v>12.90366</v>
      </c>
      <c r="AQ96" s="4">
        <f t="shared" si="29"/>
        <v>12.90366</v>
      </c>
      <c r="AR96">
        <f t="shared" si="9"/>
        <v>12.90366</v>
      </c>
    </row>
    <row r="97" spans="1:44" ht="12.75">
      <c r="A97" t="s">
        <v>248</v>
      </c>
      <c r="B97" t="s">
        <v>351</v>
      </c>
      <c r="D97" t="str">
        <f t="shared" si="4"/>
        <v>*</v>
      </c>
      <c r="E97">
        <f t="shared" si="5"/>
        <v>2020</v>
      </c>
      <c r="F97" t="str">
        <f t="shared" si="20"/>
        <v>EXPGASNAT</v>
      </c>
      <c r="G97" t="str">
        <f t="shared" si="7"/>
        <v>GASNAT</v>
      </c>
      <c r="H97" s="4">
        <f t="shared" si="30" ref="H97:AQ97">H33*0.99</f>
        <v>13.2561</v>
      </c>
      <c r="I97" s="4">
        <f t="shared" si="30"/>
        <v>13.2561</v>
      </c>
      <c r="J97" s="4">
        <f t="shared" si="30"/>
        <v>13.2561</v>
      </c>
      <c r="K97" s="4">
        <f t="shared" si="30"/>
        <v>13.2561</v>
      </c>
      <c r="L97" s="4">
        <f t="shared" si="30"/>
        <v>13.2561</v>
      </c>
      <c r="M97" s="4">
        <f t="shared" si="30"/>
        <v>13.2561</v>
      </c>
      <c r="N97" s="4">
        <f t="shared" si="30"/>
        <v>13.2561</v>
      </c>
      <c r="O97" s="4">
        <f t="shared" si="30"/>
        <v>13.2561</v>
      </c>
      <c r="P97" s="4">
        <f t="shared" si="30"/>
        <v>11.267685</v>
      </c>
      <c r="Q97" s="4">
        <f t="shared" si="30"/>
        <v>11.930490000000001</v>
      </c>
      <c r="R97" s="4">
        <f t="shared" si="30"/>
        <v>13.2561</v>
      </c>
      <c r="S97" s="4">
        <f t="shared" si="30"/>
        <v>13.2561</v>
      </c>
      <c r="T97" s="4">
        <f t="shared" si="30"/>
        <v>13.2561</v>
      </c>
      <c r="U97" s="4">
        <f t="shared" si="30"/>
        <v>13.2561</v>
      </c>
      <c r="V97" s="4">
        <f t="shared" si="30"/>
        <v>11.930490000000001</v>
      </c>
      <c r="W97" s="4">
        <f t="shared" si="30"/>
        <v>13.2561</v>
      </c>
      <c r="X97" s="4">
        <f t="shared" si="30"/>
        <v>13.2561</v>
      </c>
      <c r="Y97" s="4">
        <f t="shared" si="30"/>
        <v>13.2561</v>
      </c>
      <c r="Z97" s="4">
        <f t="shared" si="30"/>
        <v>13.2561</v>
      </c>
      <c r="AA97" s="4">
        <f t="shared" si="30"/>
        <v>13.2561</v>
      </c>
      <c r="AB97" s="4">
        <f t="shared" si="30"/>
        <v>13.2561</v>
      </c>
      <c r="AC97" s="4">
        <f t="shared" si="30"/>
        <v>13.2561</v>
      </c>
      <c r="AD97" s="4">
        <f t="shared" si="30"/>
        <v>13.2561</v>
      </c>
      <c r="AE97" s="4">
        <f t="shared" si="30"/>
        <v>13.2561</v>
      </c>
      <c r="AF97" s="4">
        <f t="shared" si="30"/>
        <v>13.2561</v>
      </c>
      <c r="AG97" s="4">
        <f t="shared" si="30"/>
        <v>13.2561</v>
      </c>
      <c r="AH97" s="4">
        <f t="shared" si="30"/>
        <v>13.2561</v>
      </c>
      <c r="AI97" s="4">
        <f t="shared" si="30"/>
        <v>13.2561</v>
      </c>
      <c r="AJ97" s="4">
        <f t="shared" si="30"/>
        <v>13.2561</v>
      </c>
      <c r="AK97" s="4">
        <f t="shared" si="30"/>
        <v>13.2561</v>
      </c>
      <c r="AL97" s="4">
        <f t="shared" si="30"/>
        <v>13.2561</v>
      </c>
      <c r="AM97" s="4">
        <f t="shared" si="30"/>
        <v>13.2561</v>
      </c>
      <c r="AN97" s="4">
        <f t="shared" si="30"/>
        <v>13.2561</v>
      </c>
      <c r="AO97" s="4">
        <f t="shared" si="30"/>
        <v>13.2561</v>
      </c>
      <c r="AP97" s="4">
        <f t="shared" si="30"/>
        <v>13.2561</v>
      </c>
      <c r="AQ97" s="4">
        <f t="shared" si="30"/>
        <v>13.2561</v>
      </c>
      <c r="AR97">
        <f t="shared" si="9"/>
        <v>13.2561</v>
      </c>
    </row>
    <row r="98" spans="1:44" ht="12.75">
      <c r="A98" t="s">
        <v>248</v>
      </c>
      <c r="B98" t="s">
        <v>351</v>
      </c>
      <c r="D98" t="str">
        <f t="shared" si="4"/>
        <v>COST</v>
      </c>
      <c r="E98">
        <f t="shared" si="5"/>
        <v>2025</v>
      </c>
      <c r="F98" t="str">
        <f t="shared" si="20"/>
        <v>EXPOILCRD</v>
      </c>
      <c r="G98" t="str">
        <f t="shared" si="7"/>
        <v>OILCRD</v>
      </c>
      <c r="H98" s="4">
        <f t="shared" si="31" ref="H98:AQ98">H34*0.99</f>
        <v>10.228680000000001</v>
      </c>
      <c r="I98" s="4">
        <f t="shared" si="31"/>
        <v>11.3652</v>
      </c>
      <c r="J98" s="4">
        <f t="shared" si="31"/>
        <v>11.3652</v>
      </c>
      <c r="K98" s="4">
        <f t="shared" si="31"/>
        <v>11.3652</v>
      </c>
      <c r="L98" s="4">
        <f t="shared" si="31"/>
        <v>11.3652</v>
      </c>
      <c r="M98" s="4">
        <f t="shared" si="31"/>
        <v>11.3652</v>
      </c>
      <c r="N98" s="4">
        <f t="shared" si="31"/>
        <v>11.3652</v>
      </c>
      <c r="O98" s="4">
        <f t="shared" si="31"/>
        <v>11.3652</v>
      </c>
      <c r="P98" s="4">
        <f t="shared" si="31"/>
        <v>9.6604200000000002</v>
      </c>
      <c r="Q98" s="4">
        <f t="shared" si="31"/>
        <v>11.3652</v>
      </c>
      <c r="R98" s="4">
        <f t="shared" si="31"/>
        <v>11.3652</v>
      </c>
      <c r="S98" s="4">
        <f t="shared" si="31"/>
        <v>11.3652</v>
      </c>
      <c r="T98" s="4">
        <f t="shared" si="31"/>
        <v>11.3652</v>
      </c>
      <c r="U98" s="4">
        <f t="shared" si="31"/>
        <v>10.228680000000001</v>
      </c>
      <c r="V98" s="4">
        <f t="shared" si="31"/>
        <v>10.228680000000001</v>
      </c>
      <c r="W98" s="4">
        <f t="shared" si="31"/>
        <v>11.3652</v>
      </c>
      <c r="X98" s="4">
        <f t="shared" si="31"/>
        <v>11.3652</v>
      </c>
      <c r="Y98" s="4">
        <f t="shared" si="31"/>
        <v>11.3652</v>
      </c>
      <c r="Z98" s="4">
        <f t="shared" si="31"/>
        <v>11.3652</v>
      </c>
      <c r="AA98" s="4">
        <f t="shared" si="31"/>
        <v>11.3652</v>
      </c>
      <c r="AB98" s="4">
        <f t="shared" si="31"/>
        <v>11.3652</v>
      </c>
      <c r="AC98" s="4">
        <f t="shared" si="31"/>
        <v>11.3652</v>
      </c>
      <c r="AD98" s="4">
        <f t="shared" si="31"/>
        <v>11.3652</v>
      </c>
      <c r="AE98" s="4">
        <f t="shared" si="31"/>
        <v>11.3652</v>
      </c>
      <c r="AF98" s="4">
        <f t="shared" si="31"/>
        <v>11.3652</v>
      </c>
      <c r="AG98" s="4">
        <f t="shared" si="31"/>
        <v>11.3652</v>
      </c>
      <c r="AH98" s="4">
        <f t="shared" si="31"/>
        <v>11.3652</v>
      </c>
      <c r="AI98" s="4">
        <f t="shared" si="31"/>
        <v>11.3652</v>
      </c>
      <c r="AJ98" s="4">
        <f t="shared" si="31"/>
        <v>11.3652</v>
      </c>
      <c r="AK98" s="4">
        <f t="shared" si="31"/>
        <v>11.3652</v>
      </c>
      <c r="AL98" s="4">
        <f t="shared" si="31"/>
        <v>11.3652</v>
      </c>
      <c r="AM98" s="4">
        <f t="shared" si="31"/>
        <v>11.3652</v>
      </c>
      <c r="AN98" s="4">
        <f t="shared" si="31"/>
        <v>11.3652</v>
      </c>
      <c r="AO98" s="4">
        <f t="shared" si="31"/>
        <v>11.3652</v>
      </c>
      <c r="AP98" s="4">
        <f t="shared" si="31"/>
        <v>11.3652</v>
      </c>
      <c r="AQ98" s="4">
        <f t="shared" si="31"/>
        <v>11.3652</v>
      </c>
      <c r="AR98">
        <f t="shared" si="9"/>
        <v>11.3652</v>
      </c>
    </row>
    <row r="99" spans="1:44" ht="12.75">
      <c r="A99" t="s">
        <v>248</v>
      </c>
      <c r="B99" t="s">
        <v>351</v>
      </c>
      <c r="D99" t="str">
        <f t="shared" si="4"/>
        <v>COST</v>
      </c>
      <c r="E99">
        <f t="shared" si="5"/>
        <v>2025</v>
      </c>
      <c r="F99" t="str">
        <f t="shared" si="20"/>
        <v>EXPOILHFO</v>
      </c>
      <c r="G99" t="str">
        <f t="shared" si="7"/>
        <v>OILHFO</v>
      </c>
      <c r="H99" s="4">
        <f t="shared" si="32" ref="H99:AQ99">H35*0.99</f>
        <v>8.2852308000000008</v>
      </c>
      <c r="I99" s="4">
        <f t="shared" si="32"/>
        <v>9.2058120000000017</v>
      </c>
      <c r="J99" s="4">
        <f t="shared" si="32"/>
        <v>9.2058120000000017</v>
      </c>
      <c r="K99" s="4">
        <f t="shared" si="32"/>
        <v>9.2058120000000017</v>
      </c>
      <c r="L99" s="4">
        <f t="shared" si="32"/>
        <v>9.2058120000000017</v>
      </c>
      <c r="M99" s="4">
        <f t="shared" si="32"/>
        <v>9.2058120000000017</v>
      </c>
      <c r="N99" s="4">
        <f t="shared" si="32"/>
        <v>9.2058120000000017</v>
      </c>
      <c r="O99" s="4">
        <f t="shared" si="32"/>
        <v>9.2058120000000017</v>
      </c>
      <c r="P99" s="4">
        <f t="shared" si="32"/>
        <v>7.8249402000000012</v>
      </c>
      <c r="Q99" s="4">
        <f t="shared" si="32"/>
        <v>9.2058120000000017</v>
      </c>
      <c r="R99" s="4">
        <f t="shared" si="32"/>
        <v>9.2058120000000017</v>
      </c>
      <c r="S99" s="4">
        <f t="shared" si="32"/>
        <v>9.2058120000000017</v>
      </c>
      <c r="T99" s="4">
        <f t="shared" si="32"/>
        <v>9.2058120000000017</v>
      </c>
      <c r="U99" s="4">
        <f t="shared" si="32"/>
        <v>8.2852308000000008</v>
      </c>
      <c r="V99" s="4">
        <f t="shared" si="32"/>
        <v>8.2852308000000008</v>
      </c>
      <c r="W99" s="4">
        <f t="shared" si="32"/>
        <v>9.2058120000000017</v>
      </c>
      <c r="X99" s="4">
        <f t="shared" si="32"/>
        <v>9.2058120000000017</v>
      </c>
      <c r="Y99" s="4">
        <f t="shared" si="32"/>
        <v>9.2058120000000017</v>
      </c>
      <c r="Z99" s="4">
        <f t="shared" si="32"/>
        <v>9.2058120000000017</v>
      </c>
      <c r="AA99" s="4">
        <f t="shared" si="32"/>
        <v>9.2058120000000017</v>
      </c>
      <c r="AB99" s="4">
        <f t="shared" si="32"/>
        <v>9.2058120000000017</v>
      </c>
      <c r="AC99" s="4">
        <f t="shared" si="32"/>
        <v>9.2058120000000017</v>
      </c>
      <c r="AD99" s="4">
        <f t="shared" si="32"/>
        <v>9.2058120000000017</v>
      </c>
      <c r="AE99" s="4">
        <f t="shared" si="32"/>
        <v>9.2058120000000017</v>
      </c>
      <c r="AF99" s="4">
        <f t="shared" si="32"/>
        <v>9.2058120000000017</v>
      </c>
      <c r="AG99" s="4">
        <f t="shared" si="32"/>
        <v>9.2058120000000017</v>
      </c>
      <c r="AH99" s="4">
        <f t="shared" si="32"/>
        <v>9.2058120000000017</v>
      </c>
      <c r="AI99" s="4">
        <f t="shared" si="32"/>
        <v>9.2058120000000017</v>
      </c>
      <c r="AJ99" s="4">
        <f t="shared" si="32"/>
        <v>9.2058120000000017</v>
      </c>
      <c r="AK99" s="4">
        <f t="shared" si="32"/>
        <v>9.2058120000000017</v>
      </c>
      <c r="AL99" s="4">
        <f t="shared" si="32"/>
        <v>9.2058120000000017</v>
      </c>
      <c r="AM99" s="4">
        <f t="shared" si="32"/>
        <v>9.2058120000000017</v>
      </c>
      <c r="AN99" s="4">
        <f t="shared" si="32"/>
        <v>9.2058120000000017</v>
      </c>
      <c r="AO99" s="4">
        <f t="shared" si="32"/>
        <v>9.2058120000000017</v>
      </c>
      <c r="AP99" s="4">
        <f t="shared" si="32"/>
        <v>9.2058120000000017</v>
      </c>
      <c r="AQ99" s="4">
        <f t="shared" si="32"/>
        <v>9.2058120000000017</v>
      </c>
      <c r="AR99">
        <f t="shared" si="9"/>
        <v>9.2058120000000017</v>
      </c>
    </row>
    <row r="100" spans="1:44" ht="12.75">
      <c r="A100" t="s">
        <v>248</v>
      </c>
      <c r="B100" t="s">
        <v>351</v>
      </c>
      <c r="D100" t="str">
        <f t="shared" si="4"/>
        <v>COST</v>
      </c>
      <c r="E100">
        <f t="shared" si="5"/>
        <v>2025</v>
      </c>
      <c r="F100" t="str">
        <f t="shared" si="20"/>
        <v>EXPOILDST</v>
      </c>
      <c r="G100" t="str">
        <f t="shared" si="7"/>
        <v>OILDST</v>
      </c>
      <c r="H100" s="4">
        <f t="shared" si="33" ref="H100:AQ100">H36*0.99</f>
        <v>14.774760000000001</v>
      </c>
      <c r="I100" s="4">
        <f t="shared" si="33"/>
        <v>14.774760000000001</v>
      </c>
      <c r="J100" s="4">
        <f t="shared" si="33"/>
        <v>14.774760000000001</v>
      </c>
      <c r="K100" s="4">
        <f t="shared" si="33"/>
        <v>14.774760000000001</v>
      </c>
      <c r="L100" s="4">
        <f t="shared" si="33"/>
        <v>14.774760000000001</v>
      </c>
      <c r="M100" s="4">
        <f t="shared" si="33"/>
        <v>14.774760000000001</v>
      </c>
      <c r="N100" s="4">
        <f t="shared" si="33"/>
        <v>14.774760000000001</v>
      </c>
      <c r="O100" s="4">
        <f t="shared" si="33"/>
        <v>14.774760000000001</v>
      </c>
      <c r="P100" s="4">
        <f t="shared" si="33"/>
        <v>14.774760000000001</v>
      </c>
      <c r="Q100" s="4">
        <f t="shared" si="33"/>
        <v>14.774760000000001</v>
      </c>
      <c r="R100" s="4">
        <f t="shared" si="33"/>
        <v>14.774760000000001</v>
      </c>
      <c r="S100" s="4">
        <f t="shared" si="33"/>
        <v>14.774760000000001</v>
      </c>
      <c r="T100" s="4">
        <f t="shared" si="33"/>
        <v>14.774760000000001</v>
      </c>
      <c r="U100" s="4">
        <f t="shared" si="33"/>
        <v>14.774760000000001</v>
      </c>
      <c r="V100" s="4">
        <f t="shared" si="33"/>
        <v>14.036022000000001</v>
      </c>
      <c r="W100" s="4">
        <f t="shared" si="33"/>
        <v>14.774760000000001</v>
      </c>
      <c r="X100" s="4">
        <f t="shared" si="33"/>
        <v>14.774760000000001</v>
      </c>
      <c r="Y100" s="4">
        <f t="shared" si="33"/>
        <v>14.774760000000001</v>
      </c>
      <c r="Z100" s="4">
        <f t="shared" si="33"/>
        <v>14.774760000000001</v>
      </c>
      <c r="AA100" s="4">
        <f t="shared" si="33"/>
        <v>14.774760000000001</v>
      </c>
      <c r="AB100" s="4">
        <f t="shared" si="33"/>
        <v>14.774760000000001</v>
      </c>
      <c r="AC100" s="4">
        <f t="shared" si="33"/>
        <v>14.774760000000001</v>
      </c>
      <c r="AD100" s="4">
        <f t="shared" si="33"/>
        <v>14.774760000000001</v>
      </c>
      <c r="AE100" s="4">
        <f t="shared" si="33"/>
        <v>14.774760000000001</v>
      </c>
      <c r="AF100" s="4">
        <f t="shared" si="33"/>
        <v>14.774760000000001</v>
      </c>
      <c r="AG100" s="4">
        <f t="shared" si="33"/>
        <v>14.774760000000001</v>
      </c>
      <c r="AH100" s="4">
        <f t="shared" si="33"/>
        <v>14.774760000000001</v>
      </c>
      <c r="AI100" s="4">
        <f t="shared" si="33"/>
        <v>14.774760000000001</v>
      </c>
      <c r="AJ100" s="4">
        <f t="shared" si="33"/>
        <v>14.774760000000001</v>
      </c>
      <c r="AK100" s="4">
        <f t="shared" si="33"/>
        <v>14.774760000000001</v>
      </c>
      <c r="AL100" s="4">
        <f t="shared" si="33"/>
        <v>14.774760000000001</v>
      </c>
      <c r="AM100" s="4">
        <f t="shared" si="33"/>
        <v>14.774760000000001</v>
      </c>
      <c r="AN100" s="4">
        <f t="shared" si="33"/>
        <v>14.774760000000001</v>
      </c>
      <c r="AO100" s="4">
        <f t="shared" si="33"/>
        <v>14.774760000000001</v>
      </c>
      <c r="AP100" s="4">
        <f t="shared" si="33"/>
        <v>14.774760000000001</v>
      </c>
      <c r="AQ100" s="4">
        <f t="shared" si="33"/>
        <v>14.774760000000001</v>
      </c>
      <c r="AR100">
        <f t="shared" si="9"/>
        <v>14.774760000000001</v>
      </c>
    </row>
    <row r="101" spans="1:44" ht="12.75">
      <c r="A101" t="s">
        <v>248</v>
      </c>
      <c r="B101" t="s">
        <v>351</v>
      </c>
      <c r="D101" t="str">
        <f t="shared" si="4"/>
        <v>COST</v>
      </c>
      <c r="E101">
        <f t="shared" si="5"/>
        <v>2025</v>
      </c>
      <c r="F101" t="str">
        <f t="shared" si="20"/>
        <v>EXPOILLPG</v>
      </c>
      <c r="G101" t="str">
        <f t="shared" si="7"/>
        <v>OILLPG</v>
      </c>
      <c r="H101" s="4">
        <f t="shared" si="34" ref="H101:AQ101">H37*0.99</f>
        <v>12.501720000000002</v>
      </c>
      <c r="I101" s="4">
        <f t="shared" si="34"/>
        <v>12.501720000000002</v>
      </c>
      <c r="J101" s="4">
        <f t="shared" si="34"/>
        <v>12.501720000000002</v>
      </c>
      <c r="K101" s="4">
        <f t="shared" si="34"/>
        <v>12.501720000000002</v>
      </c>
      <c r="L101" s="4">
        <f t="shared" si="34"/>
        <v>12.501720000000002</v>
      </c>
      <c r="M101" s="4">
        <f t="shared" si="34"/>
        <v>12.501720000000002</v>
      </c>
      <c r="N101" s="4">
        <f t="shared" si="34"/>
        <v>12.501720000000002</v>
      </c>
      <c r="O101" s="4">
        <f t="shared" si="34"/>
        <v>12.501720000000002</v>
      </c>
      <c r="P101" s="4">
        <f t="shared" si="34"/>
        <v>12.501720000000002</v>
      </c>
      <c r="Q101" s="4">
        <f t="shared" si="34"/>
        <v>12.501720000000002</v>
      </c>
      <c r="R101" s="4">
        <f t="shared" si="34"/>
        <v>12.501720000000002</v>
      </c>
      <c r="S101" s="4">
        <f t="shared" si="34"/>
        <v>12.501720000000002</v>
      </c>
      <c r="T101" s="4">
        <f t="shared" si="34"/>
        <v>12.501720000000002</v>
      </c>
      <c r="U101" s="4">
        <f t="shared" si="34"/>
        <v>12.501720000000002</v>
      </c>
      <c r="V101" s="4">
        <f t="shared" si="34"/>
        <v>11.876634000000001</v>
      </c>
      <c r="W101" s="4">
        <f t="shared" si="34"/>
        <v>12.501720000000002</v>
      </c>
      <c r="X101" s="4">
        <f t="shared" si="34"/>
        <v>12.501720000000002</v>
      </c>
      <c r="Y101" s="4">
        <f t="shared" si="34"/>
        <v>12.501720000000002</v>
      </c>
      <c r="Z101" s="4">
        <f t="shared" si="34"/>
        <v>12.501720000000002</v>
      </c>
      <c r="AA101" s="4">
        <f t="shared" si="34"/>
        <v>12.501720000000002</v>
      </c>
      <c r="AB101" s="4">
        <f t="shared" si="34"/>
        <v>12.501720000000002</v>
      </c>
      <c r="AC101" s="4">
        <f t="shared" si="34"/>
        <v>12.501720000000002</v>
      </c>
      <c r="AD101" s="4">
        <f t="shared" si="34"/>
        <v>12.501720000000002</v>
      </c>
      <c r="AE101" s="4">
        <f t="shared" si="34"/>
        <v>12.501720000000002</v>
      </c>
      <c r="AF101" s="4">
        <f t="shared" si="34"/>
        <v>12.501720000000002</v>
      </c>
      <c r="AG101" s="4">
        <f t="shared" si="34"/>
        <v>12.501720000000002</v>
      </c>
      <c r="AH101" s="4">
        <f t="shared" si="34"/>
        <v>12.501720000000002</v>
      </c>
      <c r="AI101" s="4">
        <f t="shared" si="34"/>
        <v>12.501720000000002</v>
      </c>
      <c r="AJ101" s="4">
        <f t="shared" si="34"/>
        <v>12.501720000000002</v>
      </c>
      <c r="AK101" s="4">
        <f t="shared" si="34"/>
        <v>12.501720000000002</v>
      </c>
      <c r="AL101" s="4">
        <f t="shared" si="34"/>
        <v>12.501720000000002</v>
      </c>
      <c r="AM101" s="4">
        <f t="shared" si="34"/>
        <v>12.501720000000002</v>
      </c>
      <c r="AN101" s="4">
        <f t="shared" si="34"/>
        <v>12.501720000000002</v>
      </c>
      <c r="AO101" s="4">
        <f t="shared" si="34"/>
        <v>12.501720000000002</v>
      </c>
      <c r="AP101" s="4">
        <f t="shared" si="34"/>
        <v>12.501720000000002</v>
      </c>
      <c r="AQ101" s="4">
        <f t="shared" si="34"/>
        <v>12.501720000000002</v>
      </c>
      <c r="AR101">
        <f t="shared" si="9"/>
        <v>12.501720000000002</v>
      </c>
    </row>
    <row r="102" spans="1:44" ht="12.75">
      <c r="A102" t="s">
        <v>248</v>
      </c>
      <c r="B102" t="s">
        <v>351</v>
      </c>
      <c r="D102" t="str">
        <f t="shared" si="4"/>
        <v>COST</v>
      </c>
      <c r="E102">
        <f t="shared" si="5"/>
        <v>2025</v>
      </c>
      <c r="F102" t="str">
        <f t="shared" si="20"/>
        <v>EXPOILGSL</v>
      </c>
      <c r="G102" t="str">
        <f t="shared" si="7"/>
        <v>OILGSL</v>
      </c>
      <c r="H102" s="4">
        <f t="shared" si="35" ref="H102:AQ102">H38*0.99</f>
        <v>15.91128</v>
      </c>
      <c r="I102" s="4">
        <f t="shared" si="35"/>
        <v>15.91128</v>
      </c>
      <c r="J102" s="4">
        <f t="shared" si="35"/>
        <v>15.91128</v>
      </c>
      <c r="K102" s="4">
        <f t="shared" si="35"/>
        <v>15.91128</v>
      </c>
      <c r="L102" s="4">
        <f t="shared" si="35"/>
        <v>15.91128</v>
      </c>
      <c r="M102" s="4">
        <f t="shared" si="35"/>
        <v>15.91128</v>
      </c>
      <c r="N102" s="4">
        <f t="shared" si="35"/>
        <v>15.91128</v>
      </c>
      <c r="O102" s="4">
        <f t="shared" si="35"/>
        <v>15.91128</v>
      </c>
      <c r="P102" s="4">
        <f t="shared" si="35"/>
        <v>15.91128</v>
      </c>
      <c r="Q102" s="4">
        <f t="shared" si="35"/>
        <v>15.91128</v>
      </c>
      <c r="R102" s="4">
        <f t="shared" si="35"/>
        <v>15.91128</v>
      </c>
      <c r="S102" s="4">
        <f t="shared" si="35"/>
        <v>15.91128</v>
      </c>
      <c r="T102" s="4">
        <f t="shared" si="35"/>
        <v>15.91128</v>
      </c>
      <c r="U102" s="4">
        <f t="shared" si="35"/>
        <v>15.91128</v>
      </c>
      <c r="V102" s="4">
        <f t="shared" si="35"/>
        <v>15.115715999999997</v>
      </c>
      <c r="W102" s="4">
        <f t="shared" si="35"/>
        <v>15.91128</v>
      </c>
      <c r="X102" s="4">
        <f t="shared" si="35"/>
        <v>15.91128</v>
      </c>
      <c r="Y102" s="4">
        <f t="shared" si="35"/>
        <v>15.91128</v>
      </c>
      <c r="Z102" s="4">
        <f t="shared" si="35"/>
        <v>15.91128</v>
      </c>
      <c r="AA102" s="4">
        <f t="shared" si="35"/>
        <v>15.91128</v>
      </c>
      <c r="AB102" s="4">
        <f t="shared" si="35"/>
        <v>15.91128</v>
      </c>
      <c r="AC102" s="4">
        <f t="shared" si="35"/>
        <v>15.91128</v>
      </c>
      <c r="AD102" s="4">
        <f t="shared" si="35"/>
        <v>15.91128</v>
      </c>
      <c r="AE102" s="4">
        <f t="shared" si="35"/>
        <v>15.91128</v>
      </c>
      <c r="AF102" s="4">
        <f t="shared" si="35"/>
        <v>15.91128</v>
      </c>
      <c r="AG102" s="4">
        <f t="shared" si="35"/>
        <v>15.91128</v>
      </c>
      <c r="AH102" s="4">
        <f t="shared" si="35"/>
        <v>15.91128</v>
      </c>
      <c r="AI102" s="4">
        <f t="shared" si="35"/>
        <v>15.91128</v>
      </c>
      <c r="AJ102" s="4">
        <f t="shared" si="35"/>
        <v>15.91128</v>
      </c>
      <c r="AK102" s="4">
        <f t="shared" si="35"/>
        <v>15.91128</v>
      </c>
      <c r="AL102" s="4">
        <f t="shared" si="35"/>
        <v>15.91128</v>
      </c>
      <c r="AM102" s="4">
        <f t="shared" si="35"/>
        <v>15.91128</v>
      </c>
      <c r="AN102" s="4">
        <f t="shared" si="35"/>
        <v>15.91128</v>
      </c>
      <c r="AO102" s="4">
        <f t="shared" si="35"/>
        <v>15.91128</v>
      </c>
      <c r="AP102" s="4">
        <f t="shared" si="35"/>
        <v>15.91128</v>
      </c>
      <c r="AQ102" s="4">
        <f t="shared" si="35"/>
        <v>15.91128</v>
      </c>
      <c r="AR102">
        <f t="shared" si="9"/>
        <v>15.91128</v>
      </c>
    </row>
    <row r="103" spans="1:44" ht="12.75">
      <c r="A103" t="s">
        <v>248</v>
      </c>
      <c r="B103" t="s">
        <v>351</v>
      </c>
      <c r="D103" t="str">
        <f t="shared" si="4"/>
        <v>COST</v>
      </c>
      <c r="E103">
        <f t="shared" si="5"/>
        <v>2025</v>
      </c>
      <c r="F103" t="str">
        <f t="shared" si="20"/>
        <v>EXPOILKER</v>
      </c>
      <c r="G103" t="str">
        <f t="shared" si="7"/>
        <v>OILKER</v>
      </c>
      <c r="H103" s="4">
        <f t="shared" si="36" ref="H103:AQ103">H39*0.99</f>
        <v>15.91128</v>
      </c>
      <c r="I103" s="4">
        <f t="shared" si="36"/>
        <v>15.91128</v>
      </c>
      <c r="J103" s="4">
        <f t="shared" si="36"/>
        <v>15.91128</v>
      </c>
      <c r="K103" s="4">
        <f t="shared" si="36"/>
        <v>15.91128</v>
      </c>
      <c r="L103" s="4">
        <f t="shared" si="36"/>
        <v>15.91128</v>
      </c>
      <c r="M103" s="4">
        <f t="shared" si="36"/>
        <v>15.91128</v>
      </c>
      <c r="N103" s="4">
        <f t="shared" si="36"/>
        <v>15.91128</v>
      </c>
      <c r="O103" s="4">
        <f t="shared" si="36"/>
        <v>15.91128</v>
      </c>
      <c r="P103" s="4">
        <f t="shared" si="36"/>
        <v>15.91128</v>
      </c>
      <c r="Q103" s="4">
        <f t="shared" si="36"/>
        <v>15.91128</v>
      </c>
      <c r="R103" s="4">
        <f t="shared" si="36"/>
        <v>15.91128</v>
      </c>
      <c r="S103" s="4">
        <f t="shared" si="36"/>
        <v>15.91128</v>
      </c>
      <c r="T103" s="4">
        <f t="shared" si="36"/>
        <v>15.91128</v>
      </c>
      <c r="U103" s="4">
        <f t="shared" si="36"/>
        <v>15.91128</v>
      </c>
      <c r="V103" s="4">
        <f t="shared" si="36"/>
        <v>15.115715999999997</v>
      </c>
      <c r="W103" s="4">
        <f t="shared" si="36"/>
        <v>15.91128</v>
      </c>
      <c r="X103" s="4">
        <f t="shared" si="36"/>
        <v>15.91128</v>
      </c>
      <c r="Y103" s="4">
        <f t="shared" si="36"/>
        <v>15.91128</v>
      </c>
      <c r="Z103" s="4">
        <f t="shared" si="36"/>
        <v>15.91128</v>
      </c>
      <c r="AA103" s="4">
        <f t="shared" si="36"/>
        <v>15.91128</v>
      </c>
      <c r="AB103" s="4">
        <f t="shared" si="36"/>
        <v>15.91128</v>
      </c>
      <c r="AC103" s="4">
        <f t="shared" si="36"/>
        <v>15.91128</v>
      </c>
      <c r="AD103" s="4">
        <f t="shared" si="36"/>
        <v>15.91128</v>
      </c>
      <c r="AE103" s="4">
        <f t="shared" si="36"/>
        <v>15.91128</v>
      </c>
      <c r="AF103" s="4">
        <f t="shared" si="36"/>
        <v>15.91128</v>
      </c>
      <c r="AG103" s="4">
        <f t="shared" si="36"/>
        <v>15.91128</v>
      </c>
      <c r="AH103" s="4">
        <f t="shared" si="36"/>
        <v>15.91128</v>
      </c>
      <c r="AI103" s="4">
        <f t="shared" si="36"/>
        <v>15.91128</v>
      </c>
      <c r="AJ103" s="4">
        <f t="shared" si="36"/>
        <v>15.91128</v>
      </c>
      <c r="AK103" s="4">
        <f t="shared" si="36"/>
        <v>15.91128</v>
      </c>
      <c r="AL103" s="4">
        <f t="shared" si="36"/>
        <v>15.91128</v>
      </c>
      <c r="AM103" s="4">
        <f t="shared" si="36"/>
        <v>15.91128</v>
      </c>
      <c r="AN103" s="4">
        <f t="shared" si="36"/>
        <v>15.91128</v>
      </c>
      <c r="AO103" s="4">
        <f t="shared" si="36"/>
        <v>15.91128</v>
      </c>
      <c r="AP103" s="4">
        <f t="shared" si="36"/>
        <v>15.91128</v>
      </c>
      <c r="AQ103" s="4">
        <f t="shared" si="36"/>
        <v>15.91128</v>
      </c>
      <c r="AR103">
        <f t="shared" si="9"/>
        <v>15.91128</v>
      </c>
    </row>
    <row r="104" spans="1:44" ht="12.75">
      <c r="A104" t="s">
        <v>248</v>
      </c>
      <c r="B104" t="s">
        <v>351</v>
      </c>
      <c r="D104" t="str">
        <f t="shared" si="4"/>
        <v>*</v>
      </c>
      <c r="E104">
        <f t="shared" si="5"/>
        <v>2025</v>
      </c>
      <c r="F104" t="str">
        <f t="shared" si="20"/>
        <v>EXPGASNAT</v>
      </c>
      <c r="G104" t="str">
        <f t="shared" si="7"/>
        <v>GASNAT</v>
      </c>
      <c r="H104" s="4">
        <f t="shared" si="37" ref="H104:AQ104">H40*0.99</f>
        <v>10.09305</v>
      </c>
      <c r="I104" s="4">
        <f t="shared" si="37"/>
        <v>10.09305</v>
      </c>
      <c r="J104" s="4">
        <f t="shared" si="37"/>
        <v>10.09305</v>
      </c>
      <c r="K104" s="4">
        <f t="shared" si="37"/>
        <v>10.09305</v>
      </c>
      <c r="L104" s="4">
        <f t="shared" si="37"/>
        <v>10.09305</v>
      </c>
      <c r="M104" s="4">
        <f t="shared" si="37"/>
        <v>10.09305</v>
      </c>
      <c r="N104" s="4">
        <f t="shared" si="37"/>
        <v>10.09305</v>
      </c>
      <c r="O104" s="4">
        <f t="shared" si="37"/>
        <v>10.09305</v>
      </c>
      <c r="P104" s="4">
        <f t="shared" si="37"/>
        <v>8.5790924999999998</v>
      </c>
      <c r="Q104" s="4">
        <f t="shared" si="37"/>
        <v>9.0837450000000004</v>
      </c>
      <c r="R104" s="4">
        <f t="shared" si="37"/>
        <v>10.09305</v>
      </c>
      <c r="S104" s="4">
        <f t="shared" si="37"/>
        <v>10.09305</v>
      </c>
      <c r="T104" s="4">
        <f t="shared" si="37"/>
        <v>10.09305</v>
      </c>
      <c r="U104" s="4">
        <f t="shared" si="37"/>
        <v>10.09305</v>
      </c>
      <c r="V104" s="4">
        <f t="shared" si="37"/>
        <v>9.0837450000000004</v>
      </c>
      <c r="W104" s="4">
        <f t="shared" si="37"/>
        <v>10.09305</v>
      </c>
      <c r="X104" s="4">
        <f t="shared" si="37"/>
        <v>10.09305</v>
      </c>
      <c r="Y104" s="4">
        <f t="shared" si="37"/>
        <v>10.09305</v>
      </c>
      <c r="Z104" s="4">
        <f t="shared" si="37"/>
        <v>10.09305</v>
      </c>
      <c r="AA104" s="4">
        <f t="shared" si="37"/>
        <v>10.09305</v>
      </c>
      <c r="AB104" s="4">
        <f t="shared" si="37"/>
        <v>10.09305</v>
      </c>
      <c r="AC104" s="4">
        <f t="shared" si="37"/>
        <v>10.09305</v>
      </c>
      <c r="AD104" s="4">
        <f t="shared" si="37"/>
        <v>10.09305</v>
      </c>
      <c r="AE104" s="4">
        <f t="shared" si="37"/>
        <v>10.09305</v>
      </c>
      <c r="AF104" s="4">
        <f t="shared" si="37"/>
        <v>10.09305</v>
      </c>
      <c r="AG104" s="4">
        <f t="shared" si="37"/>
        <v>10.09305</v>
      </c>
      <c r="AH104" s="4">
        <f t="shared" si="37"/>
        <v>10.09305</v>
      </c>
      <c r="AI104" s="4">
        <f t="shared" si="37"/>
        <v>10.09305</v>
      </c>
      <c r="AJ104" s="4">
        <f t="shared" si="37"/>
        <v>10.09305</v>
      </c>
      <c r="AK104" s="4">
        <f t="shared" si="37"/>
        <v>10.09305</v>
      </c>
      <c r="AL104" s="4">
        <f t="shared" si="37"/>
        <v>10.09305</v>
      </c>
      <c r="AM104" s="4">
        <f t="shared" si="37"/>
        <v>10.09305</v>
      </c>
      <c r="AN104" s="4">
        <f t="shared" si="37"/>
        <v>10.09305</v>
      </c>
      <c r="AO104" s="4">
        <f t="shared" si="37"/>
        <v>10.09305</v>
      </c>
      <c r="AP104" s="4">
        <f t="shared" si="37"/>
        <v>10.09305</v>
      </c>
      <c r="AQ104" s="4">
        <f t="shared" si="37"/>
        <v>10.09305</v>
      </c>
      <c r="AR104">
        <f t="shared" si="9"/>
        <v>10.09305</v>
      </c>
    </row>
    <row r="105" spans="1:44" ht="12.75">
      <c r="A105" t="s">
        <v>248</v>
      </c>
      <c r="B105" t="s">
        <v>351</v>
      </c>
      <c r="D105" t="str">
        <f t="shared" si="4"/>
        <v>COST</v>
      </c>
      <c r="E105">
        <f t="shared" si="5"/>
        <v>2030</v>
      </c>
      <c r="F105" t="str">
        <f t="shared" si="20"/>
        <v>EXPOILCRD</v>
      </c>
      <c r="G105" t="str">
        <f t="shared" si="7"/>
        <v>OILCRD</v>
      </c>
      <c r="H105" s="4">
        <f t="shared" si="38" ref="H105:AQ105">H41*0.99</f>
        <v>12.162149999999999</v>
      </c>
      <c r="I105" s="4">
        <f t="shared" si="38"/>
        <v>13.513499999999999</v>
      </c>
      <c r="J105" s="4">
        <f t="shared" si="38"/>
        <v>13.513499999999999</v>
      </c>
      <c r="K105" s="4">
        <f t="shared" si="38"/>
        <v>13.513499999999999</v>
      </c>
      <c r="L105" s="4">
        <f t="shared" si="38"/>
        <v>13.513499999999999</v>
      </c>
      <c r="M105" s="4">
        <f t="shared" si="38"/>
        <v>13.513499999999999</v>
      </c>
      <c r="N105" s="4">
        <f t="shared" si="38"/>
        <v>13.513499999999999</v>
      </c>
      <c r="O105" s="4">
        <f t="shared" si="38"/>
        <v>13.513499999999999</v>
      </c>
      <c r="P105" s="4">
        <f t="shared" si="38"/>
        <v>11.486474999999999</v>
      </c>
      <c r="Q105" s="4">
        <f t="shared" si="38"/>
        <v>13.513499999999999</v>
      </c>
      <c r="R105" s="4">
        <f t="shared" si="38"/>
        <v>13.513499999999999</v>
      </c>
      <c r="S105" s="4">
        <f t="shared" si="38"/>
        <v>13.513499999999999</v>
      </c>
      <c r="T105" s="4">
        <f t="shared" si="38"/>
        <v>13.513499999999999</v>
      </c>
      <c r="U105" s="4">
        <f t="shared" si="38"/>
        <v>12.162149999999999</v>
      </c>
      <c r="V105" s="4">
        <f t="shared" si="38"/>
        <v>12.162149999999999</v>
      </c>
      <c r="W105" s="4">
        <f t="shared" si="38"/>
        <v>13.513499999999999</v>
      </c>
      <c r="X105" s="4">
        <f t="shared" si="38"/>
        <v>13.513499999999999</v>
      </c>
      <c r="Y105" s="4">
        <f t="shared" si="38"/>
        <v>13.513499999999999</v>
      </c>
      <c r="Z105" s="4">
        <f t="shared" si="38"/>
        <v>13.513499999999999</v>
      </c>
      <c r="AA105" s="4">
        <f t="shared" si="38"/>
        <v>13.513499999999999</v>
      </c>
      <c r="AB105" s="4">
        <f t="shared" si="38"/>
        <v>13.513499999999999</v>
      </c>
      <c r="AC105" s="4">
        <f t="shared" si="38"/>
        <v>13.513499999999999</v>
      </c>
      <c r="AD105" s="4">
        <f t="shared" si="38"/>
        <v>13.513499999999999</v>
      </c>
      <c r="AE105" s="4">
        <f t="shared" si="38"/>
        <v>13.513499999999999</v>
      </c>
      <c r="AF105" s="4">
        <f t="shared" si="38"/>
        <v>13.513499999999999</v>
      </c>
      <c r="AG105" s="4">
        <f t="shared" si="38"/>
        <v>13.513499999999999</v>
      </c>
      <c r="AH105" s="4">
        <f t="shared" si="38"/>
        <v>13.513499999999999</v>
      </c>
      <c r="AI105" s="4">
        <f t="shared" si="38"/>
        <v>13.513499999999999</v>
      </c>
      <c r="AJ105" s="4">
        <f t="shared" si="38"/>
        <v>13.513499999999999</v>
      </c>
      <c r="AK105" s="4">
        <f t="shared" si="38"/>
        <v>13.513499999999999</v>
      </c>
      <c r="AL105" s="4">
        <f t="shared" si="38"/>
        <v>13.513499999999999</v>
      </c>
      <c r="AM105" s="4">
        <f t="shared" si="38"/>
        <v>13.513499999999999</v>
      </c>
      <c r="AN105" s="4">
        <f t="shared" si="38"/>
        <v>13.513499999999999</v>
      </c>
      <c r="AO105" s="4">
        <f t="shared" si="38"/>
        <v>13.513499999999999</v>
      </c>
      <c r="AP105" s="4">
        <f t="shared" si="38"/>
        <v>13.513499999999999</v>
      </c>
      <c r="AQ105" s="4">
        <f t="shared" si="38"/>
        <v>13.513499999999999</v>
      </c>
      <c r="AR105">
        <f t="shared" si="9"/>
        <v>13.513499999999999</v>
      </c>
    </row>
    <row r="106" spans="1:44" ht="12.75">
      <c r="A106" t="s">
        <v>248</v>
      </c>
      <c r="B106" t="s">
        <v>351</v>
      </c>
      <c r="D106" t="str">
        <f t="shared" si="4"/>
        <v>COST</v>
      </c>
      <c r="E106">
        <f t="shared" si="5"/>
        <v>2030</v>
      </c>
      <c r="F106" t="str">
        <f t="shared" si="20"/>
        <v>EXPOILHFO</v>
      </c>
      <c r="G106" t="str">
        <f t="shared" si="7"/>
        <v>OILHFO</v>
      </c>
      <c r="H106" s="4">
        <f t="shared" si="39" ref="H106:AQ106">H42*0.99</f>
        <v>9.8513415000000002</v>
      </c>
      <c r="I106" s="4">
        <f t="shared" si="39"/>
        <v>10.945935</v>
      </c>
      <c r="J106" s="4">
        <f t="shared" si="39"/>
        <v>10.945935</v>
      </c>
      <c r="K106" s="4">
        <f t="shared" si="39"/>
        <v>10.945935</v>
      </c>
      <c r="L106" s="4">
        <f t="shared" si="39"/>
        <v>10.945935</v>
      </c>
      <c r="M106" s="4">
        <f t="shared" si="39"/>
        <v>10.945935</v>
      </c>
      <c r="N106" s="4">
        <f t="shared" si="39"/>
        <v>10.945935</v>
      </c>
      <c r="O106" s="4">
        <f t="shared" si="39"/>
        <v>10.945935</v>
      </c>
      <c r="P106" s="4">
        <f t="shared" si="39"/>
        <v>9.3040447499999992</v>
      </c>
      <c r="Q106" s="4">
        <f t="shared" si="39"/>
        <v>10.945935</v>
      </c>
      <c r="R106" s="4">
        <f t="shared" si="39"/>
        <v>10.945935</v>
      </c>
      <c r="S106" s="4">
        <f t="shared" si="39"/>
        <v>10.945935</v>
      </c>
      <c r="T106" s="4">
        <f t="shared" si="39"/>
        <v>10.945935</v>
      </c>
      <c r="U106" s="4">
        <f t="shared" si="39"/>
        <v>9.8513415000000002</v>
      </c>
      <c r="V106" s="4">
        <f t="shared" si="39"/>
        <v>9.8513415000000002</v>
      </c>
      <c r="W106" s="4">
        <f t="shared" si="39"/>
        <v>10.945935</v>
      </c>
      <c r="X106" s="4">
        <f t="shared" si="39"/>
        <v>10.945935</v>
      </c>
      <c r="Y106" s="4">
        <f t="shared" si="39"/>
        <v>10.945935</v>
      </c>
      <c r="Z106" s="4">
        <f t="shared" si="39"/>
        <v>10.945935</v>
      </c>
      <c r="AA106" s="4">
        <f t="shared" si="39"/>
        <v>10.945935</v>
      </c>
      <c r="AB106" s="4">
        <f t="shared" si="39"/>
        <v>10.945935</v>
      </c>
      <c r="AC106" s="4">
        <f t="shared" si="39"/>
        <v>10.945935</v>
      </c>
      <c r="AD106" s="4">
        <f t="shared" si="39"/>
        <v>10.945935</v>
      </c>
      <c r="AE106" s="4">
        <f t="shared" si="39"/>
        <v>10.945935</v>
      </c>
      <c r="AF106" s="4">
        <f t="shared" si="39"/>
        <v>10.945935</v>
      </c>
      <c r="AG106" s="4">
        <f t="shared" si="39"/>
        <v>10.945935</v>
      </c>
      <c r="AH106" s="4">
        <f t="shared" si="39"/>
        <v>10.945935</v>
      </c>
      <c r="AI106" s="4">
        <f t="shared" si="39"/>
        <v>10.945935</v>
      </c>
      <c r="AJ106" s="4">
        <f t="shared" si="39"/>
        <v>10.945935</v>
      </c>
      <c r="AK106" s="4">
        <f t="shared" si="39"/>
        <v>10.945935</v>
      </c>
      <c r="AL106" s="4">
        <f t="shared" si="39"/>
        <v>10.945935</v>
      </c>
      <c r="AM106" s="4">
        <f t="shared" si="39"/>
        <v>10.945935</v>
      </c>
      <c r="AN106" s="4">
        <f t="shared" si="39"/>
        <v>10.945935</v>
      </c>
      <c r="AO106" s="4">
        <f t="shared" si="39"/>
        <v>10.945935</v>
      </c>
      <c r="AP106" s="4">
        <f t="shared" si="39"/>
        <v>10.945935</v>
      </c>
      <c r="AQ106" s="4">
        <f t="shared" si="39"/>
        <v>10.945935</v>
      </c>
      <c r="AR106">
        <f t="shared" si="9"/>
        <v>10.945935</v>
      </c>
    </row>
    <row r="107" spans="1:44" ht="12.75">
      <c r="A107" t="s">
        <v>248</v>
      </c>
      <c r="B107" t="s">
        <v>351</v>
      </c>
      <c r="D107" t="str">
        <f t="shared" si="4"/>
        <v>COST</v>
      </c>
      <c r="E107">
        <f t="shared" si="5"/>
        <v>2030</v>
      </c>
      <c r="F107" t="str">
        <f t="shared" si="20"/>
        <v>EXPOILDST</v>
      </c>
      <c r="G107" t="str">
        <f t="shared" si="7"/>
        <v>OILDST</v>
      </c>
      <c r="H107" s="4">
        <f t="shared" si="40" ref="H107:AQ107">H43*0.99</f>
        <v>17.567549999999997</v>
      </c>
      <c r="I107" s="4">
        <f t="shared" si="40"/>
        <v>17.567549999999997</v>
      </c>
      <c r="J107" s="4">
        <f t="shared" si="40"/>
        <v>17.567549999999997</v>
      </c>
      <c r="K107" s="4">
        <f t="shared" si="40"/>
        <v>17.567549999999997</v>
      </c>
      <c r="L107" s="4">
        <f t="shared" si="40"/>
        <v>17.567549999999997</v>
      </c>
      <c r="M107" s="4">
        <f t="shared" si="40"/>
        <v>17.567549999999997</v>
      </c>
      <c r="N107" s="4">
        <f t="shared" si="40"/>
        <v>17.567549999999997</v>
      </c>
      <c r="O107" s="4">
        <f t="shared" si="40"/>
        <v>17.567549999999997</v>
      </c>
      <c r="P107" s="4">
        <f t="shared" si="40"/>
        <v>17.567549999999997</v>
      </c>
      <c r="Q107" s="4">
        <f t="shared" si="40"/>
        <v>17.567549999999997</v>
      </c>
      <c r="R107" s="4">
        <f t="shared" si="40"/>
        <v>17.567549999999997</v>
      </c>
      <c r="S107" s="4">
        <f t="shared" si="40"/>
        <v>17.567549999999997</v>
      </c>
      <c r="T107" s="4">
        <f t="shared" si="40"/>
        <v>17.567549999999997</v>
      </c>
      <c r="U107" s="4">
        <f t="shared" si="40"/>
        <v>17.567549999999997</v>
      </c>
      <c r="V107" s="4">
        <f t="shared" si="40"/>
        <v>16.689172499999994</v>
      </c>
      <c r="W107" s="4">
        <f t="shared" si="40"/>
        <v>17.567549999999997</v>
      </c>
      <c r="X107" s="4">
        <f t="shared" si="40"/>
        <v>17.567549999999997</v>
      </c>
      <c r="Y107" s="4">
        <f t="shared" si="40"/>
        <v>17.567549999999997</v>
      </c>
      <c r="Z107" s="4">
        <f t="shared" si="40"/>
        <v>17.567549999999997</v>
      </c>
      <c r="AA107" s="4">
        <f t="shared" si="40"/>
        <v>17.567549999999997</v>
      </c>
      <c r="AB107" s="4">
        <f t="shared" si="40"/>
        <v>17.567549999999997</v>
      </c>
      <c r="AC107" s="4">
        <f t="shared" si="40"/>
        <v>17.567549999999997</v>
      </c>
      <c r="AD107" s="4">
        <f t="shared" si="40"/>
        <v>17.567549999999997</v>
      </c>
      <c r="AE107" s="4">
        <f t="shared" si="40"/>
        <v>17.567549999999997</v>
      </c>
      <c r="AF107" s="4">
        <f t="shared" si="40"/>
        <v>17.567549999999997</v>
      </c>
      <c r="AG107" s="4">
        <f t="shared" si="40"/>
        <v>17.567549999999997</v>
      </c>
      <c r="AH107" s="4">
        <f t="shared" si="40"/>
        <v>17.567549999999997</v>
      </c>
      <c r="AI107" s="4">
        <f t="shared" si="40"/>
        <v>17.567549999999997</v>
      </c>
      <c r="AJ107" s="4">
        <f t="shared" si="40"/>
        <v>17.567549999999997</v>
      </c>
      <c r="AK107" s="4">
        <f t="shared" si="40"/>
        <v>17.567549999999997</v>
      </c>
      <c r="AL107" s="4">
        <f t="shared" si="40"/>
        <v>17.567549999999997</v>
      </c>
      <c r="AM107" s="4">
        <f t="shared" si="40"/>
        <v>17.567549999999997</v>
      </c>
      <c r="AN107" s="4">
        <f t="shared" si="40"/>
        <v>17.567549999999997</v>
      </c>
      <c r="AO107" s="4">
        <f t="shared" si="40"/>
        <v>17.567549999999997</v>
      </c>
      <c r="AP107" s="4">
        <f t="shared" si="40"/>
        <v>17.567549999999997</v>
      </c>
      <c r="AQ107" s="4">
        <f t="shared" si="40"/>
        <v>17.567549999999997</v>
      </c>
      <c r="AR107">
        <f t="shared" si="9"/>
        <v>17.567549999999997</v>
      </c>
    </row>
    <row r="108" spans="1:44" ht="12.75">
      <c r="A108" t="s">
        <v>248</v>
      </c>
      <c r="B108" t="s">
        <v>351</v>
      </c>
      <c r="D108" t="str">
        <f t="shared" si="4"/>
        <v>COST</v>
      </c>
      <c r="E108">
        <f t="shared" si="5"/>
        <v>2030</v>
      </c>
      <c r="F108" t="str">
        <f t="shared" si="20"/>
        <v>EXPOILLPG</v>
      </c>
      <c r="G108" t="str">
        <f t="shared" si="7"/>
        <v>OILLPG</v>
      </c>
      <c r="H108" s="4">
        <f t="shared" si="41" ref="H108:AQ108">H44*0.99</f>
        <v>14.864849999999999</v>
      </c>
      <c r="I108" s="4">
        <f t="shared" si="41"/>
        <v>14.864849999999999</v>
      </c>
      <c r="J108" s="4">
        <f t="shared" si="41"/>
        <v>14.864849999999999</v>
      </c>
      <c r="K108" s="4">
        <f t="shared" si="41"/>
        <v>14.864849999999999</v>
      </c>
      <c r="L108" s="4">
        <f t="shared" si="41"/>
        <v>14.864849999999999</v>
      </c>
      <c r="M108" s="4">
        <f t="shared" si="41"/>
        <v>14.864849999999999</v>
      </c>
      <c r="N108" s="4">
        <f t="shared" si="41"/>
        <v>14.864849999999999</v>
      </c>
      <c r="O108" s="4">
        <f t="shared" si="41"/>
        <v>14.864849999999999</v>
      </c>
      <c r="P108" s="4">
        <f t="shared" si="41"/>
        <v>14.864849999999999</v>
      </c>
      <c r="Q108" s="4">
        <f t="shared" si="41"/>
        <v>14.864849999999999</v>
      </c>
      <c r="R108" s="4">
        <f t="shared" si="41"/>
        <v>14.864849999999999</v>
      </c>
      <c r="S108" s="4">
        <f t="shared" si="41"/>
        <v>14.864849999999999</v>
      </c>
      <c r="T108" s="4">
        <f t="shared" si="41"/>
        <v>14.864849999999999</v>
      </c>
      <c r="U108" s="4">
        <f t="shared" si="41"/>
        <v>14.864849999999999</v>
      </c>
      <c r="V108" s="4">
        <f t="shared" si="41"/>
        <v>14.121607499999998</v>
      </c>
      <c r="W108" s="4">
        <f t="shared" si="41"/>
        <v>14.864849999999999</v>
      </c>
      <c r="X108" s="4">
        <f t="shared" si="41"/>
        <v>14.864849999999999</v>
      </c>
      <c r="Y108" s="4">
        <f t="shared" si="41"/>
        <v>14.864849999999999</v>
      </c>
      <c r="Z108" s="4">
        <f t="shared" si="41"/>
        <v>14.864849999999999</v>
      </c>
      <c r="AA108" s="4">
        <f t="shared" si="41"/>
        <v>14.864849999999999</v>
      </c>
      <c r="AB108" s="4">
        <f t="shared" si="41"/>
        <v>14.864849999999999</v>
      </c>
      <c r="AC108" s="4">
        <f t="shared" si="41"/>
        <v>14.864849999999999</v>
      </c>
      <c r="AD108" s="4">
        <f t="shared" si="41"/>
        <v>14.864849999999999</v>
      </c>
      <c r="AE108" s="4">
        <f t="shared" si="41"/>
        <v>14.864849999999999</v>
      </c>
      <c r="AF108" s="4">
        <f t="shared" si="41"/>
        <v>14.864849999999999</v>
      </c>
      <c r="AG108" s="4">
        <f t="shared" si="41"/>
        <v>14.864849999999999</v>
      </c>
      <c r="AH108" s="4">
        <f t="shared" si="41"/>
        <v>14.864849999999999</v>
      </c>
      <c r="AI108" s="4">
        <f t="shared" si="41"/>
        <v>14.864849999999999</v>
      </c>
      <c r="AJ108" s="4">
        <f t="shared" si="41"/>
        <v>14.864849999999999</v>
      </c>
      <c r="AK108" s="4">
        <f t="shared" si="41"/>
        <v>14.864849999999999</v>
      </c>
      <c r="AL108" s="4">
        <f t="shared" si="41"/>
        <v>14.864849999999999</v>
      </c>
      <c r="AM108" s="4">
        <f t="shared" si="41"/>
        <v>14.864849999999999</v>
      </c>
      <c r="AN108" s="4">
        <f t="shared" si="41"/>
        <v>14.864849999999999</v>
      </c>
      <c r="AO108" s="4">
        <f t="shared" si="41"/>
        <v>14.864849999999999</v>
      </c>
      <c r="AP108" s="4">
        <f t="shared" si="41"/>
        <v>14.864849999999999</v>
      </c>
      <c r="AQ108" s="4">
        <f t="shared" si="41"/>
        <v>14.864849999999999</v>
      </c>
      <c r="AR108">
        <f t="shared" si="9"/>
        <v>14.864849999999999</v>
      </c>
    </row>
    <row r="109" spans="1:44" ht="12.75">
      <c r="A109" t="s">
        <v>248</v>
      </c>
      <c r="B109" t="s">
        <v>351</v>
      </c>
      <c r="D109" t="str">
        <f t="shared" si="4"/>
        <v>COST</v>
      </c>
      <c r="E109">
        <f t="shared" si="42" ref="E109:E139">E45</f>
        <v>2030</v>
      </c>
      <c r="F109" t="str">
        <f t="shared" si="20"/>
        <v>EXPOILGSL</v>
      </c>
      <c r="G109" t="str">
        <f t="shared" si="43" ref="G109:G139">G45</f>
        <v>OILGSL</v>
      </c>
      <c r="H109" s="4">
        <f t="shared" si="44" ref="H109:AQ109">H45*0.99</f>
        <v>18.918899999999997</v>
      </c>
      <c r="I109" s="4">
        <f t="shared" si="44"/>
        <v>18.918899999999997</v>
      </c>
      <c r="J109" s="4">
        <f t="shared" si="44"/>
        <v>18.918899999999997</v>
      </c>
      <c r="K109" s="4">
        <f t="shared" si="44"/>
        <v>18.918899999999997</v>
      </c>
      <c r="L109" s="4">
        <f t="shared" si="44"/>
        <v>18.918899999999997</v>
      </c>
      <c r="M109" s="4">
        <f t="shared" si="44"/>
        <v>18.918899999999997</v>
      </c>
      <c r="N109" s="4">
        <f t="shared" si="44"/>
        <v>18.918899999999997</v>
      </c>
      <c r="O109" s="4">
        <f t="shared" si="44"/>
        <v>18.918899999999997</v>
      </c>
      <c r="P109" s="4">
        <f t="shared" si="44"/>
        <v>18.918899999999997</v>
      </c>
      <c r="Q109" s="4">
        <f t="shared" si="44"/>
        <v>18.918899999999997</v>
      </c>
      <c r="R109" s="4">
        <f t="shared" si="44"/>
        <v>18.918899999999997</v>
      </c>
      <c r="S109" s="4">
        <f t="shared" si="44"/>
        <v>18.918899999999997</v>
      </c>
      <c r="T109" s="4">
        <f t="shared" si="44"/>
        <v>18.918899999999997</v>
      </c>
      <c r="U109" s="4">
        <f t="shared" si="44"/>
        <v>18.918899999999997</v>
      </c>
      <c r="V109" s="4">
        <f t="shared" si="44"/>
        <v>17.972954999999995</v>
      </c>
      <c r="W109" s="4">
        <f t="shared" si="44"/>
        <v>18.918899999999997</v>
      </c>
      <c r="X109" s="4">
        <f t="shared" si="44"/>
        <v>18.918899999999997</v>
      </c>
      <c r="Y109" s="4">
        <f t="shared" si="44"/>
        <v>18.918899999999997</v>
      </c>
      <c r="Z109" s="4">
        <f t="shared" si="44"/>
        <v>18.918899999999997</v>
      </c>
      <c r="AA109" s="4">
        <f t="shared" si="44"/>
        <v>18.918899999999997</v>
      </c>
      <c r="AB109" s="4">
        <f t="shared" si="44"/>
        <v>18.918899999999997</v>
      </c>
      <c r="AC109" s="4">
        <f t="shared" si="44"/>
        <v>18.918899999999997</v>
      </c>
      <c r="AD109" s="4">
        <f t="shared" si="44"/>
        <v>18.918899999999997</v>
      </c>
      <c r="AE109" s="4">
        <f t="shared" si="44"/>
        <v>18.918899999999997</v>
      </c>
      <c r="AF109" s="4">
        <f t="shared" si="44"/>
        <v>18.918899999999997</v>
      </c>
      <c r="AG109" s="4">
        <f t="shared" si="44"/>
        <v>18.918899999999997</v>
      </c>
      <c r="AH109" s="4">
        <f t="shared" si="44"/>
        <v>18.918899999999997</v>
      </c>
      <c r="AI109" s="4">
        <f t="shared" si="44"/>
        <v>18.918899999999997</v>
      </c>
      <c r="AJ109" s="4">
        <f t="shared" si="44"/>
        <v>18.918899999999997</v>
      </c>
      <c r="AK109" s="4">
        <f t="shared" si="44"/>
        <v>18.918899999999997</v>
      </c>
      <c r="AL109" s="4">
        <f t="shared" si="44"/>
        <v>18.918899999999997</v>
      </c>
      <c r="AM109" s="4">
        <f t="shared" si="44"/>
        <v>18.918899999999997</v>
      </c>
      <c r="AN109" s="4">
        <f t="shared" si="44"/>
        <v>18.918899999999997</v>
      </c>
      <c r="AO109" s="4">
        <f t="shared" si="44"/>
        <v>18.918899999999997</v>
      </c>
      <c r="AP109" s="4">
        <f t="shared" si="44"/>
        <v>18.918899999999997</v>
      </c>
      <c r="AQ109" s="4">
        <f t="shared" si="44"/>
        <v>18.918899999999997</v>
      </c>
      <c r="AR109">
        <f t="shared" si="9"/>
        <v>18.918899999999997</v>
      </c>
    </row>
    <row r="110" spans="1:44" ht="12.75">
      <c r="A110" t="s">
        <v>248</v>
      </c>
      <c r="B110" t="s">
        <v>351</v>
      </c>
      <c r="D110" t="str">
        <f t="shared" si="4"/>
        <v>COST</v>
      </c>
      <c r="E110">
        <f t="shared" si="42"/>
        <v>2030</v>
      </c>
      <c r="F110" t="str">
        <f t="shared" si="20"/>
        <v>EXPOILKER</v>
      </c>
      <c r="G110" t="str">
        <f t="shared" si="43"/>
        <v>OILKER</v>
      </c>
      <c r="H110" s="4">
        <f t="shared" si="45" ref="H110:AQ110">H46*0.99</f>
        <v>18.918899999999997</v>
      </c>
      <c r="I110" s="4">
        <f t="shared" si="45"/>
        <v>18.918899999999997</v>
      </c>
      <c r="J110" s="4">
        <f t="shared" si="45"/>
        <v>18.918899999999997</v>
      </c>
      <c r="K110" s="4">
        <f t="shared" si="45"/>
        <v>18.918899999999997</v>
      </c>
      <c r="L110" s="4">
        <f t="shared" si="45"/>
        <v>18.918899999999997</v>
      </c>
      <c r="M110" s="4">
        <f t="shared" si="45"/>
        <v>18.918899999999997</v>
      </c>
      <c r="N110" s="4">
        <f t="shared" si="45"/>
        <v>18.918899999999997</v>
      </c>
      <c r="O110" s="4">
        <f t="shared" si="45"/>
        <v>18.918899999999997</v>
      </c>
      <c r="P110" s="4">
        <f t="shared" si="45"/>
        <v>18.918899999999997</v>
      </c>
      <c r="Q110" s="4">
        <f t="shared" si="45"/>
        <v>18.918899999999997</v>
      </c>
      <c r="R110" s="4">
        <f t="shared" si="45"/>
        <v>18.918899999999997</v>
      </c>
      <c r="S110" s="4">
        <f t="shared" si="45"/>
        <v>18.918899999999997</v>
      </c>
      <c r="T110" s="4">
        <f t="shared" si="45"/>
        <v>18.918899999999997</v>
      </c>
      <c r="U110" s="4">
        <f t="shared" si="45"/>
        <v>18.918899999999997</v>
      </c>
      <c r="V110" s="4">
        <f t="shared" si="45"/>
        <v>17.972954999999995</v>
      </c>
      <c r="W110" s="4">
        <f t="shared" si="45"/>
        <v>18.918899999999997</v>
      </c>
      <c r="X110" s="4">
        <f t="shared" si="45"/>
        <v>18.918899999999997</v>
      </c>
      <c r="Y110" s="4">
        <f t="shared" si="45"/>
        <v>18.918899999999997</v>
      </c>
      <c r="Z110" s="4">
        <f t="shared" si="45"/>
        <v>18.918899999999997</v>
      </c>
      <c r="AA110" s="4">
        <f t="shared" si="45"/>
        <v>18.918899999999997</v>
      </c>
      <c r="AB110" s="4">
        <f t="shared" si="45"/>
        <v>18.918899999999997</v>
      </c>
      <c r="AC110" s="4">
        <f t="shared" si="45"/>
        <v>18.918899999999997</v>
      </c>
      <c r="AD110" s="4">
        <f t="shared" si="45"/>
        <v>18.918899999999997</v>
      </c>
      <c r="AE110" s="4">
        <f t="shared" si="45"/>
        <v>18.918899999999997</v>
      </c>
      <c r="AF110" s="4">
        <f t="shared" si="45"/>
        <v>18.918899999999997</v>
      </c>
      <c r="AG110" s="4">
        <f t="shared" si="45"/>
        <v>18.918899999999997</v>
      </c>
      <c r="AH110" s="4">
        <f t="shared" si="45"/>
        <v>18.918899999999997</v>
      </c>
      <c r="AI110" s="4">
        <f t="shared" si="45"/>
        <v>18.918899999999997</v>
      </c>
      <c r="AJ110" s="4">
        <f t="shared" si="45"/>
        <v>18.918899999999997</v>
      </c>
      <c r="AK110" s="4">
        <f t="shared" si="45"/>
        <v>18.918899999999997</v>
      </c>
      <c r="AL110" s="4">
        <f t="shared" si="45"/>
        <v>18.918899999999997</v>
      </c>
      <c r="AM110" s="4">
        <f t="shared" si="45"/>
        <v>18.918899999999997</v>
      </c>
      <c r="AN110" s="4">
        <f t="shared" si="45"/>
        <v>18.918899999999997</v>
      </c>
      <c r="AO110" s="4">
        <f t="shared" si="45"/>
        <v>18.918899999999997</v>
      </c>
      <c r="AP110" s="4">
        <f t="shared" si="45"/>
        <v>18.918899999999997</v>
      </c>
      <c r="AQ110" s="4">
        <f t="shared" si="45"/>
        <v>18.918899999999997</v>
      </c>
      <c r="AR110">
        <f t="shared" si="9"/>
        <v>18.918899999999997</v>
      </c>
    </row>
    <row r="111" spans="1:44" ht="12.75">
      <c r="A111" t="s">
        <v>248</v>
      </c>
      <c r="B111" t="s">
        <v>351</v>
      </c>
      <c r="D111" t="str">
        <f t="shared" si="4"/>
        <v>*</v>
      </c>
      <c r="E111">
        <f t="shared" si="42"/>
        <v>2030</v>
      </c>
      <c r="F111" t="str">
        <f t="shared" si="20"/>
        <v>EXPGASNAT</v>
      </c>
      <c r="G111" t="str">
        <f t="shared" si="43"/>
        <v>GASNAT</v>
      </c>
      <c r="H111" s="4">
        <f t="shared" si="46" ref="H111:AQ111">H47*0.99</f>
        <v>6.9300000000000006</v>
      </c>
      <c r="I111" s="4">
        <f t="shared" si="46"/>
        <v>6.9300000000000006</v>
      </c>
      <c r="J111" s="4">
        <f t="shared" si="46"/>
        <v>6.9300000000000006</v>
      </c>
      <c r="K111" s="4">
        <f t="shared" si="46"/>
        <v>6.9300000000000006</v>
      </c>
      <c r="L111" s="4">
        <f t="shared" si="46"/>
        <v>6.9300000000000006</v>
      </c>
      <c r="M111" s="4">
        <f t="shared" si="46"/>
        <v>6.9300000000000006</v>
      </c>
      <c r="N111" s="4">
        <f t="shared" si="46"/>
        <v>6.9300000000000006</v>
      </c>
      <c r="O111" s="4">
        <f t="shared" si="46"/>
        <v>6.9300000000000006</v>
      </c>
      <c r="P111" s="4">
        <f t="shared" si="46"/>
        <v>5.8905000000000003</v>
      </c>
      <c r="Q111" s="4">
        <f t="shared" si="46"/>
        <v>6.237000000000001</v>
      </c>
      <c r="R111" s="4">
        <f t="shared" si="46"/>
        <v>6.9300000000000006</v>
      </c>
      <c r="S111" s="4">
        <f t="shared" si="46"/>
        <v>6.9300000000000006</v>
      </c>
      <c r="T111" s="4">
        <f t="shared" si="46"/>
        <v>6.9300000000000006</v>
      </c>
      <c r="U111" s="4">
        <f t="shared" si="46"/>
        <v>6.9300000000000006</v>
      </c>
      <c r="V111" s="4">
        <f t="shared" si="46"/>
        <v>6.237000000000001</v>
      </c>
      <c r="W111" s="4">
        <f t="shared" si="46"/>
        <v>6.9300000000000006</v>
      </c>
      <c r="X111" s="4">
        <f t="shared" si="46"/>
        <v>6.9300000000000006</v>
      </c>
      <c r="Y111" s="4">
        <f t="shared" si="46"/>
        <v>6.9300000000000006</v>
      </c>
      <c r="Z111" s="4">
        <f t="shared" si="46"/>
        <v>6.9300000000000006</v>
      </c>
      <c r="AA111" s="4">
        <f t="shared" si="46"/>
        <v>6.9300000000000006</v>
      </c>
      <c r="AB111" s="4">
        <f t="shared" si="46"/>
        <v>6.9300000000000006</v>
      </c>
      <c r="AC111" s="4">
        <f t="shared" si="46"/>
        <v>6.9300000000000006</v>
      </c>
      <c r="AD111" s="4">
        <f t="shared" si="46"/>
        <v>6.9300000000000006</v>
      </c>
      <c r="AE111" s="4">
        <f t="shared" si="46"/>
        <v>6.9300000000000006</v>
      </c>
      <c r="AF111" s="4">
        <f t="shared" si="46"/>
        <v>6.9300000000000006</v>
      </c>
      <c r="AG111" s="4">
        <f t="shared" si="46"/>
        <v>6.9300000000000006</v>
      </c>
      <c r="AH111" s="4">
        <f t="shared" si="46"/>
        <v>6.9300000000000006</v>
      </c>
      <c r="AI111" s="4">
        <f t="shared" si="46"/>
        <v>6.9300000000000006</v>
      </c>
      <c r="AJ111" s="4">
        <f t="shared" si="46"/>
        <v>6.9300000000000006</v>
      </c>
      <c r="AK111" s="4">
        <f t="shared" si="46"/>
        <v>6.9300000000000006</v>
      </c>
      <c r="AL111" s="4">
        <f t="shared" si="46"/>
        <v>6.9300000000000006</v>
      </c>
      <c r="AM111" s="4">
        <f t="shared" si="46"/>
        <v>6.9300000000000006</v>
      </c>
      <c r="AN111" s="4">
        <f t="shared" si="46"/>
        <v>6.9300000000000006</v>
      </c>
      <c r="AO111" s="4">
        <f t="shared" si="46"/>
        <v>6.9300000000000006</v>
      </c>
      <c r="AP111" s="4">
        <f t="shared" si="46"/>
        <v>6.9300000000000006</v>
      </c>
      <c r="AQ111" s="4">
        <f t="shared" si="46"/>
        <v>6.9300000000000006</v>
      </c>
      <c r="AR111">
        <f t="shared" si="9"/>
        <v>6.9300000000000006</v>
      </c>
    </row>
    <row r="112" spans="1:44" ht="12.75">
      <c r="A112" t="s">
        <v>248</v>
      </c>
      <c r="B112" t="s">
        <v>351</v>
      </c>
      <c r="D112" t="str">
        <f t="shared" si="4"/>
        <v>COST</v>
      </c>
      <c r="E112">
        <f t="shared" si="42"/>
        <v>2035</v>
      </c>
      <c r="F112" t="str">
        <f t="shared" si="20"/>
        <v>EXPOILCRD</v>
      </c>
      <c r="G112" t="str">
        <f t="shared" si="43"/>
        <v>OILCRD</v>
      </c>
      <c r="H112" s="4">
        <f t="shared" si="47" ref="H112:AQ112">H48*0.99</f>
        <v>12.518549999999999</v>
      </c>
      <c r="I112" s="4">
        <f t="shared" si="47"/>
        <v>13.9095</v>
      </c>
      <c r="J112" s="4">
        <f t="shared" si="47"/>
        <v>13.9095</v>
      </c>
      <c r="K112" s="4">
        <f t="shared" si="47"/>
        <v>13.9095</v>
      </c>
      <c r="L112" s="4">
        <f t="shared" si="47"/>
        <v>13.9095</v>
      </c>
      <c r="M112" s="4">
        <f t="shared" si="47"/>
        <v>13.9095</v>
      </c>
      <c r="N112" s="4">
        <f t="shared" si="47"/>
        <v>13.9095</v>
      </c>
      <c r="O112" s="4">
        <f t="shared" si="47"/>
        <v>13.9095</v>
      </c>
      <c r="P112" s="4">
        <f t="shared" si="47"/>
        <v>11.823074999999999</v>
      </c>
      <c r="Q112" s="4">
        <f t="shared" si="47"/>
        <v>13.9095</v>
      </c>
      <c r="R112" s="4">
        <f t="shared" si="47"/>
        <v>13.9095</v>
      </c>
      <c r="S112" s="4">
        <f t="shared" si="47"/>
        <v>13.9095</v>
      </c>
      <c r="T112" s="4">
        <f t="shared" si="47"/>
        <v>13.9095</v>
      </c>
      <c r="U112" s="4">
        <f t="shared" si="47"/>
        <v>12.518549999999999</v>
      </c>
      <c r="V112" s="4">
        <f t="shared" si="47"/>
        <v>12.518549999999999</v>
      </c>
      <c r="W112" s="4">
        <f t="shared" si="47"/>
        <v>13.9095</v>
      </c>
      <c r="X112" s="4">
        <f t="shared" si="47"/>
        <v>13.9095</v>
      </c>
      <c r="Y112" s="4">
        <f t="shared" si="47"/>
        <v>13.9095</v>
      </c>
      <c r="Z112" s="4">
        <f t="shared" si="47"/>
        <v>13.9095</v>
      </c>
      <c r="AA112" s="4">
        <f t="shared" si="47"/>
        <v>13.9095</v>
      </c>
      <c r="AB112" s="4">
        <f t="shared" si="47"/>
        <v>13.9095</v>
      </c>
      <c r="AC112" s="4">
        <f t="shared" si="47"/>
        <v>13.9095</v>
      </c>
      <c r="AD112" s="4">
        <f t="shared" si="47"/>
        <v>13.9095</v>
      </c>
      <c r="AE112" s="4">
        <f t="shared" si="47"/>
        <v>13.9095</v>
      </c>
      <c r="AF112" s="4">
        <f t="shared" si="47"/>
        <v>13.9095</v>
      </c>
      <c r="AG112" s="4">
        <f t="shared" si="47"/>
        <v>13.9095</v>
      </c>
      <c r="AH112" s="4">
        <f t="shared" si="47"/>
        <v>13.9095</v>
      </c>
      <c r="AI112" s="4">
        <f t="shared" si="47"/>
        <v>13.9095</v>
      </c>
      <c r="AJ112" s="4">
        <f t="shared" si="47"/>
        <v>13.9095</v>
      </c>
      <c r="AK112" s="4">
        <f t="shared" si="47"/>
        <v>13.9095</v>
      </c>
      <c r="AL112" s="4">
        <f t="shared" si="47"/>
        <v>13.9095</v>
      </c>
      <c r="AM112" s="4">
        <f t="shared" si="47"/>
        <v>13.9095</v>
      </c>
      <c r="AN112" s="4">
        <f t="shared" si="47"/>
        <v>13.9095</v>
      </c>
      <c r="AO112" s="4">
        <f t="shared" si="47"/>
        <v>13.9095</v>
      </c>
      <c r="AP112" s="4">
        <f t="shared" si="47"/>
        <v>13.9095</v>
      </c>
      <c r="AQ112" s="4">
        <f t="shared" si="47"/>
        <v>13.9095</v>
      </c>
      <c r="AR112">
        <f t="shared" si="9"/>
        <v>13.9095</v>
      </c>
    </row>
    <row r="113" spans="1:44" ht="12.75">
      <c r="A113" t="s">
        <v>248</v>
      </c>
      <c r="B113" t="s">
        <v>351</v>
      </c>
      <c r="D113" t="str">
        <f t="shared" si="4"/>
        <v>COST</v>
      </c>
      <c r="E113">
        <f t="shared" si="42"/>
        <v>2035</v>
      </c>
      <c r="F113" t="str">
        <f t="shared" si="20"/>
        <v>EXPOILHFO</v>
      </c>
      <c r="G113" t="str">
        <f t="shared" si="43"/>
        <v>OILHFO</v>
      </c>
      <c r="H113" s="4">
        <f t="shared" si="48" ref="H113:AQ113">H49*0.99</f>
        <v>10.1400255</v>
      </c>
      <c r="I113" s="4">
        <f t="shared" si="48"/>
        <v>11.266695</v>
      </c>
      <c r="J113" s="4">
        <f t="shared" si="48"/>
        <v>11.266695</v>
      </c>
      <c r="K113" s="4">
        <f t="shared" si="48"/>
        <v>11.266695</v>
      </c>
      <c r="L113" s="4">
        <f t="shared" si="48"/>
        <v>11.266695</v>
      </c>
      <c r="M113" s="4">
        <f t="shared" si="48"/>
        <v>11.266695</v>
      </c>
      <c r="N113" s="4">
        <f t="shared" si="48"/>
        <v>11.266695</v>
      </c>
      <c r="O113" s="4">
        <f t="shared" si="48"/>
        <v>11.266695</v>
      </c>
      <c r="P113" s="4">
        <f t="shared" si="48"/>
        <v>9.5766907499999991</v>
      </c>
      <c r="Q113" s="4">
        <f t="shared" si="48"/>
        <v>11.266695</v>
      </c>
      <c r="R113" s="4">
        <f t="shared" si="48"/>
        <v>11.266695</v>
      </c>
      <c r="S113" s="4">
        <f t="shared" si="48"/>
        <v>11.266695</v>
      </c>
      <c r="T113" s="4">
        <f t="shared" si="48"/>
        <v>11.266695</v>
      </c>
      <c r="U113" s="4">
        <f t="shared" si="48"/>
        <v>10.1400255</v>
      </c>
      <c r="V113" s="4">
        <f t="shared" si="48"/>
        <v>10.1400255</v>
      </c>
      <c r="W113" s="4">
        <f t="shared" si="48"/>
        <v>11.266695</v>
      </c>
      <c r="X113" s="4">
        <f t="shared" si="48"/>
        <v>11.266695</v>
      </c>
      <c r="Y113" s="4">
        <f t="shared" si="48"/>
        <v>11.266695</v>
      </c>
      <c r="Z113" s="4">
        <f t="shared" si="48"/>
        <v>11.266695</v>
      </c>
      <c r="AA113" s="4">
        <f t="shared" si="48"/>
        <v>11.266695</v>
      </c>
      <c r="AB113" s="4">
        <f t="shared" si="48"/>
        <v>11.266695</v>
      </c>
      <c r="AC113" s="4">
        <f t="shared" si="48"/>
        <v>11.266695</v>
      </c>
      <c r="AD113" s="4">
        <f t="shared" si="48"/>
        <v>11.266695</v>
      </c>
      <c r="AE113" s="4">
        <f t="shared" si="48"/>
        <v>11.266695</v>
      </c>
      <c r="AF113" s="4">
        <f t="shared" si="48"/>
        <v>11.266695</v>
      </c>
      <c r="AG113" s="4">
        <f t="shared" si="48"/>
        <v>11.266695</v>
      </c>
      <c r="AH113" s="4">
        <f t="shared" si="48"/>
        <v>11.266695</v>
      </c>
      <c r="AI113" s="4">
        <f t="shared" si="48"/>
        <v>11.266695</v>
      </c>
      <c r="AJ113" s="4">
        <f t="shared" si="48"/>
        <v>11.266695</v>
      </c>
      <c r="AK113" s="4">
        <f t="shared" si="48"/>
        <v>11.266695</v>
      </c>
      <c r="AL113" s="4">
        <f t="shared" si="48"/>
        <v>11.266695</v>
      </c>
      <c r="AM113" s="4">
        <f t="shared" si="48"/>
        <v>11.266695</v>
      </c>
      <c r="AN113" s="4">
        <f t="shared" si="48"/>
        <v>11.266695</v>
      </c>
      <c r="AO113" s="4">
        <f t="shared" si="48"/>
        <v>11.266695</v>
      </c>
      <c r="AP113" s="4">
        <f t="shared" si="48"/>
        <v>11.266695</v>
      </c>
      <c r="AQ113" s="4">
        <f t="shared" si="48"/>
        <v>11.266695</v>
      </c>
      <c r="AR113">
        <f t="shared" si="9"/>
        <v>11.266695</v>
      </c>
    </row>
    <row r="114" spans="1:44" ht="12.75">
      <c r="A114" t="s">
        <v>248</v>
      </c>
      <c r="B114" t="s">
        <v>351</v>
      </c>
      <c r="D114" t="str">
        <f t="shared" si="4"/>
        <v>COST</v>
      </c>
      <c r="E114">
        <f t="shared" si="42"/>
        <v>2035</v>
      </c>
      <c r="F114" t="str">
        <f t="shared" si="20"/>
        <v>EXPOILDST</v>
      </c>
      <c r="G114" t="str">
        <f t="shared" si="43"/>
        <v>OILDST</v>
      </c>
      <c r="H114" s="4">
        <f t="shared" si="49" ref="H114:AQ114">H50*0.99</f>
        <v>18.082350000000002</v>
      </c>
      <c r="I114" s="4">
        <f t="shared" si="49"/>
        <v>18.082350000000002</v>
      </c>
      <c r="J114" s="4">
        <f t="shared" si="49"/>
        <v>18.082350000000002</v>
      </c>
      <c r="K114" s="4">
        <f t="shared" si="49"/>
        <v>18.082350000000002</v>
      </c>
      <c r="L114" s="4">
        <f t="shared" si="49"/>
        <v>18.082350000000002</v>
      </c>
      <c r="M114" s="4">
        <f t="shared" si="49"/>
        <v>18.082350000000002</v>
      </c>
      <c r="N114" s="4">
        <f t="shared" si="49"/>
        <v>18.082350000000002</v>
      </c>
      <c r="O114" s="4">
        <f t="shared" si="49"/>
        <v>18.082350000000002</v>
      </c>
      <c r="P114" s="4">
        <f t="shared" si="49"/>
        <v>18.082350000000002</v>
      </c>
      <c r="Q114" s="4">
        <f t="shared" si="49"/>
        <v>18.082350000000002</v>
      </c>
      <c r="R114" s="4">
        <f t="shared" si="49"/>
        <v>18.082350000000002</v>
      </c>
      <c r="S114" s="4">
        <f t="shared" si="49"/>
        <v>18.082350000000002</v>
      </c>
      <c r="T114" s="4">
        <f t="shared" si="49"/>
        <v>18.082350000000002</v>
      </c>
      <c r="U114" s="4">
        <f t="shared" si="49"/>
        <v>18.082350000000002</v>
      </c>
      <c r="V114" s="4">
        <f t="shared" si="49"/>
        <v>17.1782325</v>
      </c>
      <c r="W114" s="4">
        <f t="shared" si="49"/>
        <v>18.082350000000002</v>
      </c>
      <c r="X114" s="4">
        <f t="shared" si="49"/>
        <v>18.082350000000002</v>
      </c>
      <c r="Y114" s="4">
        <f t="shared" si="49"/>
        <v>18.082350000000002</v>
      </c>
      <c r="Z114" s="4">
        <f t="shared" si="49"/>
        <v>18.082350000000002</v>
      </c>
      <c r="AA114" s="4">
        <f t="shared" si="49"/>
        <v>18.082350000000002</v>
      </c>
      <c r="AB114" s="4">
        <f t="shared" si="49"/>
        <v>18.082350000000002</v>
      </c>
      <c r="AC114" s="4">
        <f t="shared" si="49"/>
        <v>18.082350000000002</v>
      </c>
      <c r="AD114" s="4">
        <f t="shared" si="49"/>
        <v>18.082350000000002</v>
      </c>
      <c r="AE114" s="4">
        <f t="shared" si="49"/>
        <v>18.082350000000002</v>
      </c>
      <c r="AF114" s="4">
        <f t="shared" si="49"/>
        <v>18.082350000000002</v>
      </c>
      <c r="AG114" s="4">
        <f t="shared" si="49"/>
        <v>18.082350000000002</v>
      </c>
      <c r="AH114" s="4">
        <f t="shared" si="49"/>
        <v>18.082350000000002</v>
      </c>
      <c r="AI114" s="4">
        <f t="shared" si="49"/>
        <v>18.082350000000002</v>
      </c>
      <c r="AJ114" s="4">
        <f t="shared" si="49"/>
        <v>18.082350000000002</v>
      </c>
      <c r="AK114" s="4">
        <f t="shared" si="49"/>
        <v>18.082350000000002</v>
      </c>
      <c r="AL114" s="4">
        <f t="shared" si="49"/>
        <v>18.082350000000002</v>
      </c>
      <c r="AM114" s="4">
        <f t="shared" si="49"/>
        <v>18.082350000000002</v>
      </c>
      <c r="AN114" s="4">
        <f t="shared" si="49"/>
        <v>18.082350000000002</v>
      </c>
      <c r="AO114" s="4">
        <f t="shared" si="49"/>
        <v>18.082350000000002</v>
      </c>
      <c r="AP114" s="4">
        <f t="shared" si="49"/>
        <v>18.082350000000002</v>
      </c>
      <c r="AQ114" s="4">
        <f t="shared" si="49"/>
        <v>18.082350000000002</v>
      </c>
      <c r="AR114">
        <f t="shared" si="9"/>
        <v>18.082350000000002</v>
      </c>
    </row>
    <row r="115" spans="1:44" ht="12.75">
      <c r="A115" t="s">
        <v>248</v>
      </c>
      <c r="B115" t="s">
        <v>351</v>
      </c>
      <c r="D115" t="str">
        <f t="shared" si="4"/>
        <v>COST</v>
      </c>
      <c r="E115">
        <f t="shared" si="42"/>
        <v>2035</v>
      </c>
      <c r="F115" t="str">
        <f t="shared" si="20"/>
        <v>EXPOILLPG</v>
      </c>
      <c r="G115" t="str">
        <f t="shared" si="43"/>
        <v>OILLPG</v>
      </c>
      <c r="H115" s="4">
        <f t="shared" si="50" ref="H115:AQ115">H51*0.99</f>
        <v>15.30045</v>
      </c>
      <c r="I115" s="4">
        <f t="shared" si="50"/>
        <v>15.30045</v>
      </c>
      <c r="J115" s="4">
        <f t="shared" si="50"/>
        <v>15.30045</v>
      </c>
      <c r="K115" s="4">
        <f t="shared" si="50"/>
        <v>15.30045</v>
      </c>
      <c r="L115" s="4">
        <f t="shared" si="50"/>
        <v>15.30045</v>
      </c>
      <c r="M115" s="4">
        <f t="shared" si="50"/>
        <v>15.30045</v>
      </c>
      <c r="N115" s="4">
        <f t="shared" si="50"/>
        <v>15.30045</v>
      </c>
      <c r="O115" s="4">
        <f t="shared" si="50"/>
        <v>15.30045</v>
      </c>
      <c r="P115" s="4">
        <f t="shared" si="50"/>
        <v>15.30045</v>
      </c>
      <c r="Q115" s="4">
        <f t="shared" si="50"/>
        <v>15.30045</v>
      </c>
      <c r="R115" s="4">
        <f t="shared" si="50"/>
        <v>15.30045</v>
      </c>
      <c r="S115" s="4">
        <f t="shared" si="50"/>
        <v>15.30045</v>
      </c>
      <c r="T115" s="4">
        <f t="shared" si="50"/>
        <v>15.30045</v>
      </c>
      <c r="U115" s="4">
        <f t="shared" si="50"/>
        <v>15.30045</v>
      </c>
      <c r="V115" s="4">
        <f t="shared" si="50"/>
        <v>14.535427499999999</v>
      </c>
      <c r="W115" s="4">
        <f t="shared" si="50"/>
        <v>15.30045</v>
      </c>
      <c r="X115" s="4">
        <f t="shared" si="50"/>
        <v>15.30045</v>
      </c>
      <c r="Y115" s="4">
        <f t="shared" si="50"/>
        <v>15.30045</v>
      </c>
      <c r="Z115" s="4">
        <f t="shared" si="50"/>
        <v>15.30045</v>
      </c>
      <c r="AA115" s="4">
        <f t="shared" si="50"/>
        <v>15.30045</v>
      </c>
      <c r="AB115" s="4">
        <f t="shared" si="50"/>
        <v>15.30045</v>
      </c>
      <c r="AC115" s="4">
        <f t="shared" si="50"/>
        <v>15.30045</v>
      </c>
      <c r="AD115" s="4">
        <f t="shared" si="50"/>
        <v>15.30045</v>
      </c>
      <c r="AE115" s="4">
        <f t="shared" si="50"/>
        <v>15.30045</v>
      </c>
      <c r="AF115" s="4">
        <f t="shared" si="50"/>
        <v>15.30045</v>
      </c>
      <c r="AG115" s="4">
        <f t="shared" si="50"/>
        <v>15.30045</v>
      </c>
      <c r="AH115" s="4">
        <f t="shared" si="50"/>
        <v>15.30045</v>
      </c>
      <c r="AI115" s="4">
        <f t="shared" si="50"/>
        <v>15.30045</v>
      </c>
      <c r="AJ115" s="4">
        <f t="shared" si="50"/>
        <v>15.30045</v>
      </c>
      <c r="AK115" s="4">
        <f t="shared" si="50"/>
        <v>15.30045</v>
      </c>
      <c r="AL115" s="4">
        <f t="shared" si="50"/>
        <v>15.30045</v>
      </c>
      <c r="AM115" s="4">
        <f t="shared" si="50"/>
        <v>15.30045</v>
      </c>
      <c r="AN115" s="4">
        <f t="shared" si="50"/>
        <v>15.30045</v>
      </c>
      <c r="AO115" s="4">
        <f t="shared" si="50"/>
        <v>15.30045</v>
      </c>
      <c r="AP115" s="4">
        <f t="shared" si="50"/>
        <v>15.30045</v>
      </c>
      <c r="AQ115" s="4">
        <f t="shared" si="50"/>
        <v>15.30045</v>
      </c>
      <c r="AR115">
        <f t="shared" si="9"/>
        <v>15.30045</v>
      </c>
    </row>
    <row r="116" spans="1:44" ht="12.75">
      <c r="A116" t="s">
        <v>248</v>
      </c>
      <c r="B116" t="s">
        <v>351</v>
      </c>
      <c r="D116" t="str">
        <f t="shared" si="4"/>
        <v>COST</v>
      </c>
      <c r="E116">
        <f t="shared" si="42"/>
        <v>2035</v>
      </c>
      <c r="F116" t="str">
        <f t="shared" si="20"/>
        <v>EXPOILGSL</v>
      </c>
      <c r="G116" t="str">
        <f t="shared" si="43"/>
        <v>OILGSL</v>
      </c>
      <c r="H116" s="4">
        <f t="shared" si="51" ref="H116:AQ116">H52*0.99</f>
        <v>19.473299999999998</v>
      </c>
      <c r="I116" s="4">
        <f t="shared" si="51"/>
        <v>19.473299999999998</v>
      </c>
      <c r="J116" s="4">
        <f t="shared" si="51"/>
        <v>19.473299999999998</v>
      </c>
      <c r="K116" s="4">
        <f t="shared" si="51"/>
        <v>19.473299999999998</v>
      </c>
      <c r="L116" s="4">
        <f t="shared" si="51"/>
        <v>19.473299999999998</v>
      </c>
      <c r="M116" s="4">
        <f t="shared" si="51"/>
        <v>19.473299999999998</v>
      </c>
      <c r="N116" s="4">
        <f t="shared" si="51"/>
        <v>19.473299999999998</v>
      </c>
      <c r="O116" s="4">
        <f t="shared" si="51"/>
        <v>19.473299999999998</v>
      </c>
      <c r="P116" s="4">
        <f t="shared" si="51"/>
        <v>19.473299999999998</v>
      </c>
      <c r="Q116" s="4">
        <f t="shared" si="51"/>
        <v>19.473299999999998</v>
      </c>
      <c r="R116" s="4">
        <f t="shared" si="51"/>
        <v>19.473299999999998</v>
      </c>
      <c r="S116" s="4">
        <f t="shared" si="51"/>
        <v>19.473299999999998</v>
      </c>
      <c r="T116" s="4">
        <f t="shared" si="51"/>
        <v>19.473299999999998</v>
      </c>
      <c r="U116" s="4">
        <f t="shared" si="51"/>
        <v>19.473299999999998</v>
      </c>
      <c r="V116" s="4">
        <f t="shared" si="51"/>
        <v>18.499634999999998</v>
      </c>
      <c r="W116" s="4">
        <f t="shared" si="51"/>
        <v>19.473299999999998</v>
      </c>
      <c r="X116" s="4">
        <f t="shared" si="51"/>
        <v>19.473299999999998</v>
      </c>
      <c r="Y116" s="4">
        <f t="shared" si="51"/>
        <v>19.473299999999998</v>
      </c>
      <c r="Z116" s="4">
        <f t="shared" si="51"/>
        <v>19.473299999999998</v>
      </c>
      <c r="AA116" s="4">
        <f t="shared" si="51"/>
        <v>19.473299999999998</v>
      </c>
      <c r="AB116" s="4">
        <f t="shared" si="51"/>
        <v>19.473299999999998</v>
      </c>
      <c r="AC116" s="4">
        <f t="shared" si="51"/>
        <v>19.473299999999998</v>
      </c>
      <c r="AD116" s="4">
        <f t="shared" si="51"/>
        <v>19.473299999999998</v>
      </c>
      <c r="AE116" s="4">
        <f t="shared" si="51"/>
        <v>19.473299999999998</v>
      </c>
      <c r="AF116" s="4">
        <f t="shared" si="51"/>
        <v>19.473299999999998</v>
      </c>
      <c r="AG116" s="4">
        <f t="shared" si="51"/>
        <v>19.473299999999998</v>
      </c>
      <c r="AH116" s="4">
        <f t="shared" si="51"/>
        <v>19.473299999999998</v>
      </c>
      <c r="AI116" s="4">
        <f t="shared" si="51"/>
        <v>19.473299999999998</v>
      </c>
      <c r="AJ116" s="4">
        <f t="shared" si="51"/>
        <v>19.473299999999998</v>
      </c>
      <c r="AK116" s="4">
        <f t="shared" si="51"/>
        <v>19.473299999999998</v>
      </c>
      <c r="AL116" s="4">
        <f t="shared" si="51"/>
        <v>19.473299999999998</v>
      </c>
      <c r="AM116" s="4">
        <f t="shared" si="51"/>
        <v>19.473299999999998</v>
      </c>
      <c r="AN116" s="4">
        <f t="shared" si="51"/>
        <v>19.473299999999998</v>
      </c>
      <c r="AO116" s="4">
        <f t="shared" si="51"/>
        <v>19.473299999999998</v>
      </c>
      <c r="AP116" s="4">
        <f t="shared" si="51"/>
        <v>19.473299999999998</v>
      </c>
      <c r="AQ116" s="4">
        <f t="shared" si="51"/>
        <v>19.473299999999998</v>
      </c>
      <c r="AR116">
        <f t="shared" si="9"/>
        <v>19.473299999999998</v>
      </c>
    </row>
    <row r="117" spans="1:44" ht="12.75">
      <c r="A117" t="s">
        <v>248</v>
      </c>
      <c r="B117" t="s">
        <v>351</v>
      </c>
      <c r="D117" t="str">
        <f t="shared" si="4"/>
        <v>COST</v>
      </c>
      <c r="E117">
        <f t="shared" si="42"/>
        <v>2035</v>
      </c>
      <c r="F117" t="str">
        <f t="shared" si="20"/>
        <v>EXPOILKER</v>
      </c>
      <c r="G117" t="str">
        <f t="shared" si="43"/>
        <v>OILKER</v>
      </c>
      <c r="H117" s="4">
        <f t="shared" si="52" ref="H117:AQ117">H53*0.99</f>
        <v>19.473299999999998</v>
      </c>
      <c r="I117" s="4">
        <f t="shared" si="52"/>
        <v>19.473299999999998</v>
      </c>
      <c r="J117" s="4">
        <f t="shared" si="52"/>
        <v>19.473299999999998</v>
      </c>
      <c r="K117" s="4">
        <f t="shared" si="52"/>
        <v>19.473299999999998</v>
      </c>
      <c r="L117" s="4">
        <f t="shared" si="52"/>
        <v>19.473299999999998</v>
      </c>
      <c r="M117" s="4">
        <f t="shared" si="52"/>
        <v>19.473299999999998</v>
      </c>
      <c r="N117" s="4">
        <f t="shared" si="52"/>
        <v>19.473299999999998</v>
      </c>
      <c r="O117" s="4">
        <f t="shared" si="52"/>
        <v>19.473299999999998</v>
      </c>
      <c r="P117" s="4">
        <f t="shared" si="52"/>
        <v>19.473299999999998</v>
      </c>
      <c r="Q117" s="4">
        <f t="shared" si="52"/>
        <v>19.473299999999998</v>
      </c>
      <c r="R117" s="4">
        <f t="shared" si="52"/>
        <v>19.473299999999998</v>
      </c>
      <c r="S117" s="4">
        <f t="shared" si="52"/>
        <v>19.473299999999998</v>
      </c>
      <c r="T117" s="4">
        <f t="shared" si="52"/>
        <v>19.473299999999998</v>
      </c>
      <c r="U117" s="4">
        <f t="shared" si="52"/>
        <v>19.473299999999998</v>
      </c>
      <c r="V117" s="4">
        <f t="shared" si="52"/>
        <v>18.499634999999998</v>
      </c>
      <c r="W117" s="4">
        <f t="shared" si="52"/>
        <v>19.473299999999998</v>
      </c>
      <c r="X117" s="4">
        <f t="shared" si="52"/>
        <v>19.473299999999998</v>
      </c>
      <c r="Y117" s="4">
        <f t="shared" si="52"/>
        <v>19.473299999999998</v>
      </c>
      <c r="Z117" s="4">
        <f t="shared" si="52"/>
        <v>19.473299999999998</v>
      </c>
      <c r="AA117" s="4">
        <f t="shared" si="52"/>
        <v>19.473299999999998</v>
      </c>
      <c r="AB117" s="4">
        <f t="shared" si="52"/>
        <v>19.473299999999998</v>
      </c>
      <c r="AC117" s="4">
        <f t="shared" si="52"/>
        <v>19.473299999999998</v>
      </c>
      <c r="AD117" s="4">
        <f t="shared" si="52"/>
        <v>19.473299999999998</v>
      </c>
      <c r="AE117" s="4">
        <f t="shared" si="52"/>
        <v>19.473299999999998</v>
      </c>
      <c r="AF117" s="4">
        <f t="shared" si="52"/>
        <v>19.473299999999998</v>
      </c>
      <c r="AG117" s="4">
        <f t="shared" si="52"/>
        <v>19.473299999999998</v>
      </c>
      <c r="AH117" s="4">
        <f t="shared" si="52"/>
        <v>19.473299999999998</v>
      </c>
      <c r="AI117" s="4">
        <f t="shared" si="52"/>
        <v>19.473299999999998</v>
      </c>
      <c r="AJ117" s="4">
        <f t="shared" si="52"/>
        <v>19.473299999999998</v>
      </c>
      <c r="AK117" s="4">
        <f t="shared" si="52"/>
        <v>19.473299999999998</v>
      </c>
      <c r="AL117" s="4">
        <f t="shared" si="52"/>
        <v>19.473299999999998</v>
      </c>
      <c r="AM117" s="4">
        <f t="shared" si="52"/>
        <v>19.473299999999998</v>
      </c>
      <c r="AN117" s="4">
        <f t="shared" si="52"/>
        <v>19.473299999999998</v>
      </c>
      <c r="AO117" s="4">
        <f t="shared" si="52"/>
        <v>19.473299999999998</v>
      </c>
      <c r="AP117" s="4">
        <f t="shared" si="52"/>
        <v>19.473299999999998</v>
      </c>
      <c r="AQ117" s="4">
        <f t="shared" si="52"/>
        <v>19.473299999999998</v>
      </c>
      <c r="AR117">
        <f t="shared" si="9"/>
        <v>19.473299999999998</v>
      </c>
    </row>
    <row r="118" spans="1:44" ht="12.75">
      <c r="A118" t="s">
        <v>248</v>
      </c>
      <c r="B118" t="s">
        <v>351</v>
      </c>
      <c r="D118" t="str">
        <f t="shared" si="4"/>
        <v>*</v>
      </c>
      <c r="E118">
        <f t="shared" si="42"/>
        <v>2035</v>
      </c>
      <c r="F118" t="str">
        <f t="shared" si="20"/>
        <v>EXPGASNAT</v>
      </c>
      <c r="G118" t="str">
        <f t="shared" si="43"/>
        <v>GASNAT</v>
      </c>
      <c r="H118" s="4">
        <f t="shared" si="53" ref="H118:AQ118">H54*0.99</f>
        <v>6.9300000000000006</v>
      </c>
      <c r="I118" s="4">
        <f t="shared" si="53"/>
        <v>6.9300000000000006</v>
      </c>
      <c r="J118" s="4">
        <f t="shared" si="53"/>
        <v>6.9300000000000006</v>
      </c>
      <c r="K118" s="4">
        <f t="shared" si="53"/>
        <v>6.9300000000000006</v>
      </c>
      <c r="L118" s="4">
        <f t="shared" si="53"/>
        <v>6.9300000000000006</v>
      </c>
      <c r="M118" s="4">
        <f t="shared" si="53"/>
        <v>6.9300000000000006</v>
      </c>
      <c r="N118" s="4">
        <f t="shared" si="53"/>
        <v>6.9300000000000006</v>
      </c>
      <c r="O118" s="4">
        <f t="shared" si="53"/>
        <v>6.9300000000000006</v>
      </c>
      <c r="P118" s="4">
        <f t="shared" si="53"/>
        <v>5.8905000000000003</v>
      </c>
      <c r="Q118" s="4">
        <f t="shared" si="53"/>
        <v>6.237000000000001</v>
      </c>
      <c r="R118" s="4">
        <f t="shared" si="53"/>
        <v>6.9300000000000006</v>
      </c>
      <c r="S118" s="4">
        <f t="shared" si="53"/>
        <v>6.9300000000000006</v>
      </c>
      <c r="T118" s="4">
        <f t="shared" si="53"/>
        <v>6.9300000000000006</v>
      </c>
      <c r="U118" s="4">
        <f t="shared" si="53"/>
        <v>6.9300000000000006</v>
      </c>
      <c r="V118" s="4">
        <f t="shared" si="53"/>
        <v>6.237000000000001</v>
      </c>
      <c r="W118" s="4">
        <f t="shared" si="53"/>
        <v>6.9300000000000006</v>
      </c>
      <c r="X118" s="4">
        <f t="shared" si="53"/>
        <v>6.9300000000000006</v>
      </c>
      <c r="Y118" s="4">
        <f t="shared" si="53"/>
        <v>6.9300000000000006</v>
      </c>
      <c r="Z118" s="4">
        <f t="shared" si="53"/>
        <v>6.9300000000000006</v>
      </c>
      <c r="AA118" s="4">
        <f t="shared" si="53"/>
        <v>6.9300000000000006</v>
      </c>
      <c r="AB118" s="4">
        <f t="shared" si="53"/>
        <v>6.9300000000000006</v>
      </c>
      <c r="AC118" s="4">
        <f t="shared" si="53"/>
        <v>6.9300000000000006</v>
      </c>
      <c r="AD118" s="4">
        <f t="shared" si="53"/>
        <v>6.9300000000000006</v>
      </c>
      <c r="AE118" s="4">
        <f t="shared" si="53"/>
        <v>6.9300000000000006</v>
      </c>
      <c r="AF118" s="4">
        <f t="shared" si="53"/>
        <v>6.9300000000000006</v>
      </c>
      <c r="AG118" s="4">
        <f t="shared" si="53"/>
        <v>6.9300000000000006</v>
      </c>
      <c r="AH118" s="4">
        <f t="shared" si="53"/>
        <v>6.9300000000000006</v>
      </c>
      <c r="AI118" s="4">
        <f t="shared" si="53"/>
        <v>6.9300000000000006</v>
      </c>
      <c r="AJ118" s="4">
        <f t="shared" si="53"/>
        <v>6.9300000000000006</v>
      </c>
      <c r="AK118" s="4">
        <f t="shared" si="53"/>
        <v>6.9300000000000006</v>
      </c>
      <c r="AL118" s="4">
        <f t="shared" si="53"/>
        <v>6.9300000000000006</v>
      </c>
      <c r="AM118" s="4">
        <f t="shared" si="53"/>
        <v>6.9300000000000006</v>
      </c>
      <c r="AN118" s="4">
        <f t="shared" si="53"/>
        <v>6.9300000000000006</v>
      </c>
      <c r="AO118" s="4">
        <f t="shared" si="53"/>
        <v>6.9300000000000006</v>
      </c>
      <c r="AP118" s="4">
        <f t="shared" si="53"/>
        <v>6.9300000000000006</v>
      </c>
      <c r="AQ118" s="4">
        <f t="shared" si="53"/>
        <v>6.9300000000000006</v>
      </c>
      <c r="AR118">
        <f t="shared" si="9"/>
        <v>6.9300000000000006</v>
      </c>
    </row>
    <row r="119" spans="1:44" ht="12.75">
      <c r="A119" t="s">
        <v>248</v>
      </c>
      <c r="B119" t="s">
        <v>351</v>
      </c>
      <c r="D119" t="str">
        <f t="shared" si="4"/>
        <v>COST</v>
      </c>
      <c r="E119">
        <f t="shared" si="42"/>
        <v>2040</v>
      </c>
      <c r="F119" t="str">
        <f t="shared" si="20"/>
        <v>EXPOILCRD</v>
      </c>
      <c r="G119" t="str">
        <f t="shared" si="43"/>
        <v>OILCRD</v>
      </c>
      <c r="H119" s="4">
        <f t="shared" si="54" ref="H119:AQ119">H55*0.99</f>
        <v>12.874949999999997</v>
      </c>
      <c r="I119" s="4">
        <f t="shared" si="54"/>
        <v>14.305499999999997</v>
      </c>
      <c r="J119" s="4">
        <f t="shared" si="54"/>
        <v>14.305499999999997</v>
      </c>
      <c r="K119" s="4">
        <f t="shared" si="54"/>
        <v>14.305499999999997</v>
      </c>
      <c r="L119" s="4">
        <f t="shared" si="54"/>
        <v>14.305499999999997</v>
      </c>
      <c r="M119" s="4">
        <f t="shared" si="54"/>
        <v>14.305499999999997</v>
      </c>
      <c r="N119" s="4">
        <f t="shared" si="54"/>
        <v>14.305499999999997</v>
      </c>
      <c r="O119" s="4">
        <f t="shared" si="54"/>
        <v>14.305499999999997</v>
      </c>
      <c r="P119" s="4">
        <f t="shared" si="54"/>
        <v>12.159674999999996</v>
      </c>
      <c r="Q119" s="4">
        <f t="shared" si="54"/>
        <v>14.305499999999997</v>
      </c>
      <c r="R119" s="4">
        <f t="shared" si="54"/>
        <v>14.305499999999997</v>
      </c>
      <c r="S119" s="4">
        <f t="shared" si="54"/>
        <v>14.305499999999997</v>
      </c>
      <c r="T119" s="4">
        <f t="shared" si="54"/>
        <v>14.305499999999997</v>
      </c>
      <c r="U119" s="4">
        <f t="shared" si="54"/>
        <v>12.874949999999997</v>
      </c>
      <c r="V119" s="4">
        <f t="shared" si="54"/>
        <v>12.874949999999997</v>
      </c>
      <c r="W119" s="4">
        <f t="shared" si="54"/>
        <v>14.305499999999997</v>
      </c>
      <c r="X119" s="4">
        <f t="shared" si="54"/>
        <v>14.305499999999997</v>
      </c>
      <c r="Y119" s="4">
        <f t="shared" si="54"/>
        <v>14.305499999999997</v>
      </c>
      <c r="Z119" s="4">
        <f t="shared" si="54"/>
        <v>14.305499999999997</v>
      </c>
      <c r="AA119" s="4">
        <f t="shared" si="54"/>
        <v>14.305499999999997</v>
      </c>
      <c r="AB119" s="4">
        <f t="shared" si="54"/>
        <v>14.305499999999997</v>
      </c>
      <c r="AC119" s="4">
        <f t="shared" si="54"/>
        <v>14.305499999999997</v>
      </c>
      <c r="AD119" s="4">
        <f t="shared" si="54"/>
        <v>14.305499999999997</v>
      </c>
      <c r="AE119" s="4">
        <f t="shared" si="54"/>
        <v>14.305499999999997</v>
      </c>
      <c r="AF119" s="4">
        <f t="shared" si="54"/>
        <v>14.305499999999997</v>
      </c>
      <c r="AG119" s="4">
        <f t="shared" si="54"/>
        <v>14.305499999999997</v>
      </c>
      <c r="AH119" s="4">
        <f t="shared" si="54"/>
        <v>14.305499999999997</v>
      </c>
      <c r="AI119" s="4">
        <f t="shared" si="54"/>
        <v>14.305499999999997</v>
      </c>
      <c r="AJ119" s="4">
        <f t="shared" si="54"/>
        <v>14.305499999999997</v>
      </c>
      <c r="AK119" s="4">
        <f t="shared" si="54"/>
        <v>14.305499999999997</v>
      </c>
      <c r="AL119" s="4">
        <f t="shared" si="54"/>
        <v>14.305499999999997</v>
      </c>
      <c r="AM119" s="4">
        <f t="shared" si="54"/>
        <v>14.305499999999997</v>
      </c>
      <c r="AN119" s="4">
        <f t="shared" si="54"/>
        <v>14.305499999999997</v>
      </c>
      <c r="AO119" s="4">
        <f t="shared" si="54"/>
        <v>14.305499999999997</v>
      </c>
      <c r="AP119" s="4">
        <f t="shared" si="54"/>
        <v>14.305499999999997</v>
      </c>
      <c r="AQ119" s="4">
        <f t="shared" si="54"/>
        <v>14.305499999999997</v>
      </c>
      <c r="AR119">
        <f t="shared" si="9"/>
        <v>14.305499999999997</v>
      </c>
    </row>
    <row r="120" spans="1:44" ht="12.75">
      <c r="A120" t="s">
        <v>248</v>
      </c>
      <c r="B120" t="s">
        <v>351</v>
      </c>
      <c r="D120" t="str">
        <f t="shared" si="4"/>
        <v>COST</v>
      </c>
      <c r="E120">
        <f t="shared" si="42"/>
        <v>2040</v>
      </c>
      <c r="F120" t="str">
        <f t="shared" si="55" ref="F120:F139">"EXP"&amp;G120</f>
        <v>EXPOILHFO</v>
      </c>
      <c r="G120" t="str">
        <f t="shared" si="43"/>
        <v>OILHFO</v>
      </c>
      <c r="H120" s="4">
        <f t="shared" si="56" ref="H120:AQ120">H56*0.99</f>
        <v>10.4287095</v>
      </c>
      <c r="I120" s="4">
        <f t="shared" si="56"/>
        <v>11.587454999999999</v>
      </c>
      <c r="J120" s="4">
        <f t="shared" si="56"/>
        <v>11.587454999999999</v>
      </c>
      <c r="K120" s="4">
        <f t="shared" si="56"/>
        <v>11.587454999999999</v>
      </c>
      <c r="L120" s="4">
        <f t="shared" si="56"/>
        <v>11.587454999999999</v>
      </c>
      <c r="M120" s="4">
        <f t="shared" si="56"/>
        <v>11.587454999999999</v>
      </c>
      <c r="N120" s="4">
        <f t="shared" si="56"/>
        <v>11.587454999999999</v>
      </c>
      <c r="O120" s="4">
        <f t="shared" si="56"/>
        <v>11.587454999999999</v>
      </c>
      <c r="P120" s="4">
        <f t="shared" si="56"/>
        <v>9.8493367499999991</v>
      </c>
      <c r="Q120" s="4">
        <f t="shared" si="56"/>
        <v>11.587454999999999</v>
      </c>
      <c r="R120" s="4">
        <f t="shared" si="56"/>
        <v>11.587454999999999</v>
      </c>
      <c r="S120" s="4">
        <f t="shared" si="56"/>
        <v>11.587454999999999</v>
      </c>
      <c r="T120" s="4">
        <f t="shared" si="56"/>
        <v>11.587454999999999</v>
      </c>
      <c r="U120" s="4">
        <f t="shared" si="56"/>
        <v>10.4287095</v>
      </c>
      <c r="V120" s="4">
        <f t="shared" si="56"/>
        <v>10.4287095</v>
      </c>
      <c r="W120" s="4">
        <f t="shared" si="56"/>
        <v>11.587454999999999</v>
      </c>
      <c r="X120" s="4">
        <f t="shared" si="56"/>
        <v>11.587454999999999</v>
      </c>
      <c r="Y120" s="4">
        <f t="shared" si="56"/>
        <v>11.587454999999999</v>
      </c>
      <c r="Z120" s="4">
        <f t="shared" si="56"/>
        <v>11.587454999999999</v>
      </c>
      <c r="AA120" s="4">
        <f t="shared" si="56"/>
        <v>11.587454999999999</v>
      </c>
      <c r="AB120" s="4">
        <f t="shared" si="56"/>
        <v>11.587454999999999</v>
      </c>
      <c r="AC120" s="4">
        <f t="shared" si="56"/>
        <v>11.587454999999999</v>
      </c>
      <c r="AD120" s="4">
        <f t="shared" si="56"/>
        <v>11.587454999999999</v>
      </c>
      <c r="AE120" s="4">
        <f t="shared" si="56"/>
        <v>11.587454999999999</v>
      </c>
      <c r="AF120" s="4">
        <f t="shared" si="56"/>
        <v>11.587454999999999</v>
      </c>
      <c r="AG120" s="4">
        <f t="shared" si="56"/>
        <v>11.587454999999999</v>
      </c>
      <c r="AH120" s="4">
        <f t="shared" si="56"/>
        <v>11.587454999999999</v>
      </c>
      <c r="AI120" s="4">
        <f t="shared" si="56"/>
        <v>11.587454999999999</v>
      </c>
      <c r="AJ120" s="4">
        <f t="shared" si="56"/>
        <v>11.587454999999999</v>
      </c>
      <c r="AK120" s="4">
        <f t="shared" si="56"/>
        <v>11.587454999999999</v>
      </c>
      <c r="AL120" s="4">
        <f t="shared" si="56"/>
        <v>11.587454999999999</v>
      </c>
      <c r="AM120" s="4">
        <f t="shared" si="56"/>
        <v>11.587454999999999</v>
      </c>
      <c r="AN120" s="4">
        <f t="shared" si="56"/>
        <v>11.587454999999999</v>
      </c>
      <c r="AO120" s="4">
        <f t="shared" si="56"/>
        <v>11.587454999999999</v>
      </c>
      <c r="AP120" s="4">
        <f t="shared" si="56"/>
        <v>11.587454999999999</v>
      </c>
      <c r="AQ120" s="4">
        <f t="shared" si="56"/>
        <v>11.587454999999999</v>
      </c>
      <c r="AR120">
        <f t="shared" si="9"/>
        <v>11.587454999999999</v>
      </c>
    </row>
    <row r="121" spans="1:44" ht="12.75">
      <c r="A121" t="s">
        <v>248</v>
      </c>
      <c r="B121" t="s">
        <v>351</v>
      </c>
      <c r="D121" t="str">
        <f t="shared" si="4"/>
        <v>COST</v>
      </c>
      <c r="E121">
        <f t="shared" si="42"/>
        <v>2040</v>
      </c>
      <c r="F121" t="str">
        <f t="shared" si="55"/>
        <v>EXPOILDST</v>
      </c>
      <c r="G121" t="str">
        <f t="shared" si="43"/>
        <v>OILDST</v>
      </c>
      <c r="H121" s="4">
        <f t="shared" si="57" ref="H121:AQ121">H57*0.99</f>
        <v>18.597149999999996</v>
      </c>
      <c r="I121" s="4">
        <f t="shared" si="57"/>
        <v>18.597149999999996</v>
      </c>
      <c r="J121" s="4">
        <f t="shared" si="57"/>
        <v>18.597149999999996</v>
      </c>
      <c r="K121" s="4">
        <f t="shared" si="57"/>
        <v>18.597149999999996</v>
      </c>
      <c r="L121" s="4">
        <f t="shared" si="57"/>
        <v>18.597149999999996</v>
      </c>
      <c r="M121" s="4">
        <f t="shared" si="57"/>
        <v>18.597149999999996</v>
      </c>
      <c r="N121" s="4">
        <f t="shared" si="57"/>
        <v>18.597149999999996</v>
      </c>
      <c r="O121" s="4">
        <f t="shared" si="57"/>
        <v>18.597149999999996</v>
      </c>
      <c r="P121" s="4">
        <f t="shared" si="57"/>
        <v>18.597149999999996</v>
      </c>
      <c r="Q121" s="4">
        <f t="shared" si="57"/>
        <v>18.597149999999996</v>
      </c>
      <c r="R121" s="4">
        <f t="shared" si="57"/>
        <v>18.597149999999996</v>
      </c>
      <c r="S121" s="4">
        <f t="shared" si="57"/>
        <v>18.597149999999996</v>
      </c>
      <c r="T121" s="4">
        <f t="shared" si="57"/>
        <v>18.597149999999996</v>
      </c>
      <c r="U121" s="4">
        <f t="shared" si="57"/>
        <v>18.597149999999996</v>
      </c>
      <c r="V121" s="4">
        <f t="shared" si="57"/>
        <v>17.667292499999995</v>
      </c>
      <c r="W121" s="4">
        <f t="shared" si="57"/>
        <v>18.597149999999996</v>
      </c>
      <c r="X121" s="4">
        <f t="shared" si="57"/>
        <v>18.597149999999996</v>
      </c>
      <c r="Y121" s="4">
        <f t="shared" si="57"/>
        <v>18.597149999999996</v>
      </c>
      <c r="Z121" s="4">
        <f t="shared" si="57"/>
        <v>18.597149999999996</v>
      </c>
      <c r="AA121" s="4">
        <f t="shared" si="57"/>
        <v>18.597149999999996</v>
      </c>
      <c r="AB121" s="4">
        <f t="shared" si="57"/>
        <v>18.597149999999996</v>
      </c>
      <c r="AC121" s="4">
        <f t="shared" si="57"/>
        <v>18.597149999999996</v>
      </c>
      <c r="AD121" s="4">
        <f t="shared" si="57"/>
        <v>18.597149999999996</v>
      </c>
      <c r="AE121" s="4">
        <f t="shared" si="57"/>
        <v>18.597149999999996</v>
      </c>
      <c r="AF121" s="4">
        <f t="shared" si="57"/>
        <v>18.597149999999996</v>
      </c>
      <c r="AG121" s="4">
        <f t="shared" si="57"/>
        <v>18.597149999999996</v>
      </c>
      <c r="AH121" s="4">
        <f t="shared" si="57"/>
        <v>18.597149999999996</v>
      </c>
      <c r="AI121" s="4">
        <f t="shared" si="57"/>
        <v>18.597149999999996</v>
      </c>
      <c r="AJ121" s="4">
        <f t="shared" si="57"/>
        <v>18.597149999999996</v>
      </c>
      <c r="AK121" s="4">
        <f t="shared" si="57"/>
        <v>18.597149999999996</v>
      </c>
      <c r="AL121" s="4">
        <f t="shared" si="57"/>
        <v>18.597149999999996</v>
      </c>
      <c r="AM121" s="4">
        <f t="shared" si="57"/>
        <v>18.597149999999996</v>
      </c>
      <c r="AN121" s="4">
        <f t="shared" si="57"/>
        <v>18.597149999999996</v>
      </c>
      <c r="AO121" s="4">
        <f t="shared" si="57"/>
        <v>18.597149999999996</v>
      </c>
      <c r="AP121" s="4">
        <f t="shared" si="57"/>
        <v>18.597149999999996</v>
      </c>
      <c r="AQ121" s="4">
        <f t="shared" si="57"/>
        <v>18.597149999999996</v>
      </c>
      <c r="AR121">
        <f t="shared" si="9"/>
        <v>18.597149999999996</v>
      </c>
    </row>
    <row r="122" spans="1:44" ht="12.75">
      <c r="A122" t="s">
        <v>248</v>
      </c>
      <c r="B122" t="s">
        <v>351</v>
      </c>
      <c r="D122" t="str">
        <f t="shared" si="4"/>
        <v>COST</v>
      </c>
      <c r="E122">
        <f t="shared" si="42"/>
        <v>2040</v>
      </c>
      <c r="F122" t="str">
        <f t="shared" si="55"/>
        <v>EXPOILLPG</v>
      </c>
      <c r="G122" t="str">
        <f t="shared" si="43"/>
        <v>OILLPG</v>
      </c>
      <c r="H122" s="4">
        <f t="shared" si="58" ref="H122:AQ122">H58*0.99</f>
        <v>15.736049999999997</v>
      </c>
      <c r="I122" s="4">
        <f t="shared" si="58"/>
        <v>15.736049999999997</v>
      </c>
      <c r="J122" s="4">
        <f t="shared" si="58"/>
        <v>15.736049999999997</v>
      </c>
      <c r="K122" s="4">
        <f t="shared" si="58"/>
        <v>15.736049999999997</v>
      </c>
      <c r="L122" s="4">
        <f t="shared" si="58"/>
        <v>15.736049999999997</v>
      </c>
      <c r="M122" s="4">
        <f t="shared" si="58"/>
        <v>15.736049999999997</v>
      </c>
      <c r="N122" s="4">
        <f t="shared" si="58"/>
        <v>15.736049999999997</v>
      </c>
      <c r="O122" s="4">
        <f t="shared" si="58"/>
        <v>15.736049999999997</v>
      </c>
      <c r="P122" s="4">
        <f t="shared" si="58"/>
        <v>15.736049999999997</v>
      </c>
      <c r="Q122" s="4">
        <f t="shared" si="58"/>
        <v>15.736049999999997</v>
      </c>
      <c r="R122" s="4">
        <f t="shared" si="58"/>
        <v>15.736049999999997</v>
      </c>
      <c r="S122" s="4">
        <f t="shared" si="58"/>
        <v>15.736049999999997</v>
      </c>
      <c r="T122" s="4">
        <f t="shared" si="58"/>
        <v>15.736049999999997</v>
      </c>
      <c r="U122" s="4">
        <f t="shared" si="58"/>
        <v>15.736049999999997</v>
      </c>
      <c r="V122" s="4">
        <f t="shared" si="58"/>
        <v>14.949247499999997</v>
      </c>
      <c r="W122" s="4">
        <f t="shared" si="58"/>
        <v>15.736049999999997</v>
      </c>
      <c r="X122" s="4">
        <f t="shared" si="58"/>
        <v>15.736049999999997</v>
      </c>
      <c r="Y122" s="4">
        <f t="shared" si="58"/>
        <v>15.736049999999997</v>
      </c>
      <c r="Z122" s="4">
        <f t="shared" si="58"/>
        <v>15.736049999999997</v>
      </c>
      <c r="AA122" s="4">
        <f t="shared" si="58"/>
        <v>15.736049999999997</v>
      </c>
      <c r="AB122" s="4">
        <f t="shared" si="58"/>
        <v>15.736049999999997</v>
      </c>
      <c r="AC122" s="4">
        <f t="shared" si="58"/>
        <v>15.736049999999997</v>
      </c>
      <c r="AD122" s="4">
        <f t="shared" si="58"/>
        <v>15.736049999999997</v>
      </c>
      <c r="AE122" s="4">
        <f t="shared" si="58"/>
        <v>15.736049999999997</v>
      </c>
      <c r="AF122" s="4">
        <f t="shared" si="58"/>
        <v>15.736049999999997</v>
      </c>
      <c r="AG122" s="4">
        <f t="shared" si="58"/>
        <v>15.736049999999997</v>
      </c>
      <c r="AH122" s="4">
        <f t="shared" si="58"/>
        <v>15.736049999999997</v>
      </c>
      <c r="AI122" s="4">
        <f t="shared" si="58"/>
        <v>15.736049999999997</v>
      </c>
      <c r="AJ122" s="4">
        <f t="shared" si="58"/>
        <v>15.736049999999997</v>
      </c>
      <c r="AK122" s="4">
        <f t="shared" si="58"/>
        <v>15.736049999999997</v>
      </c>
      <c r="AL122" s="4">
        <f t="shared" si="58"/>
        <v>15.736049999999997</v>
      </c>
      <c r="AM122" s="4">
        <f t="shared" si="58"/>
        <v>15.736049999999997</v>
      </c>
      <c r="AN122" s="4">
        <f t="shared" si="58"/>
        <v>15.736049999999997</v>
      </c>
      <c r="AO122" s="4">
        <f t="shared" si="58"/>
        <v>15.736049999999997</v>
      </c>
      <c r="AP122" s="4">
        <f t="shared" si="58"/>
        <v>15.736049999999997</v>
      </c>
      <c r="AQ122" s="4">
        <f t="shared" si="58"/>
        <v>15.736049999999997</v>
      </c>
      <c r="AR122">
        <f t="shared" si="9"/>
        <v>15.736049999999997</v>
      </c>
    </row>
    <row r="123" spans="1:44" ht="12.75">
      <c r="A123" t="s">
        <v>248</v>
      </c>
      <c r="B123" t="s">
        <v>351</v>
      </c>
      <c r="D123" t="str">
        <f t="shared" si="4"/>
        <v>COST</v>
      </c>
      <c r="E123">
        <f t="shared" si="42"/>
        <v>2040</v>
      </c>
      <c r="F123" t="str">
        <f t="shared" si="55"/>
        <v>EXPOILGSL</v>
      </c>
      <c r="G123" t="str">
        <f t="shared" si="43"/>
        <v>OILGSL</v>
      </c>
      <c r="H123" s="4">
        <f t="shared" si="59" ref="H123:AQ123">H59*0.99</f>
        <v>20.027699999999996</v>
      </c>
      <c r="I123" s="4">
        <f t="shared" si="59"/>
        <v>20.027699999999996</v>
      </c>
      <c r="J123" s="4">
        <f t="shared" si="59"/>
        <v>20.027699999999996</v>
      </c>
      <c r="K123" s="4">
        <f t="shared" si="59"/>
        <v>20.027699999999996</v>
      </c>
      <c r="L123" s="4">
        <f t="shared" si="59"/>
        <v>20.027699999999996</v>
      </c>
      <c r="M123" s="4">
        <f t="shared" si="59"/>
        <v>20.027699999999996</v>
      </c>
      <c r="N123" s="4">
        <f t="shared" si="59"/>
        <v>20.027699999999996</v>
      </c>
      <c r="O123" s="4">
        <f t="shared" si="59"/>
        <v>20.027699999999996</v>
      </c>
      <c r="P123" s="4">
        <f t="shared" si="59"/>
        <v>20.027699999999996</v>
      </c>
      <c r="Q123" s="4">
        <f t="shared" si="59"/>
        <v>20.027699999999996</v>
      </c>
      <c r="R123" s="4">
        <f t="shared" si="59"/>
        <v>20.027699999999996</v>
      </c>
      <c r="S123" s="4">
        <f t="shared" si="59"/>
        <v>20.027699999999996</v>
      </c>
      <c r="T123" s="4">
        <f t="shared" si="59"/>
        <v>20.027699999999996</v>
      </c>
      <c r="U123" s="4">
        <f t="shared" si="59"/>
        <v>20.027699999999996</v>
      </c>
      <c r="V123" s="4">
        <f t="shared" si="59"/>
        <v>19.026314999999997</v>
      </c>
      <c r="W123" s="4">
        <f t="shared" si="59"/>
        <v>20.027699999999996</v>
      </c>
      <c r="X123" s="4">
        <f t="shared" si="59"/>
        <v>20.027699999999996</v>
      </c>
      <c r="Y123" s="4">
        <f t="shared" si="59"/>
        <v>20.027699999999996</v>
      </c>
      <c r="Z123" s="4">
        <f t="shared" si="59"/>
        <v>20.027699999999996</v>
      </c>
      <c r="AA123" s="4">
        <f t="shared" si="59"/>
        <v>20.027699999999996</v>
      </c>
      <c r="AB123" s="4">
        <f t="shared" si="59"/>
        <v>20.027699999999996</v>
      </c>
      <c r="AC123" s="4">
        <f t="shared" si="59"/>
        <v>20.027699999999996</v>
      </c>
      <c r="AD123" s="4">
        <f t="shared" si="59"/>
        <v>20.027699999999996</v>
      </c>
      <c r="AE123" s="4">
        <f t="shared" si="59"/>
        <v>20.027699999999996</v>
      </c>
      <c r="AF123" s="4">
        <f t="shared" si="59"/>
        <v>20.027699999999996</v>
      </c>
      <c r="AG123" s="4">
        <f t="shared" si="59"/>
        <v>20.027699999999996</v>
      </c>
      <c r="AH123" s="4">
        <f t="shared" si="59"/>
        <v>20.027699999999996</v>
      </c>
      <c r="AI123" s="4">
        <f t="shared" si="59"/>
        <v>20.027699999999996</v>
      </c>
      <c r="AJ123" s="4">
        <f t="shared" si="59"/>
        <v>20.027699999999996</v>
      </c>
      <c r="AK123" s="4">
        <f t="shared" si="59"/>
        <v>20.027699999999996</v>
      </c>
      <c r="AL123" s="4">
        <f t="shared" si="59"/>
        <v>20.027699999999996</v>
      </c>
      <c r="AM123" s="4">
        <f t="shared" si="59"/>
        <v>20.027699999999996</v>
      </c>
      <c r="AN123" s="4">
        <f t="shared" si="59"/>
        <v>20.027699999999996</v>
      </c>
      <c r="AO123" s="4">
        <f t="shared" si="59"/>
        <v>20.027699999999996</v>
      </c>
      <c r="AP123" s="4">
        <f t="shared" si="59"/>
        <v>20.027699999999996</v>
      </c>
      <c r="AQ123" s="4">
        <f t="shared" si="59"/>
        <v>20.027699999999996</v>
      </c>
      <c r="AR123">
        <f t="shared" si="9"/>
        <v>20.027699999999996</v>
      </c>
    </row>
    <row r="124" spans="1:44" ht="12.75">
      <c r="A124" t="s">
        <v>248</v>
      </c>
      <c r="B124" t="s">
        <v>351</v>
      </c>
      <c r="D124" t="str">
        <f t="shared" si="4"/>
        <v>COST</v>
      </c>
      <c r="E124">
        <f t="shared" si="42"/>
        <v>2040</v>
      </c>
      <c r="F124" t="str">
        <f t="shared" si="55"/>
        <v>EXPOILKER</v>
      </c>
      <c r="G124" t="str">
        <f t="shared" si="43"/>
        <v>OILKER</v>
      </c>
      <c r="H124" s="4">
        <f t="shared" si="60" ref="H124:AQ124">H60*0.99</f>
        <v>20.027699999999996</v>
      </c>
      <c r="I124" s="4">
        <f t="shared" si="60"/>
        <v>20.027699999999996</v>
      </c>
      <c r="J124" s="4">
        <f t="shared" si="60"/>
        <v>20.027699999999996</v>
      </c>
      <c r="K124" s="4">
        <f t="shared" si="60"/>
        <v>20.027699999999996</v>
      </c>
      <c r="L124" s="4">
        <f t="shared" si="60"/>
        <v>20.027699999999996</v>
      </c>
      <c r="M124" s="4">
        <f t="shared" si="60"/>
        <v>20.027699999999996</v>
      </c>
      <c r="N124" s="4">
        <f t="shared" si="60"/>
        <v>20.027699999999996</v>
      </c>
      <c r="O124" s="4">
        <f t="shared" si="60"/>
        <v>20.027699999999996</v>
      </c>
      <c r="P124" s="4">
        <f t="shared" si="60"/>
        <v>20.027699999999996</v>
      </c>
      <c r="Q124" s="4">
        <f t="shared" si="60"/>
        <v>20.027699999999996</v>
      </c>
      <c r="R124" s="4">
        <f t="shared" si="60"/>
        <v>20.027699999999996</v>
      </c>
      <c r="S124" s="4">
        <f t="shared" si="60"/>
        <v>20.027699999999996</v>
      </c>
      <c r="T124" s="4">
        <f t="shared" si="60"/>
        <v>20.027699999999996</v>
      </c>
      <c r="U124" s="4">
        <f t="shared" si="60"/>
        <v>20.027699999999996</v>
      </c>
      <c r="V124" s="4">
        <f t="shared" si="60"/>
        <v>19.026314999999997</v>
      </c>
      <c r="W124" s="4">
        <f t="shared" si="60"/>
        <v>20.027699999999996</v>
      </c>
      <c r="X124" s="4">
        <f t="shared" si="60"/>
        <v>20.027699999999996</v>
      </c>
      <c r="Y124" s="4">
        <f t="shared" si="60"/>
        <v>20.027699999999996</v>
      </c>
      <c r="Z124" s="4">
        <f t="shared" si="60"/>
        <v>20.027699999999996</v>
      </c>
      <c r="AA124" s="4">
        <f t="shared" si="60"/>
        <v>20.027699999999996</v>
      </c>
      <c r="AB124" s="4">
        <f t="shared" si="60"/>
        <v>20.027699999999996</v>
      </c>
      <c r="AC124" s="4">
        <f t="shared" si="60"/>
        <v>20.027699999999996</v>
      </c>
      <c r="AD124" s="4">
        <f t="shared" si="60"/>
        <v>20.027699999999996</v>
      </c>
      <c r="AE124" s="4">
        <f t="shared" si="60"/>
        <v>20.027699999999996</v>
      </c>
      <c r="AF124" s="4">
        <f t="shared" si="60"/>
        <v>20.027699999999996</v>
      </c>
      <c r="AG124" s="4">
        <f t="shared" si="60"/>
        <v>20.027699999999996</v>
      </c>
      <c r="AH124" s="4">
        <f t="shared" si="60"/>
        <v>20.027699999999996</v>
      </c>
      <c r="AI124" s="4">
        <f t="shared" si="60"/>
        <v>20.027699999999996</v>
      </c>
      <c r="AJ124" s="4">
        <f t="shared" si="60"/>
        <v>20.027699999999996</v>
      </c>
      <c r="AK124" s="4">
        <f t="shared" si="60"/>
        <v>20.027699999999996</v>
      </c>
      <c r="AL124" s="4">
        <f t="shared" si="60"/>
        <v>20.027699999999996</v>
      </c>
      <c r="AM124" s="4">
        <f t="shared" si="60"/>
        <v>20.027699999999996</v>
      </c>
      <c r="AN124" s="4">
        <f t="shared" si="60"/>
        <v>20.027699999999996</v>
      </c>
      <c r="AO124" s="4">
        <f t="shared" si="60"/>
        <v>20.027699999999996</v>
      </c>
      <c r="AP124" s="4">
        <f t="shared" si="60"/>
        <v>20.027699999999996</v>
      </c>
      <c r="AQ124" s="4">
        <f t="shared" si="60"/>
        <v>20.027699999999996</v>
      </c>
      <c r="AR124">
        <f t="shared" si="9"/>
        <v>20.027699999999996</v>
      </c>
    </row>
    <row r="125" spans="1:44" ht="12.75">
      <c r="A125" t="s">
        <v>248</v>
      </c>
      <c r="B125" t="s">
        <v>351</v>
      </c>
      <c r="D125" t="str">
        <f t="shared" si="4"/>
        <v>*</v>
      </c>
      <c r="E125">
        <f t="shared" si="42"/>
        <v>2040</v>
      </c>
      <c r="F125" t="str">
        <f t="shared" si="55"/>
        <v>EXPGASNAT</v>
      </c>
      <c r="G125" t="str">
        <f t="shared" si="43"/>
        <v>GASNAT</v>
      </c>
      <c r="H125" s="4">
        <f t="shared" si="61" ref="H125:AQ125">H61*0.99</f>
        <v>6.9300000000000006</v>
      </c>
      <c r="I125" s="4">
        <f t="shared" si="61"/>
        <v>6.9300000000000006</v>
      </c>
      <c r="J125" s="4">
        <f t="shared" si="61"/>
        <v>6.9300000000000006</v>
      </c>
      <c r="K125" s="4">
        <f t="shared" si="61"/>
        <v>6.9300000000000006</v>
      </c>
      <c r="L125" s="4">
        <f t="shared" si="61"/>
        <v>6.9300000000000006</v>
      </c>
      <c r="M125" s="4">
        <f t="shared" si="61"/>
        <v>6.9300000000000006</v>
      </c>
      <c r="N125" s="4">
        <f t="shared" si="61"/>
        <v>6.9300000000000006</v>
      </c>
      <c r="O125" s="4">
        <f t="shared" si="61"/>
        <v>6.9300000000000006</v>
      </c>
      <c r="P125" s="4">
        <f t="shared" si="61"/>
        <v>5.8905000000000003</v>
      </c>
      <c r="Q125" s="4">
        <f t="shared" si="61"/>
        <v>6.237000000000001</v>
      </c>
      <c r="R125" s="4">
        <f t="shared" si="61"/>
        <v>6.9300000000000006</v>
      </c>
      <c r="S125" s="4">
        <f t="shared" si="61"/>
        <v>6.9300000000000006</v>
      </c>
      <c r="T125" s="4">
        <f t="shared" si="61"/>
        <v>6.9300000000000006</v>
      </c>
      <c r="U125" s="4">
        <f t="shared" si="61"/>
        <v>6.9300000000000006</v>
      </c>
      <c r="V125" s="4">
        <f t="shared" si="61"/>
        <v>6.237000000000001</v>
      </c>
      <c r="W125" s="4">
        <f t="shared" si="61"/>
        <v>6.9300000000000006</v>
      </c>
      <c r="X125" s="4">
        <f t="shared" si="61"/>
        <v>6.9300000000000006</v>
      </c>
      <c r="Y125" s="4">
        <f t="shared" si="61"/>
        <v>6.9300000000000006</v>
      </c>
      <c r="Z125" s="4">
        <f t="shared" si="61"/>
        <v>6.9300000000000006</v>
      </c>
      <c r="AA125" s="4">
        <f t="shared" si="61"/>
        <v>6.9300000000000006</v>
      </c>
      <c r="AB125" s="4">
        <f t="shared" si="61"/>
        <v>6.9300000000000006</v>
      </c>
      <c r="AC125" s="4">
        <f t="shared" si="61"/>
        <v>6.9300000000000006</v>
      </c>
      <c r="AD125" s="4">
        <f t="shared" si="61"/>
        <v>6.9300000000000006</v>
      </c>
      <c r="AE125" s="4">
        <f t="shared" si="61"/>
        <v>6.9300000000000006</v>
      </c>
      <c r="AF125" s="4">
        <f t="shared" si="61"/>
        <v>6.9300000000000006</v>
      </c>
      <c r="AG125" s="4">
        <f t="shared" si="61"/>
        <v>6.9300000000000006</v>
      </c>
      <c r="AH125" s="4">
        <f t="shared" si="61"/>
        <v>6.9300000000000006</v>
      </c>
      <c r="AI125" s="4">
        <f t="shared" si="61"/>
        <v>6.9300000000000006</v>
      </c>
      <c r="AJ125" s="4">
        <f t="shared" si="61"/>
        <v>6.9300000000000006</v>
      </c>
      <c r="AK125" s="4">
        <f t="shared" si="61"/>
        <v>6.9300000000000006</v>
      </c>
      <c r="AL125" s="4">
        <f t="shared" si="61"/>
        <v>6.9300000000000006</v>
      </c>
      <c r="AM125" s="4">
        <f t="shared" si="61"/>
        <v>6.9300000000000006</v>
      </c>
      <c r="AN125" s="4">
        <f t="shared" si="61"/>
        <v>6.9300000000000006</v>
      </c>
      <c r="AO125" s="4">
        <f t="shared" si="61"/>
        <v>6.9300000000000006</v>
      </c>
      <c r="AP125" s="4">
        <f t="shared" si="61"/>
        <v>6.9300000000000006</v>
      </c>
      <c r="AQ125" s="4">
        <f t="shared" si="61"/>
        <v>6.9300000000000006</v>
      </c>
      <c r="AR125">
        <f t="shared" si="9"/>
        <v>6.9300000000000006</v>
      </c>
    </row>
    <row r="126" spans="1:44" ht="12.75">
      <c r="A126" t="s">
        <v>248</v>
      </c>
      <c r="B126" t="s">
        <v>351</v>
      </c>
      <c r="D126" t="str">
        <f t="shared" si="4"/>
        <v>COST</v>
      </c>
      <c r="E126">
        <f t="shared" si="42"/>
        <v>2045</v>
      </c>
      <c r="F126" t="str">
        <f t="shared" si="55"/>
        <v>EXPOILCRD</v>
      </c>
      <c r="G126" t="str">
        <f t="shared" si="43"/>
        <v>OILCRD</v>
      </c>
      <c r="H126" s="4">
        <f t="shared" si="62" ref="H126:AQ126">H62*0.99</f>
        <v>14.220359999999998</v>
      </c>
      <c r="I126" s="4">
        <f t="shared" si="62"/>
        <v>15.800399999999998</v>
      </c>
      <c r="J126" s="4">
        <f t="shared" si="62"/>
        <v>15.800399999999998</v>
      </c>
      <c r="K126" s="4">
        <f t="shared" si="62"/>
        <v>15.800399999999998</v>
      </c>
      <c r="L126" s="4">
        <f t="shared" si="62"/>
        <v>15.800399999999998</v>
      </c>
      <c r="M126" s="4">
        <f t="shared" si="62"/>
        <v>15.800399999999998</v>
      </c>
      <c r="N126" s="4">
        <f t="shared" si="62"/>
        <v>15.800399999999998</v>
      </c>
      <c r="O126" s="4">
        <f t="shared" si="62"/>
        <v>15.800399999999998</v>
      </c>
      <c r="P126" s="4">
        <f t="shared" si="62"/>
        <v>13.430339999999998</v>
      </c>
      <c r="Q126" s="4">
        <f t="shared" si="62"/>
        <v>15.800399999999998</v>
      </c>
      <c r="R126" s="4">
        <f t="shared" si="62"/>
        <v>15.800399999999998</v>
      </c>
      <c r="S126" s="4">
        <f t="shared" si="62"/>
        <v>15.800399999999998</v>
      </c>
      <c r="T126" s="4">
        <f t="shared" si="62"/>
        <v>15.800399999999998</v>
      </c>
      <c r="U126" s="4">
        <f t="shared" si="62"/>
        <v>14.220359999999998</v>
      </c>
      <c r="V126" s="4">
        <f t="shared" si="62"/>
        <v>14.220359999999998</v>
      </c>
      <c r="W126" s="4">
        <f t="shared" si="62"/>
        <v>15.800399999999998</v>
      </c>
      <c r="X126" s="4">
        <f t="shared" si="62"/>
        <v>15.800399999999998</v>
      </c>
      <c r="Y126" s="4">
        <f t="shared" si="62"/>
        <v>15.800399999999998</v>
      </c>
      <c r="Z126" s="4">
        <f t="shared" si="62"/>
        <v>15.800399999999998</v>
      </c>
      <c r="AA126" s="4">
        <f t="shared" si="62"/>
        <v>15.800399999999998</v>
      </c>
      <c r="AB126" s="4">
        <f t="shared" si="62"/>
        <v>15.800399999999998</v>
      </c>
      <c r="AC126" s="4">
        <f t="shared" si="62"/>
        <v>15.800399999999998</v>
      </c>
      <c r="AD126" s="4">
        <f t="shared" si="62"/>
        <v>15.800399999999998</v>
      </c>
      <c r="AE126" s="4">
        <f t="shared" si="62"/>
        <v>15.800399999999998</v>
      </c>
      <c r="AF126" s="4">
        <f t="shared" si="62"/>
        <v>15.800399999999998</v>
      </c>
      <c r="AG126" s="4">
        <f t="shared" si="62"/>
        <v>15.800399999999998</v>
      </c>
      <c r="AH126" s="4">
        <f t="shared" si="62"/>
        <v>15.800399999999998</v>
      </c>
      <c r="AI126" s="4">
        <f t="shared" si="62"/>
        <v>15.800399999999998</v>
      </c>
      <c r="AJ126" s="4">
        <f t="shared" si="62"/>
        <v>15.800399999999998</v>
      </c>
      <c r="AK126" s="4">
        <f t="shared" si="62"/>
        <v>15.800399999999998</v>
      </c>
      <c r="AL126" s="4">
        <f t="shared" si="62"/>
        <v>15.800399999999998</v>
      </c>
      <c r="AM126" s="4">
        <f t="shared" si="62"/>
        <v>15.800399999999998</v>
      </c>
      <c r="AN126" s="4">
        <f t="shared" si="62"/>
        <v>15.800399999999998</v>
      </c>
      <c r="AO126" s="4">
        <f t="shared" si="62"/>
        <v>15.800399999999998</v>
      </c>
      <c r="AP126" s="4">
        <f t="shared" si="62"/>
        <v>15.800399999999998</v>
      </c>
      <c r="AQ126" s="4">
        <f t="shared" si="62"/>
        <v>15.800399999999998</v>
      </c>
      <c r="AR126">
        <f t="shared" si="9"/>
        <v>15.800399999999998</v>
      </c>
    </row>
    <row r="127" spans="1:44" ht="12.75">
      <c r="A127" t="s">
        <v>248</v>
      </c>
      <c r="B127" t="s">
        <v>351</v>
      </c>
      <c r="D127" t="str">
        <f t="shared" si="4"/>
        <v>COST</v>
      </c>
      <c r="E127">
        <f t="shared" si="42"/>
        <v>2045</v>
      </c>
      <c r="F127" t="str">
        <f t="shared" si="55"/>
        <v>EXPOILHFO</v>
      </c>
      <c r="G127" t="str">
        <f t="shared" si="43"/>
        <v>OILHFO</v>
      </c>
      <c r="H127" s="4">
        <f t="shared" si="63" ref="H127:AQ127">H63*0.99</f>
        <v>11.518491599999999</v>
      </c>
      <c r="I127" s="4">
        <f t="shared" si="63"/>
        <v>12.798323999999997</v>
      </c>
      <c r="J127" s="4">
        <f t="shared" si="63"/>
        <v>12.798323999999997</v>
      </c>
      <c r="K127" s="4">
        <f t="shared" si="63"/>
        <v>12.798323999999997</v>
      </c>
      <c r="L127" s="4">
        <f t="shared" si="63"/>
        <v>12.798323999999997</v>
      </c>
      <c r="M127" s="4">
        <f t="shared" si="63"/>
        <v>12.798323999999997</v>
      </c>
      <c r="N127" s="4">
        <f t="shared" si="63"/>
        <v>12.798323999999997</v>
      </c>
      <c r="O127" s="4">
        <f t="shared" si="63"/>
        <v>12.798323999999997</v>
      </c>
      <c r="P127" s="4">
        <f t="shared" si="63"/>
        <v>10.878575399999997</v>
      </c>
      <c r="Q127" s="4">
        <f t="shared" si="63"/>
        <v>12.798323999999997</v>
      </c>
      <c r="R127" s="4">
        <f t="shared" si="63"/>
        <v>12.798323999999997</v>
      </c>
      <c r="S127" s="4">
        <f t="shared" si="63"/>
        <v>12.798323999999997</v>
      </c>
      <c r="T127" s="4">
        <f t="shared" si="63"/>
        <v>12.798323999999997</v>
      </c>
      <c r="U127" s="4">
        <f t="shared" si="63"/>
        <v>11.518491599999999</v>
      </c>
      <c r="V127" s="4">
        <f t="shared" si="63"/>
        <v>11.518491599999999</v>
      </c>
      <c r="W127" s="4">
        <f t="shared" si="63"/>
        <v>12.798323999999997</v>
      </c>
      <c r="X127" s="4">
        <f t="shared" si="63"/>
        <v>12.798323999999997</v>
      </c>
      <c r="Y127" s="4">
        <f t="shared" si="63"/>
        <v>12.798323999999997</v>
      </c>
      <c r="Z127" s="4">
        <f t="shared" si="63"/>
        <v>12.798323999999997</v>
      </c>
      <c r="AA127" s="4">
        <f t="shared" si="63"/>
        <v>12.798323999999997</v>
      </c>
      <c r="AB127" s="4">
        <f t="shared" si="63"/>
        <v>12.798323999999997</v>
      </c>
      <c r="AC127" s="4">
        <f t="shared" si="63"/>
        <v>12.798323999999997</v>
      </c>
      <c r="AD127" s="4">
        <f t="shared" si="63"/>
        <v>12.798323999999997</v>
      </c>
      <c r="AE127" s="4">
        <f t="shared" si="63"/>
        <v>12.798323999999997</v>
      </c>
      <c r="AF127" s="4">
        <f t="shared" si="63"/>
        <v>12.798323999999997</v>
      </c>
      <c r="AG127" s="4">
        <f t="shared" si="63"/>
        <v>12.798323999999997</v>
      </c>
      <c r="AH127" s="4">
        <f t="shared" si="63"/>
        <v>12.798323999999997</v>
      </c>
      <c r="AI127" s="4">
        <f t="shared" si="63"/>
        <v>12.798323999999997</v>
      </c>
      <c r="AJ127" s="4">
        <f t="shared" si="63"/>
        <v>12.798323999999997</v>
      </c>
      <c r="AK127" s="4">
        <f t="shared" si="63"/>
        <v>12.798323999999997</v>
      </c>
      <c r="AL127" s="4">
        <f t="shared" si="63"/>
        <v>12.798323999999997</v>
      </c>
      <c r="AM127" s="4">
        <f t="shared" si="63"/>
        <v>12.798323999999997</v>
      </c>
      <c r="AN127" s="4">
        <f t="shared" si="63"/>
        <v>12.798323999999997</v>
      </c>
      <c r="AO127" s="4">
        <f t="shared" si="63"/>
        <v>12.798323999999997</v>
      </c>
      <c r="AP127" s="4">
        <f t="shared" si="63"/>
        <v>12.798323999999997</v>
      </c>
      <c r="AQ127" s="4">
        <f t="shared" si="63"/>
        <v>12.798323999999997</v>
      </c>
      <c r="AR127">
        <f t="shared" si="9"/>
        <v>12.798323999999997</v>
      </c>
    </row>
    <row r="128" spans="1:44" ht="12.75">
      <c r="A128" t="s">
        <v>248</v>
      </c>
      <c r="B128" t="s">
        <v>351</v>
      </c>
      <c r="D128" t="str">
        <f t="shared" si="64" ref="D128:D139">IF(RIGHT(F128,6)="GASNAT","*","COST")</f>
        <v>COST</v>
      </c>
      <c r="E128">
        <f t="shared" si="42"/>
        <v>2045</v>
      </c>
      <c r="F128" t="str">
        <f t="shared" si="55"/>
        <v>EXPOILDST</v>
      </c>
      <c r="G128" t="str">
        <f t="shared" si="43"/>
        <v>OILDST</v>
      </c>
      <c r="H128" s="4">
        <f t="shared" si="65" ref="H128:AQ128">H64*0.99</f>
        <v>20.540519999999997</v>
      </c>
      <c r="I128" s="4">
        <f t="shared" si="65"/>
        <v>20.540519999999997</v>
      </c>
      <c r="J128" s="4">
        <f t="shared" si="65"/>
        <v>20.540519999999997</v>
      </c>
      <c r="K128" s="4">
        <f t="shared" si="65"/>
        <v>20.540519999999997</v>
      </c>
      <c r="L128" s="4">
        <f t="shared" si="65"/>
        <v>20.540519999999997</v>
      </c>
      <c r="M128" s="4">
        <f t="shared" si="65"/>
        <v>20.540519999999997</v>
      </c>
      <c r="N128" s="4">
        <f t="shared" si="65"/>
        <v>20.540519999999997</v>
      </c>
      <c r="O128" s="4">
        <f t="shared" si="65"/>
        <v>20.540519999999997</v>
      </c>
      <c r="P128" s="4">
        <f t="shared" si="65"/>
        <v>20.540519999999997</v>
      </c>
      <c r="Q128" s="4">
        <f t="shared" si="65"/>
        <v>20.540519999999997</v>
      </c>
      <c r="R128" s="4">
        <f t="shared" si="65"/>
        <v>20.540519999999997</v>
      </c>
      <c r="S128" s="4">
        <f t="shared" si="65"/>
        <v>20.540519999999997</v>
      </c>
      <c r="T128" s="4">
        <f t="shared" si="65"/>
        <v>20.540519999999997</v>
      </c>
      <c r="U128" s="4">
        <f t="shared" si="65"/>
        <v>20.540519999999997</v>
      </c>
      <c r="V128" s="4">
        <f t="shared" si="65"/>
        <v>19.513493999999994</v>
      </c>
      <c r="W128" s="4">
        <f t="shared" si="65"/>
        <v>20.540519999999997</v>
      </c>
      <c r="X128" s="4">
        <f t="shared" si="65"/>
        <v>20.540519999999997</v>
      </c>
      <c r="Y128" s="4">
        <f t="shared" si="65"/>
        <v>20.540519999999997</v>
      </c>
      <c r="Z128" s="4">
        <f t="shared" si="65"/>
        <v>20.540519999999997</v>
      </c>
      <c r="AA128" s="4">
        <f t="shared" si="65"/>
        <v>20.540519999999997</v>
      </c>
      <c r="AB128" s="4">
        <f t="shared" si="65"/>
        <v>20.540519999999997</v>
      </c>
      <c r="AC128" s="4">
        <f t="shared" si="65"/>
        <v>20.540519999999997</v>
      </c>
      <c r="AD128" s="4">
        <f t="shared" si="65"/>
        <v>20.540519999999997</v>
      </c>
      <c r="AE128" s="4">
        <f t="shared" si="65"/>
        <v>20.540519999999997</v>
      </c>
      <c r="AF128" s="4">
        <f t="shared" si="65"/>
        <v>20.540519999999997</v>
      </c>
      <c r="AG128" s="4">
        <f t="shared" si="65"/>
        <v>20.540519999999997</v>
      </c>
      <c r="AH128" s="4">
        <f t="shared" si="65"/>
        <v>20.540519999999997</v>
      </c>
      <c r="AI128" s="4">
        <f t="shared" si="65"/>
        <v>20.540519999999997</v>
      </c>
      <c r="AJ128" s="4">
        <f t="shared" si="65"/>
        <v>20.540519999999997</v>
      </c>
      <c r="AK128" s="4">
        <f t="shared" si="65"/>
        <v>20.540519999999997</v>
      </c>
      <c r="AL128" s="4">
        <f t="shared" si="65"/>
        <v>20.540519999999997</v>
      </c>
      <c r="AM128" s="4">
        <f t="shared" si="65"/>
        <v>20.540519999999997</v>
      </c>
      <c r="AN128" s="4">
        <f t="shared" si="65"/>
        <v>20.540519999999997</v>
      </c>
      <c r="AO128" s="4">
        <f t="shared" si="65"/>
        <v>20.540519999999997</v>
      </c>
      <c r="AP128" s="4">
        <f t="shared" si="65"/>
        <v>20.540519999999997</v>
      </c>
      <c r="AQ128" s="4">
        <f t="shared" si="65"/>
        <v>20.540519999999997</v>
      </c>
      <c r="AR128">
        <f t="shared" si="9"/>
        <v>20.540519999999997</v>
      </c>
    </row>
    <row r="129" spans="1:44" ht="12.75">
      <c r="A129" t="s">
        <v>248</v>
      </c>
      <c r="B129" t="s">
        <v>351</v>
      </c>
      <c r="D129" t="str">
        <f t="shared" si="64"/>
        <v>COST</v>
      </c>
      <c r="E129">
        <f t="shared" si="42"/>
        <v>2045</v>
      </c>
      <c r="F129" t="str">
        <f t="shared" si="55"/>
        <v>EXPOILLPG</v>
      </c>
      <c r="G129" t="str">
        <f t="shared" si="43"/>
        <v>OILLPG</v>
      </c>
      <c r="H129" s="4">
        <f t="shared" si="66" ref="H129:AQ129">H65*0.99</f>
        <v>17.380439999999997</v>
      </c>
      <c r="I129" s="4">
        <f t="shared" si="66"/>
        <v>17.380439999999997</v>
      </c>
      <c r="J129" s="4">
        <f t="shared" si="66"/>
        <v>17.380439999999997</v>
      </c>
      <c r="K129" s="4">
        <f t="shared" si="66"/>
        <v>17.380439999999997</v>
      </c>
      <c r="L129" s="4">
        <f t="shared" si="66"/>
        <v>17.380439999999997</v>
      </c>
      <c r="M129" s="4">
        <f t="shared" si="66"/>
        <v>17.380439999999997</v>
      </c>
      <c r="N129" s="4">
        <f t="shared" si="66"/>
        <v>17.380439999999997</v>
      </c>
      <c r="O129" s="4">
        <f t="shared" si="66"/>
        <v>17.380439999999997</v>
      </c>
      <c r="P129" s="4">
        <f t="shared" si="66"/>
        <v>17.380439999999997</v>
      </c>
      <c r="Q129" s="4">
        <f t="shared" si="66"/>
        <v>17.380439999999997</v>
      </c>
      <c r="R129" s="4">
        <f t="shared" si="66"/>
        <v>17.380439999999997</v>
      </c>
      <c r="S129" s="4">
        <f t="shared" si="66"/>
        <v>17.380439999999997</v>
      </c>
      <c r="T129" s="4">
        <f t="shared" si="66"/>
        <v>17.380439999999997</v>
      </c>
      <c r="U129" s="4">
        <f t="shared" si="66"/>
        <v>17.380439999999997</v>
      </c>
      <c r="V129" s="4">
        <f t="shared" si="66"/>
        <v>16.511417999999995</v>
      </c>
      <c r="W129" s="4">
        <f t="shared" si="66"/>
        <v>17.380439999999997</v>
      </c>
      <c r="X129" s="4">
        <f t="shared" si="66"/>
        <v>17.380439999999997</v>
      </c>
      <c r="Y129" s="4">
        <f t="shared" si="66"/>
        <v>17.380439999999997</v>
      </c>
      <c r="Z129" s="4">
        <f t="shared" si="66"/>
        <v>17.380439999999997</v>
      </c>
      <c r="AA129" s="4">
        <f t="shared" si="66"/>
        <v>17.380439999999997</v>
      </c>
      <c r="AB129" s="4">
        <f t="shared" si="66"/>
        <v>17.380439999999997</v>
      </c>
      <c r="AC129" s="4">
        <f t="shared" si="66"/>
        <v>17.380439999999997</v>
      </c>
      <c r="AD129" s="4">
        <f t="shared" si="66"/>
        <v>17.380439999999997</v>
      </c>
      <c r="AE129" s="4">
        <f t="shared" si="66"/>
        <v>17.380439999999997</v>
      </c>
      <c r="AF129" s="4">
        <f t="shared" si="66"/>
        <v>17.380439999999997</v>
      </c>
      <c r="AG129" s="4">
        <f t="shared" si="66"/>
        <v>17.380439999999997</v>
      </c>
      <c r="AH129" s="4">
        <f t="shared" si="66"/>
        <v>17.380439999999997</v>
      </c>
      <c r="AI129" s="4">
        <f t="shared" si="66"/>
        <v>17.380439999999997</v>
      </c>
      <c r="AJ129" s="4">
        <f t="shared" si="66"/>
        <v>17.380439999999997</v>
      </c>
      <c r="AK129" s="4">
        <f t="shared" si="66"/>
        <v>17.380439999999997</v>
      </c>
      <c r="AL129" s="4">
        <f t="shared" si="66"/>
        <v>17.380439999999997</v>
      </c>
      <c r="AM129" s="4">
        <f t="shared" si="66"/>
        <v>17.380439999999997</v>
      </c>
      <c r="AN129" s="4">
        <f t="shared" si="66"/>
        <v>17.380439999999997</v>
      </c>
      <c r="AO129" s="4">
        <f t="shared" si="66"/>
        <v>17.380439999999997</v>
      </c>
      <c r="AP129" s="4">
        <f t="shared" si="66"/>
        <v>17.380439999999997</v>
      </c>
      <c r="AQ129" s="4">
        <f t="shared" si="66"/>
        <v>17.380439999999997</v>
      </c>
      <c r="AR129">
        <f t="shared" si="9"/>
        <v>17.380439999999997</v>
      </c>
    </row>
    <row r="130" spans="1:44" ht="12.75">
      <c r="A130" t="s">
        <v>248</v>
      </c>
      <c r="B130" t="s">
        <v>351</v>
      </c>
      <c r="D130" t="str">
        <f t="shared" si="64"/>
        <v>COST</v>
      </c>
      <c r="E130">
        <f t="shared" si="42"/>
        <v>2045</v>
      </c>
      <c r="F130" t="str">
        <f t="shared" si="55"/>
        <v>EXPOILGSL</v>
      </c>
      <c r="G130" t="str">
        <f t="shared" si="43"/>
        <v>OILGSL</v>
      </c>
      <c r="H130" s="4">
        <f t="shared" si="67" ref="H130:AQ130">H66*0.99</f>
        <v>22.120559999999994</v>
      </c>
      <c r="I130" s="4">
        <f t="shared" si="67"/>
        <v>22.120559999999994</v>
      </c>
      <c r="J130" s="4">
        <f t="shared" si="67"/>
        <v>22.120559999999994</v>
      </c>
      <c r="K130" s="4">
        <f t="shared" si="67"/>
        <v>22.120559999999994</v>
      </c>
      <c r="L130" s="4">
        <f t="shared" si="67"/>
        <v>22.120559999999994</v>
      </c>
      <c r="M130" s="4">
        <f t="shared" si="67"/>
        <v>22.120559999999994</v>
      </c>
      <c r="N130" s="4">
        <f t="shared" si="67"/>
        <v>22.120559999999994</v>
      </c>
      <c r="O130" s="4">
        <f t="shared" si="67"/>
        <v>22.120559999999994</v>
      </c>
      <c r="P130" s="4">
        <f t="shared" si="67"/>
        <v>22.120559999999994</v>
      </c>
      <c r="Q130" s="4">
        <f t="shared" si="67"/>
        <v>22.120559999999994</v>
      </c>
      <c r="R130" s="4">
        <f t="shared" si="67"/>
        <v>22.120559999999994</v>
      </c>
      <c r="S130" s="4">
        <f t="shared" si="67"/>
        <v>22.120559999999994</v>
      </c>
      <c r="T130" s="4">
        <f t="shared" si="67"/>
        <v>22.120559999999994</v>
      </c>
      <c r="U130" s="4">
        <f t="shared" si="67"/>
        <v>22.120559999999994</v>
      </c>
      <c r="V130" s="4">
        <f t="shared" si="67"/>
        <v>21.014531999999992</v>
      </c>
      <c r="W130" s="4">
        <f t="shared" si="67"/>
        <v>22.120559999999994</v>
      </c>
      <c r="X130" s="4">
        <f t="shared" si="67"/>
        <v>22.120559999999994</v>
      </c>
      <c r="Y130" s="4">
        <f t="shared" si="67"/>
        <v>22.120559999999994</v>
      </c>
      <c r="Z130" s="4">
        <f t="shared" si="67"/>
        <v>22.120559999999994</v>
      </c>
      <c r="AA130" s="4">
        <f t="shared" si="67"/>
        <v>22.120559999999994</v>
      </c>
      <c r="AB130" s="4">
        <f t="shared" si="67"/>
        <v>22.120559999999994</v>
      </c>
      <c r="AC130" s="4">
        <f t="shared" si="67"/>
        <v>22.120559999999994</v>
      </c>
      <c r="AD130" s="4">
        <f t="shared" si="67"/>
        <v>22.120559999999994</v>
      </c>
      <c r="AE130" s="4">
        <f t="shared" si="67"/>
        <v>22.120559999999994</v>
      </c>
      <c r="AF130" s="4">
        <f t="shared" si="67"/>
        <v>22.120559999999994</v>
      </c>
      <c r="AG130" s="4">
        <f t="shared" si="67"/>
        <v>22.120559999999994</v>
      </c>
      <c r="AH130" s="4">
        <f t="shared" si="67"/>
        <v>22.120559999999994</v>
      </c>
      <c r="AI130" s="4">
        <f t="shared" si="67"/>
        <v>22.120559999999994</v>
      </c>
      <c r="AJ130" s="4">
        <f t="shared" si="67"/>
        <v>22.120559999999994</v>
      </c>
      <c r="AK130" s="4">
        <f t="shared" si="67"/>
        <v>22.120559999999994</v>
      </c>
      <c r="AL130" s="4">
        <f t="shared" si="67"/>
        <v>22.120559999999994</v>
      </c>
      <c r="AM130" s="4">
        <f t="shared" si="67"/>
        <v>22.120559999999994</v>
      </c>
      <c r="AN130" s="4">
        <f t="shared" si="67"/>
        <v>22.120559999999994</v>
      </c>
      <c r="AO130" s="4">
        <f t="shared" si="67"/>
        <v>22.120559999999994</v>
      </c>
      <c r="AP130" s="4">
        <f t="shared" si="67"/>
        <v>22.120559999999994</v>
      </c>
      <c r="AQ130" s="4">
        <f t="shared" si="67"/>
        <v>22.120559999999994</v>
      </c>
      <c r="AR130">
        <f t="shared" si="9"/>
        <v>22.120559999999994</v>
      </c>
    </row>
    <row r="131" spans="1:44" ht="12.75">
      <c r="A131" t="s">
        <v>248</v>
      </c>
      <c r="B131" t="s">
        <v>351</v>
      </c>
      <c r="D131" t="str">
        <f t="shared" si="64"/>
        <v>COST</v>
      </c>
      <c r="E131">
        <f t="shared" si="42"/>
        <v>2045</v>
      </c>
      <c r="F131" t="str">
        <f t="shared" si="55"/>
        <v>EXPOILKER</v>
      </c>
      <c r="G131" t="str">
        <f t="shared" si="43"/>
        <v>OILKER</v>
      </c>
      <c r="H131" s="4">
        <f t="shared" si="68" ref="H131:AQ131">H67*0.99</f>
        <v>22.120559999999994</v>
      </c>
      <c r="I131" s="4">
        <f t="shared" si="68"/>
        <v>22.120559999999994</v>
      </c>
      <c r="J131" s="4">
        <f t="shared" si="68"/>
        <v>22.120559999999994</v>
      </c>
      <c r="K131" s="4">
        <f t="shared" si="68"/>
        <v>22.120559999999994</v>
      </c>
      <c r="L131" s="4">
        <f t="shared" si="68"/>
        <v>22.120559999999994</v>
      </c>
      <c r="M131" s="4">
        <f t="shared" si="68"/>
        <v>22.120559999999994</v>
      </c>
      <c r="N131" s="4">
        <f t="shared" si="68"/>
        <v>22.120559999999994</v>
      </c>
      <c r="O131" s="4">
        <f t="shared" si="68"/>
        <v>22.120559999999994</v>
      </c>
      <c r="P131" s="4">
        <f t="shared" si="68"/>
        <v>22.120559999999994</v>
      </c>
      <c r="Q131" s="4">
        <f t="shared" si="68"/>
        <v>22.120559999999994</v>
      </c>
      <c r="R131" s="4">
        <f t="shared" si="68"/>
        <v>22.120559999999994</v>
      </c>
      <c r="S131" s="4">
        <f t="shared" si="68"/>
        <v>22.120559999999994</v>
      </c>
      <c r="T131" s="4">
        <f t="shared" si="68"/>
        <v>22.120559999999994</v>
      </c>
      <c r="U131" s="4">
        <f t="shared" si="68"/>
        <v>22.120559999999994</v>
      </c>
      <c r="V131" s="4">
        <f t="shared" si="68"/>
        <v>21.014531999999992</v>
      </c>
      <c r="W131" s="4">
        <f t="shared" si="68"/>
        <v>22.120559999999994</v>
      </c>
      <c r="X131" s="4">
        <f t="shared" si="68"/>
        <v>22.120559999999994</v>
      </c>
      <c r="Y131" s="4">
        <f t="shared" si="68"/>
        <v>22.120559999999994</v>
      </c>
      <c r="Z131" s="4">
        <f t="shared" si="68"/>
        <v>22.120559999999994</v>
      </c>
      <c r="AA131" s="4">
        <f t="shared" si="68"/>
        <v>22.120559999999994</v>
      </c>
      <c r="AB131" s="4">
        <f t="shared" si="68"/>
        <v>22.120559999999994</v>
      </c>
      <c r="AC131" s="4">
        <f t="shared" si="68"/>
        <v>22.120559999999994</v>
      </c>
      <c r="AD131" s="4">
        <f t="shared" si="68"/>
        <v>22.120559999999994</v>
      </c>
      <c r="AE131" s="4">
        <f t="shared" si="68"/>
        <v>22.120559999999994</v>
      </c>
      <c r="AF131" s="4">
        <f t="shared" si="68"/>
        <v>22.120559999999994</v>
      </c>
      <c r="AG131" s="4">
        <f t="shared" si="68"/>
        <v>22.120559999999994</v>
      </c>
      <c r="AH131" s="4">
        <f t="shared" si="68"/>
        <v>22.120559999999994</v>
      </c>
      <c r="AI131" s="4">
        <f t="shared" si="68"/>
        <v>22.120559999999994</v>
      </c>
      <c r="AJ131" s="4">
        <f t="shared" si="68"/>
        <v>22.120559999999994</v>
      </c>
      <c r="AK131" s="4">
        <f t="shared" si="68"/>
        <v>22.120559999999994</v>
      </c>
      <c r="AL131" s="4">
        <f t="shared" si="68"/>
        <v>22.120559999999994</v>
      </c>
      <c r="AM131" s="4">
        <f t="shared" si="68"/>
        <v>22.120559999999994</v>
      </c>
      <c r="AN131" s="4">
        <f t="shared" si="68"/>
        <v>22.120559999999994</v>
      </c>
      <c r="AO131" s="4">
        <f t="shared" si="68"/>
        <v>22.120559999999994</v>
      </c>
      <c r="AP131" s="4">
        <f t="shared" si="68"/>
        <v>22.120559999999994</v>
      </c>
      <c r="AQ131" s="4">
        <f t="shared" si="68"/>
        <v>22.120559999999994</v>
      </c>
      <c r="AR131">
        <f t="shared" si="9"/>
        <v>22.120559999999994</v>
      </c>
    </row>
    <row r="132" spans="1:44" ht="12.75">
      <c r="A132" t="s">
        <v>248</v>
      </c>
      <c r="B132" t="s">
        <v>351</v>
      </c>
      <c r="D132" t="str">
        <f t="shared" si="64"/>
        <v>*</v>
      </c>
      <c r="E132">
        <f t="shared" si="42"/>
        <v>2045</v>
      </c>
      <c r="F132" t="str">
        <f t="shared" si="55"/>
        <v>EXPGASNAT</v>
      </c>
      <c r="G132" t="str">
        <f t="shared" si="43"/>
        <v>GASNAT</v>
      </c>
      <c r="H132" s="4">
        <f t="shared" si="69" ref="H132:AQ132">H68*0.99</f>
        <v>6.9300000000000006</v>
      </c>
      <c r="I132" s="4">
        <f t="shared" si="69"/>
        <v>6.9300000000000006</v>
      </c>
      <c r="J132" s="4">
        <f t="shared" si="69"/>
        <v>6.9300000000000006</v>
      </c>
      <c r="K132" s="4">
        <f t="shared" si="69"/>
        <v>6.9300000000000006</v>
      </c>
      <c r="L132" s="4">
        <f t="shared" si="69"/>
        <v>6.9300000000000006</v>
      </c>
      <c r="M132" s="4">
        <f t="shared" si="69"/>
        <v>6.9300000000000006</v>
      </c>
      <c r="N132" s="4">
        <f t="shared" si="69"/>
        <v>6.9300000000000006</v>
      </c>
      <c r="O132" s="4">
        <f t="shared" si="69"/>
        <v>6.9300000000000006</v>
      </c>
      <c r="P132" s="4">
        <f t="shared" si="69"/>
        <v>5.8905000000000003</v>
      </c>
      <c r="Q132" s="4">
        <f t="shared" si="69"/>
        <v>6.237000000000001</v>
      </c>
      <c r="R132" s="4">
        <f t="shared" si="69"/>
        <v>6.9300000000000006</v>
      </c>
      <c r="S132" s="4">
        <f t="shared" si="69"/>
        <v>6.9300000000000006</v>
      </c>
      <c r="T132" s="4">
        <f t="shared" si="69"/>
        <v>6.9300000000000006</v>
      </c>
      <c r="U132" s="4">
        <f t="shared" si="69"/>
        <v>6.9300000000000006</v>
      </c>
      <c r="V132" s="4">
        <f t="shared" si="69"/>
        <v>6.237000000000001</v>
      </c>
      <c r="W132" s="4">
        <f t="shared" si="69"/>
        <v>6.9300000000000006</v>
      </c>
      <c r="X132" s="4">
        <f t="shared" si="69"/>
        <v>6.9300000000000006</v>
      </c>
      <c r="Y132" s="4">
        <f t="shared" si="69"/>
        <v>6.9300000000000006</v>
      </c>
      <c r="Z132" s="4">
        <f t="shared" si="69"/>
        <v>6.9300000000000006</v>
      </c>
      <c r="AA132" s="4">
        <f t="shared" si="69"/>
        <v>6.9300000000000006</v>
      </c>
      <c r="AB132" s="4">
        <f t="shared" si="69"/>
        <v>6.9300000000000006</v>
      </c>
      <c r="AC132" s="4">
        <f t="shared" si="69"/>
        <v>6.9300000000000006</v>
      </c>
      <c r="AD132" s="4">
        <f t="shared" si="69"/>
        <v>6.9300000000000006</v>
      </c>
      <c r="AE132" s="4">
        <f t="shared" si="69"/>
        <v>6.9300000000000006</v>
      </c>
      <c r="AF132" s="4">
        <f t="shared" si="69"/>
        <v>6.9300000000000006</v>
      </c>
      <c r="AG132" s="4">
        <f t="shared" si="69"/>
        <v>6.9300000000000006</v>
      </c>
      <c r="AH132" s="4">
        <f t="shared" si="69"/>
        <v>6.9300000000000006</v>
      </c>
      <c r="AI132" s="4">
        <f t="shared" si="69"/>
        <v>6.9300000000000006</v>
      </c>
      <c r="AJ132" s="4">
        <f t="shared" si="69"/>
        <v>6.9300000000000006</v>
      </c>
      <c r="AK132" s="4">
        <f t="shared" si="69"/>
        <v>6.9300000000000006</v>
      </c>
      <c r="AL132" s="4">
        <f t="shared" si="69"/>
        <v>6.9300000000000006</v>
      </c>
      <c r="AM132" s="4">
        <f t="shared" si="69"/>
        <v>6.9300000000000006</v>
      </c>
      <c r="AN132" s="4">
        <f t="shared" si="69"/>
        <v>6.9300000000000006</v>
      </c>
      <c r="AO132" s="4">
        <f t="shared" si="69"/>
        <v>6.9300000000000006</v>
      </c>
      <c r="AP132" s="4">
        <f t="shared" si="69"/>
        <v>6.9300000000000006</v>
      </c>
      <c r="AQ132" s="4">
        <f t="shared" si="69"/>
        <v>6.9300000000000006</v>
      </c>
      <c r="AR132">
        <f t="shared" si="9"/>
        <v>6.9300000000000006</v>
      </c>
    </row>
    <row r="133" spans="1:44" ht="12.75">
      <c r="A133" t="s">
        <v>248</v>
      </c>
      <c r="B133" t="s">
        <v>351</v>
      </c>
      <c r="D133" t="str">
        <f t="shared" si="64"/>
        <v>COST</v>
      </c>
      <c r="E133">
        <f t="shared" si="42"/>
        <v>2050</v>
      </c>
      <c r="F133" t="str">
        <f t="shared" si="55"/>
        <v>EXPOILCRD</v>
      </c>
      <c r="G133" t="str">
        <f t="shared" si="43"/>
        <v>OILCRD</v>
      </c>
      <c r="H133" s="4">
        <f t="shared" si="70" ref="H133:AQ133">H69*0.99</f>
        <v>15.565769999999995</v>
      </c>
      <c r="I133" s="4">
        <f t="shared" si="70"/>
        <v>17.295299999999994</v>
      </c>
      <c r="J133" s="4">
        <f t="shared" si="70"/>
        <v>17.295299999999994</v>
      </c>
      <c r="K133" s="4">
        <f t="shared" si="70"/>
        <v>17.295299999999994</v>
      </c>
      <c r="L133" s="4">
        <f t="shared" si="70"/>
        <v>17.295299999999994</v>
      </c>
      <c r="M133" s="4">
        <f t="shared" si="70"/>
        <v>17.295299999999994</v>
      </c>
      <c r="N133" s="4">
        <f t="shared" si="70"/>
        <v>17.295299999999994</v>
      </c>
      <c r="O133" s="4">
        <f t="shared" si="70"/>
        <v>17.295299999999994</v>
      </c>
      <c r="P133" s="4">
        <f t="shared" si="70"/>
        <v>14.701004999999995</v>
      </c>
      <c r="Q133" s="4">
        <f t="shared" si="70"/>
        <v>17.295299999999994</v>
      </c>
      <c r="R133" s="4">
        <f t="shared" si="70"/>
        <v>17.295299999999994</v>
      </c>
      <c r="S133" s="4">
        <f t="shared" si="70"/>
        <v>17.295299999999994</v>
      </c>
      <c r="T133" s="4">
        <f t="shared" si="70"/>
        <v>17.295299999999994</v>
      </c>
      <c r="U133" s="4">
        <f t="shared" si="70"/>
        <v>15.565769999999995</v>
      </c>
      <c r="V133" s="4">
        <f t="shared" si="70"/>
        <v>15.565769999999995</v>
      </c>
      <c r="W133" s="4">
        <f t="shared" si="70"/>
        <v>17.295299999999994</v>
      </c>
      <c r="X133" s="4">
        <f t="shared" si="70"/>
        <v>17.295299999999994</v>
      </c>
      <c r="Y133" s="4">
        <f t="shared" si="70"/>
        <v>17.295299999999994</v>
      </c>
      <c r="Z133" s="4">
        <f t="shared" si="70"/>
        <v>17.295299999999994</v>
      </c>
      <c r="AA133" s="4">
        <f t="shared" si="70"/>
        <v>17.295299999999994</v>
      </c>
      <c r="AB133" s="4">
        <f t="shared" si="70"/>
        <v>17.295299999999994</v>
      </c>
      <c r="AC133" s="4">
        <f t="shared" si="70"/>
        <v>17.295299999999994</v>
      </c>
      <c r="AD133" s="4">
        <f t="shared" si="70"/>
        <v>17.295299999999994</v>
      </c>
      <c r="AE133" s="4">
        <f t="shared" si="70"/>
        <v>17.295299999999994</v>
      </c>
      <c r="AF133" s="4">
        <f t="shared" si="70"/>
        <v>17.295299999999994</v>
      </c>
      <c r="AG133" s="4">
        <f t="shared" si="70"/>
        <v>17.295299999999994</v>
      </c>
      <c r="AH133" s="4">
        <f t="shared" si="70"/>
        <v>17.295299999999994</v>
      </c>
      <c r="AI133" s="4">
        <f t="shared" si="70"/>
        <v>17.295299999999994</v>
      </c>
      <c r="AJ133" s="4">
        <f t="shared" si="70"/>
        <v>17.295299999999994</v>
      </c>
      <c r="AK133" s="4">
        <f t="shared" si="70"/>
        <v>17.295299999999994</v>
      </c>
      <c r="AL133" s="4">
        <f t="shared" si="70"/>
        <v>17.295299999999994</v>
      </c>
      <c r="AM133" s="4">
        <f t="shared" si="70"/>
        <v>17.295299999999994</v>
      </c>
      <c r="AN133" s="4">
        <f t="shared" si="70"/>
        <v>17.295299999999994</v>
      </c>
      <c r="AO133" s="4">
        <f t="shared" si="70"/>
        <v>17.295299999999994</v>
      </c>
      <c r="AP133" s="4">
        <f t="shared" si="70"/>
        <v>17.295299999999994</v>
      </c>
      <c r="AQ133" s="4">
        <f t="shared" si="70"/>
        <v>17.295299999999994</v>
      </c>
      <c r="AR133">
        <f t="shared" si="9"/>
        <v>17.295299999999994</v>
      </c>
    </row>
    <row r="134" spans="1:44" ht="12.75">
      <c r="A134" t="s">
        <v>248</v>
      </c>
      <c r="B134" t="s">
        <v>351</v>
      </c>
      <c r="D134" t="str">
        <f t="shared" si="64"/>
        <v>COST</v>
      </c>
      <c r="E134">
        <f t="shared" si="42"/>
        <v>2050</v>
      </c>
      <c r="F134" t="str">
        <f t="shared" si="55"/>
        <v>EXPOILHFO</v>
      </c>
      <c r="G134" t="str">
        <f t="shared" si="43"/>
        <v>OILHFO</v>
      </c>
      <c r="H134" s="4">
        <f t="shared" si="71" ref="H134:AQ134">H70*0.99</f>
        <v>12.608273699999996</v>
      </c>
      <c r="I134" s="4">
        <f t="shared" si="71"/>
        <v>14.009192999999996</v>
      </c>
      <c r="J134" s="4">
        <f t="shared" si="71"/>
        <v>14.009192999999996</v>
      </c>
      <c r="K134" s="4">
        <f t="shared" si="71"/>
        <v>14.009192999999996</v>
      </c>
      <c r="L134" s="4">
        <f t="shared" si="71"/>
        <v>14.009192999999996</v>
      </c>
      <c r="M134" s="4">
        <f t="shared" si="71"/>
        <v>14.009192999999996</v>
      </c>
      <c r="N134" s="4">
        <f t="shared" si="71"/>
        <v>14.009192999999996</v>
      </c>
      <c r="O134" s="4">
        <f t="shared" si="71"/>
        <v>14.009192999999996</v>
      </c>
      <c r="P134" s="4">
        <f t="shared" si="71"/>
        <v>11.907814049999997</v>
      </c>
      <c r="Q134" s="4">
        <f t="shared" si="71"/>
        <v>14.009192999999996</v>
      </c>
      <c r="R134" s="4">
        <f t="shared" si="71"/>
        <v>14.009192999999996</v>
      </c>
      <c r="S134" s="4">
        <f t="shared" si="71"/>
        <v>14.009192999999996</v>
      </c>
      <c r="T134" s="4">
        <f t="shared" si="71"/>
        <v>14.009192999999996</v>
      </c>
      <c r="U134" s="4">
        <f t="shared" si="71"/>
        <v>12.608273699999996</v>
      </c>
      <c r="V134" s="4">
        <f t="shared" si="71"/>
        <v>12.608273699999996</v>
      </c>
      <c r="W134" s="4">
        <f t="shared" si="71"/>
        <v>14.009192999999996</v>
      </c>
      <c r="X134" s="4">
        <f t="shared" si="71"/>
        <v>14.009192999999996</v>
      </c>
      <c r="Y134" s="4">
        <f t="shared" si="71"/>
        <v>14.009192999999996</v>
      </c>
      <c r="Z134" s="4">
        <f t="shared" si="71"/>
        <v>14.009192999999996</v>
      </c>
      <c r="AA134" s="4">
        <f t="shared" si="71"/>
        <v>14.009192999999996</v>
      </c>
      <c r="AB134" s="4">
        <f t="shared" si="71"/>
        <v>14.009192999999996</v>
      </c>
      <c r="AC134" s="4">
        <f t="shared" si="71"/>
        <v>14.009192999999996</v>
      </c>
      <c r="AD134" s="4">
        <f t="shared" si="71"/>
        <v>14.009192999999996</v>
      </c>
      <c r="AE134" s="4">
        <f t="shared" si="71"/>
        <v>14.009192999999996</v>
      </c>
      <c r="AF134" s="4">
        <f t="shared" si="71"/>
        <v>14.009192999999996</v>
      </c>
      <c r="AG134" s="4">
        <f t="shared" si="71"/>
        <v>14.009192999999996</v>
      </c>
      <c r="AH134" s="4">
        <f t="shared" si="71"/>
        <v>14.009192999999996</v>
      </c>
      <c r="AI134" s="4">
        <f t="shared" si="71"/>
        <v>14.009192999999996</v>
      </c>
      <c r="AJ134" s="4">
        <f t="shared" si="71"/>
        <v>14.009192999999996</v>
      </c>
      <c r="AK134" s="4">
        <f t="shared" si="71"/>
        <v>14.009192999999996</v>
      </c>
      <c r="AL134" s="4">
        <f t="shared" si="71"/>
        <v>14.009192999999996</v>
      </c>
      <c r="AM134" s="4">
        <f t="shared" si="71"/>
        <v>14.009192999999996</v>
      </c>
      <c r="AN134" s="4">
        <f t="shared" si="71"/>
        <v>14.009192999999996</v>
      </c>
      <c r="AO134" s="4">
        <f t="shared" si="71"/>
        <v>14.009192999999996</v>
      </c>
      <c r="AP134" s="4">
        <f t="shared" si="71"/>
        <v>14.009192999999996</v>
      </c>
      <c r="AQ134" s="4">
        <f t="shared" si="71"/>
        <v>14.009192999999996</v>
      </c>
      <c r="AR134">
        <f t="shared" si="72" ref="AR134:AR139">AQ134</f>
        <v>14.009192999999996</v>
      </c>
    </row>
    <row r="135" spans="1:44" ht="12.75">
      <c r="A135" t="s">
        <v>248</v>
      </c>
      <c r="B135" t="s">
        <v>351</v>
      </c>
      <c r="D135" t="str">
        <f t="shared" si="64"/>
        <v>COST</v>
      </c>
      <c r="E135">
        <f t="shared" si="42"/>
        <v>2050</v>
      </c>
      <c r="F135" t="str">
        <f t="shared" si="55"/>
        <v>EXPOILDST</v>
      </c>
      <c r="G135" t="str">
        <f t="shared" si="43"/>
        <v>OILDST</v>
      </c>
      <c r="H135" s="4">
        <f t="shared" si="73" ref="H135:AQ135">H71*0.99</f>
        <v>22.483889999999995</v>
      </c>
      <c r="I135" s="4">
        <f t="shared" si="73"/>
        <v>22.483889999999995</v>
      </c>
      <c r="J135" s="4">
        <f t="shared" si="73"/>
        <v>22.483889999999995</v>
      </c>
      <c r="K135" s="4">
        <f t="shared" si="73"/>
        <v>22.483889999999995</v>
      </c>
      <c r="L135" s="4">
        <f t="shared" si="73"/>
        <v>22.483889999999995</v>
      </c>
      <c r="M135" s="4">
        <f t="shared" si="73"/>
        <v>22.483889999999995</v>
      </c>
      <c r="N135" s="4">
        <f t="shared" si="73"/>
        <v>22.483889999999995</v>
      </c>
      <c r="O135" s="4">
        <f t="shared" si="73"/>
        <v>22.483889999999995</v>
      </c>
      <c r="P135" s="4">
        <f t="shared" si="73"/>
        <v>22.483889999999995</v>
      </c>
      <c r="Q135" s="4">
        <f t="shared" si="73"/>
        <v>22.483889999999995</v>
      </c>
      <c r="R135" s="4">
        <f t="shared" si="73"/>
        <v>22.483889999999995</v>
      </c>
      <c r="S135" s="4">
        <f t="shared" si="73"/>
        <v>22.483889999999995</v>
      </c>
      <c r="T135" s="4">
        <f t="shared" si="73"/>
        <v>22.483889999999995</v>
      </c>
      <c r="U135" s="4">
        <f t="shared" si="73"/>
        <v>22.483889999999995</v>
      </c>
      <c r="V135" s="4">
        <f t="shared" si="73"/>
        <v>21.359695499999994</v>
      </c>
      <c r="W135" s="4">
        <f t="shared" si="73"/>
        <v>22.483889999999995</v>
      </c>
      <c r="X135" s="4">
        <f t="shared" si="73"/>
        <v>22.483889999999995</v>
      </c>
      <c r="Y135" s="4">
        <f t="shared" si="73"/>
        <v>22.483889999999995</v>
      </c>
      <c r="Z135" s="4">
        <f t="shared" si="73"/>
        <v>22.483889999999995</v>
      </c>
      <c r="AA135" s="4">
        <f t="shared" si="73"/>
        <v>22.483889999999995</v>
      </c>
      <c r="AB135" s="4">
        <f t="shared" si="73"/>
        <v>22.483889999999995</v>
      </c>
      <c r="AC135" s="4">
        <f t="shared" si="73"/>
        <v>22.483889999999995</v>
      </c>
      <c r="AD135" s="4">
        <f t="shared" si="73"/>
        <v>22.483889999999995</v>
      </c>
      <c r="AE135" s="4">
        <f t="shared" si="73"/>
        <v>22.483889999999995</v>
      </c>
      <c r="AF135" s="4">
        <f t="shared" si="73"/>
        <v>22.483889999999995</v>
      </c>
      <c r="AG135" s="4">
        <f t="shared" si="73"/>
        <v>22.483889999999995</v>
      </c>
      <c r="AH135" s="4">
        <f t="shared" si="73"/>
        <v>22.483889999999995</v>
      </c>
      <c r="AI135" s="4">
        <f t="shared" si="73"/>
        <v>22.483889999999995</v>
      </c>
      <c r="AJ135" s="4">
        <f t="shared" si="73"/>
        <v>22.483889999999995</v>
      </c>
      <c r="AK135" s="4">
        <f t="shared" si="73"/>
        <v>22.483889999999995</v>
      </c>
      <c r="AL135" s="4">
        <f t="shared" si="73"/>
        <v>22.483889999999995</v>
      </c>
      <c r="AM135" s="4">
        <f t="shared" si="73"/>
        <v>22.483889999999995</v>
      </c>
      <c r="AN135" s="4">
        <f t="shared" si="73"/>
        <v>22.483889999999995</v>
      </c>
      <c r="AO135" s="4">
        <f t="shared" si="73"/>
        <v>22.483889999999995</v>
      </c>
      <c r="AP135" s="4">
        <f t="shared" si="73"/>
        <v>22.483889999999995</v>
      </c>
      <c r="AQ135" s="4">
        <f t="shared" si="73"/>
        <v>22.483889999999995</v>
      </c>
      <c r="AR135">
        <f t="shared" si="72"/>
        <v>22.483889999999995</v>
      </c>
    </row>
    <row r="136" spans="1:44" ht="12.75">
      <c r="A136" t="s">
        <v>248</v>
      </c>
      <c r="B136" t="s">
        <v>351</v>
      </c>
      <c r="D136" t="str">
        <f t="shared" si="64"/>
        <v>COST</v>
      </c>
      <c r="E136">
        <f t="shared" si="42"/>
        <v>2050</v>
      </c>
      <c r="F136" t="str">
        <f t="shared" si="55"/>
        <v>EXPOILLPG</v>
      </c>
      <c r="G136" t="str">
        <f t="shared" si="43"/>
        <v>OILLPG</v>
      </c>
      <c r="H136" s="4">
        <f t="shared" si="74" ref="H136:AQ136">H72*0.99</f>
        <v>19.024829999999994</v>
      </c>
      <c r="I136" s="4">
        <f t="shared" si="74"/>
        <v>19.024829999999994</v>
      </c>
      <c r="J136" s="4">
        <f t="shared" si="74"/>
        <v>19.024829999999994</v>
      </c>
      <c r="K136" s="4">
        <f t="shared" si="74"/>
        <v>19.024829999999994</v>
      </c>
      <c r="L136" s="4">
        <f t="shared" si="74"/>
        <v>19.024829999999994</v>
      </c>
      <c r="M136" s="4">
        <f t="shared" si="74"/>
        <v>19.024829999999994</v>
      </c>
      <c r="N136" s="4">
        <f t="shared" si="74"/>
        <v>19.024829999999994</v>
      </c>
      <c r="O136" s="4">
        <f t="shared" si="74"/>
        <v>19.024829999999994</v>
      </c>
      <c r="P136" s="4">
        <f t="shared" si="74"/>
        <v>19.024829999999994</v>
      </c>
      <c r="Q136" s="4">
        <f t="shared" si="74"/>
        <v>19.024829999999994</v>
      </c>
      <c r="R136" s="4">
        <f t="shared" si="74"/>
        <v>19.024829999999994</v>
      </c>
      <c r="S136" s="4">
        <f t="shared" si="74"/>
        <v>19.024829999999994</v>
      </c>
      <c r="T136" s="4">
        <f t="shared" si="74"/>
        <v>19.024829999999994</v>
      </c>
      <c r="U136" s="4">
        <f t="shared" si="74"/>
        <v>19.024829999999994</v>
      </c>
      <c r="V136" s="4">
        <f t="shared" si="74"/>
        <v>18.073588499999996</v>
      </c>
      <c r="W136" s="4">
        <f t="shared" si="74"/>
        <v>19.024829999999994</v>
      </c>
      <c r="X136" s="4">
        <f t="shared" si="74"/>
        <v>19.024829999999994</v>
      </c>
      <c r="Y136" s="4">
        <f t="shared" si="74"/>
        <v>19.024829999999994</v>
      </c>
      <c r="Z136" s="4">
        <f t="shared" si="74"/>
        <v>19.024829999999994</v>
      </c>
      <c r="AA136" s="4">
        <f t="shared" si="74"/>
        <v>19.024829999999994</v>
      </c>
      <c r="AB136" s="4">
        <f t="shared" si="74"/>
        <v>19.024829999999994</v>
      </c>
      <c r="AC136" s="4">
        <f t="shared" si="74"/>
        <v>19.024829999999994</v>
      </c>
      <c r="AD136" s="4">
        <f t="shared" si="74"/>
        <v>19.024829999999994</v>
      </c>
      <c r="AE136" s="4">
        <f t="shared" si="74"/>
        <v>19.024829999999994</v>
      </c>
      <c r="AF136" s="4">
        <f t="shared" si="74"/>
        <v>19.024829999999994</v>
      </c>
      <c r="AG136" s="4">
        <f t="shared" si="74"/>
        <v>19.024829999999994</v>
      </c>
      <c r="AH136" s="4">
        <f t="shared" si="74"/>
        <v>19.024829999999994</v>
      </c>
      <c r="AI136" s="4">
        <f t="shared" si="74"/>
        <v>19.024829999999994</v>
      </c>
      <c r="AJ136" s="4">
        <f t="shared" si="74"/>
        <v>19.024829999999994</v>
      </c>
      <c r="AK136" s="4">
        <f t="shared" si="74"/>
        <v>19.024829999999994</v>
      </c>
      <c r="AL136" s="4">
        <f t="shared" si="74"/>
        <v>19.024829999999994</v>
      </c>
      <c r="AM136" s="4">
        <f t="shared" si="74"/>
        <v>19.024829999999994</v>
      </c>
      <c r="AN136" s="4">
        <f t="shared" si="74"/>
        <v>19.024829999999994</v>
      </c>
      <c r="AO136" s="4">
        <f t="shared" si="74"/>
        <v>19.024829999999994</v>
      </c>
      <c r="AP136" s="4">
        <f t="shared" si="74"/>
        <v>19.024829999999994</v>
      </c>
      <c r="AQ136" s="4">
        <f t="shared" si="74"/>
        <v>19.024829999999994</v>
      </c>
      <c r="AR136">
        <f t="shared" si="72"/>
        <v>19.024829999999994</v>
      </c>
    </row>
    <row r="137" spans="1:44" ht="12.75">
      <c r="A137" t="s">
        <v>248</v>
      </c>
      <c r="B137" t="s">
        <v>351</v>
      </c>
      <c r="D137" t="str">
        <f t="shared" si="64"/>
        <v>COST</v>
      </c>
      <c r="E137">
        <f t="shared" si="42"/>
        <v>2050</v>
      </c>
      <c r="F137" t="str">
        <f t="shared" si="55"/>
        <v>EXPOILGSL</v>
      </c>
      <c r="G137" t="str">
        <f t="shared" si="43"/>
        <v>OILGSL</v>
      </c>
      <c r="H137" s="4">
        <f t="shared" si="75" ref="H137:AQ137">H73*0.99</f>
        <v>24.213419999999992</v>
      </c>
      <c r="I137" s="4">
        <f t="shared" si="75"/>
        <v>24.213419999999992</v>
      </c>
      <c r="J137" s="4">
        <f t="shared" si="75"/>
        <v>24.213419999999992</v>
      </c>
      <c r="K137" s="4">
        <f t="shared" si="75"/>
        <v>24.213419999999992</v>
      </c>
      <c r="L137" s="4">
        <f t="shared" si="75"/>
        <v>24.213419999999992</v>
      </c>
      <c r="M137" s="4">
        <f t="shared" si="75"/>
        <v>24.213419999999992</v>
      </c>
      <c r="N137" s="4">
        <f t="shared" si="75"/>
        <v>24.213419999999992</v>
      </c>
      <c r="O137" s="4">
        <f t="shared" si="75"/>
        <v>24.213419999999992</v>
      </c>
      <c r="P137" s="4">
        <f t="shared" si="75"/>
        <v>24.213419999999992</v>
      </c>
      <c r="Q137" s="4">
        <f t="shared" si="75"/>
        <v>24.213419999999992</v>
      </c>
      <c r="R137" s="4">
        <f t="shared" si="75"/>
        <v>24.213419999999992</v>
      </c>
      <c r="S137" s="4">
        <f t="shared" si="75"/>
        <v>24.213419999999992</v>
      </c>
      <c r="T137" s="4">
        <f t="shared" si="75"/>
        <v>24.213419999999992</v>
      </c>
      <c r="U137" s="4">
        <f t="shared" si="75"/>
        <v>24.213419999999992</v>
      </c>
      <c r="V137" s="4">
        <f t="shared" si="75"/>
        <v>23.002748999999991</v>
      </c>
      <c r="W137" s="4">
        <f t="shared" si="75"/>
        <v>24.213419999999992</v>
      </c>
      <c r="X137" s="4">
        <f t="shared" si="75"/>
        <v>24.213419999999992</v>
      </c>
      <c r="Y137" s="4">
        <f t="shared" si="75"/>
        <v>24.213419999999992</v>
      </c>
      <c r="Z137" s="4">
        <f t="shared" si="75"/>
        <v>24.213419999999992</v>
      </c>
      <c r="AA137" s="4">
        <f t="shared" si="75"/>
        <v>24.213419999999992</v>
      </c>
      <c r="AB137" s="4">
        <f t="shared" si="75"/>
        <v>24.213419999999992</v>
      </c>
      <c r="AC137" s="4">
        <f t="shared" si="75"/>
        <v>24.213419999999992</v>
      </c>
      <c r="AD137" s="4">
        <f t="shared" si="75"/>
        <v>24.213419999999992</v>
      </c>
      <c r="AE137" s="4">
        <f t="shared" si="75"/>
        <v>24.213419999999992</v>
      </c>
      <c r="AF137" s="4">
        <f t="shared" si="75"/>
        <v>24.213419999999992</v>
      </c>
      <c r="AG137" s="4">
        <f t="shared" si="75"/>
        <v>24.213419999999992</v>
      </c>
      <c r="AH137" s="4">
        <f t="shared" si="75"/>
        <v>24.213419999999992</v>
      </c>
      <c r="AI137" s="4">
        <f t="shared" si="75"/>
        <v>24.213419999999992</v>
      </c>
      <c r="AJ137" s="4">
        <f t="shared" si="75"/>
        <v>24.213419999999992</v>
      </c>
      <c r="AK137" s="4">
        <f t="shared" si="75"/>
        <v>24.213419999999992</v>
      </c>
      <c r="AL137" s="4">
        <f t="shared" si="75"/>
        <v>24.213419999999992</v>
      </c>
      <c r="AM137" s="4">
        <f t="shared" si="75"/>
        <v>24.213419999999992</v>
      </c>
      <c r="AN137" s="4">
        <f t="shared" si="75"/>
        <v>24.213419999999992</v>
      </c>
      <c r="AO137" s="4">
        <f t="shared" si="75"/>
        <v>24.213419999999992</v>
      </c>
      <c r="AP137" s="4">
        <f t="shared" si="75"/>
        <v>24.213419999999992</v>
      </c>
      <c r="AQ137" s="4">
        <f t="shared" si="75"/>
        <v>24.213419999999992</v>
      </c>
      <c r="AR137">
        <f t="shared" si="72"/>
        <v>24.213419999999992</v>
      </c>
    </row>
    <row r="138" spans="1:44" ht="12.75">
      <c r="A138" t="s">
        <v>248</v>
      </c>
      <c r="B138" t="s">
        <v>351</v>
      </c>
      <c r="D138" t="str">
        <f t="shared" si="64"/>
        <v>COST</v>
      </c>
      <c r="E138">
        <f t="shared" si="42"/>
        <v>2050</v>
      </c>
      <c r="F138" t="str">
        <f t="shared" si="55"/>
        <v>EXPOILKER</v>
      </c>
      <c r="G138" t="str">
        <f t="shared" si="43"/>
        <v>OILKER</v>
      </c>
      <c r="H138" s="4">
        <f t="shared" si="76" ref="H138:AQ138">H74*0.99</f>
        <v>24.213419999999992</v>
      </c>
      <c r="I138" s="4">
        <f t="shared" si="76"/>
        <v>24.213419999999992</v>
      </c>
      <c r="J138" s="4">
        <f t="shared" si="76"/>
        <v>24.213419999999992</v>
      </c>
      <c r="K138" s="4">
        <f t="shared" si="76"/>
        <v>24.213419999999992</v>
      </c>
      <c r="L138" s="4">
        <f t="shared" si="76"/>
        <v>24.213419999999992</v>
      </c>
      <c r="M138" s="4">
        <f t="shared" si="76"/>
        <v>24.213419999999992</v>
      </c>
      <c r="N138" s="4">
        <f t="shared" si="76"/>
        <v>24.213419999999992</v>
      </c>
      <c r="O138" s="4">
        <f t="shared" si="76"/>
        <v>24.213419999999992</v>
      </c>
      <c r="P138" s="4">
        <f t="shared" si="76"/>
        <v>24.213419999999992</v>
      </c>
      <c r="Q138" s="4">
        <f t="shared" si="76"/>
        <v>24.213419999999992</v>
      </c>
      <c r="R138" s="4">
        <f t="shared" si="76"/>
        <v>24.213419999999992</v>
      </c>
      <c r="S138" s="4">
        <f t="shared" si="76"/>
        <v>24.213419999999992</v>
      </c>
      <c r="T138" s="4">
        <f t="shared" si="76"/>
        <v>24.213419999999992</v>
      </c>
      <c r="U138" s="4">
        <f t="shared" si="76"/>
        <v>24.213419999999992</v>
      </c>
      <c r="V138" s="4">
        <f t="shared" si="76"/>
        <v>23.002748999999991</v>
      </c>
      <c r="W138" s="4">
        <f t="shared" si="76"/>
        <v>24.213419999999992</v>
      </c>
      <c r="X138" s="4">
        <f t="shared" si="76"/>
        <v>24.213419999999992</v>
      </c>
      <c r="Y138" s="4">
        <f t="shared" si="76"/>
        <v>24.213419999999992</v>
      </c>
      <c r="Z138" s="4">
        <f t="shared" si="76"/>
        <v>24.213419999999992</v>
      </c>
      <c r="AA138" s="4">
        <f t="shared" si="76"/>
        <v>24.213419999999992</v>
      </c>
      <c r="AB138" s="4">
        <f t="shared" si="76"/>
        <v>24.213419999999992</v>
      </c>
      <c r="AC138" s="4">
        <f t="shared" si="76"/>
        <v>24.213419999999992</v>
      </c>
      <c r="AD138" s="4">
        <f t="shared" si="76"/>
        <v>24.213419999999992</v>
      </c>
      <c r="AE138" s="4">
        <f t="shared" si="76"/>
        <v>24.213419999999992</v>
      </c>
      <c r="AF138" s="4">
        <f t="shared" si="76"/>
        <v>24.213419999999992</v>
      </c>
      <c r="AG138" s="4">
        <f t="shared" si="76"/>
        <v>24.213419999999992</v>
      </c>
      <c r="AH138" s="4">
        <f t="shared" si="76"/>
        <v>24.213419999999992</v>
      </c>
      <c r="AI138" s="4">
        <f t="shared" si="76"/>
        <v>24.213419999999992</v>
      </c>
      <c r="AJ138" s="4">
        <f t="shared" si="76"/>
        <v>24.213419999999992</v>
      </c>
      <c r="AK138" s="4">
        <f t="shared" si="76"/>
        <v>24.213419999999992</v>
      </c>
      <c r="AL138" s="4">
        <f t="shared" si="76"/>
        <v>24.213419999999992</v>
      </c>
      <c r="AM138" s="4">
        <f t="shared" si="76"/>
        <v>24.213419999999992</v>
      </c>
      <c r="AN138" s="4">
        <f t="shared" si="76"/>
        <v>24.213419999999992</v>
      </c>
      <c r="AO138" s="4">
        <f t="shared" si="76"/>
        <v>24.213419999999992</v>
      </c>
      <c r="AP138" s="4">
        <f t="shared" si="76"/>
        <v>24.213419999999992</v>
      </c>
      <c r="AQ138" s="4">
        <f t="shared" si="76"/>
        <v>24.213419999999992</v>
      </c>
      <c r="AR138">
        <f t="shared" si="72"/>
        <v>24.213419999999992</v>
      </c>
    </row>
    <row r="139" spans="1:44" ht="12.75">
      <c r="A139" t="s">
        <v>248</v>
      </c>
      <c r="B139" t="s">
        <v>351</v>
      </c>
      <c r="D139" t="str">
        <f t="shared" si="64"/>
        <v>*</v>
      </c>
      <c r="E139">
        <f t="shared" si="42"/>
        <v>2050</v>
      </c>
      <c r="F139" t="str">
        <f t="shared" si="55"/>
        <v>EXPGASNAT</v>
      </c>
      <c r="G139" t="str">
        <f t="shared" si="43"/>
        <v>GASNAT</v>
      </c>
      <c r="H139" s="4">
        <f t="shared" si="77" ref="H139:AQ139">H75*0.99</f>
        <v>6.9300000000000006</v>
      </c>
      <c r="I139" s="4">
        <f t="shared" si="77"/>
        <v>6.9300000000000006</v>
      </c>
      <c r="J139" s="4">
        <f t="shared" si="77"/>
        <v>6.9300000000000006</v>
      </c>
      <c r="K139" s="4">
        <f t="shared" si="77"/>
        <v>6.9300000000000006</v>
      </c>
      <c r="L139" s="4">
        <f t="shared" si="77"/>
        <v>6.9300000000000006</v>
      </c>
      <c r="M139" s="4">
        <f t="shared" si="77"/>
        <v>6.9300000000000006</v>
      </c>
      <c r="N139" s="4">
        <f t="shared" si="77"/>
        <v>6.9300000000000006</v>
      </c>
      <c r="O139" s="4">
        <f t="shared" si="77"/>
        <v>6.9300000000000006</v>
      </c>
      <c r="P139" s="4">
        <f t="shared" si="77"/>
        <v>5.8905000000000003</v>
      </c>
      <c r="Q139" s="4">
        <f t="shared" si="77"/>
        <v>6.237000000000001</v>
      </c>
      <c r="R139" s="4">
        <f t="shared" si="77"/>
        <v>6.9300000000000006</v>
      </c>
      <c r="S139" s="4">
        <f t="shared" si="77"/>
        <v>6.9300000000000006</v>
      </c>
      <c r="T139" s="4">
        <f t="shared" si="77"/>
        <v>6.9300000000000006</v>
      </c>
      <c r="U139" s="4">
        <f t="shared" si="77"/>
        <v>6.9300000000000006</v>
      </c>
      <c r="V139" s="4">
        <f t="shared" si="77"/>
        <v>6.237000000000001</v>
      </c>
      <c r="W139" s="4">
        <f t="shared" si="77"/>
        <v>6.9300000000000006</v>
      </c>
      <c r="X139" s="4">
        <f t="shared" si="77"/>
        <v>6.9300000000000006</v>
      </c>
      <c r="Y139" s="4">
        <f t="shared" si="77"/>
        <v>6.9300000000000006</v>
      </c>
      <c r="Z139" s="4">
        <f t="shared" si="77"/>
        <v>6.9300000000000006</v>
      </c>
      <c r="AA139" s="4">
        <f t="shared" si="77"/>
        <v>6.9300000000000006</v>
      </c>
      <c r="AB139" s="4">
        <f t="shared" si="77"/>
        <v>6.9300000000000006</v>
      </c>
      <c r="AC139" s="4">
        <f t="shared" si="77"/>
        <v>6.9300000000000006</v>
      </c>
      <c r="AD139" s="4">
        <f t="shared" si="77"/>
        <v>6.9300000000000006</v>
      </c>
      <c r="AE139" s="4">
        <f t="shared" si="77"/>
        <v>6.9300000000000006</v>
      </c>
      <c r="AF139" s="4">
        <f t="shared" si="77"/>
        <v>6.9300000000000006</v>
      </c>
      <c r="AG139" s="4">
        <f t="shared" si="77"/>
        <v>6.9300000000000006</v>
      </c>
      <c r="AH139" s="4">
        <f t="shared" si="77"/>
        <v>6.9300000000000006</v>
      </c>
      <c r="AI139" s="4">
        <f t="shared" si="77"/>
        <v>6.9300000000000006</v>
      </c>
      <c r="AJ139" s="4">
        <f t="shared" si="77"/>
        <v>6.9300000000000006</v>
      </c>
      <c r="AK139" s="4">
        <f t="shared" si="77"/>
        <v>6.9300000000000006</v>
      </c>
      <c r="AL139" s="4">
        <f t="shared" si="77"/>
        <v>6.9300000000000006</v>
      </c>
      <c r="AM139" s="4">
        <f t="shared" si="77"/>
        <v>6.9300000000000006</v>
      </c>
      <c r="AN139" s="4">
        <f t="shared" si="77"/>
        <v>6.9300000000000006</v>
      </c>
      <c r="AO139" s="4">
        <f t="shared" si="77"/>
        <v>6.9300000000000006</v>
      </c>
      <c r="AP139" s="4">
        <f t="shared" si="77"/>
        <v>6.9300000000000006</v>
      </c>
      <c r="AQ139" s="4">
        <f t="shared" si="77"/>
        <v>6.9300000000000006</v>
      </c>
      <c r="AR139">
        <f t="shared" si="72"/>
        <v>6.9300000000000006</v>
      </c>
    </row>
    <row r="143" spans="1:1" ht="12.75">
      <c r="A143" s="1" t="s">
        <v>143</v>
      </c>
    </row>
    <row r="144" spans="1:44" ht="12.75">
      <c r="A144" t="str">
        <f>A12</f>
        <v>TimeSlice</v>
      </c>
      <c r="B144" t="s">
        <v>350</v>
      </c>
      <c r="C144" t="str">
        <f t="shared" si="78" ref="C144:AQ144">C12</f>
        <v>LimType</v>
      </c>
      <c r="D144" t="str">
        <f t="shared" si="78"/>
        <v>Attribute</v>
      </c>
      <c r="E144" t="str">
        <f t="shared" si="78"/>
        <v>Year</v>
      </c>
      <c r="F144" t="str">
        <f t="shared" si="78"/>
        <v>Pset_PN</v>
      </c>
      <c r="G144" t="str">
        <f t="shared" si="78"/>
        <v>Cset_CN</v>
      </c>
      <c r="H144" t="str">
        <f t="shared" si="78"/>
        <v>AT</v>
      </c>
      <c r="I144" t="str">
        <f t="shared" si="78"/>
        <v>BE</v>
      </c>
      <c r="J144" t="str">
        <f t="shared" si="78"/>
        <v>BG</v>
      </c>
      <c r="K144" t="str">
        <f t="shared" si="78"/>
        <v>DE</v>
      </c>
      <c r="L144" t="str">
        <f t="shared" si="78"/>
        <v>DK</v>
      </c>
      <c r="M144" t="str">
        <f t="shared" si="78"/>
        <v>FI</v>
      </c>
      <c r="N144" t="str">
        <f t="shared" si="78"/>
        <v>FR</v>
      </c>
      <c r="O144" t="str">
        <f t="shared" si="78"/>
        <v>EL</v>
      </c>
      <c r="P144" t="str">
        <f t="shared" si="78"/>
        <v>IE</v>
      </c>
      <c r="Q144" t="str">
        <f t="shared" si="78"/>
        <v>IT</v>
      </c>
      <c r="R144" t="str">
        <f t="shared" si="78"/>
        <v>NL</v>
      </c>
      <c r="S144" t="str">
        <f t="shared" si="78"/>
        <v>PT</v>
      </c>
      <c r="T144" t="str">
        <f t="shared" si="78"/>
        <v>ES</v>
      </c>
      <c r="U144" t="str">
        <f t="shared" si="78"/>
        <v>SE</v>
      </c>
      <c r="V144" t="str">
        <f t="shared" si="78"/>
        <v>UK</v>
      </c>
      <c r="W144" t="str">
        <f t="shared" si="78"/>
        <v>HU</v>
      </c>
      <c r="X144" t="str">
        <f t="shared" si="78"/>
        <v>PL</v>
      </c>
      <c r="Y144" t="str">
        <f t="shared" si="78"/>
        <v>CZ</v>
      </c>
      <c r="Z144" t="str">
        <f t="shared" si="78"/>
        <v>SK</v>
      </c>
      <c r="AA144" t="str">
        <f t="shared" si="78"/>
        <v>CH</v>
      </c>
      <c r="AB144" t="str">
        <f t="shared" si="78"/>
        <v>CY</v>
      </c>
      <c r="AC144" t="str">
        <f t="shared" si="78"/>
        <v>EE</v>
      </c>
      <c r="AD144" t="str">
        <f t="shared" si="78"/>
        <v>IS</v>
      </c>
      <c r="AE144" t="str">
        <f t="shared" si="78"/>
        <v>LT</v>
      </c>
      <c r="AF144" t="str">
        <f t="shared" si="78"/>
        <v>LU</v>
      </c>
      <c r="AG144" t="str">
        <f t="shared" si="78"/>
        <v>LV</v>
      </c>
      <c r="AH144" t="str">
        <f t="shared" si="78"/>
        <v>MT</v>
      </c>
      <c r="AI144" t="str">
        <f t="shared" si="78"/>
        <v>RO</v>
      </c>
      <c r="AJ144" t="str">
        <f t="shared" si="78"/>
        <v>SI</v>
      </c>
      <c r="AK144" t="str">
        <f t="shared" si="78"/>
        <v>NO</v>
      </c>
      <c r="AL144" t="str">
        <f t="shared" si="78"/>
        <v>AL</v>
      </c>
      <c r="AM144" t="str">
        <f t="shared" si="78"/>
        <v>BA</v>
      </c>
      <c r="AN144" t="str">
        <f t="shared" si="78"/>
        <v>HR</v>
      </c>
      <c r="AO144" t="str">
        <f t="shared" si="78"/>
        <v>ME</v>
      </c>
      <c r="AP144" t="str">
        <f t="shared" si="78"/>
        <v>MK</v>
      </c>
      <c r="AQ144" t="str">
        <f t="shared" si="78"/>
        <v>RS</v>
      </c>
      <c r="AR144" t="s">
        <v>347</v>
      </c>
    </row>
    <row r="145" spans="1:44" ht="12.75">
      <c r="A145" t="str">
        <f>A19</f>
        <v>ANNUAL</v>
      </c>
      <c r="B145" t="s">
        <v>351</v>
      </c>
      <c r="D145" t="s">
        <v>154</v>
      </c>
      <c r="E145">
        <f>E19</f>
        <v>2010</v>
      </c>
      <c r="F145" s="28" t="s">
        <v>314</v>
      </c>
      <c r="G145" t="str">
        <f t="shared" si="79" ref="G145:AQ145">G19</f>
        <v>GASNAT</v>
      </c>
      <c r="H145">
        <f t="shared" si="79"/>
        <v>6.1967213114754101</v>
      </c>
      <c r="I145">
        <f t="shared" si="79"/>
        <v>6.1967213114754101</v>
      </c>
      <c r="J145">
        <f t="shared" si="79"/>
        <v>6.1967213114754101</v>
      </c>
      <c r="K145">
        <f t="shared" si="79"/>
        <v>6.1967213114754101</v>
      </c>
      <c r="L145">
        <f t="shared" si="79"/>
        <v>6.1967213114754101</v>
      </c>
      <c r="M145">
        <f t="shared" si="79"/>
        <v>6.1967213114754101</v>
      </c>
      <c r="N145">
        <f t="shared" si="79"/>
        <v>6.1967213114754101</v>
      </c>
      <c r="O145">
        <f t="shared" si="79"/>
        <v>6.1967213114754101</v>
      </c>
      <c r="P145">
        <f t="shared" si="79"/>
        <v>5.2672131147540986</v>
      </c>
      <c r="Q145">
        <f t="shared" si="79"/>
        <v>5.5770491803278688</v>
      </c>
      <c r="R145">
        <f t="shared" si="79"/>
        <v>6.1967213114754101</v>
      </c>
      <c r="S145">
        <f t="shared" si="79"/>
        <v>6.1967213114754101</v>
      </c>
      <c r="T145">
        <f t="shared" si="79"/>
        <v>6.1967213114754101</v>
      </c>
      <c r="U145">
        <f t="shared" si="79"/>
        <v>6.1967213114754101</v>
      </c>
      <c r="V145">
        <f t="shared" si="79"/>
        <v>5.5770491803278688</v>
      </c>
      <c r="W145">
        <f t="shared" si="79"/>
        <v>6.1967213114754101</v>
      </c>
      <c r="X145">
        <f t="shared" si="79"/>
        <v>6.1967213114754101</v>
      </c>
      <c r="Y145">
        <f t="shared" si="79"/>
        <v>6.1967213114754101</v>
      </c>
      <c r="Z145">
        <f t="shared" si="79"/>
        <v>6.1967213114754101</v>
      </c>
      <c r="AA145">
        <f t="shared" si="79"/>
        <v>6.1967213114754101</v>
      </c>
      <c r="AB145">
        <f t="shared" si="79"/>
        <v>6.1967213114754101</v>
      </c>
      <c r="AC145">
        <f t="shared" si="79"/>
        <v>6.1967213114754101</v>
      </c>
      <c r="AD145">
        <f t="shared" si="79"/>
        <v>6.1967213114754101</v>
      </c>
      <c r="AE145">
        <f t="shared" si="79"/>
        <v>6.1967213114754101</v>
      </c>
      <c r="AF145">
        <f t="shared" si="79"/>
        <v>6.1967213114754101</v>
      </c>
      <c r="AG145">
        <f t="shared" si="79"/>
        <v>6.1967213114754101</v>
      </c>
      <c r="AH145">
        <f t="shared" si="79"/>
        <v>6.1967213114754101</v>
      </c>
      <c r="AI145">
        <f t="shared" si="79"/>
        <v>6.1967213114754101</v>
      </c>
      <c r="AJ145">
        <f t="shared" si="79"/>
        <v>6.1967213114754101</v>
      </c>
      <c r="AK145">
        <f t="shared" si="79"/>
        <v>6.1967213114754101</v>
      </c>
      <c r="AL145">
        <f t="shared" si="79"/>
        <v>6.1967213114754101</v>
      </c>
      <c r="AM145">
        <f t="shared" si="79"/>
        <v>6.1967213114754101</v>
      </c>
      <c r="AN145">
        <f t="shared" si="79"/>
        <v>6.1967213114754101</v>
      </c>
      <c r="AO145">
        <f t="shared" si="79"/>
        <v>6.1967213114754101</v>
      </c>
      <c r="AP145">
        <f t="shared" si="79"/>
        <v>6.1967213114754101</v>
      </c>
      <c r="AQ145">
        <f t="shared" si="79"/>
        <v>6.1967213114754101</v>
      </c>
      <c r="AR145">
        <f t="shared" si="80" ref="AR145:AR162">AQ145</f>
        <v>6.1967213114754101</v>
      </c>
    </row>
    <row r="146" spans="1:44" ht="12.75">
      <c r="A146" t="str">
        <f>A26</f>
        <v>ANNUAL</v>
      </c>
      <c r="B146" t="s">
        <v>351</v>
      </c>
      <c r="D146" t="s">
        <v>154</v>
      </c>
      <c r="E146">
        <f>E26</f>
        <v>2015</v>
      </c>
      <c r="F146" s="28" t="s">
        <v>314</v>
      </c>
      <c r="G146" t="str">
        <f t="shared" si="81" ref="G146:AQ146">G26</f>
        <v>GASNAT</v>
      </c>
      <c r="H146">
        <f t="shared" si="81"/>
        <v>9.7933606557377058</v>
      </c>
      <c r="I146">
        <f t="shared" si="81"/>
        <v>9.7933606557377058</v>
      </c>
      <c r="J146">
        <f t="shared" si="81"/>
        <v>9.7933606557377058</v>
      </c>
      <c r="K146">
        <f t="shared" si="81"/>
        <v>9.7933606557377058</v>
      </c>
      <c r="L146">
        <f t="shared" si="81"/>
        <v>9.7933606557377058</v>
      </c>
      <c r="M146">
        <f t="shared" si="81"/>
        <v>9.7933606557377058</v>
      </c>
      <c r="N146">
        <f t="shared" si="81"/>
        <v>9.7933606557377058</v>
      </c>
      <c r="O146">
        <f t="shared" si="81"/>
        <v>9.7933606557377058</v>
      </c>
      <c r="P146">
        <f t="shared" si="81"/>
        <v>8.3243565573770493</v>
      </c>
      <c r="Q146">
        <f t="shared" si="81"/>
        <v>8.8140245901639354</v>
      </c>
      <c r="R146">
        <f t="shared" si="81"/>
        <v>9.7933606557377058</v>
      </c>
      <c r="S146">
        <f t="shared" si="81"/>
        <v>9.7933606557377058</v>
      </c>
      <c r="T146">
        <f t="shared" si="81"/>
        <v>9.7933606557377058</v>
      </c>
      <c r="U146">
        <f t="shared" si="81"/>
        <v>9.7933606557377058</v>
      </c>
      <c r="V146">
        <f t="shared" si="81"/>
        <v>8.8140245901639354</v>
      </c>
      <c r="W146">
        <f t="shared" si="81"/>
        <v>9.7933606557377058</v>
      </c>
      <c r="X146">
        <f t="shared" si="81"/>
        <v>9.7933606557377058</v>
      </c>
      <c r="Y146">
        <f t="shared" si="81"/>
        <v>9.7933606557377058</v>
      </c>
      <c r="Z146">
        <f t="shared" si="81"/>
        <v>9.7933606557377058</v>
      </c>
      <c r="AA146">
        <f t="shared" si="81"/>
        <v>9.7933606557377058</v>
      </c>
      <c r="AB146">
        <f t="shared" si="81"/>
        <v>9.7933606557377058</v>
      </c>
      <c r="AC146">
        <f t="shared" si="81"/>
        <v>9.7933606557377058</v>
      </c>
      <c r="AD146">
        <f t="shared" si="81"/>
        <v>9.7933606557377058</v>
      </c>
      <c r="AE146">
        <f t="shared" si="81"/>
        <v>9.7933606557377058</v>
      </c>
      <c r="AF146">
        <f t="shared" si="81"/>
        <v>9.7933606557377058</v>
      </c>
      <c r="AG146">
        <f t="shared" si="81"/>
        <v>9.7933606557377058</v>
      </c>
      <c r="AH146">
        <f t="shared" si="81"/>
        <v>9.7933606557377058</v>
      </c>
      <c r="AI146">
        <f t="shared" si="81"/>
        <v>9.7933606557377058</v>
      </c>
      <c r="AJ146">
        <f t="shared" si="81"/>
        <v>9.7933606557377058</v>
      </c>
      <c r="AK146">
        <f t="shared" si="81"/>
        <v>9.7933606557377058</v>
      </c>
      <c r="AL146">
        <f t="shared" si="81"/>
        <v>9.7933606557377058</v>
      </c>
      <c r="AM146">
        <f t="shared" si="81"/>
        <v>9.7933606557377058</v>
      </c>
      <c r="AN146">
        <f t="shared" si="81"/>
        <v>9.7933606557377058</v>
      </c>
      <c r="AO146">
        <f t="shared" si="81"/>
        <v>9.7933606557377058</v>
      </c>
      <c r="AP146">
        <f t="shared" si="81"/>
        <v>9.7933606557377058</v>
      </c>
      <c r="AQ146">
        <f t="shared" si="81"/>
        <v>9.7933606557377058</v>
      </c>
      <c r="AR146">
        <f t="shared" si="80"/>
        <v>9.7933606557377058</v>
      </c>
    </row>
    <row r="147" spans="1:44" ht="12.75">
      <c r="A147" t="str">
        <f>A33</f>
        <v>ANNUAL</v>
      </c>
      <c r="B147" t="s">
        <v>351</v>
      </c>
      <c r="D147" t="s">
        <v>154</v>
      </c>
      <c r="E147">
        <f>E33</f>
        <v>2020</v>
      </c>
      <c r="F147" s="28" t="s">
        <v>314</v>
      </c>
      <c r="G147" t="str">
        <f t="shared" si="82" ref="G147:AQ147">G33</f>
        <v>GASNAT</v>
      </c>
      <c r="H147">
        <f t="shared" si="82"/>
        <v>13.390000000000001</v>
      </c>
      <c r="I147">
        <f t="shared" si="82"/>
        <v>13.390000000000001</v>
      </c>
      <c r="J147">
        <f t="shared" si="82"/>
        <v>13.390000000000001</v>
      </c>
      <c r="K147">
        <f t="shared" si="82"/>
        <v>13.390000000000001</v>
      </c>
      <c r="L147">
        <f t="shared" si="82"/>
        <v>13.390000000000001</v>
      </c>
      <c r="M147">
        <f t="shared" si="82"/>
        <v>13.390000000000001</v>
      </c>
      <c r="N147">
        <f t="shared" si="82"/>
        <v>13.390000000000001</v>
      </c>
      <c r="O147">
        <f t="shared" si="82"/>
        <v>13.390000000000001</v>
      </c>
      <c r="P147">
        <f t="shared" si="82"/>
        <v>11.381500000000001</v>
      </c>
      <c r="Q147">
        <f t="shared" si="82"/>
        <v>12.051</v>
      </c>
      <c r="R147">
        <f t="shared" si="82"/>
        <v>13.390000000000001</v>
      </c>
      <c r="S147">
        <f t="shared" si="82"/>
        <v>13.390000000000001</v>
      </c>
      <c r="T147">
        <f t="shared" si="82"/>
        <v>13.390000000000001</v>
      </c>
      <c r="U147">
        <f t="shared" si="82"/>
        <v>13.390000000000001</v>
      </c>
      <c r="V147">
        <f t="shared" si="82"/>
        <v>12.051</v>
      </c>
      <c r="W147">
        <f t="shared" si="82"/>
        <v>13.390000000000001</v>
      </c>
      <c r="X147">
        <f t="shared" si="82"/>
        <v>13.390000000000001</v>
      </c>
      <c r="Y147">
        <f t="shared" si="82"/>
        <v>13.390000000000001</v>
      </c>
      <c r="Z147">
        <f t="shared" si="82"/>
        <v>13.390000000000001</v>
      </c>
      <c r="AA147">
        <f t="shared" si="82"/>
        <v>13.390000000000001</v>
      </c>
      <c r="AB147">
        <f t="shared" si="82"/>
        <v>13.390000000000001</v>
      </c>
      <c r="AC147">
        <f t="shared" si="82"/>
        <v>13.390000000000001</v>
      </c>
      <c r="AD147">
        <f t="shared" si="82"/>
        <v>13.390000000000001</v>
      </c>
      <c r="AE147">
        <f t="shared" si="82"/>
        <v>13.390000000000001</v>
      </c>
      <c r="AF147">
        <f t="shared" si="82"/>
        <v>13.390000000000001</v>
      </c>
      <c r="AG147">
        <f t="shared" si="82"/>
        <v>13.390000000000001</v>
      </c>
      <c r="AH147">
        <f t="shared" si="82"/>
        <v>13.390000000000001</v>
      </c>
      <c r="AI147">
        <f t="shared" si="82"/>
        <v>13.390000000000001</v>
      </c>
      <c r="AJ147">
        <f t="shared" si="82"/>
        <v>13.390000000000001</v>
      </c>
      <c r="AK147">
        <f t="shared" si="82"/>
        <v>13.390000000000001</v>
      </c>
      <c r="AL147">
        <f t="shared" si="82"/>
        <v>13.390000000000001</v>
      </c>
      <c r="AM147">
        <f t="shared" si="82"/>
        <v>13.390000000000001</v>
      </c>
      <c r="AN147">
        <f t="shared" si="82"/>
        <v>13.390000000000001</v>
      </c>
      <c r="AO147">
        <f t="shared" si="82"/>
        <v>13.390000000000001</v>
      </c>
      <c r="AP147">
        <f t="shared" si="82"/>
        <v>13.390000000000001</v>
      </c>
      <c r="AQ147">
        <f t="shared" si="82"/>
        <v>13.390000000000001</v>
      </c>
      <c r="AR147">
        <f t="shared" si="80"/>
        <v>13.390000000000001</v>
      </c>
    </row>
    <row r="148" spans="1:44" ht="12.75">
      <c r="A148" t="str">
        <f>A40</f>
        <v>ANNUAL</v>
      </c>
      <c r="B148" t="s">
        <v>351</v>
      </c>
      <c r="D148" t="s">
        <v>154</v>
      </c>
      <c r="E148">
        <f>E40</f>
        <v>2025</v>
      </c>
      <c r="F148" s="28" t="s">
        <v>314</v>
      </c>
      <c r="G148" t="str">
        <f t="shared" si="83" ref="G148:AQ148">G40</f>
        <v>GASNAT</v>
      </c>
      <c r="H148">
        <f t="shared" si="83"/>
        <v>10.195</v>
      </c>
      <c r="I148">
        <f t="shared" si="83"/>
        <v>10.195</v>
      </c>
      <c r="J148">
        <f t="shared" si="83"/>
        <v>10.195</v>
      </c>
      <c r="K148">
        <f t="shared" si="83"/>
        <v>10.195</v>
      </c>
      <c r="L148">
        <f t="shared" si="83"/>
        <v>10.195</v>
      </c>
      <c r="M148">
        <f t="shared" si="83"/>
        <v>10.195</v>
      </c>
      <c r="N148">
        <f t="shared" si="83"/>
        <v>10.195</v>
      </c>
      <c r="O148">
        <f t="shared" si="83"/>
        <v>10.195</v>
      </c>
      <c r="P148">
        <f t="shared" si="83"/>
        <v>8.6657499999999992</v>
      </c>
      <c r="Q148">
        <f t="shared" si="83"/>
        <v>9.1755000000000013</v>
      </c>
      <c r="R148">
        <f t="shared" si="83"/>
        <v>10.195</v>
      </c>
      <c r="S148">
        <f t="shared" si="83"/>
        <v>10.195</v>
      </c>
      <c r="T148">
        <f t="shared" si="83"/>
        <v>10.195</v>
      </c>
      <c r="U148">
        <f t="shared" si="83"/>
        <v>10.195</v>
      </c>
      <c r="V148">
        <f t="shared" si="83"/>
        <v>9.1755000000000013</v>
      </c>
      <c r="W148">
        <f t="shared" si="83"/>
        <v>10.195</v>
      </c>
      <c r="X148">
        <f t="shared" si="83"/>
        <v>10.195</v>
      </c>
      <c r="Y148">
        <f t="shared" si="83"/>
        <v>10.195</v>
      </c>
      <c r="Z148">
        <f t="shared" si="83"/>
        <v>10.195</v>
      </c>
      <c r="AA148">
        <f t="shared" si="83"/>
        <v>10.195</v>
      </c>
      <c r="AB148">
        <f t="shared" si="83"/>
        <v>10.195</v>
      </c>
      <c r="AC148">
        <f t="shared" si="83"/>
        <v>10.195</v>
      </c>
      <c r="AD148">
        <f t="shared" si="83"/>
        <v>10.195</v>
      </c>
      <c r="AE148">
        <f t="shared" si="83"/>
        <v>10.195</v>
      </c>
      <c r="AF148">
        <f t="shared" si="83"/>
        <v>10.195</v>
      </c>
      <c r="AG148">
        <f t="shared" si="83"/>
        <v>10.195</v>
      </c>
      <c r="AH148">
        <f t="shared" si="83"/>
        <v>10.195</v>
      </c>
      <c r="AI148">
        <f t="shared" si="83"/>
        <v>10.195</v>
      </c>
      <c r="AJ148">
        <f t="shared" si="83"/>
        <v>10.195</v>
      </c>
      <c r="AK148">
        <f t="shared" si="83"/>
        <v>10.195</v>
      </c>
      <c r="AL148">
        <f t="shared" si="83"/>
        <v>10.195</v>
      </c>
      <c r="AM148">
        <f t="shared" si="83"/>
        <v>10.195</v>
      </c>
      <c r="AN148">
        <f t="shared" si="83"/>
        <v>10.195</v>
      </c>
      <c r="AO148">
        <f t="shared" si="83"/>
        <v>10.195</v>
      </c>
      <c r="AP148">
        <f t="shared" si="83"/>
        <v>10.195</v>
      </c>
      <c r="AQ148">
        <f t="shared" si="83"/>
        <v>10.195</v>
      </c>
      <c r="AR148">
        <f t="shared" si="80"/>
        <v>10.195</v>
      </c>
    </row>
    <row r="149" spans="1:44" ht="12.75">
      <c r="A149" t="str">
        <f>A47</f>
        <v>ANNUAL</v>
      </c>
      <c r="B149" t="s">
        <v>351</v>
      </c>
      <c r="D149" t="s">
        <v>154</v>
      </c>
      <c r="E149">
        <f>E47</f>
        <v>2030</v>
      </c>
      <c r="F149" s="28" t="s">
        <v>314</v>
      </c>
      <c r="G149" t="str">
        <f t="shared" si="84" ref="G149:AQ149">G47</f>
        <v>GASNAT</v>
      </c>
      <c r="H149">
        <f t="shared" si="84"/>
        <v>7.0000000000000009</v>
      </c>
      <c r="I149">
        <f t="shared" si="84"/>
        <v>7.0000000000000009</v>
      </c>
      <c r="J149">
        <f t="shared" si="84"/>
        <v>7.0000000000000009</v>
      </c>
      <c r="K149">
        <f t="shared" si="84"/>
        <v>7.0000000000000009</v>
      </c>
      <c r="L149">
        <f t="shared" si="84"/>
        <v>7.0000000000000009</v>
      </c>
      <c r="M149">
        <f t="shared" si="84"/>
        <v>7.0000000000000009</v>
      </c>
      <c r="N149">
        <f t="shared" si="84"/>
        <v>7.0000000000000009</v>
      </c>
      <c r="O149">
        <f t="shared" si="84"/>
        <v>7.0000000000000009</v>
      </c>
      <c r="P149">
        <f t="shared" si="84"/>
        <v>5.9500000000000002</v>
      </c>
      <c r="Q149">
        <f t="shared" si="84"/>
        <v>6.3000000000000007</v>
      </c>
      <c r="R149">
        <f t="shared" si="84"/>
        <v>7.0000000000000009</v>
      </c>
      <c r="S149">
        <f t="shared" si="84"/>
        <v>7.0000000000000009</v>
      </c>
      <c r="T149">
        <f t="shared" si="84"/>
        <v>7.0000000000000009</v>
      </c>
      <c r="U149">
        <f t="shared" si="84"/>
        <v>7.0000000000000009</v>
      </c>
      <c r="V149">
        <f t="shared" si="84"/>
        <v>6.3000000000000007</v>
      </c>
      <c r="W149">
        <f t="shared" si="84"/>
        <v>7.0000000000000009</v>
      </c>
      <c r="X149">
        <f t="shared" si="84"/>
        <v>7.0000000000000009</v>
      </c>
      <c r="Y149">
        <f t="shared" si="84"/>
        <v>7.0000000000000009</v>
      </c>
      <c r="Z149">
        <f t="shared" si="84"/>
        <v>7.0000000000000009</v>
      </c>
      <c r="AA149">
        <f t="shared" si="84"/>
        <v>7.0000000000000009</v>
      </c>
      <c r="AB149">
        <f t="shared" si="84"/>
        <v>7.0000000000000009</v>
      </c>
      <c r="AC149">
        <f t="shared" si="84"/>
        <v>7.0000000000000009</v>
      </c>
      <c r="AD149">
        <f t="shared" si="84"/>
        <v>7.0000000000000009</v>
      </c>
      <c r="AE149">
        <f t="shared" si="84"/>
        <v>7.0000000000000009</v>
      </c>
      <c r="AF149">
        <f t="shared" si="84"/>
        <v>7.0000000000000009</v>
      </c>
      <c r="AG149">
        <f t="shared" si="84"/>
        <v>7.0000000000000009</v>
      </c>
      <c r="AH149">
        <f t="shared" si="84"/>
        <v>7.0000000000000009</v>
      </c>
      <c r="AI149">
        <f t="shared" si="84"/>
        <v>7.0000000000000009</v>
      </c>
      <c r="AJ149">
        <f t="shared" si="84"/>
        <v>7.0000000000000009</v>
      </c>
      <c r="AK149">
        <f t="shared" si="84"/>
        <v>7.0000000000000009</v>
      </c>
      <c r="AL149">
        <f t="shared" si="84"/>
        <v>7.0000000000000009</v>
      </c>
      <c r="AM149">
        <f t="shared" si="84"/>
        <v>7.0000000000000009</v>
      </c>
      <c r="AN149">
        <f t="shared" si="84"/>
        <v>7.0000000000000009</v>
      </c>
      <c r="AO149">
        <f t="shared" si="84"/>
        <v>7.0000000000000009</v>
      </c>
      <c r="AP149">
        <f t="shared" si="84"/>
        <v>7.0000000000000009</v>
      </c>
      <c r="AQ149">
        <f t="shared" si="84"/>
        <v>7.0000000000000009</v>
      </c>
      <c r="AR149">
        <f t="shared" si="80"/>
        <v>7.0000000000000009</v>
      </c>
    </row>
    <row r="150" spans="1:44" ht="12.75">
      <c r="A150" t="str">
        <f>A54</f>
        <v>ANNUAL</v>
      </c>
      <c r="B150" t="s">
        <v>351</v>
      </c>
      <c r="D150" t="s">
        <v>154</v>
      </c>
      <c r="E150">
        <f>E54</f>
        <v>2035</v>
      </c>
      <c r="F150" s="28" t="s">
        <v>314</v>
      </c>
      <c r="G150" t="str">
        <f t="shared" si="85" ref="G150:AQ150">G54</f>
        <v>GASNAT</v>
      </c>
      <c r="H150">
        <f t="shared" si="85"/>
        <v>7.0000000000000009</v>
      </c>
      <c r="I150">
        <f t="shared" si="85"/>
        <v>7.0000000000000009</v>
      </c>
      <c r="J150">
        <f t="shared" si="85"/>
        <v>7.0000000000000009</v>
      </c>
      <c r="K150">
        <f t="shared" si="85"/>
        <v>7.0000000000000009</v>
      </c>
      <c r="L150">
        <f t="shared" si="85"/>
        <v>7.0000000000000009</v>
      </c>
      <c r="M150">
        <f t="shared" si="85"/>
        <v>7.0000000000000009</v>
      </c>
      <c r="N150">
        <f t="shared" si="85"/>
        <v>7.0000000000000009</v>
      </c>
      <c r="O150">
        <f t="shared" si="85"/>
        <v>7.0000000000000009</v>
      </c>
      <c r="P150">
        <f t="shared" si="85"/>
        <v>5.9500000000000002</v>
      </c>
      <c r="Q150">
        <f t="shared" si="85"/>
        <v>6.3000000000000007</v>
      </c>
      <c r="R150">
        <f t="shared" si="85"/>
        <v>7.0000000000000009</v>
      </c>
      <c r="S150">
        <f t="shared" si="85"/>
        <v>7.0000000000000009</v>
      </c>
      <c r="T150">
        <f t="shared" si="85"/>
        <v>7.0000000000000009</v>
      </c>
      <c r="U150">
        <f t="shared" si="85"/>
        <v>7.0000000000000009</v>
      </c>
      <c r="V150">
        <f t="shared" si="85"/>
        <v>6.3000000000000007</v>
      </c>
      <c r="W150">
        <f t="shared" si="85"/>
        <v>7.0000000000000009</v>
      </c>
      <c r="X150">
        <f t="shared" si="85"/>
        <v>7.0000000000000009</v>
      </c>
      <c r="Y150">
        <f t="shared" si="85"/>
        <v>7.0000000000000009</v>
      </c>
      <c r="Z150">
        <f t="shared" si="85"/>
        <v>7.0000000000000009</v>
      </c>
      <c r="AA150">
        <f t="shared" si="85"/>
        <v>7.0000000000000009</v>
      </c>
      <c r="AB150">
        <f t="shared" si="85"/>
        <v>7.0000000000000009</v>
      </c>
      <c r="AC150">
        <f t="shared" si="85"/>
        <v>7.0000000000000009</v>
      </c>
      <c r="AD150">
        <f t="shared" si="85"/>
        <v>7.0000000000000009</v>
      </c>
      <c r="AE150">
        <f t="shared" si="85"/>
        <v>7.0000000000000009</v>
      </c>
      <c r="AF150">
        <f t="shared" si="85"/>
        <v>7.0000000000000009</v>
      </c>
      <c r="AG150">
        <f t="shared" si="85"/>
        <v>7.0000000000000009</v>
      </c>
      <c r="AH150">
        <f t="shared" si="85"/>
        <v>7.0000000000000009</v>
      </c>
      <c r="AI150">
        <f t="shared" si="85"/>
        <v>7.0000000000000009</v>
      </c>
      <c r="AJ150">
        <f t="shared" si="85"/>
        <v>7.0000000000000009</v>
      </c>
      <c r="AK150">
        <f t="shared" si="85"/>
        <v>7.0000000000000009</v>
      </c>
      <c r="AL150">
        <f t="shared" si="85"/>
        <v>7.0000000000000009</v>
      </c>
      <c r="AM150">
        <f t="shared" si="85"/>
        <v>7.0000000000000009</v>
      </c>
      <c r="AN150">
        <f t="shared" si="85"/>
        <v>7.0000000000000009</v>
      </c>
      <c r="AO150">
        <f t="shared" si="85"/>
        <v>7.0000000000000009</v>
      </c>
      <c r="AP150">
        <f t="shared" si="85"/>
        <v>7.0000000000000009</v>
      </c>
      <c r="AQ150">
        <f t="shared" si="85"/>
        <v>7.0000000000000009</v>
      </c>
      <c r="AR150">
        <f t="shared" si="80"/>
        <v>7.0000000000000009</v>
      </c>
    </row>
    <row r="151" spans="1:44" ht="12.75">
      <c r="A151" t="str">
        <f>A61</f>
        <v>ANNUAL</v>
      </c>
      <c r="B151" t="s">
        <v>351</v>
      </c>
      <c r="D151" t="s">
        <v>154</v>
      </c>
      <c r="E151">
        <f>E61</f>
        <v>2040</v>
      </c>
      <c r="F151" s="28" t="s">
        <v>314</v>
      </c>
      <c r="G151" t="str">
        <f t="shared" si="86" ref="G151:AQ151">G61</f>
        <v>GASNAT</v>
      </c>
      <c r="H151">
        <f t="shared" si="86"/>
        <v>7.0000000000000009</v>
      </c>
      <c r="I151">
        <f t="shared" si="86"/>
        <v>7.0000000000000009</v>
      </c>
      <c r="J151">
        <f t="shared" si="86"/>
        <v>7.0000000000000009</v>
      </c>
      <c r="K151">
        <f t="shared" si="86"/>
        <v>7.0000000000000009</v>
      </c>
      <c r="L151">
        <f t="shared" si="86"/>
        <v>7.0000000000000009</v>
      </c>
      <c r="M151">
        <f t="shared" si="86"/>
        <v>7.0000000000000009</v>
      </c>
      <c r="N151">
        <f t="shared" si="86"/>
        <v>7.0000000000000009</v>
      </c>
      <c r="O151">
        <f t="shared" si="86"/>
        <v>7.0000000000000009</v>
      </c>
      <c r="P151">
        <f t="shared" si="86"/>
        <v>5.9500000000000002</v>
      </c>
      <c r="Q151">
        <f t="shared" si="86"/>
        <v>6.3000000000000007</v>
      </c>
      <c r="R151">
        <f t="shared" si="86"/>
        <v>7.0000000000000009</v>
      </c>
      <c r="S151">
        <f t="shared" si="86"/>
        <v>7.0000000000000009</v>
      </c>
      <c r="T151">
        <f t="shared" si="86"/>
        <v>7.0000000000000009</v>
      </c>
      <c r="U151">
        <f t="shared" si="86"/>
        <v>7.0000000000000009</v>
      </c>
      <c r="V151">
        <f t="shared" si="86"/>
        <v>6.3000000000000007</v>
      </c>
      <c r="W151">
        <f t="shared" si="86"/>
        <v>7.0000000000000009</v>
      </c>
      <c r="X151">
        <f t="shared" si="86"/>
        <v>7.0000000000000009</v>
      </c>
      <c r="Y151">
        <f t="shared" si="86"/>
        <v>7.0000000000000009</v>
      </c>
      <c r="Z151">
        <f t="shared" si="86"/>
        <v>7.0000000000000009</v>
      </c>
      <c r="AA151">
        <f t="shared" si="86"/>
        <v>7.0000000000000009</v>
      </c>
      <c r="AB151">
        <f t="shared" si="86"/>
        <v>7.0000000000000009</v>
      </c>
      <c r="AC151">
        <f t="shared" si="86"/>
        <v>7.0000000000000009</v>
      </c>
      <c r="AD151">
        <f t="shared" si="86"/>
        <v>7.0000000000000009</v>
      </c>
      <c r="AE151">
        <f t="shared" si="86"/>
        <v>7.0000000000000009</v>
      </c>
      <c r="AF151">
        <f t="shared" si="86"/>
        <v>7.0000000000000009</v>
      </c>
      <c r="AG151">
        <f t="shared" si="86"/>
        <v>7.0000000000000009</v>
      </c>
      <c r="AH151">
        <f t="shared" si="86"/>
        <v>7.0000000000000009</v>
      </c>
      <c r="AI151">
        <f t="shared" si="86"/>
        <v>7.0000000000000009</v>
      </c>
      <c r="AJ151">
        <f t="shared" si="86"/>
        <v>7.0000000000000009</v>
      </c>
      <c r="AK151">
        <f t="shared" si="86"/>
        <v>7.0000000000000009</v>
      </c>
      <c r="AL151">
        <f t="shared" si="86"/>
        <v>7.0000000000000009</v>
      </c>
      <c r="AM151">
        <f t="shared" si="86"/>
        <v>7.0000000000000009</v>
      </c>
      <c r="AN151">
        <f t="shared" si="86"/>
        <v>7.0000000000000009</v>
      </c>
      <c r="AO151">
        <f t="shared" si="86"/>
        <v>7.0000000000000009</v>
      </c>
      <c r="AP151">
        <f t="shared" si="86"/>
        <v>7.0000000000000009</v>
      </c>
      <c r="AQ151">
        <f t="shared" si="86"/>
        <v>7.0000000000000009</v>
      </c>
      <c r="AR151">
        <f t="shared" si="80"/>
        <v>7.0000000000000009</v>
      </c>
    </row>
    <row r="152" spans="1:44" ht="12.75">
      <c r="A152" t="str">
        <f>A68</f>
        <v>ANNUAL</v>
      </c>
      <c r="B152" t="s">
        <v>351</v>
      </c>
      <c r="D152" t="s">
        <v>154</v>
      </c>
      <c r="E152">
        <f>E68</f>
        <v>2045</v>
      </c>
      <c r="F152" s="28" t="s">
        <v>314</v>
      </c>
      <c r="G152" t="str">
        <f t="shared" si="87" ref="G152:AQ152">G68</f>
        <v>GASNAT</v>
      </c>
      <c r="H152">
        <f t="shared" si="87"/>
        <v>7.0000000000000009</v>
      </c>
      <c r="I152">
        <f t="shared" si="87"/>
        <v>7.0000000000000009</v>
      </c>
      <c r="J152">
        <f t="shared" si="87"/>
        <v>7.0000000000000009</v>
      </c>
      <c r="K152">
        <f t="shared" si="87"/>
        <v>7.0000000000000009</v>
      </c>
      <c r="L152">
        <f t="shared" si="87"/>
        <v>7.0000000000000009</v>
      </c>
      <c r="M152">
        <f t="shared" si="87"/>
        <v>7.0000000000000009</v>
      </c>
      <c r="N152">
        <f t="shared" si="87"/>
        <v>7.0000000000000009</v>
      </c>
      <c r="O152">
        <f t="shared" si="87"/>
        <v>7.0000000000000009</v>
      </c>
      <c r="P152">
        <f t="shared" si="87"/>
        <v>5.9500000000000002</v>
      </c>
      <c r="Q152">
        <f t="shared" si="87"/>
        <v>6.3000000000000007</v>
      </c>
      <c r="R152">
        <f t="shared" si="87"/>
        <v>7.0000000000000009</v>
      </c>
      <c r="S152">
        <f t="shared" si="87"/>
        <v>7.0000000000000009</v>
      </c>
      <c r="T152">
        <f t="shared" si="87"/>
        <v>7.0000000000000009</v>
      </c>
      <c r="U152">
        <f t="shared" si="87"/>
        <v>7.0000000000000009</v>
      </c>
      <c r="V152">
        <f t="shared" si="87"/>
        <v>6.3000000000000007</v>
      </c>
      <c r="W152">
        <f t="shared" si="87"/>
        <v>7.0000000000000009</v>
      </c>
      <c r="X152">
        <f t="shared" si="87"/>
        <v>7.0000000000000009</v>
      </c>
      <c r="Y152">
        <f t="shared" si="87"/>
        <v>7.0000000000000009</v>
      </c>
      <c r="Z152">
        <f t="shared" si="87"/>
        <v>7.0000000000000009</v>
      </c>
      <c r="AA152">
        <f t="shared" si="87"/>
        <v>7.0000000000000009</v>
      </c>
      <c r="AB152">
        <f t="shared" si="87"/>
        <v>7.0000000000000009</v>
      </c>
      <c r="AC152">
        <f t="shared" si="87"/>
        <v>7.0000000000000009</v>
      </c>
      <c r="AD152">
        <f t="shared" si="87"/>
        <v>7.0000000000000009</v>
      </c>
      <c r="AE152">
        <f t="shared" si="87"/>
        <v>7.0000000000000009</v>
      </c>
      <c r="AF152">
        <f t="shared" si="87"/>
        <v>7.0000000000000009</v>
      </c>
      <c r="AG152">
        <f t="shared" si="87"/>
        <v>7.0000000000000009</v>
      </c>
      <c r="AH152">
        <f t="shared" si="87"/>
        <v>7.0000000000000009</v>
      </c>
      <c r="AI152">
        <f t="shared" si="87"/>
        <v>7.0000000000000009</v>
      </c>
      <c r="AJ152">
        <f t="shared" si="87"/>
        <v>7.0000000000000009</v>
      </c>
      <c r="AK152">
        <f t="shared" si="87"/>
        <v>7.0000000000000009</v>
      </c>
      <c r="AL152">
        <f t="shared" si="87"/>
        <v>7.0000000000000009</v>
      </c>
      <c r="AM152">
        <f t="shared" si="87"/>
        <v>7.0000000000000009</v>
      </c>
      <c r="AN152">
        <f t="shared" si="87"/>
        <v>7.0000000000000009</v>
      </c>
      <c r="AO152">
        <f t="shared" si="87"/>
        <v>7.0000000000000009</v>
      </c>
      <c r="AP152">
        <f t="shared" si="87"/>
        <v>7.0000000000000009</v>
      </c>
      <c r="AQ152">
        <f t="shared" si="87"/>
        <v>7.0000000000000009</v>
      </c>
      <c r="AR152">
        <f t="shared" si="80"/>
        <v>7.0000000000000009</v>
      </c>
    </row>
    <row r="153" spans="1:44" ht="12.75">
      <c r="A153" t="str">
        <f>A75</f>
        <v>ANNUAL</v>
      </c>
      <c r="B153" t="s">
        <v>351</v>
      </c>
      <c r="D153" t="s">
        <v>154</v>
      </c>
      <c r="E153">
        <f>E75</f>
        <v>2050</v>
      </c>
      <c r="F153" s="28" t="s">
        <v>314</v>
      </c>
      <c r="G153" t="str">
        <f t="shared" si="88" ref="G153:AQ153">G75</f>
        <v>GASNAT</v>
      </c>
      <c r="H153">
        <f t="shared" si="88"/>
        <v>7.0000000000000009</v>
      </c>
      <c r="I153">
        <f t="shared" si="88"/>
        <v>7.0000000000000009</v>
      </c>
      <c r="J153">
        <f t="shared" si="88"/>
        <v>7.0000000000000009</v>
      </c>
      <c r="K153">
        <f t="shared" si="88"/>
        <v>7.0000000000000009</v>
      </c>
      <c r="L153">
        <f t="shared" si="88"/>
        <v>7.0000000000000009</v>
      </c>
      <c r="M153">
        <f t="shared" si="88"/>
        <v>7.0000000000000009</v>
      </c>
      <c r="N153">
        <f t="shared" si="88"/>
        <v>7.0000000000000009</v>
      </c>
      <c r="O153">
        <f t="shared" si="88"/>
        <v>7.0000000000000009</v>
      </c>
      <c r="P153">
        <f t="shared" si="88"/>
        <v>5.9500000000000002</v>
      </c>
      <c r="Q153">
        <f t="shared" si="88"/>
        <v>6.3000000000000007</v>
      </c>
      <c r="R153">
        <f t="shared" si="88"/>
        <v>7.0000000000000009</v>
      </c>
      <c r="S153">
        <f t="shared" si="88"/>
        <v>7.0000000000000009</v>
      </c>
      <c r="T153">
        <f t="shared" si="88"/>
        <v>7.0000000000000009</v>
      </c>
      <c r="U153">
        <f t="shared" si="88"/>
        <v>7.0000000000000009</v>
      </c>
      <c r="V153">
        <f t="shared" si="88"/>
        <v>6.3000000000000007</v>
      </c>
      <c r="W153">
        <f t="shared" si="88"/>
        <v>7.0000000000000009</v>
      </c>
      <c r="X153">
        <f t="shared" si="88"/>
        <v>7.0000000000000009</v>
      </c>
      <c r="Y153">
        <f t="shared" si="88"/>
        <v>7.0000000000000009</v>
      </c>
      <c r="Z153">
        <f t="shared" si="88"/>
        <v>7.0000000000000009</v>
      </c>
      <c r="AA153">
        <f t="shared" si="88"/>
        <v>7.0000000000000009</v>
      </c>
      <c r="AB153">
        <f t="shared" si="88"/>
        <v>7.0000000000000009</v>
      </c>
      <c r="AC153">
        <f t="shared" si="88"/>
        <v>7.0000000000000009</v>
      </c>
      <c r="AD153">
        <f t="shared" si="88"/>
        <v>7.0000000000000009</v>
      </c>
      <c r="AE153">
        <f t="shared" si="88"/>
        <v>7.0000000000000009</v>
      </c>
      <c r="AF153">
        <f t="shared" si="88"/>
        <v>7.0000000000000009</v>
      </c>
      <c r="AG153">
        <f t="shared" si="88"/>
        <v>7.0000000000000009</v>
      </c>
      <c r="AH153">
        <f t="shared" si="88"/>
        <v>7.0000000000000009</v>
      </c>
      <c r="AI153">
        <f t="shared" si="88"/>
        <v>7.0000000000000009</v>
      </c>
      <c r="AJ153">
        <f t="shared" si="88"/>
        <v>7.0000000000000009</v>
      </c>
      <c r="AK153">
        <f t="shared" si="88"/>
        <v>7.0000000000000009</v>
      </c>
      <c r="AL153">
        <f t="shared" si="88"/>
        <v>7.0000000000000009</v>
      </c>
      <c r="AM153">
        <f t="shared" si="88"/>
        <v>7.0000000000000009</v>
      </c>
      <c r="AN153">
        <f t="shared" si="88"/>
        <v>7.0000000000000009</v>
      </c>
      <c r="AO153">
        <f t="shared" si="88"/>
        <v>7.0000000000000009</v>
      </c>
      <c r="AP153">
        <f t="shared" si="88"/>
        <v>7.0000000000000009</v>
      </c>
      <c r="AQ153">
        <f t="shared" si="88"/>
        <v>7.0000000000000009</v>
      </c>
      <c r="AR153">
        <f t="shared" si="80"/>
        <v>7.0000000000000009</v>
      </c>
    </row>
    <row r="154" spans="1:44" ht="12.75">
      <c r="A154" t="str">
        <f t="shared" si="89" ref="A154:A162">A145</f>
        <v>ANNUAL</v>
      </c>
      <c r="B154" t="s">
        <v>351</v>
      </c>
      <c r="D154" t="str">
        <f t="shared" si="90" ref="D154:E162">D145</f>
        <v>COST</v>
      </c>
      <c r="E154">
        <f t="shared" si="90"/>
        <v>2010</v>
      </c>
      <c r="F154" s="28" t="s">
        <v>312</v>
      </c>
      <c r="G154" s="28" t="s">
        <v>313</v>
      </c>
      <c r="H154">
        <f t="shared" si="91" ref="H154:AQ154">H145*1.1</f>
        <v>6.8163934426229513</v>
      </c>
      <c r="I154">
        <f t="shared" si="91"/>
        <v>6.8163934426229513</v>
      </c>
      <c r="J154">
        <f t="shared" si="91"/>
        <v>6.8163934426229513</v>
      </c>
      <c r="K154">
        <f t="shared" si="91"/>
        <v>6.8163934426229513</v>
      </c>
      <c r="L154">
        <f t="shared" si="91"/>
        <v>6.8163934426229513</v>
      </c>
      <c r="M154">
        <f t="shared" si="91"/>
        <v>6.8163934426229513</v>
      </c>
      <c r="N154">
        <f t="shared" si="91"/>
        <v>6.8163934426229513</v>
      </c>
      <c r="O154">
        <f t="shared" si="91"/>
        <v>6.8163934426229513</v>
      </c>
      <c r="P154">
        <f t="shared" si="91"/>
        <v>5.7939344262295087</v>
      </c>
      <c r="Q154">
        <f t="shared" si="91"/>
        <v>6.1347540983606565</v>
      </c>
      <c r="R154">
        <f t="shared" si="91"/>
        <v>6.8163934426229513</v>
      </c>
      <c r="S154">
        <f t="shared" si="91"/>
        <v>6.8163934426229513</v>
      </c>
      <c r="T154">
        <f t="shared" si="91"/>
        <v>6.8163934426229513</v>
      </c>
      <c r="U154">
        <f t="shared" si="91"/>
        <v>6.8163934426229513</v>
      </c>
      <c r="V154">
        <f t="shared" si="91"/>
        <v>6.1347540983606565</v>
      </c>
      <c r="W154">
        <f t="shared" si="91"/>
        <v>6.8163934426229513</v>
      </c>
      <c r="X154">
        <f t="shared" si="91"/>
        <v>6.8163934426229513</v>
      </c>
      <c r="Y154">
        <f t="shared" si="91"/>
        <v>6.8163934426229513</v>
      </c>
      <c r="Z154">
        <f t="shared" si="91"/>
        <v>6.8163934426229513</v>
      </c>
      <c r="AA154">
        <f t="shared" si="91"/>
        <v>6.8163934426229513</v>
      </c>
      <c r="AB154">
        <f t="shared" si="91"/>
        <v>6.8163934426229513</v>
      </c>
      <c r="AC154">
        <f t="shared" si="91"/>
        <v>6.8163934426229513</v>
      </c>
      <c r="AD154">
        <f t="shared" si="91"/>
        <v>6.8163934426229513</v>
      </c>
      <c r="AE154">
        <f t="shared" si="91"/>
        <v>6.8163934426229513</v>
      </c>
      <c r="AF154">
        <f t="shared" si="91"/>
        <v>6.8163934426229513</v>
      </c>
      <c r="AG154">
        <f t="shared" si="91"/>
        <v>6.8163934426229513</v>
      </c>
      <c r="AH154">
        <f t="shared" si="91"/>
        <v>6.8163934426229513</v>
      </c>
      <c r="AI154">
        <f t="shared" si="91"/>
        <v>6.8163934426229513</v>
      </c>
      <c r="AJ154">
        <f t="shared" si="91"/>
        <v>6.8163934426229513</v>
      </c>
      <c r="AK154">
        <f t="shared" si="91"/>
        <v>6.8163934426229513</v>
      </c>
      <c r="AL154">
        <f t="shared" si="91"/>
        <v>6.8163934426229513</v>
      </c>
      <c r="AM154">
        <f t="shared" si="91"/>
        <v>6.8163934426229513</v>
      </c>
      <c r="AN154">
        <f t="shared" si="91"/>
        <v>6.8163934426229513</v>
      </c>
      <c r="AO154">
        <f t="shared" si="91"/>
        <v>6.8163934426229513</v>
      </c>
      <c r="AP154">
        <f t="shared" si="91"/>
        <v>6.8163934426229513</v>
      </c>
      <c r="AQ154">
        <f t="shared" si="91"/>
        <v>6.8163934426229513</v>
      </c>
      <c r="AR154">
        <f t="shared" si="80"/>
        <v>6.8163934426229513</v>
      </c>
    </row>
    <row r="155" spans="1:44" ht="12.75">
      <c r="A155" t="str">
        <f t="shared" si="89"/>
        <v>ANNUAL</v>
      </c>
      <c r="B155" t="s">
        <v>351</v>
      </c>
      <c r="D155" t="str">
        <f t="shared" si="90"/>
        <v>COST</v>
      </c>
      <c r="E155">
        <f t="shared" si="90"/>
        <v>2015</v>
      </c>
      <c r="F155" s="28" t="s">
        <v>312</v>
      </c>
      <c r="G155" s="28" t="s">
        <v>313</v>
      </c>
      <c r="H155">
        <f t="shared" si="92" ref="H155:AQ155">H146*1.1</f>
        <v>10.772696721311478</v>
      </c>
      <c r="I155">
        <f t="shared" si="92"/>
        <v>10.772696721311478</v>
      </c>
      <c r="J155">
        <f t="shared" si="92"/>
        <v>10.772696721311478</v>
      </c>
      <c r="K155">
        <f t="shared" si="92"/>
        <v>10.772696721311478</v>
      </c>
      <c r="L155">
        <f t="shared" si="92"/>
        <v>10.772696721311478</v>
      </c>
      <c r="M155">
        <f t="shared" si="92"/>
        <v>10.772696721311478</v>
      </c>
      <c r="N155">
        <f t="shared" si="92"/>
        <v>10.772696721311478</v>
      </c>
      <c r="O155">
        <f t="shared" si="92"/>
        <v>10.772696721311478</v>
      </c>
      <c r="P155">
        <f t="shared" si="92"/>
        <v>9.1567922131147554</v>
      </c>
      <c r="Q155">
        <f t="shared" si="92"/>
        <v>9.6954270491803296</v>
      </c>
      <c r="R155">
        <f t="shared" si="92"/>
        <v>10.772696721311478</v>
      </c>
      <c r="S155">
        <f t="shared" si="92"/>
        <v>10.772696721311478</v>
      </c>
      <c r="T155">
        <f t="shared" si="92"/>
        <v>10.772696721311478</v>
      </c>
      <c r="U155">
        <f t="shared" si="92"/>
        <v>10.772696721311478</v>
      </c>
      <c r="V155">
        <f t="shared" si="92"/>
        <v>9.6954270491803296</v>
      </c>
      <c r="W155">
        <f t="shared" si="92"/>
        <v>10.772696721311478</v>
      </c>
      <c r="X155">
        <f t="shared" si="92"/>
        <v>10.772696721311478</v>
      </c>
      <c r="Y155">
        <f t="shared" si="92"/>
        <v>10.772696721311478</v>
      </c>
      <c r="Z155">
        <f t="shared" si="92"/>
        <v>10.772696721311478</v>
      </c>
      <c r="AA155">
        <f t="shared" si="92"/>
        <v>10.772696721311478</v>
      </c>
      <c r="AB155">
        <f t="shared" si="92"/>
        <v>10.772696721311478</v>
      </c>
      <c r="AC155">
        <f t="shared" si="92"/>
        <v>10.772696721311478</v>
      </c>
      <c r="AD155">
        <f t="shared" si="92"/>
        <v>10.772696721311478</v>
      </c>
      <c r="AE155">
        <f t="shared" si="92"/>
        <v>10.772696721311478</v>
      </c>
      <c r="AF155">
        <f t="shared" si="92"/>
        <v>10.772696721311478</v>
      </c>
      <c r="AG155">
        <f t="shared" si="92"/>
        <v>10.772696721311478</v>
      </c>
      <c r="AH155">
        <f t="shared" si="92"/>
        <v>10.772696721311478</v>
      </c>
      <c r="AI155">
        <f t="shared" si="92"/>
        <v>10.772696721311478</v>
      </c>
      <c r="AJ155">
        <f t="shared" si="92"/>
        <v>10.772696721311478</v>
      </c>
      <c r="AK155">
        <f t="shared" si="92"/>
        <v>10.772696721311478</v>
      </c>
      <c r="AL155">
        <f t="shared" si="92"/>
        <v>10.772696721311478</v>
      </c>
      <c r="AM155">
        <f t="shared" si="92"/>
        <v>10.772696721311478</v>
      </c>
      <c r="AN155">
        <f t="shared" si="92"/>
        <v>10.772696721311478</v>
      </c>
      <c r="AO155">
        <f t="shared" si="92"/>
        <v>10.772696721311478</v>
      </c>
      <c r="AP155">
        <f t="shared" si="92"/>
        <v>10.772696721311478</v>
      </c>
      <c r="AQ155">
        <f t="shared" si="92"/>
        <v>10.772696721311478</v>
      </c>
      <c r="AR155">
        <f t="shared" si="80"/>
        <v>10.772696721311478</v>
      </c>
    </row>
    <row r="156" spans="1:44" ht="12.75">
      <c r="A156" t="str">
        <f t="shared" si="89"/>
        <v>ANNUAL</v>
      </c>
      <c r="B156" t="s">
        <v>351</v>
      </c>
      <c r="D156" t="str">
        <f t="shared" si="90"/>
        <v>COST</v>
      </c>
      <c r="E156">
        <f t="shared" si="90"/>
        <v>2020</v>
      </c>
      <c r="F156" s="28" t="s">
        <v>312</v>
      </c>
      <c r="G156" s="28" t="s">
        <v>313</v>
      </c>
      <c r="H156">
        <f t="shared" si="93" ref="H156:AQ156">H147*1.1</f>
        <v>14.729000000000001</v>
      </c>
      <c r="I156">
        <f t="shared" si="93"/>
        <v>14.729000000000001</v>
      </c>
      <c r="J156">
        <f t="shared" si="93"/>
        <v>14.729000000000001</v>
      </c>
      <c r="K156">
        <f t="shared" si="93"/>
        <v>14.729000000000001</v>
      </c>
      <c r="L156">
        <f t="shared" si="93"/>
        <v>14.729000000000001</v>
      </c>
      <c r="M156">
        <f t="shared" si="93"/>
        <v>14.729000000000001</v>
      </c>
      <c r="N156">
        <f t="shared" si="93"/>
        <v>14.729000000000001</v>
      </c>
      <c r="O156">
        <f t="shared" si="93"/>
        <v>14.729000000000001</v>
      </c>
      <c r="P156">
        <f t="shared" si="93"/>
        <v>12.519650000000002</v>
      </c>
      <c r="Q156">
        <f t="shared" si="93"/>
        <v>13.256100000000002</v>
      </c>
      <c r="R156">
        <f t="shared" si="93"/>
        <v>14.729000000000001</v>
      </c>
      <c r="S156">
        <f t="shared" si="93"/>
        <v>14.729000000000001</v>
      </c>
      <c r="T156">
        <f t="shared" si="93"/>
        <v>14.729000000000001</v>
      </c>
      <c r="U156">
        <f t="shared" si="93"/>
        <v>14.729000000000001</v>
      </c>
      <c r="V156">
        <f t="shared" si="93"/>
        <v>13.256100000000002</v>
      </c>
      <c r="W156">
        <f t="shared" si="93"/>
        <v>14.729000000000001</v>
      </c>
      <c r="X156">
        <f t="shared" si="93"/>
        <v>14.729000000000001</v>
      </c>
      <c r="Y156">
        <f t="shared" si="93"/>
        <v>14.729000000000001</v>
      </c>
      <c r="Z156">
        <f t="shared" si="93"/>
        <v>14.729000000000001</v>
      </c>
      <c r="AA156">
        <f t="shared" si="93"/>
        <v>14.729000000000001</v>
      </c>
      <c r="AB156">
        <f t="shared" si="93"/>
        <v>14.729000000000001</v>
      </c>
      <c r="AC156">
        <f t="shared" si="93"/>
        <v>14.729000000000001</v>
      </c>
      <c r="AD156">
        <f t="shared" si="93"/>
        <v>14.729000000000001</v>
      </c>
      <c r="AE156">
        <f t="shared" si="93"/>
        <v>14.729000000000001</v>
      </c>
      <c r="AF156">
        <f t="shared" si="93"/>
        <v>14.729000000000001</v>
      </c>
      <c r="AG156">
        <f t="shared" si="93"/>
        <v>14.729000000000001</v>
      </c>
      <c r="AH156">
        <f t="shared" si="93"/>
        <v>14.729000000000001</v>
      </c>
      <c r="AI156">
        <f t="shared" si="93"/>
        <v>14.729000000000001</v>
      </c>
      <c r="AJ156">
        <f t="shared" si="93"/>
        <v>14.729000000000001</v>
      </c>
      <c r="AK156">
        <f t="shared" si="93"/>
        <v>14.729000000000001</v>
      </c>
      <c r="AL156">
        <f t="shared" si="93"/>
        <v>14.729000000000001</v>
      </c>
      <c r="AM156">
        <f t="shared" si="93"/>
        <v>14.729000000000001</v>
      </c>
      <c r="AN156">
        <f t="shared" si="93"/>
        <v>14.729000000000001</v>
      </c>
      <c r="AO156">
        <f t="shared" si="93"/>
        <v>14.729000000000001</v>
      </c>
      <c r="AP156">
        <f t="shared" si="93"/>
        <v>14.729000000000001</v>
      </c>
      <c r="AQ156">
        <f t="shared" si="93"/>
        <v>14.729000000000001</v>
      </c>
      <c r="AR156">
        <f t="shared" si="80"/>
        <v>14.729000000000001</v>
      </c>
    </row>
    <row r="157" spans="1:44" ht="12.75">
      <c r="A157" t="str">
        <f t="shared" si="89"/>
        <v>ANNUAL</v>
      </c>
      <c r="B157" t="s">
        <v>351</v>
      </c>
      <c r="D157" t="str">
        <f t="shared" si="90"/>
        <v>COST</v>
      </c>
      <c r="E157">
        <f t="shared" si="90"/>
        <v>2025</v>
      </c>
      <c r="F157" s="28" t="s">
        <v>312</v>
      </c>
      <c r="G157" s="28" t="s">
        <v>313</v>
      </c>
      <c r="H157">
        <f t="shared" si="94" ref="H157:AQ157">H148*1.1</f>
        <v>11.214500000000001</v>
      </c>
      <c r="I157">
        <f t="shared" si="94"/>
        <v>11.214500000000001</v>
      </c>
      <c r="J157">
        <f t="shared" si="94"/>
        <v>11.214500000000001</v>
      </c>
      <c r="K157">
        <f t="shared" si="94"/>
        <v>11.214500000000001</v>
      </c>
      <c r="L157">
        <f t="shared" si="94"/>
        <v>11.214500000000001</v>
      </c>
      <c r="M157">
        <f t="shared" si="94"/>
        <v>11.214500000000001</v>
      </c>
      <c r="N157">
        <f t="shared" si="94"/>
        <v>11.214500000000001</v>
      </c>
      <c r="O157">
        <f t="shared" si="94"/>
        <v>11.214500000000001</v>
      </c>
      <c r="P157">
        <f t="shared" si="94"/>
        <v>9.5323250000000002</v>
      </c>
      <c r="Q157">
        <f t="shared" si="94"/>
        <v>10.093050000000002</v>
      </c>
      <c r="R157">
        <f t="shared" si="94"/>
        <v>11.214500000000001</v>
      </c>
      <c r="S157">
        <f t="shared" si="94"/>
        <v>11.214500000000001</v>
      </c>
      <c r="T157">
        <f t="shared" si="94"/>
        <v>11.214500000000001</v>
      </c>
      <c r="U157">
        <f t="shared" si="94"/>
        <v>11.214500000000001</v>
      </c>
      <c r="V157">
        <f t="shared" si="94"/>
        <v>10.093050000000002</v>
      </c>
      <c r="W157">
        <f t="shared" si="94"/>
        <v>11.214500000000001</v>
      </c>
      <c r="X157">
        <f t="shared" si="94"/>
        <v>11.214500000000001</v>
      </c>
      <c r="Y157">
        <f t="shared" si="94"/>
        <v>11.214500000000001</v>
      </c>
      <c r="Z157">
        <f t="shared" si="94"/>
        <v>11.214500000000001</v>
      </c>
      <c r="AA157">
        <f t="shared" si="94"/>
        <v>11.214500000000001</v>
      </c>
      <c r="AB157">
        <f t="shared" si="94"/>
        <v>11.214500000000001</v>
      </c>
      <c r="AC157">
        <f t="shared" si="94"/>
        <v>11.214500000000001</v>
      </c>
      <c r="AD157">
        <f t="shared" si="94"/>
        <v>11.214500000000001</v>
      </c>
      <c r="AE157">
        <f t="shared" si="94"/>
        <v>11.214500000000001</v>
      </c>
      <c r="AF157">
        <f t="shared" si="94"/>
        <v>11.214500000000001</v>
      </c>
      <c r="AG157">
        <f t="shared" si="94"/>
        <v>11.214500000000001</v>
      </c>
      <c r="AH157">
        <f t="shared" si="94"/>
        <v>11.214500000000001</v>
      </c>
      <c r="AI157">
        <f t="shared" si="94"/>
        <v>11.214500000000001</v>
      </c>
      <c r="AJ157">
        <f t="shared" si="94"/>
        <v>11.214500000000001</v>
      </c>
      <c r="AK157">
        <f t="shared" si="94"/>
        <v>11.214500000000001</v>
      </c>
      <c r="AL157">
        <f t="shared" si="94"/>
        <v>11.214500000000001</v>
      </c>
      <c r="AM157">
        <f t="shared" si="94"/>
        <v>11.214500000000001</v>
      </c>
      <c r="AN157">
        <f t="shared" si="94"/>
        <v>11.214500000000001</v>
      </c>
      <c r="AO157">
        <f t="shared" si="94"/>
        <v>11.214500000000001</v>
      </c>
      <c r="AP157">
        <f t="shared" si="94"/>
        <v>11.214500000000001</v>
      </c>
      <c r="AQ157">
        <f t="shared" si="94"/>
        <v>11.214500000000001</v>
      </c>
      <c r="AR157">
        <f t="shared" si="80"/>
        <v>11.214500000000001</v>
      </c>
    </row>
    <row r="158" spans="1:44" ht="12.75">
      <c r="A158" t="str">
        <f t="shared" si="89"/>
        <v>ANNUAL</v>
      </c>
      <c r="B158" t="s">
        <v>351</v>
      </c>
      <c r="D158" t="str">
        <f t="shared" si="90"/>
        <v>COST</v>
      </c>
      <c r="E158">
        <f t="shared" si="90"/>
        <v>2030</v>
      </c>
      <c r="F158" s="28" t="s">
        <v>312</v>
      </c>
      <c r="G158" s="28" t="s">
        <v>313</v>
      </c>
      <c r="H158">
        <f t="shared" si="95" ref="H158:AQ158">H149*1.1</f>
        <v>7.700000000000002</v>
      </c>
      <c r="I158">
        <f t="shared" si="95"/>
        <v>7.700000000000002</v>
      </c>
      <c r="J158">
        <f t="shared" si="95"/>
        <v>7.700000000000002</v>
      </c>
      <c r="K158">
        <f t="shared" si="95"/>
        <v>7.700000000000002</v>
      </c>
      <c r="L158">
        <f t="shared" si="95"/>
        <v>7.700000000000002</v>
      </c>
      <c r="M158">
        <f t="shared" si="95"/>
        <v>7.700000000000002</v>
      </c>
      <c r="N158">
        <f t="shared" si="95"/>
        <v>7.700000000000002</v>
      </c>
      <c r="O158">
        <f t="shared" si="95"/>
        <v>7.700000000000002</v>
      </c>
      <c r="P158">
        <f t="shared" si="95"/>
        <v>6.5450000000000008</v>
      </c>
      <c r="Q158">
        <f t="shared" si="95"/>
        <v>6.9300000000000015</v>
      </c>
      <c r="R158">
        <f t="shared" si="95"/>
        <v>7.700000000000002</v>
      </c>
      <c r="S158">
        <f t="shared" si="95"/>
        <v>7.700000000000002</v>
      </c>
      <c r="T158">
        <f t="shared" si="95"/>
        <v>7.700000000000002</v>
      </c>
      <c r="U158">
        <f t="shared" si="95"/>
        <v>7.700000000000002</v>
      </c>
      <c r="V158">
        <f t="shared" si="95"/>
        <v>6.9300000000000015</v>
      </c>
      <c r="W158">
        <f t="shared" si="95"/>
        <v>7.700000000000002</v>
      </c>
      <c r="X158">
        <f t="shared" si="95"/>
        <v>7.700000000000002</v>
      </c>
      <c r="Y158">
        <f t="shared" si="95"/>
        <v>7.700000000000002</v>
      </c>
      <c r="Z158">
        <f t="shared" si="95"/>
        <v>7.700000000000002</v>
      </c>
      <c r="AA158">
        <f t="shared" si="95"/>
        <v>7.700000000000002</v>
      </c>
      <c r="AB158">
        <f t="shared" si="95"/>
        <v>7.700000000000002</v>
      </c>
      <c r="AC158">
        <f t="shared" si="95"/>
        <v>7.700000000000002</v>
      </c>
      <c r="AD158">
        <f t="shared" si="95"/>
        <v>7.700000000000002</v>
      </c>
      <c r="AE158">
        <f t="shared" si="95"/>
        <v>7.700000000000002</v>
      </c>
      <c r="AF158">
        <f t="shared" si="95"/>
        <v>7.700000000000002</v>
      </c>
      <c r="AG158">
        <f t="shared" si="95"/>
        <v>7.700000000000002</v>
      </c>
      <c r="AH158">
        <f t="shared" si="95"/>
        <v>7.700000000000002</v>
      </c>
      <c r="AI158">
        <f t="shared" si="95"/>
        <v>7.700000000000002</v>
      </c>
      <c r="AJ158">
        <f t="shared" si="95"/>
        <v>7.700000000000002</v>
      </c>
      <c r="AK158">
        <f t="shared" si="95"/>
        <v>7.700000000000002</v>
      </c>
      <c r="AL158">
        <f t="shared" si="95"/>
        <v>7.700000000000002</v>
      </c>
      <c r="AM158">
        <f t="shared" si="95"/>
        <v>7.700000000000002</v>
      </c>
      <c r="AN158">
        <f t="shared" si="95"/>
        <v>7.700000000000002</v>
      </c>
      <c r="AO158">
        <f t="shared" si="95"/>
        <v>7.700000000000002</v>
      </c>
      <c r="AP158">
        <f t="shared" si="95"/>
        <v>7.700000000000002</v>
      </c>
      <c r="AQ158">
        <f t="shared" si="95"/>
        <v>7.700000000000002</v>
      </c>
      <c r="AR158">
        <f t="shared" si="80"/>
        <v>7.700000000000002</v>
      </c>
    </row>
    <row r="159" spans="1:44" ht="12.75">
      <c r="A159" t="str">
        <f t="shared" si="89"/>
        <v>ANNUAL</v>
      </c>
      <c r="B159" t="s">
        <v>351</v>
      </c>
      <c r="D159" t="str">
        <f t="shared" si="90"/>
        <v>COST</v>
      </c>
      <c r="E159">
        <f t="shared" si="90"/>
        <v>2035</v>
      </c>
      <c r="F159" s="28" t="s">
        <v>312</v>
      </c>
      <c r="G159" s="28" t="s">
        <v>313</v>
      </c>
      <c r="H159">
        <f t="shared" si="96" ref="H159:AQ159">H150*1.1</f>
        <v>7.700000000000002</v>
      </c>
      <c r="I159">
        <f t="shared" si="96"/>
        <v>7.700000000000002</v>
      </c>
      <c r="J159">
        <f t="shared" si="96"/>
        <v>7.700000000000002</v>
      </c>
      <c r="K159">
        <f t="shared" si="96"/>
        <v>7.700000000000002</v>
      </c>
      <c r="L159">
        <f t="shared" si="96"/>
        <v>7.700000000000002</v>
      </c>
      <c r="M159">
        <f t="shared" si="96"/>
        <v>7.700000000000002</v>
      </c>
      <c r="N159">
        <f t="shared" si="96"/>
        <v>7.700000000000002</v>
      </c>
      <c r="O159">
        <f t="shared" si="96"/>
        <v>7.700000000000002</v>
      </c>
      <c r="P159">
        <f t="shared" si="96"/>
        <v>6.5450000000000008</v>
      </c>
      <c r="Q159">
        <f t="shared" si="96"/>
        <v>6.9300000000000015</v>
      </c>
      <c r="R159">
        <f t="shared" si="96"/>
        <v>7.700000000000002</v>
      </c>
      <c r="S159">
        <f t="shared" si="96"/>
        <v>7.700000000000002</v>
      </c>
      <c r="T159">
        <f t="shared" si="96"/>
        <v>7.700000000000002</v>
      </c>
      <c r="U159">
        <f t="shared" si="96"/>
        <v>7.700000000000002</v>
      </c>
      <c r="V159">
        <f t="shared" si="96"/>
        <v>6.9300000000000015</v>
      </c>
      <c r="W159">
        <f t="shared" si="96"/>
        <v>7.700000000000002</v>
      </c>
      <c r="X159">
        <f t="shared" si="96"/>
        <v>7.700000000000002</v>
      </c>
      <c r="Y159">
        <f t="shared" si="96"/>
        <v>7.700000000000002</v>
      </c>
      <c r="Z159">
        <f t="shared" si="96"/>
        <v>7.700000000000002</v>
      </c>
      <c r="AA159">
        <f t="shared" si="96"/>
        <v>7.700000000000002</v>
      </c>
      <c r="AB159">
        <f t="shared" si="96"/>
        <v>7.700000000000002</v>
      </c>
      <c r="AC159">
        <f t="shared" si="96"/>
        <v>7.700000000000002</v>
      </c>
      <c r="AD159">
        <f t="shared" si="96"/>
        <v>7.700000000000002</v>
      </c>
      <c r="AE159">
        <f t="shared" si="96"/>
        <v>7.700000000000002</v>
      </c>
      <c r="AF159">
        <f t="shared" si="96"/>
        <v>7.700000000000002</v>
      </c>
      <c r="AG159">
        <f t="shared" si="96"/>
        <v>7.700000000000002</v>
      </c>
      <c r="AH159">
        <f t="shared" si="96"/>
        <v>7.700000000000002</v>
      </c>
      <c r="AI159">
        <f t="shared" si="96"/>
        <v>7.700000000000002</v>
      </c>
      <c r="AJ159">
        <f t="shared" si="96"/>
        <v>7.700000000000002</v>
      </c>
      <c r="AK159">
        <f t="shared" si="96"/>
        <v>7.700000000000002</v>
      </c>
      <c r="AL159">
        <f t="shared" si="96"/>
        <v>7.700000000000002</v>
      </c>
      <c r="AM159">
        <f t="shared" si="96"/>
        <v>7.700000000000002</v>
      </c>
      <c r="AN159">
        <f t="shared" si="96"/>
        <v>7.700000000000002</v>
      </c>
      <c r="AO159">
        <f t="shared" si="96"/>
        <v>7.700000000000002</v>
      </c>
      <c r="AP159">
        <f t="shared" si="96"/>
        <v>7.700000000000002</v>
      </c>
      <c r="AQ159">
        <f t="shared" si="96"/>
        <v>7.700000000000002</v>
      </c>
      <c r="AR159">
        <f t="shared" si="80"/>
        <v>7.700000000000002</v>
      </c>
    </row>
    <row r="160" spans="1:44" ht="12.75">
      <c r="A160" t="str">
        <f t="shared" si="89"/>
        <v>ANNUAL</v>
      </c>
      <c r="B160" t="s">
        <v>351</v>
      </c>
      <c r="D160" t="str">
        <f t="shared" si="90"/>
        <v>COST</v>
      </c>
      <c r="E160">
        <f t="shared" si="90"/>
        <v>2040</v>
      </c>
      <c r="F160" s="28" t="s">
        <v>312</v>
      </c>
      <c r="G160" s="28" t="s">
        <v>313</v>
      </c>
      <c r="H160">
        <f t="shared" si="97" ref="H160:AQ160">H151*1.1</f>
        <v>7.700000000000002</v>
      </c>
      <c r="I160">
        <f t="shared" si="97"/>
        <v>7.700000000000002</v>
      </c>
      <c r="J160">
        <f t="shared" si="97"/>
        <v>7.700000000000002</v>
      </c>
      <c r="K160">
        <f t="shared" si="97"/>
        <v>7.700000000000002</v>
      </c>
      <c r="L160">
        <f t="shared" si="97"/>
        <v>7.700000000000002</v>
      </c>
      <c r="M160">
        <f t="shared" si="97"/>
        <v>7.700000000000002</v>
      </c>
      <c r="N160">
        <f t="shared" si="97"/>
        <v>7.700000000000002</v>
      </c>
      <c r="O160">
        <f t="shared" si="97"/>
        <v>7.700000000000002</v>
      </c>
      <c r="P160">
        <f t="shared" si="97"/>
        <v>6.5450000000000008</v>
      </c>
      <c r="Q160">
        <f t="shared" si="97"/>
        <v>6.9300000000000015</v>
      </c>
      <c r="R160">
        <f t="shared" si="97"/>
        <v>7.700000000000002</v>
      </c>
      <c r="S160">
        <f t="shared" si="97"/>
        <v>7.700000000000002</v>
      </c>
      <c r="T160">
        <f t="shared" si="97"/>
        <v>7.700000000000002</v>
      </c>
      <c r="U160">
        <f t="shared" si="97"/>
        <v>7.700000000000002</v>
      </c>
      <c r="V160">
        <f t="shared" si="97"/>
        <v>6.9300000000000015</v>
      </c>
      <c r="W160">
        <f t="shared" si="97"/>
        <v>7.700000000000002</v>
      </c>
      <c r="X160">
        <f t="shared" si="97"/>
        <v>7.700000000000002</v>
      </c>
      <c r="Y160">
        <f t="shared" si="97"/>
        <v>7.700000000000002</v>
      </c>
      <c r="Z160">
        <f t="shared" si="97"/>
        <v>7.700000000000002</v>
      </c>
      <c r="AA160">
        <f t="shared" si="97"/>
        <v>7.700000000000002</v>
      </c>
      <c r="AB160">
        <f t="shared" si="97"/>
        <v>7.700000000000002</v>
      </c>
      <c r="AC160">
        <f t="shared" si="97"/>
        <v>7.700000000000002</v>
      </c>
      <c r="AD160">
        <f t="shared" si="97"/>
        <v>7.700000000000002</v>
      </c>
      <c r="AE160">
        <f t="shared" si="97"/>
        <v>7.700000000000002</v>
      </c>
      <c r="AF160">
        <f t="shared" si="97"/>
        <v>7.700000000000002</v>
      </c>
      <c r="AG160">
        <f t="shared" si="97"/>
        <v>7.700000000000002</v>
      </c>
      <c r="AH160">
        <f t="shared" si="97"/>
        <v>7.700000000000002</v>
      </c>
      <c r="AI160">
        <f t="shared" si="97"/>
        <v>7.700000000000002</v>
      </c>
      <c r="AJ160">
        <f t="shared" si="97"/>
        <v>7.700000000000002</v>
      </c>
      <c r="AK160">
        <f t="shared" si="97"/>
        <v>7.700000000000002</v>
      </c>
      <c r="AL160">
        <f t="shared" si="97"/>
        <v>7.700000000000002</v>
      </c>
      <c r="AM160">
        <f t="shared" si="97"/>
        <v>7.700000000000002</v>
      </c>
      <c r="AN160">
        <f t="shared" si="97"/>
        <v>7.700000000000002</v>
      </c>
      <c r="AO160">
        <f t="shared" si="97"/>
        <v>7.700000000000002</v>
      </c>
      <c r="AP160">
        <f t="shared" si="97"/>
        <v>7.700000000000002</v>
      </c>
      <c r="AQ160">
        <f t="shared" si="97"/>
        <v>7.700000000000002</v>
      </c>
      <c r="AR160">
        <f t="shared" si="80"/>
        <v>7.700000000000002</v>
      </c>
    </row>
    <row r="161" spans="1:44" ht="12.75">
      <c r="A161" t="str">
        <f t="shared" si="89"/>
        <v>ANNUAL</v>
      </c>
      <c r="B161" t="s">
        <v>351</v>
      </c>
      <c r="D161" t="str">
        <f t="shared" si="90"/>
        <v>COST</v>
      </c>
      <c r="E161">
        <f t="shared" si="90"/>
        <v>2045</v>
      </c>
      <c r="F161" s="28" t="s">
        <v>312</v>
      </c>
      <c r="G161" s="28" t="s">
        <v>313</v>
      </c>
      <c r="H161">
        <f t="shared" si="98" ref="H161:AQ161">H152*1.1</f>
        <v>7.700000000000002</v>
      </c>
      <c r="I161">
        <f t="shared" si="98"/>
        <v>7.700000000000002</v>
      </c>
      <c r="J161">
        <f t="shared" si="98"/>
        <v>7.700000000000002</v>
      </c>
      <c r="K161">
        <f t="shared" si="98"/>
        <v>7.700000000000002</v>
      </c>
      <c r="L161">
        <f t="shared" si="98"/>
        <v>7.700000000000002</v>
      </c>
      <c r="M161">
        <f t="shared" si="98"/>
        <v>7.700000000000002</v>
      </c>
      <c r="N161">
        <f t="shared" si="98"/>
        <v>7.700000000000002</v>
      </c>
      <c r="O161">
        <f t="shared" si="98"/>
        <v>7.700000000000002</v>
      </c>
      <c r="P161">
        <f t="shared" si="98"/>
        <v>6.5450000000000008</v>
      </c>
      <c r="Q161">
        <f t="shared" si="98"/>
        <v>6.9300000000000015</v>
      </c>
      <c r="R161">
        <f t="shared" si="98"/>
        <v>7.700000000000002</v>
      </c>
      <c r="S161">
        <f t="shared" si="98"/>
        <v>7.700000000000002</v>
      </c>
      <c r="T161">
        <f t="shared" si="98"/>
        <v>7.700000000000002</v>
      </c>
      <c r="U161">
        <f t="shared" si="98"/>
        <v>7.700000000000002</v>
      </c>
      <c r="V161">
        <f t="shared" si="98"/>
        <v>6.9300000000000015</v>
      </c>
      <c r="W161">
        <f t="shared" si="98"/>
        <v>7.700000000000002</v>
      </c>
      <c r="X161">
        <f t="shared" si="98"/>
        <v>7.700000000000002</v>
      </c>
      <c r="Y161">
        <f t="shared" si="98"/>
        <v>7.700000000000002</v>
      </c>
      <c r="Z161">
        <f t="shared" si="98"/>
        <v>7.700000000000002</v>
      </c>
      <c r="AA161">
        <f t="shared" si="98"/>
        <v>7.700000000000002</v>
      </c>
      <c r="AB161">
        <f t="shared" si="98"/>
        <v>7.700000000000002</v>
      </c>
      <c r="AC161">
        <f t="shared" si="98"/>
        <v>7.700000000000002</v>
      </c>
      <c r="AD161">
        <f t="shared" si="98"/>
        <v>7.700000000000002</v>
      </c>
      <c r="AE161">
        <f t="shared" si="98"/>
        <v>7.700000000000002</v>
      </c>
      <c r="AF161">
        <f t="shared" si="98"/>
        <v>7.700000000000002</v>
      </c>
      <c r="AG161">
        <f t="shared" si="98"/>
        <v>7.700000000000002</v>
      </c>
      <c r="AH161">
        <f t="shared" si="98"/>
        <v>7.700000000000002</v>
      </c>
      <c r="AI161">
        <f t="shared" si="98"/>
        <v>7.700000000000002</v>
      </c>
      <c r="AJ161">
        <f t="shared" si="98"/>
        <v>7.700000000000002</v>
      </c>
      <c r="AK161">
        <f t="shared" si="98"/>
        <v>7.700000000000002</v>
      </c>
      <c r="AL161">
        <f t="shared" si="98"/>
        <v>7.700000000000002</v>
      </c>
      <c r="AM161">
        <f t="shared" si="98"/>
        <v>7.700000000000002</v>
      </c>
      <c r="AN161">
        <f t="shared" si="98"/>
        <v>7.700000000000002</v>
      </c>
      <c r="AO161">
        <f t="shared" si="98"/>
        <v>7.700000000000002</v>
      </c>
      <c r="AP161">
        <f t="shared" si="98"/>
        <v>7.700000000000002</v>
      </c>
      <c r="AQ161">
        <f t="shared" si="98"/>
        <v>7.700000000000002</v>
      </c>
      <c r="AR161">
        <f t="shared" si="80"/>
        <v>7.700000000000002</v>
      </c>
    </row>
    <row r="162" spans="1:44" ht="12.75">
      <c r="A162" t="str">
        <f t="shared" si="89"/>
        <v>ANNUAL</v>
      </c>
      <c r="B162" t="s">
        <v>351</v>
      </c>
      <c r="D162" t="str">
        <f t="shared" si="90"/>
        <v>COST</v>
      </c>
      <c r="E162">
        <f t="shared" si="90"/>
        <v>2050</v>
      </c>
      <c r="F162" s="28" t="s">
        <v>312</v>
      </c>
      <c r="G162" s="28" t="s">
        <v>313</v>
      </c>
      <c r="H162">
        <f t="shared" si="99" ref="H162:AQ162">H153*1.1</f>
        <v>7.700000000000002</v>
      </c>
      <c r="I162">
        <f t="shared" si="99"/>
        <v>7.700000000000002</v>
      </c>
      <c r="J162">
        <f t="shared" si="99"/>
        <v>7.700000000000002</v>
      </c>
      <c r="K162">
        <f t="shared" si="99"/>
        <v>7.700000000000002</v>
      </c>
      <c r="L162">
        <f t="shared" si="99"/>
        <v>7.700000000000002</v>
      </c>
      <c r="M162">
        <f t="shared" si="99"/>
        <v>7.700000000000002</v>
      </c>
      <c r="N162">
        <f t="shared" si="99"/>
        <v>7.700000000000002</v>
      </c>
      <c r="O162">
        <f t="shared" si="99"/>
        <v>7.700000000000002</v>
      </c>
      <c r="P162">
        <f t="shared" si="99"/>
        <v>6.5450000000000008</v>
      </c>
      <c r="Q162">
        <f t="shared" si="99"/>
        <v>6.9300000000000015</v>
      </c>
      <c r="R162">
        <f t="shared" si="99"/>
        <v>7.700000000000002</v>
      </c>
      <c r="S162">
        <f t="shared" si="99"/>
        <v>7.700000000000002</v>
      </c>
      <c r="T162">
        <f t="shared" si="99"/>
        <v>7.700000000000002</v>
      </c>
      <c r="U162">
        <f t="shared" si="99"/>
        <v>7.700000000000002</v>
      </c>
      <c r="V162">
        <f t="shared" si="99"/>
        <v>6.9300000000000015</v>
      </c>
      <c r="W162">
        <f t="shared" si="99"/>
        <v>7.700000000000002</v>
      </c>
      <c r="X162">
        <f t="shared" si="99"/>
        <v>7.700000000000002</v>
      </c>
      <c r="Y162">
        <f t="shared" si="99"/>
        <v>7.700000000000002</v>
      </c>
      <c r="Z162">
        <f t="shared" si="99"/>
        <v>7.700000000000002</v>
      </c>
      <c r="AA162">
        <f t="shared" si="99"/>
        <v>7.700000000000002</v>
      </c>
      <c r="AB162">
        <f t="shared" si="99"/>
        <v>7.700000000000002</v>
      </c>
      <c r="AC162">
        <f t="shared" si="99"/>
        <v>7.700000000000002</v>
      </c>
      <c r="AD162">
        <f t="shared" si="99"/>
        <v>7.700000000000002</v>
      </c>
      <c r="AE162">
        <f t="shared" si="99"/>
        <v>7.700000000000002</v>
      </c>
      <c r="AF162">
        <f t="shared" si="99"/>
        <v>7.700000000000002</v>
      </c>
      <c r="AG162">
        <f t="shared" si="99"/>
        <v>7.700000000000002</v>
      </c>
      <c r="AH162">
        <f t="shared" si="99"/>
        <v>7.700000000000002</v>
      </c>
      <c r="AI162">
        <f t="shared" si="99"/>
        <v>7.700000000000002</v>
      </c>
      <c r="AJ162">
        <f t="shared" si="99"/>
        <v>7.700000000000002</v>
      </c>
      <c r="AK162">
        <f t="shared" si="99"/>
        <v>7.700000000000002</v>
      </c>
      <c r="AL162">
        <f t="shared" si="99"/>
        <v>7.700000000000002</v>
      </c>
      <c r="AM162">
        <f t="shared" si="99"/>
        <v>7.700000000000002</v>
      </c>
      <c r="AN162">
        <f t="shared" si="99"/>
        <v>7.700000000000002</v>
      </c>
      <c r="AO162">
        <f t="shared" si="99"/>
        <v>7.700000000000002</v>
      </c>
      <c r="AP162">
        <f t="shared" si="99"/>
        <v>7.700000000000002</v>
      </c>
      <c r="AQ162">
        <f t="shared" si="99"/>
        <v>7.700000000000002</v>
      </c>
      <c r="AR162">
        <f t="shared" si="80"/>
        <v>7.700000000000002</v>
      </c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U244"/>
  <sheetViews>
    <sheetView workbookViewId="0" topLeftCell="A73">
      <selection pane="topLeft" activeCell="H16" sqref="H16"/>
    </sheetView>
  </sheetViews>
  <sheetFormatPr defaultRowHeight="12.75"/>
  <cols>
    <col min="6" max="6" width="11" customWidth="1"/>
    <col min="9" max="9" width="14.1428571428571" customWidth="1"/>
  </cols>
  <sheetData>
    <row r="2" spans="2:37" ht="15">
      <c r="B2" s="79" t="s">
        <v>271</v>
      </c>
      <c r="C2" s="79"/>
      <c r="D2" s="79"/>
      <c r="E2" s="79"/>
      <c r="F2" s="79"/>
      <c r="G2" s="79"/>
      <c r="H2" s="79"/>
      <c r="I2" s="79"/>
      <c r="J2" s="79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</row>
    <row r="3" spans="2:47" ht="15.75" thickBot="1">
      <c r="B3" s="81" t="s">
        <v>272</v>
      </c>
      <c r="C3" s="81" t="s">
        <v>273</v>
      </c>
      <c r="D3" s="82" t="s">
        <v>240</v>
      </c>
      <c r="E3" s="82" t="s">
        <v>241</v>
      </c>
      <c r="F3" s="82" t="s">
        <v>242</v>
      </c>
      <c r="G3" s="82" t="s">
        <v>243</v>
      </c>
      <c r="H3" s="82" t="s">
        <v>274</v>
      </c>
      <c r="I3" s="83" t="s">
        <v>245</v>
      </c>
      <c r="J3" s="84" t="s">
        <v>239</v>
      </c>
      <c r="K3" s="83" t="s">
        <v>47</v>
      </c>
      <c r="L3" s="83" t="s">
        <v>48</v>
      </c>
      <c r="M3" s="83" t="s">
        <v>256</v>
      </c>
      <c r="N3" s="83" t="s">
        <v>144</v>
      </c>
      <c r="O3" s="83" t="s">
        <v>145</v>
      </c>
      <c r="P3" s="83" t="s">
        <v>254</v>
      </c>
      <c r="Q3" s="83" t="s">
        <v>49</v>
      </c>
      <c r="R3" s="83" t="s">
        <v>249</v>
      </c>
      <c r="S3" s="83" t="s">
        <v>146</v>
      </c>
      <c r="T3" s="83" t="s">
        <v>57</v>
      </c>
      <c r="U3" s="83" t="s">
        <v>51</v>
      </c>
      <c r="V3" s="83" t="s">
        <v>52</v>
      </c>
      <c r="W3" s="83" t="s">
        <v>354</v>
      </c>
      <c r="X3" s="83" t="s">
        <v>252</v>
      </c>
      <c r="Y3" s="83" t="s">
        <v>53</v>
      </c>
      <c r="Z3" s="83" t="s">
        <v>147</v>
      </c>
      <c r="AA3" s="83" t="s">
        <v>54</v>
      </c>
      <c r="AB3" s="83" t="s">
        <v>148</v>
      </c>
      <c r="AC3" s="83" t="s">
        <v>149</v>
      </c>
      <c r="AD3" s="83" t="s">
        <v>150</v>
      </c>
      <c r="AE3" s="83" t="s">
        <v>151</v>
      </c>
      <c r="AF3" s="83" t="s">
        <v>55</v>
      </c>
      <c r="AG3" s="83" t="s">
        <v>164</v>
      </c>
      <c r="AH3" s="83" t="s">
        <v>253</v>
      </c>
      <c r="AI3" s="83" t="s">
        <v>56</v>
      </c>
      <c r="AJ3" s="83" t="s">
        <v>152</v>
      </c>
      <c r="AK3" s="83" t="s">
        <v>250</v>
      </c>
      <c r="AL3" s="83" t="s">
        <v>153</v>
      </c>
      <c r="AM3" s="83" t="s">
        <v>255</v>
      </c>
      <c r="AN3" s="83" t="s">
        <v>251</v>
      </c>
      <c r="AO3" s="76" t="s">
        <v>306</v>
      </c>
      <c r="AP3" s="76" t="s">
        <v>346</v>
      </c>
      <c r="AQ3" s="76" t="s">
        <v>308</v>
      </c>
      <c r="AR3" s="76" t="s">
        <v>347</v>
      </c>
      <c r="AS3" s="76" t="s">
        <v>309</v>
      </c>
      <c r="AT3" s="76" t="s">
        <v>310</v>
      </c>
      <c r="AU3" s="76" t="s">
        <v>311</v>
      </c>
    </row>
    <row r="4" spans="2:47" ht="12.75">
      <c r="B4" t="s">
        <v>275</v>
      </c>
      <c r="C4" s="1" t="s">
        <v>276</v>
      </c>
      <c r="F4" t="s">
        <v>154</v>
      </c>
      <c r="I4" s="85" t="s">
        <v>278</v>
      </c>
      <c r="K4" s="88"/>
      <c r="L4" s="88"/>
      <c r="M4" s="89">
        <v>1.8500000000000001</v>
      </c>
      <c r="N4" s="88"/>
      <c r="O4" s="88"/>
      <c r="P4" s="89">
        <v>1.39775</v>
      </c>
      <c r="Q4" s="89">
        <v>1.8500000000000001</v>
      </c>
      <c r="R4" s="88"/>
      <c r="S4" s="88"/>
      <c r="T4" s="89">
        <v>1.8500000000000001</v>
      </c>
      <c r="U4" s="88"/>
      <c r="V4" s="89">
        <v>2.6449500000000001</v>
      </c>
      <c r="W4" s="88"/>
      <c r="X4" s="89">
        <v>2.6449500000000001</v>
      </c>
      <c r="Y4" s="88"/>
      <c r="Z4" s="89">
        <v>1.2</v>
      </c>
      <c r="AA4" s="89">
        <v>1.8500000000000001</v>
      </c>
      <c r="AB4" s="88"/>
      <c r="AC4" s="88"/>
      <c r="AD4" s="88"/>
      <c r="AE4" s="88"/>
      <c r="AF4" s="88"/>
      <c r="AG4" s="88"/>
      <c r="AH4" s="89">
        <v>1.39775</v>
      </c>
      <c r="AI4" s="88"/>
      <c r="AJ4" s="89">
        <v>1.39775</v>
      </c>
      <c r="AK4" s="88"/>
      <c r="AL4" s="89">
        <v>1.8500000000000001</v>
      </c>
      <c r="AM4" s="88"/>
      <c r="AN4" s="89">
        <v>1.365</v>
      </c>
      <c r="AO4" s="88"/>
      <c r="AP4" s="88"/>
      <c r="AQ4" s="88"/>
      <c r="AR4" s="88"/>
      <c r="AS4" s="88"/>
      <c r="AT4" s="88"/>
      <c r="AU4" s="89">
        <v>1.8500000000000001</v>
      </c>
    </row>
    <row r="5" spans="2:47" ht="12.75">
      <c r="B5" t="s">
        <v>275</v>
      </c>
      <c r="C5" s="1" t="s">
        <v>276</v>
      </c>
      <c r="F5" t="s">
        <v>154</v>
      </c>
      <c r="I5" s="85" t="s">
        <v>281</v>
      </c>
      <c r="K5" s="88"/>
      <c r="L5" s="88"/>
      <c r="M5" s="88"/>
      <c r="N5" s="88"/>
      <c r="O5" s="88"/>
      <c r="P5" s="89">
        <v>1.8500000000000001</v>
      </c>
      <c r="Q5" s="89">
        <v>2.6449500000000001</v>
      </c>
      <c r="R5" s="88"/>
      <c r="S5" s="88"/>
      <c r="T5" s="89">
        <v>2.7749999999999999</v>
      </c>
      <c r="U5" s="88"/>
      <c r="V5" s="88"/>
      <c r="W5" s="88"/>
      <c r="X5" s="88"/>
      <c r="Y5" s="88"/>
      <c r="Z5" s="88"/>
      <c r="AA5" s="89">
        <v>2.6449500000000001</v>
      </c>
      <c r="AB5" s="88"/>
      <c r="AC5" s="88"/>
      <c r="AD5" s="88"/>
      <c r="AE5" s="88"/>
      <c r="AF5" s="88"/>
      <c r="AG5" s="89">
        <v>1.39775</v>
      </c>
      <c r="AH5" s="89">
        <v>1.8500000000000001</v>
      </c>
      <c r="AI5" s="88"/>
      <c r="AJ5" s="89">
        <v>1.39775</v>
      </c>
      <c r="AK5" s="88"/>
      <c r="AL5" s="89">
        <v>2.6449500000000001</v>
      </c>
      <c r="AM5" s="88"/>
      <c r="AN5" s="89">
        <v>1.39775</v>
      </c>
      <c r="AO5" s="88"/>
      <c r="AP5" s="88"/>
      <c r="AQ5" s="88"/>
      <c r="AR5" s="88"/>
      <c r="AS5" s="88"/>
      <c r="AT5" s="88"/>
      <c r="AU5" s="88"/>
    </row>
    <row r="6" spans="2:47" ht="12.75">
      <c r="B6" t="s">
        <v>275</v>
      </c>
      <c r="C6" s="90" t="s">
        <v>276</v>
      </c>
      <c r="F6" t="s">
        <v>154</v>
      </c>
      <c r="I6" s="85" t="s">
        <v>288</v>
      </c>
      <c r="K6" s="88"/>
      <c r="L6" s="88"/>
      <c r="M6" s="88"/>
      <c r="N6" s="88"/>
      <c r="O6" s="88"/>
      <c r="P6" s="88"/>
      <c r="Q6" s="88"/>
      <c r="R6" s="88"/>
      <c r="S6" s="88"/>
      <c r="T6" s="88">
        <v>2.6449500000000001</v>
      </c>
      <c r="U6" s="88"/>
      <c r="V6" s="88"/>
      <c r="W6" s="88"/>
      <c r="X6" s="88"/>
      <c r="Y6" s="88"/>
      <c r="Z6" s="88"/>
      <c r="AA6" s="88">
        <v>2.6449500000000001</v>
      </c>
      <c r="AB6" s="88"/>
      <c r="AC6" s="88"/>
      <c r="AD6" s="88"/>
      <c r="AE6" s="88"/>
      <c r="AF6" s="88"/>
      <c r="AG6" s="88"/>
      <c r="AH6" s="88"/>
      <c r="AI6" s="88"/>
      <c r="AJ6" s="88">
        <v>1.8500000000000001</v>
      </c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</row>
    <row r="7" spans="2:47" ht="12.75">
      <c r="B7" t="s">
        <v>275</v>
      </c>
      <c r="C7" s="1" t="s">
        <v>276</v>
      </c>
      <c r="F7" t="s">
        <v>154</v>
      </c>
      <c r="I7" s="85" t="s">
        <v>277</v>
      </c>
      <c r="K7" s="89">
        <v>1.097</v>
      </c>
      <c r="L7" s="88"/>
      <c r="M7" s="89">
        <v>1.2986500000000001</v>
      </c>
      <c r="N7" s="88"/>
      <c r="O7" s="88"/>
      <c r="P7" s="89">
        <v>1.097</v>
      </c>
      <c r="Q7" s="89">
        <v>1.22</v>
      </c>
      <c r="R7" s="88"/>
      <c r="S7" s="89">
        <v>1.097</v>
      </c>
      <c r="T7" s="89">
        <v>1.5</v>
      </c>
      <c r="U7" s="89">
        <v>0.99399999999999999</v>
      </c>
      <c r="V7" s="88"/>
      <c r="W7" s="89">
        <v>1.5</v>
      </c>
      <c r="X7" s="89">
        <v>1.2</v>
      </c>
      <c r="Y7" s="89">
        <v>1.097</v>
      </c>
      <c r="Z7" s="88"/>
      <c r="AA7" s="89">
        <v>1.22</v>
      </c>
      <c r="AB7" s="89">
        <v>1.097</v>
      </c>
      <c r="AC7" s="88"/>
      <c r="AD7" s="89">
        <v>1.097</v>
      </c>
      <c r="AE7" s="88"/>
      <c r="AF7" s="88"/>
      <c r="AG7" s="88"/>
      <c r="AH7" s="89">
        <v>1.097</v>
      </c>
      <c r="AI7" s="88"/>
      <c r="AJ7" s="89">
        <v>1.097</v>
      </c>
      <c r="AK7" s="89">
        <v>1.22</v>
      </c>
      <c r="AL7" s="89">
        <v>1.22</v>
      </c>
      <c r="AM7" s="89">
        <v>1.22</v>
      </c>
      <c r="AN7" s="88"/>
      <c r="AO7" s="89">
        <v>1.22</v>
      </c>
      <c r="AP7" s="89">
        <v>1.22</v>
      </c>
      <c r="AQ7" s="88"/>
      <c r="AR7" s="89">
        <v>1.22</v>
      </c>
      <c r="AS7" s="89">
        <v>1.22</v>
      </c>
      <c r="AT7" s="89">
        <v>1.22</v>
      </c>
      <c r="AU7" s="89">
        <v>1.22</v>
      </c>
    </row>
    <row r="8" spans="2:47" ht="12.75">
      <c r="B8" t="s">
        <v>275</v>
      </c>
      <c r="C8" s="1" t="s">
        <v>276</v>
      </c>
      <c r="F8" t="s">
        <v>154</v>
      </c>
      <c r="I8" s="85" t="s">
        <v>284</v>
      </c>
      <c r="K8" s="88"/>
      <c r="L8" s="88"/>
      <c r="M8" s="88"/>
      <c r="N8" s="88"/>
      <c r="O8" s="88"/>
      <c r="P8" s="89">
        <v>1.22</v>
      </c>
      <c r="Q8" s="89">
        <v>1.5</v>
      </c>
      <c r="R8" s="88"/>
      <c r="S8" s="89">
        <v>1.22</v>
      </c>
      <c r="T8" s="89">
        <v>2.25</v>
      </c>
      <c r="U8" s="89">
        <v>0.99399999999999999</v>
      </c>
      <c r="V8" s="88"/>
      <c r="W8" s="89">
        <v>1.5</v>
      </c>
      <c r="X8" s="88"/>
      <c r="Y8" s="89">
        <v>1.097</v>
      </c>
      <c r="Z8" s="88"/>
      <c r="AA8" s="89">
        <v>1.5</v>
      </c>
      <c r="AB8" s="88"/>
      <c r="AC8" s="88"/>
      <c r="AD8" s="88"/>
      <c r="AE8" s="88"/>
      <c r="AF8" s="88"/>
      <c r="AG8" s="88"/>
      <c r="AH8" s="89">
        <v>1.22</v>
      </c>
      <c r="AI8" s="88"/>
      <c r="AJ8" s="89">
        <v>1.22</v>
      </c>
      <c r="AK8" s="88"/>
      <c r="AL8" s="89">
        <v>1.4973000000000001</v>
      </c>
      <c r="AM8" s="88"/>
      <c r="AN8" s="88"/>
      <c r="AO8" s="88"/>
      <c r="AP8" s="89">
        <v>1.5</v>
      </c>
      <c r="AQ8" s="88"/>
      <c r="AR8" s="88"/>
      <c r="AS8" s="88"/>
      <c r="AT8" s="88"/>
      <c r="AU8" s="88"/>
    </row>
    <row r="9" spans="2:47" ht="12.75">
      <c r="B9" t="s">
        <v>275</v>
      </c>
      <c r="C9" s="1" t="s">
        <v>276</v>
      </c>
      <c r="F9" t="s">
        <v>154</v>
      </c>
      <c r="I9" s="85" t="s">
        <v>285</v>
      </c>
      <c r="K9" s="88"/>
      <c r="L9" s="88"/>
      <c r="M9" s="88"/>
      <c r="N9" s="88"/>
      <c r="O9" s="88"/>
      <c r="P9" s="88"/>
      <c r="Q9" s="88"/>
      <c r="R9" s="88"/>
      <c r="S9" s="89">
        <v>1.22</v>
      </c>
      <c r="T9" s="89">
        <v>1.5</v>
      </c>
      <c r="U9" s="89">
        <v>1.22</v>
      </c>
      <c r="V9" s="88"/>
      <c r="W9" s="88"/>
      <c r="X9" s="88"/>
      <c r="Y9" s="88"/>
      <c r="Z9" s="88"/>
      <c r="AA9" s="89">
        <v>1.5</v>
      </c>
      <c r="AB9" s="88"/>
      <c r="AC9" s="88"/>
      <c r="AD9" s="88"/>
      <c r="AE9" s="88"/>
      <c r="AF9" s="88"/>
      <c r="AG9" s="88"/>
      <c r="AH9" s="88"/>
      <c r="AI9" s="88"/>
      <c r="AJ9" s="89">
        <v>1.22</v>
      </c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</row>
    <row r="10" spans="2:47" ht="12.75">
      <c r="B10" t="s">
        <v>275</v>
      </c>
      <c r="C10" s="98" t="s">
        <v>276</v>
      </c>
      <c r="F10" t="s">
        <v>154</v>
      </c>
      <c r="I10" s="85" t="s">
        <v>279</v>
      </c>
      <c r="K10" s="89">
        <v>1.825</v>
      </c>
      <c r="L10" s="88"/>
      <c r="M10" s="89">
        <v>1.825</v>
      </c>
      <c r="N10" s="88"/>
      <c r="O10" s="88"/>
      <c r="P10" s="89">
        <v>1.825</v>
      </c>
      <c r="Q10" s="89">
        <v>1.825</v>
      </c>
      <c r="R10" s="89">
        <v>1.05041660586576</v>
      </c>
      <c r="S10" s="88"/>
      <c r="T10" s="89">
        <v>1.825</v>
      </c>
      <c r="U10" s="88"/>
      <c r="V10" s="89">
        <v>1.825</v>
      </c>
      <c r="W10" s="89">
        <v>2.6000000000000001</v>
      </c>
      <c r="X10" s="89">
        <v>1.825</v>
      </c>
      <c r="Y10" s="89">
        <v>1.05041660586576</v>
      </c>
      <c r="Z10" s="88"/>
      <c r="AA10" s="88"/>
      <c r="AB10" s="88"/>
      <c r="AC10" s="88"/>
      <c r="AD10" s="88"/>
      <c r="AE10" s="88"/>
      <c r="AF10" s="89">
        <v>1.05041660586576</v>
      </c>
      <c r="AG10" s="89">
        <v>1.05041660586576</v>
      </c>
      <c r="AH10" s="89">
        <v>1.825</v>
      </c>
      <c r="AI10" s="89">
        <v>1.825</v>
      </c>
      <c r="AJ10" s="89">
        <v>1.825</v>
      </c>
      <c r="AK10" s="89">
        <v>1.825</v>
      </c>
      <c r="AL10" s="88"/>
      <c r="AM10" s="89">
        <v>1.825</v>
      </c>
      <c r="AN10" s="89">
        <v>1.05041660586576</v>
      </c>
      <c r="AO10" s="89">
        <v>1.825</v>
      </c>
      <c r="AP10" s="88"/>
      <c r="AQ10" s="89">
        <v>1.825</v>
      </c>
      <c r="AR10" s="88"/>
      <c r="AS10" s="88"/>
      <c r="AT10" s="88"/>
      <c r="AU10" s="89">
        <v>1.825</v>
      </c>
    </row>
    <row r="11" spans="2:47" ht="12.75">
      <c r="B11" t="s">
        <v>275</v>
      </c>
      <c r="C11" s="90" t="s">
        <v>276</v>
      </c>
      <c r="F11" t="s">
        <v>355</v>
      </c>
      <c r="I11" s="85" t="s">
        <v>289</v>
      </c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</row>
    <row r="12" spans="2:47" ht="12.75">
      <c r="B12" t="s">
        <v>275</v>
      </c>
      <c r="C12" s="90" t="s">
        <v>276</v>
      </c>
      <c r="F12" t="s">
        <v>355</v>
      </c>
      <c r="I12" s="85" t="s">
        <v>282</v>
      </c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</row>
    <row r="13" spans="2:47" ht="12.75">
      <c r="B13" t="s">
        <v>275</v>
      </c>
      <c r="C13" s="98" t="s">
        <v>276</v>
      </c>
      <c r="F13" t="s">
        <v>154</v>
      </c>
      <c r="I13" s="85" t="s">
        <v>290</v>
      </c>
      <c r="K13" s="89">
        <v>2.6000000000000001</v>
      </c>
      <c r="L13" s="88"/>
      <c r="M13" s="89">
        <v>2.6000000000000001</v>
      </c>
      <c r="N13" s="88"/>
      <c r="O13" s="88"/>
      <c r="P13" s="89">
        <v>2.6000000000000001</v>
      </c>
      <c r="Q13" s="89">
        <v>2.6000000000000001</v>
      </c>
      <c r="R13" s="89">
        <v>1.825</v>
      </c>
      <c r="S13" s="88"/>
      <c r="T13" s="89">
        <v>2.6000000000000001</v>
      </c>
      <c r="U13" s="88"/>
      <c r="V13" s="89">
        <v>2.6000000000000001</v>
      </c>
      <c r="W13" s="89">
        <v>2.6000000000000001</v>
      </c>
      <c r="X13" s="89">
        <v>2.6000000000000001</v>
      </c>
      <c r="Y13" s="89">
        <v>1.87174962305797</v>
      </c>
      <c r="Z13" s="88"/>
      <c r="AA13" s="88"/>
      <c r="AB13" s="88"/>
      <c r="AC13" s="88"/>
      <c r="AD13" s="88"/>
      <c r="AE13" s="88"/>
      <c r="AF13" s="89">
        <v>1.05041660586576</v>
      </c>
      <c r="AG13" s="89">
        <v>1.05041660586576</v>
      </c>
      <c r="AH13" s="89">
        <v>2.6000000000000001</v>
      </c>
      <c r="AI13" s="89">
        <v>1.825</v>
      </c>
      <c r="AJ13" s="89">
        <v>2.6000000000000001</v>
      </c>
      <c r="AK13" s="89">
        <v>1.825</v>
      </c>
      <c r="AL13" s="88"/>
      <c r="AM13" s="89">
        <v>2.6000000000000001</v>
      </c>
      <c r="AN13" s="89">
        <v>1.825</v>
      </c>
      <c r="AO13" s="88"/>
      <c r="AP13" s="88"/>
      <c r="AQ13" s="88"/>
      <c r="AR13" s="88"/>
      <c r="AS13" s="88"/>
      <c r="AT13" s="88"/>
      <c r="AU13" s="88"/>
    </row>
    <row r="14" spans="2:47" ht="12.75">
      <c r="B14" t="s">
        <v>275</v>
      </c>
      <c r="C14" s="90" t="s">
        <v>276</v>
      </c>
      <c r="F14" t="s">
        <v>355</v>
      </c>
      <c r="I14" s="85" t="s">
        <v>291</v>
      </c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</row>
    <row r="15" spans="2:47" ht="12.75">
      <c r="B15" t="s">
        <v>275</v>
      </c>
      <c r="C15" s="90" t="s">
        <v>276</v>
      </c>
      <c r="F15" t="s">
        <v>355</v>
      </c>
      <c r="I15" s="85" t="s">
        <v>292</v>
      </c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</row>
    <row r="16" spans="2:47" ht="12.75">
      <c r="B16" t="s">
        <v>275</v>
      </c>
      <c r="C16" s="98" t="s">
        <v>276</v>
      </c>
      <c r="F16" t="s">
        <v>154</v>
      </c>
      <c r="I16" s="85" t="s">
        <v>293</v>
      </c>
      <c r="K16" s="89">
        <v>2.6000000000000001</v>
      </c>
      <c r="L16" s="88"/>
      <c r="M16" s="88"/>
      <c r="N16" s="88"/>
      <c r="O16" s="88"/>
      <c r="P16" s="89">
        <v>2.6000000000000001</v>
      </c>
      <c r="Q16" s="89">
        <v>2.6000000000000001</v>
      </c>
      <c r="R16" s="89">
        <v>1.825</v>
      </c>
      <c r="S16" s="88"/>
      <c r="T16" s="89">
        <v>2.6000000000000001</v>
      </c>
      <c r="U16" s="88"/>
      <c r="V16" s="89">
        <v>2.6000000000000001</v>
      </c>
      <c r="W16" s="88"/>
      <c r="X16" s="89">
        <v>2.6000000000000001</v>
      </c>
      <c r="Y16" s="88"/>
      <c r="Z16" s="88"/>
      <c r="AA16" s="88"/>
      <c r="AB16" s="88"/>
      <c r="AC16" s="88"/>
      <c r="AD16" s="88"/>
      <c r="AE16" s="88"/>
      <c r="AF16" s="89">
        <v>1.825</v>
      </c>
      <c r="AG16" s="89">
        <v>1.05041660586576</v>
      </c>
      <c r="AH16" s="89">
        <v>2.6000000000000001</v>
      </c>
      <c r="AI16" s="88"/>
      <c r="AJ16" s="89">
        <v>2.6000000000000001</v>
      </c>
      <c r="AK16" s="88"/>
      <c r="AL16" s="89">
        <v>1.825</v>
      </c>
      <c r="AM16" s="88"/>
      <c r="AN16" s="89">
        <v>1.825</v>
      </c>
      <c r="AO16" s="88"/>
      <c r="AP16" s="88"/>
      <c r="AQ16" s="88"/>
      <c r="AR16" s="88"/>
      <c r="AS16" s="88"/>
      <c r="AT16" s="88"/>
      <c r="AU16" s="88"/>
    </row>
    <row r="17" spans="2:47" ht="12.75">
      <c r="B17" t="s">
        <v>275</v>
      </c>
      <c r="C17" s="90" t="s">
        <v>276</v>
      </c>
      <c r="F17" t="s">
        <v>355</v>
      </c>
      <c r="I17" s="85" t="s">
        <v>294</v>
      </c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</row>
    <row r="18" spans="2:47" ht="12.75">
      <c r="B18" t="s">
        <v>275</v>
      </c>
      <c r="C18" s="90" t="s">
        <v>276</v>
      </c>
      <c r="F18" t="s">
        <v>355</v>
      </c>
      <c r="I18" s="85" t="s">
        <v>295</v>
      </c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</row>
    <row r="19" spans="2:47" ht="12.75">
      <c r="B19" t="s">
        <v>275</v>
      </c>
      <c r="C19" s="98" t="s">
        <v>276</v>
      </c>
      <c r="F19" t="s">
        <v>154</v>
      </c>
      <c r="I19" s="85" t="s">
        <v>280</v>
      </c>
      <c r="K19" s="89">
        <v>3</v>
      </c>
      <c r="L19" s="88"/>
      <c r="M19" s="89">
        <v>1.80467787139338</v>
      </c>
      <c r="N19" s="88"/>
      <c r="O19" s="88"/>
      <c r="P19" s="89">
        <v>3</v>
      </c>
      <c r="Q19" s="89">
        <v>3</v>
      </c>
      <c r="R19" s="89">
        <v>1.80467787139338</v>
      </c>
      <c r="S19" s="88"/>
      <c r="T19" s="89">
        <v>3</v>
      </c>
      <c r="U19" s="88"/>
      <c r="V19" s="89">
        <v>3</v>
      </c>
      <c r="W19" s="89">
        <v>3</v>
      </c>
      <c r="X19" s="89">
        <v>3</v>
      </c>
      <c r="Y19" s="88"/>
      <c r="Z19" s="88"/>
      <c r="AA19" s="88"/>
      <c r="AB19" s="89">
        <v>3</v>
      </c>
      <c r="AC19" s="88"/>
      <c r="AD19" s="88"/>
      <c r="AE19" s="88"/>
      <c r="AF19" s="89">
        <v>1.80467787139338</v>
      </c>
      <c r="AG19" s="89">
        <v>1.80467787139338</v>
      </c>
      <c r="AH19" s="89">
        <v>3</v>
      </c>
      <c r="AI19" s="88"/>
      <c r="AJ19" s="89">
        <v>3</v>
      </c>
      <c r="AK19" s="88"/>
      <c r="AL19" s="88"/>
      <c r="AM19" s="89">
        <v>3</v>
      </c>
      <c r="AN19" s="89">
        <v>1.80467787139338</v>
      </c>
      <c r="AO19" s="89">
        <v>3</v>
      </c>
      <c r="AP19" s="88"/>
      <c r="AQ19" s="89">
        <v>3</v>
      </c>
      <c r="AR19" s="88"/>
      <c r="AS19" s="88"/>
      <c r="AT19" s="88"/>
      <c r="AU19" s="89">
        <v>3</v>
      </c>
    </row>
    <row r="20" spans="2:47" ht="12.75">
      <c r="B20" t="s">
        <v>275</v>
      </c>
      <c r="C20" s="98" t="s">
        <v>276</v>
      </c>
      <c r="F20" t="s">
        <v>154</v>
      </c>
      <c r="I20" s="85" t="s">
        <v>296</v>
      </c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9">
        <v>3</v>
      </c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</row>
    <row r="21" spans="2:47" ht="12.75">
      <c r="B21" t="s">
        <v>275</v>
      </c>
      <c r="C21" s="90" t="s">
        <v>276</v>
      </c>
      <c r="F21" t="s">
        <v>355</v>
      </c>
      <c r="I21" s="85" t="s">
        <v>283</v>
      </c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</row>
    <row r="22" spans="2:47" ht="12.75">
      <c r="B22" t="s">
        <v>275</v>
      </c>
      <c r="C22" s="98" t="s">
        <v>276</v>
      </c>
      <c r="F22" t="s">
        <v>154</v>
      </c>
      <c r="I22" s="85" t="s">
        <v>286</v>
      </c>
      <c r="K22" s="89">
        <v>3</v>
      </c>
      <c r="L22" s="88"/>
      <c r="M22" s="89">
        <v>3</v>
      </c>
      <c r="N22" s="88"/>
      <c r="O22" s="88"/>
      <c r="P22" s="89">
        <v>3</v>
      </c>
      <c r="Q22" s="89">
        <v>3</v>
      </c>
      <c r="R22" s="89">
        <v>3</v>
      </c>
      <c r="S22" s="88"/>
      <c r="T22" s="89">
        <v>4.5</v>
      </c>
      <c r="U22" s="88"/>
      <c r="V22" s="89">
        <v>3.2999999999999998</v>
      </c>
      <c r="W22" s="89">
        <v>3.2999999999999998</v>
      </c>
      <c r="X22" s="89">
        <v>3.2999999999999998</v>
      </c>
      <c r="Y22" s="88"/>
      <c r="Z22" s="88"/>
      <c r="AA22" s="88"/>
      <c r="AB22" s="88"/>
      <c r="AC22" s="88"/>
      <c r="AD22" s="88"/>
      <c r="AE22" s="88"/>
      <c r="AF22" s="89">
        <v>2.70701680709008</v>
      </c>
      <c r="AG22" s="89">
        <v>2.70701680709008</v>
      </c>
      <c r="AH22" s="89">
        <v>3</v>
      </c>
      <c r="AI22" s="88"/>
      <c r="AJ22" s="89">
        <v>4.5</v>
      </c>
      <c r="AK22" s="88"/>
      <c r="AL22" s="88"/>
      <c r="AM22" s="89">
        <v>3</v>
      </c>
      <c r="AN22" s="89">
        <v>2.70701680709008</v>
      </c>
      <c r="AO22" s="88"/>
      <c r="AP22" s="88"/>
      <c r="AQ22" s="88"/>
      <c r="AR22" s="88"/>
      <c r="AS22" s="88"/>
      <c r="AT22" s="88"/>
      <c r="AU22" s="88"/>
    </row>
    <row r="23" spans="2:47" ht="12.75">
      <c r="B23" t="s">
        <v>275</v>
      </c>
      <c r="C23" s="90" t="s">
        <v>276</v>
      </c>
      <c r="F23" t="s">
        <v>355</v>
      </c>
      <c r="I23" s="85" t="s">
        <v>297</v>
      </c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</row>
    <row r="24" spans="2:47" ht="12.75">
      <c r="B24" t="s">
        <v>275</v>
      </c>
      <c r="C24" s="90" t="s">
        <v>276</v>
      </c>
      <c r="F24" t="s">
        <v>355</v>
      </c>
      <c r="I24" s="85" t="s">
        <v>298</v>
      </c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</row>
    <row r="25" spans="2:47" ht="12.75">
      <c r="B25" t="s">
        <v>275</v>
      </c>
      <c r="C25" s="98" t="s">
        <v>276</v>
      </c>
      <c r="F25" t="s">
        <v>154</v>
      </c>
      <c r="I25" s="85" t="s">
        <v>287</v>
      </c>
      <c r="K25" s="88"/>
      <c r="L25" s="88"/>
      <c r="M25" s="89">
        <v>3.2999999999999998</v>
      </c>
      <c r="N25" s="88"/>
      <c r="O25" s="88"/>
      <c r="P25" s="89">
        <v>3.2999999999999998</v>
      </c>
      <c r="Q25" s="89">
        <v>3.2999999999999998</v>
      </c>
      <c r="R25" s="89">
        <v>3</v>
      </c>
      <c r="S25" s="88"/>
      <c r="T25" s="89">
        <v>5.25</v>
      </c>
      <c r="U25" s="88"/>
      <c r="V25" s="89">
        <v>3.2999999999999998</v>
      </c>
      <c r="W25" s="88"/>
      <c r="X25" s="89">
        <v>3.2999999999999998</v>
      </c>
      <c r="Y25" s="88"/>
      <c r="Z25" s="88"/>
      <c r="AA25" s="88"/>
      <c r="AB25" s="88"/>
      <c r="AC25" s="88"/>
      <c r="AD25" s="88"/>
      <c r="AE25" s="88"/>
      <c r="AF25" s="89">
        <v>3.1581862749384202</v>
      </c>
      <c r="AG25" s="89">
        <v>3.1581862749384202</v>
      </c>
      <c r="AH25" s="89">
        <v>3</v>
      </c>
      <c r="AI25" s="88"/>
      <c r="AJ25" s="89">
        <v>5.25</v>
      </c>
      <c r="AK25" s="88"/>
      <c r="AL25" s="88"/>
      <c r="AM25" s="89">
        <v>3.2999999999999998</v>
      </c>
      <c r="AN25" s="89">
        <v>3.1581862749384202</v>
      </c>
      <c r="AO25" s="88"/>
      <c r="AP25" s="88"/>
      <c r="AQ25" s="88"/>
      <c r="AR25" s="88"/>
      <c r="AS25" s="88"/>
      <c r="AT25" s="88"/>
      <c r="AU25" s="88"/>
    </row>
    <row r="26" spans="2:47" ht="12.75">
      <c r="B26" t="s">
        <v>275</v>
      </c>
      <c r="C26" s="90" t="s">
        <v>276</v>
      </c>
      <c r="F26" t="s">
        <v>355</v>
      </c>
      <c r="I26" s="85" t="s">
        <v>299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</row>
    <row r="27" spans="2:47" ht="12.75">
      <c r="B27" t="s">
        <v>275</v>
      </c>
      <c r="C27" s="90" t="s">
        <v>276</v>
      </c>
      <c r="F27" t="s">
        <v>355</v>
      </c>
      <c r="I27" s="85" t="s">
        <v>300</v>
      </c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</row>
    <row r="31" spans="1:1" ht="12.75">
      <c r="A31" t="s">
        <v>302</v>
      </c>
    </row>
    <row r="32" spans="2:3" ht="12.75">
      <c r="B32" t="s">
        <v>111</v>
      </c>
      <c r="C32" t="s">
        <v>303</v>
      </c>
    </row>
    <row r="33" spans="1:3" ht="12.75">
      <c r="A33">
        <f>Worldprices!B65</f>
        <v>2001</v>
      </c>
      <c r="B33">
        <f>Worldprices!Q65/Worldprices!Q64</f>
        <v>1.2986212691315773</v>
      </c>
      <c r="C33">
        <f>Worldprices!G65/Worldprices!G64</f>
        <v>0.83765716045671224</v>
      </c>
    </row>
    <row r="34" spans="1:3" ht="12.75">
      <c r="A34">
        <f>Worldprices!B66</f>
        <v>2005</v>
      </c>
      <c r="B34">
        <f>Worldprices!Q66/Worldprices!Q65</f>
        <v>1.2768027138328677</v>
      </c>
      <c r="C34">
        <f>Worldprices!G66/Worldprices!G65</f>
        <v>2.0258512188506668</v>
      </c>
    </row>
    <row r="35" spans="1:3" ht="12.75">
      <c r="A35">
        <f>Worldprices!B67</f>
        <v>2010</v>
      </c>
      <c r="B35">
        <f>Worldprices!Q67/Worldprices!Q66</f>
        <v>1.3086858158732957</v>
      </c>
      <c r="C35">
        <f>Worldprices!G67/Worldprices!G66</f>
        <v>1.1689296644139435</v>
      </c>
    </row>
    <row r="36" spans="1:3" ht="12.75">
      <c r="A36">
        <f>Worldprices!B68</f>
        <v>2015</v>
      </c>
      <c r="B36">
        <f>Worldprices!Q68/Worldprices!Q67</f>
        <v>1.5804100529100531</v>
      </c>
      <c r="C36">
        <f>Worldprices!G68/Worldprices!G67</f>
        <v>0.97404841402337239</v>
      </c>
    </row>
    <row r="37" spans="1:3" ht="12.75">
      <c r="A37">
        <f>Worldprices!B69</f>
        <v>2020</v>
      </c>
      <c r="B37">
        <f>Worldprices!Q69/Worldprices!Q68</f>
        <v>1.3672528226717666</v>
      </c>
      <c r="C37">
        <f>Worldprices!G69/Worldprices!G68</f>
        <v>0.9733569855430152</v>
      </c>
    </row>
    <row r="38" spans="1:3" ht="12.75">
      <c r="A38">
        <f>Worldprices!B70</f>
        <v>2025</v>
      </c>
      <c r="B38">
        <f>Worldprices!Q70/Worldprices!Q69</f>
        <v>0.76138909634055263</v>
      </c>
      <c r="C38">
        <f>Worldprices!G70/Worldprices!G69</f>
        <v>1.2330827067669172</v>
      </c>
    </row>
    <row r="39" spans="1:3" ht="12.75">
      <c r="A39">
        <f>Worldprices!B71</f>
        <v>2030</v>
      </c>
      <c r="B39">
        <f>Worldprices!Q71/Worldprices!Q70</f>
        <v>0.68661108386463965</v>
      </c>
      <c r="C39">
        <f>Worldprices!G71/Worldprices!G70</f>
        <v>1.1890243902439022</v>
      </c>
    </row>
    <row r="40" spans="1:3" ht="12.75">
      <c r="A40">
        <f>Worldprices!B72</f>
        <v>2035</v>
      </c>
      <c r="B40">
        <f>Worldprices!Q72/Worldprices!Q71</f>
        <v>1</v>
      </c>
      <c r="C40">
        <f>Worldprices!G72/Worldprices!G71</f>
        <v>1.0293040293040294</v>
      </c>
    </row>
    <row r="41" spans="1:3" ht="12.75">
      <c r="A41">
        <f>Worldprices!B73</f>
        <v>2040</v>
      </c>
      <c r="B41">
        <f>Worldprices!Q73/Worldprices!Q72</f>
        <v>1</v>
      </c>
      <c r="C41">
        <f>Worldprices!G73/Worldprices!G72</f>
        <v>1.0284697508896796</v>
      </c>
    </row>
    <row r="42" spans="1:3" ht="12.75">
      <c r="A42">
        <f>Worldprices!B74</f>
        <v>2045</v>
      </c>
      <c r="B42">
        <f>Worldprices!Q74/Worldprices!Q73</f>
        <v>1</v>
      </c>
      <c r="C42">
        <f>Worldprices!G74/Worldprices!G73</f>
        <v>1.1044982698961938</v>
      </c>
    </row>
    <row r="43" spans="1:3" ht="12.75">
      <c r="A43">
        <f>Worldprices!B75</f>
        <v>2050</v>
      </c>
      <c r="B43">
        <f>Worldprices!Q75/Worldprices!Q74</f>
        <v>1</v>
      </c>
      <c r="C43">
        <f>Worldprices!G75/Worldprices!G74</f>
        <v>1.094611528822055</v>
      </c>
    </row>
    <row r="45" spans="5:40" ht="12.75">
      <c r="E45" s="45" t="s">
        <v>143</v>
      </c>
      <c r="I45" s="45"/>
      <c r="AN45" s="45"/>
    </row>
    <row r="46" spans="5:47" ht="15.75" thickBot="1">
      <c r="E46" s="46" t="s">
        <v>240</v>
      </c>
      <c r="F46" s="46" t="s">
        <v>241</v>
      </c>
      <c r="G46" s="46" t="s">
        <v>242</v>
      </c>
      <c r="H46" s="46" t="s">
        <v>243</v>
      </c>
      <c r="I46" s="6" t="s">
        <v>245</v>
      </c>
      <c r="J46" s="49" t="s">
        <v>246</v>
      </c>
      <c r="K46" s="83" t="s">
        <v>47</v>
      </c>
      <c r="L46" s="83" t="s">
        <v>48</v>
      </c>
      <c r="M46" s="83" t="s">
        <v>256</v>
      </c>
      <c r="N46" s="83" t="s">
        <v>144</v>
      </c>
      <c r="O46" s="83" t="s">
        <v>145</v>
      </c>
      <c r="P46" s="83" t="s">
        <v>254</v>
      </c>
      <c r="Q46" s="83" t="s">
        <v>49</v>
      </c>
      <c r="R46" s="83" t="s">
        <v>249</v>
      </c>
      <c r="S46" s="83" t="s">
        <v>146</v>
      </c>
      <c r="T46" s="83" t="s">
        <v>57</v>
      </c>
      <c r="U46" s="83" t="s">
        <v>51</v>
      </c>
      <c r="V46" s="83" t="s">
        <v>52</v>
      </c>
      <c r="W46" s="83" t="s">
        <v>354</v>
      </c>
      <c r="X46" s="83" t="s">
        <v>252</v>
      </c>
      <c r="Y46" s="83" t="s">
        <v>53</v>
      </c>
      <c r="Z46" s="83" t="s">
        <v>147</v>
      </c>
      <c r="AA46" s="83" t="s">
        <v>54</v>
      </c>
      <c r="AB46" s="83" t="s">
        <v>148</v>
      </c>
      <c r="AC46" s="83" t="s">
        <v>149</v>
      </c>
      <c r="AD46" s="83" t="s">
        <v>150</v>
      </c>
      <c r="AE46" s="83" t="s">
        <v>151</v>
      </c>
      <c r="AF46" s="83" t="s">
        <v>55</v>
      </c>
      <c r="AG46" s="83" t="s">
        <v>164</v>
      </c>
      <c r="AH46" s="83" t="s">
        <v>253</v>
      </c>
      <c r="AI46" s="83" t="s">
        <v>56</v>
      </c>
      <c r="AJ46" s="83" t="s">
        <v>152</v>
      </c>
      <c r="AK46" s="83" t="s">
        <v>250</v>
      </c>
      <c r="AL46" s="83" t="s">
        <v>153</v>
      </c>
      <c r="AM46" s="83" t="s">
        <v>255</v>
      </c>
      <c r="AN46" s="83" t="s">
        <v>251</v>
      </c>
      <c r="AO46" s="76" t="s">
        <v>306</v>
      </c>
      <c r="AP46" s="76" t="s">
        <v>346</v>
      </c>
      <c r="AQ46" s="76" t="s">
        <v>308</v>
      </c>
      <c r="AR46" s="76" t="s">
        <v>347</v>
      </c>
      <c r="AS46" s="76" t="s">
        <v>309</v>
      </c>
      <c r="AT46" s="76" t="s">
        <v>310</v>
      </c>
      <c r="AU46" s="76" t="s">
        <v>311</v>
      </c>
    </row>
    <row r="47" spans="5:47" ht="12.75">
      <c r="E47" t="s">
        <v>248</v>
      </c>
      <c r="G47" t="s">
        <v>154</v>
      </c>
      <c r="H47">
        <f>A$33</f>
        <v>2001</v>
      </c>
      <c r="I47" t="str">
        <f t="shared" si="0" ref="I47:I57">I$10</f>
        <v>MINGASRSV1</v>
      </c>
      <c r="J47" t="s">
        <v>269</v>
      </c>
      <c r="K47">
        <f>IF(K$10=0,"",K10*$B33)</f>
        <v>2.3699838161651283</v>
      </c>
      <c r="L47" t="str">
        <f>IF(L$10=0,"",L10*$B33)</f>
        <v/>
      </c>
      <c r="M47">
        <f>IF(M$10=0,"",M10*$B33)</f>
        <v>2.3699838161651283</v>
      </c>
      <c r="N47" t="str">
        <f t="shared" si="1" ref="N47:AU47">IF(N$10=0,"",N10*$B33)</f>
        <v/>
      </c>
      <c r="O47" t="str">
        <f t="shared" si="1"/>
        <v/>
      </c>
      <c r="P47">
        <f t="shared" si="1"/>
        <v>2.3699838161651283</v>
      </c>
      <c r="Q47">
        <f t="shared" si="1"/>
        <v>2.3699838161651283</v>
      </c>
      <c r="R47">
        <f t="shared" si="1"/>
        <v>1.3640933458262772</v>
      </c>
      <c r="S47" t="str">
        <f t="shared" si="1"/>
        <v/>
      </c>
      <c r="T47">
        <f t="shared" si="1"/>
        <v>2.3699838161651283</v>
      </c>
      <c r="U47" t="str">
        <f t="shared" si="1"/>
        <v/>
      </c>
      <c r="V47">
        <f t="shared" si="1"/>
        <v>2.3699838161651283</v>
      </c>
      <c r="W47">
        <f t="shared" si="1"/>
        <v>3.3764152997421011</v>
      </c>
      <c r="X47">
        <f t="shared" si="1"/>
        <v>2.3699838161651283</v>
      </c>
      <c r="Y47">
        <f t="shared" si="1"/>
        <v>1.3640933458262772</v>
      </c>
      <c r="Z47" t="str">
        <f t="shared" si="1"/>
        <v/>
      </c>
      <c r="AA47" t="str">
        <f t="shared" si="1"/>
        <v/>
      </c>
      <c r="AB47" t="str">
        <f t="shared" si="1"/>
        <v/>
      </c>
      <c r="AC47" t="str">
        <f t="shared" si="1"/>
        <v/>
      </c>
      <c r="AD47" t="str">
        <f t="shared" si="1"/>
        <v/>
      </c>
      <c r="AE47" t="str">
        <f t="shared" si="1"/>
        <v/>
      </c>
      <c r="AF47">
        <f t="shared" si="1"/>
        <v>1.3640933458262772</v>
      </c>
      <c r="AG47">
        <f t="shared" si="1"/>
        <v>1.3640933458262772</v>
      </c>
      <c r="AH47">
        <f t="shared" si="1"/>
        <v>2.3699838161651283</v>
      </c>
      <c r="AI47">
        <f t="shared" si="1"/>
        <v>2.3699838161651283</v>
      </c>
      <c r="AJ47">
        <f t="shared" si="1"/>
        <v>2.3699838161651283</v>
      </c>
      <c r="AK47">
        <f t="shared" si="1"/>
        <v>2.3699838161651283</v>
      </c>
      <c r="AL47" t="str">
        <f t="shared" si="1"/>
        <v/>
      </c>
      <c r="AM47">
        <f t="shared" si="1"/>
        <v>2.3699838161651283</v>
      </c>
      <c r="AN47">
        <f t="shared" si="1"/>
        <v>1.3640933458262772</v>
      </c>
      <c r="AO47">
        <f t="shared" si="1"/>
        <v>2.3699838161651283</v>
      </c>
      <c r="AP47" t="str">
        <f t="shared" si="1"/>
        <v/>
      </c>
      <c r="AQ47">
        <f t="shared" si="1"/>
        <v>2.3699838161651283</v>
      </c>
      <c r="AR47" t="str">
        <f t="shared" si="1"/>
        <v/>
      </c>
      <c r="AS47" t="str">
        <f t="shared" si="1"/>
        <v/>
      </c>
      <c r="AT47" t="str">
        <f t="shared" si="1"/>
        <v/>
      </c>
      <c r="AU47">
        <f t="shared" si="1"/>
        <v>2.3699838161651283</v>
      </c>
    </row>
    <row r="48" spans="5:47" ht="12.75">
      <c r="E48" t="s">
        <v>248</v>
      </c>
      <c r="G48" t="s">
        <v>154</v>
      </c>
      <c r="H48">
        <f>A$34</f>
        <v>2005</v>
      </c>
      <c r="I48" t="str">
        <f t="shared" si="0"/>
        <v>MINGASRSV1</v>
      </c>
      <c r="J48" t="s">
        <v>269</v>
      </c>
      <c r="K48">
        <f>IF(K$10=0,"",K47*$B34)</f>
        <v>3.0260017682196119</v>
      </c>
      <c r="L48" t="str">
        <f>IF(L$10=0,"",L47*$B34)</f>
        <v/>
      </c>
      <c r="M48">
        <f>IF(M$10=0,"",M47*$B34)</f>
        <v>3.0260017682196119</v>
      </c>
      <c r="N48" t="str">
        <f t="shared" si="2" ref="N48:AU55">IF(N$10=0,"",N47*$B34)</f>
        <v/>
      </c>
      <c r="O48" t="str">
        <f t="shared" si="2"/>
        <v/>
      </c>
      <c r="P48">
        <f t="shared" si="2"/>
        <v>3.0260017682196119</v>
      </c>
      <c r="Q48">
        <f t="shared" si="2"/>
        <v>3.0260017682196119</v>
      </c>
      <c r="R48">
        <f t="shared" si="2"/>
        <v>1.7416780858723473</v>
      </c>
      <c r="S48" t="str">
        <f t="shared" si="2"/>
        <v/>
      </c>
      <c r="T48">
        <f t="shared" si="2"/>
        <v>3.0260017682196119</v>
      </c>
      <c r="U48" t="str">
        <f t="shared" si="2"/>
        <v/>
      </c>
      <c r="V48">
        <f t="shared" si="2"/>
        <v>3.0260017682196119</v>
      </c>
      <c r="W48">
        <f t="shared" si="2"/>
        <v>4.3110162177375297</v>
      </c>
      <c r="X48">
        <f t="shared" si="2"/>
        <v>3.0260017682196119</v>
      </c>
      <c r="Y48">
        <f t="shared" si="2"/>
        <v>1.7416780858723473</v>
      </c>
      <c r="Z48" t="str">
        <f t="shared" si="2"/>
        <v/>
      </c>
      <c r="AA48" t="str">
        <f t="shared" si="2"/>
        <v/>
      </c>
      <c r="AB48" t="str">
        <f t="shared" si="2"/>
        <v/>
      </c>
      <c r="AC48" t="str">
        <f t="shared" si="2"/>
        <v/>
      </c>
      <c r="AD48" t="str">
        <f t="shared" si="2"/>
        <v/>
      </c>
      <c r="AE48" t="str">
        <f t="shared" si="2"/>
        <v/>
      </c>
      <c r="AF48">
        <f t="shared" si="2"/>
        <v>1.7416780858723473</v>
      </c>
      <c r="AG48">
        <f t="shared" si="2"/>
        <v>1.7416780858723473</v>
      </c>
      <c r="AH48">
        <f t="shared" si="2"/>
        <v>3.0260017682196119</v>
      </c>
      <c r="AI48">
        <f t="shared" si="2"/>
        <v>3.0260017682196119</v>
      </c>
      <c r="AJ48">
        <f t="shared" si="2"/>
        <v>3.0260017682196119</v>
      </c>
      <c r="AK48">
        <f t="shared" si="2"/>
        <v>3.0260017682196119</v>
      </c>
      <c r="AL48" t="str">
        <f t="shared" si="2"/>
        <v/>
      </c>
      <c r="AM48">
        <f t="shared" si="2"/>
        <v>3.0260017682196119</v>
      </c>
      <c r="AN48">
        <f t="shared" si="2"/>
        <v>1.7416780858723473</v>
      </c>
      <c r="AO48">
        <f t="shared" si="2"/>
        <v>3.0260017682196119</v>
      </c>
      <c r="AP48" t="str">
        <f t="shared" si="2"/>
        <v/>
      </c>
      <c r="AQ48">
        <f t="shared" si="2"/>
        <v>3.0260017682196119</v>
      </c>
      <c r="AR48" t="str">
        <f t="shared" si="2"/>
        <v/>
      </c>
      <c r="AS48" t="str">
        <f t="shared" si="2"/>
        <v/>
      </c>
      <c r="AT48" t="str">
        <f t="shared" si="2"/>
        <v/>
      </c>
      <c r="AU48">
        <f t="shared" si="2"/>
        <v>3.0260017682196119</v>
      </c>
    </row>
    <row r="49" spans="5:47" ht="12.75">
      <c r="E49" t="s">
        <v>248</v>
      </c>
      <c r="G49" t="s">
        <v>154</v>
      </c>
      <c r="H49">
        <f>A$35</f>
        <v>2010</v>
      </c>
      <c r="I49" t="str">
        <f t="shared" si="0"/>
        <v>MINGASRSV1</v>
      </c>
      <c r="J49" t="s">
        <v>269</v>
      </c>
      <c r="K49">
        <f t="shared" si="3" ref="K49:Z57">IF(K$10=0,"",K48*$B35)</f>
        <v>3.960085592876518</v>
      </c>
      <c r="L49" t="str">
        <f t="shared" si="3"/>
        <v/>
      </c>
      <c r="M49">
        <f t="shared" si="3"/>
        <v>3.960085592876518</v>
      </c>
      <c r="N49" t="str">
        <f t="shared" si="2"/>
        <v/>
      </c>
      <c r="O49" t="str">
        <f t="shared" si="2"/>
        <v/>
      </c>
      <c r="P49">
        <f t="shared" si="2"/>
        <v>3.960085592876518</v>
      </c>
      <c r="Q49">
        <f>IF(Q$10=0,"",Q48*$B35)</f>
        <v>3.960085592876518</v>
      </c>
      <c r="R49">
        <f t="shared" si="2"/>
        <v>2.2793094067984927</v>
      </c>
      <c r="S49" t="str">
        <f t="shared" si="2"/>
        <v/>
      </c>
      <c r="T49">
        <f t="shared" si="2"/>
        <v>3.960085592876518</v>
      </c>
      <c r="U49" t="str">
        <f t="shared" si="2"/>
        <v/>
      </c>
      <c r="V49">
        <f t="shared" si="2"/>
        <v>3.960085592876518</v>
      </c>
      <c r="W49">
        <f t="shared" si="2"/>
        <v>5.6417657761528481</v>
      </c>
      <c r="X49">
        <f t="shared" si="2"/>
        <v>3.960085592876518</v>
      </c>
      <c r="Y49">
        <f t="shared" si="2"/>
        <v>2.2793094067984927</v>
      </c>
      <c r="Z49" t="str">
        <f t="shared" si="2"/>
        <v/>
      </c>
      <c r="AA49" t="str">
        <f t="shared" si="2"/>
        <v/>
      </c>
      <c r="AB49" t="str">
        <f t="shared" si="2"/>
        <v/>
      </c>
      <c r="AC49" t="str">
        <f t="shared" si="2"/>
        <v/>
      </c>
      <c r="AD49" t="str">
        <f t="shared" si="2"/>
        <v/>
      </c>
      <c r="AE49" t="str">
        <f t="shared" si="2"/>
        <v/>
      </c>
      <c r="AF49">
        <f t="shared" si="2"/>
        <v>2.2793094067984927</v>
      </c>
      <c r="AG49">
        <f t="shared" si="2"/>
        <v>2.2793094067984927</v>
      </c>
      <c r="AH49">
        <f t="shared" si="2"/>
        <v>3.960085592876518</v>
      </c>
      <c r="AI49">
        <f t="shared" si="2"/>
        <v>3.960085592876518</v>
      </c>
      <c r="AJ49">
        <f t="shared" si="2"/>
        <v>3.960085592876518</v>
      </c>
      <c r="AK49">
        <f t="shared" si="2"/>
        <v>3.960085592876518</v>
      </c>
      <c r="AL49" t="str">
        <f t="shared" si="2"/>
        <v/>
      </c>
      <c r="AM49">
        <f t="shared" si="2"/>
        <v>3.960085592876518</v>
      </c>
      <c r="AN49">
        <f t="shared" si="2"/>
        <v>2.2793094067984927</v>
      </c>
      <c r="AO49">
        <f t="shared" si="2"/>
        <v>3.960085592876518</v>
      </c>
      <c r="AP49" t="str">
        <f t="shared" si="2"/>
        <v/>
      </c>
      <c r="AQ49">
        <f t="shared" si="2"/>
        <v>3.960085592876518</v>
      </c>
      <c r="AR49" t="str">
        <f t="shared" si="2"/>
        <v/>
      </c>
      <c r="AS49" t="str">
        <f t="shared" si="2"/>
        <v/>
      </c>
      <c r="AT49" t="str">
        <f t="shared" si="2"/>
        <v/>
      </c>
      <c r="AU49">
        <f t="shared" si="2"/>
        <v>3.960085592876518</v>
      </c>
    </row>
    <row r="50" spans="5:47" ht="12.75">
      <c r="E50" t="s">
        <v>248</v>
      </c>
      <c r="G50" t="s">
        <v>154</v>
      </c>
      <c r="H50">
        <f>A$36</f>
        <v>2015</v>
      </c>
      <c r="I50" t="str">
        <f t="shared" si="0"/>
        <v>MINGASRSV1</v>
      </c>
      <c r="J50" t="s">
        <v>269</v>
      </c>
      <c r="K50">
        <f t="shared" si="3"/>
        <v>6.2585590813663163</v>
      </c>
      <c r="L50" t="str">
        <f t="shared" si="3"/>
        <v/>
      </c>
      <c r="M50">
        <f t="shared" si="3"/>
        <v>6.2585590813663163</v>
      </c>
      <c r="N50" t="str">
        <f t="shared" si="2"/>
        <v/>
      </c>
      <c r="O50" t="str">
        <f t="shared" si="2"/>
        <v/>
      </c>
      <c r="P50">
        <f t="shared" si="2"/>
        <v>6.2585590813663163</v>
      </c>
      <c r="Q50">
        <f t="shared" si="2"/>
        <v>6.2585590813663163</v>
      </c>
      <c r="R50">
        <f t="shared" si="2"/>
        <v>3.6022435001967876</v>
      </c>
      <c r="S50" t="str">
        <f t="shared" si="2"/>
        <v/>
      </c>
      <c r="T50">
        <f t="shared" si="2"/>
        <v>6.2585590813663163</v>
      </c>
      <c r="U50" t="str">
        <f t="shared" si="2"/>
        <v/>
      </c>
      <c r="V50">
        <f t="shared" si="2"/>
        <v>6.2585590813663163</v>
      </c>
      <c r="W50">
        <f t="shared" si="2"/>
        <v>8.9163033487958501</v>
      </c>
      <c r="X50">
        <f t="shared" si="2"/>
        <v>6.2585590813663163</v>
      </c>
      <c r="Y50">
        <f t="shared" si="2"/>
        <v>3.6022435001967876</v>
      </c>
      <c r="Z50" t="str">
        <f t="shared" si="2"/>
        <v/>
      </c>
      <c r="AA50" t="str">
        <f t="shared" si="2"/>
        <v/>
      </c>
      <c r="AB50" t="str">
        <f t="shared" si="2"/>
        <v/>
      </c>
      <c r="AC50" t="str">
        <f t="shared" si="2"/>
        <v/>
      </c>
      <c r="AD50" t="str">
        <f t="shared" si="2"/>
        <v/>
      </c>
      <c r="AE50" t="str">
        <f t="shared" si="2"/>
        <v/>
      </c>
      <c r="AF50">
        <f t="shared" si="2"/>
        <v>3.6022435001967876</v>
      </c>
      <c r="AG50">
        <f t="shared" si="2"/>
        <v>3.6022435001967876</v>
      </c>
      <c r="AH50">
        <f t="shared" si="2"/>
        <v>6.2585590813663163</v>
      </c>
      <c r="AI50">
        <f t="shared" si="2"/>
        <v>6.2585590813663163</v>
      </c>
      <c r="AJ50">
        <f t="shared" si="2"/>
        <v>6.2585590813663163</v>
      </c>
      <c r="AK50">
        <f t="shared" si="2"/>
        <v>6.2585590813663163</v>
      </c>
      <c r="AL50" t="str">
        <f t="shared" si="2"/>
        <v/>
      </c>
      <c r="AM50">
        <f t="shared" si="2"/>
        <v>6.2585590813663163</v>
      </c>
      <c r="AN50">
        <f t="shared" si="2"/>
        <v>3.6022435001967876</v>
      </c>
      <c r="AO50">
        <f t="shared" si="2"/>
        <v>6.2585590813663163</v>
      </c>
      <c r="AP50" t="str">
        <f t="shared" si="2"/>
        <v/>
      </c>
      <c r="AQ50">
        <f t="shared" si="2"/>
        <v>6.2585590813663163</v>
      </c>
      <c r="AR50" t="str">
        <f t="shared" si="2"/>
        <v/>
      </c>
      <c r="AS50" t="str">
        <f t="shared" si="2"/>
        <v/>
      </c>
      <c r="AT50" t="str">
        <f t="shared" si="2"/>
        <v/>
      </c>
      <c r="AU50">
        <f t="shared" si="2"/>
        <v>6.2585590813663163</v>
      </c>
    </row>
    <row r="51" spans="5:47" ht="12.75">
      <c r="E51" t="s">
        <v>248</v>
      </c>
      <c r="G51" t="s">
        <v>154</v>
      </c>
      <c r="H51">
        <f>A$37</f>
        <v>2020</v>
      </c>
      <c r="I51" t="str">
        <f t="shared" si="0"/>
        <v>MINGASRSV1</v>
      </c>
      <c r="J51" t="s">
        <v>269</v>
      </c>
      <c r="K51">
        <f t="shared" si="3"/>
        <v>8.5570325698561138</v>
      </c>
      <c r="L51" t="str">
        <f t="shared" si="3"/>
        <v/>
      </c>
      <c r="M51">
        <f t="shared" si="3"/>
        <v>8.5570325698561138</v>
      </c>
      <c r="N51" t="str">
        <f t="shared" si="2"/>
        <v/>
      </c>
      <c r="O51" t="str">
        <f t="shared" si="2"/>
        <v/>
      </c>
      <c r="P51">
        <f t="shared" si="2"/>
        <v>8.5570325698561138</v>
      </c>
      <c r="Q51">
        <f t="shared" si="2"/>
        <v>8.5570325698561138</v>
      </c>
      <c r="R51">
        <f t="shared" si="2"/>
        <v>4.9251775935950821</v>
      </c>
      <c r="S51" t="str">
        <f t="shared" si="2"/>
        <v/>
      </c>
      <c r="T51">
        <f t="shared" si="2"/>
        <v>8.5570325698561138</v>
      </c>
      <c r="U51" t="str">
        <f t="shared" si="2"/>
        <v/>
      </c>
      <c r="V51">
        <f t="shared" si="2"/>
        <v>8.5570325698561138</v>
      </c>
      <c r="W51">
        <f t="shared" si="2"/>
        <v>12.190840921438852</v>
      </c>
      <c r="X51">
        <f t="shared" si="2"/>
        <v>8.5570325698561138</v>
      </c>
      <c r="Y51">
        <f t="shared" si="2"/>
        <v>4.9251775935950821</v>
      </c>
      <c r="Z51" t="str">
        <f t="shared" si="2"/>
        <v/>
      </c>
      <c r="AA51" t="str">
        <f t="shared" si="2"/>
        <v/>
      </c>
      <c r="AB51" t="str">
        <f t="shared" si="2"/>
        <v/>
      </c>
      <c r="AC51" t="str">
        <f t="shared" si="2"/>
        <v/>
      </c>
      <c r="AD51" t="str">
        <f t="shared" si="2"/>
        <v/>
      </c>
      <c r="AE51" t="str">
        <f t="shared" si="2"/>
        <v/>
      </c>
      <c r="AF51">
        <f t="shared" si="2"/>
        <v>4.9251775935950821</v>
      </c>
      <c r="AG51">
        <f t="shared" si="2"/>
        <v>4.9251775935950821</v>
      </c>
      <c r="AH51">
        <f t="shared" si="2"/>
        <v>8.5570325698561138</v>
      </c>
      <c r="AI51">
        <f t="shared" si="2"/>
        <v>8.5570325698561138</v>
      </c>
      <c r="AJ51">
        <f t="shared" si="2"/>
        <v>8.5570325698561138</v>
      </c>
      <c r="AK51">
        <f t="shared" si="2"/>
        <v>8.5570325698561138</v>
      </c>
      <c r="AL51" t="str">
        <f t="shared" si="2"/>
        <v/>
      </c>
      <c r="AM51">
        <f t="shared" si="2"/>
        <v>8.5570325698561138</v>
      </c>
      <c r="AN51">
        <f t="shared" si="2"/>
        <v>4.9251775935950821</v>
      </c>
      <c r="AO51">
        <f t="shared" si="2"/>
        <v>8.5570325698561138</v>
      </c>
      <c r="AP51" t="str">
        <f t="shared" si="2"/>
        <v/>
      </c>
      <c r="AQ51">
        <f t="shared" si="2"/>
        <v>8.5570325698561138</v>
      </c>
      <c r="AR51" t="str">
        <f t="shared" si="2"/>
        <v/>
      </c>
      <c r="AS51" t="str">
        <f t="shared" si="2"/>
        <v/>
      </c>
      <c r="AT51" t="str">
        <f t="shared" si="2"/>
        <v/>
      </c>
      <c r="AU51">
        <f t="shared" si="2"/>
        <v>8.5570325698561138</v>
      </c>
    </row>
    <row r="52" spans="5:47" ht="12.75">
      <c r="E52" t="s">
        <v>248</v>
      </c>
      <c r="G52" t="s">
        <v>154</v>
      </c>
      <c r="H52">
        <f>A$38</f>
        <v>2025</v>
      </c>
      <c r="I52" t="str">
        <f t="shared" si="0"/>
        <v>MINGASRSV1</v>
      </c>
      <c r="J52" t="s">
        <v>269</v>
      </c>
      <c r="K52">
        <f t="shared" si="3"/>
        <v>6.5152312957194232</v>
      </c>
      <c r="L52" t="str">
        <f t="shared" si="3"/>
        <v/>
      </c>
      <c r="M52">
        <f t="shared" si="3"/>
        <v>6.5152312957194232</v>
      </c>
      <c r="N52" t="str">
        <f t="shared" si="2"/>
        <v/>
      </c>
      <c r="O52" t="str">
        <f t="shared" si="2"/>
        <v/>
      </c>
      <c r="P52">
        <f t="shared" si="2"/>
        <v>6.5152312957194232</v>
      </c>
      <c r="Q52">
        <f t="shared" si="2"/>
        <v>6.5152312957194232</v>
      </c>
      <c r="R52">
        <f t="shared" si="2"/>
        <v>3.7499765173040971</v>
      </c>
      <c r="S52" t="str">
        <f t="shared" si="2"/>
        <v/>
      </c>
      <c r="T52">
        <f t="shared" si="2"/>
        <v>6.5152312957194232</v>
      </c>
      <c r="U52" t="str">
        <f t="shared" si="2"/>
        <v/>
      </c>
      <c r="V52">
        <f t="shared" si="2"/>
        <v>6.5152312957194232</v>
      </c>
      <c r="W52">
        <f t="shared" si="2"/>
        <v>9.2819733528057569</v>
      </c>
      <c r="X52">
        <f t="shared" si="2"/>
        <v>6.5152312957194232</v>
      </c>
      <c r="Y52">
        <f t="shared" si="2"/>
        <v>3.7499765173040971</v>
      </c>
      <c r="Z52" t="str">
        <f t="shared" si="2"/>
        <v/>
      </c>
      <c r="AA52" t="str">
        <f t="shared" si="2"/>
        <v/>
      </c>
      <c r="AB52" t="str">
        <f t="shared" si="2"/>
        <v/>
      </c>
      <c r="AC52" t="str">
        <f t="shared" si="2"/>
        <v/>
      </c>
      <c r="AD52" t="str">
        <f t="shared" si="2"/>
        <v/>
      </c>
      <c r="AE52" t="str">
        <f t="shared" si="2"/>
        <v/>
      </c>
      <c r="AF52">
        <f t="shared" si="2"/>
        <v>3.7499765173040971</v>
      </c>
      <c r="AG52">
        <f t="shared" si="2"/>
        <v>3.7499765173040971</v>
      </c>
      <c r="AH52">
        <f t="shared" si="2"/>
        <v>6.5152312957194232</v>
      </c>
      <c r="AI52">
        <f t="shared" si="2"/>
        <v>6.5152312957194232</v>
      </c>
      <c r="AJ52">
        <f t="shared" si="2"/>
        <v>6.5152312957194232</v>
      </c>
      <c r="AK52">
        <f t="shared" si="2"/>
        <v>6.5152312957194232</v>
      </c>
      <c r="AL52" t="str">
        <f t="shared" si="2"/>
        <v/>
      </c>
      <c r="AM52">
        <f t="shared" si="2"/>
        <v>6.5152312957194232</v>
      </c>
      <c r="AN52">
        <f t="shared" si="2"/>
        <v>3.7499765173040971</v>
      </c>
      <c r="AO52">
        <f t="shared" si="2"/>
        <v>6.5152312957194232</v>
      </c>
      <c r="AP52" t="str">
        <f t="shared" si="2"/>
        <v/>
      </c>
      <c r="AQ52">
        <f t="shared" si="2"/>
        <v>6.5152312957194232</v>
      </c>
      <c r="AR52" t="str">
        <f t="shared" si="2"/>
        <v/>
      </c>
      <c r="AS52" t="str">
        <f t="shared" si="2"/>
        <v/>
      </c>
      <c r="AT52" t="str">
        <f t="shared" si="2"/>
        <v/>
      </c>
      <c r="AU52">
        <f t="shared" si="2"/>
        <v>6.5152312957194232</v>
      </c>
    </row>
    <row r="53" spans="5:47" ht="12.75">
      <c r="E53" t="s">
        <v>248</v>
      </c>
      <c r="G53" t="s">
        <v>154</v>
      </c>
      <c r="H53">
        <f>A$39</f>
        <v>2030</v>
      </c>
      <c r="I53" t="str">
        <f t="shared" si="0"/>
        <v>MINGASRSV1</v>
      </c>
      <c r="J53" t="s">
        <v>269</v>
      </c>
      <c r="K53">
        <f t="shared" si="3"/>
        <v>4.4734300215827334</v>
      </c>
      <c r="L53" t="str">
        <f t="shared" si="3"/>
        <v/>
      </c>
      <c r="M53">
        <f t="shared" si="3"/>
        <v>4.4734300215827334</v>
      </c>
      <c r="N53" t="str">
        <f t="shared" si="2"/>
        <v/>
      </c>
      <c r="O53" t="str">
        <f t="shared" si="2"/>
        <v/>
      </c>
      <c r="P53">
        <f t="shared" si="2"/>
        <v>4.4734300215827334</v>
      </c>
      <c r="Q53">
        <f t="shared" si="2"/>
        <v>4.4734300215827334</v>
      </c>
      <c r="R53">
        <f t="shared" si="2"/>
        <v>2.5747754410131125</v>
      </c>
      <c r="S53" t="str">
        <f t="shared" si="2"/>
        <v/>
      </c>
      <c r="T53">
        <f t="shared" si="2"/>
        <v>4.4734300215827334</v>
      </c>
      <c r="U53" t="str">
        <f t="shared" si="2"/>
        <v/>
      </c>
      <c r="V53">
        <f t="shared" si="2"/>
        <v>4.4734300215827334</v>
      </c>
      <c r="W53">
        <f t="shared" si="2"/>
        <v>6.3731057841726644</v>
      </c>
      <c r="X53">
        <f t="shared" si="2"/>
        <v>4.4734300215827334</v>
      </c>
      <c r="Y53">
        <f t="shared" si="2"/>
        <v>2.5747754410131125</v>
      </c>
      <c r="Z53" t="str">
        <f t="shared" si="2"/>
        <v/>
      </c>
      <c r="AA53" t="str">
        <f t="shared" si="2"/>
        <v/>
      </c>
      <c r="AB53" t="str">
        <f t="shared" si="2"/>
        <v/>
      </c>
      <c r="AC53" t="str">
        <f t="shared" si="2"/>
        <v/>
      </c>
      <c r="AD53" t="str">
        <f t="shared" si="2"/>
        <v/>
      </c>
      <c r="AE53" t="str">
        <f t="shared" si="2"/>
        <v/>
      </c>
      <c r="AF53">
        <f t="shared" si="2"/>
        <v>2.5747754410131125</v>
      </c>
      <c r="AG53">
        <f t="shared" si="2"/>
        <v>2.5747754410131125</v>
      </c>
      <c r="AH53">
        <f t="shared" si="2"/>
        <v>4.4734300215827334</v>
      </c>
      <c r="AI53">
        <f t="shared" si="2"/>
        <v>4.4734300215827334</v>
      </c>
      <c r="AJ53">
        <f t="shared" si="2"/>
        <v>4.4734300215827334</v>
      </c>
      <c r="AK53">
        <f t="shared" si="2"/>
        <v>4.4734300215827334</v>
      </c>
      <c r="AL53" t="str">
        <f t="shared" si="2"/>
        <v/>
      </c>
      <c r="AM53">
        <f t="shared" si="2"/>
        <v>4.4734300215827334</v>
      </c>
      <c r="AN53">
        <f t="shared" si="2"/>
        <v>2.5747754410131125</v>
      </c>
      <c r="AO53">
        <f t="shared" si="2"/>
        <v>4.4734300215827334</v>
      </c>
      <c r="AP53" t="str">
        <f t="shared" si="2"/>
        <v/>
      </c>
      <c r="AQ53">
        <f t="shared" si="2"/>
        <v>4.4734300215827334</v>
      </c>
      <c r="AR53" t="str">
        <f t="shared" si="2"/>
        <v/>
      </c>
      <c r="AS53" t="str">
        <f t="shared" si="2"/>
        <v/>
      </c>
      <c r="AT53" t="str">
        <f t="shared" si="2"/>
        <v/>
      </c>
      <c r="AU53">
        <f t="shared" si="2"/>
        <v>4.4734300215827334</v>
      </c>
    </row>
    <row r="54" spans="5:47" ht="12.75">
      <c r="E54" t="s">
        <v>248</v>
      </c>
      <c r="G54" t="s">
        <v>154</v>
      </c>
      <c r="H54">
        <f>A$40</f>
        <v>2035</v>
      </c>
      <c r="I54" t="str">
        <f t="shared" si="0"/>
        <v>MINGASRSV1</v>
      </c>
      <c r="J54" t="s">
        <v>269</v>
      </c>
      <c r="K54">
        <f t="shared" si="3"/>
        <v>4.4734300215827334</v>
      </c>
      <c r="L54" t="str">
        <f t="shared" si="3"/>
        <v/>
      </c>
      <c r="M54">
        <f t="shared" si="3"/>
        <v>4.4734300215827334</v>
      </c>
      <c r="N54" t="str">
        <f t="shared" si="2"/>
        <v/>
      </c>
      <c r="O54" t="str">
        <f t="shared" si="2"/>
        <v/>
      </c>
      <c r="P54">
        <f t="shared" si="2"/>
        <v>4.4734300215827334</v>
      </c>
      <c r="Q54">
        <f t="shared" si="2"/>
        <v>4.4734300215827334</v>
      </c>
      <c r="R54">
        <f t="shared" si="2"/>
        <v>2.5747754410131125</v>
      </c>
      <c r="S54" t="str">
        <f t="shared" si="2"/>
        <v/>
      </c>
      <c r="T54">
        <f t="shared" si="2"/>
        <v>4.4734300215827334</v>
      </c>
      <c r="U54" t="str">
        <f t="shared" si="2"/>
        <v/>
      </c>
      <c r="V54">
        <f t="shared" si="2"/>
        <v>4.4734300215827334</v>
      </c>
      <c r="W54">
        <f t="shared" si="2"/>
        <v>6.3731057841726644</v>
      </c>
      <c r="X54">
        <f t="shared" si="2"/>
        <v>4.4734300215827334</v>
      </c>
      <c r="Y54">
        <f t="shared" si="2"/>
        <v>2.5747754410131125</v>
      </c>
      <c r="Z54" t="str">
        <f t="shared" si="2"/>
        <v/>
      </c>
      <c r="AA54" t="str">
        <f t="shared" si="2"/>
        <v/>
      </c>
      <c r="AB54" t="str">
        <f t="shared" si="2"/>
        <v/>
      </c>
      <c r="AC54" t="str">
        <f t="shared" si="2"/>
        <v/>
      </c>
      <c r="AD54" t="str">
        <f t="shared" si="2"/>
        <v/>
      </c>
      <c r="AE54" t="str">
        <f t="shared" si="2"/>
        <v/>
      </c>
      <c r="AF54">
        <f t="shared" si="2"/>
        <v>2.5747754410131125</v>
      </c>
      <c r="AG54">
        <f t="shared" si="2"/>
        <v>2.5747754410131125</v>
      </c>
      <c r="AH54">
        <f t="shared" si="2"/>
        <v>4.4734300215827334</v>
      </c>
      <c r="AI54">
        <f t="shared" si="2"/>
        <v>4.4734300215827334</v>
      </c>
      <c r="AJ54">
        <f t="shared" si="2"/>
        <v>4.4734300215827334</v>
      </c>
      <c r="AK54">
        <f t="shared" si="2"/>
        <v>4.4734300215827334</v>
      </c>
      <c r="AL54" t="str">
        <f t="shared" si="2"/>
        <v/>
      </c>
      <c r="AM54">
        <f t="shared" si="2"/>
        <v>4.4734300215827334</v>
      </c>
      <c r="AN54">
        <f t="shared" si="2"/>
        <v>2.5747754410131125</v>
      </c>
      <c r="AO54">
        <f t="shared" si="2"/>
        <v>4.4734300215827334</v>
      </c>
      <c r="AP54" t="str">
        <f t="shared" si="2"/>
        <v/>
      </c>
      <c r="AQ54">
        <f t="shared" si="2"/>
        <v>4.4734300215827334</v>
      </c>
      <c r="AR54" t="str">
        <f t="shared" si="2"/>
        <v/>
      </c>
      <c r="AS54" t="str">
        <f t="shared" si="2"/>
        <v/>
      </c>
      <c r="AT54" t="str">
        <f t="shared" si="2"/>
        <v/>
      </c>
      <c r="AU54">
        <f t="shared" si="2"/>
        <v>4.4734300215827334</v>
      </c>
    </row>
    <row r="55" spans="5:47" ht="12.75">
      <c r="E55" t="s">
        <v>248</v>
      </c>
      <c r="G55" t="s">
        <v>154</v>
      </c>
      <c r="H55">
        <f>A$41</f>
        <v>2040</v>
      </c>
      <c r="I55" t="str">
        <f t="shared" si="0"/>
        <v>MINGASRSV1</v>
      </c>
      <c r="J55" t="s">
        <v>269</v>
      </c>
      <c r="K55">
        <f t="shared" si="3"/>
        <v>4.4734300215827334</v>
      </c>
      <c r="L55" t="str">
        <f t="shared" si="3"/>
        <v/>
      </c>
      <c r="M55">
        <f t="shared" si="3"/>
        <v>4.4734300215827334</v>
      </c>
      <c r="N55" t="str">
        <f t="shared" si="2"/>
        <v/>
      </c>
      <c r="O55" t="str">
        <f t="shared" si="2"/>
        <v/>
      </c>
      <c r="P55">
        <f t="shared" si="2"/>
        <v>4.4734300215827334</v>
      </c>
      <c r="Q55">
        <f t="shared" si="2"/>
        <v>4.4734300215827334</v>
      </c>
      <c r="R55">
        <f t="shared" si="2"/>
        <v>2.5747754410131125</v>
      </c>
      <c r="S55" t="str">
        <f t="shared" si="2"/>
        <v/>
      </c>
      <c r="T55">
        <f t="shared" si="2"/>
        <v>4.4734300215827334</v>
      </c>
      <c r="U55" t="str">
        <f t="shared" si="2"/>
        <v/>
      </c>
      <c r="V55">
        <f t="shared" si="2"/>
        <v>4.4734300215827334</v>
      </c>
      <c r="W55">
        <f t="shared" si="2"/>
        <v>6.3731057841726644</v>
      </c>
      <c r="X55">
        <f t="shared" si="2"/>
        <v>4.4734300215827334</v>
      </c>
      <c r="Y55">
        <f t="shared" si="2"/>
        <v>2.5747754410131125</v>
      </c>
      <c r="Z55" t="str">
        <f t="shared" si="2"/>
        <v/>
      </c>
      <c r="AA55" t="str">
        <f t="shared" si="2"/>
        <v/>
      </c>
      <c r="AB55" t="str">
        <f t="shared" si="2"/>
        <v/>
      </c>
      <c r="AC55" t="str">
        <f t="shared" si="2"/>
        <v/>
      </c>
      <c r="AD55" t="str">
        <f t="shared" si="2"/>
        <v/>
      </c>
      <c r="AE55" t="str">
        <f t="shared" si="2"/>
        <v/>
      </c>
      <c r="AF55">
        <f t="shared" si="4" ref="AF55:AU57">IF(AF$10=0,"",AF54*$B41)</f>
        <v>2.5747754410131125</v>
      </c>
      <c r="AG55">
        <f t="shared" si="4"/>
        <v>2.5747754410131125</v>
      </c>
      <c r="AH55">
        <f t="shared" si="4"/>
        <v>4.4734300215827334</v>
      </c>
      <c r="AI55">
        <f t="shared" si="4"/>
        <v>4.4734300215827334</v>
      </c>
      <c r="AJ55">
        <f t="shared" si="4"/>
        <v>4.4734300215827334</v>
      </c>
      <c r="AK55">
        <f t="shared" si="4"/>
        <v>4.4734300215827334</v>
      </c>
      <c r="AL55" t="str">
        <f t="shared" si="4"/>
        <v/>
      </c>
      <c r="AM55">
        <f t="shared" si="4"/>
        <v>4.4734300215827334</v>
      </c>
      <c r="AN55">
        <f t="shared" si="4"/>
        <v>2.5747754410131125</v>
      </c>
      <c r="AO55">
        <f t="shared" si="4"/>
        <v>4.4734300215827334</v>
      </c>
      <c r="AP55" t="str">
        <f t="shared" si="4"/>
        <v/>
      </c>
      <c r="AQ55">
        <f t="shared" si="4"/>
        <v>4.4734300215827334</v>
      </c>
      <c r="AR55" t="str">
        <f t="shared" si="4"/>
        <v/>
      </c>
      <c r="AS55" t="str">
        <f t="shared" si="4"/>
        <v/>
      </c>
      <c r="AT55" t="str">
        <f t="shared" si="4"/>
        <v/>
      </c>
      <c r="AU55">
        <f t="shared" si="4"/>
        <v>4.4734300215827334</v>
      </c>
    </row>
    <row r="56" spans="5:47" ht="12.75">
      <c r="E56" t="s">
        <v>248</v>
      </c>
      <c r="G56" t="s">
        <v>154</v>
      </c>
      <c r="H56">
        <f>A$42</f>
        <v>2045</v>
      </c>
      <c r="I56" t="str">
        <f t="shared" si="0"/>
        <v>MINGASRSV1</v>
      </c>
      <c r="J56" t="s">
        <v>269</v>
      </c>
      <c r="K56">
        <f t="shared" si="3"/>
        <v>4.4734300215827334</v>
      </c>
      <c r="L56" t="str">
        <f t="shared" si="3"/>
        <v/>
      </c>
      <c r="M56">
        <f t="shared" si="3"/>
        <v>4.4734300215827334</v>
      </c>
      <c r="N56" t="str">
        <f t="shared" si="3"/>
        <v/>
      </c>
      <c r="O56" t="str">
        <f t="shared" si="3"/>
        <v/>
      </c>
      <c r="P56">
        <f t="shared" si="3"/>
        <v>4.4734300215827334</v>
      </c>
      <c r="Q56">
        <f t="shared" si="3"/>
        <v>4.4734300215827334</v>
      </c>
      <c r="R56">
        <f t="shared" si="3"/>
        <v>2.5747754410131125</v>
      </c>
      <c r="S56" t="str">
        <f t="shared" si="3"/>
        <v/>
      </c>
      <c r="T56">
        <f t="shared" si="3"/>
        <v>4.4734300215827334</v>
      </c>
      <c r="U56" t="str">
        <f t="shared" si="3"/>
        <v/>
      </c>
      <c r="V56">
        <f t="shared" si="3"/>
        <v>4.4734300215827334</v>
      </c>
      <c r="W56">
        <f t="shared" si="3"/>
        <v>6.3731057841726644</v>
      </c>
      <c r="X56">
        <f t="shared" si="3"/>
        <v>4.4734300215827334</v>
      </c>
      <c r="Y56">
        <f t="shared" si="3"/>
        <v>2.5747754410131125</v>
      </c>
      <c r="Z56" t="str">
        <f t="shared" si="3"/>
        <v/>
      </c>
      <c r="AA56" t="str">
        <f t="shared" si="5" ref="AA56:AE57">IF(AA$10=0,"",AA55*$B42)</f>
        <v/>
      </c>
      <c r="AB56" t="str">
        <f t="shared" si="5"/>
        <v/>
      </c>
      <c r="AC56" t="str">
        <f t="shared" si="5"/>
        <v/>
      </c>
      <c r="AD56" t="str">
        <f t="shared" si="5"/>
        <v/>
      </c>
      <c r="AE56" t="str">
        <f t="shared" si="5"/>
        <v/>
      </c>
      <c r="AF56">
        <f t="shared" si="4"/>
        <v>2.5747754410131125</v>
      </c>
      <c r="AG56">
        <f t="shared" si="4"/>
        <v>2.5747754410131125</v>
      </c>
      <c r="AH56">
        <f t="shared" si="4"/>
        <v>4.4734300215827334</v>
      </c>
      <c r="AI56">
        <f t="shared" si="4"/>
        <v>4.4734300215827334</v>
      </c>
      <c r="AJ56">
        <f t="shared" si="4"/>
        <v>4.4734300215827334</v>
      </c>
      <c r="AK56">
        <f t="shared" si="4"/>
        <v>4.4734300215827334</v>
      </c>
      <c r="AL56" t="str">
        <f t="shared" si="4"/>
        <v/>
      </c>
      <c r="AM56">
        <f t="shared" si="4"/>
        <v>4.4734300215827334</v>
      </c>
      <c r="AN56">
        <f t="shared" si="4"/>
        <v>2.5747754410131125</v>
      </c>
      <c r="AO56">
        <f t="shared" si="4"/>
        <v>4.4734300215827334</v>
      </c>
      <c r="AP56" t="str">
        <f t="shared" si="4"/>
        <v/>
      </c>
      <c r="AQ56">
        <f t="shared" si="4"/>
        <v>4.4734300215827334</v>
      </c>
      <c r="AR56" t="str">
        <f t="shared" si="4"/>
        <v/>
      </c>
      <c r="AS56" t="str">
        <f t="shared" si="4"/>
        <v/>
      </c>
      <c r="AT56" t="str">
        <f t="shared" si="4"/>
        <v/>
      </c>
      <c r="AU56">
        <f t="shared" si="4"/>
        <v>4.4734300215827334</v>
      </c>
    </row>
    <row r="57" spans="5:47" ht="12.75">
      <c r="E57" t="s">
        <v>248</v>
      </c>
      <c r="G57" t="s">
        <v>154</v>
      </c>
      <c r="H57">
        <f>A$43</f>
        <v>2050</v>
      </c>
      <c r="I57" t="str">
        <f t="shared" si="0"/>
        <v>MINGASRSV1</v>
      </c>
      <c r="J57" t="s">
        <v>269</v>
      </c>
      <c r="K57">
        <f t="shared" si="3"/>
        <v>4.4734300215827334</v>
      </c>
      <c r="L57" t="str">
        <f t="shared" si="3"/>
        <v/>
      </c>
      <c r="M57">
        <f t="shared" si="3"/>
        <v>4.4734300215827334</v>
      </c>
      <c r="N57" t="str">
        <f t="shared" si="3"/>
        <v/>
      </c>
      <c r="O57" t="str">
        <f t="shared" si="3"/>
        <v/>
      </c>
      <c r="P57">
        <f t="shared" si="3"/>
        <v>4.4734300215827334</v>
      </c>
      <c r="Q57">
        <f t="shared" si="3"/>
        <v>4.4734300215827334</v>
      </c>
      <c r="R57">
        <f t="shared" si="3"/>
        <v>2.5747754410131125</v>
      </c>
      <c r="S57" t="str">
        <f t="shared" si="3"/>
        <v/>
      </c>
      <c r="T57">
        <f t="shared" si="3"/>
        <v>4.4734300215827334</v>
      </c>
      <c r="U57" t="str">
        <f t="shared" si="3"/>
        <v/>
      </c>
      <c r="V57">
        <f t="shared" si="3"/>
        <v>4.4734300215827334</v>
      </c>
      <c r="W57">
        <f t="shared" si="3"/>
        <v>6.3731057841726644</v>
      </c>
      <c r="X57">
        <f t="shared" si="3"/>
        <v>4.4734300215827334</v>
      </c>
      <c r="Y57">
        <f t="shared" si="3"/>
        <v>2.5747754410131125</v>
      </c>
      <c r="Z57" t="str">
        <f t="shared" si="3"/>
        <v/>
      </c>
      <c r="AA57" t="str">
        <f t="shared" si="5"/>
        <v/>
      </c>
      <c r="AB57" t="str">
        <f t="shared" si="5"/>
        <v/>
      </c>
      <c r="AC57" t="str">
        <f t="shared" si="5"/>
        <v/>
      </c>
      <c r="AD57" t="str">
        <f t="shared" si="5"/>
        <v/>
      </c>
      <c r="AE57" t="str">
        <f t="shared" si="5"/>
        <v/>
      </c>
      <c r="AF57">
        <f t="shared" si="4"/>
        <v>2.5747754410131125</v>
      </c>
      <c r="AG57">
        <f t="shared" si="4"/>
        <v>2.5747754410131125</v>
      </c>
      <c r="AH57">
        <f t="shared" si="4"/>
        <v>4.4734300215827334</v>
      </c>
      <c r="AI57">
        <f t="shared" si="4"/>
        <v>4.4734300215827334</v>
      </c>
      <c r="AJ57">
        <f t="shared" si="4"/>
        <v>4.4734300215827334</v>
      </c>
      <c r="AK57">
        <f t="shared" si="4"/>
        <v>4.4734300215827334</v>
      </c>
      <c r="AL57" t="str">
        <f t="shared" si="4"/>
        <v/>
      </c>
      <c r="AM57">
        <f t="shared" si="4"/>
        <v>4.4734300215827334</v>
      </c>
      <c r="AN57">
        <f t="shared" si="4"/>
        <v>2.5747754410131125</v>
      </c>
      <c r="AO57">
        <f t="shared" si="4"/>
        <v>4.4734300215827334</v>
      </c>
      <c r="AP57" t="str">
        <f t="shared" si="4"/>
        <v/>
      </c>
      <c r="AQ57">
        <f t="shared" si="4"/>
        <v>4.4734300215827334</v>
      </c>
      <c r="AR57" t="str">
        <f t="shared" si="4"/>
        <v/>
      </c>
      <c r="AS57" t="str">
        <f t="shared" si="4"/>
        <v/>
      </c>
      <c r="AT57" t="str">
        <f t="shared" si="4"/>
        <v/>
      </c>
      <c r="AU57">
        <f t="shared" si="4"/>
        <v>4.4734300215827334</v>
      </c>
    </row>
    <row r="58" spans="5:47" ht="12.75">
      <c r="E58" t="s">
        <v>248</v>
      </c>
      <c r="G58" t="s">
        <v>154</v>
      </c>
      <c r="H58">
        <f>A$33</f>
        <v>2001</v>
      </c>
      <c r="I58" t="str">
        <f>I$11</f>
        <v>MINGASRSV2</v>
      </c>
      <c r="J58" t="s">
        <v>269</v>
      </c>
      <c r="K58" t="str">
        <f>IF(K$11=0,"",K$11*$B$33)</f>
        <v/>
      </c>
      <c r="L58" t="str">
        <f t="shared" si="6" ref="L58:AU58">IF(L$11=0,"",L$11*$B$33)</f>
        <v/>
      </c>
      <c r="M58" t="str">
        <f t="shared" si="6"/>
        <v/>
      </c>
      <c r="N58" t="str">
        <f t="shared" si="6"/>
        <v/>
      </c>
      <c r="O58" t="str">
        <f t="shared" si="6"/>
        <v/>
      </c>
      <c r="P58" t="str">
        <f t="shared" si="6"/>
        <v/>
      </c>
      <c r="Q58" t="str">
        <f t="shared" si="6"/>
        <v/>
      </c>
      <c r="R58" t="str">
        <f t="shared" si="6"/>
        <v/>
      </c>
      <c r="S58" t="str">
        <f t="shared" si="6"/>
        <v/>
      </c>
      <c r="T58" t="str">
        <f t="shared" si="6"/>
        <v/>
      </c>
      <c r="U58" t="str">
        <f t="shared" si="6"/>
        <v/>
      </c>
      <c r="V58" t="str">
        <f t="shared" si="6"/>
        <v/>
      </c>
      <c r="W58" t="str">
        <f t="shared" si="6"/>
        <v/>
      </c>
      <c r="X58" t="str">
        <f t="shared" si="6"/>
        <v/>
      </c>
      <c r="Y58" t="str">
        <f t="shared" si="6"/>
        <v/>
      </c>
      <c r="Z58" t="str">
        <f t="shared" si="6"/>
        <v/>
      </c>
      <c r="AA58" t="str">
        <f t="shared" si="6"/>
        <v/>
      </c>
      <c r="AB58" t="str">
        <f t="shared" si="6"/>
        <v/>
      </c>
      <c r="AC58" t="str">
        <f t="shared" si="6"/>
        <v/>
      </c>
      <c r="AD58" t="str">
        <f t="shared" si="6"/>
        <v/>
      </c>
      <c r="AE58" t="str">
        <f t="shared" si="6"/>
        <v/>
      </c>
      <c r="AF58" t="str">
        <f t="shared" si="6"/>
        <v/>
      </c>
      <c r="AG58" t="str">
        <f t="shared" si="6"/>
        <v/>
      </c>
      <c r="AH58" t="str">
        <f t="shared" si="6"/>
        <v/>
      </c>
      <c r="AI58" t="str">
        <f t="shared" si="6"/>
        <v/>
      </c>
      <c r="AJ58" t="str">
        <f t="shared" si="6"/>
        <v/>
      </c>
      <c r="AK58" t="str">
        <f t="shared" si="6"/>
        <v/>
      </c>
      <c r="AL58" t="str">
        <f t="shared" si="6"/>
        <v/>
      </c>
      <c r="AM58" t="str">
        <f t="shared" si="6"/>
        <v/>
      </c>
      <c r="AN58" t="str">
        <f t="shared" si="6"/>
        <v/>
      </c>
      <c r="AO58" t="str">
        <f t="shared" si="6"/>
        <v/>
      </c>
      <c r="AP58" t="str">
        <f t="shared" si="6"/>
        <v/>
      </c>
      <c r="AQ58" t="str">
        <f t="shared" si="6"/>
        <v/>
      </c>
      <c r="AR58" t="str">
        <f t="shared" si="6"/>
        <v/>
      </c>
      <c r="AS58" t="str">
        <f t="shared" si="6"/>
        <v/>
      </c>
      <c r="AT58" t="str">
        <f t="shared" si="6"/>
        <v/>
      </c>
      <c r="AU58" t="str">
        <f t="shared" si="6"/>
        <v/>
      </c>
    </row>
    <row r="59" spans="5:47" ht="12.75">
      <c r="E59" t="s">
        <v>248</v>
      </c>
      <c r="G59" t="s">
        <v>154</v>
      </c>
      <c r="H59">
        <f>A$34</f>
        <v>2005</v>
      </c>
      <c r="I59" t="str">
        <f t="shared" si="7" ref="I59:I68">I$11</f>
        <v>MINGASRSV2</v>
      </c>
      <c r="J59" t="s">
        <v>269</v>
      </c>
      <c r="K59" t="str">
        <f t="shared" si="8" ref="K59:AU59">IF(K$11=0,"",K58*$B$34)</f>
        <v/>
      </c>
      <c r="L59" t="str">
        <f t="shared" si="8"/>
        <v/>
      </c>
      <c r="M59" t="str">
        <f t="shared" si="8"/>
        <v/>
      </c>
      <c r="N59" t="str">
        <f t="shared" si="8"/>
        <v/>
      </c>
      <c r="O59" t="str">
        <f t="shared" si="8"/>
        <v/>
      </c>
      <c r="P59" t="str">
        <f t="shared" si="8"/>
        <v/>
      </c>
      <c r="Q59" t="str">
        <f t="shared" si="8"/>
        <v/>
      </c>
      <c r="R59" t="str">
        <f t="shared" si="8"/>
        <v/>
      </c>
      <c r="S59" t="str">
        <f t="shared" si="8"/>
        <v/>
      </c>
      <c r="T59" t="str">
        <f t="shared" si="8"/>
        <v/>
      </c>
      <c r="U59" t="str">
        <f t="shared" si="8"/>
        <v/>
      </c>
      <c r="V59" t="str">
        <f t="shared" si="8"/>
        <v/>
      </c>
      <c r="W59" t="str">
        <f t="shared" si="8"/>
        <v/>
      </c>
      <c r="X59" t="str">
        <f t="shared" si="8"/>
        <v/>
      </c>
      <c r="Y59" t="str">
        <f t="shared" si="8"/>
        <v/>
      </c>
      <c r="Z59" t="str">
        <f t="shared" si="8"/>
        <v/>
      </c>
      <c r="AA59" t="str">
        <f t="shared" si="8"/>
        <v/>
      </c>
      <c r="AB59" t="str">
        <f t="shared" si="8"/>
        <v/>
      </c>
      <c r="AC59" t="str">
        <f t="shared" si="8"/>
        <v/>
      </c>
      <c r="AD59" t="str">
        <f t="shared" si="8"/>
        <v/>
      </c>
      <c r="AE59" t="str">
        <f t="shared" si="8"/>
        <v/>
      </c>
      <c r="AF59" t="str">
        <f t="shared" si="8"/>
        <v/>
      </c>
      <c r="AG59" t="str">
        <f t="shared" si="8"/>
        <v/>
      </c>
      <c r="AH59" t="str">
        <f t="shared" si="8"/>
        <v/>
      </c>
      <c r="AI59" t="str">
        <f t="shared" si="8"/>
        <v/>
      </c>
      <c r="AJ59" t="str">
        <f t="shared" si="8"/>
        <v/>
      </c>
      <c r="AK59" t="str">
        <f t="shared" si="8"/>
        <v/>
      </c>
      <c r="AL59" t="str">
        <f t="shared" si="8"/>
        <v/>
      </c>
      <c r="AM59" t="str">
        <f t="shared" si="8"/>
        <v/>
      </c>
      <c r="AN59" t="str">
        <f t="shared" si="8"/>
        <v/>
      </c>
      <c r="AO59" t="str">
        <f t="shared" si="8"/>
        <v/>
      </c>
      <c r="AP59" t="str">
        <f t="shared" si="8"/>
        <v/>
      </c>
      <c r="AQ59" t="str">
        <f t="shared" si="8"/>
        <v/>
      </c>
      <c r="AR59" t="str">
        <f t="shared" si="8"/>
        <v/>
      </c>
      <c r="AS59" t="str">
        <f t="shared" si="8"/>
        <v/>
      </c>
      <c r="AT59" t="str">
        <f t="shared" si="8"/>
        <v/>
      </c>
      <c r="AU59" t="str">
        <f t="shared" si="8"/>
        <v/>
      </c>
    </row>
    <row r="60" spans="5:47" ht="12.75">
      <c r="E60" t="s">
        <v>248</v>
      </c>
      <c r="G60" t="s">
        <v>154</v>
      </c>
      <c r="H60">
        <f>A$35</f>
        <v>2010</v>
      </c>
      <c r="I60" t="str">
        <f t="shared" si="7"/>
        <v>MINGASRSV2</v>
      </c>
      <c r="J60" t="s">
        <v>269</v>
      </c>
      <c r="K60" t="str">
        <f t="shared" si="9" ref="K60:AU60">IF(K$11=0,"",K59*$B$35)</f>
        <v/>
      </c>
      <c r="L60" t="str">
        <f t="shared" si="9"/>
        <v/>
      </c>
      <c r="M60" t="str">
        <f t="shared" si="9"/>
        <v/>
      </c>
      <c r="N60" t="str">
        <f t="shared" si="9"/>
        <v/>
      </c>
      <c r="O60" t="str">
        <f t="shared" si="9"/>
        <v/>
      </c>
      <c r="P60" t="str">
        <f t="shared" si="9"/>
        <v/>
      </c>
      <c r="Q60" t="str">
        <f t="shared" si="9"/>
        <v/>
      </c>
      <c r="R60" t="str">
        <f t="shared" si="9"/>
        <v/>
      </c>
      <c r="S60" t="str">
        <f t="shared" si="9"/>
        <v/>
      </c>
      <c r="T60" t="str">
        <f t="shared" si="9"/>
        <v/>
      </c>
      <c r="U60" t="str">
        <f t="shared" si="9"/>
        <v/>
      </c>
      <c r="V60" t="str">
        <f t="shared" si="9"/>
        <v/>
      </c>
      <c r="W60" t="str">
        <f t="shared" si="9"/>
        <v/>
      </c>
      <c r="X60" t="str">
        <f t="shared" si="9"/>
        <v/>
      </c>
      <c r="Y60" t="str">
        <f t="shared" si="9"/>
        <v/>
      </c>
      <c r="Z60" t="str">
        <f t="shared" si="9"/>
        <v/>
      </c>
      <c r="AA60" t="str">
        <f t="shared" si="9"/>
        <v/>
      </c>
      <c r="AB60" t="str">
        <f t="shared" si="9"/>
        <v/>
      </c>
      <c r="AC60" t="str">
        <f t="shared" si="9"/>
        <v/>
      </c>
      <c r="AD60" t="str">
        <f t="shared" si="9"/>
        <v/>
      </c>
      <c r="AE60" t="str">
        <f t="shared" si="9"/>
        <v/>
      </c>
      <c r="AF60" t="str">
        <f t="shared" si="9"/>
        <v/>
      </c>
      <c r="AG60" t="str">
        <f t="shared" si="9"/>
        <v/>
      </c>
      <c r="AH60" t="str">
        <f t="shared" si="9"/>
        <v/>
      </c>
      <c r="AI60" t="str">
        <f t="shared" si="9"/>
        <v/>
      </c>
      <c r="AJ60" t="str">
        <f t="shared" si="9"/>
        <v/>
      </c>
      <c r="AK60" t="str">
        <f t="shared" si="9"/>
        <v/>
      </c>
      <c r="AL60" t="str">
        <f t="shared" si="9"/>
        <v/>
      </c>
      <c r="AM60" t="str">
        <f t="shared" si="9"/>
        <v/>
      </c>
      <c r="AN60" t="str">
        <f t="shared" si="9"/>
        <v/>
      </c>
      <c r="AO60" t="str">
        <f t="shared" si="9"/>
        <v/>
      </c>
      <c r="AP60" t="str">
        <f t="shared" si="9"/>
        <v/>
      </c>
      <c r="AQ60" t="str">
        <f t="shared" si="9"/>
        <v/>
      </c>
      <c r="AR60" t="str">
        <f t="shared" si="9"/>
        <v/>
      </c>
      <c r="AS60" t="str">
        <f t="shared" si="9"/>
        <v/>
      </c>
      <c r="AT60" t="str">
        <f t="shared" si="9"/>
        <v/>
      </c>
      <c r="AU60" t="str">
        <f t="shared" si="9"/>
        <v/>
      </c>
    </row>
    <row r="61" spans="5:47" ht="12.75">
      <c r="E61" t="s">
        <v>248</v>
      </c>
      <c r="G61" t="s">
        <v>154</v>
      </c>
      <c r="H61">
        <f>A$36</f>
        <v>2015</v>
      </c>
      <c r="I61" t="str">
        <f t="shared" si="7"/>
        <v>MINGASRSV2</v>
      </c>
      <c r="J61" t="s">
        <v>269</v>
      </c>
      <c r="K61" t="str">
        <f t="shared" si="10" ref="K61:AU61">IF(K$11=0,"",K60*$B$36)</f>
        <v/>
      </c>
      <c r="L61" t="str">
        <f t="shared" si="10"/>
        <v/>
      </c>
      <c r="M61" t="str">
        <f t="shared" si="10"/>
        <v/>
      </c>
      <c r="N61" t="str">
        <f t="shared" si="10"/>
        <v/>
      </c>
      <c r="O61" t="str">
        <f t="shared" si="10"/>
        <v/>
      </c>
      <c r="P61" t="str">
        <f t="shared" si="10"/>
        <v/>
      </c>
      <c r="Q61" t="str">
        <f t="shared" si="10"/>
        <v/>
      </c>
      <c r="R61" t="str">
        <f t="shared" si="10"/>
        <v/>
      </c>
      <c r="S61" t="str">
        <f t="shared" si="10"/>
        <v/>
      </c>
      <c r="T61" t="str">
        <f t="shared" si="10"/>
        <v/>
      </c>
      <c r="U61" t="str">
        <f t="shared" si="10"/>
        <v/>
      </c>
      <c r="V61" t="str">
        <f t="shared" si="10"/>
        <v/>
      </c>
      <c r="W61" t="str">
        <f t="shared" si="10"/>
        <v/>
      </c>
      <c r="X61" t="str">
        <f t="shared" si="10"/>
        <v/>
      </c>
      <c r="Y61" t="str">
        <f t="shared" si="10"/>
        <v/>
      </c>
      <c r="Z61" t="str">
        <f t="shared" si="10"/>
        <v/>
      </c>
      <c r="AA61" t="str">
        <f t="shared" si="10"/>
        <v/>
      </c>
      <c r="AB61" t="str">
        <f t="shared" si="10"/>
        <v/>
      </c>
      <c r="AC61" t="str">
        <f t="shared" si="10"/>
        <v/>
      </c>
      <c r="AD61" t="str">
        <f t="shared" si="10"/>
        <v/>
      </c>
      <c r="AE61" t="str">
        <f t="shared" si="10"/>
        <v/>
      </c>
      <c r="AF61" t="str">
        <f t="shared" si="10"/>
        <v/>
      </c>
      <c r="AG61" t="str">
        <f t="shared" si="10"/>
        <v/>
      </c>
      <c r="AH61" t="str">
        <f t="shared" si="10"/>
        <v/>
      </c>
      <c r="AI61" t="str">
        <f t="shared" si="10"/>
        <v/>
      </c>
      <c r="AJ61" t="str">
        <f t="shared" si="10"/>
        <v/>
      </c>
      <c r="AK61" t="str">
        <f t="shared" si="10"/>
        <v/>
      </c>
      <c r="AL61" t="str">
        <f t="shared" si="10"/>
        <v/>
      </c>
      <c r="AM61" t="str">
        <f t="shared" si="10"/>
        <v/>
      </c>
      <c r="AN61" t="str">
        <f t="shared" si="10"/>
        <v/>
      </c>
      <c r="AO61" t="str">
        <f t="shared" si="10"/>
        <v/>
      </c>
      <c r="AP61" t="str">
        <f t="shared" si="10"/>
        <v/>
      </c>
      <c r="AQ61" t="str">
        <f t="shared" si="10"/>
        <v/>
      </c>
      <c r="AR61" t="str">
        <f t="shared" si="10"/>
        <v/>
      </c>
      <c r="AS61" t="str">
        <f t="shared" si="10"/>
        <v/>
      </c>
      <c r="AT61" t="str">
        <f t="shared" si="10"/>
        <v/>
      </c>
      <c r="AU61" t="str">
        <f t="shared" si="10"/>
        <v/>
      </c>
    </row>
    <row r="62" spans="5:47" ht="12.75">
      <c r="E62" t="s">
        <v>248</v>
      </c>
      <c r="G62" t="s">
        <v>154</v>
      </c>
      <c r="H62">
        <f>A$37</f>
        <v>2020</v>
      </c>
      <c r="I62" t="str">
        <f t="shared" si="7"/>
        <v>MINGASRSV2</v>
      </c>
      <c r="J62" t="s">
        <v>269</v>
      </c>
      <c r="K62" t="str">
        <f t="shared" si="11" ref="K62:AU62">IF(K$11=0,"",K61*$B$37)</f>
        <v/>
      </c>
      <c r="L62" t="str">
        <f t="shared" si="11"/>
        <v/>
      </c>
      <c r="M62" t="str">
        <f t="shared" si="11"/>
        <v/>
      </c>
      <c r="N62" t="str">
        <f t="shared" si="11"/>
        <v/>
      </c>
      <c r="O62" t="str">
        <f t="shared" si="11"/>
        <v/>
      </c>
      <c r="P62" t="str">
        <f t="shared" si="11"/>
        <v/>
      </c>
      <c r="Q62" t="str">
        <f t="shared" si="11"/>
        <v/>
      </c>
      <c r="R62" t="str">
        <f t="shared" si="11"/>
        <v/>
      </c>
      <c r="S62" t="str">
        <f t="shared" si="11"/>
        <v/>
      </c>
      <c r="T62" t="str">
        <f t="shared" si="11"/>
        <v/>
      </c>
      <c r="U62" t="str">
        <f t="shared" si="11"/>
        <v/>
      </c>
      <c r="V62" t="str">
        <f t="shared" si="11"/>
        <v/>
      </c>
      <c r="W62" t="str">
        <f t="shared" si="11"/>
        <v/>
      </c>
      <c r="X62" t="str">
        <f t="shared" si="11"/>
        <v/>
      </c>
      <c r="Y62" t="str">
        <f t="shared" si="11"/>
        <v/>
      </c>
      <c r="Z62" t="str">
        <f t="shared" si="11"/>
        <v/>
      </c>
      <c r="AA62" t="str">
        <f t="shared" si="11"/>
        <v/>
      </c>
      <c r="AB62" t="str">
        <f t="shared" si="11"/>
        <v/>
      </c>
      <c r="AC62" t="str">
        <f t="shared" si="11"/>
        <v/>
      </c>
      <c r="AD62" t="str">
        <f t="shared" si="11"/>
        <v/>
      </c>
      <c r="AE62" t="str">
        <f t="shared" si="11"/>
        <v/>
      </c>
      <c r="AF62" t="str">
        <f t="shared" si="11"/>
        <v/>
      </c>
      <c r="AG62" t="str">
        <f t="shared" si="11"/>
        <v/>
      </c>
      <c r="AH62" t="str">
        <f t="shared" si="11"/>
        <v/>
      </c>
      <c r="AI62" t="str">
        <f t="shared" si="11"/>
        <v/>
      </c>
      <c r="AJ62" t="str">
        <f t="shared" si="11"/>
        <v/>
      </c>
      <c r="AK62" t="str">
        <f t="shared" si="11"/>
        <v/>
      </c>
      <c r="AL62" t="str">
        <f t="shared" si="11"/>
        <v/>
      </c>
      <c r="AM62" t="str">
        <f t="shared" si="11"/>
        <v/>
      </c>
      <c r="AN62" t="str">
        <f t="shared" si="11"/>
        <v/>
      </c>
      <c r="AO62" t="str">
        <f t="shared" si="11"/>
        <v/>
      </c>
      <c r="AP62" t="str">
        <f t="shared" si="11"/>
        <v/>
      </c>
      <c r="AQ62" t="str">
        <f t="shared" si="11"/>
        <v/>
      </c>
      <c r="AR62" t="str">
        <f t="shared" si="11"/>
        <v/>
      </c>
      <c r="AS62" t="str">
        <f t="shared" si="11"/>
        <v/>
      </c>
      <c r="AT62" t="str">
        <f t="shared" si="11"/>
        <v/>
      </c>
      <c r="AU62" t="str">
        <f t="shared" si="11"/>
        <v/>
      </c>
    </row>
    <row r="63" spans="5:47" ht="12.75">
      <c r="E63" t="s">
        <v>248</v>
      </c>
      <c r="G63" t="s">
        <v>154</v>
      </c>
      <c r="H63">
        <f>A$38</f>
        <v>2025</v>
      </c>
      <c r="I63" t="str">
        <f t="shared" si="7"/>
        <v>MINGASRSV2</v>
      </c>
      <c r="J63" t="s">
        <v>269</v>
      </c>
      <c r="K63" t="str">
        <f t="shared" si="12" ref="K63:AU63">IF(K$11=0,"",K62*$B$38)</f>
        <v/>
      </c>
      <c r="L63" t="str">
        <f t="shared" si="12"/>
        <v/>
      </c>
      <c r="M63" t="str">
        <f t="shared" si="12"/>
        <v/>
      </c>
      <c r="N63" t="str">
        <f t="shared" si="12"/>
        <v/>
      </c>
      <c r="O63" t="str">
        <f t="shared" si="12"/>
        <v/>
      </c>
      <c r="P63" t="str">
        <f t="shared" si="12"/>
        <v/>
      </c>
      <c r="Q63" t="str">
        <f t="shared" si="12"/>
        <v/>
      </c>
      <c r="R63" t="str">
        <f t="shared" si="12"/>
        <v/>
      </c>
      <c r="S63" t="str">
        <f t="shared" si="12"/>
        <v/>
      </c>
      <c r="T63" t="str">
        <f t="shared" si="12"/>
        <v/>
      </c>
      <c r="U63" t="str">
        <f t="shared" si="12"/>
        <v/>
      </c>
      <c r="V63" t="str">
        <f t="shared" si="12"/>
        <v/>
      </c>
      <c r="W63" t="str">
        <f t="shared" si="12"/>
        <v/>
      </c>
      <c r="X63" t="str">
        <f t="shared" si="12"/>
        <v/>
      </c>
      <c r="Y63" t="str">
        <f t="shared" si="12"/>
        <v/>
      </c>
      <c r="Z63" t="str">
        <f t="shared" si="12"/>
        <v/>
      </c>
      <c r="AA63" t="str">
        <f t="shared" si="12"/>
        <v/>
      </c>
      <c r="AB63" t="str">
        <f t="shared" si="12"/>
        <v/>
      </c>
      <c r="AC63" t="str">
        <f t="shared" si="12"/>
        <v/>
      </c>
      <c r="AD63" t="str">
        <f t="shared" si="12"/>
        <v/>
      </c>
      <c r="AE63" t="str">
        <f t="shared" si="12"/>
        <v/>
      </c>
      <c r="AF63" t="str">
        <f t="shared" si="12"/>
        <v/>
      </c>
      <c r="AG63" t="str">
        <f t="shared" si="12"/>
        <v/>
      </c>
      <c r="AH63" t="str">
        <f t="shared" si="12"/>
        <v/>
      </c>
      <c r="AI63" t="str">
        <f t="shared" si="12"/>
        <v/>
      </c>
      <c r="AJ63" t="str">
        <f t="shared" si="12"/>
        <v/>
      </c>
      <c r="AK63" t="str">
        <f t="shared" si="12"/>
        <v/>
      </c>
      <c r="AL63" t="str">
        <f t="shared" si="12"/>
        <v/>
      </c>
      <c r="AM63" t="str">
        <f t="shared" si="12"/>
        <v/>
      </c>
      <c r="AN63" t="str">
        <f t="shared" si="12"/>
        <v/>
      </c>
      <c r="AO63" t="str">
        <f t="shared" si="12"/>
        <v/>
      </c>
      <c r="AP63" t="str">
        <f t="shared" si="12"/>
        <v/>
      </c>
      <c r="AQ63" t="str">
        <f t="shared" si="12"/>
        <v/>
      </c>
      <c r="AR63" t="str">
        <f t="shared" si="12"/>
        <v/>
      </c>
      <c r="AS63" t="str">
        <f t="shared" si="12"/>
        <v/>
      </c>
      <c r="AT63" t="str">
        <f t="shared" si="12"/>
        <v/>
      </c>
      <c r="AU63" t="str">
        <f t="shared" si="12"/>
        <v/>
      </c>
    </row>
    <row r="64" spans="5:47" ht="12.75">
      <c r="E64" t="s">
        <v>248</v>
      </c>
      <c r="G64" t="s">
        <v>154</v>
      </c>
      <c r="H64">
        <f>A$39</f>
        <v>2030</v>
      </c>
      <c r="I64" t="str">
        <f t="shared" si="7"/>
        <v>MINGASRSV2</v>
      </c>
      <c r="J64" t="s">
        <v>269</v>
      </c>
      <c r="K64" t="str">
        <f t="shared" si="13" ref="K64:AU64">IF(K$11=0,"",K63*$B$39)</f>
        <v/>
      </c>
      <c r="L64" t="str">
        <f t="shared" si="13"/>
        <v/>
      </c>
      <c r="M64" t="str">
        <f t="shared" si="13"/>
        <v/>
      </c>
      <c r="N64" t="str">
        <f t="shared" si="13"/>
        <v/>
      </c>
      <c r="O64" t="str">
        <f t="shared" si="13"/>
        <v/>
      </c>
      <c r="P64" t="str">
        <f t="shared" si="13"/>
        <v/>
      </c>
      <c r="Q64" t="str">
        <f t="shared" si="13"/>
        <v/>
      </c>
      <c r="R64" t="str">
        <f t="shared" si="13"/>
        <v/>
      </c>
      <c r="S64" t="str">
        <f t="shared" si="13"/>
        <v/>
      </c>
      <c r="T64" t="str">
        <f t="shared" si="13"/>
        <v/>
      </c>
      <c r="U64" t="str">
        <f t="shared" si="13"/>
        <v/>
      </c>
      <c r="V64" t="str">
        <f t="shared" si="13"/>
        <v/>
      </c>
      <c r="W64" t="str">
        <f t="shared" si="13"/>
        <v/>
      </c>
      <c r="X64" t="str">
        <f t="shared" si="13"/>
        <v/>
      </c>
      <c r="Y64" t="str">
        <f t="shared" si="13"/>
        <v/>
      </c>
      <c r="Z64" t="str">
        <f t="shared" si="13"/>
        <v/>
      </c>
      <c r="AA64" t="str">
        <f t="shared" si="13"/>
        <v/>
      </c>
      <c r="AB64" t="str">
        <f t="shared" si="13"/>
        <v/>
      </c>
      <c r="AC64" t="str">
        <f t="shared" si="13"/>
        <v/>
      </c>
      <c r="AD64" t="str">
        <f t="shared" si="13"/>
        <v/>
      </c>
      <c r="AE64" t="str">
        <f t="shared" si="13"/>
        <v/>
      </c>
      <c r="AF64" t="str">
        <f t="shared" si="13"/>
        <v/>
      </c>
      <c r="AG64" t="str">
        <f t="shared" si="13"/>
        <v/>
      </c>
      <c r="AH64" t="str">
        <f t="shared" si="13"/>
        <v/>
      </c>
      <c r="AI64" t="str">
        <f t="shared" si="13"/>
        <v/>
      </c>
      <c r="AJ64" t="str">
        <f t="shared" si="13"/>
        <v/>
      </c>
      <c r="AK64" t="str">
        <f t="shared" si="13"/>
        <v/>
      </c>
      <c r="AL64" t="str">
        <f t="shared" si="13"/>
        <v/>
      </c>
      <c r="AM64" t="str">
        <f t="shared" si="13"/>
        <v/>
      </c>
      <c r="AN64" t="str">
        <f t="shared" si="13"/>
        <v/>
      </c>
      <c r="AO64" t="str">
        <f t="shared" si="13"/>
        <v/>
      </c>
      <c r="AP64" t="str">
        <f t="shared" si="13"/>
        <v/>
      </c>
      <c r="AQ64" t="str">
        <f t="shared" si="13"/>
        <v/>
      </c>
      <c r="AR64" t="str">
        <f t="shared" si="13"/>
        <v/>
      </c>
      <c r="AS64" t="str">
        <f t="shared" si="13"/>
        <v/>
      </c>
      <c r="AT64" t="str">
        <f t="shared" si="13"/>
        <v/>
      </c>
      <c r="AU64" t="str">
        <f t="shared" si="13"/>
        <v/>
      </c>
    </row>
    <row r="65" spans="5:47" ht="12.75">
      <c r="E65" t="s">
        <v>248</v>
      </c>
      <c r="G65" t="s">
        <v>154</v>
      </c>
      <c r="H65">
        <f>A$40</f>
        <v>2035</v>
      </c>
      <c r="I65" t="str">
        <f t="shared" si="7"/>
        <v>MINGASRSV2</v>
      </c>
      <c r="J65" t="s">
        <v>269</v>
      </c>
      <c r="K65" t="str">
        <f t="shared" si="14" ref="K65:AU65">IF(K$11=0,"",K64*$B$40)</f>
        <v/>
      </c>
      <c r="L65" t="str">
        <f t="shared" si="14"/>
        <v/>
      </c>
      <c r="M65" t="str">
        <f t="shared" si="14"/>
        <v/>
      </c>
      <c r="N65" t="str">
        <f t="shared" si="14"/>
        <v/>
      </c>
      <c r="O65" t="str">
        <f t="shared" si="14"/>
        <v/>
      </c>
      <c r="P65" t="str">
        <f t="shared" si="14"/>
        <v/>
      </c>
      <c r="Q65" t="str">
        <f t="shared" si="14"/>
        <v/>
      </c>
      <c r="R65" t="str">
        <f t="shared" si="14"/>
        <v/>
      </c>
      <c r="S65" t="str">
        <f t="shared" si="14"/>
        <v/>
      </c>
      <c r="T65" t="str">
        <f t="shared" si="14"/>
        <v/>
      </c>
      <c r="U65" t="str">
        <f t="shared" si="14"/>
        <v/>
      </c>
      <c r="V65" t="str">
        <f t="shared" si="14"/>
        <v/>
      </c>
      <c r="W65" t="str">
        <f t="shared" si="14"/>
        <v/>
      </c>
      <c r="X65" t="str">
        <f t="shared" si="14"/>
        <v/>
      </c>
      <c r="Y65" t="str">
        <f t="shared" si="14"/>
        <v/>
      </c>
      <c r="Z65" t="str">
        <f t="shared" si="14"/>
        <v/>
      </c>
      <c r="AA65" t="str">
        <f t="shared" si="14"/>
        <v/>
      </c>
      <c r="AB65" t="str">
        <f t="shared" si="14"/>
        <v/>
      </c>
      <c r="AC65" t="str">
        <f t="shared" si="14"/>
        <v/>
      </c>
      <c r="AD65" t="str">
        <f t="shared" si="14"/>
        <v/>
      </c>
      <c r="AE65" t="str">
        <f t="shared" si="14"/>
        <v/>
      </c>
      <c r="AF65" t="str">
        <f t="shared" si="14"/>
        <v/>
      </c>
      <c r="AG65" t="str">
        <f t="shared" si="14"/>
        <v/>
      </c>
      <c r="AH65" t="str">
        <f t="shared" si="14"/>
        <v/>
      </c>
      <c r="AI65" t="str">
        <f t="shared" si="14"/>
        <v/>
      </c>
      <c r="AJ65" t="str">
        <f t="shared" si="14"/>
        <v/>
      </c>
      <c r="AK65" t="str">
        <f t="shared" si="14"/>
        <v/>
      </c>
      <c r="AL65" t="str">
        <f t="shared" si="14"/>
        <v/>
      </c>
      <c r="AM65" t="str">
        <f t="shared" si="14"/>
        <v/>
      </c>
      <c r="AN65" t="str">
        <f t="shared" si="14"/>
        <v/>
      </c>
      <c r="AO65" t="str">
        <f t="shared" si="14"/>
        <v/>
      </c>
      <c r="AP65" t="str">
        <f t="shared" si="14"/>
        <v/>
      </c>
      <c r="AQ65" t="str">
        <f t="shared" si="14"/>
        <v/>
      </c>
      <c r="AR65" t="str">
        <f t="shared" si="14"/>
        <v/>
      </c>
      <c r="AS65" t="str">
        <f t="shared" si="14"/>
        <v/>
      </c>
      <c r="AT65" t="str">
        <f t="shared" si="14"/>
        <v/>
      </c>
      <c r="AU65" t="str">
        <f t="shared" si="14"/>
        <v/>
      </c>
    </row>
    <row r="66" spans="5:47" ht="12.75">
      <c r="E66" t="s">
        <v>248</v>
      </c>
      <c r="G66" t="s">
        <v>154</v>
      </c>
      <c r="H66">
        <f>A$41</f>
        <v>2040</v>
      </c>
      <c r="I66" t="str">
        <f t="shared" si="7"/>
        <v>MINGASRSV2</v>
      </c>
      <c r="J66" t="s">
        <v>269</v>
      </c>
      <c r="K66" t="str">
        <f t="shared" si="15" ref="K66:AU66">IF(K$11=0,"",K65*$B$41)</f>
        <v/>
      </c>
      <c r="L66" t="str">
        <f t="shared" si="15"/>
        <v/>
      </c>
      <c r="M66" t="str">
        <f t="shared" si="15"/>
        <v/>
      </c>
      <c r="N66" t="str">
        <f t="shared" si="15"/>
        <v/>
      </c>
      <c r="O66" t="str">
        <f t="shared" si="15"/>
        <v/>
      </c>
      <c r="P66" t="str">
        <f t="shared" si="15"/>
        <v/>
      </c>
      <c r="Q66" t="str">
        <f t="shared" si="15"/>
        <v/>
      </c>
      <c r="R66" t="str">
        <f t="shared" si="15"/>
        <v/>
      </c>
      <c r="S66" t="str">
        <f t="shared" si="15"/>
        <v/>
      </c>
      <c r="T66" t="str">
        <f t="shared" si="15"/>
        <v/>
      </c>
      <c r="U66" t="str">
        <f t="shared" si="15"/>
        <v/>
      </c>
      <c r="V66" t="str">
        <f t="shared" si="15"/>
        <v/>
      </c>
      <c r="W66" t="str">
        <f t="shared" si="15"/>
        <v/>
      </c>
      <c r="X66" t="str">
        <f t="shared" si="15"/>
        <v/>
      </c>
      <c r="Y66" t="str">
        <f t="shared" si="15"/>
        <v/>
      </c>
      <c r="Z66" t="str">
        <f t="shared" si="15"/>
        <v/>
      </c>
      <c r="AA66" t="str">
        <f t="shared" si="15"/>
        <v/>
      </c>
      <c r="AB66" t="str">
        <f t="shared" si="15"/>
        <v/>
      </c>
      <c r="AC66" t="str">
        <f t="shared" si="15"/>
        <v/>
      </c>
      <c r="AD66" t="str">
        <f t="shared" si="15"/>
        <v/>
      </c>
      <c r="AE66" t="str">
        <f t="shared" si="15"/>
        <v/>
      </c>
      <c r="AF66" t="str">
        <f t="shared" si="15"/>
        <v/>
      </c>
      <c r="AG66" t="str">
        <f t="shared" si="15"/>
        <v/>
      </c>
      <c r="AH66" t="str">
        <f t="shared" si="15"/>
        <v/>
      </c>
      <c r="AI66" t="str">
        <f t="shared" si="15"/>
        <v/>
      </c>
      <c r="AJ66" t="str">
        <f t="shared" si="15"/>
        <v/>
      </c>
      <c r="AK66" t="str">
        <f t="shared" si="15"/>
        <v/>
      </c>
      <c r="AL66" t="str">
        <f t="shared" si="15"/>
        <v/>
      </c>
      <c r="AM66" t="str">
        <f t="shared" si="15"/>
        <v/>
      </c>
      <c r="AN66" t="str">
        <f t="shared" si="15"/>
        <v/>
      </c>
      <c r="AO66" t="str">
        <f t="shared" si="15"/>
        <v/>
      </c>
      <c r="AP66" t="str">
        <f t="shared" si="15"/>
        <v/>
      </c>
      <c r="AQ66" t="str">
        <f t="shared" si="15"/>
        <v/>
      </c>
      <c r="AR66" t="str">
        <f t="shared" si="15"/>
        <v/>
      </c>
      <c r="AS66" t="str">
        <f t="shared" si="15"/>
        <v/>
      </c>
      <c r="AT66" t="str">
        <f t="shared" si="15"/>
        <v/>
      </c>
      <c r="AU66" t="str">
        <f t="shared" si="15"/>
        <v/>
      </c>
    </row>
    <row r="67" spans="5:47" ht="12.75">
      <c r="E67" t="s">
        <v>248</v>
      </c>
      <c r="G67" t="s">
        <v>154</v>
      </c>
      <c r="H67">
        <f>A$42</f>
        <v>2045</v>
      </c>
      <c r="I67" t="str">
        <f t="shared" si="7"/>
        <v>MINGASRSV2</v>
      </c>
      <c r="J67" t="s">
        <v>269</v>
      </c>
      <c r="K67" t="str">
        <f t="shared" si="16" ref="K67:AU67">IF(K$11=0,"",K66*$B$42)</f>
        <v/>
      </c>
      <c r="L67" t="str">
        <f t="shared" si="16"/>
        <v/>
      </c>
      <c r="M67" t="str">
        <f t="shared" si="16"/>
        <v/>
      </c>
      <c r="N67" t="str">
        <f t="shared" si="16"/>
        <v/>
      </c>
      <c r="O67" t="str">
        <f t="shared" si="16"/>
        <v/>
      </c>
      <c r="P67" t="str">
        <f t="shared" si="16"/>
        <v/>
      </c>
      <c r="Q67" t="str">
        <f t="shared" si="16"/>
        <v/>
      </c>
      <c r="R67" t="str">
        <f t="shared" si="16"/>
        <v/>
      </c>
      <c r="S67" t="str">
        <f t="shared" si="16"/>
        <v/>
      </c>
      <c r="T67" t="str">
        <f t="shared" si="16"/>
        <v/>
      </c>
      <c r="U67" t="str">
        <f t="shared" si="16"/>
        <v/>
      </c>
      <c r="V67" t="str">
        <f t="shared" si="16"/>
        <v/>
      </c>
      <c r="W67" t="str">
        <f t="shared" si="16"/>
        <v/>
      </c>
      <c r="X67" t="str">
        <f t="shared" si="16"/>
        <v/>
      </c>
      <c r="Y67" t="str">
        <f t="shared" si="16"/>
        <v/>
      </c>
      <c r="Z67" t="str">
        <f t="shared" si="16"/>
        <v/>
      </c>
      <c r="AA67" t="str">
        <f t="shared" si="16"/>
        <v/>
      </c>
      <c r="AB67" t="str">
        <f t="shared" si="16"/>
        <v/>
      </c>
      <c r="AC67" t="str">
        <f t="shared" si="16"/>
        <v/>
      </c>
      <c r="AD67" t="str">
        <f t="shared" si="16"/>
        <v/>
      </c>
      <c r="AE67" t="str">
        <f t="shared" si="16"/>
        <v/>
      </c>
      <c r="AF67" t="str">
        <f t="shared" si="16"/>
        <v/>
      </c>
      <c r="AG67" t="str">
        <f t="shared" si="16"/>
        <v/>
      </c>
      <c r="AH67" t="str">
        <f t="shared" si="16"/>
        <v/>
      </c>
      <c r="AI67" t="str">
        <f t="shared" si="16"/>
        <v/>
      </c>
      <c r="AJ67" t="str">
        <f t="shared" si="16"/>
        <v/>
      </c>
      <c r="AK67" t="str">
        <f t="shared" si="16"/>
        <v/>
      </c>
      <c r="AL67" t="str">
        <f t="shared" si="16"/>
        <v/>
      </c>
      <c r="AM67" t="str">
        <f t="shared" si="16"/>
        <v/>
      </c>
      <c r="AN67" t="str">
        <f t="shared" si="16"/>
        <v/>
      </c>
      <c r="AO67" t="str">
        <f t="shared" si="16"/>
        <v/>
      </c>
      <c r="AP67" t="str">
        <f t="shared" si="16"/>
        <v/>
      </c>
      <c r="AQ67" t="str">
        <f t="shared" si="16"/>
        <v/>
      </c>
      <c r="AR67" t="str">
        <f t="shared" si="16"/>
        <v/>
      </c>
      <c r="AS67" t="str">
        <f t="shared" si="16"/>
        <v/>
      </c>
      <c r="AT67" t="str">
        <f t="shared" si="16"/>
        <v/>
      </c>
      <c r="AU67" t="str">
        <f t="shared" si="16"/>
        <v/>
      </c>
    </row>
    <row r="68" spans="5:47" ht="12.75">
      <c r="E68" t="s">
        <v>248</v>
      </c>
      <c r="G68" t="s">
        <v>154</v>
      </c>
      <c r="H68">
        <f>A$43</f>
        <v>2050</v>
      </c>
      <c r="I68" t="str">
        <f t="shared" si="7"/>
        <v>MINGASRSV2</v>
      </c>
      <c r="J68" t="s">
        <v>269</v>
      </c>
      <c r="K68" t="str">
        <f t="shared" si="17" ref="K68:AU68">IF(K$11=0,"",K67*$B$43)</f>
        <v/>
      </c>
      <c r="L68" t="str">
        <f t="shared" si="17"/>
        <v/>
      </c>
      <c r="M68" t="str">
        <f t="shared" si="17"/>
        <v/>
      </c>
      <c r="N68" t="str">
        <f t="shared" si="17"/>
        <v/>
      </c>
      <c r="O68" t="str">
        <f t="shared" si="17"/>
        <v/>
      </c>
      <c r="P68" t="str">
        <f t="shared" si="17"/>
        <v/>
      </c>
      <c r="Q68" t="str">
        <f t="shared" si="17"/>
        <v/>
      </c>
      <c r="R68" t="str">
        <f t="shared" si="17"/>
        <v/>
      </c>
      <c r="S68" t="str">
        <f t="shared" si="17"/>
        <v/>
      </c>
      <c r="T68" t="str">
        <f t="shared" si="17"/>
        <v/>
      </c>
      <c r="U68" t="str">
        <f t="shared" si="17"/>
        <v/>
      </c>
      <c r="V68" t="str">
        <f t="shared" si="17"/>
        <v/>
      </c>
      <c r="W68" t="str">
        <f t="shared" si="17"/>
        <v/>
      </c>
      <c r="X68" t="str">
        <f t="shared" si="17"/>
        <v/>
      </c>
      <c r="Y68" t="str">
        <f t="shared" si="17"/>
        <v/>
      </c>
      <c r="Z68" t="str">
        <f t="shared" si="17"/>
        <v/>
      </c>
      <c r="AA68" t="str">
        <f t="shared" si="17"/>
        <v/>
      </c>
      <c r="AB68" t="str">
        <f t="shared" si="17"/>
        <v/>
      </c>
      <c r="AC68" t="str">
        <f t="shared" si="17"/>
        <v/>
      </c>
      <c r="AD68" t="str">
        <f t="shared" si="17"/>
        <v/>
      </c>
      <c r="AE68" t="str">
        <f t="shared" si="17"/>
        <v/>
      </c>
      <c r="AF68" t="str">
        <f t="shared" si="17"/>
        <v/>
      </c>
      <c r="AG68" t="str">
        <f t="shared" si="17"/>
        <v/>
      </c>
      <c r="AH68" t="str">
        <f t="shared" si="17"/>
        <v/>
      </c>
      <c r="AI68" t="str">
        <f t="shared" si="17"/>
        <v/>
      </c>
      <c r="AJ68" t="str">
        <f t="shared" si="17"/>
        <v/>
      </c>
      <c r="AK68" t="str">
        <f t="shared" si="17"/>
        <v/>
      </c>
      <c r="AL68" t="str">
        <f t="shared" si="17"/>
        <v/>
      </c>
      <c r="AM68" t="str">
        <f t="shared" si="17"/>
        <v/>
      </c>
      <c r="AN68" t="str">
        <f t="shared" si="17"/>
        <v/>
      </c>
      <c r="AO68" t="str">
        <f t="shared" si="17"/>
        <v/>
      </c>
      <c r="AP68" t="str">
        <f t="shared" si="17"/>
        <v/>
      </c>
      <c r="AQ68" t="str">
        <f t="shared" si="17"/>
        <v/>
      </c>
      <c r="AR68" t="str">
        <f t="shared" si="17"/>
        <v/>
      </c>
      <c r="AS68" t="str">
        <f t="shared" si="17"/>
        <v/>
      </c>
      <c r="AT68" t="str">
        <f t="shared" si="17"/>
        <v/>
      </c>
      <c r="AU68" t="str">
        <f t="shared" si="17"/>
        <v/>
      </c>
    </row>
    <row r="69" spans="5:47" ht="12.75">
      <c r="E69" t="s">
        <v>248</v>
      </c>
      <c r="G69" t="s">
        <v>154</v>
      </c>
      <c r="H69">
        <f>A$33</f>
        <v>2001</v>
      </c>
      <c r="I69" t="str">
        <f>I$12</f>
        <v>MINGASRSV3</v>
      </c>
      <c r="J69" t="s">
        <v>269</v>
      </c>
      <c r="K69" t="str">
        <f>IF(K$12=0,"",K$12*$B$33)</f>
        <v/>
      </c>
      <c r="L69" t="str">
        <f>IF(L$12=0,"",L$12*$B$33)</f>
        <v/>
      </c>
      <c r="M69" t="str">
        <f>IF(M$12=0,"",M$12*$B$33)</f>
        <v/>
      </c>
      <c r="N69" t="str">
        <f t="shared" si="18" ref="N69:AU69">IF(N$12=0,"",N$12*$B$33)</f>
        <v/>
      </c>
      <c r="O69" t="str">
        <f t="shared" si="18"/>
        <v/>
      </c>
      <c r="P69" t="str">
        <f t="shared" si="18"/>
        <v/>
      </c>
      <c r="Q69" t="str">
        <f t="shared" si="18"/>
        <v/>
      </c>
      <c r="R69" t="str">
        <f t="shared" si="18"/>
        <v/>
      </c>
      <c r="S69" t="str">
        <f t="shared" si="18"/>
        <v/>
      </c>
      <c r="T69" t="str">
        <f t="shared" si="18"/>
        <v/>
      </c>
      <c r="U69" t="str">
        <f t="shared" si="18"/>
        <v/>
      </c>
      <c r="V69" t="str">
        <f t="shared" si="18"/>
        <v/>
      </c>
      <c r="W69" t="str">
        <f t="shared" si="18"/>
        <v/>
      </c>
      <c r="X69" t="str">
        <f t="shared" si="18"/>
        <v/>
      </c>
      <c r="Y69" t="str">
        <f t="shared" si="18"/>
        <v/>
      </c>
      <c r="Z69" t="str">
        <f t="shared" si="18"/>
        <v/>
      </c>
      <c r="AA69" t="str">
        <f t="shared" si="18"/>
        <v/>
      </c>
      <c r="AB69" t="str">
        <f t="shared" si="18"/>
        <v/>
      </c>
      <c r="AC69" t="str">
        <f t="shared" si="18"/>
        <v/>
      </c>
      <c r="AD69" t="str">
        <f t="shared" si="18"/>
        <v/>
      </c>
      <c r="AE69" t="str">
        <f t="shared" si="18"/>
        <v/>
      </c>
      <c r="AF69" t="str">
        <f t="shared" si="18"/>
        <v/>
      </c>
      <c r="AG69" t="str">
        <f t="shared" si="18"/>
        <v/>
      </c>
      <c r="AH69" t="str">
        <f t="shared" si="18"/>
        <v/>
      </c>
      <c r="AI69" t="str">
        <f t="shared" si="18"/>
        <v/>
      </c>
      <c r="AJ69" t="str">
        <f t="shared" si="18"/>
        <v/>
      </c>
      <c r="AK69" t="str">
        <f t="shared" si="18"/>
        <v/>
      </c>
      <c r="AL69" t="str">
        <f t="shared" si="18"/>
        <v/>
      </c>
      <c r="AM69" t="str">
        <f t="shared" si="18"/>
        <v/>
      </c>
      <c r="AN69" t="str">
        <f t="shared" si="18"/>
        <v/>
      </c>
      <c r="AO69" t="str">
        <f t="shared" si="18"/>
        <v/>
      </c>
      <c r="AP69" t="str">
        <f t="shared" si="18"/>
        <v/>
      </c>
      <c r="AQ69" t="str">
        <f t="shared" si="18"/>
        <v/>
      </c>
      <c r="AR69" t="str">
        <f t="shared" si="18"/>
        <v/>
      </c>
      <c r="AS69" t="str">
        <f t="shared" si="18"/>
        <v/>
      </c>
      <c r="AT69" t="str">
        <f t="shared" si="18"/>
        <v/>
      </c>
      <c r="AU69" t="str">
        <f t="shared" si="18"/>
        <v/>
      </c>
    </row>
    <row r="70" spans="5:47" ht="12.75">
      <c r="E70" t="s">
        <v>248</v>
      </c>
      <c r="G70" t="s">
        <v>154</v>
      </c>
      <c r="H70">
        <f>A$34</f>
        <v>2005</v>
      </c>
      <c r="I70" t="str">
        <f t="shared" si="19" ref="I70:I79">I$12</f>
        <v>MINGASRSV3</v>
      </c>
      <c r="J70" t="s">
        <v>269</v>
      </c>
      <c r="K70" t="str">
        <f>IF(K$12=0,"",K69*$B$34)</f>
        <v/>
      </c>
      <c r="L70" t="str">
        <f>IF(L$12=0,"",L69*$B$34)</f>
        <v/>
      </c>
      <c r="M70" t="str">
        <f>IF(M$12=0,"",M69*$B$34)</f>
        <v/>
      </c>
      <c r="N70" t="str">
        <f t="shared" si="20" ref="N70:AU70">IF(N$12=0,"",N69*$B$34)</f>
        <v/>
      </c>
      <c r="O70" t="str">
        <f t="shared" si="20"/>
        <v/>
      </c>
      <c r="P70" t="str">
        <f t="shared" si="20"/>
        <v/>
      </c>
      <c r="Q70" t="str">
        <f t="shared" si="20"/>
        <v/>
      </c>
      <c r="R70" t="str">
        <f t="shared" si="20"/>
        <v/>
      </c>
      <c r="S70" t="str">
        <f t="shared" si="20"/>
        <v/>
      </c>
      <c r="T70" t="str">
        <f t="shared" si="20"/>
        <v/>
      </c>
      <c r="U70" t="str">
        <f t="shared" si="20"/>
        <v/>
      </c>
      <c r="V70" t="str">
        <f t="shared" si="20"/>
        <v/>
      </c>
      <c r="W70" t="str">
        <f t="shared" si="20"/>
        <v/>
      </c>
      <c r="X70" t="str">
        <f t="shared" si="20"/>
        <v/>
      </c>
      <c r="Y70" t="str">
        <f t="shared" si="20"/>
        <v/>
      </c>
      <c r="Z70" t="str">
        <f t="shared" si="20"/>
        <v/>
      </c>
      <c r="AA70" t="str">
        <f t="shared" si="20"/>
        <v/>
      </c>
      <c r="AB70" t="str">
        <f t="shared" si="20"/>
        <v/>
      </c>
      <c r="AC70" t="str">
        <f t="shared" si="20"/>
        <v/>
      </c>
      <c r="AD70" t="str">
        <f t="shared" si="20"/>
        <v/>
      </c>
      <c r="AE70" t="str">
        <f t="shared" si="20"/>
        <v/>
      </c>
      <c r="AF70" t="str">
        <f t="shared" si="20"/>
        <v/>
      </c>
      <c r="AG70" t="str">
        <f t="shared" si="20"/>
        <v/>
      </c>
      <c r="AH70" t="str">
        <f t="shared" si="20"/>
        <v/>
      </c>
      <c r="AI70" t="str">
        <f t="shared" si="20"/>
        <v/>
      </c>
      <c r="AJ70" t="str">
        <f t="shared" si="20"/>
        <v/>
      </c>
      <c r="AK70" t="str">
        <f t="shared" si="20"/>
        <v/>
      </c>
      <c r="AL70" t="str">
        <f t="shared" si="20"/>
        <v/>
      </c>
      <c r="AM70" t="str">
        <f t="shared" si="20"/>
        <v/>
      </c>
      <c r="AN70" t="str">
        <f t="shared" si="20"/>
        <v/>
      </c>
      <c r="AO70" t="str">
        <f t="shared" si="20"/>
        <v/>
      </c>
      <c r="AP70" t="str">
        <f t="shared" si="20"/>
        <v/>
      </c>
      <c r="AQ70" t="str">
        <f t="shared" si="20"/>
        <v/>
      </c>
      <c r="AR70" t="str">
        <f t="shared" si="20"/>
        <v/>
      </c>
      <c r="AS70" t="str">
        <f t="shared" si="20"/>
        <v/>
      </c>
      <c r="AT70" t="str">
        <f t="shared" si="20"/>
        <v/>
      </c>
      <c r="AU70" t="str">
        <f t="shared" si="20"/>
        <v/>
      </c>
    </row>
    <row r="71" spans="5:47" ht="12.75">
      <c r="E71" t="s">
        <v>248</v>
      </c>
      <c r="G71" t="s">
        <v>154</v>
      </c>
      <c r="H71">
        <f>A$35</f>
        <v>2010</v>
      </c>
      <c r="I71" t="str">
        <f t="shared" si="19"/>
        <v>MINGASRSV3</v>
      </c>
      <c r="J71" t="s">
        <v>269</v>
      </c>
      <c r="K71" t="str">
        <f>IF(K$12=0,"",K70*$B$35)</f>
        <v/>
      </c>
      <c r="L71" t="str">
        <f>IF(L$12=0,"",L70*$B$35)</f>
        <v/>
      </c>
      <c r="M71" t="str">
        <f>IF(M$12=0,"",M70*$B$35)</f>
        <v/>
      </c>
      <c r="N71" t="str">
        <f t="shared" si="21" ref="N71:AU71">IF(N$12=0,"",N70*$B$35)</f>
        <v/>
      </c>
      <c r="O71" t="str">
        <f t="shared" si="21"/>
        <v/>
      </c>
      <c r="P71" t="str">
        <f t="shared" si="21"/>
        <v/>
      </c>
      <c r="Q71" t="str">
        <f t="shared" si="21"/>
        <v/>
      </c>
      <c r="R71" t="str">
        <f t="shared" si="21"/>
        <v/>
      </c>
      <c r="S71" t="str">
        <f t="shared" si="21"/>
        <v/>
      </c>
      <c r="T71" t="str">
        <f t="shared" si="21"/>
        <v/>
      </c>
      <c r="U71" t="str">
        <f t="shared" si="21"/>
        <v/>
      </c>
      <c r="V71" t="str">
        <f t="shared" si="21"/>
        <v/>
      </c>
      <c r="W71" t="str">
        <f t="shared" si="21"/>
        <v/>
      </c>
      <c r="X71" t="str">
        <f t="shared" si="21"/>
        <v/>
      </c>
      <c r="Y71" t="str">
        <f t="shared" si="21"/>
        <v/>
      </c>
      <c r="Z71" t="str">
        <f t="shared" si="21"/>
        <v/>
      </c>
      <c r="AA71" t="str">
        <f t="shared" si="21"/>
        <v/>
      </c>
      <c r="AB71" t="str">
        <f t="shared" si="21"/>
        <v/>
      </c>
      <c r="AC71" t="str">
        <f t="shared" si="21"/>
        <v/>
      </c>
      <c r="AD71" t="str">
        <f t="shared" si="21"/>
        <v/>
      </c>
      <c r="AE71" t="str">
        <f t="shared" si="21"/>
        <v/>
      </c>
      <c r="AF71" t="str">
        <f t="shared" si="21"/>
        <v/>
      </c>
      <c r="AG71" t="str">
        <f t="shared" si="21"/>
        <v/>
      </c>
      <c r="AH71" t="str">
        <f t="shared" si="21"/>
        <v/>
      </c>
      <c r="AI71" t="str">
        <f t="shared" si="21"/>
        <v/>
      </c>
      <c r="AJ71" t="str">
        <f t="shared" si="21"/>
        <v/>
      </c>
      <c r="AK71" t="str">
        <f t="shared" si="21"/>
        <v/>
      </c>
      <c r="AL71" t="str">
        <f t="shared" si="21"/>
        <v/>
      </c>
      <c r="AM71" t="str">
        <f t="shared" si="21"/>
        <v/>
      </c>
      <c r="AN71" t="str">
        <f t="shared" si="21"/>
        <v/>
      </c>
      <c r="AO71" t="str">
        <f t="shared" si="21"/>
        <v/>
      </c>
      <c r="AP71" t="str">
        <f t="shared" si="21"/>
        <v/>
      </c>
      <c r="AQ71" t="str">
        <f t="shared" si="21"/>
        <v/>
      </c>
      <c r="AR71" t="str">
        <f t="shared" si="21"/>
        <v/>
      </c>
      <c r="AS71" t="str">
        <f t="shared" si="21"/>
        <v/>
      </c>
      <c r="AT71" t="str">
        <f t="shared" si="21"/>
        <v/>
      </c>
      <c r="AU71" t="str">
        <f t="shared" si="21"/>
        <v/>
      </c>
    </row>
    <row r="72" spans="5:47" ht="12.75">
      <c r="E72" t="s">
        <v>248</v>
      </c>
      <c r="G72" t="s">
        <v>154</v>
      </c>
      <c r="H72">
        <f>A$36</f>
        <v>2015</v>
      </c>
      <c r="I72" t="str">
        <f t="shared" si="19"/>
        <v>MINGASRSV3</v>
      </c>
      <c r="J72" t="s">
        <v>269</v>
      </c>
      <c r="K72" t="str">
        <f>IF(K$12=0,"",K71*$B$36)</f>
        <v/>
      </c>
      <c r="L72" t="str">
        <f>IF(L$12=0,"",L71*$B$36)</f>
        <v/>
      </c>
      <c r="M72" t="str">
        <f>IF(M$12=0,"",M71*$B$36)</f>
        <v/>
      </c>
      <c r="N72" t="str">
        <f t="shared" si="22" ref="N72:AU72">IF(N$12=0,"",N71*$B$36)</f>
        <v/>
      </c>
      <c r="O72" t="str">
        <f t="shared" si="22"/>
        <v/>
      </c>
      <c r="P72" t="str">
        <f t="shared" si="22"/>
        <v/>
      </c>
      <c r="Q72" t="str">
        <f t="shared" si="22"/>
        <v/>
      </c>
      <c r="R72" t="str">
        <f t="shared" si="22"/>
        <v/>
      </c>
      <c r="S72" t="str">
        <f t="shared" si="22"/>
        <v/>
      </c>
      <c r="T72" t="str">
        <f t="shared" si="22"/>
        <v/>
      </c>
      <c r="U72" t="str">
        <f t="shared" si="22"/>
        <v/>
      </c>
      <c r="V72" t="str">
        <f t="shared" si="22"/>
        <v/>
      </c>
      <c r="W72" t="str">
        <f t="shared" si="22"/>
        <v/>
      </c>
      <c r="X72" t="str">
        <f t="shared" si="22"/>
        <v/>
      </c>
      <c r="Y72" t="str">
        <f t="shared" si="22"/>
        <v/>
      </c>
      <c r="Z72" t="str">
        <f t="shared" si="22"/>
        <v/>
      </c>
      <c r="AA72" t="str">
        <f t="shared" si="22"/>
        <v/>
      </c>
      <c r="AB72" t="str">
        <f t="shared" si="22"/>
        <v/>
      </c>
      <c r="AC72" t="str">
        <f t="shared" si="22"/>
        <v/>
      </c>
      <c r="AD72" t="str">
        <f t="shared" si="22"/>
        <v/>
      </c>
      <c r="AE72" t="str">
        <f t="shared" si="22"/>
        <v/>
      </c>
      <c r="AF72" t="str">
        <f t="shared" si="22"/>
        <v/>
      </c>
      <c r="AG72" t="str">
        <f t="shared" si="22"/>
        <v/>
      </c>
      <c r="AH72" t="str">
        <f t="shared" si="22"/>
        <v/>
      </c>
      <c r="AI72" t="str">
        <f t="shared" si="22"/>
        <v/>
      </c>
      <c r="AJ72" t="str">
        <f t="shared" si="22"/>
        <v/>
      </c>
      <c r="AK72" t="str">
        <f t="shared" si="22"/>
        <v/>
      </c>
      <c r="AL72" t="str">
        <f t="shared" si="22"/>
        <v/>
      </c>
      <c r="AM72" t="str">
        <f t="shared" si="22"/>
        <v/>
      </c>
      <c r="AN72" t="str">
        <f t="shared" si="22"/>
        <v/>
      </c>
      <c r="AO72" t="str">
        <f t="shared" si="22"/>
        <v/>
      </c>
      <c r="AP72" t="str">
        <f t="shared" si="22"/>
        <v/>
      </c>
      <c r="AQ72" t="str">
        <f t="shared" si="22"/>
        <v/>
      </c>
      <c r="AR72" t="str">
        <f t="shared" si="22"/>
        <v/>
      </c>
      <c r="AS72" t="str">
        <f t="shared" si="22"/>
        <v/>
      </c>
      <c r="AT72" t="str">
        <f t="shared" si="22"/>
        <v/>
      </c>
      <c r="AU72" t="str">
        <f t="shared" si="22"/>
        <v/>
      </c>
    </row>
    <row r="73" spans="5:47" ht="12.75">
      <c r="E73" t="s">
        <v>248</v>
      </c>
      <c r="G73" t="s">
        <v>154</v>
      </c>
      <c r="H73">
        <f>A$37</f>
        <v>2020</v>
      </c>
      <c r="I73" t="str">
        <f t="shared" si="19"/>
        <v>MINGASRSV3</v>
      </c>
      <c r="J73" t="s">
        <v>269</v>
      </c>
      <c r="K73" t="str">
        <f>IF(K$12=0,"",K72*$B$37)</f>
        <v/>
      </c>
      <c r="L73" t="str">
        <f>IF(L$12=0,"",L72*$B$37)</f>
        <v/>
      </c>
      <c r="M73" t="str">
        <f>IF(M$12=0,"",M72*$B$37)</f>
        <v/>
      </c>
      <c r="N73" t="str">
        <f t="shared" si="23" ref="N73:AU73">IF(N$12=0,"",N72*$B$37)</f>
        <v/>
      </c>
      <c r="O73" t="str">
        <f t="shared" si="23"/>
        <v/>
      </c>
      <c r="P73" t="str">
        <f t="shared" si="23"/>
        <v/>
      </c>
      <c r="Q73" t="str">
        <f t="shared" si="23"/>
        <v/>
      </c>
      <c r="R73" t="str">
        <f t="shared" si="23"/>
        <v/>
      </c>
      <c r="S73" t="str">
        <f t="shared" si="23"/>
        <v/>
      </c>
      <c r="T73" t="str">
        <f t="shared" si="23"/>
        <v/>
      </c>
      <c r="U73" t="str">
        <f t="shared" si="23"/>
        <v/>
      </c>
      <c r="V73" t="str">
        <f t="shared" si="23"/>
        <v/>
      </c>
      <c r="W73" t="str">
        <f t="shared" si="23"/>
        <v/>
      </c>
      <c r="X73" t="str">
        <f t="shared" si="23"/>
        <v/>
      </c>
      <c r="Y73" t="str">
        <f t="shared" si="23"/>
        <v/>
      </c>
      <c r="Z73" t="str">
        <f t="shared" si="23"/>
        <v/>
      </c>
      <c r="AA73" t="str">
        <f t="shared" si="23"/>
        <v/>
      </c>
      <c r="AB73" t="str">
        <f t="shared" si="23"/>
        <v/>
      </c>
      <c r="AC73" t="str">
        <f t="shared" si="23"/>
        <v/>
      </c>
      <c r="AD73" t="str">
        <f t="shared" si="23"/>
        <v/>
      </c>
      <c r="AE73" t="str">
        <f t="shared" si="23"/>
        <v/>
      </c>
      <c r="AF73" t="str">
        <f t="shared" si="23"/>
        <v/>
      </c>
      <c r="AG73" t="str">
        <f t="shared" si="23"/>
        <v/>
      </c>
      <c r="AH73" t="str">
        <f t="shared" si="23"/>
        <v/>
      </c>
      <c r="AI73" t="str">
        <f t="shared" si="23"/>
        <v/>
      </c>
      <c r="AJ73" t="str">
        <f t="shared" si="23"/>
        <v/>
      </c>
      <c r="AK73" t="str">
        <f t="shared" si="23"/>
        <v/>
      </c>
      <c r="AL73" t="str">
        <f t="shared" si="23"/>
        <v/>
      </c>
      <c r="AM73" t="str">
        <f t="shared" si="23"/>
        <v/>
      </c>
      <c r="AN73" t="str">
        <f t="shared" si="23"/>
        <v/>
      </c>
      <c r="AO73" t="str">
        <f t="shared" si="23"/>
        <v/>
      </c>
      <c r="AP73" t="str">
        <f t="shared" si="23"/>
        <v/>
      </c>
      <c r="AQ73" t="str">
        <f t="shared" si="23"/>
        <v/>
      </c>
      <c r="AR73" t="str">
        <f t="shared" si="23"/>
        <v/>
      </c>
      <c r="AS73" t="str">
        <f t="shared" si="23"/>
        <v/>
      </c>
      <c r="AT73" t="str">
        <f t="shared" si="23"/>
        <v/>
      </c>
      <c r="AU73" t="str">
        <f t="shared" si="23"/>
        <v/>
      </c>
    </row>
    <row r="74" spans="5:47" ht="12.75">
      <c r="E74" t="s">
        <v>248</v>
      </c>
      <c r="G74" t="s">
        <v>154</v>
      </c>
      <c r="H74">
        <f>A$38</f>
        <v>2025</v>
      </c>
      <c r="I74" t="str">
        <f t="shared" si="19"/>
        <v>MINGASRSV3</v>
      </c>
      <c r="J74" t="s">
        <v>269</v>
      </c>
      <c r="K74" t="str">
        <f>IF(K$12=0,"",K73*$B$38)</f>
        <v/>
      </c>
      <c r="L74" t="str">
        <f>IF(L$12=0,"",L73*$B$38)</f>
        <v/>
      </c>
      <c r="M74" t="str">
        <f>IF(M$12=0,"",M73*$B$38)</f>
        <v/>
      </c>
      <c r="N74" t="str">
        <f t="shared" si="24" ref="N74:AU74">IF(N$12=0,"",N73*$B$38)</f>
        <v/>
      </c>
      <c r="O74" t="str">
        <f t="shared" si="24"/>
        <v/>
      </c>
      <c r="P74" t="str">
        <f t="shared" si="24"/>
        <v/>
      </c>
      <c r="Q74" t="str">
        <f t="shared" si="24"/>
        <v/>
      </c>
      <c r="R74" t="str">
        <f t="shared" si="24"/>
        <v/>
      </c>
      <c r="S74" t="str">
        <f t="shared" si="24"/>
        <v/>
      </c>
      <c r="T74" t="str">
        <f t="shared" si="24"/>
        <v/>
      </c>
      <c r="U74" t="str">
        <f t="shared" si="24"/>
        <v/>
      </c>
      <c r="V74" t="str">
        <f t="shared" si="24"/>
        <v/>
      </c>
      <c r="W74" t="str">
        <f t="shared" si="24"/>
        <v/>
      </c>
      <c r="X74" t="str">
        <f t="shared" si="24"/>
        <v/>
      </c>
      <c r="Y74" t="str">
        <f t="shared" si="24"/>
        <v/>
      </c>
      <c r="Z74" t="str">
        <f t="shared" si="24"/>
        <v/>
      </c>
      <c r="AA74" t="str">
        <f t="shared" si="24"/>
        <v/>
      </c>
      <c r="AB74" t="str">
        <f t="shared" si="24"/>
        <v/>
      </c>
      <c r="AC74" t="str">
        <f t="shared" si="24"/>
        <v/>
      </c>
      <c r="AD74" t="str">
        <f t="shared" si="24"/>
        <v/>
      </c>
      <c r="AE74" t="str">
        <f t="shared" si="24"/>
        <v/>
      </c>
      <c r="AF74" t="str">
        <f t="shared" si="24"/>
        <v/>
      </c>
      <c r="AG74" t="str">
        <f t="shared" si="24"/>
        <v/>
      </c>
      <c r="AH74" t="str">
        <f t="shared" si="24"/>
        <v/>
      </c>
      <c r="AI74" t="str">
        <f t="shared" si="24"/>
        <v/>
      </c>
      <c r="AJ74" t="str">
        <f t="shared" si="24"/>
        <v/>
      </c>
      <c r="AK74" t="str">
        <f t="shared" si="24"/>
        <v/>
      </c>
      <c r="AL74" t="str">
        <f t="shared" si="24"/>
        <v/>
      </c>
      <c r="AM74" t="str">
        <f t="shared" si="24"/>
        <v/>
      </c>
      <c r="AN74" t="str">
        <f t="shared" si="24"/>
        <v/>
      </c>
      <c r="AO74" t="str">
        <f t="shared" si="24"/>
        <v/>
      </c>
      <c r="AP74" t="str">
        <f t="shared" si="24"/>
        <v/>
      </c>
      <c r="AQ74" t="str">
        <f t="shared" si="24"/>
        <v/>
      </c>
      <c r="AR74" t="str">
        <f t="shared" si="24"/>
        <v/>
      </c>
      <c r="AS74" t="str">
        <f t="shared" si="24"/>
        <v/>
      </c>
      <c r="AT74" t="str">
        <f t="shared" si="24"/>
        <v/>
      </c>
      <c r="AU74" t="str">
        <f t="shared" si="24"/>
        <v/>
      </c>
    </row>
    <row r="75" spans="5:47" ht="12.75">
      <c r="E75" t="s">
        <v>248</v>
      </c>
      <c r="G75" t="s">
        <v>154</v>
      </c>
      <c r="H75">
        <f>A$39</f>
        <v>2030</v>
      </c>
      <c r="I75" t="str">
        <f t="shared" si="19"/>
        <v>MINGASRSV3</v>
      </c>
      <c r="J75" t="s">
        <v>269</v>
      </c>
      <c r="K75" t="str">
        <f>IF(K$12=0,"",K74*$B$39)</f>
        <v/>
      </c>
      <c r="L75" t="str">
        <f>IF(L$12=0,"",L74*$B$39)</f>
        <v/>
      </c>
      <c r="M75" t="str">
        <f>IF(M$12=0,"",M74*$B$39)</f>
        <v/>
      </c>
      <c r="N75" t="str">
        <f t="shared" si="25" ref="N75:AU75">IF(N$12=0,"",N74*$B$39)</f>
        <v/>
      </c>
      <c r="O75" t="str">
        <f t="shared" si="25"/>
        <v/>
      </c>
      <c r="P75" t="str">
        <f t="shared" si="25"/>
        <v/>
      </c>
      <c r="Q75" t="str">
        <f t="shared" si="25"/>
        <v/>
      </c>
      <c r="R75" t="str">
        <f t="shared" si="25"/>
        <v/>
      </c>
      <c r="S75" t="str">
        <f t="shared" si="25"/>
        <v/>
      </c>
      <c r="T75" t="str">
        <f t="shared" si="25"/>
        <v/>
      </c>
      <c r="U75" t="str">
        <f t="shared" si="25"/>
        <v/>
      </c>
      <c r="V75" t="str">
        <f t="shared" si="25"/>
        <v/>
      </c>
      <c r="W75" t="str">
        <f t="shared" si="25"/>
        <v/>
      </c>
      <c r="X75" t="str">
        <f t="shared" si="25"/>
        <v/>
      </c>
      <c r="Y75" t="str">
        <f t="shared" si="25"/>
        <v/>
      </c>
      <c r="Z75" t="str">
        <f t="shared" si="25"/>
        <v/>
      </c>
      <c r="AA75" t="str">
        <f t="shared" si="25"/>
        <v/>
      </c>
      <c r="AB75" t="str">
        <f t="shared" si="25"/>
        <v/>
      </c>
      <c r="AC75" t="str">
        <f t="shared" si="25"/>
        <v/>
      </c>
      <c r="AD75" t="str">
        <f t="shared" si="25"/>
        <v/>
      </c>
      <c r="AE75" t="str">
        <f t="shared" si="25"/>
        <v/>
      </c>
      <c r="AF75" t="str">
        <f t="shared" si="25"/>
        <v/>
      </c>
      <c r="AG75" t="str">
        <f t="shared" si="25"/>
        <v/>
      </c>
      <c r="AH75" t="str">
        <f t="shared" si="25"/>
        <v/>
      </c>
      <c r="AI75" t="str">
        <f t="shared" si="25"/>
        <v/>
      </c>
      <c r="AJ75" t="str">
        <f t="shared" si="25"/>
        <v/>
      </c>
      <c r="AK75" t="str">
        <f t="shared" si="25"/>
        <v/>
      </c>
      <c r="AL75" t="str">
        <f t="shared" si="25"/>
        <v/>
      </c>
      <c r="AM75" t="str">
        <f t="shared" si="25"/>
        <v/>
      </c>
      <c r="AN75" t="str">
        <f t="shared" si="25"/>
        <v/>
      </c>
      <c r="AO75" t="str">
        <f t="shared" si="25"/>
        <v/>
      </c>
      <c r="AP75" t="str">
        <f t="shared" si="25"/>
        <v/>
      </c>
      <c r="AQ75" t="str">
        <f t="shared" si="25"/>
        <v/>
      </c>
      <c r="AR75" t="str">
        <f t="shared" si="25"/>
        <v/>
      </c>
      <c r="AS75" t="str">
        <f t="shared" si="25"/>
        <v/>
      </c>
      <c r="AT75" t="str">
        <f t="shared" si="25"/>
        <v/>
      </c>
      <c r="AU75" t="str">
        <f t="shared" si="25"/>
        <v/>
      </c>
    </row>
    <row r="76" spans="5:47" ht="12.75">
      <c r="E76" t="s">
        <v>248</v>
      </c>
      <c r="G76" t="s">
        <v>154</v>
      </c>
      <c r="H76">
        <f>A$40</f>
        <v>2035</v>
      </c>
      <c r="I76" t="str">
        <f t="shared" si="19"/>
        <v>MINGASRSV3</v>
      </c>
      <c r="J76" t="s">
        <v>269</v>
      </c>
      <c r="K76" t="str">
        <f>IF(K$12=0,"",K75*$B$40)</f>
        <v/>
      </c>
      <c r="L76" t="str">
        <f>IF(L$12=0,"",L75*$B$40)</f>
        <v/>
      </c>
      <c r="M76" t="str">
        <f>IF(M$12=0,"",M75*$B$40)</f>
        <v/>
      </c>
      <c r="N76" t="str">
        <f t="shared" si="26" ref="N76:AU76">IF(N$12=0,"",N75*$B$40)</f>
        <v/>
      </c>
      <c r="O76" t="str">
        <f t="shared" si="26"/>
        <v/>
      </c>
      <c r="P76" t="str">
        <f t="shared" si="26"/>
        <v/>
      </c>
      <c r="Q76" t="str">
        <f t="shared" si="26"/>
        <v/>
      </c>
      <c r="R76" t="str">
        <f t="shared" si="26"/>
        <v/>
      </c>
      <c r="S76" t="str">
        <f t="shared" si="26"/>
        <v/>
      </c>
      <c r="T76" t="str">
        <f t="shared" si="26"/>
        <v/>
      </c>
      <c r="U76" t="str">
        <f t="shared" si="26"/>
        <v/>
      </c>
      <c r="V76" t="str">
        <f t="shared" si="26"/>
        <v/>
      </c>
      <c r="W76" t="str">
        <f t="shared" si="26"/>
        <v/>
      </c>
      <c r="X76" t="str">
        <f t="shared" si="26"/>
        <v/>
      </c>
      <c r="Y76" t="str">
        <f t="shared" si="26"/>
        <v/>
      </c>
      <c r="Z76" t="str">
        <f t="shared" si="26"/>
        <v/>
      </c>
      <c r="AA76" t="str">
        <f t="shared" si="26"/>
        <v/>
      </c>
      <c r="AB76" t="str">
        <f t="shared" si="26"/>
        <v/>
      </c>
      <c r="AC76" t="str">
        <f t="shared" si="26"/>
        <v/>
      </c>
      <c r="AD76" t="str">
        <f t="shared" si="26"/>
        <v/>
      </c>
      <c r="AE76" t="str">
        <f t="shared" si="26"/>
        <v/>
      </c>
      <c r="AF76" t="str">
        <f t="shared" si="26"/>
        <v/>
      </c>
      <c r="AG76" t="str">
        <f t="shared" si="26"/>
        <v/>
      </c>
      <c r="AH76" t="str">
        <f t="shared" si="26"/>
        <v/>
      </c>
      <c r="AI76" t="str">
        <f t="shared" si="26"/>
        <v/>
      </c>
      <c r="AJ76" t="str">
        <f t="shared" si="26"/>
        <v/>
      </c>
      <c r="AK76" t="str">
        <f t="shared" si="26"/>
        <v/>
      </c>
      <c r="AL76" t="str">
        <f t="shared" si="26"/>
        <v/>
      </c>
      <c r="AM76" t="str">
        <f t="shared" si="26"/>
        <v/>
      </c>
      <c r="AN76" t="str">
        <f t="shared" si="26"/>
        <v/>
      </c>
      <c r="AO76" t="str">
        <f t="shared" si="26"/>
        <v/>
      </c>
      <c r="AP76" t="str">
        <f t="shared" si="26"/>
        <v/>
      </c>
      <c r="AQ76" t="str">
        <f t="shared" si="26"/>
        <v/>
      </c>
      <c r="AR76" t="str">
        <f t="shared" si="26"/>
        <v/>
      </c>
      <c r="AS76" t="str">
        <f t="shared" si="26"/>
        <v/>
      </c>
      <c r="AT76" t="str">
        <f t="shared" si="26"/>
        <v/>
      </c>
      <c r="AU76" t="str">
        <f t="shared" si="26"/>
        <v/>
      </c>
    </row>
    <row r="77" spans="5:47" ht="12.75">
      <c r="E77" t="s">
        <v>248</v>
      </c>
      <c r="G77" t="s">
        <v>154</v>
      </c>
      <c r="H77">
        <f>A$41</f>
        <v>2040</v>
      </c>
      <c r="I77" t="str">
        <f t="shared" si="19"/>
        <v>MINGASRSV3</v>
      </c>
      <c r="J77" t="s">
        <v>269</v>
      </c>
      <c r="K77" t="str">
        <f>IF(K$12=0,"",K76*$B$41)</f>
        <v/>
      </c>
      <c r="L77" t="str">
        <f>IF(L$12=0,"",L76*$B$41)</f>
        <v/>
      </c>
      <c r="M77" t="str">
        <f>IF(M$12=0,"",M76*$B$41)</f>
        <v/>
      </c>
      <c r="N77" t="str">
        <f t="shared" si="27" ref="N77:AU77">IF(N$12=0,"",N76*$B$41)</f>
        <v/>
      </c>
      <c r="O77" t="str">
        <f t="shared" si="27"/>
        <v/>
      </c>
      <c r="P77" t="str">
        <f t="shared" si="27"/>
        <v/>
      </c>
      <c r="Q77" t="str">
        <f t="shared" si="27"/>
        <v/>
      </c>
      <c r="R77" t="str">
        <f t="shared" si="27"/>
        <v/>
      </c>
      <c r="S77" t="str">
        <f t="shared" si="27"/>
        <v/>
      </c>
      <c r="T77" t="str">
        <f t="shared" si="27"/>
        <v/>
      </c>
      <c r="U77" t="str">
        <f t="shared" si="27"/>
        <v/>
      </c>
      <c r="V77" t="str">
        <f t="shared" si="27"/>
        <v/>
      </c>
      <c r="W77" t="str">
        <f t="shared" si="27"/>
        <v/>
      </c>
      <c r="X77" t="str">
        <f t="shared" si="27"/>
        <v/>
      </c>
      <c r="Y77" t="str">
        <f t="shared" si="27"/>
        <v/>
      </c>
      <c r="Z77" t="str">
        <f t="shared" si="27"/>
        <v/>
      </c>
      <c r="AA77" t="str">
        <f t="shared" si="27"/>
        <v/>
      </c>
      <c r="AB77" t="str">
        <f t="shared" si="27"/>
        <v/>
      </c>
      <c r="AC77" t="str">
        <f t="shared" si="27"/>
        <v/>
      </c>
      <c r="AD77" t="str">
        <f t="shared" si="27"/>
        <v/>
      </c>
      <c r="AE77" t="str">
        <f t="shared" si="27"/>
        <v/>
      </c>
      <c r="AF77" t="str">
        <f t="shared" si="27"/>
        <v/>
      </c>
      <c r="AG77" t="str">
        <f t="shared" si="27"/>
        <v/>
      </c>
      <c r="AH77" t="str">
        <f t="shared" si="27"/>
        <v/>
      </c>
      <c r="AI77" t="str">
        <f t="shared" si="27"/>
        <v/>
      </c>
      <c r="AJ77" t="str">
        <f t="shared" si="27"/>
        <v/>
      </c>
      <c r="AK77" t="str">
        <f t="shared" si="27"/>
        <v/>
      </c>
      <c r="AL77" t="str">
        <f t="shared" si="27"/>
        <v/>
      </c>
      <c r="AM77" t="str">
        <f t="shared" si="27"/>
        <v/>
      </c>
      <c r="AN77" t="str">
        <f t="shared" si="27"/>
        <v/>
      </c>
      <c r="AO77" t="str">
        <f t="shared" si="27"/>
        <v/>
      </c>
      <c r="AP77" t="str">
        <f t="shared" si="27"/>
        <v/>
      </c>
      <c r="AQ77" t="str">
        <f t="shared" si="27"/>
        <v/>
      </c>
      <c r="AR77" t="str">
        <f t="shared" si="27"/>
        <v/>
      </c>
      <c r="AS77" t="str">
        <f t="shared" si="27"/>
        <v/>
      </c>
      <c r="AT77" t="str">
        <f t="shared" si="27"/>
        <v/>
      </c>
      <c r="AU77" t="str">
        <f t="shared" si="27"/>
        <v/>
      </c>
    </row>
    <row r="78" spans="5:47" ht="12.75">
      <c r="E78" t="s">
        <v>248</v>
      </c>
      <c r="G78" t="s">
        <v>154</v>
      </c>
      <c r="H78">
        <f>A$42</f>
        <v>2045</v>
      </c>
      <c r="I78" t="str">
        <f t="shared" si="19"/>
        <v>MINGASRSV3</v>
      </c>
      <c r="J78" t="s">
        <v>269</v>
      </c>
      <c r="K78" t="str">
        <f>IF(K$12=0,"",K77*$B$42)</f>
        <v/>
      </c>
      <c r="L78" t="str">
        <f>IF(L$12=0,"",L77*$B$42)</f>
        <v/>
      </c>
      <c r="M78" t="str">
        <f>IF(M$12=0,"",M77*$B$42)</f>
        <v/>
      </c>
      <c r="N78" t="str">
        <f t="shared" si="28" ref="N78:AU78">IF(N$12=0,"",N77*$B$42)</f>
        <v/>
      </c>
      <c r="O78" t="str">
        <f t="shared" si="28"/>
        <v/>
      </c>
      <c r="P78" t="str">
        <f t="shared" si="28"/>
        <v/>
      </c>
      <c r="Q78" t="str">
        <f t="shared" si="28"/>
        <v/>
      </c>
      <c r="R78" t="str">
        <f t="shared" si="28"/>
        <v/>
      </c>
      <c r="S78" t="str">
        <f t="shared" si="28"/>
        <v/>
      </c>
      <c r="T78" t="str">
        <f t="shared" si="28"/>
        <v/>
      </c>
      <c r="U78" t="str">
        <f t="shared" si="28"/>
        <v/>
      </c>
      <c r="V78" t="str">
        <f t="shared" si="28"/>
        <v/>
      </c>
      <c r="W78" t="str">
        <f t="shared" si="28"/>
        <v/>
      </c>
      <c r="X78" t="str">
        <f t="shared" si="28"/>
        <v/>
      </c>
      <c r="Y78" t="str">
        <f t="shared" si="28"/>
        <v/>
      </c>
      <c r="Z78" t="str">
        <f t="shared" si="28"/>
        <v/>
      </c>
      <c r="AA78" t="str">
        <f t="shared" si="28"/>
        <v/>
      </c>
      <c r="AB78" t="str">
        <f t="shared" si="28"/>
        <v/>
      </c>
      <c r="AC78" t="str">
        <f t="shared" si="28"/>
        <v/>
      </c>
      <c r="AD78" t="str">
        <f t="shared" si="28"/>
        <v/>
      </c>
      <c r="AE78" t="str">
        <f t="shared" si="28"/>
        <v/>
      </c>
      <c r="AF78" t="str">
        <f t="shared" si="28"/>
        <v/>
      </c>
      <c r="AG78" t="str">
        <f t="shared" si="28"/>
        <v/>
      </c>
      <c r="AH78" t="str">
        <f t="shared" si="28"/>
        <v/>
      </c>
      <c r="AI78" t="str">
        <f t="shared" si="28"/>
        <v/>
      </c>
      <c r="AJ78" t="str">
        <f t="shared" si="28"/>
        <v/>
      </c>
      <c r="AK78" t="str">
        <f t="shared" si="28"/>
        <v/>
      </c>
      <c r="AL78" t="str">
        <f t="shared" si="28"/>
        <v/>
      </c>
      <c r="AM78" t="str">
        <f t="shared" si="28"/>
        <v/>
      </c>
      <c r="AN78" t="str">
        <f t="shared" si="28"/>
        <v/>
      </c>
      <c r="AO78" t="str">
        <f t="shared" si="28"/>
        <v/>
      </c>
      <c r="AP78" t="str">
        <f t="shared" si="28"/>
        <v/>
      </c>
      <c r="AQ78" t="str">
        <f t="shared" si="28"/>
        <v/>
      </c>
      <c r="AR78" t="str">
        <f t="shared" si="28"/>
        <v/>
      </c>
      <c r="AS78" t="str">
        <f t="shared" si="28"/>
        <v/>
      </c>
      <c r="AT78" t="str">
        <f t="shared" si="28"/>
        <v/>
      </c>
      <c r="AU78" t="str">
        <f t="shared" si="28"/>
        <v/>
      </c>
    </row>
    <row r="79" spans="5:47" ht="12.75">
      <c r="E79" t="s">
        <v>248</v>
      </c>
      <c r="G79" t="s">
        <v>154</v>
      </c>
      <c r="H79">
        <f>A$43</f>
        <v>2050</v>
      </c>
      <c r="I79" t="str">
        <f t="shared" si="19"/>
        <v>MINGASRSV3</v>
      </c>
      <c r="J79" t="s">
        <v>269</v>
      </c>
      <c r="K79" t="str">
        <f>IF(K$12=0,"",K78*$B$43)</f>
        <v/>
      </c>
      <c r="L79" t="str">
        <f>IF(L$12=0,"",L78*$B$43)</f>
        <v/>
      </c>
      <c r="M79" t="str">
        <f>IF(M$12=0,"",M78*$B$43)</f>
        <v/>
      </c>
      <c r="N79" t="str">
        <f t="shared" si="29" ref="N79:AU79">IF(N$12=0,"",N78*$B$43)</f>
        <v/>
      </c>
      <c r="O79" t="str">
        <f t="shared" si="29"/>
        <v/>
      </c>
      <c r="P79" t="str">
        <f t="shared" si="29"/>
        <v/>
      </c>
      <c r="Q79" t="str">
        <f t="shared" si="29"/>
        <v/>
      </c>
      <c r="R79" t="str">
        <f t="shared" si="29"/>
        <v/>
      </c>
      <c r="S79" t="str">
        <f t="shared" si="29"/>
        <v/>
      </c>
      <c r="T79" t="str">
        <f t="shared" si="29"/>
        <v/>
      </c>
      <c r="U79" t="str">
        <f t="shared" si="29"/>
        <v/>
      </c>
      <c r="V79" t="str">
        <f t="shared" si="29"/>
        <v/>
      </c>
      <c r="W79" t="str">
        <f t="shared" si="29"/>
        <v/>
      </c>
      <c r="X79" t="str">
        <f t="shared" si="29"/>
        <v/>
      </c>
      <c r="Y79" t="str">
        <f t="shared" si="29"/>
        <v/>
      </c>
      <c r="Z79" t="str">
        <f t="shared" si="29"/>
        <v/>
      </c>
      <c r="AA79" t="str">
        <f t="shared" si="29"/>
        <v/>
      </c>
      <c r="AB79" t="str">
        <f t="shared" si="29"/>
        <v/>
      </c>
      <c r="AC79" t="str">
        <f t="shared" si="29"/>
        <v/>
      </c>
      <c r="AD79" t="str">
        <f t="shared" si="29"/>
        <v/>
      </c>
      <c r="AE79" t="str">
        <f t="shared" si="29"/>
        <v/>
      </c>
      <c r="AF79" t="str">
        <f t="shared" si="29"/>
        <v/>
      </c>
      <c r="AG79" t="str">
        <f t="shared" si="29"/>
        <v/>
      </c>
      <c r="AH79" t="str">
        <f t="shared" si="29"/>
        <v/>
      </c>
      <c r="AI79" t="str">
        <f t="shared" si="29"/>
        <v/>
      </c>
      <c r="AJ79" t="str">
        <f t="shared" si="29"/>
        <v/>
      </c>
      <c r="AK79" t="str">
        <f t="shared" si="29"/>
        <v/>
      </c>
      <c r="AL79" t="str">
        <f t="shared" si="29"/>
        <v/>
      </c>
      <c r="AM79" t="str">
        <f t="shared" si="29"/>
        <v/>
      </c>
      <c r="AN79" t="str">
        <f t="shared" si="29"/>
        <v/>
      </c>
      <c r="AO79" t="str">
        <f t="shared" si="29"/>
        <v/>
      </c>
      <c r="AP79" t="str">
        <f t="shared" si="29"/>
        <v/>
      </c>
      <c r="AQ79" t="str">
        <f t="shared" si="29"/>
        <v/>
      </c>
      <c r="AR79" t="str">
        <f t="shared" si="29"/>
        <v/>
      </c>
      <c r="AS79" t="str">
        <f t="shared" si="29"/>
        <v/>
      </c>
      <c r="AT79" t="str">
        <f t="shared" si="29"/>
        <v/>
      </c>
      <c r="AU79" t="str">
        <f t="shared" si="29"/>
        <v/>
      </c>
    </row>
    <row r="80" spans="5:47" ht="12.75">
      <c r="E80" t="s">
        <v>248</v>
      </c>
      <c r="G80" t="s">
        <v>154</v>
      </c>
      <c r="H80">
        <f>A$33</f>
        <v>2001</v>
      </c>
      <c r="I80" t="str">
        <f>I$13</f>
        <v>MINGASRSV4</v>
      </c>
      <c r="J80" t="s">
        <v>269</v>
      </c>
      <c r="K80">
        <f>IF(K$13=0,"",K$13*$B$33)</f>
        <v>3.3764152997421011</v>
      </c>
      <c r="L80" t="str">
        <f>IF(L$13=0,"",L$13*$B$33)</f>
        <v/>
      </c>
      <c r="M80">
        <f>IF(M$13=0,"",M$13*$B$33)</f>
        <v>3.3764152997421011</v>
      </c>
      <c r="N80" t="str">
        <f t="shared" si="30" ref="N80:AU80">IF(N$13=0,"",N$13*$B$33)</f>
        <v/>
      </c>
      <c r="O80" t="str">
        <f t="shared" si="30"/>
        <v/>
      </c>
      <c r="P80">
        <f t="shared" si="30"/>
        <v>3.3764152997421011</v>
      </c>
      <c r="Q80">
        <f t="shared" si="30"/>
        <v>3.3764152997421011</v>
      </c>
      <c r="R80">
        <f t="shared" si="30"/>
        <v>2.3699838161651283</v>
      </c>
      <c r="S80" t="str">
        <f t="shared" si="30"/>
        <v/>
      </c>
      <c r="T80">
        <f t="shared" si="30"/>
        <v>3.3764152997421011</v>
      </c>
      <c r="U80" t="str">
        <f t="shared" si="30"/>
        <v/>
      </c>
      <c r="V80">
        <f t="shared" si="30"/>
        <v>3.3764152997421011</v>
      </c>
      <c r="W80">
        <f t="shared" si="30"/>
        <v>3.3764152997421011</v>
      </c>
      <c r="X80">
        <f t="shared" si="30"/>
        <v>3.3764152997421011</v>
      </c>
      <c r="Y80">
        <f t="shared" si="30"/>
        <v>2.4306938709920924</v>
      </c>
      <c r="Z80" t="str">
        <f t="shared" si="30"/>
        <v/>
      </c>
      <c r="AA80" t="str">
        <f t="shared" si="30"/>
        <v/>
      </c>
      <c r="AB80" t="str">
        <f t="shared" si="30"/>
        <v/>
      </c>
      <c r="AC80" t="str">
        <f t="shared" si="30"/>
        <v/>
      </c>
      <c r="AD80" t="str">
        <f t="shared" si="30"/>
        <v/>
      </c>
      <c r="AE80" t="str">
        <f t="shared" si="30"/>
        <v/>
      </c>
      <c r="AF80">
        <f t="shared" si="30"/>
        <v>1.3640933458262772</v>
      </c>
      <c r="AG80">
        <f t="shared" si="30"/>
        <v>1.3640933458262772</v>
      </c>
      <c r="AH80">
        <f t="shared" si="30"/>
        <v>3.3764152997421011</v>
      </c>
      <c r="AI80">
        <f t="shared" si="30"/>
        <v>2.3699838161651283</v>
      </c>
      <c r="AJ80">
        <f t="shared" si="30"/>
        <v>3.3764152997421011</v>
      </c>
      <c r="AK80">
        <f t="shared" si="30"/>
        <v>2.3699838161651283</v>
      </c>
      <c r="AL80" t="str">
        <f t="shared" si="30"/>
        <v/>
      </c>
      <c r="AM80">
        <f t="shared" si="30"/>
        <v>3.3764152997421011</v>
      </c>
      <c r="AN80">
        <f t="shared" si="30"/>
        <v>2.3699838161651283</v>
      </c>
      <c r="AO80" t="str">
        <f t="shared" si="30"/>
        <v/>
      </c>
      <c r="AP80" t="str">
        <f t="shared" si="30"/>
        <v/>
      </c>
      <c r="AQ80" t="str">
        <f t="shared" si="30"/>
        <v/>
      </c>
      <c r="AR80" t="str">
        <f t="shared" si="30"/>
        <v/>
      </c>
      <c r="AS80" t="str">
        <f t="shared" si="30"/>
        <v/>
      </c>
      <c r="AT80" t="str">
        <f t="shared" si="30"/>
        <v/>
      </c>
      <c r="AU80" t="str">
        <f t="shared" si="30"/>
        <v/>
      </c>
    </row>
    <row r="81" spans="5:47" ht="12.75">
      <c r="E81" t="s">
        <v>248</v>
      </c>
      <c r="G81" t="s">
        <v>154</v>
      </c>
      <c r="H81">
        <f>A$34</f>
        <v>2005</v>
      </c>
      <c r="I81" t="str">
        <f t="shared" si="31" ref="I81:I90">I$13</f>
        <v>MINGASRSV4</v>
      </c>
      <c r="J81" t="s">
        <v>269</v>
      </c>
      <c r="K81">
        <f>IF(K$13=0,"",K80*$B$34)</f>
        <v>4.3110162177375297</v>
      </c>
      <c r="L81" t="str">
        <f>IF(L$13=0,"",L80*$B$34)</f>
        <v/>
      </c>
      <c r="M81">
        <f>IF(M$13=0,"",M80*$B$34)</f>
        <v>4.3110162177375297</v>
      </c>
      <c r="N81" t="str">
        <f t="shared" si="32" ref="N81:AU81">IF(N$13=0,"",N80*$B$34)</f>
        <v/>
      </c>
      <c r="O81" t="str">
        <f t="shared" si="32"/>
        <v/>
      </c>
      <c r="P81">
        <f t="shared" si="32"/>
        <v>4.3110162177375297</v>
      </c>
      <c r="Q81">
        <f t="shared" si="32"/>
        <v>4.3110162177375297</v>
      </c>
      <c r="R81">
        <f t="shared" si="32"/>
        <v>3.0260017682196119</v>
      </c>
      <c r="S81" t="str">
        <f t="shared" si="32"/>
        <v/>
      </c>
      <c r="T81">
        <f t="shared" si="32"/>
        <v>4.3110162177375297</v>
      </c>
      <c r="U81" t="str">
        <f t="shared" si="32"/>
        <v/>
      </c>
      <c r="V81">
        <f t="shared" si="32"/>
        <v>4.3110162177375297</v>
      </c>
      <c r="W81">
        <f t="shared" si="32"/>
        <v>4.3110162177375297</v>
      </c>
      <c r="X81">
        <f t="shared" si="32"/>
        <v>4.3110162177375297</v>
      </c>
      <c r="Y81">
        <f t="shared" si="32"/>
        <v>3.103516530979622</v>
      </c>
      <c r="Z81" t="str">
        <f t="shared" si="32"/>
        <v/>
      </c>
      <c r="AA81" t="str">
        <f t="shared" si="32"/>
        <v/>
      </c>
      <c r="AB81" t="str">
        <f t="shared" si="32"/>
        <v/>
      </c>
      <c r="AC81" t="str">
        <f t="shared" si="32"/>
        <v/>
      </c>
      <c r="AD81" t="str">
        <f t="shared" si="32"/>
        <v/>
      </c>
      <c r="AE81" t="str">
        <f t="shared" si="32"/>
        <v/>
      </c>
      <c r="AF81">
        <f t="shared" si="32"/>
        <v>1.7416780858723473</v>
      </c>
      <c r="AG81">
        <f t="shared" si="32"/>
        <v>1.7416780858723473</v>
      </c>
      <c r="AH81">
        <f t="shared" si="32"/>
        <v>4.3110162177375297</v>
      </c>
      <c r="AI81">
        <f t="shared" si="32"/>
        <v>3.0260017682196119</v>
      </c>
      <c r="AJ81">
        <f t="shared" si="32"/>
        <v>4.3110162177375297</v>
      </c>
      <c r="AK81">
        <f t="shared" si="32"/>
        <v>3.0260017682196119</v>
      </c>
      <c r="AL81" t="str">
        <f t="shared" si="32"/>
        <v/>
      </c>
      <c r="AM81">
        <f t="shared" si="32"/>
        <v>4.3110162177375297</v>
      </c>
      <c r="AN81">
        <f t="shared" si="32"/>
        <v>3.0260017682196119</v>
      </c>
      <c r="AO81" t="str">
        <f t="shared" si="32"/>
        <v/>
      </c>
      <c r="AP81" t="str">
        <f t="shared" si="32"/>
        <v/>
      </c>
      <c r="AQ81" t="str">
        <f t="shared" si="32"/>
        <v/>
      </c>
      <c r="AR81" t="str">
        <f t="shared" si="32"/>
        <v/>
      </c>
      <c r="AS81" t="str">
        <f t="shared" si="32"/>
        <v/>
      </c>
      <c r="AT81" t="str">
        <f t="shared" si="32"/>
        <v/>
      </c>
      <c r="AU81" t="str">
        <f t="shared" si="32"/>
        <v/>
      </c>
    </row>
    <row r="82" spans="5:47" ht="12.75">
      <c r="E82" t="s">
        <v>248</v>
      </c>
      <c r="G82" t="s">
        <v>154</v>
      </c>
      <c r="H82">
        <f>A$35</f>
        <v>2010</v>
      </c>
      <c r="I82" t="str">
        <f t="shared" si="31"/>
        <v>MINGASRSV4</v>
      </c>
      <c r="J82" t="s">
        <v>269</v>
      </c>
      <c r="K82">
        <f>IF(K$13=0,"",K81*$B$35)</f>
        <v>5.6417657761528481</v>
      </c>
      <c r="L82" t="str">
        <f>IF(L$13=0,"",L81*$B$35)</f>
        <v/>
      </c>
      <c r="M82">
        <f>IF(M$13=0,"",M81*$B$35)</f>
        <v>5.6417657761528481</v>
      </c>
      <c r="N82" t="str">
        <f t="shared" si="33" ref="N82:AU82">IF(N$13=0,"",N81*$B$35)</f>
        <v/>
      </c>
      <c r="O82" t="str">
        <f t="shared" si="33"/>
        <v/>
      </c>
      <c r="P82">
        <f t="shared" si="33"/>
        <v>5.6417657761528481</v>
      </c>
      <c r="Q82">
        <f t="shared" si="33"/>
        <v>5.6417657761528481</v>
      </c>
      <c r="R82">
        <f t="shared" si="33"/>
        <v>3.960085592876518</v>
      </c>
      <c r="S82" t="str">
        <f t="shared" si="33"/>
        <v/>
      </c>
      <c r="T82">
        <f t="shared" si="33"/>
        <v>5.6417657761528481</v>
      </c>
      <c r="U82" t="str">
        <f t="shared" si="33"/>
        <v/>
      </c>
      <c r="V82">
        <f t="shared" si="33"/>
        <v>5.6417657761528481</v>
      </c>
      <c r="W82">
        <f t="shared" si="33"/>
        <v>5.6417657761528481</v>
      </c>
      <c r="X82">
        <f t="shared" si="33"/>
        <v>5.6417657761528481</v>
      </c>
      <c r="Y82">
        <f t="shared" si="33"/>
        <v>4.0615280634213269</v>
      </c>
      <c r="Z82" t="str">
        <f t="shared" si="33"/>
        <v/>
      </c>
      <c r="AA82" t="str">
        <f t="shared" si="33"/>
        <v/>
      </c>
      <c r="AB82" t="str">
        <f t="shared" si="33"/>
        <v/>
      </c>
      <c r="AC82" t="str">
        <f t="shared" si="33"/>
        <v/>
      </c>
      <c r="AD82" t="str">
        <f t="shared" si="33"/>
        <v/>
      </c>
      <c r="AE82" t="str">
        <f t="shared" si="33"/>
        <v/>
      </c>
      <c r="AF82">
        <f t="shared" si="33"/>
        <v>2.2793094067984927</v>
      </c>
      <c r="AG82">
        <f t="shared" si="33"/>
        <v>2.2793094067984927</v>
      </c>
      <c r="AH82">
        <f t="shared" si="33"/>
        <v>5.6417657761528481</v>
      </c>
      <c r="AI82">
        <f t="shared" si="33"/>
        <v>3.960085592876518</v>
      </c>
      <c r="AJ82">
        <f t="shared" si="33"/>
        <v>5.6417657761528481</v>
      </c>
      <c r="AK82">
        <f t="shared" si="33"/>
        <v>3.960085592876518</v>
      </c>
      <c r="AL82" t="str">
        <f t="shared" si="33"/>
        <v/>
      </c>
      <c r="AM82">
        <f t="shared" si="33"/>
        <v>5.6417657761528481</v>
      </c>
      <c r="AN82">
        <f t="shared" si="33"/>
        <v>3.960085592876518</v>
      </c>
      <c r="AO82" t="str">
        <f t="shared" si="33"/>
        <v/>
      </c>
      <c r="AP82" t="str">
        <f t="shared" si="33"/>
        <v/>
      </c>
      <c r="AQ82" t="str">
        <f t="shared" si="33"/>
        <v/>
      </c>
      <c r="AR82" t="str">
        <f t="shared" si="33"/>
        <v/>
      </c>
      <c r="AS82" t="str">
        <f t="shared" si="33"/>
        <v/>
      </c>
      <c r="AT82" t="str">
        <f t="shared" si="33"/>
        <v/>
      </c>
      <c r="AU82" t="str">
        <f t="shared" si="33"/>
        <v/>
      </c>
    </row>
    <row r="83" spans="5:47" ht="12.75">
      <c r="E83" t="s">
        <v>248</v>
      </c>
      <c r="G83" t="s">
        <v>154</v>
      </c>
      <c r="H83">
        <f>A$36</f>
        <v>2015</v>
      </c>
      <c r="I83" t="str">
        <f t="shared" si="31"/>
        <v>MINGASRSV4</v>
      </c>
      <c r="J83" t="s">
        <v>269</v>
      </c>
      <c r="K83">
        <f>IF(K$13=0,"",K82*$B$36)</f>
        <v>8.9163033487958501</v>
      </c>
      <c r="L83" t="str">
        <f>IF(L$13=0,"",L82*$B$36)</f>
        <v/>
      </c>
      <c r="M83">
        <f>IF(M$13=0,"",M82*$B$36)</f>
        <v>8.9163033487958501</v>
      </c>
      <c r="N83" t="str">
        <f t="shared" si="34" ref="N83:AU83">IF(N$13=0,"",N82*$B$36)</f>
        <v/>
      </c>
      <c r="O83" t="str">
        <f t="shared" si="34"/>
        <v/>
      </c>
      <c r="P83">
        <f t="shared" si="34"/>
        <v>8.9163033487958501</v>
      </c>
      <c r="Q83">
        <f t="shared" si="34"/>
        <v>8.9163033487958501</v>
      </c>
      <c r="R83">
        <f t="shared" si="34"/>
        <v>6.2585590813663163</v>
      </c>
      <c r="S83" t="str">
        <f t="shared" si="34"/>
        <v/>
      </c>
      <c r="T83">
        <f t="shared" si="34"/>
        <v>8.9163033487958501</v>
      </c>
      <c r="U83" t="str">
        <f t="shared" si="34"/>
        <v/>
      </c>
      <c r="V83">
        <f t="shared" si="34"/>
        <v>8.9163033487958501</v>
      </c>
      <c r="W83">
        <f t="shared" si="34"/>
        <v>8.9163033487958501</v>
      </c>
      <c r="X83">
        <f t="shared" si="34"/>
        <v>8.9163033487958501</v>
      </c>
      <c r="Y83">
        <f t="shared" si="34"/>
        <v>6.4188797816073651</v>
      </c>
      <c r="Z83" t="str">
        <f t="shared" si="34"/>
        <v/>
      </c>
      <c r="AA83" t="str">
        <f t="shared" si="34"/>
        <v/>
      </c>
      <c r="AB83" t="str">
        <f t="shared" si="34"/>
        <v/>
      </c>
      <c r="AC83" t="str">
        <f t="shared" si="34"/>
        <v/>
      </c>
      <c r="AD83" t="str">
        <f t="shared" si="34"/>
        <v/>
      </c>
      <c r="AE83" t="str">
        <f t="shared" si="34"/>
        <v/>
      </c>
      <c r="AF83">
        <f t="shared" si="34"/>
        <v>3.6022435001967876</v>
      </c>
      <c r="AG83">
        <f t="shared" si="34"/>
        <v>3.6022435001967876</v>
      </c>
      <c r="AH83">
        <f t="shared" si="34"/>
        <v>8.9163033487958501</v>
      </c>
      <c r="AI83">
        <f t="shared" si="34"/>
        <v>6.2585590813663163</v>
      </c>
      <c r="AJ83">
        <f t="shared" si="34"/>
        <v>8.9163033487958501</v>
      </c>
      <c r="AK83">
        <f t="shared" si="34"/>
        <v>6.2585590813663163</v>
      </c>
      <c r="AL83" t="str">
        <f t="shared" si="34"/>
        <v/>
      </c>
      <c r="AM83">
        <f t="shared" si="34"/>
        <v>8.9163033487958501</v>
      </c>
      <c r="AN83">
        <f t="shared" si="34"/>
        <v>6.2585590813663163</v>
      </c>
      <c r="AO83" t="str">
        <f t="shared" si="34"/>
        <v/>
      </c>
      <c r="AP83" t="str">
        <f t="shared" si="34"/>
        <v/>
      </c>
      <c r="AQ83" t="str">
        <f t="shared" si="34"/>
        <v/>
      </c>
      <c r="AR83" t="str">
        <f t="shared" si="34"/>
        <v/>
      </c>
      <c r="AS83" t="str">
        <f t="shared" si="34"/>
        <v/>
      </c>
      <c r="AT83" t="str">
        <f t="shared" si="34"/>
        <v/>
      </c>
      <c r="AU83" t="str">
        <f t="shared" si="34"/>
        <v/>
      </c>
    </row>
    <row r="84" spans="5:47" ht="12.75">
      <c r="E84" t="s">
        <v>248</v>
      </c>
      <c r="G84" t="s">
        <v>154</v>
      </c>
      <c r="H84">
        <f>A$37</f>
        <v>2020</v>
      </c>
      <c r="I84" t="str">
        <f t="shared" si="31"/>
        <v>MINGASRSV4</v>
      </c>
      <c r="J84" t="s">
        <v>269</v>
      </c>
      <c r="K84">
        <f>IF(K$13=0,"",K83*$B$37)</f>
        <v>12.190840921438852</v>
      </c>
      <c r="L84" t="str">
        <f>IF(L$13=0,"",L83*$B$37)</f>
        <v/>
      </c>
      <c r="M84">
        <f>IF(M$13=0,"",M83*$B$37)</f>
        <v>12.190840921438852</v>
      </c>
      <c r="N84" t="str">
        <f t="shared" si="35" ref="N84:AU84">IF(N$13=0,"",N83*$B$37)</f>
        <v/>
      </c>
      <c r="O84" t="str">
        <f t="shared" si="35"/>
        <v/>
      </c>
      <c r="P84">
        <f t="shared" si="35"/>
        <v>12.190840921438852</v>
      </c>
      <c r="Q84">
        <f t="shared" si="35"/>
        <v>12.190840921438852</v>
      </c>
      <c r="R84">
        <f t="shared" si="35"/>
        <v>8.5570325698561138</v>
      </c>
      <c r="S84" t="str">
        <f t="shared" si="35"/>
        <v/>
      </c>
      <c r="T84">
        <f t="shared" si="35"/>
        <v>12.190840921438852</v>
      </c>
      <c r="U84" t="str">
        <f t="shared" si="35"/>
        <v/>
      </c>
      <c r="V84">
        <f t="shared" si="35"/>
        <v>12.190840921438852</v>
      </c>
      <c r="W84">
        <f t="shared" si="35"/>
        <v>12.190840921438852</v>
      </c>
      <c r="X84">
        <f t="shared" si="35"/>
        <v>12.190840921438852</v>
      </c>
      <c r="Y84">
        <f t="shared" si="35"/>
        <v>8.7762314997934023</v>
      </c>
      <c r="Z84" t="str">
        <f t="shared" si="35"/>
        <v/>
      </c>
      <c r="AA84" t="str">
        <f t="shared" si="35"/>
        <v/>
      </c>
      <c r="AB84" t="str">
        <f t="shared" si="35"/>
        <v/>
      </c>
      <c r="AC84" t="str">
        <f t="shared" si="35"/>
        <v/>
      </c>
      <c r="AD84" t="str">
        <f t="shared" si="35"/>
        <v/>
      </c>
      <c r="AE84" t="str">
        <f t="shared" si="35"/>
        <v/>
      </c>
      <c r="AF84">
        <f t="shared" si="35"/>
        <v>4.9251775935950821</v>
      </c>
      <c r="AG84">
        <f t="shared" si="35"/>
        <v>4.9251775935950821</v>
      </c>
      <c r="AH84">
        <f t="shared" si="35"/>
        <v>12.190840921438852</v>
      </c>
      <c r="AI84">
        <f t="shared" si="35"/>
        <v>8.5570325698561138</v>
      </c>
      <c r="AJ84">
        <f t="shared" si="35"/>
        <v>12.190840921438852</v>
      </c>
      <c r="AK84">
        <f t="shared" si="35"/>
        <v>8.5570325698561138</v>
      </c>
      <c r="AL84" t="str">
        <f t="shared" si="35"/>
        <v/>
      </c>
      <c r="AM84">
        <f t="shared" si="35"/>
        <v>12.190840921438852</v>
      </c>
      <c r="AN84">
        <f t="shared" si="35"/>
        <v>8.5570325698561138</v>
      </c>
      <c r="AO84" t="str">
        <f t="shared" si="35"/>
        <v/>
      </c>
      <c r="AP84" t="str">
        <f t="shared" si="35"/>
        <v/>
      </c>
      <c r="AQ84" t="str">
        <f t="shared" si="35"/>
        <v/>
      </c>
      <c r="AR84" t="str">
        <f t="shared" si="35"/>
        <v/>
      </c>
      <c r="AS84" t="str">
        <f t="shared" si="35"/>
        <v/>
      </c>
      <c r="AT84" t="str">
        <f t="shared" si="35"/>
        <v/>
      </c>
      <c r="AU84" t="str">
        <f t="shared" si="35"/>
        <v/>
      </c>
    </row>
    <row r="85" spans="5:47" ht="12.75">
      <c r="E85" t="s">
        <v>248</v>
      </c>
      <c r="G85" t="s">
        <v>154</v>
      </c>
      <c r="H85">
        <f>A$38</f>
        <v>2025</v>
      </c>
      <c r="I85" t="str">
        <f t="shared" si="31"/>
        <v>MINGASRSV4</v>
      </c>
      <c r="J85" t="s">
        <v>269</v>
      </c>
      <c r="K85">
        <f>IF(K$13=0,"",K84*$B$38)</f>
        <v>9.2819733528057569</v>
      </c>
      <c r="L85" t="str">
        <f>IF(L$13=0,"",L84*$B$38)</f>
        <v/>
      </c>
      <c r="M85">
        <f>IF(M$13=0,"",M84*$B$38)</f>
        <v>9.2819733528057569</v>
      </c>
      <c r="N85" t="str">
        <f t="shared" si="36" ref="N85:AU85">IF(N$13=0,"",N84*$B$38)</f>
        <v/>
      </c>
      <c r="O85" t="str">
        <f t="shared" si="36"/>
        <v/>
      </c>
      <c r="P85">
        <f t="shared" si="36"/>
        <v>9.2819733528057569</v>
      </c>
      <c r="Q85">
        <f t="shared" si="36"/>
        <v>9.2819733528057569</v>
      </c>
      <c r="R85">
        <f t="shared" si="36"/>
        <v>6.5152312957194232</v>
      </c>
      <c r="S85" t="str">
        <f t="shared" si="36"/>
        <v/>
      </c>
      <c r="T85">
        <f t="shared" si="36"/>
        <v>9.2819733528057569</v>
      </c>
      <c r="U85" t="str">
        <f t="shared" si="36"/>
        <v/>
      </c>
      <c r="V85">
        <f t="shared" si="36"/>
        <v>9.2819733528057569</v>
      </c>
      <c r="W85">
        <f t="shared" si="36"/>
        <v>9.2819733528057569</v>
      </c>
      <c r="X85">
        <f t="shared" si="36"/>
        <v>9.2819733528057569</v>
      </c>
      <c r="Y85">
        <f t="shared" si="36"/>
        <v>6.6821269709031919</v>
      </c>
      <c r="Z85" t="str">
        <f t="shared" si="36"/>
        <v/>
      </c>
      <c r="AA85" t="str">
        <f t="shared" si="36"/>
        <v/>
      </c>
      <c r="AB85" t="str">
        <f t="shared" si="36"/>
        <v/>
      </c>
      <c r="AC85" t="str">
        <f t="shared" si="36"/>
        <v/>
      </c>
      <c r="AD85" t="str">
        <f t="shared" si="36"/>
        <v/>
      </c>
      <c r="AE85" t="str">
        <f t="shared" si="36"/>
        <v/>
      </c>
      <c r="AF85">
        <f t="shared" si="36"/>
        <v>3.7499765173040971</v>
      </c>
      <c r="AG85">
        <f t="shared" si="36"/>
        <v>3.7499765173040971</v>
      </c>
      <c r="AH85">
        <f t="shared" si="36"/>
        <v>9.2819733528057569</v>
      </c>
      <c r="AI85">
        <f t="shared" si="36"/>
        <v>6.5152312957194232</v>
      </c>
      <c r="AJ85">
        <f t="shared" si="36"/>
        <v>9.2819733528057569</v>
      </c>
      <c r="AK85">
        <f t="shared" si="36"/>
        <v>6.5152312957194232</v>
      </c>
      <c r="AL85" t="str">
        <f t="shared" si="36"/>
        <v/>
      </c>
      <c r="AM85">
        <f t="shared" si="36"/>
        <v>9.2819733528057569</v>
      </c>
      <c r="AN85">
        <f t="shared" si="36"/>
        <v>6.5152312957194232</v>
      </c>
      <c r="AO85" t="str">
        <f t="shared" si="36"/>
        <v/>
      </c>
      <c r="AP85" t="str">
        <f t="shared" si="36"/>
        <v/>
      </c>
      <c r="AQ85" t="str">
        <f t="shared" si="36"/>
        <v/>
      </c>
      <c r="AR85" t="str">
        <f t="shared" si="36"/>
        <v/>
      </c>
      <c r="AS85" t="str">
        <f t="shared" si="36"/>
        <v/>
      </c>
      <c r="AT85" t="str">
        <f t="shared" si="36"/>
        <v/>
      </c>
      <c r="AU85" t="str">
        <f t="shared" si="36"/>
        <v/>
      </c>
    </row>
    <row r="86" spans="5:47" ht="12.75">
      <c r="E86" t="s">
        <v>248</v>
      </c>
      <c r="G86" t="s">
        <v>154</v>
      </c>
      <c r="H86">
        <f>A$39</f>
        <v>2030</v>
      </c>
      <c r="I86" t="str">
        <f t="shared" si="31"/>
        <v>MINGASRSV4</v>
      </c>
      <c r="J86" t="s">
        <v>269</v>
      </c>
      <c r="K86">
        <f>IF(K$13=0,"",K85*$B$39)</f>
        <v>6.3731057841726644</v>
      </c>
      <c r="L86" t="str">
        <f>IF(L$13=0,"",L85*$B$39)</f>
        <v/>
      </c>
      <c r="M86">
        <f>IF(M$13=0,"",M85*$B$39)</f>
        <v>6.3731057841726644</v>
      </c>
      <c r="N86" t="str">
        <f t="shared" si="37" ref="N86:AU86">IF(N$13=0,"",N85*$B$39)</f>
        <v/>
      </c>
      <c r="O86" t="str">
        <f t="shared" si="37"/>
        <v/>
      </c>
      <c r="P86">
        <f t="shared" si="37"/>
        <v>6.3731057841726644</v>
      </c>
      <c r="Q86">
        <f t="shared" si="37"/>
        <v>6.3731057841726644</v>
      </c>
      <c r="R86">
        <f t="shared" si="37"/>
        <v>4.4734300215827334</v>
      </c>
      <c r="S86" t="str">
        <f t="shared" si="37"/>
        <v/>
      </c>
      <c r="T86">
        <f t="shared" si="37"/>
        <v>6.3731057841726644</v>
      </c>
      <c r="U86" t="str">
        <f t="shared" si="37"/>
        <v/>
      </c>
      <c r="V86">
        <f t="shared" si="37"/>
        <v>6.3731057841726644</v>
      </c>
      <c r="W86">
        <f t="shared" si="37"/>
        <v>6.3731057841726644</v>
      </c>
      <c r="X86">
        <f t="shared" si="37"/>
        <v>6.3731057841726644</v>
      </c>
      <c r="Y86">
        <f t="shared" si="37"/>
        <v>4.5880224420129823</v>
      </c>
      <c r="Z86" t="str">
        <f t="shared" si="37"/>
        <v/>
      </c>
      <c r="AA86" t="str">
        <f t="shared" si="37"/>
        <v/>
      </c>
      <c r="AB86" t="str">
        <f t="shared" si="37"/>
        <v/>
      </c>
      <c r="AC86" t="str">
        <f t="shared" si="37"/>
        <v/>
      </c>
      <c r="AD86" t="str">
        <f t="shared" si="37"/>
        <v/>
      </c>
      <c r="AE86" t="str">
        <f t="shared" si="37"/>
        <v/>
      </c>
      <c r="AF86">
        <f t="shared" si="37"/>
        <v>2.5747754410131125</v>
      </c>
      <c r="AG86">
        <f t="shared" si="37"/>
        <v>2.5747754410131125</v>
      </c>
      <c r="AH86">
        <f t="shared" si="37"/>
        <v>6.3731057841726644</v>
      </c>
      <c r="AI86">
        <f t="shared" si="37"/>
        <v>4.4734300215827334</v>
      </c>
      <c r="AJ86">
        <f t="shared" si="37"/>
        <v>6.3731057841726644</v>
      </c>
      <c r="AK86">
        <f t="shared" si="37"/>
        <v>4.4734300215827334</v>
      </c>
      <c r="AL86" t="str">
        <f t="shared" si="37"/>
        <v/>
      </c>
      <c r="AM86">
        <f t="shared" si="37"/>
        <v>6.3731057841726644</v>
      </c>
      <c r="AN86">
        <f t="shared" si="37"/>
        <v>4.4734300215827334</v>
      </c>
      <c r="AO86" t="str">
        <f t="shared" si="37"/>
        <v/>
      </c>
      <c r="AP86" t="str">
        <f t="shared" si="37"/>
        <v/>
      </c>
      <c r="AQ86" t="str">
        <f t="shared" si="37"/>
        <v/>
      </c>
      <c r="AR86" t="str">
        <f t="shared" si="37"/>
        <v/>
      </c>
      <c r="AS86" t="str">
        <f t="shared" si="37"/>
        <v/>
      </c>
      <c r="AT86" t="str">
        <f t="shared" si="37"/>
        <v/>
      </c>
      <c r="AU86" t="str">
        <f t="shared" si="37"/>
        <v/>
      </c>
    </row>
    <row r="87" spans="5:47" ht="12.75">
      <c r="E87" t="s">
        <v>248</v>
      </c>
      <c r="G87" t="s">
        <v>154</v>
      </c>
      <c r="H87">
        <f>A$40</f>
        <v>2035</v>
      </c>
      <c r="I87" t="str">
        <f t="shared" si="31"/>
        <v>MINGASRSV4</v>
      </c>
      <c r="J87" t="s">
        <v>269</v>
      </c>
      <c r="K87">
        <f>IF(K$13=0,"",K86*$B$40)</f>
        <v>6.3731057841726644</v>
      </c>
      <c r="L87" t="str">
        <f>IF(L$13=0,"",L86*$B$40)</f>
        <v/>
      </c>
      <c r="M87">
        <f>IF(M$13=0,"",M86*$B$40)</f>
        <v>6.3731057841726644</v>
      </c>
      <c r="N87" t="str">
        <f t="shared" si="38" ref="N87:AU87">IF(N$13=0,"",N86*$B$40)</f>
        <v/>
      </c>
      <c r="O87" t="str">
        <f t="shared" si="38"/>
        <v/>
      </c>
      <c r="P87">
        <f t="shared" si="38"/>
        <v>6.3731057841726644</v>
      </c>
      <c r="Q87">
        <f t="shared" si="38"/>
        <v>6.3731057841726644</v>
      </c>
      <c r="R87">
        <f t="shared" si="38"/>
        <v>4.4734300215827334</v>
      </c>
      <c r="S87" t="str">
        <f t="shared" si="38"/>
        <v/>
      </c>
      <c r="T87">
        <f t="shared" si="38"/>
        <v>6.3731057841726644</v>
      </c>
      <c r="U87" t="str">
        <f t="shared" si="38"/>
        <v/>
      </c>
      <c r="V87">
        <f t="shared" si="38"/>
        <v>6.3731057841726644</v>
      </c>
      <c r="W87">
        <f t="shared" si="38"/>
        <v>6.3731057841726644</v>
      </c>
      <c r="X87">
        <f t="shared" si="38"/>
        <v>6.3731057841726644</v>
      </c>
      <c r="Y87">
        <f t="shared" si="38"/>
        <v>4.5880224420129823</v>
      </c>
      <c r="Z87" t="str">
        <f t="shared" si="38"/>
        <v/>
      </c>
      <c r="AA87" t="str">
        <f t="shared" si="38"/>
        <v/>
      </c>
      <c r="AB87" t="str">
        <f t="shared" si="38"/>
        <v/>
      </c>
      <c r="AC87" t="str">
        <f t="shared" si="38"/>
        <v/>
      </c>
      <c r="AD87" t="str">
        <f t="shared" si="38"/>
        <v/>
      </c>
      <c r="AE87" t="str">
        <f t="shared" si="38"/>
        <v/>
      </c>
      <c r="AF87">
        <f t="shared" si="38"/>
        <v>2.5747754410131125</v>
      </c>
      <c r="AG87">
        <f t="shared" si="38"/>
        <v>2.5747754410131125</v>
      </c>
      <c r="AH87">
        <f t="shared" si="38"/>
        <v>6.3731057841726644</v>
      </c>
      <c r="AI87">
        <f t="shared" si="38"/>
        <v>4.4734300215827334</v>
      </c>
      <c r="AJ87">
        <f t="shared" si="38"/>
        <v>6.3731057841726644</v>
      </c>
      <c r="AK87">
        <f t="shared" si="38"/>
        <v>4.4734300215827334</v>
      </c>
      <c r="AL87" t="str">
        <f t="shared" si="38"/>
        <v/>
      </c>
      <c r="AM87">
        <f t="shared" si="38"/>
        <v>6.3731057841726644</v>
      </c>
      <c r="AN87">
        <f t="shared" si="38"/>
        <v>4.4734300215827334</v>
      </c>
      <c r="AO87" t="str">
        <f t="shared" si="38"/>
        <v/>
      </c>
      <c r="AP87" t="str">
        <f t="shared" si="38"/>
        <v/>
      </c>
      <c r="AQ87" t="str">
        <f t="shared" si="38"/>
        <v/>
      </c>
      <c r="AR87" t="str">
        <f t="shared" si="38"/>
        <v/>
      </c>
      <c r="AS87" t="str">
        <f t="shared" si="38"/>
        <v/>
      </c>
      <c r="AT87" t="str">
        <f t="shared" si="38"/>
        <v/>
      </c>
      <c r="AU87" t="str">
        <f t="shared" si="38"/>
        <v/>
      </c>
    </row>
    <row r="88" spans="5:47" ht="12.75">
      <c r="E88" t="s">
        <v>248</v>
      </c>
      <c r="G88" t="s">
        <v>154</v>
      </c>
      <c r="H88">
        <f>A$41</f>
        <v>2040</v>
      </c>
      <c r="I88" t="str">
        <f t="shared" si="31"/>
        <v>MINGASRSV4</v>
      </c>
      <c r="J88" t="s">
        <v>269</v>
      </c>
      <c r="K88">
        <f>IF(K$13=0,"",K87*$B$41)</f>
        <v>6.3731057841726644</v>
      </c>
      <c r="L88" t="str">
        <f>IF(L$13=0,"",L87*$B$41)</f>
        <v/>
      </c>
      <c r="M88">
        <f>IF(M$13=0,"",M87*$B$41)</f>
        <v>6.3731057841726644</v>
      </c>
      <c r="N88" t="str">
        <f t="shared" si="39" ref="N88:AU88">IF(N$13=0,"",N87*$B$41)</f>
        <v/>
      </c>
      <c r="O88" t="str">
        <f t="shared" si="39"/>
        <v/>
      </c>
      <c r="P88">
        <f t="shared" si="39"/>
        <v>6.3731057841726644</v>
      </c>
      <c r="Q88">
        <f t="shared" si="39"/>
        <v>6.3731057841726644</v>
      </c>
      <c r="R88">
        <f t="shared" si="39"/>
        <v>4.4734300215827334</v>
      </c>
      <c r="S88" t="str">
        <f t="shared" si="39"/>
        <v/>
      </c>
      <c r="T88">
        <f t="shared" si="39"/>
        <v>6.3731057841726644</v>
      </c>
      <c r="U88" t="str">
        <f t="shared" si="39"/>
        <v/>
      </c>
      <c r="V88">
        <f t="shared" si="39"/>
        <v>6.3731057841726644</v>
      </c>
      <c r="W88">
        <f t="shared" si="39"/>
        <v>6.3731057841726644</v>
      </c>
      <c r="X88">
        <f t="shared" si="39"/>
        <v>6.3731057841726644</v>
      </c>
      <c r="Y88">
        <f t="shared" si="39"/>
        <v>4.5880224420129823</v>
      </c>
      <c r="Z88" t="str">
        <f t="shared" si="39"/>
        <v/>
      </c>
      <c r="AA88" t="str">
        <f t="shared" si="39"/>
        <v/>
      </c>
      <c r="AB88" t="str">
        <f t="shared" si="39"/>
        <v/>
      </c>
      <c r="AC88" t="str">
        <f t="shared" si="39"/>
        <v/>
      </c>
      <c r="AD88" t="str">
        <f t="shared" si="39"/>
        <v/>
      </c>
      <c r="AE88" t="str">
        <f t="shared" si="39"/>
        <v/>
      </c>
      <c r="AF88">
        <f t="shared" si="39"/>
        <v>2.5747754410131125</v>
      </c>
      <c r="AG88">
        <f t="shared" si="39"/>
        <v>2.5747754410131125</v>
      </c>
      <c r="AH88">
        <f t="shared" si="39"/>
        <v>6.3731057841726644</v>
      </c>
      <c r="AI88">
        <f t="shared" si="39"/>
        <v>4.4734300215827334</v>
      </c>
      <c r="AJ88">
        <f t="shared" si="39"/>
        <v>6.3731057841726644</v>
      </c>
      <c r="AK88">
        <f t="shared" si="39"/>
        <v>4.4734300215827334</v>
      </c>
      <c r="AL88" t="str">
        <f t="shared" si="39"/>
        <v/>
      </c>
      <c r="AM88">
        <f t="shared" si="39"/>
        <v>6.3731057841726644</v>
      </c>
      <c r="AN88">
        <f t="shared" si="39"/>
        <v>4.4734300215827334</v>
      </c>
      <c r="AO88" t="str">
        <f t="shared" si="39"/>
        <v/>
      </c>
      <c r="AP88" t="str">
        <f t="shared" si="39"/>
        <v/>
      </c>
      <c r="AQ88" t="str">
        <f t="shared" si="39"/>
        <v/>
      </c>
      <c r="AR88" t="str">
        <f t="shared" si="39"/>
        <v/>
      </c>
      <c r="AS88" t="str">
        <f t="shared" si="39"/>
        <v/>
      </c>
      <c r="AT88" t="str">
        <f t="shared" si="39"/>
        <v/>
      </c>
      <c r="AU88" t="str">
        <f t="shared" si="39"/>
        <v/>
      </c>
    </row>
    <row r="89" spans="5:47" ht="12.75">
      <c r="E89" t="s">
        <v>248</v>
      </c>
      <c r="G89" t="s">
        <v>154</v>
      </c>
      <c r="H89">
        <f>A$42</f>
        <v>2045</v>
      </c>
      <c r="I89" t="str">
        <f t="shared" si="31"/>
        <v>MINGASRSV4</v>
      </c>
      <c r="J89" t="s">
        <v>269</v>
      </c>
      <c r="K89">
        <f>IF(K$13=0,"",K88*$B$42)</f>
        <v>6.3731057841726644</v>
      </c>
      <c r="L89" t="str">
        <f>IF(L$13=0,"",L88*$B$42)</f>
        <v/>
      </c>
      <c r="M89">
        <f>IF(M$13=0,"",M88*$B$42)</f>
        <v>6.3731057841726644</v>
      </c>
      <c r="N89" t="str">
        <f t="shared" si="40" ref="N89:AU89">IF(N$13=0,"",N88*$B$42)</f>
        <v/>
      </c>
      <c r="O89" t="str">
        <f t="shared" si="40"/>
        <v/>
      </c>
      <c r="P89">
        <f t="shared" si="40"/>
        <v>6.3731057841726644</v>
      </c>
      <c r="Q89">
        <f t="shared" si="40"/>
        <v>6.3731057841726644</v>
      </c>
      <c r="R89">
        <f t="shared" si="40"/>
        <v>4.4734300215827334</v>
      </c>
      <c r="S89" t="str">
        <f t="shared" si="40"/>
        <v/>
      </c>
      <c r="T89">
        <f t="shared" si="40"/>
        <v>6.3731057841726644</v>
      </c>
      <c r="U89" t="str">
        <f t="shared" si="40"/>
        <v/>
      </c>
      <c r="V89">
        <f t="shared" si="40"/>
        <v>6.3731057841726644</v>
      </c>
      <c r="W89">
        <f t="shared" si="40"/>
        <v>6.3731057841726644</v>
      </c>
      <c r="X89">
        <f t="shared" si="40"/>
        <v>6.3731057841726644</v>
      </c>
      <c r="Y89">
        <f t="shared" si="40"/>
        <v>4.5880224420129823</v>
      </c>
      <c r="Z89" t="str">
        <f t="shared" si="40"/>
        <v/>
      </c>
      <c r="AA89" t="str">
        <f t="shared" si="40"/>
        <v/>
      </c>
      <c r="AB89" t="str">
        <f t="shared" si="40"/>
        <v/>
      </c>
      <c r="AC89" t="str">
        <f t="shared" si="40"/>
        <v/>
      </c>
      <c r="AD89" t="str">
        <f t="shared" si="40"/>
        <v/>
      </c>
      <c r="AE89" t="str">
        <f t="shared" si="40"/>
        <v/>
      </c>
      <c r="AF89">
        <f t="shared" si="40"/>
        <v>2.5747754410131125</v>
      </c>
      <c r="AG89">
        <f t="shared" si="40"/>
        <v>2.5747754410131125</v>
      </c>
      <c r="AH89">
        <f t="shared" si="40"/>
        <v>6.3731057841726644</v>
      </c>
      <c r="AI89">
        <f t="shared" si="40"/>
        <v>4.4734300215827334</v>
      </c>
      <c r="AJ89">
        <f t="shared" si="40"/>
        <v>6.3731057841726644</v>
      </c>
      <c r="AK89">
        <f t="shared" si="40"/>
        <v>4.4734300215827334</v>
      </c>
      <c r="AL89" t="str">
        <f t="shared" si="40"/>
        <v/>
      </c>
      <c r="AM89">
        <f t="shared" si="40"/>
        <v>6.3731057841726644</v>
      </c>
      <c r="AN89">
        <f t="shared" si="40"/>
        <v>4.4734300215827334</v>
      </c>
      <c r="AO89" t="str">
        <f t="shared" si="40"/>
        <v/>
      </c>
      <c r="AP89" t="str">
        <f t="shared" si="40"/>
        <v/>
      </c>
      <c r="AQ89" t="str">
        <f t="shared" si="40"/>
        <v/>
      </c>
      <c r="AR89" t="str">
        <f t="shared" si="40"/>
        <v/>
      </c>
      <c r="AS89" t="str">
        <f t="shared" si="40"/>
        <v/>
      </c>
      <c r="AT89" t="str">
        <f t="shared" si="40"/>
        <v/>
      </c>
      <c r="AU89" t="str">
        <f t="shared" si="40"/>
        <v/>
      </c>
    </row>
    <row r="90" spans="5:47" ht="12.75">
      <c r="E90" t="s">
        <v>248</v>
      </c>
      <c r="G90" t="s">
        <v>154</v>
      </c>
      <c r="H90">
        <f>A$43</f>
        <v>2050</v>
      </c>
      <c r="I90" t="str">
        <f t="shared" si="31"/>
        <v>MINGASRSV4</v>
      </c>
      <c r="J90" t="s">
        <v>269</v>
      </c>
      <c r="K90">
        <f>IF(K$13=0,"",K89*$B$43)</f>
        <v>6.3731057841726644</v>
      </c>
      <c r="L90" t="str">
        <f>IF(L$13=0,"",L89*$B$43)</f>
        <v/>
      </c>
      <c r="M90">
        <f>IF(M$13=0,"",M89*$B$43)</f>
        <v>6.3731057841726644</v>
      </c>
      <c r="N90" t="str">
        <f t="shared" si="41" ref="N90:AU90">IF(N$13=0,"",N89*$B$43)</f>
        <v/>
      </c>
      <c r="O90" t="str">
        <f t="shared" si="41"/>
        <v/>
      </c>
      <c r="P90">
        <f t="shared" si="41"/>
        <v>6.3731057841726644</v>
      </c>
      <c r="Q90">
        <f t="shared" si="41"/>
        <v>6.3731057841726644</v>
      </c>
      <c r="R90">
        <f t="shared" si="41"/>
        <v>4.4734300215827334</v>
      </c>
      <c r="S90" t="str">
        <f t="shared" si="41"/>
        <v/>
      </c>
      <c r="T90">
        <f t="shared" si="41"/>
        <v>6.3731057841726644</v>
      </c>
      <c r="U90" t="str">
        <f t="shared" si="41"/>
        <v/>
      </c>
      <c r="V90">
        <f t="shared" si="41"/>
        <v>6.3731057841726644</v>
      </c>
      <c r="W90">
        <f t="shared" si="41"/>
        <v>6.3731057841726644</v>
      </c>
      <c r="X90">
        <f t="shared" si="41"/>
        <v>6.3731057841726644</v>
      </c>
      <c r="Y90">
        <f t="shared" si="41"/>
        <v>4.5880224420129823</v>
      </c>
      <c r="Z90" t="str">
        <f t="shared" si="41"/>
        <v/>
      </c>
      <c r="AA90" t="str">
        <f t="shared" si="41"/>
        <v/>
      </c>
      <c r="AB90" t="str">
        <f t="shared" si="41"/>
        <v/>
      </c>
      <c r="AC90" t="str">
        <f t="shared" si="41"/>
        <v/>
      </c>
      <c r="AD90" t="str">
        <f t="shared" si="41"/>
        <v/>
      </c>
      <c r="AE90" t="str">
        <f t="shared" si="41"/>
        <v/>
      </c>
      <c r="AF90">
        <f t="shared" si="41"/>
        <v>2.5747754410131125</v>
      </c>
      <c r="AG90">
        <f t="shared" si="41"/>
        <v>2.5747754410131125</v>
      </c>
      <c r="AH90">
        <f t="shared" si="41"/>
        <v>6.3731057841726644</v>
      </c>
      <c r="AI90">
        <f t="shared" si="41"/>
        <v>4.4734300215827334</v>
      </c>
      <c r="AJ90">
        <f t="shared" si="41"/>
        <v>6.3731057841726644</v>
      </c>
      <c r="AK90">
        <f t="shared" si="41"/>
        <v>4.4734300215827334</v>
      </c>
      <c r="AL90" t="str">
        <f t="shared" si="41"/>
        <v/>
      </c>
      <c r="AM90">
        <f t="shared" si="41"/>
        <v>6.3731057841726644</v>
      </c>
      <c r="AN90">
        <f t="shared" si="41"/>
        <v>4.4734300215827334</v>
      </c>
      <c r="AO90" t="str">
        <f t="shared" si="41"/>
        <v/>
      </c>
      <c r="AP90" t="str">
        <f t="shared" si="41"/>
        <v/>
      </c>
      <c r="AQ90" t="str">
        <f t="shared" si="41"/>
        <v/>
      </c>
      <c r="AR90" t="str">
        <f t="shared" si="41"/>
        <v/>
      </c>
      <c r="AS90" t="str">
        <f t="shared" si="41"/>
        <v/>
      </c>
      <c r="AT90" t="str">
        <f t="shared" si="41"/>
        <v/>
      </c>
      <c r="AU90" t="str">
        <f t="shared" si="41"/>
        <v/>
      </c>
    </row>
    <row r="91" spans="5:47" ht="12.75">
      <c r="E91" t="s">
        <v>248</v>
      </c>
      <c r="G91" t="s">
        <v>154</v>
      </c>
      <c r="H91">
        <f>A$33</f>
        <v>2001</v>
      </c>
      <c r="I91" t="str">
        <f>I$14</f>
        <v>MINGASRSV5</v>
      </c>
      <c r="J91" t="s">
        <v>269</v>
      </c>
      <c r="K91" t="str">
        <f>IF(K$14=0,"",K$14*$B$33)</f>
        <v/>
      </c>
      <c r="L91" t="str">
        <f>IF(L$14=0,"",L$14*$B$33)</f>
        <v/>
      </c>
      <c r="M91" t="str">
        <f>IF(M$14=0,"",M$14*$B$33)</f>
        <v/>
      </c>
      <c r="N91" t="str">
        <f t="shared" si="42" ref="N91:AU91">IF(N$14=0,"",N$14*$B$33)</f>
        <v/>
      </c>
      <c r="O91" t="str">
        <f t="shared" si="42"/>
        <v/>
      </c>
      <c r="P91" t="str">
        <f t="shared" si="42"/>
        <v/>
      </c>
      <c r="Q91" t="str">
        <f t="shared" si="42"/>
        <v/>
      </c>
      <c r="R91" t="str">
        <f t="shared" si="42"/>
        <v/>
      </c>
      <c r="S91" t="str">
        <f t="shared" si="42"/>
        <v/>
      </c>
      <c r="T91" t="str">
        <f t="shared" si="42"/>
        <v/>
      </c>
      <c r="U91" t="str">
        <f t="shared" si="42"/>
        <v/>
      </c>
      <c r="V91" t="str">
        <f t="shared" si="42"/>
        <v/>
      </c>
      <c r="W91" t="str">
        <f t="shared" si="42"/>
        <v/>
      </c>
      <c r="X91" t="str">
        <f t="shared" si="42"/>
        <v/>
      </c>
      <c r="Y91" t="str">
        <f t="shared" si="42"/>
        <v/>
      </c>
      <c r="Z91" t="str">
        <f t="shared" si="42"/>
        <v/>
      </c>
      <c r="AA91" t="str">
        <f t="shared" si="42"/>
        <v/>
      </c>
      <c r="AB91" t="str">
        <f t="shared" si="42"/>
        <v/>
      </c>
      <c r="AC91" t="str">
        <f t="shared" si="42"/>
        <v/>
      </c>
      <c r="AD91" t="str">
        <f t="shared" si="42"/>
        <v/>
      </c>
      <c r="AE91" t="str">
        <f t="shared" si="42"/>
        <v/>
      </c>
      <c r="AF91" t="str">
        <f t="shared" si="42"/>
        <v/>
      </c>
      <c r="AG91" t="str">
        <f t="shared" si="42"/>
        <v/>
      </c>
      <c r="AH91" t="str">
        <f t="shared" si="42"/>
        <v/>
      </c>
      <c r="AI91" t="str">
        <f t="shared" si="42"/>
        <v/>
      </c>
      <c r="AJ91" t="str">
        <f t="shared" si="42"/>
        <v/>
      </c>
      <c r="AK91" t="str">
        <f t="shared" si="42"/>
        <v/>
      </c>
      <c r="AL91" t="str">
        <f t="shared" si="42"/>
        <v/>
      </c>
      <c r="AM91" t="str">
        <f t="shared" si="42"/>
        <v/>
      </c>
      <c r="AN91" t="str">
        <f t="shared" si="42"/>
        <v/>
      </c>
      <c r="AO91" t="str">
        <f t="shared" si="42"/>
        <v/>
      </c>
      <c r="AP91" t="str">
        <f t="shared" si="42"/>
        <v/>
      </c>
      <c r="AQ91" t="str">
        <f t="shared" si="42"/>
        <v/>
      </c>
      <c r="AR91" t="str">
        <f t="shared" si="42"/>
        <v/>
      </c>
      <c r="AS91" t="str">
        <f t="shared" si="42"/>
        <v/>
      </c>
      <c r="AT91" t="str">
        <f t="shared" si="42"/>
        <v/>
      </c>
      <c r="AU91" t="str">
        <f t="shared" si="42"/>
        <v/>
      </c>
    </row>
    <row r="92" spans="5:47" ht="12.75">
      <c r="E92" t="s">
        <v>248</v>
      </c>
      <c r="G92" t="s">
        <v>154</v>
      </c>
      <c r="H92">
        <f>A$34</f>
        <v>2005</v>
      </c>
      <c r="I92" t="str">
        <f t="shared" si="43" ref="I92:I101">I$14</f>
        <v>MINGASRSV5</v>
      </c>
      <c r="J92" t="s">
        <v>269</v>
      </c>
      <c r="K92" t="str">
        <f>IF(K$14=0,"",K91*$B$34)</f>
        <v/>
      </c>
      <c r="L92" t="str">
        <f>IF(L$14=0,"",L91*$B$34)</f>
        <v/>
      </c>
      <c r="M92" t="str">
        <f>IF(M$14=0,"",M91*$B$34)</f>
        <v/>
      </c>
      <c r="N92" t="str">
        <f t="shared" si="44" ref="N92:AU92">IF(N$14=0,"",N91*$B$34)</f>
        <v/>
      </c>
      <c r="O92" t="str">
        <f t="shared" si="44"/>
        <v/>
      </c>
      <c r="P92" t="str">
        <f t="shared" si="44"/>
        <v/>
      </c>
      <c r="Q92" t="str">
        <f t="shared" si="44"/>
        <v/>
      </c>
      <c r="R92" t="str">
        <f t="shared" si="44"/>
        <v/>
      </c>
      <c r="S92" t="str">
        <f t="shared" si="44"/>
        <v/>
      </c>
      <c r="T92" t="str">
        <f t="shared" si="44"/>
        <v/>
      </c>
      <c r="U92" t="str">
        <f t="shared" si="44"/>
        <v/>
      </c>
      <c r="V92" t="str">
        <f t="shared" si="44"/>
        <v/>
      </c>
      <c r="W92" t="str">
        <f t="shared" si="44"/>
        <v/>
      </c>
      <c r="X92" t="str">
        <f t="shared" si="44"/>
        <v/>
      </c>
      <c r="Y92" t="str">
        <f t="shared" si="44"/>
        <v/>
      </c>
      <c r="Z92" t="str">
        <f t="shared" si="44"/>
        <v/>
      </c>
      <c r="AA92" t="str">
        <f t="shared" si="44"/>
        <v/>
      </c>
      <c r="AB92" t="str">
        <f t="shared" si="44"/>
        <v/>
      </c>
      <c r="AC92" t="str">
        <f t="shared" si="44"/>
        <v/>
      </c>
      <c r="AD92" t="str">
        <f t="shared" si="44"/>
        <v/>
      </c>
      <c r="AE92" t="str">
        <f t="shared" si="44"/>
        <v/>
      </c>
      <c r="AF92" t="str">
        <f t="shared" si="44"/>
        <v/>
      </c>
      <c r="AG92" t="str">
        <f t="shared" si="44"/>
        <v/>
      </c>
      <c r="AH92" t="str">
        <f t="shared" si="44"/>
        <v/>
      </c>
      <c r="AI92" t="str">
        <f t="shared" si="44"/>
        <v/>
      </c>
      <c r="AJ92" t="str">
        <f t="shared" si="44"/>
        <v/>
      </c>
      <c r="AK92" t="str">
        <f t="shared" si="44"/>
        <v/>
      </c>
      <c r="AL92" t="str">
        <f t="shared" si="44"/>
        <v/>
      </c>
      <c r="AM92" t="str">
        <f t="shared" si="44"/>
        <v/>
      </c>
      <c r="AN92" t="str">
        <f t="shared" si="44"/>
        <v/>
      </c>
      <c r="AO92" t="str">
        <f t="shared" si="44"/>
        <v/>
      </c>
      <c r="AP92" t="str">
        <f t="shared" si="44"/>
        <v/>
      </c>
      <c r="AQ92" t="str">
        <f t="shared" si="44"/>
        <v/>
      </c>
      <c r="AR92" t="str">
        <f t="shared" si="44"/>
        <v/>
      </c>
      <c r="AS92" t="str">
        <f t="shared" si="44"/>
        <v/>
      </c>
      <c r="AT92" t="str">
        <f t="shared" si="44"/>
        <v/>
      </c>
      <c r="AU92" t="str">
        <f t="shared" si="44"/>
        <v/>
      </c>
    </row>
    <row r="93" spans="5:47" ht="12.75">
      <c r="E93" t="s">
        <v>248</v>
      </c>
      <c r="G93" t="s">
        <v>154</v>
      </c>
      <c r="H93">
        <f>A$35</f>
        <v>2010</v>
      </c>
      <c r="I93" t="str">
        <f t="shared" si="43"/>
        <v>MINGASRSV5</v>
      </c>
      <c r="J93" t="s">
        <v>269</v>
      </c>
      <c r="K93" t="str">
        <f>IF(K$14=0,"",K92*$B$35)</f>
        <v/>
      </c>
      <c r="L93" t="str">
        <f>IF(L$14=0,"",L92*$B$35)</f>
        <v/>
      </c>
      <c r="M93" t="str">
        <f>IF(M$14=0,"",M92*$B$35)</f>
        <v/>
      </c>
      <c r="N93" t="str">
        <f t="shared" si="45" ref="N93:AU93">IF(N$14=0,"",N92*$B$35)</f>
        <v/>
      </c>
      <c r="O93" t="str">
        <f t="shared" si="45"/>
        <v/>
      </c>
      <c r="P93" t="str">
        <f t="shared" si="45"/>
        <v/>
      </c>
      <c r="Q93" t="str">
        <f t="shared" si="45"/>
        <v/>
      </c>
      <c r="R93" t="str">
        <f t="shared" si="45"/>
        <v/>
      </c>
      <c r="S93" t="str">
        <f t="shared" si="45"/>
        <v/>
      </c>
      <c r="T93" t="str">
        <f t="shared" si="45"/>
        <v/>
      </c>
      <c r="U93" t="str">
        <f t="shared" si="45"/>
        <v/>
      </c>
      <c r="V93" t="str">
        <f t="shared" si="45"/>
        <v/>
      </c>
      <c r="W93" t="str">
        <f t="shared" si="45"/>
        <v/>
      </c>
      <c r="X93" t="str">
        <f t="shared" si="45"/>
        <v/>
      </c>
      <c r="Y93" t="str">
        <f t="shared" si="45"/>
        <v/>
      </c>
      <c r="Z93" t="str">
        <f t="shared" si="45"/>
        <v/>
      </c>
      <c r="AA93" t="str">
        <f t="shared" si="45"/>
        <v/>
      </c>
      <c r="AB93" t="str">
        <f t="shared" si="45"/>
        <v/>
      </c>
      <c r="AC93" t="str">
        <f t="shared" si="45"/>
        <v/>
      </c>
      <c r="AD93" t="str">
        <f t="shared" si="45"/>
        <v/>
      </c>
      <c r="AE93" t="str">
        <f t="shared" si="45"/>
        <v/>
      </c>
      <c r="AF93" t="str">
        <f t="shared" si="45"/>
        <v/>
      </c>
      <c r="AG93" t="str">
        <f t="shared" si="45"/>
        <v/>
      </c>
      <c r="AH93" t="str">
        <f t="shared" si="45"/>
        <v/>
      </c>
      <c r="AI93" t="str">
        <f t="shared" si="45"/>
        <v/>
      </c>
      <c r="AJ93" t="str">
        <f t="shared" si="45"/>
        <v/>
      </c>
      <c r="AK93" t="str">
        <f t="shared" si="45"/>
        <v/>
      </c>
      <c r="AL93" t="str">
        <f t="shared" si="45"/>
        <v/>
      </c>
      <c r="AM93" t="str">
        <f t="shared" si="45"/>
        <v/>
      </c>
      <c r="AN93" t="str">
        <f t="shared" si="45"/>
        <v/>
      </c>
      <c r="AO93" t="str">
        <f t="shared" si="45"/>
        <v/>
      </c>
      <c r="AP93" t="str">
        <f t="shared" si="45"/>
        <v/>
      </c>
      <c r="AQ93" t="str">
        <f t="shared" si="45"/>
        <v/>
      </c>
      <c r="AR93" t="str">
        <f t="shared" si="45"/>
        <v/>
      </c>
      <c r="AS93" t="str">
        <f t="shared" si="45"/>
        <v/>
      </c>
      <c r="AT93" t="str">
        <f t="shared" si="45"/>
        <v/>
      </c>
      <c r="AU93" t="str">
        <f t="shared" si="45"/>
        <v/>
      </c>
    </row>
    <row r="94" spans="5:47" ht="12.75">
      <c r="E94" t="s">
        <v>248</v>
      </c>
      <c r="G94" t="s">
        <v>154</v>
      </c>
      <c r="H94">
        <f>A$36</f>
        <v>2015</v>
      </c>
      <c r="I94" t="str">
        <f t="shared" si="43"/>
        <v>MINGASRSV5</v>
      </c>
      <c r="J94" t="s">
        <v>269</v>
      </c>
      <c r="K94" t="str">
        <f>IF(K$14=0,"",K93*$B$36)</f>
        <v/>
      </c>
      <c r="L94" t="str">
        <f>IF(L$14=0,"",L93*$B$36)</f>
        <v/>
      </c>
      <c r="M94" t="str">
        <f>IF(M$14=0,"",M93*$B$36)</f>
        <v/>
      </c>
      <c r="N94" t="str">
        <f t="shared" si="46" ref="N94:AU94">IF(N$14=0,"",N93*$B$36)</f>
        <v/>
      </c>
      <c r="O94" t="str">
        <f t="shared" si="46"/>
        <v/>
      </c>
      <c r="P94" t="str">
        <f t="shared" si="46"/>
        <v/>
      </c>
      <c r="Q94" t="str">
        <f t="shared" si="46"/>
        <v/>
      </c>
      <c r="R94" t="str">
        <f t="shared" si="46"/>
        <v/>
      </c>
      <c r="S94" t="str">
        <f t="shared" si="46"/>
        <v/>
      </c>
      <c r="T94" t="str">
        <f t="shared" si="46"/>
        <v/>
      </c>
      <c r="U94" t="str">
        <f t="shared" si="46"/>
        <v/>
      </c>
      <c r="V94" t="str">
        <f t="shared" si="46"/>
        <v/>
      </c>
      <c r="W94" t="str">
        <f t="shared" si="46"/>
        <v/>
      </c>
      <c r="X94" t="str">
        <f t="shared" si="46"/>
        <v/>
      </c>
      <c r="Y94" t="str">
        <f t="shared" si="46"/>
        <v/>
      </c>
      <c r="Z94" t="str">
        <f t="shared" si="46"/>
        <v/>
      </c>
      <c r="AA94" t="str">
        <f t="shared" si="46"/>
        <v/>
      </c>
      <c r="AB94" t="str">
        <f t="shared" si="46"/>
        <v/>
      </c>
      <c r="AC94" t="str">
        <f t="shared" si="46"/>
        <v/>
      </c>
      <c r="AD94" t="str">
        <f t="shared" si="46"/>
        <v/>
      </c>
      <c r="AE94" t="str">
        <f t="shared" si="46"/>
        <v/>
      </c>
      <c r="AF94" t="str">
        <f t="shared" si="46"/>
        <v/>
      </c>
      <c r="AG94" t="str">
        <f t="shared" si="46"/>
        <v/>
      </c>
      <c r="AH94" t="str">
        <f t="shared" si="46"/>
        <v/>
      </c>
      <c r="AI94" t="str">
        <f t="shared" si="46"/>
        <v/>
      </c>
      <c r="AJ94" t="str">
        <f t="shared" si="46"/>
        <v/>
      </c>
      <c r="AK94" t="str">
        <f t="shared" si="46"/>
        <v/>
      </c>
      <c r="AL94" t="str">
        <f t="shared" si="46"/>
        <v/>
      </c>
      <c r="AM94" t="str">
        <f t="shared" si="46"/>
        <v/>
      </c>
      <c r="AN94" t="str">
        <f t="shared" si="46"/>
        <v/>
      </c>
      <c r="AO94" t="str">
        <f t="shared" si="46"/>
        <v/>
      </c>
      <c r="AP94" t="str">
        <f t="shared" si="46"/>
        <v/>
      </c>
      <c r="AQ94" t="str">
        <f t="shared" si="46"/>
        <v/>
      </c>
      <c r="AR94" t="str">
        <f t="shared" si="46"/>
        <v/>
      </c>
      <c r="AS94" t="str">
        <f t="shared" si="46"/>
        <v/>
      </c>
      <c r="AT94" t="str">
        <f t="shared" si="46"/>
        <v/>
      </c>
      <c r="AU94" t="str">
        <f t="shared" si="46"/>
        <v/>
      </c>
    </row>
    <row r="95" spans="5:47" ht="12.75">
      <c r="E95" t="s">
        <v>248</v>
      </c>
      <c r="G95" t="s">
        <v>154</v>
      </c>
      <c r="H95">
        <f>A$37</f>
        <v>2020</v>
      </c>
      <c r="I95" t="str">
        <f t="shared" si="43"/>
        <v>MINGASRSV5</v>
      </c>
      <c r="J95" t="s">
        <v>269</v>
      </c>
      <c r="K95" t="str">
        <f>IF(K$14=0,"",K94*$B$37)</f>
        <v/>
      </c>
      <c r="L95" t="str">
        <f>IF(L$14=0,"",L94*$B$37)</f>
        <v/>
      </c>
      <c r="M95" t="str">
        <f>IF(M$14=0,"",M94*$B$37)</f>
        <v/>
      </c>
      <c r="N95" t="str">
        <f t="shared" si="47" ref="N95:AU95">IF(N$14=0,"",N94*$B$37)</f>
        <v/>
      </c>
      <c r="O95" t="str">
        <f t="shared" si="47"/>
        <v/>
      </c>
      <c r="P95" t="str">
        <f t="shared" si="47"/>
        <v/>
      </c>
      <c r="Q95" t="str">
        <f t="shared" si="47"/>
        <v/>
      </c>
      <c r="R95" t="str">
        <f t="shared" si="47"/>
        <v/>
      </c>
      <c r="S95" t="str">
        <f t="shared" si="47"/>
        <v/>
      </c>
      <c r="T95" t="str">
        <f t="shared" si="47"/>
        <v/>
      </c>
      <c r="U95" t="str">
        <f t="shared" si="47"/>
        <v/>
      </c>
      <c r="V95" t="str">
        <f t="shared" si="47"/>
        <v/>
      </c>
      <c r="W95" t="str">
        <f t="shared" si="47"/>
        <v/>
      </c>
      <c r="X95" t="str">
        <f t="shared" si="47"/>
        <v/>
      </c>
      <c r="Y95" t="str">
        <f t="shared" si="47"/>
        <v/>
      </c>
      <c r="Z95" t="str">
        <f t="shared" si="47"/>
        <v/>
      </c>
      <c r="AA95" t="str">
        <f t="shared" si="47"/>
        <v/>
      </c>
      <c r="AB95" t="str">
        <f t="shared" si="47"/>
        <v/>
      </c>
      <c r="AC95" t="str">
        <f t="shared" si="47"/>
        <v/>
      </c>
      <c r="AD95" t="str">
        <f t="shared" si="47"/>
        <v/>
      </c>
      <c r="AE95" t="str">
        <f t="shared" si="47"/>
        <v/>
      </c>
      <c r="AF95" t="str">
        <f t="shared" si="47"/>
        <v/>
      </c>
      <c r="AG95" t="str">
        <f t="shared" si="47"/>
        <v/>
      </c>
      <c r="AH95" t="str">
        <f t="shared" si="47"/>
        <v/>
      </c>
      <c r="AI95" t="str">
        <f t="shared" si="47"/>
        <v/>
      </c>
      <c r="AJ95" t="str">
        <f t="shared" si="47"/>
        <v/>
      </c>
      <c r="AK95" t="str">
        <f t="shared" si="47"/>
        <v/>
      </c>
      <c r="AL95" t="str">
        <f t="shared" si="47"/>
        <v/>
      </c>
      <c r="AM95" t="str">
        <f t="shared" si="47"/>
        <v/>
      </c>
      <c r="AN95" t="str">
        <f t="shared" si="47"/>
        <v/>
      </c>
      <c r="AO95" t="str">
        <f t="shared" si="47"/>
        <v/>
      </c>
      <c r="AP95" t="str">
        <f t="shared" si="47"/>
        <v/>
      </c>
      <c r="AQ95" t="str">
        <f t="shared" si="47"/>
        <v/>
      </c>
      <c r="AR95" t="str">
        <f t="shared" si="47"/>
        <v/>
      </c>
      <c r="AS95" t="str">
        <f t="shared" si="47"/>
        <v/>
      </c>
      <c r="AT95" t="str">
        <f t="shared" si="47"/>
        <v/>
      </c>
      <c r="AU95" t="str">
        <f t="shared" si="47"/>
        <v/>
      </c>
    </row>
    <row r="96" spans="5:47" ht="12.75">
      <c r="E96" t="s">
        <v>248</v>
      </c>
      <c r="G96" t="s">
        <v>154</v>
      </c>
      <c r="H96">
        <f>A$38</f>
        <v>2025</v>
      </c>
      <c r="I96" t="str">
        <f t="shared" si="43"/>
        <v>MINGASRSV5</v>
      </c>
      <c r="J96" t="s">
        <v>269</v>
      </c>
      <c r="K96" t="str">
        <f>IF(K$14=0,"",K95*$B$38)</f>
        <v/>
      </c>
      <c r="L96" t="str">
        <f>IF(L$14=0,"",L95*$B$38)</f>
        <v/>
      </c>
      <c r="M96" t="str">
        <f>IF(M$14=0,"",M95*$B$38)</f>
        <v/>
      </c>
      <c r="N96" t="str">
        <f t="shared" si="48" ref="N96:AU96">IF(N$14=0,"",N95*$B$38)</f>
        <v/>
      </c>
      <c r="O96" t="str">
        <f t="shared" si="48"/>
        <v/>
      </c>
      <c r="P96" t="str">
        <f t="shared" si="48"/>
        <v/>
      </c>
      <c r="Q96" t="str">
        <f t="shared" si="48"/>
        <v/>
      </c>
      <c r="R96" t="str">
        <f t="shared" si="48"/>
        <v/>
      </c>
      <c r="S96" t="str">
        <f t="shared" si="48"/>
        <v/>
      </c>
      <c r="T96" t="str">
        <f t="shared" si="48"/>
        <v/>
      </c>
      <c r="U96" t="str">
        <f t="shared" si="48"/>
        <v/>
      </c>
      <c r="V96" t="str">
        <f t="shared" si="48"/>
        <v/>
      </c>
      <c r="W96" t="str">
        <f t="shared" si="48"/>
        <v/>
      </c>
      <c r="X96" t="str">
        <f t="shared" si="48"/>
        <v/>
      </c>
      <c r="Y96" t="str">
        <f t="shared" si="48"/>
        <v/>
      </c>
      <c r="Z96" t="str">
        <f t="shared" si="48"/>
        <v/>
      </c>
      <c r="AA96" t="str">
        <f t="shared" si="48"/>
        <v/>
      </c>
      <c r="AB96" t="str">
        <f t="shared" si="48"/>
        <v/>
      </c>
      <c r="AC96" t="str">
        <f t="shared" si="48"/>
        <v/>
      </c>
      <c r="AD96" t="str">
        <f t="shared" si="48"/>
        <v/>
      </c>
      <c r="AE96" t="str">
        <f t="shared" si="48"/>
        <v/>
      </c>
      <c r="AF96" t="str">
        <f t="shared" si="48"/>
        <v/>
      </c>
      <c r="AG96" t="str">
        <f t="shared" si="48"/>
        <v/>
      </c>
      <c r="AH96" t="str">
        <f t="shared" si="48"/>
        <v/>
      </c>
      <c r="AI96" t="str">
        <f t="shared" si="48"/>
        <v/>
      </c>
      <c r="AJ96" t="str">
        <f t="shared" si="48"/>
        <v/>
      </c>
      <c r="AK96" t="str">
        <f t="shared" si="48"/>
        <v/>
      </c>
      <c r="AL96" t="str">
        <f t="shared" si="48"/>
        <v/>
      </c>
      <c r="AM96" t="str">
        <f t="shared" si="48"/>
        <v/>
      </c>
      <c r="AN96" t="str">
        <f t="shared" si="48"/>
        <v/>
      </c>
      <c r="AO96" t="str">
        <f t="shared" si="48"/>
        <v/>
      </c>
      <c r="AP96" t="str">
        <f t="shared" si="48"/>
        <v/>
      </c>
      <c r="AQ96" t="str">
        <f t="shared" si="48"/>
        <v/>
      </c>
      <c r="AR96" t="str">
        <f t="shared" si="48"/>
        <v/>
      </c>
      <c r="AS96" t="str">
        <f t="shared" si="48"/>
        <v/>
      </c>
      <c r="AT96" t="str">
        <f t="shared" si="48"/>
        <v/>
      </c>
      <c r="AU96" t="str">
        <f t="shared" si="48"/>
        <v/>
      </c>
    </row>
    <row r="97" spans="5:47" ht="12.75">
      <c r="E97" t="s">
        <v>248</v>
      </c>
      <c r="G97" t="s">
        <v>154</v>
      </c>
      <c r="H97">
        <f>A$39</f>
        <v>2030</v>
      </c>
      <c r="I97" t="str">
        <f t="shared" si="43"/>
        <v>MINGASRSV5</v>
      </c>
      <c r="J97" t="s">
        <v>269</v>
      </c>
      <c r="K97" t="str">
        <f>IF(K$14=0,"",K96*$B$39)</f>
        <v/>
      </c>
      <c r="L97" t="str">
        <f>IF(L$14=0,"",L96*$B$39)</f>
        <v/>
      </c>
      <c r="M97" t="str">
        <f>IF(M$14=0,"",M96*$B$39)</f>
        <v/>
      </c>
      <c r="N97" t="str">
        <f t="shared" si="49" ref="N97:AU97">IF(N$14=0,"",N96*$B$39)</f>
        <v/>
      </c>
      <c r="O97" t="str">
        <f t="shared" si="49"/>
        <v/>
      </c>
      <c r="P97" t="str">
        <f t="shared" si="49"/>
        <v/>
      </c>
      <c r="Q97" t="str">
        <f t="shared" si="49"/>
        <v/>
      </c>
      <c r="R97" t="str">
        <f t="shared" si="49"/>
        <v/>
      </c>
      <c r="S97" t="str">
        <f t="shared" si="49"/>
        <v/>
      </c>
      <c r="T97" t="str">
        <f t="shared" si="49"/>
        <v/>
      </c>
      <c r="U97" t="str">
        <f t="shared" si="49"/>
        <v/>
      </c>
      <c r="V97" t="str">
        <f t="shared" si="49"/>
        <v/>
      </c>
      <c r="W97" t="str">
        <f t="shared" si="49"/>
        <v/>
      </c>
      <c r="X97" t="str">
        <f t="shared" si="49"/>
        <v/>
      </c>
      <c r="Y97" t="str">
        <f t="shared" si="49"/>
        <v/>
      </c>
      <c r="Z97" t="str">
        <f t="shared" si="49"/>
        <v/>
      </c>
      <c r="AA97" t="str">
        <f t="shared" si="49"/>
        <v/>
      </c>
      <c r="AB97" t="str">
        <f t="shared" si="49"/>
        <v/>
      </c>
      <c r="AC97" t="str">
        <f t="shared" si="49"/>
        <v/>
      </c>
      <c r="AD97" t="str">
        <f t="shared" si="49"/>
        <v/>
      </c>
      <c r="AE97" t="str">
        <f t="shared" si="49"/>
        <v/>
      </c>
      <c r="AF97" t="str">
        <f t="shared" si="49"/>
        <v/>
      </c>
      <c r="AG97" t="str">
        <f t="shared" si="49"/>
        <v/>
      </c>
      <c r="AH97" t="str">
        <f t="shared" si="49"/>
        <v/>
      </c>
      <c r="AI97" t="str">
        <f t="shared" si="49"/>
        <v/>
      </c>
      <c r="AJ97" t="str">
        <f t="shared" si="49"/>
        <v/>
      </c>
      <c r="AK97" t="str">
        <f t="shared" si="49"/>
        <v/>
      </c>
      <c r="AL97" t="str">
        <f t="shared" si="49"/>
        <v/>
      </c>
      <c r="AM97" t="str">
        <f t="shared" si="49"/>
        <v/>
      </c>
      <c r="AN97" t="str">
        <f t="shared" si="49"/>
        <v/>
      </c>
      <c r="AO97" t="str">
        <f t="shared" si="49"/>
        <v/>
      </c>
      <c r="AP97" t="str">
        <f t="shared" si="49"/>
        <v/>
      </c>
      <c r="AQ97" t="str">
        <f t="shared" si="49"/>
        <v/>
      </c>
      <c r="AR97" t="str">
        <f t="shared" si="49"/>
        <v/>
      </c>
      <c r="AS97" t="str">
        <f t="shared" si="49"/>
        <v/>
      </c>
      <c r="AT97" t="str">
        <f t="shared" si="49"/>
        <v/>
      </c>
      <c r="AU97" t="str">
        <f t="shared" si="49"/>
        <v/>
      </c>
    </row>
    <row r="98" spans="5:47" ht="12.75">
      <c r="E98" t="s">
        <v>248</v>
      </c>
      <c r="G98" t="s">
        <v>154</v>
      </c>
      <c r="H98">
        <f>A$40</f>
        <v>2035</v>
      </c>
      <c r="I98" t="str">
        <f t="shared" si="43"/>
        <v>MINGASRSV5</v>
      </c>
      <c r="J98" t="s">
        <v>269</v>
      </c>
      <c r="K98" t="str">
        <f>IF(K$14=0,"",K97*$B$40)</f>
        <v/>
      </c>
      <c r="L98" t="str">
        <f>IF(L$14=0,"",L97*$B$40)</f>
        <v/>
      </c>
      <c r="M98" t="str">
        <f>IF(M$14=0,"",M97*$B$40)</f>
        <v/>
      </c>
      <c r="N98" t="str">
        <f t="shared" si="50" ref="N98:AU98">IF(N$14=0,"",N97*$B$40)</f>
        <v/>
      </c>
      <c r="O98" t="str">
        <f t="shared" si="50"/>
        <v/>
      </c>
      <c r="P98" t="str">
        <f t="shared" si="50"/>
        <v/>
      </c>
      <c r="Q98" t="str">
        <f t="shared" si="50"/>
        <v/>
      </c>
      <c r="R98" t="str">
        <f t="shared" si="50"/>
        <v/>
      </c>
      <c r="S98" t="str">
        <f t="shared" si="50"/>
        <v/>
      </c>
      <c r="T98" t="str">
        <f t="shared" si="50"/>
        <v/>
      </c>
      <c r="U98" t="str">
        <f t="shared" si="50"/>
        <v/>
      </c>
      <c r="V98" t="str">
        <f t="shared" si="50"/>
        <v/>
      </c>
      <c r="W98" t="str">
        <f t="shared" si="50"/>
        <v/>
      </c>
      <c r="X98" t="str">
        <f t="shared" si="50"/>
        <v/>
      </c>
      <c r="Y98" t="str">
        <f t="shared" si="50"/>
        <v/>
      </c>
      <c r="Z98" t="str">
        <f t="shared" si="50"/>
        <v/>
      </c>
      <c r="AA98" t="str">
        <f t="shared" si="50"/>
        <v/>
      </c>
      <c r="AB98" t="str">
        <f t="shared" si="50"/>
        <v/>
      </c>
      <c r="AC98" t="str">
        <f t="shared" si="50"/>
        <v/>
      </c>
      <c r="AD98" t="str">
        <f t="shared" si="50"/>
        <v/>
      </c>
      <c r="AE98" t="str">
        <f t="shared" si="50"/>
        <v/>
      </c>
      <c r="AF98" t="str">
        <f t="shared" si="50"/>
        <v/>
      </c>
      <c r="AG98" t="str">
        <f t="shared" si="50"/>
        <v/>
      </c>
      <c r="AH98" t="str">
        <f t="shared" si="50"/>
        <v/>
      </c>
      <c r="AI98" t="str">
        <f t="shared" si="50"/>
        <v/>
      </c>
      <c r="AJ98" t="str">
        <f t="shared" si="50"/>
        <v/>
      </c>
      <c r="AK98" t="str">
        <f t="shared" si="50"/>
        <v/>
      </c>
      <c r="AL98" t="str">
        <f t="shared" si="50"/>
        <v/>
      </c>
      <c r="AM98" t="str">
        <f t="shared" si="50"/>
        <v/>
      </c>
      <c r="AN98" t="str">
        <f t="shared" si="50"/>
        <v/>
      </c>
      <c r="AO98" t="str">
        <f t="shared" si="50"/>
        <v/>
      </c>
      <c r="AP98" t="str">
        <f t="shared" si="50"/>
        <v/>
      </c>
      <c r="AQ98" t="str">
        <f t="shared" si="50"/>
        <v/>
      </c>
      <c r="AR98" t="str">
        <f t="shared" si="50"/>
        <v/>
      </c>
      <c r="AS98" t="str">
        <f t="shared" si="50"/>
        <v/>
      </c>
      <c r="AT98" t="str">
        <f t="shared" si="50"/>
        <v/>
      </c>
      <c r="AU98" t="str">
        <f t="shared" si="50"/>
        <v/>
      </c>
    </row>
    <row r="99" spans="5:47" ht="12.75">
      <c r="E99" t="s">
        <v>248</v>
      </c>
      <c r="G99" t="s">
        <v>154</v>
      </c>
      <c r="H99">
        <f>A$41</f>
        <v>2040</v>
      </c>
      <c r="I99" t="str">
        <f t="shared" si="43"/>
        <v>MINGASRSV5</v>
      </c>
      <c r="J99" t="s">
        <v>269</v>
      </c>
      <c r="K99" t="str">
        <f>IF(K$14=0,"",K98*$B$41)</f>
        <v/>
      </c>
      <c r="L99" t="str">
        <f>IF(L$14=0,"",L98*$B$41)</f>
        <v/>
      </c>
      <c r="M99" t="str">
        <f>IF(M$14=0,"",M98*$B$41)</f>
        <v/>
      </c>
      <c r="N99" t="str">
        <f t="shared" si="51" ref="N99:AU99">IF(N$14=0,"",N98*$B$41)</f>
        <v/>
      </c>
      <c r="O99" t="str">
        <f t="shared" si="51"/>
        <v/>
      </c>
      <c r="P99" t="str">
        <f t="shared" si="51"/>
        <v/>
      </c>
      <c r="Q99" t="str">
        <f t="shared" si="51"/>
        <v/>
      </c>
      <c r="R99" t="str">
        <f t="shared" si="51"/>
        <v/>
      </c>
      <c r="S99" t="str">
        <f t="shared" si="51"/>
        <v/>
      </c>
      <c r="T99" t="str">
        <f t="shared" si="51"/>
        <v/>
      </c>
      <c r="U99" t="str">
        <f t="shared" si="51"/>
        <v/>
      </c>
      <c r="V99" t="str">
        <f t="shared" si="51"/>
        <v/>
      </c>
      <c r="W99" t="str">
        <f t="shared" si="51"/>
        <v/>
      </c>
      <c r="X99" t="str">
        <f t="shared" si="51"/>
        <v/>
      </c>
      <c r="Y99" t="str">
        <f t="shared" si="51"/>
        <v/>
      </c>
      <c r="Z99" t="str">
        <f t="shared" si="51"/>
        <v/>
      </c>
      <c r="AA99" t="str">
        <f t="shared" si="51"/>
        <v/>
      </c>
      <c r="AB99" t="str">
        <f t="shared" si="51"/>
        <v/>
      </c>
      <c r="AC99" t="str">
        <f t="shared" si="51"/>
        <v/>
      </c>
      <c r="AD99" t="str">
        <f t="shared" si="51"/>
        <v/>
      </c>
      <c r="AE99" t="str">
        <f t="shared" si="51"/>
        <v/>
      </c>
      <c r="AF99" t="str">
        <f t="shared" si="51"/>
        <v/>
      </c>
      <c r="AG99" t="str">
        <f t="shared" si="51"/>
        <v/>
      </c>
      <c r="AH99" t="str">
        <f t="shared" si="51"/>
        <v/>
      </c>
      <c r="AI99" t="str">
        <f t="shared" si="51"/>
        <v/>
      </c>
      <c r="AJ99" t="str">
        <f t="shared" si="51"/>
        <v/>
      </c>
      <c r="AK99" t="str">
        <f t="shared" si="51"/>
        <v/>
      </c>
      <c r="AL99" t="str">
        <f t="shared" si="51"/>
        <v/>
      </c>
      <c r="AM99" t="str">
        <f t="shared" si="51"/>
        <v/>
      </c>
      <c r="AN99" t="str">
        <f t="shared" si="51"/>
        <v/>
      </c>
      <c r="AO99" t="str">
        <f t="shared" si="51"/>
        <v/>
      </c>
      <c r="AP99" t="str">
        <f t="shared" si="51"/>
        <v/>
      </c>
      <c r="AQ99" t="str">
        <f t="shared" si="51"/>
        <v/>
      </c>
      <c r="AR99" t="str">
        <f t="shared" si="51"/>
        <v/>
      </c>
      <c r="AS99" t="str">
        <f t="shared" si="51"/>
        <v/>
      </c>
      <c r="AT99" t="str">
        <f t="shared" si="51"/>
        <v/>
      </c>
      <c r="AU99" t="str">
        <f t="shared" si="51"/>
        <v/>
      </c>
    </row>
    <row r="100" spans="5:47" ht="12.75">
      <c r="E100" t="s">
        <v>248</v>
      </c>
      <c r="G100" t="s">
        <v>154</v>
      </c>
      <c r="H100">
        <f>A$42</f>
        <v>2045</v>
      </c>
      <c r="I100" t="str">
        <f t="shared" si="43"/>
        <v>MINGASRSV5</v>
      </c>
      <c r="J100" t="s">
        <v>269</v>
      </c>
      <c r="K100" t="str">
        <f>IF(K$14=0,"",K99*$B$42)</f>
        <v/>
      </c>
      <c r="L100" t="str">
        <f>IF(L$14=0,"",L99*$B$42)</f>
        <v/>
      </c>
      <c r="M100" t="str">
        <f>IF(M$14=0,"",M99*$B$42)</f>
        <v/>
      </c>
      <c r="N100" t="str">
        <f t="shared" si="52" ref="N100:AU100">IF(N$14=0,"",N99*$B$42)</f>
        <v/>
      </c>
      <c r="O100" t="str">
        <f t="shared" si="52"/>
        <v/>
      </c>
      <c r="P100" t="str">
        <f t="shared" si="52"/>
        <v/>
      </c>
      <c r="Q100" t="str">
        <f t="shared" si="52"/>
        <v/>
      </c>
      <c r="R100" t="str">
        <f t="shared" si="52"/>
        <v/>
      </c>
      <c r="S100" t="str">
        <f t="shared" si="52"/>
        <v/>
      </c>
      <c r="T100" t="str">
        <f t="shared" si="52"/>
        <v/>
      </c>
      <c r="U100" t="str">
        <f t="shared" si="52"/>
        <v/>
      </c>
      <c r="V100" t="str">
        <f t="shared" si="52"/>
        <v/>
      </c>
      <c r="W100" t="str">
        <f t="shared" si="52"/>
        <v/>
      </c>
      <c r="X100" t="str">
        <f t="shared" si="52"/>
        <v/>
      </c>
      <c r="Y100" t="str">
        <f t="shared" si="52"/>
        <v/>
      </c>
      <c r="Z100" t="str">
        <f t="shared" si="52"/>
        <v/>
      </c>
      <c r="AA100" t="str">
        <f t="shared" si="52"/>
        <v/>
      </c>
      <c r="AB100" t="str">
        <f t="shared" si="52"/>
        <v/>
      </c>
      <c r="AC100" t="str">
        <f t="shared" si="52"/>
        <v/>
      </c>
      <c r="AD100" t="str">
        <f t="shared" si="52"/>
        <v/>
      </c>
      <c r="AE100" t="str">
        <f t="shared" si="52"/>
        <v/>
      </c>
      <c r="AF100" t="str">
        <f t="shared" si="52"/>
        <v/>
      </c>
      <c r="AG100" t="str">
        <f t="shared" si="52"/>
        <v/>
      </c>
      <c r="AH100" t="str">
        <f t="shared" si="52"/>
        <v/>
      </c>
      <c r="AI100" t="str">
        <f t="shared" si="52"/>
        <v/>
      </c>
      <c r="AJ100" t="str">
        <f t="shared" si="52"/>
        <v/>
      </c>
      <c r="AK100" t="str">
        <f t="shared" si="52"/>
        <v/>
      </c>
      <c r="AL100" t="str">
        <f t="shared" si="52"/>
        <v/>
      </c>
      <c r="AM100" t="str">
        <f t="shared" si="52"/>
        <v/>
      </c>
      <c r="AN100" t="str">
        <f t="shared" si="52"/>
        <v/>
      </c>
      <c r="AO100" t="str">
        <f t="shared" si="52"/>
        <v/>
      </c>
      <c r="AP100" t="str">
        <f t="shared" si="52"/>
        <v/>
      </c>
      <c r="AQ100" t="str">
        <f t="shared" si="52"/>
        <v/>
      </c>
      <c r="AR100" t="str">
        <f t="shared" si="52"/>
        <v/>
      </c>
      <c r="AS100" t="str">
        <f t="shared" si="52"/>
        <v/>
      </c>
      <c r="AT100" t="str">
        <f t="shared" si="52"/>
        <v/>
      </c>
      <c r="AU100" t="str">
        <f t="shared" si="52"/>
        <v/>
      </c>
    </row>
    <row r="101" spans="5:47" ht="12.75">
      <c r="E101" t="s">
        <v>248</v>
      </c>
      <c r="G101" t="s">
        <v>154</v>
      </c>
      <c r="H101">
        <f>A$43</f>
        <v>2050</v>
      </c>
      <c r="I101" t="str">
        <f t="shared" si="43"/>
        <v>MINGASRSV5</v>
      </c>
      <c r="J101" t="s">
        <v>269</v>
      </c>
      <c r="K101" t="str">
        <f>IF(K$14=0,"",K100*$B$43)</f>
        <v/>
      </c>
      <c r="L101" t="str">
        <f>IF(L$14=0,"",L100*$B$43)</f>
        <v/>
      </c>
      <c r="M101" t="str">
        <f>IF(M$14=0,"",M100*$B$43)</f>
        <v/>
      </c>
      <c r="N101" t="str">
        <f t="shared" si="53" ref="N101:AU101">IF(N$14=0,"",N100*$B$43)</f>
        <v/>
      </c>
      <c r="O101" t="str">
        <f t="shared" si="53"/>
        <v/>
      </c>
      <c r="P101" t="str">
        <f t="shared" si="53"/>
        <v/>
      </c>
      <c r="Q101" t="str">
        <f t="shared" si="53"/>
        <v/>
      </c>
      <c r="R101" t="str">
        <f t="shared" si="53"/>
        <v/>
      </c>
      <c r="S101" t="str">
        <f t="shared" si="53"/>
        <v/>
      </c>
      <c r="T101" t="str">
        <f t="shared" si="53"/>
        <v/>
      </c>
      <c r="U101" t="str">
        <f t="shared" si="53"/>
        <v/>
      </c>
      <c r="V101" t="str">
        <f t="shared" si="53"/>
        <v/>
      </c>
      <c r="W101" t="str">
        <f t="shared" si="53"/>
        <v/>
      </c>
      <c r="X101" t="str">
        <f t="shared" si="53"/>
        <v/>
      </c>
      <c r="Y101" t="str">
        <f t="shared" si="53"/>
        <v/>
      </c>
      <c r="Z101" t="str">
        <f t="shared" si="53"/>
        <v/>
      </c>
      <c r="AA101" t="str">
        <f t="shared" si="53"/>
        <v/>
      </c>
      <c r="AB101" t="str">
        <f t="shared" si="53"/>
        <v/>
      </c>
      <c r="AC101" t="str">
        <f t="shared" si="53"/>
        <v/>
      </c>
      <c r="AD101" t="str">
        <f t="shared" si="53"/>
        <v/>
      </c>
      <c r="AE101" t="str">
        <f t="shared" si="53"/>
        <v/>
      </c>
      <c r="AF101" t="str">
        <f t="shared" si="53"/>
        <v/>
      </c>
      <c r="AG101" t="str">
        <f t="shared" si="53"/>
        <v/>
      </c>
      <c r="AH101" t="str">
        <f t="shared" si="53"/>
        <v/>
      </c>
      <c r="AI101" t="str">
        <f t="shared" si="53"/>
        <v/>
      </c>
      <c r="AJ101" t="str">
        <f t="shared" si="53"/>
        <v/>
      </c>
      <c r="AK101" t="str">
        <f t="shared" si="53"/>
        <v/>
      </c>
      <c r="AL101" t="str">
        <f t="shared" si="53"/>
        <v/>
      </c>
      <c r="AM101" t="str">
        <f t="shared" si="53"/>
        <v/>
      </c>
      <c r="AN101" t="str">
        <f t="shared" si="53"/>
        <v/>
      </c>
      <c r="AO101" t="str">
        <f t="shared" si="53"/>
        <v/>
      </c>
      <c r="AP101" t="str">
        <f t="shared" si="53"/>
        <v/>
      </c>
      <c r="AQ101" t="str">
        <f t="shared" si="53"/>
        <v/>
      </c>
      <c r="AR101" t="str">
        <f t="shared" si="53"/>
        <v/>
      </c>
      <c r="AS101" t="str">
        <f t="shared" si="53"/>
        <v/>
      </c>
      <c r="AT101" t="str">
        <f t="shared" si="53"/>
        <v/>
      </c>
      <c r="AU101" t="str">
        <f t="shared" si="53"/>
        <v/>
      </c>
    </row>
    <row r="102" spans="5:47" ht="12.75">
      <c r="E102" t="s">
        <v>248</v>
      </c>
      <c r="G102" t="s">
        <v>154</v>
      </c>
      <c r="H102">
        <f>A$33</f>
        <v>2001</v>
      </c>
      <c r="I102" t="str">
        <f>I$15</f>
        <v>MINGASRSV6</v>
      </c>
      <c r="J102" t="s">
        <v>269</v>
      </c>
      <c r="K102" t="str">
        <f>IF(K$15=0,"",K$15*$B$33)</f>
        <v/>
      </c>
      <c r="L102" t="str">
        <f>IF(L$15=0,"",L$15*$B$33)</f>
        <v/>
      </c>
      <c r="M102" t="str">
        <f>IF(M$15=0,"",M$15*$B$33)</f>
        <v/>
      </c>
      <c r="N102" t="str">
        <f t="shared" si="54" ref="N102:AU102">IF(N$15=0,"",N$15*$B$33)</f>
        <v/>
      </c>
      <c r="O102" t="str">
        <f t="shared" si="54"/>
        <v/>
      </c>
      <c r="P102" t="str">
        <f t="shared" si="54"/>
        <v/>
      </c>
      <c r="Q102" t="str">
        <f t="shared" si="54"/>
        <v/>
      </c>
      <c r="R102" t="str">
        <f t="shared" si="54"/>
        <v/>
      </c>
      <c r="S102" t="str">
        <f t="shared" si="54"/>
        <v/>
      </c>
      <c r="T102" t="str">
        <f t="shared" si="54"/>
        <v/>
      </c>
      <c r="U102" t="str">
        <f t="shared" si="54"/>
        <v/>
      </c>
      <c r="V102" t="str">
        <f t="shared" si="54"/>
        <v/>
      </c>
      <c r="W102" t="str">
        <f t="shared" si="54"/>
        <v/>
      </c>
      <c r="X102" t="str">
        <f t="shared" si="54"/>
        <v/>
      </c>
      <c r="Y102" t="str">
        <f t="shared" si="54"/>
        <v/>
      </c>
      <c r="Z102" t="str">
        <f t="shared" si="54"/>
        <v/>
      </c>
      <c r="AA102" t="str">
        <f t="shared" si="54"/>
        <v/>
      </c>
      <c r="AB102" t="str">
        <f t="shared" si="54"/>
        <v/>
      </c>
      <c r="AC102" t="str">
        <f t="shared" si="54"/>
        <v/>
      </c>
      <c r="AD102" t="str">
        <f t="shared" si="54"/>
        <v/>
      </c>
      <c r="AE102" t="str">
        <f t="shared" si="54"/>
        <v/>
      </c>
      <c r="AF102" t="str">
        <f t="shared" si="54"/>
        <v/>
      </c>
      <c r="AG102" t="str">
        <f t="shared" si="54"/>
        <v/>
      </c>
      <c r="AH102" t="str">
        <f t="shared" si="54"/>
        <v/>
      </c>
      <c r="AI102" t="str">
        <f t="shared" si="54"/>
        <v/>
      </c>
      <c r="AJ102" t="str">
        <f t="shared" si="54"/>
        <v/>
      </c>
      <c r="AK102" t="str">
        <f t="shared" si="54"/>
        <v/>
      </c>
      <c r="AL102" t="str">
        <f t="shared" si="54"/>
        <v/>
      </c>
      <c r="AM102" t="str">
        <f t="shared" si="54"/>
        <v/>
      </c>
      <c r="AN102" t="str">
        <f t="shared" si="54"/>
        <v/>
      </c>
      <c r="AO102" t="str">
        <f t="shared" si="54"/>
        <v/>
      </c>
      <c r="AP102" t="str">
        <f t="shared" si="54"/>
        <v/>
      </c>
      <c r="AQ102" t="str">
        <f t="shared" si="54"/>
        <v/>
      </c>
      <c r="AR102" t="str">
        <f t="shared" si="54"/>
        <v/>
      </c>
      <c r="AS102" t="str">
        <f t="shared" si="54"/>
        <v/>
      </c>
      <c r="AT102" t="str">
        <f t="shared" si="54"/>
        <v/>
      </c>
      <c r="AU102" t="str">
        <f t="shared" si="54"/>
        <v/>
      </c>
    </row>
    <row r="103" spans="5:47" ht="12.75">
      <c r="E103" t="s">
        <v>248</v>
      </c>
      <c r="G103" t="s">
        <v>154</v>
      </c>
      <c r="H103">
        <f>A$34</f>
        <v>2005</v>
      </c>
      <c r="I103" t="str">
        <f t="shared" si="55" ref="I103:I112">I$15</f>
        <v>MINGASRSV6</v>
      </c>
      <c r="J103" t="s">
        <v>269</v>
      </c>
      <c r="K103" t="str">
        <f>IF(K$15=0,"",K102*$B$34)</f>
        <v/>
      </c>
      <c r="L103" t="str">
        <f>IF(L$15=0,"",L102*$B$34)</f>
        <v/>
      </c>
      <c r="M103" t="str">
        <f>IF(M$15=0,"",M102*$B$34)</f>
        <v/>
      </c>
      <c r="N103" t="str">
        <f t="shared" si="56" ref="N103:AU103">IF(N$15=0,"",N102*$B$34)</f>
        <v/>
      </c>
      <c r="O103" t="str">
        <f t="shared" si="56"/>
        <v/>
      </c>
      <c r="P103" t="str">
        <f t="shared" si="56"/>
        <v/>
      </c>
      <c r="Q103" t="str">
        <f t="shared" si="56"/>
        <v/>
      </c>
      <c r="R103" t="str">
        <f t="shared" si="56"/>
        <v/>
      </c>
      <c r="S103" t="str">
        <f t="shared" si="56"/>
        <v/>
      </c>
      <c r="T103" t="str">
        <f t="shared" si="56"/>
        <v/>
      </c>
      <c r="U103" t="str">
        <f t="shared" si="56"/>
        <v/>
      </c>
      <c r="V103" t="str">
        <f t="shared" si="56"/>
        <v/>
      </c>
      <c r="W103" t="str">
        <f t="shared" si="56"/>
        <v/>
      </c>
      <c r="X103" t="str">
        <f t="shared" si="56"/>
        <v/>
      </c>
      <c r="Y103" t="str">
        <f t="shared" si="56"/>
        <v/>
      </c>
      <c r="Z103" t="str">
        <f t="shared" si="56"/>
        <v/>
      </c>
      <c r="AA103" t="str">
        <f t="shared" si="56"/>
        <v/>
      </c>
      <c r="AB103" t="str">
        <f t="shared" si="56"/>
        <v/>
      </c>
      <c r="AC103" t="str">
        <f t="shared" si="56"/>
        <v/>
      </c>
      <c r="AD103" t="str">
        <f t="shared" si="56"/>
        <v/>
      </c>
      <c r="AE103" t="str">
        <f t="shared" si="56"/>
        <v/>
      </c>
      <c r="AF103" t="str">
        <f t="shared" si="56"/>
        <v/>
      </c>
      <c r="AG103" t="str">
        <f t="shared" si="56"/>
        <v/>
      </c>
      <c r="AH103" t="str">
        <f t="shared" si="56"/>
        <v/>
      </c>
      <c r="AI103" t="str">
        <f t="shared" si="56"/>
        <v/>
      </c>
      <c r="AJ103" t="str">
        <f t="shared" si="56"/>
        <v/>
      </c>
      <c r="AK103" t="str">
        <f t="shared" si="56"/>
        <v/>
      </c>
      <c r="AL103" t="str">
        <f t="shared" si="56"/>
        <v/>
      </c>
      <c r="AM103" t="str">
        <f t="shared" si="56"/>
        <v/>
      </c>
      <c r="AN103" t="str">
        <f t="shared" si="56"/>
        <v/>
      </c>
      <c r="AO103" t="str">
        <f t="shared" si="56"/>
        <v/>
      </c>
      <c r="AP103" t="str">
        <f t="shared" si="56"/>
        <v/>
      </c>
      <c r="AQ103" t="str">
        <f t="shared" si="56"/>
        <v/>
      </c>
      <c r="AR103" t="str">
        <f t="shared" si="56"/>
        <v/>
      </c>
      <c r="AS103" t="str">
        <f t="shared" si="56"/>
        <v/>
      </c>
      <c r="AT103" t="str">
        <f t="shared" si="56"/>
        <v/>
      </c>
      <c r="AU103" t="str">
        <f t="shared" si="56"/>
        <v/>
      </c>
    </row>
    <row r="104" spans="5:47" ht="12.75">
      <c r="E104" t="s">
        <v>248</v>
      </c>
      <c r="G104" t="s">
        <v>154</v>
      </c>
      <c r="H104">
        <f>A$35</f>
        <v>2010</v>
      </c>
      <c r="I104" t="str">
        <f t="shared" si="55"/>
        <v>MINGASRSV6</v>
      </c>
      <c r="J104" t="s">
        <v>269</v>
      </c>
      <c r="K104" t="str">
        <f>IF(K$15=0,"",K103*$B$35)</f>
        <v/>
      </c>
      <c r="L104" t="str">
        <f>IF(L$15=0,"",L103*$B$35)</f>
        <v/>
      </c>
      <c r="M104" t="str">
        <f>IF(M$15=0,"",M103*$B$35)</f>
        <v/>
      </c>
      <c r="N104" t="str">
        <f t="shared" si="57" ref="N104:AU104">IF(N$15=0,"",N103*$B$35)</f>
        <v/>
      </c>
      <c r="O104" t="str">
        <f t="shared" si="57"/>
        <v/>
      </c>
      <c r="P104" t="str">
        <f t="shared" si="57"/>
        <v/>
      </c>
      <c r="Q104" t="str">
        <f t="shared" si="57"/>
        <v/>
      </c>
      <c r="R104" t="str">
        <f t="shared" si="57"/>
        <v/>
      </c>
      <c r="S104" t="str">
        <f t="shared" si="57"/>
        <v/>
      </c>
      <c r="T104" t="str">
        <f t="shared" si="57"/>
        <v/>
      </c>
      <c r="U104" t="str">
        <f t="shared" si="57"/>
        <v/>
      </c>
      <c r="V104" t="str">
        <f t="shared" si="57"/>
        <v/>
      </c>
      <c r="W104" t="str">
        <f t="shared" si="57"/>
        <v/>
      </c>
      <c r="X104" t="str">
        <f t="shared" si="57"/>
        <v/>
      </c>
      <c r="Y104" t="str">
        <f t="shared" si="57"/>
        <v/>
      </c>
      <c r="Z104" t="str">
        <f t="shared" si="57"/>
        <v/>
      </c>
      <c r="AA104" t="str">
        <f t="shared" si="57"/>
        <v/>
      </c>
      <c r="AB104" t="str">
        <f t="shared" si="57"/>
        <v/>
      </c>
      <c r="AC104" t="str">
        <f t="shared" si="57"/>
        <v/>
      </c>
      <c r="AD104" t="str">
        <f t="shared" si="57"/>
        <v/>
      </c>
      <c r="AE104" t="str">
        <f t="shared" si="57"/>
        <v/>
      </c>
      <c r="AF104" t="str">
        <f t="shared" si="57"/>
        <v/>
      </c>
      <c r="AG104" t="str">
        <f t="shared" si="57"/>
        <v/>
      </c>
      <c r="AH104" t="str">
        <f t="shared" si="57"/>
        <v/>
      </c>
      <c r="AI104" t="str">
        <f t="shared" si="57"/>
        <v/>
      </c>
      <c r="AJ104" t="str">
        <f t="shared" si="57"/>
        <v/>
      </c>
      <c r="AK104" t="str">
        <f t="shared" si="57"/>
        <v/>
      </c>
      <c r="AL104" t="str">
        <f t="shared" si="57"/>
        <v/>
      </c>
      <c r="AM104" t="str">
        <f t="shared" si="57"/>
        <v/>
      </c>
      <c r="AN104" t="str">
        <f t="shared" si="57"/>
        <v/>
      </c>
      <c r="AO104" t="str">
        <f t="shared" si="57"/>
        <v/>
      </c>
      <c r="AP104" t="str">
        <f t="shared" si="57"/>
        <v/>
      </c>
      <c r="AQ104" t="str">
        <f t="shared" si="57"/>
        <v/>
      </c>
      <c r="AR104" t="str">
        <f t="shared" si="57"/>
        <v/>
      </c>
      <c r="AS104" t="str">
        <f t="shared" si="57"/>
        <v/>
      </c>
      <c r="AT104" t="str">
        <f t="shared" si="57"/>
        <v/>
      </c>
      <c r="AU104" t="str">
        <f t="shared" si="57"/>
        <v/>
      </c>
    </row>
    <row r="105" spans="5:47" ht="12.75">
      <c r="E105" t="s">
        <v>248</v>
      </c>
      <c r="G105" t="s">
        <v>154</v>
      </c>
      <c r="H105">
        <f>A$36</f>
        <v>2015</v>
      </c>
      <c r="I105" t="str">
        <f t="shared" si="55"/>
        <v>MINGASRSV6</v>
      </c>
      <c r="J105" t="s">
        <v>269</v>
      </c>
      <c r="K105" t="str">
        <f>IF(K$15=0,"",K104*$B$36)</f>
        <v/>
      </c>
      <c r="L105" t="str">
        <f>IF(L$15=0,"",L104*$B$36)</f>
        <v/>
      </c>
      <c r="M105" t="str">
        <f>IF(M$15=0,"",M104*$B$36)</f>
        <v/>
      </c>
      <c r="N105" t="str">
        <f t="shared" si="58" ref="N105:AU105">IF(N$15=0,"",N104*$B$36)</f>
        <v/>
      </c>
      <c r="O105" t="str">
        <f t="shared" si="58"/>
        <v/>
      </c>
      <c r="P105" t="str">
        <f t="shared" si="58"/>
        <v/>
      </c>
      <c r="Q105" t="str">
        <f t="shared" si="58"/>
        <v/>
      </c>
      <c r="R105" t="str">
        <f t="shared" si="58"/>
        <v/>
      </c>
      <c r="S105" t="str">
        <f t="shared" si="58"/>
        <v/>
      </c>
      <c r="T105" t="str">
        <f t="shared" si="58"/>
        <v/>
      </c>
      <c r="U105" t="str">
        <f t="shared" si="58"/>
        <v/>
      </c>
      <c r="V105" t="str">
        <f t="shared" si="58"/>
        <v/>
      </c>
      <c r="W105" t="str">
        <f t="shared" si="58"/>
        <v/>
      </c>
      <c r="X105" t="str">
        <f t="shared" si="58"/>
        <v/>
      </c>
      <c r="Y105" t="str">
        <f t="shared" si="58"/>
        <v/>
      </c>
      <c r="Z105" t="str">
        <f t="shared" si="58"/>
        <v/>
      </c>
      <c r="AA105" t="str">
        <f t="shared" si="58"/>
        <v/>
      </c>
      <c r="AB105" t="str">
        <f t="shared" si="58"/>
        <v/>
      </c>
      <c r="AC105" t="str">
        <f t="shared" si="58"/>
        <v/>
      </c>
      <c r="AD105" t="str">
        <f t="shared" si="58"/>
        <v/>
      </c>
      <c r="AE105" t="str">
        <f t="shared" si="58"/>
        <v/>
      </c>
      <c r="AF105" t="str">
        <f t="shared" si="58"/>
        <v/>
      </c>
      <c r="AG105" t="str">
        <f t="shared" si="58"/>
        <v/>
      </c>
      <c r="AH105" t="str">
        <f t="shared" si="58"/>
        <v/>
      </c>
      <c r="AI105" t="str">
        <f t="shared" si="58"/>
        <v/>
      </c>
      <c r="AJ105" t="str">
        <f t="shared" si="58"/>
        <v/>
      </c>
      <c r="AK105" t="str">
        <f t="shared" si="58"/>
        <v/>
      </c>
      <c r="AL105" t="str">
        <f t="shared" si="58"/>
        <v/>
      </c>
      <c r="AM105" t="str">
        <f t="shared" si="58"/>
        <v/>
      </c>
      <c r="AN105" t="str">
        <f t="shared" si="58"/>
        <v/>
      </c>
      <c r="AO105" t="str">
        <f t="shared" si="58"/>
        <v/>
      </c>
      <c r="AP105" t="str">
        <f t="shared" si="58"/>
        <v/>
      </c>
      <c r="AQ105" t="str">
        <f t="shared" si="58"/>
        <v/>
      </c>
      <c r="AR105" t="str">
        <f t="shared" si="58"/>
        <v/>
      </c>
      <c r="AS105" t="str">
        <f t="shared" si="58"/>
        <v/>
      </c>
      <c r="AT105" t="str">
        <f t="shared" si="58"/>
        <v/>
      </c>
      <c r="AU105" t="str">
        <f t="shared" si="58"/>
        <v/>
      </c>
    </row>
    <row r="106" spans="5:47" ht="12.75">
      <c r="E106" t="s">
        <v>248</v>
      </c>
      <c r="G106" t="s">
        <v>154</v>
      </c>
      <c r="H106">
        <f>A$37</f>
        <v>2020</v>
      </c>
      <c r="I106" t="str">
        <f t="shared" si="55"/>
        <v>MINGASRSV6</v>
      </c>
      <c r="J106" t="s">
        <v>269</v>
      </c>
      <c r="K106" t="str">
        <f>IF(K$15=0,"",K105*$B$37)</f>
        <v/>
      </c>
      <c r="L106" t="str">
        <f>IF(L$15=0,"",L105*$B$37)</f>
        <v/>
      </c>
      <c r="M106" t="str">
        <f>IF(M$15=0,"",M105*$B$37)</f>
        <v/>
      </c>
      <c r="N106" t="str">
        <f t="shared" si="59" ref="N106:AU106">IF(N$15=0,"",N105*$B$37)</f>
        <v/>
      </c>
      <c r="O106" t="str">
        <f t="shared" si="59"/>
        <v/>
      </c>
      <c r="P106" t="str">
        <f t="shared" si="59"/>
        <v/>
      </c>
      <c r="Q106" t="str">
        <f t="shared" si="59"/>
        <v/>
      </c>
      <c r="R106" t="str">
        <f t="shared" si="59"/>
        <v/>
      </c>
      <c r="S106" t="str">
        <f t="shared" si="59"/>
        <v/>
      </c>
      <c r="T106" t="str">
        <f t="shared" si="59"/>
        <v/>
      </c>
      <c r="U106" t="str">
        <f t="shared" si="59"/>
        <v/>
      </c>
      <c r="V106" t="str">
        <f t="shared" si="59"/>
        <v/>
      </c>
      <c r="W106" t="str">
        <f t="shared" si="59"/>
        <v/>
      </c>
      <c r="X106" t="str">
        <f t="shared" si="59"/>
        <v/>
      </c>
      <c r="Y106" t="str">
        <f t="shared" si="59"/>
        <v/>
      </c>
      <c r="Z106" t="str">
        <f t="shared" si="59"/>
        <v/>
      </c>
      <c r="AA106" t="str">
        <f t="shared" si="59"/>
        <v/>
      </c>
      <c r="AB106" t="str">
        <f t="shared" si="59"/>
        <v/>
      </c>
      <c r="AC106" t="str">
        <f t="shared" si="59"/>
        <v/>
      </c>
      <c r="AD106" t="str">
        <f t="shared" si="59"/>
        <v/>
      </c>
      <c r="AE106" t="str">
        <f t="shared" si="59"/>
        <v/>
      </c>
      <c r="AF106" t="str">
        <f t="shared" si="59"/>
        <v/>
      </c>
      <c r="AG106" t="str">
        <f t="shared" si="59"/>
        <v/>
      </c>
      <c r="AH106" t="str">
        <f t="shared" si="59"/>
        <v/>
      </c>
      <c r="AI106" t="str">
        <f t="shared" si="59"/>
        <v/>
      </c>
      <c r="AJ106" t="str">
        <f t="shared" si="59"/>
        <v/>
      </c>
      <c r="AK106" t="str">
        <f t="shared" si="59"/>
        <v/>
      </c>
      <c r="AL106" t="str">
        <f t="shared" si="59"/>
        <v/>
      </c>
      <c r="AM106" t="str">
        <f t="shared" si="59"/>
        <v/>
      </c>
      <c r="AN106" t="str">
        <f t="shared" si="59"/>
        <v/>
      </c>
      <c r="AO106" t="str">
        <f t="shared" si="59"/>
        <v/>
      </c>
      <c r="AP106" t="str">
        <f t="shared" si="59"/>
        <v/>
      </c>
      <c r="AQ106" t="str">
        <f t="shared" si="59"/>
        <v/>
      </c>
      <c r="AR106" t="str">
        <f t="shared" si="59"/>
        <v/>
      </c>
      <c r="AS106" t="str">
        <f t="shared" si="59"/>
        <v/>
      </c>
      <c r="AT106" t="str">
        <f t="shared" si="59"/>
        <v/>
      </c>
      <c r="AU106" t="str">
        <f t="shared" si="59"/>
        <v/>
      </c>
    </row>
    <row r="107" spans="5:47" ht="12.75">
      <c r="E107" t="s">
        <v>248</v>
      </c>
      <c r="G107" t="s">
        <v>154</v>
      </c>
      <c r="H107">
        <f>A$38</f>
        <v>2025</v>
      </c>
      <c r="I107" t="str">
        <f t="shared" si="55"/>
        <v>MINGASRSV6</v>
      </c>
      <c r="J107" t="s">
        <v>269</v>
      </c>
      <c r="K107" t="str">
        <f>IF(K$15=0,"",K106*$B$38)</f>
        <v/>
      </c>
      <c r="L107" t="str">
        <f>IF(L$15=0,"",L106*$B$38)</f>
        <v/>
      </c>
      <c r="M107" t="str">
        <f>IF(M$15=0,"",M106*$B$38)</f>
        <v/>
      </c>
      <c r="N107" t="str">
        <f t="shared" si="60" ref="N107:AU107">IF(N$15=0,"",N106*$B$38)</f>
        <v/>
      </c>
      <c r="O107" t="str">
        <f t="shared" si="60"/>
        <v/>
      </c>
      <c r="P107" t="str">
        <f t="shared" si="60"/>
        <v/>
      </c>
      <c r="Q107" t="str">
        <f t="shared" si="60"/>
        <v/>
      </c>
      <c r="R107" t="str">
        <f t="shared" si="60"/>
        <v/>
      </c>
      <c r="S107" t="str">
        <f t="shared" si="60"/>
        <v/>
      </c>
      <c r="T107" t="str">
        <f t="shared" si="60"/>
        <v/>
      </c>
      <c r="U107" t="str">
        <f t="shared" si="60"/>
        <v/>
      </c>
      <c r="V107" t="str">
        <f t="shared" si="60"/>
        <v/>
      </c>
      <c r="W107" t="str">
        <f t="shared" si="60"/>
        <v/>
      </c>
      <c r="X107" t="str">
        <f t="shared" si="60"/>
        <v/>
      </c>
      <c r="Y107" t="str">
        <f t="shared" si="60"/>
        <v/>
      </c>
      <c r="Z107" t="str">
        <f t="shared" si="60"/>
        <v/>
      </c>
      <c r="AA107" t="str">
        <f t="shared" si="60"/>
        <v/>
      </c>
      <c r="AB107" t="str">
        <f t="shared" si="60"/>
        <v/>
      </c>
      <c r="AC107" t="str">
        <f t="shared" si="60"/>
        <v/>
      </c>
      <c r="AD107" t="str">
        <f t="shared" si="60"/>
        <v/>
      </c>
      <c r="AE107" t="str">
        <f t="shared" si="60"/>
        <v/>
      </c>
      <c r="AF107" t="str">
        <f t="shared" si="60"/>
        <v/>
      </c>
      <c r="AG107" t="str">
        <f t="shared" si="60"/>
        <v/>
      </c>
      <c r="AH107" t="str">
        <f t="shared" si="60"/>
        <v/>
      </c>
      <c r="AI107" t="str">
        <f t="shared" si="60"/>
        <v/>
      </c>
      <c r="AJ107" t="str">
        <f t="shared" si="60"/>
        <v/>
      </c>
      <c r="AK107" t="str">
        <f t="shared" si="60"/>
        <v/>
      </c>
      <c r="AL107" t="str">
        <f t="shared" si="60"/>
        <v/>
      </c>
      <c r="AM107" t="str">
        <f t="shared" si="60"/>
        <v/>
      </c>
      <c r="AN107" t="str">
        <f t="shared" si="60"/>
        <v/>
      </c>
      <c r="AO107" t="str">
        <f t="shared" si="60"/>
        <v/>
      </c>
      <c r="AP107" t="str">
        <f t="shared" si="60"/>
        <v/>
      </c>
      <c r="AQ107" t="str">
        <f t="shared" si="60"/>
        <v/>
      </c>
      <c r="AR107" t="str">
        <f t="shared" si="60"/>
        <v/>
      </c>
      <c r="AS107" t="str">
        <f t="shared" si="60"/>
        <v/>
      </c>
      <c r="AT107" t="str">
        <f t="shared" si="60"/>
        <v/>
      </c>
      <c r="AU107" t="str">
        <f t="shared" si="60"/>
        <v/>
      </c>
    </row>
    <row r="108" spans="5:47" ht="12.75">
      <c r="E108" t="s">
        <v>248</v>
      </c>
      <c r="G108" t="s">
        <v>154</v>
      </c>
      <c r="H108">
        <f>A$39</f>
        <v>2030</v>
      </c>
      <c r="I108" t="str">
        <f t="shared" si="55"/>
        <v>MINGASRSV6</v>
      </c>
      <c r="J108" t="s">
        <v>269</v>
      </c>
      <c r="K108" t="str">
        <f>IF(K$15=0,"",K107*$B$39)</f>
        <v/>
      </c>
      <c r="L108" t="str">
        <f>IF(L$15=0,"",L107*$B$39)</f>
        <v/>
      </c>
      <c r="M108" t="str">
        <f>IF(M$15=0,"",M107*$B$39)</f>
        <v/>
      </c>
      <c r="N108" t="str">
        <f t="shared" si="61" ref="N108:AU108">IF(N$15=0,"",N107*$B$39)</f>
        <v/>
      </c>
      <c r="O108" t="str">
        <f t="shared" si="61"/>
        <v/>
      </c>
      <c r="P108" t="str">
        <f t="shared" si="61"/>
        <v/>
      </c>
      <c r="Q108" t="str">
        <f t="shared" si="61"/>
        <v/>
      </c>
      <c r="R108" t="str">
        <f t="shared" si="61"/>
        <v/>
      </c>
      <c r="S108" t="str">
        <f t="shared" si="61"/>
        <v/>
      </c>
      <c r="T108" t="str">
        <f t="shared" si="61"/>
        <v/>
      </c>
      <c r="U108" t="str">
        <f t="shared" si="61"/>
        <v/>
      </c>
      <c r="V108" t="str">
        <f t="shared" si="61"/>
        <v/>
      </c>
      <c r="W108" t="str">
        <f t="shared" si="61"/>
        <v/>
      </c>
      <c r="X108" t="str">
        <f t="shared" si="61"/>
        <v/>
      </c>
      <c r="Y108" t="str">
        <f t="shared" si="61"/>
        <v/>
      </c>
      <c r="Z108" t="str">
        <f t="shared" si="61"/>
        <v/>
      </c>
      <c r="AA108" t="str">
        <f t="shared" si="61"/>
        <v/>
      </c>
      <c r="AB108" t="str">
        <f t="shared" si="61"/>
        <v/>
      </c>
      <c r="AC108" t="str">
        <f t="shared" si="61"/>
        <v/>
      </c>
      <c r="AD108" t="str">
        <f t="shared" si="61"/>
        <v/>
      </c>
      <c r="AE108" t="str">
        <f t="shared" si="61"/>
        <v/>
      </c>
      <c r="AF108" t="str">
        <f t="shared" si="61"/>
        <v/>
      </c>
      <c r="AG108" t="str">
        <f t="shared" si="61"/>
        <v/>
      </c>
      <c r="AH108" t="str">
        <f t="shared" si="61"/>
        <v/>
      </c>
      <c r="AI108" t="str">
        <f t="shared" si="61"/>
        <v/>
      </c>
      <c r="AJ108" t="str">
        <f t="shared" si="61"/>
        <v/>
      </c>
      <c r="AK108" t="str">
        <f t="shared" si="61"/>
        <v/>
      </c>
      <c r="AL108" t="str">
        <f t="shared" si="61"/>
        <v/>
      </c>
      <c r="AM108" t="str">
        <f t="shared" si="61"/>
        <v/>
      </c>
      <c r="AN108" t="str">
        <f t="shared" si="61"/>
        <v/>
      </c>
      <c r="AO108" t="str">
        <f t="shared" si="61"/>
        <v/>
      </c>
      <c r="AP108" t="str">
        <f t="shared" si="61"/>
        <v/>
      </c>
      <c r="AQ108" t="str">
        <f t="shared" si="61"/>
        <v/>
      </c>
      <c r="AR108" t="str">
        <f t="shared" si="61"/>
        <v/>
      </c>
      <c r="AS108" t="str">
        <f t="shared" si="61"/>
        <v/>
      </c>
      <c r="AT108" t="str">
        <f t="shared" si="61"/>
        <v/>
      </c>
      <c r="AU108" t="str">
        <f t="shared" si="61"/>
        <v/>
      </c>
    </row>
    <row r="109" spans="5:47" ht="12.75">
      <c r="E109" t="s">
        <v>248</v>
      </c>
      <c r="G109" t="s">
        <v>154</v>
      </c>
      <c r="H109">
        <f>A$40</f>
        <v>2035</v>
      </c>
      <c r="I109" t="str">
        <f t="shared" si="55"/>
        <v>MINGASRSV6</v>
      </c>
      <c r="J109" t="s">
        <v>269</v>
      </c>
      <c r="K109" t="str">
        <f>IF(K$15=0,"",K108*$B$40)</f>
        <v/>
      </c>
      <c r="L109" t="str">
        <f>IF(L$15=0,"",L108*$B$40)</f>
        <v/>
      </c>
      <c r="M109" t="str">
        <f>IF(M$15=0,"",M108*$B$40)</f>
        <v/>
      </c>
      <c r="N109" t="str">
        <f t="shared" si="62" ref="N109:AU109">IF(N$15=0,"",N108*$B$40)</f>
        <v/>
      </c>
      <c r="O109" t="str">
        <f t="shared" si="62"/>
        <v/>
      </c>
      <c r="P109" t="str">
        <f t="shared" si="62"/>
        <v/>
      </c>
      <c r="Q109" t="str">
        <f t="shared" si="62"/>
        <v/>
      </c>
      <c r="R109" t="str">
        <f t="shared" si="62"/>
        <v/>
      </c>
      <c r="S109" t="str">
        <f t="shared" si="62"/>
        <v/>
      </c>
      <c r="T109" t="str">
        <f t="shared" si="62"/>
        <v/>
      </c>
      <c r="U109" t="str">
        <f t="shared" si="62"/>
        <v/>
      </c>
      <c r="V109" t="str">
        <f t="shared" si="62"/>
        <v/>
      </c>
      <c r="W109" t="str">
        <f t="shared" si="62"/>
        <v/>
      </c>
      <c r="X109" t="str">
        <f t="shared" si="62"/>
        <v/>
      </c>
      <c r="Y109" t="str">
        <f t="shared" si="62"/>
        <v/>
      </c>
      <c r="Z109" t="str">
        <f t="shared" si="62"/>
        <v/>
      </c>
      <c r="AA109" t="str">
        <f t="shared" si="62"/>
        <v/>
      </c>
      <c r="AB109" t="str">
        <f t="shared" si="62"/>
        <v/>
      </c>
      <c r="AC109" t="str">
        <f t="shared" si="62"/>
        <v/>
      </c>
      <c r="AD109" t="str">
        <f t="shared" si="62"/>
        <v/>
      </c>
      <c r="AE109" t="str">
        <f t="shared" si="62"/>
        <v/>
      </c>
      <c r="AF109" t="str">
        <f t="shared" si="62"/>
        <v/>
      </c>
      <c r="AG109" t="str">
        <f t="shared" si="62"/>
        <v/>
      </c>
      <c r="AH109" t="str">
        <f t="shared" si="62"/>
        <v/>
      </c>
      <c r="AI109" t="str">
        <f t="shared" si="62"/>
        <v/>
      </c>
      <c r="AJ109" t="str">
        <f t="shared" si="62"/>
        <v/>
      </c>
      <c r="AK109" t="str">
        <f t="shared" si="62"/>
        <v/>
      </c>
      <c r="AL109" t="str">
        <f t="shared" si="62"/>
        <v/>
      </c>
      <c r="AM109" t="str">
        <f t="shared" si="62"/>
        <v/>
      </c>
      <c r="AN109" t="str">
        <f t="shared" si="62"/>
        <v/>
      </c>
      <c r="AO109" t="str">
        <f t="shared" si="62"/>
        <v/>
      </c>
      <c r="AP109" t="str">
        <f t="shared" si="62"/>
        <v/>
      </c>
      <c r="AQ109" t="str">
        <f t="shared" si="62"/>
        <v/>
      </c>
      <c r="AR109" t="str">
        <f t="shared" si="62"/>
        <v/>
      </c>
      <c r="AS109" t="str">
        <f t="shared" si="62"/>
        <v/>
      </c>
      <c r="AT109" t="str">
        <f t="shared" si="62"/>
        <v/>
      </c>
      <c r="AU109" t="str">
        <f t="shared" si="62"/>
        <v/>
      </c>
    </row>
    <row r="110" spans="5:47" ht="12.75">
      <c r="E110" t="s">
        <v>248</v>
      </c>
      <c r="G110" t="s">
        <v>154</v>
      </c>
      <c r="H110">
        <f>A$41</f>
        <v>2040</v>
      </c>
      <c r="I110" t="str">
        <f t="shared" si="55"/>
        <v>MINGASRSV6</v>
      </c>
      <c r="J110" t="s">
        <v>269</v>
      </c>
      <c r="K110" t="str">
        <f>IF(K$15=0,"",K109*$B$41)</f>
        <v/>
      </c>
      <c r="L110" t="str">
        <f>IF(L$15=0,"",L109*$B$41)</f>
        <v/>
      </c>
      <c r="M110" t="str">
        <f>IF(M$15=0,"",M109*$B$41)</f>
        <v/>
      </c>
      <c r="N110" t="str">
        <f t="shared" si="63" ref="N110:AU110">IF(N$15=0,"",N109*$B$41)</f>
        <v/>
      </c>
      <c r="O110" t="str">
        <f t="shared" si="63"/>
        <v/>
      </c>
      <c r="P110" t="str">
        <f t="shared" si="63"/>
        <v/>
      </c>
      <c r="Q110" t="str">
        <f t="shared" si="63"/>
        <v/>
      </c>
      <c r="R110" t="str">
        <f t="shared" si="63"/>
        <v/>
      </c>
      <c r="S110" t="str">
        <f t="shared" si="63"/>
        <v/>
      </c>
      <c r="T110" t="str">
        <f t="shared" si="63"/>
        <v/>
      </c>
      <c r="U110" t="str">
        <f t="shared" si="63"/>
        <v/>
      </c>
      <c r="V110" t="str">
        <f t="shared" si="63"/>
        <v/>
      </c>
      <c r="W110" t="str">
        <f t="shared" si="63"/>
        <v/>
      </c>
      <c r="X110" t="str">
        <f t="shared" si="63"/>
        <v/>
      </c>
      <c r="Y110" t="str">
        <f t="shared" si="63"/>
        <v/>
      </c>
      <c r="Z110" t="str">
        <f t="shared" si="63"/>
        <v/>
      </c>
      <c r="AA110" t="str">
        <f t="shared" si="63"/>
        <v/>
      </c>
      <c r="AB110" t="str">
        <f t="shared" si="63"/>
        <v/>
      </c>
      <c r="AC110" t="str">
        <f t="shared" si="63"/>
        <v/>
      </c>
      <c r="AD110" t="str">
        <f t="shared" si="63"/>
        <v/>
      </c>
      <c r="AE110" t="str">
        <f t="shared" si="63"/>
        <v/>
      </c>
      <c r="AF110" t="str">
        <f t="shared" si="63"/>
        <v/>
      </c>
      <c r="AG110" t="str">
        <f t="shared" si="63"/>
        <v/>
      </c>
      <c r="AH110" t="str">
        <f t="shared" si="63"/>
        <v/>
      </c>
      <c r="AI110" t="str">
        <f t="shared" si="63"/>
        <v/>
      </c>
      <c r="AJ110" t="str">
        <f t="shared" si="63"/>
        <v/>
      </c>
      <c r="AK110" t="str">
        <f t="shared" si="63"/>
        <v/>
      </c>
      <c r="AL110" t="str">
        <f t="shared" si="63"/>
        <v/>
      </c>
      <c r="AM110" t="str">
        <f t="shared" si="63"/>
        <v/>
      </c>
      <c r="AN110" t="str">
        <f t="shared" si="63"/>
        <v/>
      </c>
      <c r="AO110" t="str">
        <f t="shared" si="63"/>
        <v/>
      </c>
      <c r="AP110" t="str">
        <f t="shared" si="63"/>
        <v/>
      </c>
      <c r="AQ110" t="str">
        <f t="shared" si="63"/>
        <v/>
      </c>
      <c r="AR110" t="str">
        <f t="shared" si="63"/>
        <v/>
      </c>
      <c r="AS110" t="str">
        <f t="shared" si="63"/>
        <v/>
      </c>
      <c r="AT110" t="str">
        <f t="shared" si="63"/>
        <v/>
      </c>
      <c r="AU110" t="str">
        <f t="shared" si="63"/>
        <v/>
      </c>
    </row>
    <row r="111" spans="5:47" ht="12.75">
      <c r="E111" t="s">
        <v>248</v>
      </c>
      <c r="G111" t="s">
        <v>154</v>
      </c>
      <c r="H111">
        <f>A$42</f>
        <v>2045</v>
      </c>
      <c r="I111" t="str">
        <f t="shared" si="55"/>
        <v>MINGASRSV6</v>
      </c>
      <c r="J111" t="s">
        <v>269</v>
      </c>
      <c r="K111" t="str">
        <f>IF(K$15=0,"",K110*$B$42)</f>
        <v/>
      </c>
      <c r="L111" t="str">
        <f>IF(L$15=0,"",L110*$B$42)</f>
        <v/>
      </c>
      <c r="M111" t="str">
        <f>IF(M$15=0,"",M110*$B$42)</f>
        <v/>
      </c>
      <c r="N111" t="str">
        <f t="shared" si="64" ref="N111:AU111">IF(N$15=0,"",N110*$B$42)</f>
        <v/>
      </c>
      <c r="O111" t="str">
        <f t="shared" si="64"/>
        <v/>
      </c>
      <c r="P111" t="str">
        <f t="shared" si="64"/>
        <v/>
      </c>
      <c r="Q111" t="str">
        <f t="shared" si="64"/>
        <v/>
      </c>
      <c r="R111" t="str">
        <f t="shared" si="64"/>
        <v/>
      </c>
      <c r="S111" t="str">
        <f t="shared" si="64"/>
        <v/>
      </c>
      <c r="T111" t="str">
        <f t="shared" si="64"/>
        <v/>
      </c>
      <c r="U111" t="str">
        <f t="shared" si="64"/>
        <v/>
      </c>
      <c r="V111" t="str">
        <f t="shared" si="64"/>
        <v/>
      </c>
      <c r="W111" t="str">
        <f t="shared" si="64"/>
        <v/>
      </c>
      <c r="X111" t="str">
        <f t="shared" si="64"/>
        <v/>
      </c>
      <c r="Y111" t="str">
        <f t="shared" si="64"/>
        <v/>
      </c>
      <c r="Z111" t="str">
        <f t="shared" si="64"/>
        <v/>
      </c>
      <c r="AA111" t="str">
        <f t="shared" si="64"/>
        <v/>
      </c>
      <c r="AB111" t="str">
        <f t="shared" si="64"/>
        <v/>
      </c>
      <c r="AC111" t="str">
        <f t="shared" si="64"/>
        <v/>
      </c>
      <c r="AD111" t="str">
        <f t="shared" si="64"/>
        <v/>
      </c>
      <c r="AE111" t="str">
        <f t="shared" si="64"/>
        <v/>
      </c>
      <c r="AF111" t="str">
        <f t="shared" si="64"/>
        <v/>
      </c>
      <c r="AG111" t="str">
        <f t="shared" si="64"/>
        <v/>
      </c>
      <c r="AH111" t="str">
        <f t="shared" si="64"/>
        <v/>
      </c>
      <c r="AI111" t="str">
        <f t="shared" si="64"/>
        <v/>
      </c>
      <c r="AJ111" t="str">
        <f t="shared" si="64"/>
        <v/>
      </c>
      <c r="AK111" t="str">
        <f t="shared" si="64"/>
        <v/>
      </c>
      <c r="AL111" t="str">
        <f t="shared" si="64"/>
        <v/>
      </c>
      <c r="AM111" t="str">
        <f t="shared" si="64"/>
        <v/>
      </c>
      <c r="AN111" t="str">
        <f t="shared" si="64"/>
        <v/>
      </c>
      <c r="AO111" t="str">
        <f t="shared" si="64"/>
        <v/>
      </c>
      <c r="AP111" t="str">
        <f t="shared" si="64"/>
        <v/>
      </c>
      <c r="AQ111" t="str">
        <f t="shared" si="64"/>
        <v/>
      </c>
      <c r="AR111" t="str">
        <f t="shared" si="64"/>
        <v/>
      </c>
      <c r="AS111" t="str">
        <f t="shared" si="64"/>
        <v/>
      </c>
      <c r="AT111" t="str">
        <f t="shared" si="64"/>
        <v/>
      </c>
      <c r="AU111" t="str">
        <f t="shared" si="64"/>
        <v/>
      </c>
    </row>
    <row r="112" spans="5:47" ht="12.75">
      <c r="E112" t="s">
        <v>248</v>
      </c>
      <c r="G112" t="s">
        <v>154</v>
      </c>
      <c r="H112">
        <f>A$43</f>
        <v>2050</v>
      </c>
      <c r="I112" t="str">
        <f t="shared" si="55"/>
        <v>MINGASRSV6</v>
      </c>
      <c r="J112" t="s">
        <v>269</v>
      </c>
      <c r="K112" t="str">
        <f>IF(K$15=0,"",K111*$B$43)</f>
        <v/>
      </c>
      <c r="L112" t="str">
        <f>IF(L$15=0,"",L111*$B$43)</f>
        <v/>
      </c>
      <c r="M112" t="str">
        <f>IF(M$15=0,"",M111*$B$43)</f>
        <v/>
      </c>
      <c r="N112" t="str">
        <f t="shared" si="65" ref="N112:AU112">IF(N$15=0,"",N111*$B$43)</f>
        <v/>
      </c>
      <c r="O112" t="str">
        <f t="shared" si="65"/>
        <v/>
      </c>
      <c r="P112" t="str">
        <f t="shared" si="65"/>
        <v/>
      </c>
      <c r="Q112" t="str">
        <f t="shared" si="65"/>
        <v/>
      </c>
      <c r="R112" t="str">
        <f t="shared" si="65"/>
        <v/>
      </c>
      <c r="S112" t="str">
        <f t="shared" si="65"/>
        <v/>
      </c>
      <c r="T112" t="str">
        <f t="shared" si="65"/>
        <v/>
      </c>
      <c r="U112" t="str">
        <f t="shared" si="65"/>
        <v/>
      </c>
      <c r="V112" t="str">
        <f t="shared" si="65"/>
        <v/>
      </c>
      <c r="W112" t="str">
        <f t="shared" si="65"/>
        <v/>
      </c>
      <c r="X112" t="str">
        <f t="shared" si="65"/>
        <v/>
      </c>
      <c r="Y112" t="str">
        <f t="shared" si="65"/>
        <v/>
      </c>
      <c r="Z112" t="str">
        <f t="shared" si="65"/>
        <v/>
      </c>
      <c r="AA112" t="str">
        <f t="shared" si="65"/>
        <v/>
      </c>
      <c r="AB112" t="str">
        <f t="shared" si="65"/>
        <v/>
      </c>
      <c r="AC112" t="str">
        <f t="shared" si="65"/>
        <v/>
      </c>
      <c r="AD112" t="str">
        <f t="shared" si="65"/>
        <v/>
      </c>
      <c r="AE112" t="str">
        <f t="shared" si="65"/>
        <v/>
      </c>
      <c r="AF112" t="str">
        <f t="shared" si="65"/>
        <v/>
      </c>
      <c r="AG112" t="str">
        <f t="shared" si="65"/>
        <v/>
      </c>
      <c r="AH112" t="str">
        <f t="shared" si="65"/>
        <v/>
      </c>
      <c r="AI112" t="str">
        <f t="shared" si="65"/>
        <v/>
      </c>
      <c r="AJ112" t="str">
        <f t="shared" si="65"/>
        <v/>
      </c>
      <c r="AK112" t="str">
        <f t="shared" si="65"/>
        <v/>
      </c>
      <c r="AL112" t="str">
        <f t="shared" si="65"/>
        <v/>
      </c>
      <c r="AM112" t="str">
        <f t="shared" si="65"/>
        <v/>
      </c>
      <c r="AN112" t="str">
        <f t="shared" si="65"/>
        <v/>
      </c>
      <c r="AO112" t="str">
        <f t="shared" si="65"/>
        <v/>
      </c>
      <c r="AP112" t="str">
        <f t="shared" si="65"/>
        <v/>
      </c>
      <c r="AQ112" t="str">
        <f t="shared" si="65"/>
        <v/>
      </c>
      <c r="AR112" t="str">
        <f t="shared" si="65"/>
        <v/>
      </c>
      <c r="AS112" t="str">
        <f t="shared" si="65"/>
        <v/>
      </c>
      <c r="AT112" t="str">
        <f t="shared" si="65"/>
        <v/>
      </c>
      <c r="AU112" t="str">
        <f t="shared" si="65"/>
        <v/>
      </c>
    </row>
    <row r="113" spans="5:47" ht="12.75">
      <c r="E113" t="s">
        <v>248</v>
      </c>
      <c r="G113" t="s">
        <v>154</v>
      </c>
      <c r="H113">
        <f>A$33</f>
        <v>2001</v>
      </c>
      <c r="I113" t="str">
        <f>I$16</f>
        <v>MINGASRSV7</v>
      </c>
      <c r="J113" t="s">
        <v>269</v>
      </c>
      <c r="K113">
        <f>IF(K$16=0,"",K$16*$B$33)</f>
        <v>3.3764152997421011</v>
      </c>
      <c r="L113" t="str">
        <f>IF(L$16=0,"",L$16*$B$33)</f>
        <v/>
      </c>
      <c r="M113" t="str">
        <f>IF(M$16=0,"",M$16*$B$33)</f>
        <v/>
      </c>
      <c r="N113" t="str">
        <f t="shared" si="66" ref="N113:AU113">IF(N$16=0,"",N$16*$B$33)</f>
        <v/>
      </c>
      <c r="O113" t="str">
        <f t="shared" si="66"/>
        <v/>
      </c>
      <c r="P113">
        <f t="shared" si="66"/>
        <v>3.3764152997421011</v>
      </c>
      <c r="Q113">
        <f t="shared" si="66"/>
        <v>3.3764152997421011</v>
      </c>
      <c r="R113">
        <f t="shared" si="66"/>
        <v>2.3699838161651283</v>
      </c>
      <c r="S113" t="str">
        <f t="shared" si="66"/>
        <v/>
      </c>
      <c r="T113">
        <f t="shared" si="66"/>
        <v>3.3764152997421011</v>
      </c>
      <c r="U113" t="str">
        <f t="shared" si="66"/>
        <v/>
      </c>
      <c r="V113">
        <f t="shared" si="66"/>
        <v>3.3764152997421011</v>
      </c>
      <c r="W113" t="str">
        <f t="shared" si="66"/>
        <v/>
      </c>
      <c r="X113">
        <f t="shared" si="66"/>
        <v>3.3764152997421011</v>
      </c>
      <c r="Y113" t="str">
        <f t="shared" si="66"/>
        <v/>
      </c>
      <c r="Z113" t="str">
        <f t="shared" si="66"/>
        <v/>
      </c>
      <c r="AA113" t="str">
        <f t="shared" si="66"/>
        <v/>
      </c>
      <c r="AB113" t="str">
        <f t="shared" si="66"/>
        <v/>
      </c>
      <c r="AC113" t="str">
        <f t="shared" si="66"/>
        <v/>
      </c>
      <c r="AD113" t="str">
        <f t="shared" si="66"/>
        <v/>
      </c>
      <c r="AE113" t="str">
        <f t="shared" si="66"/>
        <v/>
      </c>
      <c r="AF113">
        <f t="shared" si="66"/>
        <v>2.3699838161651283</v>
      </c>
      <c r="AG113">
        <f t="shared" si="66"/>
        <v>1.3640933458262772</v>
      </c>
      <c r="AH113">
        <f t="shared" si="66"/>
        <v>3.3764152997421011</v>
      </c>
      <c r="AI113" t="str">
        <f t="shared" si="66"/>
        <v/>
      </c>
      <c r="AJ113">
        <f t="shared" si="66"/>
        <v>3.3764152997421011</v>
      </c>
      <c r="AK113" t="str">
        <f t="shared" si="66"/>
        <v/>
      </c>
      <c r="AL113">
        <f t="shared" si="66"/>
        <v>2.3699838161651283</v>
      </c>
      <c r="AM113" t="str">
        <f t="shared" si="66"/>
        <v/>
      </c>
      <c r="AN113">
        <f t="shared" si="66"/>
        <v>2.3699838161651283</v>
      </c>
      <c r="AO113" t="str">
        <f t="shared" si="66"/>
        <v/>
      </c>
      <c r="AP113" t="str">
        <f t="shared" si="66"/>
        <v/>
      </c>
      <c r="AQ113" t="str">
        <f t="shared" si="66"/>
        <v/>
      </c>
      <c r="AR113" t="str">
        <f t="shared" si="66"/>
        <v/>
      </c>
      <c r="AS113" t="str">
        <f t="shared" si="66"/>
        <v/>
      </c>
      <c r="AT113" t="str">
        <f t="shared" si="66"/>
        <v/>
      </c>
      <c r="AU113" t="str">
        <f t="shared" si="66"/>
        <v/>
      </c>
    </row>
    <row r="114" spans="5:47" ht="12.75">
      <c r="E114" t="s">
        <v>248</v>
      </c>
      <c r="G114" t="s">
        <v>154</v>
      </c>
      <c r="H114">
        <f>A$34</f>
        <v>2005</v>
      </c>
      <c r="I114" t="str">
        <f t="shared" si="67" ref="I114:I123">I$16</f>
        <v>MINGASRSV7</v>
      </c>
      <c r="J114" t="s">
        <v>269</v>
      </c>
      <c r="K114">
        <f>IF(K$16=0,"",K113*$B$34)</f>
        <v>4.3110162177375297</v>
      </c>
      <c r="L114" t="str">
        <f>IF(L$16=0,"",L113*$B$34)</f>
        <v/>
      </c>
      <c r="M114" t="str">
        <f>IF(M$16=0,"",M113*$B$34)</f>
        <v/>
      </c>
      <c r="N114" t="str">
        <f t="shared" si="68" ref="N114:AU114">IF(N$16=0,"",N113*$B$34)</f>
        <v/>
      </c>
      <c r="O114" t="str">
        <f t="shared" si="68"/>
        <v/>
      </c>
      <c r="P114">
        <f t="shared" si="68"/>
        <v>4.3110162177375297</v>
      </c>
      <c r="Q114">
        <f t="shared" si="68"/>
        <v>4.3110162177375297</v>
      </c>
      <c r="R114">
        <f t="shared" si="68"/>
        <v>3.0260017682196119</v>
      </c>
      <c r="S114" t="str">
        <f t="shared" si="68"/>
        <v/>
      </c>
      <c r="T114">
        <f t="shared" si="68"/>
        <v>4.3110162177375297</v>
      </c>
      <c r="U114" t="str">
        <f t="shared" si="68"/>
        <v/>
      </c>
      <c r="V114">
        <f t="shared" si="68"/>
        <v>4.3110162177375297</v>
      </c>
      <c r="W114" t="str">
        <f t="shared" si="68"/>
        <v/>
      </c>
      <c r="X114">
        <f t="shared" si="68"/>
        <v>4.3110162177375297</v>
      </c>
      <c r="Y114" t="str">
        <f t="shared" si="68"/>
        <v/>
      </c>
      <c r="Z114" t="str">
        <f t="shared" si="68"/>
        <v/>
      </c>
      <c r="AA114" t="str">
        <f t="shared" si="68"/>
        <v/>
      </c>
      <c r="AB114" t="str">
        <f t="shared" si="68"/>
        <v/>
      </c>
      <c r="AC114" t="str">
        <f t="shared" si="68"/>
        <v/>
      </c>
      <c r="AD114" t="str">
        <f t="shared" si="68"/>
        <v/>
      </c>
      <c r="AE114" t="str">
        <f t="shared" si="68"/>
        <v/>
      </c>
      <c r="AF114">
        <f t="shared" si="68"/>
        <v>3.0260017682196119</v>
      </c>
      <c r="AG114">
        <f t="shared" si="68"/>
        <v>1.7416780858723473</v>
      </c>
      <c r="AH114">
        <f t="shared" si="68"/>
        <v>4.3110162177375297</v>
      </c>
      <c r="AI114" t="str">
        <f t="shared" si="68"/>
        <v/>
      </c>
      <c r="AJ114">
        <f t="shared" si="68"/>
        <v>4.3110162177375297</v>
      </c>
      <c r="AK114" t="str">
        <f t="shared" si="68"/>
        <v/>
      </c>
      <c r="AL114">
        <f t="shared" si="68"/>
        <v>3.0260017682196119</v>
      </c>
      <c r="AM114" t="str">
        <f t="shared" si="68"/>
        <v/>
      </c>
      <c r="AN114">
        <f t="shared" si="68"/>
        <v>3.0260017682196119</v>
      </c>
      <c r="AO114" t="str">
        <f t="shared" si="68"/>
        <v/>
      </c>
      <c r="AP114" t="str">
        <f t="shared" si="68"/>
        <v/>
      </c>
      <c r="AQ114" t="str">
        <f t="shared" si="68"/>
        <v/>
      </c>
      <c r="AR114" t="str">
        <f t="shared" si="68"/>
        <v/>
      </c>
      <c r="AS114" t="str">
        <f t="shared" si="68"/>
        <v/>
      </c>
      <c r="AT114" t="str">
        <f t="shared" si="68"/>
        <v/>
      </c>
      <c r="AU114" t="str">
        <f t="shared" si="68"/>
        <v/>
      </c>
    </row>
    <row r="115" spans="5:47" ht="12.75">
      <c r="E115" t="s">
        <v>248</v>
      </c>
      <c r="G115" t="s">
        <v>154</v>
      </c>
      <c r="H115">
        <f>A$35</f>
        <v>2010</v>
      </c>
      <c r="I115" t="str">
        <f t="shared" si="67"/>
        <v>MINGASRSV7</v>
      </c>
      <c r="J115" t="s">
        <v>269</v>
      </c>
      <c r="K115">
        <f>IF(K$16=0,"",K114*$B$35)</f>
        <v>5.6417657761528481</v>
      </c>
      <c r="L115" t="str">
        <f>IF(L$16=0,"",L114*$B$35)</f>
        <v/>
      </c>
      <c r="M115" t="str">
        <f>IF(M$16=0,"",M114*$B$35)</f>
        <v/>
      </c>
      <c r="N115" t="str">
        <f t="shared" si="69" ref="N115:AU115">IF(N$16=0,"",N114*$B$35)</f>
        <v/>
      </c>
      <c r="O115" t="str">
        <f t="shared" si="69"/>
        <v/>
      </c>
      <c r="P115">
        <f t="shared" si="69"/>
        <v>5.6417657761528481</v>
      </c>
      <c r="Q115">
        <f t="shared" si="69"/>
        <v>5.6417657761528481</v>
      </c>
      <c r="R115">
        <f t="shared" si="69"/>
        <v>3.960085592876518</v>
      </c>
      <c r="S115" t="str">
        <f t="shared" si="69"/>
        <v/>
      </c>
      <c r="T115">
        <f t="shared" si="69"/>
        <v>5.6417657761528481</v>
      </c>
      <c r="U115" t="str">
        <f t="shared" si="69"/>
        <v/>
      </c>
      <c r="V115">
        <f t="shared" si="69"/>
        <v>5.6417657761528481</v>
      </c>
      <c r="W115" t="str">
        <f t="shared" si="69"/>
        <v/>
      </c>
      <c r="X115">
        <f t="shared" si="69"/>
        <v>5.6417657761528481</v>
      </c>
      <c r="Y115" t="str">
        <f t="shared" si="69"/>
        <v/>
      </c>
      <c r="Z115" t="str">
        <f t="shared" si="69"/>
        <v/>
      </c>
      <c r="AA115" t="str">
        <f t="shared" si="69"/>
        <v/>
      </c>
      <c r="AB115" t="str">
        <f t="shared" si="69"/>
        <v/>
      </c>
      <c r="AC115" t="str">
        <f t="shared" si="69"/>
        <v/>
      </c>
      <c r="AD115" t="str">
        <f t="shared" si="69"/>
        <v/>
      </c>
      <c r="AE115" t="str">
        <f t="shared" si="69"/>
        <v/>
      </c>
      <c r="AF115">
        <f t="shared" si="69"/>
        <v>3.960085592876518</v>
      </c>
      <c r="AG115">
        <f t="shared" si="69"/>
        <v>2.2793094067984927</v>
      </c>
      <c r="AH115">
        <f t="shared" si="69"/>
        <v>5.6417657761528481</v>
      </c>
      <c r="AI115" t="str">
        <f t="shared" si="69"/>
        <v/>
      </c>
      <c r="AJ115">
        <f t="shared" si="69"/>
        <v>5.6417657761528481</v>
      </c>
      <c r="AK115" t="str">
        <f t="shared" si="69"/>
        <v/>
      </c>
      <c r="AL115">
        <f t="shared" si="69"/>
        <v>3.960085592876518</v>
      </c>
      <c r="AM115" t="str">
        <f t="shared" si="69"/>
        <v/>
      </c>
      <c r="AN115">
        <f t="shared" si="69"/>
        <v>3.960085592876518</v>
      </c>
      <c r="AO115" t="str">
        <f t="shared" si="69"/>
        <v/>
      </c>
      <c r="AP115" t="str">
        <f t="shared" si="69"/>
        <v/>
      </c>
      <c r="AQ115" t="str">
        <f t="shared" si="69"/>
        <v/>
      </c>
      <c r="AR115" t="str">
        <f t="shared" si="69"/>
        <v/>
      </c>
      <c r="AS115" t="str">
        <f t="shared" si="69"/>
        <v/>
      </c>
      <c r="AT115" t="str">
        <f t="shared" si="69"/>
        <v/>
      </c>
      <c r="AU115" t="str">
        <f t="shared" si="69"/>
        <v/>
      </c>
    </row>
    <row r="116" spans="5:47" ht="12.75">
      <c r="E116" t="s">
        <v>248</v>
      </c>
      <c r="G116" t="s">
        <v>154</v>
      </c>
      <c r="H116">
        <f>A$36</f>
        <v>2015</v>
      </c>
      <c r="I116" t="str">
        <f t="shared" si="67"/>
        <v>MINGASRSV7</v>
      </c>
      <c r="J116" t="s">
        <v>269</v>
      </c>
      <c r="K116">
        <f>IF(K$16=0,"",K115*$B$36)</f>
        <v>8.9163033487958501</v>
      </c>
      <c r="L116" t="str">
        <f>IF(L$16=0,"",L115*$B$36)</f>
        <v/>
      </c>
      <c r="M116" t="str">
        <f>IF(M$16=0,"",M115*$B$36)</f>
        <v/>
      </c>
      <c r="N116" t="str">
        <f t="shared" si="70" ref="N116:AU116">IF(N$16=0,"",N115*$B$36)</f>
        <v/>
      </c>
      <c r="O116" t="str">
        <f t="shared" si="70"/>
        <v/>
      </c>
      <c r="P116">
        <f t="shared" si="70"/>
        <v>8.9163033487958501</v>
      </c>
      <c r="Q116">
        <f t="shared" si="70"/>
        <v>8.9163033487958501</v>
      </c>
      <c r="R116">
        <f t="shared" si="70"/>
        <v>6.2585590813663163</v>
      </c>
      <c r="S116" t="str">
        <f t="shared" si="70"/>
        <v/>
      </c>
      <c r="T116">
        <f t="shared" si="70"/>
        <v>8.9163033487958501</v>
      </c>
      <c r="U116" t="str">
        <f t="shared" si="70"/>
        <v/>
      </c>
      <c r="V116">
        <f t="shared" si="70"/>
        <v>8.9163033487958501</v>
      </c>
      <c r="W116" t="str">
        <f t="shared" si="70"/>
        <v/>
      </c>
      <c r="X116">
        <f t="shared" si="70"/>
        <v>8.9163033487958501</v>
      </c>
      <c r="Y116" t="str">
        <f t="shared" si="70"/>
        <v/>
      </c>
      <c r="Z116" t="str">
        <f t="shared" si="70"/>
        <v/>
      </c>
      <c r="AA116" t="str">
        <f t="shared" si="70"/>
        <v/>
      </c>
      <c r="AB116" t="str">
        <f t="shared" si="70"/>
        <v/>
      </c>
      <c r="AC116" t="str">
        <f t="shared" si="70"/>
        <v/>
      </c>
      <c r="AD116" t="str">
        <f t="shared" si="70"/>
        <v/>
      </c>
      <c r="AE116" t="str">
        <f t="shared" si="70"/>
        <v/>
      </c>
      <c r="AF116">
        <f t="shared" si="70"/>
        <v>6.2585590813663163</v>
      </c>
      <c r="AG116">
        <f t="shared" si="70"/>
        <v>3.6022435001967876</v>
      </c>
      <c r="AH116">
        <f t="shared" si="70"/>
        <v>8.9163033487958501</v>
      </c>
      <c r="AI116" t="str">
        <f t="shared" si="70"/>
        <v/>
      </c>
      <c r="AJ116">
        <f t="shared" si="70"/>
        <v>8.9163033487958501</v>
      </c>
      <c r="AK116" t="str">
        <f t="shared" si="70"/>
        <v/>
      </c>
      <c r="AL116">
        <f t="shared" si="70"/>
        <v>6.2585590813663163</v>
      </c>
      <c r="AM116" t="str">
        <f t="shared" si="70"/>
        <v/>
      </c>
      <c r="AN116">
        <f t="shared" si="70"/>
        <v>6.2585590813663163</v>
      </c>
      <c r="AO116" t="str">
        <f t="shared" si="70"/>
        <v/>
      </c>
      <c r="AP116" t="str">
        <f t="shared" si="70"/>
        <v/>
      </c>
      <c r="AQ116" t="str">
        <f t="shared" si="70"/>
        <v/>
      </c>
      <c r="AR116" t="str">
        <f t="shared" si="70"/>
        <v/>
      </c>
      <c r="AS116" t="str">
        <f t="shared" si="70"/>
        <v/>
      </c>
      <c r="AT116" t="str">
        <f t="shared" si="70"/>
        <v/>
      </c>
      <c r="AU116" t="str">
        <f t="shared" si="70"/>
        <v/>
      </c>
    </row>
    <row r="117" spans="5:47" ht="12.75">
      <c r="E117" t="s">
        <v>248</v>
      </c>
      <c r="G117" t="s">
        <v>154</v>
      </c>
      <c r="H117">
        <f>A$37</f>
        <v>2020</v>
      </c>
      <c r="I117" t="str">
        <f t="shared" si="67"/>
        <v>MINGASRSV7</v>
      </c>
      <c r="J117" t="s">
        <v>269</v>
      </c>
      <c r="K117">
        <f>IF(K$16=0,"",K116*$B$37)</f>
        <v>12.190840921438852</v>
      </c>
      <c r="L117" t="str">
        <f>IF(L$16=0,"",L116*$B$37)</f>
        <v/>
      </c>
      <c r="M117" t="str">
        <f>IF(M$16=0,"",M116*$B$37)</f>
        <v/>
      </c>
      <c r="N117" t="str">
        <f t="shared" si="71" ref="N117:AU117">IF(N$16=0,"",N116*$B$37)</f>
        <v/>
      </c>
      <c r="O117" t="str">
        <f t="shared" si="71"/>
        <v/>
      </c>
      <c r="P117">
        <f t="shared" si="71"/>
        <v>12.190840921438852</v>
      </c>
      <c r="Q117">
        <f t="shared" si="71"/>
        <v>12.190840921438852</v>
      </c>
      <c r="R117">
        <f t="shared" si="71"/>
        <v>8.5570325698561138</v>
      </c>
      <c r="S117" t="str">
        <f t="shared" si="71"/>
        <v/>
      </c>
      <c r="T117">
        <f t="shared" si="71"/>
        <v>12.190840921438852</v>
      </c>
      <c r="U117" t="str">
        <f t="shared" si="71"/>
        <v/>
      </c>
      <c r="V117">
        <f t="shared" si="71"/>
        <v>12.190840921438852</v>
      </c>
      <c r="W117" t="str">
        <f t="shared" si="71"/>
        <v/>
      </c>
      <c r="X117">
        <f t="shared" si="71"/>
        <v>12.190840921438852</v>
      </c>
      <c r="Y117" t="str">
        <f t="shared" si="71"/>
        <v/>
      </c>
      <c r="Z117" t="str">
        <f t="shared" si="71"/>
        <v/>
      </c>
      <c r="AA117" t="str">
        <f t="shared" si="71"/>
        <v/>
      </c>
      <c r="AB117" t="str">
        <f t="shared" si="71"/>
        <v/>
      </c>
      <c r="AC117" t="str">
        <f t="shared" si="71"/>
        <v/>
      </c>
      <c r="AD117" t="str">
        <f t="shared" si="71"/>
        <v/>
      </c>
      <c r="AE117" t="str">
        <f t="shared" si="71"/>
        <v/>
      </c>
      <c r="AF117">
        <f t="shared" si="71"/>
        <v>8.5570325698561138</v>
      </c>
      <c r="AG117">
        <f t="shared" si="71"/>
        <v>4.9251775935950821</v>
      </c>
      <c r="AH117">
        <f t="shared" si="71"/>
        <v>12.190840921438852</v>
      </c>
      <c r="AI117" t="str">
        <f t="shared" si="71"/>
        <v/>
      </c>
      <c r="AJ117">
        <f t="shared" si="71"/>
        <v>12.190840921438852</v>
      </c>
      <c r="AK117" t="str">
        <f t="shared" si="71"/>
        <v/>
      </c>
      <c r="AL117">
        <f t="shared" si="71"/>
        <v>8.5570325698561138</v>
      </c>
      <c r="AM117" t="str">
        <f t="shared" si="71"/>
        <v/>
      </c>
      <c r="AN117">
        <f t="shared" si="71"/>
        <v>8.5570325698561138</v>
      </c>
      <c r="AO117" t="str">
        <f t="shared" si="71"/>
        <v/>
      </c>
      <c r="AP117" t="str">
        <f t="shared" si="71"/>
        <v/>
      </c>
      <c r="AQ117" t="str">
        <f t="shared" si="71"/>
        <v/>
      </c>
      <c r="AR117" t="str">
        <f t="shared" si="71"/>
        <v/>
      </c>
      <c r="AS117" t="str">
        <f t="shared" si="71"/>
        <v/>
      </c>
      <c r="AT117" t="str">
        <f t="shared" si="71"/>
        <v/>
      </c>
      <c r="AU117" t="str">
        <f t="shared" si="71"/>
        <v/>
      </c>
    </row>
    <row r="118" spans="5:47" ht="12.75">
      <c r="E118" t="s">
        <v>248</v>
      </c>
      <c r="G118" t="s">
        <v>154</v>
      </c>
      <c r="H118">
        <f>A$38</f>
        <v>2025</v>
      </c>
      <c r="I118" t="str">
        <f t="shared" si="67"/>
        <v>MINGASRSV7</v>
      </c>
      <c r="J118" t="s">
        <v>269</v>
      </c>
      <c r="K118">
        <f>IF(K$16=0,"",K117*$B$38)</f>
        <v>9.2819733528057569</v>
      </c>
      <c r="L118" t="str">
        <f>IF(L$16=0,"",L117*$B$38)</f>
        <v/>
      </c>
      <c r="M118" t="str">
        <f>IF(M$16=0,"",M117*$B$38)</f>
        <v/>
      </c>
      <c r="N118" t="str">
        <f t="shared" si="72" ref="N118:AU118">IF(N$16=0,"",N117*$B$38)</f>
        <v/>
      </c>
      <c r="O118" t="str">
        <f t="shared" si="72"/>
        <v/>
      </c>
      <c r="P118">
        <f t="shared" si="72"/>
        <v>9.2819733528057569</v>
      </c>
      <c r="Q118">
        <f t="shared" si="72"/>
        <v>9.2819733528057569</v>
      </c>
      <c r="R118">
        <f t="shared" si="72"/>
        <v>6.5152312957194232</v>
      </c>
      <c r="S118" t="str">
        <f t="shared" si="72"/>
        <v/>
      </c>
      <c r="T118">
        <f t="shared" si="72"/>
        <v>9.2819733528057569</v>
      </c>
      <c r="U118" t="str">
        <f t="shared" si="72"/>
        <v/>
      </c>
      <c r="V118">
        <f t="shared" si="72"/>
        <v>9.2819733528057569</v>
      </c>
      <c r="W118" t="str">
        <f t="shared" si="72"/>
        <v/>
      </c>
      <c r="X118">
        <f t="shared" si="72"/>
        <v>9.2819733528057569</v>
      </c>
      <c r="Y118" t="str">
        <f t="shared" si="72"/>
        <v/>
      </c>
      <c r="Z118" t="str">
        <f t="shared" si="72"/>
        <v/>
      </c>
      <c r="AA118" t="str">
        <f t="shared" si="72"/>
        <v/>
      </c>
      <c r="AB118" t="str">
        <f t="shared" si="72"/>
        <v/>
      </c>
      <c r="AC118" t="str">
        <f t="shared" si="72"/>
        <v/>
      </c>
      <c r="AD118" t="str">
        <f t="shared" si="72"/>
        <v/>
      </c>
      <c r="AE118" t="str">
        <f t="shared" si="72"/>
        <v/>
      </c>
      <c r="AF118">
        <f t="shared" si="72"/>
        <v>6.5152312957194232</v>
      </c>
      <c r="AG118">
        <f t="shared" si="72"/>
        <v>3.7499765173040971</v>
      </c>
      <c r="AH118">
        <f t="shared" si="72"/>
        <v>9.2819733528057569</v>
      </c>
      <c r="AI118" t="str">
        <f t="shared" si="72"/>
        <v/>
      </c>
      <c r="AJ118">
        <f t="shared" si="72"/>
        <v>9.2819733528057569</v>
      </c>
      <c r="AK118" t="str">
        <f t="shared" si="72"/>
        <v/>
      </c>
      <c r="AL118">
        <f t="shared" si="72"/>
        <v>6.5152312957194232</v>
      </c>
      <c r="AM118" t="str">
        <f t="shared" si="72"/>
        <v/>
      </c>
      <c r="AN118">
        <f t="shared" si="72"/>
        <v>6.5152312957194232</v>
      </c>
      <c r="AO118" t="str">
        <f t="shared" si="72"/>
        <v/>
      </c>
      <c r="AP118" t="str">
        <f t="shared" si="72"/>
        <v/>
      </c>
      <c r="AQ118" t="str">
        <f t="shared" si="72"/>
        <v/>
      </c>
      <c r="AR118" t="str">
        <f t="shared" si="72"/>
        <v/>
      </c>
      <c r="AS118" t="str">
        <f t="shared" si="72"/>
        <v/>
      </c>
      <c r="AT118" t="str">
        <f t="shared" si="72"/>
        <v/>
      </c>
      <c r="AU118" t="str">
        <f t="shared" si="72"/>
        <v/>
      </c>
    </row>
    <row r="119" spans="5:47" ht="12.75">
      <c r="E119" t="s">
        <v>248</v>
      </c>
      <c r="G119" t="s">
        <v>154</v>
      </c>
      <c r="H119">
        <f>A$39</f>
        <v>2030</v>
      </c>
      <c r="I119" t="str">
        <f t="shared" si="67"/>
        <v>MINGASRSV7</v>
      </c>
      <c r="J119" t="s">
        <v>269</v>
      </c>
      <c r="K119">
        <f>IF(K$16=0,"",K118*$B$39)</f>
        <v>6.3731057841726644</v>
      </c>
      <c r="L119" t="str">
        <f>IF(L$16=0,"",L118*$B$39)</f>
        <v/>
      </c>
      <c r="M119" t="str">
        <f>IF(M$16=0,"",M118*$B$39)</f>
        <v/>
      </c>
      <c r="N119" t="str">
        <f t="shared" si="73" ref="N119:AU119">IF(N$16=0,"",N118*$B$39)</f>
        <v/>
      </c>
      <c r="O119" t="str">
        <f t="shared" si="73"/>
        <v/>
      </c>
      <c r="P119">
        <f t="shared" si="73"/>
        <v>6.3731057841726644</v>
      </c>
      <c r="Q119">
        <f t="shared" si="73"/>
        <v>6.3731057841726644</v>
      </c>
      <c r="R119">
        <f t="shared" si="73"/>
        <v>4.4734300215827334</v>
      </c>
      <c r="S119" t="str">
        <f t="shared" si="73"/>
        <v/>
      </c>
      <c r="T119">
        <f t="shared" si="73"/>
        <v>6.3731057841726644</v>
      </c>
      <c r="U119" t="str">
        <f t="shared" si="73"/>
        <v/>
      </c>
      <c r="V119">
        <f t="shared" si="73"/>
        <v>6.3731057841726644</v>
      </c>
      <c r="W119" t="str">
        <f t="shared" si="73"/>
        <v/>
      </c>
      <c r="X119">
        <f t="shared" si="73"/>
        <v>6.3731057841726644</v>
      </c>
      <c r="Y119" t="str">
        <f t="shared" si="73"/>
        <v/>
      </c>
      <c r="Z119" t="str">
        <f t="shared" si="73"/>
        <v/>
      </c>
      <c r="AA119" t="str">
        <f t="shared" si="73"/>
        <v/>
      </c>
      <c r="AB119" t="str">
        <f t="shared" si="73"/>
        <v/>
      </c>
      <c r="AC119" t="str">
        <f t="shared" si="73"/>
        <v/>
      </c>
      <c r="AD119" t="str">
        <f t="shared" si="73"/>
        <v/>
      </c>
      <c r="AE119" t="str">
        <f t="shared" si="73"/>
        <v/>
      </c>
      <c r="AF119">
        <f t="shared" si="73"/>
        <v>4.4734300215827334</v>
      </c>
      <c r="AG119">
        <f t="shared" si="73"/>
        <v>2.5747754410131125</v>
      </c>
      <c r="AH119">
        <f t="shared" si="73"/>
        <v>6.3731057841726644</v>
      </c>
      <c r="AI119" t="str">
        <f t="shared" si="73"/>
        <v/>
      </c>
      <c r="AJ119">
        <f t="shared" si="73"/>
        <v>6.3731057841726644</v>
      </c>
      <c r="AK119" t="str">
        <f t="shared" si="73"/>
        <v/>
      </c>
      <c r="AL119">
        <f t="shared" si="73"/>
        <v>4.4734300215827334</v>
      </c>
      <c r="AM119" t="str">
        <f t="shared" si="73"/>
        <v/>
      </c>
      <c r="AN119">
        <f t="shared" si="73"/>
        <v>4.4734300215827334</v>
      </c>
      <c r="AO119" t="str">
        <f t="shared" si="73"/>
        <v/>
      </c>
      <c r="AP119" t="str">
        <f t="shared" si="73"/>
        <v/>
      </c>
      <c r="AQ119" t="str">
        <f t="shared" si="73"/>
        <v/>
      </c>
      <c r="AR119" t="str">
        <f t="shared" si="73"/>
        <v/>
      </c>
      <c r="AS119" t="str">
        <f t="shared" si="73"/>
        <v/>
      </c>
      <c r="AT119" t="str">
        <f t="shared" si="73"/>
        <v/>
      </c>
      <c r="AU119" t="str">
        <f t="shared" si="73"/>
        <v/>
      </c>
    </row>
    <row r="120" spans="5:47" ht="12.75">
      <c r="E120" t="s">
        <v>248</v>
      </c>
      <c r="G120" t="s">
        <v>154</v>
      </c>
      <c r="H120">
        <f>A$40</f>
        <v>2035</v>
      </c>
      <c r="I120" t="str">
        <f t="shared" si="67"/>
        <v>MINGASRSV7</v>
      </c>
      <c r="J120" t="s">
        <v>269</v>
      </c>
      <c r="K120">
        <f>IF(K$16=0,"",K119*$B$40)</f>
        <v>6.3731057841726644</v>
      </c>
      <c r="L120" t="str">
        <f>IF(L$16=0,"",L119*$B$40)</f>
        <v/>
      </c>
      <c r="M120" t="str">
        <f>IF(M$16=0,"",M119*$B$40)</f>
        <v/>
      </c>
      <c r="N120" t="str">
        <f t="shared" si="74" ref="N120:AU120">IF(N$16=0,"",N119*$B$40)</f>
        <v/>
      </c>
      <c r="O120" t="str">
        <f t="shared" si="74"/>
        <v/>
      </c>
      <c r="P120">
        <f t="shared" si="74"/>
        <v>6.3731057841726644</v>
      </c>
      <c r="Q120">
        <f t="shared" si="74"/>
        <v>6.3731057841726644</v>
      </c>
      <c r="R120">
        <f t="shared" si="74"/>
        <v>4.4734300215827334</v>
      </c>
      <c r="S120" t="str">
        <f t="shared" si="74"/>
        <v/>
      </c>
      <c r="T120">
        <f t="shared" si="74"/>
        <v>6.3731057841726644</v>
      </c>
      <c r="U120" t="str">
        <f t="shared" si="74"/>
        <v/>
      </c>
      <c r="V120">
        <f t="shared" si="74"/>
        <v>6.3731057841726644</v>
      </c>
      <c r="W120" t="str">
        <f t="shared" si="74"/>
        <v/>
      </c>
      <c r="X120">
        <f t="shared" si="74"/>
        <v>6.3731057841726644</v>
      </c>
      <c r="Y120" t="str">
        <f t="shared" si="74"/>
        <v/>
      </c>
      <c r="Z120" t="str">
        <f t="shared" si="74"/>
        <v/>
      </c>
      <c r="AA120" t="str">
        <f t="shared" si="74"/>
        <v/>
      </c>
      <c r="AB120" t="str">
        <f t="shared" si="74"/>
        <v/>
      </c>
      <c r="AC120" t="str">
        <f t="shared" si="74"/>
        <v/>
      </c>
      <c r="AD120" t="str">
        <f t="shared" si="74"/>
        <v/>
      </c>
      <c r="AE120" t="str">
        <f t="shared" si="74"/>
        <v/>
      </c>
      <c r="AF120">
        <f t="shared" si="74"/>
        <v>4.4734300215827334</v>
      </c>
      <c r="AG120">
        <f t="shared" si="74"/>
        <v>2.5747754410131125</v>
      </c>
      <c r="AH120">
        <f t="shared" si="74"/>
        <v>6.3731057841726644</v>
      </c>
      <c r="AI120" t="str">
        <f t="shared" si="74"/>
        <v/>
      </c>
      <c r="AJ120">
        <f t="shared" si="74"/>
        <v>6.3731057841726644</v>
      </c>
      <c r="AK120" t="str">
        <f t="shared" si="74"/>
        <v/>
      </c>
      <c r="AL120">
        <f t="shared" si="74"/>
        <v>4.4734300215827334</v>
      </c>
      <c r="AM120" t="str">
        <f t="shared" si="74"/>
        <v/>
      </c>
      <c r="AN120">
        <f t="shared" si="74"/>
        <v>4.4734300215827334</v>
      </c>
      <c r="AO120" t="str">
        <f t="shared" si="74"/>
        <v/>
      </c>
      <c r="AP120" t="str">
        <f t="shared" si="74"/>
        <v/>
      </c>
      <c r="AQ120" t="str">
        <f t="shared" si="74"/>
        <v/>
      </c>
      <c r="AR120" t="str">
        <f t="shared" si="74"/>
        <v/>
      </c>
      <c r="AS120" t="str">
        <f t="shared" si="74"/>
        <v/>
      </c>
      <c r="AT120" t="str">
        <f t="shared" si="74"/>
        <v/>
      </c>
      <c r="AU120" t="str">
        <f t="shared" si="74"/>
        <v/>
      </c>
    </row>
    <row r="121" spans="5:47" ht="12.75">
      <c r="E121" t="s">
        <v>248</v>
      </c>
      <c r="G121" t="s">
        <v>154</v>
      </c>
      <c r="H121">
        <f>A$41</f>
        <v>2040</v>
      </c>
      <c r="I121" t="str">
        <f t="shared" si="67"/>
        <v>MINGASRSV7</v>
      </c>
      <c r="J121" t="s">
        <v>269</v>
      </c>
      <c r="K121">
        <f>IF(K$16=0,"",K120*$B$41)</f>
        <v>6.3731057841726644</v>
      </c>
      <c r="L121" t="str">
        <f>IF(L$16=0,"",L120*$B$41)</f>
        <v/>
      </c>
      <c r="M121" t="str">
        <f>IF(M$16=0,"",M120*$B$41)</f>
        <v/>
      </c>
      <c r="N121" t="str">
        <f t="shared" si="75" ref="N121:AU121">IF(N$16=0,"",N120*$B$41)</f>
        <v/>
      </c>
      <c r="O121" t="str">
        <f t="shared" si="75"/>
        <v/>
      </c>
      <c r="P121">
        <f t="shared" si="75"/>
        <v>6.3731057841726644</v>
      </c>
      <c r="Q121">
        <f t="shared" si="75"/>
        <v>6.3731057841726644</v>
      </c>
      <c r="R121">
        <f t="shared" si="75"/>
        <v>4.4734300215827334</v>
      </c>
      <c r="S121" t="str">
        <f t="shared" si="75"/>
        <v/>
      </c>
      <c r="T121">
        <f t="shared" si="75"/>
        <v>6.3731057841726644</v>
      </c>
      <c r="U121" t="str">
        <f t="shared" si="75"/>
        <v/>
      </c>
      <c r="V121">
        <f t="shared" si="75"/>
        <v>6.3731057841726644</v>
      </c>
      <c r="W121" t="str">
        <f t="shared" si="75"/>
        <v/>
      </c>
      <c r="X121">
        <f t="shared" si="75"/>
        <v>6.3731057841726644</v>
      </c>
      <c r="Y121" t="str">
        <f t="shared" si="75"/>
        <v/>
      </c>
      <c r="Z121" t="str">
        <f t="shared" si="75"/>
        <v/>
      </c>
      <c r="AA121" t="str">
        <f t="shared" si="75"/>
        <v/>
      </c>
      <c r="AB121" t="str">
        <f t="shared" si="75"/>
        <v/>
      </c>
      <c r="AC121" t="str">
        <f t="shared" si="75"/>
        <v/>
      </c>
      <c r="AD121" t="str">
        <f t="shared" si="75"/>
        <v/>
      </c>
      <c r="AE121" t="str">
        <f t="shared" si="75"/>
        <v/>
      </c>
      <c r="AF121">
        <f t="shared" si="75"/>
        <v>4.4734300215827334</v>
      </c>
      <c r="AG121">
        <f t="shared" si="75"/>
        <v>2.5747754410131125</v>
      </c>
      <c r="AH121">
        <f t="shared" si="75"/>
        <v>6.3731057841726644</v>
      </c>
      <c r="AI121" t="str">
        <f t="shared" si="75"/>
        <v/>
      </c>
      <c r="AJ121">
        <f t="shared" si="75"/>
        <v>6.3731057841726644</v>
      </c>
      <c r="AK121" t="str">
        <f t="shared" si="75"/>
        <v/>
      </c>
      <c r="AL121">
        <f t="shared" si="75"/>
        <v>4.4734300215827334</v>
      </c>
      <c r="AM121" t="str">
        <f t="shared" si="75"/>
        <v/>
      </c>
      <c r="AN121">
        <f t="shared" si="75"/>
        <v>4.4734300215827334</v>
      </c>
      <c r="AO121" t="str">
        <f t="shared" si="75"/>
        <v/>
      </c>
      <c r="AP121" t="str">
        <f t="shared" si="75"/>
        <v/>
      </c>
      <c r="AQ121" t="str">
        <f t="shared" si="75"/>
        <v/>
      </c>
      <c r="AR121" t="str">
        <f t="shared" si="75"/>
        <v/>
      </c>
      <c r="AS121" t="str">
        <f t="shared" si="75"/>
        <v/>
      </c>
      <c r="AT121" t="str">
        <f t="shared" si="75"/>
        <v/>
      </c>
      <c r="AU121" t="str">
        <f t="shared" si="75"/>
        <v/>
      </c>
    </row>
    <row r="122" spans="5:47" ht="12.75">
      <c r="E122" t="s">
        <v>248</v>
      </c>
      <c r="G122" t="s">
        <v>154</v>
      </c>
      <c r="H122">
        <f>A$42</f>
        <v>2045</v>
      </c>
      <c r="I122" t="str">
        <f t="shared" si="67"/>
        <v>MINGASRSV7</v>
      </c>
      <c r="J122" t="s">
        <v>269</v>
      </c>
      <c r="K122">
        <f>IF(K$16=0,"",K121*$B$42)</f>
        <v>6.3731057841726644</v>
      </c>
      <c r="L122" t="str">
        <f>IF(L$16=0,"",L121*$B$42)</f>
        <v/>
      </c>
      <c r="M122" t="str">
        <f>IF(M$16=0,"",M121*$B$42)</f>
        <v/>
      </c>
      <c r="N122" t="str">
        <f t="shared" si="76" ref="N122:AU122">IF(N$16=0,"",N121*$B$42)</f>
        <v/>
      </c>
      <c r="O122" t="str">
        <f t="shared" si="76"/>
        <v/>
      </c>
      <c r="P122">
        <f t="shared" si="76"/>
        <v>6.3731057841726644</v>
      </c>
      <c r="Q122">
        <f t="shared" si="76"/>
        <v>6.3731057841726644</v>
      </c>
      <c r="R122">
        <f t="shared" si="76"/>
        <v>4.4734300215827334</v>
      </c>
      <c r="S122" t="str">
        <f t="shared" si="76"/>
        <v/>
      </c>
      <c r="T122">
        <f t="shared" si="76"/>
        <v>6.3731057841726644</v>
      </c>
      <c r="U122" t="str">
        <f t="shared" si="76"/>
        <v/>
      </c>
      <c r="V122">
        <f t="shared" si="76"/>
        <v>6.3731057841726644</v>
      </c>
      <c r="W122" t="str">
        <f t="shared" si="76"/>
        <v/>
      </c>
      <c r="X122">
        <f t="shared" si="76"/>
        <v>6.3731057841726644</v>
      </c>
      <c r="Y122" t="str">
        <f t="shared" si="76"/>
        <v/>
      </c>
      <c r="Z122" t="str">
        <f t="shared" si="76"/>
        <v/>
      </c>
      <c r="AA122" t="str">
        <f t="shared" si="76"/>
        <v/>
      </c>
      <c r="AB122" t="str">
        <f t="shared" si="76"/>
        <v/>
      </c>
      <c r="AC122" t="str">
        <f t="shared" si="76"/>
        <v/>
      </c>
      <c r="AD122" t="str">
        <f t="shared" si="76"/>
        <v/>
      </c>
      <c r="AE122" t="str">
        <f t="shared" si="76"/>
        <v/>
      </c>
      <c r="AF122">
        <f t="shared" si="76"/>
        <v>4.4734300215827334</v>
      </c>
      <c r="AG122">
        <f t="shared" si="76"/>
        <v>2.5747754410131125</v>
      </c>
      <c r="AH122">
        <f t="shared" si="76"/>
        <v>6.3731057841726644</v>
      </c>
      <c r="AI122" t="str">
        <f t="shared" si="76"/>
        <v/>
      </c>
      <c r="AJ122">
        <f t="shared" si="76"/>
        <v>6.3731057841726644</v>
      </c>
      <c r="AK122" t="str">
        <f t="shared" si="76"/>
        <v/>
      </c>
      <c r="AL122">
        <f t="shared" si="76"/>
        <v>4.4734300215827334</v>
      </c>
      <c r="AM122" t="str">
        <f t="shared" si="76"/>
        <v/>
      </c>
      <c r="AN122">
        <f t="shared" si="76"/>
        <v>4.4734300215827334</v>
      </c>
      <c r="AO122" t="str">
        <f t="shared" si="76"/>
        <v/>
      </c>
      <c r="AP122" t="str">
        <f t="shared" si="76"/>
        <v/>
      </c>
      <c r="AQ122" t="str">
        <f t="shared" si="76"/>
        <v/>
      </c>
      <c r="AR122" t="str">
        <f t="shared" si="76"/>
        <v/>
      </c>
      <c r="AS122" t="str">
        <f t="shared" si="76"/>
        <v/>
      </c>
      <c r="AT122" t="str">
        <f t="shared" si="76"/>
        <v/>
      </c>
      <c r="AU122" t="str">
        <f t="shared" si="76"/>
        <v/>
      </c>
    </row>
    <row r="123" spans="5:47" ht="12.75">
      <c r="E123" t="s">
        <v>248</v>
      </c>
      <c r="G123" t="s">
        <v>154</v>
      </c>
      <c r="H123">
        <f>A$43</f>
        <v>2050</v>
      </c>
      <c r="I123" t="str">
        <f t="shared" si="67"/>
        <v>MINGASRSV7</v>
      </c>
      <c r="J123" t="s">
        <v>269</v>
      </c>
      <c r="K123">
        <f>IF(K$16=0,"",K122*$B$43)</f>
        <v>6.3731057841726644</v>
      </c>
      <c r="L123" t="str">
        <f>IF(L$16=0,"",L122*$B$43)</f>
        <v/>
      </c>
      <c r="M123" t="str">
        <f>IF(M$16=0,"",M122*$B$43)</f>
        <v/>
      </c>
      <c r="N123" t="str">
        <f t="shared" si="77" ref="N123:AU123">IF(N$16=0,"",N122*$B$43)</f>
        <v/>
      </c>
      <c r="O123" t="str">
        <f t="shared" si="77"/>
        <v/>
      </c>
      <c r="P123">
        <f t="shared" si="77"/>
        <v>6.3731057841726644</v>
      </c>
      <c r="Q123">
        <f t="shared" si="77"/>
        <v>6.3731057841726644</v>
      </c>
      <c r="R123">
        <f t="shared" si="77"/>
        <v>4.4734300215827334</v>
      </c>
      <c r="S123" t="str">
        <f t="shared" si="77"/>
        <v/>
      </c>
      <c r="T123">
        <f t="shared" si="77"/>
        <v>6.3731057841726644</v>
      </c>
      <c r="U123" t="str">
        <f t="shared" si="77"/>
        <v/>
      </c>
      <c r="V123">
        <f t="shared" si="77"/>
        <v>6.3731057841726644</v>
      </c>
      <c r="W123" t="str">
        <f t="shared" si="77"/>
        <v/>
      </c>
      <c r="X123">
        <f t="shared" si="77"/>
        <v>6.3731057841726644</v>
      </c>
      <c r="Y123" t="str">
        <f t="shared" si="77"/>
        <v/>
      </c>
      <c r="Z123" t="str">
        <f t="shared" si="77"/>
        <v/>
      </c>
      <c r="AA123" t="str">
        <f t="shared" si="77"/>
        <v/>
      </c>
      <c r="AB123" t="str">
        <f t="shared" si="77"/>
        <v/>
      </c>
      <c r="AC123" t="str">
        <f t="shared" si="77"/>
        <v/>
      </c>
      <c r="AD123" t="str">
        <f t="shared" si="77"/>
        <v/>
      </c>
      <c r="AE123" t="str">
        <f t="shared" si="77"/>
        <v/>
      </c>
      <c r="AF123">
        <f t="shared" si="77"/>
        <v>4.4734300215827334</v>
      </c>
      <c r="AG123">
        <f t="shared" si="77"/>
        <v>2.5747754410131125</v>
      </c>
      <c r="AH123">
        <f t="shared" si="77"/>
        <v>6.3731057841726644</v>
      </c>
      <c r="AI123" t="str">
        <f t="shared" si="77"/>
        <v/>
      </c>
      <c r="AJ123">
        <f t="shared" si="77"/>
        <v>6.3731057841726644</v>
      </c>
      <c r="AK123" t="str">
        <f t="shared" si="77"/>
        <v/>
      </c>
      <c r="AL123">
        <f t="shared" si="77"/>
        <v>4.4734300215827334</v>
      </c>
      <c r="AM123" t="str">
        <f t="shared" si="77"/>
        <v/>
      </c>
      <c r="AN123">
        <f t="shared" si="77"/>
        <v>4.4734300215827334</v>
      </c>
      <c r="AO123" t="str">
        <f t="shared" si="77"/>
        <v/>
      </c>
      <c r="AP123" t="str">
        <f t="shared" si="77"/>
        <v/>
      </c>
      <c r="AQ123" t="str">
        <f t="shared" si="77"/>
        <v/>
      </c>
      <c r="AR123" t="str">
        <f t="shared" si="77"/>
        <v/>
      </c>
      <c r="AS123" t="str">
        <f t="shared" si="77"/>
        <v/>
      </c>
      <c r="AT123" t="str">
        <f t="shared" si="77"/>
        <v/>
      </c>
      <c r="AU123" t="str">
        <f t="shared" si="77"/>
        <v/>
      </c>
    </row>
    <row r="124" spans="5:47" ht="12.75">
      <c r="E124" t="s">
        <v>248</v>
      </c>
      <c r="G124" t="s">
        <v>154</v>
      </c>
      <c r="H124">
        <f>A$33</f>
        <v>2001</v>
      </c>
      <c r="I124" t="str">
        <f>I$17</f>
        <v>MINGASRSV8</v>
      </c>
      <c r="J124" t="s">
        <v>269</v>
      </c>
      <c r="K124" t="str">
        <f>IF(K$17=0,"",K$17*$B$33)</f>
        <v/>
      </c>
      <c r="L124" t="str">
        <f>IF(L$17=0,"",L$17*$B$33)</f>
        <v/>
      </c>
      <c r="M124" t="str">
        <f>IF(M$17=0,"",M$17*$B$33)</f>
        <v/>
      </c>
      <c r="N124" t="str">
        <f t="shared" si="78" ref="N124:AU124">IF(N$17=0,"",N$17*$B$33)</f>
        <v/>
      </c>
      <c r="O124" t="str">
        <f t="shared" si="78"/>
        <v/>
      </c>
      <c r="P124" t="str">
        <f t="shared" si="78"/>
        <v/>
      </c>
      <c r="Q124" t="str">
        <f t="shared" si="78"/>
        <v/>
      </c>
      <c r="R124" t="str">
        <f t="shared" si="78"/>
        <v/>
      </c>
      <c r="S124" t="str">
        <f t="shared" si="78"/>
        <v/>
      </c>
      <c r="T124" t="str">
        <f t="shared" si="78"/>
        <v/>
      </c>
      <c r="U124" t="str">
        <f t="shared" si="78"/>
        <v/>
      </c>
      <c r="V124" t="str">
        <f t="shared" si="78"/>
        <v/>
      </c>
      <c r="W124" t="str">
        <f t="shared" si="78"/>
        <v/>
      </c>
      <c r="X124" t="str">
        <f t="shared" si="78"/>
        <v/>
      </c>
      <c r="Y124" t="str">
        <f t="shared" si="78"/>
        <v/>
      </c>
      <c r="Z124" t="str">
        <f t="shared" si="78"/>
        <v/>
      </c>
      <c r="AA124" t="str">
        <f t="shared" si="78"/>
        <v/>
      </c>
      <c r="AB124" t="str">
        <f t="shared" si="78"/>
        <v/>
      </c>
      <c r="AC124" t="str">
        <f t="shared" si="78"/>
        <v/>
      </c>
      <c r="AD124" t="str">
        <f t="shared" si="78"/>
        <v/>
      </c>
      <c r="AE124" t="str">
        <f t="shared" si="78"/>
        <v/>
      </c>
      <c r="AF124" t="str">
        <f t="shared" si="78"/>
        <v/>
      </c>
      <c r="AG124" t="str">
        <f t="shared" si="78"/>
        <v/>
      </c>
      <c r="AH124" t="str">
        <f t="shared" si="78"/>
        <v/>
      </c>
      <c r="AI124" t="str">
        <f t="shared" si="78"/>
        <v/>
      </c>
      <c r="AJ124" t="str">
        <f t="shared" si="78"/>
        <v/>
      </c>
      <c r="AK124" t="str">
        <f t="shared" si="78"/>
        <v/>
      </c>
      <c r="AL124" t="str">
        <f t="shared" si="78"/>
        <v/>
      </c>
      <c r="AM124" t="str">
        <f t="shared" si="78"/>
        <v/>
      </c>
      <c r="AN124" t="str">
        <f t="shared" si="78"/>
        <v/>
      </c>
      <c r="AO124" t="str">
        <f t="shared" si="78"/>
        <v/>
      </c>
      <c r="AP124" t="str">
        <f t="shared" si="78"/>
        <v/>
      </c>
      <c r="AQ124" t="str">
        <f t="shared" si="78"/>
        <v/>
      </c>
      <c r="AR124" t="str">
        <f t="shared" si="78"/>
        <v/>
      </c>
      <c r="AS124" t="str">
        <f t="shared" si="78"/>
        <v/>
      </c>
      <c r="AT124" t="str">
        <f t="shared" si="78"/>
        <v/>
      </c>
      <c r="AU124" t="str">
        <f t="shared" si="78"/>
        <v/>
      </c>
    </row>
    <row r="125" spans="5:47" ht="12.75">
      <c r="E125" t="s">
        <v>248</v>
      </c>
      <c r="G125" t="s">
        <v>154</v>
      </c>
      <c r="H125">
        <f>A$34</f>
        <v>2005</v>
      </c>
      <c r="I125" t="str">
        <f t="shared" si="79" ref="I125:I134">I$17</f>
        <v>MINGASRSV8</v>
      </c>
      <c r="J125" t="s">
        <v>269</v>
      </c>
      <c r="K125" t="str">
        <f>IF(K$17=0,"",K124*$B$34)</f>
        <v/>
      </c>
      <c r="L125" t="str">
        <f>IF(L$17=0,"",L124*$B$34)</f>
        <v/>
      </c>
      <c r="M125" t="str">
        <f>IF(M$17=0,"",M124*$B$34)</f>
        <v/>
      </c>
      <c r="N125" t="str">
        <f t="shared" si="80" ref="N125:AU125">IF(N$17=0,"",N124*$B$34)</f>
        <v/>
      </c>
      <c r="O125" t="str">
        <f t="shared" si="80"/>
        <v/>
      </c>
      <c r="P125" t="str">
        <f t="shared" si="80"/>
        <v/>
      </c>
      <c r="Q125" t="str">
        <f t="shared" si="80"/>
        <v/>
      </c>
      <c r="R125" t="str">
        <f t="shared" si="80"/>
        <v/>
      </c>
      <c r="S125" t="str">
        <f t="shared" si="80"/>
        <v/>
      </c>
      <c r="T125" t="str">
        <f t="shared" si="80"/>
        <v/>
      </c>
      <c r="U125" t="str">
        <f t="shared" si="80"/>
        <v/>
      </c>
      <c r="V125" t="str">
        <f t="shared" si="80"/>
        <v/>
      </c>
      <c r="W125" t="str">
        <f t="shared" si="80"/>
        <v/>
      </c>
      <c r="X125" t="str">
        <f t="shared" si="80"/>
        <v/>
      </c>
      <c r="Y125" t="str">
        <f t="shared" si="80"/>
        <v/>
      </c>
      <c r="Z125" t="str">
        <f t="shared" si="80"/>
        <v/>
      </c>
      <c r="AA125" t="str">
        <f t="shared" si="80"/>
        <v/>
      </c>
      <c r="AB125" t="str">
        <f t="shared" si="80"/>
        <v/>
      </c>
      <c r="AC125" t="str">
        <f t="shared" si="80"/>
        <v/>
      </c>
      <c r="AD125" t="str">
        <f t="shared" si="80"/>
        <v/>
      </c>
      <c r="AE125" t="str">
        <f t="shared" si="80"/>
        <v/>
      </c>
      <c r="AF125" t="str">
        <f t="shared" si="80"/>
        <v/>
      </c>
      <c r="AG125" t="str">
        <f t="shared" si="80"/>
        <v/>
      </c>
      <c r="AH125" t="str">
        <f t="shared" si="80"/>
        <v/>
      </c>
      <c r="AI125" t="str">
        <f t="shared" si="80"/>
        <v/>
      </c>
      <c r="AJ125" t="str">
        <f t="shared" si="80"/>
        <v/>
      </c>
      <c r="AK125" t="str">
        <f t="shared" si="80"/>
        <v/>
      </c>
      <c r="AL125" t="str">
        <f t="shared" si="80"/>
        <v/>
      </c>
      <c r="AM125" t="str">
        <f t="shared" si="80"/>
        <v/>
      </c>
      <c r="AN125" t="str">
        <f t="shared" si="80"/>
        <v/>
      </c>
      <c r="AO125" t="str">
        <f t="shared" si="80"/>
        <v/>
      </c>
      <c r="AP125" t="str">
        <f t="shared" si="80"/>
        <v/>
      </c>
      <c r="AQ125" t="str">
        <f t="shared" si="80"/>
        <v/>
      </c>
      <c r="AR125" t="str">
        <f t="shared" si="80"/>
        <v/>
      </c>
      <c r="AS125" t="str">
        <f t="shared" si="80"/>
        <v/>
      </c>
      <c r="AT125" t="str">
        <f t="shared" si="80"/>
        <v/>
      </c>
      <c r="AU125" t="str">
        <f t="shared" si="80"/>
        <v/>
      </c>
    </row>
    <row r="126" spans="5:47" ht="12.75">
      <c r="E126" t="s">
        <v>248</v>
      </c>
      <c r="G126" t="s">
        <v>154</v>
      </c>
      <c r="H126">
        <f>A$35</f>
        <v>2010</v>
      </c>
      <c r="I126" t="str">
        <f t="shared" si="79"/>
        <v>MINGASRSV8</v>
      </c>
      <c r="J126" t="s">
        <v>269</v>
      </c>
      <c r="K126" t="str">
        <f>IF(K$17=0,"",K125*$B$35)</f>
        <v/>
      </c>
      <c r="L126" t="str">
        <f>IF(L$17=0,"",L125*$B$35)</f>
        <v/>
      </c>
      <c r="M126" t="str">
        <f>IF(M$17=0,"",M125*$B$35)</f>
        <v/>
      </c>
      <c r="N126" t="str">
        <f t="shared" si="81" ref="N126:AU126">IF(N$17=0,"",N125*$B$35)</f>
        <v/>
      </c>
      <c r="O126" t="str">
        <f t="shared" si="81"/>
        <v/>
      </c>
      <c r="P126" t="str">
        <f t="shared" si="81"/>
        <v/>
      </c>
      <c r="Q126" t="str">
        <f t="shared" si="81"/>
        <v/>
      </c>
      <c r="R126" t="str">
        <f t="shared" si="81"/>
        <v/>
      </c>
      <c r="S126" t="str">
        <f t="shared" si="81"/>
        <v/>
      </c>
      <c r="T126" t="str">
        <f t="shared" si="81"/>
        <v/>
      </c>
      <c r="U126" t="str">
        <f t="shared" si="81"/>
        <v/>
      </c>
      <c r="V126" t="str">
        <f t="shared" si="81"/>
        <v/>
      </c>
      <c r="W126" t="str">
        <f t="shared" si="81"/>
        <v/>
      </c>
      <c r="X126" t="str">
        <f t="shared" si="81"/>
        <v/>
      </c>
      <c r="Y126" t="str">
        <f t="shared" si="81"/>
        <v/>
      </c>
      <c r="Z126" t="str">
        <f t="shared" si="81"/>
        <v/>
      </c>
      <c r="AA126" t="str">
        <f t="shared" si="81"/>
        <v/>
      </c>
      <c r="AB126" t="str">
        <f t="shared" si="81"/>
        <v/>
      </c>
      <c r="AC126" t="str">
        <f t="shared" si="81"/>
        <v/>
      </c>
      <c r="AD126" t="str">
        <f t="shared" si="81"/>
        <v/>
      </c>
      <c r="AE126" t="str">
        <f t="shared" si="81"/>
        <v/>
      </c>
      <c r="AF126" t="str">
        <f t="shared" si="81"/>
        <v/>
      </c>
      <c r="AG126" t="str">
        <f t="shared" si="81"/>
        <v/>
      </c>
      <c r="AH126" t="str">
        <f t="shared" si="81"/>
        <v/>
      </c>
      <c r="AI126" t="str">
        <f t="shared" si="81"/>
        <v/>
      </c>
      <c r="AJ126" t="str">
        <f t="shared" si="81"/>
        <v/>
      </c>
      <c r="AK126" t="str">
        <f t="shared" si="81"/>
        <v/>
      </c>
      <c r="AL126" t="str">
        <f t="shared" si="81"/>
        <v/>
      </c>
      <c r="AM126" t="str">
        <f t="shared" si="81"/>
        <v/>
      </c>
      <c r="AN126" t="str">
        <f t="shared" si="81"/>
        <v/>
      </c>
      <c r="AO126" t="str">
        <f t="shared" si="81"/>
        <v/>
      </c>
      <c r="AP126" t="str">
        <f t="shared" si="81"/>
        <v/>
      </c>
      <c r="AQ126" t="str">
        <f t="shared" si="81"/>
        <v/>
      </c>
      <c r="AR126" t="str">
        <f t="shared" si="81"/>
        <v/>
      </c>
      <c r="AS126" t="str">
        <f t="shared" si="81"/>
        <v/>
      </c>
      <c r="AT126" t="str">
        <f t="shared" si="81"/>
        <v/>
      </c>
      <c r="AU126" t="str">
        <f t="shared" si="81"/>
        <v/>
      </c>
    </row>
    <row r="127" spans="5:47" ht="12.75">
      <c r="E127" t="s">
        <v>248</v>
      </c>
      <c r="G127" t="s">
        <v>154</v>
      </c>
      <c r="H127">
        <f>A$36</f>
        <v>2015</v>
      </c>
      <c r="I127" t="str">
        <f t="shared" si="79"/>
        <v>MINGASRSV8</v>
      </c>
      <c r="J127" t="s">
        <v>269</v>
      </c>
      <c r="K127" t="str">
        <f>IF(K$17=0,"",K126*$B$36)</f>
        <v/>
      </c>
      <c r="L127" t="str">
        <f>IF(L$17=0,"",L126*$B$36)</f>
        <v/>
      </c>
      <c r="M127" t="str">
        <f>IF(M$17=0,"",M126*$B$36)</f>
        <v/>
      </c>
      <c r="N127" t="str">
        <f t="shared" si="82" ref="N127:AU127">IF(N$17=0,"",N126*$B$36)</f>
        <v/>
      </c>
      <c r="O127" t="str">
        <f t="shared" si="82"/>
        <v/>
      </c>
      <c r="P127" t="str">
        <f t="shared" si="82"/>
        <v/>
      </c>
      <c r="Q127" t="str">
        <f t="shared" si="82"/>
        <v/>
      </c>
      <c r="R127" t="str">
        <f t="shared" si="82"/>
        <v/>
      </c>
      <c r="S127" t="str">
        <f t="shared" si="82"/>
        <v/>
      </c>
      <c r="T127" t="str">
        <f t="shared" si="82"/>
        <v/>
      </c>
      <c r="U127" t="str">
        <f t="shared" si="82"/>
        <v/>
      </c>
      <c r="V127" t="str">
        <f t="shared" si="82"/>
        <v/>
      </c>
      <c r="W127" t="str">
        <f t="shared" si="82"/>
        <v/>
      </c>
      <c r="X127" t="str">
        <f t="shared" si="82"/>
        <v/>
      </c>
      <c r="Y127" t="str">
        <f t="shared" si="82"/>
        <v/>
      </c>
      <c r="Z127" t="str">
        <f t="shared" si="82"/>
        <v/>
      </c>
      <c r="AA127" t="str">
        <f t="shared" si="82"/>
        <v/>
      </c>
      <c r="AB127" t="str">
        <f t="shared" si="82"/>
        <v/>
      </c>
      <c r="AC127" t="str">
        <f t="shared" si="82"/>
        <v/>
      </c>
      <c r="AD127" t="str">
        <f t="shared" si="82"/>
        <v/>
      </c>
      <c r="AE127" t="str">
        <f t="shared" si="82"/>
        <v/>
      </c>
      <c r="AF127" t="str">
        <f t="shared" si="82"/>
        <v/>
      </c>
      <c r="AG127" t="str">
        <f t="shared" si="82"/>
        <v/>
      </c>
      <c r="AH127" t="str">
        <f t="shared" si="82"/>
        <v/>
      </c>
      <c r="AI127" t="str">
        <f t="shared" si="82"/>
        <v/>
      </c>
      <c r="AJ127" t="str">
        <f t="shared" si="82"/>
        <v/>
      </c>
      <c r="AK127" t="str">
        <f t="shared" si="82"/>
        <v/>
      </c>
      <c r="AL127" t="str">
        <f t="shared" si="82"/>
        <v/>
      </c>
      <c r="AM127" t="str">
        <f t="shared" si="82"/>
        <v/>
      </c>
      <c r="AN127" t="str">
        <f t="shared" si="82"/>
        <v/>
      </c>
      <c r="AO127" t="str">
        <f t="shared" si="82"/>
        <v/>
      </c>
      <c r="AP127" t="str">
        <f t="shared" si="82"/>
        <v/>
      </c>
      <c r="AQ127" t="str">
        <f t="shared" si="82"/>
        <v/>
      </c>
      <c r="AR127" t="str">
        <f t="shared" si="82"/>
        <v/>
      </c>
      <c r="AS127" t="str">
        <f t="shared" si="82"/>
        <v/>
      </c>
      <c r="AT127" t="str">
        <f t="shared" si="82"/>
        <v/>
      </c>
      <c r="AU127" t="str">
        <f t="shared" si="82"/>
        <v/>
      </c>
    </row>
    <row r="128" spans="5:47" ht="12.75">
      <c r="E128" t="s">
        <v>248</v>
      </c>
      <c r="G128" t="s">
        <v>154</v>
      </c>
      <c r="H128">
        <f>A$37</f>
        <v>2020</v>
      </c>
      <c r="I128" t="str">
        <f t="shared" si="79"/>
        <v>MINGASRSV8</v>
      </c>
      <c r="J128" t="s">
        <v>269</v>
      </c>
      <c r="K128" t="str">
        <f>IF(K$17=0,"",K127*$B$37)</f>
        <v/>
      </c>
      <c r="L128" t="str">
        <f>IF(L$17=0,"",L127*$B$37)</f>
        <v/>
      </c>
      <c r="M128" t="str">
        <f>IF(M$17=0,"",M127*$B$37)</f>
        <v/>
      </c>
      <c r="N128" t="str">
        <f t="shared" si="83" ref="N128:AU128">IF(N$17=0,"",N127*$B$37)</f>
        <v/>
      </c>
      <c r="O128" t="str">
        <f t="shared" si="83"/>
        <v/>
      </c>
      <c r="P128" t="str">
        <f t="shared" si="83"/>
        <v/>
      </c>
      <c r="Q128" t="str">
        <f t="shared" si="83"/>
        <v/>
      </c>
      <c r="R128" t="str">
        <f t="shared" si="83"/>
        <v/>
      </c>
      <c r="S128" t="str">
        <f t="shared" si="83"/>
        <v/>
      </c>
      <c r="T128" t="str">
        <f t="shared" si="83"/>
        <v/>
      </c>
      <c r="U128" t="str">
        <f t="shared" si="83"/>
        <v/>
      </c>
      <c r="V128" t="str">
        <f t="shared" si="83"/>
        <v/>
      </c>
      <c r="W128" t="str">
        <f t="shared" si="83"/>
        <v/>
      </c>
      <c r="X128" t="str">
        <f t="shared" si="83"/>
        <v/>
      </c>
      <c r="Y128" t="str">
        <f t="shared" si="83"/>
        <v/>
      </c>
      <c r="Z128" t="str">
        <f t="shared" si="83"/>
        <v/>
      </c>
      <c r="AA128" t="str">
        <f t="shared" si="83"/>
        <v/>
      </c>
      <c r="AB128" t="str">
        <f t="shared" si="83"/>
        <v/>
      </c>
      <c r="AC128" t="str">
        <f t="shared" si="83"/>
        <v/>
      </c>
      <c r="AD128" t="str">
        <f t="shared" si="83"/>
        <v/>
      </c>
      <c r="AE128" t="str">
        <f t="shared" si="83"/>
        <v/>
      </c>
      <c r="AF128" t="str">
        <f t="shared" si="83"/>
        <v/>
      </c>
      <c r="AG128" t="str">
        <f t="shared" si="83"/>
        <v/>
      </c>
      <c r="AH128" t="str">
        <f t="shared" si="83"/>
        <v/>
      </c>
      <c r="AI128" t="str">
        <f t="shared" si="83"/>
        <v/>
      </c>
      <c r="AJ128" t="str">
        <f t="shared" si="83"/>
        <v/>
      </c>
      <c r="AK128" t="str">
        <f t="shared" si="83"/>
        <v/>
      </c>
      <c r="AL128" t="str">
        <f t="shared" si="83"/>
        <v/>
      </c>
      <c r="AM128" t="str">
        <f t="shared" si="83"/>
        <v/>
      </c>
      <c r="AN128" t="str">
        <f t="shared" si="83"/>
        <v/>
      </c>
      <c r="AO128" t="str">
        <f t="shared" si="83"/>
        <v/>
      </c>
      <c r="AP128" t="str">
        <f t="shared" si="83"/>
        <v/>
      </c>
      <c r="AQ128" t="str">
        <f t="shared" si="83"/>
        <v/>
      </c>
      <c r="AR128" t="str">
        <f t="shared" si="83"/>
        <v/>
      </c>
      <c r="AS128" t="str">
        <f t="shared" si="83"/>
        <v/>
      </c>
      <c r="AT128" t="str">
        <f t="shared" si="83"/>
        <v/>
      </c>
      <c r="AU128" t="str">
        <f t="shared" si="83"/>
        <v/>
      </c>
    </row>
    <row r="129" spans="5:47" ht="12.75">
      <c r="E129" t="s">
        <v>248</v>
      </c>
      <c r="G129" t="s">
        <v>154</v>
      </c>
      <c r="H129">
        <f>A$38</f>
        <v>2025</v>
      </c>
      <c r="I129" t="str">
        <f t="shared" si="79"/>
        <v>MINGASRSV8</v>
      </c>
      <c r="J129" t="s">
        <v>269</v>
      </c>
      <c r="K129" t="str">
        <f>IF(K$17=0,"",K128*$B$38)</f>
        <v/>
      </c>
      <c r="L129" t="str">
        <f>IF(L$17=0,"",L128*$B$38)</f>
        <v/>
      </c>
      <c r="M129" t="str">
        <f>IF(M$17=0,"",M128*$B$38)</f>
        <v/>
      </c>
      <c r="N129" t="str">
        <f t="shared" si="84" ref="N129:AU129">IF(N$17=0,"",N128*$B$38)</f>
        <v/>
      </c>
      <c r="O129" t="str">
        <f t="shared" si="84"/>
        <v/>
      </c>
      <c r="P129" t="str">
        <f t="shared" si="84"/>
        <v/>
      </c>
      <c r="Q129" t="str">
        <f t="shared" si="84"/>
        <v/>
      </c>
      <c r="R129" t="str">
        <f t="shared" si="84"/>
        <v/>
      </c>
      <c r="S129" t="str">
        <f t="shared" si="84"/>
        <v/>
      </c>
      <c r="T129" t="str">
        <f t="shared" si="84"/>
        <v/>
      </c>
      <c r="U129" t="str">
        <f t="shared" si="84"/>
        <v/>
      </c>
      <c r="V129" t="str">
        <f t="shared" si="84"/>
        <v/>
      </c>
      <c r="W129" t="str">
        <f t="shared" si="84"/>
        <v/>
      </c>
      <c r="X129" t="str">
        <f t="shared" si="84"/>
        <v/>
      </c>
      <c r="Y129" t="str">
        <f t="shared" si="84"/>
        <v/>
      </c>
      <c r="Z129" t="str">
        <f t="shared" si="84"/>
        <v/>
      </c>
      <c r="AA129" t="str">
        <f t="shared" si="84"/>
        <v/>
      </c>
      <c r="AB129" t="str">
        <f t="shared" si="84"/>
        <v/>
      </c>
      <c r="AC129" t="str">
        <f t="shared" si="84"/>
        <v/>
      </c>
      <c r="AD129" t="str">
        <f t="shared" si="84"/>
        <v/>
      </c>
      <c r="AE129" t="str">
        <f t="shared" si="84"/>
        <v/>
      </c>
      <c r="AF129" t="str">
        <f t="shared" si="84"/>
        <v/>
      </c>
      <c r="AG129" t="str">
        <f t="shared" si="84"/>
        <v/>
      </c>
      <c r="AH129" t="str">
        <f t="shared" si="84"/>
        <v/>
      </c>
      <c r="AI129" t="str">
        <f t="shared" si="84"/>
        <v/>
      </c>
      <c r="AJ129" t="str">
        <f t="shared" si="84"/>
        <v/>
      </c>
      <c r="AK129" t="str">
        <f t="shared" si="84"/>
        <v/>
      </c>
      <c r="AL129" t="str">
        <f t="shared" si="84"/>
        <v/>
      </c>
      <c r="AM129" t="str">
        <f t="shared" si="84"/>
        <v/>
      </c>
      <c r="AN129" t="str">
        <f t="shared" si="84"/>
        <v/>
      </c>
      <c r="AO129" t="str">
        <f t="shared" si="84"/>
        <v/>
      </c>
      <c r="AP129" t="str">
        <f t="shared" si="84"/>
        <v/>
      </c>
      <c r="AQ129" t="str">
        <f t="shared" si="84"/>
        <v/>
      </c>
      <c r="AR129" t="str">
        <f t="shared" si="84"/>
        <v/>
      </c>
      <c r="AS129" t="str">
        <f t="shared" si="84"/>
        <v/>
      </c>
      <c r="AT129" t="str">
        <f t="shared" si="84"/>
        <v/>
      </c>
      <c r="AU129" t="str">
        <f t="shared" si="84"/>
        <v/>
      </c>
    </row>
    <row r="130" spans="5:47" ht="12.75">
      <c r="E130" t="s">
        <v>248</v>
      </c>
      <c r="G130" t="s">
        <v>154</v>
      </c>
      <c r="H130">
        <f>A$39</f>
        <v>2030</v>
      </c>
      <c r="I130" t="str">
        <f t="shared" si="79"/>
        <v>MINGASRSV8</v>
      </c>
      <c r="J130" t="s">
        <v>269</v>
      </c>
      <c r="K130" t="str">
        <f>IF(K$17=0,"",K129*$B$39)</f>
        <v/>
      </c>
      <c r="L130" t="str">
        <f>IF(L$17=0,"",L129*$B$39)</f>
        <v/>
      </c>
      <c r="M130" t="str">
        <f>IF(M$17=0,"",M129*$B$39)</f>
        <v/>
      </c>
      <c r="N130" t="str">
        <f t="shared" si="85" ref="N130:AU130">IF(N$17=0,"",N129*$B$39)</f>
        <v/>
      </c>
      <c r="O130" t="str">
        <f t="shared" si="85"/>
        <v/>
      </c>
      <c r="P130" t="str">
        <f t="shared" si="85"/>
        <v/>
      </c>
      <c r="Q130" t="str">
        <f t="shared" si="85"/>
        <v/>
      </c>
      <c r="R130" t="str">
        <f t="shared" si="85"/>
        <v/>
      </c>
      <c r="S130" t="str">
        <f t="shared" si="85"/>
        <v/>
      </c>
      <c r="T130" t="str">
        <f t="shared" si="85"/>
        <v/>
      </c>
      <c r="U130" t="str">
        <f t="shared" si="85"/>
        <v/>
      </c>
      <c r="V130" t="str">
        <f t="shared" si="85"/>
        <v/>
      </c>
      <c r="W130" t="str">
        <f t="shared" si="85"/>
        <v/>
      </c>
      <c r="X130" t="str">
        <f t="shared" si="85"/>
        <v/>
      </c>
      <c r="Y130" t="str">
        <f t="shared" si="85"/>
        <v/>
      </c>
      <c r="Z130" t="str">
        <f t="shared" si="85"/>
        <v/>
      </c>
      <c r="AA130" t="str">
        <f t="shared" si="85"/>
        <v/>
      </c>
      <c r="AB130" t="str">
        <f t="shared" si="85"/>
        <v/>
      </c>
      <c r="AC130" t="str">
        <f t="shared" si="85"/>
        <v/>
      </c>
      <c r="AD130" t="str">
        <f t="shared" si="85"/>
        <v/>
      </c>
      <c r="AE130" t="str">
        <f t="shared" si="85"/>
        <v/>
      </c>
      <c r="AF130" t="str">
        <f t="shared" si="85"/>
        <v/>
      </c>
      <c r="AG130" t="str">
        <f t="shared" si="85"/>
        <v/>
      </c>
      <c r="AH130" t="str">
        <f t="shared" si="85"/>
        <v/>
      </c>
      <c r="AI130" t="str">
        <f t="shared" si="85"/>
        <v/>
      </c>
      <c r="AJ130" t="str">
        <f t="shared" si="85"/>
        <v/>
      </c>
      <c r="AK130" t="str">
        <f t="shared" si="85"/>
        <v/>
      </c>
      <c r="AL130" t="str">
        <f t="shared" si="85"/>
        <v/>
      </c>
      <c r="AM130" t="str">
        <f t="shared" si="85"/>
        <v/>
      </c>
      <c r="AN130" t="str">
        <f t="shared" si="85"/>
        <v/>
      </c>
      <c r="AO130" t="str">
        <f t="shared" si="85"/>
        <v/>
      </c>
      <c r="AP130" t="str">
        <f t="shared" si="85"/>
        <v/>
      </c>
      <c r="AQ130" t="str">
        <f t="shared" si="85"/>
        <v/>
      </c>
      <c r="AR130" t="str">
        <f t="shared" si="85"/>
        <v/>
      </c>
      <c r="AS130" t="str">
        <f t="shared" si="85"/>
        <v/>
      </c>
      <c r="AT130" t="str">
        <f t="shared" si="85"/>
        <v/>
      </c>
      <c r="AU130" t="str">
        <f t="shared" si="85"/>
        <v/>
      </c>
    </row>
    <row r="131" spans="5:47" ht="12.75">
      <c r="E131" t="s">
        <v>248</v>
      </c>
      <c r="G131" t="s">
        <v>154</v>
      </c>
      <c r="H131">
        <f>A$40</f>
        <v>2035</v>
      </c>
      <c r="I131" t="str">
        <f t="shared" si="79"/>
        <v>MINGASRSV8</v>
      </c>
      <c r="J131" t="s">
        <v>269</v>
      </c>
      <c r="K131" t="str">
        <f>IF(K$17=0,"",K130*$B$40)</f>
        <v/>
      </c>
      <c r="L131" t="str">
        <f>IF(L$17=0,"",L130*$B$40)</f>
        <v/>
      </c>
      <c r="M131" t="str">
        <f>IF(M$17=0,"",M130*$B$40)</f>
        <v/>
      </c>
      <c r="N131" t="str">
        <f t="shared" si="86" ref="N131:AU131">IF(N$17=0,"",N130*$B$40)</f>
        <v/>
      </c>
      <c r="O131" t="str">
        <f t="shared" si="86"/>
        <v/>
      </c>
      <c r="P131" t="str">
        <f t="shared" si="86"/>
        <v/>
      </c>
      <c r="Q131" t="str">
        <f t="shared" si="86"/>
        <v/>
      </c>
      <c r="R131" t="str">
        <f t="shared" si="86"/>
        <v/>
      </c>
      <c r="S131" t="str">
        <f t="shared" si="86"/>
        <v/>
      </c>
      <c r="T131" t="str">
        <f t="shared" si="86"/>
        <v/>
      </c>
      <c r="U131" t="str">
        <f t="shared" si="86"/>
        <v/>
      </c>
      <c r="V131" t="str">
        <f t="shared" si="86"/>
        <v/>
      </c>
      <c r="W131" t="str">
        <f t="shared" si="86"/>
        <v/>
      </c>
      <c r="X131" t="str">
        <f t="shared" si="86"/>
        <v/>
      </c>
      <c r="Y131" t="str">
        <f t="shared" si="86"/>
        <v/>
      </c>
      <c r="Z131" t="str">
        <f t="shared" si="86"/>
        <v/>
      </c>
      <c r="AA131" t="str">
        <f t="shared" si="86"/>
        <v/>
      </c>
      <c r="AB131" t="str">
        <f t="shared" si="86"/>
        <v/>
      </c>
      <c r="AC131" t="str">
        <f t="shared" si="86"/>
        <v/>
      </c>
      <c r="AD131" t="str">
        <f t="shared" si="86"/>
        <v/>
      </c>
      <c r="AE131" t="str">
        <f t="shared" si="86"/>
        <v/>
      </c>
      <c r="AF131" t="str">
        <f t="shared" si="86"/>
        <v/>
      </c>
      <c r="AG131" t="str">
        <f t="shared" si="86"/>
        <v/>
      </c>
      <c r="AH131" t="str">
        <f t="shared" si="86"/>
        <v/>
      </c>
      <c r="AI131" t="str">
        <f t="shared" si="86"/>
        <v/>
      </c>
      <c r="AJ131" t="str">
        <f t="shared" si="86"/>
        <v/>
      </c>
      <c r="AK131" t="str">
        <f t="shared" si="86"/>
        <v/>
      </c>
      <c r="AL131" t="str">
        <f t="shared" si="86"/>
        <v/>
      </c>
      <c r="AM131" t="str">
        <f t="shared" si="86"/>
        <v/>
      </c>
      <c r="AN131" t="str">
        <f t="shared" si="86"/>
        <v/>
      </c>
      <c r="AO131" t="str">
        <f t="shared" si="86"/>
        <v/>
      </c>
      <c r="AP131" t="str">
        <f t="shared" si="86"/>
        <v/>
      </c>
      <c r="AQ131" t="str">
        <f t="shared" si="86"/>
        <v/>
      </c>
      <c r="AR131" t="str">
        <f t="shared" si="86"/>
        <v/>
      </c>
      <c r="AS131" t="str">
        <f t="shared" si="86"/>
        <v/>
      </c>
      <c r="AT131" t="str">
        <f t="shared" si="86"/>
        <v/>
      </c>
      <c r="AU131" t="str">
        <f t="shared" si="86"/>
        <v/>
      </c>
    </row>
    <row r="132" spans="5:47" ht="12.75">
      <c r="E132" t="s">
        <v>248</v>
      </c>
      <c r="G132" t="s">
        <v>154</v>
      </c>
      <c r="H132">
        <f>A$41</f>
        <v>2040</v>
      </c>
      <c r="I132" t="str">
        <f t="shared" si="79"/>
        <v>MINGASRSV8</v>
      </c>
      <c r="J132" t="s">
        <v>269</v>
      </c>
      <c r="K132" t="str">
        <f>IF(K$17=0,"",K131*$B$41)</f>
        <v/>
      </c>
      <c r="L132" t="str">
        <f>IF(L$17=0,"",L131*$B$41)</f>
        <v/>
      </c>
      <c r="M132" t="str">
        <f>IF(M$17=0,"",M131*$B$41)</f>
        <v/>
      </c>
      <c r="N132" t="str">
        <f t="shared" si="87" ref="N132:AU132">IF(N$17=0,"",N131*$B$41)</f>
        <v/>
      </c>
      <c r="O132" t="str">
        <f t="shared" si="87"/>
        <v/>
      </c>
      <c r="P132" t="str">
        <f t="shared" si="87"/>
        <v/>
      </c>
      <c r="Q132" t="str">
        <f t="shared" si="87"/>
        <v/>
      </c>
      <c r="R132" t="str">
        <f t="shared" si="87"/>
        <v/>
      </c>
      <c r="S132" t="str">
        <f t="shared" si="87"/>
        <v/>
      </c>
      <c r="T132" t="str">
        <f t="shared" si="87"/>
        <v/>
      </c>
      <c r="U132" t="str">
        <f t="shared" si="87"/>
        <v/>
      </c>
      <c r="V132" t="str">
        <f t="shared" si="87"/>
        <v/>
      </c>
      <c r="W132" t="str">
        <f t="shared" si="87"/>
        <v/>
      </c>
      <c r="X132" t="str">
        <f t="shared" si="87"/>
        <v/>
      </c>
      <c r="Y132" t="str">
        <f t="shared" si="87"/>
        <v/>
      </c>
      <c r="Z132" t="str">
        <f t="shared" si="87"/>
        <v/>
      </c>
      <c r="AA132" t="str">
        <f t="shared" si="87"/>
        <v/>
      </c>
      <c r="AB132" t="str">
        <f t="shared" si="87"/>
        <v/>
      </c>
      <c r="AC132" t="str">
        <f t="shared" si="87"/>
        <v/>
      </c>
      <c r="AD132" t="str">
        <f t="shared" si="87"/>
        <v/>
      </c>
      <c r="AE132" t="str">
        <f t="shared" si="87"/>
        <v/>
      </c>
      <c r="AF132" t="str">
        <f t="shared" si="87"/>
        <v/>
      </c>
      <c r="AG132" t="str">
        <f t="shared" si="87"/>
        <v/>
      </c>
      <c r="AH132" t="str">
        <f t="shared" si="87"/>
        <v/>
      </c>
      <c r="AI132" t="str">
        <f t="shared" si="87"/>
        <v/>
      </c>
      <c r="AJ132" t="str">
        <f t="shared" si="87"/>
        <v/>
      </c>
      <c r="AK132" t="str">
        <f t="shared" si="87"/>
        <v/>
      </c>
      <c r="AL132" t="str">
        <f t="shared" si="87"/>
        <v/>
      </c>
      <c r="AM132" t="str">
        <f t="shared" si="87"/>
        <v/>
      </c>
      <c r="AN132" t="str">
        <f t="shared" si="87"/>
        <v/>
      </c>
      <c r="AO132" t="str">
        <f t="shared" si="87"/>
        <v/>
      </c>
      <c r="AP132" t="str">
        <f t="shared" si="87"/>
        <v/>
      </c>
      <c r="AQ132" t="str">
        <f t="shared" si="87"/>
        <v/>
      </c>
      <c r="AR132" t="str">
        <f t="shared" si="87"/>
        <v/>
      </c>
      <c r="AS132" t="str">
        <f t="shared" si="87"/>
        <v/>
      </c>
      <c r="AT132" t="str">
        <f t="shared" si="87"/>
        <v/>
      </c>
      <c r="AU132" t="str">
        <f t="shared" si="87"/>
        <v/>
      </c>
    </row>
    <row r="133" spans="5:47" ht="12.75">
      <c r="E133" t="s">
        <v>248</v>
      </c>
      <c r="G133" t="s">
        <v>154</v>
      </c>
      <c r="H133">
        <f>A$42</f>
        <v>2045</v>
      </c>
      <c r="I133" t="str">
        <f t="shared" si="79"/>
        <v>MINGASRSV8</v>
      </c>
      <c r="J133" t="s">
        <v>269</v>
      </c>
      <c r="K133" t="str">
        <f>IF(K$17=0,"",K132*$B$42)</f>
        <v/>
      </c>
      <c r="L133" t="str">
        <f>IF(L$17=0,"",L132*$B$42)</f>
        <v/>
      </c>
      <c r="M133" t="str">
        <f>IF(M$17=0,"",M132*$B$42)</f>
        <v/>
      </c>
      <c r="N133" t="str">
        <f t="shared" si="88" ref="N133:AU133">IF(N$17=0,"",N132*$B$42)</f>
        <v/>
      </c>
      <c r="O133" t="str">
        <f t="shared" si="88"/>
        <v/>
      </c>
      <c r="P133" t="str">
        <f t="shared" si="88"/>
        <v/>
      </c>
      <c r="Q133" t="str">
        <f t="shared" si="88"/>
        <v/>
      </c>
      <c r="R133" t="str">
        <f t="shared" si="88"/>
        <v/>
      </c>
      <c r="S133" t="str">
        <f t="shared" si="88"/>
        <v/>
      </c>
      <c r="T133" t="str">
        <f t="shared" si="88"/>
        <v/>
      </c>
      <c r="U133" t="str">
        <f t="shared" si="88"/>
        <v/>
      </c>
      <c r="V133" t="str">
        <f t="shared" si="88"/>
        <v/>
      </c>
      <c r="W133" t="str">
        <f t="shared" si="88"/>
        <v/>
      </c>
      <c r="X133" t="str">
        <f t="shared" si="88"/>
        <v/>
      </c>
      <c r="Y133" t="str">
        <f t="shared" si="88"/>
        <v/>
      </c>
      <c r="Z133" t="str">
        <f t="shared" si="88"/>
        <v/>
      </c>
      <c r="AA133" t="str">
        <f t="shared" si="88"/>
        <v/>
      </c>
      <c r="AB133" t="str">
        <f t="shared" si="88"/>
        <v/>
      </c>
      <c r="AC133" t="str">
        <f t="shared" si="88"/>
        <v/>
      </c>
      <c r="AD133" t="str">
        <f t="shared" si="88"/>
        <v/>
      </c>
      <c r="AE133" t="str">
        <f t="shared" si="88"/>
        <v/>
      </c>
      <c r="AF133" t="str">
        <f t="shared" si="88"/>
        <v/>
      </c>
      <c r="AG133" t="str">
        <f t="shared" si="88"/>
        <v/>
      </c>
      <c r="AH133" t="str">
        <f t="shared" si="88"/>
        <v/>
      </c>
      <c r="AI133" t="str">
        <f t="shared" si="88"/>
        <v/>
      </c>
      <c r="AJ133" t="str">
        <f t="shared" si="88"/>
        <v/>
      </c>
      <c r="AK133" t="str">
        <f t="shared" si="88"/>
        <v/>
      </c>
      <c r="AL133" t="str">
        <f t="shared" si="88"/>
        <v/>
      </c>
      <c r="AM133" t="str">
        <f t="shared" si="88"/>
        <v/>
      </c>
      <c r="AN133" t="str">
        <f t="shared" si="88"/>
        <v/>
      </c>
      <c r="AO133" t="str">
        <f t="shared" si="88"/>
        <v/>
      </c>
      <c r="AP133" t="str">
        <f t="shared" si="88"/>
        <v/>
      </c>
      <c r="AQ133" t="str">
        <f t="shared" si="88"/>
        <v/>
      </c>
      <c r="AR133" t="str">
        <f t="shared" si="88"/>
        <v/>
      </c>
      <c r="AS133" t="str">
        <f t="shared" si="88"/>
        <v/>
      </c>
      <c r="AT133" t="str">
        <f t="shared" si="88"/>
        <v/>
      </c>
      <c r="AU133" t="str">
        <f t="shared" si="88"/>
        <v/>
      </c>
    </row>
    <row r="134" spans="5:47" ht="12.75">
      <c r="E134" t="s">
        <v>248</v>
      </c>
      <c r="G134" t="s">
        <v>154</v>
      </c>
      <c r="H134">
        <f>A$43</f>
        <v>2050</v>
      </c>
      <c r="I134" t="str">
        <f t="shared" si="79"/>
        <v>MINGASRSV8</v>
      </c>
      <c r="J134" t="s">
        <v>269</v>
      </c>
      <c r="K134" t="str">
        <f>IF(K$17=0,"",K133*$B$43)</f>
        <v/>
      </c>
      <c r="L134" t="str">
        <f>IF(L$17=0,"",L133*$B$43)</f>
        <v/>
      </c>
      <c r="M134" t="str">
        <f>IF(M$17=0,"",M133*$B$43)</f>
        <v/>
      </c>
      <c r="N134" t="str">
        <f t="shared" si="89" ref="N134:AU134">IF(N$17=0,"",N133*$B$43)</f>
        <v/>
      </c>
      <c r="O134" t="str">
        <f t="shared" si="89"/>
        <v/>
      </c>
      <c r="P134" t="str">
        <f t="shared" si="89"/>
        <v/>
      </c>
      <c r="Q134" t="str">
        <f t="shared" si="89"/>
        <v/>
      </c>
      <c r="R134" t="str">
        <f t="shared" si="89"/>
        <v/>
      </c>
      <c r="S134" t="str">
        <f t="shared" si="89"/>
        <v/>
      </c>
      <c r="T134" t="str">
        <f t="shared" si="89"/>
        <v/>
      </c>
      <c r="U134" t="str">
        <f t="shared" si="89"/>
        <v/>
      </c>
      <c r="V134" t="str">
        <f t="shared" si="89"/>
        <v/>
      </c>
      <c r="W134" t="str">
        <f t="shared" si="89"/>
        <v/>
      </c>
      <c r="X134" t="str">
        <f t="shared" si="89"/>
        <v/>
      </c>
      <c r="Y134" t="str">
        <f t="shared" si="89"/>
        <v/>
      </c>
      <c r="Z134" t="str">
        <f t="shared" si="89"/>
        <v/>
      </c>
      <c r="AA134" t="str">
        <f t="shared" si="89"/>
        <v/>
      </c>
      <c r="AB134" t="str">
        <f t="shared" si="89"/>
        <v/>
      </c>
      <c r="AC134" t="str">
        <f t="shared" si="89"/>
        <v/>
      </c>
      <c r="AD134" t="str">
        <f t="shared" si="89"/>
        <v/>
      </c>
      <c r="AE134" t="str">
        <f t="shared" si="89"/>
        <v/>
      </c>
      <c r="AF134" t="str">
        <f t="shared" si="89"/>
        <v/>
      </c>
      <c r="AG134" t="str">
        <f t="shared" si="89"/>
        <v/>
      </c>
      <c r="AH134" t="str">
        <f t="shared" si="89"/>
        <v/>
      </c>
      <c r="AI134" t="str">
        <f t="shared" si="89"/>
        <v/>
      </c>
      <c r="AJ134" t="str">
        <f t="shared" si="89"/>
        <v/>
      </c>
      <c r="AK134" t="str">
        <f t="shared" si="89"/>
        <v/>
      </c>
      <c r="AL134" t="str">
        <f t="shared" si="89"/>
        <v/>
      </c>
      <c r="AM134" t="str">
        <f t="shared" si="89"/>
        <v/>
      </c>
      <c r="AN134" t="str">
        <f t="shared" si="89"/>
        <v/>
      </c>
      <c r="AO134" t="str">
        <f t="shared" si="89"/>
        <v/>
      </c>
      <c r="AP134" t="str">
        <f t="shared" si="89"/>
        <v/>
      </c>
      <c r="AQ134" t="str">
        <f t="shared" si="89"/>
        <v/>
      </c>
      <c r="AR134" t="str">
        <f t="shared" si="89"/>
        <v/>
      </c>
      <c r="AS134" t="str">
        <f t="shared" si="89"/>
        <v/>
      </c>
      <c r="AT134" t="str">
        <f t="shared" si="89"/>
        <v/>
      </c>
      <c r="AU134" t="str">
        <f t="shared" si="89"/>
        <v/>
      </c>
    </row>
    <row r="135" spans="5:47" ht="12.75">
      <c r="E135" t="s">
        <v>248</v>
      </c>
      <c r="G135" t="s">
        <v>154</v>
      </c>
      <c r="H135">
        <f>A$33</f>
        <v>2001</v>
      </c>
      <c r="I135" t="str">
        <f>I$18</f>
        <v>MINGASRSV9</v>
      </c>
      <c r="J135" t="s">
        <v>269</v>
      </c>
      <c r="K135" t="str">
        <f>IF(K$18=0,"",K$18*$B$33)</f>
        <v/>
      </c>
      <c r="L135" t="str">
        <f>IF(L$18=0,"",L$18*$B$33)</f>
        <v/>
      </c>
      <c r="M135" t="str">
        <f>IF(M$18=0,"",M$18*$B$33)</f>
        <v/>
      </c>
      <c r="N135" t="str">
        <f t="shared" si="90" ref="N135:AU135">IF(N$18=0,"",N$18*$B$33)</f>
        <v/>
      </c>
      <c r="O135" t="str">
        <f t="shared" si="90"/>
        <v/>
      </c>
      <c r="P135" t="str">
        <f t="shared" si="90"/>
        <v/>
      </c>
      <c r="Q135" t="str">
        <f t="shared" si="90"/>
        <v/>
      </c>
      <c r="R135" t="str">
        <f t="shared" si="90"/>
        <v/>
      </c>
      <c r="S135" t="str">
        <f t="shared" si="90"/>
        <v/>
      </c>
      <c r="T135" t="str">
        <f t="shared" si="90"/>
        <v/>
      </c>
      <c r="U135" t="str">
        <f t="shared" si="90"/>
        <v/>
      </c>
      <c r="V135" t="str">
        <f t="shared" si="90"/>
        <v/>
      </c>
      <c r="W135" t="str">
        <f t="shared" si="90"/>
        <v/>
      </c>
      <c r="X135" t="str">
        <f t="shared" si="90"/>
        <v/>
      </c>
      <c r="Y135" t="str">
        <f t="shared" si="90"/>
        <v/>
      </c>
      <c r="Z135" t="str">
        <f t="shared" si="90"/>
        <v/>
      </c>
      <c r="AA135" t="str">
        <f t="shared" si="90"/>
        <v/>
      </c>
      <c r="AB135" t="str">
        <f t="shared" si="90"/>
        <v/>
      </c>
      <c r="AC135" t="str">
        <f t="shared" si="90"/>
        <v/>
      </c>
      <c r="AD135" t="str">
        <f t="shared" si="90"/>
        <v/>
      </c>
      <c r="AE135" t="str">
        <f t="shared" si="90"/>
        <v/>
      </c>
      <c r="AF135" t="str">
        <f t="shared" si="90"/>
        <v/>
      </c>
      <c r="AG135" t="str">
        <f t="shared" si="90"/>
        <v/>
      </c>
      <c r="AH135" t="str">
        <f t="shared" si="90"/>
        <v/>
      </c>
      <c r="AI135" t="str">
        <f t="shared" si="90"/>
        <v/>
      </c>
      <c r="AJ135" t="str">
        <f t="shared" si="90"/>
        <v/>
      </c>
      <c r="AK135" t="str">
        <f t="shared" si="90"/>
        <v/>
      </c>
      <c r="AL135" t="str">
        <f t="shared" si="90"/>
        <v/>
      </c>
      <c r="AM135" t="str">
        <f t="shared" si="90"/>
        <v/>
      </c>
      <c r="AN135" t="str">
        <f t="shared" si="90"/>
        <v/>
      </c>
      <c r="AO135" t="str">
        <f t="shared" si="90"/>
        <v/>
      </c>
      <c r="AP135" t="str">
        <f t="shared" si="90"/>
        <v/>
      </c>
      <c r="AQ135" t="str">
        <f t="shared" si="90"/>
        <v/>
      </c>
      <c r="AR135" t="str">
        <f t="shared" si="90"/>
        <v/>
      </c>
      <c r="AS135" t="str">
        <f t="shared" si="90"/>
        <v/>
      </c>
      <c r="AT135" t="str">
        <f t="shared" si="90"/>
        <v/>
      </c>
      <c r="AU135" t="str">
        <f t="shared" si="90"/>
        <v/>
      </c>
    </row>
    <row r="136" spans="5:47" ht="12.75">
      <c r="E136" t="s">
        <v>248</v>
      </c>
      <c r="G136" t="s">
        <v>154</v>
      </c>
      <c r="H136">
        <f>A$34</f>
        <v>2005</v>
      </c>
      <c r="I136" t="str">
        <f t="shared" si="91" ref="I136:I145">I$18</f>
        <v>MINGASRSV9</v>
      </c>
      <c r="J136" t="s">
        <v>269</v>
      </c>
      <c r="K136" t="str">
        <f>IF(K$18=0,"",K135*$B$34)</f>
        <v/>
      </c>
      <c r="L136" t="str">
        <f>IF(L$18=0,"",L135*$B$34)</f>
        <v/>
      </c>
      <c r="M136" t="str">
        <f>IF(M$18=0,"",M135*$B$34)</f>
        <v/>
      </c>
      <c r="N136" t="str">
        <f t="shared" si="92" ref="N136:AU136">IF(N$18=0,"",N135*$B$34)</f>
        <v/>
      </c>
      <c r="O136" t="str">
        <f t="shared" si="92"/>
        <v/>
      </c>
      <c r="P136" t="str">
        <f t="shared" si="92"/>
        <v/>
      </c>
      <c r="Q136" t="str">
        <f t="shared" si="92"/>
        <v/>
      </c>
      <c r="R136" t="str">
        <f t="shared" si="92"/>
        <v/>
      </c>
      <c r="S136" t="str">
        <f t="shared" si="92"/>
        <v/>
      </c>
      <c r="T136" t="str">
        <f t="shared" si="92"/>
        <v/>
      </c>
      <c r="U136" t="str">
        <f t="shared" si="92"/>
        <v/>
      </c>
      <c r="V136" t="str">
        <f t="shared" si="92"/>
        <v/>
      </c>
      <c r="W136" t="str">
        <f t="shared" si="92"/>
        <v/>
      </c>
      <c r="X136" t="str">
        <f t="shared" si="92"/>
        <v/>
      </c>
      <c r="Y136" t="str">
        <f t="shared" si="92"/>
        <v/>
      </c>
      <c r="Z136" t="str">
        <f t="shared" si="92"/>
        <v/>
      </c>
      <c r="AA136" t="str">
        <f t="shared" si="92"/>
        <v/>
      </c>
      <c r="AB136" t="str">
        <f t="shared" si="92"/>
        <v/>
      </c>
      <c r="AC136" t="str">
        <f t="shared" si="92"/>
        <v/>
      </c>
      <c r="AD136" t="str">
        <f t="shared" si="92"/>
        <v/>
      </c>
      <c r="AE136" t="str">
        <f t="shared" si="92"/>
        <v/>
      </c>
      <c r="AF136" t="str">
        <f t="shared" si="92"/>
        <v/>
      </c>
      <c r="AG136" t="str">
        <f t="shared" si="92"/>
        <v/>
      </c>
      <c r="AH136" t="str">
        <f t="shared" si="92"/>
        <v/>
      </c>
      <c r="AI136" t="str">
        <f t="shared" si="92"/>
        <v/>
      </c>
      <c r="AJ136" t="str">
        <f t="shared" si="92"/>
        <v/>
      </c>
      <c r="AK136" t="str">
        <f t="shared" si="92"/>
        <v/>
      </c>
      <c r="AL136" t="str">
        <f t="shared" si="92"/>
        <v/>
      </c>
      <c r="AM136" t="str">
        <f t="shared" si="92"/>
        <v/>
      </c>
      <c r="AN136" t="str">
        <f t="shared" si="92"/>
        <v/>
      </c>
      <c r="AO136" t="str">
        <f t="shared" si="92"/>
        <v/>
      </c>
      <c r="AP136" t="str">
        <f t="shared" si="92"/>
        <v/>
      </c>
      <c r="AQ136" t="str">
        <f t="shared" si="92"/>
        <v/>
      </c>
      <c r="AR136" t="str">
        <f t="shared" si="92"/>
        <v/>
      </c>
      <c r="AS136" t="str">
        <f t="shared" si="92"/>
        <v/>
      </c>
      <c r="AT136" t="str">
        <f t="shared" si="92"/>
        <v/>
      </c>
      <c r="AU136" t="str">
        <f t="shared" si="92"/>
        <v/>
      </c>
    </row>
    <row r="137" spans="5:47" ht="12.75">
      <c r="E137" t="s">
        <v>248</v>
      </c>
      <c r="G137" t="s">
        <v>154</v>
      </c>
      <c r="H137">
        <f>A$35</f>
        <v>2010</v>
      </c>
      <c r="I137" t="str">
        <f t="shared" si="91"/>
        <v>MINGASRSV9</v>
      </c>
      <c r="J137" t="s">
        <v>269</v>
      </c>
      <c r="K137" t="str">
        <f>IF(K$18=0,"",K136*$B$35)</f>
        <v/>
      </c>
      <c r="L137" t="str">
        <f>IF(L$18=0,"",L136*$B$35)</f>
        <v/>
      </c>
      <c r="M137" t="str">
        <f>IF(M$18=0,"",M136*$B$35)</f>
        <v/>
      </c>
      <c r="N137" t="str">
        <f t="shared" si="93" ref="N137:AU137">IF(N$18=0,"",N136*$B$35)</f>
        <v/>
      </c>
      <c r="O137" t="str">
        <f t="shared" si="93"/>
        <v/>
      </c>
      <c r="P137" t="str">
        <f t="shared" si="93"/>
        <v/>
      </c>
      <c r="Q137" t="str">
        <f t="shared" si="93"/>
        <v/>
      </c>
      <c r="R137" t="str">
        <f t="shared" si="93"/>
        <v/>
      </c>
      <c r="S137" t="str">
        <f t="shared" si="93"/>
        <v/>
      </c>
      <c r="T137" t="str">
        <f t="shared" si="93"/>
        <v/>
      </c>
      <c r="U137" t="str">
        <f t="shared" si="93"/>
        <v/>
      </c>
      <c r="V137" t="str">
        <f t="shared" si="93"/>
        <v/>
      </c>
      <c r="W137" t="str">
        <f t="shared" si="93"/>
        <v/>
      </c>
      <c r="X137" t="str">
        <f t="shared" si="93"/>
        <v/>
      </c>
      <c r="Y137" t="str">
        <f t="shared" si="93"/>
        <v/>
      </c>
      <c r="Z137" t="str">
        <f t="shared" si="93"/>
        <v/>
      </c>
      <c r="AA137" t="str">
        <f t="shared" si="93"/>
        <v/>
      </c>
      <c r="AB137" t="str">
        <f t="shared" si="93"/>
        <v/>
      </c>
      <c r="AC137" t="str">
        <f t="shared" si="93"/>
        <v/>
      </c>
      <c r="AD137" t="str">
        <f t="shared" si="93"/>
        <v/>
      </c>
      <c r="AE137" t="str">
        <f t="shared" si="93"/>
        <v/>
      </c>
      <c r="AF137" t="str">
        <f t="shared" si="93"/>
        <v/>
      </c>
      <c r="AG137" t="str">
        <f t="shared" si="93"/>
        <v/>
      </c>
      <c r="AH137" t="str">
        <f t="shared" si="93"/>
        <v/>
      </c>
      <c r="AI137" t="str">
        <f t="shared" si="93"/>
        <v/>
      </c>
      <c r="AJ137" t="str">
        <f t="shared" si="93"/>
        <v/>
      </c>
      <c r="AK137" t="str">
        <f t="shared" si="93"/>
        <v/>
      </c>
      <c r="AL137" t="str">
        <f t="shared" si="93"/>
        <v/>
      </c>
      <c r="AM137" t="str">
        <f t="shared" si="93"/>
        <v/>
      </c>
      <c r="AN137" t="str">
        <f t="shared" si="93"/>
        <v/>
      </c>
      <c r="AO137" t="str">
        <f t="shared" si="93"/>
        <v/>
      </c>
      <c r="AP137" t="str">
        <f t="shared" si="93"/>
        <v/>
      </c>
      <c r="AQ137" t="str">
        <f t="shared" si="93"/>
        <v/>
      </c>
      <c r="AR137" t="str">
        <f t="shared" si="93"/>
        <v/>
      </c>
      <c r="AS137" t="str">
        <f t="shared" si="93"/>
        <v/>
      </c>
      <c r="AT137" t="str">
        <f t="shared" si="93"/>
        <v/>
      </c>
      <c r="AU137" t="str">
        <f t="shared" si="93"/>
        <v/>
      </c>
    </row>
    <row r="138" spans="5:47" ht="12.75">
      <c r="E138" t="s">
        <v>248</v>
      </c>
      <c r="G138" t="s">
        <v>154</v>
      </c>
      <c r="H138">
        <f>A$36</f>
        <v>2015</v>
      </c>
      <c r="I138" t="str">
        <f t="shared" si="91"/>
        <v>MINGASRSV9</v>
      </c>
      <c r="J138" t="s">
        <v>269</v>
      </c>
      <c r="K138" t="str">
        <f>IF(K$18=0,"",K137*$B$36)</f>
        <v/>
      </c>
      <c r="L138" t="str">
        <f>IF(L$18=0,"",L137*$B$36)</f>
        <v/>
      </c>
      <c r="M138" t="str">
        <f>IF(M$18=0,"",M137*$B$36)</f>
        <v/>
      </c>
      <c r="N138" t="str">
        <f t="shared" si="94" ref="N138:AU138">IF(N$18=0,"",N137*$B$36)</f>
        <v/>
      </c>
      <c r="O138" t="str">
        <f t="shared" si="94"/>
        <v/>
      </c>
      <c r="P138" t="str">
        <f t="shared" si="94"/>
        <v/>
      </c>
      <c r="Q138" t="str">
        <f t="shared" si="94"/>
        <v/>
      </c>
      <c r="R138" t="str">
        <f t="shared" si="94"/>
        <v/>
      </c>
      <c r="S138" t="str">
        <f t="shared" si="94"/>
        <v/>
      </c>
      <c r="T138" t="str">
        <f t="shared" si="94"/>
        <v/>
      </c>
      <c r="U138" t="str">
        <f t="shared" si="94"/>
        <v/>
      </c>
      <c r="V138" t="str">
        <f t="shared" si="94"/>
        <v/>
      </c>
      <c r="W138" t="str">
        <f t="shared" si="94"/>
        <v/>
      </c>
      <c r="X138" t="str">
        <f t="shared" si="94"/>
        <v/>
      </c>
      <c r="Y138" t="str">
        <f t="shared" si="94"/>
        <v/>
      </c>
      <c r="Z138" t="str">
        <f t="shared" si="94"/>
        <v/>
      </c>
      <c r="AA138" t="str">
        <f t="shared" si="94"/>
        <v/>
      </c>
      <c r="AB138" t="str">
        <f t="shared" si="94"/>
        <v/>
      </c>
      <c r="AC138" t="str">
        <f t="shared" si="94"/>
        <v/>
      </c>
      <c r="AD138" t="str">
        <f t="shared" si="94"/>
        <v/>
      </c>
      <c r="AE138" t="str">
        <f t="shared" si="94"/>
        <v/>
      </c>
      <c r="AF138" t="str">
        <f t="shared" si="94"/>
        <v/>
      </c>
      <c r="AG138" t="str">
        <f t="shared" si="94"/>
        <v/>
      </c>
      <c r="AH138" t="str">
        <f t="shared" si="94"/>
        <v/>
      </c>
      <c r="AI138" t="str">
        <f t="shared" si="94"/>
        <v/>
      </c>
      <c r="AJ138" t="str">
        <f t="shared" si="94"/>
        <v/>
      </c>
      <c r="AK138" t="str">
        <f t="shared" si="94"/>
        <v/>
      </c>
      <c r="AL138" t="str">
        <f t="shared" si="94"/>
        <v/>
      </c>
      <c r="AM138" t="str">
        <f t="shared" si="94"/>
        <v/>
      </c>
      <c r="AN138" t="str">
        <f t="shared" si="94"/>
        <v/>
      </c>
      <c r="AO138" t="str">
        <f t="shared" si="94"/>
        <v/>
      </c>
      <c r="AP138" t="str">
        <f t="shared" si="94"/>
        <v/>
      </c>
      <c r="AQ138" t="str">
        <f t="shared" si="94"/>
        <v/>
      </c>
      <c r="AR138" t="str">
        <f t="shared" si="94"/>
        <v/>
      </c>
      <c r="AS138" t="str">
        <f t="shared" si="94"/>
        <v/>
      </c>
      <c r="AT138" t="str">
        <f t="shared" si="94"/>
        <v/>
      </c>
      <c r="AU138" t="str">
        <f t="shared" si="94"/>
        <v/>
      </c>
    </row>
    <row r="139" spans="5:47" ht="12.75">
      <c r="E139" t="s">
        <v>248</v>
      </c>
      <c r="G139" t="s">
        <v>154</v>
      </c>
      <c r="H139">
        <f>A$37</f>
        <v>2020</v>
      </c>
      <c r="I139" t="str">
        <f t="shared" si="91"/>
        <v>MINGASRSV9</v>
      </c>
      <c r="J139" t="s">
        <v>269</v>
      </c>
      <c r="K139" t="str">
        <f>IF(K$18=0,"",K138*$B$37)</f>
        <v/>
      </c>
      <c r="L139" t="str">
        <f>IF(L$18=0,"",L138*$B$37)</f>
        <v/>
      </c>
      <c r="M139" t="str">
        <f>IF(M$18=0,"",M138*$B$37)</f>
        <v/>
      </c>
      <c r="N139" t="str">
        <f t="shared" si="95" ref="N139:AU139">IF(N$18=0,"",N138*$B$37)</f>
        <v/>
      </c>
      <c r="O139" t="str">
        <f t="shared" si="95"/>
        <v/>
      </c>
      <c r="P139" t="str">
        <f t="shared" si="95"/>
        <v/>
      </c>
      <c r="Q139" t="str">
        <f t="shared" si="95"/>
        <v/>
      </c>
      <c r="R139" t="str">
        <f t="shared" si="95"/>
        <v/>
      </c>
      <c r="S139" t="str">
        <f t="shared" si="95"/>
        <v/>
      </c>
      <c r="T139" t="str">
        <f t="shared" si="95"/>
        <v/>
      </c>
      <c r="U139" t="str">
        <f t="shared" si="95"/>
        <v/>
      </c>
      <c r="V139" t="str">
        <f t="shared" si="95"/>
        <v/>
      </c>
      <c r="W139" t="str">
        <f t="shared" si="95"/>
        <v/>
      </c>
      <c r="X139" t="str">
        <f t="shared" si="95"/>
        <v/>
      </c>
      <c r="Y139" t="str">
        <f t="shared" si="95"/>
        <v/>
      </c>
      <c r="Z139" t="str">
        <f t="shared" si="95"/>
        <v/>
      </c>
      <c r="AA139" t="str">
        <f t="shared" si="95"/>
        <v/>
      </c>
      <c r="AB139" t="str">
        <f t="shared" si="95"/>
        <v/>
      </c>
      <c r="AC139" t="str">
        <f t="shared" si="95"/>
        <v/>
      </c>
      <c r="AD139" t="str">
        <f t="shared" si="95"/>
        <v/>
      </c>
      <c r="AE139" t="str">
        <f t="shared" si="95"/>
        <v/>
      </c>
      <c r="AF139" t="str">
        <f t="shared" si="95"/>
        <v/>
      </c>
      <c r="AG139" t="str">
        <f t="shared" si="95"/>
        <v/>
      </c>
      <c r="AH139" t="str">
        <f t="shared" si="95"/>
        <v/>
      </c>
      <c r="AI139" t="str">
        <f t="shared" si="95"/>
        <v/>
      </c>
      <c r="AJ139" t="str">
        <f t="shared" si="95"/>
        <v/>
      </c>
      <c r="AK139" t="str">
        <f t="shared" si="95"/>
        <v/>
      </c>
      <c r="AL139" t="str">
        <f t="shared" si="95"/>
        <v/>
      </c>
      <c r="AM139" t="str">
        <f t="shared" si="95"/>
        <v/>
      </c>
      <c r="AN139" t="str">
        <f t="shared" si="95"/>
        <v/>
      </c>
      <c r="AO139" t="str">
        <f t="shared" si="95"/>
        <v/>
      </c>
      <c r="AP139" t="str">
        <f t="shared" si="95"/>
        <v/>
      </c>
      <c r="AQ139" t="str">
        <f t="shared" si="95"/>
        <v/>
      </c>
      <c r="AR139" t="str">
        <f t="shared" si="95"/>
        <v/>
      </c>
      <c r="AS139" t="str">
        <f t="shared" si="95"/>
        <v/>
      </c>
      <c r="AT139" t="str">
        <f t="shared" si="95"/>
        <v/>
      </c>
      <c r="AU139" t="str">
        <f t="shared" si="95"/>
        <v/>
      </c>
    </row>
    <row r="140" spans="5:47" ht="12.75">
      <c r="E140" t="s">
        <v>248</v>
      </c>
      <c r="G140" t="s">
        <v>154</v>
      </c>
      <c r="H140">
        <f>A$38</f>
        <v>2025</v>
      </c>
      <c r="I140" t="str">
        <f t="shared" si="91"/>
        <v>MINGASRSV9</v>
      </c>
      <c r="J140" t="s">
        <v>269</v>
      </c>
      <c r="K140" t="str">
        <f>IF(K$18=0,"",K139*$B$38)</f>
        <v/>
      </c>
      <c r="L140" t="str">
        <f>IF(L$18=0,"",L139*$B$38)</f>
        <v/>
      </c>
      <c r="M140" t="str">
        <f>IF(M$18=0,"",M139*$B$38)</f>
        <v/>
      </c>
      <c r="N140" t="str">
        <f t="shared" si="96" ref="N140:AU140">IF(N$18=0,"",N139*$B$38)</f>
        <v/>
      </c>
      <c r="O140" t="str">
        <f t="shared" si="96"/>
        <v/>
      </c>
      <c r="P140" t="str">
        <f t="shared" si="96"/>
        <v/>
      </c>
      <c r="Q140" t="str">
        <f t="shared" si="96"/>
        <v/>
      </c>
      <c r="R140" t="str">
        <f t="shared" si="96"/>
        <v/>
      </c>
      <c r="S140" t="str">
        <f t="shared" si="96"/>
        <v/>
      </c>
      <c r="T140" t="str">
        <f t="shared" si="96"/>
        <v/>
      </c>
      <c r="U140" t="str">
        <f t="shared" si="96"/>
        <v/>
      </c>
      <c r="V140" t="str">
        <f t="shared" si="96"/>
        <v/>
      </c>
      <c r="W140" t="str">
        <f t="shared" si="96"/>
        <v/>
      </c>
      <c r="X140" t="str">
        <f t="shared" si="96"/>
        <v/>
      </c>
      <c r="Y140" t="str">
        <f t="shared" si="96"/>
        <v/>
      </c>
      <c r="Z140" t="str">
        <f t="shared" si="96"/>
        <v/>
      </c>
      <c r="AA140" t="str">
        <f t="shared" si="96"/>
        <v/>
      </c>
      <c r="AB140" t="str">
        <f t="shared" si="96"/>
        <v/>
      </c>
      <c r="AC140" t="str">
        <f t="shared" si="96"/>
        <v/>
      </c>
      <c r="AD140" t="str">
        <f t="shared" si="96"/>
        <v/>
      </c>
      <c r="AE140" t="str">
        <f t="shared" si="96"/>
        <v/>
      </c>
      <c r="AF140" t="str">
        <f t="shared" si="96"/>
        <v/>
      </c>
      <c r="AG140" t="str">
        <f t="shared" si="96"/>
        <v/>
      </c>
      <c r="AH140" t="str">
        <f t="shared" si="96"/>
        <v/>
      </c>
      <c r="AI140" t="str">
        <f t="shared" si="96"/>
        <v/>
      </c>
      <c r="AJ140" t="str">
        <f t="shared" si="96"/>
        <v/>
      </c>
      <c r="AK140" t="str">
        <f t="shared" si="96"/>
        <v/>
      </c>
      <c r="AL140" t="str">
        <f t="shared" si="96"/>
        <v/>
      </c>
      <c r="AM140" t="str">
        <f t="shared" si="96"/>
        <v/>
      </c>
      <c r="AN140" t="str">
        <f t="shared" si="96"/>
        <v/>
      </c>
      <c r="AO140" t="str">
        <f t="shared" si="96"/>
        <v/>
      </c>
      <c r="AP140" t="str">
        <f t="shared" si="96"/>
        <v/>
      </c>
      <c r="AQ140" t="str">
        <f t="shared" si="96"/>
        <v/>
      </c>
      <c r="AR140" t="str">
        <f t="shared" si="96"/>
        <v/>
      </c>
      <c r="AS140" t="str">
        <f t="shared" si="96"/>
        <v/>
      </c>
      <c r="AT140" t="str">
        <f t="shared" si="96"/>
        <v/>
      </c>
      <c r="AU140" t="str">
        <f t="shared" si="96"/>
        <v/>
      </c>
    </row>
    <row r="141" spans="5:47" ht="12.75">
      <c r="E141" t="s">
        <v>248</v>
      </c>
      <c r="G141" t="s">
        <v>154</v>
      </c>
      <c r="H141">
        <f>A$39</f>
        <v>2030</v>
      </c>
      <c r="I141" t="str">
        <f t="shared" si="91"/>
        <v>MINGASRSV9</v>
      </c>
      <c r="J141" t="s">
        <v>269</v>
      </c>
      <c r="K141" t="str">
        <f>IF(K$18=0,"",K140*$B$39)</f>
        <v/>
      </c>
      <c r="L141" t="str">
        <f>IF(L$18=0,"",L140*$B$39)</f>
        <v/>
      </c>
      <c r="M141" t="str">
        <f>IF(M$18=0,"",M140*$B$39)</f>
        <v/>
      </c>
      <c r="N141" t="str">
        <f t="shared" si="97" ref="N141:AU141">IF(N$18=0,"",N140*$B$39)</f>
        <v/>
      </c>
      <c r="O141" t="str">
        <f t="shared" si="97"/>
        <v/>
      </c>
      <c r="P141" t="str">
        <f t="shared" si="97"/>
        <v/>
      </c>
      <c r="Q141" t="str">
        <f t="shared" si="97"/>
        <v/>
      </c>
      <c r="R141" t="str">
        <f t="shared" si="97"/>
        <v/>
      </c>
      <c r="S141" t="str">
        <f t="shared" si="97"/>
        <v/>
      </c>
      <c r="T141" t="str">
        <f t="shared" si="97"/>
        <v/>
      </c>
      <c r="U141" t="str">
        <f t="shared" si="97"/>
        <v/>
      </c>
      <c r="V141" t="str">
        <f t="shared" si="97"/>
        <v/>
      </c>
      <c r="W141" t="str">
        <f t="shared" si="97"/>
        <v/>
      </c>
      <c r="X141" t="str">
        <f t="shared" si="97"/>
        <v/>
      </c>
      <c r="Y141" t="str">
        <f t="shared" si="97"/>
        <v/>
      </c>
      <c r="Z141" t="str">
        <f t="shared" si="97"/>
        <v/>
      </c>
      <c r="AA141" t="str">
        <f t="shared" si="97"/>
        <v/>
      </c>
      <c r="AB141" t="str">
        <f t="shared" si="97"/>
        <v/>
      </c>
      <c r="AC141" t="str">
        <f t="shared" si="97"/>
        <v/>
      </c>
      <c r="AD141" t="str">
        <f t="shared" si="97"/>
        <v/>
      </c>
      <c r="AE141" t="str">
        <f t="shared" si="97"/>
        <v/>
      </c>
      <c r="AF141" t="str">
        <f t="shared" si="97"/>
        <v/>
      </c>
      <c r="AG141" t="str">
        <f t="shared" si="97"/>
        <v/>
      </c>
      <c r="AH141" t="str">
        <f t="shared" si="97"/>
        <v/>
      </c>
      <c r="AI141" t="str">
        <f t="shared" si="97"/>
        <v/>
      </c>
      <c r="AJ141" t="str">
        <f t="shared" si="97"/>
        <v/>
      </c>
      <c r="AK141" t="str">
        <f t="shared" si="97"/>
        <v/>
      </c>
      <c r="AL141" t="str">
        <f t="shared" si="97"/>
        <v/>
      </c>
      <c r="AM141" t="str">
        <f t="shared" si="97"/>
        <v/>
      </c>
      <c r="AN141" t="str">
        <f t="shared" si="97"/>
        <v/>
      </c>
      <c r="AO141" t="str">
        <f t="shared" si="97"/>
        <v/>
      </c>
      <c r="AP141" t="str">
        <f t="shared" si="97"/>
        <v/>
      </c>
      <c r="AQ141" t="str">
        <f t="shared" si="97"/>
        <v/>
      </c>
      <c r="AR141" t="str">
        <f t="shared" si="97"/>
        <v/>
      </c>
      <c r="AS141" t="str">
        <f t="shared" si="97"/>
        <v/>
      </c>
      <c r="AT141" t="str">
        <f t="shared" si="97"/>
        <v/>
      </c>
      <c r="AU141" t="str">
        <f t="shared" si="97"/>
        <v/>
      </c>
    </row>
    <row r="142" spans="5:47" ht="12.75">
      <c r="E142" t="s">
        <v>248</v>
      </c>
      <c r="G142" t="s">
        <v>154</v>
      </c>
      <c r="H142">
        <f>A$40</f>
        <v>2035</v>
      </c>
      <c r="I142" t="str">
        <f t="shared" si="91"/>
        <v>MINGASRSV9</v>
      </c>
      <c r="J142" t="s">
        <v>269</v>
      </c>
      <c r="K142" t="str">
        <f>IF(K$18=0,"",K141*$B$40)</f>
        <v/>
      </c>
      <c r="L142" t="str">
        <f>IF(L$18=0,"",L141*$B$40)</f>
        <v/>
      </c>
      <c r="M142" t="str">
        <f>IF(M$18=0,"",M141*$B$40)</f>
        <v/>
      </c>
      <c r="N142" t="str">
        <f t="shared" si="98" ref="N142:AU142">IF(N$18=0,"",N141*$B$40)</f>
        <v/>
      </c>
      <c r="O142" t="str">
        <f t="shared" si="98"/>
        <v/>
      </c>
      <c r="P142" t="str">
        <f t="shared" si="98"/>
        <v/>
      </c>
      <c r="Q142" t="str">
        <f t="shared" si="98"/>
        <v/>
      </c>
      <c r="R142" t="str">
        <f t="shared" si="98"/>
        <v/>
      </c>
      <c r="S142" t="str">
        <f t="shared" si="98"/>
        <v/>
      </c>
      <c r="T142" t="str">
        <f t="shared" si="98"/>
        <v/>
      </c>
      <c r="U142" t="str">
        <f t="shared" si="98"/>
        <v/>
      </c>
      <c r="V142" t="str">
        <f t="shared" si="98"/>
        <v/>
      </c>
      <c r="W142" t="str">
        <f t="shared" si="98"/>
        <v/>
      </c>
      <c r="X142" t="str">
        <f t="shared" si="98"/>
        <v/>
      </c>
      <c r="Y142" t="str">
        <f t="shared" si="98"/>
        <v/>
      </c>
      <c r="Z142" t="str">
        <f t="shared" si="98"/>
        <v/>
      </c>
      <c r="AA142" t="str">
        <f t="shared" si="98"/>
        <v/>
      </c>
      <c r="AB142" t="str">
        <f t="shared" si="98"/>
        <v/>
      </c>
      <c r="AC142" t="str">
        <f t="shared" si="98"/>
        <v/>
      </c>
      <c r="AD142" t="str">
        <f t="shared" si="98"/>
        <v/>
      </c>
      <c r="AE142" t="str">
        <f t="shared" si="98"/>
        <v/>
      </c>
      <c r="AF142" t="str">
        <f t="shared" si="98"/>
        <v/>
      </c>
      <c r="AG142" t="str">
        <f t="shared" si="98"/>
        <v/>
      </c>
      <c r="AH142" t="str">
        <f t="shared" si="98"/>
        <v/>
      </c>
      <c r="AI142" t="str">
        <f t="shared" si="98"/>
        <v/>
      </c>
      <c r="AJ142" t="str">
        <f t="shared" si="98"/>
        <v/>
      </c>
      <c r="AK142" t="str">
        <f t="shared" si="98"/>
        <v/>
      </c>
      <c r="AL142" t="str">
        <f t="shared" si="98"/>
        <v/>
      </c>
      <c r="AM142" t="str">
        <f t="shared" si="98"/>
        <v/>
      </c>
      <c r="AN142" t="str">
        <f t="shared" si="98"/>
        <v/>
      </c>
      <c r="AO142" t="str">
        <f t="shared" si="98"/>
        <v/>
      </c>
      <c r="AP142" t="str">
        <f t="shared" si="98"/>
        <v/>
      </c>
      <c r="AQ142" t="str">
        <f t="shared" si="98"/>
        <v/>
      </c>
      <c r="AR142" t="str">
        <f t="shared" si="98"/>
        <v/>
      </c>
      <c r="AS142" t="str">
        <f t="shared" si="98"/>
        <v/>
      </c>
      <c r="AT142" t="str">
        <f t="shared" si="98"/>
        <v/>
      </c>
      <c r="AU142" t="str">
        <f t="shared" si="98"/>
        <v/>
      </c>
    </row>
    <row r="143" spans="5:47" ht="12.75">
      <c r="E143" t="s">
        <v>248</v>
      </c>
      <c r="G143" t="s">
        <v>154</v>
      </c>
      <c r="H143">
        <f>A$41</f>
        <v>2040</v>
      </c>
      <c r="I143" t="str">
        <f t="shared" si="91"/>
        <v>MINGASRSV9</v>
      </c>
      <c r="J143" t="s">
        <v>269</v>
      </c>
      <c r="K143" t="str">
        <f>IF(K$18=0,"",K142*$B$41)</f>
        <v/>
      </c>
      <c r="L143" t="str">
        <f>IF(L$18=0,"",L142*$B$41)</f>
        <v/>
      </c>
      <c r="M143" t="str">
        <f>IF(M$18=0,"",M142*$B$41)</f>
        <v/>
      </c>
      <c r="N143" t="str">
        <f t="shared" si="99" ref="N143:AU143">IF(N$18=0,"",N142*$B$41)</f>
        <v/>
      </c>
      <c r="O143" t="str">
        <f t="shared" si="99"/>
        <v/>
      </c>
      <c r="P143" t="str">
        <f t="shared" si="99"/>
        <v/>
      </c>
      <c r="Q143" t="str">
        <f t="shared" si="99"/>
        <v/>
      </c>
      <c r="R143" t="str">
        <f t="shared" si="99"/>
        <v/>
      </c>
      <c r="S143" t="str">
        <f t="shared" si="99"/>
        <v/>
      </c>
      <c r="T143" t="str">
        <f t="shared" si="99"/>
        <v/>
      </c>
      <c r="U143" t="str">
        <f t="shared" si="99"/>
        <v/>
      </c>
      <c r="V143" t="str">
        <f t="shared" si="99"/>
        <v/>
      </c>
      <c r="W143" t="str">
        <f t="shared" si="99"/>
        <v/>
      </c>
      <c r="X143" t="str">
        <f t="shared" si="99"/>
        <v/>
      </c>
      <c r="Y143" t="str">
        <f t="shared" si="99"/>
        <v/>
      </c>
      <c r="Z143" t="str">
        <f t="shared" si="99"/>
        <v/>
      </c>
      <c r="AA143" t="str">
        <f t="shared" si="99"/>
        <v/>
      </c>
      <c r="AB143" t="str">
        <f t="shared" si="99"/>
        <v/>
      </c>
      <c r="AC143" t="str">
        <f t="shared" si="99"/>
        <v/>
      </c>
      <c r="AD143" t="str">
        <f t="shared" si="99"/>
        <v/>
      </c>
      <c r="AE143" t="str">
        <f t="shared" si="99"/>
        <v/>
      </c>
      <c r="AF143" t="str">
        <f t="shared" si="99"/>
        <v/>
      </c>
      <c r="AG143" t="str">
        <f t="shared" si="99"/>
        <v/>
      </c>
      <c r="AH143" t="str">
        <f t="shared" si="99"/>
        <v/>
      </c>
      <c r="AI143" t="str">
        <f t="shared" si="99"/>
        <v/>
      </c>
      <c r="AJ143" t="str">
        <f t="shared" si="99"/>
        <v/>
      </c>
      <c r="AK143" t="str">
        <f t="shared" si="99"/>
        <v/>
      </c>
      <c r="AL143" t="str">
        <f t="shared" si="99"/>
        <v/>
      </c>
      <c r="AM143" t="str">
        <f t="shared" si="99"/>
        <v/>
      </c>
      <c r="AN143" t="str">
        <f t="shared" si="99"/>
        <v/>
      </c>
      <c r="AO143" t="str">
        <f t="shared" si="99"/>
        <v/>
      </c>
      <c r="AP143" t="str">
        <f t="shared" si="99"/>
        <v/>
      </c>
      <c r="AQ143" t="str">
        <f t="shared" si="99"/>
        <v/>
      </c>
      <c r="AR143" t="str">
        <f t="shared" si="99"/>
        <v/>
      </c>
      <c r="AS143" t="str">
        <f t="shared" si="99"/>
        <v/>
      </c>
      <c r="AT143" t="str">
        <f t="shared" si="99"/>
        <v/>
      </c>
      <c r="AU143" t="str">
        <f t="shared" si="99"/>
        <v/>
      </c>
    </row>
    <row r="144" spans="5:47" ht="12.75">
      <c r="E144" t="s">
        <v>248</v>
      </c>
      <c r="G144" t="s">
        <v>154</v>
      </c>
      <c r="H144">
        <f>A$42</f>
        <v>2045</v>
      </c>
      <c r="I144" t="str">
        <f t="shared" si="91"/>
        <v>MINGASRSV9</v>
      </c>
      <c r="J144" t="s">
        <v>269</v>
      </c>
      <c r="K144" t="str">
        <f>IF(K$18=0,"",K143*$B$42)</f>
        <v/>
      </c>
      <c r="L144" t="str">
        <f>IF(L$18=0,"",L143*$B$42)</f>
        <v/>
      </c>
      <c r="M144" t="str">
        <f>IF(M$18=0,"",M143*$B$42)</f>
        <v/>
      </c>
      <c r="N144" t="str">
        <f t="shared" si="100" ref="N144:AU144">IF(N$18=0,"",N143*$B$42)</f>
        <v/>
      </c>
      <c r="O144" t="str">
        <f t="shared" si="100"/>
        <v/>
      </c>
      <c r="P144" t="str">
        <f t="shared" si="100"/>
        <v/>
      </c>
      <c r="Q144" t="str">
        <f t="shared" si="100"/>
        <v/>
      </c>
      <c r="R144" t="str">
        <f t="shared" si="100"/>
        <v/>
      </c>
      <c r="S144" t="str">
        <f t="shared" si="100"/>
        <v/>
      </c>
      <c r="T144" t="str">
        <f t="shared" si="100"/>
        <v/>
      </c>
      <c r="U144" t="str">
        <f t="shared" si="100"/>
        <v/>
      </c>
      <c r="V144" t="str">
        <f t="shared" si="100"/>
        <v/>
      </c>
      <c r="W144" t="str">
        <f t="shared" si="100"/>
        <v/>
      </c>
      <c r="X144" t="str">
        <f t="shared" si="100"/>
        <v/>
      </c>
      <c r="Y144" t="str">
        <f t="shared" si="100"/>
        <v/>
      </c>
      <c r="Z144" t="str">
        <f t="shared" si="100"/>
        <v/>
      </c>
      <c r="AA144" t="str">
        <f t="shared" si="100"/>
        <v/>
      </c>
      <c r="AB144" t="str">
        <f t="shared" si="100"/>
        <v/>
      </c>
      <c r="AC144" t="str">
        <f t="shared" si="100"/>
        <v/>
      </c>
      <c r="AD144" t="str">
        <f t="shared" si="100"/>
        <v/>
      </c>
      <c r="AE144" t="str">
        <f t="shared" si="100"/>
        <v/>
      </c>
      <c r="AF144" t="str">
        <f t="shared" si="100"/>
        <v/>
      </c>
      <c r="AG144" t="str">
        <f t="shared" si="100"/>
        <v/>
      </c>
      <c r="AH144" t="str">
        <f t="shared" si="100"/>
        <v/>
      </c>
      <c r="AI144" t="str">
        <f t="shared" si="100"/>
        <v/>
      </c>
      <c r="AJ144" t="str">
        <f t="shared" si="100"/>
        <v/>
      </c>
      <c r="AK144" t="str">
        <f t="shared" si="100"/>
        <v/>
      </c>
      <c r="AL144" t="str">
        <f t="shared" si="100"/>
        <v/>
      </c>
      <c r="AM144" t="str">
        <f t="shared" si="100"/>
        <v/>
      </c>
      <c r="AN144" t="str">
        <f t="shared" si="100"/>
        <v/>
      </c>
      <c r="AO144" t="str">
        <f t="shared" si="100"/>
        <v/>
      </c>
      <c r="AP144" t="str">
        <f t="shared" si="100"/>
        <v/>
      </c>
      <c r="AQ144" t="str">
        <f t="shared" si="100"/>
        <v/>
      </c>
      <c r="AR144" t="str">
        <f t="shared" si="100"/>
        <v/>
      </c>
      <c r="AS144" t="str">
        <f t="shared" si="100"/>
        <v/>
      </c>
      <c r="AT144" t="str">
        <f t="shared" si="100"/>
        <v/>
      </c>
      <c r="AU144" t="str">
        <f t="shared" si="100"/>
        <v/>
      </c>
    </row>
    <row r="145" spans="5:47" ht="12.75">
      <c r="E145" t="s">
        <v>248</v>
      </c>
      <c r="G145" t="s">
        <v>154</v>
      </c>
      <c r="H145">
        <f>A$43</f>
        <v>2050</v>
      </c>
      <c r="I145" t="str">
        <f t="shared" si="91"/>
        <v>MINGASRSV9</v>
      </c>
      <c r="J145" t="s">
        <v>269</v>
      </c>
      <c r="K145" t="str">
        <f>IF(K$18=0,"",K144*$B$43)</f>
        <v/>
      </c>
      <c r="L145" t="str">
        <f>IF(L$18=0,"",L144*$B$43)</f>
        <v/>
      </c>
      <c r="M145" t="str">
        <f>IF(M$18=0,"",M144*$B$43)</f>
        <v/>
      </c>
      <c r="N145" t="str">
        <f t="shared" si="101" ref="N145:AU145">IF(N$18=0,"",N144*$B$43)</f>
        <v/>
      </c>
      <c r="O145" t="str">
        <f t="shared" si="101"/>
        <v/>
      </c>
      <c r="P145" t="str">
        <f t="shared" si="101"/>
        <v/>
      </c>
      <c r="Q145" t="str">
        <f t="shared" si="101"/>
        <v/>
      </c>
      <c r="R145" t="str">
        <f t="shared" si="101"/>
        <v/>
      </c>
      <c r="S145" t="str">
        <f t="shared" si="101"/>
        <v/>
      </c>
      <c r="T145" t="str">
        <f t="shared" si="101"/>
        <v/>
      </c>
      <c r="U145" t="str">
        <f t="shared" si="101"/>
        <v/>
      </c>
      <c r="V145" t="str">
        <f t="shared" si="101"/>
        <v/>
      </c>
      <c r="W145" t="str">
        <f t="shared" si="101"/>
        <v/>
      </c>
      <c r="X145" t="str">
        <f t="shared" si="101"/>
        <v/>
      </c>
      <c r="Y145" t="str">
        <f t="shared" si="101"/>
        <v/>
      </c>
      <c r="Z145" t="str">
        <f t="shared" si="101"/>
        <v/>
      </c>
      <c r="AA145" t="str">
        <f t="shared" si="101"/>
        <v/>
      </c>
      <c r="AB145" t="str">
        <f t="shared" si="101"/>
        <v/>
      </c>
      <c r="AC145" t="str">
        <f t="shared" si="101"/>
        <v/>
      </c>
      <c r="AD145" t="str">
        <f t="shared" si="101"/>
        <v/>
      </c>
      <c r="AE145" t="str">
        <f t="shared" si="101"/>
        <v/>
      </c>
      <c r="AF145" t="str">
        <f t="shared" si="101"/>
        <v/>
      </c>
      <c r="AG145" t="str">
        <f t="shared" si="101"/>
        <v/>
      </c>
      <c r="AH145" t="str">
        <f t="shared" si="101"/>
        <v/>
      </c>
      <c r="AI145" t="str">
        <f t="shared" si="101"/>
        <v/>
      </c>
      <c r="AJ145" t="str">
        <f t="shared" si="101"/>
        <v/>
      </c>
      <c r="AK145" t="str">
        <f t="shared" si="101"/>
        <v/>
      </c>
      <c r="AL145" t="str">
        <f t="shared" si="101"/>
        <v/>
      </c>
      <c r="AM145" t="str">
        <f t="shared" si="101"/>
        <v/>
      </c>
      <c r="AN145" t="str">
        <f t="shared" si="101"/>
        <v/>
      </c>
      <c r="AO145" t="str">
        <f t="shared" si="101"/>
        <v/>
      </c>
      <c r="AP145" t="str">
        <f t="shared" si="101"/>
        <v/>
      </c>
      <c r="AQ145" t="str">
        <f t="shared" si="101"/>
        <v/>
      </c>
      <c r="AR145" t="str">
        <f t="shared" si="101"/>
        <v/>
      </c>
      <c r="AS145" t="str">
        <f t="shared" si="101"/>
        <v/>
      </c>
      <c r="AT145" t="str">
        <f t="shared" si="101"/>
        <v/>
      </c>
      <c r="AU145" t="str">
        <f t="shared" si="101"/>
        <v/>
      </c>
    </row>
    <row r="146" spans="5:47" ht="12.75">
      <c r="E146" t="s">
        <v>248</v>
      </c>
      <c r="G146" t="s">
        <v>154</v>
      </c>
      <c r="H146">
        <f>A$33</f>
        <v>2001</v>
      </c>
      <c r="I146" t="str">
        <f>I$19</f>
        <v>MINOILRSV1</v>
      </c>
      <c r="J146" t="s">
        <v>270</v>
      </c>
      <c r="K146">
        <f>IF(K$19=0,"",K$19*$C$33)</f>
        <v>2.5129714813701369</v>
      </c>
      <c r="L146" t="str">
        <f t="shared" si="102" ref="L146:AU146">IF(L$19=0,"",L$19*$C$33)</f>
        <v/>
      </c>
      <c r="M146">
        <f t="shared" si="102"/>
        <v>1.5117013412904423</v>
      </c>
      <c r="N146" t="str">
        <f t="shared" si="102"/>
        <v/>
      </c>
      <c r="O146" t="str">
        <f t="shared" si="102"/>
        <v/>
      </c>
      <c r="P146">
        <f t="shared" si="102"/>
        <v>2.5129714813701369</v>
      </c>
      <c r="Q146">
        <f t="shared" si="102"/>
        <v>2.5129714813701369</v>
      </c>
      <c r="R146">
        <f t="shared" si="102"/>
        <v>1.5117013412904423</v>
      </c>
      <c r="S146" t="str">
        <f t="shared" si="102"/>
        <v/>
      </c>
      <c r="T146">
        <f t="shared" si="102"/>
        <v>2.5129714813701369</v>
      </c>
      <c r="U146" t="str">
        <f t="shared" si="102"/>
        <v/>
      </c>
      <c r="V146">
        <f t="shared" si="102"/>
        <v>2.5129714813701369</v>
      </c>
      <c r="W146">
        <f t="shared" si="102"/>
        <v>2.5129714813701369</v>
      </c>
      <c r="X146">
        <f t="shared" si="102"/>
        <v>2.5129714813701369</v>
      </c>
      <c r="Y146" t="str">
        <f t="shared" si="102"/>
        <v/>
      </c>
      <c r="Z146" t="str">
        <f t="shared" si="102"/>
        <v/>
      </c>
      <c r="AA146" t="str">
        <f t="shared" si="102"/>
        <v/>
      </c>
      <c r="AB146">
        <f t="shared" si="102"/>
        <v>2.5129714813701369</v>
      </c>
      <c r="AC146" t="str">
        <f t="shared" si="102"/>
        <v/>
      </c>
      <c r="AD146" t="str">
        <f t="shared" si="102"/>
        <v/>
      </c>
      <c r="AE146" t="str">
        <f t="shared" si="102"/>
        <v/>
      </c>
      <c r="AF146">
        <f t="shared" si="102"/>
        <v>1.5117013412904423</v>
      </c>
      <c r="AG146">
        <f t="shared" si="102"/>
        <v>1.5117013412904423</v>
      </c>
      <c r="AH146">
        <f t="shared" si="102"/>
        <v>2.5129714813701369</v>
      </c>
      <c r="AI146" t="str">
        <f t="shared" si="102"/>
        <v/>
      </c>
      <c r="AJ146">
        <f t="shared" si="102"/>
        <v>2.5129714813701369</v>
      </c>
      <c r="AK146" t="str">
        <f t="shared" si="102"/>
        <v/>
      </c>
      <c r="AL146" t="str">
        <f t="shared" si="102"/>
        <v/>
      </c>
      <c r="AM146">
        <f t="shared" si="102"/>
        <v>2.5129714813701369</v>
      </c>
      <c r="AN146">
        <f t="shared" si="102"/>
        <v>1.5117013412904423</v>
      </c>
      <c r="AO146">
        <f t="shared" si="102"/>
        <v>2.5129714813701369</v>
      </c>
      <c r="AP146" t="str">
        <f t="shared" si="102"/>
        <v/>
      </c>
      <c r="AQ146">
        <f t="shared" si="102"/>
        <v>2.5129714813701369</v>
      </c>
      <c r="AR146" t="str">
        <f t="shared" si="102"/>
        <v/>
      </c>
      <c r="AS146" t="str">
        <f t="shared" si="102"/>
        <v/>
      </c>
      <c r="AT146" t="str">
        <f t="shared" si="102"/>
        <v/>
      </c>
      <c r="AU146">
        <f t="shared" si="102"/>
        <v>2.5129714813701369</v>
      </c>
    </row>
    <row r="147" spans="5:47" ht="12.75">
      <c r="E147" t="s">
        <v>248</v>
      </c>
      <c r="G147" t="s">
        <v>154</v>
      </c>
      <c r="H147">
        <f>A$34</f>
        <v>2005</v>
      </c>
      <c r="I147" t="str">
        <f t="shared" si="103" ref="I147:I156">I$19</f>
        <v>MINOILRSV1</v>
      </c>
      <c r="J147" t="s">
        <v>270</v>
      </c>
      <c r="K147">
        <f>IF(K$19=0,"",K146*$C$34)</f>
        <v>5.0909063384706572</v>
      </c>
      <c r="L147" t="str">
        <f t="shared" si="104" ref="L147:AU147">IF(L$19=0,"",L146*$C$34)</f>
        <v/>
      </c>
      <c r="M147">
        <f t="shared" si="104"/>
        <v>3.0624820047914305</v>
      </c>
      <c r="N147" t="str">
        <f t="shared" si="104"/>
        <v/>
      </c>
      <c r="O147" t="str">
        <f t="shared" si="104"/>
        <v/>
      </c>
      <c r="P147">
        <f t="shared" si="104"/>
        <v>5.0909063384706572</v>
      </c>
      <c r="Q147">
        <f t="shared" si="104"/>
        <v>5.0909063384706572</v>
      </c>
      <c r="R147">
        <f t="shared" si="104"/>
        <v>3.0624820047914305</v>
      </c>
      <c r="S147" t="str">
        <f t="shared" si="104"/>
        <v/>
      </c>
      <c r="T147">
        <f t="shared" si="104"/>
        <v>5.0909063384706572</v>
      </c>
      <c r="U147" t="str">
        <f t="shared" si="104"/>
        <v/>
      </c>
      <c r="V147">
        <f t="shared" si="104"/>
        <v>5.0909063384706572</v>
      </c>
      <c r="W147">
        <f t="shared" si="104"/>
        <v>5.0909063384706572</v>
      </c>
      <c r="X147">
        <f t="shared" si="104"/>
        <v>5.0909063384706572</v>
      </c>
      <c r="Y147" t="str">
        <f t="shared" si="104"/>
        <v/>
      </c>
      <c r="Z147" t="str">
        <f t="shared" si="104"/>
        <v/>
      </c>
      <c r="AA147" t="str">
        <f t="shared" si="104"/>
        <v/>
      </c>
      <c r="AB147">
        <f t="shared" si="104"/>
        <v>5.0909063384706572</v>
      </c>
      <c r="AC147" t="str">
        <f t="shared" si="104"/>
        <v/>
      </c>
      <c r="AD147" t="str">
        <f t="shared" si="104"/>
        <v/>
      </c>
      <c r="AE147" t="str">
        <f t="shared" si="104"/>
        <v/>
      </c>
      <c r="AF147">
        <f t="shared" si="104"/>
        <v>3.0624820047914305</v>
      </c>
      <c r="AG147">
        <f t="shared" si="104"/>
        <v>3.0624820047914305</v>
      </c>
      <c r="AH147">
        <f t="shared" si="104"/>
        <v>5.0909063384706572</v>
      </c>
      <c r="AI147" t="str">
        <f t="shared" si="104"/>
        <v/>
      </c>
      <c r="AJ147">
        <f t="shared" si="104"/>
        <v>5.0909063384706572</v>
      </c>
      <c r="AK147" t="str">
        <f t="shared" si="104"/>
        <v/>
      </c>
      <c r="AL147" t="str">
        <f t="shared" si="104"/>
        <v/>
      </c>
      <c r="AM147">
        <f t="shared" si="104"/>
        <v>5.0909063384706572</v>
      </c>
      <c r="AN147">
        <f t="shared" si="104"/>
        <v>3.0624820047914305</v>
      </c>
      <c r="AO147">
        <f t="shared" si="104"/>
        <v>5.0909063384706572</v>
      </c>
      <c r="AP147" t="str">
        <f t="shared" si="104"/>
        <v/>
      </c>
      <c r="AQ147">
        <f t="shared" si="104"/>
        <v>5.0909063384706572</v>
      </c>
      <c r="AR147" t="str">
        <f t="shared" si="104"/>
        <v/>
      </c>
      <c r="AS147" t="str">
        <f t="shared" si="104"/>
        <v/>
      </c>
      <c r="AT147" t="str">
        <f t="shared" si="104"/>
        <v/>
      </c>
      <c r="AU147">
        <f t="shared" si="104"/>
        <v>5.0909063384706572</v>
      </c>
    </row>
    <row r="148" spans="5:47" ht="12.75">
      <c r="E148" t="s">
        <v>248</v>
      </c>
      <c r="G148" t="s">
        <v>154</v>
      </c>
      <c r="H148">
        <f>A$35</f>
        <v>2010</v>
      </c>
      <c r="I148" t="str">
        <f t="shared" si="103"/>
        <v>MINOILRSV1</v>
      </c>
      <c r="J148" t="s">
        <v>270</v>
      </c>
      <c r="K148">
        <f>IF(K$19=0,"",K147*$C$35)</f>
        <v>5.9509114377913237</v>
      </c>
      <c r="L148" t="str">
        <f t="shared" si="105" ref="L148:AU148">IF(L$19=0,"",L147*$C$35)</f>
        <v/>
      </c>
      <c r="M148">
        <f t="shared" si="105"/>
        <v>3.5798260621345879</v>
      </c>
      <c r="N148" t="str">
        <f t="shared" si="105"/>
        <v/>
      </c>
      <c r="O148" t="str">
        <f t="shared" si="105"/>
        <v/>
      </c>
      <c r="P148">
        <f t="shared" si="105"/>
        <v>5.9509114377913237</v>
      </c>
      <c r="Q148">
        <f t="shared" si="105"/>
        <v>5.9509114377913237</v>
      </c>
      <c r="R148">
        <f t="shared" si="105"/>
        <v>3.5798260621345879</v>
      </c>
      <c r="S148" t="str">
        <f t="shared" si="105"/>
        <v/>
      </c>
      <c r="T148">
        <f t="shared" si="105"/>
        <v>5.9509114377913237</v>
      </c>
      <c r="U148" t="str">
        <f t="shared" si="105"/>
        <v/>
      </c>
      <c r="V148">
        <f t="shared" si="105"/>
        <v>5.9509114377913237</v>
      </c>
      <c r="W148">
        <f t="shared" si="105"/>
        <v>5.9509114377913237</v>
      </c>
      <c r="X148">
        <f t="shared" si="105"/>
        <v>5.9509114377913237</v>
      </c>
      <c r="Y148" t="str">
        <f t="shared" si="105"/>
        <v/>
      </c>
      <c r="Z148" t="str">
        <f t="shared" si="105"/>
        <v/>
      </c>
      <c r="AA148" t="str">
        <f t="shared" si="105"/>
        <v/>
      </c>
      <c r="AB148">
        <f t="shared" si="105"/>
        <v>5.9509114377913237</v>
      </c>
      <c r="AC148" t="str">
        <f t="shared" si="105"/>
        <v/>
      </c>
      <c r="AD148" t="str">
        <f t="shared" si="105"/>
        <v/>
      </c>
      <c r="AE148" t="str">
        <f t="shared" si="105"/>
        <v/>
      </c>
      <c r="AF148">
        <f t="shared" si="105"/>
        <v>3.5798260621345879</v>
      </c>
      <c r="AG148">
        <f t="shared" si="105"/>
        <v>3.5798260621345879</v>
      </c>
      <c r="AH148">
        <f t="shared" si="105"/>
        <v>5.9509114377913237</v>
      </c>
      <c r="AI148" t="str">
        <f t="shared" si="105"/>
        <v/>
      </c>
      <c r="AJ148">
        <f t="shared" si="105"/>
        <v>5.9509114377913237</v>
      </c>
      <c r="AK148" t="str">
        <f t="shared" si="105"/>
        <v/>
      </c>
      <c r="AL148" t="str">
        <f t="shared" si="105"/>
        <v/>
      </c>
      <c r="AM148">
        <f t="shared" si="105"/>
        <v>5.9509114377913237</v>
      </c>
      <c r="AN148">
        <f t="shared" si="105"/>
        <v>3.5798260621345879</v>
      </c>
      <c r="AO148">
        <f t="shared" si="105"/>
        <v>5.9509114377913237</v>
      </c>
      <c r="AP148" t="str">
        <f t="shared" si="105"/>
        <v/>
      </c>
      <c r="AQ148">
        <f t="shared" si="105"/>
        <v>5.9509114377913237</v>
      </c>
      <c r="AR148" t="str">
        <f t="shared" si="105"/>
        <v/>
      </c>
      <c r="AS148" t="str">
        <f t="shared" si="105"/>
        <v/>
      </c>
      <c r="AT148" t="str">
        <f t="shared" si="105"/>
        <v/>
      </c>
      <c r="AU148">
        <f t="shared" si="105"/>
        <v>5.9509114377913237</v>
      </c>
    </row>
    <row r="149" spans="5:47" ht="12.75">
      <c r="E149" t="s">
        <v>248</v>
      </c>
      <c r="G149" t="s">
        <v>154</v>
      </c>
      <c r="H149">
        <f>A$36</f>
        <v>2015</v>
      </c>
      <c r="I149" t="str">
        <f t="shared" si="103"/>
        <v>MINOILRSV1</v>
      </c>
      <c r="J149" t="s">
        <v>270</v>
      </c>
      <c r="K149">
        <f>IF(K$19=0,"",K148*$C$36)</f>
        <v>5.7964758479741851</v>
      </c>
      <c r="L149" t="str">
        <f t="shared" si="106" ref="L149:AU149">IF(L$19=0,"",L148*$C$36)</f>
        <v/>
      </c>
      <c r="M149">
        <f t="shared" si="106"/>
        <v>3.4869238983017299</v>
      </c>
      <c r="N149" t="str">
        <f t="shared" si="106"/>
        <v/>
      </c>
      <c r="O149" t="str">
        <f t="shared" si="106"/>
        <v/>
      </c>
      <c r="P149">
        <f t="shared" si="106"/>
        <v>5.7964758479741851</v>
      </c>
      <c r="Q149">
        <f t="shared" si="106"/>
        <v>5.7964758479741851</v>
      </c>
      <c r="R149">
        <f t="shared" si="106"/>
        <v>3.4869238983017299</v>
      </c>
      <c r="S149" t="str">
        <f t="shared" si="106"/>
        <v/>
      </c>
      <c r="T149">
        <f t="shared" si="106"/>
        <v>5.7964758479741851</v>
      </c>
      <c r="U149" t="str">
        <f t="shared" si="106"/>
        <v/>
      </c>
      <c r="V149">
        <f t="shared" si="106"/>
        <v>5.7964758479741851</v>
      </c>
      <c r="W149">
        <f t="shared" si="106"/>
        <v>5.7964758479741851</v>
      </c>
      <c r="X149">
        <f t="shared" si="106"/>
        <v>5.7964758479741851</v>
      </c>
      <c r="Y149" t="str">
        <f t="shared" si="106"/>
        <v/>
      </c>
      <c r="Z149" t="str">
        <f t="shared" si="106"/>
        <v/>
      </c>
      <c r="AA149" t="str">
        <f t="shared" si="106"/>
        <v/>
      </c>
      <c r="AB149">
        <f t="shared" si="106"/>
        <v>5.7964758479741851</v>
      </c>
      <c r="AC149" t="str">
        <f t="shared" si="106"/>
        <v/>
      </c>
      <c r="AD149" t="str">
        <f t="shared" si="106"/>
        <v/>
      </c>
      <c r="AE149" t="str">
        <f t="shared" si="106"/>
        <v/>
      </c>
      <c r="AF149">
        <f t="shared" si="106"/>
        <v>3.4869238983017299</v>
      </c>
      <c r="AG149">
        <f t="shared" si="106"/>
        <v>3.4869238983017299</v>
      </c>
      <c r="AH149">
        <f t="shared" si="106"/>
        <v>5.7964758479741851</v>
      </c>
      <c r="AI149" t="str">
        <f t="shared" si="106"/>
        <v/>
      </c>
      <c r="AJ149">
        <f t="shared" si="106"/>
        <v>5.7964758479741851</v>
      </c>
      <c r="AK149" t="str">
        <f t="shared" si="106"/>
        <v/>
      </c>
      <c r="AL149" t="str">
        <f t="shared" si="106"/>
        <v/>
      </c>
      <c r="AM149">
        <f t="shared" si="106"/>
        <v>5.7964758479741851</v>
      </c>
      <c r="AN149">
        <f t="shared" si="106"/>
        <v>3.4869238983017299</v>
      </c>
      <c r="AO149">
        <f t="shared" si="106"/>
        <v>5.7964758479741851</v>
      </c>
      <c r="AP149" t="str">
        <f t="shared" si="106"/>
        <v/>
      </c>
      <c r="AQ149">
        <f t="shared" si="106"/>
        <v>5.7964758479741851</v>
      </c>
      <c r="AR149" t="str">
        <f t="shared" si="106"/>
        <v/>
      </c>
      <c r="AS149" t="str">
        <f t="shared" si="106"/>
        <v/>
      </c>
      <c r="AT149" t="str">
        <f t="shared" si="106"/>
        <v/>
      </c>
      <c r="AU149">
        <f t="shared" si="106"/>
        <v>5.7964758479741851</v>
      </c>
    </row>
    <row r="150" spans="5:47" ht="12.75">
      <c r="E150" t="s">
        <v>248</v>
      </c>
      <c r="G150" t="s">
        <v>154</v>
      </c>
      <c r="H150">
        <f>A$37</f>
        <v>2020</v>
      </c>
      <c r="I150" t="str">
        <f t="shared" si="103"/>
        <v>MINOILRSV1</v>
      </c>
      <c r="J150" t="s">
        <v>270</v>
      </c>
      <c r="K150">
        <f>IF(K$19=0,"",K149*$C$37)</f>
        <v>5.6420402581570457</v>
      </c>
      <c r="L150" t="str">
        <f t="shared" si="107" ref="L150:AU150">IF(L$19=0,"",L149*$C$37)</f>
        <v/>
      </c>
      <c r="M150">
        <f t="shared" si="107"/>
        <v>3.394021734468871</v>
      </c>
      <c r="N150" t="str">
        <f t="shared" si="107"/>
        <v/>
      </c>
      <c r="O150" t="str">
        <f t="shared" si="107"/>
        <v/>
      </c>
      <c r="P150">
        <f t="shared" si="107"/>
        <v>5.6420402581570457</v>
      </c>
      <c r="Q150">
        <f t="shared" si="107"/>
        <v>5.6420402581570457</v>
      </c>
      <c r="R150">
        <f t="shared" si="107"/>
        <v>3.394021734468871</v>
      </c>
      <c r="S150" t="str">
        <f t="shared" si="107"/>
        <v/>
      </c>
      <c r="T150">
        <f t="shared" si="107"/>
        <v>5.6420402581570457</v>
      </c>
      <c r="U150" t="str">
        <f t="shared" si="107"/>
        <v/>
      </c>
      <c r="V150">
        <f t="shared" si="107"/>
        <v>5.6420402581570457</v>
      </c>
      <c r="W150">
        <f t="shared" si="107"/>
        <v>5.6420402581570457</v>
      </c>
      <c r="X150">
        <f t="shared" si="107"/>
        <v>5.6420402581570457</v>
      </c>
      <c r="Y150" t="str">
        <f t="shared" si="107"/>
        <v/>
      </c>
      <c r="Z150" t="str">
        <f t="shared" si="107"/>
        <v/>
      </c>
      <c r="AA150" t="str">
        <f t="shared" si="107"/>
        <v/>
      </c>
      <c r="AB150">
        <f t="shared" si="107"/>
        <v>5.6420402581570457</v>
      </c>
      <c r="AC150" t="str">
        <f t="shared" si="107"/>
        <v/>
      </c>
      <c r="AD150" t="str">
        <f t="shared" si="107"/>
        <v/>
      </c>
      <c r="AE150" t="str">
        <f t="shared" si="107"/>
        <v/>
      </c>
      <c r="AF150">
        <f t="shared" si="107"/>
        <v>3.394021734468871</v>
      </c>
      <c r="AG150">
        <f t="shared" si="107"/>
        <v>3.394021734468871</v>
      </c>
      <c r="AH150">
        <f t="shared" si="107"/>
        <v>5.6420402581570457</v>
      </c>
      <c r="AI150" t="str">
        <f t="shared" si="107"/>
        <v/>
      </c>
      <c r="AJ150">
        <f t="shared" si="107"/>
        <v>5.6420402581570457</v>
      </c>
      <c r="AK150" t="str">
        <f t="shared" si="107"/>
        <v/>
      </c>
      <c r="AL150" t="str">
        <f t="shared" si="107"/>
        <v/>
      </c>
      <c r="AM150">
        <f t="shared" si="107"/>
        <v>5.6420402581570457</v>
      </c>
      <c r="AN150">
        <f t="shared" si="107"/>
        <v>3.394021734468871</v>
      </c>
      <c r="AO150">
        <f t="shared" si="107"/>
        <v>5.6420402581570457</v>
      </c>
      <c r="AP150" t="str">
        <f t="shared" si="107"/>
        <v/>
      </c>
      <c r="AQ150">
        <f t="shared" si="107"/>
        <v>5.6420402581570457</v>
      </c>
      <c r="AR150" t="str">
        <f t="shared" si="107"/>
        <v/>
      </c>
      <c r="AS150" t="str">
        <f t="shared" si="107"/>
        <v/>
      </c>
      <c r="AT150" t="str">
        <f t="shared" si="107"/>
        <v/>
      </c>
      <c r="AU150">
        <f t="shared" si="107"/>
        <v>5.6420402581570457</v>
      </c>
    </row>
    <row r="151" spans="5:47" ht="12.75">
      <c r="E151" t="s">
        <v>248</v>
      </c>
      <c r="G151" t="s">
        <v>154</v>
      </c>
      <c r="H151">
        <f>A$38</f>
        <v>2025</v>
      </c>
      <c r="I151" t="str">
        <f t="shared" si="103"/>
        <v>MINOILRSV1</v>
      </c>
      <c r="J151" t="s">
        <v>270</v>
      </c>
      <c r="K151">
        <f>IF(K$19=0,"",K150*$C$38)</f>
        <v>6.957102273216206</v>
      </c>
      <c r="L151" t="str">
        <f t="shared" si="108" ref="L151:AU151">IF(L$19=0,"",L150*$C$38)</f>
        <v/>
      </c>
      <c r="M151">
        <f t="shared" si="108"/>
        <v>4.1851095071646229</v>
      </c>
      <c r="N151" t="str">
        <f t="shared" si="108"/>
        <v/>
      </c>
      <c r="O151" t="str">
        <f t="shared" si="108"/>
        <v/>
      </c>
      <c r="P151">
        <f t="shared" si="108"/>
        <v>6.957102273216206</v>
      </c>
      <c r="Q151">
        <f t="shared" si="108"/>
        <v>6.957102273216206</v>
      </c>
      <c r="R151">
        <f t="shared" si="108"/>
        <v>4.1851095071646229</v>
      </c>
      <c r="S151" t="str">
        <f t="shared" si="108"/>
        <v/>
      </c>
      <c r="T151">
        <f t="shared" si="108"/>
        <v>6.957102273216206</v>
      </c>
      <c r="U151" t="str">
        <f t="shared" si="108"/>
        <v/>
      </c>
      <c r="V151">
        <f t="shared" si="108"/>
        <v>6.957102273216206</v>
      </c>
      <c r="W151">
        <f t="shared" si="108"/>
        <v>6.957102273216206</v>
      </c>
      <c r="X151">
        <f t="shared" si="108"/>
        <v>6.957102273216206</v>
      </c>
      <c r="Y151" t="str">
        <f t="shared" si="108"/>
        <v/>
      </c>
      <c r="Z151" t="str">
        <f t="shared" si="108"/>
        <v/>
      </c>
      <c r="AA151" t="str">
        <f t="shared" si="108"/>
        <v/>
      </c>
      <c r="AB151">
        <f t="shared" si="108"/>
        <v>6.957102273216206</v>
      </c>
      <c r="AC151" t="str">
        <f t="shared" si="108"/>
        <v/>
      </c>
      <c r="AD151" t="str">
        <f t="shared" si="108"/>
        <v/>
      </c>
      <c r="AE151" t="str">
        <f t="shared" si="108"/>
        <v/>
      </c>
      <c r="AF151">
        <f t="shared" si="108"/>
        <v>4.1851095071646229</v>
      </c>
      <c r="AG151">
        <f t="shared" si="108"/>
        <v>4.1851095071646229</v>
      </c>
      <c r="AH151">
        <f t="shared" si="108"/>
        <v>6.957102273216206</v>
      </c>
      <c r="AI151" t="str">
        <f t="shared" si="108"/>
        <v/>
      </c>
      <c r="AJ151">
        <f t="shared" si="108"/>
        <v>6.957102273216206</v>
      </c>
      <c r="AK151" t="str">
        <f t="shared" si="108"/>
        <v/>
      </c>
      <c r="AL151" t="str">
        <f t="shared" si="108"/>
        <v/>
      </c>
      <c r="AM151">
        <f t="shared" si="108"/>
        <v>6.957102273216206</v>
      </c>
      <c r="AN151">
        <f t="shared" si="108"/>
        <v>4.1851095071646229</v>
      </c>
      <c r="AO151">
        <f t="shared" si="108"/>
        <v>6.957102273216206</v>
      </c>
      <c r="AP151" t="str">
        <f t="shared" si="108"/>
        <v/>
      </c>
      <c r="AQ151">
        <f t="shared" si="108"/>
        <v>6.957102273216206</v>
      </c>
      <c r="AR151" t="str">
        <f t="shared" si="108"/>
        <v/>
      </c>
      <c r="AS151" t="str">
        <f t="shared" si="108"/>
        <v/>
      </c>
      <c r="AT151" t="str">
        <f t="shared" si="108"/>
        <v/>
      </c>
      <c r="AU151">
        <f t="shared" si="108"/>
        <v>6.957102273216206</v>
      </c>
    </row>
    <row r="152" spans="5:47" ht="12.75">
      <c r="E152" t="s">
        <v>248</v>
      </c>
      <c r="G152" t="s">
        <v>154</v>
      </c>
      <c r="H152">
        <f>A$39</f>
        <v>2030</v>
      </c>
      <c r="I152" t="str">
        <f t="shared" si="103"/>
        <v>MINOILRSV1</v>
      </c>
      <c r="J152" t="s">
        <v>270</v>
      </c>
      <c r="K152">
        <f>IF(K$19=0,"",K151*$C$39)</f>
        <v>8.2721642882753645</v>
      </c>
      <c r="L152" t="str">
        <f t="shared" si="109" ref="L152:AU152">IF(L$19=0,"",L151*$C$39)</f>
        <v/>
      </c>
      <c r="M152">
        <f t="shared" si="109"/>
        <v>4.976197279860374</v>
      </c>
      <c r="N152" t="str">
        <f t="shared" si="109"/>
        <v/>
      </c>
      <c r="O152" t="str">
        <f t="shared" si="109"/>
        <v/>
      </c>
      <c r="P152">
        <f t="shared" si="109"/>
        <v>8.2721642882753645</v>
      </c>
      <c r="Q152">
        <f t="shared" si="109"/>
        <v>8.2721642882753645</v>
      </c>
      <c r="R152">
        <f t="shared" si="109"/>
        <v>4.976197279860374</v>
      </c>
      <c r="S152" t="str">
        <f t="shared" si="109"/>
        <v/>
      </c>
      <c r="T152">
        <f t="shared" si="109"/>
        <v>8.2721642882753645</v>
      </c>
      <c r="U152" t="str">
        <f t="shared" si="109"/>
        <v/>
      </c>
      <c r="V152">
        <f t="shared" si="109"/>
        <v>8.2721642882753645</v>
      </c>
      <c r="W152">
        <f t="shared" si="109"/>
        <v>8.2721642882753645</v>
      </c>
      <c r="X152">
        <f t="shared" si="109"/>
        <v>8.2721642882753645</v>
      </c>
      <c r="Y152" t="str">
        <f t="shared" si="109"/>
        <v/>
      </c>
      <c r="Z152" t="str">
        <f t="shared" si="109"/>
        <v/>
      </c>
      <c r="AA152" t="str">
        <f t="shared" si="109"/>
        <v/>
      </c>
      <c r="AB152">
        <f t="shared" si="109"/>
        <v>8.2721642882753645</v>
      </c>
      <c r="AC152" t="str">
        <f t="shared" si="109"/>
        <v/>
      </c>
      <c r="AD152" t="str">
        <f t="shared" si="109"/>
        <v/>
      </c>
      <c r="AE152" t="str">
        <f t="shared" si="109"/>
        <v/>
      </c>
      <c r="AF152">
        <f t="shared" si="109"/>
        <v>4.976197279860374</v>
      </c>
      <c r="AG152">
        <f t="shared" si="109"/>
        <v>4.976197279860374</v>
      </c>
      <c r="AH152">
        <f t="shared" si="109"/>
        <v>8.2721642882753645</v>
      </c>
      <c r="AI152" t="str">
        <f t="shared" si="109"/>
        <v/>
      </c>
      <c r="AJ152">
        <f t="shared" si="109"/>
        <v>8.2721642882753645</v>
      </c>
      <c r="AK152" t="str">
        <f t="shared" si="109"/>
        <v/>
      </c>
      <c r="AL152" t="str">
        <f t="shared" si="109"/>
        <v/>
      </c>
      <c r="AM152">
        <f t="shared" si="109"/>
        <v>8.2721642882753645</v>
      </c>
      <c r="AN152">
        <f t="shared" si="109"/>
        <v>4.976197279860374</v>
      </c>
      <c r="AO152">
        <f t="shared" si="109"/>
        <v>8.2721642882753645</v>
      </c>
      <c r="AP152" t="str">
        <f t="shared" si="109"/>
        <v/>
      </c>
      <c r="AQ152">
        <f t="shared" si="109"/>
        <v>8.2721642882753645</v>
      </c>
      <c r="AR152" t="str">
        <f t="shared" si="109"/>
        <v/>
      </c>
      <c r="AS152" t="str">
        <f t="shared" si="109"/>
        <v/>
      </c>
      <c r="AT152" t="str">
        <f t="shared" si="109"/>
        <v/>
      </c>
      <c r="AU152">
        <f t="shared" si="109"/>
        <v>8.2721642882753645</v>
      </c>
    </row>
    <row r="153" spans="5:47" ht="12.75">
      <c r="E153" t="s">
        <v>248</v>
      </c>
      <c r="G153" t="s">
        <v>154</v>
      </c>
      <c r="H153">
        <f>A$40</f>
        <v>2035</v>
      </c>
      <c r="I153" t="str">
        <f t="shared" si="103"/>
        <v>MINOILRSV1</v>
      </c>
      <c r="J153" t="s">
        <v>270</v>
      </c>
      <c r="K153">
        <f>IF(K$19=0,"",K152*$C$40)</f>
        <v>8.5145720329867309</v>
      </c>
      <c r="L153" t="str">
        <f t="shared" si="110" ref="L153:AU153">IF(L$19=0,"",L152*$C$40)</f>
        <v/>
      </c>
      <c r="M153">
        <f t="shared" si="110"/>
        <v>5.1220199107720337</v>
      </c>
      <c r="N153" t="str">
        <f t="shared" si="110"/>
        <v/>
      </c>
      <c r="O153" t="str">
        <f t="shared" si="110"/>
        <v/>
      </c>
      <c r="P153">
        <f t="shared" si="110"/>
        <v>8.5145720329867309</v>
      </c>
      <c r="Q153">
        <f t="shared" si="110"/>
        <v>8.5145720329867309</v>
      </c>
      <c r="R153">
        <f t="shared" si="110"/>
        <v>5.1220199107720337</v>
      </c>
      <c r="S153" t="str">
        <f t="shared" si="110"/>
        <v/>
      </c>
      <c r="T153">
        <f t="shared" si="110"/>
        <v>8.5145720329867309</v>
      </c>
      <c r="U153" t="str">
        <f t="shared" si="110"/>
        <v/>
      </c>
      <c r="V153">
        <f t="shared" si="110"/>
        <v>8.5145720329867309</v>
      </c>
      <c r="W153">
        <f t="shared" si="110"/>
        <v>8.5145720329867309</v>
      </c>
      <c r="X153">
        <f t="shared" si="110"/>
        <v>8.5145720329867309</v>
      </c>
      <c r="Y153" t="str">
        <f t="shared" si="110"/>
        <v/>
      </c>
      <c r="Z153" t="str">
        <f t="shared" si="110"/>
        <v/>
      </c>
      <c r="AA153" t="str">
        <f t="shared" si="110"/>
        <v/>
      </c>
      <c r="AB153">
        <f t="shared" si="110"/>
        <v>8.5145720329867309</v>
      </c>
      <c r="AC153" t="str">
        <f t="shared" si="110"/>
        <v/>
      </c>
      <c r="AD153" t="str">
        <f t="shared" si="110"/>
        <v/>
      </c>
      <c r="AE153" t="str">
        <f t="shared" si="110"/>
        <v/>
      </c>
      <c r="AF153">
        <f t="shared" si="110"/>
        <v>5.1220199107720337</v>
      </c>
      <c r="AG153">
        <f t="shared" si="110"/>
        <v>5.1220199107720337</v>
      </c>
      <c r="AH153">
        <f t="shared" si="110"/>
        <v>8.5145720329867309</v>
      </c>
      <c r="AI153" t="str">
        <f t="shared" si="110"/>
        <v/>
      </c>
      <c r="AJ153">
        <f t="shared" si="110"/>
        <v>8.5145720329867309</v>
      </c>
      <c r="AK153" t="str">
        <f t="shared" si="110"/>
        <v/>
      </c>
      <c r="AL153" t="str">
        <f t="shared" si="110"/>
        <v/>
      </c>
      <c r="AM153">
        <f t="shared" si="110"/>
        <v>8.5145720329867309</v>
      </c>
      <c r="AN153">
        <f t="shared" si="110"/>
        <v>5.1220199107720337</v>
      </c>
      <c r="AO153">
        <f t="shared" si="110"/>
        <v>8.5145720329867309</v>
      </c>
      <c r="AP153" t="str">
        <f t="shared" si="110"/>
        <v/>
      </c>
      <c r="AQ153">
        <f t="shared" si="110"/>
        <v>8.5145720329867309</v>
      </c>
      <c r="AR153" t="str">
        <f t="shared" si="110"/>
        <v/>
      </c>
      <c r="AS153" t="str">
        <f t="shared" si="110"/>
        <v/>
      </c>
      <c r="AT153" t="str">
        <f t="shared" si="110"/>
        <v/>
      </c>
      <c r="AU153">
        <f t="shared" si="110"/>
        <v>8.5145720329867309</v>
      </c>
    </row>
    <row r="154" spans="5:47" ht="12.75">
      <c r="E154" t="s">
        <v>248</v>
      </c>
      <c r="G154" t="s">
        <v>154</v>
      </c>
      <c r="H154">
        <f>A$41</f>
        <v>2040</v>
      </c>
      <c r="I154" t="str">
        <f t="shared" si="103"/>
        <v>MINOILRSV1</v>
      </c>
      <c r="J154" t="s">
        <v>270</v>
      </c>
      <c r="K154">
        <f>IF(K$19=0,"",K153*$C$41)</f>
        <v>8.7569797776980955</v>
      </c>
      <c r="L154" t="str">
        <f t="shared" si="111" ref="L154:AU154">IF(L$19=0,"",L153*$C$41)</f>
        <v/>
      </c>
      <c r="M154">
        <f t="shared" si="111"/>
        <v>5.2678425416836925</v>
      </c>
      <c r="N154" t="str">
        <f t="shared" si="111"/>
        <v/>
      </c>
      <c r="O154" t="str">
        <f t="shared" si="111"/>
        <v/>
      </c>
      <c r="P154">
        <f t="shared" si="111"/>
        <v>8.7569797776980955</v>
      </c>
      <c r="Q154">
        <f t="shared" si="111"/>
        <v>8.7569797776980955</v>
      </c>
      <c r="R154">
        <f t="shared" si="111"/>
        <v>5.2678425416836925</v>
      </c>
      <c r="S154" t="str">
        <f t="shared" si="111"/>
        <v/>
      </c>
      <c r="T154">
        <f t="shared" si="111"/>
        <v>8.7569797776980955</v>
      </c>
      <c r="U154" t="str">
        <f t="shared" si="111"/>
        <v/>
      </c>
      <c r="V154">
        <f t="shared" si="111"/>
        <v>8.7569797776980955</v>
      </c>
      <c r="W154">
        <f t="shared" si="111"/>
        <v>8.7569797776980955</v>
      </c>
      <c r="X154">
        <f t="shared" si="111"/>
        <v>8.7569797776980955</v>
      </c>
      <c r="Y154" t="str">
        <f t="shared" si="111"/>
        <v/>
      </c>
      <c r="Z154" t="str">
        <f t="shared" si="111"/>
        <v/>
      </c>
      <c r="AA154" t="str">
        <f t="shared" si="111"/>
        <v/>
      </c>
      <c r="AB154">
        <f t="shared" si="111"/>
        <v>8.7569797776980955</v>
      </c>
      <c r="AC154" t="str">
        <f t="shared" si="111"/>
        <v/>
      </c>
      <c r="AD154" t="str">
        <f t="shared" si="111"/>
        <v/>
      </c>
      <c r="AE154" t="str">
        <f t="shared" si="111"/>
        <v/>
      </c>
      <c r="AF154">
        <f t="shared" si="111"/>
        <v>5.2678425416836925</v>
      </c>
      <c r="AG154">
        <f t="shared" si="111"/>
        <v>5.2678425416836925</v>
      </c>
      <c r="AH154">
        <f t="shared" si="111"/>
        <v>8.7569797776980955</v>
      </c>
      <c r="AI154" t="str">
        <f t="shared" si="111"/>
        <v/>
      </c>
      <c r="AJ154">
        <f t="shared" si="111"/>
        <v>8.7569797776980955</v>
      </c>
      <c r="AK154" t="str">
        <f t="shared" si="111"/>
        <v/>
      </c>
      <c r="AL154" t="str">
        <f t="shared" si="111"/>
        <v/>
      </c>
      <c r="AM154">
        <f t="shared" si="111"/>
        <v>8.7569797776980955</v>
      </c>
      <c r="AN154">
        <f t="shared" si="111"/>
        <v>5.2678425416836925</v>
      </c>
      <c r="AO154">
        <f t="shared" si="111"/>
        <v>8.7569797776980955</v>
      </c>
      <c r="AP154" t="str">
        <f t="shared" si="111"/>
        <v/>
      </c>
      <c r="AQ154">
        <f t="shared" si="111"/>
        <v>8.7569797776980955</v>
      </c>
      <c r="AR154" t="str">
        <f t="shared" si="111"/>
        <v/>
      </c>
      <c r="AS154" t="str">
        <f t="shared" si="111"/>
        <v/>
      </c>
      <c r="AT154" t="str">
        <f t="shared" si="111"/>
        <v/>
      </c>
      <c r="AU154">
        <f t="shared" si="111"/>
        <v>8.7569797776980955</v>
      </c>
    </row>
    <row r="155" spans="5:47" ht="12.75">
      <c r="E155" t="s">
        <v>248</v>
      </c>
      <c r="G155" t="s">
        <v>154</v>
      </c>
      <c r="H155">
        <f>A$42</f>
        <v>2045</v>
      </c>
      <c r="I155" t="str">
        <f t="shared" si="103"/>
        <v>MINOILRSV1</v>
      </c>
      <c r="J155" t="s">
        <v>270</v>
      </c>
      <c r="K155">
        <f>IF(K$19=0,"",K154*$C$42)</f>
        <v>9.6720690139835028</v>
      </c>
      <c r="L155" t="str">
        <f t="shared" si="112" ref="L155:AU155">IF(L$19=0,"",L154*$C$42)</f>
        <v/>
      </c>
      <c r="M155">
        <f t="shared" si="112"/>
        <v>5.8183229733752064</v>
      </c>
      <c r="N155" t="str">
        <f t="shared" si="112"/>
        <v/>
      </c>
      <c r="O155" t="str">
        <f t="shared" si="112"/>
        <v/>
      </c>
      <c r="P155">
        <f t="shared" si="112"/>
        <v>9.6720690139835028</v>
      </c>
      <c r="Q155">
        <f t="shared" si="112"/>
        <v>9.6720690139835028</v>
      </c>
      <c r="R155">
        <f t="shared" si="112"/>
        <v>5.8183229733752064</v>
      </c>
      <c r="S155" t="str">
        <f t="shared" si="112"/>
        <v/>
      </c>
      <c r="T155">
        <f t="shared" si="112"/>
        <v>9.6720690139835028</v>
      </c>
      <c r="U155" t="str">
        <f t="shared" si="112"/>
        <v/>
      </c>
      <c r="V155">
        <f t="shared" si="112"/>
        <v>9.6720690139835028</v>
      </c>
      <c r="W155">
        <f t="shared" si="112"/>
        <v>9.6720690139835028</v>
      </c>
      <c r="X155">
        <f t="shared" si="112"/>
        <v>9.6720690139835028</v>
      </c>
      <c r="Y155" t="str">
        <f t="shared" si="112"/>
        <v/>
      </c>
      <c r="Z155" t="str">
        <f t="shared" si="112"/>
        <v/>
      </c>
      <c r="AA155" t="str">
        <f t="shared" si="112"/>
        <v/>
      </c>
      <c r="AB155">
        <f t="shared" si="112"/>
        <v>9.6720690139835028</v>
      </c>
      <c r="AC155" t="str">
        <f t="shared" si="112"/>
        <v/>
      </c>
      <c r="AD155" t="str">
        <f t="shared" si="112"/>
        <v/>
      </c>
      <c r="AE155" t="str">
        <f t="shared" si="112"/>
        <v/>
      </c>
      <c r="AF155">
        <f t="shared" si="112"/>
        <v>5.8183229733752064</v>
      </c>
      <c r="AG155">
        <f t="shared" si="112"/>
        <v>5.8183229733752064</v>
      </c>
      <c r="AH155">
        <f t="shared" si="112"/>
        <v>9.6720690139835028</v>
      </c>
      <c r="AI155" t="str">
        <f t="shared" si="112"/>
        <v/>
      </c>
      <c r="AJ155">
        <f t="shared" si="112"/>
        <v>9.6720690139835028</v>
      </c>
      <c r="AK155" t="str">
        <f t="shared" si="112"/>
        <v/>
      </c>
      <c r="AL155" t="str">
        <f t="shared" si="112"/>
        <v/>
      </c>
      <c r="AM155">
        <f t="shared" si="112"/>
        <v>9.6720690139835028</v>
      </c>
      <c r="AN155">
        <f t="shared" si="112"/>
        <v>5.8183229733752064</v>
      </c>
      <c r="AO155">
        <f t="shared" si="112"/>
        <v>9.6720690139835028</v>
      </c>
      <c r="AP155" t="str">
        <f t="shared" si="112"/>
        <v/>
      </c>
      <c r="AQ155">
        <f t="shared" si="112"/>
        <v>9.6720690139835028</v>
      </c>
      <c r="AR155" t="str">
        <f t="shared" si="112"/>
        <v/>
      </c>
      <c r="AS155" t="str">
        <f t="shared" si="112"/>
        <v/>
      </c>
      <c r="AT155" t="str">
        <f t="shared" si="112"/>
        <v/>
      </c>
      <c r="AU155">
        <f t="shared" si="112"/>
        <v>9.6720690139835028</v>
      </c>
    </row>
    <row r="156" spans="5:47" ht="12.75">
      <c r="E156" t="s">
        <v>248</v>
      </c>
      <c r="G156" t="s">
        <v>154</v>
      </c>
      <c r="H156">
        <f>A$43</f>
        <v>2050</v>
      </c>
      <c r="I156" t="str">
        <f t="shared" si="103"/>
        <v>MINOILRSV1</v>
      </c>
      <c r="J156" t="s">
        <v>270</v>
      </c>
      <c r="K156">
        <f>IF(K$19=0,"",K155*$C$43)</f>
        <v>10.587158250268908</v>
      </c>
      <c r="L156" t="str">
        <f t="shared" si="113" ref="L156:AU156">IF(L$19=0,"",L155*$C$43)</f>
        <v/>
      </c>
      <c r="M156">
        <f t="shared" si="113"/>
        <v>6.3688034050667195</v>
      </c>
      <c r="N156" t="str">
        <f t="shared" si="113"/>
        <v/>
      </c>
      <c r="O156" t="str">
        <f t="shared" si="113"/>
        <v/>
      </c>
      <c r="P156">
        <f t="shared" si="113"/>
        <v>10.587158250268908</v>
      </c>
      <c r="Q156">
        <f t="shared" si="113"/>
        <v>10.587158250268908</v>
      </c>
      <c r="R156">
        <f t="shared" si="113"/>
        <v>6.3688034050667195</v>
      </c>
      <c r="S156" t="str">
        <f t="shared" si="113"/>
        <v/>
      </c>
      <c r="T156">
        <f t="shared" si="113"/>
        <v>10.587158250268908</v>
      </c>
      <c r="U156" t="str">
        <f t="shared" si="113"/>
        <v/>
      </c>
      <c r="V156">
        <f t="shared" si="113"/>
        <v>10.587158250268908</v>
      </c>
      <c r="W156">
        <f t="shared" si="113"/>
        <v>10.587158250268908</v>
      </c>
      <c r="X156">
        <f t="shared" si="113"/>
        <v>10.587158250268908</v>
      </c>
      <c r="Y156" t="str">
        <f t="shared" si="113"/>
        <v/>
      </c>
      <c r="Z156" t="str">
        <f t="shared" si="113"/>
        <v/>
      </c>
      <c r="AA156" t="str">
        <f t="shared" si="113"/>
        <v/>
      </c>
      <c r="AB156">
        <f t="shared" si="113"/>
        <v>10.587158250268908</v>
      </c>
      <c r="AC156" t="str">
        <f t="shared" si="113"/>
        <v/>
      </c>
      <c r="AD156" t="str">
        <f t="shared" si="113"/>
        <v/>
      </c>
      <c r="AE156" t="str">
        <f t="shared" si="113"/>
        <v/>
      </c>
      <c r="AF156">
        <f t="shared" si="113"/>
        <v>6.3688034050667195</v>
      </c>
      <c r="AG156">
        <f t="shared" si="113"/>
        <v>6.3688034050667195</v>
      </c>
      <c r="AH156">
        <f t="shared" si="113"/>
        <v>10.587158250268908</v>
      </c>
      <c r="AI156" t="str">
        <f t="shared" si="113"/>
        <v/>
      </c>
      <c r="AJ156">
        <f t="shared" si="113"/>
        <v>10.587158250268908</v>
      </c>
      <c r="AK156" t="str">
        <f t="shared" si="113"/>
        <v/>
      </c>
      <c r="AL156" t="str">
        <f t="shared" si="113"/>
        <v/>
      </c>
      <c r="AM156">
        <f t="shared" si="113"/>
        <v>10.587158250268908</v>
      </c>
      <c r="AN156">
        <f t="shared" si="113"/>
        <v>6.3688034050667195</v>
      </c>
      <c r="AO156">
        <f t="shared" si="113"/>
        <v>10.587158250268908</v>
      </c>
      <c r="AP156" t="str">
        <f t="shared" si="113"/>
        <v/>
      </c>
      <c r="AQ156">
        <f t="shared" si="113"/>
        <v>10.587158250268908</v>
      </c>
      <c r="AR156" t="str">
        <f t="shared" si="113"/>
        <v/>
      </c>
      <c r="AS156" t="str">
        <f t="shared" si="113"/>
        <v/>
      </c>
      <c r="AT156" t="str">
        <f t="shared" si="113"/>
        <v/>
      </c>
      <c r="AU156">
        <f t="shared" si="113"/>
        <v>10.587158250268908</v>
      </c>
    </row>
    <row r="157" spans="5:47" ht="12.75">
      <c r="E157" t="s">
        <v>248</v>
      </c>
      <c r="G157" t="s">
        <v>154</v>
      </c>
      <c r="H157">
        <f>A$33</f>
        <v>2001</v>
      </c>
      <c r="I157" t="str">
        <f t="shared" si="114" ref="I157:I167">I$20</f>
        <v>MINOILRSV2</v>
      </c>
      <c r="J157" t="s">
        <v>270</v>
      </c>
      <c r="K157" t="str">
        <f>IF(K$20=0,"",K$20*$C$33)</f>
        <v/>
      </c>
      <c r="L157" t="str">
        <f t="shared" si="115" ref="L157:AU157">IF(L$20=0,"",L$20*$C$33)</f>
        <v/>
      </c>
      <c r="M157" t="str">
        <f t="shared" si="115"/>
        <v/>
      </c>
      <c r="N157" t="str">
        <f t="shared" si="115"/>
        <v/>
      </c>
      <c r="O157" t="str">
        <f t="shared" si="115"/>
        <v/>
      </c>
      <c r="P157" t="str">
        <f t="shared" si="115"/>
        <v/>
      </c>
      <c r="Q157" t="str">
        <f t="shared" si="115"/>
        <v/>
      </c>
      <c r="R157" t="str">
        <f t="shared" si="115"/>
        <v/>
      </c>
      <c r="S157" t="str">
        <f t="shared" si="115"/>
        <v/>
      </c>
      <c r="T157" t="str">
        <f t="shared" si="115"/>
        <v/>
      </c>
      <c r="U157" t="str">
        <f t="shared" si="115"/>
        <v/>
      </c>
      <c r="V157" t="str">
        <f t="shared" si="115"/>
        <v/>
      </c>
      <c r="W157" t="str">
        <f t="shared" si="115"/>
        <v/>
      </c>
      <c r="X157" t="str">
        <f t="shared" si="115"/>
        <v/>
      </c>
      <c r="Y157" t="str">
        <f t="shared" si="115"/>
        <v/>
      </c>
      <c r="Z157" t="str">
        <f t="shared" si="115"/>
        <v/>
      </c>
      <c r="AA157" t="str">
        <f t="shared" si="115"/>
        <v/>
      </c>
      <c r="AB157">
        <f t="shared" si="115"/>
        <v>2.5129714813701369</v>
      </c>
      <c r="AC157" t="str">
        <f t="shared" si="115"/>
        <v/>
      </c>
      <c r="AD157" t="str">
        <f t="shared" si="115"/>
        <v/>
      </c>
      <c r="AE157" t="str">
        <f t="shared" si="115"/>
        <v/>
      </c>
      <c r="AF157" t="str">
        <f t="shared" si="115"/>
        <v/>
      </c>
      <c r="AG157">
        <f>AG146</f>
        <v>1.5117013412904423</v>
      </c>
      <c r="AH157" t="str">
        <f t="shared" si="115"/>
        <v/>
      </c>
      <c r="AI157" t="str">
        <f t="shared" si="115"/>
        <v/>
      </c>
      <c r="AJ157" t="str">
        <f t="shared" si="115"/>
        <v/>
      </c>
      <c r="AK157" t="str">
        <f t="shared" si="115"/>
        <v/>
      </c>
      <c r="AL157" t="str">
        <f t="shared" si="115"/>
        <v/>
      </c>
      <c r="AM157" t="str">
        <f t="shared" si="115"/>
        <v/>
      </c>
      <c r="AN157" t="str">
        <f t="shared" si="115"/>
        <v/>
      </c>
      <c r="AO157" t="str">
        <f t="shared" si="115"/>
        <v/>
      </c>
      <c r="AP157" t="str">
        <f t="shared" si="115"/>
        <v/>
      </c>
      <c r="AQ157" t="str">
        <f t="shared" si="115"/>
        <v/>
      </c>
      <c r="AR157" t="str">
        <f t="shared" si="115"/>
        <v/>
      </c>
      <c r="AS157" t="str">
        <f t="shared" si="115"/>
        <v/>
      </c>
      <c r="AT157" t="str">
        <f t="shared" si="115"/>
        <v/>
      </c>
      <c r="AU157" t="str">
        <f t="shared" si="115"/>
        <v/>
      </c>
    </row>
    <row r="158" spans="5:47" ht="12.75">
      <c r="E158" t="s">
        <v>248</v>
      </c>
      <c r="G158" t="s">
        <v>154</v>
      </c>
      <c r="H158">
        <f>A$34</f>
        <v>2005</v>
      </c>
      <c r="I158" t="str">
        <f t="shared" si="114"/>
        <v>MINOILRSV2</v>
      </c>
      <c r="J158" t="s">
        <v>270</v>
      </c>
      <c r="K158" t="str">
        <f>IF(K$20=0,"",K157*$C$34)</f>
        <v/>
      </c>
      <c r="L158" t="str">
        <f t="shared" si="116" ref="L158:AU158">IF(L$20=0,"",L157*$C$34)</f>
        <v/>
      </c>
      <c r="M158" t="str">
        <f t="shared" si="116"/>
        <v/>
      </c>
      <c r="N158" t="str">
        <f t="shared" si="116"/>
        <v/>
      </c>
      <c r="O158" t="str">
        <f t="shared" si="116"/>
        <v/>
      </c>
      <c r="P158" t="str">
        <f t="shared" si="116"/>
        <v/>
      </c>
      <c r="Q158" t="str">
        <f t="shared" si="116"/>
        <v/>
      </c>
      <c r="R158" t="str">
        <f t="shared" si="116"/>
        <v/>
      </c>
      <c r="S158" t="str">
        <f t="shared" si="116"/>
        <v/>
      </c>
      <c r="T158" t="str">
        <f t="shared" si="116"/>
        <v/>
      </c>
      <c r="U158" t="str">
        <f t="shared" si="116"/>
        <v/>
      </c>
      <c r="V158" t="str">
        <f t="shared" si="116"/>
        <v/>
      </c>
      <c r="W158" t="str">
        <f t="shared" si="116"/>
        <v/>
      </c>
      <c r="X158" t="str">
        <f t="shared" si="116"/>
        <v/>
      </c>
      <c r="Y158" t="str">
        <f t="shared" si="116"/>
        <v/>
      </c>
      <c r="Z158" t="str">
        <f t="shared" si="116"/>
        <v/>
      </c>
      <c r="AA158" t="str">
        <f t="shared" si="116"/>
        <v/>
      </c>
      <c r="AB158">
        <f t="shared" si="116"/>
        <v>5.0909063384706572</v>
      </c>
      <c r="AC158" t="str">
        <f t="shared" si="116"/>
        <v/>
      </c>
      <c r="AD158" t="str">
        <f t="shared" si="116"/>
        <v/>
      </c>
      <c r="AE158" t="str">
        <f t="shared" si="116"/>
        <v/>
      </c>
      <c r="AF158" t="str">
        <f t="shared" si="116"/>
        <v/>
      </c>
      <c r="AG158" t="str">
        <f t="shared" si="116"/>
        <v/>
      </c>
      <c r="AH158" t="str">
        <f t="shared" si="116"/>
        <v/>
      </c>
      <c r="AI158" t="str">
        <f t="shared" si="116"/>
        <v/>
      </c>
      <c r="AJ158" t="str">
        <f t="shared" si="116"/>
        <v/>
      </c>
      <c r="AK158" t="str">
        <f t="shared" si="116"/>
        <v/>
      </c>
      <c r="AL158" t="str">
        <f t="shared" si="116"/>
        <v/>
      </c>
      <c r="AM158" t="str">
        <f t="shared" si="116"/>
        <v/>
      </c>
      <c r="AN158" t="str">
        <f t="shared" si="116"/>
        <v/>
      </c>
      <c r="AO158" t="str">
        <f t="shared" si="116"/>
        <v/>
      </c>
      <c r="AP158" t="str">
        <f t="shared" si="116"/>
        <v/>
      </c>
      <c r="AQ158" t="str">
        <f t="shared" si="116"/>
        <v/>
      </c>
      <c r="AR158" t="str">
        <f t="shared" si="116"/>
        <v/>
      </c>
      <c r="AS158" t="str">
        <f t="shared" si="116"/>
        <v/>
      </c>
      <c r="AT158" t="str">
        <f t="shared" si="116"/>
        <v/>
      </c>
      <c r="AU158" t="str">
        <f t="shared" si="116"/>
        <v/>
      </c>
    </row>
    <row r="159" spans="5:47" ht="12.75">
      <c r="E159" t="s">
        <v>248</v>
      </c>
      <c r="G159" t="s">
        <v>154</v>
      </c>
      <c r="H159">
        <f>A$35</f>
        <v>2010</v>
      </c>
      <c r="I159" t="str">
        <f t="shared" si="114"/>
        <v>MINOILRSV2</v>
      </c>
      <c r="J159" t="s">
        <v>270</v>
      </c>
      <c r="K159" t="str">
        <f>IF(K$20=0,"",K158*$C$35)</f>
        <v/>
      </c>
      <c r="L159" t="str">
        <f t="shared" si="117" ref="L159:AU159">IF(L$20=0,"",L158*$C$35)</f>
        <v/>
      </c>
      <c r="M159" t="str">
        <f t="shared" si="117"/>
        <v/>
      </c>
      <c r="N159" t="str">
        <f t="shared" si="117"/>
        <v/>
      </c>
      <c r="O159" t="str">
        <f t="shared" si="117"/>
        <v/>
      </c>
      <c r="P159" t="str">
        <f t="shared" si="117"/>
        <v/>
      </c>
      <c r="Q159" t="str">
        <f t="shared" si="117"/>
        <v/>
      </c>
      <c r="R159" t="str">
        <f t="shared" si="117"/>
        <v/>
      </c>
      <c r="S159" t="str">
        <f t="shared" si="117"/>
        <v/>
      </c>
      <c r="T159" t="str">
        <f t="shared" si="117"/>
        <v/>
      </c>
      <c r="U159" t="str">
        <f t="shared" si="117"/>
        <v/>
      </c>
      <c r="V159" t="str">
        <f t="shared" si="117"/>
        <v/>
      </c>
      <c r="W159" t="str">
        <f t="shared" si="117"/>
        <v/>
      </c>
      <c r="X159" t="str">
        <f t="shared" si="117"/>
        <v/>
      </c>
      <c r="Y159" t="str">
        <f t="shared" si="117"/>
        <v/>
      </c>
      <c r="Z159" t="str">
        <f t="shared" si="117"/>
        <v/>
      </c>
      <c r="AA159" t="str">
        <f t="shared" si="117"/>
        <v/>
      </c>
      <c r="AB159">
        <f t="shared" si="117"/>
        <v>5.9509114377913237</v>
      </c>
      <c r="AC159" t="str">
        <f t="shared" si="117"/>
        <v/>
      </c>
      <c r="AD159" t="str">
        <f t="shared" si="117"/>
        <v/>
      </c>
      <c r="AE159" t="str">
        <f t="shared" si="117"/>
        <v/>
      </c>
      <c r="AF159" t="str">
        <f t="shared" si="117"/>
        <v/>
      </c>
      <c r="AG159" t="str">
        <f t="shared" si="117"/>
        <v/>
      </c>
      <c r="AH159" t="str">
        <f t="shared" si="117"/>
        <v/>
      </c>
      <c r="AI159" t="str">
        <f t="shared" si="117"/>
        <v/>
      </c>
      <c r="AJ159" t="str">
        <f t="shared" si="117"/>
        <v/>
      </c>
      <c r="AK159" t="str">
        <f t="shared" si="117"/>
        <v/>
      </c>
      <c r="AL159" t="str">
        <f t="shared" si="117"/>
        <v/>
      </c>
      <c r="AM159" t="str">
        <f t="shared" si="117"/>
        <v/>
      </c>
      <c r="AN159" t="str">
        <f t="shared" si="117"/>
        <v/>
      </c>
      <c r="AO159" t="str">
        <f t="shared" si="117"/>
        <v/>
      </c>
      <c r="AP159" t="str">
        <f t="shared" si="117"/>
        <v/>
      </c>
      <c r="AQ159" t="str">
        <f t="shared" si="117"/>
        <v/>
      </c>
      <c r="AR159" t="str">
        <f t="shared" si="117"/>
        <v/>
      </c>
      <c r="AS159" t="str">
        <f t="shared" si="117"/>
        <v/>
      </c>
      <c r="AT159" t="str">
        <f t="shared" si="117"/>
        <v/>
      </c>
      <c r="AU159" t="str">
        <f t="shared" si="117"/>
        <v/>
      </c>
    </row>
    <row r="160" spans="5:47" ht="12.75">
      <c r="E160" t="s">
        <v>248</v>
      </c>
      <c r="G160" t="s">
        <v>154</v>
      </c>
      <c r="H160">
        <f>A$36</f>
        <v>2015</v>
      </c>
      <c r="I160" t="str">
        <f t="shared" si="114"/>
        <v>MINOILRSV2</v>
      </c>
      <c r="J160" t="s">
        <v>270</v>
      </c>
      <c r="K160" t="str">
        <f>IF(K$20=0,"",K159*$C$36)</f>
        <v/>
      </c>
      <c r="L160" t="str">
        <f t="shared" si="118" ref="L160:AU160">IF(L$20=0,"",L159*$C$36)</f>
        <v/>
      </c>
      <c r="M160" t="str">
        <f t="shared" si="118"/>
        <v/>
      </c>
      <c r="N160" t="str">
        <f t="shared" si="118"/>
        <v/>
      </c>
      <c r="O160" t="str">
        <f t="shared" si="118"/>
        <v/>
      </c>
      <c r="P160" t="str">
        <f t="shared" si="118"/>
        <v/>
      </c>
      <c r="Q160" t="str">
        <f t="shared" si="118"/>
        <v/>
      </c>
      <c r="R160" t="str">
        <f t="shared" si="118"/>
        <v/>
      </c>
      <c r="S160" t="str">
        <f t="shared" si="118"/>
        <v/>
      </c>
      <c r="T160" t="str">
        <f t="shared" si="118"/>
        <v/>
      </c>
      <c r="U160" t="str">
        <f t="shared" si="118"/>
        <v/>
      </c>
      <c r="V160" t="str">
        <f t="shared" si="118"/>
        <v/>
      </c>
      <c r="W160" t="str">
        <f t="shared" si="118"/>
        <v/>
      </c>
      <c r="X160" t="str">
        <f t="shared" si="118"/>
        <v/>
      </c>
      <c r="Y160" t="str">
        <f t="shared" si="118"/>
        <v/>
      </c>
      <c r="Z160" t="str">
        <f t="shared" si="118"/>
        <v/>
      </c>
      <c r="AA160" t="str">
        <f t="shared" si="118"/>
        <v/>
      </c>
      <c r="AB160">
        <f t="shared" si="118"/>
        <v>5.7964758479741851</v>
      </c>
      <c r="AC160" t="str">
        <f t="shared" si="118"/>
        <v/>
      </c>
      <c r="AD160" t="str">
        <f t="shared" si="118"/>
        <v/>
      </c>
      <c r="AE160" t="str">
        <f t="shared" si="118"/>
        <v/>
      </c>
      <c r="AF160" t="str">
        <f t="shared" si="118"/>
        <v/>
      </c>
      <c r="AG160" t="str">
        <f t="shared" si="118"/>
        <v/>
      </c>
      <c r="AH160" t="str">
        <f t="shared" si="118"/>
        <v/>
      </c>
      <c r="AI160" t="str">
        <f t="shared" si="118"/>
        <v/>
      </c>
      <c r="AJ160" t="str">
        <f t="shared" si="118"/>
        <v/>
      </c>
      <c r="AK160" t="str">
        <f t="shared" si="118"/>
        <v/>
      </c>
      <c r="AL160" t="str">
        <f t="shared" si="118"/>
        <v/>
      </c>
      <c r="AM160" t="str">
        <f t="shared" si="118"/>
        <v/>
      </c>
      <c r="AN160" t="str">
        <f t="shared" si="118"/>
        <v/>
      </c>
      <c r="AO160" t="str">
        <f t="shared" si="118"/>
        <v/>
      </c>
      <c r="AP160" t="str">
        <f t="shared" si="118"/>
        <v/>
      </c>
      <c r="AQ160" t="str">
        <f t="shared" si="118"/>
        <v/>
      </c>
      <c r="AR160" t="str">
        <f t="shared" si="118"/>
        <v/>
      </c>
      <c r="AS160" t="str">
        <f t="shared" si="118"/>
        <v/>
      </c>
      <c r="AT160" t="str">
        <f t="shared" si="118"/>
        <v/>
      </c>
      <c r="AU160" t="str">
        <f t="shared" si="118"/>
        <v/>
      </c>
    </row>
    <row r="161" spans="5:47" ht="12.75">
      <c r="E161" t="s">
        <v>248</v>
      </c>
      <c r="G161" t="s">
        <v>154</v>
      </c>
      <c r="H161">
        <f>A$37</f>
        <v>2020</v>
      </c>
      <c r="I161" t="str">
        <f t="shared" si="114"/>
        <v>MINOILRSV2</v>
      </c>
      <c r="J161" t="s">
        <v>270</v>
      </c>
      <c r="K161" t="str">
        <f>IF(K$20=0,"",K160*$C$37)</f>
        <v/>
      </c>
      <c r="L161" t="str">
        <f t="shared" si="119" ref="L161:AU161">IF(L$20=0,"",L160*$C$37)</f>
        <v/>
      </c>
      <c r="M161" t="str">
        <f t="shared" si="119"/>
        <v/>
      </c>
      <c r="N161" t="str">
        <f t="shared" si="119"/>
        <v/>
      </c>
      <c r="O161" t="str">
        <f t="shared" si="119"/>
        <v/>
      </c>
      <c r="P161" t="str">
        <f t="shared" si="119"/>
        <v/>
      </c>
      <c r="Q161" t="str">
        <f t="shared" si="119"/>
        <v/>
      </c>
      <c r="R161" t="str">
        <f t="shared" si="119"/>
        <v/>
      </c>
      <c r="S161" t="str">
        <f t="shared" si="119"/>
        <v/>
      </c>
      <c r="T161" t="str">
        <f t="shared" si="119"/>
        <v/>
      </c>
      <c r="U161" t="str">
        <f t="shared" si="119"/>
        <v/>
      </c>
      <c r="V161" t="str">
        <f t="shared" si="119"/>
        <v/>
      </c>
      <c r="W161" t="str">
        <f t="shared" si="119"/>
        <v/>
      </c>
      <c r="X161" t="str">
        <f t="shared" si="119"/>
        <v/>
      </c>
      <c r="Y161" t="str">
        <f t="shared" si="119"/>
        <v/>
      </c>
      <c r="Z161" t="str">
        <f t="shared" si="119"/>
        <v/>
      </c>
      <c r="AA161" t="str">
        <f t="shared" si="119"/>
        <v/>
      </c>
      <c r="AB161">
        <f t="shared" si="119"/>
        <v>5.6420402581570457</v>
      </c>
      <c r="AC161" t="str">
        <f t="shared" si="119"/>
        <v/>
      </c>
      <c r="AD161" t="str">
        <f t="shared" si="119"/>
        <v/>
      </c>
      <c r="AE161" t="str">
        <f t="shared" si="119"/>
        <v/>
      </c>
      <c r="AF161" t="str">
        <f t="shared" si="119"/>
        <v/>
      </c>
      <c r="AG161" t="str">
        <f t="shared" si="119"/>
        <v/>
      </c>
      <c r="AH161" t="str">
        <f t="shared" si="119"/>
        <v/>
      </c>
      <c r="AI161" t="str">
        <f t="shared" si="119"/>
        <v/>
      </c>
      <c r="AJ161" t="str">
        <f t="shared" si="119"/>
        <v/>
      </c>
      <c r="AK161" t="str">
        <f t="shared" si="119"/>
        <v/>
      </c>
      <c r="AL161" t="str">
        <f t="shared" si="119"/>
        <v/>
      </c>
      <c r="AM161" t="str">
        <f t="shared" si="119"/>
        <v/>
      </c>
      <c r="AN161" t="str">
        <f t="shared" si="119"/>
        <v/>
      </c>
      <c r="AO161" t="str">
        <f t="shared" si="119"/>
        <v/>
      </c>
      <c r="AP161" t="str">
        <f t="shared" si="119"/>
        <v/>
      </c>
      <c r="AQ161" t="str">
        <f t="shared" si="119"/>
        <v/>
      </c>
      <c r="AR161" t="str">
        <f t="shared" si="119"/>
        <v/>
      </c>
      <c r="AS161" t="str">
        <f t="shared" si="119"/>
        <v/>
      </c>
      <c r="AT161" t="str">
        <f t="shared" si="119"/>
        <v/>
      </c>
      <c r="AU161" t="str">
        <f t="shared" si="119"/>
        <v/>
      </c>
    </row>
    <row r="162" spans="5:47" ht="12.75">
      <c r="E162" t="s">
        <v>248</v>
      </c>
      <c r="G162" t="s">
        <v>154</v>
      </c>
      <c r="H162">
        <f>A$38</f>
        <v>2025</v>
      </c>
      <c r="I162" t="str">
        <f t="shared" si="114"/>
        <v>MINOILRSV2</v>
      </c>
      <c r="J162" t="s">
        <v>270</v>
      </c>
      <c r="K162" t="str">
        <f>IF(K$20=0,"",K161*$C$38)</f>
        <v/>
      </c>
      <c r="L162" t="str">
        <f t="shared" si="120" ref="L162:AU162">IF(L$20=0,"",L161*$C$38)</f>
        <v/>
      </c>
      <c r="M162" t="str">
        <f t="shared" si="120"/>
        <v/>
      </c>
      <c r="N162" t="str">
        <f t="shared" si="120"/>
        <v/>
      </c>
      <c r="O162" t="str">
        <f t="shared" si="120"/>
        <v/>
      </c>
      <c r="P162" t="str">
        <f t="shared" si="120"/>
        <v/>
      </c>
      <c r="Q162" t="str">
        <f t="shared" si="120"/>
        <v/>
      </c>
      <c r="R162" t="str">
        <f t="shared" si="120"/>
        <v/>
      </c>
      <c r="S162" t="str">
        <f t="shared" si="120"/>
        <v/>
      </c>
      <c r="T162" t="str">
        <f t="shared" si="120"/>
        <v/>
      </c>
      <c r="U162" t="str">
        <f t="shared" si="120"/>
        <v/>
      </c>
      <c r="V162" t="str">
        <f t="shared" si="120"/>
        <v/>
      </c>
      <c r="W162" t="str">
        <f t="shared" si="120"/>
        <v/>
      </c>
      <c r="X162" t="str">
        <f t="shared" si="120"/>
        <v/>
      </c>
      <c r="Y162" t="str">
        <f t="shared" si="120"/>
        <v/>
      </c>
      <c r="Z162" t="str">
        <f t="shared" si="120"/>
        <v/>
      </c>
      <c r="AA162" t="str">
        <f t="shared" si="120"/>
        <v/>
      </c>
      <c r="AB162">
        <f t="shared" si="120"/>
        <v>6.957102273216206</v>
      </c>
      <c r="AC162" t="str">
        <f t="shared" si="120"/>
        <v/>
      </c>
      <c r="AD162" t="str">
        <f t="shared" si="120"/>
        <v/>
      </c>
      <c r="AE162" t="str">
        <f t="shared" si="120"/>
        <v/>
      </c>
      <c r="AF162" t="str">
        <f t="shared" si="120"/>
        <v/>
      </c>
      <c r="AG162" t="str">
        <f t="shared" si="120"/>
        <v/>
      </c>
      <c r="AH162" t="str">
        <f t="shared" si="120"/>
        <v/>
      </c>
      <c r="AI162" t="str">
        <f t="shared" si="120"/>
        <v/>
      </c>
      <c r="AJ162" t="str">
        <f t="shared" si="120"/>
        <v/>
      </c>
      <c r="AK162" t="str">
        <f t="shared" si="120"/>
        <v/>
      </c>
      <c r="AL162" t="str">
        <f t="shared" si="120"/>
        <v/>
      </c>
      <c r="AM162" t="str">
        <f t="shared" si="120"/>
        <v/>
      </c>
      <c r="AN162" t="str">
        <f t="shared" si="120"/>
        <v/>
      </c>
      <c r="AO162" t="str">
        <f t="shared" si="120"/>
        <v/>
      </c>
      <c r="AP162" t="str">
        <f t="shared" si="120"/>
        <v/>
      </c>
      <c r="AQ162" t="str">
        <f t="shared" si="120"/>
        <v/>
      </c>
      <c r="AR162" t="str">
        <f t="shared" si="120"/>
        <v/>
      </c>
      <c r="AS162" t="str">
        <f t="shared" si="120"/>
        <v/>
      </c>
      <c r="AT162" t="str">
        <f t="shared" si="120"/>
        <v/>
      </c>
      <c r="AU162" t="str">
        <f t="shared" si="120"/>
        <v/>
      </c>
    </row>
    <row r="163" spans="5:47" ht="12.75">
      <c r="E163" t="s">
        <v>248</v>
      </c>
      <c r="G163" t="s">
        <v>154</v>
      </c>
      <c r="H163">
        <f>A$39</f>
        <v>2030</v>
      </c>
      <c r="I163" t="str">
        <f t="shared" si="114"/>
        <v>MINOILRSV2</v>
      </c>
      <c r="J163" t="s">
        <v>270</v>
      </c>
      <c r="K163" t="str">
        <f>IF(K$20=0,"",K162*$C$39)</f>
        <v/>
      </c>
      <c r="L163" t="str">
        <f t="shared" si="121" ref="L163:AU163">IF(L$20=0,"",L162*$C$39)</f>
        <v/>
      </c>
      <c r="M163" t="str">
        <f t="shared" si="121"/>
        <v/>
      </c>
      <c r="N163" t="str">
        <f t="shared" si="121"/>
        <v/>
      </c>
      <c r="O163" t="str">
        <f t="shared" si="121"/>
        <v/>
      </c>
      <c r="P163" t="str">
        <f t="shared" si="121"/>
        <v/>
      </c>
      <c r="Q163" t="str">
        <f t="shared" si="121"/>
        <v/>
      </c>
      <c r="R163" t="str">
        <f t="shared" si="121"/>
        <v/>
      </c>
      <c r="S163" t="str">
        <f t="shared" si="121"/>
        <v/>
      </c>
      <c r="T163" t="str">
        <f t="shared" si="121"/>
        <v/>
      </c>
      <c r="U163" t="str">
        <f t="shared" si="121"/>
        <v/>
      </c>
      <c r="V163" t="str">
        <f t="shared" si="121"/>
        <v/>
      </c>
      <c r="W163" t="str">
        <f t="shared" si="121"/>
        <v/>
      </c>
      <c r="X163" t="str">
        <f t="shared" si="121"/>
        <v/>
      </c>
      <c r="Y163" t="str">
        <f t="shared" si="121"/>
        <v/>
      </c>
      <c r="Z163" t="str">
        <f t="shared" si="121"/>
        <v/>
      </c>
      <c r="AA163" t="str">
        <f t="shared" si="121"/>
        <v/>
      </c>
      <c r="AB163">
        <f t="shared" si="121"/>
        <v>8.2721642882753645</v>
      </c>
      <c r="AC163" t="str">
        <f t="shared" si="121"/>
        <v/>
      </c>
      <c r="AD163" t="str">
        <f t="shared" si="121"/>
        <v/>
      </c>
      <c r="AE163" t="str">
        <f t="shared" si="121"/>
        <v/>
      </c>
      <c r="AF163" t="str">
        <f t="shared" si="121"/>
        <v/>
      </c>
      <c r="AG163" t="str">
        <f t="shared" si="121"/>
        <v/>
      </c>
      <c r="AH163" t="str">
        <f t="shared" si="121"/>
        <v/>
      </c>
      <c r="AI163" t="str">
        <f t="shared" si="121"/>
        <v/>
      </c>
      <c r="AJ163" t="str">
        <f t="shared" si="121"/>
        <v/>
      </c>
      <c r="AK163" t="str">
        <f t="shared" si="121"/>
        <v/>
      </c>
      <c r="AL163" t="str">
        <f t="shared" si="121"/>
        <v/>
      </c>
      <c r="AM163" t="str">
        <f t="shared" si="121"/>
        <v/>
      </c>
      <c r="AN163" t="str">
        <f t="shared" si="121"/>
        <v/>
      </c>
      <c r="AO163" t="str">
        <f t="shared" si="121"/>
        <v/>
      </c>
      <c r="AP163" t="str">
        <f t="shared" si="121"/>
        <v/>
      </c>
      <c r="AQ163" t="str">
        <f t="shared" si="121"/>
        <v/>
      </c>
      <c r="AR163" t="str">
        <f t="shared" si="121"/>
        <v/>
      </c>
      <c r="AS163" t="str">
        <f t="shared" si="121"/>
        <v/>
      </c>
      <c r="AT163" t="str">
        <f t="shared" si="121"/>
        <v/>
      </c>
      <c r="AU163" t="str">
        <f t="shared" si="121"/>
        <v/>
      </c>
    </row>
    <row r="164" spans="5:47" ht="12.75">
      <c r="E164" t="s">
        <v>248</v>
      </c>
      <c r="G164" t="s">
        <v>154</v>
      </c>
      <c r="H164">
        <f>A$40</f>
        <v>2035</v>
      </c>
      <c r="I164" t="str">
        <f t="shared" si="114"/>
        <v>MINOILRSV2</v>
      </c>
      <c r="J164" t="s">
        <v>270</v>
      </c>
      <c r="K164" t="str">
        <f>IF(K$20=0,"",K163*$C$40)</f>
        <v/>
      </c>
      <c r="L164" t="str">
        <f t="shared" si="122" ref="L164:AU164">IF(L$20=0,"",L163*$C$40)</f>
        <v/>
      </c>
      <c r="M164" t="str">
        <f t="shared" si="122"/>
        <v/>
      </c>
      <c r="N164" t="str">
        <f t="shared" si="122"/>
        <v/>
      </c>
      <c r="O164" t="str">
        <f t="shared" si="122"/>
        <v/>
      </c>
      <c r="P164" t="str">
        <f t="shared" si="122"/>
        <v/>
      </c>
      <c r="Q164" t="str">
        <f t="shared" si="122"/>
        <v/>
      </c>
      <c r="R164" t="str">
        <f t="shared" si="122"/>
        <v/>
      </c>
      <c r="S164" t="str">
        <f t="shared" si="122"/>
        <v/>
      </c>
      <c r="T164" t="str">
        <f t="shared" si="122"/>
        <v/>
      </c>
      <c r="U164" t="str">
        <f t="shared" si="122"/>
        <v/>
      </c>
      <c r="V164" t="str">
        <f t="shared" si="122"/>
        <v/>
      </c>
      <c r="W164" t="str">
        <f t="shared" si="122"/>
        <v/>
      </c>
      <c r="X164" t="str">
        <f t="shared" si="122"/>
        <v/>
      </c>
      <c r="Y164" t="str">
        <f t="shared" si="122"/>
        <v/>
      </c>
      <c r="Z164" t="str">
        <f t="shared" si="122"/>
        <v/>
      </c>
      <c r="AA164" t="str">
        <f t="shared" si="122"/>
        <v/>
      </c>
      <c r="AB164">
        <f t="shared" si="122"/>
        <v>8.5145720329867309</v>
      </c>
      <c r="AC164" t="str">
        <f t="shared" si="122"/>
        <v/>
      </c>
      <c r="AD164" t="str">
        <f t="shared" si="122"/>
        <v/>
      </c>
      <c r="AE164" t="str">
        <f t="shared" si="122"/>
        <v/>
      </c>
      <c r="AF164" t="str">
        <f t="shared" si="122"/>
        <v/>
      </c>
      <c r="AG164" t="str">
        <f t="shared" si="122"/>
        <v/>
      </c>
      <c r="AH164" t="str">
        <f t="shared" si="122"/>
        <v/>
      </c>
      <c r="AI164" t="str">
        <f t="shared" si="122"/>
        <v/>
      </c>
      <c r="AJ164" t="str">
        <f t="shared" si="122"/>
        <v/>
      </c>
      <c r="AK164" t="str">
        <f t="shared" si="122"/>
        <v/>
      </c>
      <c r="AL164" t="str">
        <f t="shared" si="122"/>
        <v/>
      </c>
      <c r="AM164" t="str">
        <f t="shared" si="122"/>
        <v/>
      </c>
      <c r="AN164" t="str">
        <f t="shared" si="122"/>
        <v/>
      </c>
      <c r="AO164" t="str">
        <f t="shared" si="122"/>
        <v/>
      </c>
      <c r="AP164" t="str">
        <f t="shared" si="122"/>
        <v/>
      </c>
      <c r="AQ164" t="str">
        <f t="shared" si="122"/>
        <v/>
      </c>
      <c r="AR164" t="str">
        <f t="shared" si="122"/>
        <v/>
      </c>
      <c r="AS164" t="str">
        <f t="shared" si="122"/>
        <v/>
      </c>
      <c r="AT164" t="str">
        <f t="shared" si="122"/>
        <v/>
      </c>
      <c r="AU164" t="str">
        <f t="shared" si="122"/>
        <v/>
      </c>
    </row>
    <row r="165" spans="5:47" ht="12.75">
      <c r="E165" t="s">
        <v>248</v>
      </c>
      <c r="G165" t="s">
        <v>154</v>
      </c>
      <c r="H165">
        <f>A$41</f>
        <v>2040</v>
      </c>
      <c r="I165" t="str">
        <f t="shared" si="114"/>
        <v>MINOILRSV2</v>
      </c>
      <c r="J165" t="s">
        <v>270</v>
      </c>
      <c r="K165" t="str">
        <f>IF(K$20=0,"",K164*$C$41)</f>
        <v/>
      </c>
      <c r="L165" t="str">
        <f t="shared" si="123" ref="L165:AU165">IF(L$20=0,"",L164*$C$41)</f>
        <v/>
      </c>
      <c r="M165" t="str">
        <f t="shared" si="123"/>
        <v/>
      </c>
      <c r="N165" t="str">
        <f t="shared" si="123"/>
        <v/>
      </c>
      <c r="O165" t="str">
        <f t="shared" si="123"/>
        <v/>
      </c>
      <c r="P165" t="str">
        <f t="shared" si="123"/>
        <v/>
      </c>
      <c r="Q165" t="str">
        <f t="shared" si="123"/>
        <v/>
      </c>
      <c r="R165" t="str">
        <f t="shared" si="123"/>
        <v/>
      </c>
      <c r="S165" t="str">
        <f t="shared" si="123"/>
        <v/>
      </c>
      <c r="T165" t="str">
        <f t="shared" si="123"/>
        <v/>
      </c>
      <c r="U165" t="str">
        <f t="shared" si="123"/>
        <v/>
      </c>
      <c r="V165" t="str">
        <f t="shared" si="123"/>
        <v/>
      </c>
      <c r="W165" t="str">
        <f t="shared" si="123"/>
        <v/>
      </c>
      <c r="X165" t="str">
        <f t="shared" si="123"/>
        <v/>
      </c>
      <c r="Y165" t="str">
        <f t="shared" si="123"/>
        <v/>
      </c>
      <c r="Z165" t="str">
        <f t="shared" si="123"/>
        <v/>
      </c>
      <c r="AA165" t="str">
        <f t="shared" si="123"/>
        <v/>
      </c>
      <c r="AB165">
        <f t="shared" si="123"/>
        <v>8.7569797776980955</v>
      </c>
      <c r="AC165" t="str">
        <f t="shared" si="123"/>
        <v/>
      </c>
      <c r="AD165" t="str">
        <f t="shared" si="123"/>
        <v/>
      </c>
      <c r="AE165" t="str">
        <f t="shared" si="123"/>
        <v/>
      </c>
      <c r="AF165" t="str">
        <f t="shared" si="123"/>
        <v/>
      </c>
      <c r="AG165" t="str">
        <f t="shared" si="123"/>
        <v/>
      </c>
      <c r="AH165" t="str">
        <f t="shared" si="123"/>
        <v/>
      </c>
      <c r="AI165" t="str">
        <f t="shared" si="123"/>
        <v/>
      </c>
      <c r="AJ165" t="str">
        <f t="shared" si="123"/>
        <v/>
      </c>
      <c r="AK165" t="str">
        <f t="shared" si="123"/>
        <v/>
      </c>
      <c r="AL165" t="str">
        <f t="shared" si="123"/>
        <v/>
      </c>
      <c r="AM165" t="str">
        <f t="shared" si="123"/>
        <v/>
      </c>
      <c r="AN165" t="str">
        <f t="shared" si="123"/>
        <v/>
      </c>
      <c r="AO165" t="str">
        <f t="shared" si="123"/>
        <v/>
      </c>
      <c r="AP165" t="str">
        <f t="shared" si="123"/>
        <v/>
      </c>
      <c r="AQ165" t="str">
        <f t="shared" si="123"/>
        <v/>
      </c>
      <c r="AR165" t="str">
        <f t="shared" si="123"/>
        <v/>
      </c>
      <c r="AS165" t="str">
        <f t="shared" si="123"/>
        <v/>
      </c>
      <c r="AT165" t="str">
        <f t="shared" si="123"/>
        <v/>
      </c>
      <c r="AU165" t="str">
        <f t="shared" si="123"/>
        <v/>
      </c>
    </row>
    <row r="166" spans="5:47" ht="12.75">
      <c r="E166" t="s">
        <v>248</v>
      </c>
      <c r="G166" t="s">
        <v>154</v>
      </c>
      <c r="H166">
        <f>A$42</f>
        <v>2045</v>
      </c>
      <c r="I166" t="str">
        <f t="shared" si="114"/>
        <v>MINOILRSV2</v>
      </c>
      <c r="J166" t="s">
        <v>270</v>
      </c>
      <c r="K166" t="str">
        <f>IF(K$20=0,"",K165*$C$42)</f>
        <v/>
      </c>
      <c r="L166" t="str">
        <f t="shared" si="124" ref="L166:AU166">IF(L$20=0,"",L165*$C$42)</f>
        <v/>
      </c>
      <c r="M166" t="str">
        <f t="shared" si="124"/>
        <v/>
      </c>
      <c r="N166" t="str">
        <f t="shared" si="124"/>
        <v/>
      </c>
      <c r="O166" t="str">
        <f t="shared" si="124"/>
        <v/>
      </c>
      <c r="P166" t="str">
        <f t="shared" si="124"/>
        <v/>
      </c>
      <c r="Q166" t="str">
        <f t="shared" si="124"/>
        <v/>
      </c>
      <c r="R166" t="str">
        <f t="shared" si="124"/>
        <v/>
      </c>
      <c r="S166" t="str">
        <f t="shared" si="124"/>
        <v/>
      </c>
      <c r="T166" t="str">
        <f t="shared" si="124"/>
        <v/>
      </c>
      <c r="U166" t="str">
        <f t="shared" si="124"/>
        <v/>
      </c>
      <c r="V166" t="str">
        <f t="shared" si="124"/>
        <v/>
      </c>
      <c r="W166" t="str">
        <f t="shared" si="124"/>
        <v/>
      </c>
      <c r="X166" t="str">
        <f t="shared" si="124"/>
        <v/>
      </c>
      <c r="Y166" t="str">
        <f t="shared" si="124"/>
        <v/>
      </c>
      <c r="Z166" t="str">
        <f t="shared" si="124"/>
        <v/>
      </c>
      <c r="AA166" t="str">
        <f t="shared" si="124"/>
        <v/>
      </c>
      <c r="AB166">
        <f t="shared" si="124"/>
        <v>9.6720690139835028</v>
      </c>
      <c r="AC166" t="str">
        <f t="shared" si="124"/>
        <v/>
      </c>
      <c r="AD166" t="str">
        <f t="shared" si="124"/>
        <v/>
      </c>
      <c r="AE166" t="str">
        <f t="shared" si="124"/>
        <v/>
      </c>
      <c r="AF166" t="str">
        <f t="shared" si="124"/>
        <v/>
      </c>
      <c r="AG166" t="str">
        <f t="shared" si="124"/>
        <v/>
      </c>
      <c r="AH166" t="str">
        <f t="shared" si="124"/>
        <v/>
      </c>
      <c r="AI166" t="str">
        <f t="shared" si="124"/>
        <v/>
      </c>
      <c r="AJ166" t="str">
        <f t="shared" si="124"/>
        <v/>
      </c>
      <c r="AK166" t="str">
        <f t="shared" si="124"/>
        <v/>
      </c>
      <c r="AL166" t="str">
        <f t="shared" si="124"/>
        <v/>
      </c>
      <c r="AM166" t="str">
        <f t="shared" si="124"/>
        <v/>
      </c>
      <c r="AN166" t="str">
        <f t="shared" si="124"/>
        <v/>
      </c>
      <c r="AO166" t="str">
        <f t="shared" si="124"/>
        <v/>
      </c>
      <c r="AP166" t="str">
        <f t="shared" si="124"/>
        <v/>
      </c>
      <c r="AQ166" t="str">
        <f t="shared" si="124"/>
        <v/>
      </c>
      <c r="AR166" t="str">
        <f t="shared" si="124"/>
        <v/>
      </c>
      <c r="AS166" t="str">
        <f t="shared" si="124"/>
        <v/>
      </c>
      <c r="AT166" t="str">
        <f t="shared" si="124"/>
        <v/>
      </c>
      <c r="AU166" t="str">
        <f t="shared" si="124"/>
        <v/>
      </c>
    </row>
    <row r="167" spans="5:47" ht="12.75">
      <c r="E167" t="s">
        <v>248</v>
      </c>
      <c r="G167" t="s">
        <v>154</v>
      </c>
      <c r="H167">
        <f>A$43</f>
        <v>2050</v>
      </c>
      <c r="I167" t="str">
        <f t="shared" si="114"/>
        <v>MINOILRSV2</v>
      </c>
      <c r="J167" t="s">
        <v>270</v>
      </c>
      <c r="K167" t="str">
        <f>IF(K$20=0,"",K166*$C$43)</f>
        <v/>
      </c>
      <c r="L167" t="str">
        <f t="shared" si="125" ref="L167:AU167">IF(L$20=0,"",L166*$C$43)</f>
        <v/>
      </c>
      <c r="M167" t="str">
        <f t="shared" si="125"/>
        <v/>
      </c>
      <c r="N167" t="str">
        <f t="shared" si="125"/>
        <v/>
      </c>
      <c r="O167" t="str">
        <f t="shared" si="125"/>
        <v/>
      </c>
      <c r="P167" t="str">
        <f t="shared" si="125"/>
        <v/>
      </c>
      <c r="Q167" t="str">
        <f t="shared" si="125"/>
        <v/>
      </c>
      <c r="R167" t="str">
        <f t="shared" si="125"/>
        <v/>
      </c>
      <c r="S167" t="str">
        <f t="shared" si="125"/>
        <v/>
      </c>
      <c r="T167" t="str">
        <f t="shared" si="125"/>
        <v/>
      </c>
      <c r="U167" t="str">
        <f t="shared" si="125"/>
        <v/>
      </c>
      <c r="V167" t="str">
        <f t="shared" si="125"/>
        <v/>
      </c>
      <c r="W167" t="str">
        <f t="shared" si="125"/>
        <v/>
      </c>
      <c r="X167" t="str">
        <f t="shared" si="125"/>
        <v/>
      </c>
      <c r="Y167" t="str">
        <f t="shared" si="125"/>
        <v/>
      </c>
      <c r="Z167" t="str">
        <f t="shared" si="125"/>
        <v/>
      </c>
      <c r="AA167" t="str">
        <f t="shared" si="125"/>
        <v/>
      </c>
      <c r="AB167">
        <f t="shared" si="125"/>
        <v>10.587158250268908</v>
      </c>
      <c r="AC167" t="str">
        <f t="shared" si="125"/>
        <v/>
      </c>
      <c r="AD167" t="str">
        <f t="shared" si="125"/>
        <v/>
      </c>
      <c r="AE167" t="str">
        <f t="shared" si="125"/>
        <v/>
      </c>
      <c r="AF167" t="str">
        <f t="shared" si="125"/>
        <v/>
      </c>
      <c r="AG167" t="str">
        <f t="shared" si="125"/>
        <v/>
      </c>
      <c r="AH167" t="str">
        <f t="shared" si="125"/>
        <v/>
      </c>
      <c r="AI167" t="str">
        <f t="shared" si="125"/>
        <v/>
      </c>
      <c r="AJ167" t="str">
        <f t="shared" si="125"/>
        <v/>
      </c>
      <c r="AK167" t="str">
        <f t="shared" si="125"/>
        <v/>
      </c>
      <c r="AL167" t="str">
        <f t="shared" si="125"/>
        <v/>
      </c>
      <c r="AM167" t="str">
        <f t="shared" si="125"/>
        <v/>
      </c>
      <c r="AN167" t="str">
        <f t="shared" si="125"/>
        <v/>
      </c>
      <c r="AO167" t="str">
        <f t="shared" si="125"/>
        <v/>
      </c>
      <c r="AP167" t="str">
        <f t="shared" si="125"/>
        <v/>
      </c>
      <c r="AQ167" t="str">
        <f t="shared" si="125"/>
        <v/>
      </c>
      <c r="AR167" t="str">
        <f t="shared" si="125"/>
        <v/>
      </c>
      <c r="AS167" t="str">
        <f t="shared" si="125"/>
        <v/>
      </c>
      <c r="AT167" t="str">
        <f t="shared" si="125"/>
        <v/>
      </c>
      <c r="AU167" t="str">
        <f t="shared" si="125"/>
        <v/>
      </c>
    </row>
    <row r="168" spans="5:47" ht="12.75">
      <c r="E168" t="s">
        <v>248</v>
      </c>
      <c r="G168" t="s">
        <v>154</v>
      </c>
      <c r="H168">
        <f>A$33</f>
        <v>2001</v>
      </c>
      <c r="I168" t="str">
        <f t="shared" si="126" ref="I168:I178">I$21</f>
        <v>MINOILRSV3</v>
      </c>
      <c r="J168" t="s">
        <v>270</v>
      </c>
      <c r="K168" t="str">
        <f>IF(K$21=0,"",K$21*$C$33)</f>
        <v/>
      </c>
      <c r="L168" t="str">
        <f t="shared" si="127" ref="L168:AU168">IF(L$21=0,"",L$21*$C$33)</f>
        <v/>
      </c>
      <c r="M168" t="str">
        <f t="shared" si="127"/>
        <v/>
      </c>
      <c r="N168" t="str">
        <f t="shared" si="127"/>
        <v/>
      </c>
      <c r="O168" t="str">
        <f t="shared" si="127"/>
        <v/>
      </c>
      <c r="P168" t="str">
        <f t="shared" si="127"/>
        <v/>
      </c>
      <c r="Q168" t="str">
        <f t="shared" si="127"/>
        <v/>
      </c>
      <c r="R168" t="str">
        <f t="shared" si="127"/>
        <v/>
      </c>
      <c r="S168" t="str">
        <f t="shared" si="127"/>
        <v/>
      </c>
      <c r="T168" t="str">
        <f t="shared" si="127"/>
        <v/>
      </c>
      <c r="U168" t="str">
        <f t="shared" si="127"/>
        <v/>
      </c>
      <c r="V168" t="str">
        <f t="shared" si="127"/>
        <v/>
      </c>
      <c r="W168" t="str">
        <f t="shared" si="127"/>
        <v/>
      </c>
      <c r="X168" t="str">
        <f t="shared" si="127"/>
        <v/>
      </c>
      <c r="Y168" t="str">
        <f t="shared" si="127"/>
        <v/>
      </c>
      <c r="Z168" t="str">
        <f t="shared" si="127"/>
        <v/>
      </c>
      <c r="AA168" t="str">
        <f t="shared" si="127"/>
        <v/>
      </c>
      <c r="AB168" t="str">
        <f t="shared" si="127"/>
        <v/>
      </c>
      <c r="AC168" t="str">
        <f t="shared" si="127"/>
        <v/>
      </c>
      <c r="AD168" t="str">
        <f t="shared" si="127"/>
        <v/>
      </c>
      <c r="AE168" t="str">
        <f t="shared" si="127"/>
        <v/>
      </c>
      <c r="AF168" t="str">
        <f t="shared" si="127"/>
        <v/>
      </c>
      <c r="AG168" t="str">
        <f t="shared" si="127"/>
        <v/>
      </c>
      <c r="AH168" t="str">
        <f t="shared" si="127"/>
        <v/>
      </c>
      <c r="AI168" t="str">
        <f t="shared" si="127"/>
        <v/>
      </c>
      <c r="AJ168" t="str">
        <f t="shared" si="127"/>
        <v/>
      </c>
      <c r="AK168" t="str">
        <f t="shared" si="127"/>
        <v/>
      </c>
      <c r="AL168" t="str">
        <f t="shared" si="127"/>
        <v/>
      </c>
      <c r="AM168" t="str">
        <f t="shared" si="127"/>
        <v/>
      </c>
      <c r="AN168" t="str">
        <f t="shared" si="127"/>
        <v/>
      </c>
      <c r="AO168" t="str">
        <f t="shared" si="127"/>
        <v/>
      </c>
      <c r="AP168" t="str">
        <f t="shared" si="127"/>
        <v/>
      </c>
      <c r="AQ168" t="str">
        <f t="shared" si="127"/>
        <v/>
      </c>
      <c r="AR168" t="str">
        <f t="shared" si="127"/>
        <v/>
      </c>
      <c r="AS168" t="str">
        <f t="shared" si="127"/>
        <v/>
      </c>
      <c r="AT168" t="str">
        <f t="shared" si="127"/>
        <v/>
      </c>
      <c r="AU168" t="str">
        <f t="shared" si="127"/>
        <v/>
      </c>
    </row>
    <row r="169" spans="5:47" ht="12.75">
      <c r="E169" t="s">
        <v>248</v>
      </c>
      <c r="G169" t="s">
        <v>154</v>
      </c>
      <c r="H169">
        <f>A$34</f>
        <v>2005</v>
      </c>
      <c r="I169" t="str">
        <f t="shared" si="126"/>
        <v>MINOILRSV3</v>
      </c>
      <c r="J169" t="s">
        <v>270</v>
      </c>
      <c r="K169" t="str">
        <f>IF(K$21=0,"",K168*$C$34)</f>
        <v/>
      </c>
      <c r="L169" t="str">
        <f t="shared" si="128" ref="L169:AU169">IF(L$21=0,"",L168*$C$34)</f>
        <v/>
      </c>
      <c r="M169" t="str">
        <f t="shared" si="128"/>
        <v/>
      </c>
      <c r="N169" t="str">
        <f t="shared" si="128"/>
        <v/>
      </c>
      <c r="O169" t="str">
        <f t="shared" si="128"/>
        <v/>
      </c>
      <c r="P169" t="str">
        <f t="shared" si="128"/>
        <v/>
      </c>
      <c r="Q169" t="str">
        <f t="shared" si="128"/>
        <v/>
      </c>
      <c r="R169" t="str">
        <f t="shared" si="128"/>
        <v/>
      </c>
      <c r="S169" t="str">
        <f t="shared" si="128"/>
        <v/>
      </c>
      <c r="T169" t="str">
        <f t="shared" si="128"/>
        <v/>
      </c>
      <c r="U169" t="str">
        <f t="shared" si="128"/>
        <v/>
      </c>
      <c r="V169" t="str">
        <f t="shared" si="128"/>
        <v/>
      </c>
      <c r="W169" t="str">
        <f t="shared" si="128"/>
        <v/>
      </c>
      <c r="X169" t="str">
        <f t="shared" si="128"/>
        <v/>
      </c>
      <c r="Y169" t="str">
        <f t="shared" si="128"/>
        <v/>
      </c>
      <c r="Z169" t="str">
        <f t="shared" si="128"/>
        <v/>
      </c>
      <c r="AA169" t="str">
        <f t="shared" si="128"/>
        <v/>
      </c>
      <c r="AB169" t="str">
        <f t="shared" si="128"/>
        <v/>
      </c>
      <c r="AC169" t="str">
        <f t="shared" si="128"/>
        <v/>
      </c>
      <c r="AD169" t="str">
        <f t="shared" si="128"/>
        <v/>
      </c>
      <c r="AE169" t="str">
        <f t="shared" si="128"/>
        <v/>
      </c>
      <c r="AF169" t="str">
        <f t="shared" si="128"/>
        <v/>
      </c>
      <c r="AG169" t="str">
        <f t="shared" si="128"/>
        <v/>
      </c>
      <c r="AH169" t="str">
        <f t="shared" si="128"/>
        <v/>
      </c>
      <c r="AI169" t="str">
        <f t="shared" si="128"/>
        <v/>
      </c>
      <c r="AJ169" t="str">
        <f t="shared" si="128"/>
        <v/>
      </c>
      <c r="AK169" t="str">
        <f t="shared" si="128"/>
        <v/>
      </c>
      <c r="AL169" t="str">
        <f t="shared" si="128"/>
        <v/>
      </c>
      <c r="AM169" t="str">
        <f t="shared" si="128"/>
        <v/>
      </c>
      <c r="AN169" t="str">
        <f t="shared" si="128"/>
        <v/>
      </c>
      <c r="AO169" t="str">
        <f t="shared" si="128"/>
        <v/>
      </c>
      <c r="AP169" t="str">
        <f t="shared" si="128"/>
        <v/>
      </c>
      <c r="AQ169" t="str">
        <f t="shared" si="128"/>
        <v/>
      </c>
      <c r="AR169" t="str">
        <f t="shared" si="128"/>
        <v/>
      </c>
      <c r="AS169" t="str">
        <f t="shared" si="128"/>
        <v/>
      </c>
      <c r="AT169" t="str">
        <f t="shared" si="128"/>
        <v/>
      </c>
      <c r="AU169" t="str">
        <f t="shared" si="128"/>
        <v/>
      </c>
    </row>
    <row r="170" spans="5:47" ht="12.75">
      <c r="E170" t="s">
        <v>248</v>
      </c>
      <c r="G170" t="s">
        <v>154</v>
      </c>
      <c r="H170">
        <f>A$35</f>
        <v>2010</v>
      </c>
      <c r="I170" t="str">
        <f t="shared" si="126"/>
        <v>MINOILRSV3</v>
      </c>
      <c r="J170" t="s">
        <v>270</v>
      </c>
      <c r="K170" t="str">
        <f>IF(K$21=0,"",K169*$C$35)</f>
        <v/>
      </c>
      <c r="L170" t="str">
        <f t="shared" si="129" ref="L170:AU170">IF(L$21=0,"",L169*$C$35)</f>
        <v/>
      </c>
      <c r="M170" t="str">
        <f t="shared" si="129"/>
        <v/>
      </c>
      <c r="N170" t="str">
        <f t="shared" si="129"/>
        <v/>
      </c>
      <c r="O170" t="str">
        <f t="shared" si="129"/>
        <v/>
      </c>
      <c r="P170" t="str">
        <f t="shared" si="129"/>
        <v/>
      </c>
      <c r="Q170" t="str">
        <f t="shared" si="129"/>
        <v/>
      </c>
      <c r="R170" t="str">
        <f t="shared" si="129"/>
        <v/>
      </c>
      <c r="S170" t="str">
        <f t="shared" si="129"/>
        <v/>
      </c>
      <c r="T170" t="str">
        <f t="shared" si="129"/>
        <v/>
      </c>
      <c r="U170" t="str">
        <f t="shared" si="129"/>
        <v/>
      </c>
      <c r="V170" t="str">
        <f t="shared" si="129"/>
        <v/>
      </c>
      <c r="W170" t="str">
        <f t="shared" si="129"/>
        <v/>
      </c>
      <c r="X170" t="str">
        <f t="shared" si="129"/>
        <v/>
      </c>
      <c r="Y170" t="str">
        <f t="shared" si="129"/>
        <v/>
      </c>
      <c r="Z170" t="str">
        <f t="shared" si="129"/>
        <v/>
      </c>
      <c r="AA170" t="str">
        <f t="shared" si="129"/>
        <v/>
      </c>
      <c r="AB170" t="str">
        <f t="shared" si="129"/>
        <v/>
      </c>
      <c r="AC170" t="str">
        <f t="shared" si="129"/>
        <v/>
      </c>
      <c r="AD170" t="str">
        <f t="shared" si="129"/>
        <v/>
      </c>
      <c r="AE170" t="str">
        <f t="shared" si="129"/>
        <v/>
      </c>
      <c r="AF170" t="str">
        <f t="shared" si="129"/>
        <v/>
      </c>
      <c r="AG170" t="str">
        <f t="shared" si="129"/>
        <v/>
      </c>
      <c r="AH170" t="str">
        <f t="shared" si="129"/>
        <v/>
      </c>
      <c r="AI170" t="str">
        <f t="shared" si="129"/>
        <v/>
      </c>
      <c r="AJ170" t="str">
        <f t="shared" si="129"/>
        <v/>
      </c>
      <c r="AK170" t="str">
        <f t="shared" si="129"/>
        <v/>
      </c>
      <c r="AL170" t="str">
        <f t="shared" si="129"/>
        <v/>
      </c>
      <c r="AM170" t="str">
        <f t="shared" si="129"/>
        <v/>
      </c>
      <c r="AN170" t="str">
        <f t="shared" si="129"/>
        <v/>
      </c>
      <c r="AO170" t="str">
        <f t="shared" si="129"/>
        <v/>
      </c>
      <c r="AP170" t="str">
        <f t="shared" si="129"/>
        <v/>
      </c>
      <c r="AQ170" t="str">
        <f t="shared" si="129"/>
        <v/>
      </c>
      <c r="AR170" t="str">
        <f t="shared" si="129"/>
        <v/>
      </c>
      <c r="AS170" t="str">
        <f t="shared" si="129"/>
        <v/>
      </c>
      <c r="AT170" t="str">
        <f t="shared" si="129"/>
        <v/>
      </c>
      <c r="AU170" t="str">
        <f t="shared" si="129"/>
        <v/>
      </c>
    </row>
    <row r="171" spans="5:47" ht="12.75">
      <c r="E171" t="s">
        <v>248</v>
      </c>
      <c r="G171" t="s">
        <v>154</v>
      </c>
      <c r="H171">
        <f>A$36</f>
        <v>2015</v>
      </c>
      <c r="I171" t="str">
        <f t="shared" si="126"/>
        <v>MINOILRSV3</v>
      </c>
      <c r="J171" t="s">
        <v>270</v>
      </c>
      <c r="K171" t="str">
        <f>IF(K$21=0,"",K170*$C$36)</f>
        <v/>
      </c>
      <c r="L171" t="str">
        <f t="shared" si="130" ref="L171:AU171">IF(L$21=0,"",L170*$C$36)</f>
        <v/>
      </c>
      <c r="M171" t="str">
        <f t="shared" si="130"/>
        <v/>
      </c>
      <c r="N171" t="str">
        <f t="shared" si="130"/>
        <v/>
      </c>
      <c r="O171" t="str">
        <f t="shared" si="130"/>
        <v/>
      </c>
      <c r="P171" t="str">
        <f t="shared" si="130"/>
        <v/>
      </c>
      <c r="Q171" t="str">
        <f t="shared" si="130"/>
        <v/>
      </c>
      <c r="R171" t="str">
        <f t="shared" si="130"/>
        <v/>
      </c>
      <c r="S171" t="str">
        <f t="shared" si="130"/>
        <v/>
      </c>
      <c r="T171" t="str">
        <f t="shared" si="130"/>
        <v/>
      </c>
      <c r="U171" t="str">
        <f t="shared" si="130"/>
        <v/>
      </c>
      <c r="V171" t="str">
        <f t="shared" si="130"/>
        <v/>
      </c>
      <c r="W171" t="str">
        <f t="shared" si="130"/>
        <v/>
      </c>
      <c r="X171" t="str">
        <f t="shared" si="130"/>
        <v/>
      </c>
      <c r="Y171" t="str">
        <f t="shared" si="130"/>
        <v/>
      </c>
      <c r="Z171" t="str">
        <f t="shared" si="130"/>
        <v/>
      </c>
      <c r="AA171" t="str">
        <f t="shared" si="130"/>
        <v/>
      </c>
      <c r="AB171" t="str">
        <f t="shared" si="130"/>
        <v/>
      </c>
      <c r="AC171" t="str">
        <f t="shared" si="130"/>
        <v/>
      </c>
      <c r="AD171" t="str">
        <f t="shared" si="130"/>
        <v/>
      </c>
      <c r="AE171" t="str">
        <f t="shared" si="130"/>
        <v/>
      </c>
      <c r="AF171" t="str">
        <f t="shared" si="130"/>
        <v/>
      </c>
      <c r="AG171" t="str">
        <f t="shared" si="130"/>
        <v/>
      </c>
      <c r="AH171" t="str">
        <f t="shared" si="130"/>
        <v/>
      </c>
      <c r="AI171" t="str">
        <f t="shared" si="130"/>
        <v/>
      </c>
      <c r="AJ171" t="str">
        <f t="shared" si="130"/>
        <v/>
      </c>
      <c r="AK171" t="str">
        <f t="shared" si="130"/>
        <v/>
      </c>
      <c r="AL171" t="str">
        <f t="shared" si="130"/>
        <v/>
      </c>
      <c r="AM171" t="str">
        <f t="shared" si="130"/>
        <v/>
      </c>
      <c r="AN171" t="str">
        <f t="shared" si="130"/>
        <v/>
      </c>
      <c r="AO171" t="str">
        <f t="shared" si="130"/>
        <v/>
      </c>
      <c r="AP171" t="str">
        <f t="shared" si="130"/>
        <v/>
      </c>
      <c r="AQ171" t="str">
        <f t="shared" si="130"/>
        <v/>
      </c>
      <c r="AR171" t="str">
        <f t="shared" si="130"/>
        <v/>
      </c>
      <c r="AS171" t="str">
        <f t="shared" si="130"/>
        <v/>
      </c>
      <c r="AT171" t="str">
        <f t="shared" si="130"/>
        <v/>
      </c>
      <c r="AU171" t="str">
        <f t="shared" si="130"/>
        <v/>
      </c>
    </row>
    <row r="172" spans="5:47" ht="12.75">
      <c r="E172" t="s">
        <v>248</v>
      </c>
      <c r="G172" t="s">
        <v>154</v>
      </c>
      <c r="H172">
        <f>A$37</f>
        <v>2020</v>
      </c>
      <c r="I172" t="str">
        <f t="shared" si="126"/>
        <v>MINOILRSV3</v>
      </c>
      <c r="J172" t="s">
        <v>270</v>
      </c>
      <c r="K172" t="str">
        <f>IF(K$21=0,"",K171*$C$37)</f>
        <v/>
      </c>
      <c r="L172" t="str">
        <f t="shared" si="131" ref="L172:AU172">IF(L$21=0,"",L171*$C$37)</f>
        <v/>
      </c>
      <c r="M172" t="str">
        <f t="shared" si="131"/>
        <v/>
      </c>
      <c r="N172" t="str">
        <f t="shared" si="131"/>
        <v/>
      </c>
      <c r="O172" t="str">
        <f t="shared" si="131"/>
        <v/>
      </c>
      <c r="P172" t="str">
        <f t="shared" si="131"/>
        <v/>
      </c>
      <c r="Q172" t="str">
        <f t="shared" si="131"/>
        <v/>
      </c>
      <c r="R172" t="str">
        <f t="shared" si="131"/>
        <v/>
      </c>
      <c r="S172" t="str">
        <f t="shared" si="131"/>
        <v/>
      </c>
      <c r="T172" t="str">
        <f t="shared" si="131"/>
        <v/>
      </c>
      <c r="U172" t="str">
        <f t="shared" si="131"/>
        <v/>
      </c>
      <c r="V172" t="str">
        <f t="shared" si="131"/>
        <v/>
      </c>
      <c r="W172" t="str">
        <f t="shared" si="131"/>
        <v/>
      </c>
      <c r="X172" t="str">
        <f t="shared" si="131"/>
        <v/>
      </c>
      <c r="Y172" t="str">
        <f t="shared" si="131"/>
        <v/>
      </c>
      <c r="Z172" t="str">
        <f t="shared" si="131"/>
        <v/>
      </c>
      <c r="AA172" t="str">
        <f t="shared" si="131"/>
        <v/>
      </c>
      <c r="AB172" t="str">
        <f t="shared" si="131"/>
        <v/>
      </c>
      <c r="AC172" t="str">
        <f t="shared" si="131"/>
        <v/>
      </c>
      <c r="AD172" t="str">
        <f t="shared" si="131"/>
        <v/>
      </c>
      <c r="AE172" t="str">
        <f t="shared" si="131"/>
        <v/>
      </c>
      <c r="AF172" t="str">
        <f t="shared" si="131"/>
        <v/>
      </c>
      <c r="AG172" t="str">
        <f t="shared" si="131"/>
        <v/>
      </c>
      <c r="AH172" t="str">
        <f t="shared" si="131"/>
        <v/>
      </c>
      <c r="AI172" t="str">
        <f t="shared" si="131"/>
        <v/>
      </c>
      <c r="AJ172" t="str">
        <f t="shared" si="131"/>
        <v/>
      </c>
      <c r="AK172" t="str">
        <f t="shared" si="131"/>
        <v/>
      </c>
      <c r="AL172" t="str">
        <f t="shared" si="131"/>
        <v/>
      </c>
      <c r="AM172" t="str">
        <f t="shared" si="131"/>
        <v/>
      </c>
      <c r="AN172" t="str">
        <f t="shared" si="131"/>
        <v/>
      </c>
      <c r="AO172" t="str">
        <f t="shared" si="131"/>
        <v/>
      </c>
      <c r="AP172" t="str">
        <f t="shared" si="131"/>
        <v/>
      </c>
      <c r="AQ172" t="str">
        <f t="shared" si="131"/>
        <v/>
      </c>
      <c r="AR172" t="str">
        <f t="shared" si="131"/>
        <v/>
      </c>
      <c r="AS172" t="str">
        <f t="shared" si="131"/>
        <v/>
      </c>
      <c r="AT172" t="str">
        <f t="shared" si="131"/>
        <v/>
      </c>
      <c r="AU172" t="str">
        <f t="shared" si="131"/>
        <v/>
      </c>
    </row>
    <row r="173" spans="5:47" ht="12.75">
      <c r="E173" t="s">
        <v>248</v>
      </c>
      <c r="G173" t="s">
        <v>154</v>
      </c>
      <c r="H173">
        <f>A$38</f>
        <v>2025</v>
      </c>
      <c r="I173" t="str">
        <f t="shared" si="126"/>
        <v>MINOILRSV3</v>
      </c>
      <c r="J173" t="s">
        <v>270</v>
      </c>
      <c r="K173" t="str">
        <f>IF(K$21=0,"",K172*$C$38)</f>
        <v/>
      </c>
      <c r="L173" t="str">
        <f t="shared" si="132" ref="L173:AU173">IF(L$21=0,"",L172*$C$38)</f>
        <v/>
      </c>
      <c r="M173" t="str">
        <f t="shared" si="132"/>
        <v/>
      </c>
      <c r="N173" t="str">
        <f t="shared" si="132"/>
        <v/>
      </c>
      <c r="O173" t="str">
        <f t="shared" si="132"/>
        <v/>
      </c>
      <c r="P173" t="str">
        <f t="shared" si="132"/>
        <v/>
      </c>
      <c r="Q173" t="str">
        <f t="shared" si="132"/>
        <v/>
      </c>
      <c r="R173" t="str">
        <f t="shared" si="132"/>
        <v/>
      </c>
      <c r="S173" t="str">
        <f t="shared" si="132"/>
        <v/>
      </c>
      <c r="T173" t="str">
        <f t="shared" si="132"/>
        <v/>
      </c>
      <c r="U173" t="str">
        <f t="shared" si="132"/>
        <v/>
      </c>
      <c r="V173" t="str">
        <f t="shared" si="132"/>
        <v/>
      </c>
      <c r="W173" t="str">
        <f t="shared" si="132"/>
        <v/>
      </c>
      <c r="X173" t="str">
        <f t="shared" si="132"/>
        <v/>
      </c>
      <c r="Y173" t="str">
        <f t="shared" si="132"/>
        <v/>
      </c>
      <c r="Z173" t="str">
        <f t="shared" si="132"/>
        <v/>
      </c>
      <c r="AA173" t="str">
        <f t="shared" si="132"/>
        <v/>
      </c>
      <c r="AB173" t="str">
        <f t="shared" si="132"/>
        <v/>
      </c>
      <c r="AC173" t="str">
        <f t="shared" si="132"/>
        <v/>
      </c>
      <c r="AD173" t="str">
        <f t="shared" si="132"/>
        <v/>
      </c>
      <c r="AE173" t="str">
        <f t="shared" si="132"/>
        <v/>
      </c>
      <c r="AF173" t="str">
        <f t="shared" si="132"/>
        <v/>
      </c>
      <c r="AG173" t="str">
        <f t="shared" si="132"/>
        <v/>
      </c>
      <c r="AH173" t="str">
        <f t="shared" si="132"/>
        <v/>
      </c>
      <c r="AI173" t="str">
        <f t="shared" si="132"/>
        <v/>
      </c>
      <c r="AJ173" t="str">
        <f t="shared" si="132"/>
        <v/>
      </c>
      <c r="AK173" t="str">
        <f t="shared" si="132"/>
        <v/>
      </c>
      <c r="AL173" t="str">
        <f t="shared" si="132"/>
        <v/>
      </c>
      <c r="AM173" t="str">
        <f t="shared" si="132"/>
        <v/>
      </c>
      <c r="AN173" t="str">
        <f t="shared" si="132"/>
        <v/>
      </c>
      <c r="AO173" t="str">
        <f t="shared" si="132"/>
        <v/>
      </c>
      <c r="AP173" t="str">
        <f t="shared" si="132"/>
        <v/>
      </c>
      <c r="AQ173" t="str">
        <f t="shared" si="132"/>
        <v/>
      </c>
      <c r="AR173" t="str">
        <f t="shared" si="132"/>
        <v/>
      </c>
      <c r="AS173" t="str">
        <f t="shared" si="132"/>
        <v/>
      </c>
      <c r="AT173" t="str">
        <f t="shared" si="132"/>
        <v/>
      </c>
      <c r="AU173" t="str">
        <f t="shared" si="132"/>
        <v/>
      </c>
    </row>
    <row r="174" spans="5:47" ht="12.75">
      <c r="E174" t="s">
        <v>248</v>
      </c>
      <c r="G174" t="s">
        <v>154</v>
      </c>
      <c r="H174">
        <f>A$39</f>
        <v>2030</v>
      </c>
      <c r="I174" t="str">
        <f t="shared" si="126"/>
        <v>MINOILRSV3</v>
      </c>
      <c r="J174" t="s">
        <v>270</v>
      </c>
      <c r="K174" t="str">
        <f>IF(K$21=0,"",K173*$C$39)</f>
        <v/>
      </c>
      <c r="L174" t="str">
        <f t="shared" si="133" ref="L174:AU174">IF(L$21=0,"",L173*$C$39)</f>
        <v/>
      </c>
      <c r="M174" t="str">
        <f t="shared" si="133"/>
        <v/>
      </c>
      <c r="N174" t="str">
        <f t="shared" si="133"/>
        <v/>
      </c>
      <c r="O174" t="str">
        <f t="shared" si="133"/>
        <v/>
      </c>
      <c r="P174" t="str">
        <f t="shared" si="133"/>
        <v/>
      </c>
      <c r="Q174" t="str">
        <f t="shared" si="133"/>
        <v/>
      </c>
      <c r="R174" t="str">
        <f t="shared" si="133"/>
        <v/>
      </c>
      <c r="S174" t="str">
        <f t="shared" si="133"/>
        <v/>
      </c>
      <c r="T174" t="str">
        <f t="shared" si="133"/>
        <v/>
      </c>
      <c r="U174" t="str">
        <f t="shared" si="133"/>
        <v/>
      </c>
      <c r="V174" t="str">
        <f t="shared" si="133"/>
        <v/>
      </c>
      <c r="W174" t="str">
        <f t="shared" si="133"/>
        <v/>
      </c>
      <c r="X174" t="str">
        <f t="shared" si="133"/>
        <v/>
      </c>
      <c r="Y174" t="str">
        <f t="shared" si="133"/>
        <v/>
      </c>
      <c r="Z174" t="str">
        <f t="shared" si="133"/>
        <v/>
      </c>
      <c r="AA174" t="str">
        <f t="shared" si="133"/>
        <v/>
      </c>
      <c r="AB174" t="str">
        <f t="shared" si="133"/>
        <v/>
      </c>
      <c r="AC174" t="str">
        <f t="shared" si="133"/>
        <v/>
      </c>
      <c r="AD174" t="str">
        <f t="shared" si="133"/>
        <v/>
      </c>
      <c r="AE174" t="str">
        <f t="shared" si="133"/>
        <v/>
      </c>
      <c r="AF174" t="str">
        <f t="shared" si="133"/>
        <v/>
      </c>
      <c r="AG174" t="str">
        <f t="shared" si="133"/>
        <v/>
      </c>
      <c r="AH174" t="str">
        <f t="shared" si="133"/>
        <v/>
      </c>
      <c r="AI174" t="str">
        <f t="shared" si="133"/>
        <v/>
      </c>
      <c r="AJ174" t="str">
        <f t="shared" si="133"/>
        <v/>
      </c>
      <c r="AK174" t="str">
        <f t="shared" si="133"/>
        <v/>
      </c>
      <c r="AL174" t="str">
        <f t="shared" si="133"/>
        <v/>
      </c>
      <c r="AM174" t="str">
        <f t="shared" si="133"/>
        <v/>
      </c>
      <c r="AN174" t="str">
        <f t="shared" si="133"/>
        <v/>
      </c>
      <c r="AO174" t="str">
        <f t="shared" si="133"/>
        <v/>
      </c>
      <c r="AP174" t="str">
        <f t="shared" si="133"/>
        <v/>
      </c>
      <c r="AQ174" t="str">
        <f t="shared" si="133"/>
        <v/>
      </c>
      <c r="AR174" t="str">
        <f t="shared" si="133"/>
        <v/>
      </c>
      <c r="AS174" t="str">
        <f t="shared" si="133"/>
        <v/>
      </c>
      <c r="AT174" t="str">
        <f t="shared" si="133"/>
        <v/>
      </c>
      <c r="AU174" t="str">
        <f t="shared" si="133"/>
        <v/>
      </c>
    </row>
    <row r="175" spans="5:47" ht="12.75">
      <c r="E175" t="s">
        <v>248</v>
      </c>
      <c r="G175" t="s">
        <v>154</v>
      </c>
      <c r="H175">
        <f>A$40</f>
        <v>2035</v>
      </c>
      <c r="I175" t="str">
        <f t="shared" si="126"/>
        <v>MINOILRSV3</v>
      </c>
      <c r="J175" t="s">
        <v>270</v>
      </c>
      <c r="K175" t="str">
        <f>IF(K$21=0,"",K174*$C$40)</f>
        <v/>
      </c>
      <c r="L175" t="str">
        <f t="shared" si="134" ref="L175:AU175">IF(L$21=0,"",L174*$C$40)</f>
        <v/>
      </c>
      <c r="M175" t="str">
        <f t="shared" si="134"/>
        <v/>
      </c>
      <c r="N175" t="str">
        <f t="shared" si="134"/>
        <v/>
      </c>
      <c r="O175" t="str">
        <f t="shared" si="134"/>
        <v/>
      </c>
      <c r="P175" t="str">
        <f t="shared" si="134"/>
        <v/>
      </c>
      <c r="Q175" t="str">
        <f t="shared" si="134"/>
        <v/>
      </c>
      <c r="R175" t="str">
        <f t="shared" si="134"/>
        <v/>
      </c>
      <c r="S175" t="str">
        <f t="shared" si="134"/>
        <v/>
      </c>
      <c r="T175" t="str">
        <f t="shared" si="134"/>
        <v/>
      </c>
      <c r="U175" t="str">
        <f t="shared" si="134"/>
        <v/>
      </c>
      <c r="V175" t="str">
        <f t="shared" si="134"/>
        <v/>
      </c>
      <c r="W175" t="str">
        <f t="shared" si="134"/>
        <v/>
      </c>
      <c r="X175" t="str">
        <f t="shared" si="134"/>
        <v/>
      </c>
      <c r="Y175" t="str">
        <f t="shared" si="134"/>
        <v/>
      </c>
      <c r="Z175" t="str">
        <f t="shared" si="134"/>
        <v/>
      </c>
      <c r="AA175" t="str">
        <f t="shared" si="134"/>
        <v/>
      </c>
      <c r="AB175" t="str">
        <f t="shared" si="134"/>
        <v/>
      </c>
      <c r="AC175" t="str">
        <f t="shared" si="134"/>
        <v/>
      </c>
      <c r="AD175" t="str">
        <f t="shared" si="134"/>
        <v/>
      </c>
      <c r="AE175" t="str">
        <f t="shared" si="134"/>
        <v/>
      </c>
      <c r="AF175" t="str">
        <f t="shared" si="134"/>
        <v/>
      </c>
      <c r="AG175" t="str">
        <f t="shared" si="134"/>
        <v/>
      </c>
      <c r="AH175" t="str">
        <f t="shared" si="134"/>
        <v/>
      </c>
      <c r="AI175" t="str">
        <f t="shared" si="134"/>
        <v/>
      </c>
      <c r="AJ175" t="str">
        <f t="shared" si="134"/>
        <v/>
      </c>
      <c r="AK175" t="str">
        <f t="shared" si="134"/>
        <v/>
      </c>
      <c r="AL175" t="str">
        <f t="shared" si="134"/>
        <v/>
      </c>
      <c r="AM175" t="str">
        <f t="shared" si="134"/>
        <v/>
      </c>
      <c r="AN175" t="str">
        <f t="shared" si="134"/>
        <v/>
      </c>
      <c r="AO175" t="str">
        <f t="shared" si="134"/>
        <v/>
      </c>
      <c r="AP175" t="str">
        <f t="shared" si="134"/>
        <v/>
      </c>
      <c r="AQ175" t="str">
        <f t="shared" si="134"/>
        <v/>
      </c>
      <c r="AR175" t="str">
        <f t="shared" si="134"/>
        <v/>
      </c>
      <c r="AS175" t="str">
        <f t="shared" si="134"/>
        <v/>
      </c>
      <c r="AT175" t="str">
        <f t="shared" si="134"/>
        <v/>
      </c>
      <c r="AU175" t="str">
        <f t="shared" si="134"/>
        <v/>
      </c>
    </row>
    <row r="176" spans="5:47" ht="12.75">
      <c r="E176" t="s">
        <v>248</v>
      </c>
      <c r="G176" t="s">
        <v>154</v>
      </c>
      <c r="H176">
        <f>A$41</f>
        <v>2040</v>
      </c>
      <c r="I176" t="str">
        <f t="shared" si="126"/>
        <v>MINOILRSV3</v>
      </c>
      <c r="J176" t="s">
        <v>270</v>
      </c>
      <c r="K176" t="str">
        <f>IF(K$21=0,"",K175*$C$41)</f>
        <v/>
      </c>
      <c r="L176" t="str">
        <f t="shared" si="135" ref="L176:AU176">IF(L$21=0,"",L175*$C$41)</f>
        <v/>
      </c>
      <c r="M176" t="str">
        <f t="shared" si="135"/>
        <v/>
      </c>
      <c r="N176" t="str">
        <f t="shared" si="135"/>
        <v/>
      </c>
      <c r="O176" t="str">
        <f t="shared" si="135"/>
        <v/>
      </c>
      <c r="P176" t="str">
        <f t="shared" si="135"/>
        <v/>
      </c>
      <c r="Q176" t="str">
        <f t="shared" si="135"/>
        <v/>
      </c>
      <c r="R176" t="str">
        <f t="shared" si="135"/>
        <v/>
      </c>
      <c r="S176" t="str">
        <f t="shared" si="135"/>
        <v/>
      </c>
      <c r="T176" t="str">
        <f t="shared" si="135"/>
        <v/>
      </c>
      <c r="U176" t="str">
        <f t="shared" si="135"/>
        <v/>
      </c>
      <c r="V176" t="str">
        <f t="shared" si="135"/>
        <v/>
      </c>
      <c r="W176" t="str">
        <f t="shared" si="135"/>
        <v/>
      </c>
      <c r="X176" t="str">
        <f t="shared" si="135"/>
        <v/>
      </c>
      <c r="Y176" t="str">
        <f t="shared" si="135"/>
        <v/>
      </c>
      <c r="Z176" t="str">
        <f t="shared" si="135"/>
        <v/>
      </c>
      <c r="AA176" t="str">
        <f t="shared" si="135"/>
        <v/>
      </c>
      <c r="AB176" t="str">
        <f t="shared" si="135"/>
        <v/>
      </c>
      <c r="AC176" t="str">
        <f t="shared" si="135"/>
        <v/>
      </c>
      <c r="AD176" t="str">
        <f t="shared" si="135"/>
        <v/>
      </c>
      <c r="AE176" t="str">
        <f t="shared" si="135"/>
        <v/>
      </c>
      <c r="AF176" t="str">
        <f t="shared" si="135"/>
        <v/>
      </c>
      <c r="AG176" t="str">
        <f t="shared" si="135"/>
        <v/>
      </c>
      <c r="AH176" t="str">
        <f t="shared" si="135"/>
        <v/>
      </c>
      <c r="AI176" t="str">
        <f t="shared" si="135"/>
        <v/>
      </c>
      <c r="AJ176" t="str">
        <f t="shared" si="135"/>
        <v/>
      </c>
      <c r="AK176" t="str">
        <f t="shared" si="135"/>
        <v/>
      </c>
      <c r="AL176" t="str">
        <f t="shared" si="135"/>
        <v/>
      </c>
      <c r="AM176" t="str">
        <f t="shared" si="135"/>
        <v/>
      </c>
      <c r="AN176" t="str">
        <f t="shared" si="135"/>
        <v/>
      </c>
      <c r="AO176" t="str">
        <f t="shared" si="135"/>
        <v/>
      </c>
      <c r="AP176" t="str">
        <f t="shared" si="135"/>
        <v/>
      </c>
      <c r="AQ176" t="str">
        <f t="shared" si="135"/>
        <v/>
      </c>
      <c r="AR176" t="str">
        <f t="shared" si="135"/>
        <v/>
      </c>
      <c r="AS176" t="str">
        <f t="shared" si="135"/>
        <v/>
      </c>
      <c r="AT176" t="str">
        <f t="shared" si="135"/>
        <v/>
      </c>
      <c r="AU176" t="str">
        <f t="shared" si="135"/>
        <v/>
      </c>
    </row>
    <row r="177" spans="5:47" ht="12.75">
      <c r="E177" t="s">
        <v>248</v>
      </c>
      <c r="G177" t="s">
        <v>154</v>
      </c>
      <c r="H177">
        <f>A$42</f>
        <v>2045</v>
      </c>
      <c r="I177" t="str">
        <f t="shared" si="126"/>
        <v>MINOILRSV3</v>
      </c>
      <c r="J177" t="s">
        <v>270</v>
      </c>
      <c r="K177" t="str">
        <f>IF(K$21=0,"",K176*$C$42)</f>
        <v/>
      </c>
      <c r="L177" t="str">
        <f t="shared" si="136" ref="L177:AU177">IF(L$21=0,"",L176*$C$42)</f>
        <v/>
      </c>
      <c r="M177" t="str">
        <f t="shared" si="136"/>
        <v/>
      </c>
      <c r="N177" t="str">
        <f t="shared" si="136"/>
        <v/>
      </c>
      <c r="O177" t="str">
        <f t="shared" si="136"/>
        <v/>
      </c>
      <c r="P177" t="str">
        <f t="shared" si="136"/>
        <v/>
      </c>
      <c r="Q177" t="str">
        <f t="shared" si="136"/>
        <v/>
      </c>
      <c r="R177" t="str">
        <f t="shared" si="136"/>
        <v/>
      </c>
      <c r="S177" t="str">
        <f t="shared" si="136"/>
        <v/>
      </c>
      <c r="T177" t="str">
        <f t="shared" si="136"/>
        <v/>
      </c>
      <c r="U177" t="str">
        <f t="shared" si="136"/>
        <v/>
      </c>
      <c r="V177" t="str">
        <f t="shared" si="136"/>
        <v/>
      </c>
      <c r="W177" t="str">
        <f t="shared" si="136"/>
        <v/>
      </c>
      <c r="X177" t="str">
        <f t="shared" si="136"/>
        <v/>
      </c>
      <c r="Y177" t="str">
        <f t="shared" si="136"/>
        <v/>
      </c>
      <c r="Z177" t="str">
        <f t="shared" si="136"/>
        <v/>
      </c>
      <c r="AA177" t="str">
        <f t="shared" si="136"/>
        <v/>
      </c>
      <c r="AB177" t="str">
        <f t="shared" si="136"/>
        <v/>
      </c>
      <c r="AC177" t="str">
        <f t="shared" si="136"/>
        <v/>
      </c>
      <c r="AD177" t="str">
        <f t="shared" si="136"/>
        <v/>
      </c>
      <c r="AE177" t="str">
        <f t="shared" si="136"/>
        <v/>
      </c>
      <c r="AF177" t="str">
        <f t="shared" si="136"/>
        <v/>
      </c>
      <c r="AG177" t="str">
        <f t="shared" si="136"/>
        <v/>
      </c>
      <c r="AH177" t="str">
        <f t="shared" si="136"/>
        <v/>
      </c>
      <c r="AI177" t="str">
        <f t="shared" si="136"/>
        <v/>
      </c>
      <c r="AJ177" t="str">
        <f t="shared" si="136"/>
        <v/>
      </c>
      <c r="AK177" t="str">
        <f t="shared" si="136"/>
        <v/>
      </c>
      <c r="AL177" t="str">
        <f t="shared" si="136"/>
        <v/>
      </c>
      <c r="AM177" t="str">
        <f t="shared" si="136"/>
        <v/>
      </c>
      <c r="AN177" t="str">
        <f t="shared" si="136"/>
        <v/>
      </c>
      <c r="AO177" t="str">
        <f t="shared" si="136"/>
        <v/>
      </c>
      <c r="AP177" t="str">
        <f t="shared" si="136"/>
        <v/>
      </c>
      <c r="AQ177" t="str">
        <f t="shared" si="136"/>
        <v/>
      </c>
      <c r="AR177" t="str">
        <f t="shared" si="136"/>
        <v/>
      </c>
      <c r="AS177" t="str">
        <f t="shared" si="136"/>
        <v/>
      </c>
      <c r="AT177" t="str">
        <f t="shared" si="136"/>
        <v/>
      </c>
      <c r="AU177" t="str">
        <f t="shared" si="136"/>
        <v/>
      </c>
    </row>
    <row r="178" spans="5:47" ht="12.75">
      <c r="E178" t="s">
        <v>248</v>
      </c>
      <c r="G178" t="s">
        <v>154</v>
      </c>
      <c r="H178">
        <f>A$43</f>
        <v>2050</v>
      </c>
      <c r="I178" t="str">
        <f t="shared" si="126"/>
        <v>MINOILRSV3</v>
      </c>
      <c r="J178" t="s">
        <v>270</v>
      </c>
      <c r="K178" t="str">
        <f>IF(K$21=0,"",K177*$C$43)</f>
        <v/>
      </c>
      <c r="L178" t="str">
        <f t="shared" si="137" ref="L178:AU178">IF(L$21=0,"",L177*$C$43)</f>
        <v/>
      </c>
      <c r="M178" t="str">
        <f t="shared" si="137"/>
        <v/>
      </c>
      <c r="N178" t="str">
        <f t="shared" si="137"/>
        <v/>
      </c>
      <c r="O178" t="str">
        <f t="shared" si="137"/>
        <v/>
      </c>
      <c r="P178" t="str">
        <f t="shared" si="137"/>
        <v/>
      </c>
      <c r="Q178" t="str">
        <f t="shared" si="137"/>
        <v/>
      </c>
      <c r="R178" t="str">
        <f t="shared" si="137"/>
        <v/>
      </c>
      <c r="S178" t="str">
        <f t="shared" si="137"/>
        <v/>
      </c>
      <c r="T178" t="str">
        <f t="shared" si="137"/>
        <v/>
      </c>
      <c r="U178" t="str">
        <f t="shared" si="137"/>
        <v/>
      </c>
      <c r="V178" t="str">
        <f t="shared" si="137"/>
        <v/>
      </c>
      <c r="W178" t="str">
        <f t="shared" si="137"/>
        <v/>
      </c>
      <c r="X178" t="str">
        <f t="shared" si="137"/>
        <v/>
      </c>
      <c r="Y178" t="str">
        <f t="shared" si="137"/>
        <v/>
      </c>
      <c r="Z178" t="str">
        <f t="shared" si="137"/>
        <v/>
      </c>
      <c r="AA178" t="str">
        <f t="shared" si="137"/>
        <v/>
      </c>
      <c r="AB178" t="str">
        <f t="shared" si="137"/>
        <v/>
      </c>
      <c r="AC178" t="str">
        <f t="shared" si="137"/>
        <v/>
      </c>
      <c r="AD178" t="str">
        <f t="shared" si="137"/>
        <v/>
      </c>
      <c r="AE178" t="str">
        <f t="shared" si="137"/>
        <v/>
      </c>
      <c r="AF178" t="str">
        <f t="shared" si="137"/>
        <v/>
      </c>
      <c r="AG178" t="str">
        <f t="shared" si="137"/>
        <v/>
      </c>
      <c r="AH178" t="str">
        <f t="shared" si="137"/>
        <v/>
      </c>
      <c r="AI178" t="str">
        <f t="shared" si="137"/>
        <v/>
      </c>
      <c r="AJ178" t="str">
        <f t="shared" si="137"/>
        <v/>
      </c>
      <c r="AK178" t="str">
        <f t="shared" si="137"/>
        <v/>
      </c>
      <c r="AL178" t="str">
        <f t="shared" si="137"/>
        <v/>
      </c>
      <c r="AM178" t="str">
        <f t="shared" si="137"/>
        <v/>
      </c>
      <c r="AN178" t="str">
        <f t="shared" si="137"/>
        <v/>
      </c>
      <c r="AO178" t="str">
        <f t="shared" si="137"/>
        <v/>
      </c>
      <c r="AP178" t="str">
        <f t="shared" si="137"/>
        <v/>
      </c>
      <c r="AQ178" t="str">
        <f t="shared" si="137"/>
        <v/>
      </c>
      <c r="AR178" t="str">
        <f t="shared" si="137"/>
        <v/>
      </c>
      <c r="AS178" t="str">
        <f t="shared" si="137"/>
        <v/>
      </c>
      <c r="AT178" t="str">
        <f t="shared" si="137"/>
        <v/>
      </c>
      <c r="AU178" t="str">
        <f t="shared" si="137"/>
        <v/>
      </c>
    </row>
    <row r="179" spans="5:47" ht="12.75">
      <c r="E179" t="s">
        <v>248</v>
      </c>
      <c r="G179" t="s">
        <v>154</v>
      </c>
      <c r="H179">
        <f>A$33</f>
        <v>2001</v>
      </c>
      <c r="I179" t="str">
        <f t="shared" si="138" ref="I179:I189">I$22</f>
        <v>MINOILRSV4</v>
      </c>
      <c r="J179" t="s">
        <v>270</v>
      </c>
      <c r="K179">
        <f>IF(K$22=0,"",K$22*$C$33)</f>
        <v>2.5129714813701369</v>
      </c>
      <c r="L179" t="str">
        <f t="shared" si="139" ref="L179:AU179">IF(L$22=0,"",L$22*$C$33)</f>
        <v/>
      </c>
      <c r="M179">
        <f t="shared" si="139"/>
        <v>2.5129714813701369</v>
      </c>
      <c r="N179" t="str">
        <f t="shared" si="139"/>
        <v/>
      </c>
      <c r="O179" t="str">
        <f t="shared" si="139"/>
        <v/>
      </c>
      <c r="P179">
        <f t="shared" si="139"/>
        <v>2.5129714813701369</v>
      </c>
      <c r="Q179">
        <f t="shared" si="139"/>
        <v>2.5129714813701369</v>
      </c>
      <c r="R179">
        <f t="shared" si="139"/>
        <v>2.5129714813701369</v>
      </c>
      <c r="S179" t="str">
        <f t="shared" si="139"/>
        <v/>
      </c>
      <c r="T179">
        <f t="shared" si="139"/>
        <v>3.7694572220552049</v>
      </c>
      <c r="U179" t="str">
        <f t="shared" si="139"/>
        <v/>
      </c>
      <c r="V179">
        <f t="shared" si="139"/>
        <v>2.7642686295071504</v>
      </c>
      <c r="W179">
        <f t="shared" si="139"/>
        <v>2.7642686295071504</v>
      </c>
      <c r="X179">
        <f t="shared" si="139"/>
        <v>2.7642686295071504</v>
      </c>
      <c r="Y179" t="str">
        <f t="shared" si="139"/>
        <v/>
      </c>
      <c r="Z179" t="str">
        <f t="shared" si="139"/>
        <v/>
      </c>
      <c r="AA179" t="str">
        <f t="shared" si="139"/>
        <v/>
      </c>
      <c r="AB179" t="str">
        <f t="shared" si="139"/>
        <v/>
      </c>
      <c r="AC179" t="str">
        <f t="shared" si="139"/>
        <v/>
      </c>
      <c r="AD179" t="str">
        <f t="shared" si="139"/>
        <v/>
      </c>
      <c r="AE179" t="str">
        <f t="shared" si="139"/>
        <v/>
      </c>
      <c r="AF179">
        <f t="shared" si="139"/>
        <v>2.2675520119356718</v>
      </c>
      <c r="AG179">
        <f t="shared" si="139"/>
        <v>2.2675520119356718</v>
      </c>
      <c r="AH179">
        <f t="shared" si="139"/>
        <v>2.5129714813701369</v>
      </c>
      <c r="AI179" t="str">
        <f t="shared" si="139"/>
        <v/>
      </c>
      <c r="AJ179">
        <f t="shared" si="139"/>
        <v>3.7694572220552049</v>
      </c>
      <c r="AK179" t="str">
        <f t="shared" si="139"/>
        <v/>
      </c>
      <c r="AL179" t="str">
        <f t="shared" si="139"/>
        <v/>
      </c>
      <c r="AM179">
        <f t="shared" si="139"/>
        <v>2.5129714813701369</v>
      </c>
      <c r="AN179">
        <f t="shared" si="139"/>
        <v>2.2675520119356718</v>
      </c>
      <c r="AO179" t="str">
        <f t="shared" si="139"/>
        <v/>
      </c>
      <c r="AP179" t="str">
        <f t="shared" si="139"/>
        <v/>
      </c>
      <c r="AQ179" t="str">
        <f t="shared" si="139"/>
        <v/>
      </c>
      <c r="AR179" t="str">
        <f t="shared" si="139"/>
        <v/>
      </c>
      <c r="AS179" t="str">
        <f t="shared" si="139"/>
        <v/>
      </c>
      <c r="AT179" t="str">
        <f t="shared" si="139"/>
        <v/>
      </c>
      <c r="AU179" t="str">
        <f t="shared" si="139"/>
        <v/>
      </c>
    </row>
    <row r="180" spans="5:47" ht="12.75">
      <c r="E180" t="s">
        <v>248</v>
      </c>
      <c r="G180" t="s">
        <v>154</v>
      </c>
      <c r="H180">
        <f>A$34</f>
        <v>2005</v>
      </c>
      <c r="I180" t="str">
        <f t="shared" si="138"/>
        <v>MINOILRSV4</v>
      </c>
      <c r="J180" t="s">
        <v>270</v>
      </c>
      <c r="K180">
        <f>IF(K$22=0,"",K179*$C$34)</f>
        <v>5.0909063384706572</v>
      </c>
      <c r="L180" t="str">
        <f t="shared" si="140" ref="L180:AU180">IF(L$22=0,"",L179*$C$34)</f>
        <v/>
      </c>
      <c r="M180">
        <f t="shared" si="140"/>
        <v>5.0909063384706572</v>
      </c>
      <c r="N180" t="str">
        <f t="shared" si="140"/>
        <v/>
      </c>
      <c r="O180" t="str">
        <f t="shared" si="140"/>
        <v/>
      </c>
      <c r="P180">
        <f t="shared" si="140"/>
        <v>5.0909063384706572</v>
      </c>
      <c r="Q180">
        <f t="shared" si="140"/>
        <v>5.0909063384706572</v>
      </c>
      <c r="R180">
        <f t="shared" si="140"/>
        <v>5.0909063384706572</v>
      </c>
      <c r="S180" t="str">
        <f t="shared" si="140"/>
        <v/>
      </c>
      <c r="T180">
        <f t="shared" si="140"/>
        <v>7.6363595077059854</v>
      </c>
      <c r="U180" t="str">
        <f t="shared" si="140"/>
        <v/>
      </c>
      <c r="V180">
        <f t="shared" si="140"/>
        <v>5.5999969723177223</v>
      </c>
      <c r="W180">
        <f t="shared" si="140"/>
        <v>5.5999969723177223</v>
      </c>
      <c r="X180">
        <f t="shared" si="140"/>
        <v>5.5999969723177223</v>
      </c>
      <c r="Y180" t="str">
        <f t="shared" si="140"/>
        <v/>
      </c>
      <c r="Z180" t="str">
        <f t="shared" si="140"/>
        <v/>
      </c>
      <c r="AA180" t="str">
        <f t="shared" si="140"/>
        <v/>
      </c>
      <c r="AB180" t="str">
        <f t="shared" si="140"/>
        <v/>
      </c>
      <c r="AC180" t="str">
        <f t="shared" si="140"/>
        <v/>
      </c>
      <c r="AD180" t="str">
        <f t="shared" si="140"/>
        <v/>
      </c>
      <c r="AE180" t="str">
        <f t="shared" si="140"/>
        <v/>
      </c>
      <c r="AF180">
        <f t="shared" si="140"/>
        <v>4.5937230071871626</v>
      </c>
      <c r="AG180">
        <f t="shared" si="140"/>
        <v>4.5937230071871626</v>
      </c>
      <c r="AH180">
        <f t="shared" si="140"/>
        <v>5.0909063384706572</v>
      </c>
      <c r="AI180" t="str">
        <f t="shared" si="140"/>
        <v/>
      </c>
      <c r="AJ180">
        <f t="shared" si="140"/>
        <v>7.6363595077059854</v>
      </c>
      <c r="AK180" t="str">
        <f t="shared" si="140"/>
        <v/>
      </c>
      <c r="AL180" t="str">
        <f t="shared" si="140"/>
        <v/>
      </c>
      <c r="AM180">
        <f t="shared" si="140"/>
        <v>5.0909063384706572</v>
      </c>
      <c r="AN180">
        <f t="shared" si="140"/>
        <v>4.5937230071871626</v>
      </c>
      <c r="AO180" t="str">
        <f t="shared" si="140"/>
        <v/>
      </c>
      <c r="AP180" t="str">
        <f t="shared" si="140"/>
        <v/>
      </c>
      <c r="AQ180" t="str">
        <f t="shared" si="140"/>
        <v/>
      </c>
      <c r="AR180" t="str">
        <f t="shared" si="140"/>
        <v/>
      </c>
      <c r="AS180" t="str">
        <f t="shared" si="140"/>
        <v/>
      </c>
      <c r="AT180" t="str">
        <f t="shared" si="140"/>
        <v/>
      </c>
      <c r="AU180" t="str">
        <f t="shared" si="140"/>
        <v/>
      </c>
    </row>
    <row r="181" spans="5:47" ht="12.75">
      <c r="E181" t="s">
        <v>248</v>
      </c>
      <c r="G181" t="s">
        <v>154</v>
      </c>
      <c r="H181">
        <f>A$35</f>
        <v>2010</v>
      </c>
      <c r="I181" t="str">
        <f t="shared" si="138"/>
        <v>MINOILRSV4</v>
      </c>
      <c r="J181" t="s">
        <v>270</v>
      </c>
      <c r="K181">
        <f>IF(K$22=0,"",K180*$C$35)</f>
        <v>5.9509114377913237</v>
      </c>
      <c r="L181" t="str">
        <f t="shared" si="141" ref="L181:AU181">IF(L$22=0,"",L180*$C$35)</f>
        <v/>
      </c>
      <c r="M181">
        <f t="shared" si="141"/>
        <v>5.9509114377913237</v>
      </c>
      <c r="N181" t="str">
        <f t="shared" si="141"/>
        <v/>
      </c>
      <c r="O181" t="str">
        <f t="shared" si="141"/>
        <v/>
      </c>
      <c r="P181">
        <f t="shared" si="141"/>
        <v>5.9509114377913237</v>
      </c>
      <c r="Q181">
        <f t="shared" si="141"/>
        <v>5.9509114377913237</v>
      </c>
      <c r="R181">
        <f t="shared" si="141"/>
        <v>5.9509114377913237</v>
      </c>
      <c r="S181" t="str">
        <f t="shared" si="141"/>
        <v/>
      </c>
      <c r="T181">
        <f t="shared" si="141"/>
        <v>8.9263671566869842</v>
      </c>
      <c r="U181" t="str">
        <f t="shared" si="141"/>
        <v/>
      </c>
      <c r="V181">
        <f t="shared" si="141"/>
        <v>6.5460025815704546</v>
      </c>
      <c r="W181">
        <f t="shared" si="141"/>
        <v>6.5460025815704546</v>
      </c>
      <c r="X181">
        <f t="shared" si="141"/>
        <v>6.5460025815704546</v>
      </c>
      <c r="Y181" t="str">
        <f t="shared" si="141"/>
        <v/>
      </c>
      <c r="Z181" t="str">
        <f t="shared" si="141"/>
        <v/>
      </c>
      <c r="AA181" t="str">
        <f t="shared" si="141"/>
        <v/>
      </c>
      <c r="AB181" t="str">
        <f t="shared" si="141"/>
        <v/>
      </c>
      <c r="AC181" t="str">
        <f t="shared" si="141"/>
        <v/>
      </c>
      <c r="AD181" t="str">
        <f t="shared" si="141"/>
        <v/>
      </c>
      <c r="AE181" t="str">
        <f t="shared" si="141"/>
        <v/>
      </c>
      <c r="AF181">
        <f t="shared" si="141"/>
        <v>5.3697390932019013</v>
      </c>
      <c r="AG181">
        <f t="shared" si="141"/>
        <v>5.3697390932019013</v>
      </c>
      <c r="AH181">
        <f t="shared" si="141"/>
        <v>5.9509114377913237</v>
      </c>
      <c r="AI181" t="str">
        <f t="shared" si="141"/>
        <v/>
      </c>
      <c r="AJ181">
        <f t="shared" si="141"/>
        <v>8.9263671566869842</v>
      </c>
      <c r="AK181" t="str">
        <f t="shared" si="141"/>
        <v/>
      </c>
      <c r="AL181" t="str">
        <f t="shared" si="141"/>
        <v/>
      </c>
      <c r="AM181">
        <f t="shared" si="141"/>
        <v>5.9509114377913237</v>
      </c>
      <c r="AN181">
        <f t="shared" si="141"/>
        <v>5.3697390932019013</v>
      </c>
      <c r="AO181" t="str">
        <f t="shared" si="141"/>
        <v/>
      </c>
      <c r="AP181" t="str">
        <f t="shared" si="141"/>
        <v/>
      </c>
      <c r="AQ181" t="str">
        <f t="shared" si="141"/>
        <v/>
      </c>
      <c r="AR181" t="str">
        <f t="shared" si="141"/>
        <v/>
      </c>
      <c r="AS181" t="str">
        <f t="shared" si="141"/>
        <v/>
      </c>
      <c r="AT181" t="str">
        <f t="shared" si="141"/>
        <v/>
      </c>
      <c r="AU181" t="str">
        <f t="shared" si="141"/>
        <v/>
      </c>
    </row>
    <row r="182" spans="5:47" ht="12.75">
      <c r="E182" t="s">
        <v>248</v>
      </c>
      <c r="G182" t="s">
        <v>154</v>
      </c>
      <c r="H182">
        <f>A$36</f>
        <v>2015</v>
      </c>
      <c r="I182" t="str">
        <f t="shared" si="138"/>
        <v>MINOILRSV4</v>
      </c>
      <c r="J182" t="s">
        <v>270</v>
      </c>
      <c r="K182">
        <f>IF(K$22=0,"",K181*$C$36)</f>
        <v>5.7964758479741851</v>
      </c>
      <c r="L182" t="str">
        <f t="shared" si="142" ref="L182:AU182">IF(L$22=0,"",L181*$C$36)</f>
        <v/>
      </c>
      <c r="M182">
        <f t="shared" si="142"/>
        <v>5.7964758479741851</v>
      </c>
      <c r="N182" t="str">
        <f t="shared" si="142"/>
        <v/>
      </c>
      <c r="O182" t="str">
        <f t="shared" si="142"/>
        <v/>
      </c>
      <c r="P182">
        <f t="shared" si="142"/>
        <v>5.7964758479741851</v>
      </c>
      <c r="Q182">
        <f t="shared" si="142"/>
        <v>5.7964758479741851</v>
      </c>
      <c r="R182">
        <f t="shared" si="142"/>
        <v>5.7964758479741851</v>
      </c>
      <c r="S182" t="str">
        <f t="shared" si="142"/>
        <v/>
      </c>
      <c r="T182">
        <f t="shared" si="142"/>
        <v>8.6947137719612773</v>
      </c>
      <c r="U182" t="str">
        <f t="shared" si="142"/>
        <v/>
      </c>
      <c r="V182">
        <f t="shared" si="142"/>
        <v>6.3761234327716023</v>
      </c>
      <c r="W182">
        <f t="shared" si="142"/>
        <v>6.3761234327716023</v>
      </c>
      <c r="X182">
        <f t="shared" si="142"/>
        <v>6.3761234327716023</v>
      </c>
      <c r="Y182" t="str">
        <f t="shared" si="142"/>
        <v/>
      </c>
      <c r="Z182" t="str">
        <f t="shared" si="142"/>
        <v/>
      </c>
      <c r="AA182" t="str">
        <f t="shared" si="142"/>
        <v/>
      </c>
      <c r="AB182" t="str">
        <f t="shared" si="142"/>
        <v/>
      </c>
      <c r="AC182" t="str">
        <f t="shared" si="142"/>
        <v/>
      </c>
      <c r="AD182" t="str">
        <f t="shared" si="142"/>
        <v/>
      </c>
      <c r="AE182" t="str">
        <f t="shared" si="142"/>
        <v/>
      </c>
      <c r="AF182">
        <f t="shared" si="142"/>
        <v>5.2303858474526139</v>
      </c>
      <c r="AG182">
        <f t="shared" si="142"/>
        <v>5.2303858474526139</v>
      </c>
      <c r="AH182">
        <f t="shared" si="142"/>
        <v>5.7964758479741851</v>
      </c>
      <c r="AI182" t="str">
        <f t="shared" si="142"/>
        <v/>
      </c>
      <c r="AJ182">
        <f t="shared" si="142"/>
        <v>8.6947137719612773</v>
      </c>
      <c r="AK182" t="str">
        <f t="shared" si="142"/>
        <v/>
      </c>
      <c r="AL182" t="str">
        <f t="shared" si="142"/>
        <v/>
      </c>
      <c r="AM182">
        <f t="shared" si="142"/>
        <v>5.7964758479741851</v>
      </c>
      <c r="AN182">
        <f t="shared" si="142"/>
        <v>5.2303858474526139</v>
      </c>
      <c r="AO182" t="str">
        <f t="shared" si="142"/>
        <v/>
      </c>
      <c r="AP182" t="str">
        <f t="shared" si="142"/>
        <v/>
      </c>
      <c r="AQ182" t="str">
        <f t="shared" si="142"/>
        <v/>
      </c>
      <c r="AR182" t="str">
        <f t="shared" si="142"/>
        <v/>
      </c>
      <c r="AS182" t="str">
        <f t="shared" si="142"/>
        <v/>
      </c>
      <c r="AT182" t="str">
        <f t="shared" si="142"/>
        <v/>
      </c>
      <c r="AU182" t="str">
        <f t="shared" si="142"/>
        <v/>
      </c>
    </row>
    <row r="183" spans="5:47" ht="12.75">
      <c r="E183" t="s">
        <v>248</v>
      </c>
      <c r="G183" t="s">
        <v>154</v>
      </c>
      <c r="H183">
        <f>A$37</f>
        <v>2020</v>
      </c>
      <c r="I183" t="str">
        <f t="shared" si="138"/>
        <v>MINOILRSV4</v>
      </c>
      <c r="J183" t="s">
        <v>270</v>
      </c>
      <c r="K183">
        <f>IF(K$22=0,"",K182*$C$37)</f>
        <v>5.6420402581570457</v>
      </c>
      <c r="L183" t="str">
        <f t="shared" si="143" ref="L183:AU183">IF(L$22=0,"",L182*$C$37)</f>
        <v/>
      </c>
      <c r="M183">
        <f t="shared" si="143"/>
        <v>5.6420402581570457</v>
      </c>
      <c r="N183" t="str">
        <f t="shared" si="143"/>
        <v/>
      </c>
      <c r="O183" t="str">
        <f t="shared" si="143"/>
        <v/>
      </c>
      <c r="P183">
        <f t="shared" si="143"/>
        <v>5.6420402581570457</v>
      </c>
      <c r="Q183">
        <f t="shared" si="143"/>
        <v>5.6420402581570457</v>
      </c>
      <c r="R183">
        <f t="shared" si="143"/>
        <v>5.6420402581570457</v>
      </c>
      <c r="S183" t="str">
        <f t="shared" si="143"/>
        <v/>
      </c>
      <c r="T183">
        <f t="shared" si="143"/>
        <v>8.4630603872355685</v>
      </c>
      <c r="U183" t="str">
        <f t="shared" si="143"/>
        <v/>
      </c>
      <c r="V183">
        <f t="shared" si="143"/>
        <v>6.2062442839727492</v>
      </c>
      <c r="W183">
        <f t="shared" si="143"/>
        <v>6.2062442839727492</v>
      </c>
      <c r="X183">
        <f t="shared" si="143"/>
        <v>6.2062442839727492</v>
      </c>
      <c r="Y183" t="str">
        <f t="shared" si="143"/>
        <v/>
      </c>
      <c r="Z183" t="str">
        <f t="shared" si="143"/>
        <v/>
      </c>
      <c r="AA183" t="str">
        <f t="shared" si="143"/>
        <v/>
      </c>
      <c r="AB183" t="str">
        <f t="shared" si="143"/>
        <v/>
      </c>
      <c r="AC183" t="str">
        <f t="shared" si="143"/>
        <v/>
      </c>
      <c r="AD183" t="str">
        <f t="shared" si="143"/>
        <v/>
      </c>
      <c r="AE183" t="str">
        <f t="shared" si="143"/>
        <v/>
      </c>
      <c r="AF183">
        <f t="shared" si="143"/>
        <v>5.0910326017033256</v>
      </c>
      <c r="AG183">
        <f t="shared" si="143"/>
        <v>5.0910326017033256</v>
      </c>
      <c r="AH183">
        <f t="shared" si="143"/>
        <v>5.6420402581570457</v>
      </c>
      <c r="AI183" t="str">
        <f t="shared" si="143"/>
        <v/>
      </c>
      <c r="AJ183">
        <f t="shared" si="143"/>
        <v>8.4630603872355685</v>
      </c>
      <c r="AK183" t="str">
        <f t="shared" si="143"/>
        <v/>
      </c>
      <c r="AL183" t="str">
        <f t="shared" si="143"/>
        <v/>
      </c>
      <c r="AM183">
        <f t="shared" si="143"/>
        <v>5.6420402581570457</v>
      </c>
      <c r="AN183">
        <f t="shared" si="143"/>
        <v>5.0910326017033256</v>
      </c>
      <c r="AO183" t="str">
        <f t="shared" si="143"/>
        <v/>
      </c>
      <c r="AP183" t="str">
        <f t="shared" si="143"/>
        <v/>
      </c>
      <c r="AQ183" t="str">
        <f t="shared" si="143"/>
        <v/>
      </c>
      <c r="AR183" t="str">
        <f t="shared" si="143"/>
        <v/>
      </c>
      <c r="AS183" t="str">
        <f t="shared" si="143"/>
        <v/>
      </c>
      <c r="AT183" t="str">
        <f t="shared" si="143"/>
        <v/>
      </c>
      <c r="AU183" t="str">
        <f t="shared" si="143"/>
        <v/>
      </c>
    </row>
    <row r="184" spans="5:47" ht="12.75">
      <c r="E184" t="s">
        <v>248</v>
      </c>
      <c r="G184" t="s">
        <v>154</v>
      </c>
      <c r="H184">
        <f>A$38</f>
        <v>2025</v>
      </c>
      <c r="I184" t="str">
        <f t="shared" si="138"/>
        <v>MINOILRSV4</v>
      </c>
      <c r="J184" t="s">
        <v>270</v>
      </c>
      <c r="K184">
        <f>IF(K$22=0,"",K183*$C$38)</f>
        <v>6.957102273216206</v>
      </c>
      <c r="L184" t="str">
        <f t="shared" si="144" ref="L184:AU184">IF(L$22=0,"",L183*$C$38)</f>
        <v/>
      </c>
      <c r="M184">
        <f t="shared" si="144"/>
        <v>6.957102273216206</v>
      </c>
      <c r="N184" t="str">
        <f t="shared" si="144"/>
        <v/>
      </c>
      <c r="O184" t="str">
        <f t="shared" si="144"/>
        <v/>
      </c>
      <c r="P184">
        <f t="shared" si="144"/>
        <v>6.957102273216206</v>
      </c>
      <c r="Q184">
        <f t="shared" si="144"/>
        <v>6.957102273216206</v>
      </c>
      <c r="R184">
        <f t="shared" si="144"/>
        <v>6.957102273216206</v>
      </c>
      <c r="S184" t="str">
        <f t="shared" si="144"/>
        <v/>
      </c>
      <c r="T184">
        <f t="shared" si="144"/>
        <v>10.43565340982431</v>
      </c>
      <c r="U184" t="str">
        <f t="shared" si="144"/>
        <v/>
      </c>
      <c r="V184">
        <f t="shared" si="144"/>
        <v>7.6528125005378254</v>
      </c>
      <c r="W184">
        <f t="shared" si="144"/>
        <v>7.6528125005378254</v>
      </c>
      <c r="X184">
        <f t="shared" si="144"/>
        <v>7.6528125005378254</v>
      </c>
      <c r="Y184" t="str">
        <f t="shared" si="144"/>
        <v/>
      </c>
      <c r="Z184" t="str">
        <f t="shared" si="144"/>
        <v/>
      </c>
      <c r="AA184" t="str">
        <f t="shared" si="144"/>
        <v/>
      </c>
      <c r="AB184" t="str">
        <f t="shared" si="144"/>
        <v/>
      </c>
      <c r="AC184" t="str">
        <f t="shared" si="144"/>
        <v/>
      </c>
      <c r="AD184" t="str">
        <f t="shared" si="144"/>
        <v/>
      </c>
      <c r="AE184" t="str">
        <f t="shared" si="144"/>
        <v/>
      </c>
      <c r="AF184">
        <f t="shared" si="144"/>
        <v>6.2776642607469579</v>
      </c>
      <c r="AG184">
        <f t="shared" si="144"/>
        <v>6.2776642607469579</v>
      </c>
      <c r="AH184">
        <f t="shared" si="144"/>
        <v>6.957102273216206</v>
      </c>
      <c r="AI184" t="str">
        <f t="shared" si="144"/>
        <v/>
      </c>
      <c r="AJ184">
        <f t="shared" si="144"/>
        <v>10.43565340982431</v>
      </c>
      <c r="AK184" t="str">
        <f t="shared" si="144"/>
        <v/>
      </c>
      <c r="AL184" t="str">
        <f t="shared" si="144"/>
        <v/>
      </c>
      <c r="AM184">
        <f t="shared" si="144"/>
        <v>6.957102273216206</v>
      </c>
      <c r="AN184">
        <f t="shared" si="144"/>
        <v>6.2776642607469579</v>
      </c>
      <c r="AO184" t="str">
        <f t="shared" si="144"/>
        <v/>
      </c>
      <c r="AP184" t="str">
        <f t="shared" si="144"/>
        <v/>
      </c>
      <c r="AQ184" t="str">
        <f t="shared" si="144"/>
        <v/>
      </c>
      <c r="AR184" t="str">
        <f t="shared" si="144"/>
        <v/>
      </c>
      <c r="AS184" t="str">
        <f t="shared" si="144"/>
        <v/>
      </c>
      <c r="AT184" t="str">
        <f t="shared" si="144"/>
        <v/>
      </c>
      <c r="AU184" t="str">
        <f t="shared" si="144"/>
        <v/>
      </c>
    </row>
    <row r="185" spans="5:47" ht="12.75">
      <c r="E185" t="s">
        <v>248</v>
      </c>
      <c r="G185" t="s">
        <v>154</v>
      </c>
      <c r="H185">
        <f>A$39</f>
        <v>2030</v>
      </c>
      <c r="I185" t="str">
        <f t="shared" si="138"/>
        <v>MINOILRSV4</v>
      </c>
      <c r="J185" t="s">
        <v>270</v>
      </c>
      <c r="K185">
        <f>IF(K$22=0,"",K184*$C$39)</f>
        <v>8.2721642882753645</v>
      </c>
      <c r="L185" t="str">
        <f t="shared" si="145" ref="L185:AU185">IF(L$22=0,"",L184*$C$39)</f>
        <v/>
      </c>
      <c r="M185">
        <f t="shared" si="145"/>
        <v>8.2721642882753645</v>
      </c>
      <c r="N185" t="str">
        <f t="shared" si="145"/>
        <v/>
      </c>
      <c r="O185" t="str">
        <f t="shared" si="145"/>
        <v/>
      </c>
      <c r="P185">
        <f t="shared" si="145"/>
        <v>8.2721642882753645</v>
      </c>
      <c r="Q185">
        <f t="shared" si="145"/>
        <v>8.2721642882753645</v>
      </c>
      <c r="R185">
        <f t="shared" si="145"/>
        <v>8.2721642882753645</v>
      </c>
      <c r="S185" t="str">
        <f t="shared" si="145"/>
        <v/>
      </c>
      <c r="T185">
        <f t="shared" si="145"/>
        <v>12.408246432413048</v>
      </c>
      <c r="U185" t="str">
        <f t="shared" si="145"/>
        <v/>
      </c>
      <c r="V185">
        <f t="shared" si="145"/>
        <v>9.0993807171028998</v>
      </c>
      <c r="W185">
        <f t="shared" si="145"/>
        <v>9.0993807171028998</v>
      </c>
      <c r="X185">
        <f t="shared" si="145"/>
        <v>9.0993807171028998</v>
      </c>
      <c r="Y185" t="str">
        <f t="shared" si="145"/>
        <v/>
      </c>
      <c r="Z185" t="str">
        <f t="shared" si="145"/>
        <v/>
      </c>
      <c r="AA185" t="str">
        <f t="shared" si="145"/>
        <v/>
      </c>
      <c r="AB185" t="str">
        <f t="shared" si="145"/>
        <v/>
      </c>
      <c r="AC185" t="str">
        <f t="shared" si="145"/>
        <v/>
      </c>
      <c r="AD185" t="str">
        <f t="shared" si="145"/>
        <v/>
      </c>
      <c r="AE185" t="str">
        <f t="shared" si="145"/>
        <v/>
      </c>
      <c r="AF185">
        <f t="shared" si="145"/>
        <v>7.4642959197905885</v>
      </c>
      <c r="AG185">
        <f t="shared" si="145"/>
        <v>7.4642959197905885</v>
      </c>
      <c r="AH185">
        <f t="shared" si="145"/>
        <v>8.2721642882753645</v>
      </c>
      <c r="AI185" t="str">
        <f t="shared" si="145"/>
        <v/>
      </c>
      <c r="AJ185">
        <f t="shared" si="145"/>
        <v>12.408246432413048</v>
      </c>
      <c r="AK185" t="str">
        <f t="shared" si="145"/>
        <v/>
      </c>
      <c r="AL185" t="str">
        <f t="shared" si="145"/>
        <v/>
      </c>
      <c r="AM185">
        <f t="shared" si="145"/>
        <v>8.2721642882753645</v>
      </c>
      <c r="AN185">
        <f t="shared" si="145"/>
        <v>7.4642959197905885</v>
      </c>
      <c r="AO185" t="str">
        <f t="shared" si="145"/>
        <v/>
      </c>
      <c r="AP185" t="str">
        <f t="shared" si="145"/>
        <v/>
      </c>
      <c r="AQ185" t="str">
        <f t="shared" si="145"/>
        <v/>
      </c>
      <c r="AR185" t="str">
        <f t="shared" si="145"/>
        <v/>
      </c>
      <c r="AS185" t="str">
        <f t="shared" si="145"/>
        <v/>
      </c>
      <c r="AT185" t="str">
        <f t="shared" si="145"/>
        <v/>
      </c>
      <c r="AU185" t="str">
        <f t="shared" si="145"/>
        <v/>
      </c>
    </row>
    <row r="186" spans="5:47" ht="12.75">
      <c r="E186" t="s">
        <v>248</v>
      </c>
      <c r="G186" t="s">
        <v>154</v>
      </c>
      <c r="H186">
        <f>A$40</f>
        <v>2035</v>
      </c>
      <c r="I186" t="str">
        <f t="shared" si="138"/>
        <v>MINOILRSV4</v>
      </c>
      <c r="J186" t="s">
        <v>270</v>
      </c>
      <c r="K186">
        <f>IF(K$22=0,"",K185*$C$40)</f>
        <v>8.5145720329867309</v>
      </c>
      <c r="L186" t="str">
        <f t="shared" si="146" ref="L186:AU186">IF(L$22=0,"",L185*$C$40)</f>
        <v/>
      </c>
      <c r="M186">
        <f t="shared" si="146"/>
        <v>8.5145720329867309</v>
      </c>
      <c r="N186" t="str">
        <f t="shared" si="146"/>
        <v/>
      </c>
      <c r="O186" t="str">
        <f t="shared" si="146"/>
        <v/>
      </c>
      <c r="P186">
        <f t="shared" si="146"/>
        <v>8.5145720329867309</v>
      </c>
      <c r="Q186">
        <f t="shared" si="146"/>
        <v>8.5145720329867309</v>
      </c>
      <c r="R186">
        <f t="shared" si="146"/>
        <v>8.5145720329867309</v>
      </c>
      <c r="S186" t="str">
        <f t="shared" si="146"/>
        <v/>
      </c>
      <c r="T186">
        <f t="shared" si="146"/>
        <v>12.771858049480098</v>
      </c>
      <c r="U186" t="str">
        <f t="shared" si="146"/>
        <v/>
      </c>
      <c r="V186">
        <f t="shared" si="146"/>
        <v>9.366029236285403</v>
      </c>
      <c r="W186">
        <f t="shared" si="146"/>
        <v>9.366029236285403</v>
      </c>
      <c r="X186">
        <f t="shared" si="146"/>
        <v>9.366029236285403</v>
      </c>
      <c r="Y186" t="str">
        <f t="shared" si="146"/>
        <v/>
      </c>
      <c r="Z186" t="str">
        <f t="shared" si="146"/>
        <v/>
      </c>
      <c r="AA186" t="str">
        <f t="shared" si="146"/>
        <v/>
      </c>
      <c r="AB186" t="str">
        <f t="shared" si="146"/>
        <v/>
      </c>
      <c r="AC186" t="str">
        <f t="shared" si="146"/>
        <v/>
      </c>
      <c r="AD186" t="str">
        <f t="shared" si="146"/>
        <v/>
      </c>
      <c r="AE186" t="str">
        <f t="shared" si="146"/>
        <v/>
      </c>
      <c r="AF186">
        <f t="shared" si="146"/>
        <v>7.6830298661580789</v>
      </c>
      <c r="AG186">
        <f t="shared" si="146"/>
        <v>7.6830298661580789</v>
      </c>
      <c r="AH186">
        <f t="shared" si="146"/>
        <v>8.5145720329867309</v>
      </c>
      <c r="AI186" t="str">
        <f t="shared" si="146"/>
        <v/>
      </c>
      <c r="AJ186">
        <f t="shared" si="146"/>
        <v>12.771858049480098</v>
      </c>
      <c r="AK186" t="str">
        <f t="shared" si="146"/>
        <v/>
      </c>
      <c r="AL186" t="str">
        <f t="shared" si="146"/>
        <v/>
      </c>
      <c r="AM186">
        <f t="shared" si="146"/>
        <v>8.5145720329867309</v>
      </c>
      <c r="AN186">
        <f t="shared" si="146"/>
        <v>7.6830298661580789</v>
      </c>
      <c r="AO186" t="str">
        <f t="shared" si="146"/>
        <v/>
      </c>
      <c r="AP186" t="str">
        <f t="shared" si="146"/>
        <v/>
      </c>
      <c r="AQ186" t="str">
        <f t="shared" si="146"/>
        <v/>
      </c>
      <c r="AR186" t="str">
        <f t="shared" si="146"/>
        <v/>
      </c>
      <c r="AS186" t="str">
        <f t="shared" si="146"/>
        <v/>
      </c>
      <c r="AT186" t="str">
        <f t="shared" si="146"/>
        <v/>
      </c>
      <c r="AU186" t="str">
        <f t="shared" si="146"/>
        <v/>
      </c>
    </row>
    <row r="187" spans="5:47" ht="12.75">
      <c r="E187" t="s">
        <v>248</v>
      </c>
      <c r="G187" t="s">
        <v>154</v>
      </c>
      <c r="H187">
        <f>A$41</f>
        <v>2040</v>
      </c>
      <c r="I187" t="str">
        <f t="shared" si="138"/>
        <v>MINOILRSV4</v>
      </c>
      <c r="J187" t="s">
        <v>270</v>
      </c>
      <c r="K187">
        <f>IF(K$22=0,"",K186*$C$41)</f>
        <v>8.7569797776980955</v>
      </c>
      <c r="L187" t="str">
        <f t="shared" si="147" ref="L187:AU187">IF(L$22=0,"",L186*$C$41)</f>
        <v/>
      </c>
      <c r="M187">
        <f t="shared" si="147"/>
        <v>8.7569797776980955</v>
      </c>
      <c r="N187" t="str">
        <f t="shared" si="147"/>
        <v/>
      </c>
      <c r="O187" t="str">
        <f t="shared" si="147"/>
        <v/>
      </c>
      <c r="P187">
        <f t="shared" si="147"/>
        <v>8.7569797776980955</v>
      </c>
      <c r="Q187">
        <f t="shared" si="147"/>
        <v>8.7569797776980955</v>
      </c>
      <c r="R187">
        <f t="shared" si="147"/>
        <v>8.7569797776980955</v>
      </c>
      <c r="S187" t="str">
        <f t="shared" si="147"/>
        <v/>
      </c>
      <c r="T187">
        <f t="shared" si="147"/>
        <v>13.135469666547147</v>
      </c>
      <c r="U187" t="str">
        <f t="shared" si="147"/>
        <v/>
      </c>
      <c r="V187">
        <f t="shared" si="147"/>
        <v>9.6326777554679044</v>
      </c>
      <c r="W187">
        <f t="shared" si="147"/>
        <v>9.6326777554679044</v>
      </c>
      <c r="X187">
        <f t="shared" si="147"/>
        <v>9.6326777554679044</v>
      </c>
      <c r="Y187" t="str">
        <f t="shared" si="147"/>
        <v/>
      </c>
      <c r="Z187" t="str">
        <f t="shared" si="147"/>
        <v/>
      </c>
      <c r="AA187" t="str">
        <f t="shared" si="147"/>
        <v/>
      </c>
      <c r="AB187" t="str">
        <f t="shared" si="147"/>
        <v/>
      </c>
      <c r="AC187" t="str">
        <f t="shared" si="147"/>
        <v/>
      </c>
      <c r="AD187" t="str">
        <f t="shared" si="147"/>
        <v/>
      </c>
      <c r="AE187" t="str">
        <f t="shared" si="147"/>
        <v/>
      </c>
      <c r="AF187">
        <f t="shared" si="147"/>
        <v>7.9017638125255676</v>
      </c>
      <c r="AG187">
        <f t="shared" si="147"/>
        <v>7.9017638125255676</v>
      </c>
      <c r="AH187">
        <f t="shared" si="147"/>
        <v>8.7569797776980955</v>
      </c>
      <c r="AI187" t="str">
        <f t="shared" si="147"/>
        <v/>
      </c>
      <c r="AJ187">
        <f t="shared" si="147"/>
        <v>13.135469666547147</v>
      </c>
      <c r="AK187" t="str">
        <f t="shared" si="147"/>
        <v/>
      </c>
      <c r="AL187" t="str">
        <f t="shared" si="147"/>
        <v/>
      </c>
      <c r="AM187">
        <f t="shared" si="147"/>
        <v>8.7569797776980955</v>
      </c>
      <c r="AN187">
        <f t="shared" si="147"/>
        <v>7.9017638125255676</v>
      </c>
      <c r="AO187" t="str">
        <f t="shared" si="147"/>
        <v/>
      </c>
      <c r="AP187" t="str">
        <f t="shared" si="147"/>
        <v/>
      </c>
      <c r="AQ187" t="str">
        <f t="shared" si="147"/>
        <v/>
      </c>
      <c r="AR187" t="str">
        <f t="shared" si="147"/>
        <v/>
      </c>
      <c r="AS187" t="str">
        <f t="shared" si="147"/>
        <v/>
      </c>
      <c r="AT187" t="str">
        <f t="shared" si="147"/>
        <v/>
      </c>
      <c r="AU187" t="str">
        <f t="shared" si="147"/>
        <v/>
      </c>
    </row>
    <row r="188" spans="5:47" ht="12.75">
      <c r="E188" t="s">
        <v>248</v>
      </c>
      <c r="G188" t="s">
        <v>154</v>
      </c>
      <c r="H188">
        <f>A$42</f>
        <v>2045</v>
      </c>
      <c r="I188" t="str">
        <f t="shared" si="138"/>
        <v>MINOILRSV4</v>
      </c>
      <c r="J188" t="s">
        <v>270</v>
      </c>
      <c r="K188">
        <f>IF(K$22=0,"",K187*$C$42)</f>
        <v>9.6720690139835028</v>
      </c>
      <c r="L188" t="str">
        <f t="shared" si="148" ref="L188:AU188">IF(L$22=0,"",L187*$C$42)</f>
        <v/>
      </c>
      <c r="M188">
        <f t="shared" si="148"/>
        <v>9.6720690139835028</v>
      </c>
      <c r="N188" t="str">
        <f t="shared" si="148"/>
        <v/>
      </c>
      <c r="O188" t="str">
        <f t="shared" si="148"/>
        <v/>
      </c>
      <c r="P188">
        <f t="shared" si="148"/>
        <v>9.6720690139835028</v>
      </c>
      <c r="Q188">
        <f t="shared" si="148"/>
        <v>9.6720690139835028</v>
      </c>
      <c r="R188">
        <f t="shared" si="148"/>
        <v>9.6720690139835028</v>
      </c>
      <c r="S188" t="str">
        <f t="shared" si="148"/>
        <v/>
      </c>
      <c r="T188">
        <f t="shared" si="148"/>
        <v>14.508103520975258</v>
      </c>
      <c r="U188" t="str">
        <f t="shared" si="148"/>
        <v/>
      </c>
      <c r="V188">
        <f t="shared" si="148"/>
        <v>10.639275915381852</v>
      </c>
      <c r="W188">
        <f t="shared" si="148"/>
        <v>10.639275915381852</v>
      </c>
      <c r="X188">
        <f t="shared" si="148"/>
        <v>10.639275915381852</v>
      </c>
      <c r="Y188" t="str">
        <f t="shared" si="148"/>
        <v/>
      </c>
      <c r="Z188" t="str">
        <f t="shared" si="148"/>
        <v/>
      </c>
      <c r="AA188" t="str">
        <f t="shared" si="148"/>
        <v/>
      </c>
      <c r="AB188" t="str">
        <f t="shared" si="148"/>
        <v/>
      </c>
      <c r="AC188" t="str">
        <f t="shared" si="148"/>
        <v/>
      </c>
      <c r="AD188" t="str">
        <f t="shared" si="148"/>
        <v/>
      </c>
      <c r="AE188" t="str">
        <f t="shared" si="148"/>
        <v/>
      </c>
      <c r="AF188">
        <f t="shared" si="148"/>
        <v>8.7274844600628416</v>
      </c>
      <c r="AG188">
        <f t="shared" si="148"/>
        <v>8.7274844600628416</v>
      </c>
      <c r="AH188">
        <f t="shared" si="148"/>
        <v>9.6720690139835028</v>
      </c>
      <c r="AI188" t="str">
        <f t="shared" si="148"/>
        <v/>
      </c>
      <c r="AJ188">
        <f t="shared" si="148"/>
        <v>14.508103520975258</v>
      </c>
      <c r="AK188" t="str">
        <f t="shared" si="148"/>
        <v/>
      </c>
      <c r="AL188" t="str">
        <f t="shared" si="148"/>
        <v/>
      </c>
      <c r="AM188">
        <f t="shared" si="148"/>
        <v>9.6720690139835028</v>
      </c>
      <c r="AN188">
        <f t="shared" si="148"/>
        <v>8.7274844600628416</v>
      </c>
      <c r="AO188" t="str">
        <f t="shared" si="148"/>
        <v/>
      </c>
      <c r="AP188" t="str">
        <f t="shared" si="148"/>
        <v/>
      </c>
      <c r="AQ188" t="str">
        <f t="shared" si="148"/>
        <v/>
      </c>
      <c r="AR188" t="str">
        <f t="shared" si="148"/>
        <v/>
      </c>
      <c r="AS188" t="str">
        <f t="shared" si="148"/>
        <v/>
      </c>
      <c r="AT188" t="str">
        <f t="shared" si="148"/>
        <v/>
      </c>
      <c r="AU188" t="str">
        <f t="shared" si="148"/>
        <v/>
      </c>
    </row>
    <row r="189" spans="5:47" ht="12.75">
      <c r="E189" t="s">
        <v>248</v>
      </c>
      <c r="G189" t="s">
        <v>154</v>
      </c>
      <c r="H189">
        <f>A$43</f>
        <v>2050</v>
      </c>
      <c r="I189" t="str">
        <f t="shared" si="138"/>
        <v>MINOILRSV4</v>
      </c>
      <c r="J189" t="s">
        <v>270</v>
      </c>
      <c r="K189">
        <f>IF(K$22=0,"",K188*$C$43)</f>
        <v>10.587158250268908</v>
      </c>
      <c r="L189" t="str">
        <f t="shared" si="149" ref="L189:AU189">IF(L$22=0,"",L188*$C$43)</f>
        <v/>
      </c>
      <c r="M189">
        <f t="shared" si="149"/>
        <v>10.587158250268908</v>
      </c>
      <c r="N189" t="str">
        <f t="shared" si="149"/>
        <v/>
      </c>
      <c r="O189" t="str">
        <f t="shared" si="149"/>
        <v/>
      </c>
      <c r="P189">
        <f t="shared" si="149"/>
        <v>10.587158250268908</v>
      </c>
      <c r="Q189">
        <f t="shared" si="149"/>
        <v>10.587158250268908</v>
      </c>
      <c r="R189">
        <f t="shared" si="149"/>
        <v>10.587158250268908</v>
      </c>
      <c r="S189" t="str">
        <f t="shared" si="149"/>
        <v/>
      </c>
      <c r="T189">
        <f t="shared" si="149"/>
        <v>15.880737375403367</v>
      </c>
      <c r="U189" t="str">
        <f t="shared" si="149"/>
        <v/>
      </c>
      <c r="V189">
        <f t="shared" si="149"/>
        <v>11.645874075295797</v>
      </c>
      <c r="W189">
        <f t="shared" si="149"/>
        <v>11.645874075295797</v>
      </c>
      <c r="X189">
        <f t="shared" si="149"/>
        <v>11.645874075295797</v>
      </c>
      <c r="Y189" t="str">
        <f t="shared" si="149"/>
        <v/>
      </c>
      <c r="Z189" t="str">
        <f t="shared" si="149"/>
        <v/>
      </c>
      <c r="AA189" t="str">
        <f t="shared" si="149"/>
        <v/>
      </c>
      <c r="AB189" t="str">
        <f t="shared" si="149"/>
        <v/>
      </c>
      <c r="AC189" t="str">
        <f t="shared" si="149"/>
        <v/>
      </c>
      <c r="AD189" t="str">
        <f t="shared" si="149"/>
        <v/>
      </c>
      <c r="AE189" t="str">
        <f t="shared" si="149"/>
        <v/>
      </c>
      <c r="AF189">
        <f t="shared" si="149"/>
        <v>9.5532051076001139</v>
      </c>
      <c r="AG189">
        <f t="shared" si="149"/>
        <v>9.5532051076001139</v>
      </c>
      <c r="AH189">
        <f t="shared" si="149"/>
        <v>10.587158250268908</v>
      </c>
      <c r="AI189" t="str">
        <f t="shared" si="149"/>
        <v/>
      </c>
      <c r="AJ189">
        <f t="shared" si="149"/>
        <v>15.880737375403367</v>
      </c>
      <c r="AK189" t="str">
        <f t="shared" si="149"/>
        <v/>
      </c>
      <c r="AL189" t="str">
        <f t="shared" si="149"/>
        <v/>
      </c>
      <c r="AM189">
        <f t="shared" si="149"/>
        <v>10.587158250268908</v>
      </c>
      <c r="AN189">
        <f t="shared" si="149"/>
        <v>9.5532051076001139</v>
      </c>
      <c r="AO189" t="str">
        <f t="shared" si="149"/>
        <v/>
      </c>
      <c r="AP189" t="str">
        <f t="shared" si="149"/>
        <v/>
      </c>
      <c r="AQ189" t="str">
        <f t="shared" si="149"/>
        <v/>
      </c>
      <c r="AR189" t="str">
        <f t="shared" si="149"/>
        <v/>
      </c>
      <c r="AS189" t="str">
        <f t="shared" si="149"/>
        <v/>
      </c>
      <c r="AT189" t="str">
        <f t="shared" si="149"/>
        <v/>
      </c>
      <c r="AU189" t="str">
        <f t="shared" si="149"/>
        <v/>
      </c>
    </row>
    <row r="190" spans="5:47" ht="12.75">
      <c r="E190" t="s">
        <v>248</v>
      </c>
      <c r="G190" t="s">
        <v>154</v>
      </c>
      <c r="H190">
        <f>A$33</f>
        <v>2001</v>
      </c>
      <c r="I190" t="str">
        <f t="shared" si="150" ref="I190:I200">I$23</f>
        <v>MINOILRSV5</v>
      </c>
      <c r="J190" t="s">
        <v>270</v>
      </c>
      <c r="K190" t="str">
        <f>IF(K$23=0,"",K$23*$C$33)</f>
        <v/>
      </c>
      <c r="L190" t="str">
        <f t="shared" si="151" ref="L190:AU190">IF(L$23=0,"",L$23*$C$33)</f>
        <v/>
      </c>
      <c r="M190" t="str">
        <f t="shared" si="151"/>
        <v/>
      </c>
      <c r="N190" t="str">
        <f t="shared" si="151"/>
        <v/>
      </c>
      <c r="O190" t="str">
        <f t="shared" si="151"/>
        <v/>
      </c>
      <c r="P190" t="str">
        <f t="shared" si="151"/>
        <v/>
      </c>
      <c r="Q190" t="str">
        <f t="shared" si="151"/>
        <v/>
      </c>
      <c r="R190" t="str">
        <f t="shared" si="151"/>
        <v/>
      </c>
      <c r="S190" t="str">
        <f t="shared" si="151"/>
        <v/>
      </c>
      <c r="T190" t="str">
        <f t="shared" si="151"/>
        <v/>
      </c>
      <c r="U190" t="str">
        <f t="shared" si="151"/>
        <v/>
      </c>
      <c r="V190" t="str">
        <f t="shared" si="151"/>
        <v/>
      </c>
      <c r="W190" t="str">
        <f t="shared" si="151"/>
        <v/>
      </c>
      <c r="X190" t="str">
        <f t="shared" si="151"/>
        <v/>
      </c>
      <c r="Y190" t="str">
        <f t="shared" si="151"/>
        <v/>
      </c>
      <c r="Z190" t="str">
        <f t="shared" si="151"/>
        <v/>
      </c>
      <c r="AA190" t="str">
        <f t="shared" si="151"/>
        <v/>
      </c>
      <c r="AB190" t="str">
        <f t="shared" si="151"/>
        <v/>
      </c>
      <c r="AC190" t="str">
        <f t="shared" si="151"/>
        <v/>
      </c>
      <c r="AD190" t="str">
        <f t="shared" si="151"/>
        <v/>
      </c>
      <c r="AE190" t="str">
        <f t="shared" si="151"/>
        <v/>
      </c>
      <c r="AF190" t="str">
        <f t="shared" si="151"/>
        <v/>
      </c>
      <c r="AG190" t="str">
        <f t="shared" si="151"/>
        <v/>
      </c>
      <c r="AH190" t="str">
        <f t="shared" si="151"/>
        <v/>
      </c>
      <c r="AI190" t="str">
        <f t="shared" si="151"/>
        <v/>
      </c>
      <c r="AJ190" t="str">
        <f t="shared" si="151"/>
        <v/>
      </c>
      <c r="AK190" t="str">
        <f t="shared" si="151"/>
        <v/>
      </c>
      <c r="AL190" t="str">
        <f t="shared" si="151"/>
        <v/>
      </c>
      <c r="AM190" t="str">
        <f t="shared" si="151"/>
        <v/>
      </c>
      <c r="AN190" t="str">
        <f t="shared" si="151"/>
        <v/>
      </c>
      <c r="AO190" t="str">
        <f t="shared" si="151"/>
        <v/>
      </c>
      <c r="AP190" t="str">
        <f t="shared" si="151"/>
        <v/>
      </c>
      <c r="AQ190" t="str">
        <f t="shared" si="151"/>
        <v/>
      </c>
      <c r="AR190" t="str">
        <f t="shared" si="151"/>
        <v/>
      </c>
      <c r="AS190" t="str">
        <f t="shared" si="151"/>
        <v/>
      </c>
      <c r="AT190" t="str">
        <f t="shared" si="151"/>
        <v/>
      </c>
      <c r="AU190" t="str">
        <f t="shared" si="151"/>
        <v/>
      </c>
    </row>
    <row r="191" spans="5:47" ht="12.75">
      <c r="E191" t="s">
        <v>248</v>
      </c>
      <c r="G191" t="s">
        <v>154</v>
      </c>
      <c r="H191">
        <f>A$34</f>
        <v>2005</v>
      </c>
      <c r="I191" t="str">
        <f t="shared" si="150"/>
        <v>MINOILRSV5</v>
      </c>
      <c r="J191" t="s">
        <v>270</v>
      </c>
      <c r="K191" t="str">
        <f>IF(K$23=0,"",K190*$C$34)</f>
        <v/>
      </c>
      <c r="L191" t="str">
        <f t="shared" si="152" ref="L191:AU191">IF(L$23=0,"",L190*$C$34)</f>
        <v/>
      </c>
      <c r="M191" t="str">
        <f t="shared" si="152"/>
        <v/>
      </c>
      <c r="N191" t="str">
        <f t="shared" si="152"/>
        <v/>
      </c>
      <c r="O191" t="str">
        <f t="shared" si="152"/>
        <v/>
      </c>
      <c r="P191" t="str">
        <f t="shared" si="152"/>
        <v/>
      </c>
      <c r="Q191" t="str">
        <f t="shared" si="152"/>
        <v/>
      </c>
      <c r="R191" t="str">
        <f t="shared" si="152"/>
        <v/>
      </c>
      <c r="S191" t="str">
        <f t="shared" si="152"/>
        <v/>
      </c>
      <c r="T191" t="str">
        <f t="shared" si="152"/>
        <v/>
      </c>
      <c r="U191" t="str">
        <f t="shared" si="152"/>
        <v/>
      </c>
      <c r="V191" t="str">
        <f t="shared" si="152"/>
        <v/>
      </c>
      <c r="W191" t="str">
        <f t="shared" si="152"/>
        <v/>
      </c>
      <c r="X191" t="str">
        <f t="shared" si="152"/>
        <v/>
      </c>
      <c r="Y191" t="str">
        <f t="shared" si="152"/>
        <v/>
      </c>
      <c r="Z191" t="str">
        <f t="shared" si="152"/>
        <v/>
      </c>
      <c r="AA191" t="str">
        <f t="shared" si="152"/>
        <v/>
      </c>
      <c r="AB191" t="str">
        <f t="shared" si="152"/>
        <v/>
      </c>
      <c r="AC191" t="str">
        <f t="shared" si="152"/>
        <v/>
      </c>
      <c r="AD191" t="str">
        <f t="shared" si="152"/>
        <v/>
      </c>
      <c r="AE191" t="str">
        <f t="shared" si="152"/>
        <v/>
      </c>
      <c r="AF191" t="str">
        <f t="shared" si="152"/>
        <v/>
      </c>
      <c r="AG191" t="str">
        <f t="shared" si="152"/>
        <v/>
      </c>
      <c r="AH191" t="str">
        <f t="shared" si="152"/>
        <v/>
      </c>
      <c r="AI191" t="str">
        <f t="shared" si="152"/>
        <v/>
      </c>
      <c r="AJ191" t="str">
        <f t="shared" si="152"/>
        <v/>
      </c>
      <c r="AK191" t="str">
        <f t="shared" si="152"/>
        <v/>
      </c>
      <c r="AL191" t="str">
        <f t="shared" si="152"/>
        <v/>
      </c>
      <c r="AM191" t="str">
        <f t="shared" si="152"/>
        <v/>
      </c>
      <c r="AN191" t="str">
        <f t="shared" si="152"/>
        <v/>
      </c>
      <c r="AO191" t="str">
        <f t="shared" si="152"/>
        <v/>
      </c>
      <c r="AP191" t="str">
        <f t="shared" si="152"/>
        <v/>
      </c>
      <c r="AQ191" t="str">
        <f t="shared" si="152"/>
        <v/>
      </c>
      <c r="AR191" t="str">
        <f t="shared" si="152"/>
        <v/>
      </c>
      <c r="AS191" t="str">
        <f t="shared" si="152"/>
        <v/>
      </c>
      <c r="AT191" t="str">
        <f t="shared" si="152"/>
        <v/>
      </c>
      <c r="AU191" t="str">
        <f t="shared" si="152"/>
        <v/>
      </c>
    </row>
    <row r="192" spans="5:47" ht="12.75">
      <c r="E192" t="s">
        <v>248</v>
      </c>
      <c r="G192" t="s">
        <v>154</v>
      </c>
      <c r="H192">
        <f>A$35</f>
        <v>2010</v>
      </c>
      <c r="I192" t="str">
        <f t="shared" si="150"/>
        <v>MINOILRSV5</v>
      </c>
      <c r="J192" t="s">
        <v>270</v>
      </c>
      <c r="K192" t="str">
        <f>IF(K$23=0,"",K191*$C$35)</f>
        <v/>
      </c>
      <c r="L192" t="str">
        <f t="shared" si="153" ref="L192:AU192">IF(L$23=0,"",L191*$C$35)</f>
        <v/>
      </c>
      <c r="M192" t="str">
        <f t="shared" si="153"/>
        <v/>
      </c>
      <c r="N192" t="str">
        <f t="shared" si="153"/>
        <v/>
      </c>
      <c r="O192" t="str">
        <f t="shared" si="153"/>
        <v/>
      </c>
      <c r="P192" t="str">
        <f t="shared" si="153"/>
        <v/>
      </c>
      <c r="Q192" t="str">
        <f t="shared" si="153"/>
        <v/>
      </c>
      <c r="R192" t="str">
        <f t="shared" si="153"/>
        <v/>
      </c>
      <c r="S192" t="str">
        <f t="shared" si="153"/>
        <v/>
      </c>
      <c r="T192" t="str">
        <f t="shared" si="153"/>
        <v/>
      </c>
      <c r="U192" t="str">
        <f t="shared" si="153"/>
        <v/>
      </c>
      <c r="V192" t="str">
        <f t="shared" si="153"/>
        <v/>
      </c>
      <c r="W192" t="str">
        <f t="shared" si="153"/>
        <v/>
      </c>
      <c r="X192" t="str">
        <f t="shared" si="153"/>
        <v/>
      </c>
      <c r="Y192" t="str">
        <f t="shared" si="153"/>
        <v/>
      </c>
      <c r="Z192" t="str">
        <f t="shared" si="153"/>
        <v/>
      </c>
      <c r="AA192" t="str">
        <f t="shared" si="153"/>
        <v/>
      </c>
      <c r="AB192" t="str">
        <f t="shared" si="153"/>
        <v/>
      </c>
      <c r="AC192" t="str">
        <f t="shared" si="153"/>
        <v/>
      </c>
      <c r="AD192" t="str">
        <f t="shared" si="153"/>
        <v/>
      </c>
      <c r="AE192" t="str">
        <f t="shared" si="153"/>
        <v/>
      </c>
      <c r="AF192" t="str">
        <f t="shared" si="153"/>
        <v/>
      </c>
      <c r="AG192" t="str">
        <f t="shared" si="153"/>
        <v/>
      </c>
      <c r="AH192" t="str">
        <f t="shared" si="153"/>
        <v/>
      </c>
      <c r="AI192" t="str">
        <f t="shared" si="153"/>
        <v/>
      </c>
      <c r="AJ192" t="str">
        <f t="shared" si="153"/>
        <v/>
      </c>
      <c r="AK192" t="str">
        <f t="shared" si="153"/>
        <v/>
      </c>
      <c r="AL192" t="str">
        <f t="shared" si="153"/>
        <v/>
      </c>
      <c r="AM192" t="str">
        <f t="shared" si="153"/>
        <v/>
      </c>
      <c r="AN192" t="str">
        <f t="shared" si="153"/>
        <v/>
      </c>
      <c r="AO192" t="str">
        <f t="shared" si="153"/>
        <v/>
      </c>
      <c r="AP192" t="str">
        <f t="shared" si="153"/>
        <v/>
      </c>
      <c r="AQ192" t="str">
        <f t="shared" si="153"/>
        <v/>
      </c>
      <c r="AR192" t="str">
        <f t="shared" si="153"/>
        <v/>
      </c>
      <c r="AS192" t="str">
        <f t="shared" si="153"/>
        <v/>
      </c>
      <c r="AT192" t="str">
        <f t="shared" si="153"/>
        <v/>
      </c>
      <c r="AU192" t="str">
        <f t="shared" si="153"/>
        <v/>
      </c>
    </row>
    <row r="193" spans="5:47" ht="12.75">
      <c r="E193" t="s">
        <v>248</v>
      </c>
      <c r="G193" t="s">
        <v>154</v>
      </c>
      <c r="H193">
        <f>A$36</f>
        <v>2015</v>
      </c>
      <c r="I193" t="str">
        <f t="shared" si="150"/>
        <v>MINOILRSV5</v>
      </c>
      <c r="J193" t="s">
        <v>270</v>
      </c>
      <c r="K193" t="str">
        <f>IF(K$23=0,"",K192*$C$36)</f>
        <v/>
      </c>
      <c r="L193" t="str">
        <f t="shared" si="154" ref="L193:AU193">IF(L$23=0,"",L192*$C$36)</f>
        <v/>
      </c>
      <c r="M193" t="str">
        <f t="shared" si="154"/>
        <v/>
      </c>
      <c r="N193" t="str">
        <f t="shared" si="154"/>
        <v/>
      </c>
      <c r="O193" t="str">
        <f t="shared" si="154"/>
        <v/>
      </c>
      <c r="P193" t="str">
        <f t="shared" si="154"/>
        <v/>
      </c>
      <c r="Q193" t="str">
        <f t="shared" si="154"/>
        <v/>
      </c>
      <c r="R193" t="str">
        <f t="shared" si="154"/>
        <v/>
      </c>
      <c r="S193" t="str">
        <f t="shared" si="154"/>
        <v/>
      </c>
      <c r="T193" t="str">
        <f t="shared" si="154"/>
        <v/>
      </c>
      <c r="U193" t="str">
        <f t="shared" si="154"/>
        <v/>
      </c>
      <c r="V193" t="str">
        <f t="shared" si="154"/>
        <v/>
      </c>
      <c r="W193" t="str">
        <f t="shared" si="154"/>
        <v/>
      </c>
      <c r="X193" t="str">
        <f t="shared" si="154"/>
        <v/>
      </c>
      <c r="Y193" t="str">
        <f t="shared" si="154"/>
        <v/>
      </c>
      <c r="Z193" t="str">
        <f t="shared" si="154"/>
        <v/>
      </c>
      <c r="AA193" t="str">
        <f t="shared" si="154"/>
        <v/>
      </c>
      <c r="AB193" t="str">
        <f t="shared" si="154"/>
        <v/>
      </c>
      <c r="AC193" t="str">
        <f t="shared" si="154"/>
        <v/>
      </c>
      <c r="AD193" t="str">
        <f t="shared" si="154"/>
        <v/>
      </c>
      <c r="AE193" t="str">
        <f t="shared" si="154"/>
        <v/>
      </c>
      <c r="AF193" t="str">
        <f t="shared" si="154"/>
        <v/>
      </c>
      <c r="AG193" t="str">
        <f t="shared" si="154"/>
        <v/>
      </c>
      <c r="AH193" t="str">
        <f t="shared" si="154"/>
        <v/>
      </c>
      <c r="AI193" t="str">
        <f t="shared" si="154"/>
        <v/>
      </c>
      <c r="AJ193" t="str">
        <f t="shared" si="154"/>
        <v/>
      </c>
      <c r="AK193" t="str">
        <f t="shared" si="154"/>
        <v/>
      </c>
      <c r="AL193" t="str">
        <f t="shared" si="154"/>
        <v/>
      </c>
      <c r="AM193" t="str">
        <f t="shared" si="154"/>
        <v/>
      </c>
      <c r="AN193" t="str">
        <f t="shared" si="154"/>
        <v/>
      </c>
      <c r="AO193" t="str">
        <f t="shared" si="154"/>
        <v/>
      </c>
      <c r="AP193" t="str">
        <f t="shared" si="154"/>
        <v/>
      </c>
      <c r="AQ193" t="str">
        <f t="shared" si="154"/>
        <v/>
      </c>
      <c r="AR193" t="str">
        <f t="shared" si="154"/>
        <v/>
      </c>
      <c r="AS193" t="str">
        <f t="shared" si="154"/>
        <v/>
      </c>
      <c r="AT193" t="str">
        <f t="shared" si="154"/>
        <v/>
      </c>
      <c r="AU193" t="str">
        <f t="shared" si="154"/>
        <v/>
      </c>
    </row>
    <row r="194" spans="5:47" ht="12.75">
      <c r="E194" t="s">
        <v>248</v>
      </c>
      <c r="G194" t="s">
        <v>154</v>
      </c>
      <c r="H194">
        <f>A$37</f>
        <v>2020</v>
      </c>
      <c r="I194" t="str">
        <f t="shared" si="150"/>
        <v>MINOILRSV5</v>
      </c>
      <c r="J194" t="s">
        <v>270</v>
      </c>
      <c r="K194" t="str">
        <f>IF(K$23=0,"",K193*$C$37)</f>
        <v/>
      </c>
      <c r="L194" t="str">
        <f t="shared" si="155" ref="L194:AU194">IF(L$23=0,"",L193*$C$37)</f>
        <v/>
      </c>
      <c r="M194" t="str">
        <f t="shared" si="155"/>
        <v/>
      </c>
      <c r="N194" t="str">
        <f t="shared" si="155"/>
        <v/>
      </c>
      <c r="O194" t="str">
        <f t="shared" si="155"/>
        <v/>
      </c>
      <c r="P194" t="str">
        <f t="shared" si="155"/>
        <v/>
      </c>
      <c r="Q194" t="str">
        <f t="shared" si="155"/>
        <v/>
      </c>
      <c r="R194" t="str">
        <f t="shared" si="155"/>
        <v/>
      </c>
      <c r="S194" t="str">
        <f t="shared" si="155"/>
        <v/>
      </c>
      <c r="T194" t="str">
        <f t="shared" si="155"/>
        <v/>
      </c>
      <c r="U194" t="str">
        <f t="shared" si="155"/>
        <v/>
      </c>
      <c r="V194" t="str">
        <f t="shared" si="155"/>
        <v/>
      </c>
      <c r="W194" t="str">
        <f t="shared" si="155"/>
        <v/>
      </c>
      <c r="X194" t="str">
        <f t="shared" si="155"/>
        <v/>
      </c>
      <c r="Y194" t="str">
        <f t="shared" si="155"/>
        <v/>
      </c>
      <c r="Z194" t="str">
        <f t="shared" si="155"/>
        <v/>
      </c>
      <c r="AA194" t="str">
        <f t="shared" si="155"/>
        <v/>
      </c>
      <c r="AB194" t="str">
        <f t="shared" si="155"/>
        <v/>
      </c>
      <c r="AC194" t="str">
        <f t="shared" si="155"/>
        <v/>
      </c>
      <c r="AD194" t="str">
        <f t="shared" si="155"/>
        <v/>
      </c>
      <c r="AE194" t="str">
        <f t="shared" si="155"/>
        <v/>
      </c>
      <c r="AF194" t="str">
        <f t="shared" si="155"/>
        <v/>
      </c>
      <c r="AG194" t="str">
        <f t="shared" si="155"/>
        <v/>
      </c>
      <c r="AH194" t="str">
        <f t="shared" si="155"/>
        <v/>
      </c>
      <c r="AI194" t="str">
        <f t="shared" si="155"/>
        <v/>
      </c>
      <c r="AJ194" t="str">
        <f t="shared" si="155"/>
        <v/>
      </c>
      <c r="AK194" t="str">
        <f t="shared" si="155"/>
        <v/>
      </c>
      <c r="AL194" t="str">
        <f t="shared" si="155"/>
        <v/>
      </c>
      <c r="AM194" t="str">
        <f t="shared" si="155"/>
        <v/>
      </c>
      <c r="AN194" t="str">
        <f t="shared" si="155"/>
        <v/>
      </c>
      <c r="AO194" t="str">
        <f t="shared" si="155"/>
        <v/>
      </c>
      <c r="AP194" t="str">
        <f t="shared" si="155"/>
        <v/>
      </c>
      <c r="AQ194" t="str">
        <f t="shared" si="155"/>
        <v/>
      </c>
      <c r="AR194" t="str">
        <f t="shared" si="155"/>
        <v/>
      </c>
      <c r="AS194" t="str">
        <f t="shared" si="155"/>
        <v/>
      </c>
      <c r="AT194" t="str">
        <f t="shared" si="155"/>
        <v/>
      </c>
      <c r="AU194" t="str">
        <f t="shared" si="155"/>
        <v/>
      </c>
    </row>
    <row r="195" spans="5:47" ht="12.75">
      <c r="E195" t="s">
        <v>248</v>
      </c>
      <c r="G195" t="s">
        <v>154</v>
      </c>
      <c r="H195">
        <f>A$38</f>
        <v>2025</v>
      </c>
      <c r="I195" t="str">
        <f t="shared" si="150"/>
        <v>MINOILRSV5</v>
      </c>
      <c r="J195" t="s">
        <v>270</v>
      </c>
      <c r="K195" t="str">
        <f>IF(K$23=0,"",K194*$C$38)</f>
        <v/>
      </c>
      <c r="L195" t="str">
        <f t="shared" si="156" ref="L195:AU195">IF(L$23=0,"",L194*$C$38)</f>
        <v/>
      </c>
      <c r="M195" t="str">
        <f t="shared" si="156"/>
        <v/>
      </c>
      <c r="N195" t="str">
        <f t="shared" si="156"/>
        <v/>
      </c>
      <c r="O195" t="str">
        <f t="shared" si="156"/>
        <v/>
      </c>
      <c r="P195" t="str">
        <f t="shared" si="156"/>
        <v/>
      </c>
      <c r="Q195" t="str">
        <f t="shared" si="156"/>
        <v/>
      </c>
      <c r="R195" t="str">
        <f t="shared" si="156"/>
        <v/>
      </c>
      <c r="S195" t="str">
        <f t="shared" si="156"/>
        <v/>
      </c>
      <c r="T195" t="str">
        <f t="shared" si="156"/>
        <v/>
      </c>
      <c r="U195" t="str">
        <f t="shared" si="156"/>
        <v/>
      </c>
      <c r="V195" t="str">
        <f t="shared" si="156"/>
        <v/>
      </c>
      <c r="W195" t="str">
        <f t="shared" si="156"/>
        <v/>
      </c>
      <c r="X195" t="str">
        <f t="shared" si="156"/>
        <v/>
      </c>
      <c r="Y195" t="str">
        <f t="shared" si="156"/>
        <v/>
      </c>
      <c r="Z195" t="str">
        <f t="shared" si="156"/>
        <v/>
      </c>
      <c r="AA195" t="str">
        <f t="shared" si="156"/>
        <v/>
      </c>
      <c r="AB195" t="str">
        <f t="shared" si="156"/>
        <v/>
      </c>
      <c r="AC195" t="str">
        <f t="shared" si="156"/>
        <v/>
      </c>
      <c r="AD195" t="str">
        <f t="shared" si="156"/>
        <v/>
      </c>
      <c r="AE195" t="str">
        <f t="shared" si="156"/>
        <v/>
      </c>
      <c r="AF195" t="str">
        <f t="shared" si="156"/>
        <v/>
      </c>
      <c r="AG195" t="str">
        <f t="shared" si="156"/>
        <v/>
      </c>
      <c r="AH195" t="str">
        <f t="shared" si="156"/>
        <v/>
      </c>
      <c r="AI195" t="str">
        <f t="shared" si="156"/>
        <v/>
      </c>
      <c r="AJ195" t="str">
        <f t="shared" si="156"/>
        <v/>
      </c>
      <c r="AK195" t="str">
        <f t="shared" si="156"/>
        <v/>
      </c>
      <c r="AL195" t="str">
        <f t="shared" si="156"/>
        <v/>
      </c>
      <c r="AM195" t="str">
        <f t="shared" si="156"/>
        <v/>
      </c>
      <c r="AN195" t="str">
        <f t="shared" si="156"/>
        <v/>
      </c>
      <c r="AO195" t="str">
        <f t="shared" si="156"/>
        <v/>
      </c>
      <c r="AP195" t="str">
        <f t="shared" si="156"/>
        <v/>
      </c>
      <c r="AQ195" t="str">
        <f t="shared" si="156"/>
        <v/>
      </c>
      <c r="AR195" t="str">
        <f t="shared" si="156"/>
        <v/>
      </c>
      <c r="AS195" t="str">
        <f t="shared" si="156"/>
        <v/>
      </c>
      <c r="AT195" t="str">
        <f t="shared" si="156"/>
        <v/>
      </c>
      <c r="AU195" t="str">
        <f t="shared" si="156"/>
        <v/>
      </c>
    </row>
    <row r="196" spans="5:47" ht="12.75">
      <c r="E196" t="s">
        <v>248</v>
      </c>
      <c r="G196" t="s">
        <v>154</v>
      </c>
      <c r="H196">
        <f>A$39</f>
        <v>2030</v>
      </c>
      <c r="I196" t="str">
        <f t="shared" si="150"/>
        <v>MINOILRSV5</v>
      </c>
      <c r="J196" t="s">
        <v>270</v>
      </c>
      <c r="K196" t="str">
        <f>IF(K$23=0,"",K195*$C$39)</f>
        <v/>
      </c>
      <c r="L196" t="str">
        <f t="shared" si="157" ref="L196:AU196">IF(L$23=0,"",L195*$C$39)</f>
        <v/>
      </c>
      <c r="M196" t="str">
        <f t="shared" si="157"/>
        <v/>
      </c>
      <c r="N196" t="str">
        <f t="shared" si="157"/>
        <v/>
      </c>
      <c r="O196" t="str">
        <f t="shared" si="157"/>
        <v/>
      </c>
      <c r="P196" t="str">
        <f t="shared" si="157"/>
        <v/>
      </c>
      <c r="Q196" t="str">
        <f t="shared" si="157"/>
        <v/>
      </c>
      <c r="R196" t="str">
        <f t="shared" si="157"/>
        <v/>
      </c>
      <c r="S196" t="str">
        <f t="shared" si="157"/>
        <v/>
      </c>
      <c r="T196" t="str">
        <f t="shared" si="157"/>
        <v/>
      </c>
      <c r="U196" t="str">
        <f t="shared" si="157"/>
        <v/>
      </c>
      <c r="V196" t="str">
        <f t="shared" si="157"/>
        <v/>
      </c>
      <c r="W196" t="str">
        <f t="shared" si="157"/>
        <v/>
      </c>
      <c r="X196" t="str">
        <f t="shared" si="157"/>
        <v/>
      </c>
      <c r="Y196" t="str">
        <f t="shared" si="157"/>
        <v/>
      </c>
      <c r="Z196" t="str">
        <f t="shared" si="157"/>
        <v/>
      </c>
      <c r="AA196" t="str">
        <f t="shared" si="157"/>
        <v/>
      </c>
      <c r="AB196" t="str">
        <f t="shared" si="157"/>
        <v/>
      </c>
      <c r="AC196" t="str">
        <f t="shared" si="157"/>
        <v/>
      </c>
      <c r="AD196" t="str">
        <f t="shared" si="157"/>
        <v/>
      </c>
      <c r="AE196" t="str">
        <f t="shared" si="157"/>
        <v/>
      </c>
      <c r="AF196" t="str">
        <f t="shared" si="157"/>
        <v/>
      </c>
      <c r="AG196" t="str">
        <f t="shared" si="157"/>
        <v/>
      </c>
      <c r="AH196" t="str">
        <f t="shared" si="157"/>
        <v/>
      </c>
      <c r="AI196" t="str">
        <f t="shared" si="157"/>
        <v/>
      </c>
      <c r="AJ196" t="str">
        <f t="shared" si="157"/>
        <v/>
      </c>
      <c r="AK196" t="str">
        <f t="shared" si="157"/>
        <v/>
      </c>
      <c r="AL196" t="str">
        <f t="shared" si="157"/>
        <v/>
      </c>
      <c r="AM196" t="str">
        <f t="shared" si="157"/>
        <v/>
      </c>
      <c r="AN196" t="str">
        <f t="shared" si="157"/>
        <v/>
      </c>
      <c r="AO196" t="str">
        <f t="shared" si="157"/>
        <v/>
      </c>
      <c r="AP196" t="str">
        <f t="shared" si="157"/>
        <v/>
      </c>
      <c r="AQ196" t="str">
        <f t="shared" si="157"/>
        <v/>
      </c>
      <c r="AR196" t="str">
        <f t="shared" si="157"/>
        <v/>
      </c>
      <c r="AS196" t="str">
        <f t="shared" si="157"/>
        <v/>
      </c>
      <c r="AT196" t="str">
        <f t="shared" si="157"/>
        <v/>
      </c>
      <c r="AU196" t="str">
        <f t="shared" si="157"/>
        <v/>
      </c>
    </row>
    <row r="197" spans="5:47" ht="12.75">
      <c r="E197" t="s">
        <v>248</v>
      </c>
      <c r="G197" t="s">
        <v>154</v>
      </c>
      <c r="H197">
        <f>A$40</f>
        <v>2035</v>
      </c>
      <c r="I197" t="str">
        <f t="shared" si="150"/>
        <v>MINOILRSV5</v>
      </c>
      <c r="J197" t="s">
        <v>270</v>
      </c>
      <c r="K197" t="str">
        <f>IF(K$23=0,"",K196*$C$40)</f>
        <v/>
      </c>
      <c r="L197" t="str">
        <f t="shared" si="158" ref="L197:AU197">IF(L$23=0,"",L196*$C$40)</f>
        <v/>
      </c>
      <c r="M197" t="str">
        <f t="shared" si="158"/>
        <v/>
      </c>
      <c r="N197" t="str">
        <f t="shared" si="158"/>
        <v/>
      </c>
      <c r="O197" t="str">
        <f t="shared" si="158"/>
        <v/>
      </c>
      <c r="P197" t="str">
        <f t="shared" si="158"/>
        <v/>
      </c>
      <c r="Q197" t="str">
        <f t="shared" si="158"/>
        <v/>
      </c>
      <c r="R197" t="str">
        <f t="shared" si="158"/>
        <v/>
      </c>
      <c r="S197" t="str">
        <f t="shared" si="158"/>
        <v/>
      </c>
      <c r="T197" t="str">
        <f t="shared" si="158"/>
        <v/>
      </c>
      <c r="U197" t="str">
        <f t="shared" si="158"/>
        <v/>
      </c>
      <c r="V197" t="str">
        <f t="shared" si="158"/>
        <v/>
      </c>
      <c r="W197" t="str">
        <f t="shared" si="158"/>
        <v/>
      </c>
      <c r="X197" t="str">
        <f t="shared" si="158"/>
        <v/>
      </c>
      <c r="Y197" t="str">
        <f t="shared" si="158"/>
        <v/>
      </c>
      <c r="Z197" t="str">
        <f t="shared" si="158"/>
        <v/>
      </c>
      <c r="AA197" t="str">
        <f t="shared" si="158"/>
        <v/>
      </c>
      <c r="AB197" t="str">
        <f t="shared" si="158"/>
        <v/>
      </c>
      <c r="AC197" t="str">
        <f t="shared" si="158"/>
        <v/>
      </c>
      <c r="AD197" t="str">
        <f t="shared" si="158"/>
        <v/>
      </c>
      <c r="AE197" t="str">
        <f t="shared" si="158"/>
        <v/>
      </c>
      <c r="AF197" t="str">
        <f t="shared" si="158"/>
        <v/>
      </c>
      <c r="AG197" t="str">
        <f t="shared" si="158"/>
        <v/>
      </c>
      <c r="AH197" t="str">
        <f t="shared" si="158"/>
        <v/>
      </c>
      <c r="AI197" t="str">
        <f t="shared" si="158"/>
        <v/>
      </c>
      <c r="AJ197" t="str">
        <f t="shared" si="158"/>
        <v/>
      </c>
      <c r="AK197" t="str">
        <f t="shared" si="158"/>
        <v/>
      </c>
      <c r="AL197" t="str">
        <f t="shared" si="158"/>
        <v/>
      </c>
      <c r="AM197" t="str">
        <f t="shared" si="158"/>
        <v/>
      </c>
      <c r="AN197" t="str">
        <f t="shared" si="158"/>
        <v/>
      </c>
      <c r="AO197" t="str">
        <f t="shared" si="158"/>
        <v/>
      </c>
      <c r="AP197" t="str">
        <f t="shared" si="158"/>
        <v/>
      </c>
      <c r="AQ197" t="str">
        <f t="shared" si="158"/>
        <v/>
      </c>
      <c r="AR197" t="str">
        <f t="shared" si="158"/>
        <v/>
      </c>
      <c r="AS197" t="str">
        <f t="shared" si="158"/>
        <v/>
      </c>
      <c r="AT197" t="str">
        <f t="shared" si="158"/>
        <v/>
      </c>
      <c r="AU197" t="str">
        <f t="shared" si="158"/>
        <v/>
      </c>
    </row>
    <row r="198" spans="5:47" ht="12.75">
      <c r="E198" t="s">
        <v>248</v>
      </c>
      <c r="G198" t="s">
        <v>154</v>
      </c>
      <c r="H198">
        <f>A$41</f>
        <v>2040</v>
      </c>
      <c r="I198" t="str">
        <f t="shared" si="150"/>
        <v>MINOILRSV5</v>
      </c>
      <c r="J198" t="s">
        <v>270</v>
      </c>
      <c r="K198" t="str">
        <f>IF(K$23=0,"",K197*$C$41)</f>
        <v/>
      </c>
      <c r="L198" t="str">
        <f t="shared" si="159" ref="L198:AU198">IF(L$23=0,"",L197*$C$41)</f>
        <v/>
      </c>
      <c r="M198" t="str">
        <f t="shared" si="159"/>
        <v/>
      </c>
      <c r="N198" t="str">
        <f t="shared" si="159"/>
        <v/>
      </c>
      <c r="O198" t="str">
        <f t="shared" si="159"/>
        <v/>
      </c>
      <c r="P198" t="str">
        <f t="shared" si="159"/>
        <v/>
      </c>
      <c r="Q198" t="str">
        <f t="shared" si="159"/>
        <v/>
      </c>
      <c r="R198" t="str">
        <f t="shared" si="159"/>
        <v/>
      </c>
      <c r="S198" t="str">
        <f t="shared" si="159"/>
        <v/>
      </c>
      <c r="T198" t="str">
        <f t="shared" si="159"/>
        <v/>
      </c>
      <c r="U198" t="str">
        <f t="shared" si="159"/>
        <v/>
      </c>
      <c r="V198" t="str">
        <f t="shared" si="159"/>
        <v/>
      </c>
      <c r="W198" t="str">
        <f t="shared" si="159"/>
        <v/>
      </c>
      <c r="X198" t="str">
        <f t="shared" si="159"/>
        <v/>
      </c>
      <c r="Y198" t="str">
        <f t="shared" si="159"/>
        <v/>
      </c>
      <c r="Z198" t="str">
        <f t="shared" si="159"/>
        <v/>
      </c>
      <c r="AA198" t="str">
        <f t="shared" si="159"/>
        <v/>
      </c>
      <c r="AB198" t="str">
        <f t="shared" si="159"/>
        <v/>
      </c>
      <c r="AC198" t="str">
        <f t="shared" si="159"/>
        <v/>
      </c>
      <c r="AD198" t="str">
        <f t="shared" si="159"/>
        <v/>
      </c>
      <c r="AE198" t="str">
        <f t="shared" si="159"/>
        <v/>
      </c>
      <c r="AF198" t="str">
        <f t="shared" si="159"/>
        <v/>
      </c>
      <c r="AG198" t="str">
        <f t="shared" si="159"/>
        <v/>
      </c>
      <c r="AH198" t="str">
        <f t="shared" si="159"/>
        <v/>
      </c>
      <c r="AI198" t="str">
        <f t="shared" si="159"/>
        <v/>
      </c>
      <c r="AJ198" t="str">
        <f t="shared" si="159"/>
        <v/>
      </c>
      <c r="AK198" t="str">
        <f t="shared" si="159"/>
        <v/>
      </c>
      <c r="AL198" t="str">
        <f t="shared" si="159"/>
        <v/>
      </c>
      <c r="AM198" t="str">
        <f t="shared" si="159"/>
        <v/>
      </c>
      <c r="AN198" t="str">
        <f t="shared" si="159"/>
        <v/>
      </c>
      <c r="AO198" t="str">
        <f t="shared" si="159"/>
        <v/>
      </c>
      <c r="AP198" t="str">
        <f t="shared" si="159"/>
        <v/>
      </c>
      <c r="AQ198" t="str">
        <f t="shared" si="159"/>
        <v/>
      </c>
      <c r="AR198" t="str">
        <f t="shared" si="159"/>
        <v/>
      </c>
      <c r="AS198" t="str">
        <f t="shared" si="159"/>
        <v/>
      </c>
      <c r="AT198" t="str">
        <f t="shared" si="159"/>
        <v/>
      </c>
      <c r="AU198" t="str">
        <f t="shared" si="159"/>
        <v/>
      </c>
    </row>
    <row r="199" spans="5:47" ht="12.75">
      <c r="E199" t="s">
        <v>248</v>
      </c>
      <c r="G199" t="s">
        <v>154</v>
      </c>
      <c r="H199">
        <f>A$42</f>
        <v>2045</v>
      </c>
      <c r="I199" t="str">
        <f t="shared" si="150"/>
        <v>MINOILRSV5</v>
      </c>
      <c r="J199" t="s">
        <v>270</v>
      </c>
      <c r="K199" t="str">
        <f>IF(K$23=0,"",K198*$C$42)</f>
        <v/>
      </c>
      <c r="L199" t="str">
        <f t="shared" si="160" ref="L199:AU199">IF(L$23=0,"",L198*$C$42)</f>
        <v/>
      </c>
      <c r="M199" t="str">
        <f t="shared" si="160"/>
        <v/>
      </c>
      <c r="N199" t="str">
        <f t="shared" si="160"/>
        <v/>
      </c>
      <c r="O199" t="str">
        <f t="shared" si="160"/>
        <v/>
      </c>
      <c r="P199" t="str">
        <f t="shared" si="160"/>
        <v/>
      </c>
      <c r="Q199" t="str">
        <f t="shared" si="160"/>
        <v/>
      </c>
      <c r="R199" t="str">
        <f t="shared" si="160"/>
        <v/>
      </c>
      <c r="S199" t="str">
        <f t="shared" si="160"/>
        <v/>
      </c>
      <c r="T199" t="str">
        <f t="shared" si="160"/>
        <v/>
      </c>
      <c r="U199" t="str">
        <f t="shared" si="160"/>
        <v/>
      </c>
      <c r="V199" t="str">
        <f t="shared" si="160"/>
        <v/>
      </c>
      <c r="W199" t="str">
        <f t="shared" si="160"/>
        <v/>
      </c>
      <c r="X199" t="str">
        <f t="shared" si="160"/>
        <v/>
      </c>
      <c r="Y199" t="str">
        <f t="shared" si="160"/>
        <v/>
      </c>
      <c r="Z199" t="str">
        <f t="shared" si="160"/>
        <v/>
      </c>
      <c r="AA199" t="str">
        <f t="shared" si="160"/>
        <v/>
      </c>
      <c r="AB199" t="str">
        <f t="shared" si="160"/>
        <v/>
      </c>
      <c r="AC199" t="str">
        <f t="shared" si="160"/>
        <v/>
      </c>
      <c r="AD199" t="str">
        <f t="shared" si="160"/>
        <v/>
      </c>
      <c r="AE199" t="str">
        <f t="shared" si="160"/>
        <v/>
      </c>
      <c r="AF199" t="str">
        <f t="shared" si="160"/>
        <v/>
      </c>
      <c r="AG199" t="str">
        <f t="shared" si="160"/>
        <v/>
      </c>
      <c r="AH199" t="str">
        <f t="shared" si="160"/>
        <v/>
      </c>
      <c r="AI199" t="str">
        <f t="shared" si="160"/>
        <v/>
      </c>
      <c r="AJ199" t="str">
        <f t="shared" si="160"/>
        <v/>
      </c>
      <c r="AK199" t="str">
        <f t="shared" si="160"/>
        <v/>
      </c>
      <c r="AL199" t="str">
        <f t="shared" si="160"/>
        <v/>
      </c>
      <c r="AM199" t="str">
        <f t="shared" si="160"/>
        <v/>
      </c>
      <c r="AN199" t="str">
        <f t="shared" si="160"/>
        <v/>
      </c>
      <c r="AO199" t="str">
        <f t="shared" si="160"/>
        <v/>
      </c>
      <c r="AP199" t="str">
        <f t="shared" si="160"/>
        <v/>
      </c>
      <c r="AQ199" t="str">
        <f t="shared" si="160"/>
        <v/>
      </c>
      <c r="AR199" t="str">
        <f t="shared" si="160"/>
        <v/>
      </c>
      <c r="AS199" t="str">
        <f t="shared" si="160"/>
        <v/>
      </c>
      <c r="AT199" t="str">
        <f t="shared" si="160"/>
        <v/>
      </c>
      <c r="AU199" t="str">
        <f t="shared" si="160"/>
        <v/>
      </c>
    </row>
    <row r="200" spans="5:47" ht="12.75">
      <c r="E200" t="s">
        <v>248</v>
      </c>
      <c r="G200" t="s">
        <v>154</v>
      </c>
      <c r="H200">
        <f>A$43</f>
        <v>2050</v>
      </c>
      <c r="I200" t="str">
        <f t="shared" si="150"/>
        <v>MINOILRSV5</v>
      </c>
      <c r="J200" t="s">
        <v>270</v>
      </c>
      <c r="K200" t="str">
        <f>IF(K$23=0,"",K199*$C$43)</f>
        <v/>
      </c>
      <c r="L200" t="str">
        <f t="shared" si="161" ref="L200:AU200">IF(L$23=0,"",L199*$C$43)</f>
        <v/>
      </c>
      <c r="M200" t="str">
        <f t="shared" si="161"/>
        <v/>
      </c>
      <c r="N200" t="str">
        <f t="shared" si="161"/>
        <v/>
      </c>
      <c r="O200" t="str">
        <f t="shared" si="161"/>
        <v/>
      </c>
      <c r="P200" t="str">
        <f t="shared" si="161"/>
        <v/>
      </c>
      <c r="Q200" t="str">
        <f t="shared" si="161"/>
        <v/>
      </c>
      <c r="R200" t="str">
        <f t="shared" si="161"/>
        <v/>
      </c>
      <c r="S200" t="str">
        <f t="shared" si="161"/>
        <v/>
      </c>
      <c r="T200" t="str">
        <f t="shared" si="161"/>
        <v/>
      </c>
      <c r="U200" t="str">
        <f t="shared" si="161"/>
        <v/>
      </c>
      <c r="V200" t="str">
        <f t="shared" si="161"/>
        <v/>
      </c>
      <c r="W200" t="str">
        <f t="shared" si="161"/>
        <v/>
      </c>
      <c r="X200" t="str">
        <f t="shared" si="161"/>
        <v/>
      </c>
      <c r="Y200" t="str">
        <f t="shared" si="161"/>
        <v/>
      </c>
      <c r="Z200" t="str">
        <f t="shared" si="161"/>
        <v/>
      </c>
      <c r="AA200" t="str">
        <f t="shared" si="161"/>
        <v/>
      </c>
      <c r="AB200" t="str">
        <f t="shared" si="161"/>
        <v/>
      </c>
      <c r="AC200" t="str">
        <f t="shared" si="161"/>
        <v/>
      </c>
      <c r="AD200" t="str">
        <f t="shared" si="161"/>
        <v/>
      </c>
      <c r="AE200" t="str">
        <f t="shared" si="161"/>
        <v/>
      </c>
      <c r="AF200" t="str">
        <f t="shared" si="161"/>
        <v/>
      </c>
      <c r="AG200" t="str">
        <f t="shared" si="161"/>
        <v/>
      </c>
      <c r="AH200" t="str">
        <f t="shared" si="161"/>
        <v/>
      </c>
      <c r="AI200" t="str">
        <f t="shared" si="161"/>
        <v/>
      </c>
      <c r="AJ200" t="str">
        <f t="shared" si="161"/>
        <v/>
      </c>
      <c r="AK200" t="str">
        <f t="shared" si="161"/>
        <v/>
      </c>
      <c r="AL200" t="str">
        <f t="shared" si="161"/>
        <v/>
      </c>
      <c r="AM200" t="str">
        <f t="shared" si="161"/>
        <v/>
      </c>
      <c r="AN200" t="str">
        <f t="shared" si="161"/>
        <v/>
      </c>
      <c r="AO200" t="str">
        <f t="shared" si="161"/>
        <v/>
      </c>
      <c r="AP200" t="str">
        <f t="shared" si="161"/>
        <v/>
      </c>
      <c r="AQ200" t="str">
        <f t="shared" si="161"/>
        <v/>
      </c>
      <c r="AR200" t="str">
        <f t="shared" si="161"/>
        <v/>
      </c>
      <c r="AS200" t="str">
        <f t="shared" si="161"/>
        <v/>
      </c>
      <c r="AT200" t="str">
        <f t="shared" si="161"/>
        <v/>
      </c>
      <c r="AU200" t="str">
        <f t="shared" si="161"/>
        <v/>
      </c>
    </row>
    <row r="201" spans="5:47" ht="12.75">
      <c r="E201" t="s">
        <v>248</v>
      </c>
      <c r="G201" t="s">
        <v>154</v>
      </c>
      <c r="H201">
        <f>A$33</f>
        <v>2001</v>
      </c>
      <c r="I201" t="str">
        <f t="shared" si="162" ref="I201:I211">I$24</f>
        <v>MINOILRSV6</v>
      </c>
      <c r="J201" t="s">
        <v>270</v>
      </c>
      <c r="K201" t="str">
        <f>IF(K$24=0,"",K$24*$C$33)</f>
        <v/>
      </c>
      <c r="L201" t="str">
        <f t="shared" si="163" ref="L201:AU201">IF(L$24=0,"",L$24*$C$33)</f>
        <v/>
      </c>
      <c r="M201" t="str">
        <f t="shared" si="163"/>
        <v/>
      </c>
      <c r="N201" t="str">
        <f t="shared" si="163"/>
        <v/>
      </c>
      <c r="O201" t="str">
        <f t="shared" si="163"/>
        <v/>
      </c>
      <c r="P201" t="str">
        <f t="shared" si="163"/>
        <v/>
      </c>
      <c r="Q201" t="str">
        <f t="shared" si="163"/>
        <v/>
      </c>
      <c r="R201" t="str">
        <f t="shared" si="163"/>
        <v/>
      </c>
      <c r="S201" t="str">
        <f t="shared" si="163"/>
        <v/>
      </c>
      <c r="T201" t="str">
        <f t="shared" si="163"/>
        <v/>
      </c>
      <c r="U201" t="str">
        <f t="shared" si="163"/>
        <v/>
      </c>
      <c r="V201" t="str">
        <f t="shared" si="163"/>
        <v/>
      </c>
      <c r="W201" t="str">
        <f t="shared" si="163"/>
        <v/>
      </c>
      <c r="X201" t="str">
        <f t="shared" si="163"/>
        <v/>
      </c>
      <c r="Y201" t="str">
        <f t="shared" si="163"/>
        <v/>
      </c>
      <c r="Z201" t="str">
        <f t="shared" si="163"/>
        <v/>
      </c>
      <c r="AA201" t="str">
        <f t="shared" si="163"/>
        <v/>
      </c>
      <c r="AB201" t="str">
        <f t="shared" si="163"/>
        <v/>
      </c>
      <c r="AC201" t="str">
        <f t="shared" si="163"/>
        <v/>
      </c>
      <c r="AD201" t="str">
        <f t="shared" si="163"/>
        <v/>
      </c>
      <c r="AE201" t="str">
        <f t="shared" si="163"/>
        <v/>
      </c>
      <c r="AF201" t="str">
        <f t="shared" si="163"/>
        <v/>
      </c>
      <c r="AG201" t="str">
        <f t="shared" si="163"/>
        <v/>
      </c>
      <c r="AH201" t="str">
        <f t="shared" si="163"/>
        <v/>
      </c>
      <c r="AI201" t="str">
        <f t="shared" si="163"/>
        <v/>
      </c>
      <c r="AJ201" t="str">
        <f t="shared" si="163"/>
        <v/>
      </c>
      <c r="AK201" t="str">
        <f t="shared" si="163"/>
        <v/>
      </c>
      <c r="AL201" t="str">
        <f t="shared" si="163"/>
        <v/>
      </c>
      <c r="AM201" t="str">
        <f t="shared" si="163"/>
        <v/>
      </c>
      <c r="AN201" t="str">
        <f t="shared" si="163"/>
        <v/>
      </c>
      <c r="AO201" t="str">
        <f t="shared" si="163"/>
        <v/>
      </c>
      <c r="AP201" t="str">
        <f t="shared" si="163"/>
        <v/>
      </c>
      <c r="AQ201" t="str">
        <f t="shared" si="163"/>
        <v/>
      </c>
      <c r="AR201" t="str">
        <f t="shared" si="163"/>
        <v/>
      </c>
      <c r="AS201" t="str">
        <f t="shared" si="163"/>
        <v/>
      </c>
      <c r="AT201" t="str">
        <f t="shared" si="163"/>
        <v/>
      </c>
      <c r="AU201" t="str">
        <f t="shared" si="163"/>
        <v/>
      </c>
    </row>
    <row r="202" spans="5:47" ht="12.75">
      <c r="E202" t="s">
        <v>248</v>
      </c>
      <c r="G202" t="s">
        <v>154</v>
      </c>
      <c r="H202">
        <f>A$34</f>
        <v>2005</v>
      </c>
      <c r="I202" t="str">
        <f t="shared" si="162"/>
        <v>MINOILRSV6</v>
      </c>
      <c r="J202" t="s">
        <v>270</v>
      </c>
      <c r="K202" t="str">
        <f>IF(K$24=0,"",K201*$C$34)</f>
        <v/>
      </c>
      <c r="L202" t="str">
        <f t="shared" si="164" ref="L202:AU202">IF(L$24=0,"",L201*$C$34)</f>
        <v/>
      </c>
      <c r="M202" t="str">
        <f t="shared" si="164"/>
        <v/>
      </c>
      <c r="N202" t="str">
        <f t="shared" si="164"/>
        <v/>
      </c>
      <c r="O202" t="str">
        <f t="shared" si="164"/>
        <v/>
      </c>
      <c r="P202" t="str">
        <f t="shared" si="164"/>
        <v/>
      </c>
      <c r="Q202" t="str">
        <f t="shared" si="164"/>
        <v/>
      </c>
      <c r="R202" t="str">
        <f t="shared" si="164"/>
        <v/>
      </c>
      <c r="S202" t="str">
        <f t="shared" si="164"/>
        <v/>
      </c>
      <c r="T202" t="str">
        <f t="shared" si="164"/>
        <v/>
      </c>
      <c r="U202" t="str">
        <f t="shared" si="164"/>
        <v/>
      </c>
      <c r="V202" t="str">
        <f t="shared" si="164"/>
        <v/>
      </c>
      <c r="W202" t="str">
        <f t="shared" si="164"/>
        <v/>
      </c>
      <c r="X202" t="str">
        <f t="shared" si="164"/>
        <v/>
      </c>
      <c r="Y202" t="str">
        <f t="shared" si="164"/>
        <v/>
      </c>
      <c r="Z202" t="str">
        <f t="shared" si="164"/>
        <v/>
      </c>
      <c r="AA202" t="str">
        <f t="shared" si="164"/>
        <v/>
      </c>
      <c r="AB202" t="str">
        <f t="shared" si="164"/>
        <v/>
      </c>
      <c r="AC202" t="str">
        <f t="shared" si="164"/>
        <v/>
      </c>
      <c r="AD202" t="str">
        <f t="shared" si="164"/>
        <v/>
      </c>
      <c r="AE202" t="str">
        <f t="shared" si="164"/>
        <v/>
      </c>
      <c r="AF202" t="str">
        <f t="shared" si="164"/>
        <v/>
      </c>
      <c r="AG202" t="str">
        <f t="shared" si="164"/>
        <v/>
      </c>
      <c r="AH202" t="str">
        <f t="shared" si="164"/>
        <v/>
      </c>
      <c r="AI202" t="str">
        <f t="shared" si="164"/>
        <v/>
      </c>
      <c r="AJ202" t="str">
        <f t="shared" si="164"/>
        <v/>
      </c>
      <c r="AK202" t="str">
        <f t="shared" si="164"/>
        <v/>
      </c>
      <c r="AL202" t="str">
        <f t="shared" si="164"/>
        <v/>
      </c>
      <c r="AM202" t="str">
        <f t="shared" si="164"/>
        <v/>
      </c>
      <c r="AN202" t="str">
        <f t="shared" si="164"/>
        <v/>
      </c>
      <c r="AO202" t="str">
        <f t="shared" si="164"/>
        <v/>
      </c>
      <c r="AP202" t="str">
        <f t="shared" si="164"/>
        <v/>
      </c>
      <c r="AQ202" t="str">
        <f t="shared" si="164"/>
        <v/>
      </c>
      <c r="AR202" t="str">
        <f t="shared" si="164"/>
        <v/>
      </c>
      <c r="AS202" t="str">
        <f t="shared" si="164"/>
        <v/>
      </c>
      <c r="AT202" t="str">
        <f t="shared" si="164"/>
        <v/>
      </c>
      <c r="AU202" t="str">
        <f t="shared" si="164"/>
        <v/>
      </c>
    </row>
    <row r="203" spans="5:47" ht="12.75">
      <c r="E203" t="s">
        <v>248</v>
      </c>
      <c r="G203" t="s">
        <v>154</v>
      </c>
      <c r="H203">
        <f>A$35</f>
        <v>2010</v>
      </c>
      <c r="I203" t="str">
        <f t="shared" si="162"/>
        <v>MINOILRSV6</v>
      </c>
      <c r="J203" t="s">
        <v>270</v>
      </c>
      <c r="K203" t="str">
        <f>IF(K$24=0,"",K202*$C$35)</f>
        <v/>
      </c>
      <c r="L203" t="str">
        <f t="shared" si="165" ref="L203:AU203">IF(L$24=0,"",L202*$C$35)</f>
        <v/>
      </c>
      <c r="M203" t="str">
        <f t="shared" si="165"/>
        <v/>
      </c>
      <c r="N203" t="str">
        <f t="shared" si="165"/>
        <v/>
      </c>
      <c r="O203" t="str">
        <f t="shared" si="165"/>
        <v/>
      </c>
      <c r="P203" t="str">
        <f t="shared" si="165"/>
        <v/>
      </c>
      <c r="Q203" t="str">
        <f t="shared" si="165"/>
        <v/>
      </c>
      <c r="R203" t="str">
        <f t="shared" si="165"/>
        <v/>
      </c>
      <c r="S203" t="str">
        <f t="shared" si="165"/>
        <v/>
      </c>
      <c r="T203" t="str">
        <f t="shared" si="165"/>
        <v/>
      </c>
      <c r="U203" t="str">
        <f t="shared" si="165"/>
        <v/>
      </c>
      <c r="V203" t="str">
        <f t="shared" si="165"/>
        <v/>
      </c>
      <c r="W203" t="str">
        <f t="shared" si="165"/>
        <v/>
      </c>
      <c r="X203" t="str">
        <f t="shared" si="165"/>
        <v/>
      </c>
      <c r="Y203" t="str">
        <f t="shared" si="165"/>
        <v/>
      </c>
      <c r="Z203" t="str">
        <f t="shared" si="165"/>
        <v/>
      </c>
      <c r="AA203" t="str">
        <f t="shared" si="165"/>
        <v/>
      </c>
      <c r="AB203" t="str">
        <f t="shared" si="165"/>
        <v/>
      </c>
      <c r="AC203" t="str">
        <f t="shared" si="165"/>
        <v/>
      </c>
      <c r="AD203" t="str">
        <f t="shared" si="165"/>
        <v/>
      </c>
      <c r="AE203" t="str">
        <f t="shared" si="165"/>
        <v/>
      </c>
      <c r="AF203" t="str">
        <f t="shared" si="165"/>
        <v/>
      </c>
      <c r="AG203" t="str">
        <f t="shared" si="165"/>
        <v/>
      </c>
      <c r="AH203" t="str">
        <f t="shared" si="165"/>
        <v/>
      </c>
      <c r="AI203" t="str">
        <f t="shared" si="165"/>
        <v/>
      </c>
      <c r="AJ203" t="str">
        <f t="shared" si="165"/>
        <v/>
      </c>
      <c r="AK203" t="str">
        <f t="shared" si="165"/>
        <v/>
      </c>
      <c r="AL203" t="str">
        <f t="shared" si="165"/>
        <v/>
      </c>
      <c r="AM203" t="str">
        <f t="shared" si="165"/>
        <v/>
      </c>
      <c r="AN203" t="str">
        <f t="shared" si="165"/>
        <v/>
      </c>
      <c r="AO203" t="str">
        <f t="shared" si="165"/>
        <v/>
      </c>
      <c r="AP203" t="str">
        <f t="shared" si="165"/>
        <v/>
      </c>
      <c r="AQ203" t="str">
        <f t="shared" si="165"/>
        <v/>
      </c>
      <c r="AR203" t="str">
        <f t="shared" si="165"/>
        <v/>
      </c>
      <c r="AS203" t="str">
        <f t="shared" si="165"/>
        <v/>
      </c>
      <c r="AT203" t="str">
        <f t="shared" si="165"/>
        <v/>
      </c>
      <c r="AU203" t="str">
        <f t="shared" si="165"/>
        <v/>
      </c>
    </row>
    <row r="204" spans="5:47" ht="12.75">
      <c r="E204" t="s">
        <v>248</v>
      </c>
      <c r="G204" t="s">
        <v>154</v>
      </c>
      <c r="H204">
        <f>A$36</f>
        <v>2015</v>
      </c>
      <c r="I204" t="str">
        <f t="shared" si="162"/>
        <v>MINOILRSV6</v>
      </c>
      <c r="J204" t="s">
        <v>270</v>
      </c>
      <c r="K204" t="str">
        <f>IF(K$24=0,"",K203*$C$36)</f>
        <v/>
      </c>
      <c r="L204" t="str">
        <f t="shared" si="166" ref="L204:AU204">IF(L$24=0,"",L203*$C$36)</f>
        <v/>
      </c>
      <c r="M204" t="str">
        <f t="shared" si="166"/>
        <v/>
      </c>
      <c r="N204" t="str">
        <f t="shared" si="166"/>
        <v/>
      </c>
      <c r="O204" t="str">
        <f t="shared" si="166"/>
        <v/>
      </c>
      <c r="P204" t="str">
        <f t="shared" si="166"/>
        <v/>
      </c>
      <c r="Q204" t="str">
        <f t="shared" si="166"/>
        <v/>
      </c>
      <c r="R204" t="str">
        <f t="shared" si="166"/>
        <v/>
      </c>
      <c r="S204" t="str">
        <f t="shared" si="166"/>
        <v/>
      </c>
      <c r="T204" t="str">
        <f t="shared" si="166"/>
        <v/>
      </c>
      <c r="U204" t="str">
        <f t="shared" si="166"/>
        <v/>
      </c>
      <c r="V204" t="str">
        <f t="shared" si="166"/>
        <v/>
      </c>
      <c r="W204" t="str">
        <f t="shared" si="166"/>
        <v/>
      </c>
      <c r="X204" t="str">
        <f t="shared" si="166"/>
        <v/>
      </c>
      <c r="Y204" t="str">
        <f t="shared" si="166"/>
        <v/>
      </c>
      <c r="Z204" t="str">
        <f t="shared" si="166"/>
        <v/>
      </c>
      <c r="AA204" t="str">
        <f t="shared" si="166"/>
        <v/>
      </c>
      <c r="AB204" t="str">
        <f t="shared" si="166"/>
        <v/>
      </c>
      <c r="AC204" t="str">
        <f t="shared" si="166"/>
        <v/>
      </c>
      <c r="AD204" t="str">
        <f t="shared" si="166"/>
        <v/>
      </c>
      <c r="AE204" t="str">
        <f t="shared" si="166"/>
        <v/>
      </c>
      <c r="AF204" t="str">
        <f t="shared" si="166"/>
        <v/>
      </c>
      <c r="AG204" t="str">
        <f t="shared" si="166"/>
        <v/>
      </c>
      <c r="AH204" t="str">
        <f t="shared" si="166"/>
        <v/>
      </c>
      <c r="AI204" t="str">
        <f t="shared" si="166"/>
        <v/>
      </c>
      <c r="AJ204" t="str">
        <f t="shared" si="166"/>
        <v/>
      </c>
      <c r="AK204" t="str">
        <f t="shared" si="166"/>
        <v/>
      </c>
      <c r="AL204" t="str">
        <f t="shared" si="166"/>
        <v/>
      </c>
      <c r="AM204" t="str">
        <f t="shared" si="166"/>
        <v/>
      </c>
      <c r="AN204" t="str">
        <f t="shared" si="166"/>
        <v/>
      </c>
      <c r="AO204" t="str">
        <f t="shared" si="166"/>
        <v/>
      </c>
      <c r="AP204" t="str">
        <f t="shared" si="166"/>
        <v/>
      </c>
      <c r="AQ204" t="str">
        <f t="shared" si="166"/>
        <v/>
      </c>
      <c r="AR204" t="str">
        <f t="shared" si="166"/>
        <v/>
      </c>
      <c r="AS204" t="str">
        <f t="shared" si="166"/>
        <v/>
      </c>
      <c r="AT204" t="str">
        <f t="shared" si="166"/>
        <v/>
      </c>
      <c r="AU204" t="str">
        <f t="shared" si="166"/>
        <v/>
      </c>
    </row>
    <row r="205" spans="5:47" ht="12.75">
      <c r="E205" t="s">
        <v>248</v>
      </c>
      <c r="G205" t="s">
        <v>154</v>
      </c>
      <c r="H205">
        <f>A$37</f>
        <v>2020</v>
      </c>
      <c r="I205" t="str">
        <f t="shared" si="162"/>
        <v>MINOILRSV6</v>
      </c>
      <c r="J205" t="s">
        <v>270</v>
      </c>
      <c r="K205" t="str">
        <f>IF(K$24=0,"",K204*$C$37)</f>
        <v/>
      </c>
      <c r="L205" t="str">
        <f t="shared" si="167" ref="L205:AU205">IF(L$24=0,"",L204*$C$37)</f>
        <v/>
      </c>
      <c r="M205" t="str">
        <f t="shared" si="167"/>
        <v/>
      </c>
      <c r="N205" t="str">
        <f t="shared" si="167"/>
        <v/>
      </c>
      <c r="O205" t="str">
        <f t="shared" si="167"/>
        <v/>
      </c>
      <c r="P205" t="str">
        <f t="shared" si="167"/>
        <v/>
      </c>
      <c r="Q205" t="str">
        <f t="shared" si="167"/>
        <v/>
      </c>
      <c r="R205" t="str">
        <f t="shared" si="167"/>
        <v/>
      </c>
      <c r="S205" t="str">
        <f t="shared" si="167"/>
        <v/>
      </c>
      <c r="T205" t="str">
        <f t="shared" si="167"/>
        <v/>
      </c>
      <c r="U205" t="str">
        <f t="shared" si="167"/>
        <v/>
      </c>
      <c r="V205" t="str">
        <f t="shared" si="167"/>
        <v/>
      </c>
      <c r="W205" t="str">
        <f t="shared" si="167"/>
        <v/>
      </c>
      <c r="X205" t="str">
        <f t="shared" si="167"/>
        <v/>
      </c>
      <c r="Y205" t="str">
        <f t="shared" si="167"/>
        <v/>
      </c>
      <c r="Z205" t="str">
        <f t="shared" si="167"/>
        <v/>
      </c>
      <c r="AA205" t="str">
        <f t="shared" si="167"/>
        <v/>
      </c>
      <c r="AB205" t="str">
        <f t="shared" si="167"/>
        <v/>
      </c>
      <c r="AC205" t="str">
        <f t="shared" si="167"/>
        <v/>
      </c>
      <c r="AD205" t="str">
        <f t="shared" si="167"/>
        <v/>
      </c>
      <c r="AE205" t="str">
        <f t="shared" si="167"/>
        <v/>
      </c>
      <c r="AF205" t="str">
        <f t="shared" si="167"/>
        <v/>
      </c>
      <c r="AG205" t="str">
        <f t="shared" si="167"/>
        <v/>
      </c>
      <c r="AH205" t="str">
        <f t="shared" si="167"/>
        <v/>
      </c>
      <c r="AI205" t="str">
        <f t="shared" si="167"/>
        <v/>
      </c>
      <c r="AJ205" t="str">
        <f t="shared" si="167"/>
        <v/>
      </c>
      <c r="AK205" t="str">
        <f t="shared" si="167"/>
        <v/>
      </c>
      <c r="AL205" t="str">
        <f t="shared" si="167"/>
        <v/>
      </c>
      <c r="AM205" t="str">
        <f t="shared" si="167"/>
        <v/>
      </c>
      <c r="AN205" t="str">
        <f t="shared" si="167"/>
        <v/>
      </c>
      <c r="AO205" t="str">
        <f t="shared" si="167"/>
        <v/>
      </c>
      <c r="AP205" t="str">
        <f t="shared" si="167"/>
        <v/>
      </c>
      <c r="AQ205" t="str">
        <f t="shared" si="167"/>
        <v/>
      </c>
      <c r="AR205" t="str">
        <f t="shared" si="167"/>
        <v/>
      </c>
      <c r="AS205" t="str">
        <f t="shared" si="167"/>
        <v/>
      </c>
      <c r="AT205" t="str">
        <f t="shared" si="167"/>
        <v/>
      </c>
      <c r="AU205" t="str">
        <f t="shared" si="167"/>
        <v/>
      </c>
    </row>
    <row r="206" spans="5:47" ht="12.75">
      <c r="E206" t="s">
        <v>248</v>
      </c>
      <c r="G206" t="s">
        <v>154</v>
      </c>
      <c r="H206">
        <f>A$38</f>
        <v>2025</v>
      </c>
      <c r="I206" t="str">
        <f t="shared" si="162"/>
        <v>MINOILRSV6</v>
      </c>
      <c r="J206" t="s">
        <v>270</v>
      </c>
      <c r="K206" t="str">
        <f>IF(K$24=0,"",K205*$C$38)</f>
        <v/>
      </c>
      <c r="L206" t="str">
        <f t="shared" si="168" ref="L206:AU206">IF(L$24=0,"",L205*$C$38)</f>
        <v/>
      </c>
      <c r="M206" t="str">
        <f t="shared" si="168"/>
        <v/>
      </c>
      <c r="N206" t="str">
        <f t="shared" si="168"/>
        <v/>
      </c>
      <c r="O206" t="str">
        <f t="shared" si="168"/>
        <v/>
      </c>
      <c r="P206" t="str">
        <f t="shared" si="168"/>
        <v/>
      </c>
      <c r="Q206" t="str">
        <f t="shared" si="168"/>
        <v/>
      </c>
      <c r="R206" t="str">
        <f t="shared" si="168"/>
        <v/>
      </c>
      <c r="S206" t="str">
        <f t="shared" si="168"/>
        <v/>
      </c>
      <c r="T206" t="str">
        <f t="shared" si="168"/>
        <v/>
      </c>
      <c r="U206" t="str">
        <f t="shared" si="168"/>
        <v/>
      </c>
      <c r="V206" t="str">
        <f t="shared" si="168"/>
        <v/>
      </c>
      <c r="W206" t="str">
        <f t="shared" si="168"/>
        <v/>
      </c>
      <c r="X206" t="str">
        <f t="shared" si="168"/>
        <v/>
      </c>
      <c r="Y206" t="str">
        <f t="shared" si="168"/>
        <v/>
      </c>
      <c r="Z206" t="str">
        <f t="shared" si="168"/>
        <v/>
      </c>
      <c r="AA206" t="str">
        <f t="shared" si="168"/>
        <v/>
      </c>
      <c r="AB206" t="str">
        <f t="shared" si="168"/>
        <v/>
      </c>
      <c r="AC206" t="str">
        <f t="shared" si="168"/>
        <v/>
      </c>
      <c r="AD206" t="str">
        <f t="shared" si="168"/>
        <v/>
      </c>
      <c r="AE206" t="str">
        <f t="shared" si="168"/>
        <v/>
      </c>
      <c r="AF206" t="str">
        <f t="shared" si="168"/>
        <v/>
      </c>
      <c r="AG206" t="str">
        <f t="shared" si="168"/>
        <v/>
      </c>
      <c r="AH206" t="str">
        <f t="shared" si="168"/>
        <v/>
      </c>
      <c r="AI206" t="str">
        <f t="shared" si="168"/>
        <v/>
      </c>
      <c r="AJ206" t="str">
        <f t="shared" si="168"/>
        <v/>
      </c>
      <c r="AK206" t="str">
        <f t="shared" si="168"/>
        <v/>
      </c>
      <c r="AL206" t="str">
        <f t="shared" si="168"/>
        <v/>
      </c>
      <c r="AM206" t="str">
        <f t="shared" si="168"/>
        <v/>
      </c>
      <c r="AN206" t="str">
        <f t="shared" si="168"/>
        <v/>
      </c>
      <c r="AO206" t="str">
        <f t="shared" si="168"/>
        <v/>
      </c>
      <c r="AP206" t="str">
        <f t="shared" si="168"/>
        <v/>
      </c>
      <c r="AQ206" t="str">
        <f t="shared" si="168"/>
        <v/>
      </c>
      <c r="AR206" t="str">
        <f t="shared" si="168"/>
        <v/>
      </c>
      <c r="AS206" t="str">
        <f t="shared" si="168"/>
        <v/>
      </c>
      <c r="AT206" t="str">
        <f t="shared" si="168"/>
        <v/>
      </c>
      <c r="AU206" t="str">
        <f t="shared" si="168"/>
        <v/>
      </c>
    </row>
    <row r="207" spans="5:47" ht="12.75">
      <c r="E207" t="s">
        <v>248</v>
      </c>
      <c r="G207" t="s">
        <v>154</v>
      </c>
      <c r="H207">
        <f>A$39</f>
        <v>2030</v>
      </c>
      <c r="I207" t="str">
        <f t="shared" si="162"/>
        <v>MINOILRSV6</v>
      </c>
      <c r="J207" t="s">
        <v>270</v>
      </c>
      <c r="K207" t="str">
        <f>IF(K$24=0,"",K206*$C$39)</f>
        <v/>
      </c>
      <c r="L207" t="str">
        <f t="shared" si="169" ref="L207:AU207">IF(L$24=0,"",L206*$C$39)</f>
        <v/>
      </c>
      <c r="M207" t="str">
        <f t="shared" si="169"/>
        <v/>
      </c>
      <c r="N207" t="str">
        <f t="shared" si="169"/>
        <v/>
      </c>
      <c r="O207" t="str">
        <f t="shared" si="169"/>
        <v/>
      </c>
      <c r="P207" t="str">
        <f t="shared" si="169"/>
        <v/>
      </c>
      <c r="Q207" t="str">
        <f t="shared" si="169"/>
        <v/>
      </c>
      <c r="R207" t="str">
        <f t="shared" si="169"/>
        <v/>
      </c>
      <c r="S207" t="str">
        <f t="shared" si="169"/>
        <v/>
      </c>
      <c r="T207" t="str">
        <f t="shared" si="169"/>
        <v/>
      </c>
      <c r="U207" t="str">
        <f t="shared" si="169"/>
        <v/>
      </c>
      <c r="V207" t="str">
        <f t="shared" si="169"/>
        <v/>
      </c>
      <c r="W207" t="str">
        <f t="shared" si="169"/>
        <v/>
      </c>
      <c r="X207" t="str">
        <f t="shared" si="169"/>
        <v/>
      </c>
      <c r="Y207" t="str">
        <f t="shared" si="169"/>
        <v/>
      </c>
      <c r="Z207" t="str">
        <f t="shared" si="169"/>
        <v/>
      </c>
      <c r="AA207" t="str">
        <f t="shared" si="169"/>
        <v/>
      </c>
      <c r="AB207" t="str">
        <f t="shared" si="169"/>
        <v/>
      </c>
      <c r="AC207" t="str">
        <f t="shared" si="169"/>
        <v/>
      </c>
      <c r="AD207" t="str">
        <f t="shared" si="169"/>
        <v/>
      </c>
      <c r="AE207" t="str">
        <f t="shared" si="169"/>
        <v/>
      </c>
      <c r="AF207" t="str">
        <f t="shared" si="169"/>
        <v/>
      </c>
      <c r="AG207" t="str">
        <f t="shared" si="169"/>
        <v/>
      </c>
      <c r="AH207" t="str">
        <f t="shared" si="169"/>
        <v/>
      </c>
      <c r="AI207" t="str">
        <f t="shared" si="169"/>
        <v/>
      </c>
      <c r="AJ207" t="str">
        <f t="shared" si="169"/>
        <v/>
      </c>
      <c r="AK207" t="str">
        <f t="shared" si="169"/>
        <v/>
      </c>
      <c r="AL207" t="str">
        <f t="shared" si="169"/>
        <v/>
      </c>
      <c r="AM207" t="str">
        <f t="shared" si="169"/>
        <v/>
      </c>
      <c r="AN207" t="str">
        <f t="shared" si="169"/>
        <v/>
      </c>
      <c r="AO207" t="str">
        <f t="shared" si="169"/>
        <v/>
      </c>
      <c r="AP207" t="str">
        <f t="shared" si="169"/>
        <v/>
      </c>
      <c r="AQ207" t="str">
        <f t="shared" si="169"/>
        <v/>
      </c>
      <c r="AR207" t="str">
        <f t="shared" si="169"/>
        <v/>
      </c>
      <c r="AS207" t="str">
        <f t="shared" si="169"/>
        <v/>
      </c>
      <c r="AT207" t="str">
        <f t="shared" si="169"/>
        <v/>
      </c>
      <c r="AU207" t="str">
        <f t="shared" si="169"/>
        <v/>
      </c>
    </row>
    <row r="208" spans="5:47" ht="12.75">
      <c r="E208" t="s">
        <v>248</v>
      </c>
      <c r="G208" t="s">
        <v>154</v>
      </c>
      <c r="H208">
        <f>A$40</f>
        <v>2035</v>
      </c>
      <c r="I208" t="str">
        <f t="shared" si="162"/>
        <v>MINOILRSV6</v>
      </c>
      <c r="J208" t="s">
        <v>270</v>
      </c>
      <c r="K208" t="str">
        <f>IF(K$24=0,"",K207*$C$40)</f>
        <v/>
      </c>
      <c r="L208" t="str">
        <f t="shared" si="170" ref="L208:AU208">IF(L$24=0,"",L207*$C$40)</f>
        <v/>
      </c>
      <c r="M208" t="str">
        <f t="shared" si="170"/>
        <v/>
      </c>
      <c r="N208" t="str">
        <f t="shared" si="170"/>
        <v/>
      </c>
      <c r="O208" t="str">
        <f t="shared" si="170"/>
        <v/>
      </c>
      <c r="P208" t="str">
        <f t="shared" si="170"/>
        <v/>
      </c>
      <c r="Q208" t="str">
        <f t="shared" si="170"/>
        <v/>
      </c>
      <c r="R208" t="str">
        <f t="shared" si="170"/>
        <v/>
      </c>
      <c r="S208" t="str">
        <f t="shared" si="170"/>
        <v/>
      </c>
      <c r="T208" t="str">
        <f t="shared" si="170"/>
        <v/>
      </c>
      <c r="U208" t="str">
        <f t="shared" si="170"/>
        <v/>
      </c>
      <c r="V208" t="str">
        <f t="shared" si="170"/>
        <v/>
      </c>
      <c r="W208" t="str">
        <f t="shared" si="170"/>
        <v/>
      </c>
      <c r="X208" t="str">
        <f t="shared" si="170"/>
        <v/>
      </c>
      <c r="Y208" t="str">
        <f t="shared" si="170"/>
        <v/>
      </c>
      <c r="Z208" t="str">
        <f t="shared" si="170"/>
        <v/>
      </c>
      <c r="AA208" t="str">
        <f t="shared" si="170"/>
        <v/>
      </c>
      <c r="AB208" t="str">
        <f t="shared" si="170"/>
        <v/>
      </c>
      <c r="AC208" t="str">
        <f t="shared" si="170"/>
        <v/>
      </c>
      <c r="AD208" t="str">
        <f t="shared" si="170"/>
        <v/>
      </c>
      <c r="AE208" t="str">
        <f t="shared" si="170"/>
        <v/>
      </c>
      <c r="AF208" t="str">
        <f t="shared" si="170"/>
        <v/>
      </c>
      <c r="AG208" t="str">
        <f t="shared" si="170"/>
        <v/>
      </c>
      <c r="AH208" t="str">
        <f t="shared" si="170"/>
        <v/>
      </c>
      <c r="AI208" t="str">
        <f t="shared" si="170"/>
        <v/>
      </c>
      <c r="AJ208" t="str">
        <f t="shared" si="170"/>
        <v/>
      </c>
      <c r="AK208" t="str">
        <f t="shared" si="170"/>
        <v/>
      </c>
      <c r="AL208" t="str">
        <f t="shared" si="170"/>
        <v/>
      </c>
      <c r="AM208" t="str">
        <f t="shared" si="170"/>
        <v/>
      </c>
      <c r="AN208" t="str">
        <f t="shared" si="170"/>
        <v/>
      </c>
      <c r="AO208" t="str">
        <f t="shared" si="170"/>
        <v/>
      </c>
      <c r="AP208" t="str">
        <f t="shared" si="170"/>
        <v/>
      </c>
      <c r="AQ208" t="str">
        <f t="shared" si="170"/>
        <v/>
      </c>
      <c r="AR208" t="str">
        <f t="shared" si="170"/>
        <v/>
      </c>
      <c r="AS208" t="str">
        <f t="shared" si="170"/>
        <v/>
      </c>
      <c r="AT208" t="str">
        <f t="shared" si="170"/>
        <v/>
      </c>
      <c r="AU208" t="str">
        <f t="shared" si="170"/>
        <v/>
      </c>
    </row>
    <row r="209" spans="5:47" ht="12.75">
      <c r="E209" t="s">
        <v>248</v>
      </c>
      <c r="G209" t="s">
        <v>154</v>
      </c>
      <c r="H209">
        <f>A$41</f>
        <v>2040</v>
      </c>
      <c r="I209" t="str">
        <f t="shared" si="162"/>
        <v>MINOILRSV6</v>
      </c>
      <c r="J209" t="s">
        <v>270</v>
      </c>
      <c r="K209" t="str">
        <f>IF(K$24=0,"",K208*$C$41)</f>
        <v/>
      </c>
      <c r="L209" t="str">
        <f t="shared" si="171" ref="L209:AU209">IF(L$24=0,"",L208*$C$41)</f>
        <v/>
      </c>
      <c r="M209" t="str">
        <f t="shared" si="171"/>
        <v/>
      </c>
      <c r="N209" t="str">
        <f t="shared" si="171"/>
        <v/>
      </c>
      <c r="O209" t="str">
        <f t="shared" si="171"/>
        <v/>
      </c>
      <c r="P209" t="str">
        <f t="shared" si="171"/>
        <v/>
      </c>
      <c r="Q209" t="str">
        <f t="shared" si="171"/>
        <v/>
      </c>
      <c r="R209" t="str">
        <f t="shared" si="171"/>
        <v/>
      </c>
      <c r="S209" t="str">
        <f t="shared" si="171"/>
        <v/>
      </c>
      <c r="T209" t="str">
        <f t="shared" si="171"/>
        <v/>
      </c>
      <c r="U209" t="str">
        <f t="shared" si="171"/>
        <v/>
      </c>
      <c r="V209" t="str">
        <f t="shared" si="171"/>
        <v/>
      </c>
      <c r="W209" t="str">
        <f t="shared" si="171"/>
        <v/>
      </c>
      <c r="X209" t="str">
        <f t="shared" si="171"/>
        <v/>
      </c>
      <c r="Y209" t="str">
        <f t="shared" si="171"/>
        <v/>
      </c>
      <c r="Z209" t="str">
        <f t="shared" si="171"/>
        <v/>
      </c>
      <c r="AA209" t="str">
        <f t="shared" si="171"/>
        <v/>
      </c>
      <c r="AB209" t="str">
        <f t="shared" si="171"/>
        <v/>
      </c>
      <c r="AC209" t="str">
        <f t="shared" si="171"/>
        <v/>
      </c>
      <c r="AD209" t="str">
        <f t="shared" si="171"/>
        <v/>
      </c>
      <c r="AE209" t="str">
        <f t="shared" si="171"/>
        <v/>
      </c>
      <c r="AF209" t="str">
        <f t="shared" si="171"/>
        <v/>
      </c>
      <c r="AG209" t="str">
        <f t="shared" si="171"/>
        <v/>
      </c>
      <c r="AH209" t="str">
        <f t="shared" si="171"/>
        <v/>
      </c>
      <c r="AI209" t="str">
        <f t="shared" si="171"/>
        <v/>
      </c>
      <c r="AJ209" t="str">
        <f t="shared" si="171"/>
        <v/>
      </c>
      <c r="AK209" t="str">
        <f t="shared" si="171"/>
        <v/>
      </c>
      <c r="AL209" t="str">
        <f t="shared" si="171"/>
        <v/>
      </c>
      <c r="AM209" t="str">
        <f t="shared" si="171"/>
        <v/>
      </c>
      <c r="AN209" t="str">
        <f t="shared" si="171"/>
        <v/>
      </c>
      <c r="AO209" t="str">
        <f t="shared" si="171"/>
        <v/>
      </c>
      <c r="AP209" t="str">
        <f t="shared" si="171"/>
        <v/>
      </c>
      <c r="AQ209" t="str">
        <f t="shared" si="171"/>
        <v/>
      </c>
      <c r="AR209" t="str">
        <f t="shared" si="171"/>
        <v/>
      </c>
      <c r="AS209" t="str">
        <f t="shared" si="171"/>
        <v/>
      </c>
      <c r="AT209" t="str">
        <f t="shared" si="171"/>
        <v/>
      </c>
      <c r="AU209" t="str">
        <f t="shared" si="171"/>
        <v/>
      </c>
    </row>
    <row r="210" spans="5:47" ht="12.75">
      <c r="E210" t="s">
        <v>248</v>
      </c>
      <c r="G210" t="s">
        <v>154</v>
      </c>
      <c r="H210">
        <f>A$42</f>
        <v>2045</v>
      </c>
      <c r="I210" t="str">
        <f t="shared" si="162"/>
        <v>MINOILRSV6</v>
      </c>
      <c r="J210" t="s">
        <v>270</v>
      </c>
      <c r="K210" t="str">
        <f>IF(K$24=0,"",K209*$C$42)</f>
        <v/>
      </c>
      <c r="L210" t="str">
        <f t="shared" si="172" ref="L210:AU210">IF(L$24=0,"",L209*$C$42)</f>
        <v/>
      </c>
      <c r="M210" t="str">
        <f t="shared" si="172"/>
        <v/>
      </c>
      <c r="N210" t="str">
        <f t="shared" si="172"/>
        <v/>
      </c>
      <c r="O210" t="str">
        <f t="shared" si="172"/>
        <v/>
      </c>
      <c r="P210" t="str">
        <f t="shared" si="172"/>
        <v/>
      </c>
      <c r="Q210" t="str">
        <f t="shared" si="172"/>
        <v/>
      </c>
      <c r="R210" t="str">
        <f t="shared" si="172"/>
        <v/>
      </c>
      <c r="S210" t="str">
        <f t="shared" si="172"/>
        <v/>
      </c>
      <c r="T210" t="str">
        <f t="shared" si="172"/>
        <v/>
      </c>
      <c r="U210" t="str">
        <f t="shared" si="172"/>
        <v/>
      </c>
      <c r="V210" t="str">
        <f t="shared" si="172"/>
        <v/>
      </c>
      <c r="W210" t="str">
        <f t="shared" si="172"/>
        <v/>
      </c>
      <c r="X210" t="str">
        <f t="shared" si="172"/>
        <v/>
      </c>
      <c r="Y210" t="str">
        <f t="shared" si="172"/>
        <v/>
      </c>
      <c r="Z210" t="str">
        <f t="shared" si="172"/>
        <v/>
      </c>
      <c r="AA210" t="str">
        <f t="shared" si="172"/>
        <v/>
      </c>
      <c r="AB210" t="str">
        <f t="shared" si="172"/>
        <v/>
      </c>
      <c r="AC210" t="str">
        <f t="shared" si="172"/>
        <v/>
      </c>
      <c r="AD210" t="str">
        <f t="shared" si="172"/>
        <v/>
      </c>
      <c r="AE210" t="str">
        <f t="shared" si="172"/>
        <v/>
      </c>
      <c r="AF210" t="str">
        <f t="shared" si="172"/>
        <v/>
      </c>
      <c r="AG210" t="str">
        <f t="shared" si="172"/>
        <v/>
      </c>
      <c r="AH210" t="str">
        <f t="shared" si="172"/>
        <v/>
      </c>
      <c r="AI210" t="str">
        <f t="shared" si="172"/>
        <v/>
      </c>
      <c r="AJ210" t="str">
        <f t="shared" si="172"/>
        <v/>
      </c>
      <c r="AK210" t="str">
        <f t="shared" si="172"/>
        <v/>
      </c>
      <c r="AL210" t="str">
        <f t="shared" si="172"/>
        <v/>
      </c>
      <c r="AM210" t="str">
        <f t="shared" si="172"/>
        <v/>
      </c>
      <c r="AN210" t="str">
        <f t="shared" si="172"/>
        <v/>
      </c>
      <c r="AO210" t="str">
        <f t="shared" si="172"/>
        <v/>
      </c>
      <c r="AP210" t="str">
        <f t="shared" si="172"/>
        <v/>
      </c>
      <c r="AQ210" t="str">
        <f t="shared" si="172"/>
        <v/>
      </c>
      <c r="AR210" t="str">
        <f t="shared" si="172"/>
        <v/>
      </c>
      <c r="AS210" t="str">
        <f t="shared" si="172"/>
        <v/>
      </c>
      <c r="AT210" t="str">
        <f t="shared" si="172"/>
        <v/>
      </c>
      <c r="AU210" t="str">
        <f t="shared" si="172"/>
        <v/>
      </c>
    </row>
    <row r="211" spans="5:47" ht="12.75">
      <c r="E211" t="s">
        <v>248</v>
      </c>
      <c r="G211" t="s">
        <v>154</v>
      </c>
      <c r="H211">
        <f>A$43</f>
        <v>2050</v>
      </c>
      <c r="I211" t="str">
        <f t="shared" si="162"/>
        <v>MINOILRSV6</v>
      </c>
      <c r="J211" t="s">
        <v>270</v>
      </c>
      <c r="K211" t="str">
        <f>IF(K$24=0,"",K210*$C$43)</f>
        <v/>
      </c>
      <c r="L211" t="str">
        <f t="shared" si="173" ref="L211:AU211">IF(L$24=0,"",L210*$C$43)</f>
        <v/>
      </c>
      <c r="M211" t="str">
        <f t="shared" si="173"/>
        <v/>
      </c>
      <c r="N211" t="str">
        <f t="shared" si="173"/>
        <v/>
      </c>
      <c r="O211" t="str">
        <f t="shared" si="173"/>
        <v/>
      </c>
      <c r="P211" t="str">
        <f t="shared" si="173"/>
        <v/>
      </c>
      <c r="Q211" t="str">
        <f t="shared" si="173"/>
        <v/>
      </c>
      <c r="R211" t="str">
        <f t="shared" si="173"/>
        <v/>
      </c>
      <c r="S211" t="str">
        <f t="shared" si="173"/>
        <v/>
      </c>
      <c r="T211" t="str">
        <f t="shared" si="173"/>
        <v/>
      </c>
      <c r="U211" t="str">
        <f t="shared" si="173"/>
        <v/>
      </c>
      <c r="V211" t="str">
        <f t="shared" si="173"/>
        <v/>
      </c>
      <c r="W211" t="str">
        <f t="shared" si="173"/>
        <v/>
      </c>
      <c r="X211" t="str">
        <f t="shared" si="173"/>
        <v/>
      </c>
      <c r="Y211" t="str">
        <f t="shared" si="173"/>
        <v/>
      </c>
      <c r="Z211" t="str">
        <f t="shared" si="173"/>
        <v/>
      </c>
      <c r="AA211" t="str">
        <f t="shared" si="173"/>
        <v/>
      </c>
      <c r="AB211" t="str">
        <f t="shared" si="173"/>
        <v/>
      </c>
      <c r="AC211" t="str">
        <f t="shared" si="173"/>
        <v/>
      </c>
      <c r="AD211" t="str">
        <f t="shared" si="173"/>
        <v/>
      </c>
      <c r="AE211" t="str">
        <f t="shared" si="173"/>
        <v/>
      </c>
      <c r="AF211" t="str">
        <f t="shared" si="173"/>
        <v/>
      </c>
      <c r="AG211" t="str">
        <f t="shared" si="173"/>
        <v/>
      </c>
      <c r="AH211" t="str">
        <f t="shared" si="173"/>
        <v/>
      </c>
      <c r="AI211" t="str">
        <f t="shared" si="173"/>
        <v/>
      </c>
      <c r="AJ211" t="str">
        <f t="shared" si="173"/>
        <v/>
      </c>
      <c r="AK211" t="str">
        <f t="shared" si="173"/>
        <v/>
      </c>
      <c r="AL211" t="str">
        <f t="shared" si="173"/>
        <v/>
      </c>
      <c r="AM211" t="str">
        <f t="shared" si="173"/>
        <v/>
      </c>
      <c r="AN211" t="str">
        <f t="shared" si="173"/>
        <v/>
      </c>
      <c r="AO211" t="str">
        <f t="shared" si="173"/>
        <v/>
      </c>
      <c r="AP211" t="str">
        <f t="shared" si="173"/>
        <v/>
      </c>
      <c r="AQ211" t="str">
        <f t="shared" si="173"/>
        <v/>
      </c>
      <c r="AR211" t="str">
        <f t="shared" si="173"/>
        <v/>
      </c>
      <c r="AS211" t="str">
        <f t="shared" si="173"/>
        <v/>
      </c>
      <c r="AT211" t="str">
        <f t="shared" si="173"/>
        <v/>
      </c>
      <c r="AU211" t="str">
        <f t="shared" si="173"/>
        <v/>
      </c>
    </row>
    <row r="212" spans="5:47" ht="12.75">
      <c r="E212" t="s">
        <v>248</v>
      </c>
      <c r="G212" t="s">
        <v>154</v>
      </c>
      <c r="H212">
        <f>A$33</f>
        <v>2001</v>
      </c>
      <c r="I212" t="str">
        <f t="shared" si="174" ref="I212:I222">I$25</f>
        <v>MINOILRSV7</v>
      </c>
      <c r="J212" t="s">
        <v>270</v>
      </c>
      <c r="K212" t="str">
        <f>IF(K$25=0,"",K$25*$C$33)</f>
        <v/>
      </c>
      <c r="L212" t="str">
        <f t="shared" si="175" ref="L212:AU212">IF(L$25=0,"",L$25*$C$33)</f>
        <v/>
      </c>
      <c r="M212">
        <f t="shared" si="175"/>
        <v>2.7642686295071504</v>
      </c>
      <c r="N212" t="str">
        <f t="shared" si="175"/>
        <v/>
      </c>
      <c r="O212" t="str">
        <f t="shared" si="175"/>
        <v/>
      </c>
      <c r="P212">
        <f t="shared" si="175"/>
        <v>2.7642686295071504</v>
      </c>
      <c r="Q212">
        <f t="shared" si="175"/>
        <v>2.7642686295071504</v>
      </c>
      <c r="R212">
        <f t="shared" si="175"/>
        <v>2.5129714813701369</v>
      </c>
      <c r="S212" t="str">
        <f t="shared" si="175"/>
        <v/>
      </c>
      <c r="T212">
        <f t="shared" si="175"/>
        <v>4.3977000923977396</v>
      </c>
      <c r="U212" t="str">
        <f t="shared" si="175"/>
        <v/>
      </c>
      <c r="V212">
        <f t="shared" si="175"/>
        <v>2.7642686295071504</v>
      </c>
      <c r="W212" t="str">
        <f t="shared" si="175"/>
        <v/>
      </c>
      <c r="X212">
        <f t="shared" si="175"/>
        <v>2.7642686295071504</v>
      </c>
      <c r="Y212" t="str">
        <f t="shared" si="175"/>
        <v/>
      </c>
      <c r="Z212" t="str">
        <f t="shared" si="175"/>
        <v/>
      </c>
      <c r="AA212" t="str">
        <f t="shared" si="175"/>
        <v/>
      </c>
      <c r="AB212" t="str">
        <f t="shared" si="175"/>
        <v/>
      </c>
      <c r="AC212" t="str">
        <f t="shared" si="175"/>
        <v/>
      </c>
      <c r="AD212" t="str">
        <f t="shared" si="175"/>
        <v/>
      </c>
      <c r="AE212" t="str">
        <f t="shared" si="175"/>
        <v/>
      </c>
      <c r="AF212">
        <f t="shared" si="175"/>
        <v>2.6454773472582787</v>
      </c>
      <c r="AG212">
        <f t="shared" si="175"/>
        <v>2.6454773472582787</v>
      </c>
      <c r="AH212">
        <f t="shared" si="175"/>
        <v>2.5129714813701369</v>
      </c>
      <c r="AI212" t="str">
        <f t="shared" si="175"/>
        <v/>
      </c>
      <c r="AJ212">
        <f t="shared" si="175"/>
        <v>4.3977000923977396</v>
      </c>
      <c r="AK212" t="str">
        <f t="shared" si="175"/>
        <v/>
      </c>
      <c r="AL212" t="str">
        <f t="shared" si="175"/>
        <v/>
      </c>
      <c r="AM212">
        <f t="shared" si="175"/>
        <v>2.7642686295071504</v>
      </c>
      <c r="AN212">
        <f t="shared" si="175"/>
        <v>2.6454773472582787</v>
      </c>
      <c r="AO212" t="str">
        <f t="shared" si="175"/>
        <v/>
      </c>
      <c r="AP212" t="str">
        <f t="shared" si="175"/>
        <v/>
      </c>
      <c r="AQ212" t="str">
        <f t="shared" si="175"/>
        <v/>
      </c>
      <c r="AR212" t="str">
        <f t="shared" si="175"/>
        <v/>
      </c>
      <c r="AS212" t="str">
        <f t="shared" si="175"/>
        <v/>
      </c>
      <c r="AT212" t="str">
        <f t="shared" si="175"/>
        <v/>
      </c>
      <c r="AU212" t="str">
        <f t="shared" si="175"/>
        <v/>
      </c>
    </row>
    <row r="213" spans="5:47" ht="12.75">
      <c r="E213" t="s">
        <v>248</v>
      </c>
      <c r="G213" t="s">
        <v>154</v>
      </c>
      <c r="H213">
        <f>A$34</f>
        <v>2005</v>
      </c>
      <c r="I213" t="str">
        <f t="shared" si="174"/>
        <v>MINOILRSV7</v>
      </c>
      <c r="J213" t="s">
        <v>270</v>
      </c>
      <c r="K213" t="str">
        <f>IF(K$25=0,"",K212*$C$34)</f>
        <v/>
      </c>
      <c r="L213" t="str">
        <f t="shared" si="176" ref="L213:AU213">IF(L$25=0,"",L212*$C$34)</f>
        <v/>
      </c>
      <c r="M213">
        <f t="shared" si="176"/>
        <v>5.5999969723177223</v>
      </c>
      <c r="N213" t="str">
        <f t="shared" si="176"/>
        <v/>
      </c>
      <c r="O213" t="str">
        <f t="shared" si="176"/>
        <v/>
      </c>
      <c r="P213">
        <f t="shared" si="176"/>
        <v>5.5999969723177223</v>
      </c>
      <c r="Q213">
        <f t="shared" si="176"/>
        <v>5.5999969723177223</v>
      </c>
      <c r="R213">
        <f t="shared" si="176"/>
        <v>5.0909063384706572</v>
      </c>
      <c r="S213" t="str">
        <f t="shared" si="176"/>
        <v/>
      </c>
      <c r="T213">
        <f t="shared" si="176"/>
        <v>8.9090860923236512</v>
      </c>
      <c r="U213" t="str">
        <f t="shared" si="176"/>
        <v/>
      </c>
      <c r="V213">
        <f t="shared" si="176"/>
        <v>5.5999969723177223</v>
      </c>
      <c r="W213" t="str">
        <f t="shared" si="176"/>
        <v/>
      </c>
      <c r="X213">
        <f t="shared" si="176"/>
        <v>5.5999969723177223</v>
      </c>
      <c r="Y213" t="str">
        <f t="shared" si="176"/>
        <v/>
      </c>
      <c r="Z213" t="str">
        <f t="shared" si="176"/>
        <v/>
      </c>
      <c r="AA213" t="str">
        <f t="shared" si="176"/>
        <v/>
      </c>
      <c r="AB213" t="str">
        <f t="shared" si="176"/>
        <v/>
      </c>
      <c r="AC213" t="str">
        <f t="shared" si="176"/>
        <v/>
      </c>
      <c r="AD213" t="str">
        <f t="shared" si="176"/>
        <v/>
      </c>
      <c r="AE213" t="str">
        <f t="shared" si="176"/>
        <v/>
      </c>
      <c r="AF213">
        <f t="shared" si="176"/>
        <v>5.3593435083850123</v>
      </c>
      <c r="AG213">
        <f t="shared" si="176"/>
        <v>5.3593435083850123</v>
      </c>
      <c r="AH213">
        <f t="shared" si="176"/>
        <v>5.0909063384706572</v>
      </c>
      <c r="AI213" t="str">
        <f t="shared" si="176"/>
        <v/>
      </c>
      <c r="AJ213">
        <f t="shared" si="176"/>
        <v>8.9090860923236512</v>
      </c>
      <c r="AK213" t="str">
        <f t="shared" si="176"/>
        <v/>
      </c>
      <c r="AL213" t="str">
        <f t="shared" si="176"/>
        <v/>
      </c>
      <c r="AM213">
        <f t="shared" si="176"/>
        <v>5.5999969723177223</v>
      </c>
      <c r="AN213">
        <f t="shared" si="176"/>
        <v>5.3593435083850123</v>
      </c>
      <c r="AO213" t="str">
        <f t="shared" si="176"/>
        <v/>
      </c>
      <c r="AP213" t="str">
        <f t="shared" si="176"/>
        <v/>
      </c>
      <c r="AQ213" t="str">
        <f t="shared" si="176"/>
        <v/>
      </c>
      <c r="AR213" t="str">
        <f t="shared" si="176"/>
        <v/>
      </c>
      <c r="AS213" t="str">
        <f t="shared" si="176"/>
        <v/>
      </c>
      <c r="AT213" t="str">
        <f t="shared" si="176"/>
        <v/>
      </c>
      <c r="AU213" t="str">
        <f t="shared" si="176"/>
        <v/>
      </c>
    </row>
    <row r="214" spans="5:47" ht="12.75">
      <c r="E214" t="s">
        <v>248</v>
      </c>
      <c r="G214" t="s">
        <v>154</v>
      </c>
      <c r="H214">
        <f>A$35</f>
        <v>2010</v>
      </c>
      <c r="I214" t="str">
        <f t="shared" si="174"/>
        <v>MINOILRSV7</v>
      </c>
      <c r="J214" t="s">
        <v>270</v>
      </c>
      <c r="K214" t="str">
        <f>IF(K$25=0,"",K213*$C$35)</f>
        <v/>
      </c>
      <c r="L214" t="str">
        <f t="shared" si="177" ref="L214:AU214">IF(L$25=0,"",L213*$C$35)</f>
        <v/>
      </c>
      <c r="M214">
        <f t="shared" si="177"/>
        <v>6.5460025815704546</v>
      </c>
      <c r="N214" t="str">
        <f t="shared" si="177"/>
        <v/>
      </c>
      <c r="O214" t="str">
        <f t="shared" si="177"/>
        <v/>
      </c>
      <c r="P214">
        <f t="shared" si="177"/>
        <v>6.5460025815704546</v>
      </c>
      <c r="Q214">
        <f t="shared" si="177"/>
        <v>6.5460025815704546</v>
      </c>
      <c r="R214">
        <f t="shared" si="177"/>
        <v>5.9509114377913237</v>
      </c>
      <c r="S214" t="str">
        <f t="shared" si="177"/>
        <v/>
      </c>
      <c r="T214">
        <f t="shared" si="177"/>
        <v>10.414095016134818</v>
      </c>
      <c r="U214" t="str">
        <f t="shared" si="177"/>
        <v/>
      </c>
      <c r="V214">
        <f t="shared" si="177"/>
        <v>6.5460025815704546</v>
      </c>
      <c r="W214" t="str">
        <f t="shared" si="177"/>
        <v/>
      </c>
      <c r="X214">
        <f t="shared" si="177"/>
        <v>6.5460025815704546</v>
      </c>
      <c r="Y214" t="str">
        <f t="shared" si="177"/>
        <v/>
      </c>
      <c r="Z214" t="str">
        <f t="shared" si="177"/>
        <v/>
      </c>
      <c r="AA214" t="str">
        <f t="shared" si="177"/>
        <v/>
      </c>
      <c r="AB214" t="str">
        <f t="shared" si="177"/>
        <v/>
      </c>
      <c r="AC214" t="str">
        <f t="shared" si="177"/>
        <v/>
      </c>
      <c r="AD214" t="str">
        <f t="shared" si="177"/>
        <v/>
      </c>
      <c r="AE214" t="str">
        <f t="shared" si="177"/>
        <v/>
      </c>
      <c r="AF214">
        <f t="shared" si="177"/>
        <v>6.264695608735539</v>
      </c>
      <c r="AG214">
        <f t="shared" si="177"/>
        <v>6.264695608735539</v>
      </c>
      <c r="AH214">
        <f t="shared" si="177"/>
        <v>5.9509114377913237</v>
      </c>
      <c r="AI214" t="str">
        <f t="shared" si="177"/>
        <v/>
      </c>
      <c r="AJ214">
        <f t="shared" si="177"/>
        <v>10.414095016134818</v>
      </c>
      <c r="AK214" t="str">
        <f t="shared" si="177"/>
        <v/>
      </c>
      <c r="AL214" t="str">
        <f t="shared" si="177"/>
        <v/>
      </c>
      <c r="AM214">
        <f t="shared" si="177"/>
        <v>6.5460025815704546</v>
      </c>
      <c r="AN214">
        <f t="shared" si="177"/>
        <v>6.264695608735539</v>
      </c>
      <c r="AO214" t="str">
        <f t="shared" si="177"/>
        <v/>
      </c>
      <c r="AP214" t="str">
        <f t="shared" si="177"/>
        <v/>
      </c>
      <c r="AQ214" t="str">
        <f t="shared" si="177"/>
        <v/>
      </c>
      <c r="AR214" t="str">
        <f t="shared" si="177"/>
        <v/>
      </c>
      <c r="AS214" t="str">
        <f t="shared" si="177"/>
        <v/>
      </c>
      <c r="AT214" t="str">
        <f t="shared" si="177"/>
        <v/>
      </c>
      <c r="AU214" t="str">
        <f t="shared" si="177"/>
        <v/>
      </c>
    </row>
    <row r="215" spans="5:47" ht="12.75">
      <c r="E215" t="s">
        <v>248</v>
      </c>
      <c r="G215" t="s">
        <v>154</v>
      </c>
      <c r="H215">
        <f>A$36</f>
        <v>2015</v>
      </c>
      <c r="I215" t="str">
        <f t="shared" si="174"/>
        <v>MINOILRSV7</v>
      </c>
      <c r="J215" t="s">
        <v>270</v>
      </c>
      <c r="K215" t="str">
        <f>IF(K$25=0,"",K214*$C$36)</f>
        <v/>
      </c>
      <c r="L215" t="str">
        <f t="shared" si="178" ref="L215:AU215">IF(L$25=0,"",L214*$C$36)</f>
        <v/>
      </c>
      <c r="M215">
        <f t="shared" si="178"/>
        <v>6.3761234327716023</v>
      </c>
      <c r="N215" t="str">
        <f t="shared" si="178"/>
        <v/>
      </c>
      <c r="O215" t="str">
        <f t="shared" si="178"/>
        <v/>
      </c>
      <c r="P215">
        <f t="shared" si="178"/>
        <v>6.3761234327716023</v>
      </c>
      <c r="Q215">
        <f t="shared" si="178"/>
        <v>6.3761234327716023</v>
      </c>
      <c r="R215">
        <f t="shared" si="178"/>
        <v>5.7964758479741851</v>
      </c>
      <c r="S215" t="str">
        <f t="shared" si="178"/>
        <v/>
      </c>
      <c r="T215">
        <f t="shared" si="178"/>
        <v>10.143832733954826</v>
      </c>
      <c r="U215" t="str">
        <f t="shared" si="178"/>
        <v/>
      </c>
      <c r="V215">
        <f t="shared" si="178"/>
        <v>6.3761234327716023</v>
      </c>
      <c r="W215" t="str">
        <f t="shared" si="178"/>
        <v/>
      </c>
      <c r="X215">
        <f t="shared" si="178"/>
        <v>6.3761234327716023</v>
      </c>
      <c r="Y215" t="str">
        <f t="shared" si="178"/>
        <v/>
      </c>
      <c r="Z215" t="str">
        <f t="shared" si="178"/>
        <v/>
      </c>
      <c r="AA215" t="str">
        <f t="shared" si="178"/>
        <v/>
      </c>
      <c r="AB215" t="str">
        <f t="shared" si="178"/>
        <v/>
      </c>
      <c r="AC215" t="str">
        <f t="shared" si="178"/>
        <v/>
      </c>
      <c r="AD215" t="str">
        <f t="shared" si="178"/>
        <v/>
      </c>
      <c r="AE215" t="str">
        <f t="shared" si="178"/>
        <v/>
      </c>
      <c r="AF215">
        <f t="shared" si="178"/>
        <v>6.1021168220280373</v>
      </c>
      <c r="AG215">
        <f t="shared" si="178"/>
        <v>6.1021168220280373</v>
      </c>
      <c r="AH215">
        <f t="shared" si="178"/>
        <v>5.7964758479741851</v>
      </c>
      <c r="AI215" t="str">
        <f t="shared" si="178"/>
        <v/>
      </c>
      <c r="AJ215">
        <f t="shared" si="178"/>
        <v>10.143832733954826</v>
      </c>
      <c r="AK215" t="str">
        <f t="shared" si="178"/>
        <v/>
      </c>
      <c r="AL215" t="str">
        <f t="shared" si="178"/>
        <v/>
      </c>
      <c r="AM215">
        <f t="shared" si="178"/>
        <v>6.3761234327716023</v>
      </c>
      <c r="AN215">
        <f t="shared" si="178"/>
        <v>6.1021168220280373</v>
      </c>
      <c r="AO215" t="str">
        <f t="shared" si="178"/>
        <v/>
      </c>
      <c r="AP215" t="str">
        <f t="shared" si="178"/>
        <v/>
      </c>
      <c r="AQ215" t="str">
        <f t="shared" si="178"/>
        <v/>
      </c>
      <c r="AR215" t="str">
        <f t="shared" si="178"/>
        <v/>
      </c>
      <c r="AS215" t="str">
        <f t="shared" si="178"/>
        <v/>
      </c>
      <c r="AT215" t="str">
        <f t="shared" si="178"/>
        <v/>
      </c>
      <c r="AU215" t="str">
        <f t="shared" si="178"/>
        <v/>
      </c>
    </row>
    <row r="216" spans="5:47" ht="12.75">
      <c r="E216" t="s">
        <v>248</v>
      </c>
      <c r="G216" t="s">
        <v>154</v>
      </c>
      <c r="H216">
        <f>A$37</f>
        <v>2020</v>
      </c>
      <c r="I216" t="str">
        <f t="shared" si="174"/>
        <v>MINOILRSV7</v>
      </c>
      <c r="J216" t="s">
        <v>270</v>
      </c>
      <c r="K216" t="str">
        <f>IF(K$25=0,"",K215*$C$37)</f>
        <v/>
      </c>
      <c r="L216" t="str">
        <f t="shared" si="179" ref="L216:AU216">IF(L$25=0,"",L215*$C$37)</f>
        <v/>
      </c>
      <c r="M216">
        <f t="shared" si="179"/>
        <v>6.2062442839727492</v>
      </c>
      <c r="N216" t="str">
        <f t="shared" si="179"/>
        <v/>
      </c>
      <c r="O216" t="str">
        <f t="shared" si="179"/>
        <v/>
      </c>
      <c r="P216">
        <f t="shared" si="179"/>
        <v>6.2062442839727492</v>
      </c>
      <c r="Q216">
        <f t="shared" si="179"/>
        <v>6.2062442839727492</v>
      </c>
      <c r="R216">
        <f t="shared" si="179"/>
        <v>5.6420402581570457</v>
      </c>
      <c r="S216" t="str">
        <f t="shared" si="179"/>
        <v/>
      </c>
      <c r="T216">
        <f t="shared" si="179"/>
        <v>9.8735704517748317</v>
      </c>
      <c r="U216" t="str">
        <f t="shared" si="179"/>
        <v/>
      </c>
      <c r="V216">
        <f t="shared" si="179"/>
        <v>6.2062442839727492</v>
      </c>
      <c r="W216" t="str">
        <f t="shared" si="179"/>
        <v/>
      </c>
      <c r="X216">
        <f t="shared" si="179"/>
        <v>6.2062442839727492</v>
      </c>
      <c r="Y216" t="str">
        <f t="shared" si="179"/>
        <v/>
      </c>
      <c r="Z216" t="str">
        <f t="shared" si="179"/>
        <v/>
      </c>
      <c r="AA216" t="str">
        <f t="shared" si="179"/>
        <v/>
      </c>
      <c r="AB216" t="str">
        <f t="shared" si="179"/>
        <v/>
      </c>
      <c r="AC216" t="str">
        <f t="shared" si="179"/>
        <v/>
      </c>
      <c r="AD216" t="str">
        <f t="shared" si="179"/>
        <v/>
      </c>
      <c r="AE216" t="str">
        <f t="shared" si="179"/>
        <v/>
      </c>
      <c r="AF216">
        <f t="shared" si="179"/>
        <v>5.9395380353205338</v>
      </c>
      <c r="AG216">
        <f t="shared" si="179"/>
        <v>5.9395380353205338</v>
      </c>
      <c r="AH216">
        <f t="shared" si="179"/>
        <v>5.6420402581570457</v>
      </c>
      <c r="AI216" t="str">
        <f t="shared" si="179"/>
        <v/>
      </c>
      <c r="AJ216">
        <f t="shared" si="179"/>
        <v>9.8735704517748317</v>
      </c>
      <c r="AK216" t="str">
        <f t="shared" si="179"/>
        <v/>
      </c>
      <c r="AL216" t="str">
        <f t="shared" si="179"/>
        <v/>
      </c>
      <c r="AM216">
        <f t="shared" si="179"/>
        <v>6.2062442839727492</v>
      </c>
      <c r="AN216">
        <f t="shared" si="179"/>
        <v>5.9395380353205338</v>
      </c>
      <c r="AO216" t="str">
        <f t="shared" si="179"/>
        <v/>
      </c>
      <c r="AP216" t="str">
        <f t="shared" si="179"/>
        <v/>
      </c>
      <c r="AQ216" t="str">
        <f t="shared" si="179"/>
        <v/>
      </c>
      <c r="AR216" t="str">
        <f t="shared" si="179"/>
        <v/>
      </c>
      <c r="AS216" t="str">
        <f t="shared" si="179"/>
        <v/>
      </c>
      <c r="AT216" t="str">
        <f t="shared" si="179"/>
        <v/>
      </c>
      <c r="AU216" t="str">
        <f t="shared" si="179"/>
        <v/>
      </c>
    </row>
    <row r="217" spans="5:47" ht="12.75">
      <c r="E217" t="s">
        <v>248</v>
      </c>
      <c r="G217" t="s">
        <v>154</v>
      </c>
      <c r="H217">
        <f>A$38</f>
        <v>2025</v>
      </c>
      <c r="I217" t="str">
        <f t="shared" si="174"/>
        <v>MINOILRSV7</v>
      </c>
      <c r="J217" t="s">
        <v>270</v>
      </c>
      <c r="K217" t="str">
        <f>IF(K$25=0,"",K216*$C$38)</f>
        <v/>
      </c>
      <c r="L217" t="str">
        <f t="shared" si="180" ref="L217:AU217">IF(L$25=0,"",L216*$C$38)</f>
        <v/>
      </c>
      <c r="M217">
        <f t="shared" si="180"/>
        <v>7.6528125005378254</v>
      </c>
      <c r="N217" t="str">
        <f t="shared" si="180"/>
        <v/>
      </c>
      <c r="O217" t="str">
        <f t="shared" si="180"/>
        <v/>
      </c>
      <c r="P217">
        <f t="shared" si="180"/>
        <v>7.6528125005378254</v>
      </c>
      <c r="Q217">
        <f t="shared" si="180"/>
        <v>7.6528125005378254</v>
      </c>
      <c r="R217">
        <f t="shared" si="180"/>
        <v>6.957102273216206</v>
      </c>
      <c r="S217" t="str">
        <f t="shared" si="180"/>
        <v/>
      </c>
      <c r="T217">
        <f t="shared" si="180"/>
        <v>12.174928978128364</v>
      </c>
      <c r="U217" t="str">
        <f t="shared" si="180"/>
        <v/>
      </c>
      <c r="V217">
        <f t="shared" si="180"/>
        <v>7.6528125005378254</v>
      </c>
      <c r="W217" t="str">
        <f t="shared" si="180"/>
        <v/>
      </c>
      <c r="X217">
        <f t="shared" si="180"/>
        <v>7.6528125005378254</v>
      </c>
      <c r="Y217" t="str">
        <f t="shared" si="180"/>
        <v/>
      </c>
      <c r="Z217" t="str">
        <f t="shared" si="180"/>
        <v/>
      </c>
      <c r="AA217" t="str">
        <f t="shared" si="180"/>
        <v/>
      </c>
      <c r="AB217" t="str">
        <f t="shared" si="180"/>
        <v/>
      </c>
      <c r="AC217" t="str">
        <f t="shared" si="180"/>
        <v/>
      </c>
      <c r="AD217" t="str">
        <f t="shared" si="180"/>
        <v/>
      </c>
      <c r="AE217" t="str">
        <f t="shared" si="180"/>
        <v/>
      </c>
      <c r="AF217">
        <f t="shared" si="180"/>
        <v>7.323941637538101</v>
      </c>
      <c r="AG217">
        <f t="shared" si="180"/>
        <v>7.323941637538101</v>
      </c>
      <c r="AH217">
        <f t="shared" si="180"/>
        <v>6.957102273216206</v>
      </c>
      <c r="AI217" t="str">
        <f t="shared" si="180"/>
        <v/>
      </c>
      <c r="AJ217">
        <f t="shared" si="180"/>
        <v>12.174928978128364</v>
      </c>
      <c r="AK217" t="str">
        <f t="shared" si="180"/>
        <v/>
      </c>
      <c r="AL217" t="str">
        <f t="shared" si="180"/>
        <v/>
      </c>
      <c r="AM217">
        <f t="shared" si="180"/>
        <v>7.6528125005378254</v>
      </c>
      <c r="AN217">
        <f t="shared" si="180"/>
        <v>7.323941637538101</v>
      </c>
      <c r="AO217" t="str">
        <f t="shared" si="180"/>
        <v/>
      </c>
      <c r="AP217" t="str">
        <f t="shared" si="180"/>
        <v/>
      </c>
      <c r="AQ217" t="str">
        <f t="shared" si="180"/>
        <v/>
      </c>
      <c r="AR217" t="str">
        <f t="shared" si="180"/>
        <v/>
      </c>
      <c r="AS217" t="str">
        <f t="shared" si="180"/>
        <v/>
      </c>
      <c r="AT217" t="str">
        <f t="shared" si="180"/>
        <v/>
      </c>
      <c r="AU217" t="str">
        <f t="shared" si="180"/>
        <v/>
      </c>
    </row>
    <row r="218" spans="5:47" ht="12.75">
      <c r="E218" t="s">
        <v>248</v>
      </c>
      <c r="G218" t="s">
        <v>154</v>
      </c>
      <c r="H218">
        <f>A$39</f>
        <v>2030</v>
      </c>
      <c r="I218" t="str">
        <f t="shared" si="174"/>
        <v>MINOILRSV7</v>
      </c>
      <c r="J218" t="s">
        <v>270</v>
      </c>
      <c r="K218" t="str">
        <f>IF(K$25=0,"",K217*$C$39)</f>
        <v/>
      </c>
      <c r="L218" t="str">
        <f t="shared" si="181" ref="L218:AU218">IF(L$25=0,"",L217*$C$39)</f>
        <v/>
      </c>
      <c r="M218">
        <f t="shared" si="181"/>
        <v>9.0993807171028998</v>
      </c>
      <c r="N218" t="str">
        <f t="shared" si="181"/>
        <v/>
      </c>
      <c r="O218" t="str">
        <f t="shared" si="181"/>
        <v/>
      </c>
      <c r="P218">
        <f t="shared" si="181"/>
        <v>9.0993807171028998</v>
      </c>
      <c r="Q218">
        <f t="shared" si="181"/>
        <v>9.0993807171028998</v>
      </c>
      <c r="R218">
        <f t="shared" si="181"/>
        <v>8.2721642882753645</v>
      </c>
      <c r="S218" t="str">
        <f t="shared" si="181"/>
        <v/>
      </c>
      <c r="T218">
        <f t="shared" si="181"/>
        <v>14.476287504481892</v>
      </c>
      <c r="U218" t="str">
        <f t="shared" si="181"/>
        <v/>
      </c>
      <c r="V218">
        <f t="shared" si="181"/>
        <v>9.0993807171028998</v>
      </c>
      <c r="W218" t="str">
        <f t="shared" si="181"/>
        <v/>
      </c>
      <c r="X218">
        <f t="shared" si="181"/>
        <v>9.0993807171028998</v>
      </c>
      <c r="Y218" t="str">
        <f t="shared" si="181"/>
        <v/>
      </c>
      <c r="Z218" t="str">
        <f t="shared" si="181"/>
        <v/>
      </c>
      <c r="AA218" t="str">
        <f t="shared" si="181"/>
        <v/>
      </c>
      <c r="AB218" t="str">
        <f t="shared" si="181"/>
        <v/>
      </c>
      <c r="AC218" t="str">
        <f t="shared" si="181"/>
        <v/>
      </c>
      <c r="AD218" t="str">
        <f t="shared" si="181"/>
        <v/>
      </c>
      <c r="AE218" t="str">
        <f t="shared" si="181"/>
        <v/>
      </c>
      <c r="AF218">
        <f t="shared" si="181"/>
        <v>8.7083452397556673</v>
      </c>
      <c r="AG218">
        <f t="shared" si="181"/>
        <v>8.7083452397556673</v>
      </c>
      <c r="AH218">
        <f t="shared" si="181"/>
        <v>8.2721642882753645</v>
      </c>
      <c r="AI218" t="str">
        <f t="shared" si="181"/>
        <v/>
      </c>
      <c r="AJ218">
        <f t="shared" si="181"/>
        <v>14.476287504481892</v>
      </c>
      <c r="AK218" t="str">
        <f t="shared" si="181"/>
        <v/>
      </c>
      <c r="AL218" t="str">
        <f t="shared" si="181"/>
        <v/>
      </c>
      <c r="AM218">
        <f t="shared" si="181"/>
        <v>9.0993807171028998</v>
      </c>
      <c r="AN218">
        <f t="shared" si="181"/>
        <v>8.7083452397556673</v>
      </c>
      <c r="AO218" t="str">
        <f t="shared" si="181"/>
        <v/>
      </c>
      <c r="AP218" t="str">
        <f t="shared" si="181"/>
        <v/>
      </c>
      <c r="AQ218" t="str">
        <f t="shared" si="181"/>
        <v/>
      </c>
      <c r="AR218" t="str">
        <f t="shared" si="181"/>
        <v/>
      </c>
      <c r="AS218" t="str">
        <f t="shared" si="181"/>
        <v/>
      </c>
      <c r="AT218" t="str">
        <f t="shared" si="181"/>
        <v/>
      </c>
      <c r="AU218" t="str">
        <f t="shared" si="181"/>
        <v/>
      </c>
    </row>
    <row r="219" spans="5:47" ht="12.75">
      <c r="E219" t="s">
        <v>248</v>
      </c>
      <c r="G219" t="s">
        <v>154</v>
      </c>
      <c r="H219">
        <f>A$40</f>
        <v>2035</v>
      </c>
      <c r="I219" t="str">
        <f t="shared" si="174"/>
        <v>MINOILRSV7</v>
      </c>
      <c r="J219" t="s">
        <v>270</v>
      </c>
      <c r="K219" t="str">
        <f>IF(K$25=0,"",K218*$C$40)</f>
        <v/>
      </c>
      <c r="L219" t="str">
        <f t="shared" si="182" ref="L219:AU219">IF(L$25=0,"",L218*$C$40)</f>
        <v/>
      </c>
      <c r="M219">
        <f t="shared" si="182"/>
        <v>9.366029236285403</v>
      </c>
      <c r="N219" t="str">
        <f t="shared" si="182"/>
        <v/>
      </c>
      <c r="O219" t="str">
        <f t="shared" si="182"/>
        <v/>
      </c>
      <c r="P219">
        <f t="shared" si="182"/>
        <v>9.366029236285403</v>
      </c>
      <c r="Q219">
        <f t="shared" si="182"/>
        <v>9.366029236285403</v>
      </c>
      <c r="R219">
        <f t="shared" si="182"/>
        <v>8.5145720329867309</v>
      </c>
      <c r="S219" t="str">
        <f t="shared" si="182"/>
        <v/>
      </c>
      <c r="T219">
        <f t="shared" si="182"/>
        <v>14.900501057726784</v>
      </c>
      <c r="U219" t="str">
        <f t="shared" si="182"/>
        <v/>
      </c>
      <c r="V219">
        <f t="shared" si="182"/>
        <v>9.366029236285403</v>
      </c>
      <c r="W219" t="str">
        <f t="shared" si="182"/>
        <v/>
      </c>
      <c r="X219">
        <f t="shared" si="182"/>
        <v>9.366029236285403</v>
      </c>
      <c r="Y219" t="str">
        <f t="shared" si="182"/>
        <v/>
      </c>
      <c r="Z219" t="str">
        <f t="shared" si="182"/>
        <v/>
      </c>
      <c r="AA219" t="str">
        <f t="shared" si="182"/>
        <v/>
      </c>
      <c r="AB219" t="str">
        <f t="shared" si="182"/>
        <v/>
      </c>
      <c r="AC219" t="str">
        <f t="shared" si="182"/>
        <v/>
      </c>
      <c r="AD219" t="str">
        <f t="shared" si="182"/>
        <v/>
      </c>
      <c r="AE219" t="str">
        <f t="shared" si="182"/>
        <v/>
      </c>
      <c r="AF219">
        <f t="shared" si="182"/>
        <v>8.9635348438510718</v>
      </c>
      <c r="AG219">
        <f t="shared" si="182"/>
        <v>8.9635348438510718</v>
      </c>
      <c r="AH219">
        <f t="shared" si="182"/>
        <v>8.5145720329867309</v>
      </c>
      <c r="AI219" t="str">
        <f t="shared" si="182"/>
        <v/>
      </c>
      <c r="AJ219">
        <f t="shared" si="182"/>
        <v>14.900501057726784</v>
      </c>
      <c r="AK219" t="str">
        <f t="shared" si="182"/>
        <v/>
      </c>
      <c r="AL219" t="str">
        <f t="shared" si="182"/>
        <v/>
      </c>
      <c r="AM219">
        <f t="shared" si="182"/>
        <v>9.366029236285403</v>
      </c>
      <c r="AN219">
        <f t="shared" si="182"/>
        <v>8.9635348438510718</v>
      </c>
      <c r="AO219" t="str">
        <f t="shared" si="182"/>
        <v/>
      </c>
      <c r="AP219" t="str">
        <f t="shared" si="182"/>
        <v/>
      </c>
      <c r="AQ219" t="str">
        <f t="shared" si="182"/>
        <v/>
      </c>
      <c r="AR219" t="str">
        <f t="shared" si="182"/>
        <v/>
      </c>
      <c r="AS219" t="str">
        <f t="shared" si="182"/>
        <v/>
      </c>
      <c r="AT219" t="str">
        <f t="shared" si="182"/>
        <v/>
      </c>
      <c r="AU219" t="str">
        <f t="shared" si="182"/>
        <v/>
      </c>
    </row>
    <row r="220" spans="5:47" ht="12.75">
      <c r="E220" t="s">
        <v>248</v>
      </c>
      <c r="G220" t="s">
        <v>154</v>
      </c>
      <c r="H220">
        <f>A$41</f>
        <v>2040</v>
      </c>
      <c r="I220" t="str">
        <f t="shared" si="174"/>
        <v>MINOILRSV7</v>
      </c>
      <c r="J220" t="s">
        <v>270</v>
      </c>
      <c r="K220" t="str">
        <f>IF(K$25=0,"",K219*$C$41)</f>
        <v/>
      </c>
      <c r="L220" t="str">
        <f t="shared" si="183" ref="L220:AU220">IF(L$25=0,"",L219*$C$41)</f>
        <v/>
      </c>
      <c r="M220">
        <f t="shared" si="183"/>
        <v>9.6326777554679044</v>
      </c>
      <c r="N220" t="str">
        <f t="shared" si="183"/>
        <v/>
      </c>
      <c r="O220" t="str">
        <f t="shared" si="183"/>
        <v/>
      </c>
      <c r="P220">
        <f t="shared" si="183"/>
        <v>9.6326777554679044</v>
      </c>
      <c r="Q220">
        <f t="shared" si="183"/>
        <v>9.6326777554679044</v>
      </c>
      <c r="R220">
        <f t="shared" si="183"/>
        <v>8.7569797776980955</v>
      </c>
      <c r="S220" t="str">
        <f t="shared" si="183"/>
        <v/>
      </c>
      <c r="T220">
        <f t="shared" si="183"/>
        <v>15.324714610971673</v>
      </c>
      <c r="U220" t="str">
        <f t="shared" si="183"/>
        <v/>
      </c>
      <c r="V220">
        <f t="shared" si="183"/>
        <v>9.6326777554679044</v>
      </c>
      <c r="W220" t="str">
        <f t="shared" si="183"/>
        <v/>
      </c>
      <c r="X220">
        <f t="shared" si="183"/>
        <v>9.6326777554679044</v>
      </c>
      <c r="Y220" t="str">
        <f t="shared" si="183"/>
        <v/>
      </c>
      <c r="Z220" t="str">
        <f t="shared" si="183"/>
        <v/>
      </c>
      <c r="AA220" t="str">
        <f t="shared" si="183"/>
        <v/>
      </c>
      <c r="AB220" t="str">
        <f t="shared" si="183"/>
        <v/>
      </c>
      <c r="AC220" t="str">
        <f t="shared" si="183"/>
        <v/>
      </c>
      <c r="AD220" t="str">
        <f t="shared" si="183"/>
        <v/>
      </c>
      <c r="AE220" t="str">
        <f t="shared" si="183"/>
        <v/>
      </c>
      <c r="AF220">
        <f t="shared" si="183"/>
        <v>9.2187244479464745</v>
      </c>
      <c r="AG220">
        <f t="shared" si="183"/>
        <v>9.2187244479464745</v>
      </c>
      <c r="AH220">
        <f t="shared" si="183"/>
        <v>8.7569797776980955</v>
      </c>
      <c r="AI220" t="str">
        <f t="shared" si="183"/>
        <v/>
      </c>
      <c r="AJ220">
        <f t="shared" si="183"/>
        <v>15.324714610971673</v>
      </c>
      <c r="AK220" t="str">
        <f t="shared" si="183"/>
        <v/>
      </c>
      <c r="AL220" t="str">
        <f t="shared" si="183"/>
        <v/>
      </c>
      <c r="AM220">
        <f t="shared" si="183"/>
        <v>9.6326777554679044</v>
      </c>
      <c r="AN220">
        <f t="shared" si="183"/>
        <v>9.2187244479464745</v>
      </c>
      <c r="AO220" t="str">
        <f t="shared" si="183"/>
        <v/>
      </c>
      <c r="AP220" t="str">
        <f t="shared" si="183"/>
        <v/>
      </c>
      <c r="AQ220" t="str">
        <f t="shared" si="183"/>
        <v/>
      </c>
      <c r="AR220" t="str">
        <f t="shared" si="183"/>
        <v/>
      </c>
      <c r="AS220" t="str">
        <f t="shared" si="183"/>
        <v/>
      </c>
      <c r="AT220" t="str">
        <f t="shared" si="183"/>
        <v/>
      </c>
      <c r="AU220" t="str">
        <f t="shared" si="183"/>
        <v/>
      </c>
    </row>
    <row r="221" spans="5:47" ht="12.75">
      <c r="E221" t="s">
        <v>248</v>
      </c>
      <c r="G221" t="s">
        <v>154</v>
      </c>
      <c r="H221">
        <f>A$42</f>
        <v>2045</v>
      </c>
      <c r="I221" t="str">
        <f t="shared" si="174"/>
        <v>MINOILRSV7</v>
      </c>
      <c r="J221" t="s">
        <v>270</v>
      </c>
      <c r="K221" t="str">
        <f>IF(K$25=0,"",K220*$C$42)</f>
        <v/>
      </c>
      <c r="L221" t="str">
        <f t="shared" si="184" ref="L221:AU221">IF(L$25=0,"",L220*$C$42)</f>
        <v/>
      </c>
      <c r="M221">
        <f t="shared" si="184"/>
        <v>10.639275915381852</v>
      </c>
      <c r="N221" t="str">
        <f t="shared" si="184"/>
        <v/>
      </c>
      <c r="O221" t="str">
        <f t="shared" si="184"/>
        <v/>
      </c>
      <c r="P221">
        <f t="shared" si="184"/>
        <v>10.639275915381852</v>
      </c>
      <c r="Q221">
        <f t="shared" si="184"/>
        <v>10.639275915381852</v>
      </c>
      <c r="R221">
        <f t="shared" si="184"/>
        <v>9.6720690139835028</v>
      </c>
      <c r="S221" t="str">
        <f t="shared" si="184"/>
        <v/>
      </c>
      <c r="T221">
        <f t="shared" si="184"/>
        <v>16.926120774471137</v>
      </c>
      <c r="U221" t="str">
        <f t="shared" si="184"/>
        <v/>
      </c>
      <c r="V221">
        <f t="shared" si="184"/>
        <v>10.639275915381852</v>
      </c>
      <c r="W221" t="str">
        <f t="shared" si="184"/>
        <v/>
      </c>
      <c r="X221">
        <f t="shared" si="184"/>
        <v>10.639275915381852</v>
      </c>
      <c r="Y221" t="str">
        <f t="shared" si="184"/>
        <v/>
      </c>
      <c r="Z221" t="str">
        <f t="shared" si="184"/>
        <v/>
      </c>
      <c r="AA221" t="str">
        <f t="shared" si="184"/>
        <v/>
      </c>
      <c r="AB221" t="str">
        <f t="shared" si="184"/>
        <v/>
      </c>
      <c r="AC221" t="str">
        <f t="shared" si="184"/>
        <v/>
      </c>
      <c r="AD221" t="str">
        <f t="shared" si="184"/>
        <v/>
      </c>
      <c r="AE221" t="str">
        <f t="shared" si="184"/>
        <v/>
      </c>
      <c r="AF221">
        <f t="shared" si="184"/>
        <v>10.182065203406626</v>
      </c>
      <c r="AG221">
        <f t="shared" si="184"/>
        <v>10.182065203406626</v>
      </c>
      <c r="AH221">
        <f t="shared" si="184"/>
        <v>9.6720690139835028</v>
      </c>
      <c r="AI221" t="str">
        <f t="shared" si="184"/>
        <v/>
      </c>
      <c r="AJ221">
        <f t="shared" si="184"/>
        <v>16.926120774471137</v>
      </c>
      <c r="AK221" t="str">
        <f t="shared" si="184"/>
        <v/>
      </c>
      <c r="AL221" t="str">
        <f t="shared" si="184"/>
        <v/>
      </c>
      <c r="AM221">
        <f t="shared" si="184"/>
        <v>10.639275915381852</v>
      </c>
      <c r="AN221">
        <f t="shared" si="184"/>
        <v>10.182065203406626</v>
      </c>
      <c r="AO221" t="str">
        <f t="shared" si="184"/>
        <v/>
      </c>
      <c r="AP221" t="str">
        <f t="shared" si="184"/>
        <v/>
      </c>
      <c r="AQ221" t="str">
        <f t="shared" si="184"/>
        <v/>
      </c>
      <c r="AR221" t="str">
        <f t="shared" si="184"/>
        <v/>
      </c>
      <c r="AS221" t="str">
        <f t="shared" si="184"/>
        <v/>
      </c>
      <c r="AT221" t="str">
        <f t="shared" si="184"/>
        <v/>
      </c>
      <c r="AU221" t="str">
        <f t="shared" si="184"/>
        <v/>
      </c>
    </row>
    <row r="222" spans="5:47" ht="12.75">
      <c r="E222" t="s">
        <v>248</v>
      </c>
      <c r="G222" t="s">
        <v>154</v>
      </c>
      <c r="H222">
        <f>A$43</f>
        <v>2050</v>
      </c>
      <c r="I222" t="str">
        <f t="shared" si="174"/>
        <v>MINOILRSV7</v>
      </c>
      <c r="J222" t="s">
        <v>270</v>
      </c>
      <c r="K222" t="str">
        <f>IF(K$25=0,"",K221*$C$43)</f>
        <v/>
      </c>
      <c r="L222" t="str">
        <f t="shared" si="185" ref="L222:AU222">IF(L$25=0,"",L221*$C$43)</f>
        <v/>
      </c>
      <c r="M222">
        <f t="shared" si="185"/>
        <v>11.645874075295797</v>
      </c>
      <c r="N222" t="str">
        <f t="shared" si="185"/>
        <v/>
      </c>
      <c r="O222" t="str">
        <f t="shared" si="185"/>
        <v/>
      </c>
      <c r="P222">
        <f t="shared" si="185"/>
        <v>11.645874075295797</v>
      </c>
      <c r="Q222">
        <f t="shared" si="185"/>
        <v>11.645874075295797</v>
      </c>
      <c r="R222">
        <f t="shared" si="185"/>
        <v>10.587158250268908</v>
      </c>
      <c r="S222" t="str">
        <f t="shared" si="185"/>
        <v/>
      </c>
      <c r="T222">
        <f t="shared" si="185"/>
        <v>18.527526937970599</v>
      </c>
      <c r="U222" t="str">
        <f t="shared" si="185"/>
        <v/>
      </c>
      <c r="V222">
        <f t="shared" si="185"/>
        <v>11.645874075295797</v>
      </c>
      <c r="W222" t="str">
        <f t="shared" si="185"/>
        <v/>
      </c>
      <c r="X222">
        <f t="shared" si="185"/>
        <v>11.645874075295797</v>
      </c>
      <c r="Y222" t="str">
        <f t="shared" si="185"/>
        <v/>
      </c>
      <c r="Z222" t="str">
        <f t="shared" si="185"/>
        <v/>
      </c>
      <c r="AA222" t="str">
        <f t="shared" si="185"/>
        <v/>
      </c>
      <c r="AB222" t="str">
        <f t="shared" si="185"/>
        <v/>
      </c>
      <c r="AC222" t="str">
        <f t="shared" si="185"/>
        <v/>
      </c>
      <c r="AD222" t="str">
        <f t="shared" si="185"/>
        <v/>
      </c>
      <c r="AE222" t="str">
        <f t="shared" si="185"/>
        <v/>
      </c>
      <c r="AF222">
        <f t="shared" si="185"/>
        <v>11.145405958866776</v>
      </c>
      <c r="AG222">
        <f t="shared" si="185"/>
        <v>11.145405958866776</v>
      </c>
      <c r="AH222">
        <f t="shared" si="185"/>
        <v>10.587158250268908</v>
      </c>
      <c r="AI222" t="str">
        <f t="shared" si="185"/>
        <v/>
      </c>
      <c r="AJ222">
        <f t="shared" si="185"/>
        <v>18.527526937970599</v>
      </c>
      <c r="AK222" t="str">
        <f t="shared" si="185"/>
        <v/>
      </c>
      <c r="AL222" t="str">
        <f t="shared" si="185"/>
        <v/>
      </c>
      <c r="AM222">
        <f t="shared" si="185"/>
        <v>11.645874075295797</v>
      </c>
      <c r="AN222">
        <f t="shared" si="185"/>
        <v>11.145405958866776</v>
      </c>
      <c r="AO222" t="str">
        <f t="shared" si="185"/>
        <v/>
      </c>
      <c r="AP222" t="str">
        <f t="shared" si="185"/>
        <v/>
      </c>
      <c r="AQ222" t="str">
        <f t="shared" si="185"/>
        <v/>
      </c>
      <c r="AR222" t="str">
        <f t="shared" si="185"/>
        <v/>
      </c>
      <c r="AS222" t="str">
        <f t="shared" si="185"/>
        <v/>
      </c>
      <c r="AT222" t="str">
        <f t="shared" si="185"/>
        <v/>
      </c>
      <c r="AU222" t="str">
        <f t="shared" si="185"/>
        <v/>
      </c>
    </row>
    <row r="223" spans="5:47" ht="12.75">
      <c r="E223" t="s">
        <v>248</v>
      </c>
      <c r="G223" t="s">
        <v>154</v>
      </c>
      <c r="H223">
        <f>A$33</f>
        <v>2001</v>
      </c>
      <c r="I223" t="str">
        <f t="shared" si="186" ref="I223:I233">I$26</f>
        <v>MINOILRSV8</v>
      </c>
      <c r="J223" t="s">
        <v>270</v>
      </c>
      <c r="K223" t="str">
        <f>IF(K$26=0,"",K$26*$C$33)</f>
        <v/>
      </c>
      <c r="L223" t="str">
        <f t="shared" si="187" ref="L223:AU223">IF(L$26=0,"",L$26*$C$33)</f>
        <v/>
      </c>
      <c r="M223" t="str">
        <f t="shared" si="187"/>
        <v/>
      </c>
      <c r="N223" t="str">
        <f t="shared" si="187"/>
        <v/>
      </c>
      <c r="O223" t="str">
        <f t="shared" si="187"/>
        <v/>
      </c>
      <c r="P223" t="str">
        <f t="shared" si="187"/>
        <v/>
      </c>
      <c r="Q223" t="str">
        <f t="shared" si="187"/>
        <v/>
      </c>
      <c r="R223" t="str">
        <f t="shared" si="187"/>
        <v/>
      </c>
      <c r="S223" t="str">
        <f t="shared" si="187"/>
        <v/>
      </c>
      <c r="T223" t="str">
        <f t="shared" si="187"/>
        <v/>
      </c>
      <c r="U223" t="str">
        <f t="shared" si="187"/>
        <v/>
      </c>
      <c r="V223" t="str">
        <f t="shared" si="187"/>
        <v/>
      </c>
      <c r="W223" t="str">
        <f t="shared" si="187"/>
        <v/>
      </c>
      <c r="X223" t="str">
        <f t="shared" si="187"/>
        <v/>
      </c>
      <c r="Y223" t="str">
        <f t="shared" si="187"/>
        <v/>
      </c>
      <c r="Z223" t="str">
        <f t="shared" si="187"/>
        <v/>
      </c>
      <c r="AA223" t="str">
        <f t="shared" si="187"/>
        <v/>
      </c>
      <c r="AB223" t="str">
        <f t="shared" si="187"/>
        <v/>
      </c>
      <c r="AC223" t="str">
        <f t="shared" si="187"/>
        <v/>
      </c>
      <c r="AD223" t="str">
        <f t="shared" si="187"/>
        <v/>
      </c>
      <c r="AE223" t="str">
        <f t="shared" si="187"/>
        <v/>
      </c>
      <c r="AF223" t="str">
        <f t="shared" si="187"/>
        <v/>
      </c>
      <c r="AG223" t="str">
        <f t="shared" si="187"/>
        <v/>
      </c>
      <c r="AH223" t="str">
        <f t="shared" si="187"/>
        <v/>
      </c>
      <c r="AI223" t="str">
        <f t="shared" si="187"/>
        <v/>
      </c>
      <c r="AJ223" t="str">
        <f t="shared" si="187"/>
        <v/>
      </c>
      <c r="AK223" t="str">
        <f t="shared" si="187"/>
        <v/>
      </c>
      <c r="AL223" t="str">
        <f t="shared" si="187"/>
        <v/>
      </c>
      <c r="AM223" t="str">
        <f t="shared" si="187"/>
        <v/>
      </c>
      <c r="AN223" t="str">
        <f t="shared" si="187"/>
        <v/>
      </c>
      <c r="AO223" t="str">
        <f t="shared" si="187"/>
        <v/>
      </c>
      <c r="AP223" t="str">
        <f t="shared" si="187"/>
        <v/>
      </c>
      <c r="AQ223" t="str">
        <f t="shared" si="187"/>
        <v/>
      </c>
      <c r="AR223" t="str">
        <f t="shared" si="187"/>
        <v/>
      </c>
      <c r="AS223" t="str">
        <f t="shared" si="187"/>
        <v/>
      </c>
      <c r="AT223" t="str">
        <f t="shared" si="187"/>
        <v/>
      </c>
      <c r="AU223" t="str">
        <f t="shared" si="187"/>
        <v/>
      </c>
    </row>
    <row r="224" spans="5:47" ht="12.75">
      <c r="E224" t="s">
        <v>248</v>
      </c>
      <c r="G224" t="s">
        <v>154</v>
      </c>
      <c r="H224">
        <f>A$34</f>
        <v>2005</v>
      </c>
      <c r="I224" t="str">
        <f t="shared" si="186"/>
        <v>MINOILRSV8</v>
      </c>
      <c r="J224" t="s">
        <v>270</v>
      </c>
      <c r="K224" t="str">
        <f>IF(K$26=0,"",K223*$C$34)</f>
        <v/>
      </c>
      <c r="L224" t="str">
        <f t="shared" si="188" ref="L224:AU224">IF(L$26=0,"",L223*$C$34)</f>
        <v/>
      </c>
      <c r="M224" t="str">
        <f t="shared" si="188"/>
        <v/>
      </c>
      <c r="N224" t="str">
        <f t="shared" si="188"/>
        <v/>
      </c>
      <c r="O224" t="str">
        <f t="shared" si="188"/>
        <v/>
      </c>
      <c r="P224" t="str">
        <f t="shared" si="188"/>
        <v/>
      </c>
      <c r="Q224" t="str">
        <f t="shared" si="188"/>
        <v/>
      </c>
      <c r="R224" t="str">
        <f t="shared" si="188"/>
        <v/>
      </c>
      <c r="S224" t="str">
        <f t="shared" si="188"/>
        <v/>
      </c>
      <c r="T224" t="str">
        <f t="shared" si="188"/>
        <v/>
      </c>
      <c r="U224" t="str">
        <f t="shared" si="188"/>
        <v/>
      </c>
      <c r="V224" t="str">
        <f t="shared" si="188"/>
        <v/>
      </c>
      <c r="W224" t="str">
        <f t="shared" si="188"/>
        <v/>
      </c>
      <c r="X224" t="str">
        <f t="shared" si="188"/>
        <v/>
      </c>
      <c r="Y224" t="str">
        <f t="shared" si="188"/>
        <v/>
      </c>
      <c r="Z224" t="str">
        <f t="shared" si="188"/>
        <v/>
      </c>
      <c r="AA224" t="str">
        <f t="shared" si="188"/>
        <v/>
      </c>
      <c r="AB224" t="str">
        <f t="shared" si="188"/>
        <v/>
      </c>
      <c r="AC224" t="str">
        <f t="shared" si="188"/>
        <v/>
      </c>
      <c r="AD224" t="str">
        <f t="shared" si="188"/>
        <v/>
      </c>
      <c r="AE224" t="str">
        <f t="shared" si="188"/>
        <v/>
      </c>
      <c r="AF224" t="str">
        <f t="shared" si="188"/>
        <v/>
      </c>
      <c r="AG224" t="str">
        <f t="shared" si="188"/>
        <v/>
      </c>
      <c r="AH224" t="str">
        <f t="shared" si="188"/>
        <v/>
      </c>
      <c r="AI224" t="str">
        <f t="shared" si="188"/>
        <v/>
      </c>
      <c r="AJ224" t="str">
        <f t="shared" si="188"/>
        <v/>
      </c>
      <c r="AK224" t="str">
        <f t="shared" si="188"/>
        <v/>
      </c>
      <c r="AL224" t="str">
        <f t="shared" si="188"/>
        <v/>
      </c>
      <c r="AM224" t="str">
        <f t="shared" si="188"/>
        <v/>
      </c>
      <c r="AN224" t="str">
        <f t="shared" si="188"/>
        <v/>
      </c>
      <c r="AO224" t="str">
        <f t="shared" si="188"/>
        <v/>
      </c>
      <c r="AP224" t="str">
        <f t="shared" si="188"/>
        <v/>
      </c>
      <c r="AQ224" t="str">
        <f t="shared" si="188"/>
        <v/>
      </c>
      <c r="AR224" t="str">
        <f t="shared" si="188"/>
        <v/>
      </c>
      <c r="AS224" t="str">
        <f t="shared" si="188"/>
        <v/>
      </c>
      <c r="AT224" t="str">
        <f t="shared" si="188"/>
        <v/>
      </c>
      <c r="AU224" t="str">
        <f t="shared" si="188"/>
        <v/>
      </c>
    </row>
    <row r="225" spans="5:47" ht="12.75">
      <c r="E225" t="s">
        <v>248</v>
      </c>
      <c r="G225" t="s">
        <v>154</v>
      </c>
      <c r="H225">
        <f>A$35</f>
        <v>2010</v>
      </c>
      <c r="I225" t="str">
        <f t="shared" si="186"/>
        <v>MINOILRSV8</v>
      </c>
      <c r="J225" t="s">
        <v>270</v>
      </c>
      <c r="K225" t="str">
        <f>IF(K$26=0,"",K224*$C$35)</f>
        <v/>
      </c>
      <c r="L225" t="str">
        <f t="shared" si="189" ref="L225:AU225">IF(L$26=0,"",L224*$C$35)</f>
        <v/>
      </c>
      <c r="M225" t="str">
        <f t="shared" si="189"/>
        <v/>
      </c>
      <c r="N225" t="str">
        <f t="shared" si="189"/>
        <v/>
      </c>
      <c r="O225" t="str">
        <f t="shared" si="189"/>
        <v/>
      </c>
      <c r="P225" t="str">
        <f t="shared" si="189"/>
        <v/>
      </c>
      <c r="Q225" t="str">
        <f t="shared" si="189"/>
        <v/>
      </c>
      <c r="R225" t="str">
        <f t="shared" si="189"/>
        <v/>
      </c>
      <c r="S225" t="str">
        <f t="shared" si="189"/>
        <v/>
      </c>
      <c r="T225" t="str">
        <f t="shared" si="189"/>
        <v/>
      </c>
      <c r="U225" t="str">
        <f t="shared" si="189"/>
        <v/>
      </c>
      <c r="V225" t="str">
        <f t="shared" si="189"/>
        <v/>
      </c>
      <c r="W225" t="str">
        <f t="shared" si="189"/>
        <v/>
      </c>
      <c r="X225" t="str">
        <f t="shared" si="189"/>
        <v/>
      </c>
      <c r="Y225" t="str">
        <f t="shared" si="189"/>
        <v/>
      </c>
      <c r="Z225" t="str">
        <f t="shared" si="189"/>
        <v/>
      </c>
      <c r="AA225" t="str">
        <f t="shared" si="189"/>
        <v/>
      </c>
      <c r="AB225" t="str">
        <f t="shared" si="189"/>
        <v/>
      </c>
      <c r="AC225" t="str">
        <f t="shared" si="189"/>
        <v/>
      </c>
      <c r="AD225" t="str">
        <f t="shared" si="189"/>
        <v/>
      </c>
      <c r="AE225" t="str">
        <f t="shared" si="189"/>
        <v/>
      </c>
      <c r="AF225" t="str">
        <f t="shared" si="189"/>
        <v/>
      </c>
      <c r="AG225" t="str">
        <f t="shared" si="189"/>
        <v/>
      </c>
      <c r="AH225" t="str">
        <f t="shared" si="189"/>
        <v/>
      </c>
      <c r="AI225" t="str">
        <f t="shared" si="189"/>
        <v/>
      </c>
      <c r="AJ225" t="str">
        <f t="shared" si="189"/>
        <v/>
      </c>
      <c r="AK225" t="str">
        <f t="shared" si="189"/>
        <v/>
      </c>
      <c r="AL225" t="str">
        <f t="shared" si="189"/>
        <v/>
      </c>
      <c r="AM225" t="str">
        <f t="shared" si="189"/>
        <v/>
      </c>
      <c r="AN225" t="str">
        <f t="shared" si="189"/>
        <v/>
      </c>
      <c r="AO225" t="str">
        <f t="shared" si="189"/>
        <v/>
      </c>
      <c r="AP225" t="str">
        <f t="shared" si="189"/>
        <v/>
      </c>
      <c r="AQ225" t="str">
        <f t="shared" si="189"/>
        <v/>
      </c>
      <c r="AR225" t="str">
        <f t="shared" si="189"/>
        <v/>
      </c>
      <c r="AS225" t="str">
        <f t="shared" si="189"/>
        <v/>
      </c>
      <c r="AT225" t="str">
        <f t="shared" si="189"/>
        <v/>
      </c>
      <c r="AU225" t="str">
        <f t="shared" si="189"/>
        <v/>
      </c>
    </row>
    <row r="226" spans="5:47" ht="12.75">
      <c r="E226" t="s">
        <v>248</v>
      </c>
      <c r="G226" t="s">
        <v>154</v>
      </c>
      <c r="H226">
        <f>A$36</f>
        <v>2015</v>
      </c>
      <c r="I226" t="str">
        <f t="shared" si="186"/>
        <v>MINOILRSV8</v>
      </c>
      <c r="J226" t="s">
        <v>270</v>
      </c>
      <c r="K226" t="str">
        <f>IF(K$26=0,"",K225*$C$36)</f>
        <v/>
      </c>
      <c r="L226" t="str">
        <f t="shared" si="190" ref="L226:AU226">IF(L$26=0,"",L225*$C$36)</f>
        <v/>
      </c>
      <c r="M226" t="str">
        <f t="shared" si="190"/>
        <v/>
      </c>
      <c r="N226" t="str">
        <f t="shared" si="190"/>
        <v/>
      </c>
      <c r="O226" t="str">
        <f t="shared" si="190"/>
        <v/>
      </c>
      <c r="P226" t="str">
        <f t="shared" si="190"/>
        <v/>
      </c>
      <c r="Q226" t="str">
        <f t="shared" si="190"/>
        <v/>
      </c>
      <c r="R226" t="str">
        <f t="shared" si="190"/>
        <v/>
      </c>
      <c r="S226" t="str">
        <f t="shared" si="190"/>
        <v/>
      </c>
      <c r="T226" t="str">
        <f t="shared" si="190"/>
        <v/>
      </c>
      <c r="U226" t="str">
        <f t="shared" si="190"/>
        <v/>
      </c>
      <c r="V226" t="str">
        <f t="shared" si="190"/>
        <v/>
      </c>
      <c r="W226" t="str">
        <f t="shared" si="190"/>
        <v/>
      </c>
      <c r="X226" t="str">
        <f t="shared" si="190"/>
        <v/>
      </c>
      <c r="Y226" t="str">
        <f t="shared" si="190"/>
        <v/>
      </c>
      <c r="Z226" t="str">
        <f t="shared" si="190"/>
        <v/>
      </c>
      <c r="AA226" t="str">
        <f t="shared" si="190"/>
        <v/>
      </c>
      <c r="AB226" t="str">
        <f t="shared" si="190"/>
        <v/>
      </c>
      <c r="AC226" t="str">
        <f t="shared" si="190"/>
        <v/>
      </c>
      <c r="AD226" t="str">
        <f t="shared" si="190"/>
        <v/>
      </c>
      <c r="AE226" t="str">
        <f t="shared" si="190"/>
        <v/>
      </c>
      <c r="AF226" t="str">
        <f t="shared" si="190"/>
        <v/>
      </c>
      <c r="AG226" t="str">
        <f t="shared" si="190"/>
        <v/>
      </c>
      <c r="AH226" t="str">
        <f t="shared" si="190"/>
        <v/>
      </c>
      <c r="AI226" t="str">
        <f t="shared" si="190"/>
        <v/>
      </c>
      <c r="AJ226" t="str">
        <f t="shared" si="190"/>
        <v/>
      </c>
      <c r="AK226" t="str">
        <f t="shared" si="190"/>
        <v/>
      </c>
      <c r="AL226" t="str">
        <f t="shared" si="190"/>
        <v/>
      </c>
      <c r="AM226" t="str">
        <f t="shared" si="190"/>
        <v/>
      </c>
      <c r="AN226" t="str">
        <f t="shared" si="190"/>
        <v/>
      </c>
      <c r="AO226" t="str">
        <f t="shared" si="190"/>
        <v/>
      </c>
      <c r="AP226" t="str">
        <f t="shared" si="190"/>
        <v/>
      </c>
      <c r="AQ226" t="str">
        <f t="shared" si="190"/>
        <v/>
      </c>
      <c r="AR226" t="str">
        <f t="shared" si="190"/>
        <v/>
      </c>
      <c r="AS226" t="str">
        <f t="shared" si="190"/>
        <v/>
      </c>
      <c r="AT226" t="str">
        <f t="shared" si="190"/>
        <v/>
      </c>
      <c r="AU226" t="str">
        <f t="shared" si="190"/>
        <v/>
      </c>
    </row>
    <row r="227" spans="5:47" ht="12.75">
      <c r="E227" t="s">
        <v>248</v>
      </c>
      <c r="G227" t="s">
        <v>154</v>
      </c>
      <c r="H227">
        <f>A$37</f>
        <v>2020</v>
      </c>
      <c r="I227" t="str">
        <f t="shared" si="186"/>
        <v>MINOILRSV8</v>
      </c>
      <c r="J227" t="s">
        <v>270</v>
      </c>
      <c r="K227" t="str">
        <f>IF(K$26=0,"",K226*$C$37)</f>
        <v/>
      </c>
      <c r="L227" t="str">
        <f t="shared" si="191" ref="L227:AU227">IF(L$26=0,"",L226*$C$37)</f>
        <v/>
      </c>
      <c r="M227" t="str">
        <f t="shared" si="191"/>
        <v/>
      </c>
      <c r="N227" t="str">
        <f t="shared" si="191"/>
        <v/>
      </c>
      <c r="O227" t="str">
        <f t="shared" si="191"/>
        <v/>
      </c>
      <c r="P227" t="str">
        <f t="shared" si="191"/>
        <v/>
      </c>
      <c r="Q227" t="str">
        <f t="shared" si="191"/>
        <v/>
      </c>
      <c r="R227" t="str">
        <f t="shared" si="191"/>
        <v/>
      </c>
      <c r="S227" t="str">
        <f t="shared" si="191"/>
        <v/>
      </c>
      <c r="T227" t="str">
        <f t="shared" si="191"/>
        <v/>
      </c>
      <c r="U227" t="str">
        <f t="shared" si="191"/>
        <v/>
      </c>
      <c r="V227" t="str">
        <f t="shared" si="191"/>
        <v/>
      </c>
      <c r="W227" t="str">
        <f t="shared" si="191"/>
        <v/>
      </c>
      <c r="X227" t="str">
        <f t="shared" si="191"/>
        <v/>
      </c>
      <c r="Y227" t="str">
        <f t="shared" si="191"/>
        <v/>
      </c>
      <c r="Z227" t="str">
        <f t="shared" si="191"/>
        <v/>
      </c>
      <c r="AA227" t="str">
        <f t="shared" si="191"/>
        <v/>
      </c>
      <c r="AB227" t="str">
        <f t="shared" si="191"/>
        <v/>
      </c>
      <c r="AC227" t="str">
        <f t="shared" si="191"/>
        <v/>
      </c>
      <c r="AD227" t="str">
        <f t="shared" si="191"/>
        <v/>
      </c>
      <c r="AE227" t="str">
        <f t="shared" si="191"/>
        <v/>
      </c>
      <c r="AF227" t="str">
        <f t="shared" si="191"/>
        <v/>
      </c>
      <c r="AG227" t="str">
        <f t="shared" si="191"/>
        <v/>
      </c>
      <c r="AH227" t="str">
        <f t="shared" si="191"/>
        <v/>
      </c>
      <c r="AI227" t="str">
        <f t="shared" si="191"/>
        <v/>
      </c>
      <c r="AJ227" t="str">
        <f t="shared" si="191"/>
        <v/>
      </c>
      <c r="AK227" t="str">
        <f t="shared" si="191"/>
        <v/>
      </c>
      <c r="AL227" t="str">
        <f t="shared" si="191"/>
        <v/>
      </c>
      <c r="AM227" t="str">
        <f t="shared" si="191"/>
        <v/>
      </c>
      <c r="AN227" t="str">
        <f t="shared" si="191"/>
        <v/>
      </c>
      <c r="AO227" t="str">
        <f t="shared" si="191"/>
        <v/>
      </c>
      <c r="AP227" t="str">
        <f t="shared" si="191"/>
        <v/>
      </c>
      <c r="AQ227" t="str">
        <f t="shared" si="191"/>
        <v/>
      </c>
      <c r="AR227" t="str">
        <f t="shared" si="191"/>
        <v/>
      </c>
      <c r="AS227" t="str">
        <f t="shared" si="191"/>
        <v/>
      </c>
      <c r="AT227" t="str">
        <f t="shared" si="191"/>
        <v/>
      </c>
      <c r="AU227" t="str">
        <f t="shared" si="191"/>
        <v/>
      </c>
    </row>
    <row r="228" spans="5:47" ht="12.75">
      <c r="E228" t="s">
        <v>248</v>
      </c>
      <c r="G228" t="s">
        <v>154</v>
      </c>
      <c r="H228">
        <f>A$38</f>
        <v>2025</v>
      </c>
      <c r="I228" t="str">
        <f t="shared" si="186"/>
        <v>MINOILRSV8</v>
      </c>
      <c r="J228" t="s">
        <v>270</v>
      </c>
      <c r="K228" t="str">
        <f>IF(K$26=0,"",K227*$C$38)</f>
        <v/>
      </c>
      <c r="L228" t="str">
        <f t="shared" si="192" ref="L228:AU228">IF(L$26=0,"",L227*$C$38)</f>
        <v/>
      </c>
      <c r="M228" t="str">
        <f t="shared" si="192"/>
        <v/>
      </c>
      <c r="N228" t="str">
        <f t="shared" si="192"/>
        <v/>
      </c>
      <c r="O228" t="str">
        <f t="shared" si="192"/>
        <v/>
      </c>
      <c r="P228" t="str">
        <f t="shared" si="192"/>
        <v/>
      </c>
      <c r="Q228" t="str">
        <f t="shared" si="192"/>
        <v/>
      </c>
      <c r="R228" t="str">
        <f t="shared" si="192"/>
        <v/>
      </c>
      <c r="S228" t="str">
        <f t="shared" si="192"/>
        <v/>
      </c>
      <c r="T228" t="str">
        <f t="shared" si="192"/>
        <v/>
      </c>
      <c r="U228" t="str">
        <f t="shared" si="192"/>
        <v/>
      </c>
      <c r="V228" t="str">
        <f t="shared" si="192"/>
        <v/>
      </c>
      <c r="W228" t="str">
        <f t="shared" si="192"/>
        <v/>
      </c>
      <c r="X228" t="str">
        <f t="shared" si="192"/>
        <v/>
      </c>
      <c r="Y228" t="str">
        <f t="shared" si="192"/>
        <v/>
      </c>
      <c r="Z228" t="str">
        <f t="shared" si="192"/>
        <v/>
      </c>
      <c r="AA228" t="str">
        <f t="shared" si="192"/>
        <v/>
      </c>
      <c r="AB228" t="str">
        <f t="shared" si="192"/>
        <v/>
      </c>
      <c r="AC228" t="str">
        <f t="shared" si="192"/>
        <v/>
      </c>
      <c r="AD228" t="str">
        <f t="shared" si="192"/>
        <v/>
      </c>
      <c r="AE228" t="str">
        <f t="shared" si="192"/>
        <v/>
      </c>
      <c r="AF228" t="str">
        <f t="shared" si="192"/>
        <v/>
      </c>
      <c r="AG228" t="str">
        <f t="shared" si="192"/>
        <v/>
      </c>
      <c r="AH228" t="str">
        <f t="shared" si="192"/>
        <v/>
      </c>
      <c r="AI228" t="str">
        <f t="shared" si="192"/>
        <v/>
      </c>
      <c r="AJ228" t="str">
        <f t="shared" si="192"/>
        <v/>
      </c>
      <c r="AK228" t="str">
        <f t="shared" si="192"/>
        <v/>
      </c>
      <c r="AL228" t="str">
        <f t="shared" si="192"/>
        <v/>
      </c>
      <c r="AM228" t="str">
        <f t="shared" si="192"/>
        <v/>
      </c>
      <c r="AN228" t="str">
        <f t="shared" si="192"/>
        <v/>
      </c>
      <c r="AO228" t="str">
        <f t="shared" si="192"/>
        <v/>
      </c>
      <c r="AP228" t="str">
        <f t="shared" si="192"/>
        <v/>
      </c>
      <c r="AQ228" t="str">
        <f t="shared" si="192"/>
        <v/>
      </c>
      <c r="AR228" t="str">
        <f t="shared" si="192"/>
        <v/>
      </c>
      <c r="AS228" t="str">
        <f t="shared" si="192"/>
        <v/>
      </c>
      <c r="AT228" t="str">
        <f t="shared" si="192"/>
        <v/>
      </c>
      <c r="AU228" t="str">
        <f t="shared" si="192"/>
        <v/>
      </c>
    </row>
    <row r="229" spans="5:47" ht="12.75">
      <c r="E229" t="s">
        <v>248</v>
      </c>
      <c r="G229" t="s">
        <v>154</v>
      </c>
      <c r="H229">
        <f>A$39</f>
        <v>2030</v>
      </c>
      <c r="I229" t="str">
        <f t="shared" si="186"/>
        <v>MINOILRSV8</v>
      </c>
      <c r="J229" t="s">
        <v>270</v>
      </c>
      <c r="K229" t="str">
        <f>IF(K$26=0,"",K228*$C$39)</f>
        <v/>
      </c>
      <c r="L229" t="str">
        <f t="shared" si="193" ref="L229:AU229">IF(L$26=0,"",L228*$C$39)</f>
        <v/>
      </c>
      <c r="M229" t="str">
        <f t="shared" si="193"/>
        <v/>
      </c>
      <c r="N229" t="str">
        <f t="shared" si="193"/>
        <v/>
      </c>
      <c r="O229" t="str">
        <f t="shared" si="193"/>
        <v/>
      </c>
      <c r="P229" t="str">
        <f t="shared" si="193"/>
        <v/>
      </c>
      <c r="Q229" t="str">
        <f t="shared" si="193"/>
        <v/>
      </c>
      <c r="R229" t="str">
        <f t="shared" si="193"/>
        <v/>
      </c>
      <c r="S229" t="str">
        <f t="shared" si="193"/>
        <v/>
      </c>
      <c r="T229" t="str">
        <f t="shared" si="193"/>
        <v/>
      </c>
      <c r="U229" t="str">
        <f t="shared" si="193"/>
        <v/>
      </c>
      <c r="V229" t="str">
        <f t="shared" si="193"/>
        <v/>
      </c>
      <c r="W229" t="str">
        <f t="shared" si="193"/>
        <v/>
      </c>
      <c r="X229" t="str">
        <f t="shared" si="193"/>
        <v/>
      </c>
      <c r="Y229" t="str">
        <f t="shared" si="193"/>
        <v/>
      </c>
      <c r="Z229" t="str">
        <f t="shared" si="193"/>
        <v/>
      </c>
      <c r="AA229" t="str">
        <f t="shared" si="193"/>
        <v/>
      </c>
      <c r="AB229" t="str">
        <f t="shared" si="193"/>
        <v/>
      </c>
      <c r="AC229" t="str">
        <f t="shared" si="193"/>
        <v/>
      </c>
      <c r="AD229" t="str">
        <f t="shared" si="193"/>
        <v/>
      </c>
      <c r="AE229" t="str">
        <f t="shared" si="193"/>
        <v/>
      </c>
      <c r="AF229" t="str">
        <f t="shared" si="193"/>
        <v/>
      </c>
      <c r="AG229" t="str">
        <f t="shared" si="193"/>
        <v/>
      </c>
      <c r="AH229" t="str">
        <f t="shared" si="193"/>
        <v/>
      </c>
      <c r="AI229" t="str">
        <f t="shared" si="193"/>
        <v/>
      </c>
      <c r="AJ229" t="str">
        <f t="shared" si="193"/>
        <v/>
      </c>
      <c r="AK229" t="str">
        <f t="shared" si="193"/>
        <v/>
      </c>
      <c r="AL229" t="str">
        <f t="shared" si="193"/>
        <v/>
      </c>
      <c r="AM229" t="str">
        <f t="shared" si="193"/>
        <v/>
      </c>
      <c r="AN229" t="str">
        <f t="shared" si="193"/>
        <v/>
      </c>
      <c r="AO229" t="str">
        <f t="shared" si="193"/>
        <v/>
      </c>
      <c r="AP229" t="str">
        <f t="shared" si="193"/>
        <v/>
      </c>
      <c r="AQ229" t="str">
        <f t="shared" si="193"/>
        <v/>
      </c>
      <c r="AR229" t="str">
        <f t="shared" si="193"/>
        <v/>
      </c>
      <c r="AS229" t="str">
        <f t="shared" si="193"/>
        <v/>
      </c>
      <c r="AT229" t="str">
        <f t="shared" si="193"/>
        <v/>
      </c>
      <c r="AU229" t="str">
        <f t="shared" si="193"/>
        <v/>
      </c>
    </row>
    <row r="230" spans="5:47" ht="12.75">
      <c r="E230" t="s">
        <v>248</v>
      </c>
      <c r="G230" t="s">
        <v>154</v>
      </c>
      <c r="H230">
        <f>A$40</f>
        <v>2035</v>
      </c>
      <c r="I230" t="str">
        <f t="shared" si="186"/>
        <v>MINOILRSV8</v>
      </c>
      <c r="J230" t="s">
        <v>270</v>
      </c>
      <c r="K230" t="str">
        <f>IF(K$26=0,"",K229*$C$40)</f>
        <v/>
      </c>
      <c r="L230" t="str">
        <f t="shared" si="194" ref="L230:AU230">IF(L$26=0,"",L229*$C$40)</f>
        <v/>
      </c>
      <c r="M230" t="str">
        <f t="shared" si="194"/>
        <v/>
      </c>
      <c r="N230" t="str">
        <f t="shared" si="194"/>
        <v/>
      </c>
      <c r="O230" t="str">
        <f t="shared" si="194"/>
        <v/>
      </c>
      <c r="P230" t="str">
        <f t="shared" si="194"/>
        <v/>
      </c>
      <c r="Q230" t="str">
        <f t="shared" si="194"/>
        <v/>
      </c>
      <c r="R230" t="str">
        <f t="shared" si="194"/>
        <v/>
      </c>
      <c r="S230" t="str">
        <f t="shared" si="194"/>
        <v/>
      </c>
      <c r="T230" t="str">
        <f t="shared" si="194"/>
        <v/>
      </c>
      <c r="U230" t="str">
        <f t="shared" si="194"/>
        <v/>
      </c>
      <c r="V230" t="str">
        <f t="shared" si="194"/>
        <v/>
      </c>
      <c r="W230" t="str">
        <f t="shared" si="194"/>
        <v/>
      </c>
      <c r="X230" t="str">
        <f t="shared" si="194"/>
        <v/>
      </c>
      <c r="Y230" t="str">
        <f t="shared" si="194"/>
        <v/>
      </c>
      <c r="Z230" t="str">
        <f t="shared" si="194"/>
        <v/>
      </c>
      <c r="AA230" t="str">
        <f t="shared" si="194"/>
        <v/>
      </c>
      <c r="AB230" t="str">
        <f t="shared" si="194"/>
        <v/>
      </c>
      <c r="AC230" t="str">
        <f t="shared" si="194"/>
        <v/>
      </c>
      <c r="AD230" t="str">
        <f t="shared" si="194"/>
        <v/>
      </c>
      <c r="AE230" t="str">
        <f t="shared" si="194"/>
        <v/>
      </c>
      <c r="AF230" t="str">
        <f t="shared" si="194"/>
        <v/>
      </c>
      <c r="AG230" t="str">
        <f t="shared" si="194"/>
        <v/>
      </c>
      <c r="AH230" t="str">
        <f t="shared" si="194"/>
        <v/>
      </c>
      <c r="AI230" t="str">
        <f t="shared" si="194"/>
        <v/>
      </c>
      <c r="AJ230" t="str">
        <f t="shared" si="194"/>
        <v/>
      </c>
      <c r="AK230" t="str">
        <f t="shared" si="194"/>
        <v/>
      </c>
      <c r="AL230" t="str">
        <f t="shared" si="194"/>
        <v/>
      </c>
      <c r="AM230" t="str">
        <f t="shared" si="194"/>
        <v/>
      </c>
      <c r="AN230" t="str">
        <f t="shared" si="194"/>
        <v/>
      </c>
      <c r="AO230" t="str">
        <f t="shared" si="194"/>
        <v/>
      </c>
      <c r="AP230" t="str">
        <f t="shared" si="194"/>
        <v/>
      </c>
      <c r="AQ230" t="str">
        <f t="shared" si="194"/>
        <v/>
      </c>
      <c r="AR230" t="str">
        <f t="shared" si="194"/>
        <v/>
      </c>
      <c r="AS230" t="str">
        <f t="shared" si="194"/>
        <v/>
      </c>
      <c r="AT230" t="str">
        <f t="shared" si="194"/>
        <v/>
      </c>
      <c r="AU230" t="str">
        <f t="shared" si="194"/>
        <v/>
      </c>
    </row>
    <row r="231" spans="5:47" ht="12.75">
      <c r="E231" t="s">
        <v>248</v>
      </c>
      <c r="G231" t="s">
        <v>154</v>
      </c>
      <c r="H231">
        <f>A$41</f>
        <v>2040</v>
      </c>
      <c r="I231" t="str">
        <f t="shared" si="186"/>
        <v>MINOILRSV8</v>
      </c>
      <c r="J231" t="s">
        <v>270</v>
      </c>
      <c r="K231" t="str">
        <f>IF(K$26=0,"",K230*$C$41)</f>
        <v/>
      </c>
      <c r="L231" t="str">
        <f t="shared" si="195" ref="L231:AU231">IF(L$26=0,"",L230*$C$41)</f>
        <v/>
      </c>
      <c r="M231" t="str">
        <f t="shared" si="195"/>
        <v/>
      </c>
      <c r="N231" t="str">
        <f t="shared" si="195"/>
        <v/>
      </c>
      <c r="O231" t="str">
        <f t="shared" si="195"/>
        <v/>
      </c>
      <c r="P231" t="str">
        <f t="shared" si="195"/>
        <v/>
      </c>
      <c r="Q231" t="str">
        <f t="shared" si="195"/>
        <v/>
      </c>
      <c r="R231" t="str">
        <f t="shared" si="195"/>
        <v/>
      </c>
      <c r="S231" t="str">
        <f t="shared" si="195"/>
        <v/>
      </c>
      <c r="T231" t="str">
        <f t="shared" si="195"/>
        <v/>
      </c>
      <c r="U231" t="str">
        <f t="shared" si="195"/>
        <v/>
      </c>
      <c r="V231" t="str">
        <f t="shared" si="195"/>
        <v/>
      </c>
      <c r="W231" t="str">
        <f t="shared" si="195"/>
        <v/>
      </c>
      <c r="X231" t="str">
        <f t="shared" si="195"/>
        <v/>
      </c>
      <c r="Y231" t="str">
        <f t="shared" si="195"/>
        <v/>
      </c>
      <c r="Z231" t="str">
        <f t="shared" si="195"/>
        <v/>
      </c>
      <c r="AA231" t="str">
        <f t="shared" si="195"/>
        <v/>
      </c>
      <c r="AB231" t="str">
        <f t="shared" si="195"/>
        <v/>
      </c>
      <c r="AC231" t="str">
        <f t="shared" si="195"/>
        <v/>
      </c>
      <c r="AD231" t="str">
        <f t="shared" si="195"/>
        <v/>
      </c>
      <c r="AE231" t="str">
        <f t="shared" si="195"/>
        <v/>
      </c>
      <c r="AF231" t="str">
        <f t="shared" si="195"/>
        <v/>
      </c>
      <c r="AG231" t="str">
        <f t="shared" si="195"/>
        <v/>
      </c>
      <c r="AH231" t="str">
        <f t="shared" si="195"/>
        <v/>
      </c>
      <c r="AI231" t="str">
        <f t="shared" si="195"/>
        <v/>
      </c>
      <c r="AJ231" t="str">
        <f t="shared" si="195"/>
        <v/>
      </c>
      <c r="AK231" t="str">
        <f t="shared" si="195"/>
        <v/>
      </c>
      <c r="AL231" t="str">
        <f t="shared" si="195"/>
        <v/>
      </c>
      <c r="AM231" t="str">
        <f t="shared" si="195"/>
        <v/>
      </c>
      <c r="AN231" t="str">
        <f t="shared" si="195"/>
        <v/>
      </c>
      <c r="AO231" t="str">
        <f t="shared" si="195"/>
        <v/>
      </c>
      <c r="AP231" t="str">
        <f t="shared" si="195"/>
        <v/>
      </c>
      <c r="AQ231" t="str">
        <f t="shared" si="195"/>
        <v/>
      </c>
      <c r="AR231" t="str">
        <f t="shared" si="195"/>
        <v/>
      </c>
      <c r="AS231" t="str">
        <f t="shared" si="195"/>
        <v/>
      </c>
      <c r="AT231" t="str">
        <f t="shared" si="195"/>
        <v/>
      </c>
      <c r="AU231" t="str">
        <f t="shared" si="195"/>
        <v/>
      </c>
    </row>
    <row r="232" spans="5:47" ht="12.75">
      <c r="E232" t="s">
        <v>248</v>
      </c>
      <c r="G232" t="s">
        <v>154</v>
      </c>
      <c r="H232">
        <f>A$42</f>
        <v>2045</v>
      </c>
      <c r="I232" t="str">
        <f t="shared" si="186"/>
        <v>MINOILRSV8</v>
      </c>
      <c r="J232" t="s">
        <v>270</v>
      </c>
      <c r="K232" t="str">
        <f>IF(K$26=0,"",K231*$C$42)</f>
        <v/>
      </c>
      <c r="L232" t="str">
        <f t="shared" si="196" ref="L232:AU232">IF(L$26=0,"",L231*$C$42)</f>
        <v/>
      </c>
      <c r="M232" t="str">
        <f t="shared" si="196"/>
        <v/>
      </c>
      <c r="N232" t="str">
        <f t="shared" si="196"/>
        <v/>
      </c>
      <c r="O232" t="str">
        <f t="shared" si="196"/>
        <v/>
      </c>
      <c r="P232" t="str">
        <f t="shared" si="196"/>
        <v/>
      </c>
      <c r="Q232" t="str">
        <f t="shared" si="196"/>
        <v/>
      </c>
      <c r="R232" t="str">
        <f t="shared" si="196"/>
        <v/>
      </c>
      <c r="S232" t="str">
        <f t="shared" si="196"/>
        <v/>
      </c>
      <c r="T232" t="str">
        <f t="shared" si="196"/>
        <v/>
      </c>
      <c r="U232" t="str">
        <f t="shared" si="196"/>
        <v/>
      </c>
      <c r="V232" t="str">
        <f t="shared" si="196"/>
        <v/>
      </c>
      <c r="W232" t="str">
        <f t="shared" si="196"/>
        <v/>
      </c>
      <c r="X232" t="str">
        <f t="shared" si="196"/>
        <v/>
      </c>
      <c r="Y232" t="str">
        <f t="shared" si="196"/>
        <v/>
      </c>
      <c r="Z232" t="str">
        <f t="shared" si="196"/>
        <v/>
      </c>
      <c r="AA232" t="str">
        <f t="shared" si="196"/>
        <v/>
      </c>
      <c r="AB232" t="str">
        <f t="shared" si="196"/>
        <v/>
      </c>
      <c r="AC232" t="str">
        <f t="shared" si="196"/>
        <v/>
      </c>
      <c r="AD232" t="str">
        <f t="shared" si="196"/>
        <v/>
      </c>
      <c r="AE232" t="str">
        <f t="shared" si="196"/>
        <v/>
      </c>
      <c r="AF232" t="str">
        <f t="shared" si="196"/>
        <v/>
      </c>
      <c r="AG232" t="str">
        <f t="shared" si="196"/>
        <v/>
      </c>
      <c r="AH232" t="str">
        <f t="shared" si="196"/>
        <v/>
      </c>
      <c r="AI232" t="str">
        <f t="shared" si="196"/>
        <v/>
      </c>
      <c r="AJ232" t="str">
        <f t="shared" si="196"/>
        <v/>
      </c>
      <c r="AK232" t="str">
        <f t="shared" si="196"/>
        <v/>
      </c>
      <c r="AL232" t="str">
        <f t="shared" si="196"/>
        <v/>
      </c>
      <c r="AM232" t="str">
        <f t="shared" si="196"/>
        <v/>
      </c>
      <c r="AN232" t="str">
        <f t="shared" si="196"/>
        <v/>
      </c>
      <c r="AO232" t="str">
        <f t="shared" si="196"/>
        <v/>
      </c>
      <c r="AP232" t="str">
        <f t="shared" si="196"/>
        <v/>
      </c>
      <c r="AQ232" t="str">
        <f t="shared" si="196"/>
        <v/>
      </c>
      <c r="AR232" t="str">
        <f t="shared" si="196"/>
        <v/>
      </c>
      <c r="AS232" t="str">
        <f t="shared" si="196"/>
        <v/>
      </c>
      <c r="AT232" t="str">
        <f t="shared" si="196"/>
        <v/>
      </c>
      <c r="AU232" t="str">
        <f t="shared" si="196"/>
        <v/>
      </c>
    </row>
    <row r="233" spans="5:47" ht="12.75">
      <c r="E233" t="s">
        <v>248</v>
      </c>
      <c r="G233" t="s">
        <v>154</v>
      </c>
      <c r="H233">
        <f>A$43</f>
        <v>2050</v>
      </c>
      <c r="I233" t="str">
        <f t="shared" si="186"/>
        <v>MINOILRSV8</v>
      </c>
      <c r="J233" t="s">
        <v>270</v>
      </c>
      <c r="K233" t="str">
        <f>IF(K$26=0,"",K232*$C$43)</f>
        <v/>
      </c>
      <c r="L233" t="str">
        <f t="shared" si="197" ref="L233:AU233">IF(L$26=0,"",L232*$C$43)</f>
        <v/>
      </c>
      <c r="M233" t="str">
        <f t="shared" si="197"/>
        <v/>
      </c>
      <c r="N233" t="str">
        <f t="shared" si="197"/>
        <v/>
      </c>
      <c r="O233" t="str">
        <f t="shared" si="197"/>
        <v/>
      </c>
      <c r="P233" t="str">
        <f t="shared" si="197"/>
        <v/>
      </c>
      <c r="Q233" t="str">
        <f t="shared" si="197"/>
        <v/>
      </c>
      <c r="R233" t="str">
        <f t="shared" si="197"/>
        <v/>
      </c>
      <c r="S233" t="str">
        <f t="shared" si="197"/>
        <v/>
      </c>
      <c r="T233" t="str">
        <f t="shared" si="197"/>
        <v/>
      </c>
      <c r="U233" t="str">
        <f t="shared" si="197"/>
        <v/>
      </c>
      <c r="V233" t="str">
        <f t="shared" si="197"/>
        <v/>
      </c>
      <c r="W233" t="str">
        <f t="shared" si="197"/>
        <v/>
      </c>
      <c r="X233" t="str">
        <f t="shared" si="197"/>
        <v/>
      </c>
      <c r="Y233" t="str">
        <f t="shared" si="197"/>
        <v/>
      </c>
      <c r="Z233" t="str">
        <f t="shared" si="197"/>
        <v/>
      </c>
      <c r="AA233" t="str">
        <f t="shared" si="197"/>
        <v/>
      </c>
      <c r="AB233" t="str">
        <f t="shared" si="197"/>
        <v/>
      </c>
      <c r="AC233" t="str">
        <f t="shared" si="197"/>
        <v/>
      </c>
      <c r="AD233" t="str">
        <f t="shared" si="197"/>
        <v/>
      </c>
      <c r="AE233" t="str">
        <f t="shared" si="197"/>
        <v/>
      </c>
      <c r="AF233" t="str">
        <f t="shared" si="197"/>
        <v/>
      </c>
      <c r="AG233" t="str">
        <f t="shared" si="197"/>
        <v/>
      </c>
      <c r="AH233" t="str">
        <f t="shared" si="197"/>
        <v/>
      </c>
      <c r="AI233" t="str">
        <f t="shared" si="197"/>
        <v/>
      </c>
      <c r="AJ233" t="str">
        <f t="shared" si="197"/>
        <v/>
      </c>
      <c r="AK233" t="str">
        <f t="shared" si="197"/>
        <v/>
      </c>
      <c r="AL233" t="str">
        <f t="shared" si="197"/>
        <v/>
      </c>
      <c r="AM233" t="str">
        <f t="shared" si="197"/>
        <v/>
      </c>
      <c r="AN233" t="str">
        <f t="shared" si="197"/>
        <v/>
      </c>
      <c r="AO233" t="str">
        <f t="shared" si="197"/>
        <v/>
      </c>
      <c r="AP233" t="str">
        <f t="shared" si="197"/>
        <v/>
      </c>
      <c r="AQ233" t="str">
        <f t="shared" si="197"/>
        <v/>
      </c>
      <c r="AR233" t="str">
        <f t="shared" si="197"/>
        <v/>
      </c>
      <c r="AS233" t="str">
        <f t="shared" si="197"/>
        <v/>
      </c>
      <c r="AT233" t="str">
        <f t="shared" si="197"/>
        <v/>
      </c>
      <c r="AU233" t="str">
        <f t="shared" si="197"/>
        <v/>
      </c>
    </row>
    <row r="234" spans="5:47" ht="12.75">
      <c r="E234" t="s">
        <v>248</v>
      </c>
      <c r="G234" t="s">
        <v>154</v>
      </c>
      <c r="H234">
        <f>A$33</f>
        <v>2001</v>
      </c>
      <c r="I234" t="str">
        <f t="shared" si="198" ref="I234:I244">I$27</f>
        <v>MINOILRSV9</v>
      </c>
      <c r="J234" t="s">
        <v>270</v>
      </c>
      <c r="K234" t="str">
        <f>IF(K$27=0,"",K$27*$C$33)</f>
        <v/>
      </c>
      <c r="L234" t="str">
        <f t="shared" si="199" ref="L234:AU234">IF(L$27=0,"",L$27*$C$33)</f>
        <v/>
      </c>
      <c r="M234" t="str">
        <f t="shared" si="199"/>
        <v/>
      </c>
      <c r="N234" t="str">
        <f t="shared" si="199"/>
        <v/>
      </c>
      <c r="O234" t="str">
        <f t="shared" si="199"/>
        <v/>
      </c>
      <c r="P234" t="str">
        <f t="shared" si="199"/>
        <v/>
      </c>
      <c r="Q234" t="str">
        <f t="shared" si="199"/>
        <v/>
      </c>
      <c r="R234" t="str">
        <f t="shared" si="199"/>
        <v/>
      </c>
      <c r="S234" t="str">
        <f t="shared" si="199"/>
        <v/>
      </c>
      <c r="T234" t="str">
        <f t="shared" si="199"/>
        <v/>
      </c>
      <c r="U234" t="str">
        <f t="shared" si="199"/>
        <v/>
      </c>
      <c r="V234" t="str">
        <f t="shared" si="199"/>
        <v/>
      </c>
      <c r="W234" t="str">
        <f t="shared" si="199"/>
        <v/>
      </c>
      <c r="X234" t="str">
        <f t="shared" si="199"/>
        <v/>
      </c>
      <c r="Y234" t="str">
        <f t="shared" si="199"/>
        <v/>
      </c>
      <c r="Z234" t="str">
        <f t="shared" si="199"/>
        <v/>
      </c>
      <c r="AA234" t="str">
        <f t="shared" si="199"/>
        <v/>
      </c>
      <c r="AB234" t="str">
        <f t="shared" si="199"/>
        <v/>
      </c>
      <c r="AC234" t="str">
        <f t="shared" si="199"/>
        <v/>
      </c>
      <c r="AD234" t="str">
        <f t="shared" si="199"/>
        <v/>
      </c>
      <c r="AE234" t="str">
        <f t="shared" si="199"/>
        <v/>
      </c>
      <c r="AF234" t="str">
        <f t="shared" si="199"/>
        <v/>
      </c>
      <c r="AG234" t="str">
        <f t="shared" si="199"/>
        <v/>
      </c>
      <c r="AH234" t="str">
        <f t="shared" si="199"/>
        <v/>
      </c>
      <c r="AI234" t="str">
        <f t="shared" si="199"/>
        <v/>
      </c>
      <c r="AJ234" t="str">
        <f t="shared" si="199"/>
        <v/>
      </c>
      <c r="AK234" t="str">
        <f t="shared" si="199"/>
        <v/>
      </c>
      <c r="AL234" t="str">
        <f t="shared" si="199"/>
        <v/>
      </c>
      <c r="AM234" t="str">
        <f t="shared" si="199"/>
        <v/>
      </c>
      <c r="AN234" t="str">
        <f t="shared" si="199"/>
        <v/>
      </c>
      <c r="AO234" t="str">
        <f t="shared" si="199"/>
        <v/>
      </c>
      <c r="AP234" t="str">
        <f t="shared" si="199"/>
        <v/>
      </c>
      <c r="AQ234" t="str">
        <f t="shared" si="199"/>
        <v/>
      </c>
      <c r="AR234" t="str">
        <f t="shared" si="199"/>
        <v/>
      </c>
      <c r="AS234" t="str">
        <f t="shared" si="199"/>
        <v/>
      </c>
      <c r="AT234" t="str">
        <f t="shared" si="199"/>
        <v/>
      </c>
      <c r="AU234" t="str">
        <f t="shared" si="199"/>
        <v/>
      </c>
    </row>
    <row r="235" spans="5:47" ht="12.75">
      <c r="E235" t="s">
        <v>248</v>
      </c>
      <c r="G235" t="s">
        <v>154</v>
      </c>
      <c r="H235">
        <f>A$34</f>
        <v>2005</v>
      </c>
      <c r="I235" t="str">
        <f t="shared" si="198"/>
        <v>MINOILRSV9</v>
      </c>
      <c r="J235" t="s">
        <v>270</v>
      </c>
      <c r="K235" t="str">
        <f>IF(K$27=0,"",K234*$C$34)</f>
        <v/>
      </c>
      <c r="L235" t="str">
        <f t="shared" si="200" ref="L235:AU235">IF(L$27=0,"",L234*$C$34)</f>
        <v/>
      </c>
      <c r="M235" t="str">
        <f t="shared" si="200"/>
        <v/>
      </c>
      <c r="N235" t="str">
        <f t="shared" si="200"/>
        <v/>
      </c>
      <c r="O235" t="str">
        <f t="shared" si="200"/>
        <v/>
      </c>
      <c r="P235" t="str">
        <f t="shared" si="200"/>
        <v/>
      </c>
      <c r="Q235" t="str">
        <f t="shared" si="200"/>
        <v/>
      </c>
      <c r="R235" t="str">
        <f t="shared" si="200"/>
        <v/>
      </c>
      <c r="S235" t="str">
        <f t="shared" si="200"/>
        <v/>
      </c>
      <c r="T235" t="str">
        <f t="shared" si="200"/>
        <v/>
      </c>
      <c r="U235" t="str">
        <f t="shared" si="200"/>
        <v/>
      </c>
      <c r="V235" t="str">
        <f t="shared" si="200"/>
        <v/>
      </c>
      <c r="W235" t="str">
        <f t="shared" si="200"/>
        <v/>
      </c>
      <c r="X235" t="str">
        <f t="shared" si="200"/>
        <v/>
      </c>
      <c r="Y235" t="str">
        <f t="shared" si="200"/>
        <v/>
      </c>
      <c r="Z235" t="str">
        <f t="shared" si="200"/>
        <v/>
      </c>
      <c r="AA235" t="str">
        <f t="shared" si="200"/>
        <v/>
      </c>
      <c r="AB235" t="str">
        <f t="shared" si="200"/>
        <v/>
      </c>
      <c r="AC235" t="str">
        <f t="shared" si="200"/>
        <v/>
      </c>
      <c r="AD235" t="str">
        <f t="shared" si="200"/>
        <v/>
      </c>
      <c r="AE235" t="str">
        <f t="shared" si="200"/>
        <v/>
      </c>
      <c r="AF235" t="str">
        <f t="shared" si="200"/>
        <v/>
      </c>
      <c r="AG235" t="str">
        <f t="shared" si="200"/>
        <v/>
      </c>
      <c r="AH235" t="str">
        <f t="shared" si="200"/>
        <v/>
      </c>
      <c r="AI235" t="str">
        <f t="shared" si="200"/>
        <v/>
      </c>
      <c r="AJ235" t="str">
        <f t="shared" si="200"/>
        <v/>
      </c>
      <c r="AK235" t="str">
        <f t="shared" si="200"/>
        <v/>
      </c>
      <c r="AL235" t="str">
        <f t="shared" si="200"/>
        <v/>
      </c>
      <c r="AM235" t="str">
        <f t="shared" si="200"/>
        <v/>
      </c>
      <c r="AN235" t="str">
        <f t="shared" si="200"/>
        <v/>
      </c>
      <c r="AO235" t="str">
        <f t="shared" si="200"/>
        <v/>
      </c>
      <c r="AP235" t="str">
        <f t="shared" si="200"/>
        <v/>
      </c>
      <c r="AQ235" t="str">
        <f t="shared" si="200"/>
        <v/>
      </c>
      <c r="AR235" t="str">
        <f t="shared" si="200"/>
        <v/>
      </c>
      <c r="AS235" t="str">
        <f t="shared" si="200"/>
        <v/>
      </c>
      <c r="AT235" t="str">
        <f t="shared" si="200"/>
        <v/>
      </c>
      <c r="AU235" t="str">
        <f t="shared" si="200"/>
        <v/>
      </c>
    </row>
    <row r="236" spans="5:47" ht="12.75">
      <c r="E236" t="s">
        <v>248</v>
      </c>
      <c r="G236" t="s">
        <v>154</v>
      </c>
      <c r="H236">
        <f>A$35</f>
        <v>2010</v>
      </c>
      <c r="I236" t="str">
        <f t="shared" si="198"/>
        <v>MINOILRSV9</v>
      </c>
      <c r="J236" t="s">
        <v>270</v>
      </c>
      <c r="K236" t="str">
        <f>IF(K$27=0,"",K235*$C$35)</f>
        <v/>
      </c>
      <c r="L236" t="str">
        <f t="shared" si="201" ref="L236:AU236">IF(L$27=0,"",L235*$C$35)</f>
        <v/>
      </c>
      <c r="M236" t="str">
        <f t="shared" si="201"/>
        <v/>
      </c>
      <c r="N236" t="str">
        <f t="shared" si="201"/>
        <v/>
      </c>
      <c r="O236" t="str">
        <f t="shared" si="201"/>
        <v/>
      </c>
      <c r="P236" t="str">
        <f t="shared" si="201"/>
        <v/>
      </c>
      <c r="Q236" t="str">
        <f t="shared" si="201"/>
        <v/>
      </c>
      <c r="R236" t="str">
        <f t="shared" si="201"/>
        <v/>
      </c>
      <c r="S236" t="str">
        <f t="shared" si="201"/>
        <v/>
      </c>
      <c r="T236" t="str">
        <f t="shared" si="201"/>
        <v/>
      </c>
      <c r="U236" t="str">
        <f t="shared" si="201"/>
        <v/>
      </c>
      <c r="V236" t="str">
        <f t="shared" si="201"/>
        <v/>
      </c>
      <c r="W236" t="str">
        <f t="shared" si="201"/>
        <v/>
      </c>
      <c r="X236" t="str">
        <f t="shared" si="201"/>
        <v/>
      </c>
      <c r="Y236" t="str">
        <f t="shared" si="201"/>
        <v/>
      </c>
      <c r="Z236" t="str">
        <f t="shared" si="201"/>
        <v/>
      </c>
      <c r="AA236" t="str">
        <f t="shared" si="201"/>
        <v/>
      </c>
      <c r="AB236" t="str">
        <f t="shared" si="201"/>
        <v/>
      </c>
      <c r="AC236" t="str">
        <f t="shared" si="201"/>
        <v/>
      </c>
      <c r="AD236" t="str">
        <f t="shared" si="201"/>
        <v/>
      </c>
      <c r="AE236" t="str">
        <f t="shared" si="201"/>
        <v/>
      </c>
      <c r="AF236" t="str">
        <f t="shared" si="201"/>
        <v/>
      </c>
      <c r="AG236" t="str">
        <f t="shared" si="201"/>
        <v/>
      </c>
      <c r="AH236" t="str">
        <f t="shared" si="201"/>
        <v/>
      </c>
      <c r="AI236" t="str">
        <f t="shared" si="201"/>
        <v/>
      </c>
      <c r="AJ236" t="str">
        <f t="shared" si="201"/>
        <v/>
      </c>
      <c r="AK236" t="str">
        <f t="shared" si="201"/>
        <v/>
      </c>
      <c r="AL236" t="str">
        <f t="shared" si="201"/>
        <v/>
      </c>
      <c r="AM236" t="str">
        <f t="shared" si="201"/>
        <v/>
      </c>
      <c r="AN236" t="str">
        <f t="shared" si="201"/>
        <v/>
      </c>
      <c r="AO236" t="str">
        <f t="shared" si="201"/>
        <v/>
      </c>
      <c r="AP236" t="str">
        <f t="shared" si="201"/>
        <v/>
      </c>
      <c r="AQ236" t="str">
        <f t="shared" si="201"/>
        <v/>
      </c>
      <c r="AR236" t="str">
        <f t="shared" si="201"/>
        <v/>
      </c>
      <c r="AS236" t="str">
        <f t="shared" si="201"/>
        <v/>
      </c>
      <c r="AT236" t="str">
        <f t="shared" si="201"/>
        <v/>
      </c>
      <c r="AU236" t="str">
        <f t="shared" si="201"/>
        <v/>
      </c>
    </row>
    <row r="237" spans="5:47" ht="12.75">
      <c r="E237" t="s">
        <v>248</v>
      </c>
      <c r="G237" t="s">
        <v>154</v>
      </c>
      <c r="H237">
        <f>A$36</f>
        <v>2015</v>
      </c>
      <c r="I237" t="str">
        <f t="shared" si="198"/>
        <v>MINOILRSV9</v>
      </c>
      <c r="J237" t="s">
        <v>270</v>
      </c>
      <c r="K237" t="str">
        <f>IF(K$27=0,"",K236*$C$36)</f>
        <v/>
      </c>
      <c r="L237" t="str">
        <f t="shared" si="202" ref="L237:AU237">IF(L$27=0,"",L236*$C$36)</f>
        <v/>
      </c>
      <c r="M237" t="str">
        <f t="shared" si="202"/>
        <v/>
      </c>
      <c r="N237" t="str">
        <f t="shared" si="202"/>
        <v/>
      </c>
      <c r="O237" t="str">
        <f t="shared" si="202"/>
        <v/>
      </c>
      <c r="P237" t="str">
        <f t="shared" si="202"/>
        <v/>
      </c>
      <c r="Q237" t="str">
        <f t="shared" si="202"/>
        <v/>
      </c>
      <c r="R237" t="str">
        <f t="shared" si="202"/>
        <v/>
      </c>
      <c r="S237" t="str">
        <f t="shared" si="202"/>
        <v/>
      </c>
      <c r="T237" t="str">
        <f t="shared" si="202"/>
        <v/>
      </c>
      <c r="U237" t="str">
        <f t="shared" si="202"/>
        <v/>
      </c>
      <c r="V237" t="str">
        <f t="shared" si="202"/>
        <v/>
      </c>
      <c r="W237" t="str">
        <f t="shared" si="202"/>
        <v/>
      </c>
      <c r="X237" t="str">
        <f t="shared" si="202"/>
        <v/>
      </c>
      <c r="Y237" t="str">
        <f t="shared" si="202"/>
        <v/>
      </c>
      <c r="Z237" t="str">
        <f t="shared" si="202"/>
        <v/>
      </c>
      <c r="AA237" t="str">
        <f t="shared" si="202"/>
        <v/>
      </c>
      <c r="AB237" t="str">
        <f t="shared" si="202"/>
        <v/>
      </c>
      <c r="AC237" t="str">
        <f t="shared" si="202"/>
        <v/>
      </c>
      <c r="AD237" t="str">
        <f t="shared" si="202"/>
        <v/>
      </c>
      <c r="AE237" t="str">
        <f t="shared" si="202"/>
        <v/>
      </c>
      <c r="AF237" t="str">
        <f t="shared" si="202"/>
        <v/>
      </c>
      <c r="AG237" t="str">
        <f t="shared" si="202"/>
        <v/>
      </c>
      <c r="AH237" t="str">
        <f t="shared" si="202"/>
        <v/>
      </c>
      <c r="AI237" t="str">
        <f t="shared" si="202"/>
        <v/>
      </c>
      <c r="AJ237" t="str">
        <f t="shared" si="202"/>
        <v/>
      </c>
      <c r="AK237" t="str">
        <f t="shared" si="202"/>
        <v/>
      </c>
      <c r="AL237" t="str">
        <f t="shared" si="202"/>
        <v/>
      </c>
      <c r="AM237" t="str">
        <f t="shared" si="202"/>
        <v/>
      </c>
      <c r="AN237" t="str">
        <f t="shared" si="202"/>
        <v/>
      </c>
      <c r="AO237" t="str">
        <f t="shared" si="202"/>
        <v/>
      </c>
      <c r="AP237" t="str">
        <f t="shared" si="202"/>
        <v/>
      </c>
      <c r="AQ237" t="str">
        <f t="shared" si="202"/>
        <v/>
      </c>
      <c r="AR237" t="str">
        <f t="shared" si="202"/>
        <v/>
      </c>
      <c r="AS237" t="str">
        <f t="shared" si="202"/>
        <v/>
      </c>
      <c r="AT237" t="str">
        <f t="shared" si="202"/>
        <v/>
      </c>
      <c r="AU237" t="str">
        <f t="shared" si="202"/>
        <v/>
      </c>
    </row>
    <row r="238" spans="5:47" ht="12.75">
      <c r="E238" t="s">
        <v>248</v>
      </c>
      <c r="G238" t="s">
        <v>154</v>
      </c>
      <c r="H238">
        <f>A$37</f>
        <v>2020</v>
      </c>
      <c r="I238" t="str">
        <f t="shared" si="198"/>
        <v>MINOILRSV9</v>
      </c>
      <c r="J238" t="s">
        <v>270</v>
      </c>
      <c r="K238" t="str">
        <f>IF(K$27=0,"",K237*$C$37)</f>
        <v/>
      </c>
      <c r="L238" t="str">
        <f t="shared" si="203" ref="L238:AU238">IF(L$27=0,"",L237*$C$37)</f>
        <v/>
      </c>
      <c r="M238" t="str">
        <f t="shared" si="203"/>
        <v/>
      </c>
      <c r="N238" t="str">
        <f t="shared" si="203"/>
        <v/>
      </c>
      <c r="O238" t="str">
        <f t="shared" si="203"/>
        <v/>
      </c>
      <c r="P238" t="str">
        <f t="shared" si="203"/>
        <v/>
      </c>
      <c r="Q238" t="str">
        <f t="shared" si="203"/>
        <v/>
      </c>
      <c r="R238" t="str">
        <f t="shared" si="203"/>
        <v/>
      </c>
      <c r="S238" t="str">
        <f t="shared" si="203"/>
        <v/>
      </c>
      <c r="T238" t="str">
        <f t="shared" si="203"/>
        <v/>
      </c>
      <c r="U238" t="str">
        <f t="shared" si="203"/>
        <v/>
      </c>
      <c r="V238" t="str">
        <f t="shared" si="203"/>
        <v/>
      </c>
      <c r="W238" t="str">
        <f t="shared" si="203"/>
        <v/>
      </c>
      <c r="X238" t="str">
        <f t="shared" si="203"/>
        <v/>
      </c>
      <c r="Y238" t="str">
        <f t="shared" si="203"/>
        <v/>
      </c>
      <c r="Z238" t="str">
        <f t="shared" si="203"/>
        <v/>
      </c>
      <c r="AA238" t="str">
        <f t="shared" si="203"/>
        <v/>
      </c>
      <c r="AB238" t="str">
        <f t="shared" si="203"/>
        <v/>
      </c>
      <c r="AC238" t="str">
        <f t="shared" si="203"/>
        <v/>
      </c>
      <c r="AD238" t="str">
        <f t="shared" si="203"/>
        <v/>
      </c>
      <c r="AE238" t="str">
        <f t="shared" si="203"/>
        <v/>
      </c>
      <c r="AF238" t="str">
        <f t="shared" si="203"/>
        <v/>
      </c>
      <c r="AG238" t="str">
        <f t="shared" si="203"/>
        <v/>
      </c>
      <c r="AH238" t="str">
        <f t="shared" si="203"/>
        <v/>
      </c>
      <c r="AI238" t="str">
        <f t="shared" si="203"/>
        <v/>
      </c>
      <c r="AJ238" t="str">
        <f t="shared" si="203"/>
        <v/>
      </c>
      <c r="AK238" t="str">
        <f t="shared" si="203"/>
        <v/>
      </c>
      <c r="AL238" t="str">
        <f t="shared" si="203"/>
        <v/>
      </c>
      <c r="AM238" t="str">
        <f t="shared" si="203"/>
        <v/>
      </c>
      <c r="AN238" t="str">
        <f t="shared" si="203"/>
        <v/>
      </c>
      <c r="AO238" t="str">
        <f t="shared" si="203"/>
        <v/>
      </c>
      <c r="AP238" t="str">
        <f t="shared" si="203"/>
        <v/>
      </c>
      <c r="AQ238" t="str">
        <f t="shared" si="203"/>
        <v/>
      </c>
      <c r="AR238" t="str">
        <f t="shared" si="203"/>
        <v/>
      </c>
      <c r="AS238" t="str">
        <f t="shared" si="203"/>
        <v/>
      </c>
      <c r="AT238" t="str">
        <f t="shared" si="203"/>
        <v/>
      </c>
      <c r="AU238" t="str">
        <f t="shared" si="203"/>
        <v/>
      </c>
    </row>
    <row r="239" spans="5:47" ht="12.75">
      <c r="E239" t="s">
        <v>248</v>
      </c>
      <c r="G239" t="s">
        <v>154</v>
      </c>
      <c r="H239">
        <f>A$38</f>
        <v>2025</v>
      </c>
      <c r="I239" t="str">
        <f t="shared" si="198"/>
        <v>MINOILRSV9</v>
      </c>
      <c r="J239" t="s">
        <v>270</v>
      </c>
      <c r="K239" t="str">
        <f>IF(K$27=0,"",K238*$C$38)</f>
        <v/>
      </c>
      <c r="L239" t="str">
        <f t="shared" si="204" ref="L239:AU239">IF(L$27=0,"",L238*$C$38)</f>
        <v/>
      </c>
      <c r="M239" t="str">
        <f t="shared" si="204"/>
        <v/>
      </c>
      <c r="N239" t="str">
        <f t="shared" si="204"/>
        <v/>
      </c>
      <c r="O239" t="str">
        <f t="shared" si="204"/>
        <v/>
      </c>
      <c r="P239" t="str">
        <f t="shared" si="204"/>
        <v/>
      </c>
      <c r="Q239" t="str">
        <f t="shared" si="204"/>
        <v/>
      </c>
      <c r="R239" t="str">
        <f t="shared" si="204"/>
        <v/>
      </c>
      <c r="S239" t="str">
        <f t="shared" si="204"/>
        <v/>
      </c>
      <c r="T239" t="str">
        <f t="shared" si="204"/>
        <v/>
      </c>
      <c r="U239" t="str">
        <f t="shared" si="204"/>
        <v/>
      </c>
      <c r="V239" t="str">
        <f t="shared" si="204"/>
        <v/>
      </c>
      <c r="W239" t="str">
        <f t="shared" si="204"/>
        <v/>
      </c>
      <c r="X239" t="str">
        <f t="shared" si="204"/>
        <v/>
      </c>
      <c r="Y239" t="str">
        <f t="shared" si="204"/>
        <v/>
      </c>
      <c r="Z239" t="str">
        <f t="shared" si="204"/>
        <v/>
      </c>
      <c r="AA239" t="str">
        <f t="shared" si="204"/>
        <v/>
      </c>
      <c r="AB239" t="str">
        <f t="shared" si="204"/>
        <v/>
      </c>
      <c r="AC239" t="str">
        <f t="shared" si="204"/>
        <v/>
      </c>
      <c r="AD239" t="str">
        <f t="shared" si="204"/>
        <v/>
      </c>
      <c r="AE239" t="str">
        <f t="shared" si="204"/>
        <v/>
      </c>
      <c r="AF239" t="str">
        <f t="shared" si="204"/>
        <v/>
      </c>
      <c r="AG239" t="str">
        <f t="shared" si="204"/>
        <v/>
      </c>
      <c r="AH239" t="str">
        <f t="shared" si="204"/>
        <v/>
      </c>
      <c r="AI239" t="str">
        <f t="shared" si="204"/>
        <v/>
      </c>
      <c r="AJ239" t="str">
        <f t="shared" si="204"/>
        <v/>
      </c>
      <c r="AK239" t="str">
        <f t="shared" si="204"/>
        <v/>
      </c>
      <c r="AL239" t="str">
        <f t="shared" si="204"/>
        <v/>
      </c>
      <c r="AM239" t="str">
        <f t="shared" si="204"/>
        <v/>
      </c>
      <c r="AN239" t="str">
        <f t="shared" si="204"/>
        <v/>
      </c>
      <c r="AO239" t="str">
        <f t="shared" si="204"/>
        <v/>
      </c>
      <c r="AP239" t="str">
        <f t="shared" si="204"/>
        <v/>
      </c>
      <c r="AQ239" t="str">
        <f t="shared" si="204"/>
        <v/>
      </c>
      <c r="AR239" t="str">
        <f t="shared" si="204"/>
        <v/>
      </c>
      <c r="AS239" t="str">
        <f t="shared" si="204"/>
        <v/>
      </c>
      <c r="AT239" t="str">
        <f t="shared" si="204"/>
        <v/>
      </c>
      <c r="AU239" t="str">
        <f t="shared" si="204"/>
        <v/>
      </c>
    </row>
    <row r="240" spans="5:47" ht="12.75">
      <c r="E240" t="s">
        <v>248</v>
      </c>
      <c r="G240" t="s">
        <v>154</v>
      </c>
      <c r="H240">
        <f>A$39</f>
        <v>2030</v>
      </c>
      <c r="I240" t="str">
        <f t="shared" si="198"/>
        <v>MINOILRSV9</v>
      </c>
      <c r="J240" t="s">
        <v>270</v>
      </c>
      <c r="K240" t="str">
        <f>IF(K$27=0,"",K239*$C$39)</f>
        <v/>
      </c>
      <c r="L240" t="str">
        <f t="shared" si="205" ref="L240:AU240">IF(L$27=0,"",L239*$C$39)</f>
        <v/>
      </c>
      <c r="M240" t="str">
        <f t="shared" si="205"/>
        <v/>
      </c>
      <c r="N240" t="str">
        <f t="shared" si="205"/>
        <v/>
      </c>
      <c r="O240" t="str">
        <f t="shared" si="205"/>
        <v/>
      </c>
      <c r="P240" t="str">
        <f t="shared" si="205"/>
        <v/>
      </c>
      <c r="Q240" t="str">
        <f t="shared" si="205"/>
        <v/>
      </c>
      <c r="R240" t="str">
        <f t="shared" si="205"/>
        <v/>
      </c>
      <c r="S240" t="str">
        <f t="shared" si="205"/>
        <v/>
      </c>
      <c r="T240" t="str">
        <f t="shared" si="205"/>
        <v/>
      </c>
      <c r="U240" t="str">
        <f t="shared" si="205"/>
        <v/>
      </c>
      <c r="V240" t="str">
        <f t="shared" si="205"/>
        <v/>
      </c>
      <c r="W240" t="str">
        <f t="shared" si="205"/>
        <v/>
      </c>
      <c r="X240" t="str">
        <f t="shared" si="205"/>
        <v/>
      </c>
      <c r="Y240" t="str">
        <f t="shared" si="205"/>
        <v/>
      </c>
      <c r="Z240" t="str">
        <f t="shared" si="205"/>
        <v/>
      </c>
      <c r="AA240" t="str">
        <f t="shared" si="205"/>
        <v/>
      </c>
      <c r="AB240" t="str">
        <f t="shared" si="205"/>
        <v/>
      </c>
      <c r="AC240" t="str">
        <f t="shared" si="205"/>
        <v/>
      </c>
      <c r="AD240" t="str">
        <f t="shared" si="205"/>
        <v/>
      </c>
      <c r="AE240" t="str">
        <f t="shared" si="205"/>
        <v/>
      </c>
      <c r="AF240" t="str">
        <f t="shared" si="205"/>
        <v/>
      </c>
      <c r="AG240" t="str">
        <f t="shared" si="205"/>
        <v/>
      </c>
      <c r="AH240" t="str">
        <f t="shared" si="205"/>
        <v/>
      </c>
      <c r="AI240" t="str">
        <f t="shared" si="205"/>
        <v/>
      </c>
      <c r="AJ240" t="str">
        <f t="shared" si="205"/>
        <v/>
      </c>
      <c r="AK240" t="str">
        <f t="shared" si="205"/>
        <v/>
      </c>
      <c r="AL240" t="str">
        <f t="shared" si="205"/>
        <v/>
      </c>
      <c r="AM240" t="str">
        <f t="shared" si="205"/>
        <v/>
      </c>
      <c r="AN240" t="str">
        <f t="shared" si="205"/>
        <v/>
      </c>
      <c r="AO240" t="str">
        <f t="shared" si="205"/>
        <v/>
      </c>
      <c r="AP240" t="str">
        <f t="shared" si="205"/>
        <v/>
      </c>
      <c r="AQ240" t="str">
        <f t="shared" si="205"/>
        <v/>
      </c>
      <c r="AR240" t="str">
        <f t="shared" si="205"/>
        <v/>
      </c>
      <c r="AS240" t="str">
        <f t="shared" si="205"/>
        <v/>
      </c>
      <c r="AT240" t="str">
        <f t="shared" si="205"/>
        <v/>
      </c>
      <c r="AU240" t="str">
        <f t="shared" si="205"/>
        <v/>
      </c>
    </row>
    <row r="241" spans="5:47" ht="12.75">
      <c r="E241" t="s">
        <v>248</v>
      </c>
      <c r="G241" t="s">
        <v>154</v>
      </c>
      <c r="H241">
        <f>A$40</f>
        <v>2035</v>
      </c>
      <c r="I241" t="str">
        <f t="shared" si="198"/>
        <v>MINOILRSV9</v>
      </c>
      <c r="J241" t="s">
        <v>270</v>
      </c>
      <c r="K241" t="str">
        <f>IF(K$27=0,"",K240*$C$40)</f>
        <v/>
      </c>
      <c r="L241" t="str">
        <f t="shared" si="206" ref="L241:AU241">IF(L$27=0,"",L240*$C$40)</f>
        <v/>
      </c>
      <c r="M241" t="str">
        <f t="shared" si="206"/>
        <v/>
      </c>
      <c r="N241" t="str">
        <f t="shared" si="206"/>
        <v/>
      </c>
      <c r="O241" t="str">
        <f t="shared" si="206"/>
        <v/>
      </c>
      <c r="P241" t="str">
        <f t="shared" si="206"/>
        <v/>
      </c>
      <c r="Q241" t="str">
        <f t="shared" si="206"/>
        <v/>
      </c>
      <c r="R241" t="str">
        <f t="shared" si="206"/>
        <v/>
      </c>
      <c r="S241" t="str">
        <f t="shared" si="206"/>
        <v/>
      </c>
      <c r="T241" t="str">
        <f t="shared" si="206"/>
        <v/>
      </c>
      <c r="U241" t="str">
        <f t="shared" si="206"/>
        <v/>
      </c>
      <c r="V241" t="str">
        <f t="shared" si="206"/>
        <v/>
      </c>
      <c r="W241" t="str">
        <f t="shared" si="206"/>
        <v/>
      </c>
      <c r="X241" t="str">
        <f t="shared" si="206"/>
        <v/>
      </c>
      <c r="Y241" t="str">
        <f t="shared" si="206"/>
        <v/>
      </c>
      <c r="Z241" t="str">
        <f t="shared" si="206"/>
        <v/>
      </c>
      <c r="AA241" t="str">
        <f t="shared" si="206"/>
        <v/>
      </c>
      <c r="AB241" t="str">
        <f t="shared" si="206"/>
        <v/>
      </c>
      <c r="AC241" t="str">
        <f t="shared" si="206"/>
        <v/>
      </c>
      <c r="AD241" t="str">
        <f t="shared" si="206"/>
        <v/>
      </c>
      <c r="AE241" t="str">
        <f t="shared" si="206"/>
        <v/>
      </c>
      <c r="AF241" t="str">
        <f t="shared" si="206"/>
        <v/>
      </c>
      <c r="AG241" t="str">
        <f t="shared" si="206"/>
        <v/>
      </c>
      <c r="AH241" t="str">
        <f t="shared" si="206"/>
        <v/>
      </c>
      <c r="AI241" t="str">
        <f t="shared" si="206"/>
        <v/>
      </c>
      <c r="AJ241" t="str">
        <f t="shared" si="206"/>
        <v/>
      </c>
      <c r="AK241" t="str">
        <f t="shared" si="206"/>
        <v/>
      </c>
      <c r="AL241" t="str">
        <f t="shared" si="206"/>
        <v/>
      </c>
      <c r="AM241" t="str">
        <f t="shared" si="206"/>
        <v/>
      </c>
      <c r="AN241" t="str">
        <f t="shared" si="206"/>
        <v/>
      </c>
      <c r="AO241" t="str">
        <f t="shared" si="206"/>
        <v/>
      </c>
      <c r="AP241" t="str">
        <f t="shared" si="206"/>
        <v/>
      </c>
      <c r="AQ241" t="str">
        <f t="shared" si="206"/>
        <v/>
      </c>
      <c r="AR241" t="str">
        <f t="shared" si="206"/>
        <v/>
      </c>
      <c r="AS241" t="str">
        <f t="shared" si="206"/>
        <v/>
      </c>
      <c r="AT241" t="str">
        <f t="shared" si="206"/>
        <v/>
      </c>
      <c r="AU241" t="str">
        <f t="shared" si="206"/>
        <v/>
      </c>
    </row>
    <row r="242" spans="5:47" ht="12.75">
      <c r="E242" t="s">
        <v>248</v>
      </c>
      <c r="G242" t="s">
        <v>154</v>
      </c>
      <c r="H242">
        <f>A$41</f>
        <v>2040</v>
      </c>
      <c r="I242" t="str">
        <f t="shared" si="198"/>
        <v>MINOILRSV9</v>
      </c>
      <c r="J242" t="s">
        <v>270</v>
      </c>
      <c r="K242" t="str">
        <f>IF(K$27=0,"",K241*$C$41)</f>
        <v/>
      </c>
      <c r="L242" t="str">
        <f t="shared" si="207" ref="L242:AU242">IF(L$27=0,"",L241*$C$41)</f>
        <v/>
      </c>
      <c r="M242" t="str">
        <f t="shared" si="207"/>
        <v/>
      </c>
      <c r="N242" t="str">
        <f t="shared" si="207"/>
        <v/>
      </c>
      <c r="O242" t="str">
        <f t="shared" si="207"/>
        <v/>
      </c>
      <c r="P242" t="str">
        <f t="shared" si="207"/>
        <v/>
      </c>
      <c r="Q242" t="str">
        <f t="shared" si="207"/>
        <v/>
      </c>
      <c r="R242" t="str">
        <f t="shared" si="207"/>
        <v/>
      </c>
      <c r="S242" t="str">
        <f t="shared" si="207"/>
        <v/>
      </c>
      <c r="T242" t="str">
        <f t="shared" si="207"/>
        <v/>
      </c>
      <c r="U242" t="str">
        <f t="shared" si="207"/>
        <v/>
      </c>
      <c r="V242" t="str">
        <f t="shared" si="207"/>
        <v/>
      </c>
      <c r="W242" t="str">
        <f t="shared" si="207"/>
        <v/>
      </c>
      <c r="X242" t="str">
        <f t="shared" si="207"/>
        <v/>
      </c>
      <c r="Y242" t="str">
        <f t="shared" si="207"/>
        <v/>
      </c>
      <c r="Z242" t="str">
        <f t="shared" si="207"/>
        <v/>
      </c>
      <c r="AA242" t="str">
        <f t="shared" si="207"/>
        <v/>
      </c>
      <c r="AB242" t="str">
        <f t="shared" si="207"/>
        <v/>
      </c>
      <c r="AC242" t="str">
        <f t="shared" si="207"/>
        <v/>
      </c>
      <c r="AD242" t="str">
        <f t="shared" si="207"/>
        <v/>
      </c>
      <c r="AE242" t="str">
        <f t="shared" si="207"/>
        <v/>
      </c>
      <c r="AF242" t="str">
        <f t="shared" si="207"/>
        <v/>
      </c>
      <c r="AG242" t="str">
        <f t="shared" si="207"/>
        <v/>
      </c>
      <c r="AH242" t="str">
        <f t="shared" si="207"/>
        <v/>
      </c>
      <c r="AI242" t="str">
        <f t="shared" si="207"/>
        <v/>
      </c>
      <c r="AJ242" t="str">
        <f t="shared" si="207"/>
        <v/>
      </c>
      <c r="AK242" t="str">
        <f t="shared" si="207"/>
        <v/>
      </c>
      <c r="AL242" t="str">
        <f t="shared" si="207"/>
        <v/>
      </c>
      <c r="AM242" t="str">
        <f t="shared" si="207"/>
        <v/>
      </c>
      <c r="AN242" t="str">
        <f t="shared" si="207"/>
        <v/>
      </c>
      <c r="AO242" t="str">
        <f t="shared" si="207"/>
        <v/>
      </c>
      <c r="AP242" t="str">
        <f t="shared" si="207"/>
        <v/>
      </c>
      <c r="AQ242" t="str">
        <f t="shared" si="207"/>
        <v/>
      </c>
      <c r="AR242" t="str">
        <f t="shared" si="207"/>
        <v/>
      </c>
      <c r="AS242" t="str">
        <f t="shared" si="207"/>
        <v/>
      </c>
      <c r="AT242" t="str">
        <f t="shared" si="207"/>
        <v/>
      </c>
      <c r="AU242" t="str">
        <f t="shared" si="207"/>
        <v/>
      </c>
    </row>
    <row r="243" spans="5:47" ht="12.75">
      <c r="E243" t="s">
        <v>248</v>
      </c>
      <c r="G243" t="s">
        <v>154</v>
      </c>
      <c r="H243">
        <f>A$42</f>
        <v>2045</v>
      </c>
      <c r="I243" t="str">
        <f t="shared" si="198"/>
        <v>MINOILRSV9</v>
      </c>
      <c r="J243" t="s">
        <v>270</v>
      </c>
      <c r="K243" t="str">
        <f>IF(K$27=0,"",K242*$C$42)</f>
        <v/>
      </c>
      <c r="L243" t="str">
        <f t="shared" si="208" ref="L243:AU243">IF(L$27=0,"",L242*$C$42)</f>
        <v/>
      </c>
      <c r="M243" t="str">
        <f t="shared" si="208"/>
        <v/>
      </c>
      <c r="N243" t="str">
        <f t="shared" si="208"/>
        <v/>
      </c>
      <c r="O243" t="str">
        <f t="shared" si="208"/>
        <v/>
      </c>
      <c r="P243" t="str">
        <f t="shared" si="208"/>
        <v/>
      </c>
      <c r="Q243" t="str">
        <f t="shared" si="208"/>
        <v/>
      </c>
      <c r="R243" t="str">
        <f t="shared" si="208"/>
        <v/>
      </c>
      <c r="S243" t="str">
        <f t="shared" si="208"/>
        <v/>
      </c>
      <c r="T243" t="str">
        <f t="shared" si="208"/>
        <v/>
      </c>
      <c r="U243" t="str">
        <f t="shared" si="208"/>
        <v/>
      </c>
      <c r="V243" t="str">
        <f t="shared" si="208"/>
        <v/>
      </c>
      <c r="W243" t="str">
        <f t="shared" si="208"/>
        <v/>
      </c>
      <c r="X243" t="str">
        <f t="shared" si="208"/>
        <v/>
      </c>
      <c r="Y243" t="str">
        <f t="shared" si="208"/>
        <v/>
      </c>
      <c r="Z243" t="str">
        <f t="shared" si="208"/>
        <v/>
      </c>
      <c r="AA243" t="str">
        <f t="shared" si="208"/>
        <v/>
      </c>
      <c r="AB243" t="str">
        <f t="shared" si="208"/>
        <v/>
      </c>
      <c r="AC243" t="str">
        <f t="shared" si="208"/>
        <v/>
      </c>
      <c r="AD243" t="str">
        <f t="shared" si="208"/>
        <v/>
      </c>
      <c r="AE243" t="str">
        <f t="shared" si="208"/>
        <v/>
      </c>
      <c r="AF243" t="str">
        <f t="shared" si="208"/>
        <v/>
      </c>
      <c r="AG243" t="str">
        <f t="shared" si="208"/>
        <v/>
      </c>
      <c r="AH243" t="str">
        <f t="shared" si="208"/>
        <v/>
      </c>
      <c r="AI243" t="str">
        <f t="shared" si="208"/>
        <v/>
      </c>
      <c r="AJ243" t="str">
        <f t="shared" si="208"/>
        <v/>
      </c>
      <c r="AK243" t="str">
        <f t="shared" si="208"/>
        <v/>
      </c>
      <c r="AL243" t="str">
        <f t="shared" si="208"/>
        <v/>
      </c>
      <c r="AM243" t="str">
        <f t="shared" si="208"/>
        <v/>
      </c>
      <c r="AN243" t="str">
        <f t="shared" si="208"/>
        <v/>
      </c>
      <c r="AO243" t="str">
        <f t="shared" si="208"/>
        <v/>
      </c>
      <c r="AP243" t="str">
        <f t="shared" si="208"/>
        <v/>
      </c>
      <c r="AQ243" t="str">
        <f t="shared" si="208"/>
        <v/>
      </c>
      <c r="AR243" t="str">
        <f t="shared" si="208"/>
        <v/>
      </c>
      <c r="AS243" t="str">
        <f t="shared" si="208"/>
        <v/>
      </c>
      <c r="AT243" t="str">
        <f t="shared" si="208"/>
        <v/>
      </c>
      <c r="AU243" t="str">
        <f t="shared" si="208"/>
        <v/>
      </c>
    </row>
    <row r="244" spans="5:47" ht="12.75">
      <c r="E244" t="s">
        <v>248</v>
      </c>
      <c r="G244" t="s">
        <v>154</v>
      </c>
      <c r="H244">
        <f>A$43</f>
        <v>2050</v>
      </c>
      <c r="I244" t="str">
        <f t="shared" si="198"/>
        <v>MINOILRSV9</v>
      </c>
      <c r="J244" t="s">
        <v>270</v>
      </c>
      <c r="K244" t="str">
        <f>IF(K$27=0,"",K243*$C$43)</f>
        <v/>
      </c>
      <c r="L244" t="str">
        <f t="shared" si="209" ref="L244:AU244">IF(L$27=0,"",L243*$C$43)</f>
        <v/>
      </c>
      <c r="M244" t="str">
        <f t="shared" si="209"/>
        <v/>
      </c>
      <c r="N244" t="str">
        <f t="shared" si="209"/>
        <v/>
      </c>
      <c r="O244" t="str">
        <f t="shared" si="209"/>
        <v/>
      </c>
      <c r="P244" t="str">
        <f t="shared" si="209"/>
        <v/>
      </c>
      <c r="Q244" t="str">
        <f t="shared" si="209"/>
        <v/>
      </c>
      <c r="R244" t="str">
        <f t="shared" si="209"/>
        <v/>
      </c>
      <c r="S244" t="str">
        <f t="shared" si="209"/>
        <v/>
      </c>
      <c r="T244" t="str">
        <f t="shared" si="209"/>
        <v/>
      </c>
      <c r="U244" t="str">
        <f t="shared" si="209"/>
        <v/>
      </c>
      <c r="V244" t="str">
        <f t="shared" si="209"/>
        <v/>
      </c>
      <c r="W244" t="str">
        <f t="shared" si="209"/>
        <v/>
      </c>
      <c r="X244" t="str">
        <f t="shared" si="209"/>
        <v/>
      </c>
      <c r="Y244" t="str">
        <f t="shared" si="209"/>
        <v/>
      </c>
      <c r="Z244" t="str">
        <f t="shared" si="209"/>
        <v/>
      </c>
      <c r="AA244" t="str">
        <f t="shared" si="209"/>
        <v/>
      </c>
      <c r="AB244" t="str">
        <f t="shared" si="209"/>
        <v/>
      </c>
      <c r="AC244" t="str">
        <f t="shared" si="209"/>
        <v/>
      </c>
      <c r="AD244" t="str">
        <f t="shared" si="209"/>
        <v/>
      </c>
      <c r="AE244" t="str">
        <f t="shared" si="209"/>
        <v/>
      </c>
      <c r="AF244" t="str">
        <f t="shared" si="209"/>
        <v/>
      </c>
      <c r="AG244" t="str">
        <f t="shared" si="209"/>
        <v/>
      </c>
      <c r="AH244" t="str">
        <f t="shared" si="209"/>
        <v/>
      </c>
      <c r="AI244" t="str">
        <f t="shared" si="209"/>
        <v/>
      </c>
      <c r="AJ244" t="str">
        <f t="shared" si="209"/>
        <v/>
      </c>
      <c r="AK244" t="str">
        <f t="shared" si="209"/>
        <v/>
      </c>
      <c r="AL244" t="str">
        <f t="shared" si="209"/>
        <v/>
      </c>
      <c r="AM244" t="str">
        <f t="shared" si="209"/>
        <v/>
      </c>
      <c r="AN244" t="str">
        <f t="shared" si="209"/>
        <v/>
      </c>
      <c r="AO244" t="str">
        <f t="shared" si="209"/>
        <v/>
      </c>
      <c r="AP244" t="str">
        <f t="shared" si="209"/>
        <v/>
      </c>
      <c r="AQ244" t="str">
        <f t="shared" si="209"/>
        <v/>
      </c>
      <c r="AR244" t="str">
        <f t="shared" si="209"/>
        <v/>
      </c>
      <c r="AS244" t="str">
        <f t="shared" si="209"/>
        <v/>
      </c>
      <c r="AT244" t="str">
        <f t="shared" si="209"/>
        <v/>
      </c>
      <c r="AU244" t="str">
        <f t="shared" si="209"/>
        <v/>
      </c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AQ94"/>
  <sheetViews>
    <sheetView zoomScale="75" zoomScaleNormal="75" workbookViewId="0" topLeftCell="A1">
      <selection pane="topLeft" activeCell="A96" sqref="A96:IV140"/>
    </sheetView>
  </sheetViews>
  <sheetFormatPr defaultRowHeight="12.75"/>
  <cols>
    <col min="1" max="1" width="19.2857142857143" customWidth="1"/>
    <col min="4" max="4" width="10.2857142857143" customWidth="1"/>
    <col min="5" max="5" width="13.7142857142857" bestFit="1" customWidth="1"/>
    <col min="10" max="10" width="11.8571428571429" customWidth="1"/>
    <col min="36" max="36" width="13.7142857142857" bestFit="1" customWidth="1"/>
  </cols>
  <sheetData>
    <row r="1" spans="1:35" ht="12.75">
      <c r="A1" s="1" t="str">
        <f>'INPUTtoVEDA_importprice TR'!A1</f>
        <v>Adjustment factors derived from the computation of the delivery cost</v>
      </c>
      <c r="B1" s="1"/>
      <c r="C1" s="1"/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2.75">
      <c r="A2" s="1"/>
      <c r="B2" s="1"/>
      <c r="C2" s="1"/>
      <c r="D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43" ht="12.75">
      <c r="A3" s="1"/>
      <c r="B3" s="1"/>
      <c r="C3" s="1"/>
      <c r="D3" s="1"/>
      <c r="G3" s="1" t="str">
        <f>'INPUTtoVEDA_importprice TR'!H3</f>
        <v>AT</v>
      </c>
      <c r="H3" s="1" t="str">
        <f>'INPUTtoVEDA_importprice TR'!I3</f>
        <v>BE</v>
      </c>
      <c r="I3" s="1" t="s">
        <v>256</v>
      </c>
      <c r="J3" s="1" t="str">
        <f>'INPUTtoVEDA_importprice TR'!K3</f>
        <v>DE</v>
      </c>
      <c r="K3" s="1" t="str">
        <f>'INPUTtoVEDA_importprice TR'!L3</f>
        <v xml:space="preserve">DK </v>
      </c>
      <c r="L3" s="1" t="str">
        <f>'INPUTtoVEDA_importprice TR'!M3</f>
        <v>FI</v>
      </c>
      <c r="M3" s="1" t="str">
        <f>'INPUTtoVEDA_importprice TR'!N3</f>
        <v>FR</v>
      </c>
      <c r="N3" s="1" t="str">
        <f>'INPUTtoVEDA_importprice TR'!O3</f>
        <v>EL</v>
      </c>
      <c r="O3" s="1" t="str">
        <f>'INPUTtoVEDA_importprice TR'!P3</f>
        <v>IE</v>
      </c>
      <c r="P3" s="1" t="str">
        <f>'INPUTtoVEDA_importprice TR'!Q3</f>
        <v>IT</v>
      </c>
      <c r="Q3" s="1" t="str">
        <f>'INPUTtoVEDA_importprice TR'!R3</f>
        <v>NL</v>
      </c>
      <c r="R3" s="1" t="str">
        <f>'INPUTtoVEDA_importprice TR'!S3</f>
        <v>PT</v>
      </c>
      <c r="S3" s="1" t="str">
        <f>'INPUTtoVEDA_importprice TR'!T3</f>
        <v>ES</v>
      </c>
      <c r="T3" s="1" t="str">
        <f>'INPUTtoVEDA_importprice TR'!U3</f>
        <v xml:space="preserve">SE </v>
      </c>
      <c r="U3" s="1" t="str">
        <f>'INPUTtoVEDA_importprice TR'!V3</f>
        <v xml:space="preserve">UK </v>
      </c>
      <c r="V3" s="1" t="str">
        <f>'INPUTtoVEDA_importprice TR'!W3</f>
        <v xml:space="preserve">HU </v>
      </c>
      <c r="W3" s="1" t="str">
        <f>'INPUTtoVEDA_importprice TR'!X3</f>
        <v xml:space="preserve">PL </v>
      </c>
      <c r="X3" s="1" t="str">
        <f>'INPUTtoVEDA_importprice TR'!Y3</f>
        <v xml:space="preserve">CZ </v>
      </c>
      <c r="Y3" s="1" t="str">
        <f>'INPUTtoVEDA_importprice TR'!Z3</f>
        <v xml:space="preserve">SK </v>
      </c>
      <c r="Z3" s="1" t="str">
        <f>'INPUTtoVEDA_importprice TR'!AA3</f>
        <v>CH</v>
      </c>
      <c r="AA3" s="1" t="str">
        <f>'INPUTtoVEDA_importprice TR'!AB3</f>
        <v>CY</v>
      </c>
      <c r="AB3" s="1" t="str">
        <f>'INPUTtoVEDA_importprice TR'!AC3</f>
        <v>EE</v>
      </c>
      <c r="AC3" s="1" t="str">
        <f>'INPUTtoVEDA_importprice TR'!AD3</f>
        <v>IS</v>
      </c>
      <c r="AD3" s="1" t="str">
        <f>'INPUTtoVEDA_importprice TR'!AE3</f>
        <v>LT</v>
      </c>
      <c r="AE3" s="1" t="str">
        <f>'INPUTtoVEDA_importprice TR'!AF3</f>
        <v>LU</v>
      </c>
      <c r="AF3" s="1" t="str">
        <f>'INPUTtoVEDA_importprice TR'!AG3</f>
        <v>LV</v>
      </c>
      <c r="AG3" s="1" t="str">
        <f>'INPUTtoVEDA_importprice TR'!AH3</f>
        <v>MT</v>
      </c>
      <c r="AH3" s="1" t="str">
        <f>'INPUTtoVEDA_importprice TR'!AI3</f>
        <v>RO</v>
      </c>
      <c r="AI3" s="1" t="str">
        <f>'INPUTtoVEDA_importprice TR'!AJ3</f>
        <v>SI</v>
      </c>
      <c r="AJ3" s="1" t="str">
        <f>'INPUTtoVEDA_importprice TR'!AK3</f>
        <v>NO</v>
      </c>
      <c r="AK3" t="s">
        <v>306</v>
      </c>
      <c r="AL3" s="28" t="s">
        <v>346</v>
      </c>
      <c r="AM3" t="s">
        <v>308</v>
      </c>
      <c r="AN3" t="s">
        <v>309</v>
      </c>
      <c r="AO3" t="s">
        <v>310</v>
      </c>
      <c r="AP3" t="s">
        <v>311</v>
      </c>
      <c r="AQ3" t="s">
        <v>347</v>
      </c>
    </row>
    <row r="4" spans="1:43" ht="12.75">
      <c r="A4" s="1"/>
      <c r="B4" s="1"/>
      <c r="C4" s="1" t="str">
        <f>'INPUTtoVEDA_importprice TR'!D4</f>
        <v>Coal</v>
      </c>
      <c r="D4" s="1"/>
      <c r="G4" s="1">
        <f>'INPUTtoVEDA_importprice TR'!H4</f>
        <v>1</v>
      </c>
      <c r="H4" s="1">
        <f>'INPUTtoVEDA_importprice TR'!I4</f>
        <v>0.93500000000000005</v>
      </c>
      <c r="I4" s="1">
        <v>1</v>
      </c>
      <c r="J4" s="1">
        <f>'INPUTtoVEDA_importprice TR'!K4</f>
        <v>1</v>
      </c>
      <c r="K4" s="1">
        <f>'INPUTtoVEDA_importprice TR'!L4</f>
        <v>1</v>
      </c>
      <c r="L4" s="1">
        <f>'INPUTtoVEDA_importprice TR'!M4</f>
        <v>1</v>
      </c>
      <c r="M4" s="1">
        <f>'INPUTtoVEDA_importprice TR'!N4</f>
        <v>1</v>
      </c>
      <c r="N4" s="1">
        <f>'INPUTtoVEDA_importprice TR'!O4</f>
        <v>1</v>
      </c>
      <c r="O4" s="1">
        <f>'INPUTtoVEDA_importprice TR'!P4</f>
        <v>0.84999999999999998</v>
      </c>
      <c r="P4" s="1">
        <f>'INPUTtoVEDA_importprice TR'!Q4</f>
        <v>0.94999999999999996</v>
      </c>
      <c r="Q4" s="1">
        <f>'INPUTtoVEDA_importprice TR'!R4</f>
        <v>1</v>
      </c>
      <c r="R4" s="1">
        <f>'INPUTtoVEDA_importprice TR'!S4</f>
        <v>0.84999999999999998</v>
      </c>
      <c r="S4" s="1">
        <f>'INPUTtoVEDA_importprice TR'!T4</f>
        <v>1</v>
      </c>
      <c r="T4" s="1">
        <f>'INPUTtoVEDA_importprice TR'!U4</f>
        <v>1</v>
      </c>
      <c r="U4" s="1">
        <f>'INPUTtoVEDA_importprice TR'!V4</f>
        <v>1</v>
      </c>
      <c r="V4" s="1">
        <f>'INPUTtoVEDA_importprice TR'!W4</f>
        <v>1</v>
      </c>
      <c r="W4" s="1">
        <f>'INPUTtoVEDA_importprice TR'!X4</f>
        <v>1</v>
      </c>
      <c r="X4" s="1">
        <f>'INPUTtoVEDA_importprice TR'!Y4</f>
        <v>1</v>
      </c>
      <c r="Y4" s="1">
        <f>'INPUTtoVEDA_importprice TR'!Z4</f>
        <v>1</v>
      </c>
      <c r="Z4" s="1">
        <f>'INPUTtoVEDA_importprice TR'!AA4</f>
        <v>1</v>
      </c>
      <c r="AA4" s="1">
        <f>'INPUTtoVEDA_importprice TR'!AB4</f>
        <v>1</v>
      </c>
      <c r="AB4" s="1">
        <f>'INPUTtoVEDA_importprice TR'!AC4</f>
        <v>1</v>
      </c>
      <c r="AC4" s="1">
        <f>'INPUTtoVEDA_importprice TR'!AD4</f>
        <v>1</v>
      </c>
      <c r="AD4" s="1">
        <f>'INPUTtoVEDA_importprice TR'!AE4</f>
        <v>1</v>
      </c>
      <c r="AE4" s="1">
        <f>'INPUTtoVEDA_importprice TR'!AF4</f>
        <v>1</v>
      </c>
      <c r="AF4" s="1">
        <f>'INPUTtoVEDA_importprice TR'!AG4</f>
        <v>1</v>
      </c>
      <c r="AG4" s="1">
        <f>'INPUTtoVEDA_importprice TR'!AH4</f>
        <v>1</v>
      </c>
      <c r="AH4" s="1">
        <f>'INPUTtoVEDA_importprice TR'!AI4</f>
        <v>1</v>
      </c>
      <c r="AI4" s="1">
        <f>'INPUTtoVEDA_importprice TR'!AJ4</f>
        <v>1</v>
      </c>
      <c r="AJ4" s="1">
        <f>'INPUTtoVEDA_importprice TR'!AK4</f>
        <v>1</v>
      </c>
      <c r="AK4" s="1">
        <f>'INPUTtoVEDA_importprice TR'!AL4</f>
        <v>1</v>
      </c>
      <c r="AL4" s="1">
        <f>'INPUTtoVEDA_importprice TR'!AM4</f>
        <v>1</v>
      </c>
      <c r="AM4" s="1">
        <f>'INPUTtoVEDA_importprice TR'!AN4</f>
        <v>1</v>
      </c>
      <c r="AN4" s="1">
        <f>'INPUTtoVEDA_importprice TR'!AO4</f>
        <v>1</v>
      </c>
      <c r="AO4" s="1">
        <f>'INPUTtoVEDA_importprice TR'!AP4</f>
        <v>1</v>
      </c>
      <c r="AP4" s="1">
        <f>'INPUTtoVEDA_importprice TR'!AQ4</f>
        <v>1</v>
      </c>
      <c r="AQ4">
        <v>1</v>
      </c>
    </row>
    <row r="5" spans="1:43" ht="12.75">
      <c r="A5" s="1"/>
      <c r="B5" s="1"/>
      <c r="C5" s="1" t="str">
        <f>'INPUTtoVEDA_importprice TR'!D5</f>
        <v>Heavy Distillate Oil</v>
      </c>
      <c r="D5" s="1"/>
      <c r="G5" s="1">
        <f>'INPUTtoVEDA_importprice TR'!H5</f>
        <v>0.90000000000000002</v>
      </c>
      <c r="H5" s="1">
        <f>'INPUTtoVEDA_importprice TR'!I5</f>
        <v>1</v>
      </c>
      <c r="I5" s="1">
        <v>1</v>
      </c>
      <c r="J5" s="1">
        <f>'INPUTtoVEDA_importprice TR'!K5</f>
        <v>1</v>
      </c>
      <c r="K5" s="1">
        <f>'INPUTtoVEDA_importprice TR'!L5</f>
        <v>1</v>
      </c>
      <c r="L5" s="1">
        <f>'INPUTtoVEDA_importprice TR'!M5</f>
        <v>1</v>
      </c>
      <c r="M5" s="1">
        <f>'INPUTtoVEDA_importprice TR'!N5</f>
        <v>1</v>
      </c>
      <c r="N5" s="1">
        <f>'INPUTtoVEDA_importprice TR'!O5</f>
        <v>1</v>
      </c>
      <c r="O5" s="1">
        <f>'INPUTtoVEDA_importprice TR'!P5</f>
        <v>0.84999999999999998</v>
      </c>
      <c r="P5" s="1">
        <f>'INPUTtoVEDA_importprice TR'!Q5</f>
        <v>1</v>
      </c>
      <c r="Q5" s="1">
        <f>'INPUTtoVEDA_importprice TR'!R5</f>
        <v>1</v>
      </c>
      <c r="R5" s="1">
        <f>'INPUTtoVEDA_importprice TR'!S5</f>
        <v>1</v>
      </c>
      <c r="S5" s="1">
        <f>'INPUTtoVEDA_importprice TR'!T5</f>
        <v>1</v>
      </c>
      <c r="T5" s="1">
        <f>'INPUTtoVEDA_importprice TR'!U5</f>
        <v>0.90000000000000002</v>
      </c>
      <c r="U5" s="1">
        <f>'INPUTtoVEDA_importprice TR'!V5</f>
        <v>0.90000000000000002</v>
      </c>
      <c r="V5" s="1">
        <f>'INPUTtoVEDA_importprice TR'!W5</f>
        <v>1</v>
      </c>
      <c r="W5" s="1">
        <f>'INPUTtoVEDA_importprice TR'!X5</f>
        <v>1</v>
      </c>
      <c r="X5" s="1">
        <f>'INPUTtoVEDA_importprice TR'!Y5</f>
        <v>1</v>
      </c>
      <c r="Y5" s="1">
        <f>'INPUTtoVEDA_importprice TR'!Z5</f>
        <v>1</v>
      </c>
      <c r="Z5" s="1">
        <f>'INPUTtoVEDA_importprice TR'!AA5</f>
        <v>1</v>
      </c>
      <c r="AA5" s="1">
        <f>'INPUTtoVEDA_importprice TR'!AB5</f>
        <v>1</v>
      </c>
      <c r="AB5" s="1">
        <f>'INPUTtoVEDA_importprice TR'!AC5</f>
        <v>1</v>
      </c>
      <c r="AC5" s="1">
        <f>'INPUTtoVEDA_importprice TR'!AD5</f>
        <v>1</v>
      </c>
      <c r="AD5" s="1">
        <f>'INPUTtoVEDA_importprice TR'!AE5</f>
        <v>1</v>
      </c>
      <c r="AE5" s="1">
        <f>'INPUTtoVEDA_importprice TR'!AF5</f>
        <v>1</v>
      </c>
      <c r="AF5" s="1">
        <f>'INPUTtoVEDA_importprice TR'!AG5</f>
        <v>1</v>
      </c>
      <c r="AG5" s="1">
        <f>'INPUTtoVEDA_importprice TR'!AH5</f>
        <v>1</v>
      </c>
      <c r="AH5" s="1">
        <f>'INPUTtoVEDA_importprice TR'!AI5</f>
        <v>1</v>
      </c>
      <c r="AI5" s="1">
        <f>'INPUTtoVEDA_importprice TR'!AJ5</f>
        <v>1</v>
      </c>
      <c r="AJ5" s="1">
        <f>'INPUTtoVEDA_importprice TR'!AK5</f>
        <v>1</v>
      </c>
      <c r="AK5" s="1">
        <f>'INPUTtoVEDA_importprice TR'!AL5</f>
        <v>1</v>
      </c>
      <c r="AL5" s="1">
        <f>'INPUTtoVEDA_importprice TR'!AM5</f>
        <v>1</v>
      </c>
      <c r="AM5" s="1">
        <f>'INPUTtoVEDA_importprice TR'!AN5</f>
        <v>1</v>
      </c>
      <c r="AN5" s="1">
        <f>'INPUTtoVEDA_importprice TR'!AO5</f>
        <v>1</v>
      </c>
      <c r="AO5" s="1">
        <f>'INPUTtoVEDA_importprice TR'!AP5</f>
        <v>1</v>
      </c>
      <c r="AP5" s="1">
        <f>'INPUTtoVEDA_importprice TR'!AQ5</f>
        <v>1</v>
      </c>
      <c r="AQ5">
        <v>1</v>
      </c>
    </row>
    <row r="6" spans="1:43" ht="12.75">
      <c r="A6" s="1"/>
      <c r="B6" s="1"/>
      <c r="C6" s="1" t="str">
        <f>'INPUTtoVEDA_importprice TR'!D6</f>
        <v>Light Distilate Oil</v>
      </c>
      <c r="D6" s="1"/>
      <c r="G6" s="1">
        <f>'INPUTtoVEDA_importprice TR'!H6</f>
        <v>1</v>
      </c>
      <c r="H6" s="1">
        <f>'INPUTtoVEDA_importprice TR'!I6</f>
        <v>1</v>
      </c>
      <c r="I6" s="1">
        <v>1</v>
      </c>
      <c r="J6" s="1">
        <f>'INPUTtoVEDA_importprice TR'!K6</f>
        <v>1</v>
      </c>
      <c r="K6" s="1">
        <f>'INPUTtoVEDA_importprice TR'!L6</f>
        <v>1</v>
      </c>
      <c r="L6" s="1">
        <f>'INPUTtoVEDA_importprice TR'!M6</f>
        <v>1</v>
      </c>
      <c r="M6" s="1">
        <f>'INPUTtoVEDA_importprice TR'!N6</f>
        <v>1</v>
      </c>
      <c r="N6" s="1">
        <f>'INPUTtoVEDA_importprice TR'!O6</f>
        <v>1</v>
      </c>
      <c r="O6" s="1">
        <f>'INPUTtoVEDA_importprice TR'!P6</f>
        <v>1</v>
      </c>
      <c r="P6" s="1">
        <f>'INPUTtoVEDA_importprice TR'!Q6</f>
        <v>1</v>
      </c>
      <c r="Q6" s="1">
        <f>'INPUTtoVEDA_importprice TR'!R6</f>
        <v>1</v>
      </c>
      <c r="R6" s="1">
        <f>'INPUTtoVEDA_importprice TR'!S6</f>
        <v>1</v>
      </c>
      <c r="S6" s="1">
        <f>'INPUTtoVEDA_importprice TR'!T6</f>
        <v>1</v>
      </c>
      <c r="T6" s="1">
        <f>'INPUTtoVEDA_importprice TR'!U6</f>
        <v>1</v>
      </c>
      <c r="U6" s="1">
        <f>'INPUTtoVEDA_importprice TR'!V6</f>
        <v>0.94999999999999996</v>
      </c>
      <c r="V6" s="1">
        <f>'INPUTtoVEDA_importprice TR'!W6</f>
        <v>1</v>
      </c>
      <c r="W6" s="1">
        <f>'INPUTtoVEDA_importprice TR'!X6</f>
        <v>1</v>
      </c>
      <c r="X6" s="1">
        <f>'INPUTtoVEDA_importprice TR'!Y6</f>
        <v>1</v>
      </c>
      <c r="Y6" s="1">
        <f>'INPUTtoVEDA_importprice TR'!Z6</f>
        <v>1</v>
      </c>
      <c r="Z6" s="1">
        <f>'INPUTtoVEDA_importprice TR'!AA6</f>
        <v>1</v>
      </c>
      <c r="AA6" s="1">
        <f>'INPUTtoVEDA_importprice TR'!AB6</f>
        <v>1</v>
      </c>
      <c r="AB6" s="1">
        <f>'INPUTtoVEDA_importprice TR'!AC6</f>
        <v>1</v>
      </c>
      <c r="AC6" s="1">
        <f>'INPUTtoVEDA_importprice TR'!AD6</f>
        <v>1</v>
      </c>
      <c r="AD6" s="1">
        <f>'INPUTtoVEDA_importprice TR'!AE6</f>
        <v>1</v>
      </c>
      <c r="AE6" s="1">
        <f>'INPUTtoVEDA_importprice TR'!AF6</f>
        <v>1</v>
      </c>
      <c r="AF6" s="1">
        <f>'INPUTtoVEDA_importprice TR'!AG6</f>
        <v>1</v>
      </c>
      <c r="AG6" s="1">
        <f>'INPUTtoVEDA_importprice TR'!AH6</f>
        <v>1</v>
      </c>
      <c r="AH6" s="1">
        <f>'INPUTtoVEDA_importprice TR'!AI6</f>
        <v>1</v>
      </c>
      <c r="AI6" s="1">
        <f>'INPUTtoVEDA_importprice TR'!AJ6</f>
        <v>1</v>
      </c>
      <c r="AJ6" s="1">
        <f>'INPUTtoVEDA_importprice TR'!AK6</f>
        <v>1</v>
      </c>
      <c r="AK6" s="1">
        <f>'INPUTtoVEDA_importprice TR'!AL6</f>
        <v>1</v>
      </c>
      <c r="AL6" s="1">
        <f>'INPUTtoVEDA_importprice TR'!AM6</f>
        <v>1</v>
      </c>
      <c r="AM6" s="1">
        <f>'INPUTtoVEDA_importprice TR'!AN6</f>
        <v>1</v>
      </c>
      <c r="AN6" s="1">
        <f>'INPUTtoVEDA_importprice TR'!AO6</f>
        <v>1</v>
      </c>
      <c r="AO6" s="1">
        <f>'INPUTtoVEDA_importprice TR'!AP6</f>
        <v>1</v>
      </c>
      <c r="AP6" s="1">
        <f>'INPUTtoVEDA_importprice TR'!AQ6</f>
        <v>1</v>
      </c>
      <c r="AQ6">
        <v>1</v>
      </c>
    </row>
    <row r="7" spans="1:43" ht="12.75">
      <c r="A7" s="1"/>
      <c r="B7" s="1"/>
      <c r="C7" s="1" t="str">
        <f>'INPUTtoVEDA_importprice TR'!D7</f>
        <v>Gasoline</v>
      </c>
      <c r="D7" s="1"/>
      <c r="G7" s="1">
        <f>'INPUTtoVEDA_importprice TR'!H7</f>
        <v>1</v>
      </c>
      <c r="H7" s="1">
        <f>'INPUTtoVEDA_importprice TR'!I7</f>
        <v>1</v>
      </c>
      <c r="I7" s="1">
        <v>1</v>
      </c>
      <c r="J7" s="1">
        <f>'INPUTtoVEDA_importprice TR'!K7</f>
        <v>1</v>
      </c>
      <c r="K7" s="1">
        <f>'INPUTtoVEDA_importprice TR'!L7</f>
        <v>1</v>
      </c>
      <c r="L7" s="1">
        <f>'INPUTtoVEDA_importprice TR'!M7</f>
        <v>1</v>
      </c>
      <c r="M7" s="1">
        <f>'INPUTtoVEDA_importprice TR'!N7</f>
        <v>1</v>
      </c>
      <c r="N7" s="1">
        <f>'INPUTtoVEDA_importprice TR'!O7</f>
        <v>1</v>
      </c>
      <c r="O7" s="1">
        <f>'INPUTtoVEDA_importprice TR'!P7</f>
        <v>1</v>
      </c>
      <c r="P7" s="1">
        <f>'INPUTtoVEDA_importprice TR'!Q7</f>
        <v>1</v>
      </c>
      <c r="Q7" s="1">
        <f>'INPUTtoVEDA_importprice TR'!R7</f>
        <v>1</v>
      </c>
      <c r="R7" s="1">
        <f>'INPUTtoVEDA_importprice TR'!S7</f>
        <v>1</v>
      </c>
      <c r="S7" s="1">
        <f>'INPUTtoVEDA_importprice TR'!T7</f>
        <v>1</v>
      </c>
      <c r="T7" s="1">
        <f>'INPUTtoVEDA_importprice TR'!U7</f>
        <v>1</v>
      </c>
      <c r="U7" s="1">
        <f>'INPUTtoVEDA_importprice TR'!V7</f>
        <v>0.94999999999999996</v>
      </c>
      <c r="V7" s="1">
        <f>'INPUTtoVEDA_importprice TR'!W7</f>
        <v>1</v>
      </c>
      <c r="W7" s="1">
        <f>'INPUTtoVEDA_importprice TR'!X7</f>
        <v>1</v>
      </c>
      <c r="X7" s="1">
        <f>'INPUTtoVEDA_importprice TR'!Y7</f>
        <v>1</v>
      </c>
      <c r="Y7" s="1">
        <f>'INPUTtoVEDA_importprice TR'!Z7</f>
        <v>1</v>
      </c>
      <c r="Z7" s="1">
        <f>'INPUTtoVEDA_importprice TR'!AA7</f>
        <v>1</v>
      </c>
      <c r="AA7" s="1">
        <f>'INPUTtoVEDA_importprice TR'!AB7</f>
        <v>1</v>
      </c>
      <c r="AB7" s="1">
        <f>'INPUTtoVEDA_importprice TR'!AC7</f>
        <v>1</v>
      </c>
      <c r="AC7" s="1">
        <f>'INPUTtoVEDA_importprice TR'!AD7</f>
        <v>1</v>
      </c>
      <c r="AD7" s="1">
        <f>'INPUTtoVEDA_importprice TR'!AE7</f>
        <v>1</v>
      </c>
      <c r="AE7" s="1">
        <f>'INPUTtoVEDA_importprice TR'!AF7</f>
        <v>1</v>
      </c>
      <c r="AF7" s="1">
        <f>'INPUTtoVEDA_importprice TR'!AG7</f>
        <v>1</v>
      </c>
      <c r="AG7" s="1">
        <f>'INPUTtoVEDA_importprice TR'!AH7</f>
        <v>1</v>
      </c>
      <c r="AH7" s="1">
        <f>'INPUTtoVEDA_importprice TR'!AI7</f>
        <v>1</v>
      </c>
      <c r="AI7" s="1">
        <f>'INPUTtoVEDA_importprice TR'!AJ7</f>
        <v>1</v>
      </c>
      <c r="AJ7" s="1">
        <f>'INPUTtoVEDA_importprice TR'!AK7</f>
        <v>1</v>
      </c>
      <c r="AK7" s="1">
        <f>'INPUTtoVEDA_importprice TR'!AL7</f>
        <v>1</v>
      </c>
      <c r="AL7" s="1">
        <f>'INPUTtoVEDA_importprice TR'!AM7</f>
        <v>1</v>
      </c>
      <c r="AM7" s="1">
        <f>'INPUTtoVEDA_importprice TR'!AN7</f>
        <v>1</v>
      </c>
      <c r="AN7" s="1">
        <f>'INPUTtoVEDA_importprice TR'!AO7</f>
        <v>1</v>
      </c>
      <c r="AO7" s="1">
        <f>'INPUTtoVEDA_importprice TR'!AP7</f>
        <v>1</v>
      </c>
      <c r="AP7" s="1">
        <f>'INPUTtoVEDA_importprice TR'!AQ7</f>
        <v>1</v>
      </c>
      <c r="AQ7">
        <v>1</v>
      </c>
    </row>
    <row r="8" spans="1:43" ht="12.75">
      <c r="A8" s="1"/>
      <c r="B8" s="1"/>
      <c r="C8" s="1" t="s">
        <v>161</v>
      </c>
      <c r="D8" s="1"/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</row>
    <row r="9" spans="1:43" ht="12.75">
      <c r="A9" s="1"/>
      <c r="B9" s="1"/>
      <c r="C9" s="1" t="s">
        <v>162</v>
      </c>
      <c r="D9" s="1"/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1.50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</row>
    <row r="10" spans="1:43" ht="12.75">
      <c r="A10" s="1"/>
      <c r="B10" s="1"/>
      <c r="C10" s="1" t="s">
        <v>160</v>
      </c>
      <c r="D10" s="1"/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</row>
    <row r="11" spans="1:43" ht="12.75">
      <c r="A11" s="1"/>
      <c r="B11" s="1"/>
      <c r="C11" s="1" t="s">
        <v>111</v>
      </c>
      <c r="D11" s="1"/>
      <c r="G11" s="1">
        <f>'INPUTtoVEDA_importprice TR'!H8</f>
        <v>1</v>
      </c>
      <c r="H11" s="1">
        <f>'INPUTtoVEDA_importprice TR'!I8</f>
        <v>1</v>
      </c>
      <c r="I11" s="1">
        <f>'INPUTtoVEDA_importprice TR'!J8</f>
        <v>0</v>
      </c>
      <c r="J11" s="1">
        <f>'INPUTtoVEDA_importprice TR'!K8</f>
        <v>1</v>
      </c>
      <c r="K11" s="1">
        <f>'INPUTtoVEDA_importprice TR'!L8</f>
        <v>1</v>
      </c>
      <c r="L11" s="1">
        <f>'INPUTtoVEDA_importprice TR'!M8</f>
        <v>1</v>
      </c>
      <c r="M11" s="1">
        <f>'INPUTtoVEDA_importprice TR'!N8</f>
        <v>1</v>
      </c>
      <c r="N11" s="1">
        <f>'INPUTtoVEDA_importprice TR'!O8</f>
        <v>1</v>
      </c>
      <c r="O11" s="1">
        <f>'INPUTtoVEDA_importprice TR'!P8</f>
        <v>0.84999999999999998</v>
      </c>
      <c r="P11" s="1">
        <f>'INPUTtoVEDA_importprice TR'!Q8</f>
        <v>0.90000000000000002</v>
      </c>
      <c r="Q11" s="1">
        <f>'INPUTtoVEDA_importprice TR'!R8</f>
        <v>1</v>
      </c>
      <c r="R11" s="1">
        <f>'INPUTtoVEDA_importprice TR'!S8</f>
        <v>1</v>
      </c>
      <c r="S11" s="1">
        <f>'INPUTtoVEDA_importprice TR'!T8</f>
        <v>1</v>
      </c>
      <c r="T11" s="1">
        <f>'INPUTtoVEDA_importprice TR'!U8</f>
        <v>1</v>
      </c>
      <c r="U11" s="1">
        <f>'INPUTtoVEDA_importprice TR'!V8</f>
        <v>0.90000000000000002</v>
      </c>
      <c r="V11" s="1">
        <f>'INPUTtoVEDA_importprice TR'!W8</f>
        <v>1</v>
      </c>
      <c r="W11" s="1">
        <f>'INPUTtoVEDA_importprice TR'!X8</f>
        <v>1</v>
      </c>
      <c r="X11" s="1">
        <f>'INPUTtoVEDA_importprice TR'!Y8</f>
        <v>1</v>
      </c>
      <c r="Y11" s="1">
        <f>'INPUTtoVEDA_importprice TR'!Z8</f>
        <v>1</v>
      </c>
      <c r="Z11" s="1">
        <f>'INPUTtoVEDA_importprice TR'!AA8</f>
        <v>1</v>
      </c>
      <c r="AA11" s="1">
        <f>'INPUTtoVEDA_importprice TR'!AB8</f>
        <v>1</v>
      </c>
      <c r="AB11" s="1">
        <f>'INPUTtoVEDA_importprice TR'!AC8</f>
        <v>1</v>
      </c>
      <c r="AC11" s="1">
        <f>'INPUTtoVEDA_importprice TR'!AD8</f>
        <v>1</v>
      </c>
      <c r="AD11" s="1">
        <f>'INPUTtoVEDA_importprice TR'!AE8</f>
        <v>1</v>
      </c>
      <c r="AE11" s="1">
        <f>'INPUTtoVEDA_importprice TR'!AF8</f>
        <v>1</v>
      </c>
      <c r="AF11" s="1">
        <f>'INPUTtoVEDA_importprice TR'!AG8</f>
        <v>1</v>
      </c>
      <c r="AG11" s="1">
        <f>'INPUTtoVEDA_importprice TR'!AH8</f>
        <v>1</v>
      </c>
      <c r="AH11" s="1">
        <f>'INPUTtoVEDA_importprice TR'!AI8</f>
        <v>1</v>
      </c>
      <c r="AI11" s="1">
        <f>'INPUTtoVEDA_importprice TR'!AJ8</f>
        <v>1</v>
      </c>
      <c r="AJ11" s="1">
        <f>'INPUTtoVEDA_importprice TR'!AK8</f>
        <v>1</v>
      </c>
      <c r="AK11" s="1">
        <f>'INPUTtoVEDA_importprice TR'!AL8</f>
        <v>1</v>
      </c>
      <c r="AL11" s="1">
        <f>'INPUTtoVEDA_importprice TR'!AM8</f>
        <v>1</v>
      </c>
      <c r="AM11" s="1">
        <f>'INPUTtoVEDA_importprice TR'!AN8</f>
        <v>1</v>
      </c>
      <c r="AN11" s="1">
        <f>'INPUTtoVEDA_importprice TR'!AO8</f>
        <v>1</v>
      </c>
      <c r="AO11" s="1">
        <f>'INPUTtoVEDA_importprice TR'!AP8</f>
        <v>1</v>
      </c>
      <c r="AP11" s="1">
        <f>'INPUTtoVEDA_importprice TR'!AQ8</f>
        <v>1</v>
      </c>
      <c r="AQ11" s="1">
        <v>11</v>
      </c>
    </row>
    <row r="12" spans="1:36" ht="12.75">
      <c r="A12" s="45" t="s">
        <v>143</v>
      </c>
      <c r="E12" s="45"/>
      <c r="AJ12" s="45"/>
    </row>
    <row r="13" spans="1:43" ht="13.5" thickBot="1">
      <c r="A13" s="46" t="s">
        <v>240</v>
      </c>
      <c r="B13" s="46" t="s">
        <v>350</v>
      </c>
      <c r="C13" s="46" t="s">
        <v>242</v>
      </c>
      <c r="D13" s="46" t="s">
        <v>243</v>
      </c>
      <c r="E13" s="6" t="s">
        <v>245</v>
      </c>
      <c r="F13" s="49" t="s">
        <v>246</v>
      </c>
      <c r="G13" s="47" t="s">
        <v>47</v>
      </c>
      <c r="H13" s="47" t="s">
        <v>48</v>
      </c>
      <c r="I13" s="47" t="s">
        <v>256</v>
      </c>
      <c r="J13" s="47" t="s">
        <v>49</v>
      </c>
      <c r="K13" s="47" t="s">
        <v>249</v>
      </c>
      <c r="L13" s="47" t="s">
        <v>51</v>
      </c>
      <c r="M13" s="47" t="s">
        <v>52</v>
      </c>
      <c r="N13" s="47" t="s">
        <v>354</v>
      </c>
      <c r="O13" s="47" t="s">
        <v>53</v>
      </c>
      <c r="P13" s="47" t="s">
        <v>54</v>
      </c>
      <c r="Q13" s="47" t="s">
        <v>55</v>
      </c>
      <c r="R13" s="47" t="s">
        <v>56</v>
      </c>
      <c r="S13" s="47" t="s">
        <v>57</v>
      </c>
      <c r="T13" s="47" t="s">
        <v>250</v>
      </c>
      <c r="U13" s="47" t="s">
        <v>251</v>
      </c>
      <c r="V13" s="47" t="s">
        <v>252</v>
      </c>
      <c r="W13" s="47" t="s">
        <v>253</v>
      </c>
      <c r="X13" s="47" t="s">
        <v>254</v>
      </c>
      <c r="Y13" s="47" t="s">
        <v>255</v>
      </c>
      <c r="Z13" s="48" t="s">
        <v>144</v>
      </c>
      <c r="AA13" s="48" t="s">
        <v>145</v>
      </c>
      <c r="AB13" s="48" t="s">
        <v>146</v>
      </c>
      <c r="AC13" s="48" t="s">
        <v>147</v>
      </c>
      <c r="AD13" s="48" t="s">
        <v>148</v>
      </c>
      <c r="AE13" s="48" t="s">
        <v>149</v>
      </c>
      <c r="AF13" s="48" t="s">
        <v>150</v>
      </c>
      <c r="AG13" s="48" t="s">
        <v>151</v>
      </c>
      <c r="AH13" s="48" t="s">
        <v>152</v>
      </c>
      <c r="AI13" s="48" t="s">
        <v>153</v>
      </c>
      <c r="AJ13" s="48" t="s">
        <v>164</v>
      </c>
      <c r="AK13" t="s">
        <v>306</v>
      </c>
      <c r="AL13" s="28" t="s">
        <v>346</v>
      </c>
      <c r="AM13" t="s">
        <v>308</v>
      </c>
      <c r="AN13" t="s">
        <v>309</v>
      </c>
      <c r="AO13" t="s">
        <v>310</v>
      </c>
      <c r="AP13" t="s">
        <v>311</v>
      </c>
      <c r="AQ13" t="s">
        <v>347</v>
      </c>
    </row>
    <row r="14" spans="1:43" ht="12.75">
      <c r="A14" t="s">
        <v>248</v>
      </c>
      <c r="B14" t="s">
        <v>351</v>
      </c>
      <c r="C14" t="s">
        <v>154</v>
      </c>
      <c r="D14">
        <v>2010</v>
      </c>
      <c r="E14" t="str">
        <f>Worldprices!$C$62</f>
        <v>IMPCOAHAR*</v>
      </c>
      <c r="F14" t="str">
        <f>Worldprices!$C$63</f>
        <v>COAHAR</v>
      </c>
      <c r="G14">
        <f>Worldprices!$C$67*G$4</f>
        <v>2.6229508196721314</v>
      </c>
      <c r="H14">
        <f>Worldprices!$C$67*H$4</f>
        <v>2.4524590163934432</v>
      </c>
      <c r="I14">
        <f t="shared" si="0" ref="I14:I40">AH14</f>
        <v>2.6229508196721314</v>
      </c>
      <c r="J14">
        <f>Worldprices!$C$67*J$4</f>
        <v>2.6229508196721314</v>
      </c>
      <c r="K14">
        <f>Worldprices!$C$67*K$4</f>
        <v>2.6229508196721314</v>
      </c>
      <c r="L14">
        <f>Worldprices!$C$67*L$4</f>
        <v>2.6229508196721314</v>
      </c>
      <c r="M14">
        <f>Worldprices!$C$67*M$4</f>
        <v>2.6229508196721314</v>
      </c>
      <c r="N14">
        <f>Worldprices!$C$67*N$4</f>
        <v>2.6229508196721314</v>
      </c>
      <c r="O14">
        <f>Worldprices!$C$67*O$4</f>
        <v>2.2295081967213117</v>
      </c>
      <c r="P14">
        <f>Worldprices!$C$67*P$4</f>
        <v>2.4918032786885247</v>
      </c>
      <c r="Q14">
        <f>Worldprices!$C$67*Q$4</f>
        <v>2.6229508196721314</v>
      </c>
      <c r="R14">
        <f>Worldprices!$C$67*R$4</f>
        <v>2.2295081967213117</v>
      </c>
      <c r="S14">
        <f>Worldprices!$C$67*S$4</f>
        <v>2.6229508196721314</v>
      </c>
      <c r="T14">
        <f>Worldprices!$C$67*T$4</f>
        <v>2.6229508196721314</v>
      </c>
      <c r="U14">
        <f>Worldprices!$C$67*U$4</f>
        <v>2.6229508196721314</v>
      </c>
      <c r="V14">
        <f>Worldprices!$C$67*V$4</f>
        <v>2.6229508196721314</v>
      </c>
      <c r="W14">
        <f>Worldprices!$C$67*W$4</f>
        <v>2.6229508196721314</v>
      </c>
      <c r="X14">
        <f>Worldprices!$C$67*X$4</f>
        <v>2.6229508196721314</v>
      </c>
      <c r="Y14">
        <f>Worldprices!$C$67*Y$4</f>
        <v>2.6229508196721314</v>
      </c>
      <c r="Z14">
        <f>Worldprices!$C$67*Z$4</f>
        <v>2.6229508196721314</v>
      </c>
      <c r="AA14">
        <f>Worldprices!$C$67*AA$4</f>
        <v>2.6229508196721314</v>
      </c>
      <c r="AB14">
        <f>Worldprices!$C$67*AB$4</f>
        <v>2.6229508196721314</v>
      </c>
      <c r="AC14">
        <f>Worldprices!$C$67*AC$4</f>
        <v>2.6229508196721314</v>
      </c>
      <c r="AD14">
        <f>Worldprices!$C$67*AD$4</f>
        <v>2.6229508196721314</v>
      </c>
      <c r="AE14">
        <f>Worldprices!$C$67*AE$4</f>
        <v>2.6229508196721314</v>
      </c>
      <c r="AF14">
        <f>Worldprices!$C$67*AF$4</f>
        <v>2.6229508196721314</v>
      </c>
      <c r="AG14">
        <f>Worldprices!$C$67*AG$4</f>
        <v>2.6229508196721314</v>
      </c>
      <c r="AH14">
        <f>Worldprices!$C$67*AH$4</f>
        <v>2.6229508196721314</v>
      </c>
      <c r="AI14">
        <f>Worldprices!$C$67*AI$4</f>
        <v>2.6229508196721314</v>
      </c>
      <c r="AJ14">
        <f>Worldprices!$C$67*AJ$4</f>
        <v>2.6229508196721314</v>
      </c>
      <c r="AK14">
        <f>Worldprices!$C$67*AK$4</f>
        <v>2.6229508196721314</v>
      </c>
      <c r="AL14">
        <f>Worldprices!$C$67*AL$4</f>
        <v>2.6229508196721314</v>
      </c>
      <c r="AM14">
        <f>Worldprices!$C$67*AM$4</f>
        <v>2.6229508196721314</v>
      </c>
      <c r="AN14">
        <f>Worldprices!$C$67*AN$4</f>
        <v>2.6229508196721314</v>
      </c>
      <c r="AO14">
        <f>Worldprices!$C$67*AO$4</f>
        <v>2.6229508196721314</v>
      </c>
      <c r="AP14">
        <f>Worldprices!$C$67*AP$4</f>
        <v>2.6229508196721314</v>
      </c>
      <c r="AQ14">
        <f t="shared" si="1" ref="AQ14:AQ49">AP14</f>
        <v>2.6229508196721314</v>
      </c>
    </row>
    <row r="15" spans="1:43" ht="12.75">
      <c r="A15" t="s">
        <v>248</v>
      </c>
      <c r="B15" t="s">
        <v>351</v>
      </c>
      <c r="C15" t="s">
        <v>154</v>
      </c>
      <c r="D15">
        <v>2010</v>
      </c>
      <c r="E15" t="str">
        <f>Worldprices!$D$62</f>
        <v>IMPCOACOK*</v>
      </c>
      <c r="F15" t="str">
        <f>Worldprices!$D$63</f>
        <v>COACOK</v>
      </c>
      <c r="G15">
        <f>Worldprices!$D$67*G$4</f>
        <v>3.3311475409836069</v>
      </c>
      <c r="H15">
        <f>Worldprices!$D$67*H$4</f>
        <v>3.1146229508196726</v>
      </c>
      <c r="I15">
        <f t="shared" si="0"/>
        <v>3.3311475409836069</v>
      </c>
      <c r="J15">
        <f>Worldprices!$D$67*J$4</f>
        <v>3.3311475409836069</v>
      </c>
      <c r="K15">
        <f>Worldprices!$D$67*K$4</f>
        <v>3.3311475409836069</v>
      </c>
      <c r="L15">
        <f>Worldprices!$D$67*L$4</f>
        <v>3.3311475409836069</v>
      </c>
      <c r="M15">
        <f>Worldprices!$D$67*M$4</f>
        <v>3.3311475409836069</v>
      </c>
      <c r="N15">
        <f>Worldprices!$D$67*N$4</f>
        <v>3.3311475409836069</v>
      </c>
      <c r="O15">
        <f>Worldprices!$D$67*O$4</f>
        <v>2.8314754098360657</v>
      </c>
      <c r="P15">
        <f>Worldprices!$D$67*P$4</f>
        <v>3.1645901639344265</v>
      </c>
      <c r="Q15">
        <f>Worldprices!$D$67*Q$4</f>
        <v>3.3311475409836069</v>
      </c>
      <c r="R15">
        <f>Worldprices!$D$67*R$4</f>
        <v>2.8314754098360657</v>
      </c>
      <c r="S15">
        <f>Worldprices!$D$67*S$4</f>
        <v>3.3311475409836069</v>
      </c>
      <c r="T15">
        <f>Worldprices!$D$67*T$4</f>
        <v>3.3311475409836069</v>
      </c>
      <c r="U15">
        <f>Worldprices!$D$67*U$4</f>
        <v>3.3311475409836069</v>
      </c>
      <c r="V15">
        <f>Worldprices!$D$67*V$4</f>
        <v>3.3311475409836069</v>
      </c>
      <c r="W15">
        <f>Worldprices!$D$67*W$4</f>
        <v>3.3311475409836069</v>
      </c>
      <c r="X15">
        <f>Worldprices!$D$67*X$4</f>
        <v>3.3311475409836069</v>
      </c>
      <c r="Y15">
        <f>Worldprices!$D$67*Y$4</f>
        <v>3.3311475409836069</v>
      </c>
      <c r="Z15">
        <f>Worldprices!$D$67*Z$4</f>
        <v>3.3311475409836069</v>
      </c>
      <c r="AA15">
        <f>Worldprices!$D$67*AA$4</f>
        <v>3.3311475409836069</v>
      </c>
      <c r="AB15">
        <f>Worldprices!$D$67*AB$4</f>
        <v>3.3311475409836069</v>
      </c>
      <c r="AC15">
        <f>Worldprices!$D$67*AC$4</f>
        <v>3.3311475409836069</v>
      </c>
      <c r="AD15">
        <f>Worldprices!$D$67*AD$4</f>
        <v>3.3311475409836069</v>
      </c>
      <c r="AE15">
        <f>Worldprices!$D$67*AE$4</f>
        <v>3.3311475409836069</v>
      </c>
      <c r="AF15">
        <f>Worldprices!$D$67*AF$4</f>
        <v>3.3311475409836069</v>
      </c>
      <c r="AG15">
        <f>Worldprices!$D$67*AG$4</f>
        <v>3.3311475409836069</v>
      </c>
      <c r="AH15">
        <f>Worldprices!$D$67*AH$4</f>
        <v>3.3311475409836069</v>
      </c>
      <c r="AI15">
        <f>Worldprices!$D$67*AI$4</f>
        <v>3.3311475409836069</v>
      </c>
      <c r="AJ15">
        <f>Worldprices!$D$67*AJ$4</f>
        <v>3.3311475409836069</v>
      </c>
      <c r="AK15">
        <f>Worldprices!$D$67*AK$4</f>
        <v>3.3311475409836069</v>
      </c>
      <c r="AL15">
        <f>Worldprices!$D$67*AL$4</f>
        <v>3.3311475409836069</v>
      </c>
      <c r="AM15">
        <f>Worldprices!$D$67*AM$4</f>
        <v>3.3311475409836069</v>
      </c>
      <c r="AN15">
        <f>Worldprices!$D$67*AN$4</f>
        <v>3.3311475409836069</v>
      </c>
      <c r="AO15">
        <f>Worldprices!$D$67*AO$4</f>
        <v>3.3311475409836069</v>
      </c>
      <c r="AP15">
        <f>Worldprices!$D$67*AP$4</f>
        <v>3.3311475409836069</v>
      </c>
      <c r="AQ15">
        <f t="shared" si="1"/>
        <v>3.3311475409836069</v>
      </c>
    </row>
    <row r="16" spans="1:43" ht="12.75">
      <c r="A16" t="s">
        <v>248</v>
      </c>
      <c r="B16" t="s">
        <v>351</v>
      </c>
      <c r="C16" t="s">
        <v>154</v>
      </c>
      <c r="D16">
        <v>2010</v>
      </c>
      <c r="E16" t="str">
        <f>Worldprices!$E$62</f>
        <v>IMPCOABRO*</v>
      </c>
      <c r="F16" t="str">
        <f>Worldprices!$E$63</f>
        <v>COABRO</v>
      </c>
      <c r="G16">
        <f>Worldprices!$E$67*G$4</f>
        <v>2.4918032786885247</v>
      </c>
      <c r="H16">
        <f>Worldprices!$E$67*H$4</f>
        <v>2.3298360655737707</v>
      </c>
      <c r="I16">
        <f t="shared" si="0"/>
        <v>2.4918032786885247</v>
      </c>
      <c r="J16">
        <f>Worldprices!$E$67*J$4</f>
        <v>2.4918032786885247</v>
      </c>
      <c r="K16">
        <f>Worldprices!$E$67*K$4</f>
        <v>2.4918032786885247</v>
      </c>
      <c r="L16">
        <f>Worldprices!$E$67*L$4</f>
        <v>2.4918032786885247</v>
      </c>
      <c r="M16">
        <f>Worldprices!$E$67*M$4</f>
        <v>2.4918032786885247</v>
      </c>
      <c r="N16">
        <f>Worldprices!$E$67*N$4</f>
        <v>2.4918032786885247</v>
      </c>
      <c r="O16">
        <f>Worldprices!$E$67*O$4</f>
        <v>2.1180327868852458</v>
      </c>
      <c r="P16">
        <f>Worldprices!$E$67*P$4</f>
        <v>2.3672131147540982</v>
      </c>
      <c r="Q16">
        <f>Worldprices!$E$67*Q$4</f>
        <v>2.4918032786885247</v>
      </c>
      <c r="R16">
        <f>Worldprices!$E$67*R$4</f>
        <v>2.1180327868852458</v>
      </c>
      <c r="S16">
        <f>Worldprices!$E$67*S$4</f>
        <v>2.4918032786885247</v>
      </c>
      <c r="T16">
        <f>Worldprices!$E$67*T$4</f>
        <v>2.4918032786885247</v>
      </c>
      <c r="U16">
        <f>Worldprices!$E$67*U$4</f>
        <v>2.4918032786885247</v>
      </c>
      <c r="V16">
        <f>Worldprices!$E$67*V$4</f>
        <v>2.4918032786885247</v>
      </c>
      <c r="W16">
        <f>Worldprices!$E$67*W$4</f>
        <v>2.4918032786885247</v>
      </c>
      <c r="X16">
        <f>Worldprices!$E$67*X$4</f>
        <v>2.4918032786885247</v>
      </c>
      <c r="Y16">
        <f>Worldprices!$E$67*Y$4</f>
        <v>2.4918032786885247</v>
      </c>
      <c r="Z16">
        <f>Worldprices!$E$67*Z$4</f>
        <v>2.4918032786885247</v>
      </c>
      <c r="AA16">
        <f>Worldprices!$E$67*AA$4</f>
        <v>2.4918032786885247</v>
      </c>
      <c r="AB16">
        <f>Worldprices!$E$67*AB$4</f>
        <v>2.4918032786885247</v>
      </c>
      <c r="AC16">
        <f>Worldprices!$E$67*AC$4</f>
        <v>2.4918032786885247</v>
      </c>
      <c r="AD16">
        <f>Worldprices!$E$67*AD$4</f>
        <v>2.4918032786885247</v>
      </c>
      <c r="AE16">
        <f>Worldprices!$E$67*AE$4</f>
        <v>2.4918032786885247</v>
      </c>
      <c r="AF16">
        <f>Worldprices!$E$67*AF$4</f>
        <v>2.4918032786885247</v>
      </c>
      <c r="AG16">
        <f>Worldprices!$E$67*AG$4</f>
        <v>2.4918032786885247</v>
      </c>
      <c r="AH16">
        <f>Worldprices!$E$67*AH$4</f>
        <v>2.4918032786885247</v>
      </c>
      <c r="AI16">
        <f>Worldprices!$E$67*AI$4</f>
        <v>2.4918032786885247</v>
      </c>
      <c r="AJ16">
        <f>Worldprices!$E$67*AJ$4</f>
        <v>2.4918032786885247</v>
      </c>
      <c r="AK16">
        <f>Worldprices!$E$67*AK$4</f>
        <v>2.4918032786885247</v>
      </c>
      <c r="AL16">
        <f>Worldprices!$E$67*AL$4</f>
        <v>2.4918032786885247</v>
      </c>
      <c r="AM16">
        <f>Worldprices!$E$67*AM$4</f>
        <v>2.4918032786885247</v>
      </c>
      <c r="AN16">
        <f>Worldprices!$E$67*AN$4</f>
        <v>2.4918032786885247</v>
      </c>
      <c r="AO16">
        <f>Worldprices!$E$67*AO$4</f>
        <v>2.4918032786885247</v>
      </c>
      <c r="AP16">
        <f>Worldprices!$E$67*AP$4</f>
        <v>2.4918032786885247</v>
      </c>
      <c r="AQ16">
        <f t="shared" si="1"/>
        <v>2.4918032786885247</v>
      </c>
    </row>
    <row r="17" spans="1:43" ht="12.75">
      <c r="A17" t="s">
        <v>248</v>
      </c>
      <c r="B17" t="s">
        <v>351</v>
      </c>
      <c r="C17" t="s">
        <v>154</v>
      </c>
      <c r="D17">
        <v>2010</v>
      </c>
      <c r="E17" t="str">
        <f>Worldprices!$F$62</f>
        <v>IMPCOALIG*</v>
      </c>
      <c r="F17" t="str">
        <f>Worldprices!$F$63</f>
        <v>COALIG</v>
      </c>
      <c r="G17">
        <f>Worldprices!$F$67*G$4</f>
        <v>2.4918032786885247</v>
      </c>
      <c r="H17">
        <f>Worldprices!$F$67*H$4</f>
        <v>2.3298360655737707</v>
      </c>
      <c r="I17">
        <f t="shared" si="0"/>
        <v>2.4918032786885247</v>
      </c>
      <c r="J17">
        <f>Worldprices!$F$67*J$4</f>
        <v>2.4918032786885247</v>
      </c>
      <c r="K17">
        <f>Worldprices!$F$67*K$4</f>
        <v>2.4918032786885247</v>
      </c>
      <c r="L17">
        <f>Worldprices!$F$67*L$4</f>
        <v>2.4918032786885247</v>
      </c>
      <c r="M17">
        <f>Worldprices!$F$67*M$4</f>
        <v>2.4918032786885247</v>
      </c>
      <c r="N17">
        <f>Worldprices!$F$67*N$4</f>
        <v>2.4918032786885247</v>
      </c>
      <c r="O17">
        <f>Worldprices!$F$67*O$4</f>
        <v>2.1180327868852458</v>
      </c>
      <c r="P17">
        <f>Worldprices!$F$67*P$4</f>
        <v>2.3672131147540982</v>
      </c>
      <c r="Q17">
        <f>Worldprices!$F$67*Q$4</f>
        <v>2.4918032786885247</v>
      </c>
      <c r="R17">
        <f>Worldprices!$F$67*R$4</f>
        <v>2.1180327868852458</v>
      </c>
      <c r="S17">
        <f>Worldprices!$F$67*S$4</f>
        <v>2.4918032786885247</v>
      </c>
      <c r="T17">
        <f>Worldprices!$F$67*T$4</f>
        <v>2.4918032786885247</v>
      </c>
      <c r="U17">
        <f>Worldprices!$F$67*U$4</f>
        <v>2.4918032786885247</v>
      </c>
      <c r="V17">
        <f>Worldprices!$F$67*V$4</f>
        <v>2.4918032786885247</v>
      </c>
      <c r="W17">
        <f>Worldprices!$F$67*W$4</f>
        <v>2.4918032786885247</v>
      </c>
      <c r="X17">
        <f>Worldprices!$F$67*X$4</f>
        <v>2.4918032786885247</v>
      </c>
      <c r="Y17">
        <f>Worldprices!$F$67*Y$4</f>
        <v>2.4918032786885247</v>
      </c>
      <c r="Z17">
        <f>Worldprices!$F$67*Z$4</f>
        <v>2.4918032786885247</v>
      </c>
      <c r="AA17">
        <f>Worldprices!$F$67*AA$4</f>
        <v>2.4918032786885247</v>
      </c>
      <c r="AB17">
        <f>Worldprices!$F$67*AB$4</f>
        <v>2.4918032786885247</v>
      </c>
      <c r="AC17">
        <f>Worldprices!$F$67*AC$4</f>
        <v>2.4918032786885247</v>
      </c>
      <c r="AD17">
        <f>Worldprices!$F$67*AD$4</f>
        <v>2.4918032786885247</v>
      </c>
      <c r="AE17">
        <f>Worldprices!$F$67*AE$4</f>
        <v>2.4918032786885247</v>
      </c>
      <c r="AF17">
        <f>Worldprices!$F$67*AF$4</f>
        <v>2.4918032786885247</v>
      </c>
      <c r="AG17">
        <f>Worldprices!$F$67*AG$4</f>
        <v>2.4918032786885247</v>
      </c>
      <c r="AH17">
        <f>Worldprices!$F$67*AH$4</f>
        <v>2.4918032786885247</v>
      </c>
      <c r="AI17">
        <f>Worldprices!$F$67*AI$4</f>
        <v>2.4918032786885247</v>
      </c>
      <c r="AJ17">
        <f>Worldprices!$F$67*AJ$4</f>
        <v>2.4918032786885247</v>
      </c>
      <c r="AK17">
        <f>Worldprices!$F$67*AK$4</f>
        <v>2.4918032786885247</v>
      </c>
      <c r="AL17">
        <f>Worldprices!$F$67*AL$4</f>
        <v>2.4918032786885247</v>
      </c>
      <c r="AM17">
        <f>Worldprices!$F$67*AM$4</f>
        <v>2.4918032786885247</v>
      </c>
      <c r="AN17">
        <f>Worldprices!$F$67*AN$4</f>
        <v>2.4918032786885247</v>
      </c>
      <c r="AO17">
        <f>Worldprices!$F$67*AO$4</f>
        <v>2.4918032786885247</v>
      </c>
      <c r="AP17">
        <f>Worldprices!$F$67*AP$4</f>
        <v>2.4918032786885247</v>
      </c>
      <c r="AQ17">
        <f t="shared" si="1"/>
        <v>2.4918032786885247</v>
      </c>
    </row>
    <row r="18" spans="1:43" ht="12.75">
      <c r="A18" t="s">
        <v>248</v>
      </c>
      <c r="B18" t="s">
        <v>351</v>
      </c>
      <c r="C18" t="s">
        <v>154</v>
      </c>
      <c r="D18">
        <v>2010</v>
      </c>
      <c r="E18" t="str">
        <f>Worldprices!$M$62</f>
        <v>IMPOILOTH</v>
      </c>
      <c r="F18" t="str">
        <f>Worldprices!$M$63</f>
        <v>OILOTH</v>
      </c>
      <c r="G18">
        <f>Worldprices!$M$67*G$6</f>
        <v>9.8196721311475414</v>
      </c>
      <c r="H18">
        <f>Worldprices!$M$67*H$6</f>
        <v>9.8196721311475414</v>
      </c>
      <c r="I18">
        <f t="shared" si="0"/>
        <v>9.8196721311475414</v>
      </c>
      <c r="J18">
        <f>Worldprices!$M$67*J$6</f>
        <v>9.8196721311475414</v>
      </c>
      <c r="K18">
        <f>Worldprices!$M$67*K$6</f>
        <v>9.8196721311475414</v>
      </c>
      <c r="L18">
        <f>Worldprices!$M$67*L$6</f>
        <v>9.8196721311475414</v>
      </c>
      <c r="M18">
        <f>Worldprices!$M$67*M$6</f>
        <v>9.8196721311475414</v>
      </c>
      <c r="N18">
        <f>Worldprices!$M$67*N$6</f>
        <v>9.8196721311475414</v>
      </c>
      <c r="O18">
        <f>Worldprices!$M$67*O$6</f>
        <v>9.8196721311475414</v>
      </c>
      <c r="P18">
        <f>Worldprices!$M$67*P$6</f>
        <v>9.8196721311475414</v>
      </c>
      <c r="Q18">
        <f>Worldprices!$M$67*Q$6</f>
        <v>9.8196721311475414</v>
      </c>
      <c r="R18">
        <f>Worldprices!$M$67*R$6</f>
        <v>9.8196721311475414</v>
      </c>
      <c r="S18">
        <f>Worldprices!$M$67*S$6</f>
        <v>9.8196721311475414</v>
      </c>
      <c r="T18">
        <f>Worldprices!$M$67*T$6</f>
        <v>9.8196721311475414</v>
      </c>
      <c r="U18">
        <f>Worldprices!$M$67*U$6</f>
        <v>9.3286885245901647</v>
      </c>
      <c r="V18">
        <f>Worldprices!$M$67*V$6</f>
        <v>9.8196721311475414</v>
      </c>
      <c r="W18">
        <f>Worldprices!$M$67*W$6</f>
        <v>9.8196721311475414</v>
      </c>
      <c r="X18">
        <f>Worldprices!$M$67*X$6</f>
        <v>9.8196721311475414</v>
      </c>
      <c r="Y18">
        <f>Worldprices!$M$67*Y$6</f>
        <v>9.8196721311475414</v>
      </c>
      <c r="Z18">
        <f>Worldprices!$M$67*Z$6</f>
        <v>9.8196721311475414</v>
      </c>
      <c r="AA18">
        <f>Worldprices!$M$67*AA$6</f>
        <v>9.8196721311475414</v>
      </c>
      <c r="AB18">
        <f>Worldprices!$M$67*AB$6</f>
        <v>9.8196721311475414</v>
      </c>
      <c r="AC18">
        <f>Worldprices!$M$67*AC$6</f>
        <v>9.8196721311475414</v>
      </c>
      <c r="AD18">
        <f>Worldprices!$M$67*AD$6</f>
        <v>9.8196721311475414</v>
      </c>
      <c r="AE18">
        <f>Worldprices!$M$67*AE$6</f>
        <v>9.8196721311475414</v>
      </c>
      <c r="AF18">
        <f>Worldprices!$M$67*AF$6</f>
        <v>9.8196721311475414</v>
      </c>
      <c r="AG18">
        <f>Worldprices!$M$67*AG$6</f>
        <v>9.8196721311475414</v>
      </c>
      <c r="AH18">
        <f>Worldprices!$M$67*AH$6</f>
        <v>9.8196721311475414</v>
      </c>
      <c r="AI18">
        <f>Worldprices!$M$67*AI$6</f>
        <v>9.8196721311475414</v>
      </c>
      <c r="AJ18">
        <f>Worldprices!$M$67*AJ$6</f>
        <v>9.8196721311475414</v>
      </c>
      <c r="AK18">
        <f>Worldprices!$M$67*AK$6</f>
        <v>9.8196721311475414</v>
      </c>
      <c r="AL18">
        <f>Worldprices!$M$67*AL$6</f>
        <v>9.8196721311475414</v>
      </c>
      <c r="AM18">
        <f>Worldprices!$M$67*AM$6</f>
        <v>9.8196721311475414</v>
      </c>
      <c r="AN18">
        <f>Worldprices!$M$67*AN$6</f>
        <v>9.8196721311475414</v>
      </c>
      <c r="AO18">
        <f>Worldprices!$M$67*AO$6</f>
        <v>9.8196721311475414</v>
      </c>
      <c r="AP18">
        <f>Worldprices!$M$67*AP$6</f>
        <v>9.8196721311475414</v>
      </c>
      <c r="AQ18">
        <f t="shared" si="1"/>
        <v>9.8196721311475414</v>
      </c>
    </row>
    <row r="19" spans="1:43" ht="12.75">
      <c r="A19" t="s">
        <v>248</v>
      </c>
      <c r="B19" t="s">
        <v>351</v>
      </c>
      <c r="C19" t="s">
        <v>154</v>
      </c>
      <c r="D19">
        <v>2010</v>
      </c>
      <c r="E19" t="str">
        <f>Worldprices!$N$62</f>
        <v>IMPOILNAP</v>
      </c>
      <c r="F19" t="str">
        <f>Worldprices!$N$63</f>
        <v>OILNAP</v>
      </c>
      <c r="G19">
        <f>Worldprices!$N$67*G$6</f>
        <v>9.8196721311475414</v>
      </c>
      <c r="H19">
        <f>Worldprices!$N$67*H$6</f>
        <v>9.8196721311475414</v>
      </c>
      <c r="I19">
        <f t="shared" si="0"/>
        <v>9.8196721311475414</v>
      </c>
      <c r="J19">
        <f>Worldprices!$N$67*J$6</f>
        <v>9.8196721311475414</v>
      </c>
      <c r="K19">
        <f>Worldprices!$N$67*K$6</f>
        <v>9.8196721311475414</v>
      </c>
      <c r="L19">
        <f>Worldprices!$N$67*L$6</f>
        <v>9.8196721311475414</v>
      </c>
      <c r="M19">
        <f>Worldprices!$N$67*M$6</f>
        <v>9.8196721311475414</v>
      </c>
      <c r="N19">
        <f>Worldprices!$N$67*N$6</f>
        <v>9.8196721311475414</v>
      </c>
      <c r="O19">
        <f>Worldprices!$N$67*O$6</f>
        <v>9.8196721311475414</v>
      </c>
      <c r="P19">
        <f>Worldprices!$N$67*P$6</f>
        <v>9.8196721311475414</v>
      </c>
      <c r="Q19">
        <f>Worldprices!$N$67*Q$6</f>
        <v>9.8196721311475414</v>
      </c>
      <c r="R19">
        <f>Worldprices!$N$67*R$6</f>
        <v>9.8196721311475414</v>
      </c>
      <c r="S19">
        <f>Worldprices!$N$67*S$6</f>
        <v>9.8196721311475414</v>
      </c>
      <c r="T19">
        <f>Worldprices!$N$67*T$6</f>
        <v>9.8196721311475414</v>
      </c>
      <c r="U19">
        <f>Worldprices!$N$67*U$6</f>
        <v>9.3286885245901647</v>
      </c>
      <c r="V19">
        <f>Worldprices!$N$67*V$6</f>
        <v>9.8196721311475414</v>
      </c>
      <c r="W19">
        <f>Worldprices!$N$67*W$6</f>
        <v>9.8196721311475414</v>
      </c>
      <c r="X19">
        <f>Worldprices!$N$67*X$6</f>
        <v>9.8196721311475414</v>
      </c>
      <c r="Y19">
        <f>Worldprices!$N$67*Y$6</f>
        <v>9.8196721311475414</v>
      </c>
      <c r="Z19">
        <f>Worldprices!$N$67*Z$6</f>
        <v>9.8196721311475414</v>
      </c>
      <c r="AA19">
        <f>Worldprices!$N$67*AA$6</f>
        <v>9.8196721311475414</v>
      </c>
      <c r="AB19">
        <f>Worldprices!$N$67*AB$6</f>
        <v>9.8196721311475414</v>
      </c>
      <c r="AC19">
        <f>Worldprices!$N$67*AC$6</f>
        <v>9.8196721311475414</v>
      </c>
      <c r="AD19">
        <f>Worldprices!$N$67*AD$6</f>
        <v>9.8196721311475414</v>
      </c>
      <c r="AE19">
        <f>Worldprices!$N$67*AE$6</f>
        <v>9.8196721311475414</v>
      </c>
      <c r="AF19">
        <f>Worldprices!$N$67*AF$6</f>
        <v>9.8196721311475414</v>
      </c>
      <c r="AG19">
        <f>Worldprices!$N$67*AG$6</f>
        <v>9.8196721311475414</v>
      </c>
      <c r="AH19">
        <f>Worldprices!$N$67*AH$6</f>
        <v>9.8196721311475414</v>
      </c>
      <c r="AI19">
        <f>Worldprices!$N$67*AI$6</f>
        <v>9.8196721311475414</v>
      </c>
      <c r="AJ19">
        <f>Worldprices!$N$67*AJ$6</f>
        <v>9.8196721311475414</v>
      </c>
      <c r="AK19">
        <f>Worldprices!$N$67*AK$6</f>
        <v>9.8196721311475414</v>
      </c>
      <c r="AL19">
        <f>Worldprices!$N$67*AL$6</f>
        <v>9.8196721311475414</v>
      </c>
      <c r="AM19">
        <f>Worldprices!$N$67*AM$6</f>
        <v>9.8196721311475414</v>
      </c>
      <c r="AN19">
        <f>Worldprices!$N$67*AN$6</f>
        <v>9.8196721311475414</v>
      </c>
      <c r="AO19">
        <f>Worldprices!$N$67*AO$6</f>
        <v>9.8196721311475414</v>
      </c>
      <c r="AP19">
        <f>Worldprices!$N$67*AP$6</f>
        <v>9.8196721311475414</v>
      </c>
      <c r="AQ19">
        <f t="shared" si="1"/>
        <v>9.8196721311475414</v>
      </c>
    </row>
    <row r="20" spans="1:43" ht="12.75">
      <c r="A20" t="s">
        <v>248</v>
      </c>
      <c r="B20" t="s">
        <v>351</v>
      </c>
      <c r="C20" t="s">
        <v>154</v>
      </c>
      <c r="D20">
        <v>2010</v>
      </c>
      <c r="E20" t="str">
        <f>Worldprices!$O$62</f>
        <v>IMPOILFDS</v>
      </c>
      <c r="F20" t="str">
        <f>Worldprices!$O$63</f>
        <v>OILFDS</v>
      </c>
      <c r="G20">
        <f>Worldprices!$O$67*G$6</f>
        <v>9.8196721311475414</v>
      </c>
      <c r="H20">
        <f>Worldprices!$O$67*H$6</f>
        <v>9.8196721311475414</v>
      </c>
      <c r="I20">
        <f t="shared" si="0"/>
        <v>9.8196721311475414</v>
      </c>
      <c r="J20">
        <f>Worldprices!$O$67*J$6</f>
        <v>9.8196721311475414</v>
      </c>
      <c r="K20">
        <f>Worldprices!$O$67*K$6</f>
        <v>9.8196721311475414</v>
      </c>
      <c r="L20">
        <f>Worldprices!$O$67*L$6</f>
        <v>9.8196721311475414</v>
      </c>
      <c r="M20">
        <f>Worldprices!$O$67*M$6</f>
        <v>9.8196721311475414</v>
      </c>
      <c r="N20">
        <f>Worldprices!$O$67*N$6</f>
        <v>9.8196721311475414</v>
      </c>
      <c r="O20">
        <f>Worldprices!$O$67*O$6</f>
        <v>9.8196721311475414</v>
      </c>
      <c r="P20">
        <f>Worldprices!$O$67*P$6</f>
        <v>9.8196721311475414</v>
      </c>
      <c r="Q20">
        <f>Worldprices!$O$67*Q$6</f>
        <v>9.8196721311475414</v>
      </c>
      <c r="R20">
        <f>Worldprices!$O$67*R$6</f>
        <v>9.8196721311475414</v>
      </c>
      <c r="S20">
        <f>Worldprices!$O$67*S$6</f>
        <v>9.8196721311475414</v>
      </c>
      <c r="T20">
        <f>Worldprices!$O$67*T$6</f>
        <v>9.8196721311475414</v>
      </c>
      <c r="U20">
        <f>Worldprices!$O$67*U$6</f>
        <v>9.3286885245901647</v>
      </c>
      <c r="V20">
        <f>Worldprices!$O$67*V$6</f>
        <v>9.8196721311475414</v>
      </c>
      <c r="W20">
        <f>Worldprices!$O$67*W$6</f>
        <v>9.8196721311475414</v>
      </c>
      <c r="X20">
        <f>Worldprices!$O$67*X$6</f>
        <v>9.8196721311475414</v>
      </c>
      <c r="Y20">
        <f>Worldprices!$O$67*Y$6</f>
        <v>9.8196721311475414</v>
      </c>
      <c r="Z20">
        <f>Worldprices!$O$67*Z$6</f>
        <v>9.8196721311475414</v>
      </c>
      <c r="AA20">
        <f>Worldprices!$O$67*AA$6</f>
        <v>9.8196721311475414</v>
      </c>
      <c r="AB20">
        <f>Worldprices!$O$67*AB$6</f>
        <v>9.8196721311475414</v>
      </c>
      <c r="AC20">
        <f>Worldprices!$O$67*AC$6</f>
        <v>9.8196721311475414</v>
      </c>
      <c r="AD20">
        <f>Worldprices!$O$67*AD$6</f>
        <v>9.8196721311475414</v>
      </c>
      <c r="AE20">
        <f>Worldprices!$O$67*AE$6</f>
        <v>9.8196721311475414</v>
      </c>
      <c r="AF20">
        <f>Worldprices!$O$67*AF$6</f>
        <v>9.8196721311475414</v>
      </c>
      <c r="AG20">
        <f>Worldprices!$O$67*AG$6</f>
        <v>9.8196721311475414</v>
      </c>
      <c r="AH20">
        <f>Worldprices!$O$67*AH$6</f>
        <v>9.8196721311475414</v>
      </c>
      <c r="AI20">
        <f>Worldprices!$O$67*AI$6</f>
        <v>9.8196721311475414</v>
      </c>
      <c r="AJ20">
        <f>Worldprices!$O$67*AJ$6</f>
        <v>9.8196721311475414</v>
      </c>
      <c r="AK20">
        <f>Worldprices!$O$67*AK$6</f>
        <v>9.8196721311475414</v>
      </c>
      <c r="AL20">
        <f>Worldprices!$O$67*AL$6</f>
        <v>9.8196721311475414</v>
      </c>
      <c r="AM20">
        <f>Worldprices!$O$67*AM$6</f>
        <v>9.8196721311475414</v>
      </c>
      <c r="AN20">
        <f>Worldprices!$O$67*AN$6</f>
        <v>9.8196721311475414</v>
      </c>
      <c r="AO20">
        <f>Worldprices!$O$67*AO$6</f>
        <v>9.8196721311475414</v>
      </c>
      <c r="AP20">
        <f>Worldprices!$O$67*AP$6</f>
        <v>9.8196721311475414</v>
      </c>
      <c r="AQ20">
        <f t="shared" si="1"/>
        <v>9.8196721311475414</v>
      </c>
    </row>
    <row r="21" spans="1:43" ht="12.75">
      <c r="A21" t="s">
        <v>248</v>
      </c>
      <c r="B21" t="s">
        <v>351</v>
      </c>
      <c r="C21" t="s">
        <v>154</v>
      </c>
      <c r="D21">
        <v>2010</v>
      </c>
      <c r="E21" t="str">
        <f>Worldprices!$P$62</f>
        <v>IMPOILNEU</v>
      </c>
      <c r="F21" t="str">
        <f>Worldprices!$P$63</f>
        <v>OILNEU</v>
      </c>
      <c r="G21">
        <f>Worldprices!$P$67*G$6</f>
        <v>9.8196721311475414</v>
      </c>
      <c r="H21">
        <f>Worldprices!$P$67*H$6</f>
        <v>9.8196721311475414</v>
      </c>
      <c r="I21">
        <f t="shared" si="0"/>
        <v>9.8196721311475414</v>
      </c>
      <c r="J21">
        <f>Worldprices!$P$67*J$6</f>
        <v>9.8196721311475414</v>
      </c>
      <c r="K21">
        <f>Worldprices!$P$67*K$6</f>
        <v>9.8196721311475414</v>
      </c>
      <c r="L21">
        <f>Worldprices!$P$67*L$6</f>
        <v>9.8196721311475414</v>
      </c>
      <c r="M21">
        <f>Worldprices!$P$67*M$6</f>
        <v>9.8196721311475414</v>
      </c>
      <c r="N21">
        <f>Worldprices!$P$67*N$6</f>
        <v>9.8196721311475414</v>
      </c>
      <c r="O21">
        <f>Worldprices!$P$67*O$6</f>
        <v>9.8196721311475414</v>
      </c>
      <c r="P21">
        <f>Worldprices!$P$67*P$6</f>
        <v>9.8196721311475414</v>
      </c>
      <c r="Q21">
        <f>Worldprices!$P$67*Q$6</f>
        <v>9.8196721311475414</v>
      </c>
      <c r="R21">
        <f>Worldprices!$P$67*R$6</f>
        <v>9.8196721311475414</v>
      </c>
      <c r="S21">
        <f>Worldprices!$P$67*S$6</f>
        <v>9.8196721311475414</v>
      </c>
      <c r="T21">
        <f>Worldprices!$P$67*T$6</f>
        <v>9.8196721311475414</v>
      </c>
      <c r="U21">
        <f>Worldprices!$P$67*U$6</f>
        <v>9.3286885245901647</v>
      </c>
      <c r="V21">
        <f>Worldprices!$P$67*V$6</f>
        <v>9.8196721311475414</v>
      </c>
      <c r="W21">
        <f>Worldprices!$P$67*W$6</f>
        <v>9.8196721311475414</v>
      </c>
      <c r="X21">
        <f>Worldprices!$P$67*X$6</f>
        <v>9.8196721311475414</v>
      </c>
      <c r="Y21">
        <f>Worldprices!$P$67*Y$6</f>
        <v>9.8196721311475414</v>
      </c>
      <c r="Z21">
        <f>Worldprices!$P$67*Z$6</f>
        <v>9.8196721311475414</v>
      </c>
      <c r="AA21">
        <f>Worldprices!$P$67*AA$6</f>
        <v>9.8196721311475414</v>
      </c>
      <c r="AB21">
        <f>Worldprices!$P$67*AB$6</f>
        <v>9.8196721311475414</v>
      </c>
      <c r="AC21">
        <f>Worldprices!$P$67*AC$6</f>
        <v>9.8196721311475414</v>
      </c>
      <c r="AD21">
        <f>Worldprices!$P$67*AD$6</f>
        <v>9.8196721311475414</v>
      </c>
      <c r="AE21">
        <f>Worldprices!$P$67*AE$6</f>
        <v>9.8196721311475414</v>
      </c>
      <c r="AF21">
        <f>Worldprices!$P$67*AF$6</f>
        <v>9.8196721311475414</v>
      </c>
      <c r="AG21">
        <f>Worldprices!$P$67*AG$6</f>
        <v>9.8196721311475414</v>
      </c>
      <c r="AH21">
        <f>Worldprices!$P$67*AH$6</f>
        <v>9.8196721311475414</v>
      </c>
      <c r="AI21">
        <f>Worldprices!$P$67*AI$6</f>
        <v>9.8196721311475414</v>
      </c>
      <c r="AJ21">
        <f>Worldprices!$P$67*AJ$6</f>
        <v>9.8196721311475414</v>
      </c>
      <c r="AK21">
        <f>Worldprices!$P$67*AK$6</f>
        <v>9.8196721311475414</v>
      </c>
      <c r="AL21">
        <f>Worldprices!$P$67*AL$6</f>
        <v>9.8196721311475414</v>
      </c>
      <c r="AM21">
        <f>Worldprices!$P$67*AM$6</f>
        <v>9.8196721311475414</v>
      </c>
      <c r="AN21">
        <f>Worldprices!$P$67*AN$6</f>
        <v>9.8196721311475414</v>
      </c>
      <c r="AO21">
        <f>Worldprices!$P$67*AO$6</f>
        <v>9.8196721311475414</v>
      </c>
      <c r="AP21">
        <f>Worldprices!$P$67*AP$6</f>
        <v>9.8196721311475414</v>
      </c>
      <c r="AQ21">
        <f t="shared" si="1"/>
        <v>9.8196721311475414</v>
      </c>
    </row>
    <row r="22" spans="1:43" ht="12.75">
      <c r="A22" t="s">
        <v>248</v>
      </c>
      <c r="B22" t="s">
        <v>351</v>
      </c>
      <c r="C22" t="s">
        <v>305</v>
      </c>
      <c r="D22">
        <v>2010</v>
      </c>
      <c r="E22" t="str">
        <f>Worldprices!$R$62</f>
        <v>IMPBIOWOO</v>
      </c>
      <c r="F22" t="str">
        <f>Worldprices!$R$63</f>
        <v>BIOWOO</v>
      </c>
      <c r="G22">
        <f>Worldprices!$R$67*G$8</f>
        <v>3.6235239736939437</v>
      </c>
      <c r="H22">
        <f>Worldprices!$R$67*H$8</f>
        <v>3.6235239736939437</v>
      </c>
      <c r="I22">
        <f t="shared" si="0"/>
        <v>3.6235239736939437</v>
      </c>
      <c r="J22">
        <f>Worldprices!$R$67*J$8</f>
        <v>3.6235239736939437</v>
      </c>
      <c r="K22">
        <f>Worldprices!$R$67*K$8</f>
        <v>3.6235239736939437</v>
      </c>
      <c r="L22">
        <f>Worldprices!$R$67*L$8</f>
        <v>3.6235239736939437</v>
      </c>
      <c r="M22">
        <f>Worldprices!$R$67*M$8</f>
        <v>3.6235239736939437</v>
      </c>
      <c r="N22">
        <f>Worldprices!$R$67*N$8</f>
        <v>3.6235239736939437</v>
      </c>
      <c r="O22">
        <f>Worldprices!$R$67*O$8</f>
        <v>3.6235239736939437</v>
      </c>
      <c r="P22">
        <f>Worldprices!$R$67*P$8</f>
        <v>3.6235239736939437</v>
      </c>
      <c r="Q22">
        <f>Worldprices!$R$67*Q$8</f>
        <v>3.6235239736939437</v>
      </c>
      <c r="R22">
        <f>Worldprices!$R$67*R$8</f>
        <v>3.6235239736939437</v>
      </c>
      <c r="S22">
        <f>Worldprices!$R$67*S$8</f>
        <v>3.6235239736939437</v>
      </c>
      <c r="T22">
        <f>Worldprices!$R$67*T$8</f>
        <v>3.6235239736939437</v>
      </c>
      <c r="U22">
        <f>Worldprices!$R$67*U$8</f>
        <v>3.6235239736939437</v>
      </c>
      <c r="V22">
        <f>Worldprices!$R$67*V$8</f>
        <v>3.6235239736939437</v>
      </c>
      <c r="W22">
        <f>Worldprices!$R$67*W$8</f>
        <v>3.6235239736939437</v>
      </c>
      <c r="X22">
        <f>Worldprices!$R$67*X$8</f>
        <v>3.6235239736939437</v>
      </c>
      <c r="Y22">
        <f>Worldprices!$R$67*Y$8</f>
        <v>3.6235239736939437</v>
      </c>
      <c r="Z22">
        <f>Worldprices!$R$67*Z$8</f>
        <v>3.6235239736939437</v>
      </c>
      <c r="AA22">
        <f>Worldprices!$R$67*AA$8</f>
        <v>3.6235239736939437</v>
      </c>
      <c r="AB22">
        <f>Worldprices!$R$67*AB$8</f>
        <v>3.6235239736939437</v>
      </c>
      <c r="AC22">
        <f>Worldprices!$R$67*AC$8</f>
        <v>3.6235239736939437</v>
      </c>
      <c r="AD22">
        <f>Worldprices!$R$67*AD$8</f>
        <v>3.6235239736939437</v>
      </c>
      <c r="AE22">
        <f>Worldprices!$R$67*AE$8</f>
        <v>3.6235239736939437</v>
      </c>
      <c r="AF22">
        <f>Worldprices!$R$67*AF$8</f>
        <v>3.6235239736939437</v>
      </c>
      <c r="AG22">
        <f>Worldprices!$R$67*AG$8</f>
        <v>3.6235239736939437</v>
      </c>
      <c r="AH22">
        <f>Worldprices!$R$67*AH$8</f>
        <v>3.6235239736939437</v>
      </c>
      <c r="AI22">
        <f>Worldprices!$R$67*AI$8</f>
        <v>3.6235239736939437</v>
      </c>
      <c r="AJ22">
        <f>Worldprices!$R$67*AJ$8</f>
        <v>3.6235239736939437</v>
      </c>
      <c r="AK22">
        <f>Worldprices!$R$67*AK$8</f>
        <v>3.6235239736939437</v>
      </c>
      <c r="AL22">
        <f>Worldprices!$R$67*AL$8</f>
        <v>3.6235239736939437</v>
      </c>
      <c r="AM22">
        <f>Worldprices!$R$67*AM$8</f>
        <v>3.6235239736939437</v>
      </c>
      <c r="AN22">
        <f>Worldprices!$R$67*AN$8</f>
        <v>3.6235239736939437</v>
      </c>
      <c r="AO22">
        <f>Worldprices!$R$67*AO$8</f>
        <v>3.6235239736939437</v>
      </c>
      <c r="AP22">
        <f>Worldprices!$R$67*AP$8</f>
        <v>3.6235239736939437</v>
      </c>
      <c r="AQ22">
        <f t="shared" si="1"/>
        <v>3.6235239736939437</v>
      </c>
    </row>
    <row r="23" spans="1:43" ht="12.75">
      <c r="A23" t="s">
        <v>248</v>
      </c>
      <c r="B23" t="s">
        <v>351</v>
      </c>
      <c r="C23" t="s">
        <v>154</v>
      </c>
      <c r="D23">
        <v>2015</v>
      </c>
      <c r="E23" t="str">
        <f>Worldprices!$C$62</f>
        <v>IMPCOAHAR*</v>
      </c>
      <c r="F23" t="str">
        <f>Worldprices!$C$63</f>
        <v>COAHAR</v>
      </c>
      <c r="G23">
        <f>Worldprices!$C$68*G$4</f>
        <v>2.9964754098360658</v>
      </c>
      <c r="H23">
        <f>Worldprices!$C$68*H$4</f>
        <v>2.8017045081967216</v>
      </c>
      <c r="I23">
        <f t="shared" si="0"/>
        <v>2.9964754098360658</v>
      </c>
      <c r="J23">
        <f>Worldprices!$C$68*J$4</f>
        <v>2.9964754098360658</v>
      </c>
      <c r="K23">
        <f>Worldprices!$C$68*K$4</f>
        <v>2.9964754098360658</v>
      </c>
      <c r="L23">
        <f>Worldprices!$C$68*L$4</f>
        <v>2.9964754098360658</v>
      </c>
      <c r="M23">
        <f>Worldprices!$C$68*M$4</f>
        <v>2.9964754098360658</v>
      </c>
      <c r="N23">
        <f>Worldprices!$C$68*N$4</f>
        <v>2.9964754098360658</v>
      </c>
      <c r="O23">
        <f>Worldprices!$C$68*O$4</f>
        <v>2.5470040983606559</v>
      </c>
      <c r="P23">
        <f>Worldprices!$C$68*P$4</f>
        <v>2.8466516393442625</v>
      </c>
      <c r="Q23">
        <f>Worldprices!$C$68*Q$4</f>
        <v>2.9964754098360658</v>
      </c>
      <c r="R23">
        <f>Worldprices!$C$68*R$4</f>
        <v>2.5470040983606559</v>
      </c>
      <c r="S23">
        <f>Worldprices!$C$68*S$4</f>
        <v>2.9964754098360658</v>
      </c>
      <c r="T23">
        <f>Worldprices!$C$68*T$4</f>
        <v>2.9964754098360658</v>
      </c>
      <c r="U23">
        <f>Worldprices!$C$68*U$4</f>
        <v>2.9964754098360658</v>
      </c>
      <c r="V23">
        <f>Worldprices!$C$68*V$4</f>
        <v>2.9964754098360658</v>
      </c>
      <c r="W23">
        <f>Worldprices!$C$68*W$4</f>
        <v>2.9964754098360658</v>
      </c>
      <c r="X23">
        <f>Worldprices!$C$68*X$4</f>
        <v>2.9964754098360658</v>
      </c>
      <c r="Y23">
        <f>Worldprices!$C$68*Y$4</f>
        <v>2.9964754098360658</v>
      </c>
      <c r="Z23">
        <f>Worldprices!$C$68*Z$4</f>
        <v>2.9964754098360658</v>
      </c>
      <c r="AA23">
        <f>Worldprices!$C$68*AA$4</f>
        <v>2.9964754098360658</v>
      </c>
      <c r="AB23">
        <f>Worldprices!$C$68*AB$4</f>
        <v>2.9964754098360658</v>
      </c>
      <c r="AC23">
        <f>Worldprices!$C$68*AC$4</f>
        <v>2.9964754098360658</v>
      </c>
      <c r="AD23">
        <f>Worldprices!$C$68*AD$4</f>
        <v>2.9964754098360658</v>
      </c>
      <c r="AE23">
        <f>Worldprices!$C$68*AE$4</f>
        <v>2.9964754098360658</v>
      </c>
      <c r="AF23">
        <f>Worldprices!$C$68*AF$4</f>
        <v>2.9964754098360658</v>
      </c>
      <c r="AG23">
        <f>Worldprices!$C$68*AG$4</f>
        <v>2.9964754098360658</v>
      </c>
      <c r="AH23">
        <f>Worldprices!$C$68*AH$4</f>
        <v>2.9964754098360658</v>
      </c>
      <c r="AI23">
        <f>Worldprices!$C$68*AI$4</f>
        <v>2.9964754098360658</v>
      </c>
      <c r="AJ23">
        <f>Worldprices!$C$68*AJ$4</f>
        <v>2.9964754098360658</v>
      </c>
      <c r="AK23">
        <f>Worldprices!$C$68*AK$4</f>
        <v>2.9964754098360658</v>
      </c>
      <c r="AL23">
        <f>Worldprices!$C$68*AL$4</f>
        <v>2.9964754098360658</v>
      </c>
      <c r="AM23">
        <f>Worldprices!$C$68*AM$4</f>
        <v>2.9964754098360658</v>
      </c>
      <c r="AN23">
        <f>Worldprices!$C$68*AN$4</f>
        <v>2.9964754098360658</v>
      </c>
      <c r="AO23">
        <f>Worldprices!$C$68*AO$4</f>
        <v>2.9964754098360658</v>
      </c>
      <c r="AP23">
        <f>Worldprices!$C$68*AP$4</f>
        <v>2.9964754098360658</v>
      </c>
      <c r="AQ23">
        <f t="shared" si="1"/>
        <v>2.9964754098360658</v>
      </c>
    </row>
    <row r="24" spans="1:43" ht="12.75">
      <c r="A24" t="s">
        <v>248</v>
      </c>
      <c r="B24" t="s">
        <v>351</v>
      </c>
      <c r="C24" t="s">
        <v>154</v>
      </c>
      <c r="D24">
        <v>2015</v>
      </c>
      <c r="E24" t="str">
        <f>Worldprices!$D$62</f>
        <v>IMPCOACOK*</v>
      </c>
      <c r="F24" t="str">
        <f>Worldprices!$D$63</f>
        <v>COACOK</v>
      </c>
      <c r="G24">
        <f>Worldprices!$D$68*G$4</f>
        <v>3.8055237704918037</v>
      </c>
      <c r="H24">
        <f>Worldprices!$D$68*H$4</f>
        <v>3.5581647254098367</v>
      </c>
      <c r="I24">
        <f t="shared" si="0"/>
        <v>3.8055237704918037</v>
      </c>
      <c r="J24">
        <f>Worldprices!$D$68*J$4</f>
        <v>3.8055237704918037</v>
      </c>
      <c r="K24">
        <f>Worldprices!$D$68*K$4</f>
        <v>3.8055237704918037</v>
      </c>
      <c r="L24">
        <f>Worldprices!$D$68*L$4</f>
        <v>3.8055237704918037</v>
      </c>
      <c r="M24">
        <f>Worldprices!$D$68*M$4</f>
        <v>3.8055237704918037</v>
      </c>
      <c r="N24">
        <f>Worldprices!$D$68*N$4</f>
        <v>3.8055237704918037</v>
      </c>
      <c r="O24">
        <f>Worldprices!$D$68*O$4</f>
        <v>3.2346952049180331</v>
      </c>
      <c r="P24">
        <f>Worldprices!$D$68*P$4</f>
        <v>3.6152475819672132</v>
      </c>
      <c r="Q24">
        <f>Worldprices!$D$68*Q$4</f>
        <v>3.8055237704918037</v>
      </c>
      <c r="R24">
        <f>Worldprices!$D$68*R$4</f>
        <v>3.2346952049180331</v>
      </c>
      <c r="S24">
        <f>Worldprices!$D$68*S$4</f>
        <v>3.8055237704918037</v>
      </c>
      <c r="T24">
        <f>Worldprices!$D$68*T$4</f>
        <v>3.8055237704918037</v>
      </c>
      <c r="U24">
        <f>Worldprices!$D$68*U$4</f>
        <v>3.8055237704918037</v>
      </c>
      <c r="V24">
        <f>Worldprices!$D$68*V$4</f>
        <v>3.8055237704918037</v>
      </c>
      <c r="W24">
        <f>Worldprices!$D$68*W$4</f>
        <v>3.8055237704918037</v>
      </c>
      <c r="X24">
        <f>Worldprices!$D$68*X$4</f>
        <v>3.8055237704918037</v>
      </c>
      <c r="Y24">
        <f>Worldprices!$D$68*Y$4</f>
        <v>3.8055237704918037</v>
      </c>
      <c r="Z24">
        <f>Worldprices!$D$68*Z$4</f>
        <v>3.8055237704918037</v>
      </c>
      <c r="AA24">
        <f>Worldprices!$D$68*AA$4</f>
        <v>3.8055237704918037</v>
      </c>
      <c r="AB24">
        <f>Worldprices!$D$68*AB$4</f>
        <v>3.8055237704918037</v>
      </c>
      <c r="AC24">
        <f>Worldprices!$D$68*AC$4</f>
        <v>3.8055237704918037</v>
      </c>
      <c r="AD24">
        <f>Worldprices!$D$68*AD$4</f>
        <v>3.8055237704918037</v>
      </c>
      <c r="AE24">
        <f>Worldprices!$D$68*AE$4</f>
        <v>3.8055237704918037</v>
      </c>
      <c r="AF24">
        <f>Worldprices!$D$68*AF$4</f>
        <v>3.8055237704918037</v>
      </c>
      <c r="AG24">
        <f>Worldprices!$D$68*AG$4</f>
        <v>3.8055237704918037</v>
      </c>
      <c r="AH24">
        <f>Worldprices!$D$68*AH$4</f>
        <v>3.8055237704918037</v>
      </c>
      <c r="AI24">
        <f>Worldprices!$D$68*AI$4</f>
        <v>3.8055237704918037</v>
      </c>
      <c r="AJ24">
        <f>Worldprices!$D$68*AJ$4</f>
        <v>3.8055237704918037</v>
      </c>
      <c r="AK24">
        <f>Worldprices!$D$68*AK$4</f>
        <v>3.8055237704918037</v>
      </c>
      <c r="AL24">
        <f>Worldprices!$D$68*AL$4</f>
        <v>3.8055237704918037</v>
      </c>
      <c r="AM24">
        <f>Worldprices!$D$68*AM$4</f>
        <v>3.8055237704918037</v>
      </c>
      <c r="AN24">
        <f>Worldprices!$D$68*AN$4</f>
        <v>3.8055237704918037</v>
      </c>
      <c r="AO24">
        <f>Worldprices!$D$68*AO$4</f>
        <v>3.8055237704918037</v>
      </c>
      <c r="AP24">
        <f>Worldprices!$D$68*AP$4</f>
        <v>3.8055237704918037</v>
      </c>
      <c r="AQ24">
        <f t="shared" si="1"/>
        <v>3.8055237704918037</v>
      </c>
    </row>
    <row r="25" spans="1:43" ht="12.75">
      <c r="A25" t="s">
        <v>248</v>
      </c>
      <c r="B25" t="s">
        <v>351</v>
      </c>
      <c r="C25" t="s">
        <v>154</v>
      </c>
      <c r="D25">
        <v>2015</v>
      </c>
      <c r="E25" t="str">
        <f>Worldprices!$E$62</f>
        <v>IMPCOABRO*</v>
      </c>
      <c r="F25" t="str">
        <f>Worldprices!$E$63</f>
        <v>COABRO</v>
      </c>
      <c r="G25">
        <f>Worldprices!$E$68*G$4</f>
        <v>2.8466516393442625</v>
      </c>
      <c r="H25">
        <f>Worldprices!$E$68*H$4</f>
        <v>2.6616192827868854</v>
      </c>
      <c r="I25">
        <f t="shared" si="0"/>
        <v>2.8466516393442625</v>
      </c>
      <c r="J25">
        <f>Worldprices!$E$68*J$4</f>
        <v>2.8466516393442625</v>
      </c>
      <c r="K25">
        <f>Worldprices!$E$68*K$4</f>
        <v>2.8466516393442625</v>
      </c>
      <c r="L25">
        <f>Worldprices!$E$68*L$4</f>
        <v>2.8466516393442625</v>
      </c>
      <c r="M25">
        <f>Worldprices!$E$68*M$4</f>
        <v>2.8466516393442625</v>
      </c>
      <c r="N25">
        <f>Worldprices!$E$68*N$4</f>
        <v>2.8466516393442625</v>
      </c>
      <c r="O25">
        <f>Worldprices!$E$68*O$4</f>
        <v>2.4196538934426228</v>
      </c>
      <c r="P25">
        <f>Worldprices!$E$68*P$4</f>
        <v>2.7043190573770493</v>
      </c>
      <c r="Q25">
        <f>Worldprices!$E$68*Q$4</f>
        <v>2.8466516393442625</v>
      </c>
      <c r="R25">
        <f>Worldprices!$E$68*R$4</f>
        <v>2.4196538934426228</v>
      </c>
      <c r="S25">
        <f>Worldprices!$E$68*S$4</f>
        <v>2.8466516393442625</v>
      </c>
      <c r="T25">
        <f>Worldprices!$E$68*T$4</f>
        <v>2.8466516393442625</v>
      </c>
      <c r="U25">
        <f>Worldprices!$E$68*U$4</f>
        <v>2.8466516393442625</v>
      </c>
      <c r="V25">
        <f>Worldprices!$E$68*V$4</f>
        <v>2.8466516393442625</v>
      </c>
      <c r="W25">
        <f>Worldprices!$E$68*W$4</f>
        <v>2.8466516393442625</v>
      </c>
      <c r="X25">
        <f>Worldprices!$E$68*X$4</f>
        <v>2.8466516393442625</v>
      </c>
      <c r="Y25">
        <f>Worldprices!$E$68*Y$4</f>
        <v>2.8466516393442625</v>
      </c>
      <c r="Z25">
        <f>Worldprices!$E$68*Z$4</f>
        <v>2.8466516393442625</v>
      </c>
      <c r="AA25">
        <f>Worldprices!$E$68*AA$4</f>
        <v>2.8466516393442625</v>
      </c>
      <c r="AB25">
        <f>Worldprices!$E$68*AB$4</f>
        <v>2.8466516393442625</v>
      </c>
      <c r="AC25">
        <f>Worldprices!$E$68*AC$4</f>
        <v>2.8466516393442625</v>
      </c>
      <c r="AD25">
        <f>Worldprices!$E$68*AD$4</f>
        <v>2.8466516393442625</v>
      </c>
      <c r="AE25">
        <f>Worldprices!$E$68*AE$4</f>
        <v>2.8466516393442625</v>
      </c>
      <c r="AF25">
        <f>Worldprices!$E$68*AF$4</f>
        <v>2.8466516393442625</v>
      </c>
      <c r="AG25">
        <f>Worldprices!$E$68*AG$4</f>
        <v>2.8466516393442625</v>
      </c>
      <c r="AH25">
        <f>Worldprices!$E$68*AH$4</f>
        <v>2.8466516393442625</v>
      </c>
      <c r="AI25">
        <f>Worldprices!$E$68*AI$4</f>
        <v>2.8466516393442625</v>
      </c>
      <c r="AJ25">
        <f>Worldprices!$E$68*AJ$4</f>
        <v>2.8466516393442625</v>
      </c>
      <c r="AK25">
        <f>Worldprices!$E$68*AK$4</f>
        <v>2.8466516393442625</v>
      </c>
      <c r="AL25">
        <f>Worldprices!$E$68*AL$4</f>
        <v>2.8466516393442625</v>
      </c>
      <c r="AM25">
        <f>Worldprices!$E$68*AM$4</f>
        <v>2.8466516393442625</v>
      </c>
      <c r="AN25">
        <f>Worldprices!$E$68*AN$4</f>
        <v>2.8466516393442625</v>
      </c>
      <c r="AO25">
        <f>Worldprices!$E$68*AO$4</f>
        <v>2.8466516393442625</v>
      </c>
      <c r="AP25">
        <f>Worldprices!$E$68*AP$4</f>
        <v>2.8466516393442625</v>
      </c>
      <c r="AQ25">
        <f t="shared" si="1"/>
        <v>2.8466516393442625</v>
      </c>
    </row>
    <row r="26" spans="1:43" ht="12.75">
      <c r="A26" t="s">
        <v>248</v>
      </c>
      <c r="B26" t="s">
        <v>351</v>
      </c>
      <c r="C26" t="s">
        <v>154</v>
      </c>
      <c r="D26">
        <v>2015</v>
      </c>
      <c r="E26" t="str">
        <f>Worldprices!$F$62</f>
        <v>IMPCOALIG*</v>
      </c>
      <c r="F26" t="str">
        <f>Worldprices!$F$63</f>
        <v>COALIG</v>
      </c>
      <c r="G26">
        <f>Worldprices!$F$68*G$4</f>
        <v>2.8466516393442625</v>
      </c>
      <c r="H26">
        <f>Worldprices!$F$68*H$4</f>
        <v>2.6616192827868854</v>
      </c>
      <c r="I26">
        <f t="shared" si="0"/>
        <v>2.8466516393442625</v>
      </c>
      <c r="J26">
        <f>Worldprices!$F$68*J$4</f>
        <v>2.8466516393442625</v>
      </c>
      <c r="K26">
        <f>Worldprices!$F$68*K$4</f>
        <v>2.8466516393442625</v>
      </c>
      <c r="L26">
        <f>Worldprices!$F$68*L$4</f>
        <v>2.8466516393442625</v>
      </c>
      <c r="M26">
        <f>Worldprices!$F$68*M$4</f>
        <v>2.8466516393442625</v>
      </c>
      <c r="N26">
        <f>Worldprices!$F$68*N$4</f>
        <v>2.8466516393442625</v>
      </c>
      <c r="O26">
        <f>Worldprices!$F$68*O$4</f>
        <v>2.4196538934426228</v>
      </c>
      <c r="P26">
        <f>Worldprices!$F$68*P$4</f>
        <v>2.7043190573770493</v>
      </c>
      <c r="Q26">
        <f>Worldprices!$F$68*Q$4</f>
        <v>2.8466516393442625</v>
      </c>
      <c r="R26">
        <f>Worldprices!$F$68*R$4</f>
        <v>2.4196538934426228</v>
      </c>
      <c r="S26">
        <f>Worldprices!$F$68*S$4</f>
        <v>2.8466516393442625</v>
      </c>
      <c r="T26">
        <f>Worldprices!$F$68*T$4</f>
        <v>2.8466516393442625</v>
      </c>
      <c r="U26">
        <f>Worldprices!$F$68*U$4</f>
        <v>2.8466516393442625</v>
      </c>
      <c r="V26">
        <f>Worldprices!$F$68*V$4</f>
        <v>2.8466516393442625</v>
      </c>
      <c r="W26">
        <f>Worldprices!$F$68*W$4</f>
        <v>2.8466516393442625</v>
      </c>
      <c r="X26">
        <f>Worldprices!$F$68*X$4</f>
        <v>2.8466516393442625</v>
      </c>
      <c r="Y26">
        <f>Worldprices!$F$68*Y$4</f>
        <v>2.8466516393442625</v>
      </c>
      <c r="Z26">
        <f>Worldprices!$F$68*Z$4</f>
        <v>2.8466516393442625</v>
      </c>
      <c r="AA26">
        <f>Worldprices!$F$68*AA$4</f>
        <v>2.8466516393442625</v>
      </c>
      <c r="AB26">
        <f>Worldprices!$F$68*AB$4</f>
        <v>2.8466516393442625</v>
      </c>
      <c r="AC26">
        <f>Worldprices!$F$68*AC$4</f>
        <v>2.8466516393442625</v>
      </c>
      <c r="AD26">
        <f>Worldprices!$F$68*AD$4</f>
        <v>2.8466516393442625</v>
      </c>
      <c r="AE26">
        <f>Worldprices!$F$68*AE$4</f>
        <v>2.8466516393442625</v>
      </c>
      <c r="AF26">
        <f>Worldprices!$F$68*AF$4</f>
        <v>2.8466516393442625</v>
      </c>
      <c r="AG26">
        <f>Worldprices!$F$68*AG$4</f>
        <v>2.8466516393442625</v>
      </c>
      <c r="AH26">
        <f>Worldprices!$F$68*AH$4</f>
        <v>2.8466516393442625</v>
      </c>
      <c r="AI26">
        <f>Worldprices!$F$68*AI$4</f>
        <v>2.8466516393442625</v>
      </c>
      <c r="AJ26">
        <f>Worldprices!$F$68*AJ$4</f>
        <v>2.8466516393442625</v>
      </c>
      <c r="AK26">
        <f>Worldprices!$F$68*AK$4</f>
        <v>2.8466516393442625</v>
      </c>
      <c r="AL26">
        <f>Worldprices!$F$68*AL$4</f>
        <v>2.8466516393442625</v>
      </c>
      <c r="AM26">
        <f>Worldprices!$F$68*AM$4</f>
        <v>2.8466516393442625</v>
      </c>
      <c r="AN26">
        <f>Worldprices!$F$68*AN$4</f>
        <v>2.8466516393442625</v>
      </c>
      <c r="AO26">
        <f>Worldprices!$F$68*AO$4</f>
        <v>2.8466516393442625</v>
      </c>
      <c r="AP26">
        <f>Worldprices!$F$68*AP$4</f>
        <v>2.8466516393442625</v>
      </c>
      <c r="AQ26">
        <f t="shared" si="1"/>
        <v>2.8466516393442625</v>
      </c>
    </row>
    <row r="27" spans="1:43" ht="12.75">
      <c r="A27" t="s">
        <v>248</v>
      </c>
      <c r="B27" t="s">
        <v>351</v>
      </c>
      <c r="C27" t="s">
        <v>154</v>
      </c>
      <c r="D27">
        <v>2015</v>
      </c>
      <c r="E27" t="str">
        <f>Worldprices!$M$62</f>
        <v>IMPOILOTH</v>
      </c>
      <c r="F27" t="str">
        <f>Worldprices!$M$63</f>
        <v>OILOTH</v>
      </c>
      <c r="G27">
        <f>Worldprices!$M$68*G$6</f>
        <v>9.5648360655737719</v>
      </c>
      <c r="H27">
        <f>Worldprices!$M$68*H$6</f>
        <v>9.5648360655737719</v>
      </c>
      <c r="I27">
        <f t="shared" si="0"/>
        <v>9.5648360655737719</v>
      </c>
      <c r="J27">
        <f>Worldprices!$M$68*J$6</f>
        <v>9.5648360655737719</v>
      </c>
      <c r="K27">
        <f>Worldprices!$M$68*K$6</f>
        <v>9.5648360655737719</v>
      </c>
      <c r="L27">
        <f>Worldprices!$M$68*L$6</f>
        <v>9.5648360655737719</v>
      </c>
      <c r="M27">
        <f>Worldprices!$M$68*M$6</f>
        <v>9.5648360655737719</v>
      </c>
      <c r="N27">
        <f>Worldprices!$M$68*N$6</f>
        <v>9.5648360655737719</v>
      </c>
      <c r="O27">
        <f>Worldprices!$M$68*O$6</f>
        <v>9.5648360655737719</v>
      </c>
      <c r="P27">
        <f>Worldprices!$M$68*P$6</f>
        <v>9.5648360655737719</v>
      </c>
      <c r="Q27">
        <f>Worldprices!$M$68*Q$6</f>
        <v>9.5648360655737719</v>
      </c>
      <c r="R27">
        <f>Worldprices!$M$68*R$6</f>
        <v>9.5648360655737719</v>
      </c>
      <c r="S27">
        <f>Worldprices!$M$68*S$6</f>
        <v>9.5648360655737719</v>
      </c>
      <c r="T27">
        <f>Worldprices!$M$68*T$6</f>
        <v>9.5648360655737719</v>
      </c>
      <c r="U27">
        <f>Worldprices!$M$68*U$6</f>
        <v>9.0865942622950833</v>
      </c>
      <c r="V27">
        <f>Worldprices!$M$68*V$6</f>
        <v>9.5648360655737719</v>
      </c>
      <c r="W27">
        <f>Worldprices!$M$68*W$6</f>
        <v>9.5648360655737719</v>
      </c>
      <c r="X27">
        <f>Worldprices!$M$68*X$6</f>
        <v>9.5648360655737719</v>
      </c>
      <c r="Y27">
        <f>Worldprices!$M$68*Y$6</f>
        <v>9.5648360655737719</v>
      </c>
      <c r="Z27">
        <f>Worldprices!$M$68*Z$6</f>
        <v>9.5648360655737719</v>
      </c>
      <c r="AA27">
        <f>Worldprices!$M$68*AA$6</f>
        <v>9.5648360655737719</v>
      </c>
      <c r="AB27">
        <f>Worldprices!$M$68*AB$6</f>
        <v>9.5648360655737719</v>
      </c>
      <c r="AC27">
        <f>Worldprices!$M$68*AC$6</f>
        <v>9.5648360655737719</v>
      </c>
      <c r="AD27">
        <f>Worldprices!$M$68*AD$6</f>
        <v>9.5648360655737719</v>
      </c>
      <c r="AE27">
        <f>Worldprices!$M$68*AE$6</f>
        <v>9.5648360655737719</v>
      </c>
      <c r="AF27">
        <f>Worldprices!$M$68*AF$6</f>
        <v>9.5648360655737719</v>
      </c>
      <c r="AG27">
        <f>Worldprices!$M$68*AG$6</f>
        <v>9.5648360655737719</v>
      </c>
      <c r="AH27">
        <f>Worldprices!$M$68*AH$6</f>
        <v>9.5648360655737719</v>
      </c>
      <c r="AI27">
        <f>Worldprices!$M$68*AI$6</f>
        <v>9.5648360655737719</v>
      </c>
      <c r="AJ27">
        <f>Worldprices!$M$68*AJ$6</f>
        <v>9.5648360655737719</v>
      </c>
      <c r="AK27">
        <f>Worldprices!$M$68*AK$6</f>
        <v>9.5648360655737719</v>
      </c>
      <c r="AL27">
        <f>Worldprices!$M$68*AL$6</f>
        <v>9.5648360655737719</v>
      </c>
      <c r="AM27">
        <f>Worldprices!$M$68*AM$6</f>
        <v>9.5648360655737719</v>
      </c>
      <c r="AN27">
        <f>Worldprices!$M$68*AN$6</f>
        <v>9.5648360655737719</v>
      </c>
      <c r="AO27">
        <f>Worldprices!$M$68*AO$6</f>
        <v>9.5648360655737719</v>
      </c>
      <c r="AP27">
        <f>Worldprices!$M$68*AP$6</f>
        <v>9.5648360655737719</v>
      </c>
      <c r="AQ27">
        <f t="shared" si="1"/>
        <v>9.5648360655737719</v>
      </c>
    </row>
    <row r="28" spans="1:43" ht="12.75">
      <c r="A28" t="s">
        <v>248</v>
      </c>
      <c r="B28" t="s">
        <v>351</v>
      </c>
      <c r="C28" t="s">
        <v>154</v>
      </c>
      <c r="D28">
        <v>2015</v>
      </c>
      <c r="E28" t="str">
        <f>Worldprices!$N$62</f>
        <v>IMPOILNAP</v>
      </c>
      <c r="F28" t="str">
        <f>Worldprices!$N$63</f>
        <v>OILNAP</v>
      </c>
      <c r="G28">
        <f>Worldprices!$N$68*G$6</f>
        <v>9.5648360655737719</v>
      </c>
      <c r="H28">
        <f>Worldprices!$N$68*H$6</f>
        <v>9.5648360655737719</v>
      </c>
      <c r="I28">
        <f t="shared" si="0"/>
        <v>9.5648360655737719</v>
      </c>
      <c r="J28">
        <f>Worldprices!$N$68*J$6</f>
        <v>9.5648360655737719</v>
      </c>
      <c r="K28">
        <f>Worldprices!$N$68*K$6</f>
        <v>9.5648360655737719</v>
      </c>
      <c r="L28">
        <f>Worldprices!$N$68*L$6</f>
        <v>9.5648360655737719</v>
      </c>
      <c r="M28">
        <f>Worldprices!$N$68*M$6</f>
        <v>9.5648360655737719</v>
      </c>
      <c r="N28">
        <f>Worldprices!$N$68*N$6</f>
        <v>9.5648360655737719</v>
      </c>
      <c r="O28">
        <f>Worldprices!$N$68*O$6</f>
        <v>9.5648360655737719</v>
      </c>
      <c r="P28">
        <f>Worldprices!$N$68*P$6</f>
        <v>9.5648360655737719</v>
      </c>
      <c r="Q28">
        <f>Worldprices!$N$68*Q$6</f>
        <v>9.5648360655737719</v>
      </c>
      <c r="R28">
        <f>Worldprices!$N$68*R$6</f>
        <v>9.5648360655737719</v>
      </c>
      <c r="S28">
        <f>Worldprices!$N$68*S$6</f>
        <v>9.5648360655737719</v>
      </c>
      <c r="T28">
        <f>Worldprices!$N$68*T$6</f>
        <v>9.5648360655737719</v>
      </c>
      <c r="U28">
        <f>Worldprices!$N$68*U$6</f>
        <v>9.0865942622950833</v>
      </c>
      <c r="V28">
        <f>Worldprices!$N$68*V$6</f>
        <v>9.5648360655737719</v>
      </c>
      <c r="W28">
        <f>Worldprices!$N$68*W$6</f>
        <v>9.5648360655737719</v>
      </c>
      <c r="X28">
        <f>Worldprices!$N$68*X$6</f>
        <v>9.5648360655737719</v>
      </c>
      <c r="Y28">
        <f>Worldprices!$N$68*Y$6</f>
        <v>9.5648360655737719</v>
      </c>
      <c r="Z28">
        <f>Worldprices!$N$68*Z$6</f>
        <v>9.5648360655737719</v>
      </c>
      <c r="AA28">
        <f>Worldprices!$N$68*AA$6</f>
        <v>9.5648360655737719</v>
      </c>
      <c r="AB28">
        <f>Worldprices!$N$68*AB$6</f>
        <v>9.5648360655737719</v>
      </c>
      <c r="AC28">
        <f>Worldprices!$N$68*AC$6</f>
        <v>9.5648360655737719</v>
      </c>
      <c r="AD28">
        <f>Worldprices!$N$68*AD$6</f>
        <v>9.5648360655737719</v>
      </c>
      <c r="AE28">
        <f>Worldprices!$N$68*AE$6</f>
        <v>9.5648360655737719</v>
      </c>
      <c r="AF28">
        <f>Worldprices!$N$68*AF$6</f>
        <v>9.5648360655737719</v>
      </c>
      <c r="AG28">
        <f>Worldprices!$N$68*AG$6</f>
        <v>9.5648360655737719</v>
      </c>
      <c r="AH28">
        <f>Worldprices!$N$68*AH$6</f>
        <v>9.5648360655737719</v>
      </c>
      <c r="AI28">
        <f>Worldprices!$N$68*AI$6</f>
        <v>9.5648360655737719</v>
      </c>
      <c r="AJ28">
        <f>Worldprices!$N$68*AJ$6</f>
        <v>9.5648360655737719</v>
      </c>
      <c r="AK28">
        <f>Worldprices!$N$68*AK$6</f>
        <v>9.5648360655737719</v>
      </c>
      <c r="AL28">
        <f>Worldprices!$N$68*AL$6</f>
        <v>9.5648360655737719</v>
      </c>
      <c r="AM28">
        <f>Worldprices!$N$68*AM$6</f>
        <v>9.5648360655737719</v>
      </c>
      <c r="AN28">
        <f>Worldprices!$N$68*AN$6</f>
        <v>9.5648360655737719</v>
      </c>
      <c r="AO28">
        <f>Worldprices!$N$68*AO$6</f>
        <v>9.5648360655737719</v>
      </c>
      <c r="AP28">
        <f>Worldprices!$N$68*AP$6</f>
        <v>9.5648360655737719</v>
      </c>
      <c r="AQ28">
        <f t="shared" si="1"/>
        <v>9.5648360655737719</v>
      </c>
    </row>
    <row r="29" spans="1:43" ht="12.75">
      <c r="A29" t="s">
        <v>248</v>
      </c>
      <c r="B29" t="s">
        <v>351</v>
      </c>
      <c r="C29" t="s">
        <v>154</v>
      </c>
      <c r="D29">
        <v>2015</v>
      </c>
      <c r="E29" t="str">
        <f>Worldprices!$O$62</f>
        <v>IMPOILFDS</v>
      </c>
      <c r="F29" t="str">
        <f>Worldprices!$O$63</f>
        <v>OILFDS</v>
      </c>
      <c r="G29">
        <f>Worldprices!$O$68*G$6</f>
        <v>9.5648360655737719</v>
      </c>
      <c r="H29">
        <f>Worldprices!$O$68*H$6</f>
        <v>9.5648360655737719</v>
      </c>
      <c r="I29">
        <f t="shared" si="0"/>
        <v>9.5648360655737719</v>
      </c>
      <c r="J29">
        <f>Worldprices!$O$68*J$6</f>
        <v>9.5648360655737719</v>
      </c>
      <c r="K29">
        <f>Worldprices!$O$68*K$6</f>
        <v>9.5648360655737719</v>
      </c>
      <c r="L29">
        <f>Worldprices!$O$68*L$6</f>
        <v>9.5648360655737719</v>
      </c>
      <c r="M29">
        <f>Worldprices!$O$68*M$6</f>
        <v>9.5648360655737719</v>
      </c>
      <c r="N29">
        <f>Worldprices!$O$68*N$6</f>
        <v>9.5648360655737719</v>
      </c>
      <c r="O29">
        <f>Worldprices!$O$68*O$6</f>
        <v>9.5648360655737719</v>
      </c>
      <c r="P29">
        <f>Worldprices!$O$68*P$6</f>
        <v>9.5648360655737719</v>
      </c>
      <c r="Q29">
        <f>Worldprices!$O$68*Q$6</f>
        <v>9.5648360655737719</v>
      </c>
      <c r="R29">
        <f>Worldprices!$O$68*R$6</f>
        <v>9.5648360655737719</v>
      </c>
      <c r="S29">
        <f>Worldprices!$O$68*S$6</f>
        <v>9.5648360655737719</v>
      </c>
      <c r="T29">
        <f>Worldprices!$O$68*T$6</f>
        <v>9.5648360655737719</v>
      </c>
      <c r="U29">
        <f>Worldprices!$O$68*U$6</f>
        <v>9.0865942622950833</v>
      </c>
      <c r="V29">
        <f>Worldprices!$O$68*V$6</f>
        <v>9.5648360655737719</v>
      </c>
      <c r="W29">
        <f>Worldprices!$O$68*W$6</f>
        <v>9.5648360655737719</v>
      </c>
      <c r="X29">
        <f>Worldprices!$O$68*X$6</f>
        <v>9.5648360655737719</v>
      </c>
      <c r="Y29">
        <f>Worldprices!$O$68*Y$6</f>
        <v>9.5648360655737719</v>
      </c>
      <c r="Z29">
        <f>Worldprices!$O$68*Z$6</f>
        <v>9.5648360655737719</v>
      </c>
      <c r="AA29">
        <f>Worldprices!$O$68*AA$6</f>
        <v>9.5648360655737719</v>
      </c>
      <c r="AB29">
        <f>Worldprices!$O$68*AB$6</f>
        <v>9.5648360655737719</v>
      </c>
      <c r="AC29">
        <f>Worldprices!$O$68*AC$6</f>
        <v>9.5648360655737719</v>
      </c>
      <c r="AD29">
        <f>Worldprices!$O$68*AD$6</f>
        <v>9.5648360655737719</v>
      </c>
      <c r="AE29">
        <f>Worldprices!$O$68*AE$6</f>
        <v>9.5648360655737719</v>
      </c>
      <c r="AF29">
        <f>Worldprices!$O$68*AF$6</f>
        <v>9.5648360655737719</v>
      </c>
      <c r="AG29">
        <f>Worldprices!$O$68*AG$6</f>
        <v>9.5648360655737719</v>
      </c>
      <c r="AH29">
        <f>Worldprices!$O$68*AH$6</f>
        <v>9.5648360655737719</v>
      </c>
      <c r="AI29">
        <f>Worldprices!$O$68*AI$6</f>
        <v>9.5648360655737719</v>
      </c>
      <c r="AJ29">
        <f>Worldprices!$O$68*AJ$6</f>
        <v>9.5648360655737719</v>
      </c>
      <c r="AK29">
        <f>Worldprices!$O$68*AK$6</f>
        <v>9.5648360655737719</v>
      </c>
      <c r="AL29">
        <f>Worldprices!$O$68*AL$6</f>
        <v>9.5648360655737719</v>
      </c>
      <c r="AM29">
        <f>Worldprices!$O$68*AM$6</f>
        <v>9.5648360655737719</v>
      </c>
      <c r="AN29">
        <f>Worldprices!$O$68*AN$6</f>
        <v>9.5648360655737719</v>
      </c>
      <c r="AO29">
        <f>Worldprices!$O$68*AO$6</f>
        <v>9.5648360655737719</v>
      </c>
      <c r="AP29">
        <f>Worldprices!$O$68*AP$6</f>
        <v>9.5648360655737719</v>
      </c>
      <c r="AQ29">
        <f t="shared" si="1"/>
        <v>9.5648360655737719</v>
      </c>
    </row>
    <row r="30" spans="1:43" ht="12.75">
      <c r="A30" t="s">
        <v>248</v>
      </c>
      <c r="B30" t="s">
        <v>351</v>
      </c>
      <c r="C30" t="s">
        <v>154</v>
      </c>
      <c r="D30">
        <v>2015</v>
      </c>
      <c r="E30" t="str">
        <f>Worldprices!$P$62</f>
        <v>IMPOILNEU</v>
      </c>
      <c r="F30" t="str">
        <f>Worldprices!$P$63</f>
        <v>OILNEU</v>
      </c>
      <c r="G30">
        <f>Worldprices!$P$68*G$6</f>
        <v>9.5648360655737719</v>
      </c>
      <c r="H30">
        <f>Worldprices!$P$68*H$6</f>
        <v>9.5648360655737719</v>
      </c>
      <c r="I30">
        <f t="shared" si="0"/>
        <v>9.5648360655737719</v>
      </c>
      <c r="J30">
        <f>Worldprices!$P$68*J$6</f>
        <v>9.5648360655737719</v>
      </c>
      <c r="K30">
        <f>Worldprices!$P$68*K$6</f>
        <v>9.5648360655737719</v>
      </c>
      <c r="L30">
        <f>Worldprices!$P$68*L$6</f>
        <v>9.5648360655737719</v>
      </c>
      <c r="M30">
        <f>Worldprices!$P$68*M$6</f>
        <v>9.5648360655737719</v>
      </c>
      <c r="N30">
        <f>Worldprices!$P$68*N$6</f>
        <v>9.5648360655737719</v>
      </c>
      <c r="O30">
        <f>Worldprices!$P$68*O$6</f>
        <v>9.5648360655737719</v>
      </c>
      <c r="P30">
        <f>Worldprices!$P$68*P$6</f>
        <v>9.5648360655737719</v>
      </c>
      <c r="Q30">
        <f>Worldprices!$P$68*Q$6</f>
        <v>9.5648360655737719</v>
      </c>
      <c r="R30">
        <f>Worldprices!$P$68*R$6</f>
        <v>9.5648360655737719</v>
      </c>
      <c r="S30">
        <f>Worldprices!$P$68*S$6</f>
        <v>9.5648360655737719</v>
      </c>
      <c r="T30">
        <f>Worldprices!$P$68*T$6</f>
        <v>9.5648360655737719</v>
      </c>
      <c r="U30">
        <f>Worldprices!$P$68*U$6</f>
        <v>9.0865942622950833</v>
      </c>
      <c r="V30">
        <f>Worldprices!$P$68*V$6</f>
        <v>9.5648360655737719</v>
      </c>
      <c r="W30">
        <f>Worldprices!$P$68*W$6</f>
        <v>9.5648360655737719</v>
      </c>
      <c r="X30">
        <f>Worldprices!$P$68*X$6</f>
        <v>9.5648360655737719</v>
      </c>
      <c r="Y30">
        <f>Worldprices!$P$68*Y$6</f>
        <v>9.5648360655737719</v>
      </c>
      <c r="Z30">
        <f>Worldprices!$P$68*Z$6</f>
        <v>9.5648360655737719</v>
      </c>
      <c r="AA30">
        <f>Worldprices!$P$68*AA$6</f>
        <v>9.5648360655737719</v>
      </c>
      <c r="AB30">
        <f>Worldprices!$P$68*AB$6</f>
        <v>9.5648360655737719</v>
      </c>
      <c r="AC30">
        <f>Worldprices!$P$68*AC$6</f>
        <v>9.5648360655737719</v>
      </c>
      <c r="AD30">
        <f>Worldprices!$P$68*AD$6</f>
        <v>9.5648360655737719</v>
      </c>
      <c r="AE30">
        <f>Worldprices!$P$68*AE$6</f>
        <v>9.5648360655737719</v>
      </c>
      <c r="AF30">
        <f>Worldprices!$P$68*AF$6</f>
        <v>9.5648360655737719</v>
      </c>
      <c r="AG30">
        <f>Worldprices!$P$68*AG$6</f>
        <v>9.5648360655737719</v>
      </c>
      <c r="AH30">
        <f>Worldprices!$P$68*AH$6</f>
        <v>9.5648360655737719</v>
      </c>
      <c r="AI30">
        <f>Worldprices!$P$68*AI$6</f>
        <v>9.5648360655737719</v>
      </c>
      <c r="AJ30">
        <f>Worldprices!$P$68*AJ$6</f>
        <v>9.5648360655737719</v>
      </c>
      <c r="AK30">
        <f>Worldprices!$P$68*AK$6</f>
        <v>9.5648360655737719</v>
      </c>
      <c r="AL30">
        <f>Worldprices!$P$68*AL$6</f>
        <v>9.5648360655737719</v>
      </c>
      <c r="AM30">
        <f>Worldprices!$P$68*AM$6</f>
        <v>9.5648360655737719</v>
      </c>
      <c r="AN30">
        <f>Worldprices!$P$68*AN$6</f>
        <v>9.5648360655737719</v>
      </c>
      <c r="AO30">
        <f>Worldprices!$P$68*AO$6</f>
        <v>9.5648360655737719</v>
      </c>
      <c r="AP30">
        <f>Worldprices!$P$68*AP$6</f>
        <v>9.5648360655737719</v>
      </c>
      <c r="AQ30">
        <f t="shared" si="1"/>
        <v>9.5648360655737719</v>
      </c>
    </row>
    <row r="31" spans="1:43" ht="12.75">
      <c r="A31" t="s">
        <v>248</v>
      </c>
      <c r="B31" t="s">
        <v>351</v>
      </c>
      <c r="C31" t="s">
        <v>305</v>
      </c>
      <c r="D31">
        <v>2015</v>
      </c>
      <c r="E31" t="str">
        <f>Worldprices!$R$62</f>
        <v>IMPBIOWOO</v>
      </c>
      <c r="F31" t="str">
        <f>Worldprices!$R$63</f>
        <v>BIOWOO</v>
      </c>
      <c r="G31">
        <f>Worldprices!$R$68*G$8</f>
        <v>3.9615945816814717</v>
      </c>
      <c r="H31">
        <f>Worldprices!$R$68*H$8</f>
        <v>3.9615945816814717</v>
      </c>
      <c r="I31">
        <f t="shared" si="0"/>
        <v>3.9615945816814717</v>
      </c>
      <c r="J31">
        <f>Worldprices!$R$68*J$8</f>
        <v>3.9615945816814717</v>
      </c>
      <c r="K31">
        <f>Worldprices!$R$68*K$8</f>
        <v>3.9615945816814717</v>
      </c>
      <c r="L31">
        <f>Worldprices!$R$68*L$8</f>
        <v>3.9615945816814717</v>
      </c>
      <c r="M31">
        <f>Worldprices!$R$68*M$8</f>
        <v>3.9615945816814717</v>
      </c>
      <c r="N31">
        <f>Worldprices!$R$68*N$8</f>
        <v>3.9615945816814717</v>
      </c>
      <c r="O31">
        <f>Worldprices!$R$68*O$8</f>
        <v>3.9615945816814717</v>
      </c>
      <c r="P31">
        <f>Worldprices!$R$68*P$8</f>
        <v>3.9615945816814717</v>
      </c>
      <c r="Q31">
        <f>Worldprices!$R$68*Q$8</f>
        <v>3.9615945816814717</v>
      </c>
      <c r="R31">
        <f>Worldprices!$R$68*R$8</f>
        <v>3.9615945816814717</v>
      </c>
      <c r="S31">
        <f>Worldprices!$R$68*S$8</f>
        <v>3.9615945816814717</v>
      </c>
      <c r="T31">
        <f>Worldprices!$R$68*T$8</f>
        <v>3.9615945816814717</v>
      </c>
      <c r="U31">
        <f>Worldprices!$R$68*U$8</f>
        <v>3.9615945816814717</v>
      </c>
      <c r="V31">
        <f>Worldprices!$R$68*V$8</f>
        <v>3.9615945816814717</v>
      </c>
      <c r="W31">
        <f>Worldprices!$R$68*W$8</f>
        <v>3.9615945816814717</v>
      </c>
      <c r="X31">
        <f>Worldprices!$R$68*X$8</f>
        <v>3.9615945816814717</v>
      </c>
      <c r="Y31">
        <f>Worldprices!$R$68*Y$8</f>
        <v>3.9615945816814717</v>
      </c>
      <c r="Z31">
        <f>Worldprices!$R$68*Z$8</f>
        <v>3.9615945816814717</v>
      </c>
      <c r="AA31">
        <f>Worldprices!$R$68*AA$8</f>
        <v>3.9615945816814717</v>
      </c>
      <c r="AB31">
        <f>Worldprices!$R$68*AB$8</f>
        <v>3.9615945816814717</v>
      </c>
      <c r="AC31">
        <f>Worldprices!$R$68*AC$8</f>
        <v>3.9615945816814717</v>
      </c>
      <c r="AD31">
        <f>Worldprices!$R$68*AD$8</f>
        <v>3.9615945816814717</v>
      </c>
      <c r="AE31">
        <f>Worldprices!$R$68*AE$8</f>
        <v>3.9615945816814717</v>
      </c>
      <c r="AF31">
        <f>Worldprices!$R$68*AF$8</f>
        <v>3.9615945816814717</v>
      </c>
      <c r="AG31">
        <f>Worldprices!$R$68*AG$8</f>
        <v>3.9615945816814717</v>
      </c>
      <c r="AH31">
        <f>Worldprices!$R$68*AH$8</f>
        <v>3.9615945816814717</v>
      </c>
      <c r="AI31">
        <f>Worldprices!$R$68*AI$8</f>
        <v>3.9615945816814717</v>
      </c>
      <c r="AJ31">
        <f>Worldprices!$R$68*AJ$8</f>
        <v>3.9615945816814717</v>
      </c>
      <c r="AK31">
        <f>Worldprices!$R$68*AK$8</f>
        <v>3.9615945816814717</v>
      </c>
      <c r="AL31">
        <f>Worldprices!$R$68*AL$8</f>
        <v>3.9615945816814717</v>
      </c>
      <c r="AM31">
        <f>Worldprices!$R$68*AM$8</f>
        <v>3.9615945816814717</v>
      </c>
      <c r="AN31">
        <f>Worldprices!$R$68*AN$8</f>
        <v>3.9615945816814717</v>
      </c>
      <c r="AO31">
        <f>Worldprices!$R$68*AO$8</f>
        <v>3.9615945816814717</v>
      </c>
      <c r="AP31">
        <f>Worldprices!$R$68*AP$8</f>
        <v>3.9615945816814717</v>
      </c>
      <c r="AQ31">
        <f t="shared" si="1"/>
        <v>3.9615945816814717</v>
      </c>
    </row>
    <row r="32" spans="1:43" ht="12.75">
      <c r="A32" t="s">
        <v>248</v>
      </c>
      <c r="B32" t="s">
        <v>351</v>
      </c>
      <c r="C32" t="s">
        <v>154</v>
      </c>
      <c r="D32">
        <v>2020</v>
      </c>
      <c r="E32" t="str">
        <f>Worldprices!$C$62</f>
        <v>IMPCOAHAR*</v>
      </c>
      <c r="F32" t="str">
        <f>Worldprices!$C$63</f>
        <v>COAHAR</v>
      </c>
      <c r="G32">
        <f>Worldprices!$C$69*G$4</f>
        <v>3.3700000000000006</v>
      </c>
      <c r="H32">
        <f>Worldprices!$C$69*H$4</f>
        <v>3.1509500000000008</v>
      </c>
      <c r="I32">
        <f t="shared" si="0"/>
        <v>3.3700000000000006</v>
      </c>
      <c r="J32">
        <f>Worldprices!$C$69*J$4</f>
        <v>3.3700000000000006</v>
      </c>
      <c r="K32">
        <f>Worldprices!$C$69*K$4</f>
        <v>3.3700000000000006</v>
      </c>
      <c r="L32">
        <f>Worldprices!$C$69*L$4</f>
        <v>3.3700000000000006</v>
      </c>
      <c r="M32">
        <f>Worldprices!$C$69*M$4</f>
        <v>3.3700000000000006</v>
      </c>
      <c r="N32">
        <f>Worldprices!$C$69*N$4</f>
        <v>3.3700000000000006</v>
      </c>
      <c r="O32">
        <f>Worldprices!$C$69*O$4</f>
        <v>2.8645000000000005</v>
      </c>
      <c r="P32">
        <f>Worldprices!$C$69*P$4</f>
        <v>3.2015000000000002</v>
      </c>
      <c r="Q32">
        <f>Worldprices!$C$69*Q$4</f>
        <v>3.3700000000000006</v>
      </c>
      <c r="R32">
        <f>Worldprices!$C$69*R$4</f>
        <v>2.8645000000000005</v>
      </c>
      <c r="S32">
        <f>Worldprices!$C$69*S$4</f>
        <v>3.3700000000000006</v>
      </c>
      <c r="T32">
        <f>Worldprices!$C$69*T$4</f>
        <v>3.3700000000000006</v>
      </c>
      <c r="U32">
        <f>Worldprices!$C$69*U$4</f>
        <v>3.3700000000000006</v>
      </c>
      <c r="V32">
        <f>Worldprices!$C$69*V$4</f>
        <v>3.3700000000000006</v>
      </c>
      <c r="W32">
        <f>Worldprices!$C$69*W$4</f>
        <v>3.3700000000000006</v>
      </c>
      <c r="X32">
        <f>Worldprices!$C$69*X$4</f>
        <v>3.3700000000000006</v>
      </c>
      <c r="Y32">
        <f>Worldprices!$C$69*Y$4</f>
        <v>3.3700000000000006</v>
      </c>
      <c r="Z32">
        <f>Worldprices!$C$69*Z$4</f>
        <v>3.3700000000000006</v>
      </c>
      <c r="AA32">
        <f>Worldprices!$C$69*AA$4</f>
        <v>3.3700000000000006</v>
      </c>
      <c r="AB32">
        <f>Worldprices!$C$69*AB$4</f>
        <v>3.3700000000000006</v>
      </c>
      <c r="AC32">
        <f>Worldprices!$C$69*AC$4</f>
        <v>3.3700000000000006</v>
      </c>
      <c r="AD32">
        <f>Worldprices!$C$69*AD$4</f>
        <v>3.3700000000000006</v>
      </c>
      <c r="AE32">
        <f>Worldprices!$C$69*AE$4</f>
        <v>3.3700000000000006</v>
      </c>
      <c r="AF32">
        <f>Worldprices!$C$69*AF$4</f>
        <v>3.3700000000000006</v>
      </c>
      <c r="AG32">
        <f>Worldprices!$C$69*AG$4</f>
        <v>3.3700000000000006</v>
      </c>
      <c r="AH32">
        <f>Worldprices!$C$69*AH$4</f>
        <v>3.3700000000000006</v>
      </c>
      <c r="AI32">
        <f>Worldprices!$C$69*AI$4</f>
        <v>3.3700000000000006</v>
      </c>
      <c r="AJ32">
        <f>Worldprices!$C$69*AJ$4</f>
        <v>3.3700000000000006</v>
      </c>
      <c r="AK32">
        <f>Worldprices!$C$69*AK$4</f>
        <v>3.3700000000000006</v>
      </c>
      <c r="AL32">
        <f>Worldprices!$C$69*AL$4</f>
        <v>3.3700000000000006</v>
      </c>
      <c r="AM32">
        <f>Worldprices!$C$69*AM$4</f>
        <v>3.3700000000000006</v>
      </c>
      <c r="AN32">
        <f>Worldprices!$C$69*AN$4</f>
        <v>3.3700000000000006</v>
      </c>
      <c r="AO32">
        <f>Worldprices!$C$69*AO$4</f>
        <v>3.3700000000000006</v>
      </c>
      <c r="AP32">
        <f>Worldprices!$C$69*AP$4</f>
        <v>3.3700000000000006</v>
      </c>
      <c r="AQ32">
        <f t="shared" si="1"/>
        <v>3.3700000000000006</v>
      </c>
    </row>
    <row r="33" spans="1:43" ht="12.75">
      <c r="A33" t="s">
        <v>248</v>
      </c>
      <c r="B33" t="s">
        <v>351</v>
      </c>
      <c r="C33" t="s">
        <v>154</v>
      </c>
      <c r="D33">
        <v>2020</v>
      </c>
      <c r="E33" t="str">
        <f>Worldprices!$D$62</f>
        <v>IMPCOACOK*</v>
      </c>
      <c r="F33" t="str">
        <f>Worldprices!$D$63</f>
        <v>COACOK</v>
      </c>
      <c r="G33">
        <f>Worldprices!$D$69*G$4</f>
        <v>4.2799000000000005</v>
      </c>
      <c r="H33">
        <f>Worldprices!$D$69*H$4</f>
        <v>4.0017065000000009</v>
      </c>
      <c r="I33">
        <f t="shared" si="0"/>
        <v>4.2799000000000005</v>
      </c>
      <c r="J33">
        <f>Worldprices!$D$69*J$4</f>
        <v>4.2799000000000005</v>
      </c>
      <c r="K33">
        <f>Worldprices!$D$69*K$4</f>
        <v>4.2799000000000005</v>
      </c>
      <c r="L33">
        <f>Worldprices!$D$69*L$4</f>
        <v>4.2799000000000005</v>
      </c>
      <c r="M33">
        <f>Worldprices!$D$69*M$4</f>
        <v>4.2799000000000005</v>
      </c>
      <c r="N33">
        <f>Worldprices!$D$69*N$4</f>
        <v>4.2799000000000005</v>
      </c>
      <c r="O33">
        <f>Worldprices!$D$69*O$4</f>
        <v>3.6379150000000005</v>
      </c>
      <c r="P33">
        <f>Worldprices!$D$69*P$4</f>
        <v>4.0659049999999999</v>
      </c>
      <c r="Q33">
        <f>Worldprices!$D$69*Q$4</f>
        <v>4.2799000000000005</v>
      </c>
      <c r="R33">
        <f>Worldprices!$D$69*R$4</f>
        <v>3.6379150000000005</v>
      </c>
      <c r="S33">
        <f>Worldprices!$D$69*S$4</f>
        <v>4.2799000000000005</v>
      </c>
      <c r="T33">
        <f>Worldprices!$D$69*T$4</f>
        <v>4.2799000000000005</v>
      </c>
      <c r="U33">
        <f>Worldprices!$D$69*U$4</f>
        <v>4.2799000000000005</v>
      </c>
      <c r="V33">
        <f>Worldprices!$D$69*V$4</f>
        <v>4.2799000000000005</v>
      </c>
      <c r="W33">
        <f>Worldprices!$D$69*W$4</f>
        <v>4.2799000000000005</v>
      </c>
      <c r="X33">
        <f>Worldprices!$D$69*X$4</f>
        <v>4.2799000000000005</v>
      </c>
      <c r="Y33">
        <f>Worldprices!$D$69*Y$4</f>
        <v>4.2799000000000005</v>
      </c>
      <c r="Z33">
        <f>Worldprices!$D$69*Z$4</f>
        <v>4.2799000000000005</v>
      </c>
      <c r="AA33">
        <f>Worldprices!$D$69*AA$4</f>
        <v>4.2799000000000005</v>
      </c>
      <c r="AB33">
        <f>Worldprices!$D$69*AB$4</f>
        <v>4.2799000000000005</v>
      </c>
      <c r="AC33">
        <f>Worldprices!$D$69*AC$4</f>
        <v>4.2799000000000005</v>
      </c>
      <c r="AD33">
        <f>Worldprices!$D$69*AD$4</f>
        <v>4.2799000000000005</v>
      </c>
      <c r="AE33">
        <f>Worldprices!$D$69*AE$4</f>
        <v>4.2799000000000005</v>
      </c>
      <c r="AF33">
        <f>Worldprices!$D$69*AF$4</f>
        <v>4.2799000000000005</v>
      </c>
      <c r="AG33">
        <f>Worldprices!$D$69*AG$4</f>
        <v>4.2799000000000005</v>
      </c>
      <c r="AH33">
        <f>Worldprices!$D$69*AH$4</f>
        <v>4.2799000000000005</v>
      </c>
      <c r="AI33">
        <f>Worldprices!$D$69*AI$4</f>
        <v>4.2799000000000005</v>
      </c>
      <c r="AJ33">
        <f>Worldprices!$D$69*AJ$4</f>
        <v>4.2799000000000005</v>
      </c>
      <c r="AK33">
        <f>Worldprices!$D$69*AK$4</f>
        <v>4.2799000000000005</v>
      </c>
      <c r="AL33">
        <f>Worldprices!$D$69*AL$4</f>
        <v>4.2799000000000005</v>
      </c>
      <c r="AM33">
        <f>Worldprices!$D$69*AM$4</f>
        <v>4.2799000000000005</v>
      </c>
      <c r="AN33">
        <f>Worldprices!$D$69*AN$4</f>
        <v>4.2799000000000005</v>
      </c>
      <c r="AO33">
        <f>Worldprices!$D$69*AO$4</f>
        <v>4.2799000000000005</v>
      </c>
      <c r="AP33">
        <f>Worldprices!$D$69*AP$4</f>
        <v>4.2799000000000005</v>
      </c>
      <c r="AQ33">
        <f t="shared" si="1"/>
        <v>4.2799000000000005</v>
      </c>
    </row>
    <row r="34" spans="1:43" ht="12.75">
      <c r="A34" t="s">
        <v>248</v>
      </c>
      <c r="B34" t="s">
        <v>351</v>
      </c>
      <c r="C34" t="s">
        <v>154</v>
      </c>
      <c r="D34">
        <v>2020</v>
      </c>
      <c r="E34" t="str">
        <f>Worldprices!$E$62</f>
        <v>IMPCOABRO*</v>
      </c>
      <c r="F34" t="str">
        <f>Worldprices!$E$63</f>
        <v>COABRO</v>
      </c>
      <c r="G34">
        <f>Worldprices!$E$69*G$4</f>
        <v>3.2015000000000002</v>
      </c>
      <c r="H34">
        <f>Worldprices!$E$69*H$4</f>
        <v>2.9934025000000002</v>
      </c>
      <c r="I34">
        <f t="shared" si="0"/>
        <v>3.2015000000000002</v>
      </c>
      <c r="J34">
        <f>Worldprices!$E$69*J$4</f>
        <v>3.2015000000000002</v>
      </c>
      <c r="K34">
        <f>Worldprices!$E$69*K$4</f>
        <v>3.2015000000000002</v>
      </c>
      <c r="L34">
        <f>Worldprices!$E$69*L$4</f>
        <v>3.2015000000000002</v>
      </c>
      <c r="M34">
        <f>Worldprices!$E$69*M$4</f>
        <v>3.2015000000000002</v>
      </c>
      <c r="N34">
        <f>Worldprices!$E$69*N$4</f>
        <v>3.2015000000000002</v>
      </c>
      <c r="O34">
        <f>Worldprices!$E$69*O$4</f>
        <v>2.7212750000000003</v>
      </c>
      <c r="P34">
        <f>Worldprices!$E$69*P$4</f>
        <v>3.0414250000000003</v>
      </c>
      <c r="Q34">
        <f>Worldprices!$E$69*Q$4</f>
        <v>3.2015000000000002</v>
      </c>
      <c r="R34">
        <f>Worldprices!$E$69*R$4</f>
        <v>2.7212750000000003</v>
      </c>
      <c r="S34">
        <f>Worldprices!$E$69*S$4</f>
        <v>3.2015000000000002</v>
      </c>
      <c r="T34">
        <f>Worldprices!$E$69*T$4</f>
        <v>3.2015000000000002</v>
      </c>
      <c r="U34">
        <f>Worldprices!$E$69*U$4</f>
        <v>3.2015000000000002</v>
      </c>
      <c r="V34">
        <f>Worldprices!$E$69*V$4</f>
        <v>3.2015000000000002</v>
      </c>
      <c r="W34">
        <f>Worldprices!$E$69*W$4</f>
        <v>3.2015000000000002</v>
      </c>
      <c r="X34">
        <f>Worldprices!$E$69*X$4</f>
        <v>3.2015000000000002</v>
      </c>
      <c r="Y34">
        <f>Worldprices!$E$69*Y$4</f>
        <v>3.2015000000000002</v>
      </c>
      <c r="Z34">
        <f>Worldprices!$E$69*Z$4</f>
        <v>3.2015000000000002</v>
      </c>
      <c r="AA34">
        <f>Worldprices!$E$69*AA$4</f>
        <v>3.2015000000000002</v>
      </c>
      <c r="AB34">
        <f>Worldprices!$E$69*AB$4</f>
        <v>3.2015000000000002</v>
      </c>
      <c r="AC34">
        <f>Worldprices!$E$69*AC$4</f>
        <v>3.2015000000000002</v>
      </c>
      <c r="AD34">
        <f>Worldprices!$E$69*AD$4</f>
        <v>3.2015000000000002</v>
      </c>
      <c r="AE34">
        <f>Worldprices!$E$69*AE$4</f>
        <v>3.2015000000000002</v>
      </c>
      <c r="AF34">
        <f>Worldprices!$E$69*AF$4</f>
        <v>3.2015000000000002</v>
      </c>
      <c r="AG34">
        <f>Worldprices!$E$69*AG$4</f>
        <v>3.2015000000000002</v>
      </c>
      <c r="AH34">
        <f>Worldprices!$E$69*AH$4</f>
        <v>3.2015000000000002</v>
      </c>
      <c r="AI34">
        <f>Worldprices!$E$69*AI$4</f>
        <v>3.2015000000000002</v>
      </c>
      <c r="AJ34">
        <f>Worldprices!$E$69*AJ$4</f>
        <v>3.2015000000000002</v>
      </c>
      <c r="AK34">
        <f>Worldprices!$E$69*AK$4</f>
        <v>3.2015000000000002</v>
      </c>
      <c r="AL34">
        <f>Worldprices!$E$69*AL$4</f>
        <v>3.2015000000000002</v>
      </c>
      <c r="AM34">
        <f>Worldprices!$E$69*AM$4</f>
        <v>3.2015000000000002</v>
      </c>
      <c r="AN34">
        <f>Worldprices!$E$69*AN$4</f>
        <v>3.2015000000000002</v>
      </c>
      <c r="AO34">
        <f>Worldprices!$E$69*AO$4</f>
        <v>3.2015000000000002</v>
      </c>
      <c r="AP34">
        <f>Worldprices!$E$69*AP$4</f>
        <v>3.2015000000000002</v>
      </c>
      <c r="AQ34">
        <f t="shared" si="1"/>
        <v>3.2015000000000002</v>
      </c>
    </row>
    <row r="35" spans="1:43" ht="12.75">
      <c r="A35" t="s">
        <v>248</v>
      </c>
      <c r="B35" t="s">
        <v>351</v>
      </c>
      <c r="C35" t="s">
        <v>154</v>
      </c>
      <c r="D35">
        <v>2020</v>
      </c>
      <c r="E35" t="str">
        <f>Worldprices!$F$62</f>
        <v>IMPCOALIG*</v>
      </c>
      <c r="F35" t="str">
        <f>Worldprices!$F$63</f>
        <v>COALIG</v>
      </c>
      <c r="G35">
        <f>Worldprices!$F$69*G$4</f>
        <v>3.2015000000000002</v>
      </c>
      <c r="H35">
        <f>Worldprices!$F$69*H$4</f>
        <v>2.9934025000000002</v>
      </c>
      <c r="I35">
        <f t="shared" si="0"/>
        <v>3.2015000000000002</v>
      </c>
      <c r="J35">
        <f>Worldprices!$F$69*J$4</f>
        <v>3.2015000000000002</v>
      </c>
      <c r="K35">
        <f>Worldprices!$F$69*K$4</f>
        <v>3.2015000000000002</v>
      </c>
      <c r="L35">
        <f>Worldprices!$F$69*L$4</f>
        <v>3.2015000000000002</v>
      </c>
      <c r="M35">
        <f>Worldprices!$F$69*M$4</f>
        <v>3.2015000000000002</v>
      </c>
      <c r="N35">
        <f>Worldprices!$F$69*N$4</f>
        <v>3.2015000000000002</v>
      </c>
      <c r="O35">
        <f>Worldprices!$F$69*O$4</f>
        <v>2.7212750000000003</v>
      </c>
      <c r="P35">
        <f>Worldprices!$F$69*P$4</f>
        <v>3.0414250000000003</v>
      </c>
      <c r="Q35">
        <f>Worldprices!$F$69*Q$4</f>
        <v>3.2015000000000002</v>
      </c>
      <c r="R35">
        <f>Worldprices!$F$69*R$4</f>
        <v>2.7212750000000003</v>
      </c>
      <c r="S35">
        <f>Worldprices!$F$69*S$4</f>
        <v>3.2015000000000002</v>
      </c>
      <c r="T35">
        <f>Worldprices!$F$69*T$4</f>
        <v>3.2015000000000002</v>
      </c>
      <c r="U35">
        <f>Worldprices!$F$69*U$4</f>
        <v>3.2015000000000002</v>
      </c>
      <c r="V35">
        <f>Worldprices!$F$69*V$4</f>
        <v>3.2015000000000002</v>
      </c>
      <c r="W35">
        <f>Worldprices!$F$69*W$4</f>
        <v>3.2015000000000002</v>
      </c>
      <c r="X35">
        <f>Worldprices!$F$69*X$4</f>
        <v>3.2015000000000002</v>
      </c>
      <c r="Y35">
        <f>Worldprices!$F$69*Y$4</f>
        <v>3.2015000000000002</v>
      </c>
      <c r="Z35">
        <f>Worldprices!$F$69*Z$4</f>
        <v>3.2015000000000002</v>
      </c>
      <c r="AA35">
        <f>Worldprices!$F$69*AA$4</f>
        <v>3.2015000000000002</v>
      </c>
      <c r="AB35">
        <f>Worldprices!$F$69*AB$4</f>
        <v>3.2015000000000002</v>
      </c>
      <c r="AC35">
        <f>Worldprices!$F$69*AC$4</f>
        <v>3.2015000000000002</v>
      </c>
      <c r="AD35">
        <f>Worldprices!$F$69*AD$4</f>
        <v>3.2015000000000002</v>
      </c>
      <c r="AE35">
        <f>Worldprices!$F$69*AE$4</f>
        <v>3.2015000000000002</v>
      </c>
      <c r="AF35">
        <f>Worldprices!$F$69*AF$4</f>
        <v>3.2015000000000002</v>
      </c>
      <c r="AG35">
        <f>Worldprices!$F$69*AG$4</f>
        <v>3.2015000000000002</v>
      </c>
      <c r="AH35">
        <f>Worldprices!$F$69*AH$4</f>
        <v>3.2015000000000002</v>
      </c>
      <c r="AI35">
        <f>Worldprices!$F$69*AI$4</f>
        <v>3.2015000000000002</v>
      </c>
      <c r="AJ35">
        <f>Worldprices!$F$69*AJ$4</f>
        <v>3.2015000000000002</v>
      </c>
      <c r="AK35">
        <f>Worldprices!$F$69*AK$4</f>
        <v>3.2015000000000002</v>
      </c>
      <c r="AL35">
        <f>Worldprices!$F$69*AL$4</f>
        <v>3.2015000000000002</v>
      </c>
      <c r="AM35">
        <f>Worldprices!$F$69*AM$4</f>
        <v>3.2015000000000002</v>
      </c>
      <c r="AN35">
        <f>Worldprices!$F$69*AN$4</f>
        <v>3.2015000000000002</v>
      </c>
      <c r="AO35">
        <f>Worldprices!$F$69*AO$4</f>
        <v>3.2015000000000002</v>
      </c>
      <c r="AP35">
        <f>Worldprices!$F$69*AP$4</f>
        <v>3.2015000000000002</v>
      </c>
      <c r="AQ35">
        <f t="shared" si="1"/>
        <v>3.2015000000000002</v>
      </c>
    </row>
    <row r="36" spans="1:43" ht="12.75">
      <c r="A36" t="s">
        <v>248</v>
      </c>
      <c r="B36" t="s">
        <v>351</v>
      </c>
      <c r="C36" t="s">
        <v>154</v>
      </c>
      <c r="D36">
        <v>2020</v>
      </c>
      <c r="E36" t="str">
        <f>Worldprices!$M$62</f>
        <v>IMPOILOTH</v>
      </c>
      <c r="F36" t="str">
        <f>Worldprices!$M$63</f>
        <v>OILOTH</v>
      </c>
      <c r="G36">
        <f>Worldprices!$M$69*G$6</f>
        <v>9.3100000000000005</v>
      </c>
      <c r="H36">
        <f>Worldprices!$M$69*H$6</f>
        <v>9.3100000000000005</v>
      </c>
      <c r="I36">
        <f t="shared" si="0"/>
        <v>9.3100000000000005</v>
      </c>
      <c r="J36">
        <f>Worldprices!$M$69*J$6</f>
        <v>9.3100000000000005</v>
      </c>
      <c r="K36">
        <f>Worldprices!$M$69*K$6</f>
        <v>9.3100000000000005</v>
      </c>
      <c r="L36">
        <f>Worldprices!$M$69*L$6</f>
        <v>9.3100000000000005</v>
      </c>
      <c r="M36">
        <f>Worldprices!$M$69*M$6</f>
        <v>9.3100000000000005</v>
      </c>
      <c r="N36">
        <f>Worldprices!$M$69*N$6</f>
        <v>9.3100000000000005</v>
      </c>
      <c r="O36">
        <f>Worldprices!$M$69*O$6</f>
        <v>9.3100000000000005</v>
      </c>
      <c r="P36">
        <f>Worldprices!$M$69*P$6</f>
        <v>9.3100000000000005</v>
      </c>
      <c r="Q36">
        <f>Worldprices!$M$69*Q$6</f>
        <v>9.3100000000000005</v>
      </c>
      <c r="R36">
        <f>Worldprices!$M$69*R$6</f>
        <v>9.3100000000000005</v>
      </c>
      <c r="S36">
        <f>Worldprices!$M$69*S$6</f>
        <v>9.3100000000000005</v>
      </c>
      <c r="T36">
        <f>Worldprices!$M$69*T$6</f>
        <v>9.3100000000000005</v>
      </c>
      <c r="U36">
        <f>Worldprices!$M$69*U$6</f>
        <v>8.8445</v>
      </c>
      <c r="V36">
        <f>Worldprices!$M$69*V$6</f>
        <v>9.3100000000000005</v>
      </c>
      <c r="W36">
        <f>Worldprices!$M$69*W$6</f>
        <v>9.3100000000000005</v>
      </c>
      <c r="X36">
        <f>Worldprices!$M$69*X$6</f>
        <v>9.3100000000000005</v>
      </c>
      <c r="Y36">
        <f>Worldprices!$M$69*Y$6</f>
        <v>9.3100000000000005</v>
      </c>
      <c r="Z36">
        <f>Worldprices!$M$69*Z$6</f>
        <v>9.3100000000000005</v>
      </c>
      <c r="AA36">
        <f>Worldprices!$M$69*AA$6</f>
        <v>9.3100000000000005</v>
      </c>
      <c r="AB36">
        <f>Worldprices!$M$69*AB$6</f>
        <v>9.3100000000000005</v>
      </c>
      <c r="AC36">
        <f>Worldprices!$M$69*AC$6</f>
        <v>9.3100000000000005</v>
      </c>
      <c r="AD36">
        <f>Worldprices!$M$69*AD$6</f>
        <v>9.3100000000000005</v>
      </c>
      <c r="AE36">
        <f>Worldprices!$M$69*AE$6</f>
        <v>9.3100000000000005</v>
      </c>
      <c r="AF36">
        <f>Worldprices!$M$69*AF$6</f>
        <v>9.3100000000000005</v>
      </c>
      <c r="AG36">
        <f>Worldprices!$M$69*AG$6</f>
        <v>9.3100000000000005</v>
      </c>
      <c r="AH36">
        <f>Worldprices!$M$69*AH$6</f>
        <v>9.3100000000000005</v>
      </c>
      <c r="AI36">
        <f>Worldprices!$M$69*AI$6</f>
        <v>9.3100000000000005</v>
      </c>
      <c r="AJ36">
        <f>Worldprices!$M$69*AJ$6</f>
        <v>9.3100000000000005</v>
      </c>
      <c r="AK36">
        <f>Worldprices!$M$69*AK$6</f>
        <v>9.3100000000000005</v>
      </c>
      <c r="AL36">
        <f>Worldprices!$M$69*AL$6</f>
        <v>9.3100000000000005</v>
      </c>
      <c r="AM36">
        <f>Worldprices!$M$69*AM$6</f>
        <v>9.3100000000000005</v>
      </c>
      <c r="AN36">
        <f>Worldprices!$M$69*AN$6</f>
        <v>9.3100000000000005</v>
      </c>
      <c r="AO36">
        <f>Worldprices!$M$69*AO$6</f>
        <v>9.3100000000000005</v>
      </c>
      <c r="AP36">
        <f>Worldprices!$M$69*AP$6</f>
        <v>9.3100000000000005</v>
      </c>
      <c r="AQ36">
        <f t="shared" si="1"/>
        <v>9.3100000000000005</v>
      </c>
    </row>
    <row r="37" spans="1:43" ht="12.75">
      <c r="A37" t="s">
        <v>248</v>
      </c>
      <c r="B37" t="s">
        <v>351</v>
      </c>
      <c r="C37" t="s">
        <v>154</v>
      </c>
      <c r="D37">
        <v>2020</v>
      </c>
      <c r="E37" t="str">
        <f>Worldprices!$N$62</f>
        <v>IMPOILNAP</v>
      </c>
      <c r="F37" t="str">
        <f>Worldprices!$N$63</f>
        <v>OILNAP</v>
      </c>
      <c r="G37">
        <f>Worldprices!$N$69*G$6</f>
        <v>9.3100000000000005</v>
      </c>
      <c r="H37">
        <f>Worldprices!$N$69*H$6</f>
        <v>9.3100000000000005</v>
      </c>
      <c r="I37">
        <f t="shared" si="0"/>
        <v>9.3100000000000005</v>
      </c>
      <c r="J37">
        <f>Worldprices!$N$69*J$6</f>
        <v>9.3100000000000005</v>
      </c>
      <c r="K37">
        <f>Worldprices!$N$69*K$6</f>
        <v>9.3100000000000005</v>
      </c>
      <c r="L37">
        <f>Worldprices!$N$69*L$6</f>
        <v>9.3100000000000005</v>
      </c>
      <c r="M37">
        <f>Worldprices!$N$69*M$6</f>
        <v>9.3100000000000005</v>
      </c>
      <c r="N37">
        <f>Worldprices!$N$69*N$6</f>
        <v>9.3100000000000005</v>
      </c>
      <c r="O37">
        <f>Worldprices!$N$69*O$6</f>
        <v>9.3100000000000005</v>
      </c>
      <c r="P37">
        <f>Worldprices!$N$69*P$6</f>
        <v>9.3100000000000005</v>
      </c>
      <c r="Q37">
        <f>Worldprices!$N$69*Q$6</f>
        <v>9.3100000000000005</v>
      </c>
      <c r="R37">
        <f>Worldprices!$N$69*R$6</f>
        <v>9.3100000000000005</v>
      </c>
      <c r="S37">
        <f>Worldprices!$N$69*S$6</f>
        <v>9.3100000000000005</v>
      </c>
      <c r="T37">
        <f>Worldprices!$N$69*T$6</f>
        <v>9.3100000000000005</v>
      </c>
      <c r="U37">
        <f>Worldprices!$N$69*U$6</f>
        <v>8.8445</v>
      </c>
      <c r="V37">
        <f>Worldprices!$N$69*V$6</f>
        <v>9.3100000000000005</v>
      </c>
      <c r="W37">
        <f>Worldprices!$N$69*W$6</f>
        <v>9.3100000000000005</v>
      </c>
      <c r="X37">
        <f>Worldprices!$N$69*X$6</f>
        <v>9.3100000000000005</v>
      </c>
      <c r="Y37">
        <f>Worldprices!$N$69*Y$6</f>
        <v>9.3100000000000005</v>
      </c>
      <c r="Z37">
        <f>Worldprices!$N$69*Z$6</f>
        <v>9.3100000000000005</v>
      </c>
      <c r="AA37">
        <f>Worldprices!$N$69*AA$6</f>
        <v>9.3100000000000005</v>
      </c>
      <c r="AB37">
        <f>Worldprices!$N$69*AB$6</f>
        <v>9.3100000000000005</v>
      </c>
      <c r="AC37">
        <f>Worldprices!$N$69*AC$6</f>
        <v>9.3100000000000005</v>
      </c>
      <c r="AD37">
        <f>Worldprices!$N$69*AD$6</f>
        <v>9.3100000000000005</v>
      </c>
      <c r="AE37">
        <f>Worldprices!$N$69*AE$6</f>
        <v>9.3100000000000005</v>
      </c>
      <c r="AF37">
        <f>Worldprices!$N$69*AF$6</f>
        <v>9.3100000000000005</v>
      </c>
      <c r="AG37">
        <f>Worldprices!$N$69*AG$6</f>
        <v>9.3100000000000005</v>
      </c>
      <c r="AH37">
        <f>Worldprices!$N$69*AH$6</f>
        <v>9.3100000000000005</v>
      </c>
      <c r="AI37">
        <f>Worldprices!$N$69*AI$6</f>
        <v>9.3100000000000005</v>
      </c>
      <c r="AJ37">
        <f>Worldprices!$N$69*AJ$6</f>
        <v>9.3100000000000005</v>
      </c>
      <c r="AK37">
        <f>Worldprices!$N$69*AK$6</f>
        <v>9.3100000000000005</v>
      </c>
      <c r="AL37">
        <f>Worldprices!$N$69*AL$6</f>
        <v>9.3100000000000005</v>
      </c>
      <c r="AM37">
        <f>Worldprices!$N$69*AM$6</f>
        <v>9.3100000000000005</v>
      </c>
      <c r="AN37">
        <f>Worldprices!$N$69*AN$6</f>
        <v>9.3100000000000005</v>
      </c>
      <c r="AO37">
        <f>Worldprices!$N$69*AO$6</f>
        <v>9.3100000000000005</v>
      </c>
      <c r="AP37">
        <f>Worldprices!$N$69*AP$6</f>
        <v>9.3100000000000005</v>
      </c>
      <c r="AQ37">
        <f t="shared" si="1"/>
        <v>9.3100000000000005</v>
      </c>
    </row>
    <row r="38" spans="1:43" ht="12.75">
      <c r="A38" t="s">
        <v>248</v>
      </c>
      <c r="B38" t="s">
        <v>351</v>
      </c>
      <c r="C38" t="s">
        <v>154</v>
      </c>
      <c r="D38">
        <v>2020</v>
      </c>
      <c r="E38" t="str">
        <f>Worldprices!$O$62</f>
        <v>IMPOILFDS</v>
      </c>
      <c r="F38" t="str">
        <f>Worldprices!$O$63</f>
        <v>OILFDS</v>
      </c>
      <c r="G38">
        <f>Worldprices!$O$69*G$6</f>
        <v>9.3100000000000005</v>
      </c>
      <c r="H38">
        <f>Worldprices!$O$69*H$6</f>
        <v>9.3100000000000005</v>
      </c>
      <c r="I38">
        <f t="shared" si="0"/>
        <v>9.3100000000000005</v>
      </c>
      <c r="J38">
        <f>Worldprices!$O$69*J$6</f>
        <v>9.3100000000000005</v>
      </c>
      <c r="K38">
        <f>Worldprices!$O$69*K$6</f>
        <v>9.3100000000000005</v>
      </c>
      <c r="L38">
        <f>Worldprices!$O$69*L$6</f>
        <v>9.3100000000000005</v>
      </c>
      <c r="M38">
        <f>Worldprices!$O$69*M$6</f>
        <v>9.3100000000000005</v>
      </c>
      <c r="N38">
        <f>Worldprices!$O$69*N$6</f>
        <v>9.3100000000000005</v>
      </c>
      <c r="O38">
        <f>Worldprices!$O$69*O$6</f>
        <v>9.3100000000000005</v>
      </c>
      <c r="P38">
        <f>Worldprices!$O$69*P$6</f>
        <v>9.3100000000000005</v>
      </c>
      <c r="Q38">
        <f>Worldprices!$O$69*Q$6</f>
        <v>9.3100000000000005</v>
      </c>
      <c r="R38">
        <f>Worldprices!$O$69*R$6</f>
        <v>9.3100000000000005</v>
      </c>
      <c r="S38">
        <f>Worldprices!$O$69*S$6</f>
        <v>9.3100000000000005</v>
      </c>
      <c r="T38">
        <f>Worldprices!$O$69*T$6</f>
        <v>9.3100000000000005</v>
      </c>
      <c r="U38">
        <f>Worldprices!$O$69*U$6</f>
        <v>8.8445</v>
      </c>
      <c r="V38">
        <f>Worldprices!$O$69*V$6</f>
        <v>9.3100000000000005</v>
      </c>
      <c r="W38">
        <f>Worldprices!$O$69*W$6</f>
        <v>9.3100000000000005</v>
      </c>
      <c r="X38">
        <f>Worldprices!$O$69*X$6</f>
        <v>9.3100000000000005</v>
      </c>
      <c r="Y38">
        <f>Worldprices!$O$69*Y$6</f>
        <v>9.3100000000000005</v>
      </c>
      <c r="Z38">
        <f>Worldprices!$O$69*Z$6</f>
        <v>9.3100000000000005</v>
      </c>
      <c r="AA38">
        <f>Worldprices!$O$69*AA$6</f>
        <v>9.3100000000000005</v>
      </c>
      <c r="AB38">
        <f>Worldprices!$O$69*AB$6</f>
        <v>9.3100000000000005</v>
      </c>
      <c r="AC38">
        <f>Worldprices!$O$69*AC$6</f>
        <v>9.3100000000000005</v>
      </c>
      <c r="AD38">
        <f>Worldprices!$O$69*AD$6</f>
        <v>9.3100000000000005</v>
      </c>
      <c r="AE38">
        <f>Worldprices!$O$69*AE$6</f>
        <v>9.3100000000000005</v>
      </c>
      <c r="AF38">
        <f>Worldprices!$O$69*AF$6</f>
        <v>9.3100000000000005</v>
      </c>
      <c r="AG38">
        <f>Worldprices!$O$69*AG$6</f>
        <v>9.3100000000000005</v>
      </c>
      <c r="AH38">
        <f>Worldprices!$O$69*AH$6</f>
        <v>9.3100000000000005</v>
      </c>
      <c r="AI38">
        <f>Worldprices!$O$69*AI$6</f>
        <v>9.3100000000000005</v>
      </c>
      <c r="AJ38">
        <f>Worldprices!$O$69*AJ$6</f>
        <v>9.3100000000000005</v>
      </c>
      <c r="AK38">
        <f>Worldprices!$O$69*AK$6</f>
        <v>9.3100000000000005</v>
      </c>
      <c r="AL38">
        <f>Worldprices!$O$69*AL$6</f>
        <v>9.3100000000000005</v>
      </c>
      <c r="AM38">
        <f>Worldprices!$O$69*AM$6</f>
        <v>9.3100000000000005</v>
      </c>
      <c r="AN38">
        <f>Worldprices!$O$69*AN$6</f>
        <v>9.3100000000000005</v>
      </c>
      <c r="AO38">
        <f>Worldprices!$O$69*AO$6</f>
        <v>9.3100000000000005</v>
      </c>
      <c r="AP38">
        <f>Worldprices!$O$69*AP$6</f>
        <v>9.3100000000000005</v>
      </c>
      <c r="AQ38">
        <f t="shared" si="1"/>
        <v>9.3100000000000005</v>
      </c>
    </row>
    <row r="39" spans="1:43" ht="12.75">
      <c r="A39" t="s">
        <v>248</v>
      </c>
      <c r="B39" t="s">
        <v>351</v>
      </c>
      <c r="C39" t="s">
        <v>154</v>
      </c>
      <c r="D39">
        <v>2020</v>
      </c>
      <c r="E39" t="str">
        <f>Worldprices!$P$62</f>
        <v>IMPOILNEU</v>
      </c>
      <c r="F39" t="str">
        <f>Worldprices!$P$63</f>
        <v>OILNEU</v>
      </c>
      <c r="G39">
        <f>Worldprices!$P$69*G$6</f>
        <v>9.3100000000000005</v>
      </c>
      <c r="H39">
        <f>Worldprices!$P$69*H$6</f>
        <v>9.3100000000000005</v>
      </c>
      <c r="I39">
        <f t="shared" si="0"/>
        <v>9.3100000000000005</v>
      </c>
      <c r="J39">
        <f>Worldprices!$P$69*J$6</f>
        <v>9.3100000000000005</v>
      </c>
      <c r="K39">
        <f>Worldprices!$P$69*K$6</f>
        <v>9.3100000000000005</v>
      </c>
      <c r="L39">
        <f>Worldprices!$P$69*L$6</f>
        <v>9.3100000000000005</v>
      </c>
      <c r="M39">
        <f>Worldprices!$P$69*M$6</f>
        <v>9.3100000000000005</v>
      </c>
      <c r="N39">
        <f>Worldprices!$P$69*N$6</f>
        <v>9.3100000000000005</v>
      </c>
      <c r="O39">
        <f>Worldprices!$P$69*O$6</f>
        <v>9.3100000000000005</v>
      </c>
      <c r="P39">
        <f>Worldprices!$P$69*P$6</f>
        <v>9.3100000000000005</v>
      </c>
      <c r="Q39">
        <f>Worldprices!$P$69*Q$6</f>
        <v>9.3100000000000005</v>
      </c>
      <c r="R39">
        <f>Worldprices!$P$69*R$6</f>
        <v>9.3100000000000005</v>
      </c>
      <c r="S39">
        <f>Worldprices!$P$69*S$6</f>
        <v>9.3100000000000005</v>
      </c>
      <c r="T39">
        <f>Worldprices!$P$69*T$6</f>
        <v>9.3100000000000005</v>
      </c>
      <c r="U39">
        <f>Worldprices!$P$69*U$6</f>
        <v>8.8445</v>
      </c>
      <c r="V39">
        <f>Worldprices!$P$69*V$6</f>
        <v>9.3100000000000005</v>
      </c>
      <c r="W39">
        <f>Worldprices!$P$69*W$6</f>
        <v>9.3100000000000005</v>
      </c>
      <c r="X39">
        <f>Worldprices!$P$69*X$6</f>
        <v>9.3100000000000005</v>
      </c>
      <c r="Y39">
        <f>Worldprices!$P$69*Y$6</f>
        <v>9.3100000000000005</v>
      </c>
      <c r="Z39">
        <f>Worldprices!$P$69*Z$6</f>
        <v>9.3100000000000005</v>
      </c>
      <c r="AA39">
        <f>Worldprices!$P$69*AA$6</f>
        <v>9.3100000000000005</v>
      </c>
      <c r="AB39">
        <f>Worldprices!$P$69*AB$6</f>
        <v>9.3100000000000005</v>
      </c>
      <c r="AC39">
        <f>Worldprices!$P$69*AC$6</f>
        <v>9.3100000000000005</v>
      </c>
      <c r="AD39">
        <f>Worldprices!$P$69*AD$6</f>
        <v>9.3100000000000005</v>
      </c>
      <c r="AE39">
        <f>Worldprices!$P$69*AE$6</f>
        <v>9.3100000000000005</v>
      </c>
      <c r="AF39">
        <f>Worldprices!$P$69*AF$6</f>
        <v>9.3100000000000005</v>
      </c>
      <c r="AG39">
        <f>Worldprices!$P$69*AG$6</f>
        <v>9.3100000000000005</v>
      </c>
      <c r="AH39">
        <f>Worldprices!$P$69*AH$6</f>
        <v>9.3100000000000005</v>
      </c>
      <c r="AI39">
        <f>Worldprices!$P$69*AI$6</f>
        <v>9.3100000000000005</v>
      </c>
      <c r="AJ39">
        <f>Worldprices!$P$69*AJ$6</f>
        <v>9.3100000000000005</v>
      </c>
      <c r="AK39">
        <f>Worldprices!$P$69*AK$6</f>
        <v>9.3100000000000005</v>
      </c>
      <c r="AL39">
        <f>Worldprices!$P$69*AL$6</f>
        <v>9.3100000000000005</v>
      </c>
      <c r="AM39">
        <f>Worldprices!$P$69*AM$6</f>
        <v>9.3100000000000005</v>
      </c>
      <c r="AN39">
        <f>Worldprices!$P$69*AN$6</f>
        <v>9.3100000000000005</v>
      </c>
      <c r="AO39">
        <f>Worldprices!$P$69*AO$6</f>
        <v>9.3100000000000005</v>
      </c>
      <c r="AP39">
        <f>Worldprices!$P$69*AP$6</f>
        <v>9.3100000000000005</v>
      </c>
      <c r="AQ39">
        <f t="shared" si="1"/>
        <v>9.3100000000000005</v>
      </c>
    </row>
    <row r="40" spans="1:43" ht="12.75">
      <c r="A40" t="s">
        <v>248</v>
      </c>
      <c r="B40" t="s">
        <v>351</v>
      </c>
      <c r="C40" t="s">
        <v>305</v>
      </c>
      <c r="D40">
        <v>2020</v>
      </c>
      <c r="E40" t="str">
        <f>Worldprices!$R$62</f>
        <v>IMPBIOWOO</v>
      </c>
      <c r="F40" t="str">
        <f>Worldprices!$R$63</f>
        <v>BIOWOO</v>
      </c>
      <c r="G40">
        <f>Worldprices!$R$69*G$8</f>
        <v>4.331206787520923</v>
      </c>
      <c r="H40">
        <f>Worldprices!$R$69*H$8</f>
        <v>4.331206787520923</v>
      </c>
      <c r="I40">
        <f t="shared" si="0"/>
        <v>4.331206787520923</v>
      </c>
      <c r="J40">
        <f>Worldprices!$R$69*J$8</f>
        <v>4.331206787520923</v>
      </c>
      <c r="K40">
        <f>Worldprices!$R$69*K$8</f>
        <v>4.331206787520923</v>
      </c>
      <c r="L40">
        <f>Worldprices!$R$69*L$8</f>
        <v>4.331206787520923</v>
      </c>
      <c r="M40">
        <f>Worldprices!$R$69*M$8</f>
        <v>4.331206787520923</v>
      </c>
      <c r="N40">
        <f>Worldprices!$R$69*N$8</f>
        <v>4.331206787520923</v>
      </c>
      <c r="O40">
        <f>Worldprices!$R$69*O$8</f>
        <v>4.331206787520923</v>
      </c>
      <c r="P40">
        <f>Worldprices!$R$69*P$8</f>
        <v>4.331206787520923</v>
      </c>
      <c r="Q40">
        <f>Worldprices!$R$69*Q$8</f>
        <v>4.331206787520923</v>
      </c>
      <c r="R40">
        <f>Worldprices!$R$69*R$8</f>
        <v>4.331206787520923</v>
      </c>
      <c r="S40">
        <f>Worldprices!$R$69*S$8</f>
        <v>4.331206787520923</v>
      </c>
      <c r="T40">
        <f>Worldprices!$R$69*T$8</f>
        <v>4.331206787520923</v>
      </c>
      <c r="U40">
        <f>Worldprices!$R$69*U$8</f>
        <v>4.331206787520923</v>
      </c>
      <c r="V40">
        <f>Worldprices!$R$69*V$8</f>
        <v>4.331206787520923</v>
      </c>
      <c r="W40">
        <f>Worldprices!$R$69*W$8</f>
        <v>4.331206787520923</v>
      </c>
      <c r="X40">
        <f>Worldprices!$R$69*X$8</f>
        <v>4.331206787520923</v>
      </c>
      <c r="Y40">
        <f>Worldprices!$R$69*Y$8</f>
        <v>4.331206787520923</v>
      </c>
      <c r="Z40">
        <f>Worldprices!$R$69*Z$8</f>
        <v>4.331206787520923</v>
      </c>
      <c r="AA40">
        <f>Worldprices!$R$69*AA$8</f>
        <v>4.331206787520923</v>
      </c>
      <c r="AB40">
        <f>Worldprices!$R$69*AB$8</f>
        <v>4.331206787520923</v>
      </c>
      <c r="AC40">
        <f>Worldprices!$R$69*AC$8</f>
        <v>4.331206787520923</v>
      </c>
      <c r="AD40">
        <f>Worldprices!$R$69*AD$8</f>
        <v>4.331206787520923</v>
      </c>
      <c r="AE40">
        <f>Worldprices!$R$69*AE$8</f>
        <v>4.331206787520923</v>
      </c>
      <c r="AF40">
        <f>Worldprices!$R$69*AF$8</f>
        <v>4.331206787520923</v>
      </c>
      <c r="AG40">
        <f>Worldprices!$R$69*AG$8</f>
        <v>4.331206787520923</v>
      </c>
      <c r="AH40">
        <f>Worldprices!$R$69*AH$8</f>
        <v>4.331206787520923</v>
      </c>
      <c r="AI40">
        <f>Worldprices!$R$69*AI$8</f>
        <v>4.331206787520923</v>
      </c>
      <c r="AJ40">
        <f>Worldprices!$R$69*AJ$8</f>
        <v>4.331206787520923</v>
      </c>
      <c r="AK40">
        <f>Worldprices!$R$69*AK$8</f>
        <v>4.331206787520923</v>
      </c>
      <c r="AL40">
        <f>Worldprices!$R$69*AL$8</f>
        <v>4.331206787520923</v>
      </c>
      <c r="AM40">
        <f>Worldprices!$R$69*AM$8</f>
        <v>4.331206787520923</v>
      </c>
      <c r="AN40">
        <f>Worldprices!$R$69*AN$8</f>
        <v>4.331206787520923</v>
      </c>
      <c r="AO40">
        <f>Worldprices!$R$69*AO$8</f>
        <v>4.331206787520923</v>
      </c>
      <c r="AP40">
        <f>Worldprices!$R$69*AP$8</f>
        <v>4.331206787520923</v>
      </c>
      <c r="AQ40">
        <f t="shared" si="1"/>
        <v>4.331206787520923</v>
      </c>
    </row>
    <row r="41" spans="1:43" ht="12.75">
      <c r="A41" t="s">
        <v>248</v>
      </c>
      <c r="B41" t="s">
        <v>351</v>
      </c>
      <c r="C41" t="s">
        <v>154</v>
      </c>
      <c r="D41">
        <v>2025</v>
      </c>
      <c r="E41" t="str">
        <f>Worldprices!$C$62</f>
        <v>IMPCOAHAR*</v>
      </c>
      <c r="F41" t="str">
        <f>Worldprices!$C$63</f>
        <v>COAHAR</v>
      </c>
      <c r="G41">
        <f>Worldprices!$C$70*G$4</f>
        <v>3.0600000000000005</v>
      </c>
      <c r="H41">
        <f>Worldprices!$C$70*H$4</f>
        <v>2.8611000000000004</v>
      </c>
      <c r="I41">
        <f t="shared" si="2" ref="I41:I93">AH41</f>
        <v>3.0600000000000005</v>
      </c>
      <c r="J41">
        <f>Worldprices!$C$70*J$4</f>
        <v>3.0600000000000005</v>
      </c>
      <c r="K41">
        <f>Worldprices!$C$70*K$4</f>
        <v>3.0600000000000005</v>
      </c>
      <c r="L41">
        <f>Worldprices!$C$70*L$4</f>
        <v>3.0600000000000005</v>
      </c>
      <c r="M41">
        <f>Worldprices!$C$70*M$4</f>
        <v>3.0600000000000005</v>
      </c>
      <c r="N41">
        <f>Worldprices!$C$70*N$4</f>
        <v>3.0600000000000005</v>
      </c>
      <c r="O41">
        <f>Worldprices!$C$70*O$4</f>
        <v>2.6010000000000004</v>
      </c>
      <c r="P41">
        <f>Worldprices!$C$70*P$4</f>
        <v>2.9070000000000005</v>
      </c>
      <c r="Q41">
        <f>Worldprices!$C$70*Q$4</f>
        <v>3.0600000000000005</v>
      </c>
      <c r="R41">
        <f>Worldprices!$C$70*R$4</f>
        <v>2.6010000000000004</v>
      </c>
      <c r="S41">
        <f>Worldprices!$C$70*S$4</f>
        <v>3.0600000000000005</v>
      </c>
      <c r="T41">
        <f>Worldprices!$C$70*T$4</f>
        <v>3.0600000000000005</v>
      </c>
      <c r="U41">
        <f>Worldprices!$C$70*U$4</f>
        <v>3.0600000000000005</v>
      </c>
      <c r="V41">
        <f>Worldprices!$C$70*V$4</f>
        <v>3.0600000000000005</v>
      </c>
      <c r="W41">
        <f>Worldprices!$C$70*W$4</f>
        <v>3.0600000000000005</v>
      </c>
      <c r="X41">
        <f>Worldprices!$C$70*X$4</f>
        <v>3.0600000000000005</v>
      </c>
      <c r="Y41">
        <f>Worldprices!$C$70*Y$4</f>
        <v>3.0600000000000005</v>
      </c>
      <c r="Z41">
        <f>Worldprices!$C$70*Z$4</f>
        <v>3.0600000000000005</v>
      </c>
      <c r="AA41">
        <f>Worldprices!$C$70*AA$4</f>
        <v>3.0600000000000005</v>
      </c>
      <c r="AB41">
        <f>Worldprices!$C$70*AB$4</f>
        <v>3.0600000000000005</v>
      </c>
      <c r="AC41">
        <f>Worldprices!$C$70*AC$4</f>
        <v>3.0600000000000005</v>
      </c>
      <c r="AD41">
        <f>Worldprices!$C$70*AD$4</f>
        <v>3.0600000000000005</v>
      </c>
      <c r="AE41">
        <f>Worldprices!$C$70*AE$4</f>
        <v>3.0600000000000005</v>
      </c>
      <c r="AF41">
        <f>Worldprices!$C$70*AF$4</f>
        <v>3.0600000000000005</v>
      </c>
      <c r="AG41">
        <f>Worldprices!$C$70*AG$4</f>
        <v>3.0600000000000005</v>
      </c>
      <c r="AH41">
        <f>Worldprices!$C$70*AH$4</f>
        <v>3.0600000000000005</v>
      </c>
      <c r="AI41">
        <f>Worldprices!$C$70*AI$4</f>
        <v>3.0600000000000005</v>
      </c>
      <c r="AJ41">
        <f>Worldprices!$C$70*AJ$4</f>
        <v>3.0600000000000005</v>
      </c>
      <c r="AK41">
        <f>Worldprices!$C$70*AK$4</f>
        <v>3.0600000000000005</v>
      </c>
      <c r="AL41">
        <f>Worldprices!$C$70*AL$4</f>
        <v>3.0600000000000005</v>
      </c>
      <c r="AM41">
        <f>Worldprices!$C$70*AM$4</f>
        <v>3.0600000000000005</v>
      </c>
      <c r="AN41">
        <f>Worldprices!$C$70*AN$4</f>
        <v>3.0600000000000005</v>
      </c>
      <c r="AO41">
        <f>Worldprices!$C$70*AO$4</f>
        <v>3.0600000000000005</v>
      </c>
      <c r="AP41">
        <f>Worldprices!$C$70*AP$4</f>
        <v>3.0600000000000005</v>
      </c>
      <c r="AQ41">
        <f t="shared" si="1"/>
        <v>3.0600000000000005</v>
      </c>
    </row>
    <row r="42" spans="1:43" ht="12.75">
      <c r="A42" t="s">
        <v>248</v>
      </c>
      <c r="B42" t="s">
        <v>351</v>
      </c>
      <c r="C42" t="s">
        <v>154</v>
      </c>
      <c r="D42">
        <v>2025</v>
      </c>
      <c r="E42" t="str">
        <f>Worldprices!$D$62</f>
        <v>IMPCOACOK*</v>
      </c>
      <c r="F42" t="str">
        <f>Worldprices!$D$63</f>
        <v>COACOK</v>
      </c>
      <c r="G42">
        <f>Worldprices!$D$70*G$4</f>
        <v>3.8862000000000005</v>
      </c>
      <c r="H42">
        <f>Worldprices!$D$70*H$4</f>
        <v>3.6335970000000009</v>
      </c>
      <c r="I42">
        <f t="shared" si="2"/>
        <v>3.8862000000000005</v>
      </c>
      <c r="J42">
        <f>Worldprices!$D$70*J$4</f>
        <v>3.8862000000000005</v>
      </c>
      <c r="K42">
        <f>Worldprices!$D$70*K$4</f>
        <v>3.8862000000000005</v>
      </c>
      <c r="L42">
        <f>Worldprices!$D$70*L$4</f>
        <v>3.8862000000000005</v>
      </c>
      <c r="M42">
        <f>Worldprices!$D$70*M$4</f>
        <v>3.8862000000000005</v>
      </c>
      <c r="N42">
        <f>Worldprices!$D$70*N$4</f>
        <v>3.8862000000000005</v>
      </c>
      <c r="O42">
        <f>Worldprices!$D$70*O$4</f>
        <v>3.3032700000000004</v>
      </c>
      <c r="P42">
        <f>Worldprices!$D$70*P$4</f>
        <v>3.6918900000000003</v>
      </c>
      <c r="Q42">
        <f>Worldprices!$D$70*Q$4</f>
        <v>3.8862000000000005</v>
      </c>
      <c r="R42">
        <f>Worldprices!$D$70*R$4</f>
        <v>3.3032700000000004</v>
      </c>
      <c r="S42">
        <f>Worldprices!$D$70*S$4</f>
        <v>3.8862000000000005</v>
      </c>
      <c r="T42">
        <f>Worldprices!$D$70*T$4</f>
        <v>3.8862000000000005</v>
      </c>
      <c r="U42">
        <f>Worldprices!$D$70*U$4</f>
        <v>3.8862000000000005</v>
      </c>
      <c r="V42">
        <f>Worldprices!$D$70*V$4</f>
        <v>3.8862000000000005</v>
      </c>
      <c r="W42">
        <f>Worldprices!$D$70*W$4</f>
        <v>3.8862000000000005</v>
      </c>
      <c r="X42">
        <f>Worldprices!$D$70*X$4</f>
        <v>3.8862000000000005</v>
      </c>
      <c r="Y42">
        <f>Worldprices!$D$70*Y$4</f>
        <v>3.8862000000000005</v>
      </c>
      <c r="Z42">
        <f>Worldprices!$D$70*Z$4</f>
        <v>3.8862000000000005</v>
      </c>
      <c r="AA42">
        <f>Worldprices!$D$70*AA$4</f>
        <v>3.8862000000000005</v>
      </c>
      <c r="AB42">
        <f>Worldprices!$D$70*AB$4</f>
        <v>3.8862000000000005</v>
      </c>
      <c r="AC42">
        <f>Worldprices!$D$70*AC$4</f>
        <v>3.8862000000000005</v>
      </c>
      <c r="AD42">
        <f>Worldprices!$D$70*AD$4</f>
        <v>3.8862000000000005</v>
      </c>
      <c r="AE42">
        <f>Worldprices!$D$70*AE$4</f>
        <v>3.8862000000000005</v>
      </c>
      <c r="AF42">
        <f>Worldprices!$D$70*AF$4</f>
        <v>3.8862000000000005</v>
      </c>
      <c r="AG42">
        <f>Worldprices!$D$70*AG$4</f>
        <v>3.8862000000000005</v>
      </c>
      <c r="AH42">
        <f>Worldprices!$D$70*AH$4</f>
        <v>3.8862000000000005</v>
      </c>
      <c r="AI42">
        <f>Worldprices!$D$70*AI$4</f>
        <v>3.8862000000000005</v>
      </c>
      <c r="AJ42">
        <f>Worldprices!$D$70*AJ$4</f>
        <v>3.8862000000000005</v>
      </c>
      <c r="AK42">
        <f>Worldprices!$D$70*AK$4</f>
        <v>3.8862000000000005</v>
      </c>
      <c r="AL42">
        <f>Worldprices!$D$70*AL$4</f>
        <v>3.8862000000000005</v>
      </c>
      <c r="AM42">
        <f>Worldprices!$D$70*AM$4</f>
        <v>3.8862000000000005</v>
      </c>
      <c r="AN42">
        <f>Worldprices!$D$70*AN$4</f>
        <v>3.8862000000000005</v>
      </c>
      <c r="AO42">
        <f>Worldprices!$D$70*AO$4</f>
        <v>3.8862000000000005</v>
      </c>
      <c r="AP42">
        <f>Worldprices!$D$70*AP$4</f>
        <v>3.8862000000000005</v>
      </c>
      <c r="AQ42">
        <f t="shared" si="1"/>
        <v>3.8862000000000005</v>
      </c>
    </row>
    <row r="43" spans="1:43" ht="12.75">
      <c r="A43" t="s">
        <v>248</v>
      </c>
      <c r="B43" t="s">
        <v>351</v>
      </c>
      <c r="C43" t="s">
        <v>154</v>
      </c>
      <c r="D43">
        <v>2025</v>
      </c>
      <c r="E43" t="str">
        <f>Worldprices!$E$62</f>
        <v>IMPCOABRO*</v>
      </c>
      <c r="F43" t="str">
        <f>Worldprices!$E$63</f>
        <v>COABRO</v>
      </c>
      <c r="G43">
        <f>Worldprices!$E$70*G$4</f>
        <v>2.9070000000000005</v>
      </c>
      <c r="H43">
        <f>Worldprices!$E$70*H$4</f>
        <v>2.7180450000000005</v>
      </c>
      <c r="I43">
        <f t="shared" si="2"/>
        <v>2.9070000000000005</v>
      </c>
      <c r="J43">
        <f>Worldprices!$E$70*J$4</f>
        <v>2.9070000000000005</v>
      </c>
      <c r="K43">
        <f>Worldprices!$E$70*K$4</f>
        <v>2.9070000000000005</v>
      </c>
      <c r="L43">
        <f>Worldprices!$E$70*L$4</f>
        <v>2.9070000000000005</v>
      </c>
      <c r="M43">
        <f>Worldprices!$E$70*M$4</f>
        <v>2.9070000000000005</v>
      </c>
      <c r="N43">
        <f>Worldprices!$E$70*N$4</f>
        <v>2.9070000000000005</v>
      </c>
      <c r="O43">
        <f>Worldprices!$E$70*O$4</f>
        <v>2.4709500000000002</v>
      </c>
      <c r="P43">
        <f>Worldprices!$E$70*P$4</f>
        <v>2.7616500000000004</v>
      </c>
      <c r="Q43">
        <f>Worldprices!$E$70*Q$4</f>
        <v>2.9070000000000005</v>
      </c>
      <c r="R43">
        <f>Worldprices!$E$70*R$4</f>
        <v>2.4709500000000002</v>
      </c>
      <c r="S43">
        <f>Worldprices!$E$70*S$4</f>
        <v>2.9070000000000005</v>
      </c>
      <c r="T43">
        <f>Worldprices!$E$70*T$4</f>
        <v>2.9070000000000005</v>
      </c>
      <c r="U43">
        <f>Worldprices!$E$70*U$4</f>
        <v>2.9070000000000005</v>
      </c>
      <c r="V43">
        <f>Worldprices!$E$70*V$4</f>
        <v>2.9070000000000005</v>
      </c>
      <c r="W43">
        <f>Worldprices!$E$70*W$4</f>
        <v>2.9070000000000005</v>
      </c>
      <c r="X43">
        <f>Worldprices!$E$70*X$4</f>
        <v>2.9070000000000005</v>
      </c>
      <c r="Y43">
        <f>Worldprices!$E$70*Y$4</f>
        <v>2.9070000000000005</v>
      </c>
      <c r="Z43">
        <f>Worldprices!$E$70*Z$4</f>
        <v>2.9070000000000005</v>
      </c>
      <c r="AA43">
        <f>Worldprices!$E$70*AA$4</f>
        <v>2.9070000000000005</v>
      </c>
      <c r="AB43">
        <f>Worldprices!$E$70*AB$4</f>
        <v>2.9070000000000005</v>
      </c>
      <c r="AC43">
        <f>Worldprices!$E$70*AC$4</f>
        <v>2.9070000000000005</v>
      </c>
      <c r="AD43">
        <f>Worldprices!$E$70*AD$4</f>
        <v>2.9070000000000005</v>
      </c>
      <c r="AE43">
        <f>Worldprices!$E$70*AE$4</f>
        <v>2.9070000000000005</v>
      </c>
      <c r="AF43">
        <f>Worldprices!$E$70*AF$4</f>
        <v>2.9070000000000005</v>
      </c>
      <c r="AG43">
        <f>Worldprices!$E$70*AG$4</f>
        <v>2.9070000000000005</v>
      </c>
      <c r="AH43">
        <f>Worldprices!$E$70*AH$4</f>
        <v>2.9070000000000005</v>
      </c>
      <c r="AI43">
        <f>Worldprices!$E$70*AI$4</f>
        <v>2.9070000000000005</v>
      </c>
      <c r="AJ43">
        <f>Worldprices!$E$70*AJ$4</f>
        <v>2.9070000000000005</v>
      </c>
      <c r="AK43">
        <f>Worldprices!$E$70*AK$4</f>
        <v>2.9070000000000005</v>
      </c>
      <c r="AL43">
        <f>Worldprices!$E$70*AL$4</f>
        <v>2.9070000000000005</v>
      </c>
      <c r="AM43">
        <f>Worldprices!$E$70*AM$4</f>
        <v>2.9070000000000005</v>
      </c>
      <c r="AN43">
        <f>Worldprices!$E$70*AN$4</f>
        <v>2.9070000000000005</v>
      </c>
      <c r="AO43">
        <f>Worldprices!$E$70*AO$4</f>
        <v>2.9070000000000005</v>
      </c>
      <c r="AP43">
        <f>Worldprices!$E$70*AP$4</f>
        <v>2.9070000000000005</v>
      </c>
      <c r="AQ43">
        <f t="shared" si="1"/>
        <v>2.9070000000000005</v>
      </c>
    </row>
    <row r="44" spans="1:43" ht="12.75">
      <c r="A44" t="s">
        <v>248</v>
      </c>
      <c r="B44" t="s">
        <v>351</v>
      </c>
      <c r="C44" t="s">
        <v>154</v>
      </c>
      <c r="D44">
        <v>2025</v>
      </c>
      <c r="E44" t="str">
        <f>Worldprices!$F$62</f>
        <v>IMPCOALIG*</v>
      </c>
      <c r="F44" t="str">
        <f>Worldprices!$F$63</f>
        <v>COALIG</v>
      </c>
      <c r="G44">
        <f>Worldprices!$F$70*G$4</f>
        <v>2.9070000000000005</v>
      </c>
      <c r="H44">
        <f>Worldprices!$F$70*H$4</f>
        <v>2.7180450000000005</v>
      </c>
      <c r="I44">
        <f t="shared" si="2"/>
        <v>2.9070000000000005</v>
      </c>
      <c r="J44">
        <f>Worldprices!$F$70*J$4</f>
        <v>2.9070000000000005</v>
      </c>
      <c r="K44">
        <f>Worldprices!$F$70*K$4</f>
        <v>2.9070000000000005</v>
      </c>
      <c r="L44">
        <f>Worldprices!$F$70*L$4</f>
        <v>2.9070000000000005</v>
      </c>
      <c r="M44">
        <f>Worldprices!$F$70*M$4</f>
        <v>2.9070000000000005</v>
      </c>
      <c r="N44">
        <f>Worldprices!$F$70*N$4</f>
        <v>2.9070000000000005</v>
      </c>
      <c r="O44">
        <f>Worldprices!$F$70*O$4</f>
        <v>2.4709500000000002</v>
      </c>
      <c r="P44">
        <f>Worldprices!$F$70*P$4</f>
        <v>2.7616500000000004</v>
      </c>
      <c r="Q44">
        <f>Worldprices!$F$70*Q$4</f>
        <v>2.9070000000000005</v>
      </c>
      <c r="R44">
        <f>Worldprices!$F$70*R$4</f>
        <v>2.4709500000000002</v>
      </c>
      <c r="S44">
        <f>Worldprices!$F$70*S$4</f>
        <v>2.9070000000000005</v>
      </c>
      <c r="T44">
        <f>Worldprices!$F$70*T$4</f>
        <v>2.9070000000000005</v>
      </c>
      <c r="U44">
        <f>Worldprices!$F$70*U$4</f>
        <v>2.9070000000000005</v>
      </c>
      <c r="V44">
        <f>Worldprices!$F$70*V$4</f>
        <v>2.9070000000000005</v>
      </c>
      <c r="W44">
        <f>Worldprices!$F$70*W$4</f>
        <v>2.9070000000000005</v>
      </c>
      <c r="X44">
        <f>Worldprices!$F$70*X$4</f>
        <v>2.9070000000000005</v>
      </c>
      <c r="Y44">
        <f>Worldprices!$F$70*Y$4</f>
        <v>2.9070000000000005</v>
      </c>
      <c r="Z44">
        <f>Worldprices!$F$70*Z$4</f>
        <v>2.9070000000000005</v>
      </c>
      <c r="AA44">
        <f>Worldprices!$F$70*AA$4</f>
        <v>2.9070000000000005</v>
      </c>
      <c r="AB44">
        <f>Worldprices!$F$70*AB$4</f>
        <v>2.9070000000000005</v>
      </c>
      <c r="AC44">
        <f>Worldprices!$F$70*AC$4</f>
        <v>2.9070000000000005</v>
      </c>
      <c r="AD44">
        <f>Worldprices!$F$70*AD$4</f>
        <v>2.9070000000000005</v>
      </c>
      <c r="AE44">
        <f>Worldprices!$F$70*AE$4</f>
        <v>2.9070000000000005</v>
      </c>
      <c r="AF44">
        <f>Worldprices!$F$70*AF$4</f>
        <v>2.9070000000000005</v>
      </c>
      <c r="AG44">
        <f>Worldprices!$F$70*AG$4</f>
        <v>2.9070000000000005</v>
      </c>
      <c r="AH44">
        <f>Worldprices!$F$70*AH$4</f>
        <v>2.9070000000000005</v>
      </c>
      <c r="AI44">
        <f>Worldprices!$F$70*AI$4</f>
        <v>2.9070000000000005</v>
      </c>
      <c r="AJ44">
        <f>Worldprices!$F$70*AJ$4</f>
        <v>2.9070000000000005</v>
      </c>
      <c r="AK44">
        <f>Worldprices!$F$70*AK$4</f>
        <v>2.9070000000000005</v>
      </c>
      <c r="AL44">
        <f>Worldprices!$F$70*AL$4</f>
        <v>2.9070000000000005</v>
      </c>
      <c r="AM44">
        <f>Worldprices!$F$70*AM$4</f>
        <v>2.9070000000000005</v>
      </c>
      <c r="AN44">
        <f>Worldprices!$F$70*AN$4</f>
        <v>2.9070000000000005</v>
      </c>
      <c r="AO44">
        <f>Worldprices!$F$70*AO$4</f>
        <v>2.9070000000000005</v>
      </c>
      <c r="AP44">
        <f>Worldprices!$F$70*AP$4</f>
        <v>2.9070000000000005</v>
      </c>
      <c r="AQ44">
        <f t="shared" si="1"/>
        <v>2.9070000000000005</v>
      </c>
    </row>
    <row r="45" spans="1:43" ht="12.75">
      <c r="A45" t="s">
        <v>248</v>
      </c>
      <c r="B45" t="s">
        <v>351</v>
      </c>
      <c r="C45" t="s">
        <v>154</v>
      </c>
      <c r="D45">
        <v>2025</v>
      </c>
      <c r="E45" t="str">
        <f>Worldprices!$M$62</f>
        <v>IMPOILOTH</v>
      </c>
      <c r="F45" t="str">
        <f>Worldprices!$M$63</f>
        <v>OILOTH</v>
      </c>
      <c r="G45">
        <f>Worldprices!$M$70*G$6</f>
        <v>11.48</v>
      </c>
      <c r="H45">
        <f>Worldprices!$M$70*H$6</f>
        <v>11.48</v>
      </c>
      <c r="I45">
        <f t="shared" si="2"/>
        <v>11.48</v>
      </c>
      <c r="J45">
        <f>Worldprices!$M$70*J$6</f>
        <v>11.48</v>
      </c>
      <c r="K45">
        <f>Worldprices!$M$70*K$6</f>
        <v>11.48</v>
      </c>
      <c r="L45">
        <f>Worldprices!$M$70*L$6</f>
        <v>11.48</v>
      </c>
      <c r="M45">
        <f>Worldprices!$M$70*M$6</f>
        <v>11.48</v>
      </c>
      <c r="N45">
        <f>Worldprices!$M$70*N$6</f>
        <v>11.48</v>
      </c>
      <c r="O45">
        <f>Worldprices!$M$70*O$6</f>
        <v>11.48</v>
      </c>
      <c r="P45">
        <f>Worldprices!$M$70*P$6</f>
        <v>11.48</v>
      </c>
      <c r="Q45">
        <f>Worldprices!$M$70*Q$6</f>
        <v>11.48</v>
      </c>
      <c r="R45">
        <f>Worldprices!$M$70*R$6</f>
        <v>11.48</v>
      </c>
      <c r="S45">
        <f>Worldprices!$M$70*S$6</f>
        <v>11.48</v>
      </c>
      <c r="T45">
        <f>Worldprices!$M$70*T$6</f>
        <v>11.48</v>
      </c>
      <c r="U45">
        <f>Worldprices!$M$70*U$6</f>
        <v>10.906000000000001</v>
      </c>
      <c r="V45">
        <f>Worldprices!$M$70*V$6</f>
        <v>11.48</v>
      </c>
      <c r="W45">
        <f>Worldprices!$M$70*W$6</f>
        <v>11.48</v>
      </c>
      <c r="X45">
        <f>Worldprices!$M$70*X$6</f>
        <v>11.48</v>
      </c>
      <c r="Y45">
        <f>Worldprices!$M$70*Y$6</f>
        <v>11.48</v>
      </c>
      <c r="Z45">
        <f>Worldprices!$M$70*Z$6</f>
        <v>11.48</v>
      </c>
      <c r="AA45">
        <f>Worldprices!$M$70*AA$6</f>
        <v>11.48</v>
      </c>
      <c r="AB45">
        <f>Worldprices!$M$70*AB$6</f>
        <v>11.48</v>
      </c>
      <c r="AC45">
        <f>Worldprices!$M$70*AC$6</f>
        <v>11.48</v>
      </c>
      <c r="AD45">
        <f>Worldprices!$M$70*AD$6</f>
        <v>11.48</v>
      </c>
      <c r="AE45">
        <f>Worldprices!$M$70*AE$6</f>
        <v>11.48</v>
      </c>
      <c r="AF45">
        <f>Worldprices!$M$70*AF$6</f>
        <v>11.48</v>
      </c>
      <c r="AG45">
        <f>Worldprices!$M$70*AG$6</f>
        <v>11.48</v>
      </c>
      <c r="AH45">
        <f>Worldprices!$M$70*AH$6</f>
        <v>11.48</v>
      </c>
      <c r="AI45">
        <f>Worldprices!$M$70*AI$6</f>
        <v>11.48</v>
      </c>
      <c r="AJ45">
        <f>Worldprices!$M$70*AJ$6</f>
        <v>11.48</v>
      </c>
      <c r="AK45">
        <f>Worldprices!$M$70*AK$6</f>
        <v>11.48</v>
      </c>
      <c r="AL45">
        <f>Worldprices!$M$70*AL$6</f>
        <v>11.48</v>
      </c>
      <c r="AM45">
        <f>Worldprices!$M$70*AM$6</f>
        <v>11.48</v>
      </c>
      <c r="AN45">
        <f>Worldprices!$M$70*AN$6</f>
        <v>11.48</v>
      </c>
      <c r="AO45">
        <f>Worldprices!$M$70*AO$6</f>
        <v>11.48</v>
      </c>
      <c r="AP45">
        <f>Worldprices!$M$70*AP$6</f>
        <v>11.48</v>
      </c>
      <c r="AQ45">
        <f t="shared" si="1"/>
        <v>11.48</v>
      </c>
    </row>
    <row r="46" spans="1:43" ht="12.75">
      <c r="A46" t="s">
        <v>248</v>
      </c>
      <c r="B46" t="s">
        <v>351</v>
      </c>
      <c r="C46" t="s">
        <v>154</v>
      </c>
      <c r="D46">
        <v>2025</v>
      </c>
      <c r="E46" t="str">
        <f>Worldprices!$N$62</f>
        <v>IMPOILNAP</v>
      </c>
      <c r="F46" t="str">
        <f>Worldprices!$N$63</f>
        <v>OILNAP</v>
      </c>
      <c r="G46">
        <f>Worldprices!$N$70*G$6</f>
        <v>11.48</v>
      </c>
      <c r="H46">
        <f>Worldprices!$N$70*H$6</f>
        <v>11.48</v>
      </c>
      <c r="I46">
        <f t="shared" si="2"/>
        <v>11.48</v>
      </c>
      <c r="J46">
        <f>Worldprices!$N$70*J$6</f>
        <v>11.48</v>
      </c>
      <c r="K46">
        <f>Worldprices!$N$70*K$6</f>
        <v>11.48</v>
      </c>
      <c r="L46">
        <f>Worldprices!$N$70*L$6</f>
        <v>11.48</v>
      </c>
      <c r="M46">
        <f>Worldprices!$N$70*M$6</f>
        <v>11.48</v>
      </c>
      <c r="N46">
        <f>Worldprices!$N$70*N$6</f>
        <v>11.48</v>
      </c>
      <c r="O46">
        <f>Worldprices!$N$70*O$6</f>
        <v>11.48</v>
      </c>
      <c r="P46">
        <f>Worldprices!$N$70*P$6</f>
        <v>11.48</v>
      </c>
      <c r="Q46">
        <f>Worldprices!$N$70*Q$6</f>
        <v>11.48</v>
      </c>
      <c r="R46">
        <f>Worldprices!$N$70*R$6</f>
        <v>11.48</v>
      </c>
      <c r="S46">
        <f>Worldprices!$N$70*S$6</f>
        <v>11.48</v>
      </c>
      <c r="T46">
        <f>Worldprices!$N$70*T$6</f>
        <v>11.48</v>
      </c>
      <c r="U46">
        <f>Worldprices!$N$70*U$6</f>
        <v>10.906000000000001</v>
      </c>
      <c r="V46">
        <f>Worldprices!$N$70*V$6</f>
        <v>11.48</v>
      </c>
      <c r="W46">
        <f>Worldprices!$N$70*W$6</f>
        <v>11.48</v>
      </c>
      <c r="X46">
        <f>Worldprices!$N$70*X$6</f>
        <v>11.48</v>
      </c>
      <c r="Y46">
        <f>Worldprices!$N$70*Y$6</f>
        <v>11.48</v>
      </c>
      <c r="Z46">
        <f>Worldprices!$N$70*Z$6</f>
        <v>11.48</v>
      </c>
      <c r="AA46">
        <f>Worldprices!$N$70*AA$6</f>
        <v>11.48</v>
      </c>
      <c r="AB46">
        <f>Worldprices!$N$70*AB$6</f>
        <v>11.48</v>
      </c>
      <c r="AC46">
        <f>Worldprices!$N$70*AC$6</f>
        <v>11.48</v>
      </c>
      <c r="AD46">
        <f>Worldprices!$N$70*AD$6</f>
        <v>11.48</v>
      </c>
      <c r="AE46">
        <f>Worldprices!$N$70*AE$6</f>
        <v>11.48</v>
      </c>
      <c r="AF46">
        <f>Worldprices!$N$70*AF$6</f>
        <v>11.48</v>
      </c>
      <c r="AG46">
        <f>Worldprices!$N$70*AG$6</f>
        <v>11.48</v>
      </c>
      <c r="AH46">
        <f>Worldprices!$N$70*AH$6</f>
        <v>11.48</v>
      </c>
      <c r="AI46">
        <f>Worldprices!$N$70*AI$6</f>
        <v>11.48</v>
      </c>
      <c r="AJ46">
        <f>Worldprices!$N$70*AJ$6</f>
        <v>11.48</v>
      </c>
      <c r="AK46">
        <f>Worldprices!$N$70*AK$6</f>
        <v>11.48</v>
      </c>
      <c r="AL46">
        <f>Worldprices!$N$70*AL$6</f>
        <v>11.48</v>
      </c>
      <c r="AM46">
        <f>Worldprices!$N$70*AM$6</f>
        <v>11.48</v>
      </c>
      <c r="AN46">
        <f>Worldprices!$N$70*AN$6</f>
        <v>11.48</v>
      </c>
      <c r="AO46">
        <f>Worldprices!$N$70*AO$6</f>
        <v>11.48</v>
      </c>
      <c r="AP46">
        <f>Worldprices!$N$70*AP$6</f>
        <v>11.48</v>
      </c>
      <c r="AQ46">
        <f t="shared" si="1"/>
        <v>11.48</v>
      </c>
    </row>
    <row r="47" spans="1:43" ht="12.75">
      <c r="A47" t="s">
        <v>248</v>
      </c>
      <c r="B47" t="s">
        <v>351</v>
      </c>
      <c r="C47" t="s">
        <v>154</v>
      </c>
      <c r="D47">
        <v>2025</v>
      </c>
      <c r="E47" t="str">
        <f>Worldprices!$O$62</f>
        <v>IMPOILFDS</v>
      </c>
      <c r="F47" t="str">
        <f>Worldprices!$O$63</f>
        <v>OILFDS</v>
      </c>
      <c r="G47">
        <f>Worldprices!$O$70*G$6</f>
        <v>11.48</v>
      </c>
      <c r="H47">
        <f>Worldprices!$O$70*H$6</f>
        <v>11.48</v>
      </c>
      <c r="I47">
        <f t="shared" si="2"/>
        <v>11.48</v>
      </c>
      <c r="J47">
        <f>Worldprices!$O$70*J$6</f>
        <v>11.48</v>
      </c>
      <c r="K47">
        <f>Worldprices!$O$70*K$6</f>
        <v>11.48</v>
      </c>
      <c r="L47">
        <f>Worldprices!$O$70*L$6</f>
        <v>11.48</v>
      </c>
      <c r="M47">
        <f>Worldprices!$O$70*M$6</f>
        <v>11.48</v>
      </c>
      <c r="N47">
        <f>Worldprices!$O$70*N$6</f>
        <v>11.48</v>
      </c>
      <c r="O47">
        <f>Worldprices!$O$70*O$6</f>
        <v>11.48</v>
      </c>
      <c r="P47">
        <f>Worldprices!$O$70*P$6</f>
        <v>11.48</v>
      </c>
      <c r="Q47">
        <f>Worldprices!$O$70*Q$6</f>
        <v>11.48</v>
      </c>
      <c r="R47">
        <f>Worldprices!$O$70*R$6</f>
        <v>11.48</v>
      </c>
      <c r="S47">
        <f>Worldprices!$O$70*S$6</f>
        <v>11.48</v>
      </c>
      <c r="T47">
        <f>Worldprices!$O$70*T$6</f>
        <v>11.48</v>
      </c>
      <c r="U47">
        <f>Worldprices!$O$70*U$6</f>
        <v>10.906000000000001</v>
      </c>
      <c r="V47">
        <f>Worldprices!$O$70*V$6</f>
        <v>11.48</v>
      </c>
      <c r="W47">
        <f>Worldprices!$O$70*W$6</f>
        <v>11.48</v>
      </c>
      <c r="X47">
        <f>Worldprices!$O$70*X$6</f>
        <v>11.48</v>
      </c>
      <c r="Y47">
        <f>Worldprices!$O$70*Y$6</f>
        <v>11.48</v>
      </c>
      <c r="Z47">
        <f>Worldprices!$O$70*Z$6</f>
        <v>11.48</v>
      </c>
      <c r="AA47">
        <f>Worldprices!$O$70*AA$6</f>
        <v>11.48</v>
      </c>
      <c r="AB47">
        <f>Worldprices!$O$70*AB$6</f>
        <v>11.48</v>
      </c>
      <c r="AC47">
        <f>Worldprices!$O$70*AC$6</f>
        <v>11.48</v>
      </c>
      <c r="AD47">
        <f>Worldprices!$O$70*AD$6</f>
        <v>11.48</v>
      </c>
      <c r="AE47">
        <f>Worldprices!$O$70*AE$6</f>
        <v>11.48</v>
      </c>
      <c r="AF47">
        <f>Worldprices!$O$70*AF$6</f>
        <v>11.48</v>
      </c>
      <c r="AG47">
        <f>Worldprices!$O$70*AG$6</f>
        <v>11.48</v>
      </c>
      <c r="AH47">
        <f>Worldprices!$O$70*AH$6</f>
        <v>11.48</v>
      </c>
      <c r="AI47">
        <f>Worldprices!$O$70*AI$6</f>
        <v>11.48</v>
      </c>
      <c r="AJ47">
        <f>Worldprices!$O$70*AJ$6</f>
        <v>11.48</v>
      </c>
      <c r="AK47">
        <f>Worldprices!$O$70*AK$6</f>
        <v>11.48</v>
      </c>
      <c r="AL47">
        <f>Worldprices!$O$70*AL$6</f>
        <v>11.48</v>
      </c>
      <c r="AM47">
        <f>Worldprices!$O$70*AM$6</f>
        <v>11.48</v>
      </c>
      <c r="AN47">
        <f>Worldprices!$O$70*AN$6</f>
        <v>11.48</v>
      </c>
      <c r="AO47">
        <f>Worldprices!$O$70*AO$6</f>
        <v>11.48</v>
      </c>
      <c r="AP47">
        <f>Worldprices!$O$70*AP$6</f>
        <v>11.48</v>
      </c>
      <c r="AQ47">
        <f t="shared" si="1"/>
        <v>11.48</v>
      </c>
    </row>
    <row r="48" spans="1:43" ht="12.75">
      <c r="A48" t="s">
        <v>248</v>
      </c>
      <c r="B48" t="s">
        <v>351</v>
      </c>
      <c r="C48" t="s">
        <v>154</v>
      </c>
      <c r="D48">
        <v>2025</v>
      </c>
      <c r="E48" t="str">
        <f>Worldprices!$P$62</f>
        <v>IMPOILNEU</v>
      </c>
      <c r="F48" t="str">
        <f>Worldprices!$P$63</f>
        <v>OILNEU</v>
      </c>
      <c r="G48">
        <f>Worldprices!$P$70*G$6</f>
        <v>11.48</v>
      </c>
      <c r="H48">
        <f>Worldprices!$P$70*H$6</f>
        <v>11.48</v>
      </c>
      <c r="I48">
        <f t="shared" si="2"/>
        <v>11.48</v>
      </c>
      <c r="J48">
        <f>Worldprices!$P$70*J$6</f>
        <v>11.48</v>
      </c>
      <c r="K48">
        <f>Worldprices!$P$70*K$6</f>
        <v>11.48</v>
      </c>
      <c r="L48">
        <f>Worldprices!$P$70*L$6</f>
        <v>11.48</v>
      </c>
      <c r="M48">
        <f>Worldprices!$P$70*M$6</f>
        <v>11.48</v>
      </c>
      <c r="N48">
        <f>Worldprices!$P$70*N$6</f>
        <v>11.48</v>
      </c>
      <c r="O48">
        <f>Worldprices!$P$70*O$6</f>
        <v>11.48</v>
      </c>
      <c r="P48">
        <f>Worldprices!$P$70*P$6</f>
        <v>11.48</v>
      </c>
      <c r="Q48">
        <f>Worldprices!$P$70*Q$6</f>
        <v>11.48</v>
      </c>
      <c r="R48">
        <f>Worldprices!$P$70*R$6</f>
        <v>11.48</v>
      </c>
      <c r="S48">
        <f>Worldprices!$P$70*S$6</f>
        <v>11.48</v>
      </c>
      <c r="T48">
        <f>Worldprices!$P$70*T$6</f>
        <v>11.48</v>
      </c>
      <c r="U48">
        <f>Worldprices!$P$70*U$6</f>
        <v>10.906000000000001</v>
      </c>
      <c r="V48">
        <f>Worldprices!$P$70*V$6</f>
        <v>11.48</v>
      </c>
      <c r="W48">
        <f>Worldprices!$P$70*W$6</f>
        <v>11.48</v>
      </c>
      <c r="X48">
        <f>Worldprices!$P$70*X$6</f>
        <v>11.48</v>
      </c>
      <c r="Y48">
        <f>Worldprices!$P$70*Y$6</f>
        <v>11.48</v>
      </c>
      <c r="Z48">
        <f>Worldprices!$P$70*Z$6</f>
        <v>11.48</v>
      </c>
      <c r="AA48">
        <f>Worldprices!$P$70*AA$6</f>
        <v>11.48</v>
      </c>
      <c r="AB48">
        <f>Worldprices!$P$70*AB$6</f>
        <v>11.48</v>
      </c>
      <c r="AC48">
        <f>Worldprices!$P$70*AC$6</f>
        <v>11.48</v>
      </c>
      <c r="AD48">
        <f>Worldprices!$P$70*AD$6</f>
        <v>11.48</v>
      </c>
      <c r="AE48">
        <f>Worldprices!$P$70*AE$6</f>
        <v>11.48</v>
      </c>
      <c r="AF48">
        <f>Worldprices!$P$70*AF$6</f>
        <v>11.48</v>
      </c>
      <c r="AG48">
        <f>Worldprices!$P$70*AG$6</f>
        <v>11.48</v>
      </c>
      <c r="AH48">
        <f>Worldprices!$P$70*AH$6</f>
        <v>11.48</v>
      </c>
      <c r="AI48">
        <f>Worldprices!$P$70*AI$6</f>
        <v>11.48</v>
      </c>
      <c r="AJ48">
        <f>Worldprices!$P$70*AJ$6</f>
        <v>11.48</v>
      </c>
      <c r="AK48">
        <f>Worldprices!$P$70*AK$6</f>
        <v>11.48</v>
      </c>
      <c r="AL48">
        <f>Worldprices!$P$70*AL$6</f>
        <v>11.48</v>
      </c>
      <c r="AM48">
        <f>Worldprices!$P$70*AM$6</f>
        <v>11.48</v>
      </c>
      <c r="AN48">
        <f>Worldprices!$P$70*AN$6</f>
        <v>11.48</v>
      </c>
      <c r="AO48">
        <f>Worldprices!$P$70*AO$6</f>
        <v>11.48</v>
      </c>
      <c r="AP48">
        <f>Worldprices!$P$70*AP$6</f>
        <v>11.48</v>
      </c>
      <c r="AQ48">
        <f t="shared" si="1"/>
        <v>11.48</v>
      </c>
    </row>
    <row r="49" spans="1:43" ht="12.75">
      <c r="A49" t="s">
        <v>248</v>
      </c>
      <c r="B49" t="s">
        <v>351</v>
      </c>
      <c r="C49" t="s">
        <v>305</v>
      </c>
      <c r="D49">
        <v>2025</v>
      </c>
      <c r="E49" t="str">
        <f>Worldprices!$R$62</f>
        <v>IMPBIOWOO</v>
      </c>
      <c r="F49" t="str">
        <f>Worldprices!$R$63</f>
        <v>BIOWOO</v>
      </c>
      <c r="G49">
        <f>Worldprices!$R$70*G$8</f>
        <v>4.7353033859171507</v>
      </c>
      <c r="H49">
        <f>Worldprices!$R$70*H$8</f>
        <v>4.7353033859171507</v>
      </c>
      <c r="I49">
        <f t="shared" si="2"/>
        <v>4.7353033859171507</v>
      </c>
      <c r="J49">
        <f>Worldprices!$R$70*J$8</f>
        <v>4.7353033859171507</v>
      </c>
      <c r="K49">
        <f>Worldprices!$R$70*K$8</f>
        <v>4.7353033859171507</v>
      </c>
      <c r="L49">
        <f>Worldprices!$R$70*L$8</f>
        <v>4.7353033859171507</v>
      </c>
      <c r="M49">
        <f>Worldprices!$R$70*M$8</f>
        <v>4.7353033859171507</v>
      </c>
      <c r="N49">
        <f>Worldprices!$R$70*N$8</f>
        <v>4.7353033859171507</v>
      </c>
      <c r="O49">
        <f>Worldprices!$R$70*O$8</f>
        <v>4.7353033859171507</v>
      </c>
      <c r="P49">
        <f>Worldprices!$R$70*P$8</f>
        <v>4.7353033859171507</v>
      </c>
      <c r="Q49">
        <f>Worldprices!$R$70*Q$8</f>
        <v>4.7353033859171507</v>
      </c>
      <c r="R49">
        <f>Worldprices!$R$70*R$8</f>
        <v>4.7353033859171507</v>
      </c>
      <c r="S49">
        <f>Worldprices!$R$70*S$8</f>
        <v>4.7353033859171507</v>
      </c>
      <c r="T49">
        <f>Worldprices!$R$70*T$8</f>
        <v>4.7353033859171507</v>
      </c>
      <c r="U49">
        <f>Worldprices!$R$70*U$8</f>
        <v>4.7353033859171507</v>
      </c>
      <c r="V49">
        <f>Worldprices!$R$70*V$8</f>
        <v>4.7353033859171507</v>
      </c>
      <c r="W49">
        <f>Worldprices!$R$70*W$8</f>
        <v>4.7353033859171507</v>
      </c>
      <c r="X49">
        <f>Worldprices!$R$70*X$8</f>
        <v>4.7353033859171507</v>
      </c>
      <c r="Y49">
        <f>Worldprices!$R$70*Y$8</f>
        <v>4.7353033859171507</v>
      </c>
      <c r="Z49">
        <f>Worldprices!$R$70*Z$8</f>
        <v>4.7353033859171507</v>
      </c>
      <c r="AA49">
        <f>Worldprices!$R$70*AA$8</f>
        <v>4.7353033859171507</v>
      </c>
      <c r="AB49">
        <f>Worldprices!$R$70*AB$8</f>
        <v>4.7353033859171507</v>
      </c>
      <c r="AC49">
        <f>Worldprices!$R$70*AC$8</f>
        <v>4.7353033859171507</v>
      </c>
      <c r="AD49">
        <f>Worldprices!$R$70*AD$8</f>
        <v>4.7353033859171507</v>
      </c>
      <c r="AE49">
        <f>Worldprices!$R$70*AE$8</f>
        <v>4.7353033859171507</v>
      </c>
      <c r="AF49">
        <f>Worldprices!$R$70*AF$8</f>
        <v>4.7353033859171507</v>
      </c>
      <c r="AG49">
        <f>Worldprices!$R$70*AG$8</f>
        <v>4.7353033859171507</v>
      </c>
      <c r="AH49">
        <f>Worldprices!$R$70*AH$8</f>
        <v>4.7353033859171507</v>
      </c>
      <c r="AI49">
        <f>Worldprices!$R$70*AI$8</f>
        <v>4.7353033859171507</v>
      </c>
      <c r="AJ49">
        <f>Worldprices!$R$70*AJ$8</f>
        <v>4.7353033859171507</v>
      </c>
      <c r="AK49">
        <f>Worldprices!$R$70*AK$8</f>
        <v>4.7353033859171507</v>
      </c>
      <c r="AL49">
        <f>Worldprices!$R$70*AL$8</f>
        <v>4.7353033859171507</v>
      </c>
      <c r="AM49">
        <f>Worldprices!$R$70*AM$8</f>
        <v>4.7353033859171507</v>
      </c>
      <c r="AN49">
        <f>Worldprices!$R$70*AN$8</f>
        <v>4.7353033859171507</v>
      </c>
      <c r="AO49">
        <f>Worldprices!$R$70*AO$8</f>
        <v>4.7353033859171507</v>
      </c>
      <c r="AP49">
        <f>Worldprices!$R$70*AP$8</f>
        <v>4.7353033859171507</v>
      </c>
      <c r="AQ49">
        <f t="shared" si="1"/>
        <v>4.7353033859171507</v>
      </c>
    </row>
    <row r="50" spans="1:43" ht="12.75">
      <c r="A50" t="s">
        <v>248</v>
      </c>
      <c r="B50" t="s">
        <v>351</v>
      </c>
      <c r="C50" t="s">
        <v>154</v>
      </c>
      <c r="D50">
        <v>2030</v>
      </c>
      <c r="E50" t="str">
        <f>Worldprices!$C$62</f>
        <v>IMPCOAHAR*</v>
      </c>
      <c r="F50" t="str">
        <f>Worldprices!$C$63</f>
        <v>COAHAR</v>
      </c>
      <c r="G50">
        <f>Worldprices!$C$71*G$4</f>
        <v>2.7500000000000004</v>
      </c>
      <c r="H50">
        <f>Worldprices!$C$71*H$4</f>
        <v>2.5712500000000005</v>
      </c>
      <c r="I50">
        <f t="shared" si="2"/>
        <v>2.7500000000000004</v>
      </c>
      <c r="J50">
        <f>Worldprices!$C$71*J$4</f>
        <v>2.7500000000000004</v>
      </c>
      <c r="K50">
        <f>Worldprices!$C$71*K$4</f>
        <v>2.7500000000000004</v>
      </c>
      <c r="L50">
        <f>Worldprices!$C$71*L$4</f>
        <v>2.7500000000000004</v>
      </c>
      <c r="M50">
        <f>Worldprices!$C$71*M$4</f>
        <v>2.7500000000000004</v>
      </c>
      <c r="N50">
        <f>Worldprices!$C$71*N$4</f>
        <v>2.7500000000000004</v>
      </c>
      <c r="O50">
        <f>Worldprices!$C$71*O$4</f>
        <v>2.3375000000000004</v>
      </c>
      <c r="P50">
        <f>Worldprices!$C$71*P$4</f>
        <v>2.6125000000000003</v>
      </c>
      <c r="Q50">
        <f>Worldprices!$C$71*Q$4</f>
        <v>2.7500000000000004</v>
      </c>
      <c r="R50">
        <f>Worldprices!$C$71*R$4</f>
        <v>2.3375000000000004</v>
      </c>
      <c r="S50">
        <f>Worldprices!$C$71*S$4</f>
        <v>2.7500000000000004</v>
      </c>
      <c r="T50">
        <f>Worldprices!$C$71*T$4</f>
        <v>2.7500000000000004</v>
      </c>
      <c r="U50">
        <f>Worldprices!$C$71*U$4</f>
        <v>2.7500000000000004</v>
      </c>
      <c r="V50">
        <f>Worldprices!$C$71*V$4</f>
        <v>2.7500000000000004</v>
      </c>
      <c r="W50">
        <f>Worldprices!$C$71*W$4</f>
        <v>2.7500000000000004</v>
      </c>
      <c r="X50">
        <f>Worldprices!$C$71*X$4</f>
        <v>2.7500000000000004</v>
      </c>
      <c r="Y50">
        <f>Worldprices!$C$71*Y$4</f>
        <v>2.7500000000000004</v>
      </c>
      <c r="Z50">
        <f>Worldprices!$C$71*Z$4</f>
        <v>2.7500000000000004</v>
      </c>
      <c r="AA50">
        <f>Worldprices!$C$71*AA$4</f>
        <v>2.7500000000000004</v>
      </c>
      <c r="AB50">
        <f>Worldprices!$C$71*AB$4</f>
        <v>2.7500000000000004</v>
      </c>
      <c r="AC50">
        <f>Worldprices!$C$71*AC$4</f>
        <v>2.7500000000000004</v>
      </c>
      <c r="AD50">
        <f>Worldprices!$C$71*AD$4</f>
        <v>2.7500000000000004</v>
      </c>
      <c r="AE50">
        <f>Worldprices!$C$71*AE$4</f>
        <v>2.7500000000000004</v>
      </c>
      <c r="AF50">
        <f>Worldprices!$C$71*AF$4</f>
        <v>2.7500000000000004</v>
      </c>
      <c r="AG50">
        <f>Worldprices!$C$71*AG$4</f>
        <v>2.7500000000000004</v>
      </c>
      <c r="AH50">
        <f>Worldprices!$C$71*AH$4</f>
        <v>2.7500000000000004</v>
      </c>
      <c r="AI50">
        <f>Worldprices!$C$71*AI$4</f>
        <v>2.7500000000000004</v>
      </c>
      <c r="AJ50">
        <f>Worldprices!$C$71*AJ$4</f>
        <v>2.7500000000000004</v>
      </c>
      <c r="AK50">
        <f>Worldprices!$C$71*AK$4</f>
        <v>2.7500000000000004</v>
      </c>
      <c r="AL50">
        <f>Worldprices!$C$71*AL$4</f>
        <v>2.7500000000000004</v>
      </c>
      <c r="AM50">
        <f>Worldprices!$C$71*AM$4</f>
        <v>2.7500000000000004</v>
      </c>
      <c r="AN50">
        <f>Worldprices!$C$71*AN$4</f>
        <v>2.7500000000000004</v>
      </c>
      <c r="AO50">
        <f>Worldprices!$C$71*AO$4</f>
        <v>2.7500000000000004</v>
      </c>
      <c r="AP50">
        <f>Worldprices!$C$71*AP$4</f>
        <v>2.7500000000000004</v>
      </c>
      <c r="AQ50">
        <f t="shared" si="3" ref="AQ50:AQ94">AP50</f>
        <v>2.7500000000000004</v>
      </c>
    </row>
    <row r="51" spans="1:43" ht="12.75">
      <c r="A51" t="s">
        <v>248</v>
      </c>
      <c r="B51" t="s">
        <v>351</v>
      </c>
      <c r="C51" t="s">
        <v>154</v>
      </c>
      <c r="D51">
        <v>2030</v>
      </c>
      <c r="E51" t="str">
        <f>Worldprices!$D$62</f>
        <v>IMPCOACOK*</v>
      </c>
      <c r="F51" t="str">
        <f>Worldprices!$D$63</f>
        <v>COACOK</v>
      </c>
      <c r="G51">
        <f>Worldprices!$D$71*G$4</f>
        <v>3.4925000000000006</v>
      </c>
      <c r="H51">
        <f>Worldprices!$D$71*H$4</f>
        <v>3.2654875000000008</v>
      </c>
      <c r="I51">
        <f t="shared" si="2"/>
        <v>3.4925000000000006</v>
      </c>
      <c r="J51">
        <f>Worldprices!$D$71*J$4</f>
        <v>3.4925000000000006</v>
      </c>
      <c r="K51">
        <f>Worldprices!$D$71*K$4</f>
        <v>3.4925000000000006</v>
      </c>
      <c r="L51">
        <f>Worldprices!$D$71*L$4</f>
        <v>3.4925000000000006</v>
      </c>
      <c r="M51">
        <f>Worldprices!$D$71*M$4</f>
        <v>3.4925000000000006</v>
      </c>
      <c r="N51">
        <f>Worldprices!$D$71*N$4</f>
        <v>3.4925000000000006</v>
      </c>
      <c r="O51">
        <f>Worldprices!$D$71*O$4</f>
        <v>2.9686250000000003</v>
      </c>
      <c r="P51">
        <f>Worldprices!$D$71*P$4</f>
        <v>3.3178750000000004</v>
      </c>
      <c r="Q51">
        <f>Worldprices!$D$71*Q$4</f>
        <v>3.4925000000000006</v>
      </c>
      <c r="R51">
        <f>Worldprices!$D$71*R$4</f>
        <v>2.9686250000000003</v>
      </c>
      <c r="S51">
        <f>Worldprices!$D$71*S$4</f>
        <v>3.4925000000000006</v>
      </c>
      <c r="T51">
        <f>Worldprices!$D$71*T$4</f>
        <v>3.4925000000000006</v>
      </c>
      <c r="U51">
        <f>Worldprices!$D$71*U$4</f>
        <v>3.4925000000000006</v>
      </c>
      <c r="V51">
        <f>Worldprices!$D$71*V$4</f>
        <v>3.4925000000000006</v>
      </c>
      <c r="W51">
        <f>Worldprices!$D$71*W$4</f>
        <v>3.4925000000000006</v>
      </c>
      <c r="X51">
        <f>Worldprices!$D$71*X$4</f>
        <v>3.4925000000000006</v>
      </c>
      <c r="Y51">
        <f>Worldprices!$D$71*Y$4</f>
        <v>3.4925000000000006</v>
      </c>
      <c r="Z51">
        <f>Worldprices!$D$71*Z$4</f>
        <v>3.4925000000000006</v>
      </c>
      <c r="AA51">
        <f>Worldprices!$D$71*AA$4</f>
        <v>3.4925000000000006</v>
      </c>
      <c r="AB51">
        <f>Worldprices!$D$71*AB$4</f>
        <v>3.4925000000000006</v>
      </c>
      <c r="AC51">
        <f>Worldprices!$D$71*AC$4</f>
        <v>3.4925000000000006</v>
      </c>
      <c r="AD51">
        <f>Worldprices!$D$71*AD$4</f>
        <v>3.4925000000000006</v>
      </c>
      <c r="AE51">
        <f>Worldprices!$D$71*AE$4</f>
        <v>3.4925000000000006</v>
      </c>
      <c r="AF51">
        <f>Worldprices!$D$71*AF$4</f>
        <v>3.4925000000000006</v>
      </c>
      <c r="AG51">
        <f>Worldprices!$D$71*AG$4</f>
        <v>3.4925000000000006</v>
      </c>
      <c r="AH51">
        <f>Worldprices!$D$71*AH$4</f>
        <v>3.4925000000000006</v>
      </c>
      <c r="AI51">
        <f>Worldprices!$D$71*AI$4</f>
        <v>3.4925000000000006</v>
      </c>
      <c r="AJ51">
        <f>Worldprices!$D$71*AJ$4</f>
        <v>3.4925000000000006</v>
      </c>
      <c r="AK51">
        <f>Worldprices!$D$71*AK$4</f>
        <v>3.4925000000000006</v>
      </c>
      <c r="AL51">
        <f>Worldprices!$D$71*AL$4</f>
        <v>3.4925000000000006</v>
      </c>
      <c r="AM51">
        <f>Worldprices!$D$71*AM$4</f>
        <v>3.4925000000000006</v>
      </c>
      <c r="AN51">
        <f>Worldprices!$D$71*AN$4</f>
        <v>3.4925000000000006</v>
      </c>
      <c r="AO51">
        <f>Worldprices!$D$71*AO$4</f>
        <v>3.4925000000000006</v>
      </c>
      <c r="AP51">
        <f>Worldprices!$D$71*AP$4</f>
        <v>3.4925000000000006</v>
      </c>
      <c r="AQ51">
        <f t="shared" si="3"/>
        <v>3.4925000000000006</v>
      </c>
    </row>
    <row r="52" spans="1:43" ht="12.75">
      <c r="A52" t="s">
        <v>248</v>
      </c>
      <c r="B52" t="s">
        <v>351</v>
      </c>
      <c r="C52" t="s">
        <v>154</v>
      </c>
      <c r="D52">
        <v>2030</v>
      </c>
      <c r="E52" t="str">
        <f>Worldprices!$E$62</f>
        <v>IMPCOABRO*</v>
      </c>
      <c r="F52" t="str">
        <f>Worldprices!$E$63</f>
        <v>COABRO</v>
      </c>
      <c r="G52">
        <f>Worldprices!$E$71*G$4</f>
        <v>2.6125000000000003</v>
      </c>
      <c r="H52">
        <f>Worldprices!$E$71*H$4</f>
        <v>2.4426875000000003</v>
      </c>
      <c r="I52">
        <f t="shared" si="2"/>
        <v>2.6125000000000003</v>
      </c>
      <c r="J52">
        <f>Worldprices!$E$71*J$4</f>
        <v>2.6125000000000003</v>
      </c>
      <c r="K52">
        <f>Worldprices!$E$71*K$4</f>
        <v>2.6125000000000003</v>
      </c>
      <c r="L52">
        <f>Worldprices!$E$71*L$4</f>
        <v>2.6125000000000003</v>
      </c>
      <c r="M52">
        <f>Worldprices!$E$71*M$4</f>
        <v>2.6125000000000003</v>
      </c>
      <c r="N52">
        <f>Worldprices!$E$71*N$4</f>
        <v>2.6125000000000003</v>
      </c>
      <c r="O52">
        <f>Worldprices!$E$71*O$4</f>
        <v>2.2206250000000001</v>
      </c>
      <c r="P52">
        <f>Worldprices!$E$71*P$4</f>
        <v>2.4818750000000001</v>
      </c>
      <c r="Q52">
        <f>Worldprices!$E$71*Q$4</f>
        <v>2.6125000000000003</v>
      </c>
      <c r="R52">
        <f>Worldprices!$E$71*R$4</f>
        <v>2.2206250000000001</v>
      </c>
      <c r="S52">
        <f>Worldprices!$E$71*S$4</f>
        <v>2.6125000000000003</v>
      </c>
      <c r="T52">
        <f>Worldprices!$E$71*T$4</f>
        <v>2.6125000000000003</v>
      </c>
      <c r="U52">
        <f>Worldprices!$E$71*U$4</f>
        <v>2.6125000000000003</v>
      </c>
      <c r="V52">
        <f>Worldprices!$E$71*V$4</f>
        <v>2.6125000000000003</v>
      </c>
      <c r="W52">
        <f>Worldprices!$E$71*W$4</f>
        <v>2.6125000000000003</v>
      </c>
      <c r="X52">
        <f>Worldprices!$E$71*X$4</f>
        <v>2.6125000000000003</v>
      </c>
      <c r="Y52">
        <f>Worldprices!$E$71*Y$4</f>
        <v>2.6125000000000003</v>
      </c>
      <c r="Z52">
        <f>Worldprices!$E$71*Z$4</f>
        <v>2.6125000000000003</v>
      </c>
      <c r="AA52">
        <f>Worldprices!$E$71*AA$4</f>
        <v>2.6125000000000003</v>
      </c>
      <c r="AB52">
        <f>Worldprices!$E$71*AB$4</f>
        <v>2.6125000000000003</v>
      </c>
      <c r="AC52">
        <f>Worldprices!$E$71*AC$4</f>
        <v>2.6125000000000003</v>
      </c>
      <c r="AD52">
        <f>Worldprices!$E$71*AD$4</f>
        <v>2.6125000000000003</v>
      </c>
      <c r="AE52">
        <f>Worldprices!$E$71*AE$4</f>
        <v>2.6125000000000003</v>
      </c>
      <c r="AF52">
        <f>Worldprices!$E$71*AF$4</f>
        <v>2.6125000000000003</v>
      </c>
      <c r="AG52">
        <f>Worldprices!$E$71*AG$4</f>
        <v>2.6125000000000003</v>
      </c>
      <c r="AH52">
        <f>Worldprices!$E$71*AH$4</f>
        <v>2.6125000000000003</v>
      </c>
      <c r="AI52">
        <f>Worldprices!$E$71*AI$4</f>
        <v>2.6125000000000003</v>
      </c>
      <c r="AJ52">
        <f>Worldprices!$E$71*AJ$4</f>
        <v>2.6125000000000003</v>
      </c>
      <c r="AK52">
        <f>Worldprices!$E$71*AK$4</f>
        <v>2.6125000000000003</v>
      </c>
      <c r="AL52">
        <f>Worldprices!$E$71*AL$4</f>
        <v>2.6125000000000003</v>
      </c>
      <c r="AM52">
        <f>Worldprices!$E$71*AM$4</f>
        <v>2.6125000000000003</v>
      </c>
      <c r="AN52">
        <f>Worldprices!$E$71*AN$4</f>
        <v>2.6125000000000003</v>
      </c>
      <c r="AO52">
        <f>Worldprices!$E$71*AO$4</f>
        <v>2.6125000000000003</v>
      </c>
      <c r="AP52">
        <f>Worldprices!$E$71*AP$4</f>
        <v>2.6125000000000003</v>
      </c>
      <c r="AQ52">
        <f t="shared" si="3"/>
        <v>2.6125000000000003</v>
      </c>
    </row>
    <row r="53" spans="1:43" ht="12.75">
      <c r="A53" t="s">
        <v>248</v>
      </c>
      <c r="B53" t="s">
        <v>351</v>
      </c>
      <c r="C53" t="s">
        <v>154</v>
      </c>
      <c r="D53">
        <v>2030</v>
      </c>
      <c r="E53" t="str">
        <f>Worldprices!$F$62</f>
        <v>IMPCOALIG*</v>
      </c>
      <c r="F53" t="str">
        <f>Worldprices!$F$63</f>
        <v>COALIG</v>
      </c>
      <c r="G53">
        <f>Worldprices!$F$71*G$4</f>
        <v>2.6125000000000003</v>
      </c>
      <c r="H53">
        <f>Worldprices!$F$71*H$4</f>
        <v>2.4426875000000003</v>
      </c>
      <c r="I53">
        <f t="shared" si="2"/>
        <v>2.6125000000000003</v>
      </c>
      <c r="J53">
        <f>Worldprices!$F$71*J$4</f>
        <v>2.6125000000000003</v>
      </c>
      <c r="K53">
        <f>Worldprices!$F$71*K$4</f>
        <v>2.6125000000000003</v>
      </c>
      <c r="L53">
        <f>Worldprices!$F$71*L$4</f>
        <v>2.6125000000000003</v>
      </c>
      <c r="M53">
        <f>Worldprices!$F$71*M$4</f>
        <v>2.6125000000000003</v>
      </c>
      <c r="N53">
        <f>Worldprices!$F$71*N$4</f>
        <v>2.6125000000000003</v>
      </c>
      <c r="O53">
        <f>Worldprices!$F$71*O$4</f>
        <v>2.2206250000000001</v>
      </c>
      <c r="P53">
        <f>Worldprices!$F$71*P$4</f>
        <v>2.4818750000000001</v>
      </c>
      <c r="Q53">
        <f>Worldprices!$F$71*Q$4</f>
        <v>2.6125000000000003</v>
      </c>
      <c r="R53">
        <f>Worldprices!$F$71*R$4</f>
        <v>2.2206250000000001</v>
      </c>
      <c r="S53">
        <f>Worldprices!$F$71*S$4</f>
        <v>2.6125000000000003</v>
      </c>
      <c r="T53">
        <f>Worldprices!$F$71*T$4</f>
        <v>2.6125000000000003</v>
      </c>
      <c r="U53">
        <f>Worldprices!$F$71*U$4</f>
        <v>2.6125000000000003</v>
      </c>
      <c r="V53">
        <f>Worldprices!$F$71*V$4</f>
        <v>2.6125000000000003</v>
      </c>
      <c r="W53">
        <f>Worldprices!$F$71*W$4</f>
        <v>2.6125000000000003</v>
      </c>
      <c r="X53">
        <f>Worldprices!$F$71*X$4</f>
        <v>2.6125000000000003</v>
      </c>
      <c r="Y53">
        <f>Worldprices!$F$71*Y$4</f>
        <v>2.6125000000000003</v>
      </c>
      <c r="Z53">
        <f>Worldprices!$F$71*Z$4</f>
        <v>2.6125000000000003</v>
      </c>
      <c r="AA53">
        <f>Worldprices!$F$71*AA$4</f>
        <v>2.6125000000000003</v>
      </c>
      <c r="AB53">
        <f>Worldprices!$F$71*AB$4</f>
        <v>2.6125000000000003</v>
      </c>
      <c r="AC53">
        <f>Worldprices!$F$71*AC$4</f>
        <v>2.6125000000000003</v>
      </c>
      <c r="AD53">
        <f>Worldprices!$F$71*AD$4</f>
        <v>2.6125000000000003</v>
      </c>
      <c r="AE53">
        <f>Worldprices!$F$71*AE$4</f>
        <v>2.6125000000000003</v>
      </c>
      <c r="AF53">
        <f>Worldprices!$F$71*AF$4</f>
        <v>2.6125000000000003</v>
      </c>
      <c r="AG53">
        <f>Worldprices!$F$71*AG$4</f>
        <v>2.6125000000000003</v>
      </c>
      <c r="AH53">
        <f>Worldprices!$F$71*AH$4</f>
        <v>2.6125000000000003</v>
      </c>
      <c r="AI53">
        <f>Worldprices!$F$71*AI$4</f>
        <v>2.6125000000000003</v>
      </c>
      <c r="AJ53">
        <f>Worldprices!$F$71*AJ$4</f>
        <v>2.6125000000000003</v>
      </c>
      <c r="AK53">
        <f>Worldprices!$F$71*AK$4</f>
        <v>2.6125000000000003</v>
      </c>
      <c r="AL53">
        <f>Worldprices!$F$71*AL$4</f>
        <v>2.6125000000000003</v>
      </c>
      <c r="AM53">
        <f>Worldprices!$F$71*AM$4</f>
        <v>2.6125000000000003</v>
      </c>
      <c r="AN53">
        <f>Worldprices!$F$71*AN$4</f>
        <v>2.6125000000000003</v>
      </c>
      <c r="AO53">
        <f>Worldprices!$F$71*AO$4</f>
        <v>2.6125000000000003</v>
      </c>
      <c r="AP53">
        <f>Worldprices!$F$71*AP$4</f>
        <v>2.6125000000000003</v>
      </c>
      <c r="AQ53">
        <f t="shared" si="3"/>
        <v>2.6125000000000003</v>
      </c>
    </row>
    <row r="54" spans="1:43" ht="12.75">
      <c r="A54" t="s">
        <v>248</v>
      </c>
      <c r="B54" t="s">
        <v>351</v>
      </c>
      <c r="C54" t="s">
        <v>154</v>
      </c>
      <c r="D54">
        <v>2030</v>
      </c>
      <c r="E54" t="str">
        <f>Worldprices!$M$62</f>
        <v>IMPOILOTH</v>
      </c>
      <c r="F54" t="str">
        <f>Worldprices!$M$63</f>
        <v>OILOTH</v>
      </c>
      <c r="G54">
        <f>Worldprices!$M$71*G$6</f>
        <v>13.649999999999999</v>
      </c>
      <c r="H54">
        <f>Worldprices!$M$71*H$6</f>
        <v>13.649999999999999</v>
      </c>
      <c r="I54">
        <f t="shared" si="2"/>
        <v>13.649999999999999</v>
      </c>
      <c r="J54">
        <f>Worldprices!$M$71*J$6</f>
        <v>13.649999999999999</v>
      </c>
      <c r="K54">
        <f>Worldprices!$M$71*K$6</f>
        <v>13.649999999999999</v>
      </c>
      <c r="L54">
        <f>Worldprices!$M$71*L$6</f>
        <v>13.649999999999999</v>
      </c>
      <c r="M54">
        <f>Worldprices!$M$71*M$6</f>
        <v>13.649999999999999</v>
      </c>
      <c r="N54">
        <f>Worldprices!$M$71*N$6</f>
        <v>13.649999999999999</v>
      </c>
      <c r="O54">
        <f>Worldprices!$M$71*O$6</f>
        <v>13.649999999999999</v>
      </c>
      <c r="P54">
        <f>Worldprices!$M$71*P$6</f>
        <v>13.649999999999999</v>
      </c>
      <c r="Q54">
        <f>Worldprices!$M$71*Q$6</f>
        <v>13.649999999999999</v>
      </c>
      <c r="R54">
        <f>Worldprices!$M$71*R$6</f>
        <v>13.649999999999999</v>
      </c>
      <c r="S54">
        <f>Worldprices!$M$71*S$6</f>
        <v>13.649999999999999</v>
      </c>
      <c r="T54">
        <f>Worldprices!$M$71*T$6</f>
        <v>13.649999999999999</v>
      </c>
      <c r="U54">
        <f>Worldprices!$M$71*U$6</f>
        <v>12.967499999999998</v>
      </c>
      <c r="V54">
        <f>Worldprices!$M$71*V$6</f>
        <v>13.649999999999999</v>
      </c>
      <c r="W54">
        <f>Worldprices!$M$71*W$6</f>
        <v>13.649999999999999</v>
      </c>
      <c r="X54">
        <f>Worldprices!$M$71*X$6</f>
        <v>13.649999999999999</v>
      </c>
      <c r="Y54">
        <f>Worldprices!$M$71*Y$6</f>
        <v>13.649999999999999</v>
      </c>
      <c r="Z54">
        <f>Worldprices!$M$71*Z$6</f>
        <v>13.649999999999999</v>
      </c>
      <c r="AA54">
        <f>Worldprices!$M$71*AA$6</f>
        <v>13.649999999999999</v>
      </c>
      <c r="AB54">
        <f>Worldprices!$M$71*AB$6</f>
        <v>13.649999999999999</v>
      </c>
      <c r="AC54">
        <f>Worldprices!$M$71*AC$6</f>
        <v>13.649999999999999</v>
      </c>
      <c r="AD54">
        <f>Worldprices!$M$71*AD$6</f>
        <v>13.649999999999999</v>
      </c>
      <c r="AE54">
        <f>Worldprices!$M$71*AE$6</f>
        <v>13.649999999999999</v>
      </c>
      <c r="AF54">
        <f>Worldprices!$M$71*AF$6</f>
        <v>13.649999999999999</v>
      </c>
      <c r="AG54">
        <f>Worldprices!$M$71*AG$6</f>
        <v>13.649999999999999</v>
      </c>
      <c r="AH54">
        <f>Worldprices!$M$71*AH$6</f>
        <v>13.649999999999999</v>
      </c>
      <c r="AI54">
        <f>Worldprices!$M$71*AI$6</f>
        <v>13.649999999999999</v>
      </c>
      <c r="AJ54">
        <f>Worldprices!$M$71*AJ$6</f>
        <v>13.649999999999999</v>
      </c>
      <c r="AK54">
        <f>Worldprices!$M$71*AK$6</f>
        <v>13.649999999999999</v>
      </c>
      <c r="AL54">
        <f>Worldprices!$M$71*AL$6</f>
        <v>13.649999999999999</v>
      </c>
      <c r="AM54">
        <f>Worldprices!$M$71*AM$6</f>
        <v>13.649999999999999</v>
      </c>
      <c r="AN54">
        <f>Worldprices!$M$71*AN$6</f>
        <v>13.649999999999999</v>
      </c>
      <c r="AO54">
        <f>Worldprices!$M$71*AO$6</f>
        <v>13.649999999999999</v>
      </c>
      <c r="AP54">
        <f>Worldprices!$M$71*AP$6</f>
        <v>13.649999999999999</v>
      </c>
      <c r="AQ54">
        <f t="shared" si="3"/>
        <v>13.649999999999999</v>
      </c>
    </row>
    <row r="55" spans="1:43" ht="12.75">
      <c r="A55" t="s">
        <v>248</v>
      </c>
      <c r="B55" t="s">
        <v>351</v>
      </c>
      <c r="C55" t="s">
        <v>154</v>
      </c>
      <c r="D55">
        <v>2030</v>
      </c>
      <c r="E55" t="str">
        <f>Worldprices!$N$62</f>
        <v>IMPOILNAP</v>
      </c>
      <c r="F55" t="str">
        <f>Worldprices!$N$63</f>
        <v>OILNAP</v>
      </c>
      <c r="G55">
        <f>Worldprices!$N$71*G$6</f>
        <v>13.649999999999999</v>
      </c>
      <c r="H55">
        <f>Worldprices!$N$71*H$6</f>
        <v>13.649999999999999</v>
      </c>
      <c r="I55">
        <f t="shared" si="2"/>
        <v>13.649999999999999</v>
      </c>
      <c r="J55">
        <f>Worldprices!$N$71*J$6</f>
        <v>13.649999999999999</v>
      </c>
      <c r="K55">
        <f>Worldprices!$N$71*K$6</f>
        <v>13.649999999999999</v>
      </c>
      <c r="L55">
        <f>Worldprices!$N$71*L$6</f>
        <v>13.649999999999999</v>
      </c>
      <c r="M55">
        <f>Worldprices!$N$71*M$6</f>
        <v>13.649999999999999</v>
      </c>
      <c r="N55">
        <f>Worldprices!$N$71*N$6</f>
        <v>13.649999999999999</v>
      </c>
      <c r="O55">
        <f>Worldprices!$N$71*O$6</f>
        <v>13.649999999999999</v>
      </c>
      <c r="P55">
        <f>Worldprices!$N$71*P$6</f>
        <v>13.649999999999999</v>
      </c>
      <c r="Q55">
        <f>Worldprices!$N$71*Q$6</f>
        <v>13.649999999999999</v>
      </c>
      <c r="R55">
        <f>Worldprices!$N$71*R$6</f>
        <v>13.649999999999999</v>
      </c>
      <c r="S55">
        <f>Worldprices!$N$71*S$6</f>
        <v>13.649999999999999</v>
      </c>
      <c r="T55">
        <f>Worldprices!$N$71*T$6</f>
        <v>13.649999999999999</v>
      </c>
      <c r="U55">
        <f>Worldprices!$N$71*U$6</f>
        <v>12.967499999999998</v>
      </c>
      <c r="V55">
        <f>Worldprices!$N$71*V$6</f>
        <v>13.649999999999999</v>
      </c>
      <c r="W55">
        <f>Worldprices!$N$71*W$6</f>
        <v>13.649999999999999</v>
      </c>
      <c r="X55">
        <f>Worldprices!$N$71*X$6</f>
        <v>13.649999999999999</v>
      </c>
      <c r="Y55">
        <f>Worldprices!$N$71*Y$6</f>
        <v>13.649999999999999</v>
      </c>
      <c r="Z55">
        <f>Worldprices!$N$71*Z$6</f>
        <v>13.649999999999999</v>
      </c>
      <c r="AA55">
        <f>Worldprices!$N$71*AA$6</f>
        <v>13.649999999999999</v>
      </c>
      <c r="AB55">
        <f>Worldprices!$N$71*AB$6</f>
        <v>13.649999999999999</v>
      </c>
      <c r="AC55">
        <f>Worldprices!$N$71*AC$6</f>
        <v>13.649999999999999</v>
      </c>
      <c r="AD55">
        <f>Worldprices!$N$71*AD$6</f>
        <v>13.649999999999999</v>
      </c>
      <c r="AE55">
        <f>Worldprices!$N$71*AE$6</f>
        <v>13.649999999999999</v>
      </c>
      <c r="AF55">
        <f>Worldprices!$N$71*AF$6</f>
        <v>13.649999999999999</v>
      </c>
      <c r="AG55">
        <f>Worldprices!$N$71*AG$6</f>
        <v>13.649999999999999</v>
      </c>
      <c r="AH55">
        <f>Worldprices!$N$71*AH$6</f>
        <v>13.649999999999999</v>
      </c>
      <c r="AI55">
        <f>Worldprices!$N$71*AI$6</f>
        <v>13.649999999999999</v>
      </c>
      <c r="AJ55">
        <f>Worldprices!$N$71*AJ$6</f>
        <v>13.649999999999999</v>
      </c>
      <c r="AK55">
        <f>Worldprices!$N$71*AK$6</f>
        <v>13.649999999999999</v>
      </c>
      <c r="AL55">
        <f>Worldprices!$N$71*AL$6</f>
        <v>13.649999999999999</v>
      </c>
      <c r="AM55">
        <f>Worldprices!$N$71*AM$6</f>
        <v>13.649999999999999</v>
      </c>
      <c r="AN55">
        <f>Worldprices!$N$71*AN$6</f>
        <v>13.649999999999999</v>
      </c>
      <c r="AO55">
        <f>Worldprices!$N$71*AO$6</f>
        <v>13.649999999999999</v>
      </c>
      <c r="AP55">
        <f>Worldprices!$N$71*AP$6</f>
        <v>13.649999999999999</v>
      </c>
      <c r="AQ55">
        <f t="shared" si="3"/>
        <v>13.649999999999999</v>
      </c>
    </row>
    <row r="56" spans="1:43" ht="12.75">
      <c r="A56" t="s">
        <v>248</v>
      </c>
      <c r="B56" t="s">
        <v>351</v>
      </c>
      <c r="C56" t="s">
        <v>154</v>
      </c>
      <c r="D56">
        <v>2030</v>
      </c>
      <c r="E56" t="str">
        <f>Worldprices!$O$62</f>
        <v>IMPOILFDS</v>
      </c>
      <c r="F56" t="str">
        <f>Worldprices!$O$63</f>
        <v>OILFDS</v>
      </c>
      <c r="G56">
        <f>Worldprices!$O$71*G$6</f>
        <v>13.649999999999999</v>
      </c>
      <c r="H56">
        <f>Worldprices!$O$71*H$6</f>
        <v>13.649999999999999</v>
      </c>
      <c r="I56">
        <f t="shared" si="2"/>
        <v>13.649999999999999</v>
      </c>
      <c r="J56">
        <f>Worldprices!$O$71*J$6</f>
        <v>13.649999999999999</v>
      </c>
      <c r="K56">
        <f>Worldprices!$O$71*K$6</f>
        <v>13.649999999999999</v>
      </c>
      <c r="L56">
        <f>Worldprices!$O$71*L$6</f>
        <v>13.649999999999999</v>
      </c>
      <c r="M56">
        <f>Worldprices!$O$71*M$6</f>
        <v>13.649999999999999</v>
      </c>
      <c r="N56">
        <f>Worldprices!$O$71*N$6</f>
        <v>13.649999999999999</v>
      </c>
      <c r="O56">
        <f>Worldprices!$O$71*O$6</f>
        <v>13.649999999999999</v>
      </c>
      <c r="P56">
        <f>Worldprices!$O$71*P$6</f>
        <v>13.649999999999999</v>
      </c>
      <c r="Q56">
        <f>Worldprices!$O$71*Q$6</f>
        <v>13.649999999999999</v>
      </c>
      <c r="R56">
        <f>Worldprices!$O$71*R$6</f>
        <v>13.649999999999999</v>
      </c>
      <c r="S56">
        <f>Worldprices!$O$71*S$6</f>
        <v>13.649999999999999</v>
      </c>
      <c r="T56">
        <f>Worldprices!$O$71*T$6</f>
        <v>13.649999999999999</v>
      </c>
      <c r="U56">
        <f>Worldprices!$O$71*U$6</f>
        <v>12.967499999999998</v>
      </c>
      <c r="V56">
        <f>Worldprices!$O$71*V$6</f>
        <v>13.649999999999999</v>
      </c>
      <c r="W56">
        <f>Worldprices!$O$71*W$6</f>
        <v>13.649999999999999</v>
      </c>
      <c r="X56">
        <f>Worldprices!$O$71*X$6</f>
        <v>13.649999999999999</v>
      </c>
      <c r="Y56">
        <f>Worldprices!$O$71*Y$6</f>
        <v>13.649999999999999</v>
      </c>
      <c r="Z56">
        <f>Worldprices!$O$71*Z$6</f>
        <v>13.649999999999999</v>
      </c>
      <c r="AA56">
        <f>Worldprices!$O$71*AA$6</f>
        <v>13.649999999999999</v>
      </c>
      <c r="AB56">
        <f>Worldprices!$O$71*AB$6</f>
        <v>13.649999999999999</v>
      </c>
      <c r="AC56">
        <f>Worldprices!$O$71*AC$6</f>
        <v>13.649999999999999</v>
      </c>
      <c r="AD56">
        <f>Worldprices!$O$71*AD$6</f>
        <v>13.649999999999999</v>
      </c>
      <c r="AE56">
        <f>Worldprices!$O$71*AE$6</f>
        <v>13.649999999999999</v>
      </c>
      <c r="AF56">
        <f>Worldprices!$O$71*AF$6</f>
        <v>13.649999999999999</v>
      </c>
      <c r="AG56">
        <f>Worldprices!$O$71*AG$6</f>
        <v>13.649999999999999</v>
      </c>
      <c r="AH56">
        <f>Worldprices!$O$71*AH$6</f>
        <v>13.649999999999999</v>
      </c>
      <c r="AI56">
        <f>Worldprices!$O$71*AI$6</f>
        <v>13.649999999999999</v>
      </c>
      <c r="AJ56">
        <f>Worldprices!$O$71*AJ$6</f>
        <v>13.649999999999999</v>
      </c>
      <c r="AK56">
        <f>Worldprices!$O$71*AK$6</f>
        <v>13.649999999999999</v>
      </c>
      <c r="AL56">
        <f>Worldprices!$O$71*AL$6</f>
        <v>13.649999999999999</v>
      </c>
      <c r="AM56">
        <f>Worldprices!$O$71*AM$6</f>
        <v>13.649999999999999</v>
      </c>
      <c r="AN56">
        <f>Worldprices!$O$71*AN$6</f>
        <v>13.649999999999999</v>
      </c>
      <c r="AO56">
        <f>Worldprices!$O$71*AO$6</f>
        <v>13.649999999999999</v>
      </c>
      <c r="AP56">
        <f>Worldprices!$O$71*AP$6</f>
        <v>13.649999999999999</v>
      </c>
      <c r="AQ56">
        <f t="shared" si="3"/>
        <v>13.649999999999999</v>
      </c>
    </row>
    <row r="57" spans="1:43" ht="12.75">
      <c r="A57" t="s">
        <v>248</v>
      </c>
      <c r="B57" t="s">
        <v>351</v>
      </c>
      <c r="C57" t="s">
        <v>154</v>
      </c>
      <c r="D57">
        <v>2030</v>
      </c>
      <c r="E57" t="str">
        <f>Worldprices!$P$62</f>
        <v>IMPOILNEU</v>
      </c>
      <c r="F57" t="str">
        <f>Worldprices!$P$63</f>
        <v>OILNEU</v>
      </c>
      <c r="G57">
        <f>Worldprices!$P$71*G$6</f>
        <v>13.649999999999999</v>
      </c>
      <c r="H57">
        <f>Worldprices!$P$71*H$6</f>
        <v>13.649999999999999</v>
      </c>
      <c r="I57">
        <f t="shared" si="2"/>
        <v>13.649999999999999</v>
      </c>
      <c r="J57">
        <f>Worldprices!$P$71*J$6</f>
        <v>13.649999999999999</v>
      </c>
      <c r="K57">
        <f>Worldprices!$P$71*K$6</f>
        <v>13.649999999999999</v>
      </c>
      <c r="L57">
        <f>Worldprices!$P$71*L$6</f>
        <v>13.649999999999999</v>
      </c>
      <c r="M57">
        <f>Worldprices!$P$71*M$6</f>
        <v>13.649999999999999</v>
      </c>
      <c r="N57">
        <f>Worldprices!$P$71*N$6</f>
        <v>13.649999999999999</v>
      </c>
      <c r="O57">
        <f>Worldprices!$P$71*O$6</f>
        <v>13.649999999999999</v>
      </c>
      <c r="P57">
        <f>Worldprices!$P$71*P$6</f>
        <v>13.649999999999999</v>
      </c>
      <c r="Q57">
        <f>Worldprices!$P$71*Q$6</f>
        <v>13.649999999999999</v>
      </c>
      <c r="R57">
        <f>Worldprices!$P$71*R$6</f>
        <v>13.649999999999999</v>
      </c>
      <c r="S57">
        <f>Worldprices!$P$71*S$6</f>
        <v>13.649999999999999</v>
      </c>
      <c r="T57">
        <f>Worldprices!$P$71*T$6</f>
        <v>13.649999999999999</v>
      </c>
      <c r="U57">
        <f>Worldprices!$P$71*U$6</f>
        <v>12.967499999999998</v>
      </c>
      <c r="V57">
        <f>Worldprices!$P$71*V$6</f>
        <v>13.649999999999999</v>
      </c>
      <c r="W57">
        <f>Worldprices!$P$71*W$6</f>
        <v>13.649999999999999</v>
      </c>
      <c r="X57">
        <f>Worldprices!$P$71*X$6</f>
        <v>13.649999999999999</v>
      </c>
      <c r="Y57">
        <f>Worldprices!$P$71*Y$6</f>
        <v>13.649999999999999</v>
      </c>
      <c r="Z57">
        <f>Worldprices!$P$71*Z$6</f>
        <v>13.649999999999999</v>
      </c>
      <c r="AA57">
        <f>Worldprices!$P$71*AA$6</f>
        <v>13.649999999999999</v>
      </c>
      <c r="AB57">
        <f>Worldprices!$P$71*AB$6</f>
        <v>13.649999999999999</v>
      </c>
      <c r="AC57">
        <f>Worldprices!$P$71*AC$6</f>
        <v>13.649999999999999</v>
      </c>
      <c r="AD57">
        <f>Worldprices!$P$71*AD$6</f>
        <v>13.649999999999999</v>
      </c>
      <c r="AE57">
        <f>Worldprices!$P$71*AE$6</f>
        <v>13.649999999999999</v>
      </c>
      <c r="AF57">
        <f>Worldprices!$P$71*AF$6</f>
        <v>13.649999999999999</v>
      </c>
      <c r="AG57">
        <f>Worldprices!$P$71*AG$6</f>
        <v>13.649999999999999</v>
      </c>
      <c r="AH57">
        <f>Worldprices!$P$71*AH$6</f>
        <v>13.649999999999999</v>
      </c>
      <c r="AI57">
        <f>Worldprices!$P$71*AI$6</f>
        <v>13.649999999999999</v>
      </c>
      <c r="AJ57">
        <f>Worldprices!$P$71*AJ$6</f>
        <v>13.649999999999999</v>
      </c>
      <c r="AK57">
        <f>Worldprices!$P$71*AK$6</f>
        <v>13.649999999999999</v>
      </c>
      <c r="AL57">
        <f>Worldprices!$P$71*AL$6</f>
        <v>13.649999999999999</v>
      </c>
      <c r="AM57">
        <f>Worldprices!$P$71*AM$6</f>
        <v>13.649999999999999</v>
      </c>
      <c r="AN57">
        <f>Worldprices!$P$71*AN$6</f>
        <v>13.649999999999999</v>
      </c>
      <c r="AO57">
        <f>Worldprices!$P$71*AO$6</f>
        <v>13.649999999999999</v>
      </c>
      <c r="AP57">
        <f>Worldprices!$P$71*AP$6</f>
        <v>13.649999999999999</v>
      </c>
      <c r="AQ57">
        <f t="shared" si="3"/>
        <v>13.649999999999999</v>
      </c>
    </row>
    <row r="58" spans="1:43" ht="12.75">
      <c r="A58" t="s">
        <v>248</v>
      </c>
      <c r="B58" t="s">
        <v>351</v>
      </c>
      <c r="C58" t="s">
        <v>305</v>
      </c>
      <c r="D58">
        <v>2030</v>
      </c>
      <c r="E58" t="str">
        <f>Worldprices!$R$62</f>
        <v>IMPBIOWOO</v>
      </c>
      <c r="F58" t="str">
        <f>Worldprices!$R$63</f>
        <v>BIOWOO</v>
      </c>
      <c r="G58">
        <f>Worldprices!$R$71*G$8</f>
        <v>5.1771017309272525</v>
      </c>
      <c r="H58">
        <f>Worldprices!$R$71*H$8</f>
        <v>5.1771017309272525</v>
      </c>
      <c r="I58">
        <f t="shared" si="2"/>
        <v>5.1771017309272525</v>
      </c>
      <c r="J58">
        <f>Worldprices!$R$71*J$8</f>
        <v>5.1771017309272525</v>
      </c>
      <c r="K58">
        <f>Worldprices!$R$71*K$8</f>
        <v>5.1771017309272525</v>
      </c>
      <c r="L58">
        <f>Worldprices!$R$71*L$8</f>
        <v>5.1771017309272525</v>
      </c>
      <c r="M58">
        <f>Worldprices!$R$71*M$8</f>
        <v>5.1771017309272525</v>
      </c>
      <c r="N58">
        <f>Worldprices!$R$71*N$8</f>
        <v>5.1771017309272525</v>
      </c>
      <c r="O58">
        <f>Worldprices!$R$71*O$8</f>
        <v>5.1771017309272525</v>
      </c>
      <c r="P58">
        <f>Worldprices!$R$71*P$8</f>
        <v>5.1771017309272525</v>
      </c>
      <c r="Q58">
        <f>Worldprices!$R$71*Q$8</f>
        <v>5.1771017309272525</v>
      </c>
      <c r="R58">
        <f>Worldprices!$R$71*R$8</f>
        <v>5.1771017309272525</v>
      </c>
      <c r="S58">
        <f>Worldprices!$R$71*S$8</f>
        <v>5.1771017309272525</v>
      </c>
      <c r="T58">
        <f>Worldprices!$R$71*T$8</f>
        <v>5.1771017309272525</v>
      </c>
      <c r="U58">
        <f>Worldprices!$R$71*U$8</f>
        <v>5.1771017309272525</v>
      </c>
      <c r="V58">
        <f>Worldprices!$R$71*V$8</f>
        <v>5.1771017309272525</v>
      </c>
      <c r="W58">
        <f>Worldprices!$R$71*W$8</f>
        <v>5.1771017309272525</v>
      </c>
      <c r="X58">
        <f>Worldprices!$R$71*X$8</f>
        <v>5.1771017309272525</v>
      </c>
      <c r="Y58">
        <f>Worldprices!$R$71*Y$8</f>
        <v>5.1771017309272525</v>
      </c>
      <c r="Z58">
        <f>Worldprices!$R$71*Z$8</f>
        <v>5.1771017309272525</v>
      </c>
      <c r="AA58">
        <f>Worldprices!$R$71*AA$8</f>
        <v>5.1771017309272525</v>
      </c>
      <c r="AB58">
        <f>Worldprices!$R$71*AB$8</f>
        <v>5.1771017309272525</v>
      </c>
      <c r="AC58">
        <f>Worldprices!$R$71*AC$8</f>
        <v>5.1771017309272525</v>
      </c>
      <c r="AD58">
        <f>Worldprices!$R$71*AD$8</f>
        <v>5.1771017309272525</v>
      </c>
      <c r="AE58">
        <f>Worldprices!$R$71*AE$8</f>
        <v>5.1771017309272525</v>
      </c>
      <c r="AF58">
        <f>Worldprices!$R$71*AF$8</f>
        <v>5.1771017309272525</v>
      </c>
      <c r="AG58">
        <f>Worldprices!$R$71*AG$8</f>
        <v>5.1771017309272525</v>
      </c>
      <c r="AH58">
        <f>Worldprices!$R$71*AH$8</f>
        <v>5.1771017309272525</v>
      </c>
      <c r="AI58">
        <f>Worldprices!$R$71*AI$8</f>
        <v>5.1771017309272525</v>
      </c>
      <c r="AJ58">
        <f>Worldprices!$R$71*AJ$8</f>
        <v>5.1771017309272525</v>
      </c>
      <c r="AK58">
        <f>Worldprices!$R$71*AK$8</f>
        <v>5.1771017309272525</v>
      </c>
      <c r="AL58">
        <f>Worldprices!$R$71*AL$8</f>
        <v>5.1771017309272525</v>
      </c>
      <c r="AM58">
        <f>Worldprices!$R$71*AM$8</f>
        <v>5.1771017309272525</v>
      </c>
      <c r="AN58">
        <f>Worldprices!$R$71*AN$8</f>
        <v>5.1771017309272525</v>
      </c>
      <c r="AO58">
        <f>Worldprices!$R$71*AO$8</f>
        <v>5.1771017309272525</v>
      </c>
      <c r="AP58">
        <f>Worldprices!$R$71*AP$8</f>
        <v>5.1771017309272525</v>
      </c>
      <c r="AQ58">
        <f t="shared" si="3"/>
        <v>5.1771017309272525</v>
      </c>
    </row>
    <row r="59" spans="1:43" ht="12.75">
      <c r="A59" t="s">
        <v>248</v>
      </c>
      <c r="B59" t="s">
        <v>351</v>
      </c>
      <c r="C59" t="s">
        <v>154</v>
      </c>
      <c r="D59">
        <v>2035</v>
      </c>
      <c r="E59" t="str">
        <f>Worldprices!$C$62</f>
        <v>IMPCOAHAR*</v>
      </c>
      <c r="F59" t="str">
        <f>Worldprices!$C$63</f>
        <v>COAHAR</v>
      </c>
      <c r="G59">
        <f>Worldprices!$C$72*G$4</f>
        <v>2.8400000000000003</v>
      </c>
      <c r="H59">
        <f>Worldprices!$C$72*H$4</f>
        <v>2.6554000000000006</v>
      </c>
      <c r="I59">
        <f t="shared" si="2"/>
        <v>2.8400000000000003</v>
      </c>
      <c r="J59">
        <f>Worldprices!$C$72*J$4</f>
        <v>2.8400000000000003</v>
      </c>
      <c r="K59">
        <f>Worldprices!$C$72*K$4</f>
        <v>2.8400000000000003</v>
      </c>
      <c r="L59">
        <f>Worldprices!$C$72*L$4</f>
        <v>2.8400000000000003</v>
      </c>
      <c r="M59">
        <f>Worldprices!$C$72*M$4</f>
        <v>2.8400000000000003</v>
      </c>
      <c r="N59">
        <f>Worldprices!$C$72*N$4</f>
        <v>2.8400000000000003</v>
      </c>
      <c r="O59">
        <f>Worldprices!$C$72*O$4</f>
        <v>2.4140000000000001</v>
      </c>
      <c r="P59">
        <f>Worldprices!$C$72*P$4</f>
        <v>2.698</v>
      </c>
      <c r="Q59">
        <f>Worldprices!$C$72*Q$4</f>
        <v>2.8400000000000003</v>
      </c>
      <c r="R59">
        <f>Worldprices!$C$72*R$4</f>
        <v>2.4140000000000001</v>
      </c>
      <c r="S59">
        <f>Worldprices!$C$72*S$4</f>
        <v>2.8400000000000003</v>
      </c>
      <c r="T59">
        <f>Worldprices!$C$72*T$4</f>
        <v>2.8400000000000003</v>
      </c>
      <c r="U59">
        <f>Worldprices!$C$72*U$4</f>
        <v>2.8400000000000003</v>
      </c>
      <c r="V59">
        <f>Worldprices!$C$72*V$4</f>
        <v>2.8400000000000003</v>
      </c>
      <c r="W59">
        <f>Worldprices!$C$72*W$4</f>
        <v>2.8400000000000003</v>
      </c>
      <c r="X59">
        <f>Worldprices!$C$72*X$4</f>
        <v>2.8400000000000003</v>
      </c>
      <c r="Y59">
        <f>Worldprices!$C$72*Y$4</f>
        <v>2.8400000000000003</v>
      </c>
      <c r="Z59">
        <f>Worldprices!$C$72*Z$4</f>
        <v>2.8400000000000003</v>
      </c>
      <c r="AA59">
        <f>Worldprices!$C$72*AA$4</f>
        <v>2.8400000000000003</v>
      </c>
      <c r="AB59">
        <f>Worldprices!$C$72*AB$4</f>
        <v>2.8400000000000003</v>
      </c>
      <c r="AC59">
        <f>Worldprices!$C$72*AC$4</f>
        <v>2.8400000000000003</v>
      </c>
      <c r="AD59">
        <f>Worldprices!$C$72*AD$4</f>
        <v>2.8400000000000003</v>
      </c>
      <c r="AE59">
        <f>Worldprices!$C$72*AE$4</f>
        <v>2.8400000000000003</v>
      </c>
      <c r="AF59">
        <f>Worldprices!$C$72*AF$4</f>
        <v>2.8400000000000003</v>
      </c>
      <c r="AG59">
        <f>Worldprices!$C$72*AG$4</f>
        <v>2.8400000000000003</v>
      </c>
      <c r="AH59">
        <f>Worldprices!$C$72*AH$4</f>
        <v>2.8400000000000003</v>
      </c>
      <c r="AI59">
        <f>Worldprices!$C$72*AI$4</f>
        <v>2.8400000000000003</v>
      </c>
      <c r="AJ59">
        <f>Worldprices!$C$72*AJ$4</f>
        <v>2.8400000000000003</v>
      </c>
      <c r="AK59">
        <f>Worldprices!$C$72*AK$4</f>
        <v>2.8400000000000003</v>
      </c>
      <c r="AL59">
        <f>Worldprices!$C$72*AL$4</f>
        <v>2.8400000000000003</v>
      </c>
      <c r="AM59">
        <f>Worldprices!$C$72*AM$4</f>
        <v>2.8400000000000003</v>
      </c>
      <c r="AN59">
        <f>Worldprices!$C$72*AN$4</f>
        <v>2.8400000000000003</v>
      </c>
      <c r="AO59">
        <f>Worldprices!$C$72*AO$4</f>
        <v>2.8400000000000003</v>
      </c>
      <c r="AP59">
        <f>Worldprices!$C$72*AP$4</f>
        <v>2.8400000000000003</v>
      </c>
      <c r="AQ59">
        <f t="shared" si="3"/>
        <v>2.8400000000000003</v>
      </c>
    </row>
    <row r="60" spans="1:43" ht="12.75">
      <c r="A60" t="s">
        <v>248</v>
      </c>
      <c r="B60" t="s">
        <v>351</v>
      </c>
      <c r="C60" t="s">
        <v>154</v>
      </c>
      <c r="D60">
        <v>2035</v>
      </c>
      <c r="E60" t="str">
        <f>Worldprices!$D$62</f>
        <v>IMPCOACOK*</v>
      </c>
      <c r="F60" t="str">
        <f>Worldprices!$D$63</f>
        <v>COACOK</v>
      </c>
      <c r="G60">
        <f>Worldprices!$D$72*G$4</f>
        <v>3.6068000000000002</v>
      </c>
      <c r="H60">
        <f>Worldprices!$D$72*H$4</f>
        <v>3.3723580000000002</v>
      </c>
      <c r="I60">
        <f t="shared" si="2"/>
        <v>3.6068000000000002</v>
      </c>
      <c r="J60">
        <f>Worldprices!$D$72*J$4</f>
        <v>3.6068000000000002</v>
      </c>
      <c r="K60">
        <f>Worldprices!$D$72*K$4</f>
        <v>3.6068000000000002</v>
      </c>
      <c r="L60">
        <f>Worldprices!$D$72*L$4</f>
        <v>3.6068000000000002</v>
      </c>
      <c r="M60">
        <f>Worldprices!$D$72*M$4</f>
        <v>3.6068000000000002</v>
      </c>
      <c r="N60">
        <f>Worldprices!$D$72*N$4</f>
        <v>3.6068000000000002</v>
      </c>
      <c r="O60">
        <f>Worldprices!$D$72*O$4</f>
        <v>3.0657800000000002</v>
      </c>
      <c r="P60">
        <f>Worldprices!$D$72*P$4</f>
        <v>3.4264600000000001</v>
      </c>
      <c r="Q60">
        <f>Worldprices!$D$72*Q$4</f>
        <v>3.6068000000000002</v>
      </c>
      <c r="R60">
        <f>Worldprices!$D$72*R$4</f>
        <v>3.0657800000000002</v>
      </c>
      <c r="S60">
        <f>Worldprices!$D$72*S$4</f>
        <v>3.6068000000000002</v>
      </c>
      <c r="T60">
        <f>Worldprices!$D$72*T$4</f>
        <v>3.6068000000000002</v>
      </c>
      <c r="U60">
        <f>Worldprices!$D$72*U$4</f>
        <v>3.6068000000000002</v>
      </c>
      <c r="V60">
        <f>Worldprices!$D$72*V$4</f>
        <v>3.6068000000000002</v>
      </c>
      <c r="W60">
        <f>Worldprices!$D$72*W$4</f>
        <v>3.6068000000000002</v>
      </c>
      <c r="X60">
        <f>Worldprices!$D$72*X$4</f>
        <v>3.6068000000000002</v>
      </c>
      <c r="Y60">
        <f>Worldprices!$D$72*Y$4</f>
        <v>3.6068000000000002</v>
      </c>
      <c r="Z60">
        <f>Worldprices!$D$72*Z$4</f>
        <v>3.6068000000000002</v>
      </c>
      <c r="AA60">
        <f>Worldprices!$D$72*AA$4</f>
        <v>3.6068000000000002</v>
      </c>
      <c r="AB60">
        <f>Worldprices!$D$72*AB$4</f>
        <v>3.6068000000000002</v>
      </c>
      <c r="AC60">
        <f>Worldprices!$D$72*AC$4</f>
        <v>3.6068000000000002</v>
      </c>
      <c r="AD60">
        <f>Worldprices!$D$72*AD$4</f>
        <v>3.6068000000000002</v>
      </c>
      <c r="AE60">
        <f>Worldprices!$D$72*AE$4</f>
        <v>3.6068000000000002</v>
      </c>
      <c r="AF60">
        <f>Worldprices!$D$72*AF$4</f>
        <v>3.6068000000000002</v>
      </c>
      <c r="AG60">
        <f>Worldprices!$D$72*AG$4</f>
        <v>3.6068000000000002</v>
      </c>
      <c r="AH60">
        <f>Worldprices!$D$72*AH$4</f>
        <v>3.6068000000000002</v>
      </c>
      <c r="AI60">
        <f>Worldprices!$D$72*AI$4</f>
        <v>3.6068000000000002</v>
      </c>
      <c r="AJ60">
        <f>Worldprices!$D$72*AJ$4</f>
        <v>3.6068000000000002</v>
      </c>
      <c r="AK60">
        <f>Worldprices!$D$72*AK$4</f>
        <v>3.6068000000000002</v>
      </c>
      <c r="AL60">
        <f>Worldprices!$D$72*AL$4</f>
        <v>3.6068000000000002</v>
      </c>
      <c r="AM60">
        <f>Worldprices!$D$72*AM$4</f>
        <v>3.6068000000000002</v>
      </c>
      <c r="AN60">
        <f>Worldprices!$D$72*AN$4</f>
        <v>3.6068000000000002</v>
      </c>
      <c r="AO60">
        <f>Worldprices!$D$72*AO$4</f>
        <v>3.6068000000000002</v>
      </c>
      <c r="AP60">
        <f>Worldprices!$D$72*AP$4</f>
        <v>3.6068000000000002</v>
      </c>
      <c r="AQ60">
        <f t="shared" si="3"/>
        <v>3.6068000000000002</v>
      </c>
    </row>
    <row r="61" spans="1:43" ht="12.75">
      <c r="A61" t="s">
        <v>248</v>
      </c>
      <c r="B61" t="s">
        <v>351</v>
      </c>
      <c r="C61" t="s">
        <v>154</v>
      </c>
      <c r="D61">
        <v>2035</v>
      </c>
      <c r="E61" t="str">
        <f>Worldprices!$E$62</f>
        <v>IMPCOABRO*</v>
      </c>
      <c r="F61" t="str">
        <f>Worldprices!$E$63</f>
        <v>COABRO</v>
      </c>
      <c r="G61">
        <f>Worldprices!$E$72*G$4</f>
        <v>2.698</v>
      </c>
      <c r="H61">
        <f>Worldprices!$E$72*H$4</f>
        <v>2.5226299999999999</v>
      </c>
      <c r="I61">
        <f t="shared" si="2"/>
        <v>2.698</v>
      </c>
      <c r="J61">
        <f>Worldprices!$E$72*J$4</f>
        <v>2.698</v>
      </c>
      <c r="K61">
        <f>Worldprices!$E$72*K$4</f>
        <v>2.698</v>
      </c>
      <c r="L61">
        <f>Worldprices!$E$72*L$4</f>
        <v>2.698</v>
      </c>
      <c r="M61">
        <f>Worldprices!$E$72*M$4</f>
        <v>2.698</v>
      </c>
      <c r="N61">
        <f>Worldprices!$E$72*N$4</f>
        <v>2.698</v>
      </c>
      <c r="O61">
        <f>Worldprices!$E$72*O$4</f>
        <v>2.2932999999999999</v>
      </c>
      <c r="P61">
        <f>Worldprices!$E$72*P$4</f>
        <v>2.5630999999999999</v>
      </c>
      <c r="Q61">
        <f>Worldprices!$E$72*Q$4</f>
        <v>2.698</v>
      </c>
      <c r="R61">
        <f>Worldprices!$E$72*R$4</f>
        <v>2.2932999999999999</v>
      </c>
      <c r="S61">
        <f>Worldprices!$E$72*S$4</f>
        <v>2.698</v>
      </c>
      <c r="T61">
        <f>Worldprices!$E$72*T$4</f>
        <v>2.698</v>
      </c>
      <c r="U61">
        <f>Worldprices!$E$72*U$4</f>
        <v>2.698</v>
      </c>
      <c r="V61">
        <f>Worldprices!$E$72*V$4</f>
        <v>2.698</v>
      </c>
      <c r="W61">
        <f>Worldprices!$E$72*W$4</f>
        <v>2.698</v>
      </c>
      <c r="X61">
        <f>Worldprices!$E$72*X$4</f>
        <v>2.698</v>
      </c>
      <c r="Y61">
        <f>Worldprices!$E$72*Y$4</f>
        <v>2.698</v>
      </c>
      <c r="Z61">
        <f>Worldprices!$E$72*Z$4</f>
        <v>2.698</v>
      </c>
      <c r="AA61">
        <f>Worldprices!$E$72*AA$4</f>
        <v>2.698</v>
      </c>
      <c r="AB61">
        <f>Worldprices!$E$72*AB$4</f>
        <v>2.698</v>
      </c>
      <c r="AC61">
        <f>Worldprices!$E$72*AC$4</f>
        <v>2.698</v>
      </c>
      <c r="AD61">
        <f>Worldprices!$E$72*AD$4</f>
        <v>2.698</v>
      </c>
      <c r="AE61">
        <f>Worldprices!$E$72*AE$4</f>
        <v>2.698</v>
      </c>
      <c r="AF61">
        <f>Worldprices!$E$72*AF$4</f>
        <v>2.698</v>
      </c>
      <c r="AG61">
        <f>Worldprices!$E$72*AG$4</f>
        <v>2.698</v>
      </c>
      <c r="AH61">
        <f>Worldprices!$E$72*AH$4</f>
        <v>2.698</v>
      </c>
      <c r="AI61">
        <f>Worldprices!$E$72*AI$4</f>
        <v>2.698</v>
      </c>
      <c r="AJ61">
        <f>Worldprices!$E$72*AJ$4</f>
        <v>2.698</v>
      </c>
      <c r="AK61">
        <f>Worldprices!$E$72*AK$4</f>
        <v>2.698</v>
      </c>
      <c r="AL61">
        <f>Worldprices!$E$72*AL$4</f>
        <v>2.698</v>
      </c>
      <c r="AM61">
        <f>Worldprices!$E$72*AM$4</f>
        <v>2.698</v>
      </c>
      <c r="AN61">
        <f>Worldprices!$E$72*AN$4</f>
        <v>2.698</v>
      </c>
      <c r="AO61">
        <f>Worldprices!$E$72*AO$4</f>
        <v>2.698</v>
      </c>
      <c r="AP61">
        <f>Worldprices!$E$72*AP$4</f>
        <v>2.698</v>
      </c>
      <c r="AQ61">
        <f t="shared" si="3"/>
        <v>2.698</v>
      </c>
    </row>
    <row r="62" spans="1:43" ht="12.75">
      <c r="A62" t="s">
        <v>248</v>
      </c>
      <c r="B62" t="s">
        <v>351</v>
      </c>
      <c r="C62" t="s">
        <v>154</v>
      </c>
      <c r="D62">
        <v>2035</v>
      </c>
      <c r="E62" t="str">
        <f>Worldprices!$F$62</f>
        <v>IMPCOALIG*</v>
      </c>
      <c r="F62" t="str">
        <f>Worldprices!$F$63</f>
        <v>COALIG</v>
      </c>
      <c r="G62">
        <f>Worldprices!$F$72*G$4</f>
        <v>2.698</v>
      </c>
      <c r="H62">
        <f>Worldprices!$F$72*H$4</f>
        <v>2.5226299999999999</v>
      </c>
      <c r="I62">
        <f t="shared" si="2"/>
        <v>2.698</v>
      </c>
      <c r="J62">
        <f>Worldprices!$F$72*J$4</f>
        <v>2.698</v>
      </c>
      <c r="K62">
        <f>Worldprices!$F$72*K$4</f>
        <v>2.698</v>
      </c>
      <c r="L62">
        <f>Worldprices!$F$72*L$4</f>
        <v>2.698</v>
      </c>
      <c r="M62">
        <f>Worldprices!$F$72*M$4</f>
        <v>2.698</v>
      </c>
      <c r="N62">
        <f>Worldprices!$F$72*N$4</f>
        <v>2.698</v>
      </c>
      <c r="O62">
        <f>Worldprices!$F$72*O$4</f>
        <v>2.2932999999999999</v>
      </c>
      <c r="P62">
        <f>Worldprices!$F$72*P$4</f>
        <v>2.5630999999999999</v>
      </c>
      <c r="Q62">
        <f>Worldprices!$F$72*Q$4</f>
        <v>2.698</v>
      </c>
      <c r="R62">
        <f>Worldprices!$F$72*R$4</f>
        <v>2.2932999999999999</v>
      </c>
      <c r="S62">
        <f>Worldprices!$F$72*S$4</f>
        <v>2.698</v>
      </c>
      <c r="T62">
        <f>Worldprices!$F$72*T$4</f>
        <v>2.698</v>
      </c>
      <c r="U62">
        <f>Worldprices!$F$72*U$4</f>
        <v>2.698</v>
      </c>
      <c r="V62">
        <f>Worldprices!$F$72*V$4</f>
        <v>2.698</v>
      </c>
      <c r="W62">
        <f>Worldprices!$F$72*W$4</f>
        <v>2.698</v>
      </c>
      <c r="X62">
        <f>Worldprices!$F$72*X$4</f>
        <v>2.698</v>
      </c>
      <c r="Y62">
        <f>Worldprices!$F$72*Y$4</f>
        <v>2.698</v>
      </c>
      <c r="Z62">
        <f>Worldprices!$F$72*Z$4</f>
        <v>2.698</v>
      </c>
      <c r="AA62">
        <f>Worldprices!$F$72*AA$4</f>
        <v>2.698</v>
      </c>
      <c r="AB62">
        <f>Worldprices!$F$72*AB$4</f>
        <v>2.698</v>
      </c>
      <c r="AC62">
        <f>Worldprices!$F$72*AC$4</f>
        <v>2.698</v>
      </c>
      <c r="AD62">
        <f>Worldprices!$F$72*AD$4</f>
        <v>2.698</v>
      </c>
      <c r="AE62">
        <f>Worldprices!$F$72*AE$4</f>
        <v>2.698</v>
      </c>
      <c r="AF62">
        <f>Worldprices!$F$72*AF$4</f>
        <v>2.698</v>
      </c>
      <c r="AG62">
        <f>Worldprices!$F$72*AG$4</f>
        <v>2.698</v>
      </c>
      <c r="AH62">
        <f>Worldprices!$F$72*AH$4</f>
        <v>2.698</v>
      </c>
      <c r="AI62">
        <f>Worldprices!$F$72*AI$4</f>
        <v>2.698</v>
      </c>
      <c r="AJ62">
        <f>Worldprices!$F$72*AJ$4</f>
        <v>2.698</v>
      </c>
      <c r="AK62">
        <f>Worldprices!$F$72*AK$4</f>
        <v>2.698</v>
      </c>
      <c r="AL62">
        <f>Worldprices!$F$72*AL$4</f>
        <v>2.698</v>
      </c>
      <c r="AM62">
        <f>Worldprices!$F$72*AM$4</f>
        <v>2.698</v>
      </c>
      <c r="AN62">
        <f>Worldprices!$F$72*AN$4</f>
        <v>2.698</v>
      </c>
      <c r="AO62">
        <f>Worldprices!$F$72*AO$4</f>
        <v>2.698</v>
      </c>
      <c r="AP62">
        <f>Worldprices!$F$72*AP$4</f>
        <v>2.698</v>
      </c>
      <c r="AQ62">
        <f t="shared" si="3"/>
        <v>2.698</v>
      </c>
    </row>
    <row r="63" spans="1:43" ht="12.75">
      <c r="A63" t="s">
        <v>248</v>
      </c>
      <c r="B63" t="s">
        <v>351</v>
      </c>
      <c r="C63" t="s">
        <v>154</v>
      </c>
      <c r="D63">
        <v>2035</v>
      </c>
      <c r="E63" t="str">
        <f>Worldprices!$M$62</f>
        <v>IMPOILOTH</v>
      </c>
      <c r="F63" t="str">
        <f>Worldprices!$M$63</f>
        <v>OILOTH</v>
      </c>
      <c r="G63">
        <f>Worldprices!$M$72*G$6</f>
        <v>14.049999999999999</v>
      </c>
      <c r="H63">
        <f>Worldprices!$M$72*H$6</f>
        <v>14.049999999999999</v>
      </c>
      <c r="I63">
        <f t="shared" si="2"/>
        <v>14.049999999999999</v>
      </c>
      <c r="J63">
        <f>Worldprices!$M$72*J$6</f>
        <v>14.049999999999999</v>
      </c>
      <c r="K63">
        <f>Worldprices!$M$72*K$6</f>
        <v>14.049999999999999</v>
      </c>
      <c r="L63">
        <f>Worldprices!$M$72*L$6</f>
        <v>14.049999999999999</v>
      </c>
      <c r="M63">
        <f>Worldprices!$M$72*M$6</f>
        <v>14.049999999999999</v>
      </c>
      <c r="N63">
        <f>Worldprices!$M$72*N$6</f>
        <v>14.049999999999999</v>
      </c>
      <c r="O63">
        <f>Worldprices!$M$72*O$6</f>
        <v>14.049999999999999</v>
      </c>
      <c r="P63">
        <f>Worldprices!$M$72*P$6</f>
        <v>14.049999999999999</v>
      </c>
      <c r="Q63">
        <f>Worldprices!$M$72*Q$6</f>
        <v>14.049999999999999</v>
      </c>
      <c r="R63">
        <f>Worldprices!$M$72*R$6</f>
        <v>14.049999999999999</v>
      </c>
      <c r="S63">
        <f>Worldprices!$M$72*S$6</f>
        <v>14.049999999999999</v>
      </c>
      <c r="T63">
        <f>Worldprices!$M$72*T$6</f>
        <v>14.049999999999999</v>
      </c>
      <c r="U63">
        <f>Worldprices!$M$72*U$6</f>
        <v>13.347499999999998</v>
      </c>
      <c r="V63">
        <f>Worldprices!$M$72*V$6</f>
        <v>14.049999999999999</v>
      </c>
      <c r="W63">
        <f>Worldprices!$M$72*W$6</f>
        <v>14.049999999999999</v>
      </c>
      <c r="X63">
        <f>Worldprices!$M$72*X$6</f>
        <v>14.049999999999999</v>
      </c>
      <c r="Y63">
        <f>Worldprices!$M$72*Y$6</f>
        <v>14.049999999999999</v>
      </c>
      <c r="Z63">
        <f>Worldprices!$M$72*Z$6</f>
        <v>14.049999999999999</v>
      </c>
      <c r="AA63">
        <f>Worldprices!$M$72*AA$6</f>
        <v>14.049999999999999</v>
      </c>
      <c r="AB63">
        <f>Worldprices!$M$72*AB$6</f>
        <v>14.049999999999999</v>
      </c>
      <c r="AC63">
        <f>Worldprices!$M$72*AC$6</f>
        <v>14.049999999999999</v>
      </c>
      <c r="AD63">
        <f>Worldprices!$M$72*AD$6</f>
        <v>14.049999999999999</v>
      </c>
      <c r="AE63">
        <f>Worldprices!$M$72*AE$6</f>
        <v>14.049999999999999</v>
      </c>
      <c r="AF63">
        <f>Worldprices!$M$72*AF$6</f>
        <v>14.049999999999999</v>
      </c>
      <c r="AG63">
        <f>Worldprices!$M$72*AG$6</f>
        <v>14.049999999999999</v>
      </c>
      <c r="AH63">
        <f>Worldprices!$M$72*AH$6</f>
        <v>14.049999999999999</v>
      </c>
      <c r="AI63">
        <f>Worldprices!$M$72*AI$6</f>
        <v>14.049999999999999</v>
      </c>
      <c r="AJ63">
        <f>Worldprices!$M$72*AJ$6</f>
        <v>14.049999999999999</v>
      </c>
      <c r="AK63">
        <f>Worldprices!$M$72*AK$6</f>
        <v>14.049999999999999</v>
      </c>
      <c r="AL63">
        <f>Worldprices!$M$72*AL$6</f>
        <v>14.049999999999999</v>
      </c>
      <c r="AM63">
        <f>Worldprices!$M$72*AM$6</f>
        <v>14.049999999999999</v>
      </c>
      <c r="AN63">
        <f>Worldprices!$M$72*AN$6</f>
        <v>14.049999999999999</v>
      </c>
      <c r="AO63">
        <f>Worldprices!$M$72*AO$6</f>
        <v>14.049999999999999</v>
      </c>
      <c r="AP63">
        <f>Worldprices!$M$72*AP$6</f>
        <v>14.049999999999999</v>
      </c>
      <c r="AQ63">
        <f t="shared" si="3"/>
        <v>14.049999999999999</v>
      </c>
    </row>
    <row r="64" spans="1:43" ht="12.75">
      <c r="A64" t="s">
        <v>248</v>
      </c>
      <c r="B64" t="s">
        <v>351</v>
      </c>
      <c r="C64" t="s">
        <v>154</v>
      </c>
      <c r="D64">
        <v>2035</v>
      </c>
      <c r="E64" t="str">
        <f>Worldprices!$N$62</f>
        <v>IMPOILNAP</v>
      </c>
      <c r="F64" t="str">
        <f>Worldprices!$N$63</f>
        <v>OILNAP</v>
      </c>
      <c r="G64">
        <f>Worldprices!$N$72*G$6</f>
        <v>14.049999999999999</v>
      </c>
      <c r="H64">
        <f>Worldprices!$N$72*H$6</f>
        <v>14.049999999999999</v>
      </c>
      <c r="I64">
        <f t="shared" si="2"/>
        <v>14.049999999999999</v>
      </c>
      <c r="J64">
        <f>Worldprices!$N$72*J$6</f>
        <v>14.049999999999999</v>
      </c>
      <c r="K64">
        <f>Worldprices!$N$72*K$6</f>
        <v>14.049999999999999</v>
      </c>
      <c r="L64">
        <f>Worldprices!$N$72*L$6</f>
        <v>14.049999999999999</v>
      </c>
      <c r="M64">
        <f>Worldprices!$N$72*M$6</f>
        <v>14.049999999999999</v>
      </c>
      <c r="N64">
        <f>Worldprices!$N$72*N$6</f>
        <v>14.049999999999999</v>
      </c>
      <c r="O64">
        <f>Worldprices!$N$72*O$6</f>
        <v>14.049999999999999</v>
      </c>
      <c r="P64">
        <f>Worldprices!$N$72*P$6</f>
        <v>14.049999999999999</v>
      </c>
      <c r="Q64">
        <f>Worldprices!$N$72*Q$6</f>
        <v>14.049999999999999</v>
      </c>
      <c r="R64">
        <f>Worldprices!$N$72*R$6</f>
        <v>14.049999999999999</v>
      </c>
      <c r="S64">
        <f>Worldprices!$N$72*S$6</f>
        <v>14.049999999999999</v>
      </c>
      <c r="T64">
        <f>Worldprices!$N$72*T$6</f>
        <v>14.049999999999999</v>
      </c>
      <c r="U64">
        <f>Worldprices!$N$72*U$6</f>
        <v>13.347499999999998</v>
      </c>
      <c r="V64">
        <f>Worldprices!$N$72*V$6</f>
        <v>14.049999999999999</v>
      </c>
      <c r="W64">
        <f>Worldprices!$N$72*W$6</f>
        <v>14.049999999999999</v>
      </c>
      <c r="X64">
        <f>Worldprices!$N$72*X$6</f>
        <v>14.049999999999999</v>
      </c>
      <c r="Y64">
        <f>Worldprices!$N$72*Y$6</f>
        <v>14.049999999999999</v>
      </c>
      <c r="Z64">
        <f>Worldprices!$N$72*Z$6</f>
        <v>14.049999999999999</v>
      </c>
      <c r="AA64">
        <f>Worldprices!$N$72*AA$6</f>
        <v>14.049999999999999</v>
      </c>
      <c r="AB64">
        <f>Worldprices!$N$72*AB$6</f>
        <v>14.049999999999999</v>
      </c>
      <c r="AC64">
        <f>Worldprices!$N$72*AC$6</f>
        <v>14.049999999999999</v>
      </c>
      <c r="AD64">
        <f>Worldprices!$N$72*AD$6</f>
        <v>14.049999999999999</v>
      </c>
      <c r="AE64">
        <f>Worldprices!$N$72*AE$6</f>
        <v>14.049999999999999</v>
      </c>
      <c r="AF64">
        <f>Worldprices!$N$72*AF$6</f>
        <v>14.049999999999999</v>
      </c>
      <c r="AG64">
        <f>Worldprices!$N$72*AG$6</f>
        <v>14.049999999999999</v>
      </c>
      <c r="AH64">
        <f>Worldprices!$N$72*AH$6</f>
        <v>14.049999999999999</v>
      </c>
      <c r="AI64">
        <f>Worldprices!$N$72*AI$6</f>
        <v>14.049999999999999</v>
      </c>
      <c r="AJ64">
        <f>Worldprices!$N$72*AJ$6</f>
        <v>14.049999999999999</v>
      </c>
      <c r="AK64">
        <f>Worldprices!$N$72*AK$6</f>
        <v>14.049999999999999</v>
      </c>
      <c r="AL64">
        <f>Worldprices!$N$72*AL$6</f>
        <v>14.049999999999999</v>
      </c>
      <c r="AM64">
        <f>Worldprices!$N$72*AM$6</f>
        <v>14.049999999999999</v>
      </c>
      <c r="AN64">
        <f>Worldprices!$N$72*AN$6</f>
        <v>14.049999999999999</v>
      </c>
      <c r="AO64">
        <f>Worldprices!$N$72*AO$6</f>
        <v>14.049999999999999</v>
      </c>
      <c r="AP64">
        <f>Worldprices!$N$72*AP$6</f>
        <v>14.049999999999999</v>
      </c>
      <c r="AQ64">
        <f t="shared" si="3"/>
        <v>14.049999999999999</v>
      </c>
    </row>
    <row r="65" spans="1:43" ht="12.75">
      <c r="A65" t="s">
        <v>248</v>
      </c>
      <c r="B65" t="s">
        <v>351</v>
      </c>
      <c r="C65" t="s">
        <v>154</v>
      </c>
      <c r="D65">
        <v>2035</v>
      </c>
      <c r="E65" t="str">
        <f>Worldprices!$O$62</f>
        <v>IMPOILFDS</v>
      </c>
      <c r="F65" t="str">
        <f>Worldprices!$O$63</f>
        <v>OILFDS</v>
      </c>
      <c r="G65">
        <f>Worldprices!$O$72*G$6</f>
        <v>14.049999999999999</v>
      </c>
      <c r="H65">
        <f>Worldprices!$O$72*H$6</f>
        <v>14.049999999999999</v>
      </c>
      <c r="I65">
        <f t="shared" si="2"/>
        <v>14.049999999999999</v>
      </c>
      <c r="J65">
        <f>Worldprices!$O$72*J$6</f>
        <v>14.049999999999999</v>
      </c>
      <c r="K65">
        <f>Worldprices!$O$72*K$6</f>
        <v>14.049999999999999</v>
      </c>
      <c r="L65">
        <f>Worldprices!$O$72*L$6</f>
        <v>14.049999999999999</v>
      </c>
      <c r="M65">
        <f>Worldprices!$O$72*M$6</f>
        <v>14.049999999999999</v>
      </c>
      <c r="N65">
        <f>Worldprices!$O$72*N$6</f>
        <v>14.049999999999999</v>
      </c>
      <c r="O65">
        <f>Worldprices!$O$72*O$6</f>
        <v>14.049999999999999</v>
      </c>
      <c r="P65">
        <f>Worldprices!$O$72*P$6</f>
        <v>14.049999999999999</v>
      </c>
      <c r="Q65">
        <f>Worldprices!$O$72*Q$6</f>
        <v>14.049999999999999</v>
      </c>
      <c r="R65">
        <f>Worldprices!$O$72*R$6</f>
        <v>14.049999999999999</v>
      </c>
      <c r="S65">
        <f>Worldprices!$O$72*S$6</f>
        <v>14.049999999999999</v>
      </c>
      <c r="T65">
        <f>Worldprices!$O$72*T$6</f>
        <v>14.049999999999999</v>
      </c>
      <c r="U65">
        <f>Worldprices!$O$72*U$6</f>
        <v>13.347499999999998</v>
      </c>
      <c r="V65">
        <f>Worldprices!$O$72*V$6</f>
        <v>14.049999999999999</v>
      </c>
      <c r="W65">
        <f>Worldprices!$O$72*W$6</f>
        <v>14.049999999999999</v>
      </c>
      <c r="X65">
        <f>Worldprices!$O$72*X$6</f>
        <v>14.049999999999999</v>
      </c>
      <c r="Y65">
        <f>Worldprices!$O$72*Y$6</f>
        <v>14.049999999999999</v>
      </c>
      <c r="Z65">
        <f>Worldprices!$O$72*Z$6</f>
        <v>14.049999999999999</v>
      </c>
      <c r="AA65">
        <f>Worldprices!$O$72*AA$6</f>
        <v>14.049999999999999</v>
      </c>
      <c r="AB65">
        <f>Worldprices!$O$72*AB$6</f>
        <v>14.049999999999999</v>
      </c>
      <c r="AC65">
        <f>Worldprices!$O$72*AC$6</f>
        <v>14.049999999999999</v>
      </c>
      <c r="AD65">
        <f>Worldprices!$O$72*AD$6</f>
        <v>14.049999999999999</v>
      </c>
      <c r="AE65">
        <f>Worldprices!$O$72*AE$6</f>
        <v>14.049999999999999</v>
      </c>
      <c r="AF65">
        <f>Worldprices!$O$72*AF$6</f>
        <v>14.049999999999999</v>
      </c>
      <c r="AG65">
        <f>Worldprices!$O$72*AG$6</f>
        <v>14.049999999999999</v>
      </c>
      <c r="AH65">
        <f>Worldprices!$O$72*AH$6</f>
        <v>14.049999999999999</v>
      </c>
      <c r="AI65">
        <f>Worldprices!$O$72*AI$6</f>
        <v>14.049999999999999</v>
      </c>
      <c r="AJ65">
        <f>Worldprices!$O$72*AJ$6</f>
        <v>14.049999999999999</v>
      </c>
      <c r="AK65">
        <f>Worldprices!$O$72*AK$6</f>
        <v>14.049999999999999</v>
      </c>
      <c r="AL65">
        <f>Worldprices!$O$72*AL$6</f>
        <v>14.049999999999999</v>
      </c>
      <c r="AM65">
        <f>Worldprices!$O$72*AM$6</f>
        <v>14.049999999999999</v>
      </c>
      <c r="AN65">
        <f>Worldprices!$O$72*AN$6</f>
        <v>14.049999999999999</v>
      </c>
      <c r="AO65">
        <f>Worldprices!$O$72*AO$6</f>
        <v>14.049999999999999</v>
      </c>
      <c r="AP65">
        <f>Worldprices!$O$72*AP$6</f>
        <v>14.049999999999999</v>
      </c>
      <c r="AQ65">
        <f t="shared" si="3"/>
        <v>14.049999999999999</v>
      </c>
    </row>
    <row r="66" spans="1:43" ht="12.75">
      <c r="A66" t="s">
        <v>248</v>
      </c>
      <c r="B66" t="s">
        <v>351</v>
      </c>
      <c r="C66" t="s">
        <v>154</v>
      </c>
      <c r="D66">
        <v>2035</v>
      </c>
      <c r="E66" t="str">
        <f>Worldprices!$P$62</f>
        <v>IMPOILNEU</v>
      </c>
      <c r="F66" t="str">
        <f>Worldprices!$P$63</f>
        <v>OILNEU</v>
      </c>
      <c r="G66">
        <f>Worldprices!$P$72*G$6</f>
        <v>14.049999999999999</v>
      </c>
      <c r="H66">
        <f>Worldprices!$P$72*H$6</f>
        <v>14.049999999999999</v>
      </c>
      <c r="I66">
        <f t="shared" si="2"/>
        <v>14.049999999999999</v>
      </c>
      <c r="J66">
        <f>Worldprices!$P$72*J$6</f>
        <v>14.049999999999999</v>
      </c>
      <c r="K66">
        <f>Worldprices!$P$72*K$6</f>
        <v>14.049999999999999</v>
      </c>
      <c r="L66">
        <f>Worldprices!$P$72*L$6</f>
        <v>14.049999999999999</v>
      </c>
      <c r="M66">
        <f>Worldprices!$P$72*M$6</f>
        <v>14.049999999999999</v>
      </c>
      <c r="N66">
        <f>Worldprices!$P$72*N$6</f>
        <v>14.049999999999999</v>
      </c>
      <c r="O66">
        <f>Worldprices!$P$72*O$6</f>
        <v>14.049999999999999</v>
      </c>
      <c r="P66">
        <f>Worldprices!$P$72*P$6</f>
        <v>14.049999999999999</v>
      </c>
      <c r="Q66">
        <f>Worldprices!$P$72*Q$6</f>
        <v>14.049999999999999</v>
      </c>
      <c r="R66">
        <f>Worldprices!$P$72*R$6</f>
        <v>14.049999999999999</v>
      </c>
      <c r="S66">
        <f>Worldprices!$P$72*S$6</f>
        <v>14.049999999999999</v>
      </c>
      <c r="T66">
        <f>Worldprices!$P$72*T$6</f>
        <v>14.049999999999999</v>
      </c>
      <c r="U66">
        <f>Worldprices!$P$72*U$6</f>
        <v>13.347499999999998</v>
      </c>
      <c r="V66">
        <f>Worldprices!$P$72*V$6</f>
        <v>14.049999999999999</v>
      </c>
      <c r="W66">
        <f>Worldprices!$P$72*W$6</f>
        <v>14.049999999999999</v>
      </c>
      <c r="X66">
        <f>Worldprices!$P$72*X$6</f>
        <v>14.049999999999999</v>
      </c>
      <c r="Y66">
        <f>Worldprices!$P$72*Y$6</f>
        <v>14.049999999999999</v>
      </c>
      <c r="Z66">
        <f>Worldprices!$P$72*Z$6</f>
        <v>14.049999999999999</v>
      </c>
      <c r="AA66">
        <f>Worldprices!$P$72*AA$6</f>
        <v>14.049999999999999</v>
      </c>
      <c r="AB66">
        <f>Worldprices!$P$72*AB$6</f>
        <v>14.049999999999999</v>
      </c>
      <c r="AC66">
        <f>Worldprices!$P$72*AC$6</f>
        <v>14.049999999999999</v>
      </c>
      <c r="AD66">
        <f>Worldprices!$P$72*AD$6</f>
        <v>14.049999999999999</v>
      </c>
      <c r="AE66">
        <f>Worldprices!$P$72*AE$6</f>
        <v>14.049999999999999</v>
      </c>
      <c r="AF66">
        <f>Worldprices!$P$72*AF$6</f>
        <v>14.049999999999999</v>
      </c>
      <c r="AG66">
        <f>Worldprices!$P$72*AG$6</f>
        <v>14.049999999999999</v>
      </c>
      <c r="AH66">
        <f>Worldprices!$P$72*AH$6</f>
        <v>14.049999999999999</v>
      </c>
      <c r="AI66">
        <f>Worldprices!$P$72*AI$6</f>
        <v>14.049999999999999</v>
      </c>
      <c r="AJ66">
        <f>Worldprices!$P$72*AJ$6</f>
        <v>14.049999999999999</v>
      </c>
      <c r="AK66">
        <f>Worldprices!$P$72*AK$6</f>
        <v>14.049999999999999</v>
      </c>
      <c r="AL66">
        <f>Worldprices!$P$72*AL$6</f>
        <v>14.049999999999999</v>
      </c>
      <c r="AM66">
        <f>Worldprices!$P$72*AM$6</f>
        <v>14.049999999999999</v>
      </c>
      <c r="AN66">
        <f>Worldprices!$P$72*AN$6</f>
        <v>14.049999999999999</v>
      </c>
      <c r="AO66">
        <f>Worldprices!$P$72*AO$6</f>
        <v>14.049999999999999</v>
      </c>
      <c r="AP66">
        <f>Worldprices!$P$72*AP$6</f>
        <v>14.049999999999999</v>
      </c>
      <c r="AQ66">
        <f t="shared" si="3"/>
        <v>14.049999999999999</v>
      </c>
    </row>
    <row r="67" spans="1:43" ht="12.75">
      <c r="A67" t="s">
        <v>248</v>
      </c>
      <c r="B67" t="s">
        <v>351</v>
      </c>
      <c r="C67" t="s">
        <v>305</v>
      </c>
      <c r="D67">
        <v>2035</v>
      </c>
      <c r="E67" t="str">
        <f>Worldprices!$R$62</f>
        <v>IMPBIOWOO</v>
      </c>
      <c r="F67" t="str">
        <f>Worldprices!$R$63</f>
        <v>BIOWOO</v>
      </c>
      <c r="G67">
        <f>Worldprices!$R$72*G$8</f>
        <v>5.6601193520314999</v>
      </c>
      <c r="H67">
        <f>Worldprices!$R$72*H$8</f>
        <v>5.6601193520314999</v>
      </c>
      <c r="I67">
        <f t="shared" si="2"/>
        <v>5.6601193520314999</v>
      </c>
      <c r="J67">
        <f>Worldprices!$R$72*J$8</f>
        <v>5.6601193520314999</v>
      </c>
      <c r="K67">
        <f>Worldprices!$R$72*K$8</f>
        <v>5.6601193520314999</v>
      </c>
      <c r="L67">
        <f>Worldprices!$R$72*L$8</f>
        <v>5.6601193520314999</v>
      </c>
      <c r="M67">
        <f>Worldprices!$R$72*M$8</f>
        <v>5.6601193520314999</v>
      </c>
      <c r="N67">
        <f>Worldprices!$R$72*N$8</f>
        <v>5.6601193520314999</v>
      </c>
      <c r="O67">
        <f>Worldprices!$R$72*O$8</f>
        <v>5.6601193520314999</v>
      </c>
      <c r="P67">
        <f>Worldprices!$R$72*P$8</f>
        <v>5.6601193520314999</v>
      </c>
      <c r="Q67">
        <f>Worldprices!$R$72*Q$8</f>
        <v>5.6601193520314999</v>
      </c>
      <c r="R67">
        <f>Worldprices!$R$72*R$8</f>
        <v>5.6601193520314999</v>
      </c>
      <c r="S67">
        <f>Worldprices!$R$72*S$8</f>
        <v>5.6601193520314999</v>
      </c>
      <c r="T67">
        <f>Worldprices!$R$72*T$8</f>
        <v>5.6601193520314999</v>
      </c>
      <c r="U67">
        <f>Worldprices!$R$72*U$8</f>
        <v>5.6601193520314999</v>
      </c>
      <c r="V67">
        <f>Worldprices!$R$72*V$8</f>
        <v>5.6601193520314999</v>
      </c>
      <c r="W67">
        <f>Worldprices!$R$72*W$8</f>
        <v>5.6601193520314999</v>
      </c>
      <c r="X67">
        <f>Worldprices!$R$72*X$8</f>
        <v>5.6601193520314999</v>
      </c>
      <c r="Y67">
        <f>Worldprices!$R$72*Y$8</f>
        <v>5.6601193520314999</v>
      </c>
      <c r="Z67">
        <f>Worldprices!$R$72*Z$8</f>
        <v>5.6601193520314999</v>
      </c>
      <c r="AA67">
        <f>Worldprices!$R$72*AA$8</f>
        <v>5.6601193520314999</v>
      </c>
      <c r="AB67">
        <f>Worldprices!$R$72*AB$8</f>
        <v>5.6601193520314999</v>
      </c>
      <c r="AC67">
        <f>Worldprices!$R$72*AC$8</f>
        <v>5.6601193520314999</v>
      </c>
      <c r="AD67">
        <f>Worldprices!$R$72*AD$8</f>
        <v>5.6601193520314999</v>
      </c>
      <c r="AE67">
        <f>Worldprices!$R$72*AE$8</f>
        <v>5.6601193520314999</v>
      </c>
      <c r="AF67">
        <f>Worldprices!$R$72*AF$8</f>
        <v>5.6601193520314999</v>
      </c>
      <c r="AG67">
        <f>Worldprices!$R$72*AG$8</f>
        <v>5.6601193520314999</v>
      </c>
      <c r="AH67">
        <f>Worldprices!$R$72*AH$8</f>
        <v>5.6601193520314999</v>
      </c>
      <c r="AI67">
        <f>Worldprices!$R$72*AI$8</f>
        <v>5.6601193520314999</v>
      </c>
      <c r="AJ67">
        <f>Worldprices!$R$72*AJ$8</f>
        <v>5.6601193520314999</v>
      </c>
      <c r="AK67">
        <f>Worldprices!$R$72*AK$8</f>
        <v>5.6601193520314999</v>
      </c>
      <c r="AL67">
        <f>Worldprices!$R$72*AL$8</f>
        <v>5.6601193520314999</v>
      </c>
      <c r="AM67">
        <f>Worldprices!$R$72*AM$8</f>
        <v>5.6601193520314999</v>
      </c>
      <c r="AN67">
        <f>Worldprices!$R$72*AN$8</f>
        <v>5.6601193520314999</v>
      </c>
      <c r="AO67">
        <f>Worldprices!$R$72*AO$8</f>
        <v>5.6601193520314999</v>
      </c>
      <c r="AP67">
        <f>Worldprices!$R$72*AP$8</f>
        <v>5.6601193520314999</v>
      </c>
      <c r="AQ67">
        <f t="shared" si="3"/>
        <v>5.6601193520314999</v>
      </c>
    </row>
    <row r="68" spans="1:43" ht="12.75">
      <c r="A68" t="s">
        <v>248</v>
      </c>
      <c r="B68" t="s">
        <v>351</v>
      </c>
      <c r="C68" t="s">
        <v>154</v>
      </c>
      <c r="D68">
        <v>2040</v>
      </c>
      <c r="E68" t="str">
        <f>Worldprices!$C$62</f>
        <v>IMPCOAHAR*</v>
      </c>
      <c r="F68" t="str">
        <f>Worldprices!$C$63</f>
        <v>COAHAR</v>
      </c>
      <c r="G68">
        <f>Worldprices!$C$73*G$4</f>
        <v>2.9300000000000006</v>
      </c>
      <c r="H68">
        <f>Worldprices!$C$73*H$4</f>
        <v>2.7395500000000008</v>
      </c>
      <c r="I68">
        <f t="shared" si="2"/>
        <v>2.9300000000000006</v>
      </c>
      <c r="J68">
        <f>Worldprices!$C$73*J$4</f>
        <v>2.9300000000000006</v>
      </c>
      <c r="K68">
        <f>Worldprices!$C$73*K$4</f>
        <v>2.9300000000000006</v>
      </c>
      <c r="L68">
        <f>Worldprices!$C$73*L$4</f>
        <v>2.9300000000000006</v>
      </c>
      <c r="M68">
        <f>Worldprices!$C$73*M$4</f>
        <v>2.9300000000000006</v>
      </c>
      <c r="N68">
        <f>Worldprices!$C$73*N$4</f>
        <v>2.9300000000000006</v>
      </c>
      <c r="O68">
        <f>Worldprices!$C$73*O$4</f>
        <v>2.4905000000000004</v>
      </c>
      <c r="P68">
        <f>Worldprices!$C$73*P$4</f>
        <v>2.7835000000000005</v>
      </c>
      <c r="Q68">
        <f>Worldprices!$C$73*Q$4</f>
        <v>2.9300000000000006</v>
      </c>
      <c r="R68">
        <f>Worldprices!$C$73*R$4</f>
        <v>2.4905000000000004</v>
      </c>
      <c r="S68">
        <f>Worldprices!$C$73*S$4</f>
        <v>2.9300000000000006</v>
      </c>
      <c r="T68">
        <f>Worldprices!$C$73*T$4</f>
        <v>2.9300000000000006</v>
      </c>
      <c r="U68">
        <f>Worldprices!$C$73*U$4</f>
        <v>2.9300000000000006</v>
      </c>
      <c r="V68">
        <f>Worldprices!$C$73*V$4</f>
        <v>2.9300000000000006</v>
      </c>
      <c r="W68">
        <f>Worldprices!$C$73*W$4</f>
        <v>2.9300000000000006</v>
      </c>
      <c r="X68">
        <f>Worldprices!$C$73*X$4</f>
        <v>2.9300000000000006</v>
      </c>
      <c r="Y68">
        <f>Worldprices!$C$73*Y$4</f>
        <v>2.9300000000000006</v>
      </c>
      <c r="Z68">
        <f>Worldprices!$C$73*Z$4</f>
        <v>2.9300000000000006</v>
      </c>
      <c r="AA68">
        <f>Worldprices!$C$73*AA$4</f>
        <v>2.9300000000000006</v>
      </c>
      <c r="AB68">
        <f>Worldprices!$C$73*AB$4</f>
        <v>2.9300000000000006</v>
      </c>
      <c r="AC68">
        <f>Worldprices!$C$73*AC$4</f>
        <v>2.9300000000000006</v>
      </c>
      <c r="AD68">
        <f>Worldprices!$C$73*AD$4</f>
        <v>2.9300000000000006</v>
      </c>
      <c r="AE68">
        <f>Worldprices!$C$73*AE$4</f>
        <v>2.9300000000000006</v>
      </c>
      <c r="AF68">
        <f>Worldprices!$C$73*AF$4</f>
        <v>2.9300000000000006</v>
      </c>
      <c r="AG68">
        <f>Worldprices!$C$73*AG$4</f>
        <v>2.9300000000000006</v>
      </c>
      <c r="AH68">
        <f>Worldprices!$C$73*AH$4</f>
        <v>2.9300000000000006</v>
      </c>
      <c r="AI68">
        <f>Worldprices!$C$73*AI$4</f>
        <v>2.9300000000000006</v>
      </c>
      <c r="AJ68">
        <f>Worldprices!$C$73*AJ$4</f>
        <v>2.9300000000000006</v>
      </c>
      <c r="AK68">
        <f>Worldprices!$C$73*AK$4</f>
        <v>2.9300000000000006</v>
      </c>
      <c r="AL68">
        <f>Worldprices!$C$73*AL$4</f>
        <v>2.9300000000000006</v>
      </c>
      <c r="AM68">
        <f>Worldprices!$C$73*AM$4</f>
        <v>2.9300000000000006</v>
      </c>
      <c r="AN68">
        <f>Worldprices!$C$73*AN$4</f>
        <v>2.9300000000000006</v>
      </c>
      <c r="AO68">
        <f>Worldprices!$C$73*AO$4</f>
        <v>2.9300000000000006</v>
      </c>
      <c r="AP68">
        <f>Worldprices!$C$73*AP$4</f>
        <v>2.9300000000000006</v>
      </c>
      <c r="AQ68">
        <f t="shared" si="3"/>
        <v>2.9300000000000006</v>
      </c>
    </row>
    <row r="69" spans="1:43" ht="12.75">
      <c r="A69" t="s">
        <v>248</v>
      </c>
      <c r="B69" t="s">
        <v>351</v>
      </c>
      <c r="C69" t="s">
        <v>154</v>
      </c>
      <c r="D69">
        <v>2040</v>
      </c>
      <c r="E69" t="str">
        <f>Worldprices!$D$62</f>
        <v>IMPCOACOK*</v>
      </c>
      <c r="F69" t="str">
        <f>Worldprices!$D$63</f>
        <v>COACOK</v>
      </c>
      <c r="G69">
        <f>Worldprices!$D$73*G$4</f>
        <v>3.7211000000000007</v>
      </c>
      <c r="H69">
        <f>Worldprices!$D$73*H$4</f>
        <v>3.4792285000000009</v>
      </c>
      <c r="I69">
        <f t="shared" si="2"/>
        <v>3.7211000000000007</v>
      </c>
      <c r="J69">
        <f>Worldprices!$D$73*J$4</f>
        <v>3.7211000000000007</v>
      </c>
      <c r="K69">
        <f>Worldprices!$D$73*K$4</f>
        <v>3.7211000000000007</v>
      </c>
      <c r="L69">
        <f>Worldprices!$D$73*L$4</f>
        <v>3.7211000000000007</v>
      </c>
      <c r="M69">
        <f>Worldprices!$D$73*M$4</f>
        <v>3.7211000000000007</v>
      </c>
      <c r="N69">
        <f>Worldprices!$D$73*N$4</f>
        <v>3.7211000000000007</v>
      </c>
      <c r="O69">
        <f>Worldprices!$D$73*O$4</f>
        <v>3.1629350000000005</v>
      </c>
      <c r="P69">
        <f>Worldprices!$D$73*P$4</f>
        <v>3.5350450000000007</v>
      </c>
      <c r="Q69">
        <f>Worldprices!$D$73*Q$4</f>
        <v>3.7211000000000007</v>
      </c>
      <c r="R69">
        <f>Worldprices!$D$73*R$4</f>
        <v>3.1629350000000005</v>
      </c>
      <c r="S69">
        <f>Worldprices!$D$73*S$4</f>
        <v>3.7211000000000007</v>
      </c>
      <c r="T69">
        <f>Worldprices!$D$73*T$4</f>
        <v>3.7211000000000007</v>
      </c>
      <c r="U69">
        <f>Worldprices!$D$73*U$4</f>
        <v>3.7211000000000007</v>
      </c>
      <c r="V69">
        <f>Worldprices!$D$73*V$4</f>
        <v>3.7211000000000007</v>
      </c>
      <c r="W69">
        <f>Worldprices!$D$73*W$4</f>
        <v>3.7211000000000007</v>
      </c>
      <c r="X69">
        <f>Worldprices!$D$73*X$4</f>
        <v>3.7211000000000007</v>
      </c>
      <c r="Y69">
        <f>Worldprices!$D$73*Y$4</f>
        <v>3.7211000000000007</v>
      </c>
      <c r="Z69">
        <f>Worldprices!$D$73*Z$4</f>
        <v>3.7211000000000007</v>
      </c>
      <c r="AA69">
        <f>Worldprices!$D$73*AA$4</f>
        <v>3.7211000000000007</v>
      </c>
      <c r="AB69">
        <f>Worldprices!$D$73*AB$4</f>
        <v>3.7211000000000007</v>
      </c>
      <c r="AC69">
        <f>Worldprices!$D$73*AC$4</f>
        <v>3.7211000000000007</v>
      </c>
      <c r="AD69">
        <f>Worldprices!$D$73*AD$4</f>
        <v>3.7211000000000007</v>
      </c>
      <c r="AE69">
        <f>Worldprices!$D$73*AE$4</f>
        <v>3.7211000000000007</v>
      </c>
      <c r="AF69">
        <f>Worldprices!$D$73*AF$4</f>
        <v>3.7211000000000007</v>
      </c>
      <c r="AG69">
        <f>Worldprices!$D$73*AG$4</f>
        <v>3.7211000000000007</v>
      </c>
      <c r="AH69">
        <f>Worldprices!$D$73*AH$4</f>
        <v>3.7211000000000007</v>
      </c>
      <c r="AI69">
        <f>Worldprices!$D$73*AI$4</f>
        <v>3.7211000000000007</v>
      </c>
      <c r="AJ69">
        <f>Worldprices!$D$73*AJ$4</f>
        <v>3.7211000000000007</v>
      </c>
      <c r="AK69">
        <f>Worldprices!$D$73*AK$4</f>
        <v>3.7211000000000007</v>
      </c>
      <c r="AL69">
        <f>Worldprices!$D$73*AL$4</f>
        <v>3.7211000000000007</v>
      </c>
      <c r="AM69">
        <f>Worldprices!$D$73*AM$4</f>
        <v>3.7211000000000007</v>
      </c>
      <c r="AN69">
        <f>Worldprices!$D$73*AN$4</f>
        <v>3.7211000000000007</v>
      </c>
      <c r="AO69">
        <f>Worldprices!$D$73*AO$4</f>
        <v>3.7211000000000007</v>
      </c>
      <c r="AP69">
        <f>Worldprices!$D$73*AP$4</f>
        <v>3.7211000000000007</v>
      </c>
      <c r="AQ69">
        <f t="shared" si="3"/>
        <v>3.7211000000000007</v>
      </c>
    </row>
    <row r="70" spans="1:43" ht="12.75">
      <c r="A70" t="s">
        <v>248</v>
      </c>
      <c r="B70" t="s">
        <v>351</v>
      </c>
      <c r="C70" t="s">
        <v>154</v>
      </c>
      <c r="D70">
        <v>2040</v>
      </c>
      <c r="E70" t="str">
        <f>Worldprices!$E$62</f>
        <v>IMPCOABRO*</v>
      </c>
      <c r="F70" t="str">
        <f>Worldprices!$E$63</f>
        <v>COABRO</v>
      </c>
      <c r="G70">
        <f>Worldprices!$E$73*G$4</f>
        <v>2.7835000000000005</v>
      </c>
      <c r="H70">
        <f>Worldprices!$E$73*H$4</f>
        <v>2.6025725000000008</v>
      </c>
      <c r="I70">
        <f t="shared" si="2"/>
        <v>2.7835000000000005</v>
      </c>
      <c r="J70">
        <f>Worldprices!$E$73*J$4</f>
        <v>2.7835000000000005</v>
      </c>
      <c r="K70">
        <f>Worldprices!$E$73*K$4</f>
        <v>2.7835000000000005</v>
      </c>
      <c r="L70">
        <f>Worldprices!$E$73*L$4</f>
        <v>2.7835000000000005</v>
      </c>
      <c r="M70">
        <f>Worldprices!$E$73*M$4</f>
        <v>2.7835000000000005</v>
      </c>
      <c r="N70">
        <f>Worldprices!$E$73*N$4</f>
        <v>2.7835000000000005</v>
      </c>
      <c r="O70">
        <f>Worldprices!$E$73*O$4</f>
        <v>2.3659750000000006</v>
      </c>
      <c r="P70">
        <f>Worldprices!$E$73*P$4</f>
        <v>2.6443250000000003</v>
      </c>
      <c r="Q70">
        <f>Worldprices!$E$73*Q$4</f>
        <v>2.7835000000000005</v>
      </c>
      <c r="R70">
        <f>Worldprices!$E$73*R$4</f>
        <v>2.3659750000000006</v>
      </c>
      <c r="S70">
        <f>Worldprices!$E$73*S$4</f>
        <v>2.7835000000000005</v>
      </c>
      <c r="T70">
        <f>Worldprices!$E$73*T$4</f>
        <v>2.7835000000000005</v>
      </c>
      <c r="U70">
        <f>Worldprices!$E$73*U$4</f>
        <v>2.7835000000000005</v>
      </c>
      <c r="V70">
        <f>Worldprices!$E$73*V$4</f>
        <v>2.7835000000000005</v>
      </c>
      <c r="W70">
        <f>Worldprices!$E$73*W$4</f>
        <v>2.7835000000000005</v>
      </c>
      <c r="X70">
        <f>Worldprices!$E$73*X$4</f>
        <v>2.7835000000000005</v>
      </c>
      <c r="Y70">
        <f>Worldprices!$E$73*Y$4</f>
        <v>2.7835000000000005</v>
      </c>
      <c r="Z70">
        <f>Worldprices!$E$73*Z$4</f>
        <v>2.7835000000000005</v>
      </c>
      <c r="AA70">
        <f>Worldprices!$E$73*AA$4</f>
        <v>2.7835000000000005</v>
      </c>
      <c r="AB70">
        <f>Worldprices!$E$73*AB$4</f>
        <v>2.7835000000000005</v>
      </c>
      <c r="AC70">
        <f>Worldprices!$E$73*AC$4</f>
        <v>2.7835000000000005</v>
      </c>
      <c r="AD70">
        <f>Worldprices!$E$73*AD$4</f>
        <v>2.7835000000000005</v>
      </c>
      <c r="AE70">
        <f>Worldprices!$E$73*AE$4</f>
        <v>2.7835000000000005</v>
      </c>
      <c r="AF70">
        <f>Worldprices!$E$73*AF$4</f>
        <v>2.7835000000000005</v>
      </c>
      <c r="AG70">
        <f>Worldprices!$E$73*AG$4</f>
        <v>2.7835000000000005</v>
      </c>
      <c r="AH70">
        <f>Worldprices!$E$73*AH$4</f>
        <v>2.7835000000000005</v>
      </c>
      <c r="AI70">
        <f>Worldprices!$E$73*AI$4</f>
        <v>2.7835000000000005</v>
      </c>
      <c r="AJ70">
        <f>Worldprices!$E$73*AJ$4</f>
        <v>2.7835000000000005</v>
      </c>
      <c r="AK70">
        <f>Worldprices!$E$73*AK$4</f>
        <v>2.7835000000000005</v>
      </c>
      <c r="AL70">
        <f>Worldprices!$E$73*AL$4</f>
        <v>2.7835000000000005</v>
      </c>
      <c r="AM70">
        <f>Worldprices!$E$73*AM$4</f>
        <v>2.7835000000000005</v>
      </c>
      <c r="AN70">
        <f>Worldprices!$E$73*AN$4</f>
        <v>2.7835000000000005</v>
      </c>
      <c r="AO70">
        <f>Worldprices!$E$73*AO$4</f>
        <v>2.7835000000000005</v>
      </c>
      <c r="AP70">
        <f>Worldprices!$E$73*AP$4</f>
        <v>2.7835000000000005</v>
      </c>
      <c r="AQ70">
        <f t="shared" si="3"/>
        <v>2.7835000000000005</v>
      </c>
    </row>
    <row r="71" spans="1:43" ht="12.75">
      <c r="A71" t="s">
        <v>248</v>
      </c>
      <c r="B71" t="s">
        <v>351</v>
      </c>
      <c r="C71" t="s">
        <v>154</v>
      </c>
      <c r="D71">
        <v>2040</v>
      </c>
      <c r="E71" t="str">
        <f>Worldprices!$F$62</f>
        <v>IMPCOALIG*</v>
      </c>
      <c r="F71" t="str">
        <f>Worldprices!$F$63</f>
        <v>COALIG</v>
      </c>
      <c r="G71">
        <f>Worldprices!$F$73*G$4</f>
        <v>2.7835000000000005</v>
      </c>
      <c r="H71">
        <f>Worldprices!$F$73*H$4</f>
        <v>2.6025725000000008</v>
      </c>
      <c r="I71">
        <f t="shared" si="2"/>
        <v>2.7835000000000005</v>
      </c>
      <c r="J71">
        <f>Worldprices!$F$73*J$4</f>
        <v>2.7835000000000005</v>
      </c>
      <c r="K71">
        <f>Worldprices!$F$73*K$4</f>
        <v>2.7835000000000005</v>
      </c>
      <c r="L71">
        <f>Worldprices!$F$73*L$4</f>
        <v>2.7835000000000005</v>
      </c>
      <c r="M71">
        <f>Worldprices!$F$73*M$4</f>
        <v>2.7835000000000005</v>
      </c>
      <c r="N71">
        <f>Worldprices!$F$73*N$4</f>
        <v>2.7835000000000005</v>
      </c>
      <c r="O71">
        <f>Worldprices!$F$73*O$4</f>
        <v>2.3659750000000006</v>
      </c>
      <c r="P71">
        <f>Worldprices!$F$73*P$4</f>
        <v>2.6443250000000003</v>
      </c>
      <c r="Q71">
        <f>Worldprices!$F$73*Q$4</f>
        <v>2.7835000000000005</v>
      </c>
      <c r="R71">
        <f>Worldprices!$F$73*R$4</f>
        <v>2.3659750000000006</v>
      </c>
      <c r="S71">
        <f>Worldprices!$F$73*S$4</f>
        <v>2.7835000000000005</v>
      </c>
      <c r="T71">
        <f>Worldprices!$F$73*T$4</f>
        <v>2.7835000000000005</v>
      </c>
      <c r="U71">
        <f>Worldprices!$F$73*U$4</f>
        <v>2.7835000000000005</v>
      </c>
      <c r="V71">
        <f>Worldprices!$F$73*V$4</f>
        <v>2.7835000000000005</v>
      </c>
      <c r="W71">
        <f>Worldprices!$F$73*W$4</f>
        <v>2.7835000000000005</v>
      </c>
      <c r="X71">
        <f>Worldprices!$F$73*X$4</f>
        <v>2.7835000000000005</v>
      </c>
      <c r="Y71">
        <f>Worldprices!$F$73*Y$4</f>
        <v>2.7835000000000005</v>
      </c>
      <c r="Z71">
        <f>Worldprices!$F$73*Z$4</f>
        <v>2.7835000000000005</v>
      </c>
      <c r="AA71">
        <f>Worldprices!$F$73*AA$4</f>
        <v>2.7835000000000005</v>
      </c>
      <c r="AB71">
        <f>Worldprices!$F$73*AB$4</f>
        <v>2.7835000000000005</v>
      </c>
      <c r="AC71">
        <f>Worldprices!$F$73*AC$4</f>
        <v>2.7835000000000005</v>
      </c>
      <c r="AD71">
        <f>Worldprices!$F$73*AD$4</f>
        <v>2.7835000000000005</v>
      </c>
      <c r="AE71">
        <f>Worldprices!$F$73*AE$4</f>
        <v>2.7835000000000005</v>
      </c>
      <c r="AF71">
        <f>Worldprices!$F$73*AF$4</f>
        <v>2.7835000000000005</v>
      </c>
      <c r="AG71">
        <f>Worldprices!$F$73*AG$4</f>
        <v>2.7835000000000005</v>
      </c>
      <c r="AH71">
        <f>Worldprices!$F$73*AH$4</f>
        <v>2.7835000000000005</v>
      </c>
      <c r="AI71">
        <f>Worldprices!$F$73*AI$4</f>
        <v>2.7835000000000005</v>
      </c>
      <c r="AJ71">
        <f>Worldprices!$F$73*AJ$4</f>
        <v>2.7835000000000005</v>
      </c>
      <c r="AK71">
        <f>Worldprices!$F$73*AK$4</f>
        <v>2.7835000000000005</v>
      </c>
      <c r="AL71">
        <f>Worldprices!$F$73*AL$4</f>
        <v>2.7835000000000005</v>
      </c>
      <c r="AM71">
        <f>Worldprices!$F$73*AM$4</f>
        <v>2.7835000000000005</v>
      </c>
      <c r="AN71">
        <f>Worldprices!$F$73*AN$4</f>
        <v>2.7835000000000005</v>
      </c>
      <c r="AO71">
        <f>Worldprices!$F$73*AO$4</f>
        <v>2.7835000000000005</v>
      </c>
      <c r="AP71">
        <f>Worldprices!$F$73*AP$4</f>
        <v>2.7835000000000005</v>
      </c>
      <c r="AQ71">
        <f t="shared" si="3"/>
        <v>2.7835000000000005</v>
      </c>
    </row>
    <row r="72" spans="1:43" ht="12.75">
      <c r="A72" t="s">
        <v>248</v>
      </c>
      <c r="B72" t="s">
        <v>351</v>
      </c>
      <c r="C72" t="s">
        <v>154</v>
      </c>
      <c r="D72">
        <v>2040</v>
      </c>
      <c r="E72" t="str">
        <f>Worldprices!$M$62</f>
        <v>IMPOILOTH</v>
      </c>
      <c r="F72" t="str">
        <f>Worldprices!$M$63</f>
        <v>OILOTH</v>
      </c>
      <c r="G72">
        <f>Worldprices!$M$73*G$6</f>
        <v>14.449999999999998</v>
      </c>
      <c r="H72">
        <f>Worldprices!$M$73*H$6</f>
        <v>14.449999999999998</v>
      </c>
      <c r="I72">
        <f t="shared" si="2"/>
        <v>14.449999999999998</v>
      </c>
      <c r="J72">
        <f>Worldprices!$M$73*J$6</f>
        <v>14.449999999999998</v>
      </c>
      <c r="K72">
        <f>Worldprices!$M$73*K$6</f>
        <v>14.449999999999998</v>
      </c>
      <c r="L72">
        <f>Worldprices!$M$73*L$6</f>
        <v>14.449999999999998</v>
      </c>
      <c r="M72">
        <f>Worldprices!$M$73*M$6</f>
        <v>14.449999999999998</v>
      </c>
      <c r="N72">
        <f>Worldprices!$M$73*N$6</f>
        <v>14.449999999999998</v>
      </c>
      <c r="O72">
        <f>Worldprices!$M$73*O$6</f>
        <v>14.449999999999998</v>
      </c>
      <c r="P72">
        <f>Worldprices!$M$73*P$6</f>
        <v>14.449999999999998</v>
      </c>
      <c r="Q72">
        <f>Worldprices!$M$73*Q$6</f>
        <v>14.449999999999998</v>
      </c>
      <c r="R72">
        <f>Worldprices!$M$73*R$6</f>
        <v>14.449999999999998</v>
      </c>
      <c r="S72">
        <f>Worldprices!$M$73*S$6</f>
        <v>14.449999999999998</v>
      </c>
      <c r="T72">
        <f>Worldprices!$M$73*T$6</f>
        <v>14.449999999999998</v>
      </c>
      <c r="U72">
        <f>Worldprices!$M$73*U$6</f>
        <v>13.727499999999997</v>
      </c>
      <c r="V72">
        <f>Worldprices!$M$73*V$6</f>
        <v>14.449999999999998</v>
      </c>
      <c r="W72">
        <f>Worldprices!$M$73*W$6</f>
        <v>14.449999999999998</v>
      </c>
      <c r="X72">
        <f>Worldprices!$M$73*X$6</f>
        <v>14.449999999999998</v>
      </c>
      <c r="Y72">
        <f>Worldprices!$M$73*Y$6</f>
        <v>14.449999999999998</v>
      </c>
      <c r="Z72">
        <f>Worldprices!$M$73*Z$6</f>
        <v>14.449999999999998</v>
      </c>
      <c r="AA72">
        <f>Worldprices!$M$73*AA$6</f>
        <v>14.449999999999998</v>
      </c>
      <c r="AB72">
        <f>Worldprices!$M$73*AB$6</f>
        <v>14.449999999999998</v>
      </c>
      <c r="AC72">
        <f>Worldprices!$M$73*AC$6</f>
        <v>14.449999999999998</v>
      </c>
      <c r="AD72">
        <f>Worldprices!$M$73*AD$6</f>
        <v>14.449999999999998</v>
      </c>
      <c r="AE72">
        <f>Worldprices!$M$73*AE$6</f>
        <v>14.449999999999998</v>
      </c>
      <c r="AF72">
        <f>Worldprices!$M$73*AF$6</f>
        <v>14.449999999999998</v>
      </c>
      <c r="AG72">
        <f>Worldprices!$M$73*AG$6</f>
        <v>14.449999999999998</v>
      </c>
      <c r="AH72">
        <f>Worldprices!$M$73*AH$6</f>
        <v>14.449999999999998</v>
      </c>
      <c r="AI72">
        <f>Worldprices!$M$73*AI$6</f>
        <v>14.449999999999998</v>
      </c>
      <c r="AJ72">
        <f>Worldprices!$M$73*AJ$6</f>
        <v>14.449999999999998</v>
      </c>
      <c r="AK72">
        <f>Worldprices!$M$73*AK$6</f>
        <v>14.449999999999998</v>
      </c>
      <c r="AL72">
        <f>Worldprices!$M$73*AL$6</f>
        <v>14.449999999999998</v>
      </c>
      <c r="AM72">
        <f>Worldprices!$M$73*AM$6</f>
        <v>14.449999999999998</v>
      </c>
      <c r="AN72">
        <f>Worldprices!$M$73*AN$6</f>
        <v>14.449999999999998</v>
      </c>
      <c r="AO72">
        <f>Worldprices!$M$73*AO$6</f>
        <v>14.449999999999998</v>
      </c>
      <c r="AP72">
        <f>Worldprices!$M$73*AP$6</f>
        <v>14.449999999999998</v>
      </c>
      <c r="AQ72">
        <f t="shared" si="3"/>
        <v>14.449999999999998</v>
      </c>
    </row>
    <row r="73" spans="1:43" ht="12.75">
      <c r="A73" t="s">
        <v>248</v>
      </c>
      <c r="B73" t="s">
        <v>351</v>
      </c>
      <c r="C73" t="s">
        <v>154</v>
      </c>
      <c r="D73">
        <v>2040</v>
      </c>
      <c r="E73" t="str">
        <f>Worldprices!$N$62</f>
        <v>IMPOILNAP</v>
      </c>
      <c r="F73" t="str">
        <f>Worldprices!$N$63</f>
        <v>OILNAP</v>
      </c>
      <c r="G73">
        <f>Worldprices!$N$73*G$6</f>
        <v>14.449999999999998</v>
      </c>
      <c r="H73">
        <f>Worldprices!$N$73*H$6</f>
        <v>14.449999999999998</v>
      </c>
      <c r="I73">
        <f t="shared" si="2"/>
        <v>14.449999999999998</v>
      </c>
      <c r="J73">
        <f>Worldprices!$N$73*J$6</f>
        <v>14.449999999999998</v>
      </c>
      <c r="K73">
        <f>Worldprices!$N$73*K$6</f>
        <v>14.449999999999998</v>
      </c>
      <c r="L73">
        <f>Worldprices!$N$73*L$6</f>
        <v>14.449999999999998</v>
      </c>
      <c r="M73">
        <f>Worldprices!$N$73*M$6</f>
        <v>14.449999999999998</v>
      </c>
      <c r="N73">
        <f>Worldprices!$N$73*N$6</f>
        <v>14.449999999999998</v>
      </c>
      <c r="O73">
        <f>Worldprices!$N$73*O$6</f>
        <v>14.449999999999998</v>
      </c>
      <c r="P73">
        <f>Worldprices!$N$73*P$6</f>
        <v>14.449999999999998</v>
      </c>
      <c r="Q73">
        <f>Worldprices!$N$73*Q$6</f>
        <v>14.449999999999998</v>
      </c>
      <c r="R73">
        <f>Worldprices!$N$73*R$6</f>
        <v>14.449999999999998</v>
      </c>
      <c r="S73">
        <f>Worldprices!$N$73*S$6</f>
        <v>14.449999999999998</v>
      </c>
      <c r="T73">
        <f>Worldprices!$N$73*T$6</f>
        <v>14.449999999999998</v>
      </c>
      <c r="U73">
        <f>Worldprices!$N$73*U$6</f>
        <v>13.727499999999997</v>
      </c>
      <c r="V73">
        <f>Worldprices!$N$73*V$6</f>
        <v>14.449999999999998</v>
      </c>
      <c r="W73">
        <f>Worldprices!$N$73*W$6</f>
        <v>14.449999999999998</v>
      </c>
      <c r="X73">
        <f>Worldprices!$N$73*X$6</f>
        <v>14.449999999999998</v>
      </c>
      <c r="Y73">
        <f>Worldprices!$N$73*Y$6</f>
        <v>14.449999999999998</v>
      </c>
      <c r="Z73">
        <f>Worldprices!$N$73*Z$6</f>
        <v>14.449999999999998</v>
      </c>
      <c r="AA73">
        <f>Worldprices!$N$73*AA$6</f>
        <v>14.449999999999998</v>
      </c>
      <c r="AB73">
        <f>Worldprices!$N$73*AB$6</f>
        <v>14.449999999999998</v>
      </c>
      <c r="AC73">
        <f>Worldprices!$N$73*AC$6</f>
        <v>14.449999999999998</v>
      </c>
      <c r="AD73">
        <f>Worldprices!$N$73*AD$6</f>
        <v>14.449999999999998</v>
      </c>
      <c r="AE73">
        <f>Worldprices!$N$73*AE$6</f>
        <v>14.449999999999998</v>
      </c>
      <c r="AF73">
        <f>Worldprices!$N$73*AF$6</f>
        <v>14.449999999999998</v>
      </c>
      <c r="AG73">
        <f>Worldprices!$N$73*AG$6</f>
        <v>14.449999999999998</v>
      </c>
      <c r="AH73">
        <f>Worldprices!$N$73*AH$6</f>
        <v>14.449999999999998</v>
      </c>
      <c r="AI73">
        <f>Worldprices!$N$73*AI$6</f>
        <v>14.449999999999998</v>
      </c>
      <c r="AJ73">
        <f>Worldprices!$N$73*AJ$6</f>
        <v>14.449999999999998</v>
      </c>
      <c r="AK73">
        <f>Worldprices!$N$73*AK$6</f>
        <v>14.449999999999998</v>
      </c>
      <c r="AL73">
        <f>Worldprices!$N$73*AL$6</f>
        <v>14.449999999999998</v>
      </c>
      <c r="AM73">
        <f>Worldprices!$N$73*AM$6</f>
        <v>14.449999999999998</v>
      </c>
      <c r="AN73">
        <f>Worldprices!$N$73*AN$6</f>
        <v>14.449999999999998</v>
      </c>
      <c r="AO73">
        <f>Worldprices!$N$73*AO$6</f>
        <v>14.449999999999998</v>
      </c>
      <c r="AP73">
        <f>Worldprices!$N$73*AP$6</f>
        <v>14.449999999999998</v>
      </c>
      <c r="AQ73">
        <f t="shared" si="3"/>
        <v>14.449999999999998</v>
      </c>
    </row>
    <row r="74" spans="1:43" ht="12.75">
      <c r="A74" t="s">
        <v>248</v>
      </c>
      <c r="B74" t="s">
        <v>351</v>
      </c>
      <c r="C74" t="s">
        <v>154</v>
      </c>
      <c r="D74">
        <v>2040</v>
      </c>
      <c r="E74" t="str">
        <f>Worldprices!$O$62</f>
        <v>IMPOILFDS</v>
      </c>
      <c r="F74" t="str">
        <f>Worldprices!$O$63</f>
        <v>OILFDS</v>
      </c>
      <c r="G74">
        <f>Worldprices!$O$73*G$6</f>
        <v>14.449999999999998</v>
      </c>
      <c r="H74">
        <f>Worldprices!$O$73*H$6</f>
        <v>14.449999999999998</v>
      </c>
      <c r="I74">
        <f t="shared" si="2"/>
        <v>14.449999999999998</v>
      </c>
      <c r="J74">
        <f>Worldprices!$O$73*J$6</f>
        <v>14.449999999999998</v>
      </c>
      <c r="K74">
        <f>Worldprices!$O$73*K$6</f>
        <v>14.449999999999998</v>
      </c>
      <c r="L74">
        <f>Worldprices!$O$73*L$6</f>
        <v>14.449999999999998</v>
      </c>
      <c r="M74">
        <f>Worldprices!$O$73*M$6</f>
        <v>14.449999999999998</v>
      </c>
      <c r="N74">
        <f>Worldprices!$O$73*N$6</f>
        <v>14.449999999999998</v>
      </c>
      <c r="O74">
        <f>Worldprices!$O$73*O$6</f>
        <v>14.449999999999998</v>
      </c>
      <c r="P74">
        <f>Worldprices!$O$73*P$6</f>
        <v>14.449999999999998</v>
      </c>
      <c r="Q74">
        <f>Worldprices!$O$73*Q$6</f>
        <v>14.449999999999998</v>
      </c>
      <c r="R74">
        <f>Worldprices!$O$73*R$6</f>
        <v>14.449999999999998</v>
      </c>
      <c r="S74">
        <f>Worldprices!$O$73*S$6</f>
        <v>14.449999999999998</v>
      </c>
      <c r="T74">
        <f>Worldprices!$O$73*T$6</f>
        <v>14.449999999999998</v>
      </c>
      <c r="U74">
        <f>Worldprices!$O$73*U$6</f>
        <v>13.727499999999997</v>
      </c>
      <c r="V74">
        <f>Worldprices!$O$73*V$6</f>
        <v>14.449999999999998</v>
      </c>
      <c r="W74">
        <f>Worldprices!$O$73*W$6</f>
        <v>14.449999999999998</v>
      </c>
      <c r="X74">
        <f>Worldprices!$O$73*X$6</f>
        <v>14.449999999999998</v>
      </c>
      <c r="Y74">
        <f>Worldprices!$O$73*Y$6</f>
        <v>14.449999999999998</v>
      </c>
      <c r="Z74">
        <f>Worldprices!$O$73*Z$6</f>
        <v>14.449999999999998</v>
      </c>
      <c r="AA74">
        <f>Worldprices!$O$73*AA$6</f>
        <v>14.449999999999998</v>
      </c>
      <c r="AB74">
        <f>Worldprices!$O$73*AB$6</f>
        <v>14.449999999999998</v>
      </c>
      <c r="AC74">
        <f>Worldprices!$O$73*AC$6</f>
        <v>14.449999999999998</v>
      </c>
      <c r="AD74">
        <f>Worldprices!$O$73*AD$6</f>
        <v>14.449999999999998</v>
      </c>
      <c r="AE74">
        <f>Worldprices!$O$73*AE$6</f>
        <v>14.449999999999998</v>
      </c>
      <c r="AF74">
        <f>Worldprices!$O$73*AF$6</f>
        <v>14.449999999999998</v>
      </c>
      <c r="AG74">
        <f>Worldprices!$O$73*AG$6</f>
        <v>14.449999999999998</v>
      </c>
      <c r="AH74">
        <f>Worldprices!$O$73*AH$6</f>
        <v>14.449999999999998</v>
      </c>
      <c r="AI74">
        <f>Worldprices!$O$73*AI$6</f>
        <v>14.449999999999998</v>
      </c>
      <c r="AJ74">
        <f>Worldprices!$O$73*AJ$6</f>
        <v>14.449999999999998</v>
      </c>
      <c r="AK74">
        <f>Worldprices!$O$73*AK$6</f>
        <v>14.449999999999998</v>
      </c>
      <c r="AL74">
        <f>Worldprices!$O$73*AL$6</f>
        <v>14.449999999999998</v>
      </c>
      <c r="AM74">
        <f>Worldprices!$O$73*AM$6</f>
        <v>14.449999999999998</v>
      </c>
      <c r="AN74">
        <f>Worldprices!$O$73*AN$6</f>
        <v>14.449999999999998</v>
      </c>
      <c r="AO74">
        <f>Worldprices!$O$73*AO$6</f>
        <v>14.449999999999998</v>
      </c>
      <c r="AP74">
        <f>Worldprices!$O$73*AP$6</f>
        <v>14.449999999999998</v>
      </c>
      <c r="AQ74">
        <f t="shared" si="3"/>
        <v>14.449999999999998</v>
      </c>
    </row>
    <row r="75" spans="1:43" ht="12.75">
      <c r="A75" t="s">
        <v>248</v>
      </c>
      <c r="B75" t="s">
        <v>351</v>
      </c>
      <c r="C75" t="s">
        <v>154</v>
      </c>
      <c r="D75">
        <v>2040</v>
      </c>
      <c r="E75" t="str">
        <f>Worldprices!$P$62</f>
        <v>IMPOILNEU</v>
      </c>
      <c r="F75" t="str">
        <f>Worldprices!$P$63</f>
        <v>OILNEU</v>
      </c>
      <c r="G75">
        <f>Worldprices!$P$73*G$6</f>
        <v>14.449999999999998</v>
      </c>
      <c r="H75">
        <f>Worldprices!$P$73*H$6</f>
        <v>14.449999999999998</v>
      </c>
      <c r="I75">
        <f t="shared" si="2"/>
        <v>14.449999999999998</v>
      </c>
      <c r="J75">
        <f>Worldprices!$P$73*J$6</f>
        <v>14.449999999999998</v>
      </c>
      <c r="K75">
        <f>Worldprices!$P$73*K$6</f>
        <v>14.449999999999998</v>
      </c>
      <c r="L75">
        <f>Worldprices!$P$73*L$6</f>
        <v>14.449999999999998</v>
      </c>
      <c r="M75">
        <f>Worldprices!$P$73*M$6</f>
        <v>14.449999999999998</v>
      </c>
      <c r="N75">
        <f>Worldprices!$P$73*N$6</f>
        <v>14.449999999999998</v>
      </c>
      <c r="O75">
        <f>Worldprices!$P$73*O$6</f>
        <v>14.449999999999998</v>
      </c>
      <c r="P75">
        <f>Worldprices!$P$73*P$6</f>
        <v>14.449999999999998</v>
      </c>
      <c r="Q75">
        <f>Worldprices!$P$73*Q$6</f>
        <v>14.449999999999998</v>
      </c>
      <c r="R75">
        <f>Worldprices!$P$73*R$6</f>
        <v>14.449999999999998</v>
      </c>
      <c r="S75">
        <f>Worldprices!$P$73*S$6</f>
        <v>14.449999999999998</v>
      </c>
      <c r="T75">
        <f>Worldprices!$P$73*T$6</f>
        <v>14.449999999999998</v>
      </c>
      <c r="U75">
        <f>Worldprices!$P$73*U$6</f>
        <v>13.727499999999997</v>
      </c>
      <c r="V75">
        <f>Worldprices!$P$73*V$6</f>
        <v>14.449999999999998</v>
      </c>
      <c r="W75">
        <f>Worldprices!$P$73*W$6</f>
        <v>14.449999999999998</v>
      </c>
      <c r="X75">
        <f>Worldprices!$P$73*X$6</f>
        <v>14.449999999999998</v>
      </c>
      <c r="Y75">
        <f>Worldprices!$P$73*Y$6</f>
        <v>14.449999999999998</v>
      </c>
      <c r="Z75">
        <f>Worldprices!$P$73*Z$6</f>
        <v>14.449999999999998</v>
      </c>
      <c r="AA75">
        <f>Worldprices!$P$73*AA$6</f>
        <v>14.449999999999998</v>
      </c>
      <c r="AB75">
        <f>Worldprices!$P$73*AB$6</f>
        <v>14.449999999999998</v>
      </c>
      <c r="AC75">
        <f>Worldprices!$P$73*AC$6</f>
        <v>14.449999999999998</v>
      </c>
      <c r="AD75">
        <f>Worldprices!$P$73*AD$6</f>
        <v>14.449999999999998</v>
      </c>
      <c r="AE75">
        <f>Worldprices!$P$73*AE$6</f>
        <v>14.449999999999998</v>
      </c>
      <c r="AF75">
        <f>Worldprices!$P$73*AF$6</f>
        <v>14.449999999999998</v>
      </c>
      <c r="AG75">
        <f>Worldprices!$P$73*AG$6</f>
        <v>14.449999999999998</v>
      </c>
      <c r="AH75">
        <f>Worldprices!$P$73*AH$6</f>
        <v>14.449999999999998</v>
      </c>
      <c r="AI75">
        <f>Worldprices!$P$73*AI$6</f>
        <v>14.449999999999998</v>
      </c>
      <c r="AJ75">
        <f>Worldprices!$P$73*AJ$6</f>
        <v>14.449999999999998</v>
      </c>
      <c r="AK75">
        <f>Worldprices!$P$73*AK$6</f>
        <v>14.449999999999998</v>
      </c>
      <c r="AL75">
        <f>Worldprices!$P$73*AL$6</f>
        <v>14.449999999999998</v>
      </c>
      <c r="AM75">
        <f>Worldprices!$P$73*AM$6</f>
        <v>14.449999999999998</v>
      </c>
      <c r="AN75">
        <f>Worldprices!$P$73*AN$6</f>
        <v>14.449999999999998</v>
      </c>
      <c r="AO75">
        <f>Worldprices!$P$73*AO$6</f>
        <v>14.449999999999998</v>
      </c>
      <c r="AP75">
        <f>Worldprices!$P$73*AP$6</f>
        <v>14.449999999999998</v>
      </c>
      <c r="AQ75">
        <f t="shared" si="3"/>
        <v>14.449999999999998</v>
      </c>
    </row>
    <row r="76" spans="1:43" ht="12.75">
      <c r="A76" t="s">
        <v>248</v>
      </c>
      <c r="B76" t="s">
        <v>351</v>
      </c>
      <c r="C76" t="s">
        <v>305</v>
      </c>
      <c r="D76">
        <v>2040</v>
      </c>
      <c r="E76" t="str">
        <f>Worldprices!$R$62</f>
        <v>IMPBIOWOO</v>
      </c>
      <c r="F76" t="str">
        <f>Worldprices!$R$63</f>
        <v>BIOWOO</v>
      </c>
      <c r="G76">
        <f>Worldprices!$R$73*G$8</f>
        <v>6.1882019601541538</v>
      </c>
      <c r="H76">
        <f>Worldprices!$R$73*H$8</f>
        <v>6.1882019601541538</v>
      </c>
      <c r="I76">
        <f t="shared" si="2"/>
        <v>6.1882019601541538</v>
      </c>
      <c r="J76">
        <f>Worldprices!$R$73*J$8</f>
        <v>6.1882019601541538</v>
      </c>
      <c r="K76">
        <f>Worldprices!$R$73*K$8</f>
        <v>6.1882019601541538</v>
      </c>
      <c r="L76">
        <f>Worldprices!$R$73*L$8</f>
        <v>6.1882019601541538</v>
      </c>
      <c r="M76">
        <f>Worldprices!$R$73*M$8</f>
        <v>6.1882019601541538</v>
      </c>
      <c r="N76">
        <f>Worldprices!$R$73*N$8</f>
        <v>6.1882019601541538</v>
      </c>
      <c r="O76">
        <f>Worldprices!$R$73*O$8</f>
        <v>6.1882019601541538</v>
      </c>
      <c r="P76">
        <f>Worldprices!$R$73*P$8</f>
        <v>6.1882019601541538</v>
      </c>
      <c r="Q76">
        <f>Worldprices!$R$73*Q$8</f>
        <v>6.1882019601541538</v>
      </c>
      <c r="R76">
        <f>Worldprices!$R$73*R$8</f>
        <v>6.1882019601541538</v>
      </c>
      <c r="S76">
        <f>Worldprices!$R$73*S$8</f>
        <v>6.1882019601541538</v>
      </c>
      <c r="T76">
        <f>Worldprices!$R$73*T$8</f>
        <v>6.1882019601541538</v>
      </c>
      <c r="U76">
        <f>Worldprices!$R$73*U$8</f>
        <v>6.1882019601541538</v>
      </c>
      <c r="V76">
        <f>Worldprices!$R$73*V$8</f>
        <v>6.1882019601541538</v>
      </c>
      <c r="W76">
        <f>Worldprices!$R$73*W$8</f>
        <v>6.1882019601541538</v>
      </c>
      <c r="X76">
        <f>Worldprices!$R$73*X$8</f>
        <v>6.1882019601541538</v>
      </c>
      <c r="Y76">
        <f>Worldprices!$R$73*Y$8</f>
        <v>6.1882019601541538</v>
      </c>
      <c r="Z76">
        <f>Worldprices!$R$73*Z$8</f>
        <v>6.1882019601541538</v>
      </c>
      <c r="AA76">
        <f>Worldprices!$R$73*AA$8</f>
        <v>6.1882019601541538</v>
      </c>
      <c r="AB76">
        <f>Worldprices!$R$73*AB$8</f>
        <v>6.1882019601541538</v>
      </c>
      <c r="AC76">
        <f>Worldprices!$R$73*AC$8</f>
        <v>6.1882019601541538</v>
      </c>
      <c r="AD76">
        <f>Worldprices!$R$73*AD$8</f>
        <v>6.1882019601541538</v>
      </c>
      <c r="AE76">
        <f>Worldprices!$R$73*AE$8</f>
        <v>6.1882019601541538</v>
      </c>
      <c r="AF76">
        <f>Worldprices!$R$73*AF$8</f>
        <v>6.1882019601541538</v>
      </c>
      <c r="AG76">
        <f>Worldprices!$R$73*AG$8</f>
        <v>6.1882019601541538</v>
      </c>
      <c r="AH76">
        <f>Worldprices!$R$73*AH$8</f>
        <v>6.1882019601541538</v>
      </c>
      <c r="AI76">
        <f>Worldprices!$R$73*AI$8</f>
        <v>6.1882019601541538</v>
      </c>
      <c r="AJ76">
        <f>Worldprices!$R$73*AJ$8</f>
        <v>6.1882019601541538</v>
      </c>
      <c r="AK76">
        <f>Worldprices!$R$73*AK$8</f>
        <v>6.1882019601541538</v>
      </c>
      <c r="AL76">
        <f>Worldprices!$R$73*AL$8</f>
        <v>6.1882019601541538</v>
      </c>
      <c r="AM76">
        <f>Worldprices!$R$73*AM$8</f>
        <v>6.1882019601541538</v>
      </c>
      <c r="AN76">
        <f>Worldprices!$R$73*AN$8</f>
        <v>6.1882019601541538</v>
      </c>
      <c r="AO76">
        <f>Worldprices!$R$73*AO$8</f>
        <v>6.1882019601541538</v>
      </c>
      <c r="AP76">
        <f>Worldprices!$R$73*AP$8</f>
        <v>6.1882019601541538</v>
      </c>
      <c r="AQ76">
        <f t="shared" si="3"/>
        <v>6.1882019601541538</v>
      </c>
    </row>
    <row r="77" spans="1:43" ht="12.75">
      <c r="A77" t="s">
        <v>248</v>
      </c>
      <c r="B77" t="s">
        <v>351</v>
      </c>
      <c r="C77" t="s">
        <v>154</v>
      </c>
      <c r="D77">
        <v>2045</v>
      </c>
      <c r="E77" t="str">
        <f>Worldprices!$C$62</f>
        <v>IMPCOAHAR*</v>
      </c>
      <c r="F77" t="str">
        <f>Worldprices!$C$63</f>
        <v>COAHAR</v>
      </c>
      <c r="G77">
        <f>Worldprices!$C$74*G$4</f>
        <v>3.1050000000000004</v>
      </c>
      <c r="H77">
        <f>Worldprices!$C$74*H$4</f>
        <v>2.9031750000000005</v>
      </c>
      <c r="I77">
        <f t="shared" si="2"/>
        <v>3.1050000000000004</v>
      </c>
      <c r="J77">
        <f>Worldprices!$C$74*J$4</f>
        <v>3.1050000000000004</v>
      </c>
      <c r="K77">
        <f>Worldprices!$C$74*K$4</f>
        <v>3.1050000000000004</v>
      </c>
      <c r="L77">
        <f>Worldprices!$C$74*L$4</f>
        <v>3.1050000000000004</v>
      </c>
      <c r="M77">
        <f>Worldprices!$C$74*M$4</f>
        <v>3.1050000000000004</v>
      </c>
      <c r="N77">
        <f>Worldprices!$C$74*N$4</f>
        <v>3.1050000000000004</v>
      </c>
      <c r="O77">
        <f>Worldprices!$C$74*O$4</f>
        <v>2.6392500000000001</v>
      </c>
      <c r="P77">
        <f>Worldprices!$C$74*P$4</f>
        <v>2.9497500000000003</v>
      </c>
      <c r="Q77">
        <f>Worldprices!$C$74*Q$4</f>
        <v>3.1050000000000004</v>
      </c>
      <c r="R77">
        <f>Worldprices!$C$74*R$4</f>
        <v>2.6392500000000001</v>
      </c>
      <c r="S77">
        <f>Worldprices!$C$74*S$4</f>
        <v>3.1050000000000004</v>
      </c>
      <c r="T77">
        <f>Worldprices!$C$74*T$4</f>
        <v>3.1050000000000004</v>
      </c>
      <c r="U77">
        <f>Worldprices!$C$74*U$4</f>
        <v>3.1050000000000004</v>
      </c>
      <c r="V77">
        <f>Worldprices!$C$74*V$4</f>
        <v>3.1050000000000004</v>
      </c>
      <c r="W77">
        <f>Worldprices!$C$74*W$4</f>
        <v>3.1050000000000004</v>
      </c>
      <c r="X77">
        <f>Worldprices!$C$74*X$4</f>
        <v>3.1050000000000004</v>
      </c>
      <c r="Y77">
        <f>Worldprices!$C$74*Y$4</f>
        <v>3.1050000000000004</v>
      </c>
      <c r="Z77">
        <f>Worldprices!$C$74*Z$4</f>
        <v>3.1050000000000004</v>
      </c>
      <c r="AA77">
        <f>Worldprices!$C$74*AA$4</f>
        <v>3.1050000000000004</v>
      </c>
      <c r="AB77">
        <f>Worldprices!$C$74*AB$4</f>
        <v>3.1050000000000004</v>
      </c>
      <c r="AC77">
        <f>Worldprices!$C$74*AC$4</f>
        <v>3.1050000000000004</v>
      </c>
      <c r="AD77">
        <f>Worldprices!$C$74*AD$4</f>
        <v>3.1050000000000004</v>
      </c>
      <c r="AE77">
        <f>Worldprices!$C$74*AE$4</f>
        <v>3.1050000000000004</v>
      </c>
      <c r="AF77">
        <f>Worldprices!$C$74*AF$4</f>
        <v>3.1050000000000004</v>
      </c>
      <c r="AG77">
        <f>Worldprices!$C$74*AG$4</f>
        <v>3.1050000000000004</v>
      </c>
      <c r="AH77">
        <f>Worldprices!$C$74*AH$4</f>
        <v>3.1050000000000004</v>
      </c>
      <c r="AI77">
        <f>Worldprices!$C$74*AI$4</f>
        <v>3.1050000000000004</v>
      </c>
      <c r="AJ77">
        <f>Worldprices!$C$74*AJ$4</f>
        <v>3.1050000000000004</v>
      </c>
      <c r="AK77">
        <f>Worldprices!$C$74*AK$4</f>
        <v>3.1050000000000004</v>
      </c>
      <c r="AL77">
        <f>Worldprices!$C$74*AL$4</f>
        <v>3.1050000000000004</v>
      </c>
      <c r="AM77">
        <f>Worldprices!$C$74*AM$4</f>
        <v>3.1050000000000004</v>
      </c>
      <c r="AN77">
        <f>Worldprices!$C$74*AN$4</f>
        <v>3.1050000000000004</v>
      </c>
      <c r="AO77">
        <f>Worldprices!$C$74*AO$4</f>
        <v>3.1050000000000004</v>
      </c>
      <c r="AP77">
        <f>Worldprices!$C$74*AP$4</f>
        <v>3.1050000000000004</v>
      </c>
      <c r="AQ77">
        <f t="shared" si="3"/>
        <v>3.1050000000000004</v>
      </c>
    </row>
    <row r="78" spans="1:43" ht="12.75">
      <c r="A78" t="s">
        <v>248</v>
      </c>
      <c r="B78" t="s">
        <v>351</v>
      </c>
      <c r="C78" t="s">
        <v>154</v>
      </c>
      <c r="D78">
        <v>2045</v>
      </c>
      <c r="E78" t="str">
        <f>Worldprices!$D$62</f>
        <v>IMPCOACOK*</v>
      </c>
      <c r="F78" t="str">
        <f>Worldprices!$D$63</f>
        <v>COACOK</v>
      </c>
      <c r="G78">
        <f>Worldprices!$D$74*G$4</f>
        <v>3.9433500000000006</v>
      </c>
      <c r="H78">
        <f>Worldprices!$D$74*H$4</f>
        <v>3.6870322500000006</v>
      </c>
      <c r="I78">
        <f t="shared" si="2"/>
        <v>3.9433500000000006</v>
      </c>
      <c r="J78">
        <f>Worldprices!$D$74*J$4</f>
        <v>3.9433500000000006</v>
      </c>
      <c r="K78">
        <f>Worldprices!$D$74*K$4</f>
        <v>3.9433500000000006</v>
      </c>
      <c r="L78">
        <f>Worldprices!$D$74*L$4</f>
        <v>3.9433500000000006</v>
      </c>
      <c r="M78">
        <f>Worldprices!$D$74*M$4</f>
        <v>3.9433500000000006</v>
      </c>
      <c r="N78">
        <f>Worldprices!$D$74*N$4</f>
        <v>3.9433500000000006</v>
      </c>
      <c r="O78">
        <f>Worldprices!$D$74*O$4</f>
        <v>3.3518475000000003</v>
      </c>
      <c r="P78">
        <f>Worldprices!$D$74*P$4</f>
        <v>3.7461825000000002</v>
      </c>
      <c r="Q78">
        <f>Worldprices!$D$74*Q$4</f>
        <v>3.9433500000000006</v>
      </c>
      <c r="R78">
        <f>Worldprices!$D$74*R$4</f>
        <v>3.3518475000000003</v>
      </c>
      <c r="S78">
        <f>Worldprices!$D$74*S$4</f>
        <v>3.9433500000000006</v>
      </c>
      <c r="T78">
        <f>Worldprices!$D$74*T$4</f>
        <v>3.9433500000000006</v>
      </c>
      <c r="U78">
        <f>Worldprices!$D$74*U$4</f>
        <v>3.9433500000000006</v>
      </c>
      <c r="V78">
        <f>Worldprices!$D$74*V$4</f>
        <v>3.9433500000000006</v>
      </c>
      <c r="W78">
        <f>Worldprices!$D$74*W$4</f>
        <v>3.9433500000000006</v>
      </c>
      <c r="X78">
        <f>Worldprices!$D$74*X$4</f>
        <v>3.9433500000000006</v>
      </c>
      <c r="Y78">
        <f>Worldprices!$D$74*Y$4</f>
        <v>3.9433500000000006</v>
      </c>
      <c r="Z78">
        <f>Worldprices!$D$74*Z$4</f>
        <v>3.9433500000000006</v>
      </c>
      <c r="AA78">
        <f>Worldprices!$D$74*AA$4</f>
        <v>3.9433500000000006</v>
      </c>
      <c r="AB78">
        <f>Worldprices!$D$74*AB$4</f>
        <v>3.9433500000000006</v>
      </c>
      <c r="AC78">
        <f>Worldprices!$D$74*AC$4</f>
        <v>3.9433500000000006</v>
      </c>
      <c r="AD78">
        <f>Worldprices!$D$74*AD$4</f>
        <v>3.9433500000000006</v>
      </c>
      <c r="AE78">
        <f>Worldprices!$D$74*AE$4</f>
        <v>3.9433500000000006</v>
      </c>
      <c r="AF78">
        <f>Worldprices!$D$74*AF$4</f>
        <v>3.9433500000000006</v>
      </c>
      <c r="AG78">
        <f>Worldprices!$D$74*AG$4</f>
        <v>3.9433500000000006</v>
      </c>
      <c r="AH78">
        <f>Worldprices!$D$74*AH$4</f>
        <v>3.9433500000000006</v>
      </c>
      <c r="AI78">
        <f>Worldprices!$D$74*AI$4</f>
        <v>3.9433500000000006</v>
      </c>
      <c r="AJ78">
        <f>Worldprices!$D$74*AJ$4</f>
        <v>3.9433500000000006</v>
      </c>
      <c r="AK78">
        <f>Worldprices!$D$74*AK$4</f>
        <v>3.9433500000000006</v>
      </c>
      <c r="AL78">
        <f>Worldprices!$D$74*AL$4</f>
        <v>3.9433500000000006</v>
      </c>
      <c r="AM78">
        <f>Worldprices!$D$74*AM$4</f>
        <v>3.9433500000000006</v>
      </c>
      <c r="AN78">
        <f>Worldprices!$D$74*AN$4</f>
        <v>3.9433500000000006</v>
      </c>
      <c r="AO78">
        <f>Worldprices!$D$74*AO$4</f>
        <v>3.9433500000000006</v>
      </c>
      <c r="AP78">
        <f>Worldprices!$D$74*AP$4</f>
        <v>3.9433500000000006</v>
      </c>
      <c r="AQ78">
        <f t="shared" si="3"/>
        <v>3.9433500000000006</v>
      </c>
    </row>
    <row r="79" spans="1:43" ht="12.75">
      <c r="A79" t="s">
        <v>248</v>
      </c>
      <c r="B79" t="s">
        <v>351</v>
      </c>
      <c r="C79" t="s">
        <v>154</v>
      </c>
      <c r="D79">
        <v>2045</v>
      </c>
      <c r="E79" t="str">
        <f>Worldprices!$E$62</f>
        <v>IMPCOABRO*</v>
      </c>
      <c r="F79" t="str">
        <f>Worldprices!$E$63</f>
        <v>COABRO</v>
      </c>
      <c r="G79">
        <f>Worldprices!$E$74*G$4</f>
        <v>2.9497500000000003</v>
      </c>
      <c r="H79">
        <f>Worldprices!$E$74*H$4</f>
        <v>2.7580162500000003</v>
      </c>
      <c r="I79">
        <f t="shared" si="2"/>
        <v>2.9497500000000003</v>
      </c>
      <c r="J79">
        <f>Worldprices!$E$74*J$4</f>
        <v>2.9497500000000003</v>
      </c>
      <c r="K79">
        <f>Worldprices!$E$74*K$4</f>
        <v>2.9497500000000003</v>
      </c>
      <c r="L79">
        <f>Worldprices!$E$74*L$4</f>
        <v>2.9497500000000003</v>
      </c>
      <c r="M79">
        <f>Worldprices!$E$74*M$4</f>
        <v>2.9497500000000003</v>
      </c>
      <c r="N79">
        <f>Worldprices!$E$74*N$4</f>
        <v>2.9497500000000003</v>
      </c>
      <c r="O79">
        <f>Worldprices!$E$74*O$4</f>
        <v>2.5072875000000003</v>
      </c>
      <c r="P79">
        <f>Worldprices!$E$74*P$4</f>
        <v>2.8022625000000003</v>
      </c>
      <c r="Q79">
        <f>Worldprices!$E$74*Q$4</f>
        <v>2.9497500000000003</v>
      </c>
      <c r="R79">
        <f>Worldprices!$E$74*R$4</f>
        <v>2.5072875000000003</v>
      </c>
      <c r="S79">
        <f>Worldprices!$E$74*S$4</f>
        <v>2.9497500000000003</v>
      </c>
      <c r="T79">
        <f>Worldprices!$E$74*T$4</f>
        <v>2.9497500000000003</v>
      </c>
      <c r="U79">
        <f>Worldprices!$E$74*U$4</f>
        <v>2.9497500000000003</v>
      </c>
      <c r="V79">
        <f>Worldprices!$E$74*V$4</f>
        <v>2.9497500000000003</v>
      </c>
      <c r="W79">
        <f>Worldprices!$E$74*W$4</f>
        <v>2.9497500000000003</v>
      </c>
      <c r="X79">
        <f>Worldprices!$E$74*X$4</f>
        <v>2.9497500000000003</v>
      </c>
      <c r="Y79">
        <f>Worldprices!$E$74*Y$4</f>
        <v>2.9497500000000003</v>
      </c>
      <c r="Z79">
        <f>Worldprices!$E$74*Z$4</f>
        <v>2.9497500000000003</v>
      </c>
      <c r="AA79">
        <f>Worldprices!$E$74*AA$4</f>
        <v>2.9497500000000003</v>
      </c>
      <c r="AB79">
        <f>Worldprices!$E$74*AB$4</f>
        <v>2.9497500000000003</v>
      </c>
      <c r="AC79">
        <f>Worldprices!$E$74*AC$4</f>
        <v>2.9497500000000003</v>
      </c>
      <c r="AD79">
        <f>Worldprices!$E$74*AD$4</f>
        <v>2.9497500000000003</v>
      </c>
      <c r="AE79">
        <f>Worldprices!$E$74*AE$4</f>
        <v>2.9497500000000003</v>
      </c>
      <c r="AF79">
        <f>Worldprices!$E$74*AF$4</f>
        <v>2.9497500000000003</v>
      </c>
      <c r="AG79">
        <f>Worldprices!$E$74*AG$4</f>
        <v>2.9497500000000003</v>
      </c>
      <c r="AH79">
        <f>Worldprices!$E$74*AH$4</f>
        <v>2.9497500000000003</v>
      </c>
      <c r="AI79">
        <f>Worldprices!$E$74*AI$4</f>
        <v>2.9497500000000003</v>
      </c>
      <c r="AJ79">
        <f>Worldprices!$E$74*AJ$4</f>
        <v>2.9497500000000003</v>
      </c>
      <c r="AK79">
        <f>Worldprices!$E$74*AK$4</f>
        <v>2.9497500000000003</v>
      </c>
      <c r="AL79">
        <f>Worldprices!$E$74*AL$4</f>
        <v>2.9497500000000003</v>
      </c>
      <c r="AM79">
        <f>Worldprices!$E$74*AM$4</f>
        <v>2.9497500000000003</v>
      </c>
      <c r="AN79">
        <f>Worldprices!$E$74*AN$4</f>
        <v>2.9497500000000003</v>
      </c>
      <c r="AO79">
        <f>Worldprices!$E$74*AO$4</f>
        <v>2.9497500000000003</v>
      </c>
      <c r="AP79">
        <f>Worldprices!$E$74*AP$4</f>
        <v>2.9497500000000003</v>
      </c>
      <c r="AQ79">
        <f t="shared" si="3"/>
        <v>2.9497500000000003</v>
      </c>
    </row>
    <row r="80" spans="1:43" ht="12.75">
      <c r="A80" t="s">
        <v>248</v>
      </c>
      <c r="B80" t="s">
        <v>351</v>
      </c>
      <c r="C80" t="s">
        <v>154</v>
      </c>
      <c r="D80">
        <v>2045</v>
      </c>
      <c r="E80" t="str">
        <f>Worldprices!$F$62</f>
        <v>IMPCOALIG*</v>
      </c>
      <c r="F80" t="str">
        <f>Worldprices!$F$63</f>
        <v>COALIG</v>
      </c>
      <c r="G80">
        <f>Worldprices!$F$74*G$4</f>
        <v>2.9497500000000003</v>
      </c>
      <c r="H80">
        <f>Worldprices!$F$74*H$4</f>
        <v>2.7580162500000003</v>
      </c>
      <c r="I80">
        <f t="shared" si="2"/>
        <v>2.9497500000000003</v>
      </c>
      <c r="J80">
        <f>Worldprices!$F$74*J$4</f>
        <v>2.9497500000000003</v>
      </c>
      <c r="K80">
        <f>Worldprices!$F$74*K$4</f>
        <v>2.9497500000000003</v>
      </c>
      <c r="L80">
        <f>Worldprices!$F$74*L$4</f>
        <v>2.9497500000000003</v>
      </c>
      <c r="M80">
        <f>Worldprices!$F$74*M$4</f>
        <v>2.9497500000000003</v>
      </c>
      <c r="N80">
        <f>Worldprices!$F$74*N$4</f>
        <v>2.9497500000000003</v>
      </c>
      <c r="O80">
        <f>Worldprices!$F$74*O$4</f>
        <v>2.5072875000000003</v>
      </c>
      <c r="P80">
        <f>Worldprices!$F$74*P$4</f>
        <v>2.8022625000000003</v>
      </c>
      <c r="Q80">
        <f>Worldprices!$F$74*Q$4</f>
        <v>2.9497500000000003</v>
      </c>
      <c r="R80">
        <f>Worldprices!$F$74*R$4</f>
        <v>2.5072875000000003</v>
      </c>
      <c r="S80">
        <f>Worldprices!$F$74*S$4</f>
        <v>2.9497500000000003</v>
      </c>
      <c r="T80">
        <f>Worldprices!$F$74*T$4</f>
        <v>2.9497500000000003</v>
      </c>
      <c r="U80">
        <f>Worldprices!$F$74*U$4</f>
        <v>2.9497500000000003</v>
      </c>
      <c r="V80">
        <f>Worldprices!$F$74*V$4</f>
        <v>2.9497500000000003</v>
      </c>
      <c r="W80">
        <f>Worldprices!$F$74*W$4</f>
        <v>2.9497500000000003</v>
      </c>
      <c r="X80">
        <f>Worldprices!$F$74*X$4</f>
        <v>2.9497500000000003</v>
      </c>
      <c r="Y80">
        <f>Worldprices!$F$74*Y$4</f>
        <v>2.9497500000000003</v>
      </c>
      <c r="Z80">
        <f>Worldprices!$F$74*Z$4</f>
        <v>2.9497500000000003</v>
      </c>
      <c r="AA80">
        <f>Worldprices!$F$74*AA$4</f>
        <v>2.9497500000000003</v>
      </c>
      <c r="AB80">
        <f>Worldprices!$F$74*AB$4</f>
        <v>2.9497500000000003</v>
      </c>
      <c r="AC80">
        <f>Worldprices!$F$74*AC$4</f>
        <v>2.9497500000000003</v>
      </c>
      <c r="AD80">
        <f>Worldprices!$F$74*AD$4</f>
        <v>2.9497500000000003</v>
      </c>
      <c r="AE80">
        <f>Worldprices!$F$74*AE$4</f>
        <v>2.9497500000000003</v>
      </c>
      <c r="AF80">
        <f>Worldprices!$F$74*AF$4</f>
        <v>2.9497500000000003</v>
      </c>
      <c r="AG80">
        <f>Worldprices!$F$74*AG$4</f>
        <v>2.9497500000000003</v>
      </c>
      <c r="AH80">
        <f>Worldprices!$F$74*AH$4</f>
        <v>2.9497500000000003</v>
      </c>
      <c r="AI80">
        <f>Worldprices!$F$74*AI$4</f>
        <v>2.9497500000000003</v>
      </c>
      <c r="AJ80">
        <f>Worldprices!$F$74*AJ$4</f>
        <v>2.9497500000000003</v>
      </c>
      <c r="AK80">
        <f>Worldprices!$F$74*AK$4</f>
        <v>2.9497500000000003</v>
      </c>
      <c r="AL80">
        <f>Worldprices!$F$74*AL$4</f>
        <v>2.9497500000000003</v>
      </c>
      <c r="AM80">
        <f>Worldprices!$F$74*AM$4</f>
        <v>2.9497500000000003</v>
      </c>
      <c r="AN80">
        <f>Worldprices!$F$74*AN$4</f>
        <v>2.9497500000000003</v>
      </c>
      <c r="AO80">
        <f>Worldprices!$F$74*AO$4</f>
        <v>2.9497500000000003</v>
      </c>
      <c r="AP80">
        <f>Worldprices!$F$74*AP$4</f>
        <v>2.9497500000000003</v>
      </c>
      <c r="AQ80">
        <f t="shared" si="3"/>
        <v>2.9497500000000003</v>
      </c>
    </row>
    <row r="81" spans="1:43" ht="12.75">
      <c r="A81" t="s">
        <v>248</v>
      </c>
      <c r="B81" t="s">
        <v>351</v>
      </c>
      <c r="C81" t="s">
        <v>154</v>
      </c>
      <c r="D81">
        <v>2045</v>
      </c>
      <c r="E81" t="str">
        <f>Worldprices!$M$62</f>
        <v>IMPOILOTH</v>
      </c>
      <c r="F81" t="str">
        <f>Worldprices!$M$63</f>
        <v>OILOTH</v>
      </c>
      <c r="G81">
        <f>Worldprices!$M$74*G$6</f>
        <v>15.959999999999997</v>
      </c>
      <c r="H81">
        <f>Worldprices!$M$74*H$6</f>
        <v>15.959999999999997</v>
      </c>
      <c r="I81">
        <f t="shared" si="2"/>
        <v>15.959999999999997</v>
      </c>
      <c r="J81">
        <f>Worldprices!$M$74*J$6</f>
        <v>15.959999999999997</v>
      </c>
      <c r="K81">
        <f>Worldprices!$M$74*K$6</f>
        <v>15.959999999999997</v>
      </c>
      <c r="L81">
        <f>Worldprices!$M$74*L$6</f>
        <v>15.959999999999997</v>
      </c>
      <c r="M81">
        <f>Worldprices!$M$74*M$6</f>
        <v>15.959999999999997</v>
      </c>
      <c r="N81">
        <f>Worldprices!$M$74*N$6</f>
        <v>15.959999999999997</v>
      </c>
      <c r="O81">
        <f>Worldprices!$M$74*O$6</f>
        <v>15.959999999999997</v>
      </c>
      <c r="P81">
        <f>Worldprices!$M$74*P$6</f>
        <v>15.959999999999997</v>
      </c>
      <c r="Q81">
        <f>Worldprices!$M$74*Q$6</f>
        <v>15.959999999999997</v>
      </c>
      <c r="R81">
        <f>Worldprices!$M$74*R$6</f>
        <v>15.959999999999997</v>
      </c>
      <c r="S81">
        <f>Worldprices!$M$74*S$6</f>
        <v>15.959999999999997</v>
      </c>
      <c r="T81">
        <f>Worldprices!$M$74*T$6</f>
        <v>15.959999999999997</v>
      </c>
      <c r="U81">
        <f>Worldprices!$M$74*U$6</f>
        <v>15.161999999999997</v>
      </c>
      <c r="V81">
        <f>Worldprices!$M$74*V$6</f>
        <v>15.959999999999997</v>
      </c>
      <c r="W81">
        <f>Worldprices!$M$74*W$6</f>
        <v>15.959999999999997</v>
      </c>
      <c r="X81">
        <f>Worldprices!$M$74*X$6</f>
        <v>15.959999999999997</v>
      </c>
      <c r="Y81">
        <f>Worldprices!$M$74*Y$6</f>
        <v>15.959999999999997</v>
      </c>
      <c r="Z81">
        <f>Worldprices!$M$74*Z$6</f>
        <v>15.959999999999997</v>
      </c>
      <c r="AA81">
        <f>Worldprices!$M$74*AA$6</f>
        <v>15.959999999999997</v>
      </c>
      <c r="AB81">
        <f>Worldprices!$M$74*AB$6</f>
        <v>15.959999999999997</v>
      </c>
      <c r="AC81">
        <f>Worldprices!$M$74*AC$6</f>
        <v>15.959999999999997</v>
      </c>
      <c r="AD81">
        <f>Worldprices!$M$74*AD$6</f>
        <v>15.959999999999997</v>
      </c>
      <c r="AE81">
        <f>Worldprices!$M$74*AE$6</f>
        <v>15.959999999999997</v>
      </c>
      <c r="AF81">
        <f>Worldprices!$M$74*AF$6</f>
        <v>15.959999999999997</v>
      </c>
      <c r="AG81">
        <f>Worldprices!$M$74*AG$6</f>
        <v>15.959999999999997</v>
      </c>
      <c r="AH81">
        <f>Worldprices!$M$74*AH$6</f>
        <v>15.959999999999997</v>
      </c>
      <c r="AI81">
        <f>Worldprices!$M$74*AI$6</f>
        <v>15.959999999999997</v>
      </c>
      <c r="AJ81">
        <f>Worldprices!$M$74*AJ$6</f>
        <v>15.959999999999997</v>
      </c>
      <c r="AK81">
        <f>Worldprices!$M$74*AK$6</f>
        <v>15.959999999999997</v>
      </c>
      <c r="AL81">
        <f>Worldprices!$M$74*AL$6</f>
        <v>15.959999999999997</v>
      </c>
      <c r="AM81">
        <f>Worldprices!$M$74*AM$6</f>
        <v>15.959999999999997</v>
      </c>
      <c r="AN81">
        <f>Worldprices!$M$74*AN$6</f>
        <v>15.959999999999997</v>
      </c>
      <c r="AO81">
        <f>Worldprices!$M$74*AO$6</f>
        <v>15.959999999999997</v>
      </c>
      <c r="AP81">
        <f>Worldprices!$M$74*AP$6</f>
        <v>15.959999999999997</v>
      </c>
      <c r="AQ81">
        <f t="shared" si="3"/>
        <v>15.959999999999997</v>
      </c>
    </row>
    <row r="82" spans="1:43" ht="12.75">
      <c r="A82" t="s">
        <v>248</v>
      </c>
      <c r="B82" t="s">
        <v>351</v>
      </c>
      <c r="C82" t="s">
        <v>154</v>
      </c>
      <c r="D82">
        <v>2045</v>
      </c>
      <c r="E82" t="str">
        <f>Worldprices!$N$62</f>
        <v>IMPOILNAP</v>
      </c>
      <c r="F82" t="str">
        <f>Worldprices!$N$63</f>
        <v>OILNAP</v>
      </c>
      <c r="G82">
        <f>Worldprices!$N$74*G$6</f>
        <v>15.959999999999997</v>
      </c>
      <c r="H82">
        <f>Worldprices!$N$74*H$6</f>
        <v>15.959999999999997</v>
      </c>
      <c r="I82">
        <f t="shared" si="2"/>
        <v>15.959999999999997</v>
      </c>
      <c r="J82">
        <f>Worldprices!$N$74*J$6</f>
        <v>15.959999999999997</v>
      </c>
      <c r="K82">
        <f>Worldprices!$N$74*K$6</f>
        <v>15.959999999999997</v>
      </c>
      <c r="L82">
        <f>Worldprices!$N$74*L$6</f>
        <v>15.959999999999997</v>
      </c>
      <c r="M82">
        <f>Worldprices!$N$74*M$6</f>
        <v>15.959999999999997</v>
      </c>
      <c r="N82">
        <f>Worldprices!$N$74*N$6</f>
        <v>15.959999999999997</v>
      </c>
      <c r="O82">
        <f>Worldprices!$N$74*O$6</f>
        <v>15.959999999999997</v>
      </c>
      <c r="P82">
        <f>Worldprices!$N$74*P$6</f>
        <v>15.959999999999997</v>
      </c>
      <c r="Q82">
        <f>Worldprices!$N$74*Q$6</f>
        <v>15.959999999999997</v>
      </c>
      <c r="R82">
        <f>Worldprices!$N$74*R$6</f>
        <v>15.959999999999997</v>
      </c>
      <c r="S82">
        <f>Worldprices!$N$74*S$6</f>
        <v>15.959999999999997</v>
      </c>
      <c r="T82">
        <f>Worldprices!$N$74*T$6</f>
        <v>15.959999999999997</v>
      </c>
      <c r="U82">
        <f>Worldprices!$N$74*U$6</f>
        <v>15.161999999999997</v>
      </c>
      <c r="V82">
        <f>Worldprices!$N$74*V$6</f>
        <v>15.959999999999997</v>
      </c>
      <c r="W82">
        <f>Worldprices!$N$74*W$6</f>
        <v>15.959999999999997</v>
      </c>
      <c r="X82">
        <f>Worldprices!$N$74*X$6</f>
        <v>15.959999999999997</v>
      </c>
      <c r="Y82">
        <f>Worldprices!$N$74*Y$6</f>
        <v>15.959999999999997</v>
      </c>
      <c r="Z82">
        <f>Worldprices!$N$74*Z$6</f>
        <v>15.959999999999997</v>
      </c>
      <c r="AA82">
        <f>Worldprices!$N$74*AA$6</f>
        <v>15.959999999999997</v>
      </c>
      <c r="AB82">
        <f>Worldprices!$N$74*AB$6</f>
        <v>15.959999999999997</v>
      </c>
      <c r="AC82">
        <f>Worldprices!$N$74*AC$6</f>
        <v>15.959999999999997</v>
      </c>
      <c r="AD82">
        <f>Worldprices!$N$74*AD$6</f>
        <v>15.959999999999997</v>
      </c>
      <c r="AE82">
        <f>Worldprices!$N$74*AE$6</f>
        <v>15.959999999999997</v>
      </c>
      <c r="AF82">
        <f>Worldprices!$N$74*AF$6</f>
        <v>15.959999999999997</v>
      </c>
      <c r="AG82">
        <f>Worldprices!$N$74*AG$6</f>
        <v>15.959999999999997</v>
      </c>
      <c r="AH82">
        <f>Worldprices!$N$74*AH$6</f>
        <v>15.959999999999997</v>
      </c>
      <c r="AI82">
        <f>Worldprices!$N$74*AI$6</f>
        <v>15.959999999999997</v>
      </c>
      <c r="AJ82">
        <f>Worldprices!$N$74*AJ$6</f>
        <v>15.959999999999997</v>
      </c>
      <c r="AK82">
        <f>Worldprices!$N$74*AK$6</f>
        <v>15.959999999999997</v>
      </c>
      <c r="AL82">
        <f>Worldprices!$N$74*AL$6</f>
        <v>15.959999999999997</v>
      </c>
      <c r="AM82">
        <f>Worldprices!$N$74*AM$6</f>
        <v>15.959999999999997</v>
      </c>
      <c r="AN82">
        <f>Worldprices!$N$74*AN$6</f>
        <v>15.959999999999997</v>
      </c>
      <c r="AO82">
        <f>Worldprices!$N$74*AO$6</f>
        <v>15.959999999999997</v>
      </c>
      <c r="AP82">
        <f>Worldprices!$N$74*AP$6</f>
        <v>15.959999999999997</v>
      </c>
      <c r="AQ82">
        <f t="shared" si="3"/>
        <v>15.959999999999997</v>
      </c>
    </row>
    <row r="83" spans="1:43" ht="12.75">
      <c r="A83" t="s">
        <v>248</v>
      </c>
      <c r="B83" t="s">
        <v>351</v>
      </c>
      <c r="C83" t="s">
        <v>154</v>
      </c>
      <c r="D83">
        <v>2045</v>
      </c>
      <c r="E83" t="str">
        <f>Worldprices!$O$62</f>
        <v>IMPOILFDS</v>
      </c>
      <c r="F83" t="str">
        <f>Worldprices!$O$63</f>
        <v>OILFDS</v>
      </c>
      <c r="G83">
        <f>Worldprices!$O$74*G$6</f>
        <v>15.959999999999997</v>
      </c>
      <c r="H83">
        <f>Worldprices!$O$74*H$6</f>
        <v>15.959999999999997</v>
      </c>
      <c r="I83">
        <f t="shared" si="2"/>
        <v>15.959999999999997</v>
      </c>
      <c r="J83">
        <f>Worldprices!$O$74*J$6</f>
        <v>15.959999999999997</v>
      </c>
      <c r="K83">
        <f>Worldprices!$O$74*K$6</f>
        <v>15.959999999999997</v>
      </c>
      <c r="L83">
        <f>Worldprices!$O$74*L$6</f>
        <v>15.959999999999997</v>
      </c>
      <c r="M83">
        <f>Worldprices!$O$74*M$6</f>
        <v>15.959999999999997</v>
      </c>
      <c r="N83">
        <f>Worldprices!$O$74*N$6</f>
        <v>15.959999999999997</v>
      </c>
      <c r="O83">
        <f>Worldprices!$O$74*O$6</f>
        <v>15.959999999999997</v>
      </c>
      <c r="P83">
        <f>Worldprices!$O$74*P$6</f>
        <v>15.959999999999997</v>
      </c>
      <c r="Q83">
        <f>Worldprices!$O$74*Q$6</f>
        <v>15.959999999999997</v>
      </c>
      <c r="R83">
        <f>Worldprices!$O$74*R$6</f>
        <v>15.959999999999997</v>
      </c>
      <c r="S83">
        <f>Worldprices!$O$74*S$6</f>
        <v>15.959999999999997</v>
      </c>
      <c r="T83">
        <f>Worldprices!$O$74*T$6</f>
        <v>15.959999999999997</v>
      </c>
      <c r="U83">
        <f>Worldprices!$O$74*U$6</f>
        <v>15.161999999999997</v>
      </c>
      <c r="V83">
        <f>Worldprices!$O$74*V$6</f>
        <v>15.959999999999997</v>
      </c>
      <c r="W83">
        <f>Worldprices!$O$74*W$6</f>
        <v>15.959999999999997</v>
      </c>
      <c r="X83">
        <f>Worldprices!$O$74*X$6</f>
        <v>15.959999999999997</v>
      </c>
      <c r="Y83">
        <f>Worldprices!$O$74*Y$6</f>
        <v>15.959999999999997</v>
      </c>
      <c r="Z83">
        <f>Worldprices!$O$74*Z$6</f>
        <v>15.959999999999997</v>
      </c>
      <c r="AA83">
        <f>Worldprices!$O$74*AA$6</f>
        <v>15.959999999999997</v>
      </c>
      <c r="AB83">
        <f>Worldprices!$O$74*AB$6</f>
        <v>15.959999999999997</v>
      </c>
      <c r="AC83">
        <f>Worldprices!$O$74*AC$6</f>
        <v>15.959999999999997</v>
      </c>
      <c r="AD83">
        <f>Worldprices!$O$74*AD$6</f>
        <v>15.959999999999997</v>
      </c>
      <c r="AE83">
        <f>Worldprices!$O$74*AE$6</f>
        <v>15.959999999999997</v>
      </c>
      <c r="AF83">
        <f>Worldprices!$O$74*AF$6</f>
        <v>15.959999999999997</v>
      </c>
      <c r="AG83">
        <f>Worldprices!$O$74*AG$6</f>
        <v>15.959999999999997</v>
      </c>
      <c r="AH83">
        <f>Worldprices!$O$74*AH$6</f>
        <v>15.959999999999997</v>
      </c>
      <c r="AI83">
        <f>Worldprices!$O$74*AI$6</f>
        <v>15.959999999999997</v>
      </c>
      <c r="AJ83">
        <f>Worldprices!$O$74*AJ$6</f>
        <v>15.959999999999997</v>
      </c>
      <c r="AK83">
        <f>Worldprices!$O$74*AK$6</f>
        <v>15.959999999999997</v>
      </c>
      <c r="AL83">
        <f>Worldprices!$O$74*AL$6</f>
        <v>15.959999999999997</v>
      </c>
      <c r="AM83">
        <f>Worldprices!$O$74*AM$6</f>
        <v>15.959999999999997</v>
      </c>
      <c r="AN83">
        <f>Worldprices!$O$74*AN$6</f>
        <v>15.959999999999997</v>
      </c>
      <c r="AO83">
        <f>Worldprices!$O$74*AO$6</f>
        <v>15.959999999999997</v>
      </c>
      <c r="AP83">
        <f>Worldprices!$O$74*AP$6</f>
        <v>15.959999999999997</v>
      </c>
      <c r="AQ83">
        <f t="shared" si="3"/>
        <v>15.959999999999997</v>
      </c>
    </row>
    <row r="84" spans="1:43" ht="12.75">
      <c r="A84" t="s">
        <v>248</v>
      </c>
      <c r="B84" t="s">
        <v>351</v>
      </c>
      <c r="C84" t="s">
        <v>154</v>
      </c>
      <c r="D84">
        <v>2045</v>
      </c>
      <c r="E84" t="str">
        <f>Worldprices!$P$62</f>
        <v>IMPOILNEU</v>
      </c>
      <c r="F84" t="str">
        <f>Worldprices!$P$63</f>
        <v>OILNEU</v>
      </c>
      <c r="G84">
        <f>Worldprices!$P$74*G$6</f>
        <v>15.959999999999997</v>
      </c>
      <c r="H84">
        <f>Worldprices!$P$74*H$6</f>
        <v>15.959999999999997</v>
      </c>
      <c r="I84">
        <f t="shared" si="2"/>
        <v>15.959999999999997</v>
      </c>
      <c r="J84">
        <f>Worldprices!$P$74*J$6</f>
        <v>15.959999999999997</v>
      </c>
      <c r="K84">
        <f>Worldprices!$P$74*K$6</f>
        <v>15.959999999999997</v>
      </c>
      <c r="L84">
        <f>Worldprices!$P$74*L$6</f>
        <v>15.959999999999997</v>
      </c>
      <c r="M84">
        <f>Worldprices!$P$74*M$6</f>
        <v>15.959999999999997</v>
      </c>
      <c r="N84">
        <f>Worldprices!$P$74*N$6</f>
        <v>15.959999999999997</v>
      </c>
      <c r="O84">
        <f>Worldprices!$P$74*O$6</f>
        <v>15.959999999999997</v>
      </c>
      <c r="P84">
        <f>Worldprices!$P$74*P$6</f>
        <v>15.959999999999997</v>
      </c>
      <c r="Q84">
        <f>Worldprices!$P$74*Q$6</f>
        <v>15.959999999999997</v>
      </c>
      <c r="R84">
        <f>Worldprices!$P$74*R$6</f>
        <v>15.959999999999997</v>
      </c>
      <c r="S84">
        <f>Worldprices!$P$74*S$6</f>
        <v>15.959999999999997</v>
      </c>
      <c r="T84">
        <f>Worldprices!$P$74*T$6</f>
        <v>15.959999999999997</v>
      </c>
      <c r="U84">
        <f>Worldprices!$P$74*U$6</f>
        <v>15.161999999999997</v>
      </c>
      <c r="V84">
        <f>Worldprices!$P$74*V$6</f>
        <v>15.959999999999997</v>
      </c>
      <c r="W84">
        <f>Worldprices!$P$74*W$6</f>
        <v>15.959999999999997</v>
      </c>
      <c r="X84">
        <f>Worldprices!$P$74*X$6</f>
        <v>15.959999999999997</v>
      </c>
      <c r="Y84">
        <f>Worldprices!$P$74*Y$6</f>
        <v>15.959999999999997</v>
      </c>
      <c r="Z84">
        <f>Worldprices!$P$74*Z$6</f>
        <v>15.959999999999997</v>
      </c>
      <c r="AA84">
        <f>Worldprices!$P$74*AA$6</f>
        <v>15.959999999999997</v>
      </c>
      <c r="AB84">
        <f>Worldprices!$P$74*AB$6</f>
        <v>15.959999999999997</v>
      </c>
      <c r="AC84">
        <f>Worldprices!$P$74*AC$6</f>
        <v>15.959999999999997</v>
      </c>
      <c r="AD84">
        <f>Worldprices!$P$74*AD$6</f>
        <v>15.959999999999997</v>
      </c>
      <c r="AE84">
        <f>Worldprices!$P$74*AE$6</f>
        <v>15.959999999999997</v>
      </c>
      <c r="AF84">
        <f>Worldprices!$P$74*AF$6</f>
        <v>15.959999999999997</v>
      </c>
      <c r="AG84">
        <f>Worldprices!$P$74*AG$6</f>
        <v>15.959999999999997</v>
      </c>
      <c r="AH84">
        <f>Worldprices!$P$74*AH$6</f>
        <v>15.959999999999997</v>
      </c>
      <c r="AI84">
        <f>Worldprices!$P$74*AI$6</f>
        <v>15.959999999999997</v>
      </c>
      <c r="AJ84">
        <f>Worldprices!$P$74*AJ$6</f>
        <v>15.959999999999997</v>
      </c>
      <c r="AK84">
        <f>Worldprices!$P$74*AK$6</f>
        <v>15.959999999999997</v>
      </c>
      <c r="AL84">
        <f>Worldprices!$P$74*AL$6</f>
        <v>15.959999999999997</v>
      </c>
      <c r="AM84">
        <f>Worldprices!$P$74*AM$6</f>
        <v>15.959999999999997</v>
      </c>
      <c r="AN84">
        <f>Worldprices!$P$74*AN$6</f>
        <v>15.959999999999997</v>
      </c>
      <c r="AO84">
        <f>Worldprices!$P$74*AO$6</f>
        <v>15.959999999999997</v>
      </c>
      <c r="AP84">
        <f>Worldprices!$P$74*AP$6</f>
        <v>15.959999999999997</v>
      </c>
      <c r="AQ84">
        <f t="shared" si="3"/>
        <v>15.959999999999997</v>
      </c>
    </row>
    <row r="85" spans="1:43" ht="12.75">
      <c r="A85" t="s">
        <v>248</v>
      </c>
      <c r="B85" t="s">
        <v>351</v>
      </c>
      <c r="C85" t="s">
        <v>305</v>
      </c>
      <c r="D85">
        <v>2045</v>
      </c>
      <c r="E85" t="str">
        <f>Worldprices!$R$62</f>
        <v>IMPBIOWOO</v>
      </c>
      <c r="F85" t="str">
        <f>Worldprices!$R$63</f>
        <v>BIOWOO</v>
      </c>
      <c r="G85">
        <f>Worldprices!$R$74*G$8</f>
        <v>6.7655540666137179</v>
      </c>
      <c r="H85">
        <f>Worldprices!$R$74*H$8</f>
        <v>6.7655540666137179</v>
      </c>
      <c r="I85">
        <f t="shared" si="2"/>
        <v>6.7655540666137179</v>
      </c>
      <c r="J85">
        <f>Worldprices!$R$74*J$8</f>
        <v>6.7655540666137179</v>
      </c>
      <c r="K85">
        <f>Worldprices!$R$74*K$8</f>
        <v>6.7655540666137179</v>
      </c>
      <c r="L85">
        <f>Worldprices!$R$74*L$8</f>
        <v>6.7655540666137179</v>
      </c>
      <c r="M85">
        <f>Worldprices!$R$74*M$8</f>
        <v>6.7655540666137179</v>
      </c>
      <c r="N85">
        <f>Worldprices!$R$74*N$8</f>
        <v>6.7655540666137179</v>
      </c>
      <c r="O85">
        <f>Worldprices!$R$74*O$8</f>
        <v>6.7655540666137179</v>
      </c>
      <c r="P85">
        <f>Worldprices!$R$74*P$8</f>
        <v>6.7655540666137179</v>
      </c>
      <c r="Q85">
        <f>Worldprices!$R$74*Q$8</f>
        <v>6.7655540666137179</v>
      </c>
      <c r="R85">
        <f>Worldprices!$R$74*R$8</f>
        <v>6.7655540666137179</v>
      </c>
      <c r="S85">
        <f>Worldprices!$R$74*S$8</f>
        <v>6.7655540666137179</v>
      </c>
      <c r="T85">
        <f>Worldprices!$R$74*T$8</f>
        <v>6.7655540666137179</v>
      </c>
      <c r="U85">
        <f>Worldprices!$R$74*U$8</f>
        <v>6.7655540666137179</v>
      </c>
      <c r="V85">
        <f>Worldprices!$R$74*V$8</f>
        <v>6.7655540666137179</v>
      </c>
      <c r="W85">
        <f>Worldprices!$R$74*W$8</f>
        <v>6.7655540666137179</v>
      </c>
      <c r="X85">
        <f>Worldprices!$R$74*X$8</f>
        <v>6.7655540666137179</v>
      </c>
      <c r="Y85">
        <f>Worldprices!$R$74*Y$8</f>
        <v>6.7655540666137179</v>
      </c>
      <c r="Z85">
        <f>Worldprices!$R$74*Z$8</f>
        <v>6.7655540666137179</v>
      </c>
      <c r="AA85">
        <f>Worldprices!$R$74*AA$8</f>
        <v>6.7655540666137179</v>
      </c>
      <c r="AB85">
        <f>Worldprices!$R$74*AB$8</f>
        <v>6.7655540666137179</v>
      </c>
      <c r="AC85">
        <f>Worldprices!$R$74*AC$8</f>
        <v>6.7655540666137179</v>
      </c>
      <c r="AD85">
        <f>Worldprices!$R$74*AD$8</f>
        <v>6.7655540666137179</v>
      </c>
      <c r="AE85">
        <f>Worldprices!$R$74*AE$8</f>
        <v>6.7655540666137179</v>
      </c>
      <c r="AF85">
        <f>Worldprices!$R$74*AF$8</f>
        <v>6.7655540666137179</v>
      </c>
      <c r="AG85">
        <f>Worldprices!$R$74*AG$8</f>
        <v>6.7655540666137179</v>
      </c>
      <c r="AH85">
        <f>Worldprices!$R$74*AH$8</f>
        <v>6.7655540666137179</v>
      </c>
      <c r="AI85">
        <f>Worldprices!$R$74*AI$8</f>
        <v>6.7655540666137179</v>
      </c>
      <c r="AJ85">
        <f>Worldprices!$R$74*AJ$8</f>
        <v>6.7655540666137179</v>
      </c>
      <c r="AK85">
        <f>Worldprices!$R$74*AK$8</f>
        <v>6.7655540666137179</v>
      </c>
      <c r="AL85">
        <f>Worldprices!$R$74*AL$8</f>
        <v>6.7655540666137179</v>
      </c>
      <c r="AM85">
        <f>Worldprices!$R$74*AM$8</f>
        <v>6.7655540666137179</v>
      </c>
      <c r="AN85">
        <f>Worldprices!$R$74*AN$8</f>
        <v>6.7655540666137179</v>
      </c>
      <c r="AO85">
        <f>Worldprices!$R$74*AO$8</f>
        <v>6.7655540666137179</v>
      </c>
      <c r="AP85">
        <f>Worldprices!$R$74*AP$8</f>
        <v>6.7655540666137179</v>
      </c>
      <c r="AQ85">
        <f t="shared" si="3"/>
        <v>6.7655540666137179</v>
      </c>
    </row>
    <row r="86" spans="1:43" ht="12.75">
      <c r="A86" t="s">
        <v>248</v>
      </c>
      <c r="B86" t="s">
        <v>351</v>
      </c>
      <c r="C86" t="s">
        <v>154</v>
      </c>
      <c r="D86">
        <v>2050</v>
      </c>
      <c r="E86" t="str">
        <f>Worldprices!$C$62</f>
        <v>IMPCOAHAR*</v>
      </c>
      <c r="F86" t="str">
        <f>Worldprices!$C$63</f>
        <v>COAHAR</v>
      </c>
      <c r="G86">
        <f>Worldprices!$C$75*G$4</f>
        <v>3.2800000000000002</v>
      </c>
      <c r="H86">
        <f>Worldprices!$C$75*H$4</f>
        <v>3.0668000000000002</v>
      </c>
      <c r="I86">
        <f t="shared" si="2"/>
        <v>3.2800000000000002</v>
      </c>
      <c r="J86">
        <f>Worldprices!$C$75*J$4</f>
        <v>3.2800000000000002</v>
      </c>
      <c r="K86">
        <f>Worldprices!$C$75*K$4</f>
        <v>3.2800000000000002</v>
      </c>
      <c r="L86">
        <f>Worldprices!$C$75*L$4</f>
        <v>3.2800000000000002</v>
      </c>
      <c r="M86">
        <f>Worldprices!$C$75*M$4</f>
        <v>3.2800000000000002</v>
      </c>
      <c r="N86">
        <f>Worldprices!$C$75*N$4</f>
        <v>3.2800000000000002</v>
      </c>
      <c r="O86">
        <f>Worldprices!$C$75*O$4</f>
        <v>2.7880000000000003</v>
      </c>
      <c r="P86">
        <f>Worldprices!$C$75*P$4</f>
        <v>3.1160000000000001</v>
      </c>
      <c r="Q86">
        <f>Worldprices!$C$75*Q$4</f>
        <v>3.2800000000000002</v>
      </c>
      <c r="R86">
        <f>Worldprices!$C$75*R$4</f>
        <v>2.7880000000000003</v>
      </c>
      <c r="S86">
        <f>Worldprices!$C$75*S$4</f>
        <v>3.2800000000000002</v>
      </c>
      <c r="T86">
        <f>Worldprices!$C$75*T$4</f>
        <v>3.2800000000000002</v>
      </c>
      <c r="U86">
        <f>Worldprices!$C$75*U$4</f>
        <v>3.2800000000000002</v>
      </c>
      <c r="V86">
        <f>Worldprices!$C$75*V$4</f>
        <v>3.2800000000000002</v>
      </c>
      <c r="W86">
        <f>Worldprices!$C$75*W$4</f>
        <v>3.2800000000000002</v>
      </c>
      <c r="X86">
        <f>Worldprices!$C$75*X$4</f>
        <v>3.2800000000000002</v>
      </c>
      <c r="Y86">
        <f>Worldprices!$C$75*Y$4</f>
        <v>3.2800000000000002</v>
      </c>
      <c r="Z86">
        <f>Worldprices!$C$75*Z$4</f>
        <v>3.2800000000000002</v>
      </c>
      <c r="AA86">
        <f>Worldprices!$C$75*AA$4</f>
        <v>3.2800000000000002</v>
      </c>
      <c r="AB86">
        <f>Worldprices!$C$75*AB$4</f>
        <v>3.2800000000000002</v>
      </c>
      <c r="AC86">
        <f>Worldprices!$C$75*AC$4</f>
        <v>3.2800000000000002</v>
      </c>
      <c r="AD86">
        <f>Worldprices!$C$75*AD$4</f>
        <v>3.2800000000000002</v>
      </c>
      <c r="AE86">
        <f>Worldprices!$C$75*AE$4</f>
        <v>3.2800000000000002</v>
      </c>
      <c r="AF86">
        <f>Worldprices!$C$75*AF$4</f>
        <v>3.2800000000000002</v>
      </c>
      <c r="AG86">
        <f>Worldprices!$C$75*AG$4</f>
        <v>3.2800000000000002</v>
      </c>
      <c r="AH86">
        <f>Worldprices!$C$75*AH$4</f>
        <v>3.2800000000000002</v>
      </c>
      <c r="AI86">
        <f>Worldprices!$C$75*AI$4</f>
        <v>3.2800000000000002</v>
      </c>
      <c r="AJ86">
        <f>Worldprices!$C$75*AJ$4</f>
        <v>3.2800000000000002</v>
      </c>
      <c r="AK86">
        <f>Worldprices!$C$75*AK$4</f>
        <v>3.2800000000000002</v>
      </c>
      <c r="AL86">
        <f>Worldprices!$C$75*AL$4</f>
        <v>3.2800000000000002</v>
      </c>
      <c r="AM86">
        <f>Worldprices!$C$75*AM$4</f>
        <v>3.2800000000000002</v>
      </c>
      <c r="AN86">
        <f>Worldprices!$C$75*AN$4</f>
        <v>3.2800000000000002</v>
      </c>
      <c r="AO86">
        <f>Worldprices!$C$75*AO$4</f>
        <v>3.2800000000000002</v>
      </c>
      <c r="AP86">
        <f>Worldprices!$C$75*AP$4</f>
        <v>3.2800000000000002</v>
      </c>
      <c r="AQ86">
        <f t="shared" si="3"/>
        <v>3.2800000000000002</v>
      </c>
    </row>
    <row r="87" spans="1:43" ht="12.75">
      <c r="A87" t="s">
        <v>248</v>
      </c>
      <c r="B87" t="s">
        <v>351</v>
      </c>
      <c r="C87" t="s">
        <v>154</v>
      </c>
      <c r="D87">
        <v>2050</v>
      </c>
      <c r="E87" t="str">
        <f>Worldprices!$D$62</f>
        <v>IMPCOACOK*</v>
      </c>
      <c r="F87" t="str">
        <f>Worldprices!$D$63</f>
        <v>COACOK</v>
      </c>
      <c r="G87">
        <f>Worldprices!$D$75*G$4</f>
        <v>4.1656000000000004</v>
      </c>
      <c r="H87">
        <f>Worldprices!$D$75*H$4</f>
        <v>3.8948360000000006</v>
      </c>
      <c r="I87">
        <f t="shared" si="2"/>
        <v>4.1656000000000004</v>
      </c>
      <c r="J87">
        <f>Worldprices!$D$75*J$4</f>
        <v>4.1656000000000004</v>
      </c>
      <c r="K87">
        <f>Worldprices!$D$75*K$4</f>
        <v>4.1656000000000004</v>
      </c>
      <c r="L87">
        <f>Worldprices!$D$75*L$4</f>
        <v>4.1656000000000004</v>
      </c>
      <c r="M87">
        <f>Worldprices!$D$75*M$4</f>
        <v>4.1656000000000004</v>
      </c>
      <c r="N87">
        <f>Worldprices!$D$75*N$4</f>
        <v>4.1656000000000004</v>
      </c>
      <c r="O87">
        <f>Worldprices!$D$75*O$4</f>
        <v>3.5407600000000001</v>
      </c>
      <c r="P87">
        <f>Worldprices!$D$75*P$4</f>
        <v>3.9573200000000002</v>
      </c>
      <c r="Q87">
        <f>Worldprices!$D$75*Q$4</f>
        <v>4.1656000000000004</v>
      </c>
      <c r="R87">
        <f>Worldprices!$D$75*R$4</f>
        <v>3.5407600000000001</v>
      </c>
      <c r="S87">
        <f>Worldprices!$D$75*S$4</f>
        <v>4.1656000000000004</v>
      </c>
      <c r="T87">
        <f>Worldprices!$D$75*T$4</f>
        <v>4.1656000000000004</v>
      </c>
      <c r="U87">
        <f>Worldprices!$D$75*U$4</f>
        <v>4.1656000000000004</v>
      </c>
      <c r="V87">
        <f>Worldprices!$D$75*V$4</f>
        <v>4.1656000000000004</v>
      </c>
      <c r="W87">
        <f>Worldprices!$D$75*W$4</f>
        <v>4.1656000000000004</v>
      </c>
      <c r="X87">
        <f>Worldprices!$D$75*X$4</f>
        <v>4.1656000000000004</v>
      </c>
      <c r="Y87">
        <f>Worldprices!$D$75*Y$4</f>
        <v>4.1656000000000004</v>
      </c>
      <c r="Z87">
        <f>Worldprices!$D$75*Z$4</f>
        <v>4.1656000000000004</v>
      </c>
      <c r="AA87">
        <f>Worldprices!$D$75*AA$4</f>
        <v>4.1656000000000004</v>
      </c>
      <c r="AB87">
        <f>Worldprices!$D$75*AB$4</f>
        <v>4.1656000000000004</v>
      </c>
      <c r="AC87">
        <f>Worldprices!$D$75*AC$4</f>
        <v>4.1656000000000004</v>
      </c>
      <c r="AD87">
        <f>Worldprices!$D$75*AD$4</f>
        <v>4.1656000000000004</v>
      </c>
      <c r="AE87">
        <f>Worldprices!$D$75*AE$4</f>
        <v>4.1656000000000004</v>
      </c>
      <c r="AF87">
        <f>Worldprices!$D$75*AF$4</f>
        <v>4.1656000000000004</v>
      </c>
      <c r="AG87">
        <f>Worldprices!$D$75*AG$4</f>
        <v>4.1656000000000004</v>
      </c>
      <c r="AH87">
        <f>Worldprices!$D$75*AH$4</f>
        <v>4.1656000000000004</v>
      </c>
      <c r="AI87">
        <f>Worldprices!$D$75*AI$4</f>
        <v>4.1656000000000004</v>
      </c>
      <c r="AJ87">
        <f>Worldprices!$D$75*AJ$4</f>
        <v>4.1656000000000004</v>
      </c>
      <c r="AK87">
        <f>Worldprices!$D$75*AK$4</f>
        <v>4.1656000000000004</v>
      </c>
      <c r="AL87">
        <f>Worldprices!$D$75*AL$4</f>
        <v>4.1656000000000004</v>
      </c>
      <c r="AM87">
        <f>Worldprices!$D$75*AM$4</f>
        <v>4.1656000000000004</v>
      </c>
      <c r="AN87">
        <f>Worldprices!$D$75*AN$4</f>
        <v>4.1656000000000004</v>
      </c>
      <c r="AO87">
        <f>Worldprices!$D$75*AO$4</f>
        <v>4.1656000000000004</v>
      </c>
      <c r="AP87">
        <f>Worldprices!$D$75*AP$4</f>
        <v>4.1656000000000004</v>
      </c>
      <c r="AQ87">
        <f t="shared" si="3"/>
        <v>4.1656000000000004</v>
      </c>
    </row>
    <row r="88" spans="1:43" ht="12.75">
      <c r="A88" t="s">
        <v>248</v>
      </c>
      <c r="B88" t="s">
        <v>351</v>
      </c>
      <c r="C88" t="s">
        <v>154</v>
      </c>
      <c r="D88">
        <v>2050</v>
      </c>
      <c r="E88" t="str">
        <f>Worldprices!$E$62</f>
        <v>IMPCOABRO*</v>
      </c>
      <c r="F88" t="str">
        <f>Worldprices!$E$63</f>
        <v>COABRO</v>
      </c>
      <c r="G88">
        <f>Worldprices!$E$75*G$4</f>
        <v>3.1160000000000001</v>
      </c>
      <c r="H88">
        <f>Worldprices!$E$75*H$4</f>
        <v>2.9134600000000002</v>
      </c>
      <c r="I88">
        <f t="shared" si="2"/>
        <v>3.1160000000000001</v>
      </c>
      <c r="J88">
        <f>Worldprices!$E$75*J$4</f>
        <v>3.1160000000000001</v>
      </c>
      <c r="K88">
        <f>Worldprices!$E$75*K$4</f>
        <v>3.1160000000000001</v>
      </c>
      <c r="L88">
        <f>Worldprices!$E$75*L$4</f>
        <v>3.1160000000000001</v>
      </c>
      <c r="M88">
        <f>Worldprices!$E$75*M$4</f>
        <v>3.1160000000000001</v>
      </c>
      <c r="N88">
        <f>Worldprices!$E$75*N$4</f>
        <v>3.1160000000000001</v>
      </c>
      <c r="O88">
        <f>Worldprices!$E$75*O$4</f>
        <v>2.6486000000000001</v>
      </c>
      <c r="P88">
        <f>Worldprices!$E$75*P$4</f>
        <v>2.9601999999999999</v>
      </c>
      <c r="Q88">
        <f>Worldprices!$E$75*Q$4</f>
        <v>3.1160000000000001</v>
      </c>
      <c r="R88">
        <f>Worldprices!$E$75*R$4</f>
        <v>2.6486000000000001</v>
      </c>
      <c r="S88">
        <f>Worldprices!$E$75*S$4</f>
        <v>3.1160000000000001</v>
      </c>
      <c r="T88">
        <f>Worldprices!$E$75*T$4</f>
        <v>3.1160000000000001</v>
      </c>
      <c r="U88">
        <f>Worldprices!$E$75*U$4</f>
        <v>3.1160000000000001</v>
      </c>
      <c r="V88">
        <f>Worldprices!$E$75*V$4</f>
        <v>3.1160000000000001</v>
      </c>
      <c r="W88">
        <f>Worldprices!$E$75*W$4</f>
        <v>3.1160000000000001</v>
      </c>
      <c r="X88">
        <f>Worldprices!$E$75*X$4</f>
        <v>3.1160000000000001</v>
      </c>
      <c r="Y88">
        <f>Worldprices!$E$75*Y$4</f>
        <v>3.1160000000000001</v>
      </c>
      <c r="Z88">
        <f>Worldprices!$E$75*Z$4</f>
        <v>3.1160000000000001</v>
      </c>
      <c r="AA88">
        <f>Worldprices!$E$75*AA$4</f>
        <v>3.1160000000000001</v>
      </c>
      <c r="AB88">
        <f>Worldprices!$E$75*AB$4</f>
        <v>3.1160000000000001</v>
      </c>
      <c r="AC88">
        <f>Worldprices!$E$75*AC$4</f>
        <v>3.1160000000000001</v>
      </c>
      <c r="AD88">
        <f>Worldprices!$E$75*AD$4</f>
        <v>3.1160000000000001</v>
      </c>
      <c r="AE88">
        <f>Worldprices!$E$75*AE$4</f>
        <v>3.1160000000000001</v>
      </c>
      <c r="AF88">
        <f>Worldprices!$E$75*AF$4</f>
        <v>3.1160000000000001</v>
      </c>
      <c r="AG88">
        <f>Worldprices!$E$75*AG$4</f>
        <v>3.1160000000000001</v>
      </c>
      <c r="AH88">
        <f>Worldprices!$E$75*AH$4</f>
        <v>3.1160000000000001</v>
      </c>
      <c r="AI88">
        <f>Worldprices!$E$75*AI$4</f>
        <v>3.1160000000000001</v>
      </c>
      <c r="AJ88">
        <f>Worldprices!$E$75*AJ$4</f>
        <v>3.1160000000000001</v>
      </c>
      <c r="AK88">
        <f>Worldprices!$E$75*AK$4</f>
        <v>3.1160000000000001</v>
      </c>
      <c r="AL88">
        <f>Worldprices!$E$75*AL$4</f>
        <v>3.1160000000000001</v>
      </c>
      <c r="AM88">
        <f>Worldprices!$E$75*AM$4</f>
        <v>3.1160000000000001</v>
      </c>
      <c r="AN88">
        <f>Worldprices!$E$75*AN$4</f>
        <v>3.1160000000000001</v>
      </c>
      <c r="AO88">
        <f>Worldprices!$E$75*AO$4</f>
        <v>3.1160000000000001</v>
      </c>
      <c r="AP88">
        <f>Worldprices!$E$75*AP$4</f>
        <v>3.1160000000000001</v>
      </c>
      <c r="AQ88">
        <f t="shared" si="3"/>
        <v>3.1160000000000001</v>
      </c>
    </row>
    <row r="89" spans="1:43" ht="12.75">
      <c r="A89" t="s">
        <v>248</v>
      </c>
      <c r="B89" t="s">
        <v>351</v>
      </c>
      <c r="C89" t="s">
        <v>154</v>
      </c>
      <c r="D89">
        <v>2050</v>
      </c>
      <c r="E89" t="str">
        <f>Worldprices!$F$62</f>
        <v>IMPCOALIG*</v>
      </c>
      <c r="F89" t="str">
        <f>Worldprices!$F$63</f>
        <v>COALIG</v>
      </c>
      <c r="G89">
        <f>Worldprices!$F$75*G$4</f>
        <v>3.1160000000000001</v>
      </c>
      <c r="H89">
        <f>Worldprices!$F$75*H$4</f>
        <v>2.9134600000000002</v>
      </c>
      <c r="I89">
        <f t="shared" si="2"/>
        <v>3.1160000000000001</v>
      </c>
      <c r="J89">
        <f>Worldprices!$F$75*J$4</f>
        <v>3.1160000000000001</v>
      </c>
      <c r="K89">
        <f>Worldprices!$F$75*K$4</f>
        <v>3.1160000000000001</v>
      </c>
      <c r="L89">
        <f>Worldprices!$F$75*L$4</f>
        <v>3.1160000000000001</v>
      </c>
      <c r="M89">
        <f>Worldprices!$F$75*M$4</f>
        <v>3.1160000000000001</v>
      </c>
      <c r="N89">
        <f>Worldprices!$F$75*N$4</f>
        <v>3.1160000000000001</v>
      </c>
      <c r="O89">
        <f>Worldprices!$F$75*O$4</f>
        <v>2.6486000000000001</v>
      </c>
      <c r="P89">
        <f>Worldprices!$F$75*P$4</f>
        <v>2.9601999999999999</v>
      </c>
      <c r="Q89">
        <f>Worldprices!$F$75*Q$4</f>
        <v>3.1160000000000001</v>
      </c>
      <c r="R89">
        <f>Worldprices!$F$75*R$4</f>
        <v>2.6486000000000001</v>
      </c>
      <c r="S89">
        <f>Worldprices!$F$75*S$4</f>
        <v>3.1160000000000001</v>
      </c>
      <c r="T89">
        <f>Worldprices!$F$75*T$4</f>
        <v>3.1160000000000001</v>
      </c>
      <c r="U89">
        <f>Worldprices!$F$75*U$4</f>
        <v>3.1160000000000001</v>
      </c>
      <c r="V89">
        <f>Worldprices!$F$75*V$4</f>
        <v>3.1160000000000001</v>
      </c>
      <c r="W89">
        <f>Worldprices!$F$75*W$4</f>
        <v>3.1160000000000001</v>
      </c>
      <c r="X89">
        <f>Worldprices!$F$75*X$4</f>
        <v>3.1160000000000001</v>
      </c>
      <c r="Y89">
        <f>Worldprices!$F$75*Y$4</f>
        <v>3.1160000000000001</v>
      </c>
      <c r="Z89">
        <f>Worldprices!$F$75*Z$4</f>
        <v>3.1160000000000001</v>
      </c>
      <c r="AA89">
        <f>Worldprices!$F$75*AA$4</f>
        <v>3.1160000000000001</v>
      </c>
      <c r="AB89">
        <f>Worldprices!$F$75*AB$4</f>
        <v>3.1160000000000001</v>
      </c>
      <c r="AC89">
        <f>Worldprices!$F$75*AC$4</f>
        <v>3.1160000000000001</v>
      </c>
      <c r="AD89">
        <f>Worldprices!$F$75*AD$4</f>
        <v>3.1160000000000001</v>
      </c>
      <c r="AE89">
        <f>Worldprices!$F$75*AE$4</f>
        <v>3.1160000000000001</v>
      </c>
      <c r="AF89">
        <f>Worldprices!$F$75*AF$4</f>
        <v>3.1160000000000001</v>
      </c>
      <c r="AG89">
        <f>Worldprices!$F$75*AG$4</f>
        <v>3.1160000000000001</v>
      </c>
      <c r="AH89">
        <f>Worldprices!$F$75*AH$4</f>
        <v>3.1160000000000001</v>
      </c>
      <c r="AI89">
        <f>Worldprices!$F$75*AI$4</f>
        <v>3.1160000000000001</v>
      </c>
      <c r="AJ89">
        <f>Worldprices!$F$75*AJ$4</f>
        <v>3.1160000000000001</v>
      </c>
      <c r="AK89">
        <f>Worldprices!$F$75*AK$4</f>
        <v>3.1160000000000001</v>
      </c>
      <c r="AL89">
        <f>Worldprices!$F$75*AL$4</f>
        <v>3.1160000000000001</v>
      </c>
      <c r="AM89">
        <f>Worldprices!$F$75*AM$4</f>
        <v>3.1160000000000001</v>
      </c>
      <c r="AN89">
        <f>Worldprices!$F$75*AN$4</f>
        <v>3.1160000000000001</v>
      </c>
      <c r="AO89">
        <f>Worldprices!$F$75*AO$4</f>
        <v>3.1160000000000001</v>
      </c>
      <c r="AP89">
        <f>Worldprices!$F$75*AP$4</f>
        <v>3.1160000000000001</v>
      </c>
      <c r="AQ89">
        <f t="shared" si="3"/>
        <v>3.1160000000000001</v>
      </c>
    </row>
    <row r="90" spans="1:43" ht="12.75">
      <c r="A90" t="s">
        <v>248</v>
      </c>
      <c r="B90" t="s">
        <v>351</v>
      </c>
      <c r="C90" t="s">
        <v>154</v>
      </c>
      <c r="D90">
        <v>2050</v>
      </c>
      <c r="E90" t="str">
        <f>Worldprices!$M$62</f>
        <v>IMPOILOTH</v>
      </c>
      <c r="F90" t="str">
        <f>Worldprices!$M$63</f>
        <v>OILOTH</v>
      </c>
      <c r="G90">
        <f>Worldprices!$M$75*G$6</f>
        <v>17.469999999999995</v>
      </c>
      <c r="H90">
        <f>Worldprices!$M$75*H$6</f>
        <v>17.469999999999995</v>
      </c>
      <c r="I90">
        <f t="shared" si="2"/>
        <v>17.469999999999995</v>
      </c>
      <c r="J90">
        <f>Worldprices!$M$75*J$6</f>
        <v>17.469999999999995</v>
      </c>
      <c r="K90">
        <f>Worldprices!$M$75*K$6</f>
        <v>17.469999999999995</v>
      </c>
      <c r="L90">
        <f>Worldprices!$M$75*L$6</f>
        <v>17.469999999999995</v>
      </c>
      <c r="M90">
        <f>Worldprices!$M$75*M$6</f>
        <v>17.469999999999995</v>
      </c>
      <c r="N90">
        <f>Worldprices!$M$75*N$6</f>
        <v>17.469999999999995</v>
      </c>
      <c r="O90">
        <f>Worldprices!$M$75*O$6</f>
        <v>17.469999999999995</v>
      </c>
      <c r="P90">
        <f>Worldprices!$M$75*P$6</f>
        <v>17.469999999999995</v>
      </c>
      <c r="Q90">
        <f>Worldprices!$M$75*Q$6</f>
        <v>17.469999999999995</v>
      </c>
      <c r="R90">
        <f>Worldprices!$M$75*R$6</f>
        <v>17.469999999999995</v>
      </c>
      <c r="S90">
        <f>Worldprices!$M$75*S$6</f>
        <v>17.469999999999995</v>
      </c>
      <c r="T90">
        <f>Worldprices!$M$75*T$6</f>
        <v>17.469999999999995</v>
      </c>
      <c r="U90">
        <f>Worldprices!$M$75*U$6</f>
        <v>16.596499999999995</v>
      </c>
      <c r="V90">
        <f>Worldprices!$M$75*V$6</f>
        <v>17.469999999999995</v>
      </c>
      <c r="W90">
        <f>Worldprices!$M$75*W$6</f>
        <v>17.469999999999995</v>
      </c>
      <c r="X90">
        <f>Worldprices!$M$75*X$6</f>
        <v>17.469999999999995</v>
      </c>
      <c r="Y90">
        <f>Worldprices!$M$75*Y$6</f>
        <v>17.469999999999995</v>
      </c>
      <c r="Z90">
        <f>Worldprices!$M$75*Z$6</f>
        <v>17.469999999999995</v>
      </c>
      <c r="AA90">
        <f>Worldprices!$M$75*AA$6</f>
        <v>17.469999999999995</v>
      </c>
      <c r="AB90">
        <f>Worldprices!$M$75*AB$6</f>
        <v>17.469999999999995</v>
      </c>
      <c r="AC90">
        <f>Worldprices!$M$75*AC$6</f>
        <v>17.469999999999995</v>
      </c>
      <c r="AD90">
        <f>Worldprices!$M$75*AD$6</f>
        <v>17.469999999999995</v>
      </c>
      <c r="AE90">
        <f>Worldprices!$M$75*AE$6</f>
        <v>17.469999999999995</v>
      </c>
      <c r="AF90">
        <f>Worldprices!$M$75*AF$6</f>
        <v>17.469999999999995</v>
      </c>
      <c r="AG90">
        <f>Worldprices!$M$75*AG$6</f>
        <v>17.469999999999995</v>
      </c>
      <c r="AH90">
        <f>Worldprices!$M$75*AH$6</f>
        <v>17.469999999999995</v>
      </c>
      <c r="AI90">
        <f>Worldprices!$M$75*AI$6</f>
        <v>17.469999999999995</v>
      </c>
      <c r="AJ90">
        <f>Worldprices!$M$75*AJ$6</f>
        <v>17.469999999999995</v>
      </c>
      <c r="AK90">
        <f>Worldprices!$M$75*AK$6</f>
        <v>17.469999999999995</v>
      </c>
      <c r="AL90">
        <f>Worldprices!$M$75*AL$6</f>
        <v>17.469999999999995</v>
      </c>
      <c r="AM90">
        <f>Worldprices!$M$75*AM$6</f>
        <v>17.469999999999995</v>
      </c>
      <c r="AN90">
        <f>Worldprices!$M$75*AN$6</f>
        <v>17.469999999999995</v>
      </c>
      <c r="AO90">
        <f>Worldprices!$M$75*AO$6</f>
        <v>17.469999999999995</v>
      </c>
      <c r="AP90">
        <f>Worldprices!$M$75*AP$6</f>
        <v>17.469999999999995</v>
      </c>
      <c r="AQ90">
        <f t="shared" si="3"/>
        <v>17.469999999999995</v>
      </c>
    </row>
    <row r="91" spans="1:43" ht="12.75">
      <c r="A91" t="s">
        <v>248</v>
      </c>
      <c r="B91" t="s">
        <v>351</v>
      </c>
      <c r="C91" t="s">
        <v>154</v>
      </c>
      <c r="D91">
        <v>2050</v>
      </c>
      <c r="E91" t="str">
        <f>Worldprices!$N$62</f>
        <v>IMPOILNAP</v>
      </c>
      <c r="F91" t="str">
        <f>Worldprices!$N$63</f>
        <v>OILNAP</v>
      </c>
      <c r="G91">
        <f>Worldprices!$N$75*G$6</f>
        <v>17.469999999999995</v>
      </c>
      <c r="H91">
        <f>Worldprices!$N$75*H$6</f>
        <v>17.469999999999995</v>
      </c>
      <c r="I91">
        <f t="shared" si="2"/>
        <v>17.469999999999995</v>
      </c>
      <c r="J91">
        <f>Worldprices!$N$75*J$6</f>
        <v>17.469999999999995</v>
      </c>
      <c r="K91">
        <f>Worldprices!$N$75*K$6</f>
        <v>17.469999999999995</v>
      </c>
      <c r="L91">
        <f>Worldprices!$N$75*L$6</f>
        <v>17.469999999999995</v>
      </c>
      <c r="M91">
        <f>Worldprices!$N$75*M$6</f>
        <v>17.469999999999995</v>
      </c>
      <c r="N91">
        <f>Worldprices!$N$75*N$6</f>
        <v>17.469999999999995</v>
      </c>
      <c r="O91">
        <f>Worldprices!$N$75*O$6</f>
        <v>17.469999999999995</v>
      </c>
      <c r="P91">
        <f>Worldprices!$N$75*P$6</f>
        <v>17.469999999999995</v>
      </c>
      <c r="Q91">
        <f>Worldprices!$N$75*Q$6</f>
        <v>17.469999999999995</v>
      </c>
      <c r="R91">
        <f>Worldprices!$N$75*R$6</f>
        <v>17.469999999999995</v>
      </c>
      <c r="S91">
        <f>Worldprices!$N$75*S$6</f>
        <v>17.469999999999995</v>
      </c>
      <c r="T91">
        <f>Worldprices!$N$75*T$6</f>
        <v>17.469999999999995</v>
      </c>
      <c r="U91">
        <f>Worldprices!$N$75*U$6</f>
        <v>16.596499999999995</v>
      </c>
      <c r="V91">
        <f>Worldprices!$N$75*V$6</f>
        <v>17.469999999999995</v>
      </c>
      <c r="W91">
        <f>Worldprices!$N$75*W$6</f>
        <v>17.469999999999995</v>
      </c>
      <c r="X91">
        <f>Worldprices!$N$75*X$6</f>
        <v>17.469999999999995</v>
      </c>
      <c r="Y91">
        <f>Worldprices!$N$75*Y$6</f>
        <v>17.469999999999995</v>
      </c>
      <c r="Z91">
        <f>Worldprices!$N$75*Z$6</f>
        <v>17.469999999999995</v>
      </c>
      <c r="AA91">
        <f>Worldprices!$N$75*AA$6</f>
        <v>17.469999999999995</v>
      </c>
      <c r="AB91">
        <f>Worldprices!$N$75*AB$6</f>
        <v>17.469999999999995</v>
      </c>
      <c r="AC91">
        <f>Worldprices!$N$75*AC$6</f>
        <v>17.469999999999995</v>
      </c>
      <c r="AD91">
        <f>Worldprices!$N$75*AD$6</f>
        <v>17.469999999999995</v>
      </c>
      <c r="AE91">
        <f>Worldprices!$N$75*AE$6</f>
        <v>17.469999999999995</v>
      </c>
      <c r="AF91">
        <f>Worldprices!$N$75*AF$6</f>
        <v>17.469999999999995</v>
      </c>
      <c r="AG91">
        <f>Worldprices!$N$75*AG$6</f>
        <v>17.469999999999995</v>
      </c>
      <c r="AH91">
        <f>Worldprices!$N$75*AH$6</f>
        <v>17.469999999999995</v>
      </c>
      <c r="AI91">
        <f>Worldprices!$N$75*AI$6</f>
        <v>17.469999999999995</v>
      </c>
      <c r="AJ91">
        <f>Worldprices!$N$75*AJ$6</f>
        <v>17.469999999999995</v>
      </c>
      <c r="AK91">
        <f>Worldprices!$N$75*AK$6</f>
        <v>17.469999999999995</v>
      </c>
      <c r="AL91">
        <f>Worldprices!$N$75*AL$6</f>
        <v>17.469999999999995</v>
      </c>
      <c r="AM91">
        <f>Worldprices!$N$75*AM$6</f>
        <v>17.469999999999995</v>
      </c>
      <c r="AN91">
        <f>Worldprices!$N$75*AN$6</f>
        <v>17.469999999999995</v>
      </c>
      <c r="AO91">
        <f>Worldprices!$N$75*AO$6</f>
        <v>17.469999999999995</v>
      </c>
      <c r="AP91">
        <f>Worldprices!$N$75*AP$6</f>
        <v>17.469999999999995</v>
      </c>
      <c r="AQ91">
        <f t="shared" si="3"/>
        <v>17.469999999999995</v>
      </c>
    </row>
    <row r="92" spans="1:43" ht="12.75">
      <c r="A92" t="s">
        <v>248</v>
      </c>
      <c r="B92" t="s">
        <v>351</v>
      </c>
      <c r="C92" t="s">
        <v>154</v>
      </c>
      <c r="D92">
        <v>2050</v>
      </c>
      <c r="E92" t="str">
        <f>Worldprices!$O$62</f>
        <v>IMPOILFDS</v>
      </c>
      <c r="F92" t="str">
        <f>Worldprices!$O$63</f>
        <v>OILFDS</v>
      </c>
      <c r="G92">
        <f>Worldprices!$O$75*G$6</f>
        <v>17.469999999999995</v>
      </c>
      <c r="H92">
        <f>Worldprices!$O$75*H$6</f>
        <v>17.469999999999995</v>
      </c>
      <c r="I92">
        <f t="shared" si="2"/>
        <v>17.469999999999995</v>
      </c>
      <c r="J92">
        <f>Worldprices!$O$75*J$6</f>
        <v>17.469999999999995</v>
      </c>
      <c r="K92">
        <f>Worldprices!$O$75*K$6</f>
        <v>17.469999999999995</v>
      </c>
      <c r="L92">
        <f>Worldprices!$O$75*L$6</f>
        <v>17.469999999999995</v>
      </c>
      <c r="M92">
        <f>Worldprices!$O$75*M$6</f>
        <v>17.469999999999995</v>
      </c>
      <c r="N92">
        <f>Worldprices!$O$75*N$6</f>
        <v>17.469999999999995</v>
      </c>
      <c r="O92">
        <f>Worldprices!$O$75*O$6</f>
        <v>17.469999999999995</v>
      </c>
      <c r="P92">
        <f>Worldprices!$O$75*P$6</f>
        <v>17.469999999999995</v>
      </c>
      <c r="Q92">
        <f>Worldprices!$O$75*Q$6</f>
        <v>17.469999999999995</v>
      </c>
      <c r="R92">
        <f>Worldprices!$O$75*R$6</f>
        <v>17.469999999999995</v>
      </c>
      <c r="S92">
        <f>Worldprices!$O$75*S$6</f>
        <v>17.469999999999995</v>
      </c>
      <c r="T92">
        <f>Worldprices!$O$75*T$6</f>
        <v>17.469999999999995</v>
      </c>
      <c r="U92">
        <f>Worldprices!$O$75*U$6</f>
        <v>16.596499999999995</v>
      </c>
      <c r="V92">
        <f>Worldprices!$O$75*V$6</f>
        <v>17.469999999999995</v>
      </c>
      <c r="W92">
        <f>Worldprices!$O$75*W$6</f>
        <v>17.469999999999995</v>
      </c>
      <c r="X92">
        <f>Worldprices!$O$75*X$6</f>
        <v>17.469999999999995</v>
      </c>
      <c r="Y92">
        <f>Worldprices!$O$75*Y$6</f>
        <v>17.469999999999995</v>
      </c>
      <c r="Z92">
        <f>Worldprices!$O$75*Z$6</f>
        <v>17.469999999999995</v>
      </c>
      <c r="AA92">
        <f>Worldprices!$O$75*AA$6</f>
        <v>17.469999999999995</v>
      </c>
      <c r="AB92">
        <f>Worldprices!$O$75*AB$6</f>
        <v>17.469999999999995</v>
      </c>
      <c r="AC92">
        <f>Worldprices!$O$75*AC$6</f>
        <v>17.469999999999995</v>
      </c>
      <c r="AD92">
        <f>Worldprices!$O$75*AD$6</f>
        <v>17.469999999999995</v>
      </c>
      <c r="AE92">
        <f>Worldprices!$O$75*AE$6</f>
        <v>17.469999999999995</v>
      </c>
      <c r="AF92">
        <f>Worldprices!$O$75*AF$6</f>
        <v>17.469999999999995</v>
      </c>
      <c r="AG92">
        <f>Worldprices!$O$75*AG$6</f>
        <v>17.469999999999995</v>
      </c>
      <c r="AH92">
        <f>Worldprices!$O$75*AH$6</f>
        <v>17.469999999999995</v>
      </c>
      <c r="AI92">
        <f>Worldprices!$O$75*AI$6</f>
        <v>17.469999999999995</v>
      </c>
      <c r="AJ92">
        <f>Worldprices!$O$75*AJ$6</f>
        <v>17.469999999999995</v>
      </c>
      <c r="AK92">
        <f>Worldprices!$O$75*AK$6</f>
        <v>17.469999999999995</v>
      </c>
      <c r="AL92">
        <f>Worldprices!$O$75*AL$6</f>
        <v>17.469999999999995</v>
      </c>
      <c r="AM92">
        <f>Worldprices!$O$75*AM$6</f>
        <v>17.469999999999995</v>
      </c>
      <c r="AN92">
        <f>Worldprices!$O$75*AN$6</f>
        <v>17.469999999999995</v>
      </c>
      <c r="AO92">
        <f>Worldprices!$O$75*AO$6</f>
        <v>17.469999999999995</v>
      </c>
      <c r="AP92">
        <f>Worldprices!$O$75*AP$6</f>
        <v>17.469999999999995</v>
      </c>
      <c r="AQ92">
        <f t="shared" si="3"/>
        <v>17.469999999999995</v>
      </c>
    </row>
    <row r="93" spans="1:43" ht="12.75">
      <c r="A93" t="s">
        <v>248</v>
      </c>
      <c r="B93" t="s">
        <v>351</v>
      </c>
      <c r="C93" t="s">
        <v>154</v>
      </c>
      <c r="D93">
        <v>2050</v>
      </c>
      <c r="E93" t="str">
        <f>Worldprices!$P$62</f>
        <v>IMPOILNEU</v>
      </c>
      <c r="F93" t="str">
        <f>Worldprices!$P$63</f>
        <v>OILNEU</v>
      </c>
      <c r="G93">
        <f>Worldprices!$P$75*G$6</f>
        <v>17.469999999999995</v>
      </c>
      <c r="H93">
        <f>Worldprices!$P$75*H$6</f>
        <v>17.469999999999995</v>
      </c>
      <c r="I93">
        <f t="shared" si="2"/>
        <v>17.469999999999995</v>
      </c>
      <c r="J93">
        <f>Worldprices!$P$75*J$6</f>
        <v>17.469999999999995</v>
      </c>
      <c r="K93">
        <f>Worldprices!$P$75*K$6</f>
        <v>17.469999999999995</v>
      </c>
      <c r="L93">
        <f>Worldprices!$P$75*L$6</f>
        <v>17.469999999999995</v>
      </c>
      <c r="M93">
        <f>Worldprices!$P$75*M$6</f>
        <v>17.469999999999995</v>
      </c>
      <c r="N93">
        <f>Worldprices!$P$75*N$6</f>
        <v>17.469999999999995</v>
      </c>
      <c r="O93">
        <f>Worldprices!$P$75*O$6</f>
        <v>17.469999999999995</v>
      </c>
      <c r="P93">
        <f>Worldprices!$P$75*P$6</f>
        <v>17.469999999999995</v>
      </c>
      <c r="Q93">
        <f>Worldprices!$P$75*Q$6</f>
        <v>17.469999999999995</v>
      </c>
      <c r="R93">
        <f>Worldprices!$P$75*R$6</f>
        <v>17.469999999999995</v>
      </c>
      <c r="S93">
        <f>Worldprices!$P$75*S$6</f>
        <v>17.469999999999995</v>
      </c>
      <c r="T93">
        <f>Worldprices!$P$75*T$6</f>
        <v>17.469999999999995</v>
      </c>
      <c r="U93">
        <f>Worldprices!$P$75*U$6</f>
        <v>16.596499999999995</v>
      </c>
      <c r="V93">
        <f>Worldprices!$P$75*V$6</f>
        <v>17.469999999999995</v>
      </c>
      <c r="W93">
        <f>Worldprices!$P$75*W$6</f>
        <v>17.469999999999995</v>
      </c>
      <c r="X93">
        <f>Worldprices!$P$75*X$6</f>
        <v>17.469999999999995</v>
      </c>
      <c r="Y93">
        <f>Worldprices!$P$75*Y$6</f>
        <v>17.469999999999995</v>
      </c>
      <c r="Z93">
        <f>Worldprices!$P$75*Z$6</f>
        <v>17.469999999999995</v>
      </c>
      <c r="AA93">
        <f>Worldprices!$P$75*AA$6</f>
        <v>17.469999999999995</v>
      </c>
      <c r="AB93">
        <f>Worldprices!$P$75*AB$6</f>
        <v>17.469999999999995</v>
      </c>
      <c r="AC93">
        <f>Worldprices!$P$75*AC$6</f>
        <v>17.469999999999995</v>
      </c>
      <c r="AD93">
        <f>Worldprices!$P$75*AD$6</f>
        <v>17.469999999999995</v>
      </c>
      <c r="AE93">
        <f>Worldprices!$P$75*AE$6</f>
        <v>17.469999999999995</v>
      </c>
      <c r="AF93">
        <f>Worldprices!$P$75*AF$6</f>
        <v>17.469999999999995</v>
      </c>
      <c r="AG93">
        <f>Worldprices!$P$75*AG$6</f>
        <v>17.469999999999995</v>
      </c>
      <c r="AH93">
        <f>Worldprices!$P$75*AH$6</f>
        <v>17.469999999999995</v>
      </c>
      <c r="AI93">
        <f>Worldprices!$P$75*AI$6</f>
        <v>17.469999999999995</v>
      </c>
      <c r="AJ93">
        <f>Worldprices!$P$75*AJ$6</f>
        <v>17.469999999999995</v>
      </c>
      <c r="AK93">
        <f>Worldprices!$P$75*AK$6</f>
        <v>17.469999999999995</v>
      </c>
      <c r="AL93">
        <f>Worldprices!$P$75*AL$6</f>
        <v>17.469999999999995</v>
      </c>
      <c r="AM93">
        <f>Worldprices!$P$75*AM$6</f>
        <v>17.469999999999995</v>
      </c>
      <c r="AN93">
        <f>Worldprices!$P$75*AN$6</f>
        <v>17.469999999999995</v>
      </c>
      <c r="AO93">
        <f>Worldprices!$P$75*AO$6</f>
        <v>17.469999999999995</v>
      </c>
      <c r="AP93">
        <f>Worldprices!$P$75*AP$6</f>
        <v>17.469999999999995</v>
      </c>
      <c r="AQ93">
        <f t="shared" si="3"/>
        <v>17.469999999999995</v>
      </c>
    </row>
    <row r="94" spans="1:43" ht="13.5" customHeight="1">
      <c r="A94" t="s">
        <v>248</v>
      </c>
      <c r="B94" t="s">
        <v>351</v>
      </c>
      <c r="C94" t="s">
        <v>305</v>
      </c>
      <c r="D94">
        <v>2050</v>
      </c>
      <c r="E94" t="str">
        <f>Worldprices!$R$62</f>
        <v>IMPBIOWOO</v>
      </c>
      <c r="F94" t="str">
        <f>Worldprices!$R$63</f>
        <v>BIOWOO</v>
      </c>
      <c r="G94">
        <f>Worldprices!$R$75*G$8</f>
        <v>7.3967724587859394</v>
      </c>
      <c r="H94">
        <f>Worldprices!$R$75*H$8</f>
        <v>7.3967724587859394</v>
      </c>
      <c r="I94">
        <f>AH94</f>
        <v>7.3967724587859394</v>
      </c>
      <c r="J94">
        <f>Worldprices!$R$75*J$8</f>
        <v>7.3967724587859394</v>
      </c>
      <c r="K94">
        <f>Worldprices!$R$75*K$8</f>
        <v>7.3967724587859394</v>
      </c>
      <c r="L94">
        <f>Worldprices!$R$75*L$8</f>
        <v>7.3967724587859394</v>
      </c>
      <c r="M94">
        <f>Worldprices!$R$75*M$8</f>
        <v>7.3967724587859394</v>
      </c>
      <c r="N94">
        <f>Worldprices!$R$75*N$8</f>
        <v>7.3967724587859394</v>
      </c>
      <c r="O94">
        <f>Worldprices!$R$75*O$8</f>
        <v>7.3967724587859394</v>
      </c>
      <c r="P94">
        <f>Worldprices!$R$75*P$8</f>
        <v>7.3967724587859394</v>
      </c>
      <c r="Q94">
        <f>Worldprices!$R$75*Q$8</f>
        <v>7.3967724587859394</v>
      </c>
      <c r="R94">
        <f>Worldprices!$R$75*R$8</f>
        <v>7.3967724587859394</v>
      </c>
      <c r="S94">
        <f>Worldprices!$R$75*S$8</f>
        <v>7.3967724587859394</v>
      </c>
      <c r="T94">
        <f>Worldprices!$R$75*T$8</f>
        <v>7.3967724587859394</v>
      </c>
      <c r="U94">
        <f>Worldprices!$R$75*U$8</f>
        <v>7.3967724587859394</v>
      </c>
      <c r="V94">
        <f>Worldprices!$R$75*V$8</f>
        <v>7.3967724587859394</v>
      </c>
      <c r="W94">
        <f>Worldprices!$R$75*W$8</f>
        <v>7.3967724587859394</v>
      </c>
      <c r="X94">
        <f>Worldprices!$R$75*X$8</f>
        <v>7.3967724587859394</v>
      </c>
      <c r="Y94">
        <f>Worldprices!$R$75*Y$8</f>
        <v>7.3967724587859394</v>
      </c>
      <c r="Z94">
        <f>Worldprices!$R$75*Z$8</f>
        <v>7.3967724587859394</v>
      </c>
      <c r="AA94">
        <f>Worldprices!$R$75*AA$8</f>
        <v>7.3967724587859394</v>
      </c>
      <c r="AB94">
        <f>Worldprices!$R$75*AB$8</f>
        <v>7.3967724587859394</v>
      </c>
      <c r="AC94">
        <f>Worldprices!$R$75*AC$8</f>
        <v>7.3967724587859394</v>
      </c>
      <c r="AD94">
        <f>Worldprices!$R$75*AD$8</f>
        <v>7.3967724587859394</v>
      </c>
      <c r="AE94">
        <f>Worldprices!$R$75*AE$8</f>
        <v>7.3967724587859394</v>
      </c>
      <c r="AF94">
        <f>Worldprices!$R$75*AF$8</f>
        <v>7.3967724587859394</v>
      </c>
      <c r="AG94">
        <f>Worldprices!$R$75*AG$8</f>
        <v>7.3967724587859394</v>
      </c>
      <c r="AH94">
        <f>Worldprices!$R$75*AH$8</f>
        <v>7.3967724587859394</v>
      </c>
      <c r="AI94">
        <f>Worldprices!$R$75*AI$8</f>
        <v>7.3967724587859394</v>
      </c>
      <c r="AJ94">
        <f>Worldprices!$R$75*AJ$8</f>
        <v>7.3967724587859394</v>
      </c>
      <c r="AK94">
        <f>Worldprices!$R$75*AK$8</f>
        <v>7.3967724587859394</v>
      </c>
      <c r="AL94">
        <f>Worldprices!$R$75*AL$8</f>
        <v>7.3967724587859394</v>
      </c>
      <c r="AM94">
        <f>Worldprices!$R$75*AM$8</f>
        <v>7.3967724587859394</v>
      </c>
      <c r="AN94">
        <f>Worldprices!$R$75*AN$8</f>
        <v>7.3967724587859394</v>
      </c>
      <c r="AO94">
        <f>Worldprices!$R$75*AO$8</f>
        <v>7.3967724587859394</v>
      </c>
      <c r="AP94">
        <f>Worldprices!$R$75*AP$8</f>
        <v>7.3967724587859394</v>
      </c>
      <c r="AQ94">
        <f t="shared" si="3"/>
        <v>7.3967724587859394</v>
      </c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common data</vt:lpstr>
      <vt:lpstr>REF2016 Prices</vt:lpstr>
      <vt:lpstr>PRIMESprices SEC 2011</vt:lpstr>
      <vt:lpstr>Worldprices</vt:lpstr>
      <vt:lpstr>MaterialPrices</vt:lpstr>
      <vt:lpstr>INPUTtoVEDAMatPrices</vt:lpstr>
      <vt:lpstr>INPUTtoVEDA_importprice TR</vt:lpstr>
      <vt:lpstr>INPUTtoVEDA_miningprice</vt:lpstr>
      <vt:lpstr>INPUTtoVEDA_importpriceNT</vt:lpstr>
    </vt:vector>
  </TitlesOfParts>
  <Template/>
  <Manager/>
  <Company>K.U.Leuven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ndaaa65</dc:creator>
  <cp:keywords/>
  <dc:description/>
  <cp:lastModifiedBy>Johanna Markkanen</cp:lastModifiedBy>
  <dcterms:created xsi:type="dcterms:W3CDTF">2006-01-11T08:16:21Z</dcterms:created>
  <dcterms:modified xsi:type="dcterms:W3CDTF">2025-08-27T09:36:35Z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324688136577606</vt:r8>
  </property>
</Properties>
</file>