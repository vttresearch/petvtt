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Veda\Veda_models\PETVTT\SuppXLS\"/>
    </mc:Choice>
  </mc:AlternateContent>
  <xr:revisionPtr revIDLastSave="0" documentId="13_ncr:1_{C1AD9440-D1CA-47A8-9645-12C14A8E24B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eneralNETS" sheetId="2" r:id="rId1"/>
    <sheet name="CO2Storage" sheetId="3" r:id="rId2"/>
    <sheet name="DACCS" sheetId="12" r:id="rId3"/>
    <sheet name="PyCCs" sheetId="11" r:id="rId4"/>
    <sheet name="SCS" sheetId="10" r:id="rId5"/>
    <sheet name="Forestry" sheetId="4" r:id="rId6"/>
    <sheet name="EW" sheetId="8" r:id="rId7"/>
  </sheets>
  <externalReferences>
    <externalReference r:id="rId8"/>
    <externalReference r:id="rId9"/>
    <externalReference r:id="rId10"/>
  </externalReferences>
  <definedNames>
    <definedName name="BE" localSheetId="1">#REF!</definedName>
    <definedName name="BE" localSheetId="2">#REF!</definedName>
    <definedName name="BE" localSheetId="6">#REF!</definedName>
    <definedName name="BE" localSheetId="5">#REF!</definedName>
    <definedName name="BE" localSheetId="3">#REF!</definedName>
    <definedName name="BE" localSheetId="4">#REF!</definedName>
    <definedName name="BE">#REF!</definedName>
    <definedName name="bel" localSheetId="1">#REF!</definedName>
    <definedName name="bel" localSheetId="2">#REF!</definedName>
    <definedName name="bel" localSheetId="6">#REF!</definedName>
    <definedName name="bel" localSheetId="5">#REF!</definedName>
    <definedName name="bel" localSheetId="3">#REF!</definedName>
    <definedName name="bel" localSheetId="4">#REF!</definedName>
    <definedName name="bel">#REF!</definedName>
    <definedName name="dsg" localSheetId="1">#REF!</definedName>
    <definedName name="dsg" localSheetId="2">#REF!</definedName>
    <definedName name="dsg" localSheetId="6">#REF!</definedName>
    <definedName name="dsg" localSheetId="5">#REF!</definedName>
    <definedName name="dsg" localSheetId="3">#REF!</definedName>
    <definedName name="dsg" localSheetId="4">#REF!</definedName>
    <definedName name="dsg">#REF!</definedName>
    <definedName name="Scenario" localSheetId="1">[1]BioCrops!$G$1</definedName>
    <definedName name="Scenario" localSheetId="2">[1]BioCrops!$G$1</definedName>
    <definedName name="Scenario" localSheetId="6">[1]BioCrops!$G$1</definedName>
    <definedName name="Scenario" localSheetId="5">#REF!</definedName>
    <definedName name="Scenario" localSheetId="3">[1]BioCrops!$G$1</definedName>
    <definedName name="Scenario" localSheetId="4">[1]BioCrops!$G$1</definedName>
    <definedName name="Scenario">[2]BioCrops!$G$1</definedName>
    <definedName name="scenn" localSheetId="2">#REF!</definedName>
    <definedName name="scenn" localSheetId="3">#REF!</definedName>
    <definedName name="scenn" localSheetId="4">#REF!</definedName>
    <definedName name="scenn">#REF!</definedName>
    <definedName name="Summer" localSheetId="1">#REF!</definedName>
    <definedName name="Summer" localSheetId="2">#REF!</definedName>
    <definedName name="Summer" localSheetId="6">#REF!</definedName>
    <definedName name="Summer" localSheetId="5">#REF!</definedName>
    <definedName name="Summer" localSheetId="3">#REF!</definedName>
    <definedName name="Summer" localSheetId="4">#REF!</definedName>
    <definedName name="Summer">#REF!</definedName>
    <definedName name="Summer1" localSheetId="1">#REF!</definedName>
    <definedName name="Summer1" localSheetId="2">#REF!</definedName>
    <definedName name="Summer1" localSheetId="6">#REF!</definedName>
    <definedName name="Summer1" localSheetId="5">#REF!</definedName>
    <definedName name="Summer1" localSheetId="3">#REF!</definedName>
    <definedName name="Summer1" localSheetId="4">#REF!</definedName>
    <definedName name="Summer1">#REF!</definedName>
    <definedName name="ToeTJ" localSheetId="1">#REF!</definedName>
    <definedName name="ToeTJ" localSheetId="2">#REF!</definedName>
    <definedName name="ToeTJ" localSheetId="6">#REF!</definedName>
    <definedName name="ToeTJ" localSheetId="5">#REF!</definedName>
    <definedName name="ToeTJ" localSheetId="3">#REF!</definedName>
    <definedName name="ToeTJ" localSheetId="4">#REF!</definedName>
    <definedName name="ToeTJ">#REF!</definedName>
    <definedName name="TSeg" localSheetId="1">#REF!</definedName>
    <definedName name="TSeg" localSheetId="2">#REF!</definedName>
    <definedName name="TSeg" localSheetId="6">#REF!</definedName>
    <definedName name="TSeg" localSheetId="5">#REF!</definedName>
    <definedName name="TSeg" localSheetId="3">#REF!</definedName>
    <definedName name="TSeg" localSheetId="4">#REF!</definedName>
    <definedName name="TSeg">#REF!</definedName>
    <definedName name="TSEG1" localSheetId="1">#REF!</definedName>
    <definedName name="TSEG1" localSheetId="2">#REF!</definedName>
    <definedName name="TSEG1" localSheetId="6">#REF!</definedName>
    <definedName name="TSEG1" localSheetId="5">#REF!</definedName>
    <definedName name="TSEG1" localSheetId="3">#REF!</definedName>
    <definedName name="TSEG1" localSheetId="4">#REF!</definedName>
    <definedName name="TSEG1">#REF!</definedName>
    <definedName name="TSEG2" localSheetId="1">#REF!</definedName>
    <definedName name="TSEG2" localSheetId="2">#REF!</definedName>
    <definedName name="TSEG2" localSheetId="6">#REF!</definedName>
    <definedName name="TSEG2" localSheetId="5">#REF!</definedName>
    <definedName name="TSEG2" localSheetId="3">#REF!</definedName>
    <definedName name="TSEG2" localSheetId="4">#REF!</definedName>
    <definedName name="TSEG2">#REF!</definedName>
    <definedName name="TSEG3" localSheetId="1">#REF!</definedName>
    <definedName name="TSEG3" localSheetId="2">#REF!</definedName>
    <definedName name="TSEG3" localSheetId="6">#REF!</definedName>
    <definedName name="TSEG3" localSheetId="5">#REF!</definedName>
    <definedName name="TSEG3" localSheetId="3">#REF!</definedName>
    <definedName name="TSEG3" localSheetId="4">#REF!</definedName>
    <definedName name="TSEG3">#REF!</definedName>
    <definedName name="TSEG4" localSheetId="1">#REF!</definedName>
    <definedName name="TSEG4" localSheetId="2">#REF!</definedName>
    <definedName name="TSEG4" localSheetId="6">#REF!</definedName>
    <definedName name="TSEG4" localSheetId="5">#REF!</definedName>
    <definedName name="TSEG4" localSheetId="3">#REF!</definedName>
    <definedName name="TSEG4" localSheetId="4">#REF!</definedName>
    <definedName name="TSEG4">#REF!</definedName>
    <definedName name="TSEG5" localSheetId="1">#REF!</definedName>
    <definedName name="TSEG5" localSheetId="2">#REF!</definedName>
    <definedName name="TSEG5" localSheetId="6">#REF!</definedName>
    <definedName name="TSEG5" localSheetId="5">#REF!</definedName>
    <definedName name="TSEG5" localSheetId="3">#REF!</definedName>
    <definedName name="TSEG5" localSheetId="4">#REF!</definedName>
    <definedName name="TSEG5">#REF!</definedName>
    <definedName name="Winter" localSheetId="1">#REF!</definedName>
    <definedName name="Winter" localSheetId="2">#REF!</definedName>
    <definedName name="Winter" localSheetId="6">#REF!</definedName>
    <definedName name="Winter" localSheetId="5">#REF!</definedName>
    <definedName name="Winter" localSheetId="3">#REF!</definedName>
    <definedName name="Winter" localSheetId="4">#REF!</definedName>
    <definedName name="Winter">#REF!</definedName>
    <definedName name="XLSIMSIM" localSheetId="2" hidden="1">{"Sim",1,"normal","'Costs'!$Q$8","1","2","100","0"}</definedName>
    <definedName name="XLSIMSIM" localSheetId="5" hidden="1">{"Sim",1,"normal","'Costs'!$Q$8","1","2","100","0"}</definedName>
    <definedName name="XLSIMSIM" localSheetId="3" hidden="1">{"Sim",1,"normal","'Costs'!$Q$8","1","2","100","0"}</definedName>
    <definedName name="XLSIMSIM" localSheetId="4" hidden="1">{"Sim",1,"normal","'Costs'!$Q$8","1","2","100","0"}</definedName>
    <definedName name="XLSIMSIM" hidden="1">{"Sim",1,"normal","'Costs'!$Q$8","1","2","100","0"}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8" i="3" l="1"/>
  <c r="G29" i="12"/>
  <c r="H29" i="12"/>
  <c r="G27" i="12"/>
  <c r="G28" i="12"/>
  <c r="B20" i="12"/>
  <c r="B21" i="12"/>
  <c r="B19" i="12"/>
  <c r="AL48" i="3"/>
  <c r="AL49" i="3"/>
  <c r="AL50" i="3"/>
  <c r="AL47" i="3"/>
  <c r="AU20" i="3"/>
  <c r="AU6" i="3"/>
  <c r="AU7" i="3"/>
  <c r="AU8" i="3"/>
  <c r="AU9" i="3"/>
  <c r="AU10" i="3"/>
  <c r="AU11" i="3"/>
  <c r="AU12" i="3"/>
  <c r="AU13" i="3"/>
  <c r="AU14" i="3"/>
  <c r="AU15" i="3"/>
  <c r="AU16" i="3"/>
  <c r="AU5" i="3"/>
  <c r="R148" i="3"/>
  <c r="P148" i="3"/>
  <c r="M148" i="3"/>
  <c r="L148" i="3"/>
  <c r="K148" i="3"/>
  <c r="J148" i="3"/>
  <c r="H148" i="3"/>
  <c r="G148" i="3"/>
  <c r="F148" i="3"/>
  <c r="E148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O119" i="3"/>
  <c r="O120" i="3"/>
  <c r="D120" i="3"/>
  <c r="D119" i="3"/>
  <c r="O118" i="3"/>
  <c r="D118" i="3"/>
  <c r="O117" i="3"/>
  <c r="D117" i="3"/>
  <c r="N117" i="3"/>
  <c r="I117" i="3"/>
  <c r="Q116" i="3"/>
  <c r="O116" i="3"/>
  <c r="N116" i="3"/>
  <c r="N148" i="3"/>
  <c r="I116" i="3"/>
  <c r="D116" i="3"/>
  <c r="Q115" i="3"/>
  <c r="O115" i="3"/>
  <c r="I115" i="3"/>
  <c r="D115" i="3"/>
  <c r="S114" i="3"/>
  <c r="S148" i="3"/>
  <c r="Q114" i="3"/>
  <c r="O114" i="3"/>
  <c r="I114" i="3"/>
  <c r="D114" i="3"/>
  <c r="Q113" i="3"/>
  <c r="O113" i="3"/>
  <c r="I113" i="3"/>
  <c r="D113" i="3"/>
  <c r="Q112" i="3"/>
  <c r="Q148" i="3"/>
  <c r="O112" i="3"/>
  <c r="O148" i="3"/>
  <c r="I112" i="3"/>
  <c r="D112" i="3"/>
  <c r="D111" i="3"/>
  <c r="D110" i="3"/>
  <c r="AQ17" i="3"/>
  <c r="AP17" i="3"/>
  <c r="H28" i="12"/>
  <c r="I28" i="12"/>
  <c r="H27" i="12"/>
  <c r="I27" i="12"/>
  <c r="I29" i="12"/>
  <c r="D148" i="3"/>
  <c r="I148" i="3"/>
  <c r="AT7" i="11"/>
  <c r="AU7" i="11"/>
  <c r="AW7" i="11"/>
  <c r="AT6" i="11"/>
  <c r="AV6" i="11"/>
  <c r="AV7" i="11"/>
  <c r="AU6" i="11"/>
  <c r="AW6" i="11"/>
  <c r="D76" i="12"/>
  <c r="D78" i="12"/>
  <c r="E76" i="12"/>
  <c r="E78" i="12"/>
  <c r="C76" i="12"/>
  <c r="C78" i="12"/>
  <c r="D86" i="12"/>
  <c r="C86" i="12"/>
  <c r="D82" i="12"/>
  <c r="E74" i="12"/>
  <c r="D74" i="12"/>
  <c r="C74" i="12"/>
  <c r="N60" i="11"/>
  <c r="M60" i="11"/>
  <c r="L60" i="11"/>
  <c r="K60" i="11"/>
  <c r="J60" i="11"/>
  <c r="I60" i="11"/>
  <c r="H60" i="11"/>
  <c r="G60" i="11"/>
  <c r="F60" i="11"/>
  <c r="E60" i="11"/>
  <c r="D60" i="11"/>
  <c r="C60" i="11"/>
  <c r="U59" i="11"/>
  <c r="T59" i="11"/>
  <c r="S59" i="11"/>
  <c r="U58" i="11"/>
  <c r="T58" i="11"/>
  <c r="S58" i="11"/>
  <c r="U57" i="11"/>
  <c r="T57" i="11"/>
  <c r="S57" i="11"/>
  <c r="Y56" i="11"/>
  <c r="U56" i="11"/>
  <c r="T56" i="11"/>
  <c r="S56" i="11"/>
  <c r="U55" i="11"/>
  <c r="T55" i="11"/>
  <c r="S55" i="11"/>
  <c r="U54" i="11"/>
  <c r="T54" i="11"/>
  <c r="S54" i="11"/>
  <c r="U53" i="11"/>
  <c r="T53" i="11"/>
  <c r="S53" i="11"/>
  <c r="U52" i="11"/>
  <c r="T52" i="11"/>
  <c r="S52" i="11"/>
  <c r="U51" i="11"/>
  <c r="T51" i="11"/>
  <c r="S51" i="11"/>
  <c r="U50" i="11"/>
  <c r="T50" i="11"/>
  <c r="S50" i="11"/>
  <c r="U49" i="11"/>
  <c r="T49" i="11"/>
  <c r="S49" i="11"/>
  <c r="U48" i="11"/>
  <c r="T48" i="11"/>
  <c r="S48" i="11"/>
  <c r="U47" i="11"/>
  <c r="T47" i="11"/>
  <c r="S47" i="11"/>
  <c r="U46" i="11"/>
  <c r="T46" i="11"/>
  <c r="S46" i="11"/>
  <c r="U45" i="11"/>
  <c r="T45" i="11"/>
  <c r="S45" i="11"/>
  <c r="U44" i="11"/>
  <c r="T44" i="11"/>
  <c r="S44" i="11"/>
  <c r="U43" i="11"/>
  <c r="T43" i="11"/>
  <c r="S43" i="11"/>
  <c r="U42" i="11"/>
  <c r="T42" i="11"/>
  <c r="S42" i="11"/>
  <c r="U41" i="11"/>
  <c r="T41" i="11"/>
  <c r="S41" i="11"/>
  <c r="U40" i="11"/>
  <c r="T40" i="11"/>
  <c r="S40" i="11"/>
  <c r="U39" i="11"/>
  <c r="T39" i="11"/>
  <c r="S39" i="11"/>
  <c r="U38" i="11"/>
  <c r="T38" i="11"/>
  <c r="S38" i="11"/>
  <c r="U37" i="11"/>
  <c r="T37" i="11"/>
  <c r="S37" i="11"/>
  <c r="U36" i="11"/>
  <c r="T36" i="11"/>
  <c r="S36" i="11"/>
  <c r="U35" i="11"/>
  <c r="T35" i="11"/>
  <c r="S35" i="11"/>
  <c r="U34" i="11"/>
  <c r="T34" i="11"/>
  <c r="S34" i="11"/>
  <c r="U33" i="11"/>
  <c r="T33" i="11"/>
  <c r="S33" i="11"/>
  <c r="U32" i="11"/>
  <c r="T32" i="11"/>
  <c r="S32" i="11"/>
  <c r="U31" i="11"/>
  <c r="T31" i="11"/>
  <c r="S31" i="11"/>
  <c r="U30" i="11"/>
  <c r="T30" i="11"/>
  <c r="S30" i="11"/>
  <c r="U29" i="11"/>
  <c r="T29" i="11"/>
  <c r="S29" i="11"/>
  <c r="U28" i="11"/>
  <c r="T28" i="11"/>
  <c r="S28" i="11"/>
  <c r="U27" i="11"/>
  <c r="T27" i="11"/>
  <c r="S27" i="11"/>
  <c r="U26" i="11"/>
  <c r="T26" i="11"/>
  <c r="S26" i="11"/>
  <c r="U25" i="11"/>
  <c r="T25" i="11"/>
  <c r="S25" i="11"/>
  <c r="U24" i="11"/>
  <c r="T24" i="11"/>
  <c r="S24" i="11"/>
  <c r="U23" i="11"/>
  <c r="T23" i="11"/>
  <c r="S23" i="11"/>
  <c r="F8" i="11"/>
  <c r="E8" i="11"/>
  <c r="C8" i="11"/>
  <c r="B8" i="11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AL7" i="10"/>
  <c r="AM7" i="10"/>
  <c r="AN7" i="10"/>
  <c r="AO7" i="10"/>
  <c r="AP7" i="10"/>
  <c r="AQ7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J6" i="10"/>
  <c r="AK6" i="10"/>
  <c r="AL6" i="10"/>
  <c r="AM6" i="10"/>
  <c r="AN6" i="10"/>
  <c r="AO6" i="10"/>
  <c r="AP6" i="10"/>
  <c r="AQ6" i="10"/>
  <c r="C8" i="10"/>
  <c r="D8" i="10"/>
  <c r="E8" i="10"/>
  <c r="B8" i="10"/>
  <c r="F68" i="10"/>
  <c r="O61" i="10"/>
  <c r="D67" i="10"/>
  <c r="N42" i="10"/>
  <c r="M63" i="10"/>
  <c r="J63" i="10"/>
  <c r="I63" i="10"/>
  <c r="M62" i="10"/>
  <c r="J62" i="10"/>
  <c r="I62" i="10"/>
  <c r="M61" i="10"/>
  <c r="J61" i="10"/>
  <c r="I61" i="10"/>
  <c r="M60" i="10"/>
  <c r="J60" i="10"/>
  <c r="I60" i="10"/>
  <c r="M59" i="10"/>
  <c r="J59" i="10"/>
  <c r="I59" i="10"/>
  <c r="M58" i="10"/>
  <c r="J58" i="10"/>
  <c r="I58" i="10"/>
  <c r="M57" i="10"/>
  <c r="J57" i="10"/>
  <c r="I57" i="10"/>
  <c r="M56" i="10"/>
  <c r="J56" i="10"/>
  <c r="I56" i="10"/>
  <c r="M55" i="10"/>
  <c r="J55" i="10"/>
  <c r="I55" i="10"/>
  <c r="M54" i="10"/>
  <c r="J54" i="10"/>
  <c r="I54" i="10"/>
  <c r="M53" i="10"/>
  <c r="J53" i="10"/>
  <c r="I53" i="10"/>
  <c r="M52" i="10"/>
  <c r="J52" i="10"/>
  <c r="I52" i="10"/>
  <c r="M51" i="10"/>
  <c r="J51" i="10"/>
  <c r="I51" i="10"/>
  <c r="M50" i="10"/>
  <c r="J50" i="10"/>
  <c r="I50" i="10"/>
  <c r="M49" i="10"/>
  <c r="J49" i="10"/>
  <c r="I49" i="10"/>
  <c r="M48" i="10"/>
  <c r="J48" i="10"/>
  <c r="I48" i="10"/>
  <c r="M47" i="10"/>
  <c r="J47" i="10"/>
  <c r="I47" i="10"/>
  <c r="M46" i="10"/>
  <c r="J46" i="10"/>
  <c r="I46" i="10"/>
  <c r="M45" i="10"/>
  <c r="J45" i="10"/>
  <c r="I45" i="10"/>
  <c r="M44" i="10"/>
  <c r="J44" i="10"/>
  <c r="I44" i="10"/>
  <c r="M43" i="10"/>
  <c r="J43" i="10"/>
  <c r="I43" i="10"/>
  <c r="M42" i="10"/>
  <c r="J42" i="10"/>
  <c r="I42" i="10"/>
  <c r="M41" i="10"/>
  <c r="J41" i="10"/>
  <c r="I41" i="10"/>
  <c r="M40" i="10"/>
  <c r="J40" i="10"/>
  <c r="I40" i="10"/>
  <c r="M39" i="10"/>
  <c r="J39" i="10"/>
  <c r="I39" i="10"/>
  <c r="M38" i="10"/>
  <c r="J38" i="10"/>
  <c r="I38" i="10"/>
  <c r="M37" i="10"/>
  <c r="J37" i="10"/>
  <c r="I37" i="10"/>
  <c r="M36" i="10"/>
  <c r="J36" i="10"/>
  <c r="I36" i="10"/>
  <c r="M35" i="10"/>
  <c r="J35" i="10"/>
  <c r="I35" i="10"/>
  <c r="M34" i="10"/>
  <c r="J34" i="10"/>
  <c r="I34" i="10"/>
  <c r="M33" i="10"/>
  <c r="J33" i="10"/>
  <c r="I33" i="10"/>
  <c r="M32" i="10"/>
  <c r="J32" i="10"/>
  <c r="I32" i="10"/>
  <c r="M31" i="10"/>
  <c r="J31" i="10"/>
  <c r="I31" i="10"/>
  <c r="M30" i="10"/>
  <c r="J30" i="10"/>
  <c r="I30" i="10"/>
  <c r="M29" i="10"/>
  <c r="J29" i="10"/>
  <c r="I29" i="10"/>
  <c r="M28" i="10"/>
  <c r="J28" i="10"/>
  <c r="I28" i="10"/>
  <c r="M27" i="10"/>
  <c r="J27" i="10"/>
  <c r="I27" i="10"/>
  <c r="O46" i="10"/>
  <c r="N57" i="10"/>
  <c r="O63" i="10"/>
  <c r="O35" i="10"/>
  <c r="O51" i="10"/>
  <c r="O57" i="10"/>
  <c r="N52" i="10"/>
  <c r="N36" i="10"/>
  <c r="N47" i="10"/>
  <c r="O52" i="10"/>
  <c r="P52" i="10"/>
  <c r="O36" i="10"/>
  <c r="O47" i="10"/>
  <c r="O58" i="10"/>
  <c r="O30" i="10"/>
  <c r="O48" i="10"/>
  <c r="N33" i="10"/>
  <c r="P33" i="10"/>
  <c r="N44" i="10"/>
  <c r="O49" i="10"/>
  <c r="O53" i="10"/>
  <c r="N48" i="10"/>
  <c r="O54" i="10"/>
  <c r="N49" i="10"/>
  <c r="P49" i="10"/>
  <c r="O55" i="10"/>
  <c r="N43" i="10"/>
  <c r="P43" i="10"/>
  <c r="O38" i="10"/>
  <c r="O33" i="10"/>
  <c r="O44" i="10"/>
  <c r="N28" i="10"/>
  <c r="O31" i="10"/>
  <c r="N27" i="10"/>
  <c r="N31" i="10"/>
  <c r="O37" i="10"/>
  <c r="O39" i="10"/>
  <c r="N62" i="10"/>
  <c r="O62" i="10"/>
  <c r="P62" i="10"/>
  <c r="O45" i="10"/>
  <c r="O56" i="10"/>
  <c r="O42" i="10"/>
  <c r="P42" i="10"/>
  <c r="O32" i="10"/>
  <c r="N38" i="10"/>
  <c r="O34" i="10"/>
  <c r="O41" i="10"/>
  <c r="O43" i="10"/>
  <c r="O27" i="10"/>
  <c r="P27" i="10"/>
  <c r="O28" i="10"/>
  <c r="O50" i="10"/>
  <c r="O29" i="10"/>
  <c r="O40" i="10"/>
  <c r="N29" i="10"/>
  <c r="N53" i="10"/>
  <c r="N34" i="10"/>
  <c r="N58" i="10"/>
  <c r="N39" i="10"/>
  <c r="N63" i="10"/>
  <c r="N30" i="10"/>
  <c r="N54" i="10"/>
  <c r="N59" i="10"/>
  <c r="N35" i="10"/>
  <c r="P35" i="10"/>
  <c r="N40" i="10"/>
  <c r="O59" i="10"/>
  <c r="N45" i="10"/>
  <c r="N50" i="10"/>
  <c r="P36" i="10"/>
  <c r="N55" i="10"/>
  <c r="N60" i="10"/>
  <c r="O60" i="10"/>
  <c r="N41" i="10"/>
  <c r="N46" i="10"/>
  <c r="P46" i="10"/>
  <c r="N32" i="10"/>
  <c r="P32" i="10"/>
  <c r="N56" i="10"/>
  <c r="P56" i="10"/>
  <c r="N61" i="10"/>
  <c r="P61" i="10"/>
  <c r="N51" i="10"/>
  <c r="P51" i="10"/>
  <c r="N37" i="10"/>
  <c r="X60" i="11"/>
  <c r="Y60" i="11"/>
  <c r="S60" i="11"/>
  <c r="T60" i="11"/>
  <c r="X59" i="11"/>
  <c r="U60" i="11"/>
  <c r="Y59" i="11"/>
  <c r="J64" i="10"/>
  <c r="M64" i="10"/>
  <c r="I64" i="10"/>
  <c r="P63" i="10"/>
  <c r="P57" i="10"/>
  <c r="P47" i="10"/>
  <c r="P45" i="10"/>
  <c r="P37" i="10"/>
  <c r="P55" i="10"/>
  <c r="P31" i="10"/>
  <c r="P29" i="10"/>
  <c r="P38" i="10"/>
  <c r="P41" i="10"/>
  <c r="P48" i="10"/>
  <c r="P58" i="10"/>
  <c r="N64" i="10"/>
  <c r="P34" i="10"/>
  <c r="P44" i="10"/>
  <c r="P53" i="10"/>
  <c r="P28" i="10"/>
  <c r="O64" i="10"/>
  <c r="P64" i="10"/>
  <c r="P59" i="10"/>
  <c r="P40" i="10"/>
  <c r="P54" i="10"/>
  <c r="P50" i="10"/>
  <c r="P30" i="10"/>
  <c r="P60" i="10"/>
  <c r="P39" i="10"/>
  <c r="AR7" i="10"/>
  <c r="C7" i="8"/>
  <c r="D7" i="8"/>
  <c r="E7" i="8"/>
  <c r="B7" i="8"/>
  <c r="J5" i="8"/>
  <c r="K5" i="8"/>
  <c r="L5" i="8"/>
  <c r="M5" i="8"/>
  <c r="N5" i="8"/>
  <c r="O5" i="8"/>
  <c r="P5" i="8"/>
  <c r="Q5" i="8"/>
  <c r="R5" i="8"/>
  <c r="S5" i="8"/>
  <c r="T5" i="8"/>
  <c r="U5" i="8"/>
  <c r="J6" i="8"/>
  <c r="K6" i="8"/>
  <c r="L6" i="8"/>
  <c r="M6" i="8"/>
  <c r="N6" i="8"/>
  <c r="O6" i="8"/>
  <c r="P6" i="8"/>
  <c r="Q6" i="8"/>
  <c r="R6" i="8"/>
  <c r="S6" i="8"/>
  <c r="T6" i="8"/>
  <c r="U6" i="8"/>
  <c r="I6" i="8"/>
  <c r="I5" i="8"/>
  <c r="D31" i="8"/>
  <c r="E31" i="8"/>
  <c r="F31" i="8"/>
  <c r="G31" i="8"/>
  <c r="H31" i="8"/>
  <c r="V5" i="8"/>
  <c r="I8" i="8"/>
  <c r="J8" i="8"/>
  <c r="K8" i="8"/>
  <c r="L8" i="8"/>
  <c r="M8" i="8"/>
  <c r="N8" i="8"/>
  <c r="O8" i="8"/>
  <c r="P8" i="8"/>
  <c r="Q8" i="8"/>
  <c r="R8" i="8"/>
  <c r="S8" i="8"/>
  <c r="I9" i="8"/>
  <c r="J9" i="8"/>
  <c r="K9" i="8"/>
  <c r="L9" i="8"/>
  <c r="M9" i="8"/>
  <c r="N9" i="8"/>
  <c r="O9" i="8"/>
  <c r="P9" i="8"/>
  <c r="Q9" i="8"/>
  <c r="R9" i="8"/>
  <c r="S9" i="8"/>
  <c r="I10" i="8"/>
  <c r="J10" i="8"/>
  <c r="K10" i="8"/>
  <c r="L10" i="8"/>
  <c r="M10" i="8"/>
  <c r="N10" i="8"/>
  <c r="O10" i="8"/>
  <c r="P10" i="8"/>
  <c r="Q10" i="8"/>
  <c r="R10" i="8"/>
  <c r="S10" i="8"/>
  <c r="I11" i="8"/>
  <c r="J11" i="8"/>
  <c r="K11" i="8"/>
  <c r="L11" i="8"/>
  <c r="M11" i="8"/>
  <c r="N11" i="8"/>
  <c r="O11" i="8"/>
  <c r="P11" i="8"/>
  <c r="Q11" i="8"/>
  <c r="R11" i="8"/>
  <c r="S11" i="8"/>
  <c r="H11" i="8"/>
  <c r="H8" i="8"/>
  <c r="H9" i="8"/>
  <c r="H10" i="8"/>
  <c r="V6" i="8"/>
  <c r="P20" i="2"/>
  <c r="Q20" i="2"/>
  <c r="R20" i="2"/>
  <c r="S20" i="2"/>
  <c r="P21" i="2"/>
  <c r="Q21" i="2"/>
  <c r="R21" i="2"/>
  <c r="S21" i="2"/>
  <c r="P22" i="2"/>
  <c r="Q22" i="2"/>
  <c r="R22" i="2"/>
  <c r="S22" i="2"/>
  <c r="P23" i="2"/>
  <c r="Q23" i="2"/>
  <c r="R23" i="2"/>
  <c r="S23" i="2"/>
  <c r="T22" i="3"/>
  <c r="M21" i="3"/>
  <c r="I20" i="3"/>
  <c r="AQ6" i="3"/>
  <c r="AN22" i="3"/>
  <c r="AM22" i="3"/>
  <c r="AL22" i="3"/>
  <c r="AI20" i="3"/>
  <c r="AK22" i="3"/>
  <c r="H22" i="3"/>
  <c r="I22" i="3"/>
  <c r="H20" i="3"/>
  <c r="AB22" i="3"/>
  <c r="AA22" i="3"/>
  <c r="AA20" i="3"/>
  <c r="AH22" i="3"/>
  <c r="O20" i="3"/>
  <c r="AF22" i="3"/>
  <c r="N20" i="3"/>
  <c r="W20" i="3"/>
  <c r="K20" i="3"/>
  <c r="W22" i="3"/>
  <c r="Z20" i="3"/>
  <c r="Q20" i="3"/>
  <c r="H21" i="3"/>
  <c r="AK21" i="3"/>
  <c r="N22" i="3"/>
  <c r="O22" i="3"/>
  <c r="S20" i="3"/>
  <c r="P22" i="3"/>
  <c r="T20" i="3"/>
  <c r="Q22" i="3"/>
  <c r="M22" i="3"/>
  <c r="AM20" i="3"/>
  <c r="AK20" i="3"/>
  <c r="AC22" i="3"/>
  <c r="Z21" i="3"/>
  <c r="R22" i="3"/>
  <c r="S21" i="3"/>
  <c r="AJ21" i="3"/>
  <c r="AE22" i="3"/>
  <c r="AP9" i="3"/>
  <c r="L20" i="3"/>
  <c r="I21" i="3"/>
  <c r="AE21" i="3"/>
  <c r="Q21" i="3"/>
  <c r="AQ14" i="3"/>
  <c r="AD20" i="3"/>
  <c r="J20" i="3"/>
  <c r="R21" i="3"/>
  <c r="J22" i="3"/>
  <c r="AP13" i="3"/>
  <c r="X20" i="3"/>
  <c r="AN20" i="3"/>
  <c r="AD22" i="3"/>
  <c r="AB20" i="3"/>
  <c r="AP6" i="3"/>
  <c r="AB21" i="3"/>
  <c r="AD21" i="3"/>
  <c r="K22" i="3"/>
  <c r="M20" i="3"/>
  <c r="U21" i="3"/>
  <c r="AA21" i="3"/>
  <c r="AI21" i="3"/>
  <c r="AP15" i="3"/>
  <c r="W21" i="3"/>
  <c r="AP8" i="3"/>
  <c r="AQ10" i="3"/>
  <c r="P21" i="3"/>
  <c r="AL20" i="3"/>
  <c r="U22" i="3"/>
  <c r="AQ16" i="3"/>
  <c r="L21" i="3"/>
  <c r="AQ13" i="3"/>
  <c r="N21" i="3"/>
  <c r="P20" i="3"/>
  <c r="AN21" i="3"/>
  <c r="AH20" i="3"/>
  <c r="R20" i="3"/>
  <c r="Z22" i="3"/>
  <c r="Y21" i="3"/>
  <c r="V22" i="3"/>
  <c r="S22" i="3"/>
  <c r="V21" i="3"/>
  <c r="X22" i="3"/>
  <c r="AQ9" i="3"/>
  <c r="AP10" i="3"/>
  <c r="AL21" i="3"/>
  <c r="Y22" i="3"/>
  <c r="AC21" i="3"/>
  <c r="AP16" i="3"/>
  <c r="L22" i="3"/>
  <c r="U20" i="3"/>
  <c r="AP12" i="3"/>
  <c r="AE20" i="3"/>
  <c r="AH21" i="3"/>
  <c r="AJ20" i="3"/>
  <c r="AP14" i="3"/>
  <c r="AQ8" i="3"/>
  <c r="K21" i="3"/>
  <c r="X21" i="3"/>
  <c r="V20" i="3"/>
  <c r="AM21" i="3"/>
  <c r="AI22" i="3"/>
  <c r="T21" i="3"/>
  <c r="O21" i="3"/>
  <c r="AJ22" i="3"/>
  <c r="AF21" i="3"/>
  <c r="AQ15" i="3"/>
  <c r="AC20" i="3"/>
  <c r="J21" i="3"/>
  <c r="Y20" i="3"/>
  <c r="AQ12" i="3"/>
  <c r="AF20" i="3"/>
  <c r="G20" i="3"/>
  <c r="AP5" i="3"/>
  <c r="AP11" i="3"/>
  <c r="G22" i="3"/>
  <c r="AG20" i="3"/>
  <c r="AT20" i="3"/>
  <c r="AQ5" i="3"/>
  <c r="AQ7" i="3"/>
  <c r="AG21" i="3"/>
  <c r="AT21" i="3"/>
  <c r="AP7" i="3"/>
  <c r="G21" i="3"/>
  <c r="AG22" i="3"/>
  <c r="AT22" i="3"/>
  <c r="AQ11" i="3"/>
  <c r="AO16" i="3"/>
  <c r="AO11" i="3"/>
  <c r="AO22" i="3"/>
  <c r="AO9" i="3"/>
  <c r="AO10" i="3"/>
  <c r="AO8" i="3"/>
  <c r="AO6" i="3"/>
  <c r="AO7" i="3"/>
  <c r="AO15" i="3"/>
  <c r="AO5" i="3"/>
  <c r="AO14" i="3"/>
  <c r="AO13" i="3"/>
  <c r="AO12" i="3"/>
  <c r="AQ20" i="3"/>
  <c r="AP22" i="3"/>
  <c r="AO20" i="3"/>
  <c r="AQ22" i="3"/>
  <c r="AP21" i="3"/>
  <c r="AQ21" i="3"/>
  <c r="AO21" i="3"/>
  <c r="AP2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6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note the "R_S" to sum across regions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Markkanen</author>
  </authors>
  <commentList>
    <comment ref="G1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on the basis that Austria does not allow CO2 storage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Markkanen</author>
  </authors>
  <commentList>
    <comment ref="G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Disable the use of natural gas-powered DAC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Markkanen</author>
  </authors>
  <commentList>
    <comment ref="I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Assume zero in BAU2025</t>
        </r>
      </text>
    </comment>
    <comment ref="I12" authorId="0" shapeId="0" xr:uid="{CAE45015-13A8-43DC-A650-04CA7DACE036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unlimited
</t>
        </r>
      </text>
    </comment>
    <comment ref="I14" authorId="0" shapeId="0" xr:uid="{812171BD-4A8A-49C8-8711-62ACF6479B8D}">
      <text>
        <r>
          <rPr>
            <b/>
            <sz val="9"/>
            <color indexed="81"/>
            <rFont val="Tahoma"/>
            <charset val="1"/>
          </rPr>
          <t>assumed market price for biochar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Markkanen</author>
  </authors>
  <commentList>
    <comment ref="H6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Assume zero usage in BAU2025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Markkanen</author>
  </authors>
  <commentList>
    <comment ref="H5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In BAU2025, we disable EW </t>
        </r>
      </text>
    </comment>
  </commentList>
</comments>
</file>

<file path=xl/sharedStrings.xml><?xml version="1.0" encoding="utf-8"?>
<sst xmlns="http://schemas.openxmlformats.org/spreadsheetml/2006/main" count="1251" uniqueCount="311">
  <si>
    <t>MINSNKAF*</t>
  </si>
  <si>
    <t>CO2_Max_Stor_MS</t>
  </si>
  <si>
    <t>UC_RHSRTS</t>
  </si>
  <si>
    <t>UC_ACT</t>
  </si>
  <si>
    <t>Year</t>
  </si>
  <si>
    <t>Pset_PN</t>
  </si>
  <si>
    <t>UC_N</t>
  </si>
  <si>
    <t>~UC_T: UP</t>
  </si>
  <si>
    <t>~UC_SETS: R_E: AT,BE,BG,CY,CZ,DE,DK,EE,ES,FI,FR,EL,HU,IE,IT,LT,LU,LV,MT,NL,PL,PT,RO,SE,SI,SK,UK,CH,IS,NO,HR</t>
  </si>
  <si>
    <t>MINSNK*,-MINSNKAF*</t>
  </si>
  <si>
    <t>CO2_Max_Stor_EU</t>
  </si>
  <si>
    <t>UC_RHSTS</t>
  </si>
  <si>
    <t>~UC_SETS: R_S: AT,BE,BG,CY,CZ,DE,DK,EE,ES,FI,FR,EL,HU,IE,IT,LT,LU,LV,MT,NL,PL,PT,RO,SE,SI,SK,UK,CH,IS,NO,HR</t>
  </si>
  <si>
    <t>SNKAFF</t>
  </si>
  <si>
    <t>MAXGRO</t>
  </si>
  <si>
    <t>SNKSCS</t>
  </si>
  <si>
    <t>SNKDACCS</t>
  </si>
  <si>
    <t>UC_COMPRD</t>
  </si>
  <si>
    <t>UC_RHST</t>
  </si>
  <si>
    <t>UC_COMNET</t>
  </si>
  <si>
    <t>Cset_CN</t>
  </si>
  <si>
    <t>~UC_Sets: R_E: AllRegions</t>
  </si>
  <si>
    <t>BBLQ*710</t>
  </si>
  <si>
    <t>NCAP_START</t>
  </si>
  <si>
    <t>S+BIOSNG</t>
  </si>
  <si>
    <t>CHPIP*BLQ07</t>
  </si>
  <si>
    <t>MINSNKCB31</t>
  </si>
  <si>
    <t>ANNUAL</t>
  </si>
  <si>
    <t>UP</t>
  </si>
  <si>
    <t>ACT_BND</t>
  </si>
  <si>
    <t>MINSNKDOGO1</t>
  </si>
  <si>
    <t>MINSNKDSAON1</t>
  </si>
  <si>
    <t>MINSNKDSAOF1</t>
  </si>
  <si>
    <t>MINSNKDOO1</t>
  </si>
  <si>
    <t>MINSNKDGO1</t>
  </si>
  <si>
    <t>MINSNKCB21</t>
  </si>
  <si>
    <t>MINSNKCB11</t>
  </si>
  <si>
    <t>SNKEWE</t>
  </si>
  <si>
    <t>COM_BNDNET</t>
  </si>
  <si>
    <t>SINKAFE</t>
  </si>
  <si>
    <t>NCAP_BND</t>
  </si>
  <si>
    <t>UC_DYNBND</t>
  </si>
  <si>
    <t>LO</t>
  </si>
  <si>
    <t>NCAP_AFSX</t>
  </si>
  <si>
    <t>NCAP_AFS</t>
  </si>
  <si>
    <t>BRF2_BTLFTDSL*</t>
  </si>
  <si>
    <t>EUR07</t>
  </si>
  <si>
    <t>NCAP_COST</t>
  </si>
  <si>
    <t>SHAPE</t>
  </si>
  <si>
    <t>ACT</t>
  </si>
  <si>
    <t>SUPCO2N</t>
  </si>
  <si>
    <t>FLO_EMIS</t>
  </si>
  <si>
    <t>BIOWOO</t>
  </si>
  <si>
    <t>BWOOGAS110</t>
  </si>
  <si>
    <t>INPUT</t>
  </si>
  <si>
    <t>EUR10</t>
  </si>
  <si>
    <t>EUSTWOOCCS01</t>
  </si>
  <si>
    <t>NCAP_TLIFE</t>
  </si>
  <si>
    <t>EUR13</t>
  </si>
  <si>
    <t>NCAP_FOM</t>
  </si>
  <si>
    <t>ACT_COST</t>
  </si>
  <si>
    <t>ACT_EFF</t>
  </si>
  <si>
    <t>Other_indexes</t>
  </si>
  <si>
    <t>Curr</t>
  </si>
  <si>
    <t>Attribute</t>
  </si>
  <si>
    <t>AllRegions</t>
  </si>
  <si>
    <t>Timeslice</t>
  </si>
  <si>
    <t>LimType</t>
  </si>
  <si>
    <t>~TFM_INS-TS</t>
  </si>
  <si>
    <t>~TFM_INS</t>
  </si>
  <si>
    <t>11_TECHS_Power</t>
  </si>
  <si>
    <t>*.5</t>
  </si>
  <si>
    <t>SepDb-ZIETASSUMPTIONS_DRATE</t>
  </si>
  <si>
    <t>NCAP_DRATE</t>
  </si>
  <si>
    <t>*.7</t>
  </si>
  <si>
    <t>SBIOH2GCC01</t>
  </si>
  <si>
    <t>NCAP_AFA</t>
  </si>
  <si>
    <t>SNKBECCS</t>
  </si>
  <si>
    <t>*-1</t>
  </si>
  <si>
    <t>INDSCO2N</t>
  </si>
  <si>
    <t>*1</t>
  </si>
  <si>
    <t>scenario</t>
  </si>
  <si>
    <t>attribute</t>
  </si>
  <si>
    <t>ELCSCO2N</t>
  </si>
  <si>
    <t>PUSCSBIO*</t>
  </si>
  <si>
    <t>SUPSCO2N</t>
  </si>
  <si>
    <t>BRF2_ETHLGC_CCS</t>
  </si>
  <si>
    <t>BRF2_BTLFTDSL_CCS</t>
  </si>
  <si>
    <t>Steam turbine biomass solid conventional w. CCS</t>
  </si>
  <si>
    <t>Steam turbine biomass solid conventional</t>
  </si>
  <si>
    <t>EUIGCCWOOCCS01</t>
  </si>
  <si>
    <t>Technology</t>
  </si>
  <si>
    <t>Cset_CN2</t>
  </si>
  <si>
    <t>Year2</t>
  </si>
  <si>
    <t>Years</t>
  </si>
  <si>
    <t>%</t>
  </si>
  <si>
    <t>ratio</t>
  </si>
  <si>
    <t>EUR/MWh</t>
  </si>
  <si>
    <t>EUR/kW</t>
  </si>
  <si>
    <t>~TFM_MIG</t>
  </si>
  <si>
    <t>Technical lifetime</t>
  </si>
  <si>
    <t>Self Consumption of electricity</t>
  </si>
  <si>
    <t>Electrical Efficiency (net) 
in optimal load operation</t>
  </si>
  <si>
    <t>Variable non fuel cost</t>
  </si>
  <si>
    <t>Fixed Operation and Maintenance costs, annually</t>
  </si>
  <si>
    <t>Overnight Investment Costs in a greenfield site, 
excluding financial costs during construction time</t>
  </si>
  <si>
    <t>EUR15</t>
  </si>
  <si>
    <t>MK</t>
  </si>
  <si>
    <t>BA</t>
  </si>
  <si>
    <t>AL</t>
  </si>
  <si>
    <t>HR</t>
  </si>
  <si>
    <t>NO</t>
  </si>
  <si>
    <t>CH</t>
  </si>
  <si>
    <t>IS</t>
  </si>
  <si>
    <t>UK</t>
  </si>
  <si>
    <t>SK</t>
  </si>
  <si>
    <t>SI</t>
  </si>
  <si>
    <t>SE</t>
  </si>
  <si>
    <t>RO</t>
  </si>
  <si>
    <t>PT</t>
  </si>
  <si>
    <t>PL</t>
  </si>
  <si>
    <t>NL</t>
  </si>
  <si>
    <t>MT</t>
  </si>
  <si>
    <t>LV</t>
  </si>
  <si>
    <t>LU</t>
  </si>
  <si>
    <t>LT</t>
  </si>
  <si>
    <t>IT</t>
  </si>
  <si>
    <t>IE</t>
  </si>
  <si>
    <t>HU</t>
  </si>
  <si>
    <t>EL</t>
  </si>
  <si>
    <t>FR</t>
  </si>
  <si>
    <t>FI</t>
  </si>
  <si>
    <t>ES</t>
  </si>
  <si>
    <t>EE</t>
  </si>
  <si>
    <t>DK</t>
  </si>
  <si>
    <t>DE</t>
  </si>
  <si>
    <t>CZ</t>
  </si>
  <si>
    <t>CY</t>
  </si>
  <si>
    <t>BG</t>
  </si>
  <si>
    <t>BE</t>
  </si>
  <si>
    <t>AT</t>
  </si>
  <si>
    <t>TimeSlice</t>
  </si>
  <si>
    <t>SNKCO2N</t>
  </si>
  <si>
    <t>Exp</t>
  </si>
  <si>
    <t>IRE_XBND</t>
  </si>
  <si>
    <t>CUM</t>
  </si>
  <si>
    <t>MINSNKDOGF1</t>
  </si>
  <si>
    <t>MINSNKEOR1</t>
  </si>
  <si>
    <t>MINSNKDOF1</t>
  </si>
  <si>
    <t>MINSNKDGF1</t>
  </si>
  <si>
    <t>CSET_CN</t>
  </si>
  <si>
    <t>Other_Indexes</t>
  </si>
  <si>
    <t>*OEUR</t>
  </si>
  <si>
    <t>*EU28</t>
  </si>
  <si>
    <t>MINSNKAFF4</t>
  </si>
  <si>
    <t>MINSNKAFF3</t>
  </si>
  <si>
    <t>MINSNKAFF2</t>
  </si>
  <si>
    <t>MINSNKAFF1</t>
  </si>
  <si>
    <t>TEC</t>
  </si>
  <si>
    <t>ENV</t>
  </si>
  <si>
    <t>SEC</t>
  </si>
  <si>
    <t>EU28</t>
  </si>
  <si>
    <t>ME</t>
  </si>
  <si>
    <t>CO2</t>
  </si>
  <si>
    <t>RS</t>
  </si>
  <si>
    <t>Biomass</t>
  </si>
  <si>
    <t>KS</t>
  </si>
  <si>
    <t>Feedstock</t>
  </si>
  <si>
    <t>SINKPYCCS</t>
  </si>
  <si>
    <t>SNK_DAC_ELC</t>
  </si>
  <si>
    <t>SNK_DAC_GAS</t>
  </si>
  <si>
    <t>SNK_DAC</t>
  </si>
  <si>
    <t>Direct Air Capture</t>
  </si>
  <si>
    <t>Soil Carbon Sequestration</t>
  </si>
  <si>
    <t>Soil carbon croplands</t>
  </si>
  <si>
    <t>Soil carbon grasslands</t>
  </si>
  <si>
    <t>Agroforestry</t>
  </si>
  <si>
    <t>Cost-effective</t>
  </si>
  <si>
    <t>MtCO2/yr</t>
  </si>
  <si>
    <t>Tec</t>
  </si>
  <si>
    <t>Env</t>
  </si>
  <si>
    <t>SINKSCS1</t>
  </si>
  <si>
    <t>SINKSCS2</t>
  </si>
  <si>
    <t>SINKSCS3</t>
  </si>
  <si>
    <t>Albania</t>
  </si>
  <si>
    <t>Austria</t>
  </si>
  <si>
    <t>Bosnia and Herzegovina</t>
  </si>
  <si>
    <t>Belgium</t>
  </si>
  <si>
    <t>Bulgaria</t>
  </si>
  <si>
    <t>Switzerland</t>
  </si>
  <si>
    <t>Cyprus</t>
  </si>
  <si>
    <t>Czech Republic</t>
  </si>
  <si>
    <t>Germany</t>
  </si>
  <si>
    <t>Denmark</t>
  </si>
  <si>
    <t>Estonia</t>
  </si>
  <si>
    <t>Greece</t>
  </si>
  <si>
    <t>Spain</t>
  </si>
  <si>
    <t>Finland</t>
  </si>
  <si>
    <t>France</t>
  </si>
  <si>
    <t>Croatia</t>
  </si>
  <si>
    <t>Hungary</t>
  </si>
  <si>
    <t>Ireland</t>
  </si>
  <si>
    <t>Iceland</t>
  </si>
  <si>
    <t>Italy</t>
  </si>
  <si>
    <t>Kosovo</t>
  </si>
  <si>
    <t>Lithuania</t>
  </si>
  <si>
    <t>Luxembourg</t>
  </si>
  <si>
    <t>Latvia</t>
  </si>
  <si>
    <t>Montenegro</t>
  </si>
  <si>
    <t>Macedonia, FYR</t>
  </si>
  <si>
    <t>Malta</t>
  </si>
  <si>
    <t>Netherlands</t>
  </si>
  <si>
    <t>Norway</t>
  </si>
  <si>
    <t>Poland</t>
  </si>
  <si>
    <t>Portugal</t>
  </si>
  <si>
    <t>Romania</t>
  </si>
  <si>
    <t>Serbia</t>
  </si>
  <si>
    <t>Sweden</t>
  </si>
  <si>
    <t>Slovenia</t>
  </si>
  <si>
    <t>Slovak Republic</t>
  </si>
  <si>
    <t>United Kingdom</t>
  </si>
  <si>
    <t>Take</t>
  </si>
  <si>
    <t>SINKSCS*</t>
  </si>
  <si>
    <t>Enhanced Weathering</t>
  </si>
  <si>
    <t>Mt(CO2)</t>
  </si>
  <si>
    <t>Czechia</t>
  </si>
  <si>
    <t>Slovakia</t>
  </si>
  <si>
    <t>Subtot</t>
  </si>
  <si>
    <t>SINKEW*</t>
  </si>
  <si>
    <t>SINKEW1</t>
  </si>
  <si>
    <t>SINKEW2</t>
  </si>
  <si>
    <t>SINKEW3</t>
  </si>
  <si>
    <t>SINKEW4</t>
  </si>
  <si>
    <t>COST</t>
  </si>
  <si>
    <t>MINSNKAFF*</t>
  </si>
  <si>
    <t>Data by Antti L. (2024)</t>
  </si>
  <si>
    <t>From NEGEM-project</t>
  </si>
  <si>
    <t>SINKEW* procs use CCUCO2 as input</t>
  </si>
  <si>
    <t>Afforestation, deforestation</t>
  </si>
  <si>
    <t>MINSKAFF* procs use TOTCO2 as input -&gt; contribution to the LULUCF-sector</t>
  </si>
  <si>
    <t>SINKSCS* procs use TOTCO2 as input -&gt; contribution to the LULUCF-sector</t>
  </si>
  <si>
    <t>Data by Antti L. from NEGEM-project (2024)</t>
  </si>
  <si>
    <t>SINKPYCCS* procs use TOTCO2 as input</t>
  </si>
  <si>
    <t>HIGHER COST</t>
  </si>
  <si>
    <t>CRF</t>
  </si>
  <si>
    <t>interest rate per period</t>
  </si>
  <si>
    <t>AFA</t>
  </si>
  <si>
    <t>CAPEX</t>
  </si>
  <si>
    <t>amount paid each period</t>
  </si>
  <si>
    <t>LIFE</t>
  </si>
  <si>
    <t>years / number of payment periods</t>
  </si>
  <si>
    <t>INVEST</t>
  </si>
  <si>
    <t>present value of investment</t>
  </si>
  <si>
    <t>REF</t>
  </si>
  <si>
    <t>multiplicator</t>
  </si>
  <si>
    <t>more expensive variant</t>
  </si>
  <si>
    <t>Data by Antti L. from NEGEM (2024)</t>
  </si>
  <si>
    <t>conversion factor</t>
  </si>
  <si>
    <t>ktCO2/PJ biomass</t>
  </si>
  <si>
    <t>*EU27</t>
  </si>
  <si>
    <t>PJ</t>
  </si>
  <si>
    <t>MtCO2</t>
  </si>
  <si>
    <t>CO2 Storage</t>
  </si>
  <si>
    <t>Depleted oil/gas fields</t>
  </si>
  <si>
    <t>Deep saline aquifers</t>
  </si>
  <si>
    <t>Process category</t>
  </si>
  <si>
    <t>UK separate</t>
  </si>
  <si>
    <t>ECMR &amp; EOR</t>
  </si>
  <si>
    <t>~TFM_DINS</t>
  </si>
  <si>
    <t>*EU27ktCO2</t>
  </si>
  <si>
    <t>*EU31ktCO2</t>
  </si>
  <si>
    <t>MINSNKCB11,MINSNKCB21,MINSNKEOR1,MINSNKCB31,MINSNKDOGO1,MINSNKDOGF1</t>
  </si>
  <si>
    <t>MINSNKCB11,MINSNKCB21,MINSNKDGF1,MINSNKDGO1,MINSNKDOF1,MINSNKDOO1,MINSNKDSAOF1,MINSNKDSAON1,MINSNKEOR1,MINSNKDOGO1,MINSNKDOGF1,MINSNKCB31</t>
  </si>
  <si>
    <t>s</t>
  </si>
  <si>
    <t>Total planned</t>
  </si>
  <si>
    <t>DATA FROM JRC (2024) CO2 storage report</t>
  </si>
  <si>
    <t>SINKPYCCS biomass input: BIOPYC</t>
  </si>
  <si>
    <t>SINKPYCCS1 biomass input: BIOWOO</t>
  </si>
  <si>
    <t>processes defined in _CCUS-tech file</t>
  </si>
  <si>
    <t>SINKSOC*</t>
  </si>
  <si>
    <t>SINKSOC1</t>
  </si>
  <si>
    <t>SINKSOC3</t>
  </si>
  <si>
    <t>SINKSOC2</t>
  </si>
  <si>
    <t>SINKSOC*,SINKSCS*</t>
  </si>
  <si>
    <t>EU2040 IMPACT ASSESSMENT</t>
  </si>
  <si>
    <t>SINKSCS*: in agricultural land</t>
  </si>
  <si>
    <t>SINKSOC*: in organic soils like wetland</t>
  </si>
  <si>
    <t>SINKPYCCS2</t>
  </si>
  <si>
    <t>EU31</t>
  </si>
  <si>
    <t>TARKISTA</t>
  </si>
  <si>
    <t>SGASMtaH110</t>
  </si>
  <si>
    <t>Sievert et al. 2024</t>
  </si>
  <si>
    <t>EUR20</t>
  </si>
  <si>
    <t>SNK_DAC_SOLID</t>
  </si>
  <si>
    <t>MEUR/kt*a</t>
  </si>
  <si>
    <t>SNK_DAC_ELC, SNK_DAC_ELC_LowAF</t>
  </si>
  <si>
    <t>SNK_DAC, SNK_DAC_LowAF</t>
  </si>
  <si>
    <t>SNK_DAC_SOLID, SNK_DAC_SOLID_LowAF</t>
  </si>
  <si>
    <t>~TFM_UPD</t>
  </si>
  <si>
    <t>ELCMED</t>
  </si>
  <si>
    <t>HETHTH</t>
  </si>
  <si>
    <t>EUR2024</t>
  </si>
  <si>
    <t>CAPEX+FIXED OPEX</t>
  </si>
  <si>
    <t>FIXED OPEX</t>
  </si>
  <si>
    <t>EUR24 -&gt; EUR20</t>
  </si>
  <si>
    <t>OPEX</t>
  </si>
  <si>
    <t>SNKCHR</t>
  </si>
  <si>
    <t>FLO_DELIV</t>
  </si>
  <si>
    <t>SINKPYCCS = Pyrolysis Carbon Capture and Sequestration with Biochar - soil and calorie neutral biochar</t>
  </si>
  <si>
    <t>SINKPYCCS1 which uses biomass as input, thus, competes with BECCS and other biomass use</t>
  </si>
  <si>
    <t>SNKCO2N,SNKFCO2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</si>
</sst>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0.000"/>
    <numFmt numFmtId="167" formatCode="0.000;0;0"/>
    <numFmt numFmtId="168" formatCode="&quot;$&quot;#,##0_);[Red]\(&quot;$&quot;#,##0\)"/>
    <numFmt numFmtId="169" formatCode="0;0;0"/>
    <numFmt numFmtId="170" formatCode="0.00;0;0"/>
    <numFmt numFmtId="171" formatCode="0.00000"/>
    <numFmt numFmtId="172" formatCode="0.0000"/>
    <numFmt numFmtId="173" formatCode="[$€-2]\ #,##0;[Red]\-[$€-2]\ #,##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1"/>
      <color indexed="60"/>
      <name val="Calibri"/>
      <family val="2"/>
    </font>
    <font>
      <b/>
      <sz val="11"/>
      <color rgb="FF0070C0"/>
      <name val="Calibri"/>
      <family val="2"/>
    </font>
    <font>
      <sz val="10"/>
      <name val="Arial"/>
      <family val="2"/>
    </font>
    <font>
      <b/>
      <sz val="11"/>
      <color rgb="FF0070C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0"/>
      <name val="Arial"/>
      <family val="2"/>
    </font>
    <font>
      <b/>
      <sz val="1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sz val="9"/>
      <color indexed="12"/>
      <name val="Arial"/>
      <family val="2"/>
    </font>
    <font>
      <b/>
      <sz val="9"/>
      <color indexed="12"/>
      <name val="Arial"/>
      <family val="2"/>
    </font>
    <font>
      <sz val="11"/>
      <name val="Calibri"/>
      <family val="2"/>
    </font>
    <font>
      <i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b/>
      <sz val="10"/>
      <color indexed="12"/>
      <name val="Arial"/>
      <family val="2"/>
    </font>
    <font>
      <sz val="10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9">
    <xf numFmtId="0" fontId="0" fillId="0" borderId="0"/>
    <xf numFmtId="0" fontId="3" fillId="0" borderId="0"/>
    <xf numFmtId="0" fontId="4" fillId="0" borderId="0"/>
    <xf numFmtId="43" fontId="3" fillId="0" borderId="0" applyFont="0" applyFill="0" applyBorder="0" applyAlignment="0" applyProtection="0"/>
    <xf numFmtId="0" fontId="9" fillId="5" borderId="0" applyNumberFormat="0" applyBorder="0" applyAlignment="0" applyProtection="0"/>
    <xf numFmtId="0" fontId="11" fillId="0" borderId="0"/>
    <xf numFmtId="0" fontId="16" fillId="2" borderId="0" applyNumberFormat="0" applyBorder="0" applyAlignment="0" applyProtection="0"/>
    <xf numFmtId="0" fontId="1" fillId="0" borderId="0"/>
    <xf numFmtId="0" fontId="3" fillId="0" borderId="0"/>
    <xf numFmtId="0" fontId="22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" fillId="0" borderId="0"/>
    <xf numFmtId="0" fontId="11" fillId="0" borderId="0"/>
    <xf numFmtId="0" fontId="23" fillId="0" borderId="0"/>
    <xf numFmtId="0" fontId="27" fillId="0" borderId="0"/>
    <xf numFmtId="0" fontId="27" fillId="0" borderId="0"/>
    <xf numFmtId="43" fontId="3" fillId="0" borderId="0" applyFont="0" applyFill="0" applyBorder="0" applyAlignment="0" applyProtection="0"/>
    <xf numFmtId="0" fontId="11" fillId="0" borderId="0">
      <alignment wrapText="1"/>
    </xf>
    <xf numFmtId="0" fontId="1" fillId="0" borderId="0"/>
    <xf numFmtId="9" fontId="11" fillId="0" borderId="0" applyFont="0" applyFill="0" applyBorder="0" applyAlignment="0" applyProtection="0"/>
    <xf numFmtId="0" fontId="11" fillId="0" borderId="0">
      <alignment wrapText="1"/>
    </xf>
    <xf numFmtId="0" fontId="4" fillId="0" borderId="0"/>
    <xf numFmtId="0" fontId="11" fillId="0" borderId="0"/>
    <xf numFmtId="0" fontId="1" fillId="0" borderId="0"/>
    <xf numFmtId="0" fontId="11" fillId="0" borderId="0">
      <alignment wrapText="1"/>
    </xf>
  </cellStyleXfs>
  <cellXfs count="234">
    <xf numFmtId="0" fontId="0" fillId="0" borderId="0" xfId="0"/>
    <xf numFmtId="0" fontId="3" fillId="0" borderId="0" xfId="1"/>
    <xf numFmtId="0" fontId="3" fillId="0" borderId="0" xfId="1" applyAlignment="1">
      <alignment horizontal="center"/>
    </xf>
    <xf numFmtId="0" fontId="3" fillId="3" borderId="1" xfId="1" applyFill="1" applyBorder="1"/>
    <xf numFmtId="0" fontId="5" fillId="4" borderId="0" xfId="2" applyFont="1" applyFill="1"/>
    <xf numFmtId="0" fontId="6" fillId="4" borderId="0" xfId="1" applyFont="1" applyFill="1"/>
    <xf numFmtId="0" fontId="3" fillId="0" borderId="0" xfId="1" applyFill="1" applyAlignment="1">
      <alignment horizontal="center"/>
    </xf>
    <xf numFmtId="0" fontId="7" fillId="0" borderId="0" xfId="1" applyFont="1" applyFill="1"/>
    <xf numFmtId="2" fontId="3" fillId="0" borderId="0" xfId="1" applyNumberFormat="1" applyAlignment="1">
      <alignment horizontal="center"/>
    </xf>
    <xf numFmtId="164" fontId="0" fillId="0" borderId="0" xfId="3" applyNumberFormat="1" applyFont="1" applyAlignment="1">
      <alignment horizontal="center"/>
    </xf>
    <xf numFmtId="0" fontId="8" fillId="3" borderId="1" xfId="1" applyFont="1" applyFill="1" applyBorder="1"/>
    <xf numFmtId="0" fontId="9" fillId="3" borderId="1" xfId="4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2" applyFont="1" applyFill="1" applyBorder="1"/>
    <xf numFmtId="0" fontId="10" fillId="4" borderId="0" xfId="2" applyFont="1" applyFill="1"/>
    <xf numFmtId="0" fontId="10" fillId="0" borderId="0" xfId="2" applyFont="1"/>
    <xf numFmtId="0" fontId="3" fillId="6" borderId="0" xfId="1" applyFill="1"/>
    <xf numFmtId="0" fontId="7" fillId="6" borderId="0" xfId="1" applyFont="1" applyFill="1"/>
    <xf numFmtId="0" fontId="7" fillId="6" borderId="0" xfId="5" applyFont="1" applyFill="1"/>
    <xf numFmtId="0" fontId="3" fillId="7" borderId="0" xfId="1" applyFill="1"/>
    <xf numFmtId="0" fontId="3" fillId="7" borderId="0" xfId="1" applyFill="1" applyAlignment="1">
      <alignment horizontal="center"/>
    </xf>
    <xf numFmtId="0" fontId="3" fillId="7" borderId="0" xfId="1" applyFill="1" applyAlignment="1"/>
    <xf numFmtId="0" fontId="3" fillId="6" borderId="0" xfId="1" applyFill="1" applyAlignment="1">
      <alignment horizontal="center"/>
    </xf>
    <xf numFmtId="1" fontId="3" fillId="6" borderId="0" xfId="1" applyNumberFormat="1" applyFill="1" applyAlignment="1">
      <alignment horizontal="center"/>
    </xf>
    <xf numFmtId="1" fontId="3" fillId="7" borderId="0" xfId="1" applyNumberFormat="1" applyFill="1" applyAlignment="1">
      <alignment horizontal="center"/>
    </xf>
    <xf numFmtId="2" fontId="3" fillId="7" borderId="0" xfId="1" applyNumberFormat="1" applyFill="1" applyAlignment="1">
      <alignment horizontal="center"/>
    </xf>
    <xf numFmtId="2" fontId="3" fillId="6" borderId="0" xfId="1" applyNumberFormat="1" applyFill="1" applyAlignment="1">
      <alignment horizontal="center"/>
    </xf>
    <xf numFmtId="165" fontId="3" fillId="6" borderId="0" xfId="1" applyNumberFormat="1" applyFill="1"/>
    <xf numFmtId="1" fontId="3" fillId="6" borderId="0" xfId="1" applyNumberFormat="1" applyFill="1"/>
    <xf numFmtId="166" fontId="3" fillId="6" borderId="0" xfId="1" applyNumberFormat="1" applyFill="1"/>
    <xf numFmtId="2" fontId="3" fillId="6" borderId="0" xfId="1" applyNumberFormat="1" applyFill="1"/>
    <xf numFmtId="0" fontId="11" fillId="8" borderId="2" xfId="1" applyFont="1" applyFill="1" applyBorder="1"/>
    <xf numFmtId="0" fontId="8" fillId="9" borderId="2" xfId="1" applyFont="1" applyFill="1" applyBorder="1"/>
    <xf numFmtId="0" fontId="8" fillId="8" borderId="2" xfId="1" applyFont="1" applyFill="1" applyBorder="1"/>
    <xf numFmtId="0" fontId="8" fillId="8" borderId="2" xfId="1" applyFont="1" applyFill="1" applyBorder="1" applyAlignment="1">
      <alignment horizontal="center"/>
    </xf>
    <xf numFmtId="0" fontId="12" fillId="0" borderId="0" xfId="1" applyFont="1"/>
    <xf numFmtId="0" fontId="3" fillId="10" borderId="0" xfId="1" applyFill="1"/>
    <xf numFmtId="0" fontId="7" fillId="6" borderId="0" xfId="1" applyFont="1" applyFill="1" applyAlignment="1">
      <alignment horizontal="center"/>
    </xf>
    <xf numFmtId="0" fontId="13" fillId="6" borderId="0" xfId="1" applyFont="1" applyFill="1" applyAlignment="1">
      <alignment vertical="center"/>
    </xf>
    <xf numFmtId="0" fontId="3" fillId="10" borderId="1" xfId="1" applyFill="1" applyBorder="1"/>
    <xf numFmtId="1" fontId="14" fillId="0" borderId="3" xfId="1" applyNumberFormat="1" applyFont="1" applyBorder="1" applyAlignment="1">
      <alignment horizontal="center"/>
    </xf>
    <xf numFmtId="2" fontId="14" fillId="0" borderId="4" xfId="1" applyNumberFormat="1" applyFont="1" applyBorder="1"/>
    <xf numFmtId="2" fontId="14" fillId="0" borderId="0" xfId="1" applyNumberFormat="1" applyFont="1"/>
    <xf numFmtId="2" fontId="14" fillId="0" borderId="5" xfId="1" applyNumberFormat="1" applyFont="1" applyBorder="1"/>
    <xf numFmtId="165" fontId="14" fillId="0" borderId="4" xfId="1" applyNumberFormat="1" applyFont="1" applyBorder="1"/>
    <xf numFmtId="165" fontId="14" fillId="0" borderId="0" xfId="1" applyNumberFormat="1" applyFont="1"/>
    <xf numFmtId="165" fontId="14" fillId="0" borderId="5" xfId="1" applyNumberFormat="1" applyFont="1" applyBorder="1"/>
    <xf numFmtId="1" fontId="14" fillId="0" borderId="4" xfId="1" applyNumberFormat="1" applyFont="1" applyBorder="1"/>
    <xf numFmtId="1" fontId="14" fillId="0" borderId="0" xfId="1" applyNumberFormat="1" applyFont="1"/>
    <xf numFmtId="1" fontId="14" fillId="0" borderId="5" xfId="1" applyNumberFormat="1" applyFont="1" applyBorder="1"/>
    <xf numFmtId="0" fontId="14" fillId="0" borderId="3" xfId="1" applyFont="1" applyBorder="1"/>
    <xf numFmtId="1" fontId="13" fillId="11" borderId="6" xfId="1" applyNumberFormat="1" applyFont="1" applyFill="1" applyBorder="1" applyAlignment="1">
      <alignment horizontal="center"/>
    </xf>
    <xf numFmtId="2" fontId="13" fillId="11" borderId="7" xfId="1" applyNumberFormat="1" applyFont="1" applyFill="1" applyBorder="1"/>
    <xf numFmtId="2" fontId="13" fillId="11" borderId="8" xfId="1" applyNumberFormat="1" applyFont="1" applyFill="1" applyBorder="1"/>
    <xf numFmtId="2" fontId="13" fillId="11" borderId="9" xfId="1" applyNumberFormat="1" applyFont="1" applyFill="1" applyBorder="1"/>
    <xf numFmtId="165" fontId="13" fillId="11" borderId="7" xfId="1" applyNumberFormat="1" applyFont="1" applyFill="1" applyBorder="1"/>
    <xf numFmtId="165" fontId="13" fillId="11" borderId="8" xfId="1" applyNumberFormat="1" applyFont="1" applyFill="1" applyBorder="1"/>
    <xf numFmtId="165" fontId="13" fillId="11" borderId="9" xfId="1" applyNumberFormat="1" applyFont="1" applyFill="1" applyBorder="1"/>
    <xf numFmtId="1" fontId="13" fillId="11" borderId="7" xfId="1" applyNumberFormat="1" applyFont="1" applyFill="1" applyBorder="1"/>
    <xf numFmtId="1" fontId="13" fillId="11" borderId="8" xfId="1" applyNumberFormat="1" applyFont="1" applyFill="1" applyBorder="1"/>
    <xf numFmtId="1" fontId="13" fillId="11" borderId="9" xfId="1" applyNumberFormat="1" applyFont="1" applyFill="1" applyBorder="1"/>
    <xf numFmtId="0" fontId="13" fillId="11" borderId="6" xfId="1" applyFont="1" applyFill="1" applyBorder="1"/>
    <xf numFmtId="0" fontId="15" fillId="12" borderId="10" xfId="1" applyFont="1" applyFill="1" applyBorder="1" applyAlignment="1">
      <alignment horizontal="center"/>
    </xf>
    <xf numFmtId="0" fontId="15" fillId="12" borderId="11" xfId="1" applyFont="1" applyFill="1" applyBorder="1"/>
    <xf numFmtId="0" fontId="15" fillId="12" borderId="1" xfId="1" applyFont="1" applyFill="1" applyBorder="1"/>
    <xf numFmtId="0" fontId="15" fillId="12" borderId="12" xfId="1" applyFont="1" applyFill="1" applyBorder="1"/>
    <xf numFmtId="0" fontId="14" fillId="0" borderId="13" xfId="1" applyFont="1" applyBorder="1"/>
    <xf numFmtId="0" fontId="15" fillId="12" borderId="10" xfId="6" applyFont="1" applyFill="1" applyBorder="1" applyAlignment="1">
      <alignment horizontal="center" wrapText="1"/>
    </xf>
    <xf numFmtId="0" fontId="2" fillId="0" borderId="3" xfId="6" applyFont="1" applyFill="1" applyBorder="1"/>
    <xf numFmtId="0" fontId="17" fillId="0" borderId="6" xfId="6" applyFont="1" applyFill="1" applyBorder="1" applyAlignment="1">
      <alignment horizontal="center"/>
    </xf>
    <xf numFmtId="0" fontId="20" fillId="0" borderId="0" xfId="1" applyFont="1"/>
    <xf numFmtId="0" fontId="22" fillId="0" borderId="0" xfId="9">
      <alignment wrapText="1"/>
    </xf>
    <xf numFmtId="0" fontId="3" fillId="0" borderId="0" xfId="8"/>
    <xf numFmtId="165" fontId="3" fillId="0" borderId="0" xfId="1" applyNumberFormat="1"/>
    <xf numFmtId="0" fontId="7" fillId="0" borderId="0" xfId="1" applyFont="1" applyAlignment="1">
      <alignment horizontal="center"/>
    </xf>
    <xf numFmtId="0" fontId="7" fillId="0" borderId="0" xfId="1" applyFont="1"/>
    <xf numFmtId="0" fontId="26" fillId="0" borderId="0" xfId="1" applyFont="1"/>
    <xf numFmtId="0" fontId="26" fillId="0" borderId="0" xfId="1" applyFont="1" applyAlignment="1">
      <alignment horizontal="center"/>
    </xf>
    <xf numFmtId="0" fontId="25" fillId="0" borderId="0" xfId="1" applyFont="1"/>
    <xf numFmtId="0" fontId="7" fillId="14" borderId="0" xfId="1" applyFont="1" applyFill="1" applyAlignment="1">
      <alignment horizontal="center"/>
    </xf>
    <xf numFmtId="0" fontId="21" fillId="15" borderId="0" xfId="1" applyFont="1" applyFill="1"/>
    <xf numFmtId="0" fontId="24" fillId="15" borderId="2" xfId="1" applyFont="1" applyFill="1" applyBorder="1" applyAlignment="1">
      <alignment horizontal="center"/>
    </xf>
    <xf numFmtId="1" fontId="7" fillId="16" borderId="0" xfId="1" applyNumberFormat="1" applyFont="1" applyFill="1" applyAlignment="1">
      <alignment horizontal="center"/>
    </xf>
    <xf numFmtId="1" fontId="7" fillId="16" borderId="0" xfId="1" applyNumberFormat="1" applyFont="1" applyFill="1"/>
    <xf numFmtId="167" fontId="7" fillId="16" borderId="0" xfId="1" applyNumberFormat="1" applyFont="1" applyFill="1" applyAlignment="1">
      <alignment horizontal="center"/>
    </xf>
    <xf numFmtId="0" fontId="7" fillId="16" borderId="0" xfId="1" applyFont="1" applyFill="1"/>
    <xf numFmtId="0" fontId="7" fillId="13" borderId="0" xfId="1" applyFont="1" applyFill="1"/>
    <xf numFmtId="0" fontId="7" fillId="17" borderId="0" xfId="1" applyFont="1" applyFill="1"/>
    <xf numFmtId="0" fontId="7" fillId="17" borderId="0" xfId="1" applyFont="1" applyFill="1" applyAlignment="1">
      <alignment horizontal="center"/>
    </xf>
    <xf numFmtId="0" fontId="24" fillId="18" borderId="2" xfId="1" applyFont="1" applyFill="1" applyBorder="1"/>
    <xf numFmtId="0" fontId="7" fillId="13" borderId="0" xfId="1" applyFont="1" applyFill="1" applyAlignment="1">
      <alignment horizontal="center"/>
    </xf>
    <xf numFmtId="0" fontId="24" fillId="17" borderId="0" xfId="1" applyFont="1" applyFill="1"/>
    <xf numFmtId="0" fontId="7" fillId="17" borderId="0" xfId="18" applyFont="1" applyFill="1"/>
    <xf numFmtId="0" fontId="24" fillId="17" borderId="0" xfId="18" applyFont="1" applyFill="1"/>
    <xf numFmtId="0" fontId="24" fillId="17" borderId="0" xfId="18" applyFont="1" applyFill="1" applyAlignment="1">
      <alignment horizontal="center"/>
    </xf>
    <xf numFmtId="0" fontId="24" fillId="17" borderId="1" xfId="18" applyFont="1" applyFill="1" applyBorder="1" applyAlignment="1">
      <alignment horizontal="center"/>
    </xf>
    <xf numFmtId="1" fontId="7" fillId="17" borderId="0" xfId="18" applyNumberFormat="1" applyFont="1" applyFill="1" applyAlignment="1">
      <alignment horizontal="center"/>
    </xf>
    <xf numFmtId="0" fontId="7" fillId="17" borderId="0" xfId="19" applyFont="1" applyFill="1"/>
    <xf numFmtId="165" fontId="7" fillId="17" borderId="0" xfId="1" applyNumberFormat="1" applyFont="1" applyFill="1" applyAlignment="1">
      <alignment horizontal="center"/>
    </xf>
    <xf numFmtId="1" fontId="7" fillId="17" borderId="0" xfId="1" applyNumberFormat="1" applyFont="1" applyFill="1" applyAlignment="1">
      <alignment horizontal="center"/>
    </xf>
    <xf numFmtId="0" fontId="24" fillId="17" borderId="0" xfId="1" applyFont="1" applyFill="1" applyAlignment="1">
      <alignment horizontal="left"/>
    </xf>
    <xf numFmtId="0" fontId="28" fillId="15" borderId="0" xfId="1" applyFont="1" applyFill="1"/>
    <xf numFmtId="0" fontId="21" fillId="0" borderId="0" xfId="1" applyFont="1" applyFill="1"/>
    <xf numFmtId="0" fontId="28" fillId="0" borderId="0" xfId="1" applyFont="1" applyFill="1"/>
    <xf numFmtId="166" fontId="7" fillId="16" borderId="0" xfId="1" applyNumberFormat="1" applyFont="1" applyFill="1" applyAlignment="1">
      <alignment horizontal="center"/>
    </xf>
    <xf numFmtId="0" fontId="24" fillId="18" borderId="2" xfId="1" applyFont="1" applyFill="1" applyBorder="1" applyAlignment="1">
      <alignment horizontal="center"/>
    </xf>
    <xf numFmtId="0" fontId="31" fillId="15" borderId="0" xfId="1" applyFont="1" applyFill="1"/>
    <xf numFmtId="3" fontId="7" fillId="16" borderId="0" xfId="1" applyNumberFormat="1" applyFont="1" applyFill="1" applyAlignment="1">
      <alignment horizontal="center"/>
    </xf>
    <xf numFmtId="0" fontId="24" fillId="0" borderId="0" xfId="1" applyFont="1"/>
    <xf numFmtId="0" fontId="32" fillId="6" borderId="0" xfId="17" applyFont="1" applyFill="1" applyAlignment="1"/>
    <xf numFmtId="1" fontId="32" fillId="6" borderId="0" xfId="17" applyNumberFormat="1" applyFont="1" applyFill="1" applyAlignment="1">
      <alignment horizontal="left" wrapText="1"/>
    </xf>
    <xf numFmtId="1" fontId="32" fillId="6" borderId="0" xfId="17" applyNumberFormat="1" applyFont="1" applyFill="1" applyAlignment="1">
      <alignment horizontal="center" wrapText="1"/>
    </xf>
    <xf numFmtId="168" fontId="32" fillId="6" borderId="0" xfId="17" applyNumberFormat="1" applyFont="1" applyFill="1" applyAlignment="1"/>
    <xf numFmtId="168" fontId="33" fillId="6" borderId="0" xfId="17" applyNumberFormat="1" applyFont="1" applyFill="1" applyAlignment="1">
      <alignment horizontal="center"/>
    </xf>
    <xf numFmtId="0" fontId="24" fillId="6" borderId="0" xfId="1" applyFont="1" applyFill="1"/>
    <xf numFmtId="0" fontId="32" fillId="6" borderId="0" xfId="17" applyFont="1" applyFill="1" applyAlignment="1">
      <alignment horizontal="center"/>
    </xf>
    <xf numFmtId="1" fontId="32" fillId="6" borderId="0" xfId="17" applyNumberFormat="1" applyFont="1" applyFill="1" applyAlignment="1">
      <alignment horizontal="center"/>
    </xf>
    <xf numFmtId="165" fontId="7" fillId="6" borderId="0" xfId="1" applyNumberFormat="1" applyFont="1" applyFill="1" applyAlignment="1">
      <alignment horizontal="center"/>
    </xf>
    <xf numFmtId="165" fontId="7" fillId="6" borderId="0" xfId="1" applyNumberFormat="1" applyFont="1" applyFill="1"/>
    <xf numFmtId="165" fontId="32" fillId="6" borderId="0" xfId="17" applyNumberFormat="1" applyFont="1" applyFill="1" applyAlignment="1">
      <alignment horizontal="center"/>
    </xf>
    <xf numFmtId="2" fontId="32" fillId="6" borderId="0" xfId="17" applyNumberFormat="1" applyFont="1" applyFill="1" applyAlignment="1">
      <alignment horizontal="center"/>
    </xf>
    <xf numFmtId="2" fontId="7" fillId="6" borderId="0" xfId="1" applyNumberFormat="1" applyFont="1" applyFill="1" applyAlignment="1">
      <alignment horizontal="center"/>
    </xf>
    <xf numFmtId="0" fontId="7" fillId="13" borderId="0" xfId="1" applyFont="1" applyFill="1" applyAlignment="1"/>
    <xf numFmtId="0" fontId="21" fillId="15" borderId="0" xfId="1" applyFont="1" applyFill="1" applyAlignment="1">
      <alignment horizontal="center"/>
    </xf>
    <xf numFmtId="0" fontId="25" fillId="0" borderId="0" xfId="1" applyFont="1" applyAlignment="1">
      <alignment horizontal="center"/>
    </xf>
    <xf numFmtId="169" fontId="7" fillId="16" borderId="0" xfId="1" applyNumberFormat="1" applyFont="1" applyFill="1" applyAlignment="1">
      <alignment horizontal="center"/>
    </xf>
    <xf numFmtId="0" fontId="24" fillId="6" borderId="0" xfId="1" applyFont="1" applyFill="1" applyAlignment="1">
      <alignment horizontal="center"/>
    </xf>
    <xf numFmtId="0" fontId="24" fillId="6" borderId="0" xfId="10" applyFont="1" applyFill="1" applyAlignment="1">
      <alignment horizontal="center"/>
    </xf>
    <xf numFmtId="0" fontId="7" fillId="6" borderId="0" xfId="10" applyFont="1" applyFill="1"/>
    <xf numFmtId="0" fontId="7" fillId="6" borderId="0" xfId="10" applyFont="1" applyFill="1" applyAlignment="1">
      <alignment horizontal="center"/>
    </xf>
    <xf numFmtId="0" fontId="7" fillId="6" borderId="0" xfId="11" applyFont="1" applyFill="1"/>
    <xf numFmtId="0" fontId="24" fillId="6" borderId="1" xfId="10" applyFont="1" applyFill="1" applyBorder="1" applyAlignment="1">
      <alignment horizontal="center"/>
    </xf>
    <xf numFmtId="0" fontId="24" fillId="6" borderId="11" xfId="10" applyFont="1" applyFill="1" applyBorder="1" applyAlignment="1">
      <alignment horizontal="center"/>
    </xf>
    <xf numFmtId="0" fontId="7" fillId="6" borderId="0" xfId="12" applyFont="1" applyFill="1" applyAlignment="1">
      <alignment horizontal="center"/>
    </xf>
    <xf numFmtId="165" fontId="7" fillId="6" borderId="0" xfId="10" applyNumberFormat="1" applyFont="1" applyFill="1" applyAlignment="1">
      <alignment horizontal="center"/>
    </xf>
    <xf numFmtId="1" fontId="7" fillId="6" borderId="4" xfId="10" applyNumberFormat="1" applyFont="1" applyFill="1" applyBorder="1" applyAlignment="1">
      <alignment horizontal="center"/>
    </xf>
    <xf numFmtId="1" fontId="7" fillId="6" borderId="0" xfId="10" applyNumberFormat="1" applyFont="1" applyFill="1" applyBorder="1" applyAlignment="1">
      <alignment horizontal="center"/>
    </xf>
    <xf numFmtId="0" fontId="7" fillId="6" borderId="0" xfId="13" applyFont="1" applyFill="1" applyAlignment="1">
      <alignment horizontal="center"/>
    </xf>
    <xf numFmtId="1" fontId="7" fillId="6" borderId="0" xfId="1" applyNumberFormat="1" applyFont="1" applyFill="1" applyAlignment="1">
      <alignment horizontal="center"/>
    </xf>
    <xf numFmtId="1" fontId="32" fillId="6" borderId="0" xfId="14" applyNumberFormat="1" applyFont="1" applyFill="1" applyAlignment="1">
      <alignment horizontal="center"/>
    </xf>
    <xf numFmtId="170" fontId="7" fillId="16" borderId="0" xfId="1" applyNumberFormat="1" applyFont="1" applyFill="1" applyAlignment="1">
      <alignment horizontal="center"/>
    </xf>
    <xf numFmtId="0" fontId="20" fillId="0" borderId="0" xfId="8" applyFont="1"/>
    <xf numFmtId="0" fontId="7" fillId="0" borderId="0" xfId="8" applyFont="1"/>
    <xf numFmtId="0" fontId="7" fillId="6" borderId="0" xfId="8" applyFont="1" applyFill="1"/>
    <xf numFmtId="0" fontId="7" fillId="6" borderId="0" xfId="8" applyFont="1" applyFill="1" applyAlignment="1">
      <alignment horizontal="center"/>
    </xf>
    <xf numFmtId="0" fontId="24" fillId="6" borderId="0" xfId="8" applyFont="1" applyFill="1"/>
    <xf numFmtId="1" fontId="7" fillId="6" borderId="0" xfId="8" applyNumberFormat="1" applyFont="1" applyFill="1"/>
    <xf numFmtId="0" fontId="34" fillId="15" borderId="0" xfId="1" applyFont="1" applyFill="1"/>
    <xf numFmtId="1" fontId="3" fillId="16" borderId="0" xfId="1" applyNumberFormat="1" applyFill="1"/>
    <xf numFmtId="0" fontId="3" fillId="16" borderId="0" xfId="1" applyFill="1"/>
    <xf numFmtId="0" fontId="34" fillId="0" borderId="0" xfId="1" applyFont="1" applyAlignment="1">
      <alignment horizontal="center"/>
    </xf>
    <xf numFmtId="0" fontId="35" fillId="6" borderId="0" xfId="0" applyFont="1" applyFill="1"/>
    <xf numFmtId="3" fontId="35" fillId="6" borderId="0" xfId="0" applyNumberFormat="1" applyFont="1" applyFill="1"/>
    <xf numFmtId="1" fontId="35" fillId="6" borderId="0" xfId="0" applyNumberFormat="1" applyFont="1" applyFill="1"/>
    <xf numFmtId="0" fontId="34" fillId="6" borderId="0" xfId="1" applyFont="1" applyFill="1"/>
    <xf numFmtId="3" fontId="35" fillId="6" borderId="6" xfId="0" applyNumberFormat="1" applyFont="1" applyFill="1" applyBorder="1"/>
    <xf numFmtId="3" fontId="35" fillId="6" borderId="3" xfId="0" applyNumberFormat="1" applyFont="1" applyFill="1" applyBorder="1"/>
    <xf numFmtId="3" fontId="35" fillId="6" borderId="13" xfId="0" applyNumberFormat="1" applyFont="1" applyFill="1" applyBorder="1"/>
    <xf numFmtId="3" fontId="36" fillId="16" borderId="0" xfId="1" applyNumberFormat="1" applyFont="1" applyFill="1" applyAlignment="1">
      <alignment horizontal="center"/>
    </xf>
    <xf numFmtId="169" fontId="36" fillId="16" borderId="0" xfId="1" applyNumberFormat="1" applyFont="1" applyFill="1" applyAlignment="1">
      <alignment horizontal="center"/>
    </xf>
    <xf numFmtId="0" fontId="36" fillId="13" borderId="0" xfId="1" applyFont="1" applyFill="1" applyAlignment="1"/>
    <xf numFmtId="0" fontId="36" fillId="13" borderId="0" xfId="1" applyFont="1" applyFill="1"/>
    <xf numFmtId="3" fontId="7" fillId="16" borderId="0" xfId="1" applyNumberFormat="1" applyFont="1" applyFill="1" applyAlignment="1">
      <alignment horizontal="center"/>
    </xf>
    <xf numFmtId="3" fontId="36" fillId="16" borderId="0" xfId="1" applyNumberFormat="1" applyFont="1" applyFill="1" applyAlignment="1">
      <alignment horizontal="center"/>
    </xf>
    <xf numFmtId="0" fontId="0" fillId="0" borderId="0" xfId="0"/>
    <xf numFmtId="0" fontId="3" fillId="6" borderId="0" xfId="1" applyFill="1"/>
    <xf numFmtId="0" fontId="1" fillId="0" borderId="0" xfId="7"/>
    <xf numFmtId="0" fontId="26" fillId="0" borderId="0" xfId="1" applyFont="1"/>
    <xf numFmtId="0" fontId="26" fillId="0" borderId="0" xfId="1" applyFont="1" applyAlignment="1">
      <alignment horizontal="center"/>
    </xf>
    <xf numFmtId="0" fontId="25" fillId="0" borderId="0" xfId="1" applyFont="1"/>
    <xf numFmtId="0" fontId="7" fillId="13" borderId="0" xfId="1" applyFont="1" applyFill="1"/>
    <xf numFmtId="0" fontId="7" fillId="13" borderId="0" xfId="1" applyFont="1" applyFill="1" applyAlignment="1"/>
    <xf numFmtId="0" fontId="3" fillId="16" borderId="0" xfId="1" applyFill="1"/>
    <xf numFmtId="0" fontId="34" fillId="6" borderId="0" xfId="1" applyFont="1" applyFill="1"/>
    <xf numFmtId="3" fontId="3" fillId="16" borderId="0" xfId="1" applyNumberFormat="1" applyFill="1"/>
    <xf numFmtId="0" fontId="7" fillId="13" borderId="14" xfId="1" applyFont="1" applyFill="1" applyBorder="1"/>
    <xf numFmtId="0" fontId="7" fillId="13" borderId="14" xfId="1" applyFont="1" applyFill="1" applyBorder="1" applyAlignment="1"/>
    <xf numFmtId="0" fontId="3" fillId="16" borderId="14" xfId="1" applyFill="1" applyBorder="1"/>
    <xf numFmtId="0" fontId="7" fillId="13" borderId="0" xfId="1" applyFont="1" applyFill="1" applyBorder="1"/>
    <xf numFmtId="0" fontId="7" fillId="13" borderId="0" xfId="1" applyFont="1" applyFill="1" applyBorder="1" applyAlignment="1"/>
    <xf numFmtId="0" fontId="3" fillId="16" borderId="0" xfId="1" applyFill="1" applyBorder="1"/>
    <xf numFmtId="3" fontId="3" fillId="16" borderId="0" xfId="1" applyNumberFormat="1" applyFill="1" applyBorder="1"/>
    <xf numFmtId="0" fontId="24" fillId="18" borderId="8" xfId="1" applyFont="1" applyFill="1" applyBorder="1"/>
    <xf numFmtId="0" fontId="3" fillId="0" borderId="0" xfId="1" applyBorder="1"/>
    <xf numFmtId="3" fontId="3" fillId="16" borderId="14" xfId="1" applyNumberFormat="1" applyFill="1" applyBorder="1"/>
    <xf numFmtId="0" fontId="3" fillId="16" borderId="0" xfId="1" applyFont="1" applyFill="1" applyBorder="1"/>
    <xf numFmtId="0" fontId="3" fillId="16" borderId="14" xfId="1" applyFont="1" applyFill="1" applyBorder="1"/>
    <xf numFmtId="0" fontId="3" fillId="16" borderId="0" xfId="1" applyFont="1" applyFill="1"/>
    <xf numFmtId="3" fontId="3" fillId="16" borderId="0" xfId="1" applyNumberFormat="1" applyFont="1" applyFill="1" applyBorder="1"/>
    <xf numFmtId="3" fontId="3" fillId="16" borderId="14" xfId="1" applyNumberFormat="1" applyFont="1" applyFill="1" applyBorder="1"/>
    <xf numFmtId="0" fontId="37" fillId="15" borderId="8" xfId="1" applyFont="1" applyFill="1" applyBorder="1" applyAlignment="1">
      <alignment horizontal="center"/>
    </xf>
    <xf numFmtId="3" fontId="3" fillId="0" borderId="0" xfId="1" applyNumberFormat="1"/>
    <xf numFmtId="0" fontId="3" fillId="3" borderId="0" xfId="1" applyFill="1"/>
    <xf numFmtId="3" fontId="3" fillId="3" borderId="0" xfId="1" applyNumberFormat="1" applyFill="1"/>
    <xf numFmtId="0" fontId="34" fillId="10" borderId="14" xfId="1" applyFont="1" applyFill="1" applyBorder="1"/>
    <xf numFmtId="3" fontId="34" fillId="10" borderId="14" xfId="1" applyNumberFormat="1" applyFont="1" applyFill="1" applyBorder="1"/>
    <xf numFmtId="3" fontId="3" fillId="10" borderId="14" xfId="1" applyNumberFormat="1" applyFill="1" applyBorder="1"/>
    <xf numFmtId="3" fontId="3" fillId="10" borderId="0" xfId="1" applyNumberFormat="1" applyFill="1"/>
    <xf numFmtId="0" fontId="34" fillId="19" borderId="14" xfId="1" applyFont="1" applyFill="1" applyBorder="1"/>
    <xf numFmtId="3" fontId="34" fillId="19" borderId="14" xfId="1" applyNumberFormat="1" applyFont="1" applyFill="1" applyBorder="1"/>
    <xf numFmtId="3" fontId="34" fillId="19" borderId="0" xfId="1" applyNumberFormat="1" applyFont="1" applyFill="1"/>
    <xf numFmtId="0" fontId="34" fillId="19" borderId="0" xfId="1" applyFont="1" applyFill="1"/>
    <xf numFmtId="0" fontId="34" fillId="0" borderId="14" xfId="1" applyFont="1" applyBorder="1"/>
    <xf numFmtId="3" fontId="34" fillId="0" borderId="14" xfId="1" applyNumberFormat="1" applyFont="1" applyBorder="1"/>
    <xf numFmtId="0" fontId="3" fillId="0" borderId="14" xfId="1" applyBorder="1"/>
    <xf numFmtId="3" fontId="3" fillId="0" borderId="14" xfId="1" applyNumberFormat="1" applyBorder="1"/>
    <xf numFmtId="0" fontId="38" fillId="15" borderId="0" xfId="1" applyFont="1" applyFill="1"/>
    <xf numFmtId="0" fontId="3" fillId="0" borderId="0" xfId="1" applyFont="1"/>
    <xf numFmtId="169" fontId="3" fillId="0" borderId="0" xfId="1" applyNumberFormat="1"/>
    <xf numFmtId="0" fontId="3" fillId="0" borderId="0" xfId="1" applyFill="1"/>
    <xf numFmtId="0" fontId="39" fillId="0" borderId="0" xfId="8" applyFont="1"/>
    <xf numFmtId="0" fontId="40" fillId="0" borderId="0" xfId="8" applyFont="1" applyAlignment="1">
      <alignment horizontal="center"/>
    </xf>
    <xf numFmtId="0" fontId="8" fillId="20" borderId="2" xfId="8" applyFont="1" applyFill="1" applyBorder="1"/>
    <xf numFmtId="0" fontId="3" fillId="16" borderId="0" xfId="8" applyFill="1"/>
    <xf numFmtId="166" fontId="3" fillId="16" borderId="0" xfId="8" applyNumberFormat="1" applyFill="1"/>
    <xf numFmtId="0" fontId="8" fillId="20" borderId="0" xfId="8" applyFont="1" applyFill="1"/>
    <xf numFmtId="171" fontId="3" fillId="16" borderId="0" xfId="8" applyNumberFormat="1" applyFill="1"/>
    <xf numFmtId="172" fontId="3" fillId="16" borderId="0" xfId="8" applyNumberFormat="1" applyFill="1"/>
    <xf numFmtId="173" fontId="3" fillId="0" borderId="0" xfId="8" applyNumberFormat="1"/>
    <xf numFmtId="9" fontId="3" fillId="0" borderId="0" xfId="8" applyNumberFormat="1"/>
    <xf numFmtId="1" fontId="3" fillId="0" borderId="0" xfId="8" applyNumberFormat="1"/>
    <xf numFmtId="165" fontId="3" fillId="0" borderId="0" xfId="8" applyNumberFormat="1"/>
    <xf numFmtId="0" fontId="41" fillId="16" borderId="0" xfId="0" applyFont="1" applyFill="1"/>
    <xf numFmtId="0" fontId="41" fillId="16" borderId="0" xfId="8" applyFont="1" applyFill="1"/>
    <xf numFmtId="0" fontId="41" fillId="16" borderId="0" xfId="8" applyFont="1" applyFill="1" applyAlignment="1">
      <alignment horizontal="center"/>
    </xf>
    <xf numFmtId="1" fontId="41" fillId="16" borderId="0" xfId="8" applyNumberFormat="1" applyFont="1" applyFill="1" applyAlignment="1">
      <alignment horizontal="center"/>
    </xf>
    <xf numFmtId="0" fontId="0" fillId="16" borderId="0" xfId="0" applyFill="1"/>
    <xf numFmtId="0" fontId="41" fillId="16" borderId="0" xfId="0" applyFont="1" applyFill="1" applyAlignment="1">
      <alignment horizontal="center"/>
    </xf>
    <xf numFmtId="0" fontId="15" fillId="12" borderId="11" xfId="6" applyFont="1" applyFill="1" applyBorder="1" applyAlignment="1">
      <alignment horizontal="center"/>
    </xf>
    <xf numFmtId="0" fontId="15" fillId="12" borderId="10" xfId="6" applyFont="1" applyFill="1" applyBorder="1" applyAlignment="1">
      <alignment horizontal="center"/>
    </xf>
    <xf numFmtId="0" fontId="15" fillId="12" borderId="11" xfId="6" applyFont="1" applyFill="1" applyBorder="1" applyAlignment="1">
      <alignment horizontal="center" wrapText="1"/>
    </xf>
    <xf numFmtId="0" fontId="15" fillId="12" borderId="10" xfId="6" applyFont="1" applyFill="1" applyBorder="1" applyAlignment="1">
      <alignment horizontal="center" wrapText="1"/>
    </xf>
    <xf numFmtId="0" fontId="24" fillId="6" borderId="14" xfId="8" applyFont="1" applyFill="1" applyBorder="1" applyAlignment="1">
      <alignment horizontal="center"/>
    </xf>
    <xf numFmtId="169" fontId="7" fillId="16" borderId="0" xfId="1" applyNumberFormat="1" applyFont="1" applyFill="1" applyAlignment="1">
      <alignment horizontal="left"/>
    </xf>
  </cellXfs>
  <cellStyles count="29">
    <cellStyle name="Accent5 2" xfId="6" xr:uid="{00000000-0005-0000-0000-000000000000}"/>
    <cellStyle name="Comma 2" xfId="3" xr:uid="{00000000-0005-0000-0000-000001000000}"/>
    <cellStyle name="Comma 2 2" xfId="20" xr:uid="{00000000-0005-0000-0000-000002000000}"/>
    <cellStyle name="Neutral 2" xfId="4" xr:uid="{00000000-0005-0000-0000-000003000000}"/>
    <cellStyle name="Normal" xfId="0" builtinId="0"/>
    <cellStyle name="Normal 10" xfId="26" xr:uid="{00000000-0005-0000-0000-000005000000}"/>
    <cellStyle name="Normal 11 2 2" xfId="15" xr:uid="{00000000-0005-0000-0000-000006000000}"/>
    <cellStyle name="Normal 11 2 3" xfId="7" xr:uid="{00000000-0005-0000-0000-000007000000}"/>
    <cellStyle name="Normal 2" xfId="1" xr:uid="{00000000-0005-0000-0000-000008000000}"/>
    <cellStyle name="Normal 2 10" xfId="16" xr:uid="{00000000-0005-0000-0000-000009000000}"/>
    <cellStyle name="Normal 2 18" xfId="25" xr:uid="{00000000-0005-0000-0000-00000A000000}"/>
    <cellStyle name="Normal 23" xfId="5" xr:uid="{00000000-0005-0000-0000-00000B000000}"/>
    <cellStyle name="Normal 3" xfId="9" xr:uid="{00000000-0005-0000-0000-00000C000000}"/>
    <cellStyle name="Normal 3 13" xfId="8" xr:uid="{00000000-0005-0000-0000-00000D000000}"/>
    <cellStyle name="Normal 3 2" xfId="21" xr:uid="{00000000-0005-0000-0000-00000E000000}"/>
    <cellStyle name="Normal 31" xfId="28" xr:uid="{00000000-0005-0000-0000-00000F000000}"/>
    <cellStyle name="Normal 32" xfId="22" xr:uid="{00000000-0005-0000-0000-000010000000}"/>
    <cellStyle name="Normal 4" xfId="24" xr:uid="{00000000-0005-0000-0000-000011000000}"/>
    <cellStyle name="Normal 5 15" xfId="27" xr:uid="{00000000-0005-0000-0000-000012000000}"/>
    <cellStyle name="Normal_EnWe" xfId="18" xr:uid="{00000000-0005-0000-0000-000013000000}"/>
    <cellStyle name="Normal_EWPOTS-WORK" xfId="19" xr:uid="{00000000-0005-0000-0000-000014000000}"/>
    <cellStyle name="Normal_Harvest_Ref_country_res" xfId="13" xr:uid="{00000000-0005-0000-0000-000015000000}"/>
    <cellStyle name="Normal_LOOK" xfId="12" xr:uid="{00000000-0005-0000-0000-000016000000}"/>
    <cellStyle name="Normal_PyCCs" xfId="11" xr:uid="{00000000-0005-0000-0000-000017000000}"/>
    <cellStyle name="Normal_PyCCs_1" xfId="14" xr:uid="{00000000-0005-0000-0000-000018000000}"/>
    <cellStyle name="Normal_PyCCs_2" xfId="10" xr:uid="{00000000-0005-0000-0000-000019000000}"/>
    <cellStyle name="Normal_SoCS_1" xfId="17" xr:uid="{00000000-0005-0000-0000-00001A000000}"/>
    <cellStyle name="Normale_Scen_UC_IND-StrucConst" xfId="2" xr:uid="{00000000-0005-0000-0000-00001B000000}"/>
    <cellStyle name="Percent 2" xfId="23" xr:uid="{00000000-0005-0000-0000-00001C000000}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planned</a:t>
            </a:r>
            <a:r>
              <a:rPr lang="en-US" baseline="0"/>
              <a:t> CO2 storage in EU until 2033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[3]CO2Storage!$C$105:$C$130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[3]CO2Storage!$D$105:$D$130</c:f>
              <c:numCache>
                <c:formatCode>General</c:formatCode>
                <c:ptCount val="26"/>
                <c:pt idx="0">
                  <c:v>2200</c:v>
                </c:pt>
                <c:pt idx="1">
                  <c:v>11300</c:v>
                </c:pt>
                <c:pt idx="2">
                  <c:v>49800</c:v>
                </c:pt>
                <c:pt idx="3">
                  <c:v>87400</c:v>
                </c:pt>
                <c:pt idx="4">
                  <c:v>102580</c:v>
                </c:pt>
                <c:pt idx="5">
                  <c:v>161180</c:v>
                </c:pt>
                <c:pt idx="6">
                  <c:v>170680</c:v>
                </c:pt>
                <c:pt idx="7">
                  <c:v>170680</c:v>
                </c:pt>
                <c:pt idx="8">
                  <c:v>170680</c:v>
                </c:pt>
                <c:pt idx="9">
                  <c:v>179180</c:v>
                </c:pt>
                <c:pt idx="10">
                  <c:v>191180</c:v>
                </c:pt>
                <c:pt idx="11">
                  <c:v>191180</c:v>
                </c:pt>
                <c:pt idx="12">
                  <c:v>191180</c:v>
                </c:pt>
                <c:pt idx="13">
                  <c:v>191180</c:v>
                </c:pt>
                <c:pt idx="14">
                  <c:v>191180</c:v>
                </c:pt>
                <c:pt idx="15">
                  <c:v>191180</c:v>
                </c:pt>
                <c:pt idx="16">
                  <c:v>195180</c:v>
                </c:pt>
                <c:pt idx="17">
                  <c:v>195180</c:v>
                </c:pt>
                <c:pt idx="18">
                  <c:v>195180</c:v>
                </c:pt>
                <c:pt idx="19">
                  <c:v>195180</c:v>
                </c:pt>
                <c:pt idx="20">
                  <c:v>195180</c:v>
                </c:pt>
                <c:pt idx="21">
                  <c:v>200180</c:v>
                </c:pt>
                <c:pt idx="22">
                  <c:v>200180</c:v>
                </c:pt>
                <c:pt idx="23">
                  <c:v>200180</c:v>
                </c:pt>
                <c:pt idx="24">
                  <c:v>200180</c:v>
                </c:pt>
                <c:pt idx="25">
                  <c:v>200180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22-44B9-AFE2-57066F843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001368"/>
        <c:axId val="790007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[3]CO2Storage!$C$105:$C$130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[3]CO2Storage!$C$105:$C$130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722-44B9-AFE2-57066F843385}"/>
                  </c:ext>
                </c:extLst>
              </c15:ser>
            </c15:filteredLineSeries>
          </c:ext>
        </c:extLst>
      </c:lineChart>
      <c:catAx>
        <c:axId val="79001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79000712"/>
        <c:crosses val="autoZero"/>
        <c:auto val="1"/>
        <c:lblAlgn val="ctr"/>
        <c:lblOffset val="100"/>
        <c:noMultiLvlLbl val="0"/>
      </c:catAx>
      <c:valAx>
        <c:axId val="7900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79001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251460</xdr:colOff>
      <xdr:row>108</xdr:row>
      <xdr:rowOff>26670</xdr:rowOff>
    </xdr:from>
    <xdr:to>
      <xdr:col>26</xdr:col>
      <xdr:colOff>502920</xdr:colOff>
      <xdr:row>129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808927-326F-4535-B92F-384F48330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422910</xdr:colOff>
      <xdr:row>2</xdr:row>
      <xdr:rowOff>5715</xdr:rowOff>
    </xdr:from>
    <xdr:to>
      <xdr:col>24</xdr:col>
      <xdr:colOff>60960</xdr:colOff>
      <xdr:row>30</xdr:row>
      <xdr:rowOff>51435</xdr:rowOff>
    </xdr:to>
    <xdr:pic>
      <xdr:nvPicPr>
        <xdr:cNvPr id="2" name="Picture 1" descr="D:\Projects\Neopoles\Negem\WP8\MicrosoftTeams-image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71335" y="339090"/>
          <a:ext cx="9086850" cy="4341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504825</xdr:colOff>
      <xdr:row>31</xdr:row>
      <xdr:rowOff>57150</xdr:rowOff>
    </xdr:from>
    <xdr:to>
      <xdr:col>24</xdr:col>
      <xdr:colOff>322656</xdr:colOff>
      <xdr:row>101</xdr:row>
      <xdr:rowOff>73079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D7B109-2C5E-404C-A623-B3F73F07C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0050" y="4810125"/>
          <a:ext cx="9266631" cy="103886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76200</xdr:rowOff>
    </xdr:from>
    <xdr:to>
      <xdr:col>14</xdr:col>
      <xdr:colOff>38100</xdr:colOff>
      <xdr:row>103</xdr:row>
      <xdr:rowOff>136364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7C818-02D1-44FD-A590-B9ABFCDC4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0599420"/>
          <a:ext cx="7307580" cy="46931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eda\Veda_models\JRCEU\SuppXLS\Scen_ZN_Scen1Tec.xlsx" TargetMode="External"/><Relationship Id="rId1" Type="http://schemas.openxmlformats.org/officeDocument/2006/relationships/externalLinkPath" Target="/Veda/Veda_models/JRCEU/SuppXLS/Scen_ZN_Scen1Te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_models/JRCEU/SuppXLS/Scen_ZN_Scen1Tec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eda\Veda_models\JRCEU\SuppXLS\Scen_CCUS_CGprojectS3.xlsx" TargetMode="External"/><Relationship Id="rId1" Type="http://schemas.openxmlformats.org/officeDocument/2006/relationships/externalLinkPath" Target="Scen_CCUS_CGprojectS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oCrops"/>
      <sheetName val="BioCropsFI"/>
      <sheetName val="PyCCs"/>
      <sheetName val="SoCS"/>
      <sheetName val="EnWe"/>
      <sheetName val="AREFOR"/>
      <sheetName val="STORE"/>
      <sheetName val="POLICY"/>
      <sheetName val="TECH"/>
      <sheetName val="DACCS"/>
    </sheetNames>
    <sheetDataSet>
      <sheetData sheetId="0">
        <row r="1">
          <cell r="G1" t="str">
            <v>Tec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oCrops"/>
      <sheetName val="PyCCs"/>
      <sheetName val="DACCS"/>
      <sheetName val="SoCS"/>
      <sheetName val="EnWe"/>
      <sheetName val="AREFOR"/>
      <sheetName val="STORE"/>
      <sheetName val="POLICY"/>
      <sheetName val="TECH"/>
    </sheetNames>
    <sheetDataSet>
      <sheetData sheetId="0">
        <row r="1">
          <cell r="G1" t="str">
            <v>ec1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NETS"/>
      <sheetName val="CO2Storage"/>
      <sheetName val="DACCS"/>
      <sheetName val="PyCCs"/>
      <sheetName val="SOC"/>
      <sheetName val="SCS"/>
      <sheetName val="Forestry"/>
      <sheetName val="EW"/>
      <sheetName val="ClimPOLICY"/>
      <sheetName val="GHGassumptions"/>
      <sheetName val="historicalGHG"/>
      <sheetName val="BIO"/>
      <sheetName val="bioshares"/>
      <sheetName val="OtherLims"/>
    </sheetNames>
    <sheetDataSet>
      <sheetData sheetId="0"/>
      <sheetData sheetId="1">
        <row r="105">
          <cell r="C105">
            <v>2025</v>
          </cell>
          <cell r="D105">
            <v>2200</v>
          </cell>
        </row>
        <row r="106">
          <cell r="C106">
            <v>2026</v>
          </cell>
          <cell r="D106">
            <v>11300</v>
          </cell>
        </row>
        <row r="107">
          <cell r="C107">
            <v>2027</v>
          </cell>
          <cell r="D107">
            <v>49800</v>
          </cell>
        </row>
        <row r="108">
          <cell r="C108">
            <v>2028</v>
          </cell>
          <cell r="D108">
            <v>87400</v>
          </cell>
        </row>
        <row r="109">
          <cell r="C109">
            <v>2029</v>
          </cell>
          <cell r="D109">
            <v>102580</v>
          </cell>
        </row>
        <row r="110">
          <cell r="C110">
            <v>2030</v>
          </cell>
          <cell r="D110">
            <v>161180</v>
          </cell>
        </row>
        <row r="111">
          <cell r="C111">
            <v>2031</v>
          </cell>
          <cell r="D111">
            <v>170680</v>
          </cell>
        </row>
        <row r="112">
          <cell r="C112">
            <v>2032</v>
          </cell>
          <cell r="D112">
            <v>170680</v>
          </cell>
        </row>
        <row r="113">
          <cell r="C113">
            <v>2033</v>
          </cell>
          <cell r="D113">
            <v>170680</v>
          </cell>
        </row>
        <row r="114">
          <cell r="C114">
            <v>2034</v>
          </cell>
          <cell r="D114">
            <v>179180</v>
          </cell>
        </row>
        <row r="115">
          <cell r="C115">
            <v>2035</v>
          </cell>
          <cell r="D115">
            <v>191180</v>
          </cell>
        </row>
        <row r="116">
          <cell r="C116">
            <v>2036</v>
          </cell>
          <cell r="D116">
            <v>191180</v>
          </cell>
        </row>
        <row r="117">
          <cell r="C117">
            <v>2037</v>
          </cell>
          <cell r="D117">
            <v>191180</v>
          </cell>
        </row>
        <row r="118">
          <cell r="C118">
            <v>2038</v>
          </cell>
          <cell r="D118">
            <v>191180</v>
          </cell>
        </row>
        <row r="119">
          <cell r="C119">
            <v>2039</v>
          </cell>
          <cell r="D119">
            <v>191180</v>
          </cell>
        </row>
        <row r="120">
          <cell r="C120">
            <v>2040</v>
          </cell>
          <cell r="D120">
            <v>191180</v>
          </cell>
        </row>
        <row r="121">
          <cell r="C121">
            <v>2041</v>
          </cell>
          <cell r="D121">
            <v>195180</v>
          </cell>
        </row>
        <row r="122">
          <cell r="C122">
            <v>2042</v>
          </cell>
          <cell r="D122">
            <v>195180</v>
          </cell>
        </row>
        <row r="123">
          <cell r="C123">
            <v>2043</v>
          </cell>
          <cell r="D123">
            <v>195180</v>
          </cell>
        </row>
        <row r="124">
          <cell r="C124">
            <v>2044</v>
          </cell>
          <cell r="D124">
            <v>195180</v>
          </cell>
        </row>
        <row r="125">
          <cell r="C125">
            <v>2045</v>
          </cell>
          <cell r="D125">
            <v>195180</v>
          </cell>
        </row>
        <row r="126">
          <cell r="C126">
            <v>2046</v>
          </cell>
          <cell r="D126">
            <v>200180</v>
          </cell>
        </row>
        <row r="127">
          <cell r="C127">
            <v>2047</v>
          </cell>
          <cell r="D127">
            <v>200180</v>
          </cell>
        </row>
        <row r="128">
          <cell r="C128">
            <v>2048</v>
          </cell>
          <cell r="D128">
            <v>200180</v>
          </cell>
        </row>
        <row r="129">
          <cell r="C129">
            <v>2049</v>
          </cell>
          <cell r="D129">
            <v>200180</v>
          </cell>
        </row>
        <row r="130">
          <cell r="C130">
            <v>2050</v>
          </cell>
          <cell r="D130">
            <v>200180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79"/>
  <sheetViews>
    <sheetView zoomScale="120" zoomScaleNormal="120" workbookViewId="0">
      <selection activeCell="M37" sqref="M37"/>
    </sheetView>
  </sheetViews>
  <sheetFormatPr defaultColWidth="8.85546875" defaultRowHeight="11.25" x14ac:dyDescent="0.2"/>
  <cols>
    <col min="1" max="1" width="8.85546875" style="1"/>
    <col min="2" max="2" width="11.42578125" style="1" customWidth="1"/>
    <col min="3" max="6" width="8.85546875" style="1"/>
    <col min="7" max="7" width="16.42578125" style="1" customWidth="1"/>
    <col min="8" max="8" width="9.7109375" style="1" customWidth="1"/>
    <col min="9" max="13" width="8.85546875" style="1"/>
    <col min="14" max="14" width="22.140625" style="1" customWidth="1"/>
    <col min="15" max="16384" width="8.85546875" style="1"/>
  </cols>
  <sheetData>
    <row r="1" spans="2:35" ht="24.75" x14ac:dyDescent="0.25">
      <c r="N1" s="69" t="s">
        <v>106</v>
      </c>
      <c r="O1" s="230" t="s">
        <v>105</v>
      </c>
      <c r="P1" s="231"/>
      <c r="Q1" s="231"/>
      <c r="R1" s="231"/>
      <c r="S1" s="231" t="s">
        <v>104</v>
      </c>
      <c r="T1" s="231"/>
      <c r="U1" s="231"/>
      <c r="V1" s="231"/>
      <c r="W1" s="231" t="s">
        <v>103</v>
      </c>
      <c r="X1" s="231"/>
      <c r="Y1" s="231"/>
      <c r="Z1" s="231"/>
      <c r="AA1" s="231" t="s">
        <v>102</v>
      </c>
      <c r="AB1" s="231"/>
      <c r="AC1" s="231"/>
      <c r="AD1" s="231"/>
      <c r="AE1" s="231" t="s">
        <v>101</v>
      </c>
      <c r="AF1" s="231"/>
      <c r="AG1" s="231"/>
      <c r="AH1" s="231"/>
      <c r="AI1" s="67" t="s">
        <v>100</v>
      </c>
    </row>
    <row r="2" spans="2:35" ht="15" x14ac:dyDescent="0.25">
      <c r="B2" s="35" t="s">
        <v>99</v>
      </c>
      <c r="N2" s="68"/>
      <c r="O2" s="228" t="s">
        <v>98</v>
      </c>
      <c r="P2" s="229"/>
      <c r="Q2" s="229"/>
      <c r="R2" s="229"/>
      <c r="S2" s="229" t="s">
        <v>98</v>
      </c>
      <c r="T2" s="229"/>
      <c r="U2" s="229"/>
      <c r="V2" s="229"/>
      <c r="W2" s="229" t="s">
        <v>97</v>
      </c>
      <c r="X2" s="229"/>
      <c r="Y2" s="229"/>
      <c r="Z2" s="229"/>
      <c r="AA2" s="229" t="s">
        <v>96</v>
      </c>
      <c r="AB2" s="229"/>
      <c r="AC2" s="229"/>
      <c r="AD2" s="229"/>
      <c r="AE2" s="229" t="s">
        <v>95</v>
      </c>
      <c r="AF2" s="229"/>
      <c r="AG2" s="229"/>
      <c r="AH2" s="229"/>
      <c r="AI2" s="67" t="s">
        <v>94</v>
      </c>
    </row>
    <row r="3" spans="2:35" ht="13.5" thickBot="1" x14ac:dyDescent="0.25">
      <c r="B3" s="33" t="s">
        <v>64</v>
      </c>
      <c r="C3" s="33" t="s">
        <v>67</v>
      </c>
      <c r="D3" s="34" t="s">
        <v>4</v>
      </c>
      <c r="E3" s="34" t="s">
        <v>93</v>
      </c>
      <c r="F3" s="32" t="s">
        <v>65</v>
      </c>
      <c r="G3" s="31" t="s">
        <v>5</v>
      </c>
      <c r="H3" s="31" t="s">
        <v>20</v>
      </c>
      <c r="I3" s="31" t="s">
        <v>92</v>
      </c>
      <c r="J3" s="31" t="s">
        <v>63</v>
      </c>
      <c r="N3" s="66" t="s">
        <v>91</v>
      </c>
      <c r="O3" s="64">
        <v>2020</v>
      </c>
      <c r="P3" s="64">
        <v>2030</v>
      </c>
      <c r="Q3" s="64">
        <v>2040</v>
      </c>
      <c r="R3" s="63">
        <v>2050</v>
      </c>
      <c r="S3" s="65">
        <v>2020</v>
      </c>
      <c r="T3" s="64">
        <v>2030</v>
      </c>
      <c r="U3" s="64">
        <v>2040</v>
      </c>
      <c r="V3" s="63">
        <v>2050</v>
      </c>
      <c r="W3" s="65">
        <v>2020</v>
      </c>
      <c r="X3" s="64">
        <v>2030</v>
      </c>
      <c r="Y3" s="64">
        <v>2040</v>
      </c>
      <c r="Z3" s="63">
        <v>2050</v>
      </c>
      <c r="AA3" s="65">
        <v>2020</v>
      </c>
      <c r="AB3" s="64">
        <v>2030</v>
      </c>
      <c r="AC3" s="64">
        <v>2040</v>
      </c>
      <c r="AD3" s="63">
        <v>2050</v>
      </c>
      <c r="AE3" s="65">
        <v>2020</v>
      </c>
      <c r="AF3" s="64">
        <v>2030</v>
      </c>
      <c r="AG3" s="64">
        <v>2040</v>
      </c>
      <c r="AH3" s="63">
        <v>2050</v>
      </c>
      <c r="AI3" s="62"/>
    </row>
    <row r="4" spans="2:35" ht="12" x14ac:dyDescent="0.2">
      <c r="B4" s="17" t="s">
        <v>51</v>
      </c>
      <c r="C4" s="17"/>
      <c r="D4" s="17"/>
      <c r="E4" s="17"/>
      <c r="F4" s="37" t="s">
        <v>80</v>
      </c>
      <c r="G4" s="17" t="s">
        <v>90</v>
      </c>
      <c r="H4" s="17" t="s">
        <v>83</v>
      </c>
      <c r="I4" s="38" t="s">
        <v>77</v>
      </c>
      <c r="J4" s="16"/>
      <c r="N4" s="61" t="s">
        <v>89</v>
      </c>
      <c r="O4" s="60">
        <v>2000</v>
      </c>
      <c r="P4" s="59">
        <v>1800</v>
      </c>
      <c r="Q4" s="59">
        <v>1700</v>
      </c>
      <c r="R4" s="58">
        <v>1700</v>
      </c>
      <c r="S4" s="57">
        <v>47.467289769376798</v>
      </c>
      <c r="T4" s="56">
        <v>40.075034999999993</v>
      </c>
      <c r="U4" s="56">
        <v>39.215746062912913</v>
      </c>
      <c r="V4" s="55">
        <v>38.374881999999999</v>
      </c>
      <c r="W4" s="54">
        <v>3.5615090425531912</v>
      </c>
      <c r="X4" s="53">
        <v>3.5615090425531912</v>
      </c>
      <c r="Y4" s="53">
        <v>3.5615090425531912</v>
      </c>
      <c r="Z4" s="52">
        <v>3.5615090425531912</v>
      </c>
      <c r="AA4" s="54">
        <v>0.34671060171919776</v>
      </c>
      <c r="AB4" s="53">
        <v>0.39</v>
      </c>
      <c r="AC4" s="53">
        <v>0.39500000000000002</v>
      </c>
      <c r="AD4" s="52">
        <v>0.4</v>
      </c>
      <c r="AE4" s="54">
        <v>9.5000000000000001E-2</v>
      </c>
      <c r="AF4" s="53">
        <v>9.5000000000000001E-2</v>
      </c>
      <c r="AG4" s="53">
        <v>9.5000000000000001E-2</v>
      </c>
      <c r="AH4" s="52">
        <v>9.5000000000000001E-2</v>
      </c>
      <c r="AI4" s="51">
        <v>40</v>
      </c>
    </row>
    <row r="5" spans="2:35" ht="12" x14ac:dyDescent="0.2">
      <c r="B5" s="17" t="s">
        <v>51</v>
      </c>
      <c r="C5" s="17"/>
      <c r="D5" s="17"/>
      <c r="E5" s="17"/>
      <c r="F5" s="37" t="s">
        <v>80</v>
      </c>
      <c r="G5" s="17" t="s">
        <v>56</v>
      </c>
      <c r="H5" s="17" t="s">
        <v>83</v>
      </c>
      <c r="I5" s="38" t="s">
        <v>77</v>
      </c>
      <c r="J5" s="16"/>
      <c r="N5" s="50" t="s">
        <v>88</v>
      </c>
      <c r="O5" s="49">
        <v>4050</v>
      </c>
      <c r="P5" s="48">
        <v>3675</v>
      </c>
      <c r="Q5" s="48">
        <v>3305</v>
      </c>
      <c r="R5" s="47">
        <v>3205</v>
      </c>
      <c r="S5" s="46">
        <v>81.467289769376791</v>
      </c>
      <c r="T5" s="45">
        <v>69.075035</v>
      </c>
      <c r="U5" s="45">
        <v>63.015746062912918</v>
      </c>
      <c r="V5" s="44">
        <v>61.374881999999999</v>
      </c>
      <c r="W5" s="43">
        <v>5.994709958134008</v>
      </c>
      <c r="X5" s="42">
        <v>5.9143070122577619</v>
      </c>
      <c r="Y5" s="42">
        <v>5.8228055664870872</v>
      </c>
      <c r="Z5" s="41">
        <v>5.8032854653174173</v>
      </c>
      <c r="AA5" s="43">
        <v>0.2667106017191978</v>
      </c>
      <c r="AB5" s="42">
        <v>0.30499999999999999</v>
      </c>
      <c r="AC5" s="42">
        <v>0.32</v>
      </c>
      <c r="AD5" s="41">
        <v>0.32500000000000001</v>
      </c>
      <c r="AE5" s="43">
        <v>0.34255569615192494</v>
      </c>
      <c r="AF5" s="42">
        <v>0.29064132005425891</v>
      </c>
      <c r="AG5" s="42">
        <v>0.26583778480759596</v>
      </c>
      <c r="AH5" s="41">
        <v>0.26179999999999992</v>
      </c>
      <c r="AI5" s="40">
        <v>40</v>
      </c>
    </row>
    <row r="6" spans="2:35" ht="12" x14ac:dyDescent="0.2">
      <c r="B6" s="17" t="s">
        <v>51</v>
      </c>
      <c r="C6" s="17"/>
      <c r="D6" s="17"/>
      <c r="E6" s="17"/>
      <c r="F6" s="37" t="s">
        <v>80</v>
      </c>
      <c r="G6" s="17" t="s">
        <v>87</v>
      </c>
      <c r="H6" s="17" t="s">
        <v>85</v>
      </c>
      <c r="I6" s="38" t="s">
        <v>77</v>
      </c>
      <c r="J6" s="16"/>
    </row>
    <row r="7" spans="2:35" ht="12" x14ac:dyDescent="0.2">
      <c r="B7" s="17" t="s">
        <v>51</v>
      </c>
      <c r="C7" s="17"/>
      <c r="D7" s="17"/>
      <c r="E7" s="17"/>
      <c r="F7" s="37" t="s">
        <v>80</v>
      </c>
      <c r="G7" s="17" t="s">
        <v>86</v>
      </c>
      <c r="H7" s="17" t="s">
        <v>85</v>
      </c>
      <c r="I7" s="38" t="s">
        <v>77</v>
      </c>
      <c r="J7" s="16"/>
    </row>
    <row r="8" spans="2:35" ht="12" x14ac:dyDescent="0.2">
      <c r="B8" s="17" t="s">
        <v>51</v>
      </c>
      <c r="C8" s="17"/>
      <c r="D8" s="17"/>
      <c r="E8" s="17"/>
      <c r="F8" s="37" t="s">
        <v>80</v>
      </c>
      <c r="G8" s="17" t="s">
        <v>75</v>
      </c>
      <c r="H8" s="17" t="s">
        <v>85</v>
      </c>
      <c r="I8" s="38" t="s">
        <v>77</v>
      </c>
      <c r="J8" s="16"/>
    </row>
    <row r="9" spans="2:35" ht="12" x14ac:dyDescent="0.2">
      <c r="B9" s="17" t="s">
        <v>51</v>
      </c>
      <c r="C9" s="17"/>
      <c r="D9" s="17"/>
      <c r="E9" s="17"/>
      <c r="F9" s="37" t="s">
        <v>80</v>
      </c>
      <c r="G9" s="17" t="s">
        <v>84</v>
      </c>
      <c r="H9" s="17" t="s">
        <v>83</v>
      </c>
      <c r="I9" s="38" t="s">
        <v>77</v>
      </c>
      <c r="J9" s="16"/>
      <c r="AA9" s="39" t="s">
        <v>82</v>
      </c>
      <c r="AB9" s="39" t="s">
        <v>81</v>
      </c>
      <c r="AC9" s="39">
        <v>2010</v>
      </c>
      <c r="AD9" s="39">
        <v>2013</v>
      </c>
      <c r="AE9" s="39">
        <v>2015</v>
      </c>
      <c r="AF9" s="39">
        <v>2020</v>
      </c>
      <c r="AG9" s="39">
        <v>2030</v>
      </c>
      <c r="AH9" s="39">
        <v>2040</v>
      </c>
      <c r="AI9" s="39">
        <v>2050</v>
      </c>
    </row>
    <row r="10" spans="2:35" ht="12" x14ac:dyDescent="0.2">
      <c r="B10" s="17" t="s">
        <v>51</v>
      </c>
      <c r="C10" s="17"/>
      <c r="D10" s="17"/>
      <c r="E10" s="17"/>
      <c r="F10" s="37" t="s">
        <v>80</v>
      </c>
      <c r="G10" s="17" t="s">
        <v>25</v>
      </c>
      <c r="H10" s="17" t="s">
        <v>79</v>
      </c>
      <c r="I10" s="38" t="s">
        <v>77</v>
      </c>
      <c r="J10" s="16"/>
      <c r="AA10" s="36" t="s">
        <v>60</v>
      </c>
      <c r="AB10" s="36" t="s">
        <v>70</v>
      </c>
      <c r="AC10" s="36"/>
      <c r="AD10" s="36">
        <v>2.1666666666666701</v>
      </c>
      <c r="AE10" s="36"/>
      <c r="AF10" s="36">
        <v>2.1666666666666701</v>
      </c>
      <c r="AG10" s="36">
        <v>2.1666666666666701</v>
      </c>
      <c r="AH10" s="36">
        <v>2.1666666666666701</v>
      </c>
      <c r="AI10" s="36">
        <v>2.1666666666666701</v>
      </c>
    </row>
    <row r="11" spans="2:35" ht="12" x14ac:dyDescent="0.2">
      <c r="B11" s="17" t="s">
        <v>51</v>
      </c>
      <c r="C11" s="17"/>
      <c r="D11" s="17"/>
      <c r="E11" s="17"/>
      <c r="F11" s="37" t="s">
        <v>78</v>
      </c>
      <c r="G11" s="17" t="s">
        <v>24</v>
      </c>
      <c r="H11" s="17" t="s">
        <v>50</v>
      </c>
      <c r="I11" s="38" t="s">
        <v>77</v>
      </c>
      <c r="J11" s="16"/>
      <c r="AA11" s="36" t="s">
        <v>61</v>
      </c>
      <c r="AB11" s="36" t="s">
        <v>70</v>
      </c>
      <c r="AC11" s="36"/>
      <c r="AD11" s="36">
        <v>0.24</v>
      </c>
      <c r="AE11" s="36"/>
      <c r="AF11" s="36">
        <v>0.25</v>
      </c>
      <c r="AG11" s="36">
        <v>0.26</v>
      </c>
      <c r="AH11" s="36">
        <v>0.27</v>
      </c>
      <c r="AI11" s="36">
        <v>0.28000000000000003</v>
      </c>
    </row>
    <row r="12" spans="2:35" ht="12" x14ac:dyDescent="0.2">
      <c r="B12" s="17" t="s">
        <v>51</v>
      </c>
      <c r="C12" s="17"/>
      <c r="D12" s="17"/>
      <c r="E12" s="17"/>
      <c r="F12" s="37" t="s">
        <v>78</v>
      </c>
      <c r="G12" s="17" t="s">
        <v>22</v>
      </c>
      <c r="H12" s="17" t="s">
        <v>50</v>
      </c>
      <c r="I12" s="38" t="s">
        <v>77</v>
      </c>
      <c r="J12" s="16"/>
      <c r="AA12" s="36" t="s">
        <v>76</v>
      </c>
      <c r="AB12" s="36" t="s">
        <v>70</v>
      </c>
      <c r="AC12" s="36">
        <v>0.9</v>
      </c>
      <c r="AD12" s="36"/>
      <c r="AE12" s="36"/>
      <c r="AF12" s="36"/>
      <c r="AG12" s="36"/>
      <c r="AH12" s="36"/>
      <c r="AI12" s="36"/>
    </row>
    <row r="13" spans="2:35" ht="12" x14ac:dyDescent="0.2">
      <c r="B13" s="18" t="s">
        <v>40</v>
      </c>
      <c r="C13" s="22" t="s">
        <v>28</v>
      </c>
      <c r="D13" s="22">
        <v>2010</v>
      </c>
      <c r="E13" s="22">
        <v>2040</v>
      </c>
      <c r="F13" s="22">
        <v>12</v>
      </c>
      <c r="G13" s="17" t="s">
        <v>75</v>
      </c>
      <c r="H13" s="16"/>
      <c r="I13" s="16"/>
      <c r="J13" s="16"/>
      <c r="AA13" s="36" t="s">
        <v>47</v>
      </c>
      <c r="AB13" s="36" t="s">
        <v>70</v>
      </c>
      <c r="AC13" s="36"/>
      <c r="AD13" s="36">
        <v>4560</v>
      </c>
      <c r="AE13" s="36"/>
      <c r="AF13" s="36">
        <v>4220</v>
      </c>
      <c r="AG13" s="36">
        <v>3930</v>
      </c>
      <c r="AH13" s="36">
        <v>3660</v>
      </c>
      <c r="AI13" s="36">
        <v>3430</v>
      </c>
    </row>
    <row r="14" spans="2:35" ht="12" x14ac:dyDescent="0.2">
      <c r="B14" s="18" t="s">
        <v>47</v>
      </c>
      <c r="C14" s="16"/>
      <c r="D14" s="22">
        <v>2014</v>
      </c>
      <c r="E14" s="22">
        <v>2040</v>
      </c>
      <c r="F14" s="37" t="s">
        <v>74</v>
      </c>
      <c r="G14" s="16" t="s">
        <v>45</v>
      </c>
      <c r="H14" s="16"/>
      <c r="I14" s="16"/>
      <c r="J14" s="16" t="s">
        <v>55</v>
      </c>
      <c r="AA14" s="36" t="s">
        <v>73</v>
      </c>
      <c r="AB14" s="36" t="s">
        <v>72</v>
      </c>
      <c r="AC14" s="36">
        <v>0.1</v>
      </c>
      <c r="AD14" s="36"/>
      <c r="AE14" s="36"/>
      <c r="AF14" s="36"/>
      <c r="AG14" s="36"/>
      <c r="AH14" s="36"/>
      <c r="AI14" s="36"/>
    </row>
    <row r="15" spans="2:35" ht="12" x14ac:dyDescent="0.2">
      <c r="B15" s="18" t="s">
        <v>59</v>
      </c>
      <c r="C15" s="16"/>
      <c r="D15" s="22">
        <v>2010</v>
      </c>
      <c r="E15" s="22">
        <v>2040</v>
      </c>
      <c r="F15" s="37" t="s">
        <v>71</v>
      </c>
      <c r="G15" s="16" t="s">
        <v>45</v>
      </c>
      <c r="H15" s="16"/>
      <c r="I15" s="16"/>
      <c r="J15" s="16" t="s">
        <v>46</v>
      </c>
      <c r="AA15" s="36" t="s">
        <v>59</v>
      </c>
      <c r="AB15" s="36" t="s">
        <v>70</v>
      </c>
      <c r="AC15" s="36"/>
      <c r="AD15" s="36">
        <v>102.78</v>
      </c>
      <c r="AE15" s="36"/>
      <c r="AF15" s="36">
        <v>96.66</v>
      </c>
      <c r="AG15" s="36">
        <v>91.44</v>
      </c>
      <c r="AH15" s="36">
        <v>86.58</v>
      </c>
      <c r="AI15" s="36">
        <v>82.44</v>
      </c>
    </row>
    <row r="16" spans="2:35" x14ac:dyDescent="0.2">
      <c r="AA16" s="36" t="s">
        <v>57</v>
      </c>
      <c r="AB16" s="36" t="s">
        <v>70</v>
      </c>
      <c r="AC16" s="36">
        <v>25</v>
      </c>
      <c r="AD16" s="36"/>
      <c r="AE16" s="36"/>
      <c r="AF16" s="36"/>
      <c r="AG16" s="36"/>
      <c r="AH16" s="36"/>
      <c r="AI16" s="36"/>
    </row>
    <row r="18" spans="2:22" ht="15" x14ac:dyDescent="0.25">
      <c r="B18" s="35" t="s">
        <v>69</v>
      </c>
      <c r="N18" s="35" t="s">
        <v>68</v>
      </c>
    </row>
    <row r="19" spans="2:22" ht="13.5" thickBot="1" x14ac:dyDescent="0.25">
      <c r="B19" s="33" t="s">
        <v>64</v>
      </c>
      <c r="C19" s="33" t="s">
        <v>67</v>
      </c>
      <c r="D19" s="34" t="s">
        <v>4</v>
      </c>
      <c r="E19" s="33" t="s">
        <v>66</v>
      </c>
      <c r="F19" s="32" t="s">
        <v>65</v>
      </c>
      <c r="G19" s="31" t="s">
        <v>5</v>
      </c>
      <c r="H19" s="31" t="s">
        <v>20</v>
      </c>
      <c r="I19" s="31" t="s">
        <v>6</v>
      </c>
      <c r="J19" s="31" t="s">
        <v>62</v>
      </c>
      <c r="N19" s="33" t="s">
        <v>64</v>
      </c>
      <c r="O19" s="33" t="s">
        <v>63</v>
      </c>
      <c r="P19" s="32">
        <v>2025</v>
      </c>
      <c r="Q19" s="32">
        <v>2030</v>
      </c>
      <c r="R19" s="32">
        <v>2040</v>
      </c>
      <c r="S19" s="32">
        <v>2050</v>
      </c>
      <c r="T19" s="31" t="s">
        <v>5</v>
      </c>
      <c r="U19" s="31" t="s">
        <v>20</v>
      </c>
      <c r="V19" s="31" t="s">
        <v>62</v>
      </c>
    </row>
    <row r="20" spans="2:22" x14ac:dyDescent="0.2">
      <c r="B20" s="16" t="s">
        <v>48</v>
      </c>
      <c r="C20" s="16"/>
      <c r="D20" s="22">
        <v>1</v>
      </c>
      <c r="E20" s="16"/>
      <c r="F20" s="22">
        <v>0.75</v>
      </c>
      <c r="G20" s="16"/>
      <c r="H20" s="16"/>
      <c r="I20" s="16"/>
      <c r="J20" s="22">
        <v>71</v>
      </c>
      <c r="N20" s="16" t="s">
        <v>61</v>
      </c>
      <c r="O20" s="16"/>
      <c r="P20" s="30">
        <f>AA5</f>
        <v>0.2667106017191978</v>
      </c>
      <c r="Q20" s="30">
        <f>AB5</f>
        <v>0.30499999999999999</v>
      </c>
      <c r="R20" s="30">
        <f>AC5</f>
        <v>0.32</v>
      </c>
      <c r="S20" s="30">
        <f>AD5</f>
        <v>0.32500000000000001</v>
      </c>
      <c r="T20" s="16" t="s">
        <v>56</v>
      </c>
      <c r="U20" s="16"/>
      <c r="V20" s="16" t="s">
        <v>49</v>
      </c>
    </row>
    <row r="21" spans="2:22" x14ac:dyDescent="0.2">
      <c r="B21" s="16" t="s">
        <v>48</v>
      </c>
      <c r="C21" s="16"/>
      <c r="D21" s="22">
        <v>5</v>
      </c>
      <c r="E21" s="16"/>
      <c r="F21" s="22">
        <v>0.96</v>
      </c>
      <c r="G21" s="16"/>
      <c r="H21" s="16"/>
      <c r="I21" s="16"/>
      <c r="J21" s="22">
        <v>71</v>
      </c>
      <c r="N21" s="16" t="s">
        <v>60</v>
      </c>
      <c r="O21" s="16" t="s">
        <v>58</v>
      </c>
      <c r="P21" s="29">
        <f>W5/3.6</f>
        <v>1.6651972105927799</v>
      </c>
      <c r="Q21" s="29">
        <f>X5/3.6</f>
        <v>1.6428630589604893</v>
      </c>
      <c r="R21" s="29">
        <f>Y5/3.6</f>
        <v>1.6174459906908576</v>
      </c>
      <c r="S21" s="29">
        <f>Z5/3.6</f>
        <v>1.6120237403659492</v>
      </c>
      <c r="T21" s="16" t="s">
        <v>56</v>
      </c>
      <c r="U21" s="16"/>
      <c r="V21" s="16"/>
    </row>
    <row r="22" spans="2:22" x14ac:dyDescent="0.2">
      <c r="B22" s="16" t="s">
        <v>48</v>
      </c>
      <c r="C22" s="16"/>
      <c r="D22" s="22">
        <v>10</v>
      </c>
      <c r="E22" s="16"/>
      <c r="F22" s="22">
        <v>0.96</v>
      </c>
      <c r="G22" s="16"/>
      <c r="H22" s="16"/>
      <c r="I22" s="16"/>
      <c r="J22" s="22">
        <v>71</v>
      </c>
      <c r="N22" s="16" t="s">
        <v>47</v>
      </c>
      <c r="O22" s="16" t="s">
        <v>58</v>
      </c>
      <c r="P22" s="28">
        <f>O5*SQRT(1.05*1.03^2)/1.018^2</f>
        <v>4124.6902629100996</v>
      </c>
      <c r="Q22" s="28">
        <f>P5*SQRT(1.05*1.03^2)/1.018^2</f>
        <v>3742.7744978258311</v>
      </c>
      <c r="R22" s="28">
        <f>Q5*SQRT(1.05*1.03^2)/1.018^2</f>
        <v>3365.9509429426867</v>
      </c>
      <c r="S22" s="28">
        <f>R5*SQRT(1.05*1.03^2)/1.018^2</f>
        <v>3264.1067389202149</v>
      </c>
      <c r="T22" s="16" t="s">
        <v>56</v>
      </c>
      <c r="U22" s="16"/>
      <c r="V22" s="16"/>
    </row>
    <row r="23" spans="2:22" x14ac:dyDescent="0.2">
      <c r="B23" s="16" t="s">
        <v>48</v>
      </c>
      <c r="C23" s="16"/>
      <c r="D23" s="22">
        <v>15</v>
      </c>
      <c r="E23" s="16"/>
      <c r="F23" s="26">
        <v>0.85</v>
      </c>
      <c r="G23" s="16"/>
      <c r="H23" s="16"/>
      <c r="I23" s="16"/>
      <c r="J23" s="22">
        <v>71</v>
      </c>
      <c r="N23" s="16" t="s">
        <v>59</v>
      </c>
      <c r="O23" s="16" t="s">
        <v>58</v>
      </c>
      <c r="P23" s="27">
        <f>S5</f>
        <v>81.467289769376791</v>
      </c>
      <c r="Q23" s="27">
        <f>T5</f>
        <v>69.075035</v>
      </c>
      <c r="R23" s="27">
        <f>U5</f>
        <v>63.015746062912918</v>
      </c>
      <c r="S23" s="27">
        <f>V5</f>
        <v>61.374881999999999</v>
      </c>
      <c r="T23" s="16" t="s">
        <v>56</v>
      </c>
      <c r="U23" s="16"/>
      <c r="V23" s="16"/>
    </row>
    <row r="24" spans="2:22" x14ac:dyDescent="0.2">
      <c r="B24" s="16" t="s">
        <v>48</v>
      </c>
      <c r="C24" s="16"/>
      <c r="D24" s="22">
        <v>20</v>
      </c>
      <c r="E24" s="16"/>
      <c r="F24" s="26">
        <v>0.75</v>
      </c>
      <c r="G24" s="16"/>
      <c r="H24" s="16"/>
      <c r="I24" s="16"/>
      <c r="J24" s="22">
        <v>71</v>
      </c>
      <c r="N24" s="16" t="s">
        <v>57</v>
      </c>
      <c r="O24" s="16"/>
      <c r="P24" s="16">
        <v>25</v>
      </c>
      <c r="Q24" s="16">
        <v>30</v>
      </c>
      <c r="R24" s="16">
        <v>35</v>
      </c>
      <c r="S24" s="16">
        <v>35</v>
      </c>
      <c r="T24" s="16" t="s">
        <v>56</v>
      </c>
      <c r="U24" s="16"/>
      <c r="V24" s="16"/>
    </row>
    <row r="25" spans="2:22" x14ac:dyDescent="0.2">
      <c r="B25" s="16" t="s">
        <v>48</v>
      </c>
      <c r="C25" s="16"/>
      <c r="D25" s="22">
        <v>30</v>
      </c>
      <c r="E25" s="16"/>
      <c r="F25" s="26">
        <v>0.65</v>
      </c>
      <c r="G25" s="16"/>
      <c r="H25" s="16"/>
      <c r="I25" s="16"/>
      <c r="J25" s="22">
        <v>71</v>
      </c>
      <c r="N25" s="16" t="s">
        <v>47</v>
      </c>
      <c r="O25" s="16" t="s">
        <v>55</v>
      </c>
      <c r="P25" s="16"/>
      <c r="Q25" s="16">
        <v>1500</v>
      </c>
      <c r="R25" s="16">
        <v>1450</v>
      </c>
      <c r="S25" s="16">
        <v>1400</v>
      </c>
      <c r="T25" s="16" t="s">
        <v>53</v>
      </c>
      <c r="U25" s="16"/>
      <c r="V25" s="16"/>
    </row>
    <row r="26" spans="2:22" x14ac:dyDescent="0.2">
      <c r="B26" s="16" t="s">
        <v>48</v>
      </c>
      <c r="C26" s="16"/>
      <c r="D26" s="22">
        <v>40</v>
      </c>
      <c r="E26" s="16"/>
      <c r="F26" s="26">
        <v>0.5</v>
      </c>
      <c r="G26" s="16"/>
      <c r="H26" s="16"/>
      <c r="I26" s="16"/>
      <c r="J26" s="22">
        <v>71</v>
      </c>
      <c r="N26" s="16" t="s">
        <v>54</v>
      </c>
      <c r="O26" s="16"/>
      <c r="P26" s="16">
        <v>1.7</v>
      </c>
      <c r="Q26" s="16">
        <v>1.6</v>
      </c>
      <c r="R26" s="16">
        <v>1.5</v>
      </c>
      <c r="S26" s="16">
        <v>1.4</v>
      </c>
      <c r="T26" s="16" t="s">
        <v>53</v>
      </c>
      <c r="U26" s="16" t="s">
        <v>52</v>
      </c>
      <c r="V26" s="16"/>
    </row>
    <row r="27" spans="2:22" x14ac:dyDescent="0.2">
      <c r="B27" s="16" t="s">
        <v>48</v>
      </c>
      <c r="C27" s="16"/>
      <c r="D27" s="22">
        <v>50</v>
      </c>
      <c r="E27" s="16"/>
      <c r="F27" s="26">
        <v>0.35</v>
      </c>
      <c r="G27" s="16"/>
      <c r="H27" s="16"/>
      <c r="I27" s="16"/>
      <c r="J27" s="22">
        <v>71</v>
      </c>
      <c r="N27" s="16" t="s">
        <v>47</v>
      </c>
      <c r="O27" s="16" t="s">
        <v>46</v>
      </c>
      <c r="P27" s="16">
        <v>0</v>
      </c>
      <c r="Q27" s="16">
        <v>0</v>
      </c>
      <c r="R27" s="16">
        <v>0</v>
      </c>
      <c r="S27" s="16">
        <v>0</v>
      </c>
      <c r="T27" s="16" t="s">
        <v>45</v>
      </c>
      <c r="U27" s="16"/>
      <c r="V27" s="16"/>
    </row>
    <row r="28" spans="2:22" x14ac:dyDescent="0.2">
      <c r="B28" s="16" t="s">
        <v>48</v>
      </c>
      <c r="C28" s="16"/>
      <c r="D28" s="22">
        <v>60</v>
      </c>
      <c r="E28" s="16"/>
      <c r="F28" s="26">
        <v>0.3</v>
      </c>
      <c r="G28" s="16"/>
      <c r="H28" s="16"/>
      <c r="I28" s="16"/>
      <c r="J28" s="22">
        <v>71</v>
      </c>
      <c r="N28" s="165" t="s">
        <v>51</v>
      </c>
      <c r="O28" s="165"/>
      <c r="P28" s="165">
        <v>10</v>
      </c>
      <c r="Q28" s="165"/>
      <c r="R28" s="165"/>
      <c r="S28" s="165"/>
      <c r="T28" s="165" t="s">
        <v>290</v>
      </c>
      <c r="U28" s="165" t="s">
        <v>50</v>
      </c>
      <c r="V28" s="165" t="s">
        <v>49</v>
      </c>
    </row>
    <row r="29" spans="2:22" x14ac:dyDescent="0.2">
      <c r="B29" s="19" t="s">
        <v>44</v>
      </c>
      <c r="C29" s="20" t="s">
        <v>42</v>
      </c>
      <c r="D29" s="20">
        <v>2030</v>
      </c>
      <c r="E29" s="19" t="s">
        <v>27</v>
      </c>
      <c r="F29" s="25">
        <v>0.98499999999999999</v>
      </c>
      <c r="G29" s="19" t="s">
        <v>39</v>
      </c>
      <c r="H29" s="19"/>
      <c r="I29" s="19"/>
      <c r="J29" s="19"/>
      <c r="N29" s="209"/>
      <c r="O29" s="209"/>
      <c r="P29" s="209"/>
      <c r="Q29" s="209"/>
      <c r="R29" s="209"/>
      <c r="S29" s="209"/>
      <c r="T29" s="209"/>
      <c r="U29" s="209"/>
      <c r="V29" s="209"/>
    </row>
    <row r="30" spans="2:22" x14ac:dyDescent="0.2">
      <c r="B30" s="19" t="s">
        <v>43</v>
      </c>
      <c r="C30" s="20" t="s">
        <v>42</v>
      </c>
      <c r="D30" s="20">
        <v>0</v>
      </c>
      <c r="E30" s="19"/>
      <c r="F30" s="24">
        <v>3</v>
      </c>
      <c r="G30" s="19" t="s">
        <v>39</v>
      </c>
      <c r="H30" s="19"/>
      <c r="I30" s="19"/>
      <c r="J30" s="19"/>
      <c r="N30" s="209"/>
      <c r="O30" s="209"/>
      <c r="P30" s="209"/>
      <c r="Q30" s="209"/>
      <c r="R30" s="209"/>
      <c r="S30" s="209"/>
      <c r="T30" s="209"/>
      <c r="U30" s="209"/>
      <c r="V30" s="209"/>
    </row>
    <row r="31" spans="2:22" x14ac:dyDescent="0.2">
      <c r="B31" s="19" t="s">
        <v>43</v>
      </c>
      <c r="C31" s="20" t="s">
        <v>42</v>
      </c>
      <c r="D31" s="20">
        <v>2030</v>
      </c>
      <c r="E31" s="19"/>
      <c r="F31" s="24">
        <v>71</v>
      </c>
      <c r="G31" s="19" t="s">
        <v>39</v>
      </c>
      <c r="H31" s="19"/>
      <c r="I31" s="19"/>
      <c r="J31" s="19"/>
      <c r="N31" s="209"/>
      <c r="O31" s="209"/>
      <c r="P31" s="209"/>
      <c r="Q31" s="209"/>
      <c r="R31" s="209"/>
      <c r="S31" s="209"/>
      <c r="T31" s="209"/>
      <c r="U31" s="209"/>
      <c r="V31" s="209"/>
    </row>
    <row r="32" spans="2:22" x14ac:dyDescent="0.2">
      <c r="B32" s="19" t="s">
        <v>41</v>
      </c>
      <c r="C32" s="20" t="s">
        <v>28</v>
      </c>
      <c r="D32" s="20"/>
      <c r="E32" s="19"/>
      <c r="F32" s="24">
        <v>1</v>
      </c>
      <c r="G32" s="19" t="s">
        <v>39</v>
      </c>
      <c r="H32" s="19"/>
      <c r="I32" s="19" t="s">
        <v>14</v>
      </c>
      <c r="J32" s="19"/>
      <c r="N32" s="209"/>
      <c r="O32" s="209"/>
      <c r="P32" s="209"/>
      <c r="Q32" s="209"/>
      <c r="R32" s="209"/>
      <c r="S32" s="209"/>
      <c r="T32" s="209"/>
      <c r="U32" s="209"/>
      <c r="V32" s="209"/>
    </row>
    <row r="33" spans="2:22" x14ac:dyDescent="0.2">
      <c r="B33" s="19" t="s">
        <v>40</v>
      </c>
      <c r="C33" s="20" t="s">
        <v>28</v>
      </c>
      <c r="D33" s="20">
        <v>0</v>
      </c>
      <c r="E33" s="19"/>
      <c r="F33" s="20">
        <v>5</v>
      </c>
      <c r="G33" s="19" t="s">
        <v>39</v>
      </c>
      <c r="H33" s="19"/>
      <c r="I33" s="19"/>
      <c r="J33" s="19"/>
      <c r="N33" s="209"/>
      <c r="O33" s="209"/>
      <c r="P33" s="209"/>
      <c r="Q33" s="209"/>
      <c r="R33" s="209"/>
      <c r="S33" s="209"/>
      <c r="T33" s="209"/>
      <c r="U33" s="209"/>
      <c r="V33" s="209"/>
    </row>
    <row r="34" spans="2:22" x14ac:dyDescent="0.2">
      <c r="B34" s="19" t="s">
        <v>40</v>
      </c>
      <c r="C34" s="20" t="s">
        <v>28</v>
      </c>
      <c r="D34" s="20">
        <v>2055</v>
      </c>
      <c r="E34" s="19"/>
      <c r="F34" s="20">
        <v>0</v>
      </c>
      <c r="G34" s="19" t="s">
        <v>39</v>
      </c>
      <c r="H34" s="19"/>
      <c r="I34" s="19"/>
      <c r="J34" s="19"/>
      <c r="N34" s="209"/>
      <c r="O34" s="209"/>
      <c r="P34" s="209"/>
      <c r="Q34" s="209"/>
      <c r="R34" s="209"/>
      <c r="S34" s="209"/>
      <c r="T34" s="209"/>
      <c r="U34" s="209"/>
      <c r="V34" s="209"/>
    </row>
    <row r="35" spans="2:22" x14ac:dyDescent="0.2">
      <c r="B35" s="16" t="s">
        <v>38</v>
      </c>
      <c r="C35" s="22" t="s">
        <v>28</v>
      </c>
      <c r="D35" s="22">
        <v>0</v>
      </c>
      <c r="E35" s="16" t="s">
        <v>27</v>
      </c>
      <c r="F35" s="23">
        <v>2</v>
      </c>
      <c r="G35" s="16"/>
      <c r="H35" s="16" t="s">
        <v>37</v>
      </c>
      <c r="I35" s="16"/>
      <c r="J35" s="22"/>
    </row>
    <row r="36" spans="2:22" x14ac:dyDescent="0.2">
      <c r="B36" s="19" t="s">
        <v>29</v>
      </c>
      <c r="C36" s="20" t="s">
        <v>28</v>
      </c>
      <c r="D36" s="20">
        <v>2015</v>
      </c>
      <c r="E36" s="21" t="s">
        <v>27</v>
      </c>
      <c r="F36" s="20">
        <v>0</v>
      </c>
      <c r="G36" s="19" t="s">
        <v>36</v>
      </c>
      <c r="H36" s="19"/>
      <c r="I36" s="19"/>
      <c r="J36" s="19"/>
    </row>
    <row r="37" spans="2:22" x14ac:dyDescent="0.2">
      <c r="B37" s="19" t="s">
        <v>29</v>
      </c>
      <c r="C37" s="20" t="s">
        <v>28</v>
      </c>
      <c r="D37" s="20">
        <v>2015</v>
      </c>
      <c r="E37" s="21" t="s">
        <v>27</v>
      </c>
      <c r="F37" s="20">
        <v>0</v>
      </c>
      <c r="G37" s="19" t="s">
        <v>35</v>
      </c>
      <c r="H37" s="19"/>
      <c r="I37" s="19"/>
      <c r="J37" s="19"/>
    </row>
    <row r="38" spans="2:22" x14ac:dyDescent="0.2">
      <c r="B38" s="19" t="s">
        <v>29</v>
      </c>
      <c r="C38" s="20" t="s">
        <v>28</v>
      </c>
      <c r="D38" s="20">
        <v>2015</v>
      </c>
      <c r="E38" s="21" t="s">
        <v>27</v>
      </c>
      <c r="F38" s="20">
        <v>0</v>
      </c>
      <c r="G38" s="19" t="s">
        <v>34</v>
      </c>
      <c r="H38" s="19"/>
      <c r="I38" s="19"/>
      <c r="J38" s="19"/>
    </row>
    <row r="39" spans="2:22" x14ac:dyDescent="0.2">
      <c r="B39" s="19" t="s">
        <v>29</v>
      </c>
      <c r="C39" s="20" t="s">
        <v>28</v>
      </c>
      <c r="D39" s="20">
        <v>2015</v>
      </c>
      <c r="E39" s="21" t="s">
        <v>27</v>
      </c>
      <c r="F39" s="20">
        <v>0</v>
      </c>
      <c r="G39" s="19" t="s">
        <v>33</v>
      </c>
      <c r="H39" s="19"/>
      <c r="I39" s="19"/>
      <c r="J39" s="19"/>
    </row>
    <row r="40" spans="2:22" x14ac:dyDescent="0.2">
      <c r="B40" s="19" t="s">
        <v>29</v>
      </c>
      <c r="C40" s="20" t="s">
        <v>28</v>
      </c>
      <c r="D40" s="20">
        <v>2015</v>
      </c>
      <c r="E40" s="21" t="s">
        <v>27</v>
      </c>
      <c r="F40" s="20">
        <v>0</v>
      </c>
      <c r="G40" s="19" t="s">
        <v>32</v>
      </c>
      <c r="H40" s="19"/>
      <c r="I40" s="19"/>
      <c r="J40" s="19"/>
    </row>
    <row r="41" spans="2:22" x14ac:dyDescent="0.2">
      <c r="B41" s="19" t="s">
        <v>29</v>
      </c>
      <c r="C41" s="20" t="s">
        <v>28</v>
      </c>
      <c r="D41" s="20">
        <v>2015</v>
      </c>
      <c r="E41" s="21" t="s">
        <v>27</v>
      </c>
      <c r="F41" s="20">
        <v>0</v>
      </c>
      <c r="G41" s="19" t="s">
        <v>31</v>
      </c>
      <c r="H41" s="19"/>
      <c r="I41" s="19"/>
      <c r="J41" s="19"/>
    </row>
    <row r="42" spans="2:22" x14ac:dyDescent="0.2">
      <c r="B42" s="19" t="s">
        <v>29</v>
      </c>
      <c r="C42" s="20" t="s">
        <v>28</v>
      </c>
      <c r="D42" s="20">
        <v>2015</v>
      </c>
      <c r="E42" s="21" t="s">
        <v>27</v>
      </c>
      <c r="F42" s="20">
        <v>0</v>
      </c>
      <c r="G42" s="19" t="s">
        <v>30</v>
      </c>
      <c r="H42" s="19"/>
      <c r="I42" s="19"/>
      <c r="J42" s="19"/>
    </row>
    <row r="43" spans="2:22" x14ac:dyDescent="0.2">
      <c r="B43" s="19" t="s">
        <v>29</v>
      </c>
      <c r="C43" s="20" t="s">
        <v>28</v>
      </c>
      <c r="D43" s="20">
        <v>2015</v>
      </c>
      <c r="E43" s="21" t="s">
        <v>27</v>
      </c>
      <c r="F43" s="20">
        <v>0</v>
      </c>
      <c r="G43" s="19" t="s">
        <v>26</v>
      </c>
      <c r="H43" s="19"/>
      <c r="I43" s="19"/>
      <c r="J43" s="19"/>
    </row>
    <row r="44" spans="2:22" ht="12" x14ac:dyDescent="0.2">
      <c r="B44" s="18" t="s">
        <v>23</v>
      </c>
      <c r="C44" s="18"/>
      <c r="D44" s="18"/>
      <c r="E44" s="18"/>
      <c r="F44" s="18">
        <v>2035</v>
      </c>
      <c r="G44" s="17" t="s">
        <v>25</v>
      </c>
      <c r="H44" s="16"/>
      <c r="I44" s="16"/>
      <c r="J44" s="16"/>
    </row>
    <row r="45" spans="2:22" ht="12" x14ac:dyDescent="0.2">
      <c r="B45" s="18" t="s">
        <v>23</v>
      </c>
      <c r="C45" s="18"/>
      <c r="D45" s="18"/>
      <c r="E45" s="18"/>
      <c r="F45" s="18">
        <v>2035</v>
      </c>
      <c r="G45" s="17" t="s">
        <v>24</v>
      </c>
      <c r="H45" s="16"/>
      <c r="I45" s="16"/>
      <c r="J45" s="16"/>
    </row>
    <row r="46" spans="2:22" ht="12" x14ac:dyDescent="0.2">
      <c r="B46" s="18" t="s">
        <v>23</v>
      </c>
      <c r="C46" s="18"/>
      <c r="D46" s="18"/>
      <c r="E46" s="18"/>
      <c r="F46" s="18">
        <v>2035</v>
      </c>
      <c r="G46" s="17" t="s">
        <v>22</v>
      </c>
      <c r="H46" s="16"/>
      <c r="I46" s="16"/>
      <c r="J46" s="16"/>
    </row>
    <row r="49" spans="2:7" ht="15" x14ac:dyDescent="0.25">
      <c r="B49" s="15" t="s">
        <v>21</v>
      </c>
    </row>
    <row r="50" spans="2:7" ht="15" x14ac:dyDescent="0.25">
      <c r="D50" s="14" t="s">
        <v>7</v>
      </c>
    </row>
    <row r="51" spans="2:7" ht="15" x14ac:dyDescent="0.25">
      <c r="B51" s="13" t="s">
        <v>6</v>
      </c>
      <c r="C51" s="13" t="s">
        <v>20</v>
      </c>
      <c r="D51" s="12" t="s">
        <v>4</v>
      </c>
      <c r="E51" s="11" t="s">
        <v>19</v>
      </c>
      <c r="F51" s="11" t="s">
        <v>18</v>
      </c>
      <c r="G51" s="10" t="s">
        <v>17</v>
      </c>
    </row>
    <row r="52" spans="2:7" ht="15" x14ac:dyDescent="0.25">
      <c r="B52" s="1" t="s">
        <v>14</v>
      </c>
      <c r="C52" s="7" t="s">
        <v>16</v>
      </c>
      <c r="D52" s="6">
        <v>2045</v>
      </c>
      <c r="E52" s="2"/>
      <c r="F52" s="9"/>
      <c r="G52" s="2">
        <v>1.123</v>
      </c>
    </row>
    <row r="53" spans="2:7" ht="12" x14ac:dyDescent="0.2">
      <c r="B53" s="1" t="s">
        <v>14</v>
      </c>
      <c r="C53" s="7" t="s">
        <v>16</v>
      </c>
      <c r="D53" s="6">
        <v>2050</v>
      </c>
      <c r="G53" s="2">
        <v>1.123</v>
      </c>
    </row>
    <row r="54" spans="2:7" ht="12" x14ac:dyDescent="0.2">
      <c r="B54" s="1" t="s">
        <v>14</v>
      </c>
      <c r="C54" s="7" t="s">
        <v>16</v>
      </c>
      <c r="D54" s="6">
        <v>0</v>
      </c>
      <c r="G54" s="2">
        <v>1</v>
      </c>
    </row>
    <row r="55" spans="2:7" ht="12" x14ac:dyDescent="0.2">
      <c r="B55" s="1" t="s">
        <v>14</v>
      </c>
      <c r="C55" s="7" t="s">
        <v>15</v>
      </c>
      <c r="D55" s="6">
        <v>2035</v>
      </c>
      <c r="G55" s="8">
        <v>1.066667</v>
      </c>
    </row>
    <row r="56" spans="2:7" ht="12" x14ac:dyDescent="0.2">
      <c r="B56" s="1" t="s">
        <v>14</v>
      </c>
      <c r="C56" s="7" t="s">
        <v>15</v>
      </c>
      <c r="D56" s="6">
        <v>2050</v>
      </c>
      <c r="G56" s="8">
        <v>1.066667</v>
      </c>
    </row>
    <row r="57" spans="2:7" ht="12" x14ac:dyDescent="0.2">
      <c r="B57" s="1" t="s">
        <v>14</v>
      </c>
      <c r="C57" s="7" t="s">
        <v>15</v>
      </c>
      <c r="D57" s="6">
        <v>0</v>
      </c>
      <c r="G57" s="2">
        <v>1</v>
      </c>
    </row>
    <row r="58" spans="2:7" ht="12" x14ac:dyDescent="0.2">
      <c r="B58" s="1" t="s">
        <v>14</v>
      </c>
      <c r="C58" s="7" t="s">
        <v>13</v>
      </c>
      <c r="D58" s="6">
        <v>2035</v>
      </c>
      <c r="G58" s="2">
        <v>1.1200000000000001</v>
      </c>
    </row>
    <row r="59" spans="2:7" ht="12" x14ac:dyDescent="0.2">
      <c r="B59" s="1" t="s">
        <v>14</v>
      </c>
      <c r="C59" s="7" t="s">
        <v>13</v>
      </c>
      <c r="D59" s="6">
        <v>2050</v>
      </c>
      <c r="G59" s="2">
        <v>1.1200000000000001</v>
      </c>
    </row>
    <row r="60" spans="2:7" ht="12" x14ac:dyDescent="0.2">
      <c r="B60" s="1" t="s">
        <v>14</v>
      </c>
      <c r="C60" s="7" t="s">
        <v>13</v>
      </c>
      <c r="D60" s="6">
        <v>0</v>
      </c>
      <c r="G60" s="2">
        <v>1</v>
      </c>
    </row>
    <row r="63" spans="2:7" x14ac:dyDescent="0.2">
      <c r="B63" s="5" t="s">
        <v>12</v>
      </c>
      <c r="E63" s="2"/>
      <c r="F63" s="2"/>
    </row>
    <row r="65" spans="2:6" ht="15" x14ac:dyDescent="0.25">
      <c r="D65" s="4" t="s">
        <v>7</v>
      </c>
    </row>
    <row r="66" spans="2:6" x14ac:dyDescent="0.2">
      <c r="B66" s="3" t="s">
        <v>6</v>
      </c>
      <c r="C66" s="3" t="s">
        <v>5</v>
      </c>
      <c r="D66" s="3" t="s">
        <v>4</v>
      </c>
      <c r="E66" s="3" t="s">
        <v>3</v>
      </c>
      <c r="F66" s="3" t="s">
        <v>11</v>
      </c>
    </row>
    <row r="67" spans="2:6" x14ac:dyDescent="0.2">
      <c r="B67" s="1" t="s">
        <v>10</v>
      </c>
      <c r="C67" s="1" t="s">
        <v>9</v>
      </c>
      <c r="D67" s="1">
        <v>2020</v>
      </c>
      <c r="E67" s="2">
        <v>1</v>
      </c>
      <c r="F67" s="1">
        <v>7500</v>
      </c>
    </row>
    <row r="68" spans="2:6" x14ac:dyDescent="0.2">
      <c r="C68" s="1" t="s">
        <v>0</v>
      </c>
      <c r="D68" s="1">
        <v>2020</v>
      </c>
      <c r="E68" s="2">
        <v>0</v>
      </c>
    </row>
    <row r="69" spans="2:6" x14ac:dyDescent="0.2">
      <c r="D69" s="1">
        <v>2035</v>
      </c>
      <c r="F69" s="1">
        <v>250000</v>
      </c>
    </row>
    <row r="73" spans="2:6" x14ac:dyDescent="0.2">
      <c r="B73" s="5" t="s">
        <v>8</v>
      </c>
    </row>
    <row r="75" spans="2:6" ht="15" x14ac:dyDescent="0.25">
      <c r="D75" s="4" t="s">
        <v>7</v>
      </c>
    </row>
    <row r="76" spans="2:6" x14ac:dyDescent="0.2">
      <c r="B76" s="3" t="s">
        <v>6</v>
      </c>
      <c r="C76" s="3" t="s">
        <v>5</v>
      </c>
      <c r="D76" s="3" t="s">
        <v>4</v>
      </c>
      <c r="E76" s="3" t="s">
        <v>3</v>
      </c>
      <c r="F76" s="3" t="s">
        <v>2</v>
      </c>
    </row>
    <row r="77" spans="2:6" x14ac:dyDescent="0.2">
      <c r="B77" s="1" t="s">
        <v>1</v>
      </c>
      <c r="C77" s="1" t="s">
        <v>0</v>
      </c>
      <c r="D77" s="1">
        <v>2020</v>
      </c>
      <c r="E77" s="2">
        <v>0</v>
      </c>
    </row>
    <row r="78" spans="2:6" x14ac:dyDescent="0.2">
      <c r="C78" s="1" t="s">
        <v>0</v>
      </c>
      <c r="D78" s="1">
        <v>2030</v>
      </c>
      <c r="E78" s="2">
        <v>0</v>
      </c>
    </row>
    <row r="79" spans="2:6" x14ac:dyDescent="0.2">
      <c r="D79" s="1">
        <v>2035</v>
      </c>
      <c r="F79" s="1">
        <v>50000</v>
      </c>
    </row>
  </sheetData>
  <mergeCells count="10">
    <mergeCell ref="O1:R1"/>
    <mergeCell ref="S1:V1"/>
    <mergeCell ref="W1:Z1"/>
    <mergeCell ref="AA1:AD1"/>
    <mergeCell ref="AE1:AH1"/>
    <mergeCell ref="O2:R2"/>
    <mergeCell ref="S2:V2"/>
    <mergeCell ref="W2:Z2"/>
    <mergeCell ref="AA2:AD2"/>
    <mergeCell ref="AE2:AH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48"/>
  <sheetViews>
    <sheetView tabSelected="1" topLeftCell="U1" zoomScale="107" zoomScaleNormal="107" workbookViewId="0">
      <selection activeCell="AA4" sqref="AA4"/>
    </sheetView>
  </sheetViews>
  <sheetFormatPr defaultColWidth="8.85546875" defaultRowHeight="11.25" x14ac:dyDescent="0.2"/>
  <cols>
    <col min="1" max="1" width="29.28515625" style="1" customWidth="1"/>
    <col min="2" max="2" width="2.140625" style="1" customWidth="1"/>
    <col min="3" max="3" width="13.42578125" style="1" customWidth="1"/>
    <col min="4" max="4" width="7.28515625" style="1" bestFit="1" customWidth="1"/>
    <col min="5" max="5" width="11" style="1" customWidth="1"/>
    <col min="6" max="6" width="13.140625" style="1" customWidth="1"/>
    <col min="7" max="7" width="7.42578125" style="1" bestFit="1" customWidth="1"/>
    <col min="8" max="8" width="17.28515625" style="1" customWidth="1"/>
    <col min="9" max="9" width="14" style="1" customWidth="1"/>
    <col min="10" max="11" width="8.28515625" style="1" bestFit="1" customWidth="1"/>
    <col min="12" max="12" width="9.7109375" style="1" customWidth="1"/>
    <col min="13" max="13" width="9.28515625" style="1" customWidth="1"/>
    <col min="14" max="14" width="7.42578125" style="1" bestFit="1" customWidth="1"/>
    <col min="15" max="15" width="9.5703125" style="1" customWidth="1"/>
    <col min="16" max="39" width="9" style="1" bestFit="1" customWidth="1"/>
    <col min="40" max="40" width="14.42578125" style="1" bestFit="1" customWidth="1"/>
    <col min="41" max="41" width="9" style="1" bestFit="1" customWidth="1"/>
    <col min="42" max="42" width="9" style="1" customWidth="1"/>
    <col min="43" max="43" width="9" style="1" bestFit="1" customWidth="1"/>
    <col min="44" max="16384" width="8.85546875" style="1"/>
  </cols>
  <sheetData>
    <row r="1" spans="1:47" s="80" customFormat="1" ht="15" x14ac:dyDescent="0.25">
      <c r="C1" s="80" t="s">
        <v>262</v>
      </c>
      <c r="F1" s="101"/>
      <c r="I1" s="123"/>
      <c r="Q1" s="101"/>
    </row>
    <row r="3" spans="1:47" ht="12.75" x14ac:dyDescent="0.2">
      <c r="C3" s="76" t="s">
        <v>69</v>
      </c>
      <c r="D3" s="77"/>
      <c r="E3" s="78"/>
      <c r="F3" s="78"/>
      <c r="G3" s="78"/>
      <c r="H3" s="78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U3" s="70"/>
    </row>
    <row r="4" spans="1:47" ht="12.75" thickBot="1" x14ac:dyDescent="0.25">
      <c r="A4" s="154" t="s">
        <v>265</v>
      </c>
      <c r="C4" s="89" t="s">
        <v>5</v>
      </c>
      <c r="D4" s="89" t="s">
        <v>67</v>
      </c>
      <c r="E4" s="89" t="s">
        <v>64</v>
      </c>
      <c r="F4" s="89" t="s">
        <v>4</v>
      </c>
      <c r="G4" s="81" t="s">
        <v>140</v>
      </c>
      <c r="H4" s="81" t="s">
        <v>139</v>
      </c>
      <c r="I4" s="81" t="s">
        <v>138</v>
      </c>
      <c r="J4" s="81" t="s">
        <v>137</v>
      </c>
      <c r="K4" s="81" t="s">
        <v>136</v>
      </c>
      <c r="L4" s="81" t="s">
        <v>135</v>
      </c>
      <c r="M4" s="81" t="s">
        <v>134</v>
      </c>
      <c r="N4" s="81" t="s">
        <v>133</v>
      </c>
      <c r="O4" s="81" t="s">
        <v>132</v>
      </c>
      <c r="P4" s="81" t="s">
        <v>131</v>
      </c>
      <c r="Q4" s="81" t="s">
        <v>130</v>
      </c>
      <c r="R4" s="81" t="s">
        <v>129</v>
      </c>
      <c r="S4" s="81" t="s">
        <v>128</v>
      </c>
      <c r="T4" s="81" t="s">
        <v>127</v>
      </c>
      <c r="U4" s="81" t="s">
        <v>126</v>
      </c>
      <c r="V4" s="81" t="s">
        <v>125</v>
      </c>
      <c r="W4" s="81" t="s">
        <v>124</v>
      </c>
      <c r="X4" s="81" t="s">
        <v>123</v>
      </c>
      <c r="Y4" s="81" t="s">
        <v>122</v>
      </c>
      <c r="Z4" s="81" t="s">
        <v>121</v>
      </c>
      <c r="AA4" s="81" t="s">
        <v>120</v>
      </c>
      <c r="AB4" s="81" t="s">
        <v>119</v>
      </c>
      <c r="AC4" s="81" t="s">
        <v>118</v>
      </c>
      <c r="AD4" s="81" t="s">
        <v>117</v>
      </c>
      <c r="AE4" s="81" t="s">
        <v>116</v>
      </c>
      <c r="AF4" s="81" t="s">
        <v>115</v>
      </c>
      <c r="AG4" s="81" t="s">
        <v>114</v>
      </c>
      <c r="AH4" s="81" t="s">
        <v>113</v>
      </c>
      <c r="AI4" s="81" t="s">
        <v>112</v>
      </c>
      <c r="AJ4" s="81" t="s">
        <v>111</v>
      </c>
      <c r="AK4" s="81" t="s">
        <v>110</v>
      </c>
      <c r="AL4" s="81" t="s">
        <v>109</v>
      </c>
      <c r="AM4" s="81" t="s">
        <v>108</v>
      </c>
      <c r="AN4" s="81" t="s">
        <v>107</v>
      </c>
      <c r="AO4" s="81" t="s">
        <v>153</v>
      </c>
      <c r="AP4" s="81" t="s">
        <v>259</v>
      </c>
      <c r="AQ4" s="81" t="s">
        <v>152</v>
      </c>
      <c r="AR4" s="81" t="s">
        <v>151</v>
      </c>
      <c r="AS4" s="81" t="s">
        <v>150</v>
      </c>
      <c r="AU4" s="1" t="s">
        <v>288</v>
      </c>
    </row>
    <row r="5" spans="1:47" ht="12" x14ac:dyDescent="0.2">
      <c r="A5" s="16" t="s">
        <v>267</v>
      </c>
      <c r="C5" s="161" t="s">
        <v>36</v>
      </c>
      <c r="D5" s="161"/>
      <c r="E5" s="161" t="s">
        <v>145</v>
      </c>
      <c r="F5" s="160"/>
      <c r="G5" s="159">
        <v>0</v>
      </c>
      <c r="H5" s="159">
        <v>0</v>
      </c>
      <c r="I5" s="159">
        <v>0</v>
      </c>
      <c r="J5" s="159">
        <v>0</v>
      </c>
      <c r="K5" s="159">
        <v>0</v>
      </c>
      <c r="L5" s="159">
        <v>21597</v>
      </c>
      <c r="M5" s="159">
        <v>0</v>
      </c>
      <c r="N5" s="159">
        <v>0</v>
      </c>
      <c r="O5" s="159">
        <v>145000</v>
      </c>
      <c r="P5" s="159">
        <v>0</v>
      </c>
      <c r="Q5" s="159">
        <v>0</v>
      </c>
      <c r="R5" s="159">
        <v>0</v>
      </c>
      <c r="S5" s="159">
        <v>0</v>
      </c>
      <c r="T5" s="159">
        <v>0</v>
      </c>
      <c r="U5" s="159">
        <v>0</v>
      </c>
      <c r="V5" s="159">
        <v>0</v>
      </c>
      <c r="W5" s="159">
        <v>0</v>
      </c>
      <c r="X5" s="159">
        <v>0</v>
      </c>
      <c r="Y5" s="159">
        <v>0</v>
      </c>
      <c r="Z5" s="159">
        <v>0</v>
      </c>
      <c r="AA5" s="159">
        <v>0</v>
      </c>
      <c r="AB5" s="159">
        <v>0</v>
      </c>
      <c r="AC5" s="159">
        <v>0</v>
      </c>
      <c r="AD5" s="159">
        <v>0</v>
      </c>
      <c r="AE5" s="159">
        <v>0</v>
      </c>
      <c r="AF5" s="159">
        <v>0</v>
      </c>
      <c r="AG5" s="159">
        <v>0</v>
      </c>
      <c r="AH5" s="159">
        <v>0</v>
      </c>
      <c r="AI5" s="159">
        <v>0</v>
      </c>
      <c r="AJ5" s="159">
        <v>0</v>
      </c>
      <c r="AK5" s="159">
        <v>0</v>
      </c>
      <c r="AL5" s="159">
        <v>0</v>
      </c>
      <c r="AM5" s="159">
        <v>0</v>
      </c>
      <c r="AN5" s="159">
        <v>0</v>
      </c>
      <c r="AO5" s="159">
        <f t="shared" ref="AO5:AO16" si="0">SUM(G5:AG5,AK5)/1000</f>
        <v>166.59700000000001</v>
      </c>
      <c r="AP5" s="159">
        <f>SUM(G5:AF5,AK5)/1000</f>
        <v>166.59700000000001</v>
      </c>
      <c r="AQ5" s="159">
        <f>SUM(AG5:AJ5,AL5:AN5)/1000</f>
        <v>0</v>
      </c>
      <c r="AR5" s="159"/>
      <c r="AS5" s="159"/>
      <c r="AU5" s="208">
        <f>SUM(G5:AN5)</f>
        <v>166597</v>
      </c>
    </row>
    <row r="6" spans="1:47" ht="12" x14ac:dyDescent="0.2">
      <c r="A6" s="16" t="s">
        <v>267</v>
      </c>
      <c r="C6" s="161" t="s">
        <v>35</v>
      </c>
      <c r="D6" s="161"/>
      <c r="E6" s="161" t="s">
        <v>145</v>
      </c>
      <c r="F6" s="161"/>
      <c r="G6" s="163">
        <v>0</v>
      </c>
      <c r="H6" s="163">
        <v>0</v>
      </c>
      <c r="I6" s="163">
        <v>17000</v>
      </c>
      <c r="J6" s="163">
        <v>0</v>
      </c>
      <c r="K6" s="163">
        <v>110000</v>
      </c>
      <c r="L6" s="163">
        <v>0</v>
      </c>
      <c r="M6" s="163">
        <v>0</v>
      </c>
      <c r="N6" s="163">
        <v>0</v>
      </c>
      <c r="O6" s="163">
        <v>0</v>
      </c>
      <c r="P6" s="163">
        <v>0</v>
      </c>
      <c r="Q6" s="163">
        <v>0</v>
      </c>
      <c r="R6" s="163">
        <v>0</v>
      </c>
      <c r="S6" s="163">
        <v>87000</v>
      </c>
      <c r="T6" s="163">
        <v>0</v>
      </c>
      <c r="U6" s="163">
        <v>0</v>
      </c>
      <c r="V6" s="163">
        <v>0</v>
      </c>
      <c r="W6" s="163">
        <v>0</v>
      </c>
      <c r="X6" s="163">
        <v>0</v>
      </c>
      <c r="Y6" s="163">
        <v>0</v>
      </c>
      <c r="Z6" s="163">
        <v>0</v>
      </c>
      <c r="AA6" s="163">
        <v>115000</v>
      </c>
      <c r="AB6" s="163">
        <v>0</v>
      </c>
      <c r="AC6" s="163">
        <v>0</v>
      </c>
      <c r="AD6" s="163">
        <v>0</v>
      </c>
      <c r="AE6" s="163">
        <v>0</v>
      </c>
      <c r="AF6" s="163">
        <v>0</v>
      </c>
      <c r="AG6" s="163">
        <v>0</v>
      </c>
      <c r="AH6" s="163">
        <v>0</v>
      </c>
      <c r="AI6" s="163">
        <v>0</v>
      </c>
      <c r="AJ6" s="163">
        <v>0</v>
      </c>
      <c r="AK6" s="163">
        <v>0</v>
      </c>
      <c r="AL6" s="163">
        <v>0</v>
      </c>
      <c r="AM6" s="163">
        <v>0</v>
      </c>
      <c r="AN6" s="163">
        <v>0</v>
      </c>
      <c r="AO6" s="163">
        <f t="shared" si="0"/>
        <v>329</v>
      </c>
      <c r="AP6" s="159">
        <f t="shared" ref="AP6:AP17" si="1">SUM(G6:AF6,AK6)/1000</f>
        <v>329</v>
      </c>
      <c r="AQ6" s="159">
        <f t="shared" ref="AQ6:AQ17" si="2">SUM(AG6:AJ6,AL6:AN6)/1000</f>
        <v>0</v>
      </c>
      <c r="AR6" s="159"/>
      <c r="AS6" s="159"/>
      <c r="AU6" s="208">
        <f t="shared" ref="AU6:AU16" si="3">SUM(G6:AN6)</f>
        <v>329000</v>
      </c>
    </row>
    <row r="7" spans="1:47" ht="12" x14ac:dyDescent="0.2">
      <c r="A7" s="16" t="s">
        <v>263</v>
      </c>
      <c r="C7" s="86" t="s">
        <v>149</v>
      </c>
      <c r="D7" s="86"/>
      <c r="E7" s="86" t="s">
        <v>145</v>
      </c>
      <c r="F7" s="86"/>
      <c r="G7" s="107">
        <v>0</v>
      </c>
      <c r="H7" s="107">
        <v>0</v>
      </c>
      <c r="I7" s="107">
        <v>3000</v>
      </c>
      <c r="J7" s="107">
        <v>0</v>
      </c>
      <c r="K7" s="107">
        <v>0</v>
      </c>
      <c r="L7" s="107">
        <v>0</v>
      </c>
      <c r="M7" s="107">
        <v>100000</v>
      </c>
      <c r="N7" s="107">
        <v>0</v>
      </c>
      <c r="O7" s="107">
        <v>0</v>
      </c>
      <c r="P7" s="107">
        <v>0</v>
      </c>
      <c r="Q7" s="107">
        <v>0</v>
      </c>
      <c r="R7" s="107">
        <v>0</v>
      </c>
      <c r="S7" s="107">
        <v>0</v>
      </c>
      <c r="T7" s="107">
        <v>0</v>
      </c>
      <c r="U7" s="107">
        <v>60000</v>
      </c>
      <c r="V7" s="107">
        <v>0</v>
      </c>
      <c r="W7" s="107">
        <v>0</v>
      </c>
      <c r="X7" s="107">
        <v>0</v>
      </c>
      <c r="Y7" s="107">
        <v>0</v>
      </c>
      <c r="Z7" s="107">
        <v>516200</v>
      </c>
      <c r="AA7" s="107">
        <v>0</v>
      </c>
      <c r="AB7" s="107">
        <v>0</v>
      </c>
      <c r="AC7" s="107">
        <v>0</v>
      </c>
      <c r="AD7" s="107">
        <v>0</v>
      </c>
      <c r="AE7" s="107">
        <v>0</v>
      </c>
      <c r="AF7" s="107">
        <v>0</v>
      </c>
      <c r="AG7" s="107">
        <v>1100000</v>
      </c>
      <c r="AH7" s="107">
        <v>0</v>
      </c>
      <c r="AI7" s="107">
        <v>0</v>
      </c>
      <c r="AJ7" s="107">
        <v>23100</v>
      </c>
      <c r="AK7" s="107">
        <v>0</v>
      </c>
      <c r="AL7" s="107">
        <v>0</v>
      </c>
      <c r="AM7" s="107">
        <v>0</v>
      </c>
      <c r="AN7" s="107">
        <v>0</v>
      </c>
      <c r="AO7" s="107">
        <f t="shared" si="0"/>
        <v>1779.2</v>
      </c>
      <c r="AP7" s="125">
        <f t="shared" si="1"/>
        <v>679.2</v>
      </c>
      <c r="AQ7" s="125">
        <f t="shared" si="2"/>
        <v>1123.0999999999999</v>
      </c>
      <c r="AR7" s="125"/>
      <c r="AS7" s="125"/>
      <c r="AU7" s="208">
        <f t="shared" si="3"/>
        <v>1802300</v>
      </c>
    </row>
    <row r="8" spans="1:47" ht="12" x14ac:dyDescent="0.2">
      <c r="A8" s="16" t="s">
        <v>263</v>
      </c>
      <c r="C8" s="86" t="s">
        <v>34</v>
      </c>
      <c r="D8" s="86"/>
      <c r="E8" s="86" t="s">
        <v>145</v>
      </c>
      <c r="F8" s="86"/>
      <c r="G8" s="107">
        <v>0</v>
      </c>
      <c r="H8" s="107">
        <v>151240</v>
      </c>
      <c r="I8" s="107">
        <v>0</v>
      </c>
      <c r="J8" s="107">
        <v>0</v>
      </c>
      <c r="K8" s="107">
        <v>33000</v>
      </c>
      <c r="L8" s="107">
        <v>2000000</v>
      </c>
      <c r="M8" s="107">
        <v>16500</v>
      </c>
      <c r="N8" s="107">
        <v>0</v>
      </c>
      <c r="O8" s="107">
        <v>0</v>
      </c>
      <c r="P8" s="107">
        <v>0</v>
      </c>
      <c r="Q8" s="107">
        <v>180000</v>
      </c>
      <c r="R8" s="107">
        <v>10000</v>
      </c>
      <c r="S8" s="107">
        <v>143000</v>
      </c>
      <c r="T8" s="107">
        <v>40000</v>
      </c>
      <c r="U8" s="107">
        <v>1600000</v>
      </c>
      <c r="V8" s="107">
        <v>0</v>
      </c>
      <c r="W8" s="107">
        <v>0</v>
      </c>
      <c r="X8" s="107">
        <v>0</v>
      </c>
      <c r="Y8" s="107">
        <v>0</v>
      </c>
      <c r="Z8" s="107">
        <v>907230</v>
      </c>
      <c r="AA8" s="107">
        <v>35368</v>
      </c>
      <c r="AB8" s="107">
        <v>0</v>
      </c>
      <c r="AC8" s="107">
        <v>1420400</v>
      </c>
      <c r="AD8" s="107">
        <v>0</v>
      </c>
      <c r="AE8" s="158">
        <v>5000</v>
      </c>
      <c r="AF8" s="107">
        <v>0</v>
      </c>
      <c r="AG8" s="107">
        <v>0</v>
      </c>
      <c r="AH8" s="107">
        <v>0</v>
      </c>
      <c r="AI8" s="107">
        <v>0</v>
      </c>
      <c r="AJ8" s="107">
        <v>0</v>
      </c>
      <c r="AK8" s="107">
        <v>0</v>
      </c>
      <c r="AL8" s="107">
        <v>0</v>
      </c>
      <c r="AM8" s="107">
        <v>0</v>
      </c>
      <c r="AN8" s="107">
        <v>0</v>
      </c>
      <c r="AO8" s="107">
        <f t="shared" si="0"/>
        <v>6541.7380000000003</v>
      </c>
      <c r="AP8" s="125">
        <f t="shared" si="1"/>
        <v>6541.7380000000003</v>
      </c>
      <c r="AQ8" s="125">
        <f t="shared" si="2"/>
        <v>0</v>
      </c>
      <c r="AR8" s="125"/>
      <c r="AS8" s="125"/>
      <c r="AU8" s="208">
        <f t="shared" si="3"/>
        <v>6541738</v>
      </c>
    </row>
    <row r="9" spans="1:47" ht="12" x14ac:dyDescent="0.2">
      <c r="A9" s="16" t="s">
        <v>263</v>
      </c>
      <c r="C9" s="86" t="s">
        <v>148</v>
      </c>
      <c r="D9" s="86"/>
      <c r="E9" s="86" t="s">
        <v>145</v>
      </c>
      <c r="F9" s="86"/>
      <c r="G9" s="107">
        <v>0</v>
      </c>
      <c r="H9" s="107">
        <v>0</v>
      </c>
      <c r="I9" s="107">
        <v>0</v>
      </c>
      <c r="J9" s="107">
        <v>0</v>
      </c>
      <c r="K9" s="107">
        <v>0</v>
      </c>
      <c r="L9" s="107">
        <v>15220</v>
      </c>
      <c r="M9" s="107">
        <v>260000</v>
      </c>
      <c r="N9" s="107">
        <v>0</v>
      </c>
      <c r="O9" s="107">
        <v>34000</v>
      </c>
      <c r="P9" s="107">
        <v>0</v>
      </c>
      <c r="Q9" s="107">
        <v>0</v>
      </c>
      <c r="R9" s="107">
        <v>37500</v>
      </c>
      <c r="S9" s="107">
        <v>0</v>
      </c>
      <c r="T9" s="107">
        <v>0</v>
      </c>
      <c r="U9" s="107">
        <v>0</v>
      </c>
      <c r="V9" s="107">
        <v>0</v>
      </c>
      <c r="W9" s="107">
        <v>0</v>
      </c>
      <c r="X9" s="107">
        <v>0</v>
      </c>
      <c r="Y9" s="107">
        <v>0</v>
      </c>
      <c r="Z9" s="107">
        <v>14660</v>
      </c>
      <c r="AA9" s="107">
        <v>0</v>
      </c>
      <c r="AB9" s="107">
        <v>0</v>
      </c>
      <c r="AC9" s="107">
        <v>0</v>
      </c>
      <c r="AD9" s="107">
        <v>0</v>
      </c>
      <c r="AE9" s="107">
        <v>0</v>
      </c>
      <c r="AF9" s="107">
        <v>0</v>
      </c>
      <c r="AG9" s="107">
        <v>700000</v>
      </c>
      <c r="AH9" s="107">
        <v>0</v>
      </c>
      <c r="AI9" s="107">
        <v>0</v>
      </c>
      <c r="AJ9" s="107">
        <v>0</v>
      </c>
      <c r="AK9" s="107">
        <v>0</v>
      </c>
      <c r="AL9" s="107">
        <v>0</v>
      </c>
      <c r="AM9" s="107">
        <v>0</v>
      </c>
      <c r="AN9" s="107">
        <v>0</v>
      </c>
      <c r="AO9" s="107">
        <f t="shared" si="0"/>
        <v>1061.3800000000001</v>
      </c>
      <c r="AP9" s="125">
        <f t="shared" si="1"/>
        <v>361.38</v>
      </c>
      <c r="AQ9" s="125">
        <f t="shared" si="2"/>
        <v>700</v>
      </c>
      <c r="AR9" s="125"/>
      <c r="AS9" s="125"/>
      <c r="AU9" s="208">
        <f t="shared" si="3"/>
        <v>1061380</v>
      </c>
    </row>
    <row r="10" spans="1:47" ht="12" x14ac:dyDescent="0.2">
      <c r="A10" s="16" t="s">
        <v>263</v>
      </c>
      <c r="C10" s="86" t="s">
        <v>33</v>
      </c>
      <c r="D10" s="86"/>
      <c r="E10" s="86" t="s">
        <v>145</v>
      </c>
      <c r="F10" s="86"/>
      <c r="G10" s="107">
        <v>0</v>
      </c>
      <c r="H10" s="107">
        <v>0</v>
      </c>
      <c r="I10" s="107">
        <v>0</v>
      </c>
      <c r="J10" s="107">
        <v>0</v>
      </c>
      <c r="K10" s="107">
        <v>0</v>
      </c>
      <c r="L10" s="107">
        <v>43500</v>
      </c>
      <c r="M10" s="107">
        <v>0</v>
      </c>
      <c r="N10" s="107">
        <v>0</v>
      </c>
      <c r="O10" s="107">
        <v>500</v>
      </c>
      <c r="P10" s="107">
        <v>0</v>
      </c>
      <c r="Q10" s="107">
        <v>11099</v>
      </c>
      <c r="R10" s="107">
        <v>0</v>
      </c>
      <c r="S10" s="107">
        <v>0</v>
      </c>
      <c r="T10" s="107">
        <v>0</v>
      </c>
      <c r="U10" s="107">
        <v>210000</v>
      </c>
      <c r="V10" s="107">
        <v>5700</v>
      </c>
      <c r="W10" s="107">
        <v>0</v>
      </c>
      <c r="X10" s="107">
        <v>0</v>
      </c>
      <c r="Y10" s="107">
        <v>0</v>
      </c>
      <c r="Z10" s="107">
        <v>20340</v>
      </c>
      <c r="AA10" s="107">
        <v>294058</v>
      </c>
      <c r="AB10" s="107">
        <v>0</v>
      </c>
      <c r="AC10" s="107">
        <v>268000</v>
      </c>
      <c r="AD10" s="107">
        <v>0</v>
      </c>
      <c r="AE10" s="158">
        <v>500</v>
      </c>
      <c r="AF10" s="107">
        <v>0</v>
      </c>
      <c r="AG10" s="107">
        <v>0</v>
      </c>
      <c r="AH10" s="107">
        <v>0</v>
      </c>
      <c r="AI10" s="107">
        <v>0</v>
      </c>
      <c r="AJ10" s="107">
        <v>0</v>
      </c>
      <c r="AK10" s="107">
        <v>0</v>
      </c>
      <c r="AL10" s="107">
        <v>0</v>
      </c>
      <c r="AM10" s="107">
        <v>0</v>
      </c>
      <c r="AN10" s="107">
        <v>0</v>
      </c>
      <c r="AO10" s="107">
        <f t="shared" si="0"/>
        <v>853.697</v>
      </c>
      <c r="AP10" s="125">
        <f t="shared" si="1"/>
        <v>853.697</v>
      </c>
      <c r="AQ10" s="125">
        <f t="shared" si="2"/>
        <v>0</v>
      </c>
      <c r="AR10" s="125"/>
      <c r="AS10" s="125"/>
      <c r="AU10" s="208">
        <f t="shared" si="3"/>
        <v>853697</v>
      </c>
    </row>
    <row r="11" spans="1:47" ht="12" x14ac:dyDescent="0.2">
      <c r="A11" s="16" t="s">
        <v>264</v>
      </c>
      <c r="C11" s="86" t="s">
        <v>32</v>
      </c>
      <c r="D11" s="86"/>
      <c r="E11" s="86" t="s">
        <v>145</v>
      </c>
      <c r="F11" s="86"/>
      <c r="G11" s="107">
        <v>0</v>
      </c>
      <c r="H11" s="107">
        <v>0</v>
      </c>
      <c r="I11" s="107">
        <v>0</v>
      </c>
      <c r="J11" s="107">
        <v>0</v>
      </c>
      <c r="K11" s="107">
        <v>0</v>
      </c>
      <c r="L11" s="107">
        <v>2500000</v>
      </c>
      <c r="M11" s="107">
        <v>1500000</v>
      </c>
      <c r="N11" s="107">
        <v>0</v>
      </c>
      <c r="O11" s="107">
        <v>2100000</v>
      </c>
      <c r="P11" s="107">
        <v>0</v>
      </c>
      <c r="Q11" s="107">
        <v>2100000</v>
      </c>
      <c r="R11" s="107">
        <v>485750</v>
      </c>
      <c r="S11" s="107">
        <v>0</v>
      </c>
      <c r="T11" s="107">
        <v>0</v>
      </c>
      <c r="U11" s="107">
        <v>2646000</v>
      </c>
      <c r="V11" s="107">
        <v>0</v>
      </c>
      <c r="W11" s="107">
        <v>0</v>
      </c>
      <c r="X11" s="158">
        <v>117250</v>
      </c>
      <c r="Y11" s="107">
        <v>0</v>
      </c>
      <c r="Z11" s="107">
        <v>302600</v>
      </c>
      <c r="AA11" s="107">
        <v>705547</v>
      </c>
      <c r="AB11" s="107">
        <v>5390000</v>
      </c>
      <c r="AC11" s="107">
        <v>1139000</v>
      </c>
      <c r="AD11" s="107">
        <v>1300000</v>
      </c>
      <c r="AE11" s="107">
        <v>0</v>
      </c>
      <c r="AF11" s="107">
        <v>0</v>
      </c>
      <c r="AG11" s="107">
        <v>12600000</v>
      </c>
      <c r="AH11" s="107">
        <v>0</v>
      </c>
      <c r="AI11" s="107">
        <v>0</v>
      </c>
      <c r="AJ11" s="107">
        <v>29164900</v>
      </c>
      <c r="AK11" s="158">
        <v>0</v>
      </c>
      <c r="AL11" s="107">
        <v>0</v>
      </c>
      <c r="AM11" s="107">
        <v>0</v>
      </c>
      <c r="AN11" s="107">
        <v>0</v>
      </c>
      <c r="AO11" s="107">
        <f t="shared" si="0"/>
        <v>32886.146999999997</v>
      </c>
      <c r="AP11" s="125">
        <f t="shared" si="1"/>
        <v>20286.147000000001</v>
      </c>
      <c r="AQ11" s="125">
        <f t="shared" si="2"/>
        <v>41764.9</v>
      </c>
      <c r="AR11" s="125"/>
      <c r="AS11" s="125"/>
      <c r="AU11" s="208">
        <f t="shared" si="3"/>
        <v>62051047</v>
      </c>
    </row>
    <row r="12" spans="1:47" ht="12" x14ac:dyDescent="0.2">
      <c r="A12" s="16" t="s">
        <v>264</v>
      </c>
      <c r="C12" s="86" t="s">
        <v>31</v>
      </c>
      <c r="D12" s="86"/>
      <c r="E12" s="86" t="s">
        <v>145</v>
      </c>
      <c r="F12" s="86"/>
      <c r="G12" s="107">
        <v>0</v>
      </c>
      <c r="H12" s="107">
        <v>47760</v>
      </c>
      <c r="I12" s="107">
        <v>2100000</v>
      </c>
      <c r="J12" s="107">
        <v>0</v>
      </c>
      <c r="K12" s="107">
        <v>766000</v>
      </c>
      <c r="L12" s="107">
        <v>2500000</v>
      </c>
      <c r="M12" s="107">
        <v>850000</v>
      </c>
      <c r="N12" s="107">
        <v>0</v>
      </c>
      <c r="O12" s="107">
        <v>23439</v>
      </c>
      <c r="P12" s="107">
        <v>0</v>
      </c>
      <c r="Q12" s="107">
        <v>0</v>
      </c>
      <c r="R12" s="107">
        <v>250000</v>
      </c>
      <c r="S12" s="107">
        <v>385000</v>
      </c>
      <c r="T12" s="107">
        <v>0</v>
      </c>
      <c r="U12" s="107">
        <v>1963000</v>
      </c>
      <c r="V12" s="107">
        <v>31300</v>
      </c>
      <c r="W12" s="107">
        <v>0</v>
      </c>
      <c r="X12" s="158">
        <v>284750</v>
      </c>
      <c r="Y12" s="107">
        <v>0</v>
      </c>
      <c r="Z12" s="107">
        <v>302600</v>
      </c>
      <c r="AA12" s="107">
        <v>1490027</v>
      </c>
      <c r="AB12" s="107">
        <v>2310000</v>
      </c>
      <c r="AC12" s="107">
        <v>6172600</v>
      </c>
      <c r="AD12" s="107">
        <v>0</v>
      </c>
      <c r="AE12" s="158">
        <v>88500</v>
      </c>
      <c r="AF12" s="107">
        <v>1716000</v>
      </c>
      <c r="AG12" s="107">
        <v>0</v>
      </c>
      <c r="AH12" s="107">
        <v>0</v>
      </c>
      <c r="AI12" s="107">
        <v>0</v>
      </c>
      <c r="AJ12" s="107">
        <v>0</v>
      </c>
      <c r="AK12" s="158">
        <v>0</v>
      </c>
      <c r="AL12" s="162">
        <v>0</v>
      </c>
      <c r="AM12" s="162">
        <v>0</v>
      </c>
      <c r="AN12" s="162">
        <v>0</v>
      </c>
      <c r="AO12" s="107">
        <f t="shared" si="0"/>
        <v>21280.975999999999</v>
      </c>
      <c r="AP12" s="125">
        <f t="shared" si="1"/>
        <v>21280.975999999999</v>
      </c>
      <c r="AQ12" s="125">
        <f t="shared" si="2"/>
        <v>0</v>
      </c>
      <c r="AR12" s="125"/>
      <c r="AS12" s="125"/>
      <c r="AU12" s="208">
        <f t="shared" si="3"/>
        <v>21280976</v>
      </c>
    </row>
    <row r="13" spans="1:47" ht="12" x14ac:dyDescent="0.2">
      <c r="A13" s="16" t="s">
        <v>267</v>
      </c>
      <c r="C13" s="161" t="s">
        <v>147</v>
      </c>
      <c r="D13" s="161"/>
      <c r="E13" s="161" t="s">
        <v>145</v>
      </c>
      <c r="F13" s="161"/>
      <c r="G13" s="163">
        <v>0</v>
      </c>
      <c r="H13" s="163">
        <v>0</v>
      </c>
      <c r="I13" s="163">
        <v>0</v>
      </c>
      <c r="J13" s="163">
        <v>0</v>
      </c>
      <c r="K13" s="163">
        <v>0</v>
      </c>
      <c r="L13" s="163">
        <v>0</v>
      </c>
      <c r="M13" s="163">
        <v>0</v>
      </c>
      <c r="N13" s="163">
        <v>0</v>
      </c>
      <c r="O13" s="163">
        <v>0</v>
      </c>
      <c r="P13" s="163">
        <v>0</v>
      </c>
      <c r="Q13" s="163">
        <v>0</v>
      </c>
      <c r="R13" s="163">
        <v>0</v>
      </c>
      <c r="S13" s="163">
        <v>0</v>
      </c>
      <c r="T13" s="163">
        <v>0</v>
      </c>
      <c r="U13" s="163">
        <v>0</v>
      </c>
      <c r="V13" s="163">
        <v>5000</v>
      </c>
      <c r="W13" s="163">
        <v>0</v>
      </c>
      <c r="X13" s="163">
        <v>0</v>
      </c>
      <c r="Y13" s="163">
        <v>0</v>
      </c>
      <c r="Z13" s="163">
        <v>0</v>
      </c>
      <c r="AA13" s="163">
        <v>0</v>
      </c>
      <c r="AB13" s="163">
        <v>0</v>
      </c>
      <c r="AC13" s="163">
        <v>0</v>
      </c>
      <c r="AD13" s="163">
        <v>0</v>
      </c>
      <c r="AE13" s="163">
        <v>0</v>
      </c>
      <c r="AF13" s="163">
        <v>0</v>
      </c>
      <c r="AG13" s="163">
        <v>0</v>
      </c>
      <c r="AH13" s="163">
        <v>0</v>
      </c>
      <c r="AI13" s="163">
        <v>0</v>
      </c>
      <c r="AJ13" s="163">
        <v>0</v>
      </c>
      <c r="AK13" s="163">
        <v>0</v>
      </c>
      <c r="AL13" s="163">
        <v>0</v>
      </c>
      <c r="AM13" s="163">
        <v>0</v>
      </c>
      <c r="AN13" s="163">
        <v>0</v>
      </c>
      <c r="AO13" s="163">
        <f t="shared" si="0"/>
        <v>5</v>
      </c>
      <c r="AP13" s="159">
        <f t="shared" si="1"/>
        <v>5</v>
      </c>
      <c r="AQ13" s="159">
        <f t="shared" si="2"/>
        <v>0</v>
      </c>
      <c r="AR13" s="159"/>
      <c r="AS13" s="159"/>
      <c r="AU13" s="208">
        <f t="shared" si="3"/>
        <v>5000</v>
      </c>
    </row>
    <row r="14" spans="1:47" ht="12" x14ac:dyDescent="0.2">
      <c r="A14" s="16" t="s">
        <v>263</v>
      </c>
      <c r="C14" s="86" t="s">
        <v>30</v>
      </c>
      <c r="D14" s="86"/>
      <c r="E14" s="86" t="s">
        <v>145</v>
      </c>
      <c r="F14" s="86"/>
      <c r="G14" s="158">
        <v>0</v>
      </c>
      <c r="H14" s="107">
        <v>0</v>
      </c>
      <c r="I14" s="107">
        <v>0</v>
      </c>
      <c r="J14" s="107">
        <v>0</v>
      </c>
      <c r="K14" s="107">
        <v>0</v>
      </c>
      <c r="L14" s="107">
        <v>0</v>
      </c>
      <c r="M14" s="107">
        <v>0</v>
      </c>
      <c r="N14" s="107">
        <v>0</v>
      </c>
      <c r="O14" s="107">
        <v>0</v>
      </c>
      <c r="P14" s="107">
        <v>0</v>
      </c>
      <c r="Q14" s="107">
        <v>0</v>
      </c>
      <c r="R14" s="107">
        <v>0</v>
      </c>
      <c r="S14" s="107">
        <v>0</v>
      </c>
      <c r="T14" s="107">
        <v>0</v>
      </c>
      <c r="U14" s="107">
        <v>0</v>
      </c>
      <c r="V14" s="107">
        <v>0</v>
      </c>
      <c r="W14" s="107">
        <v>0</v>
      </c>
      <c r="X14" s="107">
        <v>0</v>
      </c>
      <c r="Y14" s="107">
        <v>0</v>
      </c>
      <c r="Z14" s="107">
        <v>0</v>
      </c>
      <c r="AA14" s="107">
        <v>0</v>
      </c>
      <c r="AB14" s="107">
        <v>0</v>
      </c>
      <c r="AC14" s="107">
        <v>0</v>
      </c>
      <c r="AD14" s="107">
        <v>0</v>
      </c>
      <c r="AE14" s="107">
        <v>0</v>
      </c>
      <c r="AF14" s="107">
        <v>0</v>
      </c>
      <c r="AG14" s="107">
        <v>0</v>
      </c>
      <c r="AH14" s="107">
        <v>0</v>
      </c>
      <c r="AI14" s="107">
        <v>0</v>
      </c>
      <c r="AJ14" s="107">
        <v>0</v>
      </c>
      <c r="AK14" s="158">
        <v>0</v>
      </c>
      <c r="AL14" s="162">
        <v>0</v>
      </c>
      <c r="AM14" s="107">
        <v>0</v>
      </c>
      <c r="AN14" s="107">
        <v>0</v>
      </c>
      <c r="AO14" s="107">
        <f t="shared" si="0"/>
        <v>0</v>
      </c>
      <c r="AP14" s="125">
        <f t="shared" si="1"/>
        <v>0</v>
      </c>
      <c r="AQ14" s="125">
        <f t="shared" si="2"/>
        <v>0</v>
      </c>
      <c r="AR14" s="125"/>
      <c r="AS14" s="125"/>
      <c r="AU14" s="208">
        <f t="shared" si="3"/>
        <v>0</v>
      </c>
    </row>
    <row r="15" spans="1:47" ht="12" x14ac:dyDescent="0.2">
      <c r="A15" s="16" t="s">
        <v>263</v>
      </c>
      <c r="C15" s="86" t="s">
        <v>146</v>
      </c>
      <c r="D15" s="86"/>
      <c r="E15" s="86" t="s">
        <v>145</v>
      </c>
      <c r="F15" s="86"/>
      <c r="G15" s="107">
        <v>0</v>
      </c>
      <c r="H15" s="107">
        <v>0</v>
      </c>
      <c r="I15" s="107">
        <v>0</v>
      </c>
      <c r="J15" s="107">
        <v>0</v>
      </c>
      <c r="K15" s="107">
        <v>0</v>
      </c>
      <c r="L15" s="107">
        <v>0</v>
      </c>
      <c r="M15" s="107">
        <v>0</v>
      </c>
      <c r="N15" s="107">
        <v>0</v>
      </c>
      <c r="O15" s="107">
        <v>0</v>
      </c>
      <c r="P15" s="107">
        <v>0</v>
      </c>
      <c r="Q15" s="107">
        <v>0</v>
      </c>
      <c r="R15" s="107">
        <v>0</v>
      </c>
      <c r="S15" s="107">
        <v>0</v>
      </c>
      <c r="T15" s="107">
        <v>0</v>
      </c>
      <c r="U15" s="107">
        <v>0</v>
      </c>
      <c r="V15" s="107">
        <v>0</v>
      </c>
      <c r="W15" s="107">
        <v>0</v>
      </c>
      <c r="X15" s="107">
        <v>0</v>
      </c>
      <c r="Y15" s="107">
        <v>0</v>
      </c>
      <c r="Z15" s="107">
        <v>0</v>
      </c>
      <c r="AA15" s="107">
        <v>0</v>
      </c>
      <c r="AB15" s="107">
        <v>0</v>
      </c>
      <c r="AC15" s="107">
        <v>0</v>
      </c>
      <c r="AD15" s="107">
        <v>0</v>
      </c>
      <c r="AE15" s="107">
        <v>0</v>
      </c>
      <c r="AF15" s="107">
        <v>0</v>
      </c>
      <c r="AG15" s="107">
        <v>0</v>
      </c>
      <c r="AH15" s="107">
        <v>0</v>
      </c>
      <c r="AI15" s="107">
        <v>0</v>
      </c>
      <c r="AJ15" s="107">
        <v>3157000</v>
      </c>
      <c r="AK15" s="107">
        <v>0</v>
      </c>
      <c r="AL15" s="107">
        <v>0</v>
      </c>
      <c r="AM15" s="107">
        <v>0</v>
      </c>
      <c r="AN15" s="107">
        <v>0</v>
      </c>
      <c r="AO15" s="107">
        <f t="shared" si="0"/>
        <v>0</v>
      </c>
      <c r="AP15" s="125">
        <f t="shared" si="1"/>
        <v>0</v>
      </c>
      <c r="AQ15" s="125">
        <f t="shared" si="2"/>
        <v>3157</v>
      </c>
      <c r="AR15" s="125"/>
      <c r="AS15" s="125"/>
      <c r="AU15" s="208">
        <f t="shared" si="3"/>
        <v>3157000</v>
      </c>
    </row>
    <row r="16" spans="1:47" ht="12" x14ac:dyDescent="0.2">
      <c r="A16" s="16" t="s">
        <v>267</v>
      </c>
      <c r="C16" s="161" t="s">
        <v>26</v>
      </c>
      <c r="D16" s="161"/>
      <c r="E16" s="161" t="s">
        <v>145</v>
      </c>
      <c r="F16" s="161"/>
      <c r="G16" s="163">
        <v>0</v>
      </c>
      <c r="H16" s="163">
        <v>0</v>
      </c>
      <c r="I16" s="163">
        <v>0</v>
      </c>
      <c r="J16" s="163">
        <v>0</v>
      </c>
      <c r="K16" s="163">
        <v>0</v>
      </c>
      <c r="L16" s="163">
        <v>0</v>
      </c>
      <c r="M16" s="163">
        <v>0</v>
      </c>
      <c r="N16" s="163">
        <v>0</v>
      </c>
      <c r="O16" s="163">
        <v>0</v>
      </c>
      <c r="P16" s="163">
        <v>0</v>
      </c>
      <c r="Q16" s="163">
        <v>0</v>
      </c>
      <c r="R16" s="163">
        <v>0</v>
      </c>
      <c r="S16" s="163">
        <v>0</v>
      </c>
      <c r="T16" s="163">
        <v>0</v>
      </c>
      <c r="U16" s="163">
        <v>71000</v>
      </c>
      <c r="V16" s="163">
        <v>0</v>
      </c>
      <c r="W16" s="163">
        <v>0</v>
      </c>
      <c r="X16" s="163">
        <v>0</v>
      </c>
      <c r="Y16" s="163">
        <v>0</v>
      </c>
      <c r="Z16" s="163">
        <v>0</v>
      </c>
      <c r="AA16" s="163">
        <v>0</v>
      </c>
      <c r="AB16" s="163">
        <v>0</v>
      </c>
      <c r="AC16" s="163">
        <v>0</v>
      </c>
      <c r="AD16" s="163">
        <v>0</v>
      </c>
      <c r="AE16" s="163">
        <v>0</v>
      </c>
      <c r="AF16" s="163">
        <v>0</v>
      </c>
      <c r="AG16" s="163">
        <v>0</v>
      </c>
      <c r="AH16" s="163">
        <v>0</v>
      </c>
      <c r="AI16" s="163">
        <v>0</v>
      </c>
      <c r="AJ16" s="163">
        <v>0</v>
      </c>
      <c r="AK16" s="163">
        <v>0</v>
      </c>
      <c r="AL16" s="163">
        <v>0</v>
      </c>
      <c r="AM16" s="163">
        <v>0</v>
      </c>
      <c r="AN16" s="163">
        <v>0</v>
      </c>
      <c r="AO16" s="163">
        <f t="shared" si="0"/>
        <v>71</v>
      </c>
      <c r="AP16" s="159">
        <f t="shared" si="1"/>
        <v>71</v>
      </c>
      <c r="AQ16" s="159">
        <f t="shared" si="2"/>
        <v>0</v>
      </c>
      <c r="AR16" s="159"/>
      <c r="AS16" s="159"/>
      <c r="AU16" s="208">
        <f t="shared" si="3"/>
        <v>71000</v>
      </c>
    </row>
    <row r="17" spans="3:47" ht="12" x14ac:dyDescent="0.2">
      <c r="C17" s="86"/>
      <c r="D17" s="86" t="s">
        <v>28</v>
      </c>
      <c r="E17" s="86" t="s">
        <v>144</v>
      </c>
      <c r="F17" s="86">
        <v>2025</v>
      </c>
      <c r="G17" s="107">
        <v>0</v>
      </c>
      <c r="H17" s="107"/>
      <c r="I17" s="107"/>
      <c r="J17" s="107">
        <v>0</v>
      </c>
      <c r="K17" s="107"/>
      <c r="L17" s="107">
        <v>0</v>
      </c>
      <c r="M17" s="107"/>
      <c r="N17" s="107">
        <v>0</v>
      </c>
      <c r="O17" s="107">
        <v>0</v>
      </c>
      <c r="P17" s="107"/>
      <c r="Q17" s="107"/>
      <c r="R17" s="107"/>
      <c r="S17" s="107"/>
      <c r="T17" s="107">
        <v>0</v>
      </c>
      <c r="U17" s="107">
        <v>0</v>
      </c>
      <c r="V17" s="107"/>
      <c r="W17" s="107"/>
      <c r="X17" s="107">
        <v>0</v>
      </c>
      <c r="Y17" s="107"/>
      <c r="Z17" s="107">
        <v>0</v>
      </c>
      <c r="AA17" s="107">
        <v>0</v>
      </c>
      <c r="AB17" s="107"/>
      <c r="AC17" s="107"/>
      <c r="AD17" s="107">
        <v>0</v>
      </c>
      <c r="AE17" s="107">
        <v>0</v>
      </c>
      <c r="AF17" s="107"/>
      <c r="AG17" s="107">
        <v>0</v>
      </c>
      <c r="AH17" s="107"/>
      <c r="AI17" s="107"/>
      <c r="AJ17" s="107">
        <v>0</v>
      </c>
      <c r="AK17" s="107">
        <v>0</v>
      </c>
      <c r="AL17" s="107"/>
      <c r="AM17" s="107"/>
      <c r="AN17" s="107"/>
      <c r="AO17" s="107">
        <v>115571.11799999999</v>
      </c>
      <c r="AP17" s="125">
        <f t="shared" si="1"/>
        <v>0</v>
      </c>
      <c r="AQ17" s="125">
        <f t="shared" si="2"/>
        <v>0</v>
      </c>
      <c r="AR17" s="125" t="s">
        <v>143</v>
      </c>
      <c r="AS17" s="233" t="s">
        <v>310</v>
      </c>
    </row>
    <row r="18" spans="3:47" ht="12" x14ac:dyDescent="0.2">
      <c r="C18" s="86"/>
      <c r="D18" s="86" t="s">
        <v>28</v>
      </c>
      <c r="E18" s="86" t="s">
        <v>144</v>
      </c>
      <c r="F18" s="86">
        <v>0</v>
      </c>
      <c r="G18" s="125">
        <v>4</v>
      </c>
      <c r="H18" s="125"/>
      <c r="I18" s="125"/>
      <c r="J18" s="125">
        <v>4</v>
      </c>
      <c r="K18" s="125"/>
      <c r="L18" s="125">
        <v>4</v>
      </c>
      <c r="M18" s="125"/>
      <c r="N18" s="125">
        <v>4</v>
      </c>
      <c r="O18" s="125">
        <v>4</v>
      </c>
      <c r="P18" s="125"/>
      <c r="Q18" s="125"/>
      <c r="R18" s="125"/>
      <c r="S18" s="125"/>
      <c r="T18" s="125">
        <v>4</v>
      </c>
      <c r="U18" s="125">
        <v>4</v>
      </c>
      <c r="V18" s="125"/>
      <c r="W18" s="125"/>
      <c r="X18" s="125">
        <v>4</v>
      </c>
      <c r="Y18" s="125"/>
      <c r="Z18" s="125">
        <v>4</v>
      </c>
      <c r="AA18" s="125">
        <v>4</v>
      </c>
      <c r="AB18" s="125"/>
      <c r="AC18" s="125"/>
      <c r="AD18" s="125">
        <v>4</v>
      </c>
      <c r="AE18" s="125">
        <v>4</v>
      </c>
      <c r="AF18" s="125"/>
      <c r="AG18" s="125">
        <v>4</v>
      </c>
      <c r="AH18" s="125"/>
      <c r="AI18" s="125"/>
      <c r="AJ18" s="125">
        <v>4</v>
      </c>
      <c r="AK18" s="125">
        <v>4</v>
      </c>
      <c r="AL18" s="125"/>
      <c r="AM18" s="125"/>
      <c r="AN18" s="125"/>
      <c r="AO18" s="125"/>
      <c r="AP18" s="125"/>
      <c r="AQ18" s="125"/>
      <c r="AR18" s="125" t="s">
        <v>143</v>
      </c>
      <c r="AS18" s="233" t="str">
        <f>AS17</f>
        <v>SNKCO2N,SNKFCO2</v>
      </c>
    </row>
    <row r="20" spans="3:47" ht="12" x14ac:dyDescent="0.2">
      <c r="C20" s="16" t="s">
        <v>267</v>
      </c>
      <c r="D20" s="151"/>
      <c r="E20" s="151" t="s">
        <v>145</v>
      </c>
      <c r="F20" s="151"/>
      <c r="G20" s="152">
        <f>SUMIFS(G$5:G$16,$A$5:$A$16,$C20)</f>
        <v>0</v>
      </c>
      <c r="H20" s="152">
        <f t="shared" ref="H20:AQ22" si="4">SUMIFS(H$5:H$16,$A$5:$A$16,$C20)</f>
        <v>0</v>
      </c>
      <c r="I20" s="152">
        <f t="shared" si="4"/>
        <v>17000</v>
      </c>
      <c r="J20" s="152">
        <f t="shared" si="4"/>
        <v>0</v>
      </c>
      <c r="K20" s="152">
        <f t="shared" si="4"/>
        <v>110000</v>
      </c>
      <c r="L20" s="152">
        <f t="shared" si="4"/>
        <v>21597</v>
      </c>
      <c r="M20" s="152">
        <f t="shared" si="4"/>
        <v>0</v>
      </c>
      <c r="N20" s="152">
        <f t="shared" si="4"/>
        <v>0</v>
      </c>
      <c r="O20" s="152">
        <f t="shared" si="4"/>
        <v>145000</v>
      </c>
      <c r="P20" s="152">
        <f t="shared" si="4"/>
        <v>0</v>
      </c>
      <c r="Q20" s="152">
        <f t="shared" si="4"/>
        <v>0</v>
      </c>
      <c r="R20" s="152">
        <f t="shared" si="4"/>
        <v>0</v>
      </c>
      <c r="S20" s="152">
        <f t="shared" si="4"/>
        <v>87000</v>
      </c>
      <c r="T20" s="152">
        <f t="shared" si="4"/>
        <v>0</v>
      </c>
      <c r="U20" s="152">
        <f t="shared" si="4"/>
        <v>71000</v>
      </c>
      <c r="V20" s="152">
        <f t="shared" si="4"/>
        <v>5000</v>
      </c>
      <c r="W20" s="152">
        <f t="shared" si="4"/>
        <v>0</v>
      </c>
      <c r="X20" s="152">
        <f t="shared" si="4"/>
        <v>0</v>
      </c>
      <c r="Y20" s="152">
        <f t="shared" si="4"/>
        <v>0</v>
      </c>
      <c r="Z20" s="152">
        <f t="shared" si="4"/>
        <v>0</v>
      </c>
      <c r="AA20" s="152">
        <f t="shared" si="4"/>
        <v>115000</v>
      </c>
      <c r="AB20" s="152">
        <f t="shared" si="4"/>
        <v>0</v>
      </c>
      <c r="AC20" s="152">
        <f t="shared" si="4"/>
        <v>0</v>
      </c>
      <c r="AD20" s="152">
        <f t="shared" si="4"/>
        <v>0</v>
      </c>
      <c r="AE20" s="152">
        <f t="shared" si="4"/>
        <v>0</v>
      </c>
      <c r="AF20" s="152">
        <f t="shared" si="4"/>
        <v>0</v>
      </c>
      <c r="AG20" s="152">
        <f t="shared" si="4"/>
        <v>0</v>
      </c>
      <c r="AH20" s="152">
        <f t="shared" si="4"/>
        <v>0</v>
      </c>
      <c r="AI20" s="152">
        <f t="shared" si="4"/>
        <v>0</v>
      </c>
      <c r="AJ20" s="152">
        <f t="shared" si="4"/>
        <v>0</v>
      </c>
      <c r="AK20" s="152">
        <f t="shared" si="4"/>
        <v>0</v>
      </c>
      <c r="AL20" s="152">
        <f t="shared" si="4"/>
        <v>0</v>
      </c>
      <c r="AM20" s="152">
        <f t="shared" si="4"/>
        <v>0</v>
      </c>
      <c r="AN20" s="152">
        <f t="shared" si="4"/>
        <v>0</v>
      </c>
      <c r="AO20" s="152">
        <f t="shared" si="4"/>
        <v>571.59699999999998</v>
      </c>
      <c r="AP20" s="155">
        <f t="shared" si="4"/>
        <v>571.59699999999998</v>
      </c>
      <c r="AQ20" s="152">
        <f t="shared" si="4"/>
        <v>0</v>
      </c>
      <c r="AR20" s="151"/>
      <c r="AS20" s="151"/>
      <c r="AT20" s="153">
        <f>AG20/1000</f>
        <v>0</v>
      </c>
      <c r="AU20" s="191">
        <f>SUM(AU5:AU17)</f>
        <v>97319735</v>
      </c>
    </row>
    <row r="21" spans="3:47" ht="12" x14ac:dyDescent="0.2">
      <c r="C21" s="151" t="s">
        <v>263</v>
      </c>
      <c r="D21" s="151"/>
      <c r="E21" s="151" t="s">
        <v>145</v>
      </c>
      <c r="F21" s="151"/>
      <c r="G21" s="152">
        <f t="shared" ref="G21:V22" si="5">SUMIFS(G$5:G$16,$A$5:$A$16,$C21)</f>
        <v>0</v>
      </c>
      <c r="H21" s="152">
        <f t="shared" si="5"/>
        <v>151240</v>
      </c>
      <c r="I21" s="152">
        <f t="shared" si="5"/>
        <v>3000</v>
      </c>
      <c r="J21" s="152">
        <f t="shared" si="5"/>
        <v>0</v>
      </c>
      <c r="K21" s="152">
        <f t="shared" si="5"/>
        <v>33000</v>
      </c>
      <c r="L21" s="152">
        <f t="shared" si="5"/>
        <v>2058720</v>
      </c>
      <c r="M21" s="152">
        <f t="shared" si="5"/>
        <v>376500</v>
      </c>
      <c r="N21" s="152">
        <f t="shared" si="5"/>
        <v>0</v>
      </c>
      <c r="O21" s="152">
        <f t="shared" si="5"/>
        <v>34500</v>
      </c>
      <c r="P21" s="152">
        <f t="shared" si="5"/>
        <v>0</v>
      </c>
      <c r="Q21" s="152">
        <f t="shared" si="5"/>
        <v>191099</v>
      </c>
      <c r="R21" s="152">
        <f t="shared" si="5"/>
        <v>47500</v>
      </c>
      <c r="S21" s="152">
        <f t="shared" si="5"/>
        <v>143000</v>
      </c>
      <c r="T21" s="152">
        <f t="shared" si="5"/>
        <v>40000</v>
      </c>
      <c r="U21" s="152">
        <f t="shared" si="5"/>
        <v>1870000</v>
      </c>
      <c r="V21" s="152">
        <f t="shared" si="5"/>
        <v>5700</v>
      </c>
      <c r="W21" s="152">
        <f t="shared" si="4"/>
        <v>0</v>
      </c>
      <c r="X21" s="152">
        <f t="shared" si="4"/>
        <v>0</v>
      </c>
      <c r="Y21" s="152">
        <f t="shared" si="4"/>
        <v>0</v>
      </c>
      <c r="Z21" s="152">
        <f t="shared" si="4"/>
        <v>1458430</v>
      </c>
      <c r="AA21" s="152">
        <f t="shared" si="4"/>
        <v>329426</v>
      </c>
      <c r="AB21" s="152">
        <f t="shared" si="4"/>
        <v>0</v>
      </c>
      <c r="AC21" s="152">
        <f t="shared" si="4"/>
        <v>1688400</v>
      </c>
      <c r="AD21" s="152">
        <f t="shared" si="4"/>
        <v>0</v>
      </c>
      <c r="AE21" s="152">
        <f t="shared" si="4"/>
        <v>5500</v>
      </c>
      <c r="AF21" s="152">
        <f t="shared" si="4"/>
        <v>0</v>
      </c>
      <c r="AG21" s="152">
        <f t="shared" si="4"/>
        <v>1800000</v>
      </c>
      <c r="AH21" s="152">
        <f t="shared" si="4"/>
        <v>0</v>
      </c>
      <c r="AI21" s="152">
        <f t="shared" si="4"/>
        <v>0</v>
      </c>
      <c r="AJ21" s="152">
        <f t="shared" si="4"/>
        <v>3180100</v>
      </c>
      <c r="AK21" s="152">
        <f t="shared" si="4"/>
        <v>0</v>
      </c>
      <c r="AL21" s="152">
        <f t="shared" si="4"/>
        <v>0</v>
      </c>
      <c r="AM21" s="152">
        <f t="shared" si="4"/>
        <v>0</v>
      </c>
      <c r="AN21" s="152">
        <f t="shared" si="4"/>
        <v>0</v>
      </c>
      <c r="AO21" s="152">
        <f t="shared" si="4"/>
        <v>10236.014999999999</v>
      </c>
      <c r="AP21" s="156">
        <f t="shared" si="4"/>
        <v>8436.0149999999994</v>
      </c>
      <c r="AQ21" s="152">
        <f t="shared" si="4"/>
        <v>4980.1000000000004</v>
      </c>
      <c r="AR21" s="151"/>
      <c r="AS21" s="151"/>
      <c r="AT21" s="153">
        <f>AG21/1000</f>
        <v>1800</v>
      </c>
    </row>
    <row r="22" spans="3:47" ht="12" x14ac:dyDescent="0.2">
      <c r="C22" s="151" t="s">
        <v>264</v>
      </c>
      <c r="D22" s="151"/>
      <c r="E22" s="151" t="s">
        <v>145</v>
      </c>
      <c r="F22" s="151"/>
      <c r="G22" s="152">
        <f t="shared" si="5"/>
        <v>0</v>
      </c>
      <c r="H22" s="152">
        <f t="shared" si="4"/>
        <v>47760</v>
      </c>
      <c r="I22" s="152">
        <f t="shared" si="4"/>
        <v>2100000</v>
      </c>
      <c r="J22" s="152">
        <f t="shared" si="4"/>
        <v>0</v>
      </c>
      <c r="K22" s="152">
        <f t="shared" si="4"/>
        <v>766000</v>
      </c>
      <c r="L22" s="152">
        <f t="shared" si="4"/>
        <v>5000000</v>
      </c>
      <c r="M22" s="152">
        <f t="shared" si="4"/>
        <v>2350000</v>
      </c>
      <c r="N22" s="152">
        <f t="shared" si="4"/>
        <v>0</v>
      </c>
      <c r="O22" s="152">
        <f t="shared" si="4"/>
        <v>2123439</v>
      </c>
      <c r="P22" s="152">
        <f t="shared" si="4"/>
        <v>0</v>
      </c>
      <c r="Q22" s="152">
        <f t="shared" si="4"/>
        <v>2100000</v>
      </c>
      <c r="R22" s="152">
        <f t="shared" si="4"/>
        <v>735750</v>
      </c>
      <c r="S22" s="152">
        <f t="shared" si="4"/>
        <v>385000</v>
      </c>
      <c r="T22" s="152">
        <f t="shared" si="4"/>
        <v>0</v>
      </c>
      <c r="U22" s="152">
        <f t="shared" si="4"/>
        <v>4609000</v>
      </c>
      <c r="V22" s="152">
        <f t="shared" si="4"/>
        <v>31300</v>
      </c>
      <c r="W22" s="152">
        <f t="shared" si="4"/>
        <v>0</v>
      </c>
      <c r="X22" s="152">
        <f t="shared" si="4"/>
        <v>402000</v>
      </c>
      <c r="Y22" s="152">
        <f t="shared" si="4"/>
        <v>0</v>
      </c>
      <c r="Z22" s="152">
        <f t="shared" si="4"/>
        <v>605200</v>
      </c>
      <c r="AA22" s="152">
        <f t="shared" si="4"/>
        <v>2195574</v>
      </c>
      <c r="AB22" s="152">
        <f t="shared" si="4"/>
        <v>7700000</v>
      </c>
      <c r="AC22" s="152">
        <f t="shared" si="4"/>
        <v>7311600</v>
      </c>
      <c r="AD22" s="152">
        <f t="shared" si="4"/>
        <v>1300000</v>
      </c>
      <c r="AE22" s="152">
        <f t="shared" si="4"/>
        <v>88500</v>
      </c>
      <c r="AF22" s="152">
        <f t="shared" si="4"/>
        <v>1716000</v>
      </c>
      <c r="AG22" s="152">
        <f t="shared" si="4"/>
        <v>12600000</v>
      </c>
      <c r="AH22" s="152">
        <f t="shared" si="4"/>
        <v>0</v>
      </c>
      <c r="AI22" s="152">
        <f t="shared" si="4"/>
        <v>0</v>
      </c>
      <c r="AJ22" s="152">
        <f t="shared" si="4"/>
        <v>29164900</v>
      </c>
      <c r="AK22" s="152">
        <f t="shared" si="4"/>
        <v>0</v>
      </c>
      <c r="AL22" s="152">
        <f t="shared" si="4"/>
        <v>0</v>
      </c>
      <c r="AM22" s="152">
        <f t="shared" si="4"/>
        <v>0</v>
      </c>
      <c r="AN22" s="152">
        <f t="shared" si="4"/>
        <v>0</v>
      </c>
      <c r="AO22" s="152">
        <f t="shared" si="4"/>
        <v>54167.122999999992</v>
      </c>
      <c r="AP22" s="157">
        <f t="shared" si="4"/>
        <v>41567.123</v>
      </c>
      <c r="AQ22" s="152">
        <f t="shared" si="4"/>
        <v>41764.9</v>
      </c>
      <c r="AR22" s="151"/>
      <c r="AS22" s="151"/>
      <c r="AT22" s="153">
        <f>AG22/1000</f>
        <v>12600</v>
      </c>
    </row>
    <row r="23" spans="3:47" x14ac:dyDescent="0.2">
      <c r="AT23" s="1" t="s">
        <v>266</v>
      </c>
    </row>
    <row r="27" spans="3:47" x14ac:dyDescent="0.2">
      <c r="G27" s="1" t="s">
        <v>140</v>
      </c>
      <c r="H27" s="1" t="s">
        <v>139</v>
      </c>
      <c r="I27" s="1" t="s">
        <v>138</v>
      </c>
      <c r="J27" s="1" t="s">
        <v>137</v>
      </c>
      <c r="K27" s="1" t="s">
        <v>136</v>
      </c>
      <c r="L27" s="1" t="s">
        <v>135</v>
      </c>
      <c r="M27" s="1" t="s">
        <v>134</v>
      </c>
      <c r="N27" s="1" t="s">
        <v>133</v>
      </c>
      <c r="O27" s="1" t="s">
        <v>132</v>
      </c>
      <c r="P27" s="1" t="s">
        <v>131</v>
      </c>
      <c r="Q27" s="1" t="s">
        <v>130</v>
      </c>
      <c r="R27" s="1" t="s">
        <v>129</v>
      </c>
      <c r="S27" s="1" t="s">
        <v>128</v>
      </c>
      <c r="T27" s="1" t="s">
        <v>127</v>
      </c>
      <c r="U27" s="1" t="s">
        <v>126</v>
      </c>
      <c r="V27" s="1" t="s">
        <v>125</v>
      </c>
      <c r="W27" s="1" t="s">
        <v>124</v>
      </c>
      <c r="X27" s="1" t="s">
        <v>123</v>
      </c>
      <c r="Y27" s="1" t="s">
        <v>122</v>
      </c>
      <c r="Z27" s="1" t="s">
        <v>121</v>
      </c>
      <c r="AA27" s="1" t="s">
        <v>120</v>
      </c>
      <c r="AB27" s="1" t="s">
        <v>119</v>
      </c>
      <c r="AC27" s="1" t="s">
        <v>118</v>
      </c>
      <c r="AD27" s="1" t="s">
        <v>117</v>
      </c>
      <c r="AE27" s="1" t="s">
        <v>116</v>
      </c>
      <c r="AF27" s="1" t="s">
        <v>115</v>
      </c>
      <c r="AG27" s="1" t="s">
        <v>114</v>
      </c>
      <c r="AH27" s="1" t="s">
        <v>113</v>
      </c>
      <c r="AI27" s="1" t="s">
        <v>112</v>
      </c>
      <c r="AJ27" s="1" t="s">
        <v>111</v>
      </c>
      <c r="AK27" s="1" t="s">
        <v>110</v>
      </c>
      <c r="AL27" s="1" t="s">
        <v>109</v>
      </c>
      <c r="AM27" s="1" t="s">
        <v>108</v>
      </c>
      <c r="AN27" s="1" t="s">
        <v>107</v>
      </c>
      <c r="AO27" s="1" t="s">
        <v>153</v>
      </c>
      <c r="AP27" s="1" t="s">
        <v>259</v>
      </c>
      <c r="AQ27" s="1" t="s">
        <v>152</v>
      </c>
      <c r="AR27" s="1" t="s">
        <v>151</v>
      </c>
      <c r="AS27" s="1" t="s">
        <v>150</v>
      </c>
    </row>
    <row r="28" spans="3:47" x14ac:dyDescent="0.2"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21597</v>
      </c>
      <c r="M28" s="1">
        <v>0</v>
      </c>
      <c r="N28" s="1">
        <v>0</v>
      </c>
      <c r="O28" s="1">
        <v>145000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166.59700000000001</v>
      </c>
      <c r="AP28" s="1">
        <v>166.59700000000001</v>
      </c>
      <c r="AQ28" s="1">
        <v>0</v>
      </c>
    </row>
    <row r="29" spans="3:47" x14ac:dyDescent="0.2">
      <c r="G29" s="1">
        <v>0</v>
      </c>
      <c r="H29" s="1">
        <v>0</v>
      </c>
      <c r="I29" s="1">
        <v>17000</v>
      </c>
      <c r="J29" s="1">
        <v>0</v>
      </c>
      <c r="K29" s="1">
        <v>110000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87000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115000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329</v>
      </c>
      <c r="AP29" s="1">
        <v>329</v>
      </c>
      <c r="AQ29" s="1">
        <v>0</v>
      </c>
    </row>
    <row r="30" spans="3:47" x14ac:dyDescent="0.2">
      <c r="G30" s="1">
        <v>0</v>
      </c>
      <c r="H30" s="1">
        <v>0</v>
      </c>
      <c r="I30" s="1">
        <v>3000</v>
      </c>
      <c r="J30" s="1">
        <v>0</v>
      </c>
      <c r="K30" s="1">
        <v>0</v>
      </c>
      <c r="L30" s="1">
        <v>0</v>
      </c>
      <c r="M30" s="1">
        <v>515890</v>
      </c>
      <c r="N30" s="1">
        <v>0</v>
      </c>
      <c r="O30" s="1">
        <v>0</v>
      </c>
      <c r="P30" s="1">
        <v>0</v>
      </c>
      <c r="Q30" s="1">
        <v>0</v>
      </c>
      <c r="R30" s="1">
        <v>5000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1160000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6390570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8074.46</v>
      </c>
      <c r="AP30" s="1">
        <v>1683.89</v>
      </c>
      <c r="AQ30" s="1">
        <v>6390.57</v>
      </c>
    </row>
    <row r="31" spans="3:47" x14ac:dyDescent="0.2">
      <c r="G31" s="1">
        <v>0</v>
      </c>
      <c r="H31" s="1">
        <v>639600</v>
      </c>
      <c r="I31" s="1">
        <v>0</v>
      </c>
      <c r="J31" s="1">
        <v>0</v>
      </c>
      <c r="K31" s="1">
        <v>33000</v>
      </c>
      <c r="L31" s="1">
        <v>1491826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1600</v>
      </c>
      <c r="S31" s="1">
        <v>0</v>
      </c>
      <c r="T31" s="1">
        <v>0</v>
      </c>
      <c r="U31" s="1">
        <v>1600000</v>
      </c>
      <c r="V31" s="1">
        <v>0</v>
      </c>
      <c r="W31" s="1">
        <v>0</v>
      </c>
      <c r="X31" s="1">
        <v>0</v>
      </c>
      <c r="Y31" s="1">
        <v>0</v>
      </c>
      <c r="Z31" s="1">
        <v>2038720</v>
      </c>
      <c r="AA31" s="1">
        <v>0</v>
      </c>
      <c r="AB31" s="1">
        <v>0</v>
      </c>
      <c r="AC31" s="1">
        <v>1272000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7076.7460000000001</v>
      </c>
      <c r="AP31" s="1">
        <v>7076.7460000000001</v>
      </c>
      <c r="AQ31" s="1">
        <v>0</v>
      </c>
    </row>
    <row r="32" spans="3:47" x14ac:dyDescent="0.2"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15220</v>
      </c>
      <c r="M32" s="1">
        <v>294330</v>
      </c>
      <c r="N32" s="1">
        <v>0</v>
      </c>
      <c r="O32" s="1">
        <v>34000</v>
      </c>
      <c r="P32" s="1">
        <v>0</v>
      </c>
      <c r="Q32" s="1">
        <v>0</v>
      </c>
      <c r="R32" s="1">
        <v>63400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14660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3553160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3974.77</v>
      </c>
      <c r="AP32" s="1">
        <v>421.61</v>
      </c>
      <c r="AQ32" s="1">
        <v>3553.16</v>
      </c>
    </row>
    <row r="33" spans="1:45" x14ac:dyDescent="0.2"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40680</v>
      </c>
      <c r="M33" s="1">
        <v>0</v>
      </c>
      <c r="N33" s="1">
        <v>0</v>
      </c>
      <c r="O33" s="1">
        <v>500</v>
      </c>
      <c r="P33" s="1">
        <v>0</v>
      </c>
      <c r="Q33" s="1">
        <v>11099</v>
      </c>
      <c r="R33" s="1">
        <v>0</v>
      </c>
      <c r="S33" s="1">
        <v>0</v>
      </c>
      <c r="T33" s="1">
        <v>0</v>
      </c>
      <c r="U33" s="1">
        <v>210000</v>
      </c>
      <c r="V33" s="1">
        <v>5700</v>
      </c>
      <c r="W33" s="1">
        <v>0</v>
      </c>
      <c r="X33" s="1">
        <v>0</v>
      </c>
      <c r="Y33" s="1">
        <v>0</v>
      </c>
      <c r="Z33" s="1">
        <v>20340</v>
      </c>
      <c r="AA33" s="1">
        <v>682270</v>
      </c>
      <c r="AB33" s="1">
        <v>0</v>
      </c>
      <c r="AC33" s="1">
        <v>234590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1205.1790000000001</v>
      </c>
      <c r="AP33" s="1">
        <v>1205.1790000000001</v>
      </c>
      <c r="AQ33" s="1">
        <v>0</v>
      </c>
    </row>
    <row r="34" spans="1:45" x14ac:dyDescent="0.2"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6336000</v>
      </c>
      <c r="M34" s="1">
        <v>7359000</v>
      </c>
      <c r="N34" s="1">
        <v>0</v>
      </c>
      <c r="O34" s="1">
        <v>13832000</v>
      </c>
      <c r="P34" s="1">
        <v>0</v>
      </c>
      <c r="Q34" s="1">
        <v>7922000</v>
      </c>
      <c r="R34" s="1">
        <v>1864000</v>
      </c>
      <c r="S34" s="1">
        <v>0</v>
      </c>
      <c r="T34" s="1">
        <v>3506526</v>
      </c>
      <c r="U34" s="1">
        <v>2709000</v>
      </c>
      <c r="V34" s="1">
        <v>0</v>
      </c>
      <c r="W34" s="1">
        <v>0</v>
      </c>
      <c r="X34" s="1">
        <v>0</v>
      </c>
      <c r="Y34" s="1">
        <v>0</v>
      </c>
      <c r="Z34" s="1">
        <v>680000</v>
      </c>
      <c r="AA34" s="1">
        <v>1637000</v>
      </c>
      <c r="AB34" s="1">
        <v>5390000</v>
      </c>
      <c r="AC34" s="1">
        <v>1020000</v>
      </c>
      <c r="AD34" s="1">
        <v>2250000</v>
      </c>
      <c r="AE34" s="1">
        <v>0</v>
      </c>
      <c r="AF34" s="1">
        <v>0</v>
      </c>
      <c r="AG34" s="1">
        <v>20533000</v>
      </c>
      <c r="AH34" s="1">
        <v>0</v>
      </c>
      <c r="AI34" s="1">
        <v>0</v>
      </c>
      <c r="AJ34" s="1">
        <v>26031000</v>
      </c>
      <c r="AK34" s="1">
        <v>0</v>
      </c>
      <c r="AL34" s="1">
        <v>0</v>
      </c>
      <c r="AM34" s="1">
        <v>0</v>
      </c>
      <c r="AN34" s="1">
        <v>0</v>
      </c>
      <c r="AO34" s="1">
        <v>75038.525999999998</v>
      </c>
      <c r="AP34" s="1">
        <v>54505.525999999998</v>
      </c>
      <c r="AQ34" s="1">
        <v>46564</v>
      </c>
    </row>
    <row r="35" spans="1:45" x14ac:dyDescent="0.2">
      <c r="G35" s="1">
        <v>0</v>
      </c>
      <c r="H35" s="1">
        <v>199000</v>
      </c>
      <c r="I35" s="1">
        <v>2100000</v>
      </c>
      <c r="J35" s="1">
        <v>0</v>
      </c>
      <c r="K35" s="1">
        <v>766000</v>
      </c>
      <c r="L35" s="1">
        <v>20000000</v>
      </c>
      <c r="M35" s="1">
        <v>977000</v>
      </c>
      <c r="N35" s="1">
        <v>0</v>
      </c>
      <c r="O35" s="1">
        <v>23439</v>
      </c>
      <c r="P35" s="1">
        <v>0</v>
      </c>
      <c r="Q35" s="1">
        <v>0</v>
      </c>
      <c r="R35" s="1">
        <v>255000</v>
      </c>
      <c r="S35" s="1">
        <v>700000</v>
      </c>
      <c r="T35" s="1">
        <v>0</v>
      </c>
      <c r="U35" s="1">
        <v>1963000</v>
      </c>
      <c r="V35" s="1">
        <v>41500</v>
      </c>
      <c r="W35" s="1">
        <v>0</v>
      </c>
      <c r="X35" s="1">
        <v>0</v>
      </c>
      <c r="Y35" s="1">
        <v>0</v>
      </c>
      <c r="Z35" s="1">
        <v>680000</v>
      </c>
      <c r="AA35" s="1">
        <v>3522600</v>
      </c>
      <c r="AB35" s="1">
        <v>2310000</v>
      </c>
      <c r="AC35" s="1">
        <v>7500000</v>
      </c>
      <c r="AD35" s="1">
        <v>0</v>
      </c>
      <c r="AE35" s="1">
        <v>0</v>
      </c>
      <c r="AF35" s="1">
        <v>1716000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20000</v>
      </c>
      <c r="AM35" s="1">
        <v>296062.36489999999</v>
      </c>
      <c r="AN35" s="1">
        <v>1050000</v>
      </c>
      <c r="AO35" s="1">
        <v>42753.538999999997</v>
      </c>
      <c r="AP35" s="1">
        <v>42753.538999999997</v>
      </c>
      <c r="AQ35" s="1">
        <v>1366.0623648999999</v>
      </c>
    </row>
    <row r="36" spans="1:45" x14ac:dyDescent="0.2"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5000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5</v>
      </c>
      <c r="AP36" s="1">
        <v>5</v>
      </c>
      <c r="AQ36" s="1">
        <v>0</v>
      </c>
    </row>
    <row r="37" spans="1:45" x14ac:dyDescent="0.2"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1007401</v>
      </c>
      <c r="R37" s="1">
        <v>0</v>
      </c>
      <c r="S37" s="1">
        <v>389000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82060</v>
      </c>
      <c r="AB37" s="1">
        <v>0</v>
      </c>
      <c r="AC37" s="1">
        <v>16000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111000</v>
      </c>
      <c r="AM37" s="1">
        <v>0</v>
      </c>
      <c r="AN37" s="1">
        <v>0</v>
      </c>
      <c r="AO37" s="1">
        <v>1494.461</v>
      </c>
      <c r="AP37" s="1">
        <v>1494.461</v>
      </c>
      <c r="AQ37" s="1">
        <v>111</v>
      </c>
    </row>
    <row r="38" spans="1:45" x14ac:dyDescent="0.2"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1505000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3157000</v>
      </c>
      <c r="AK38" s="1">
        <v>0</v>
      </c>
      <c r="AL38" s="1">
        <v>0</v>
      </c>
      <c r="AM38" s="1">
        <v>0</v>
      </c>
      <c r="AN38" s="1">
        <v>0</v>
      </c>
      <c r="AO38" s="1">
        <v>1505</v>
      </c>
      <c r="AP38" s="1">
        <v>1505</v>
      </c>
      <c r="AQ38" s="1">
        <v>3157</v>
      </c>
    </row>
    <row r="39" spans="1:45" x14ac:dyDescent="0.2"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71000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71</v>
      </c>
      <c r="AP39" s="1">
        <v>71</v>
      </c>
      <c r="AQ39" s="1">
        <v>0</v>
      </c>
    </row>
    <row r="40" spans="1:45" x14ac:dyDescent="0.2">
      <c r="G40" s="1">
        <v>0</v>
      </c>
      <c r="J40" s="1">
        <v>0</v>
      </c>
      <c r="L40" s="1">
        <v>0</v>
      </c>
      <c r="N40" s="1">
        <v>0</v>
      </c>
      <c r="O40" s="1">
        <v>0</v>
      </c>
      <c r="P40" s="1">
        <v>0</v>
      </c>
      <c r="T40" s="1">
        <v>0</v>
      </c>
      <c r="U40" s="1">
        <v>0</v>
      </c>
      <c r="X40" s="1">
        <v>0</v>
      </c>
      <c r="Z40" s="1">
        <v>0</v>
      </c>
      <c r="AA40" s="1">
        <v>0</v>
      </c>
      <c r="AD40" s="1">
        <v>0</v>
      </c>
      <c r="AE40" s="1">
        <v>0</v>
      </c>
      <c r="AG40" s="1">
        <v>0</v>
      </c>
      <c r="AJ40" s="1">
        <v>0</v>
      </c>
      <c r="AK40" s="1">
        <v>0</v>
      </c>
      <c r="AO40" s="1">
        <v>115571.11799999999</v>
      </c>
      <c r="AP40" s="1">
        <v>0</v>
      </c>
      <c r="AQ40" s="1">
        <v>0</v>
      </c>
      <c r="AR40" s="1" t="s">
        <v>143</v>
      </c>
      <c r="AS40" s="1" t="s">
        <v>142</v>
      </c>
    </row>
    <row r="41" spans="1:45" x14ac:dyDescent="0.2">
      <c r="G41" s="1">
        <v>4</v>
      </c>
      <c r="J41" s="1">
        <v>4</v>
      </c>
      <c r="L41" s="1">
        <v>4</v>
      </c>
      <c r="N41" s="1">
        <v>4</v>
      </c>
      <c r="O41" s="1">
        <v>4</v>
      </c>
      <c r="P41" s="1">
        <v>4</v>
      </c>
      <c r="T41" s="1">
        <v>4</v>
      </c>
      <c r="U41" s="1">
        <v>4</v>
      </c>
      <c r="X41" s="1">
        <v>4</v>
      </c>
      <c r="Z41" s="1">
        <v>4</v>
      </c>
      <c r="AA41" s="1">
        <v>4</v>
      </c>
      <c r="AD41" s="1">
        <v>4</v>
      </c>
      <c r="AE41" s="1">
        <v>4</v>
      </c>
      <c r="AG41" s="1">
        <v>4</v>
      </c>
      <c r="AJ41" s="1">
        <v>4</v>
      </c>
      <c r="AK41" s="1">
        <v>4</v>
      </c>
      <c r="AR41" s="1" t="s">
        <v>143</v>
      </c>
      <c r="AS41" s="1" t="s">
        <v>142</v>
      </c>
    </row>
    <row r="45" spans="1:45" ht="15" x14ac:dyDescent="0.25">
      <c r="A45" s="164"/>
      <c r="B45" s="164"/>
      <c r="C45" s="167" t="s">
        <v>268</v>
      </c>
      <c r="D45" s="168"/>
      <c r="E45" s="169"/>
      <c r="F45" s="169"/>
      <c r="G45" s="169"/>
      <c r="H45" s="169"/>
      <c r="I45" s="169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</row>
    <row r="46" spans="1:45" ht="15" x14ac:dyDescent="0.25">
      <c r="A46" s="173" t="s">
        <v>265</v>
      </c>
      <c r="B46" s="164"/>
      <c r="C46" s="182" t="s">
        <v>141</v>
      </c>
      <c r="D46" s="182" t="s">
        <v>67</v>
      </c>
      <c r="E46" s="182" t="s">
        <v>4</v>
      </c>
      <c r="F46" s="182" t="s">
        <v>64</v>
      </c>
      <c r="G46" s="182" t="s">
        <v>20</v>
      </c>
      <c r="H46" s="182" t="s">
        <v>5</v>
      </c>
      <c r="I46" s="190" t="s">
        <v>65</v>
      </c>
      <c r="J46" s="190" t="s">
        <v>139</v>
      </c>
      <c r="K46" s="190" t="s">
        <v>138</v>
      </c>
      <c r="L46" s="190" t="s">
        <v>136</v>
      </c>
      <c r="M46" s="190" t="s">
        <v>135</v>
      </c>
      <c r="N46" s="190" t="s">
        <v>134</v>
      </c>
      <c r="O46" s="190" t="s">
        <v>129</v>
      </c>
      <c r="P46" s="190" t="s">
        <v>132</v>
      </c>
      <c r="Q46" s="190" t="s">
        <v>130</v>
      </c>
      <c r="R46" s="190" t="s">
        <v>110</v>
      </c>
      <c r="S46" s="190" t="s">
        <v>128</v>
      </c>
      <c r="T46" s="190" t="s">
        <v>127</v>
      </c>
      <c r="U46" s="190" t="s">
        <v>126</v>
      </c>
      <c r="V46" s="190" t="s">
        <v>125</v>
      </c>
      <c r="W46" s="190" t="s">
        <v>123</v>
      </c>
      <c r="X46" s="190" t="s">
        <v>121</v>
      </c>
      <c r="Y46" s="190" t="s">
        <v>111</v>
      </c>
      <c r="Z46" s="190" t="s">
        <v>120</v>
      </c>
      <c r="AA46" s="190" t="s">
        <v>118</v>
      </c>
      <c r="AB46" s="190" t="s">
        <v>117</v>
      </c>
      <c r="AC46" s="190" t="s">
        <v>116</v>
      </c>
      <c r="AD46" s="190" t="s">
        <v>115</v>
      </c>
      <c r="AE46" s="190" t="s">
        <v>114</v>
      </c>
      <c r="AG46" s="190" t="s">
        <v>269</v>
      </c>
      <c r="AH46" s="190" t="s">
        <v>270</v>
      </c>
      <c r="AL46" s="1" t="s">
        <v>289</v>
      </c>
    </row>
    <row r="47" spans="1:45" ht="12" x14ac:dyDescent="0.2">
      <c r="A47" s="183"/>
      <c r="B47" s="183"/>
      <c r="C47" s="178" t="s">
        <v>27</v>
      </c>
      <c r="D47" s="178" t="s">
        <v>28</v>
      </c>
      <c r="E47" s="178">
        <v>2025</v>
      </c>
      <c r="F47" s="179" t="s">
        <v>29</v>
      </c>
      <c r="G47" s="179"/>
      <c r="H47" s="179" t="s">
        <v>271</v>
      </c>
      <c r="I47" s="180">
        <v>0</v>
      </c>
      <c r="J47" s="180">
        <v>0</v>
      </c>
      <c r="K47" s="180">
        <v>0</v>
      </c>
      <c r="L47" s="180">
        <v>0</v>
      </c>
      <c r="M47" s="180">
        <v>0</v>
      </c>
      <c r="N47" s="180">
        <v>0</v>
      </c>
      <c r="O47" s="180">
        <v>0</v>
      </c>
      <c r="P47" s="180">
        <v>0</v>
      </c>
      <c r="Q47" s="180">
        <v>0</v>
      </c>
      <c r="R47" s="180">
        <v>0</v>
      </c>
      <c r="S47" s="180">
        <v>0</v>
      </c>
      <c r="T47" s="180">
        <v>0</v>
      </c>
      <c r="U47" s="180">
        <v>0</v>
      </c>
      <c r="V47" s="180">
        <v>0</v>
      </c>
      <c r="W47" s="180">
        <v>0</v>
      </c>
      <c r="X47" s="180">
        <v>0</v>
      </c>
      <c r="Y47" s="180">
        <v>0</v>
      </c>
      <c r="Z47" s="180">
        <v>0</v>
      </c>
      <c r="AA47" s="180">
        <v>0</v>
      </c>
      <c r="AB47" s="180">
        <v>0</v>
      </c>
      <c r="AC47" s="180">
        <v>0</v>
      </c>
      <c r="AD47" s="180">
        <v>0</v>
      </c>
      <c r="AE47" s="180">
        <v>0</v>
      </c>
      <c r="AG47" s="180">
        <v>0</v>
      </c>
      <c r="AH47" s="180">
        <v>0</v>
      </c>
      <c r="AK47" s="1">
        <v>2030</v>
      </c>
      <c r="AL47" s="191">
        <f>SUMIFS($Y$47:$Y$96,$E$47:$E$96,AK47)</f>
        <v>53900</v>
      </c>
    </row>
    <row r="48" spans="1:45" ht="12" x14ac:dyDescent="0.2">
      <c r="A48" s="183"/>
      <c r="B48" s="183"/>
      <c r="C48" s="178" t="s">
        <v>27</v>
      </c>
      <c r="D48" s="178" t="s">
        <v>28</v>
      </c>
      <c r="E48" s="170">
        <v>2035</v>
      </c>
      <c r="F48" s="179" t="s">
        <v>29</v>
      </c>
      <c r="G48" s="179"/>
      <c r="H48" s="179" t="s">
        <v>271</v>
      </c>
      <c r="I48" s="180">
        <v>0</v>
      </c>
      <c r="J48" s="180">
        <v>0</v>
      </c>
      <c r="K48" s="180">
        <v>0</v>
      </c>
      <c r="L48" s="180">
        <v>0</v>
      </c>
      <c r="M48" s="180">
        <v>0</v>
      </c>
      <c r="N48" s="180">
        <v>0</v>
      </c>
      <c r="O48" s="180">
        <v>0</v>
      </c>
      <c r="P48" s="180">
        <v>0</v>
      </c>
      <c r="Q48" s="180">
        <v>0</v>
      </c>
      <c r="R48" s="180">
        <v>0</v>
      </c>
      <c r="S48" s="180">
        <v>0</v>
      </c>
      <c r="T48" s="180">
        <v>0</v>
      </c>
      <c r="U48" s="180">
        <v>0</v>
      </c>
      <c r="V48" s="180">
        <v>0</v>
      </c>
      <c r="W48" s="180">
        <v>0</v>
      </c>
      <c r="X48" s="180">
        <v>0</v>
      </c>
      <c r="Y48" s="180">
        <v>0</v>
      </c>
      <c r="Z48" s="180">
        <v>0</v>
      </c>
      <c r="AA48" s="180">
        <v>0</v>
      </c>
      <c r="AB48" s="180">
        <v>0</v>
      </c>
      <c r="AC48" s="180">
        <v>0</v>
      </c>
      <c r="AD48" s="180">
        <v>0</v>
      </c>
      <c r="AE48" s="180">
        <v>0</v>
      </c>
      <c r="AG48" s="180"/>
      <c r="AH48" s="180"/>
      <c r="AK48" s="1">
        <v>2035</v>
      </c>
      <c r="AL48" s="191">
        <f t="shared" ref="AL48:AL50" si="6">SUMIFS($Y$47:$Y$96,$E$47:$E$96,AK48)</f>
        <v>63900</v>
      </c>
    </row>
    <row r="49" spans="1:38" ht="12" x14ac:dyDescent="0.2">
      <c r="A49" s="183"/>
      <c r="B49" s="183"/>
      <c r="C49" s="178" t="s">
        <v>27</v>
      </c>
      <c r="D49" s="178" t="s">
        <v>28</v>
      </c>
      <c r="E49" s="170">
        <v>2040</v>
      </c>
      <c r="F49" s="179" t="s">
        <v>29</v>
      </c>
      <c r="G49" s="179"/>
      <c r="H49" s="179" t="s">
        <v>271</v>
      </c>
      <c r="I49" s="180">
        <v>0</v>
      </c>
      <c r="J49" s="180">
        <v>0</v>
      </c>
      <c r="K49" s="180">
        <v>0</v>
      </c>
      <c r="L49" s="180">
        <v>0</v>
      </c>
      <c r="M49" s="180">
        <v>0</v>
      </c>
      <c r="N49" s="180">
        <v>0</v>
      </c>
      <c r="O49" s="180">
        <v>0</v>
      </c>
      <c r="P49" s="180">
        <v>0</v>
      </c>
      <c r="Q49" s="180">
        <v>0</v>
      </c>
      <c r="R49" s="180">
        <v>0</v>
      </c>
      <c r="S49" s="180">
        <v>0</v>
      </c>
      <c r="T49" s="180">
        <v>0</v>
      </c>
      <c r="U49" s="180">
        <v>0</v>
      </c>
      <c r="V49" s="180">
        <v>0</v>
      </c>
      <c r="W49" s="180">
        <v>0</v>
      </c>
      <c r="X49" s="180">
        <v>0</v>
      </c>
      <c r="Y49" s="180">
        <v>0</v>
      </c>
      <c r="Z49" s="180">
        <v>0</v>
      </c>
      <c r="AA49" s="180">
        <v>0</v>
      </c>
      <c r="AB49" s="180">
        <v>0</v>
      </c>
      <c r="AC49" s="180">
        <v>0</v>
      </c>
      <c r="AD49" s="180">
        <v>0</v>
      </c>
      <c r="AE49" s="180">
        <v>0</v>
      </c>
      <c r="AG49" s="180"/>
      <c r="AH49" s="180"/>
      <c r="AK49" s="1">
        <v>2040</v>
      </c>
      <c r="AL49" s="191">
        <f t="shared" si="6"/>
        <v>100700</v>
      </c>
    </row>
    <row r="50" spans="1:38" ht="12" x14ac:dyDescent="0.2">
      <c r="A50" s="183" t="s">
        <v>273</v>
      </c>
      <c r="B50" s="183"/>
      <c r="C50" s="178" t="s">
        <v>27</v>
      </c>
      <c r="D50" s="178" t="s">
        <v>28</v>
      </c>
      <c r="E50" s="170">
        <v>2045</v>
      </c>
      <c r="F50" s="179" t="s">
        <v>29</v>
      </c>
      <c r="G50" s="179"/>
      <c r="H50" s="179" t="s">
        <v>271</v>
      </c>
      <c r="I50" s="180">
        <v>0</v>
      </c>
      <c r="J50" s="180">
        <v>0</v>
      </c>
      <c r="K50" s="180">
        <v>0</v>
      </c>
      <c r="L50" s="180">
        <v>0</v>
      </c>
      <c r="M50" s="180">
        <v>0</v>
      </c>
      <c r="N50" s="180">
        <v>0</v>
      </c>
      <c r="O50" s="180">
        <v>0</v>
      </c>
      <c r="P50" s="180">
        <v>0</v>
      </c>
      <c r="Q50" s="180">
        <v>0</v>
      </c>
      <c r="R50" s="180">
        <v>0</v>
      </c>
      <c r="S50" s="180">
        <v>0</v>
      </c>
      <c r="T50" s="180">
        <v>0</v>
      </c>
      <c r="U50" s="180">
        <v>0</v>
      </c>
      <c r="V50" s="180">
        <v>0</v>
      </c>
      <c r="W50" s="180">
        <v>0</v>
      </c>
      <c r="X50" s="180">
        <v>0</v>
      </c>
      <c r="Y50" s="180">
        <v>0</v>
      </c>
      <c r="Z50" s="180">
        <v>0</v>
      </c>
      <c r="AA50" s="180">
        <v>0</v>
      </c>
      <c r="AB50" s="180">
        <v>0</v>
      </c>
      <c r="AC50" s="180">
        <v>0</v>
      </c>
      <c r="AD50" s="180">
        <v>0</v>
      </c>
      <c r="AE50" s="180">
        <v>0</v>
      </c>
      <c r="AG50" s="180"/>
      <c r="AH50" s="180"/>
      <c r="AK50" s="1">
        <v>2050</v>
      </c>
      <c r="AL50" s="191">
        <f t="shared" si="6"/>
        <v>200700</v>
      </c>
    </row>
    <row r="51" spans="1:38" ht="12" x14ac:dyDescent="0.2">
      <c r="A51" s="183"/>
      <c r="B51" s="183"/>
      <c r="C51" s="178" t="s">
        <v>27</v>
      </c>
      <c r="D51" s="178" t="s">
        <v>28</v>
      </c>
      <c r="E51" s="178">
        <v>2050</v>
      </c>
      <c r="F51" s="179" t="s">
        <v>29</v>
      </c>
      <c r="G51" s="179"/>
      <c r="H51" s="179" t="s">
        <v>271</v>
      </c>
      <c r="I51" s="180">
        <v>0</v>
      </c>
      <c r="J51" s="180">
        <v>0</v>
      </c>
      <c r="K51" s="180">
        <v>0</v>
      </c>
      <c r="L51" s="180">
        <v>0</v>
      </c>
      <c r="M51" s="180">
        <v>0</v>
      </c>
      <c r="N51" s="180">
        <v>0</v>
      </c>
      <c r="O51" s="180">
        <v>0</v>
      </c>
      <c r="P51" s="180">
        <v>0</v>
      </c>
      <c r="Q51" s="180">
        <v>0</v>
      </c>
      <c r="R51" s="180">
        <v>0</v>
      </c>
      <c r="S51" s="180">
        <v>0</v>
      </c>
      <c r="T51" s="180">
        <v>0</v>
      </c>
      <c r="U51" s="180">
        <v>0</v>
      </c>
      <c r="V51" s="180">
        <v>0</v>
      </c>
      <c r="W51" s="180">
        <v>0</v>
      </c>
      <c r="X51" s="180">
        <v>0</v>
      </c>
      <c r="Y51" s="180">
        <v>0</v>
      </c>
      <c r="Z51" s="180">
        <v>0</v>
      </c>
      <c r="AA51" s="180">
        <v>0</v>
      </c>
      <c r="AB51" s="180">
        <v>0</v>
      </c>
      <c r="AC51" s="180">
        <v>0</v>
      </c>
      <c r="AD51" s="180">
        <v>0</v>
      </c>
      <c r="AE51" s="180">
        <v>0</v>
      </c>
      <c r="AG51" s="180"/>
      <c r="AH51" s="180"/>
    </row>
    <row r="52" spans="1:38" ht="12" x14ac:dyDescent="0.2">
      <c r="A52" s="183"/>
      <c r="B52" s="183"/>
      <c r="C52" s="178" t="s">
        <v>27</v>
      </c>
      <c r="D52" s="178" t="s">
        <v>28</v>
      </c>
      <c r="E52" s="178">
        <v>2055</v>
      </c>
      <c r="F52" s="179" t="s">
        <v>29</v>
      </c>
      <c r="G52" s="179"/>
      <c r="H52" s="179" t="s">
        <v>271</v>
      </c>
      <c r="I52" s="180">
        <v>0</v>
      </c>
      <c r="J52" s="180">
        <v>0</v>
      </c>
      <c r="K52" s="180">
        <v>0</v>
      </c>
      <c r="L52" s="180">
        <v>0</v>
      </c>
      <c r="M52" s="180">
        <v>0</v>
      </c>
      <c r="N52" s="180">
        <v>0</v>
      </c>
      <c r="O52" s="180">
        <v>0</v>
      </c>
      <c r="P52" s="180">
        <v>0</v>
      </c>
      <c r="Q52" s="180">
        <v>0</v>
      </c>
      <c r="R52" s="180">
        <v>0</v>
      </c>
      <c r="S52" s="180">
        <v>0</v>
      </c>
      <c r="T52" s="180">
        <v>0</v>
      </c>
      <c r="U52" s="180">
        <v>0</v>
      </c>
      <c r="V52" s="180">
        <v>0</v>
      </c>
      <c r="W52" s="180">
        <v>0</v>
      </c>
      <c r="X52" s="180">
        <v>0</v>
      </c>
      <c r="Y52" s="180">
        <v>0</v>
      </c>
      <c r="Z52" s="180">
        <v>0</v>
      </c>
      <c r="AA52" s="180">
        <v>0</v>
      </c>
      <c r="AB52" s="180">
        <v>0</v>
      </c>
      <c r="AC52" s="180">
        <v>0</v>
      </c>
      <c r="AD52" s="180">
        <v>0</v>
      </c>
      <c r="AE52" s="180">
        <v>0</v>
      </c>
      <c r="AG52" s="180"/>
      <c r="AH52" s="180"/>
    </row>
    <row r="53" spans="1:38" ht="12" x14ac:dyDescent="0.2">
      <c r="A53" s="183"/>
      <c r="B53" s="183"/>
      <c r="C53" s="175" t="s">
        <v>27</v>
      </c>
      <c r="D53" s="175" t="s">
        <v>28</v>
      </c>
      <c r="E53" s="175">
        <v>2060</v>
      </c>
      <c r="F53" s="176" t="s">
        <v>29</v>
      </c>
      <c r="G53" s="176"/>
      <c r="H53" s="176" t="s">
        <v>271</v>
      </c>
      <c r="I53" s="177">
        <v>0</v>
      </c>
      <c r="J53" s="177">
        <v>0</v>
      </c>
      <c r="K53" s="177">
        <v>0</v>
      </c>
      <c r="L53" s="177">
        <v>0</v>
      </c>
      <c r="M53" s="177">
        <v>0</v>
      </c>
      <c r="N53" s="177">
        <v>0</v>
      </c>
      <c r="O53" s="177">
        <v>0</v>
      </c>
      <c r="P53" s="177">
        <v>0</v>
      </c>
      <c r="Q53" s="177">
        <v>0</v>
      </c>
      <c r="R53" s="177">
        <v>0</v>
      </c>
      <c r="S53" s="177">
        <v>0</v>
      </c>
      <c r="T53" s="177">
        <v>0</v>
      </c>
      <c r="U53" s="177">
        <v>0</v>
      </c>
      <c r="V53" s="177">
        <v>0</v>
      </c>
      <c r="W53" s="177">
        <v>0</v>
      </c>
      <c r="X53" s="177">
        <v>0</v>
      </c>
      <c r="Y53" s="177">
        <v>0</v>
      </c>
      <c r="Z53" s="177">
        <v>0</v>
      </c>
      <c r="AA53" s="177">
        <v>0</v>
      </c>
      <c r="AB53" s="177">
        <v>0</v>
      </c>
      <c r="AC53" s="177">
        <v>0</v>
      </c>
      <c r="AD53" s="177">
        <v>0</v>
      </c>
      <c r="AE53" s="177">
        <v>0</v>
      </c>
      <c r="AG53" s="177">
        <v>0</v>
      </c>
      <c r="AH53" s="177">
        <v>0</v>
      </c>
    </row>
    <row r="54" spans="1:38" ht="12" x14ac:dyDescent="0.2">
      <c r="A54" s="183"/>
      <c r="B54" s="183"/>
      <c r="C54" s="178" t="s">
        <v>27</v>
      </c>
      <c r="D54" s="178" t="s">
        <v>28</v>
      </c>
      <c r="E54" s="178">
        <v>2025</v>
      </c>
      <c r="F54" s="179" t="s">
        <v>29</v>
      </c>
      <c r="G54" s="179"/>
      <c r="H54" s="179" t="s">
        <v>149</v>
      </c>
      <c r="I54" s="180">
        <v>0</v>
      </c>
      <c r="J54" s="180">
        <v>0</v>
      </c>
      <c r="K54" s="180">
        <v>0</v>
      </c>
      <c r="L54" s="180">
        <v>0</v>
      </c>
      <c r="M54" s="180">
        <v>0</v>
      </c>
      <c r="N54" s="180">
        <v>0</v>
      </c>
      <c r="O54" s="180">
        <v>0</v>
      </c>
      <c r="P54" s="180">
        <v>0</v>
      </c>
      <c r="Q54" s="180">
        <v>0</v>
      </c>
      <c r="R54" s="180">
        <v>0</v>
      </c>
      <c r="S54" s="180">
        <v>0</v>
      </c>
      <c r="T54" s="180">
        <v>0</v>
      </c>
      <c r="U54" s="180">
        <v>0</v>
      </c>
      <c r="V54" s="180">
        <v>0</v>
      </c>
      <c r="W54" s="180">
        <v>0</v>
      </c>
      <c r="X54" s="180">
        <v>0</v>
      </c>
      <c r="Y54" s="180">
        <v>0</v>
      </c>
      <c r="Z54" s="180">
        <v>0</v>
      </c>
      <c r="AA54" s="180">
        <v>0</v>
      </c>
      <c r="AB54" s="180">
        <v>0</v>
      </c>
      <c r="AC54" s="180">
        <v>0</v>
      </c>
      <c r="AD54" s="180">
        <v>0</v>
      </c>
      <c r="AE54" s="180">
        <v>0</v>
      </c>
      <c r="AG54" s="180"/>
      <c r="AH54" s="180"/>
    </row>
    <row r="55" spans="1:38" ht="12" x14ac:dyDescent="0.2">
      <c r="A55" s="183"/>
      <c r="B55" s="183"/>
      <c r="C55" s="178" t="s">
        <v>27</v>
      </c>
      <c r="D55" s="178" t="s">
        <v>28</v>
      </c>
      <c r="E55" s="178">
        <v>2025</v>
      </c>
      <c r="F55" s="179" t="s">
        <v>29</v>
      </c>
      <c r="G55" s="179"/>
      <c r="H55" s="179" t="s">
        <v>148</v>
      </c>
      <c r="I55" s="180">
        <v>0</v>
      </c>
      <c r="J55" s="180">
        <v>0</v>
      </c>
      <c r="K55" s="180">
        <v>0</v>
      </c>
      <c r="L55" s="180">
        <v>0</v>
      </c>
      <c r="M55" s="180">
        <v>0</v>
      </c>
      <c r="N55" s="180">
        <v>0</v>
      </c>
      <c r="O55" s="180">
        <v>0</v>
      </c>
      <c r="P55" s="180">
        <v>0</v>
      </c>
      <c r="Q55" s="180">
        <v>0</v>
      </c>
      <c r="R55" s="180">
        <v>0</v>
      </c>
      <c r="S55" s="180">
        <v>0</v>
      </c>
      <c r="T55" s="180">
        <v>0</v>
      </c>
      <c r="U55" s="180">
        <v>0</v>
      </c>
      <c r="V55" s="180">
        <v>0</v>
      </c>
      <c r="W55" s="180">
        <v>0</v>
      </c>
      <c r="X55" s="180">
        <v>0</v>
      </c>
      <c r="Y55" s="180">
        <v>0</v>
      </c>
      <c r="Z55" s="180">
        <v>0</v>
      </c>
      <c r="AA55" s="180">
        <v>0</v>
      </c>
      <c r="AB55" s="180">
        <v>0</v>
      </c>
      <c r="AC55" s="180">
        <v>0</v>
      </c>
      <c r="AD55" s="180">
        <v>0</v>
      </c>
      <c r="AE55" s="180">
        <v>0</v>
      </c>
      <c r="AG55" s="180"/>
      <c r="AH55" s="180"/>
    </row>
    <row r="56" spans="1:38" ht="12" x14ac:dyDescent="0.2">
      <c r="A56" s="183"/>
      <c r="B56" s="183"/>
      <c r="C56" s="178" t="s">
        <v>27</v>
      </c>
      <c r="D56" s="178" t="s">
        <v>28</v>
      </c>
      <c r="E56" s="178">
        <v>2025</v>
      </c>
      <c r="F56" s="179" t="s">
        <v>29</v>
      </c>
      <c r="G56" s="179"/>
      <c r="H56" s="179" t="s">
        <v>33</v>
      </c>
      <c r="I56" s="180">
        <v>0</v>
      </c>
      <c r="J56" s="180">
        <v>0</v>
      </c>
      <c r="K56" s="180">
        <v>0</v>
      </c>
      <c r="L56" s="180">
        <v>0</v>
      </c>
      <c r="M56" s="180">
        <v>0</v>
      </c>
      <c r="N56" s="180">
        <v>0</v>
      </c>
      <c r="O56" s="180">
        <v>0</v>
      </c>
      <c r="P56" s="180">
        <v>0</v>
      </c>
      <c r="Q56" s="180">
        <v>0</v>
      </c>
      <c r="R56" s="180">
        <v>0</v>
      </c>
      <c r="S56" s="180">
        <v>0</v>
      </c>
      <c r="T56" s="180">
        <v>0</v>
      </c>
      <c r="U56" s="180">
        <v>0</v>
      </c>
      <c r="V56" s="180">
        <v>0</v>
      </c>
      <c r="W56" s="180">
        <v>0</v>
      </c>
      <c r="X56" s="180">
        <v>0</v>
      </c>
      <c r="Y56" s="180">
        <v>0</v>
      </c>
      <c r="Z56" s="180">
        <v>0</v>
      </c>
      <c r="AA56" s="180">
        <v>0</v>
      </c>
      <c r="AB56" s="180">
        <v>0</v>
      </c>
      <c r="AC56" s="180">
        <v>0</v>
      </c>
      <c r="AD56" s="180">
        <v>0</v>
      </c>
      <c r="AE56" s="180">
        <v>0</v>
      </c>
      <c r="AG56" s="180"/>
      <c r="AH56" s="180"/>
    </row>
    <row r="57" spans="1:38" ht="12" x14ac:dyDescent="0.2">
      <c r="A57" s="183"/>
      <c r="B57" s="183"/>
      <c r="C57" s="178" t="s">
        <v>27</v>
      </c>
      <c r="D57" s="178" t="s">
        <v>28</v>
      </c>
      <c r="E57" s="178">
        <v>2025</v>
      </c>
      <c r="F57" s="179" t="s">
        <v>29</v>
      </c>
      <c r="G57" s="179"/>
      <c r="H57" s="179" t="s">
        <v>34</v>
      </c>
      <c r="I57" s="180">
        <v>0</v>
      </c>
      <c r="J57" s="180">
        <v>0</v>
      </c>
      <c r="K57" s="180">
        <v>0</v>
      </c>
      <c r="L57" s="180">
        <v>0</v>
      </c>
      <c r="M57" s="180">
        <v>0</v>
      </c>
      <c r="N57" s="180">
        <v>0</v>
      </c>
      <c r="O57" s="180">
        <v>0</v>
      </c>
      <c r="P57" s="180">
        <v>0</v>
      </c>
      <c r="Q57" s="180">
        <v>0</v>
      </c>
      <c r="R57" s="180">
        <v>0</v>
      </c>
      <c r="S57" s="180">
        <v>0</v>
      </c>
      <c r="T57" s="180">
        <v>0</v>
      </c>
      <c r="U57" s="180">
        <v>0</v>
      </c>
      <c r="V57" s="180">
        <v>0</v>
      </c>
      <c r="W57" s="180">
        <v>0</v>
      </c>
      <c r="X57" s="180">
        <v>0</v>
      </c>
      <c r="Y57" s="180">
        <v>0</v>
      </c>
      <c r="Z57" s="180">
        <v>0</v>
      </c>
      <c r="AA57" s="180">
        <v>0</v>
      </c>
      <c r="AB57" s="180">
        <v>0</v>
      </c>
      <c r="AC57" s="180">
        <v>0</v>
      </c>
      <c r="AD57" s="180">
        <v>0</v>
      </c>
      <c r="AE57" s="180">
        <v>0</v>
      </c>
      <c r="AG57" s="180"/>
      <c r="AH57" s="180"/>
    </row>
    <row r="58" spans="1:38" ht="12" x14ac:dyDescent="0.2">
      <c r="A58" s="183"/>
      <c r="B58" s="183"/>
      <c r="C58" s="178" t="s">
        <v>27</v>
      </c>
      <c r="D58" s="178" t="s">
        <v>28</v>
      </c>
      <c r="E58" s="178">
        <v>2025</v>
      </c>
      <c r="F58" s="179" t="s">
        <v>29</v>
      </c>
      <c r="G58" s="179"/>
      <c r="H58" s="179" t="s">
        <v>31</v>
      </c>
      <c r="I58" s="180">
        <v>0</v>
      </c>
      <c r="J58" s="180">
        <v>0</v>
      </c>
      <c r="K58" s="180">
        <v>0</v>
      </c>
      <c r="L58" s="180">
        <v>0</v>
      </c>
      <c r="M58" s="180">
        <v>0</v>
      </c>
      <c r="N58" s="180">
        <v>0</v>
      </c>
      <c r="O58" s="180">
        <v>0</v>
      </c>
      <c r="P58" s="180">
        <v>0</v>
      </c>
      <c r="Q58" s="180">
        <v>0</v>
      </c>
      <c r="R58" s="180">
        <v>0</v>
      </c>
      <c r="S58" s="180">
        <v>0</v>
      </c>
      <c r="T58" s="180">
        <v>0</v>
      </c>
      <c r="U58" s="180">
        <v>0</v>
      </c>
      <c r="V58" s="180">
        <v>0</v>
      </c>
      <c r="W58" s="180">
        <v>0</v>
      </c>
      <c r="X58" s="180">
        <v>0</v>
      </c>
      <c r="Y58" s="180">
        <v>0</v>
      </c>
      <c r="Z58" s="180">
        <v>0</v>
      </c>
      <c r="AA58" s="180">
        <v>0</v>
      </c>
      <c r="AB58" s="180">
        <v>0</v>
      </c>
      <c r="AC58" s="180">
        <v>0</v>
      </c>
      <c r="AD58" s="180">
        <v>0</v>
      </c>
      <c r="AE58" s="180">
        <v>0</v>
      </c>
      <c r="AG58" s="180"/>
      <c r="AH58" s="180"/>
    </row>
    <row r="59" spans="1:38" ht="12" x14ac:dyDescent="0.2">
      <c r="A59" s="183"/>
      <c r="B59" s="183"/>
      <c r="C59" s="178" t="s">
        <v>27</v>
      </c>
      <c r="D59" s="178" t="s">
        <v>28</v>
      </c>
      <c r="E59" s="178">
        <v>2025</v>
      </c>
      <c r="F59" s="179" t="s">
        <v>29</v>
      </c>
      <c r="G59" s="179"/>
      <c r="H59" s="179" t="s">
        <v>32</v>
      </c>
      <c r="I59" s="180">
        <v>0</v>
      </c>
      <c r="J59" s="180">
        <v>0</v>
      </c>
      <c r="K59" s="180">
        <v>0</v>
      </c>
      <c r="L59" s="180">
        <v>0</v>
      </c>
      <c r="M59" s="180">
        <v>0</v>
      </c>
      <c r="N59" s="180">
        <v>0</v>
      </c>
      <c r="O59" s="180">
        <v>0</v>
      </c>
      <c r="P59" s="180">
        <v>0</v>
      </c>
      <c r="Q59" s="180">
        <v>0</v>
      </c>
      <c r="R59" s="180">
        <v>0</v>
      </c>
      <c r="S59" s="180">
        <v>0</v>
      </c>
      <c r="T59" s="180">
        <v>0</v>
      </c>
      <c r="U59" s="180">
        <v>0</v>
      </c>
      <c r="V59" s="180">
        <v>0</v>
      </c>
      <c r="W59" s="180">
        <v>0</v>
      </c>
      <c r="X59" s="180">
        <v>0</v>
      </c>
      <c r="Y59" s="180">
        <v>0</v>
      </c>
      <c r="Z59" s="180">
        <v>0</v>
      </c>
      <c r="AA59" s="180">
        <v>0</v>
      </c>
      <c r="AB59" s="180">
        <v>0</v>
      </c>
      <c r="AC59" s="180">
        <v>0</v>
      </c>
      <c r="AD59" s="180">
        <v>0</v>
      </c>
      <c r="AE59" s="180">
        <v>0</v>
      </c>
      <c r="AG59" s="180"/>
      <c r="AH59" s="180"/>
    </row>
    <row r="60" spans="1:38" ht="15" x14ac:dyDescent="0.25">
      <c r="A60" s="165" t="s">
        <v>263</v>
      </c>
      <c r="B60" s="164"/>
      <c r="C60" s="170" t="s">
        <v>27</v>
      </c>
      <c r="D60" s="170" t="s">
        <v>28</v>
      </c>
      <c r="E60" s="178">
        <v>2028</v>
      </c>
      <c r="F60" s="171" t="s">
        <v>29</v>
      </c>
      <c r="G60" s="179"/>
      <c r="H60" s="179" t="s">
        <v>149</v>
      </c>
      <c r="I60" s="180">
        <v>0</v>
      </c>
      <c r="J60" s="180">
        <v>0</v>
      </c>
      <c r="K60" s="181">
        <v>600</v>
      </c>
      <c r="L60" s="180">
        <v>0</v>
      </c>
      <c r="M60" s="185">
        <v>0</v>
      </c>
      <c r="N60" s="181">
        <v>3000</v>
      </c>
      <c r="O60" s="180">
        <v>0</v>
      </c>
      <c r="P60" s="180">
        <v>0</v>
      </c>
      <c r="Q60" s="180">
        <v>0</v>
      </c>
      <c r="R60" s="180">
        <v>0</v>
      </c>
      <c r="S60" s="180">
        <v>0</v>
      </c>
      <c r="T60" s="180">
        <v>0</v>
      </c>
      <c r="U60" s="181">
        <v>4000</v>
      </c>
      <c r="V60" s="180">
        <v>0</v>
      </c>
      <c r="W60" s="180">
        <v>0</v>
      </c>
      <c r="X60" s="181">
        <v>12500</v>
      </c>
      <c r="Y60" s="181">
        <v>700</v>
      </c>
      <c r="Z60" s="180">
        <v>0</v>
      </c>
      <c r="AA60" s="180">
        <v>0</v>
      </c>
      <c r="AB60" s="180">
        <v>0</v>
      </c>
      <c r="AC60" s="180">
        <v>0</v>
      </c>
      <c r="AD60" s="180">
        <v>0</v>
      </c>
      <c r="AE60" s="181">
        <v>15500</v>
      </c>
      <c r="AG60" s="180">
        <v>20100</v>
      </c>
      <c r="AH60" s="180">
        <v>36300</v>
      </c>
    </row>
    <row r="61" spans="1:38" ht="15" x14ac:dyDescent="0.25">
      <c r="A61" s="165" t="s">
        <v>263</v>
      </c>
      <c r="B61" s="164"/>
      <c r="C61" s="170" t="s">
        <v>27</v>
      </c>
      <c r="D61" s="170" t="s">
        <v>28</v>
      </c>
      <c r="E61" s="178">
        <v>2028</v>
      </c>
      <c r="F61" s="171" t="s">
        <v>29</v>
      </c>
      <c r="G61" s="179"/>
      <c r="H61" s="179" t="s">
        <v>148</v>
      </c>
      <c r="I61" s="180">
        <v>0</v>
      </c>
      <c r="J61" s="180">
        <v>0</v>
      </c>
      <c r="K61" s="180">
        <v>0</v>
      </c>
      <c r="L61" s="180">
        <v>0</v>
      </c>
      <c r="M61" s="185">
        <v>0</v>
      </c>
      <c r="N61" s="181">
        <v>1500</v>
      </c>
      <c r="O61" s="181">
        <v>2500</v>
      </c>
      <c r="P61" s="180">
        <v>0</v>
      </c>
      <c r="Q61" s="180">
        <v>0</v>
      </c>
      <c r="R61" s="180">
        <v>0</v>
      </c>
      <c r="S61" s="180">
        <v>0</v>
      </c>
      <c r="T61" s="180">
        <v>0</v>
      </c>
      <c r="U61" s="180">
        <v>0</v>
      </c>
      <c r="V61" s="180">
        <v>0</v>
      </c>
      <c r="W61" s="180">
        <v>0</v>
      </c>
      <c r="X61" s="180">
        <v>0</v>
      </c>
      <c r="Y61" s="180">
        <v>0</v>
      </c>
      <c r="Z61" s="180">
        <v>0</v>
      </c>
      <c r="AA61" s="180">
        <v>0</v>
      </c>
      <c r="AB61" s="180">
        <v>0</v>
      </c>
      <c r="AC61" s="180">
        <v>0</v>
      </c>
      <c r="AD61" s="180">
        <v>0</v>
      </c>
      <c r="AE61" s="181">
        <v>3600</v>
      </c>
      <c r="AG61" s="180">
        <v>4000</v>
      </c>
      <c r="AH61" s="180">
        <v>7600</v>
      </c>
    </row>
    <row r="62" spans="1:38" ht="15" x14ac:dyDescent="0.25">
      <c r="A62" s="165" t="s">
        <v>263</v>
      </c>
      <c r="B62" s="164"/>
      <c r="C62" s="170" t="s">
        <v>27</v>
      </c>
      <c r="D62" s="170" t="s">
        <v>28</v>
      </c>
      <c r="E62" s="178">
        <v>2028</v>
      </c>
      <c r="F62" s="171" t="s">
        <v>29</v>
      </c>
      <c r="G62" s="179"/>
      <c r="H62" s="179" t="s">
        <v>33</v>
      </c>
      <c r="I62" s="180">
        <v>0</v>
      </c>
      <c r="J62" s="180">
        <v>0</v>
      </c>
      <c r="K62" s="180">
        <v>0</v>
      </c>
      <c r="L62" s="180">
        <v>0</v>
      </c>
      <c r="M62" s="185">
        <v>0</v>
      </c>
      <c r="N62" s="181">
        <v>0</v>
      </c>
      <c r="O62" s="181">
        <v>0</v>
      </c>
      <c r="P62" s="180">
        <v>0</v>
      </c>
      <c r="Q62" s="180">
        <v>0</v>
      </c>
      <c r="R62" s="180">
        <v>0</v>
      </c>
      <c r="S62" s="180">
        <v>0</v>
      </c>
      <c r="T62" s="180">
        <v>0</v>
      </c>
      <c r="U62" s="180">
        <v>0</v>
      </c>
      <c r="V62" s="180">
        <v>0</v>
      </c>
      <c r="W62" s="180">
        <v>0</v>
      </c>
      <c r="X62" s="180">
        <v>0</v>
      </c>
      <c r="Y62" s="180">
        <v>0</v>
      </c>
      <c r="Z62" s="180">
        <v>0</v>
      </c>
      <c r="AA62" s="180">
        <v>0</v>
      </c>
      <c r="AB62" s="180">
        <v>0</v>
      </c>
      <c r="AC62" s="180">
        <v>0</v>
      </c>
      <c r="AD62" s="180">
        <v>0</v>
      </c>
      <c r="AE62" s="181">
        <v>0</v>
      </c>
      <c r="AG62" s="180"/>
      <c r="AH62" s="180"/>
    </row>
    <row r="63" spans="1:38" ht="15" x14ac:dyDescent="0.25">
      <c r="A63" s="165" t="s">
        <v>263</v>
      </c>
      <c r="B63" s="164"/>
      <c r="C63" s="170" t="s">
        <v>27</v>
      </c>
      <c r="D63" s="170" t="s">
        <v>28</v>
      </c>
      <c r="E63" s="178">
        <v>2028</v>
      </c>
      <c r="F63" s="171" t="s">
        <v>29</v>
      </c>
      <c r="G63" s="179"/>
      <c r="H63" s="179" t="s">
        <v>34</v>
      </c>
      <c r="I63" s="180">
        <v>0</v>
      </c>
      <c r="J63" s="180">
        <v>0</v>
      </c>
      <c r="K63" s="180">
        <v>0</v>
      </c>
      <c r="L63" s="180">
        <v>0</v>
      </c>
      <c r="M63" s="185">
        <v>0</v>
      </c>
      <c r="N63" s="181">
        <v>500</v>
      </c>
      <c r="O63" s="180">
        <v>0</v>
      </c>
      <c r="P63" s="180">
        <v>0</v>
      </c>
      <c r="Q63" s="180">
        <v>0</v>
      </c>
      <c r="R63" s="180">
        <v>0</v>
      </c>
      <c r="S63" s="180">
        <v>0</v>
      </c>
      <c r="T63" s="181">
        <v>2500</v>
      </c>
      <c r="U63" s="180">
        <v>0</v>
      </c>
      <c r="V63" s="180">
        <v>0</v>
      </c>
      <c r="W63" s="180">
        <v>0</v>
      </c>
      <c r="X63" s="180">
        <v>0</v>
      </c>
      <c r="Y63" s="180">
        <v>0</v>
      </c>
      <c r="Z63" s="180">
        <v>0</v>
      </c>
      <c r="AA63" s="180">
        <v>0</v>
      </c>
      <c r="AB63" s="180">
        <v>0</v>
      </c>
      <c r="AC63" s="180">
        <v>0</v>
      </c>
      <c r="AD63" s="180">
        <v>0</v>
      </c>
      <c r="AE63" s="180">
        <v>0</v>
      </c>
      <c r="AG63" s="180">
        <v>3000</v>
      </c>
      <c r="AH63" s="180">
        <v>3000</v>
      </c>
    </row>
    <row r="64" spans="1:38" ht="15" x14ac:dyDescent="0.25">
      <c r="A64" s="165" t="s">
        <v>264</v>
      </c>
      <c r="B64" s="164"/>
      <c r="C64" s="170" t="s">
        <v>27</v>
      </c>
      <c r="D64" s="170" t="s">
        <v>28</v>
      </c>
      <c r="E64" s="178">
        <v>2028</v>
      </c>
      <c r="F64" s="171" t="s">
        <v>29</v>
      </c>
      <c r="G64" s="179"/>
      <c r="H64" s="179" t="s">
        <v>31</v>
      </c>
      <c r="I64" s="180">
        <v>0</v>
      </c>
      <c r="J64" s="180">
        <v>0</v>
      </c>
      <c r="K64" s="180">
        <v>0</v>
      </c>
      <c r="L64" s="180">
        <v>0</v>
      </c>
      <c r="M64" s="185">
        <v>0</v>
      </c>
      <c r="N64" s="181">
        <v>3300</v>
      </c>
      <c r="O64" s="180">
        <v>0</v>
      </c>
      <c r="P64" s="180">
        <v>0</v>
      </c>
      <c r="Q64" s="180">
        <v>0</v>
      </c>
      <c r="R64" s="180">
        <v>0</v>
      </c>
      <c r="S64" s="180">
        <v>0</v>
      </c>
      <c r="T64" s="180">
        <v>0</v>
      </c>
      <c r="U64" s="180">
        <v>0</v>
      </c>
      <c r="V64" s="180">
        <v>0</v>
      </c>
      <c r="W64" s="180">
        <v>0</v>
      </c>
      <c r="X64" s="180">
        <v>0</v>
      </c>
      <c r="Y64" s="180">
        <v>0</v>
      </c>
      <c r="Z64" s="180">
        <v>0</v>
      </c>
      <c r="AA64" s="180">
        <v>0</v>
      </c>
      <c r="AB64" s="180">
        <v>0</v>
      </c>
      <c r="AC64" s="180">
        <v>0</v>
      </c>
      <c r="AD64" s="180">
        <v>0</v>
      </c>
      <c r="AE64" s="180">
        <v>0</v>
      </c>
      <c r="AG64" s="180">
        <v>3300</v>
      </c>
      <c r="AH64" s="180">
        <v>3300</v>
      </c>
    </row>
    <row r="65" spans="1:34" ht="15" x14ac:dyDescent="0.25">
      <c r="A65" s="165" t="s">
        <v>264</v>
      </c>
      <c r="B65" s="164"/>
      <c r="C65" s="175" t="s">
        <v>27</v>
      </c>
      <c r="D65" s="175" t="s">
        <v>28</v>
      </c>
      <c r="E65" s="175">
        <v>2028</v>
      </c>
      <c r="F65" s="176" t="s">
        <v>29</v>
      </c>
      <c r="G65" s="176"/>
      <c r="H65" s="176" t="s">
        <v>32</v>
      </c>
      <c r="I65" s="177">
        <v>0</v>
      </c>
      <c r="J65" s="177">
        <v>0</v>
      </c>
      <c r="K65" s="177">
        <v>0</v>
      </c>
      <c r="L65" s="177">
        <v>0</v>
      </c>
      <c r="M65" s="186">
        <v>0</v>
      </c>
      <c r="N65" s="177">
        <v>0</v>
      </c>
      <c r="O65" s="177">
        <v>0</v>
      </c>
      <c r="P65" s="177">
        <v>0</v>
      </c>
      <c r="Q65" s="177">
        <v>0</v>
      </c>
      <c r="R65" s="177">
        <v>0</v>
      </c>
      <c r="S65" s="177">
        <v>0</v>
      </c>
      <c r="T65" s="177">
        <v>0</v>
      </c>
      <c r="U65" s="177">
        <v>0</v>
      </c>
      <c r="V65" s="177">
        <v>0</v>
      </c>
      <c r="W65" s="177">
        <v>0</v>
      </c>
      <c r="X65" s="177">
        <v>0</v>
      </c>
      <c r="Y65" s="184">
        <v>32200</v>
      </c>
      <c r="Z65" s="177">
        <v>0</v>
      </c>
      <c r="AA65" s="177">
        <v>0</v>
      </c>
      <c r="AB65" s="177">
        <v>0</v>
      </c>
      <c r="AC65" s="177">
        <v>0</v>
      </c>
      <c r="AD65" s="177">
        <v>0</v>
      </c>
      <c r="AE65" s="184">
        <v>5000</v>
      </c>
      <c r="AG65" s="177">
        <v>0</v>
      </c>
      <c r="AH65" s="177">
        <v>37200</v>
      </c>
    </row>
    <row r="66" spans="1:34" ht="15" x14ac:dyDescent="0.25">
      <c r="A66" s="165" t="s">
        <v>263</v>
      </c>
      <c r="B66" s="164"/>
      <c r="C66" s="170" t="s">
        <v>27</v>
      </c>
      <c r="D66" s="170" t="s">
        <v>28</v>
      </c>
      <c r="E66" s="170">
        <v>2030</v>
      </c>
      <c r="F66" s="171" t="s">
        <v>29</v>
      </c>
      <c r="G66" s="171"/>
      <c r="H66" s="171" t="s">
        <v>149</v>
      </c>
      <c r="I66" s="180">
        <v>0</v>
      </c>
      <c r="J66" s="172">
        <v>0</v>
      </c>
      <c r="K66" s="174">
        <v>780</v>
      </c>
      <c r="L66" s="172">
        <v>0</v>
      </c>
      <c r="M66" s="187">
        <v>0</v>
      </c>
      <c r="N66" s="174">
        <v>3000</v>
      </c>
      <c r="O66" s="172">
        <v>0</v>
      </c>
      <c r="P66" s="172">
        <v>0</v>
      </c>
      <c r="Q66" s="172">
        <v>0</v>
      </c>
      <c r="R66" s="172">
        <v>0</v>
      </c>
      <c r="S66" s="172">
        <v>0</v>
      </c>
      <c r="T66" s="172">
        <v>0</v>
      </c>
      <c r="U66" s="174">
        <v>4000</v>
      </c>
      <c r="V66" s="172">
        <v>0</v>
      </c>
      <c r="W66" s="172">
        <v>0</v>
      </c>
      <c r="X66" s="174">
        <v>12500</v>
      </c>
      <c r="Y66" s="174">
        <v>700</v>
      </c>
      <c r="Z66" s="172">
        <v>0</v>
      </c>
      <c r="AA66" s="172">
        <v>0</v>
      </c>
      <c r="AB66" s="172">
        <v>0</v>
      </c>
      <c r="AC66" s="172">
        <v>0</v>
      </c>
      <c r="AD66" s="172">
        <v>0</v>
      </c>
      <c r="AE66" s="174">
        <v>21000</v>
      </c>
      <c r="AG66" s="172">
        <v>20280</v>
      </c>
      <c r="AH66" s="172">
        <v>41980</v>
      </c>
    </row>
    <row r="67" spans="1:34" ht="15" x14ac:dyDescent="0.25">
      <c r="A67" s="165" t="s">
        <v>263</v>
      </c>
      <c r="B67" s="164"/>
      <c r="C67" s="170" t="s">
        <v>27</v>
      </c>
      <c r="D67" s="170" t="s">
        <v>28</v>
      </c>
      <c r="E67" s="170">
        <v>2030</v>
      </c>
      <c r="F67" s="171" t="s">
        <v>29</v>
      </c>
      <c r="G67" s="171"/>
      <c r="H67" s="170" t="s">
        <v>148</v>
      </c>
      <c r="I67" s="180">
        <v>0</v>
      </c>
      <c r="J67" s="172">
        <v>0</v>
      </c>
      <c r="K67" s="172">
        <v>0</v>
      </c>
      <c r="L67" s="172">
        <v>0</v>
      </c>
      <c r="M67" s="187">
        <v>0</v>
      </c>
      <c r="N67" s="174">
        <v>8000</v>
      </c>
      <c r="O67" s="174">
        <v>2500</v>
      </c>
      <c r="P67" s="172">
        <v>0</v>
      </c>
      <c r="Q67" s="172">
        <v>0</v>
      </c>
      <c r="R67" s="172">
        <v>0</v>
      </c>
      <c r="S67" s="172">
        <v>0</v>
      </c>
      <c r="T67" s="172">
        <v>0</v>
      </c>
      <c r="U67" s="172">
        <v>0</v>
      </c>
      <c r="V67" s="172">
        <v>0</v>
      </c>
      <c r="W67" s="172">
        <v>0</v>
      </c>
      <c r="X67" s="172">
        <v>0</v>
      </c>
      <c r="Y67" s="172">
        <v>0</v>
      </c>
      <c r="Z67" s="172">
        <v>0</v>
      </c>
      <c r="AA67" s="172">
        <v>0</v>
      </c>
      <c r="AB67" s="172">
        <v>0</v>
      </c>
      <c r="AC67" s="172">
        <v>0</v>
      </c>
      <c r="AD67" s="172">
        <v>0</v>
      </c>
      <c r="AE67" s="174">
        <v>12500</v>
      </c>
      <c r="AG67" s="172">
        <v>10500</v>
      </c>
      <c r="AH67" s="172">
        <v>23000</v>
      </c>
    </row>
    <row r="68" spans="1:34" ht="15" x14ac:dyDescent="0.25">
      <c r="A68" s="165" t="s">
        <v>263</v>
      </c>
      <c r="B68" s="164"/>
      <c r="C68" s="170" t="s">
        <v>27</v>
      </c>
      <c r="D68" s="170" t="s">
        <v>28</v>
      </c>
      <c r="E68" s="170">
        <v>2030</v>
      </c>
      <c r="F68" s="171" t="s">
        <v>29</v>
      </c>
      <c r="G68" s="171"/>
      <c r="H68" s="179" t="s">
        <v>33</v>
      </c>
      <c r="I68" s="180">
        <v>0</v>
      </c>
      <c r="J68" s="172">
        <v>0</v>
      </c>
      <c r="K68" s="172">
        <v>0</v>
      </c>
      <c r="L68" s="172">
        <v>0</v>
      </c>
      <c r="M68" s="187">
        <v>0</v>
      </c>
      <c r="N68" s="174">
        <v>0</v>
      </c>
      <c r="O68" s="174">
        <v>0</v>
      </c>
      <c r="P68" s="172">
        <v>0</v>
      </c>
      <c r="Q68" s="172">
        <v>0</v>
      </c>
      <c r="R68" s="172">
        <v>0</v>
      </c>
      <c r="S68" s="172">
        <v>0</v>
      </c>
      <c r="T68" s="172">
        <v>0</v>
      </c>
      <c r="U68" s="172">
        <v>0</v>
      </c>
      <c r="V68" s="172">
        <v>0</v>
      </c>
      <c r="W68" s="172">
        <v>0</v>
      </c>
      <c r="X68" s="172">
        <v>0</v>
      </c>
      <c r="Y68" s="172">
        <v>0</v>
      </c>
      <c r="Z68" s="172">
        <v>0</v>
      </c>
      <c r="AA68" s="172">
        <v>0</v>
      </c>
      <c r="AB68" s="172">
        <v>0</v>
      </c>
      <c r="AC68" s="172">
        <v>0</v>
      </c>
      <c r="AD68" s="172">
        <v>0</v>
      </c>
      <c r="AE68" s="174">
        <v>0</v>
      </c>
      <c r="AG68" s="172"/>
      <c r="AH68" s="172"/>
    </row>
    <row r="69" spans="1:34" ht="15" x14ac:dyDescent="0.25">
      <c r="A69" s="165" t="s">
        <v>263</v>
      </c>
      <c r="B69" s="164"/>
      <c r="C69" s="170" t="s">
        <v>27</v>
      </c>
      <c r="D69" s="170" t="s">
        <v>28</v>
      </c>
      <c r="E69" s="170">
        <v>2030</v>
      </c>
      <c r="F69" s="171" t="s">
        <v>29</v>
      </c>
      <c r="G69" s="171"/>
      <c r="H69" s="171" t="s">
        <v>34</v>
      </c>
      <c r="I69" s="180">
        <v>0</v>
      </c>
      <c r="J69" s="172">
        <v>0</v>
      </c>
      <c r="K69" s="172">
        <v>0</v>
      </c>
      <c r="L69" s="172">
        <v>0</v>
      </c>
      <c r="M69" s="187">
        <v>0</v>
      </c>
      <c r="N69" s="174">
        <v>500</v>
      </c>
      <c r="O69" s="172">
        <v>0</v>
      </c>
      <c r="P69" s="172">
        <v>0</v>
      </c>
      <c r="Q69" s="174">
        <v>0</v>
      </c>
      <c r="R69" s="172">
        <v>0</v>
      </c>
      <c r="S69" s="172">
        <v>0</v>
      </c>
      <c r="T69" s="174">
        <v>2500</v>
      </c>
      <c r="U69" s="172">
        <v>0</v>
      </c>
      <c r="V69" s="172">
        <v>0</v>
      </c>
      <c r="W69" s="172">
        <v>0</v>
      </c>
      <c r="X69" s="172">
        <v>0</v>
      </c>
      <c r="Y69" s="172">
        <v>0</v>
      </c>
      <c r="Z69" s="172">
        <v>0</v>
      </c>
      <c r="AA69" s="172">
        <v>0</v>
      </c>
      <c r="AB69" s="172">
        <v>0</v>
      </c>
      <c r="AC69" s="172">
        <v>0</v>
      </c>
      <c r="AD69" s="172">
        <v>0</v>
      </c>
      <c r="AE69" s="172">
        <v>0</v>
      </c>
      <c r="AG69" s="172">
        <v>3000</v>
      </c>
      <c r="AH69" s="172">
        <v>3000</v>
      </c>
    </row>
    <row r="70" spans="1:34" ht="15" x14ac:dyDescent="0.25">
      <c r="A70" s="165" t="s">
        <v>264</v>
      </c>
      <c r="B70" s="164"/>
      <c r="C70" s="170" t="s">
        <v>27</v>
      </c>
      <c r="D70" s="170" t="s">
        <v>28</v>
      </c>
      <c r="E70" s="170">
        <v>2030</v>
      </c>
      <c r="F70" s="171" t="s">
        <v>29</v>
      </c>
      <c r="G70" s="171"/>
      <c r="H70" s="171" t="s">
        <v>31</v>
      </c>
      <c r="I70" s="180">
        <v>0</v>
      </c>
      <c r="J70" s="172">
        <v>0</v>
      </c>
      <c r="K70" s="172">
        <v>0</v>
      </c>
      <c r="L70" s="172">
        <v>0</v>
      </c>
      <c r="M70" s="187">
        <v>0</v>
      </c>
      <c r="N70" s="174">
        <v>25000</v>
      </c>
      <c r="O70" s="172">
        <v>0</v>
      </c>
      <c r="P70" s="172">
        <v>0</v>
      </c>
      <c r="Q70" s="172">
        <v>0</v>
      </c>
      <c r="R70" s="172">
        <v>0</v>
      </c>
      <c r="S70" s="172">
        <v>0</v>
      </c>
      <c r="T70" s="172">
        <v>0</v>
      </c>
      <c r="U70" s="172">
        <v>0</v>
      </c>
      <c r="V70" s="172">
        <v>0</v>
      </c>
      <c r="W70" s="172">
        <v>0</v>
      </c>
      <c r="X70" s="172">
        <v>0</v>
      </c>
      <c r="Y70" s="172">
        <v>0</v>
      </c>
      <c r="Z70" s="172">
        <v>0</v>
      </c>
      <c r="AA70" s="172">
        <v>0</v>
      </c>
      <c r="AB70" s="172">
        <v>0</v>
      </c>
      <c r="AC70" s="172">
        <v>0</v>
      </c>
      <c r="AD70" s="172">
        <v>0</v>
      </c>
      <c r="AE70" s="172">
        <v>0</v>
      </c>
      <c r="AG70" s="172">
        <v>25000</v>
      </c>
      <c r="AH70" s="172">
        <v>25000</v>
      </c>
    </row>
    <row r="71" spans="1:34" ht="15" x14ac:dyDescent="0.25">
      <c r="A71" s="165" t="s">
        <v>264</v>
      </c>
      <c r="B71" s="164"/>
      <c r="C71" s="175" t="s">
        <v>27</v>
      </c>
      <c r="D71" s="175" t="s">
        <v>28</v>
      </c>
      <c r="E71" s="175">
        <v>2030</v>
      </c>
      <c r="F71" s="176" t="s">
        <v>29</v>
      </c>
      <c r="G71" s="176"/>
      <c r="H71" s="176" t="s">
        <v>32</v>
      </c>
      <c r="I71" s="177">
        <v>0</v>
      </c>
      <c r="J71" s="177">
        <v>0</v>
      </c>
      <c r="K71" s="177">
        <v>0</v>
      </c>
      <c r="L71" s="177">
        <v>0</v>
      </c>
      <c r="M71" s="186">
        <v>0</v>
      </c>
      <c r="N71" s="177">
        <v>0</v>
      </c>
      <c r="O71" s="177">
        <v>0</v>
      </c>
      <c r="P71" s="177">
        <v>0</v>
      </c>
      <c r="Q71" s="177">
        <v>0</v>
      </c>
      <c r="R71" s="177">
        <v>0</v>
      </c>
      <c r="S71" s="177">
        <v>0</v>
      </c>
      <c r="T71" s="177">
        <v>0</v>
      </c>
      <c r="U71" s="177">
        <v>0</v>
      </c>
      <c r="V71" s="177">
        <v>0</v>
      </c>
      <c r="W71" s="177">
        <v>0</v>
      </c>
      <c r="X71" s="177">
        <v>0</v>
      </c>
      <c r="Y71" s="184">
        <v>53200</v>
      </c>
      <c r="Z71" s="177">
        <v>0</v>
      </c>
      <c r="AA71" s="177">
        <v>0</v>
      </c>
      <c r="AB71" s="177">
        <v>0</v>
      </c>
      <c r="AC71" s="177">
        <v>0</v>
      </c>
      <c r="AD71" s="177">
        <v>0</v>
      </c>
      <c r="AE71" s="184">
        <v>15000</v>
      </c>
      <c r="AG71" s="177">
        <v>0</v>
      </c>
      <c r="AH71" s="177">
        <v>68200</v>
      </c>
    </row>
    <row r="72" spans="1:34" ht="15" x14ac:dyDescent="0.25">
      <c r="A72" s="165" t="s">
        <v>263</v>
      </c>
      <c r="B72" s="164"/>
      <c r="C72" s="170" t="s">
        <v>27</v>
      </c>
      <c r="D72" s="170" t="s">
        <v>28</v>
      </c>
      <c r="E72" s="170">
        <v>2035</v>
      </c>
      <c r="F72" s="171" t="s">
        <v>29</v>
      </c>
      <c r="G72" s="171"/>
      <c r="H72" s="171" t="s">
        <v>149</v>
      </c>
      <c r="I72" s="180">
        <v>0</v>
      </c>
      <c r="J72" s="172">
        <v>0</v>
      </c>
      <c r="K72" s="174">
        <v>780</v>
      </c>
      <c r="L72" s="172">
        <v>0</v>
      </c>
      <c r="M72" s="187">
        <v>0</v>
      </c>
      <c r="N72" s="174">
        <v>3000</v>
      </c>
      <c r="O72" s="172">
        <v>0</v>
      </c>
      <c r="P72" s="172">
        <v>0</v>
      </c>
      <c r="Q72" s="172">
        <v>0</v>
      </c>
      <c r="R72" s="172">
        <v>0</v>
      </c>
      <c r="S72" s="172">
        <v>0</v>
      </c>
      <c r="T72" s="172">
        <v>0</v>
      </c>
      <c r="U72" s="174">
        <v>4000</v>
      </c>
      <c r="V72" s="172">
        <v>0</v>
      </c>
      <c r="W72" s="172">
        <v>0</v>
      </c>
      <c r="X72" s="174">
        <v>15500</v>
      </c>
      <c r="Y72" s="174">
        <v>700</v>
      </c>
      <c r="Z72" s="172">
        <v>0</v>
      </c>
      <c r="AA72" s="172">
        <v>0</v>
      </c>
      <c r="AB72" s="172">
        <v>0</v>
      </c>
      <c r="AC72" s="172">
        <v>0</v>
      </c>
      <c r="AD72" s="172">
        <v>0</v>
      </c>
      <c r="AE72" s="174">
        <v>25000</v>
      </c>
      <c r="AG72" s="172">
        <v>23280</v>
      </c>
      <c r="AH72" s="172">
        <v>48980</v>
      </c>
    </row>
    <row r="73" spans="1:34" ht="15" x14ac:dyDescent="0.25">
      <c r="A73" s="165" t="s">
        <v>263</v>
      </c>
      <c r="B73" s="164"/>
      <c r="C73" s="170" t="s">
        <v>27</v>
      </c>
      <c r="D73" s="170" t="s">
        <v>28</v>
      </c>
      <c r="E73" s="170">
        <v>2035</v>
      </c>
      <c r="F73" s="171" t="s">
        <v>29</v>
      </c>
      <c r="G73" s="171"/>
      <c r="H73" s="170" t="s">
        <v>148</v>
      </c>
      <c r="I73" s="180">
        <v>0</v>
      </c>
      <c r="J73" s="172">
        <v>0</v>
      </c>
      <c r="K73" s="172">
        <v>0</v>
      </c>
      <c r="L73" s="172">
        <v>0</v>
      </c>
      <c r="M73" s="187">
        <v>0</v>
      </c>
      <c r="N73" s="174">
        <v>8000</v>
      </c>
      <c r="O73" s="174">
        <v>2500</v>
      </c>
      <c r="P73" s="172">
        <v>0</v>
      </c>
      <c r="Q73" s="172">
        <v>0</v>
      </c>
      <c r="R73" s="172">
        <v>0</v>
      </c>
      <c r="S73" s="172">
        <v>0</v>
      </c>
      <c r="T73" s="172">
        <v>0</v>
      </c>
      <c r="U73" s="172">
        <v>0</v>
      </c>
      <c r="V73" s="172">
        <v>0</v>
      </c>
      <c r="W73" s="172">
        <v>0</v>
      </c>
      <c r="X73" s="172">
        <v>0</v>
      </c>
      <c r="Y73" s="172">
        <v>0</v>
      </c>
      <c r="Z73" s="172">
        <v>0</v>
      </c>
      <c r="AA73" s="172">
        <v>0</v>
      </c>
      <c r="AB73" s="172">
        <v>0</v>
      </c>
      <c r="AC73" s="172">
        <v>0</v>
      </c>
      <c r="AD73" s="172">
        <v>0</v>
      </c>
      <c r="AE73" s="174">
        <v>23000</v>
      </c>
      <c r="AG73" s="172">
        <v>10500</v>
      </c>
      <c r="AH73" s="172">
        <v>33500</v>
      </c>
    </row>
    <row r="74" spans="1:34" ht="15" x14ac:dyDescent="0.25">
      <c r="A74" s="165" t="s">
        <v>263</v>
      </c>
      <c r="B74" s="164"/>
      <c r="C74" s="170" t="s">
        <v>27</v>
      </c>
      <c r="D74" s="170" t="s">
        <v>28</v>
      </c>
      <c r="E74" s="170">
        <v>2035</v>
      </c>
      <c r="F74" s="171" t="s">
        <v>29</v>
      </c>
      <c r="G74" s="171"/>
      <c r="H74" s="179" t="s">
        <v>33</v>
      </c>
      <c r="I74" s="180">
        <v>0</v>
      </c>
      <c r="J74" s="172">
        <v>0</v>
      </c>
      <c r="K74" s="172">
        <v>0</v>
      </c>
      <c r="L74" s="172">
        <v>0</v>
      </c>
      <c r="M74" s="187">
        <v>0</v>
      </c>
      <c r="N74" s="174">
        <v>0</v>
      </c>
      <c r="O74" s="174">
        <v>0</v>
      </c>
      <c r="P74" s="172">
        <v>0</v>
      </c>
      <c r="Q74" s="172">
        <v>0</v>
      </c>
      <c r="R74" s="172">
        <v>0</v>
      </c>
      <c r="S74" s="172">
        <v>0</v>
      </c>
      <c r="T74" s="172">
        <v>0</v>
      </c>
      <c r="U74" s="172">
        <v>0</v>
      </c>
      <c r="V74" s="172">
        <v>0</v>
      </c>
      <c r="W74" s="172">
        <v>0</v>
      </c>
      <c r="X74" s="172">
        <v>0</v>
      </c>
      <c r="Y74" s="172">
        <v>0</v>
      </c>
      <c r="Z74" s="172">
        <v>0</v>
      </c>
      <c r="AA74" s="172">
        <v>0</v>
      </c>
      <c r="AB74" s="172">
        <v>0</v>
      </c>
      <c r="AC74" s="172">
        <v>0</v>
      </c>
      <c r="AD74" s="172">
        <v>0</v>
      </c>
      <c r="AE74" s="174">
        <v>0</v>
      </c>
      <c r="AG74" s="172"/>
      <c r="AH74" s="172"/>
    </row>
    <row r="75" spans="1:34" ht="15" x14ac:dyDescent="0.25">
      <c r="A75" s="165" t="s">
        <v>263</v>
      </c>
      <c r="B75" s="164"/>
      <c r="C75" s="170" t="s">
        <v>27</v>
      </c>
      <c r="D75" s="170" t="s">
        <v>28</v>
      </c>
      <c r="E75" s="170">
        <v>2035</v>
      </c>
      <c r="F75" s="171" t="s">
        <v>29</v>
      </c>
      <c r="G75" s="171"/>
      <c r="H75" s="171" t="s">
        <v>34</v>
      </c>
      <c r="I75" s="180">
        <v>0</v>
      </c>
      <c r="J75" s="172">
        <v>0</v>
      </c>
      <c r="K75" s="172">
        <v>0</v>
      </c>
      <c r="L75" s="172">
        <v>0</v>
      </c>
      <c r="M75" s="187">
        <v>0</v>
      </c>
      <c r="N75" s="174">
        <v>500</v>
      </c>
      <c r="O75" s="172">
        <v>0</v>
      </c>
      <c r="P75" s="172">
        <v>0</v>
      </c>
      <c r="Q75" s="174">
        <v>2500</v>
      </c>
      <c r="R75" s="172">
        <v>0</v>
      </c>
      <c r="S75" s="172">
        <v>0</v>
      </c>
      <c r="T75" s="174">
        <v>2500</v>
      </c>
      <c r="U75" s="172">
        <v>0</v>
      </c>
      <c r="V75" s="172">
        <v>0</v>
      </c>
      <c r="W75" s="172">
        <v>0</v>
      </c>
      <c r="X75" s="172">
        <v>0</v>
      </c>
      <c r="Y75" s="172">
        <v>0</v>
      </c>
      <c r="Z75" s="172">
        <v>0</v>
      </c>
      <c r="AA75" s="172">
        <v>0</v>
      </c>
      <c r="AB75" s="172">
        <v>0</v>
      </c>
      <c r="AC75" s="172">
        <v>0</v>
      </c>
      <c r="AD75" s="172">
        <v>0</v>
      </c>
      <c r="AE75" s="172">
        <v>0</v>
      </c>
      <c r="AG75" s="172">
        <v>5500</v>
      </c>
      <c r="AH75" s="172">
        <v>5500</v>
      </c>
    </row>
    <row r="76" spans="1:34" ht="15" x14ac:dyDescent="0.25">
      <c r="A76" s="165" t="s">
        <v>264</v>
      </c>
      <c r="B76" s="164"/>
      <c r="C76" s="170" t="s">
        <v>27</v>
      </c>
      <c r="D76" s="170" t="s">
        <v>28</v>
      </c>
      <c r="E76" s="170">
        <v>2035</v>
      </c>
      <c r="F76" s="171" t="s">
        <v>29</v>
      </c>
      <c r="G76" s="171"/>
      <c r="H76" s="171" t="s">
        <v>31</v>
      </c>
      <c r="I76" s="180">
        <v>0</v>
      </c>
      <c r="J76" s="172">
        <v>0</v>
      </c>
      <c r="K76" s="172">
        <v>0</v>
      </c>
      <c r="L76" s="172">
        <v>0</v>
      </c>
      <c r="M76" s="187">
        <v>0</v>
      </c>
      <c r="N76" s="174">
        <v>25000</v>
      </c>
      <c r="O76" s="172">
        <v>0</v>
      </c>
      <c r="P76" s="172">
        <v>0</v>
      </c>
      <c r="Q76" s="172">
        <v>0</v>
      </c>
      <c r="R76" s="172">
        <v>0</v>
      </c>
      <c r="S76" s="172">
        <v>0</v>
      </c>
      <c r="T76" s="172">
        <v>0</v>
      </c>
      <c r="U76" s="172">
        <v>0</v>
      </c>
      <c r="V76" s="172">
        <v>0</v>
      </c>
      <c r="W76" s="172">
        <v>0</v>
      </c>
      <c r="X76" s="172">
        <v>0</v>
      </c>
      <c r="Y76" s="172">
        <v>0</v>
      </c>
      <c r="Z76" s="172">
        <v>0</v>
      </c>
      <c r="AA76" s="172">
        <v>0</v>
      </c>
      <c r="AB76" s="172">
        <v>0</v>
      </c>
      <c r="AC76" s="172">
        <v>0</v>
      </c>
      <c r="AD76" s="172">
        <v>0</v>
      </c>
      <c r="AE76" s="172">
        <v>0</v>
      </c>
      <c r="AG76" s="172">
        <v>25000</v>
      </c>
      <c r="AH76" s="172">
        <v>25000</v>
      </c>
    </row>
    <row r="77" spans="1:34" ht="15" x14ac:dyDescent="0.25">
      <c r="A77" s="165" t="s">
        <v>264</v>
      </c>
      <c r="B77" s="164"/>
      <c r="C77" s="175" t="s">
        <v>27</v>
      </c>
      <c r="D77" s="175" t="s">
        <v>28</v>
      </c>
      <c r="E77" s="175">
        <v>2035</v>
      </c>
      <c r="F77" s="176" t="s">
        <v>29</v>
      </c>
      <c r="G77" s="176"/>
      <c r="H77" s="176" t="s">
        <v>32</v>
      </c>
      <c r="I77" s="177">
        <v>0</v>
      </c>
      <c r="J77" s="177">
        <v>0</v>
      </c>
      <c r="K77" s="177">
        <v>0</v>
      </c>
      <c r="L77" s="177">
        <v>0</v>
      </c>
      <c r="M77" s="186">
        <v>0</v>
      </c>
      <c r="N77" s="177">
        <v>0</v>
      </c>
      <c r="O77" s="177">
        <v>0</v>
      </c>
      <c r="P77" s="177">
        <v>0</v>
      </c>
      <c r="Q77" s="177">
        <v>0</v>
      </c>
      <c r="R77" s="177">
        <v>0</v>
      </c>
      <c r="S77" s="177">
        <v>0</v>
      </c>
      <c r="T77" s="177">
        <v>0</v>
      </c>
      <c r="U77" s="177">
        <v>0</v>
      </c>
      <c r="V77" s="177">
        <v>0</v>
      </c>
      <c r="W77" s="177">
        <v>0</v>
      </c>
      <c r="X77" s="177">
        <v>0</v>
      </c>
      <c r="Y77" s="184">
        <v>63200</v>
      </c>
      <c r="Z77" s="177">
        <v>0</v>
      </c>
      <c r="AA77" s="177">
        <v>0</v>
      </c>
      <c r="AB77" s="177">
        <v>0</v>
      </c>
      <c r="AC77" s="177">
        <v>0</v>
      </c>
      <c r="AD77" s="177">
        <v>0</v>
      </c>
      <c r="AE77" s="184">
        <v>15000</v>
      </c>
      <c r="AG77" s="177">
        <v>0</v>
      </c>
      <c r="AH77" s="177">
        <v>78200</v>
      </c>
    </row>
    <row r="78" spans="1:34" ht="15" x14ac:dyDescent="0.25">
      <c r="A78" s="165" t="s">
        <v>263</v>
      </c>
      <c r="B78" s="164"/>
      <c r="C78" s="170" t="s">
        <v>27</v>
      </c>
      <c r="D78" s="170" t="s">
        <v>28</v>
      </c>
      <c r="E78" s="170">
        <v>2040</v>
      </c>
      <c r="F78" s="171" t="s">
        <v>29</v>
      </c>
      <c r="G78" s="171"/>
      <c r="H78" s="171" t="s">
        <v>149</v>
      </c>
      <c r="I78" s="180">
        <v>0</v>
      </c>
      <c r="J78" s="181">
        <v>0</v>
      </c>
      <c r="K78" s="181">
        <v>780</v>
      </c>
      <c r="L78" s="181">
        <v>0</v>
      </c>
      <c r="M78" s="188">
        <v>0</v>
      </c>
      <c r="N78" s="181">
        <v>3000</v>
      </c>
      <c r="O78" s="181">
        <v>0</v>
      </c>
      <c r="P78" s="181">
        <v>0</v>
      </c>
      <c r="Q78" s="181">
        <v>0</v>
      </c>
      <c r="R78" s="181">
        <v>0</v>
      </c>
      <c r="S78" s="181">
        <v>0</v>
      </c>
      <c r="T78" s="181">
        <v>0</v>
      </c>
      <c r="U78" s="174">
        <v>4000</v>
      </c>
      <c r="V78" s="181">
        <v>0</v>
      </c>
      <c r="W78" s="181">
        <v>0</v>
      </c>
      <c r="X78" s="174">
        <v>15500</v>
      </c>
      <c r="Y78" s="174">
        <v>700</v>
      </c>
      <c r="Z78" s="181">
        <v>0</v>
      </c>
      <c r="AA78" s="181">
        <v>0</v>
      </c>
      <c r="AB78" s="181">
        <v>0</v>
      </c>
      <c r="AC78" s="181">
        <v>0</v>
      </c>
      <c r="AD78" s="181">
        <v>0</v>
      </c>
      <c r="AE78" s="181">
        <v>30000</v>
      </c>
      <c r="AG78" s="181">
        <v>23280</v>
      </c>
      <c r="AH78" s="181">
        <v>53980</v>
      </c>
    </row>
    <row r="79" spans="1:34" ht="15" x14ac:dyDescent="0.25">
      <c r="A79" s="165" t="s">
        <v>263</v>
      </c>
      <c r="B79" s="164"/>
      <c r="C79" s="170" t="s">
        <v>27</v>
      </c>
      <c r="D79" s="170" t="s">
        <v>28</v>
      </c>
      <c r="E79" s="170">
        <v>2040</v>
      </c>
      <c r="F79" s="171" t="s">
        <v>29</v>
      </c>
      <c r="G79" s="171"/>
      <c r="H79" s="170" t="s">
        <v>148</v>
      </c>
      <c r="I79" s="180">
        <v>0</v>
      </c>
      <c r="J79" s="181">
        <v>0</v>
      </c>
      <c r="K79" s="181">
        <v>0</v>
      </c>
      <c r="L79" s="181">
        <v>0</v>
      </c>
      <c r="M79" s="188">
        <v>1500</v>
      </c>
      <c r="N79" s="181">
        <v>8000</v>
      </c>
      <c r="O79" s="174">
        <v>2500</v>
      </c>
      <c r="P79" s="181">
        <v>2000</v>
      </c>
      <c r="Q79" s="181">
        <v>0</v>
      </c>
      <c r="R79" s="181">
        <v>0</v>
      </c>
      <c r="S79" s="181">
        <v>0</v>
      </c>
      <c r="T79" s="181">
        <v>0</v>
      </c>
      <c r="U79" s="181">
        <v>0</v>
      </c>
      <c r="V79" s="181">
        <v>0</v>
      </c>
      <c r="W79" s="181">
        <v>0</v>
      </c>
      <c r="X79" s="181">
        <v>250</v>
      </c>
      <c r="Y79" s="181">
        <v>0</v>
      </c>
      <c r="Z79" s="181">
        <v>0</v>
      </c>
      <c r="AA79" s="181">
        <v>0</v>
      </c>
      <c r="AB79" s="181">
        <v>0</v>
      </c>
      <c r="AC79" s="181">
        <v>0</v>
      </c>
      <c r="AD79" s="181">
        <v>0</v>
      </c>
      <c r="AE79" s="181">
        <v>23000</v>
      </c>
      <c r="AG79" s="181">
        <v>14250</v>
      </c>
      <c r="AH79" s="181">
        <v>37250</v>
      </c>
    </row>
    <row r="80" spans="1:34" ht="15" x14ac:dyDescent="0.25">
      <c r="A80" s="165" t="s">
        <v>263</v>
      </c>
      <c r="B80" s="164"/>
      <c r="C80" s="170" t="s">
        <v>27</v>
      </c>
      <c r="D80" s="170" t="s">
        <v>28</v>
      </c>
      <c r="E80" s="170">
        <v>2040</v>
      </c>
      <c r="F80" s="171" t="s">
        <v>29</v>
      </c>
      <c r="G80" s="171"/>
      <c r="H80" s="179" t="s">
        <v>33</v>
      </c>
      <c r="I80" s="180">
        <v>0</v>
      </c>
      <c r="J80" s="181">
        <v>0</v>
      </c>
      <c r="K80" s="181">
        <v>0</v>
      </c>
      <c r="L80" s="181">
        <v>0</v>
      </c>
      <c r="M80" s="188">
        <v>1500</v>
      </c>
      <c r="N80" s="181">
        <v>0</v>
      </c>
      <c r="O80" s="181">
        <v>0</v>
      </c>
      <c r="P80" s="181">
        <v>50</v>
      </c>
      <c r="Q80" s="181">
        <v>1000</v>
      </c>
      <c r="R80" s="181">
        <v>0</v>
      </c>
      <c r="S80" s="181">
        <v>0</v>
      </c>
      <c r="T80" s="181">
        <v>0</v>
      </c>
      <c r="U80" s="181">
        <v>5000</v>
      </c>
      <c r="V80" s="181">
        <v>500</v>
      </c>
      <c r="W80" s="181">
        <v>0</v>
      </c>
      <c r="X80" s="181">
        <v>300</v>
      </c>
      <c r="Y80" s="181">
        <v>0</v>
      </c>
      <c r="Z80" s="181">
        <v>4318.9445182505524</v>
      </c>
      <c r="AA80" s="181">
        <v>4000</v>
      </c>
      <c r="AB80" s="181">
        <v>0</v>
      </c>
      <c r="AC80" s="181">
        <v>7.5</v>
      </c>
      <c r="AD80" s="181">
        <v>0</v>
      </c>
      <c r="AE80" s="181">
        <v>0</v>
      </c>
      <c r="AG80" s="181">
        <v>16676.444518250551</v>
      </c>
      <c r="AH80" s="181">
        <v>16676.444518250551</v>
      </c>
    </row>
    <row r="81" spans="1:34" ht="15" x14ac:dyDescent="0.25">
      <c r="A81" s="165" t="s">
        <v>263</v>
      </c>
      <c r="B81" s="164"/>
      <c r="C81" s="170" t="s">
        <v>27</v>
      </c>
      <c r="D81" s="170" t="s">
        <v>28</v>
      </c>
      <c r="E81" s="170">
        <v>2040</v>
      </c>
      <c r="F81" s="171" t="s">
        <v>29</v>
      </c>
      <c r="G81" s="171"/>
      <c r="H81" s="171" t="s">
        <v>34</v>
      </c>
      <c r="I81" s="180">
        <v>0</v>
      </c>
      <c r="J81" s="181">
        <v>7461.9999999999991</v>
      </c>
      <c r="K81" s="181">
        <v>0</v>
      </c>
      <c r="L81" s="181">
        <v>2200</v>
      </c>
      <c r="M81" s="188">
        <v>24863.75</v>
      </c>
      <c r="N81" s="181">
        <v>500</v>
      </c>
      <c r="O81" s="181">
        <v>1000</v>
      </c>
      <c r="P81" s="181">
        <v>0</v>
      </c>
      <c r="Q81" s="174">
        <v>2500</v>
      </c>
      <c r="R81" s="181">
        <v>0</v>
      </c>
      <c r="S81" s="181">
        <v>2125</v>
      </c>
      <c r="T81" s="181">
        <v>3000</v>
      </c>
      <c r="U81" s="181">
        <v>22500</v>
      </c>
      <c r="V81" s="181">
        <v>0</v>
      </c>
      <c r="W81" s="181">
        <v>0</v>
      </c>
      <c r="X81" s="181">
        <v>13000</v>
      </c>
      <c r="Y81" s="181">
        <v>0</v>
      </c>
      <c r="Z81" s="181">
        <v>519.46089842385038</v>
      </c>
      <c r="AA81" s="181">
        <v>21200</v>
      </c>
      <c r="AB81" s="181">
        <v>0</v>
      </c>
      <c r="AC81" s="181">
        <v>87.5</v>
      </c>
      <c r="AD81" s="181">
        <v>0</v>
      </c>
      <c r="AE81" s="181">
        <v>0</v>
      </c>
      <c r="AG81" s="181">
        <v>100957.71089842386</v>
      </c>
      <c r="AH81" s="181">
        <v>100957.71089842384</v>
      </c>
    </row>
    <row r="82" spans="1:34" ht="15" x14ac:dyDescent="0.25">
      <c r="A82" s="165" t="s">
        <v>264</v>
      </c>
      <c r="B82" s="164"/>
      <c r="C82" s="170" t="s">
        <v>27</v>
      </c>
      <c r="D82" s="170" t="s">
        <v>28</v>
      </c>
      <c r="E82" s="170">
        <v>2040</v>
      </c>
      <c r="F82" s="171" t="s">
        <v>29</v>
      </c>
      <c r="G82" s="171"/>
      <c r="H82" s="171" t="s">
        <v>31</v>
      </c>
      <c r="I82" s="180">
        <v>0</v>
      </c>
      <c r="J82" s="181">
        <v>2321.6666666666665</v>
      </c>
      <c r="K82" s="181">
        <v>35000</v>
      </c>
      <c r="L82" s="181">
        <v>11000</v>
      </c>
      <c r="M82" s="188">
        <v>30000</v>
      </c>
      <c r="N82" s="181">
        <v>12500</v>
      </c>
      <c r="O82" s="181">
        <v>3750</v>
      </c>
      <c r="P82" s="181">
        <v>1000</v>
      </c>
      <c r="Q82" s="181">
        <v>0</v>
      </c>
      <c r="R82" s="181">
        <v>0</v>
      </c>
      <c r="S82" s="181">
        <v>5750</v>
      </c>
      <c r="T82" s="181">
        <v>0</v>
      </c>
      <c r="U82" s="181">
        <v>35000</v>
      </c>
      <c r="V82" s="181">
        <v>1000</v>
      </c>
      <c r="W82" s="181">
        <v>4250</v>
      </c>
      <c r="X82" s="181">
        <v>3000</v>
      </c>
      <c r="Y82" s="181">
        <v>0</v>
      </c>
      <c r="Z82" s="181">
        <v>22298.963694709426</v>
      </c>
      <c r="AA82" s="181">
        <v>35000</v>
      </c>
      <c r="AB82" s="181">
        <v>0</v>
      </c>
      <c r="AC82" s="181">
        <v>1375</v>
      </c>
      <c r="AD82" s="181">
        <v>28600</v>
      </c>
      <c r="AE82" s="181">
        <v>0</v>
      </c>
      <c r="AG82" s="181">
        <v>231845.6303613761</v>
      </c>
      <c r="AH82" s="181">
        <v>231845.6303613761</v>
      </c>
    </row>
    <row r="83" spans="1:34" ht="15" x14ac:dyDescent="0.25">
      <c r="A83" s="165" t="s">
        <v>264</v>
      </c>
      <c r="B83" s="164"/>
      <c r="C83" s="175" t="s">
        <v>27</v>
      </c>
      <c r="D83" s="175" t="s">
        <v>28</v>
      </c>
      <c r="E83" s="175">
        <v>2040</v>
      </c>
      <c r="F83" s="176" t="s">
        <v>29</v>
      </c>
      <c r="G83" s="176"/>
      <c r="H83" s="176" t="s">
        <v>32</v>
      </c>
      <c r="I83" s="177">
        <v>0</v>
      </c>
      <c r="J83" s="184">
        <v>0</v>
      </c>
      <c r="K83" s="184"/>
      <c r="L83" s="184">
        <v>0</v>
      </c>
      <c r="M83" s="189">
        <v>30000</v>
      </c>
      <c r="N83" s="184">
        <v>20000</v>
      </c>
      <c r="O83" s="184">
        <v>7250</v>
      </c>
      <c r="P83" s="184">
        <v>30000</v>
      </c>
      <c r="Q83" s="184">
        <v>30000</v>
      </c>
      <c r="R83" s="184">
        <v>0</v>
      </c>
      <c r="S83" s="184">
        <v>0</v>
      </c>
      <c r="T83" s="184">
        <v>0</v>
      </c>
      <c r="U83" s="184">
        <v>35000</v>
      </c>
      <c r="V83" s="184">
        <v>0</v>
      </c>
      <c r="W83" s="184">
        <v>1750</v>
      </c>
      <c r="X83" s="184">
        <v>3000</v>
      </c>
      <c r="Y83" s="184">
        <v>100000</v>
      </c>
      <c r="Z83" s="184">
        <v>10362.630888616171</v>
      </c>
      <c r="AA83" s="184">
        <v>17000</v>
      </c>
      <c r="AB83" s="184">
        <v>19500</v>
      </c>
      <c r="AC83" s="184">
        <v>0</v>
      </c>
      <c r="AD83" s="184">
        <v>0</v>
      </c>
      <c r="AE83" s="184">
        <v>30000</v>
      </c>
      <c r="AG83" s="184">
        <v>203862.63088861617</v>
      </c>
      <c r="AH83" s="184">
        <v>333862.6308886162</v>
      </c>
    </row>
    <row r="84" spans="1:34" ht="15" x14ac:dyDescent="0.25">
      <c r="A84" s="165" t="s">
        <v>263</v>
      </c>
      <c r="B84" s="164"/>
      <c r="C84" s="170" t="s">
        <v>27</v>
      </c>
      <c r="D84" s="170" t="s">
        <v>28</v>
      </c>
      <c r="E84" s="170">
        <v>2045</v>
      </c>
      <c r="F84" s="171" t="s">
        <v>29</v>
      </c>
      <c r="G84" s="171"/>
      <c r="H84" s="171" t="s">
        <v>149</v>
      </c>
      <c r="I84" s="180">
        <v>0</v>
      </c>
      <c r="J84" s="181">
        <v>0</v>
      </c>
      <c r="K84" s="181">
        <v>780</v>
      </c>
      <c r="L84" s="181">
        <v>0</v>
      </c>
      <c r="M84" s="188">
        <v>0</v>
      </c>
      <c r="N84" s="181">
        <v>3000</v>
      </c>
      <c r="O84" s="181">
        <v>0</v>
      </c>
      <c r="P84" s="181">
        <v>0</v>
      </c>
      <c r="Q84" s="181">
        <v>0</v>
      </c>
      <c r="R84" s="181">
        <v>0</v>
      </c>
      <c r="S84" s="181">
        <v>0</v>
      </c>
      <c r="T84" s="181">
        <v>0</v>
      </c>
      <c r="U84" s="181">
        <v>4000</v>
      </c>
      <c r="V84" s="181">
        <v>0</v>
      </c>
      <c r="W84" s="181">
        <v>0</v>
      </c>
      <c r="X84" s="174">
        <v>15500</v>
      </c>
      <c r="Y84" s="174">
        <v>700</v>
      </c>
      <c r="Z84" s="181">
        <v>0</v>
      </c>
      <c r="AA84" s="181">
        <v>0</v>
      </c>
      <c r="AB84" s="181">
        <v>0</v>
      </c>
      <c r="AC84" s="181">
        <v>0</v>
      </c>
      <c r="AD84" s="181">
        <v>0</v>
      </c>
      <c r="AE84" s="181">
        <v>35000</v>
      </c>
      <c r="AG84" s="181">
        <v>23280</v>
      </c>
      <c r="AH84" s="181">
        <v>58980</v>
      </c>
    </row>
    <row r="85" spans="1:34" ht="15" x14ac:dyDescent="0.25">
      <c r="A85" s="165" t="s">
        <v>263</v>
      </c>
      <c r="B85" s="164"/>
      <c r="C85" s="170" t="s">
        <v>27</v>
      </c>
      <c r="D85" s="170" t="s">
        <v>28</v>
      </c>
      <c r="E85" s="170">
        <v>2045</v>
      </c>
      <c r="F85" s="171" t="s">
        <v>29</v>
      </c>
      <c r="G85" s="171"/>
      <c r="H85" s="170" t="s">
        <v>148</v>
      </c>
      <c r="I85" s="180">
        <v>0</v>
      </c>
      <c r="J85" s="181">
        <v>0</v>
      </c>
      <c r="K85" s="181">
        <v>0</v>
      </c>
      <c r="L85" s="181">
        <v>0</v>
      </c>
      <c r="M85" s="188">
        <v>1500</v>
      </c>
      <c r="N85" s="181">
        <v>8000</v>
      </c>
      <c r="O85" s="181">
        <v>2500</v>
      </c>
      <c r="P85" s="181">
        <v>5000</v>
      </c>
      <c r="Q85" s="181">
        <v>0</v>
      </c>
      <c r="R85" s="181">
        <v>0</v>
      </c>
      <c r="S85" s="181">
        <v>0</v>
      </c>
      <c r="T85" s="181">
        <v>0</v>
      </c>
      <c r="U85" s="181">
        <v>0</v>
      </c>
      <c r="V85" s="181">
        <v>0</v>
      </c>
      <c r="W85" s="181">
        <v>0</v>
      </c>
      <c r="X85" s="181">
        <v>500</v>
      </c>
      <c r="Y85" s="181">
        <v>0</v>
      </c>
      <c r="Z85" s="181">
        <v>0</v>
      </c>
      <c r="AA85" s="181">
        <v>0</v>
      </c>
      <c r="AB85" s="181">
        <v>0</v>
      </c>
      <c r="AC85" s="181">
        <v>0</v>
      </c>
      <c r="AD85" s="181">
        <v>0</v>
      </c>
      <c r="AE85" s="181">
        <v>23000</v>
      </c>
      <c r="AG85" s="181">
        <v>17500</v>
      </c>
      <c r="AH85" s="181">
        <v>40500</v>
      </c>
    </row>
    <row r="86" spans="1:34" ht="15" x14ac:dyDescent="0.25">
      <c r="A86" s="165" t="s">
        <v>263</v>
      </c>
      <c r="B86" s="164"/>
      <c r="C86" s="170" t="s">
        <v>27</v>
      </c>
      <c r="D86" s="170" t="s">
        <v>28</v>
      </c>
      <c r="E86" s="170">
        <v>2045</v>
      </c>
      <c r="F86" s="171" t="s">
        <v>29</v>
      </c>
      <c r="G86" s="171"/>
      <c r="H86" s="179" t="s">
        <v>33</v>
      </c>
      <c r="I86" s="180">
        <v>0</v>
      </c>
      <c r="J86" s="181">
        <v>0</v>
      </c>
      <c r="K86" s="181">
        <v>0</v>
      </c>
      <c r="L86" s="181">
        <v>0</v>
      </c>
      <c r="M86" s="188">
        <v>2000</v>
      </c>
      <c r="N86" s="181">
        <v>0</v>
      </c>
      <c r="O86" s="181">
        <v>0</v>
      </c>
      <c r="P86" s="181">
        <v>50</v>
      </c>
      <c r="Q86" s="181">
        <v>1000</v>
      </c>
      <c r="R86" s="181">
        <v>0</v>
      </c>
      <c r="S86" s="181">
        <v>0</v>
      </c>
      <c r="T86" s="181">
        <v>0</v>
      </c>
      <c r="U86" s="181">
        <v>10000</v>
      </c>
      <c r="V86" s="181">
        <v>500</v>
      </c>
      <c r="W86" s="181">
        <v>0</v>
      </c>
      <c r="X86" s="181">
        <v>600</v>
      </c>
      <c r="Y86" s="181">
        <v>0</v>
      </c>
      <c r="Z86" s="181">
        <v>8637.8890365011048</v>
      </c>
      <c r="AA86" s="181">
        <v>8000</v>
      </c>
      <c r="AB86" s="181">
        <v>0</v>
      </c>
      <c r="AC86" s="181">
        <v>15</v>
      </c>
      <c r="AD86" s="181">
        <v>0</v>
      </c>
      <c r="AE86" s="181">
        <v>0</v>
      </c>
      <c r="AG86" s="181">
        <v>30802.889036501103</v>
      </c>
      <c r="AH86" s="181">
        <v>30802.889036501103</v>
      </c>
    </row>
    <row r="87" spans="1:34" ht="15" x14ac:dyDescent="0.25">
      <c r="A87" s="165" t="s">
        <v>263</v>
      </c>
      <c r="B87" s="164"/>
      <c r="C87" s="170" t="s">
        <v>27</v>
      </c>
      <c r="D87" s="170" t="s">
        <v>28</v>
      </c>
      <c r="E87" s="170">
        <v>2045</v>
      </c>
      <c r="F87" s="171" t="s">
        <v>29</v>
      </c>
      <c r="G87" s="171"/>
      <c r="H87" s="171" t="s">
        <v>34</v>
      </c>
      <c r="I87" s="180">
        <v>0</v>
      </c>
      <c r="J87" s="181">
        <v>14923.999999999998</v>
      </c>
      <c r="K87" s="181">
        <v>0</v>
      </c>
      <c r="L87" s="181">
        <v>3000</v>
      </c>
      <c r="M87" s="188">
        <v>49727.5</v>
      </c>
      <c r="N87" s="181">
        <v>500</v>
      </c>
      <c r="O87" s="181">
        <v>1000</v>
      </c>
      <c r="P87" s="181">
        <v>0</v>
      </c>
      <c r="Q87" s="181">
        <v>5000</v>
      </c>
      <c r="R87" s="181">
        <v>0</v>
      </c>
      <c r="S87" s="181">
        <v>4250</v>
      </c>
      <c r="T87" s="181">
        <v>3000</v>
      </c>
      <c r="U87" s="181">
        <v>45000</v>
      </c>
      <c r="V87" s="181">
        <v>0</v>
      </c>
      <c r="W87" s="181">
        <v>0</v>
      </c>
      <c r="X87" s="181">
        <v>26000</v>
      </c>
      <c r="Y87" s="181">
        <v>0</v>
      </c>
      <c r="Z87" s="181">
        <v>1038.9217968477008</v>
      </c>
      <c r="AA87" s="181">
        <v>42400</v>
      </c>
      <c r="AB87" s="181">
        <v>0</v>
      </c>
      <c r="AC87" s="181">
        <v>175</v>
      </c>
      <c r="AD87" s="181">
        <v>0</v>
      </c>
      <c r="AE87" s="181">
        <v>0</v>
      </c>
      <c r="AG87" s="181">
        <v>196015.42179684772</v>
      </c>
      <c r="AH87" s="181">
        <v>196015.42179684769</v>
      </c>
    </row>
    <row r="88" spans="1:34" ht="15" x14ac:dyDescent="0.25">
      <c r="A88" s="165" t="s">
        <v>264</v>
      </c>
      <c r="B88" s="164"/>
      <c r="C88" s="170" t="s">
        <v>27</v>
      </c>
      <c r="D88" s="170" t="s">
        <v>28</v>
      </c>
      <c r="E88" s="170">
        <v>2045</v>
      </c>
      <c r="F88" s="171" t="s">
        <v>29</v>
      </c>
      <c r="G88" s="171"/>
      <c r="H88" s="171" t="s">
        <v>31</v>
      </c>
      <c r="I88" s="180">
        <v>0</v>
      </c>
      <c r="J88" s="181">
        <v>4643.333333333333</v>
      </c>
      <c r="K88" s="181">
        <v>70000</v>
      </c>
      <c r="L88" s="181">
        <v>22000</v>
      </c>
      <c r="M88" s="188">
        <v>60000</v>
      </c>
      <c r="N88" s="181">
        <v>25000</v>
      </c>
      <c r="O88" s="181">
        <v>7500</v>
      </c>
      <c r="P88" s="181">
        <v>1000</v>
      </c>
      <c r="Q88" s="181"/>
      <c r="R88" s="181">
        <v>0</v>
      </c>
      <c r="S88" s="181">
        <v>11500</v>
      </c>
      <c r="T88" s="181">
        <v>0</v>
      </c>
      <c r="U88" s="181">
        <v>70000</v>
      </c>
      <c r="V88" s="181">
        <v>1500</v>
      </c>
      <c r="W88" s="181">
        <v>8500</v>
      </c>
      <c r="X88" s="181">
        <v>6000</v>
      </c>
      <c r="Y88" s="181">
        <v>0</v>
      </c>
      <c r="Z88" s="181">
        <v>44597.927389418852</v>
      </c>
      <c r="AA88" s="181">
        <v>70000</v>
      </c>
      <c r="AB88" s="181">
        <v>0</v>
      </c>
      <c r="AC88" s="181">
        <v>2750</v>
      </c>
      <c r="AD88" s="181">
        <v>57200</v>
      </c>
      <c r="AE88" s="181">
        <v>0</v>
      </c>
      <c r="AG88" s="181">
        <v>462191.26072275219</v>
      </c>
      <c r="AH88" s="181">
        <v>462191.26072275219</v>
      </c>
    </row>
    <row r="89" spans="1:34" ht="15" x14ac:dyDescent="0.25">
      <c r="A89" s="165" t="s">
        <v>264</v>
      </c>
      <c r="B89" s="164"/>
      <c r="C89" s="175" t="s">
        <v>27</v>
      </c>
      <c r="D89" s="175" t="s">
        <v>28</v>
      </c>
      <c r="E89" s="175">
        <v>2045</v>
      </c>
      <c r="F89" s="176" t="s">
        <v>29</v>
      </c>
      <c r="G89" s="176"/>
      <c r="H89" s="176" t="s">
        <v>32</v>
      </c>
      <c r="I89" s="177">
        <v>0</v>
      </c>
      <c r="J89" s="184">
        <v>0</v>
      </c>
      <c r="K89" s="184">
        <v>0</v>
      </c>
      <c r="L89" s="184">
        <v>0</v>
      </c>
      <c r="M89" s="189">
        <v>60000</v>
      </c>
      <c r="N89" s="184">
        <v>40000</v>
      </c>
      <c r="O89" s="184">
        <v>14500</v>
      </c>
      <c r="P89" s="184">
        <v>60000</v>
      </c>
      <c r="Q89" s="184">
        <v>60000</v>
      </c>
      <c r="R89" s="184">
        <v>0</v>
      </c>
      <c r="S89" s="184">
        <v>0</v>
      </c>
      <c r="T89" s="184">
        <v>0</v>
      </c>
      <c r="U89" s="184">
        <v>70000</v>
      </c>
      <c r="V89" s="184">
        <v>0</v>
      </c>
      <c r="W89" s="184">
        <v>3500</v>
      </c>
      <c r="X89" s="184">
        <v>6000</v>
      </c>
      <c r="Y89" s="184">
        <v>150000</v>
      </c>
      <c r="Z89" s="184">
        <v>20725.261777232343</v>
      </c>
      <c r="AA89" s="184">
        <v>34000</v>
      </c>
      <c r="AB89" s="184">
        <v>39000</v>
      </c>
      <c r="AC89" s="184">
        <v>0</v>
      </c>
      <c r="AD89" s="184">
        <v>0</v>
      </c>
      <c r="AE89" s="184">
        <v>60000</v>
      </c>
      <c r="AG89" s="184">
        <v>407725.26177723234</v>
      </c>
      <c r="AH89" s="184">
        <v>617725.2617772324</v>
      </c>
    </row>
    <row r="90" spans="1:34" ht="15" x14ac:dyDescent="0.25">
      <c r="A90" s="165" t="s">
        <v>263</v>
      </c>
      <c r="B90" s="164"/>
      <c r="C90" s="170" t="s">
        <v>27</v>
      </c>
      <c r="D90" s="170" t="s">
        <v>28</v>
      </c>
      <c r="E90" s="170">
        <v>2050</v>
      </c>
      <c r="F90" s="171" t="s">
        <v>29</v>
      </c>
      <c r="G90" s="171"/>
      <c r="H90" s="171" t="s">
        <v>149</v>
      </c>
      <c r="I90" s="180">
        <v>0</v>
      </c>
      <c r="J90" s="181">
        <v>0</v>
      </c>
      <c r="K90" s="181">
        <v>780</v>
      </c>
      <c r="L90" s="181">
        <v>0</v>
      </c>
      <c r="M90" s="188">
        <v>0</v>
      </c>
      <c r="N90" s="181">
        <v>3000</v>
      </c>
      <c r="O90" s="181">
        <v>0</v>
      </c>
      <c r="P90" s="181">
        <v>0</v>
      </c>
      <c r="Q90" s="181">
        <v>0</v>
      </c>
      <c r="R90" s="181">
        <v>0</v>
      </c>
      <c r="S90" s="181">
        <v>0</v>
      </c>
      <c r="T90" s="181">
        <v>0</v>
      </c>
      <c r="U90" s="181">
        <v>4000</v>
      </c>
      <c r="V90" s="181">
        <v>0</v>
      </c>
      <c r="W90" s="181">
        <v>0</v>
      </c>
      <c r="X90" s="181">
        <v>16000</v>
      </c>
      <c r="Y90" s="174">
        <v>700</v>
      </c>
      <c r="Z90" s="181">
        <v>0</v>
      </c>
      <c r="AA90" s="181">
        <v>0</v>
      </c>
      <c r="AB90" s="181">
        <v>0</v>
      </c>
      <c r="AC90" s="181">
        <v>0</v>
      </c>
      <c r="AD90" s="181">
        <v>0</v>
      </c>
      <c r="AE90" s="181">
        <v>40000</v>
      </c>
      <c r="AG90" s="181">
        <v>23780</v>
      </c>
      <c r="AH90" s="181">
        <v>64480</v>
      </c>
    </row>
    <row r="91" spans="1:34" ht="15" x14ac:dyDescent="0.25">
      <c r="A91" s="165" t="s">
        <v>263</v>
      </c>
      <c r="B91" s="164"/>
      <c r="C91" s="170" t="s">
        <v>27</v>
      </c>
      <c r="D91" s="170" t="s">
        <v>28</v>
      </c>
      <c r="E91" s="170">
        <v>2050</v>
      </c>
      <c r="F91" s="171" t="s">
        <v>29</v>
      </c>
      <c r="G91" s="171"/>
      <c r="H91" s="170" t="s">
        <v>148</v>
      </c>
      <c r="I91" s="180">
        <v>0</v>
      </c>
      <c r="J91" s="181">
        <v>0</v>
      </c>
      <c r="K91" s="181">
        <v>0</v>
      </c>
      <c r="L91" s="181">
        <v>0</v>
      </c>
      <c r="M91" s="188">
        <v>1500</v>
      </c>
      <c r="N91" s="181">
        <v>8000</v>
      </c>
      <c r="O91" s="181">
        <v>2500</v>
      </c>
      <c r="P91" s="181">
        <v>5000</v>
      </c>
      <c r="Q91" s="181">
        <v>0</v>
      </c>
      <c r="R91" s="181">
        <v>0</v>
      </c>
      <c r="S91" s="181">
        <v>0</v>
      </c>
      <c r="T91" s="181">
        <v>0</v>
      </c>
      <c r="U91" s="181">
        <v>0</v>
      </c>
      <c r="V91" s="181">
        <v>0</v>
      </c>
      <c r="W91" s="181">
        <v>0</v>
      </c>
      <c r="X91" s="181">
        <v>1000</v>
      </c>
      <c r="Y91" s="181">
        <v>0</v>
      </c>
      <c r="Z91" s="181">
        <v>0</v>
      </c>
      <c r="AA91" s="181">
        <v>0</v>
      </c>
      <c r="AB91" s="181">
        <v>0</v>
      </c>
      <c r="AC91" s="181">
        <v>0</v>
      </c>
      <c r="AD91" s="181">
        <v>0</v>
      </c>
      <c r="AE91" s="181">
        <v>23000</v>
      </c>
      <c r="AG91" s="181">
        <v>18000</v>
      </c>
      <c r="AH91" s="181">
        <v>41000</v>
      </c>
    </row>
    <row r="92" spans="1:34" ht="15" x14ac:dyDescent="0.25">
      <c r="A92" s="165" t="s">
        <v>263</v>
      </c>
      <c r="B92" s="164"/>
      <c r="C92" s="170" t="s">
        <v>27</v>
      </c>
      <c r="D92" s="170" t="s">
        <v>28</v>
      </c>
      <c r="E92" s="170">
        <v>2050</v>
      </c>
      <c r="F92" s="171" t="s">
        <v>29</v>
      </c>
      <c r="G92" s="171"/>
      <c r="H92" s="179" t="s">
        <v>33</v>
      </c>
      <c r="I92" s="180">
        <v>0</v>
      </c>
      <c r="J92" s="181">
        <v>0</v>
      </c>
      <c r="K92" s="181">
        <v>0</v>
      </c>
      <c r="L92" s="181">
        <v>0</v>
      </c>
      <c r="M92" s="188">
        <v>2000</v>
      </c>
      <c r="N92" s="181">
        <v>0</v>
      </c>
      <c r="O92" s="181">
        <v>0</v>
      </c>
      <c r="P92" s="181">
        <v>50</v>
      </c>
      <c r="Q92" s="181">
        <v>1000</v>
      </c>
      <c r="R92" s="181">
        <v>0</v>
      </c>
      <c r="S92" s="181">
        <v>0</v>
      </c>
      <c r="T92" s="181">
        <v>0</v>
      </c>
      <c r="U92" s="181">
        <v>12000</v>
      </c>
      <c r="V92" s="181">
        <v>500</v>
      </c>
      <c r="W92" s="181">
        <v>0</v>
      </c>
      <c r="X92" s="181">
        <v>1200</v>
      </c>
      <c r="Y92" s="181">
        <v>0</v>
      </c>
      <c r="Z92" s="181">
        <v>17275.77807300221</v>
      </c>
      <c r="AA92" s="181">
        <v>16000</v>
      </c>
      <c r="AB92" s="181">
        <v>0</v>
      </c>
      <c r="AC92" s="181">
        <v>30</v>
      </c>
      <c r="AD92" s="181">
        <v>0</v>
      </c>
      <c r="AE92" s="181">
        <v>0</v>
      </c>
      <c r="AG92" s="181">
        <v>50055.778073002206</v>
      </c>
      <c r="AH92" s="181">
        <v>50055.778073002206</v>
      </c>
    </row>
    <row r="93" spans="1:34" ht="15" x14ac:dyDescent="0.25">
      <c r="A93" s="165" t="s">
        <v>263</v>
      </c>
      <c r="B93" s="164"/>
      <c r="C93" s="170" t="s">
        <v>27</v>
      </c>
      <c r="D93" s="170" t="s">
        <v>28</v>
      </c>
      <c r="E93" s="170">
        <v>2050</v>
      </c>
      <c r="F93" s="171" t="s">
        <v>29</v>
      </c>
      <c r="G93" s="171"/>
      <c r="H93" s="171" t="s">
        <v>34</v>
      </c>
      <c r="I93" s="180">
        <v>0</v>
      </c>
      <c r="J93" s="181">
        <v>29847.999999999996</v>
      </c>
      <c r="K93" s="181">
        <v>0</v>
      </c>
      <c r="L93" s="181">
        <v>3000</v>
      </c>
      <c r="M93" s="188">
        <v>99455</v>
      </c>
      <c r="N93" s="181">
        <v>500</v>
      </c>
      <c r="O93" s="181">
        <v>1000</v>
      </c>
      <c r="P93" s="181">
        <v>0</v>
      </c>
      <c r="Q93" s="181">
        <v>10000</v>
      </c>
      <c r="R93" s="181">
        <v>0</v>
      </c>
      <c r="S93" s="181">
        <v>0</v>
      </c>
      <c r="T93" s="181">
        <v>3000</v>
      </c>
      <c r="U93" s="181">
        <v>90000</v>
      </c>
      <c r="V93" s="181">
        <v>0</v>
      </c>
      <c r="W93" s="181">
        <v>0</v>
      </c>
      <c r="X93" s="181">
        <v>52000</v>
      </c>
      <c r="Y93" s="181">
        <v>0</v>
      </c>
      <c r="Z93" s="181">
        <v>2077.8435936954015</v>
      </c>
      <c r="AA93" s="181">
        <v>84800</v>
      </c>
      <c r="AB93" s="181">
        <v>0</v>
      </c>
      <c r="AC93" s="181">
        <v>350</v>
      </c>
      <c r="AD93" s="181">
        <v>0</v>
      </c>
      <c r="AE93" s="181">
        <v>0</v>
      </c>
      <c r="AG93" s="181">
        <v>376030.84359369543</v>
      </c>
      <c r="AH93" s="181">
        <v>376030.84359369538</v>
      </c>
    </row>
    <row r="94" spans="1:34" ht="15" x14ac:dyDescent="0.25">
      <c r="A94" s="165" t="s">
        <v>264</v>
      </c>
      <c r="B94" s="164"/>
      <c r="C94" s="170" t="s">
        <v>27</v>
      </c>
      <c r="D94" s="170" t="s">
        <v>28</v>
      </c>
      <c r="E94" s="170">
        <v>2050</v>
      </c>
      <c r="F94" s="171" t="s">
        <v>29</v>
      </c>
      <c r="G94" s="171"/>
      <c r="H94" s="171" t="s">
        <v>31</v>
      </c>
      <c r="I94" s="180">
        <v>0</v>
      </c>
      <c r="J94" s="181">
        <v>9286.6666666666661</v>
      </c>
      <c r="K94" s="181">
        <v>140000</v>
      </c>
      <c r="L94" s="181">
        <v>44000</v>
      </c>
      <c r="M94" s="188">
        <v>120000</v>
      </c>
      <c r="N94" s="181">
        <v>50000</v>
      </c>
      <c r="O94" s="181">
        <v>15000</v>
      </c>
      <c r="P94" s="181">
        <v>1000</v>
      </c>
      <c r="Q94" s="181">
        <v>0</v>
      </c>
      <c r="R94" s="181">
        <v>0</v>
      </c>
      <c r="S94" s="181">
        <v>8500</v>
      </c>
      <c r="T94" s="181">
        <v>0</v>
      </c>
      <c r="U94" s="181">
        <v>140000</v>
      </c>
      <c r="V94" s="181">
        <v>2500</v>
      </c>
      <c r="W94" s="181">
        <v>17000</v>
      </c>
      <c r="X94" s="181">
        <v>12000</v>
      </c>
      <c r="Y94" s="181">
        <v>0</v>
      </c>
      <c r="Z94" s="181">
        <v>89195.854778837704</v>
      </c>
      <c r="AA94" s="181">
        <v>140000</v>
      </c>
      <c r="AB94" s="181">
        <v>0</v>
      </c>
      <c r="AC94" s="181">
        <v>5500</v>
      </c>
      <c r="AD94" s="181">
        <v>114400</v>
      </c>
      <c r="AE94" s="181">
        <v>0</v>
      </c>
      <c r="AG94" s="181">
        <v>908382.52144550439</v>
      </c>
      <c r="AH94" s="181">
        <v>908382.52144550439</v>
      </c>
    </row>
    <row r="95" spans="1:34" ht="15" x14ac:dyDescent="0.25">
      <c r="A95" s="165" t="s">
        <v>264</v>
      </c>
      <c r="B95" s="164"/>
      <c r="C95" s="175" t="s">
        <v>27</v>
      </c>
      <c r="D95" s="175" t="s">
        <v>28</v>
      </c>
      <c r="E95" s="175">
        <v>2050</v>
      </c>
      <c r="F95" s="176" t="s">
        <v>29</v>
      </c>
      <c r="G95" s="176"/>
      <c r="H95" s="176" t="s">
        <v>32</v>
      </c>
      <c r="I95" s="177">
        <v>0</v>
      </c>
      <c r="J95" s="184">
        <v>0</v>
      </c>
      <c r="K95" s="184">
        <v>0</v>
      </c>
      <c r="L95" s="184">
        <v>0</v>
      </c>
      <c r="M95" s="189">
        <v>120000</v>
      </c>
      <c r="N95" s="184">
        <v>80000</v>
      </c>
      <c r="O95" s="184">
        <v>29000</v>
      </c>
      <c r="P95" s="184">
        <v>120000</v>
      </c>
      <c r="Q95" s="184">
        <v>120000</v>
      </c>
      <c r="R95" s="184">
        <v>0</v>
      </c>
      <c r="S95" s="184">
        <v>23000</v>
      </c>
      <c r="T95" s="184">
        <v>0</v>
      </c>
      <c r="U95" s="184">
        <v>140000</v>
      </c>
      <c r="V95" s="184">
        <v>0</v>
      </c>
      <c r="W95" s="184">
        <v>7000</v>
      </c>
      <c r="X95" s="184">
        <v>12000</v>
      </c>
      <c r="Y95" s="184">
        <v>200000</v>
      </c>
      <c r="Z95" s="184">
        <v>41450.523554464686</v>
      </c>
      <c r="AA95" s="184">
        <v>68000</v>
      </c>
      <c r="AB95" s="184">
        <v>78000</v>
      </c>
      <c r="AC95" s="184">
        <v>0</v>
      </c>
      <c r="AD95" s="184">
        <v>0</v>
      </c>
      <c r="AE95" s="184">
        <v>120000</v>
      </c>
      <c r="AG95" s="184">
        <v>838450.52355446469</v>
      </c>
      <c r="AH95" s="184">
        <v>1158450.5235544648</v>
      </c>
    </row>
    <row r="96" spans="1:34" ht="15" x14ac:dyDescent="0.25">
      <c r="A96" s="164"/>
      <c r="B96" s="164"/>
      <c r="C96" s="170" t="s">
        <v>27</v>
      </c>
      <c r="D96" s="170" t="s">
        <v>28</v>
      </c>
      <c r="E96" s="170">
        <v>0</v>
      </c>
      <c r="F96" s="171" t="s">
        <v>29</v>
      </c>
      <c r="G96" s="171"/>
      <c r="H96" s="171" t="s">
        <v>272</v>
      </c>
      <c r="I96" s="180">
        <v>5</v>
      </c>
      <c r="J96" s="180"/>
      <c r="K96" s="180"/>
      <c r="L96" s="180"/>
      <c r="M96" s="185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1"/>
      <c r="Z96" s="180"/>
      <c r="AA96" s="180"/>
      <c r="AB96" s="180"/>
      <c r="AC96" s="180"/>
      <c r="AD96" s="180"/>
      <c r="AE96" s="181"/>
      <c r="AG96" s="180"/>
      <c r="AH96" s="180"/>
    </row>
    <row r="97" spans="1:34" ht="15" x14ac:dyDescent="0.25">
      <c r="A97" s="164"/>
      <c r="B97" s="164"/>
      <c r="C97" s="178"/>
      <c r="D97" s="178"/>
      <c r="E97" s="178"/>
      <c r="F97" s="179"/>
      <c r="G97" s="179"/>
      <c r="H97" s="179"/>
      <c r="I97" s="180"/>
      <c r="J97" s="180"/>
      <c r="K97" s="180"/>
      <c r="L97" s="180"/>
      <c r="M97" s="185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1"/>
      <c r="Z97" s="180"/>
      <c r="AA97" s="180"/>
      <c r="AB97" s="180"/>
      <c r="AC97" s="180"/>
      <c r="AD97" s="180"/>
      <c r="AE97" s="181"/>
      <c r="AG97" s="180"/>
      <c r="AH97" s="180"/>
    </row>
    <row r="105" spans="1:34" x14ac:dyDescent="0.2">
      <c r="C105" s="1" t="s">
        <v>275</v>
      </c>
    </row>
    <row r="108" spans="1:34" x14ac:dyDescent="0.2">
      <c r="E108" s="1" t="s">
        <v>138</v>
      </c>
      <c r="F108" s="1" t="s">
        <v>134</v>
      </c>
      <c r="G108" s="1" t="s">
        <v>134</v>
      </c>
      <c r="H108" s="1" t="s">
        <v>134</v>
      </c>
      <c r="I108" s="1" t="s">
        <v>134</v>
      </c>
      <c r="J108" s="1" t="s">
        <v>130</v>
      </c>
      <c r="K108" s="1" t="s">
        <v>129</v>
      </c>
      <c r="L108" s="1" t="s">
        <v>127</v>
      </c>
      <c r="M108" s="1" t="s">
        <v>126</v>
      </c>
      <c r="N108" s="1" t="s">
        <v>121</v>
      </c>
      <c r="O108" s="1" t="s">
        <v>111</v>
      </c>
      <c r="P108" s="1" t="s">
        <v>111</v>
      </c>
      <c r="Q108" s="1" t="s">
        <v>114</v>
      </c>
      <c r="R108" s="1" t="s">
        <v>114</v>
      </c>
      <c r="S108" s="1" t="s">
        <v>114</v>
      </c>
    </row>
    <row r="109" spans="1:34" x14ac:dyDescent="0.2">
      <c r="D109" s="1" t="s">
        <v>274</v>
      </c>
      <c r="E109" s="1" t="s">
        <v>149</v>
      </c>
      <c r="F109" s="1" t="s">
        <v>148</v>
      </c>
      <c r="G109" s="1" t="s">
        <v>149</v>
      </c>
      <c r="H109" s="1" t="s">
        <v>34</v>
      </c>
      <c r="I109" s="1" t="s">
        <v>31</v>
      </c>
      <c r="J109" s="1" t="s">
        <v>34</v>
      </c>
      <c r="K109" s="1" t="s">
        <v>148</v>
      </c>
      <c r="L109" s="1" t="s">
        <v>34</v>
      </c>
      <c r="M109" s="1" t="s">
        <v>149</v>
      </c>
      <c r="N109" s="1" t="s">
        <v>149</v>
      </c>
      <c r="O109" s="1" t="s">
        <v>32</v>
      </c>
      <c r="P109" s="1" t="s">
        <v>149</v>
      </c>
      <c r="Q109" s="1" t="s">
        <v>149</v>
      </c>
      <c r="R109" s="1" t="s">
        <v>32</v>
      </c>
      <c r="S109" s="1" t="s">
        <v>148</v>
      </c>
    </row>
    <row r="110" spans="1:34" x14ac:dyDescent="0.2">
      <c r="C110" s="1">
        <v>2025</v>
      </c>
      <c r="D110" s="191">
        <f>SUM(E110:S110)</f>
        <v>2200</v>
      </c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>
        <v>1500</v>
      </c>
      <c r="P110" s="191">
        <v>700</v>
      </c>
      <c r="Q110" s="191"/>
      <c r="R110" s="191"/>
      <c r="S110" s="191"/>
    </row>
    <row r="111" spans="1:34" x14ac:dyDescent="0.2">
      <c r="C111" s="1">
        <v>2026</v>
      </c>
      <c r="D111" s="191">
        <f t="shared" ref="D111:D145" si="7">SUM(E111:S111)</f>
        <v>11300</v>
      </c>
      <c r="E111" s="191"/>
      <c r="F111" s="191">
        <v>1500</v>
      </c>
      <c r="G111" s="191"/>
      <c r="H111" s="191"/>
      <c r="I111" s="191"/>
      <c r="J111" s="191"/>
      <c r="K111" s="191">
        <v>100</v>
      </c>
      <c r="L111" s="191"/>
      <c r="M111" s="191"/>
      <c r="N111" s="191">
        <v>2500</v>
      </c>
      <c r="O111" s="191">
        <v>1500</v>
      </c>
      <c r="P111" s="191">
        <v>700</v>
      </c>
      <c r="Q111" s="191"/>
      <c r="R111" s="191">
        <v>5000</v>
      </c>
      <c r="S111" s="191"/>
    </row>
    <row r="112" spans="1:34" x14ac:dyDescent="0.2">
      <c r="C112" s="1">
        <v>2027</v>
      </c>
      <c r="D112" s="191">
        <f t="shared" si="7"/>
        <v>49800</v>
      </c>
      <c r="E112" s="191"/>
      <c r="F112" s="191">
        <v>1500</v>
      </c>
      <c r="G112" s="191"/>
      <c r="H112" s="191"/>
      <c r="I112" s="191">
        <f>1150+1150+1000</f>
        <v>3300</v>
      </c>
      <c r="J112" s="191"/>
      <c r="K112" s="191">
        <v>500</v>
      </c>
      <c r="L112" s="191"/>
      <c r="M112" s="191"/>
      <c r="N112" s="191">
        <v>7500</v>
      </c>
      <c r="O112" s="191">
        <f>5200+7000</f>
        <v>12200</v>
      </c>
      <c r="P112" s="191">
        <v>700</v>
      </c>
      <c r="Q112" s="191">
        <f>10000+1000+4500</f>
        <v>15500</v>
      </c>
      <c r="R112" s="191">
        <v>5000</v>
      </c>
      <c r="S112" s="191">
        <v>3600</v>
      </c>
    </row>
    <row r="113" spans="3:28" x14ac:dyDescent="0.2">
      <c r="C113" s="192">
        <v>2028</v>
      </c>
      <c r="D113" s="193">
        <f t="shared" si="7"/>
        <v>87400</v>
      </c>
      <c r="E113" s="193">
        <v>600</v>
      </c>
      <c r="F113" s="193">
        <v>1500</v>
      </c>
      <c r="G113" s="193">
        <v>3000</v>
      </c>
      <c r="H113" s="193">
        <v>500</v>
      </c>
      <c r="I113" s="193">
        <f>1150+1150+1000</f>
        <v>3300</v>
      </c>
      <c r="J113" s="193"/>
      <c r="K113" s="193">
        <v>2500</v>
      </c>
      <c r="L113" s="193">
        <v>2500</v>
      </c>
      <c r="M113" s="193">
        <v>4000</v>
      </c>
      <c r="N113" s="193">
        <v>12500</v>
      </c>
      <c r="O113" s="193">
        <f>25200+7000</f>
        <v>32200</v>
      </c>
      <c r="P113" s="193">
        <v>700</v>
      </c>
      <c r="Q113" s="193">
        <f>10000+1000+4500</f>
        <v>15500</v>
      </c>
      <c r="R113" s="193">
        <v>5000</v>
      </c>
      <c r="S113" s="193">
        <v>3600</v>
      </c>
    </row>
    <row r="114" spans="3:28" x14ac:dyDescent="0.2">
      <c r="C114" s="1">
        <v>2029</v>
      </c>
      <c r="D114" s="191">
        <f t="shared" si="7"/>
        <v>102580</v>
      </c>
      <c r="E114" s="191">
        <v>780</v>
      </c>
      <c r="F114" s="191">
        <v>5000</v>
      </c>
      <c r="G114" s="191">
        <v>3000</v>
      </c>
      <c r="H114" s="191">
        <v>500</v>
      </c>
      <c r="I114" s="191">
        <f>1150+1150+1000</f>
        <v>3300</v>
      </c>
      <c r="J114" s="191"/>
      <c r="K114" s="191">
        <v>2500</v>
      </c>
      <c r="L114" s="191">
        <v>2500</v>
      </c>
      <c r="M114" s="191">
        <v>4000</v>
      </c>
      <c r="N114" s="191">
        <v>12500</v>
      </c>
      <c r="O114" s="191">
        <f>25200+7000</f>
        <v>32200</v>
      </c>
      <c r="P114" s="191">
        <v>700</v>
      </c>
      <c r="Q114" s="191">
        <f>10000+1000+4500</f>
        <v>15500</v>
      </c>
      <c r="R114" s="191">
        <v>15000</v>
      </c>
      <c r="S114" s="191">
        <f>3600+1500</f>
        <v>5100</v>
      </c>
    </row>
    <row r="115" spans="3:28" x14ac:dyDescent="0.2">
      <c r="C115" s="194">
        <v>2030</v>
      </c>
      <c r="D115" s="195">
        <f t="shared" si="7"/>
        <v>161180</v>
      </c>
      <c r="E115" s="195">
        <v>780</v>
      </c>
      <c r="F115" s="195">
        <v>8000</v>
      </c>
      <c r="G115" s="195">
        <v>3000</v>
      </c>
      <c r="H115" s="195">
        <v>500</v>
      </c>
      <c r="I115" s="195">
        <f>18000+7000</f>
        <v>25000</v>
      </c>
      <c r="J115" s="195"/>
      <c r="K115" s="195">
        <v>2500</v>
      </c>
      <c r="L115" s="195">
        <v>2500</v>
      </c>
      <c r="M115" s="195">
        <v>4000</v>
      </c>
      <c r="N115" s="195">
        <v>12500</v>
      </c>
      <c r="O115" s="196">
        <f>37200+7000+9000</f>
        <v>53200</v>
      </c>
      <c r="P115" s="196">
        <v>700</v>
      </c>
      <c r="Q115" s="196">
        <f>10000+1000+10000</f>
        <v>21000</v>
      </c>
      <c r="R115" s="197">
        <v>15000</v>
      </c>
      <c r="S115" s="197">
        <v>12500</v>
      </c>
      <c r="T115" s="36"/>
      <c r="U115" s="36"/>
      <c r="V115" s="36"/>
      <c r="W115" s="36"/>
      <c r="X115" s="36"/>
      <c r="Y115" s="36"/>
      <c r="Z115" s="36"/>
      <c r="AA115" s="36"/>
      <c r="AB115" s="36"/>
    </row>
    <row r="116" spans="3:28" x14ac:dyDescent="0.2">
      <c r="C116" s="1">
        <v>2031</v>
      </c>
      <c r="D116" s="191">
        <f t="shared" si="7"/>
        <v>170680</v>
      </c>
      <c r="E116" s="191">
        <v>780</v>
      </c>
      <c r="F116" s="191">
        <v>8000</v>
      </c>
      <c r="G116" s="191">
        <v>3000</v>
      </c>
      <c r="H116" s="191">
        <v>500</v>
      </c>
      <c r="I116" s="191">
        <f>18000+7000</f>
        <v>25000</v>
      </c>
      <c r="J116" s="191">
        <v>2500</v>
      </c>
      <c r="K116" s="191">
        <v>2500</v>
      </c>
      <c r="L116" s="191">
        <v>2500</v>
      </c>
      <c r="M116" s="191">
        <v>4000</v>
      </c>
      <c r="N116" s="191">
        <f>7500+8000</f>
        <v>15500</v>
      </c>
      <c r="O116" s="191">
        <f>37200+7000+9000</f>
        <v>53200</v>
      </c>
      <c r="P116" s="191">
        <v>700</v>
      </c>
      <c r="Q116" s="191">
        <f>15000+10000</f>
        <v>25000</v>
      </c>
      <c r="R116" s="191">
        <v>15000</v>
      </c>
      <c r="S116" s="191">
        <v>12500</v>
      </c>
    </row>
    <row r="117" spans="3:28" x14ac:dyDescent="0.2">
      <c r="C117" s="1">
        <v>2032</v>
      </c>
      <c r="D117" s="191">
        <f t="shared" si="7"/>
        <v>170680</v>
      </c>
      <c r="E117" s="191">
        <v>780</v>
      </c>
      <c r="F117" s="191">
        <v>8000</v>
      </c>
      <c r="G117" s="191">
        <v>3000</v>
      </c>
      <c r="H117" s="191">
        <v>500</v>
      </c>
      <c r="I117" s="191">
        <f>18000+7000</f>
        <v>25000</v>
      </c>
      <c r="J117" s="191">
        <v>2500</v>
      </c>
      <c r="K117" s="191">
        <v>2500</v>
      </c>
      <c r="L117" s="191">
        <v>2500</v>
      </c>
      <c r="M117" s="191">
        <v>4000</v>
      </c>
      <c r="N117" s="191">
        <f>7500+8000</f>
        <v>15500</v>
      </c>
      <c r="O117" s="191">
        <f>37200+7000+9000</f>
        <v>53200</v>
      </c>
      <c r="P117" s="191">
        <v>700</v>
      </c>
      <c r="Q117" s="191">
        <v>25000</v>
      </c>
      <c r="R117" s="191">
        <v>15000</v>
      </c>
      <c r="S117" s="191">
        <v>12500</v>
      </c>
    </row>
    <row r="118" spans="3:28" x14ac:dyDescent="0.2">
      <c r="C118" s="1">
        <v>2033</v>
      </c>
      <c r="D118" s="191">
        <f t="shared" si="7"/>
        <v>170680</v>
      </c>
      <c r="E118" s="191">
        <v>780</v>
      </c>
      <c r="F118" s="191">
        <v>8000</v>
      </c>
      <c r="G118" s="191">
        <v>3000</v>
      </c>
      <c r="H118" s="191">
        <v>500</v>
      </c>
      <c r="I118" s="191">
        <v>25000</v>
      </c>
      <c r="J118" s="191">
        <v>2500</v>
      </c>
      <c r="K118" s="191">
        <v>2500</v>
      </c>
      <c r="L118" s="191">
        <v>2500</v>
      </c>
      <c r="M118" s="191">
        <v>4000</v>
      </c>
      <c r="N118" s="191">
        <v>15500</v>
      </c>
      <c r="O118" s="191">
        <f>37200+7000+9000</f>
        <v>53200</v>
      </c>
      <c r="P118" s="191">
        <v>700</v>
      </c>
      <c r="Q118" s="191">
        <v>25000</v>
      </c>
      <c r="R118" s="191">
        <v>15000</v>
      </c>
      <c r="S118" s="191">
        <v>12500</v>
      </c>
    </row>
    <row r="119" spans="3:28" x14ac:dyDescent="0.2">
      <c r="C119" s="1">
        <v>2034</v>
      </c>
      <c r="D119" s="191">
        <f t="shared" si="7"/>
        <v>179180</v>
      </c>
      <c r="E119" s="191">
        <v>780</v>
      </c>
      <c r="F119" s="191">
        <v>8000</v>
      </c>
      <c r="G119" s="191">
        <v>3000</v>
      </c>
      <c r="H119" s="191">
        <v>500</v>
      </c>
      <c r="I119" s="191">
        <v>25000</v>
      </c>
      <c r="J119" s="191">
        <v>2500</v>
      </c>
      <c r="K119" s="191">
        <v>2500</v>
      </c>
      <c r="L119" s="191">
        <v>2500</v>
      </c>
      <c r="M119" s="191">
        <v>4000</v>
      </c>
      <c r="N119" s="191">
        <v>15500</v>
      </c>
      <c r="O119" s="191">
        <f>37200+7000+9000</f>
        <v>53200</v>
      </c>
      <c r="P119" s="191">
        <v>700</v>
      </c>
      <c r="Q119" s="191">
        <v>25000</v>
      </c>
      <c r="R119" s="191">
        <v>15000</v>
      </c>
      <c r="S119" s="191">
        <v>21000</v>
      </c>
    </row>
    <row r="120" spans="3:28" x14ac:dyDescent="0.2">
      <c r="C120" s="198">
        <v>2035</v>
      </c>
      <c r="D120" s="199">
        <f t="shared" si="7"/>
        <v>191180</v>
      </c>
      <c r="E120" s="199">
        <v>780</v>
      </c>
      <c r="F120" s="199">
        <v>8000</v>
      </c>
      <c r="G120" s="199">
        <v>3000</v>
      </c>
      <c r="H120" s="199">
        <v>500</v>
      </c>
      <c r="I120" s="199">
        <v>25000</v>
      </c>
      <c r="J120" s="199">
        <v>2500</v>
      </c>
      <c r="K120" s="199">
        <v>2500</v>
      </c>
      <c r="L120" s="199">
        <v>2500</v>
      </c>
      <c r="M120" s="199">
        <v>4000</v>
      </c>
      <c r="N120" s="199">
        <v>15500</v>
      </c>
      <c r="O120" s="199">
        <f>O119+10000</f>
        <v>63200</v>
      </c>
      <c r="P120" s="199">
        <v>700</v>
      </c>
      <c r="Q120" s="199">
        <v>25000</v>
      </c>
      <c r="R120" s="200">
        <v>15000</v>
      </c>
      <c r="S120" s="200">
        <v>23000</v>
      </c>
      <c r="T120" s="201"/>
      <c r="U120" s="201"/>
      <c r="V120" s="201"/>
      <c r="W120" s="201"/>
      <c r="X120" s="201"/>
      <c r="Y120" s="201"/>
      <c r="Z120" s="201"/>
      <c r="AA120" s="201"/>
      <c r="AB120" s="201"/>
    </row>
    <row r="121" spans="3:28" x14ac:dyDescent="0.2">
      <c r="C121" s="1">
        <v>2036</v>
      </c>
      <c r="D121" s="191">
        <f t="shared" si="7"/>
        <v>191180</v>
      </c>
      <c r="E121" s="191">
        <v>780</v>
      </c>
      <c r="F121" s="191">
        <v>8000</v>
      </c>
      <c r="G121" s="191">
        <v>3000</v>
      </c>
      <c r="H121" s="191">
        <v>500</v>
      </c>
      <c r="I121" s="191">
        <v>25000</v>
      </c>
      <c r="J121" s="191">
        <v>2500</v>
      </c>
      <c r="K121" s="191">
        <v>2500</v>
      </c>
      <c r="L121" s="191">
        <v>2500</v>
      </c>
      <c r="M121" s="191">
        <v>4000</v>
      </c>
      <c r="N121" s="191">
        <v>15500</v>
      </c>
      <c r="O121" s="191">
        <v>63200</v>
      </c>
      <c r="P121" s="191">
        <v>700</v>
      </c>
      <c r="Q121" s="191">
        <v>25000</v>
      </c>
      <c r="R121" s="191">
        <v>15000</v>
      </c>
      <c r="S121" s="191">
        <v>23000</v>
      </c>
    </row>
    <row r="122" spans="3:28" x14ac:dyDescent="0.2">
      <c r="C122" s="1">
        <v>2037</v>
      </c>
      <c r="D122" s="191">
        <f t="shared" si="7"/>
        <v>191180</v>
      </c>
      <c r="E122" s="191">
        <v>780</v>
      </c>
      <c r="F122" s="191">
        <v>8000</v>
      </c>
      <c r="G122" s="191">
        <v>3000</v>
      </c>
      <c r="H122" s="191">
        <v>500</v>
      </c>
      <c r="I122" s="191">
        <v>25000</v>
      </c>
      <c r="J122" s="191">
        <v>2500</v>
      </c>
      <c r="K122" s="191">
        <v>2500</v>
      </c>
      <c r="L122" s="191">
        <v>2500</v>
      </c>
      <c r="M122" s="191">
        <v>4000</v>
      </c>
      <c r="N122" s="191">
        <v>15500</v>
      </c>
      <c r="O122" s="191">
        <v>63200</v>
      </c>
      <c r="P122" s="191">
        <v>700</v>
      </c>
      <c r="Q122" s="191">
        <v>25000</v>
      </c>
      <c r="R122" s="191">
        <v>15000</v>
      </c>
      <c r="S122" s="191">
        <v>23000</v>
      </c>
    </row>
    <row r="123" spans="3:28" x14ac:dyDescent="0.2">
      <c r="C123" s="1">
        <v>2038</v>
      </c>
      <c r="D123" s="191">
        <f t="shared" si="7"/>
        <v>191180</v>
      </c>
      <c r="E123" s="191">
        <v>780</v>
      </c>
      <c r="F123" s="191">
        <v>8000</v>
      </c>
      <c r="G123" s="191">
        <v>3000</v>
      </c>
      <c r="H123" s="191">
        <v>500</v>
      </c>
      <c r="I123" s="191">
        <v>25000</v>
      </c>
      <c r="J123" s="191">
        <v>2500</v>
      </c>
      <c r="K123" s="191">
        <v>2500</v>
      </c>
      <c r="L123" s="191">
        <v>2500</v>
      </c>
      <c r="M123" s="191">
        <v>4000</v>
      </c>
      <c r="N123" s="191">
        <v>15500</v>
      </c>
      <c r="O123" s="191">
        <v>63200</v>
      </c>
      <c r="P123" s="191">
        <v>700</v>
      </c>
      <c r="Q123" s="191">
        <v>25000</v>
      </c>
      <c r="R123" s="191">
        <v>15000</v>
      </c>
      <c r="S123" s="191">
        <v>23000</v>
      </c>
    </row>
    <row r="124" spans="3:28" x14ac:dyDescent="0.2">
      <c r="C124" s="1">
        <v>2039</v>
      </c>
      <c r="D124" s="191">
        <f t="shared" si="7"/>
        <v>191180</v>
      </c>
      <c r="E124" s="191">
        <v>780</v>
      </c>
      <c r="F124" s="191">
        <v>8000</v>
      </c>
      <c r="G124" s="191">
        <v>3000</v>
      </c>
      <c r="H124" s="191">
        <v>500</v>
      </c>
      <c r="I124" s="191">
        <v>25000</v>
      </c>
      <c r="J124" s="191">
        <v>2500</v>
      </c>
      <c r="K124" s="191">
        <v>2500</v>
      </c>
      <c r="L124" s="191">
        <v>2500</v>
      </c>
      <c r="M124" s="191">
        <v>4000</v>
      </c>
      <c r="N124" s="191">
        <v>15500</v>
      </c>
      <c r="O124" s="191">
        <v>63200</v>
      </c>
      <c r="P124" s="191">
        <v>700</v>
      </c>
      <c r="Q124" s="191">
        <v>25000</v>
      </c>
      <c r="R124" s="191">
        <v>15000</v>
      </c>
      <c r="S124" s="191">
        <v>23000</v>
      </c>
    </row>
    <row r="125" spans="3:28" x14ac:dyDescent="0.2">
      <c r="C125" s="202">
        <v>2040</v>
      </c>
      <c r="D125" s="203">
        <f t="shared" si="7"/>
        <v>191180</v>
      </c>
      <c r="E125" s="203">
        <v>780</v>
      </c>
      <c r="F125" s="203">
        <v>8000</v>
      </c>
      <c r="G125" s="203">
        <v>3000</v>
      </c>
      <c r="H125" s="203">
        <v>500</v>
      </c>
      <c r="I125" s="203">
        <v>25000</v>
      </c>
      <c r="J125" s="203">
        <v>2500</v>
      </c>
      <c r="K125" s="203">
        <v>2500</v>
      </c>
      <c r="L125" s="203">
        <v>2500</v>
      </c>
      <c r="M125" s="203">
        <v>4000</v>
      </c>
      <c r="N125" s="203">
        <v>15500</v>
      </c>
      <c r="O125" s="203">
        <v>63200</v>
      </c>
      <c r="P125" s="203">
        <v>700</v>
      </c>
      <c r="Q125" s="203">
        <v>25000</v>
      </c>
      <c r="R125" s="191">
        <v>15000</v>
      </c>
      <c r="S125" s="191">
        <v>23000</v>
      </c>
    </row>
    <row r="126" spans="3:28" x14ac:dyDescent="0.2">
      <c r="C126" s="1">
        <v>2041</v>
      </c>
      <c r="D126" s="191">
        <f t="shared" si="7"/>
        <v>195180</v>
      </c>
      <c r="E126" s="191">
        <v>780</v>
      </c>
      <c r="F126" s="191">
        <v>8000</v>
      </c>
      <c r="G126" s="191">
        <v>3000</v>
      </c>
      <c r="H126" s="191">
        <v>500</v>
      </c>
      <c r="I126" s="191">
        <v>25000</v>
      </c>
      <c r="J126" s="191">
        <v>2500</v>
      </c>
      <c r="K126" s="191">
        <v>2500</v>
      </c>
      <c r="L126" s="191">
        <v>2500</v>
      </c>
      <c r="M126" s="191">
        <v>4000</v>
      </c>
      <c r="N126" s="191">
        <v>15500</v>
      </c>
      <c r="O126" s="191">
        <v>63200</v>
      </c>
      <c r="P126" s="191">
        <v>700</v>
      </c>
      <c r="Q126" s="191">
        <v>25000</v>
      </c>
      <c r="R126" s="191">
        <v>15000</v>
      </c>
      <c r="S126" s="191">
        <v>27000</v>
      </c>
    </row>
    <row r="127" spans="3:28" x14ac:dyDescent="0.2">
      <c r="C127" s="1">
        <v>2042</v>
      </c>
      <c r="D127" s="191">
        <f t="shared" si="7"/>
        <v>195180</v>
      </c>
      <c r="E127" s="191">
        <v>780</v>
      </c>
      <c r="F127" s="191">
        <v>8000</v>
      </c>
      <c r="G127" s="191">
        <v>3000</v>
      </c>
      <c r="H127" s="191">
        <v>500</v>
      </c>
      <c r="I127" s="191">
        <v>25000</v>
      </c>
      <c r="J127" s="191">
        <v>2500</v>
      </c>
      <c r="K127" s="191">
        <v>2500</v>
      </c>
      <c r="L127" s="191">
        <v>2500</v>
      </c>
      <c r="M127" s="191">
        <v>4000</v>
      </c>
      <c r="N127" s="191">
        <v>15500</v>
      </c>
      <c r="O127" s="191">
        <v>63200</v>
      </c>
      <c r="P127" s="191">
        <v>700</v>
      </c>
      <c r="Q127" s="191">
        <v>25000</v>
      </c>
      <c r="R127" s="191">
        <v>15000</v>
      </c>
      <c r="S127" s="191">
        <v>27000</v>
      </c>
    </row>
    <row r="128" spans="3:28" x14ac:dyDescent="0.2">
      <c r="C128" s="1">
        <v>2043</v>
      </c>
      <c r="D128" s="191">
        <f t="shared" si="7"/>
        <v>195180</v>
      </c>
      <c r="E128" s="191">
        <v>780</v>
      </c>
      <c r="F128" s="191">
        <v>8000</v>
      </c>
      <c r="G128" s="191">
        <v>3000</v>
      </c>
      <c r="H128" s="191">
        <v>500</v>
      </c>
      <c r="I128" s="191">
        <v>25000</v>
      </c>
      <c r="J128" s="191">
        <v>2500</v>
      </c>
      <c r="K128" s="191">
        <v>2500</v>
      </c>
      <c r="L128" s="191">
        <v>2500</v>
      </c>
      <c r="M128" s="191">
        <v>4000</v>
      </c>
      <c r="N128" s="191">
        <v>15500</v>
      </c>
      <c r="O128" s="191">
        <v>63200</v>
      </c>
      <c r="P128" s="191">
        <v>700</v>
      </c>
      <c r="Q128" s="191">
        <v>25000</v>
      </c>
      <c r="R128" s="191">
        <v>15000</v>
      </c>
      <c r="S128" s="191">
        <v>27000</v>
      </c>
    </row>
    <row r="129" spans="3:19" x14ac:dyDescent="0.2">
      <c r="C129" s="1">
        <v>2044</v>
      </c>
      <c r="D129" s="191">
        <f t="shared" si="7"/>
        <v>195180</v>
      </c>
      <c r="E129" s="191">
        <v>780</v>
      </c>
      <c r="F129" s="191">
        <v>8000</v>
      </c>
      <c r="G129" s="191">
        <v>3000</v>
      </c>
      <c r="H129" s="191">
        <v>500</v>
      </c>
      <c r="I129" s="191">
        <v>25000</v>
      </c>
      <c r="J129" s="191">
        <v>2500</v>
      </c>
      <c r="K129" s="191">
        <v>2500</v>
      </c>
      <c r="L129" s="191">
        <v>2500</v>
      </c>
      <c r="M129" s="191">
        <v>4000</v>
      </c>
      <c r="N129" s="191">
        <v>15500</v>
      </c>
      <c r="O129" s="191">
        <v>63200</v>
      </c>
      <c r="P129" s="191">
        <v>700</v>
      </c>
      <c r="Q129" s="191">
        <v>25000</v>
      </c>
      <c r="R129" s="191">
        <v>15000</v>
      </c>
      <c r="S129" s="191">
        <v>27000</v>
      </c>
    </row>
    <row r="130" spans="3:19" x14ac:dyDescent="0.2">
      <c r="C130" s="204">
        <v>2045</v>
      </c>
      <c r="D130" s="205">
        <f t="shared" si="7"/>
        <v>195180</v>
      </c>
      <c r="E130" s="205">
        <v>780</v>
      </c>
      <c r="F130" s="205">
        <v>8000</v>
      </c>
      <c r="G130" s="205">
        <v>3000</v>
      </c>
      <c r="H130" s="205">
        <v>500</v>
      </c>
      <c r="I130" s="205">
        <v>25000</v>
      </c>
      <c r="J130" s="205">
        <v>2500</v>
      </c>
      <c r="K130" s="205">
        <v>2500</v>
      </c>
      <c r="L130" s="205">
        <v>2500</v>
      </c>
      <c r="M130" s="205">
        <v>4000</v>
      </c>
      <c r="N130" s="205">
        <v>15500</v>
      </c>
      <c r="O130" s="205">
        <v>63200</v>
      </c>
      <c r="P130" s="205">
        <v>700</v>
      </c>
      <c r="Q130" s="205">
        <v>25000</v>
      </c>
      <c r="R130" s="191">
        <v>15000</v>
      </c>
      <c r="S130" s="191">
        <v>27000</v>
      </c>
    </row>
    <row r="131" spans="3:19" x14ac:dyDescent="0.2">
      <c r="C131" s="1">
        <v>2046</v>
      </c>
      <c r="D131" s="191">
        <f t="shared" si="7"/>
        <v>200180</v>
      </c>
      <c r="E131" s="191">
        <v>780</v>
      </c>
      <c r="F131" s="191">
        <v>8000</v>
      </c>
      <c r="G131" s="191">
        <v>3000</v>
      </c>
      <c r="H131" s="191">
        <v>500</v>
      </c>
      <c r="I131" s="191">
        <v>25000</v>
      </c>
      <c r="J131" s="191">
        <v>2500</v>
      </c>
      <c r="K131" s="191">
        <v>2500</v>
      </c>
      <c r="L131" s="191">
        <v>2500</v>
      </c>
      <c r="M131" s="191">
        <v>4000</v>
      </c>
      <c r="N131" s="191">
        <v>15500</v>
      </c>
      <c r="O131" s="191">
        <v>63200</v>
      </c>
      <c r="P131" s="191">
        <v>700</v>
      </c>
      <c r="Q131" s="191">
        <v>25000</v>
      </c>
      <c r="R131" s="191">
        <v>15000</v>
      </c>
      <c r="S131" s="191">
        <v>32000</v>
      </c>
    </row>
    <row r="132" spans="3:19" x14ac:dyDescent="0.2">
      <c r="C132" s="1">
        <v>2047</v>
      </c>
      <c r="D132" s="191">
        <f t="shared" si="7"/>
        <v>200180</v>
      </c>
      <c r="E132" s="191">
        <v>780</v>
      </c>
      <c r="F132" s="191">
        <v>8000</v>
      </c>
      <c r="G132" s="191">
        <v>3000</v>
      </c>
      <c r="H132" s="191">
        <v>500</v>
      </c>
      <c r="I132" s="191">
        <v>25000</v>
      </c>
      <c r="J132" s="191">
        <v>2500</v>
      </c>
      <c r="K132" s="191">
        <v>2500</v>
      </c>
      <c r="L132" s="191">
        <v>2500</v>
      </c>
      <c r="M132" s="191">
        <v>4000</v>
      </c>
      <c r="N132" s="191">
        <v>15500</v>
      </c>
      <c r="O132" s="191">
        <v>63200</v>
      </c>
      <c r="P132" s="191">
        <v>700</v>
      </c>
      <c r="Q132" s="191">
        <v>25000</v>
      </c>
      <c r="R132" s="191">
        <v>15000</v>
      </c>
      <c r="S132" s="191">
        <v>32000</v>
      </c>
    </row>
    <row r="133" spans="3:19" x14ac:dyDescent="0.2">
      <c r="C133" s="1">
        <v>2048</v>
      </c>
      <c r="D133" s="191">
        <f t="shared" si="7"/>
        <v>200180</v>
      </c>
      <c r="E133" s="191">
        <v>780</v>
      </c>
      <c r="F133" s="191">
        <v>8000</v>
      </c>
      <c r="G133" s="191">
        <v>3000</v>
      </c>
      <c r="H133" s="191">
        <v>500</v>
      </c>
      <c r="I133" s="191">
        <v>25000</v>
      </c>
      <c r="J133" s="191">
        <v>2500</v>
      </c>
      <c r="K133" s="191">
        <v>2500</v>
      </c>
      <c r="L133" s="191">
        <v>2500</v>
      </c>
      <c r="M133" s="191">
        <v>4000</v>
      </c>
      <c r="N133" s="191">
        <v>15500</v>
      </c>
      <c r="O133" s="191">
        <v>63200</v>
      </c>
      <c r="P133" s="191">
        <v>700</v>
      </c>
      <c r="Q133" s="191">
        <v>25000</v>
      </c>
      <c r="R133" s="191">
        <v>15000</v>
      </c>
      <c r="S133" s="191">
        <v>32000</v>
      </c>
    </row>
    <row r="134" spans="3:19" x14ac:dyDescent="0.2">
      <c r="C134" s="1">
        <v>2049</v>
      </c>
      <c r="D134" s="191">
        <f t="shared" si="7"/>
        <v>200180</v>
      </c>
      <c r="E134" s="191">
        <v>780</v>
      </c>
      <c r="F134" s="191">
        <v>8000</v>
      </c>
      <c r="G134" s="191">
        <v>3000</v>
      </c>
      <c r="H134" s="191">
        <v>500</v>
      </c>
      <c r="I134" s="191">
        <v>25000</v>
      </c>
      <c r="J134" s="191">
        <v>2500</v>
      </c>
      <c r="K134" s="191">
        <v>2500</v>
      </c>
      <c r="L134" s="191">
        <v>2500</v>
      </c>
      <c r="M134" s="191">
        <v>4000</v>
      </c>
      <c r="N134" s="191">
        <v>15500</v>
      </c>
      <c r="O134" s="191">
        <v>63200</v>
      </c>
      <c r="P134" s="191">
        <v>700</v>
      </c>
      <c r="Q134" s="191">
        <v>25000</v>
      </c>
      <c r="R134" s="191">
        <v>15000</v>
      </c>
      <c r="S134" s="191">
        <v>32000</v>
      </c>
    </row>
    <row r="135" spans="3:19" x14ac:dyDescent="0.2">
      <c r="C135" s="202">
        <v>2050</v>
      </c>
      <c r="D135" s="203">
        <f t="shared" si="7"/>
        <v>200180</v>
      </c>
      <c r="E135" s="203">
        <v>780</v>
      </c>
      <c r="F135" s="203">
        <v>8000</v>
      </c>
      <c r="G135" s="203">
        <v>3000</v>
      </c>
      <c r="H135" s="203">
        <v>500</v>
      </c>
      <c r="I135" s="203">
        <v>25000</v>
      </c>
      <c r="J135" s="203">
        <v>2500</v>
      </c>
      <c r="K135" s="203">
        <v>2500</v>
      </c>
      <c r="L135" s="203">
        <v>2500</v>
      </c>
      <c r="M135" s="203">
        <v>4000</v>
      </c>
      <c r="N135" s="203">
        <v>15500</v>
      </c>
      <c r="O135" s="203">
        <v>63200</v>
      </c>
      <c r="P135" s="203">
        <v>700</v>
      </c>
      <c r="Q135" s="203">
        <v>25000</v>
      </c>
      <c r="R135" s="191">
        <v>15000</v>
      </c>
      <c r="S135" s="191">
        <v>32000</v>
      </c>
    </row>
    <row r="136" spans="3:19" x14ac:dyDescent="0.2">
      <c r="C136" s="1">
        <v>2051</v>
      </c>
      <c r="D136" s="191">
        <f t="shared" si="7"/>
        <v>190180</v>
      </c>
      <c r="E136" s="191">
        <v>780</v>
      </c>
      <c r="F136" s="191">
        <v>8000</v>
      </c>
      <c r="G136" s="191">
        <v>3000</v>
      </c>
      <c r="H136" s="191">
        <v>500</v>
      </c>
      <c r="I136" s="191">
        <v>25000</v>
      </c>
      <c r="J136" s="191">
        <v>2500</v>
      </c>
      <c r="K136" s="191">
        <v>2500</v>
      </c>
      <c r="L136" s="191">
        <v>2500</v>
      </c>
      <c r="M136" s="191">
        <v>4000</v>
      </c>
      <c r="N136" s="191">
        <v>15500</v>
      </c>
      <c r="O136" s="191">
        <v>63200</v>
      </c>
      <c r="P136" s="191">
        <v>700</v>
      </c>
      <c r="Q136" s="191">
        <v>15000</v>
      </c>
      <c r="R136" s="191">
        <v>15000</v>
      </c>
      <c r="S136" s="191">
        <v>32000</v>
      </c>
    </row>
    <row r="137" spans="3:19" x14ac:dyDescent="0.2">
      <c r="C137" s="1">
        <v>2052</v>
      </c>
      <c r="D137" s="191">
        <f t="shared" si="7"/>
        <v>190180</v>
      </c>
      <c r="E137" s="191">
        <v>780</v>
      </c>
      <c r="F137" s="191">
        <v>8000</v>
      </c>
      <c r="G137" s="191">
        <v>3000</v>
      </c>
      <c r="H137" s="191">
        <v>500</v>
      </c>
      <c r="I137" s="191">
        <v>25000</v>
      </c>
      <c r="J137" s="191">
        <v>2500</v>
      </c>
      <c r="K137" s="191">
        <v>2500</v>
      </c>
      <c r="L137" s="191">
        <v>2500</v>
      </c>
      <c r="M137" s="191">
        <v>4000</v>
      </c>
      <c r="N137" s="191">
        <v>15500</v>
      </c>
      <c r="O137" s="191">
        <v>63200</v>
      </c>
      <c r="P137" s="191">
        <v>700</v>
      </c>
      <c r="Q137" s="191">
        <v>15000</v>
      </c>
      <c r="R137" s="191">
        <v>15000</v>
      </c>
      <c r="S137" s="191">
        <v>32000</v>
      </c>
    </row>
    <row r="138" spans="3:19" x14ac:dyDescent="0.2">
      <c r="C138" s="1">
        <v>2053</v>
      </c>
      <c r="D138" s="191">
        <f t="shared" si="7"/>
        <v>190180</v>
      </c>
      <c r="E138" s="191">
        <v>780</v>
      </c>
      <c r="F138" s="191">
        <v>8000</v>
      </c>
      <c r="G138" s="191">
        <v>3000</v>
      </c>
      <c r="H138" s="191">
        <v>500</v>
      </c>
      <c r="I138" s="191">
        <v>25000</v>
      </c>
      <c r="J138" s="191">
        <v>2500</v>
      </c>
      <c r="K138" s="191">
        <v>2500</v>
      </c>
      <c r="L138" s="191">
        <v>2500</v>
      </c>
      <c r="M138" s="191">
        <v>4000</v>
      </c>
      <c r="N138" s="191">
        <v>15500</v>
      </c>
      <c r="O138" s="191">
        <v>63200</v>
      </c>
      <c r="P138" s="191">
        <v>700</v>
      </c>
      <c r="Q138" s="191">
        <v>15000</v>
      </c>
      <c r="R138" s="191">
        <v>15000</v>
      </c>
      <c r="S138" s="191">
        <v>32000</v>
      </c>
    </row>
    <row r="139" spans="3:19" x14ac:dyDescent="0.2">
      <c r="C139" s="1">
        <v>2054</v>
      </c>
      <c r="D139" s="191">
        <f t="shared" si="7"/>
        <v>190180</v>
      </c>
      <c r="E139" s="191">
        <v>780</v>
      </c>
      <c r="F139" s="191">
        <v>8000</v>
      </c>
      <c r="G139" s="191">
        <v>3000</v>
      </c>
      <c r="H139" s="191">
        <v>500</v>
      </c>
      <c r="I139" s="191">
        <v>25000</v>
      </c>
      <c r="J139" s="191">
        <v>2500</v>
      </c>
      <c r="K139" s="191">
        <v>2500</v>
      </c>
      <c r="L139" s="191">
        <v>2500</v>
      </c>
      <c r="M139" s="191">
        <v>4000</v>
      </c>
      <c r="N139" s="191">
        <v>15500</v>
      </c>
      <c r="O139" s="191">
        <v>63200</v>
      </c>
      <c r="P139" s="191">
        <v>700</v>
      </c>
      <c r="Q139" s="191">
        <v>15000</v>
      </c>
      <c r="R139" s="191">
        <v>15000</v>
      </c>
      <c r="S139" s="191">
        <v>32000</v>
      </c>
    </row>
    <row r="140" spans="3:19" x14ac:dyDescent="0.2">
      <c r="C140" s="202">
        <v>2055</v>
      </c>
      <c r="D140" s="203">
        <f t="shared" si="7"/>
        <v>183180</v>
      </c>
      <c r="E140" s="203">
        <v>780</v>
      </c>
      <c r="F140" s="203">
        <v>8000</v>
      </c>
      <c r="G140" s="203">
        <v>3000</v>
      </c>
      <c r="H140" s="203">
        <v>500</v>
      </c>
      <c r="I140" s="203">
        <v>25000</v>
      </c>
      <c r="J140" s="203">
        <v>2500</v>
      </c>
      <c r="K140" s="203">
        <v>2500</v>
      </c>
      <c r="L140" s="203">
        <v>2500</v>
      </c>
      <c r="M140" s="203">
        <v>4000</v>
      </c>
      <c r="N140" s="203">
        <v>15500</v>
      </c>
      <c r="O140" s="203">
        <v>63200</v>
      </c>
      <c r="P140" s="203">
        <v>700</v>
      </c>
      <c r="Q140" s="203">
        <v>15000</v>
      </c>
      <c r="R140" s="191">
        <v>15000</v>
      </c>
      <c r="S140" s="191">
        <v>25000</v>
      </c>
    </row>
    <row r="141" spans="3:19" x14ac:dyDescent="0.2">
      <c r="C141" s="1">
        <v>2056</v>
      </c>
      <c r="D141" s="191">
        <f t="shared" si="7"/>
        <v>168180</v>
      </c>
      <c r="E141" s="191">
        <v>780</v>
      </c>
      <c r="F141" s="191">
        <v>8000</v>
      </c>
      <c r="G141" s="191">
        <v>3000</v>
      </c>
      <c r="H141" s="191">
        <v>500</v>
      </c>
      <c r="I141" s="191">
        <v>25000</v>
      </c>
      <c r="J141" s="191">
        <v>2500</v>
      </c>
      <c r="K141" s="191">
        <v>2500</v>
      </c>
      <c r="L141" s="191">
        <v>2500</v>
      </c>
      <c r="M141" s="191">
        <v>4000</v>
      </c>
      <c r="N141" s="191">
        <v>15500</v>
      </c>
      <c r="O141" s="191">
        <v>63200</v>
      </c>
      <c r="P141" s="191">
        <v>700</v>
      </c>
      <c r="Q141" s="191">
        <v>15000</v>
      </c>
      <c r="R141" s="191"/>
      <c r="S141" s="191">
        <v>25000</v>
      </c>
    </row>
    <row r="142" spans="3:19" x14ac:dyDescent="0.2">
      <c r="C142" s="1">
        <v>2057</v>
      </c>
      <c r="D142" s="191">
        <f t="shared" si="7"/>
        <v>158180</v>
      </c>
      <c r="E142" s="191">
        <v>780</v>
      </c>
      <c r="F142" s="191">
        <v>8000</v>
      </c>
      <c r="G142" s="191">
        <v>3000</v>
      </c>
      <c r="H142" s="191">
        <v>500</v>
      </c>
      <c r="I142" s="191">
        <v>25000</v>
      </c>
      <c r="J142" s="191">
        <v>2500</v>
      </c>
      <c r="K142" s="191">
        <v>2500</v>
      </c>
      <c r="L142" s="191">
        <v>2500</v>
      </c>
      <c r="M142" s="191">
        <v>4000</v>
      </c>
      <c r="N142" s="191">
        <v>15500</v>
      </c>
      <c r="O142" s="191">
        <v>63200</v>
      </c>
      <c r="P142" s="191">
        <v>700</v>
      </c>
      <c r="Q142" s="191">
        <v>5000</v>
      </c>
      <c r="R142" s="191"/>
      <c r="S142" s="191">
        <v>25000</v>
      </c>
    </row>
    <row r="143" spans="3:19" x14ac:dyDescent="0.2">
      <c r="C143" s="1">
        <v>2058</v>
      </c>
      <c r="D143" s="191">
        <f t="shared" si="7"/>
        <v>158180</v>
      </c>
      <c r="E143" s="191">
        <v>780</v>
      </c>
      <c r="F143" s="191">
        <v>8000</v>
      </c>
      <c r="G143" s="191">
        <v>3000</v>
      </c>
      <c r="H143" s="191">
        <v>500</v>
      </c>
      <c r="I143" s="191">
        <v>25000</v>
      </c>
      <c r="J143" s="191">
        <v>2500</v>
      </c>
      <c r="K143" s="191">
        <v>2500</v>
      </c>
      <c r="L143" s="191">
        <v>2500</v>
      </c>
      <c r="M143" s="191">
        <v>4000</v>
      </c>
      <c r="N143" s="191">
        <v>15500</v>
      </c>
      <c r="O143" s="191">
        <v>63200</v>
      </c>
      <c r="P143" s="191">
        <v>700</v>
      </c>
      <c r="Q143" s="191">
        <v>5000</v>
      </c>
      <c r="R143" s="191"/>
      <c r="S143" s="191">
        <v>25000</v>
      </c>
    </row>
    <row r="144" spans="3:19" x14ac:dyDescent="0.2">
      <c r="C144" s="1">
        <v>2059</v>
      </c>
      <c r="D144" s="191">
        <f t="shared" si="7"/>
        <v>158180</v>
      </c>
      <c r="E144" s="191">
        <v>780</v>
      </c>
      <c r="F144" s="191">
        <v>8000</v>
      </c>
      <c r="G144" s="191">
        <v>3000</v>
      </c>
      <c r="H144" s="191">
        <v>500</v>
      </c>
      <c r="I144" s="191">
        <v>25000</v>
      </c>
      <c r="J144" s="191">
        <v>2500</v>
      </c>
      <c r="K144" s="191">
        <v>2500</v>
      </c>
      <c r="L144" s="191">
        <v>2500</v>
      </c>
      <c r="M144" s="191">
        <v>4000</v>
      </c>
      <c r="N144" s="191">
        <v>15500</v>
      </c>
      <c r="O144" s="191">
        <v>63200</v>
      </c>
      <c r="P144" s="191">
        <v>700</v>
      </c>
      <c r="Q144" s="191">
        <v>5000</v>
      </c>
      <c r="R144" s="191"/>
      <c r="S144" s="191">
        <v>25000</v>
      </c>
    </row>
    <row r="145" spans="3:19" x14ac:dyDescent="0.2">
      <c r="C145" s="202">
        <v>2060</v>
      </c>
      <c r="D145" s="203">
        <f t="shared" si="7"/>
        <v>158180</v>
      </c>
      <c r="E145" s="203">
        <v>780</v>
      </c>
      <c r="F145" s="203">
        <v>8000</v>
      </c>
      <c r="G145" s="203">
        <v>3000</v>
      </c>
      <c r="H145" s="203">
        <v>500</v>
      </c>
      <c r="I145" s="203">
        <v>25000</v>
      </c>
      <c r="J145" s="203">
        <v>2500</v>
      </c>
      <c r="K145" s="203">
        <v>2500</v>
      </c>
      <c r="L145" s="203">
        <v>2500</v>
      </c>
      <c r="M145" s="203">
        <v>4000</v>
      </c>
      <c r="N145" s="203">
        <v>15500</v>
      </c>
      <c r="O145" s="203">
        <v>63200</v>
      </c>
      <c r="P145" s="203">
        <v>700</v>
      </c>
      <c r="Q145" s="205">
        <v>5000</v>
      </c>
      <c r="R145" s="191"/>
      <c r="S145" s="191">
        <v>25000</v>
      </c>
    </row>
    <row r="146" spans="3:19" x14ac:dyDescent="0.2"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</row>
    <row r="147" spans="3:19" x14ac:dyDescent="0.2"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</row>
    <row r="148" spans="3:19" x14ac:dyDescent="0.2">
      <c r="C148" s="1" t="s">
        <v>145</v>
      </c>
      <c r="D148" s="191">
        <f>SUM(D110:D145)</f>
        <v>5974360</v>
      </c>
      <c r="E148" s="191">
        <f t="shared" ref="E148:S148" si="8">SUM(E110:E145)</f>
        <v>25560</v>
      </c>
      <c r="F148" s="191">
        <f t="shared" si="8"/>
        <v>257500</v>
      </c>
      <c r="G148" s="191">
        <f t="shared" si="8"/>
        <v>99000</v>
      </c>
      <c r="H148" s="191">
        <f t="shared" si="8"/>
        <v>16500</v>
      </c>
      <c r="I148" s="191">
        <f t="shared" si="8"/>
        <v>784900</v>
      </c>
      <c r="J148" s="191">
        <f t="shared" si="8"/>
        <v>75000</v>
      </c>
      <c r="K148" s="191">
        <f t="shared" si="8"/>
        <v>83100</v>
      </c>
      <c r="L148" s="191">
        <f t="shared" si="8"/>
        <v>82500</v>
      </c>
      <c r="M148" s="191">
        <f t="shared" si="8"/>
        <v>132000</v>
      </c>
      <c r="N148" s="191">
        <f t="shared" si="8"/>
        <v>512500</v>
      </c>
      <c r="O148" s="191">
        <f t="shared" si="8"/>
        <v>1988800</v>
      </c>
      <c r="P148" s="191">
        <f t="shared" si="8"/>
        <v>25200</v>
      </c>
      <c r="Q148" s="191">
        <f t="shared" si="8"/>
        <v>677500</v>
      </c>
      <c r="R148" s="191">
        <f t="shared" si="8"/>
        <v>420000</v>
      </c>
      <c r="S148" s="191">
        <f t="shared" si="8"/>
        <v>794300</v>
      </c>
    </row>
  </sheetData>
  <pageMargins left="0.7" right="0.7" top="0.75" bottom="0.75" header="0.3" footer="0.3"/>
  <pageSetup paperSize="9" orientation="portrait" horizontalDpi="30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0"/>
  <sheetViews>
    <sheetView workbookViewId="0">
      <selection activeCell="C43" sqref="C43"/>
    </sheetView>
  </sheetViews>
  <sheetFormatPr defaultColWidth="8.85546875" defaultRowHeight="11.25" x14ac:dyDescent="0.2"/>
  <cols>
    <col min="1" max="1" width="8.85546875" style="1"/>
    <col min="2" max="2" width="33.28515625" style="1" customWidth="1"/>
    <col min="3" max="3" width="18" style="1" customWidth="1"/>
    <col min="4" max="4" width="12.7109375" style="1" customWidth="1"/>
    <col min="5" max="5" width="13.28515625" style="1" customWidth="1"/>
    <col min="6" max="16384" width="8.85546875" style="1"/>
  </cols>
  <sheetData>
    <row r="1" spans="1:16" s="80" customFormat="1" ht="15" x14ac:dyDescent="0.25">
      <c r="B1" s="80" t="s">
        <v>172</v>
      </c>
      <c r="E1" s="101"/>
      <c r="H1" s="123"/>
      <c r="P1" s="101"/>
    </row>
    <row r="5" spans="1:16" ht="12" x14ac:dyDescent="0.2">
      <c r="B5" s="76" t="s">
        <v>69</v>
      </c>
      <c r="C5" s="77"/>
      <c r="D5" s="78"/>
      <c r="E5" s="78"/>
      <c r="F5" s="78"/>
      <c r="G5" s="78"/>
    </row>
    <row r="6" spans="1:16" ht="12.75" thickBot="1" x14ac:dyDescent="0.25">
      <c r="B6" s="89" t="s">
        <v>141</v>
      </c>
      <c r="C6" s="89" t="s">
        <v>5</v>
      </c>
      <c r="D6" s="89" t="s">
        <v>67</v>
      </c>
      <c r="E6" s="89" t="s">
        <v>64</v>
      </c>
      <c r="F6" s="89" t="s">
        <v>4</v>
      </c>
      <c r="G6" s="81" t="s">
        <v>65</v>
      </c>
    </row>
    <row r="7" spans="1:16" ht="12" x14ac:dyDescent="0.2">
      <c r="B7" s="86"/>
      <c r="C7" s="86" t="s">
        <v>171</v>
      </c>
      <c r="D7" s="86"/>
      <c r="E7" s="122" t="s">
        <v>23</v>
      </c>
      <c r="F7" s="86"/>
      <c r="G7" s="125">
        <v>2030</v>
      </c>
    </row>
    <row r="8" spans="1:16" ht="12" x14ac:dyDescent="0.2">
      <c r="B8" s="86"/>
      <c r="C8" s="86" t="s">
        <v>170</v>
      </c>
      <c r="D8" s="86"/>
      <c r="E8" s="122" t="s">
        <v>23</v>
      </c>
      <c r="F8" s="86"/>
      <c r="G8" s="125">
        <v>2070</v>
      </c>
    </row>
    <row r="9" spans="1:16" ht="12" x14ac:dyDescent="0.2">
      <c r="B9" s="86"/>
      <c r="C9" s="86" t="s">
        <v>169</v>
      </c>
      <c r="D9" s="86"/>
      <c r="E9" s="86" t="s">
        <v>23</v>
      </c>
      <c r="F9" s="86"/>
      <c r="G9" s="125">
        <v>2030</v>
      </c>
    </row>
    <row r="12" spans="1:16" ht="12" x14ac:dyDescent="0.2">
      <c r="A12" s="75"/>
      <c r="B12" s="75"/>
      <c r="C12" s="75"/>
      <c r="D12" s="75"/>
      <c r="E12" s="75"/>
      <c r="F12" s="75"/>
      <c r="G12" s="75"/>
      <c r="H12" s="75"/>
      <c r="I12" s="142"/>
      <c r="J12" s="142"/>
      <c r="K12" s="72"/>
    </row>
    <row r="13" spans="1:16" ht="12" x14ac:dyDescent="0.2">
      <c r="A13" s="75"/>
      <c r="B13" s="75"/>
      <c r="C13" s="75"/>
      <c r="D13" s="75"/>
      <c r="E13" s="75"/>
      <c r="F13" s="75"/>
      <c r="G13" s="75"/>
      <c r="H13" s="75"/>
      <c r="I13" s="142"/>
      <c r="J13" s="142"/>
      <c r="K13" s="72"/>
    </row>
    <row r="14" spans="1:16" ht="12.75" x14ac:dyDescent="0.2">
      <c r="A14" s="75"/>
      <c r="B14" s="210" t="s">
        <v>68</v>
      </c>
      <c r="C14" s="211"/>
      <c r="D14" s="141"/>
      <c r="E14" s="141"/>
      <c r="F14" s="141"/>
      <c r="G14" s="141"/>
      <c r="H14" s="141"/>
      <c r="I14" s="141"/>
      <c r="J14" s="72"/>
      <c r="K14" s="72" t="s">
        <v>291</v>
      </c>
    </row>
    <row r="15" spans="1:16" ht="13.5" thickBot="1" x14ac:dyDescent="0.25">
      <c r="A15" s="75"/>
      <c r="B15" s="212" t="s">
        <v>5</v>
      </c>
      <c r="C15" s="212" t="s">
        <v>64</v>
      </c>
      <c r="D15" s="212" t="s">
        <v>63</v>
      </c>
      <c r="E15" s="212">
        <v>2030</v>
      </c>
      <c r="F15" s="212">
        <v>2040</v>
      </c>
      <c r="G15" s="212">
        <v>2050</v>
      </c>
      <c r="H15" s="212">
        <v>0</v>
      </c>
      <c r="I15" s="72"/>
      <c r="J15" s="72"/>
      <c r="K15" s="72"/>
    </row>
    <row r="16" spans="1:16" ht="12" x14ac:dyDescent="0.2">
      <c r="A16" s="75"/>
      <c r="B16" s="213" t="s">
        <v>296</v>
      </c>
      <c r="C16" s="213" t="s">
        <v>47</v>
      </c>
      <c r="D16" s="213" t="s">
        <v>292</v>
      </c>
      <c r="E16" s="214">
        <v>1.2910988078409051</v>
      </c>
      <c r="F16" s="214">
        <v>1.2910988078409051</v>
      </c>
      <c r="G16" s="214">
        <v>1.2910988078409051</v>
      </c>
      <c r="H16" s="214">
        <v>5</v>
      </c>
      <c r="I16" s="72"/>
      <c r="J16" s="72"/>
      <c r="K16" s="72"/>
    </row>
    <row r="17" spans="1:11" ht="12" x14ac:dyDescent="0.2">
      <c r="A17" s="75"/>
      <c r="B17" s="213" t="s">
        <v>295</v>
      </c>
      <c r="C17" s="213" t="s">
        <v>47</v>
      </c>
      <c r="D17" s="213" t="s">
        <v>292</v>
      </c>
      <c r="E17" s="214">
        <v>1.2910988078409051</v>
      </c>
      <c r="F17" s="214">
        <v>1.2910988078409051</v>
      </c>
      <c r="G17" s="214">
        <v>1.2910988078409051</v>
      </c>
      <c r="H17" s="214">
        <v>5</v>
      </c>
      <c r="I17" s="72"/>
      <c r="J17" s="72"/>
      <c r="K17" s="72"/>
    </row>
    <row r="18" spans="1:11" ht="12" x14ac:dyDescent="0.2">
      <c r="A18" s="75"/>
      <c r="B18" s="213" t="s">
        <v>297</v>
      </c>
      <c r="C18" s="213" t="s">
        <v>47</v>
      </c>
      <c r="D18" s="213" t="s">
        <v>292</v>
      </c>
      <c r="E18" s="214">
        <v>0.8790356703415354</v>
      </c>
      <c r="F18" s="214">
        <v>0.8790356703415354</v>
      </c>
      <c r="G18" s="214">
        <v>0.8790356703415354</v>
      </c>
      <c r="H18" s="214">
        <v>5</v>
      </c>
      <c r="I18" s="72"/>
      <c r="J18" s="72"/>
      <c r="K18" s="72"/>
    </row>
    <row r="19" spans="1:11" ht="12" x14ac:dyDescent="0.2">
      <c r="A19" s="75"/>
      <c r="B19" s="213" t="str">
        <f>B16</f>
        <v>SNK_DAC, SNK_DAC_LowAF</v>
      </c>
      <c r="C19" s="213" t="s">
        <v>59</v>
      </c>
      <c r="D19" s="213" t="s">
        <v>292</v>
      </c>
      <c r="E19" s="214">
        <v>5.8794666666666676E-2</v>
      </c>
      <c r="F19" s="214">
        <v>5.8794666666666676E-2</v>
      </c>
      <c r="G19" s="214">
        <v>5.8794666666666676E-2</v>
      </c>
      <c r="H19" s="214">
        <v>5</v>
      </c>
      <c r="I19" s="72"/>
      <c r="J19" s="72"/>
      <c r="K19" s="72"/>
    </row>
    <row r="20" spans="1:11" ht="12" x14ac:dyDescent="0.2">
      <c r="A20" s="75"/>
      <c r="B20" s="213" t="str">
        <f t="shared" ref="B20:B21" si="0">B17</f>
        <v>SNK_DAC_ELC, SNK_DAC_ELC_LowAF</v>
      </c>
      <c r="C20" s="213" t="s">
        <v>59</v>
      </c>
      <c r="D20" s="213" t="s">
        <v>292</v>
      </c>
      <c r="E20" s="214">
        <v>5.8794666666666676E-2</v>
      </c>
      <c r="F20" s="214">
        <v>5.8794666666666676E-2</v>
      </c>
      <c r="G20" s="214">
        <v>5.8794666666666676E-2</v>
      </c>
      <c r="H20" s="214">
        <v>5</v>
      </c>
      <c r="I20" s="72"/>
      <c r="J20" s="72"/>
      <c r="K20" s="72"/>
    </row>
    <row r="21" spans="1:11" ht="12" x14ac:dyDescent="0.2">
      <c r="A21" s="75"/>
      <c r="B21" s="213" t="str">
        <f t="shared" si="0"/>
        <v>SNK_DAC_SOLID, SNK_DAC_SOLID_LowAF</v>
      </c>
      <c r="C21" s="213" t="s">
        <v>59</v>
      </c>
      <c r="D21" s="213" t="s">
        <v>292</v>
      </c>
      <c r="E21" s="214">
        <v>3.4261333333333331E-2</v>
      </c>
      <c r="F21" s="214">
        <v>3.4261333333333331E-2</v>
      </c>
      <c r="G21" s="214">
        <v>3.4261333333333331E-2</v>
      </c>
      <c r="H21" s="214">
        <v>5</v>
      </c>
      <c r="I21" s="72"/>
      <c r="J21" s="72" t="s">
        <v>294</v>
      </c>
      <c r="K21" s="72"/>
    </row>
    <row r="22" spans="1:11" ht="12" x14ac:dyDescent="0.2">
      <c r="A22" s="75"/>
      <c r="B22" s="213"/>
      <c r="C22" s="213"/>
      <c r="D22" s="213"/>
      <c r="E22" s="214"/>
      <c r="F22" s="214"/>
      <c r="G22" s="214"/>
      <c r="H22" s="214"/>
      <c r="I22" s="72"/>
      <c r="J22" s="72"/>
      <c r="K22" s="72"/>
    </row>
    <row r="23" spans="1:11" ht="12" x14ac:dyDescent="0.2">
      <c r="A23" s="75"/>
      <c r="I23" s="142"/>
      <c r="J23" s="142"/>
      <c r="K23" s="72"/>
    </row>
    <row r="24" spans="1:11" ht="12" x14ac:dyDescent="0.2">
      <c r="A24" s="75"/>
      <c r="J24" s="142"/>
      <c r="K24" s="72"/>
    </row>
    <row r="25" spans="1:11" ht="12" x14ac:dyDescent="0.2">
      <c r="A25" s="75"/>
      <c r="G25" s="218" t="s">
        <v>301</v>
      </c>
      <c r="H25" s="219"/>
      <c r="I25" s="72"/>
      <c r="J25" s="142"/>
      <c r="K25" s="72"/>
    </row>
    <row r="26" spans="1:11" ht="12.75" x14ac:dyDescent="0.2">
      <c r="A26" s="75"/>
      <c r="B26" s="210" t="s">
        <v>298</v>
      </c>
      <c r="C26" s="211"/>
      <c r="D26" s="141"/>
      <c r="E26" s="141"/>
      <c r="G26" s="72" t="s">
        <v>302</v>
      </c>
      <c r="H26" s="72" t="s">
        <v>303</v>
      </c>
      <c r="I26" s="72" t="s">
        <v>247</v>
      </c>
      <c r="J26" s="142"/>
      <c r="K26" s="72"/>
    </row>
    <row r="27" spans="1:11" ht="13.5" thickBot="1" x14ac:dyDescent="0.25">
      <c r="A27" s="75"/>
      <c r="B27" s="212" t="s">
        <v>64</v>
      </c>
      <c r="C27" s="212" t="s">
        <v>5</v>
      </c>
      <c r="D27" s="212" t="s">
        <v>65</v>
      </c>
      <c r="E27" s="215"/>
      <c r="G27" s="220">
        <f>AVERAGE(284,279,285)</f>
        <v>282.66666666666669</v>
      </c>
      <c r="H27" s="220">
        <f>G27*0.26</f>
        <v>73.493333333333339</v>
      </c>
      <c r="I27" s="220">
        <f>G27-H27</f>
        <v>209.17333333333335</v>
      </c>
      <c r="J27" s="142"/>
      <c r="K27" s="72"/>
    </row>
    <row r="28" spans="1:11" ht="12" x14ac:dyDescent="0.2">
      <c r="A28" s="75"/>
      <c r="B28" s="213" t="s">
        <v>57</v>
      </c>
      <c r="C28" s="213" t="s">
        <v>171</v>
      </c>
      <c r="D28" s="213">
        <v>25</v>
      </c>
      <c r="E28" s="213"/>
      <c r="G28" s="220">
        <f>G27</f>
        <v>282.66666666666669</v>
      </c>
      <c r="H28" s="220">
        <f>G28*0.26</f>
        <v>73.493333333333339</v>
      </c>
      <c r="I28" s="220">
        <f t="shared" ref="I28:I29" si="1">G28-H28</f>
        <v>209.17333333333335</v>
      </c>
      <c r="J28" s="142"/>
      <c r="K28" s="72"/>
    </row>
    <row r="29" spans="1:11" ht="12" x14ac:dyDescent="0.2">
      <c r="A29" s="75"/>
      <c r="B29" s="213" t="s">
        <v>57</v>
      </c>
      <c r="C29" s="213" t="s">
        <v>169</v>
      </c>
      <c r="D29" s="213">
        <v>25</v>
      </c>
      <c r="E29" s="213"/>
      <c r="G29" s="220">
        <f>AVERAGE(199,182,203)</f>
        <v>194.66666666666666</v>
      </c>
      <c r="H29" s="220">
        <f>G29*0.22</f>
        <v>42.826666666666668</v>
      </c>
      <c r="I29" s="220">
        <f t="shared" si="1"/>
        <v>151.83999999999997</v>
      </c>
      <c r="J29" s="142"/>
      <c r="K29" s="72"/>
    </row>
    <row r="30" spans="1:11" ht="12" x14ac:dyDescent="0.2">
      <c r="A30" s="75"/>
      <c r="B30" s="213" t="s">
        <v>57</v>
      </c>
      <c r="C30" s="213" t="s">
        <v>293</v>
      </c>
      <c r="D30" s="213">
        <v>20</v>
      </c>
      <c r="E30" s="213"/>
      <c r="G30" s="221">
        <v>0.8</v>
      </c>
      <c r="H30" s="72" t="s">
        <v>304</v>
      </c>
      <c r="I30" s="72"/>
      <c r="J30" s="142"/>
      <c r="K30" s="72"/>
    </row>
    <row r="31" spans="1:11" ht="12" x14ac:dyDescent="0.2">
      <c r="A31" s="75"/>
      <c r="G31" s="72" t="s">
        <v>305</v>
      </c>
      <c r="H31" s="72"/>
      <c r="I31" s="72"/>
      <c r="J31" s="142"/>
      <c r="K31" s="72"/>
    </row>
    <row r="32" spans="1:11" ht="12" x14ac:dyDescent="0.2">
      <c r="A32" s="75"/>
      <c r="G32" s="219">
        <v>0.04</v>
      </c>
      <c r="H32" s="72"/>
      <c r="I32" s="72"/>
      <c r="J32" s="142"/>
      <c r="K32" s="72"/>
    </row>
    <row r="33" spans="1:11" ht="12" x14ac:dyDescent="0.2">
      <c r="A33" s="75"/>
      <c r="I33" s="142"/>
      <c r="J33" s="142"/>
      <c r="K33" s="72"/>
    </row>
    <row r="34" spans="1:11" ht="12.75" x14ac:dyDescent="0.2">
      <c r="A34" s="75"/>
      <c r="B34" s="210" t="s">
        <v>68</v>
      </c>
      <c r="C34" s="211"/>
      <c r="D34" s="141"/>
      <c r="E34" s="141"/>
      <c r="F34" s="141"/>
      <c r="G34" s="141"/>
      <c r="H34" s="141"/>
      <c r="I34" s="142"/>
      <c r="J34" s="142"/>
      <c r="K34" s="72"/>
    </row>
    <row r="35" spans="1:11" ht="13.5" thickBot="1" x14ac:dyDescent="0.25">
      <c r="A35" s="75"/>
      <c r="B35" s="212" t="s">
        <v>5</v>
      </c>
      <c r="C35" s="212" t="s">
        <v>20</v>
      </c>
      <c r="D35" s="212" t="s">
        <v>64</v>
      </c>
      <c r="E35" s="212">
        <v>2030</v>
      </c>
      <c r="F35" s="212">
        <v>2040</v>
      </c>
      <c r="G35" s="212">
        <v>2050</v>
      </c>
      <c r="H35" s="212">
        <v>0</v>
      </c>
      <c r="I35" s="142"/>
      <c r="J35" s="142"/>
      <c r="K35" s="72"/>
    </row>
    <row r="36" spans="1:11" ht="12" x14ac:dyDescent="0.2">
      <c r="A36" s="75"/>
      <c r="B36" s="213" t="s">
        <v>171</v>
      </c>
      <c r="C36" s="213" t="s">
        <v>299</v>
      </c>
      <c r="D36" s="213" t="s">
        <v>54</v>
      </c>
      <c r="E36" s="216">
        <v>1.7784000000000001E-3</v>
      </c>
      <c r="F36" s="217">
        <v>1.7784000000000001E-3</v>
      </c>
      <c r="G36" s="217">
        <v>1.7784000000000001E-3</v>
      </c>
      <c r="H36" s="217">
        <v>5</v>
      </c>
      <c r="I36" s="142"/>
      <c r="J36" s="142"/>
      <c r="K36" s="72"/>
    </row>
    <row r="37" spans="1:11" ht="12" x14ac:dyDescent="0.2">
      <c r="A37" s="75"/>
      <c r="B37" s="213" t="s">
        <v>171</v>
      </c>
      <c r="C37" s="213" t="s">
        <v>300</v>
      </c>
      <c r="D37" s="213" t="s">
        <v>54</v>
      </c>
      <c r="E37" s="216">
        <v>8.0999999999999996E-3</v>
      </c>
      <c r="F37" s="217">
        <v>8.0999999999999996E-3</v>
      </c>
      <c r="G37" s="217">
        <v>8.0999999999999996E-3</v>
      </c>
      <c r="H37" s="217">
        <v>5</v>
      </c>
      <c r="I37" s="142"/>
      <c r="J37" s="142"/>
      <c r="K37" s="72"/>
    </row>
    <row r="38" spans="1:11" ht="12" x14ac:dyDescent="0.2">
      <c r="A38" s="75"/>
      <c r="B38" s="213" t="s">
        <v>169</v>
      </c>
      <c r="C38" s="213" t="s">
        <v>299</v>
      </c>
      <c r="D38" s="213" t="s">
        <v>54</v>
      </c>
      <c r="E38" s="216">
        <v>5.5259999999999997E-3</v>
      </c>
      <c r="F38" s="217">
        <v>5.5259999999999997E-3</v>
      </c>
      <c r="G38" s="217">
        <v>5.5259999999999997E-3</v>
      </c>
      <c r="H38" s="217">
        <v>5</v>
      </c>
      <c r="I38" s="142"/>
      <c r="J38" s="142"/>
      <c r="K38" s="72"/>
    </row>
    <row r="39" spans="1:11" ht="12" x14ac:dyDescent="0.2">
      <c r="A39" s="75"/>
      <c r="B39" s="213"/>
      <c r="C39" s="213"/>
      <c r="D39" s="213"/>
      <c r="E39" s="216"/>
      <c r="F39" s="214"/>
      <c r="G39" s="72"/>
      <c r="H39" s="72"/>
      <c r="I39" s="142"/>
      <c r="J39" s="142"/>
      <c r="K39" s="72"/>
    </row>
    <row r="40" spans="1:11" ht="12" x14ac:dyDescent="0.2">
      <c r="A40" s="75"/>
      <c r="B40" s="72"/>
      <c r="C40" s="72"/>
      <c r="D40" s="72"/>
      <c r="E40" s="72"/>
      <c r="F40" s="72"/>
      <c r="G40" s="72"/>
      <c r="H40" s="72"/>
      <c r="I40" s="142"/>
      <c r="J40" s="142"/>
      <c r="K40" s="72"/>
    </row>
    <row r="41" spans="1:11" ht="12" x14ac:dyDescent="0.2">
      <c r="A41" s="75"/>
      <c r="B41" s="142"/>
      <c r="C41" s="142"/>
      <c r="D41" s="142"/>
      <c r="E41" s="142"/>
      <c r="F41" s="142"/>
      <c r="G41" s="142"/>
      <c r="H41" s="142"/>
      <c r="I41" s="142"/>
      <c r="J41" s="142"/>
      <c r="K41" s="72"/>
    </row>
    <row r="42" spans="1:11" ht="12" x14ac:dyDescent="0.2">
      <c r="A42" s="75"/>
      <c r="B42" s="142"/>
      <c r="C42" s="142"/>
      <c r="D42" s="75"/>
      <c r="E42" s="75"/>
      <c r="F42" s="75"/>
      <c r="G42" s="75"/>
      <c r="H42" s="75"/>
      <c r="I42" s="75"/>
      <c r="J42" s="75"/>
      <c r="K42" s="72"/>
    </row>
    <row r="43" spans="1:11" ht="12" x14ac:dyDescent="0.2">
      <c r="A43" s="75"/>
      <c r="B43" s="142"/>
      <c r="C43" s="142"/>
      <c r="D43" s="75"/>
      <c r="E43" s="75"/>
      <c r="F43" s="75"/>
      <c r="G43" s="75"/>
      <c r="H43" s="75"/>
      <c r="I43" s="75"/>
      <c r="J43" s="75"/>
      <c r="K43" s="72"/>
    </row>
    <row r="44" spans="1:11" ht="12" x14ac:dyDescent="0.2">
      <c r="A44" s="75"/>
      <c r="B44" s="142"/>
      <c r="C44" s="142"/>
      <c r="D44" s="75"/>
      <c r="E44" s="75"/>
      <c r="F44" s="75"/>
      <c r="G44" s="75"/>
      <c r="H44" s="75"/>
      <c r="I44" s="75"/>
      <c r="J44" s="75"/>
      <c r="K44" s="72"/>
    </row>
    <row r="45" spans="1:11" ht="12" x14ac:dyDescent="0.2">
      <c r="A45" s="75"/>
      <c r="B45" s="142"/>
      <c r="C45" s="142"/>
      <c r="D45" s="75"/>
      <c r="E45" s="75"/>
      <c r="F45" s="75"/>
      <c r="G45" s="75"/>
      <c r="H45" s="75"/>
      <c r="I45" s="75"/>
      <c r="J45" s="75"/>
      <c r="K45" s="72"/>
    </row>
    <row r="46" spans="1:11" ht="12" x14ac:dyDescent="0.2">
      <c r="A46" s="75"/>
      <c r="B46" s="142"/>
      <c r="C46" s="142"/>
      <c r="D46" s="75"/>
      <c r="E46" s="75"/>
      <c r="F46" s="75"/>
      <c r="G46" s="75"/>
      <c r="H46" s="75"/>
      <c r="I46" s="75"/>
      <c r="J46" s="75"/>
      <c r="K46" s="72"/>
    </row>
    <row r="47" spans="1:11" x14ac:dyDescent="0.2">
      <c r="B47" s="72"/>
      <c r="C47" s="72"/>
      <c r="K47" s="72"/>
    </row>
    <row r="48" spans="1:11" x14ac:dyDescent="0.2">
      <c r="B48" s="72"/>
      <c r="C48" s="72"/>
      <c r="K48" s="72"/>
    </row>
    <row r="49" spans="2:11" x14ac:dyDescent="0.2">
      <c r="B49" s="72"/>
      <c r="C49" s="72"/>
      <c r="K49" s="72"/>
    </row>
    <row r="50" spans="2:11" x14ac:dyDescent="0.2">
      <c r="B50" s="72"/>
      <c r="C50" s="72"/>
      <c r="D50" s="72"/>
      <c r="E50" s="72"/>
      <c r="F50" s="72"/>
      <c r="G50" s="72"/>
      <c r="H50" s="72"/>
      <c r="I50" s="72"/>
      <c r="J50" s="72"/>
      <c r="K50" s="72"/>
    </row>
    <row r="70" spans="2:8" ht="12" x14ac:dyDescent="0.2">
      <c r="B70" s="114" t="s">
        <v>256</v>
      </c>
      <c r="C70" s="114"/>
      <c r="D70" s="114"/>
      <c r="E70" s="114"/>
      <c r="F70" s="114"/>
      <c r="G70" s="114"/>
      <c r="H70" s="114"/>
    </row>
    <row r="71" spans="2:8" ht="12" x14ac:dyDescent="0.2">
      <c r="B71" s="143"/>
      <c r="C71" s="232" t="s">
        <v>243</v>
      </c>
      <c r="D71" s="232"/>
      <c r="E71" s="143"/>
      <c r="F71" s="143"/>
      <c r="G71" s="143"/>
      <c r="H71" s="143"/>
    </row>
    <row r="72" spans="2:8" ht="12" x14ac:dyDescent="0.2">
      <c r="B72" s="143"/>
      <c r="C72" s="144" t="s">
        <v>244</v>
      </c>
      <c r="D72" s="144">
        <v>0.1</v>
      </c>
      <c r="E72" s="143"/>
      <c r="F72" s="143" t="s">
        <v>245</v>
      </c>
      <c r="G72" s="143"/>
      <c r="H72" s="143"/>
    </row>
    <row r="73" spans="2:8" ht="12" x14ac:dyDescent="0.2">
      <c r="B73" s="143"/>
      <c r="C73" s="144" t="s">
        <v>246</v>
      </c>
      <c r="D73" s="144">
        <v>0.85</v>
      </c>
      <c r="E73" s="143"/>
      <c r="F73" s="143"/>
      <c r="G73" s="143"/>
      <c r="H73" s="143"/>
    </row>
    <row r="74" spans="2:8" ht="12" x14ac:dyDescent="0.2">
      <c r="B74" s="143"/>
      <c r="C74" s="143">
        <f>C75-C77</f>
        <v>2015</v>
      </c>
      <c r="D74" s="143">
        <f t="shared" ref="D74:E74" si="2">D75-D77</f>
        <v>2020</v>
      </c>
      <c r="E74" s="143">
        <f t="shared" si="2"/>
        <v>2025</v>
      </c>
      <c r="F74" s="143"/>
      <c r="G74" s="143"/>
      <c r="H74" s="143"/>
    </row>
    <row r="75" spans="2:8" ht="12" x14ac:dyDescent="0.2">
      <c r="B75" s="143"/>
      <c r="C75" s="145">
        <v>2030</v>
      </c>
      <c r="D75" s="145">
        <v>2040</v>
      </c>
      <c r="E75" s="145">
        <v>2050</v>
      </c>
      <c r="F75" s="143"/>
      <c r="G75" s="143"/>
      <c r="H75" s="143"/>
    </row>
    <row r="76" spans="2:8" ht="12" x14ac:dyDescent="0.2">
      <c r="B76" s="143" t="s">
        <v>247</v>
      </c>
      <c r="C76" s="143">
        <f>C88*$C$87</f>
        <v>280.8</v>
      </c>
      <c r="D76" s="143">
        <f>D88*$C$87</f>
        <v>235.8</v>
      </c>
      <c r="E76" s="143">
        <f>E88*$C$87</f>
        <v>174.6</v>
      </c>
      <c r="F76" s="143" t="s">
        <v>248</v>
      </c>
      <c r="G76" s="143"/>
      <c r="H76" s="143"/>
    </row>
    <row r="77" spans="2:8" ht="12" x14ac:dyDescent="0.2">
      <c r="B77" s="143" t="s">
        <v>249</v>
      </c>
      <c r="C77" s="143">
        <v>15</v>
      </c>
      <c r="D77" s="143">
        <v>20</v>
      </c>
      <c r="E77" s="143">
        <v>25</v>
      </c>
      <c r="F77" s="143" t="s">
        <v>250</v>
      </c>
      <c r="G77" s="143"/>
      <c r="H77" s="143"/>
    </row>
    <row r="78" spans="2:8" ht="12" x14ac:dyDescent="0.2">
      <c r="B78" s="143" t="s">
        <v>251</v>
      </c>
      <c r="C78" s="146">
        <f>PV($D$72,C77,-C76)*$D$73</f>
        <v>1815.4190565656809</v>
      </c>
      <c r="D78" s="146">
        <f>PV($D$72,D77,-D76)*$D$73</f>
        <v>1706.3735763512093</v>
      </c>
      <c r="E78" s="146">
        <f>PV($D$72,E77,-E76)*$D$73</f>
        <v>1347.1235091054191</v>
      </c>
      <c r="F78" s="143" t="s">
        <v>252</v>
      </c>
      <c r="G78" s="143"/>
      <c r="H78" s="143"/>
    </row>
    <row r="79" spans="2:8" ht="12" x14ac:dyDescent="0.2">
      <c r="B79" s="143"/>
      <c r="C79" s="143"/>
      <c r="D79" s="143"/>
      <c r="E79" s="143"/>
      <c r="F79" s="143"/>
      <c r="G79" s="143"/>
      <c r="H79" s="143"/>
    </row>
    <row r="80" spans="2:8" ht="12" x14ac:dyDescent="0.2">
      <c r="B80" s="143"/>
      <c r="C80" s="143"/>
      <c r="D80" s="143"/>
      <c r="E80" s="143"/>
      <c r="F80" s="143"/>
      <c r="G80" s="143"/>
      <c r="H80" s="143"/>
    </row>
    <row r="81" spans="2:8" ht="12" x14ac:dyDescent="0.2">
      <c r="B81" s="143"/>
      <c r="C81" s="145" t="s">
        <v>253</v>
      </c>
      <c r="D81" s="145" t="s">
        <v>247</v>
      </c>
      <c r="E81" s="143"/>
      <c r="F81" s="143"/>
      <c r="G81" s="143"/>
      <c r="H81" s="143"/>
    </row>
    <row r="82" spans="2:8" ht="12" x14ac:dyDescent="0.2">
      <c r="B82" s="143"/>
      <c r="C82" s="143" t="s">
        <v>171</v>
      </c>
      <c r="D82" s="143">
        <f>D83*0.9</f>
        <v>0.68729309999999999</v>
      </c>
      <c r="E82" s="143"/>
      <c r="F82" s="143"/>
      <c r="G82" s="143"/>
      <c r="H82" s="143"/>
    </row>
    <row r="83" spans="2:8" ht="12" x14ac:dyDescent="0.2">
      <c r="B83" s="143"/>
      <c r="C83" s="143" t="s">
        <v>170</v>
      </c>
      <c r="D83" s="143">
        <v>0.76365899999999998</v>
      </c>
      <c r="E83" s="143"/>
      <c r="F83" s="143"/>
      <c r="G83" s="143"/>
      <c r="H83" s="143"/>
    </row>
    <row r="84" spans="2:8" ht="12" x14ac:dyDescent="0.2">
      <c r="B84" s="143"/>
      <c r="C84" s="143" t="s">
        <v>169</v>
      </c>
      <c r="D84" s="143">
        <v>0.79928999999999994</v>
      </c>
      <c r="E84" s="143"/>
      <c r="F84" s="143"/>
      <c r="G84" s="143"/>
      <c r="H84" s="143"/>
    </row>
    <row r="85" spans="2:8" ht="12" x14ac:dyDescent="0.2">
      <c r="B85" s="143"/>
      <c r="C85" s="143"/>
      <c r="D85" s="143"/>
      <c r="E85" s="143"/>
      <c r="F85" s="143"/>
      <c r="G85" s="143"/>
      <c r="H85" s="143"/>
    </row>
    <row r="86" spans="2:8" ht="12" x14ac:dyDescent="0.2">
      <c r="B86" s="143"/>
      <c r="C86" s="143">
        <f>512*C87</f>
        <v>921.6</v>
      </c>
      <c r="D86" s="143">
        <f>430*D87</f>
        <v>602</v>
      </c>
      <c r="E86" s="143"/>
      <c r="F86" s="143"/>
      <c r="G86" s="143"/>
      <c r="H86" s="143"/>
    </row>
    <row r="87" spans="2:8" ht="12" x14ac:dyDescent="0.2">
      <c r="B87" s="143" t="s">
        <v>254</v>
      </c>
      <c r="C87" s="143">
        <v>1.8</v>
      </c>
      <c r="D87" s="143">
        <v>1.4</v>
      </c>
      <c r="E87" s="143">
        <v>1</v>
      </c>
      <c r="F87" s="143"/>
      <c r="G87" s="143"/>
      <c r="H87" s="143"/>
    </row>
    <row r="88" spans="2:8" ht="12" x14ac:dyDescent="0.2">
      <c r="B88" s="143"/>
      <c r="C88" s="143">
        <v>156</v>
      </c>
      <c r="D88" s="143">
        <v>131</v>
      </c>
      <c r="E88" s="143">
        <v>97</v>
      </c>
      <c r="F88" s="143"/>
      <c r="G88" s="143"/>
      <c r="H88" s="143"/>
    </row>
    <row r="89" spans="2:8" ht="12" x14ac:dyDescent="0.2">
      <c r="B89" s="143"/>
      <c r="C89" s="143"/>
      <c r="D89" s="143"/>
      <c r="E89" s="143"/>
      <c r="F89" s="143"/>
      <c r="G89" s="143"/>
      <c r="H89" s="143"/>
    </row>
    <row r="90" spans="2:8" ht="12" x14ac:dyDescent="0.2">
      <c r="B90" s="143" t="s">
        <v>255</v>
      </c>
      <c r="C90" s="143"/>
      <c r="D90" s="143"/>
      <c r="E90" s="143"/>
      <c r="F90" s="143"/>
      <c r="G90" s="143"/>
      <c r="H90" s="143"/>
    </row>
  </sheetData>
  <mergeCells count="1">
    <mergeCell ref="C71:D71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62"/>
  <sheetViews>
    <sheetView workbookViewId="0">
      <selection activeCell="B16" sqref="B10:I16"/>
    </sheetView>
  </sheetViews>
  <sheetFormatPr defaultColWidth="8.85546875" defaultRowHeight="11.25" x14ac:dyDescent="0.2"/>
  <cols>
    <col min="1" max="1" width="8.85546875" style="1"/>
    <col min="2" max="2" width="9.28515625" style="1" customWidth="1"/>
    <col min="3" max="3" width="13.42578125" style="1" customWidth="1"/>
    <col min="4" max="4" width="12.140625" style="1" customWidth="1"/>
    <col min="5" max="5" width="10.5703125" style="1" customWidth="1"/>
    <col min="6" max="6" width="11.85546875" style="1" customWidth="1"/>
    <col min="7" max="7" width="7.140625" style="1" customWidth="1"/>
    <col min="8" max="8" width="7.5703125" style="1" customWidth="1"/>
    <col min="9" max="9" width="11.7109375" style="2" customWidth="1"/>
    <col min="10" max="22" width="6" style="1" customWidth="1"/>
    <col min="23" max="23" width="7.5703125" style="1" customWidth="1"/>
    <col min="24" max="44" width="6" style="1" customWidth="1"/>
    <col min="45" max="16384" width="8.85546875" style="1"/>
  </cols>
  <sheetData>
    <row r="1" spans="1:50" s="80" customFormat="1" ht="15" x14ac:dyDescent="0.25">
      <c r="B1" s="80" t="s">
        <v>308</v>
      </c>
      <c r="E1" s="101"/>
      <c r="I1" s="123"/>
      <c r="Q1" s="101" t="s">
        <v>242</v>
      </c>
      <c r="V1" s="101" t="s">
        <v>276</v>
      </c>
      <c r="AA1" s="101" t="s">
        <v>278</v>
      </c>
      <c r="AU1" s="147" t="s">
        <v>257</v>
      </c>
      <c r="AV1" s="147"/>
      <c r="AW1" s="147">
        <v>80</v>
      </c>
      <c r="AX1" s="147" t="s">
        <v>258</v>
      </c>
    </row>
    <row r="2" spans="1:50" s="80" customFormat="1" ht="15" x14ac:dyDescent="0.25">
      <c r="B2" s="206" t="s">
        <v>309</v>
      </c>
      <c r="E2" s="101"/>
      <c r="I2" s="123"/>
      <c r="Q2" s="101"/>
      <c r="V2" s="101" t="s">
        <v>277</v>
      </c>
      <c r="AU2" s="147"/>
      <c r="AV2" s="147"/>
      <c r="AW2" s="147"/>
      <c r="AX2" s="147"/>
    </row>
    <row r="4" spans="1:50" ht="12.75" x14ac:dyDescent="0.2">
      <c r="B4" s="76" t="s">
        <v>69</v>
      </c>
      <c r="C4" s="77"/>
      <c r="D4" s="78"/>
      <c r="E4" s="78"/>
      <c r="F4" s="78"/>
      <c r="G4" s="78"/>
      <c r="H4" s="78"/>
      <c r="I4" s="124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T4" s="150" t="s">
        <v>260</v>
      </c>
      <c r="AU4" s="150" t="s">
        <v>260</v>
      </c>
      <c r="AV4" s="150" t="s">
        <v>261</v>
      </c>
      <c r="AW4" s="150" t="s">
        <v>261</v>
      </c>
    </row>
    <row r="5" spans="1:50" ht="12.75" thickBot="1" x14ac:dyDescent="0.25">
      <c r="B5" s="89" t="s">
        <v>141</v>
      </c>
      <c r="C5" s="89" t="s">
        <v>5</v>
      </c>
      <c r="D5" s="89" t="s">
        <v>20</v>
      </c>
      <c r="E5" s="89" t="s">
        <v>67</v>
      </c>
      <c r="F5" s="89" t="s">
        <v>64</v>
      </c>
      <c r="G5" s="105" t="s">
        <v>4</v>
      </c>
      <c r="H5" s="89" t="s">
        <v>63</v>
      </c>
      <c r="I5" s="105" t="s">
        <v>65</v>
      </c>
      <c r="J5" s="81" t="s">
        <v>140</v>
      </c>
      <c r="K5" s="81" t="s">
        <v>139</v>
      </c>
      <c r="L5" s="81" t="s">
        <v>138</v>
      </c>
      <c r="M5" s="81" t="s">
        <v>136</v>
      </c>
      <c r="N5" s="81" t="s">
        <v>137</v>
      </c>
      <c r="O5" s="81" t="s">
        <v>135</v>
      </c>
      <c r="P5" s="81" t="s">
        <v>134</v>
      </c>
      <c r="Q5" s="81" t="s">
        <v>133</v>
      </c>
      <c r="R5" s="81" t="s">
        <v>132</v>
      </c>
      <c r="S5" s="81" t="s">
        <v>131</v>
      </c>
      <c r="T5" s="81" t="s">
        <v>130</v>
      </c>
      <c r="U5" s="81" t="s">
        <v>129</v>
      </c>
      <c r="V5" s="81" t="s">
        <v>128</v>
      </c>
      <c r="W5" s="81" t="s">
        <v>127</v>
      </c>
      <c r="X5" s="81" t="s">
        <v>126</v>
      </c>
      <c r="Y5" s="81" t="s">
        <v>125</v>
      </c>
      <c r="Z5" s="81" t="s">
        <v>123</v>
      </c>
      <c r="AA5" s="81" t="s">
        <v>124</v>
      </c>
      <c r="AB5" s="81" t="s">
        <v>121</v>
      </c>
      <c r="AC5" s="81" t="s">
        <v>120</v>
      </c>
      <c r="AD5" s="81" t="s">
        <v>119</v>
      </c>
      <c r="AE5" s="81" t="s">
        <v>118</v>
      </c>
      <c r="AF5" s="81" t="s">
        <v>117</v>
      </c>
      <c r="AG5" s="81" t="s">
        <v>116</v>
      </c>
      <c r="AH5" s="81" t="s">
        <v>115</v>
      </c>
      <c r="AI5" s="81" t="s">
        <v>114</v>
      </c>
      <c r="AJ5" s="81" t="s">
        <v>113</v>
      </c>
      <c r="AK5" s="81" t="s">
        <v>112</v>
      </c>
      <c r="AL5" s="81" t="s">
        <v>111</v>
      </c>
      <c r="AM5" s="81" t="s">
        <v>110</v>
      </c>
      <c r="AN5" s="81" t="s">
        <v>109</v>
      </c>
      <c r="AO5" s="81" t="s">
        <v>108</v>
      </c>
      <c r="AP5" s="81" t="s">
        <v>107</v>
      </c>
      <c r="AQ5" s="81" t="s">
        <v>162</v>
      </c>
      <c r="AR5" s="81" t="s">
        <v>164</v>
      </c>
      <c r="AT5" s="81" t="s">
        <v>153</v>
      </c>
      <c r="AU5" s="81" t="s">
        <v>259</v>
      </c>
      <c r="AV5" s="81" t="s">
        <v>153</v>
      </c>
      <c r="AW5" s="81" t="s">
        <v>259</v>
      </c>
    </row>
    <row r="6" spans="1:50" ht="12" x14ac:dyDescent="0.2">
      <c r="B6" s="86" t="s">
        <v>27</v>
      </c>
      <c r="C6" s="86" t="s">
        <v>168</v>
      </c>
      <c r="D6" s="86"/>
      <c r="E6" s="122" t="s">
        <v>28</v>
      </c>
      <c r="F6" s="86" t="s">
        <v>29</v>
      </c>
      <c r="G6" s="90">
        <v>2020</v>
      </c>
      <c r="H6" s="86"/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0</v>
      </c>
      <c r="O6" s="82">
        <v>0</v>
      </c>
      <c r="P6" s="82">
        <v>0</v>
      </c>
      <c r="Q6" s="82">
        <v>0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X6" s="82">
        <v>0</v>
      </c>
      <c r="Y6" s="82">
        <v>0</v>
      </c>
      <c r="Z6" s="82">
        <v>0</v>
      </c>
      <c r="AA6" s="82">
        <v>0</v>
      </c>
      <c r="AB6" s="82">
        <v>0</v>
      </c>
      <c r="AC6" s="82">
        <v>0</v>
      </c>
      <c r="AD6" s="82">
        <v>0</v>
      </c>
      <c r="AE6" s="82">
        <v>0</v>
      </c>
      <c r="AF6" s="82">
        <v>0</v>
      </c>
      <c r="AG6" s="82">
        <v>0</v>
      </c>
      <c r="AH6" s="82">
        <v>0</v>
      </c>
      <c r="AI6" s="82">
        <v>0</v>
      </c>
      <c r="AJ6" s="82">
        <v>0</v>
      </c>
      <c r="AK6" s="82">
        <v>0</v>
      </c>
      <c r="AL6" s="82">
        <v>0</v>
      </c>
      <c r="AM6" s="82">
        <v>0</v>
      </c>
      <c r="AN6" s="82">
        <v>0</v>
      </c>
      <c r="AO6" s="82">
        <v>0</v>
      </c>
      <c r="AP6" s="82">
        <v>0</v>
      </c>
      <c r="AQ6" s="82">
        <v>0</v>
      </c>
      <c r="AR6" s="82">
        <v>0</v>
      </c>
      <c r="AT6" s="83">
        <f>SUM(J6:AI6)</f>
        <v>0</v>
      </c>
      <c r="AU6" s="148">
        <f>AT6-AI6</f>
        <v>0</v>
      </c>
      <c r="AV6" s="83">
        <f>AT6*$AW$1/1000</f>
        <v>0</v>
      </c>
      <c r="AW6" s="83">
        <f>AU6*$AW$1/1000</f>
        <v>0</v>
      </c>
    </row>
    <row r="7" spans="1:50" ht="12" x14ac:dyDescent="0.2">
      <c r="B7" s="86" t="s">
        <v>27</v>
      </c>
      <c r="C7" s="86" t="s">
        <v>168</v>
      </c>
      <c r="D7" s="86"/>
      <c r="E7" s="122" t="s">
        <v>28</v>
      </c>
      <c r="F7" s="86" t="s">
        <v>29</v>
      </c>
      <c r="G7" s="90">
        <v>2060</v>
      </c>
      <c r="H7" s="90"/>
      <c r="I7" s="84">
        <v>0</v>
      </c>
      <c r="J7" s="84">
        <v>0</v>
      </c>
      <c r="K7" s="84">
        <v>0</v>
      </c>
      <c r="L7" s="84">
        <v>0</v>
      </c>
      <c r="M7" s="84">
        <v>0</v>
      </c>
      <c r="N7" s="84">
        <v>0</v>
      </c>
      <c r="O7" s="84">
        <v>0</v>
      </c>
      <c r="P7" s="84">
        <v>0</v>
      </c>
      <c r="Q7" s="84">
        <v>0</v>
      </c>
      <c r="R7" s="84">
        <v>0</v>
      </c>
      <c r="S7" s="84">
        <v>0</v>
      </c>
      <c r="T7" s="84">
        <v>0</v>
      </c>
      <c r="U7" s="84">
        <v>0</v>
      </c>
      <c r="V7" s="84">
        <v>0</v>
      </c>
      <c r="W7" s="84">
        <v>0</v>
      </c>
      <c r="X7" s="84">
        <v>0</v>
      </c>
      <c r="Y7" s="84">
        <v>0</v>
      </c>
      <c r="Z7" s="84">
        <v>0</v>
      </c>
      <c r="AA7" s="84">
        <v>0</v>
      </c>
      <c r="AB7" s="84">
        <v>0</v>
      </c>
      <c r="AC7" s="84">
        <v>0</v>
      </c>
      <c r="AD7" s="84">
        <v>0</v>
      </c>
      <c r="AE7" s="84">
        <v>0</v>
      </c>
      <c r="AF7" s="84">
        <v>0</v>
      </c>
      <c r="AG7" s="84">
        <v>0</v>
      </c>
      <c r="AH7" s="84">
        <v>0</v>
      </c>
      <c r="AI7" s="84">
        <v>0</v>
      </c>
      <c r="AJ7" s="84">
        <v>0</v>
      </c>
      <c r="AK7" s="84">
        <v>0</v>
      </c>
      <c r="AL7" s="84">
        <v>0</v>
      </c>
      <c r="AM7" s="84">
        <v>0</v>
      </c>
      <c r="AN7" s="84">
        <v>0</v>
      </c>
      <c r="AO7" s="84">
        <v>0</v>
      </c>
      <c r="AP7" s="84">
        <v>0</v>
      </c>
      <c r="AQ7" s="84">
        <v>0</v>
      </c>
      <c r="AR7" s="84">
        <v>0</v>
      </c>
      <c r="AT7" s="83">
        <f>SUM(J7:AI7)</f>
        <v>0</v>
      </c>
      <c r="AU7" s="148">
        <f>AT7-AI7</f>
        <v>0</v>
      </c>
      <c r="AV7" s="83">
        <f>AT7*$AW$1/1000</f>
        <v>0</v>
      </c>
      <c r="AW7" s="83">
        <f>AU7*$AW$1/1000</f>
        <v>0</v>
      </c>
    </row>
    <row r="8" spans="1:50" ht="12" x14ac:dyDescent="0.2">
      <c r="B8" s="86" t="str">
        <f>B7</f>
        <v>ANNUAL</v>
      </c>
      <c r="C8" s="86" t="str">
        <f t="shared" ref="C8" si="0">C7</f>
        <v>SINKPYCCS</v>
      </c>
      <c r="D8" s="86"/>
      <c r="E8" s="86" t="str">
        <f>E7</f>
        <v>UP</v>
      </c>
      <c r="F8" s="86" t="str">
        <f>F7</f>
        <v>ACT_BND</v>
      </c>
      <c r="G8" s="90">
        <v>0</v>
      </c>
      <c r="H8" s="90"/>
      <c r="I8" s="125">
        <v>5</v>
      </c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T8" s="85"/>
      <c r="AU8" s="149"/>
      <c r="AV8" s="85"/>
      <c r="AW8" s="149"/>
    </row>
    <row r="9" spans="1:50" ht="12" x14ac:dyDescent="0.2">
      <c r="B9" s="86"/>
      <c r="C9" s="86" t="s">
        <v>168</v>
      </c>
      <c r="D9" s="86"/>
      <c r="E9" s="122"/>
      <c r="F9" s="86" t="s">
        <v>60</v>
      </c>
      <c r="G9" s="90">
        <v>2020</v>
      </c>
      <c r="H9" s="90" t="s">
        <v>106</v>
      </c>
      <c r="I9" s="140">
        <v>0.05</v>
      </c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T9" s="85"/>
      <c r="AU9" s="149"/>
      <c r="AV9" s="85"/>
      <c r="AW9" s="149"/>
    </row>
    <row r="10" spans="1:50" ht="12" x14ac:dyDescent="0.2">
      <c r="B10" s="170"/>
      <c r="C10" s="170" t="s">
        <v>287</v>
      </c>
      <c r="D10" s="170"/>
      <c r="E10" s="171"/>
      <c r="F10" s="170" t="s">
        <v>60</v>
      </c>
      <c r="G10" s="90">
        <v>2020</v>
      </c>
      <c r="H10" s="90" t="s">
        <v>106</v>
      </c>
      <c r="I10" s="140">
        <v>0.05</v>
      </c>
      <c r="J10" s="84"/>
    </row>
    <row r="11" spans="1:50" ht="12" x14ac:dyDescent="0.2">
      <c r="B11" s="170" t="s">
        <v>27</v>
      </c>
      <c r="C11" s="170" t="s">
        <v>287</v>
      </c>
      <c r="D11" s="170"/>
      <c r="E11" s="171" t="s">
        <v>28</v>
      </c>
      <c r="F11" s="170" t="s">
        <v>29</v>
      </c>
      <c r="G11" s="90">
        <v>2020</v>
      </c>
      <c r="H11" s="90"/>
      <c r="I11" s="140">
        <v>0</v>
      </c>
      <c r="J11" s="84"/>
    </row>
    <row r="12" spans="1:50" ht="12" x14ac:dyDescent="0.2">
      <c r="B12" s="170" t="s">
        <v>27</v>
      </c>
      <c r="C12" s="170" t="s">
        <v>287</v>
      </c>
      <c r="D12" s="170"/>
      <c r="E12" s="171" t="s">
        <v>28</v>
      </c>
      <c r="F12" s="170" t="s">
        <v>29</v>
      </c>
      <c r="G12" s="90">
        <v>2060</v>
      </c>
      <c r="H12" s="90"/>
      <c r="I12" s="140">
        <v>100000</v>
      </c>
      <c r="J12" s="84"/>
    </row>
    <row r="13" spans="1:50" ht="12" x14ac:dyDescent="0.2">
      <c r="B13" s="170" t="s">
        <v>27</v>
      </c>
      <c r="C13" s="170" t="s">
        <v>287</v>
      </c>
      <c r="D13" s="170"/>
      <c r="E13" s="170" t="s">
        <v>28</v>
      </c>
      <c r="F13" s="170" t="s">
        <v>29</v>
      </c>
      <c r="G13" s="170">
        <v>0</v>
      </c>
      <c r="H13" s="90"/>
      <c r="I13" s="125">
        <v>5</v>
      </c>
      <c r="J13" s="84"/>
      <c r="R13" s="2"/>
    </row>
    <row r="14" spans="1:50" ht="12.75" x14ac:dyDescent="0.2">
      <c r="B14" s="222" t="s">
        <v>27</v>
      </c>
      <c r="C14" s="222" t="s">
        <v>287</v>
      </c>
      <c r="D14" s="222" t="s">
        <v>306</v>
      </c>
      <c r="E14" s="172"/>
      <c r="F14" s="222" t="s">
        <v>307</v>
      </c>
      <c r="G14" s="222">
        <v>2020</v>
      </c>
      <c r="H14" s="222" t="s">
        <v>106</v>
      </c>
      <c r="I14" s="227">
        <v>-200</v>
      </c>
      <c r="R14" s="2"/>
    </row>
    <row r="15" spans="1:50" ht="12.75" x14ac:dyDescent="0.2">
      <c r="A15" s="75"/>
      <c r="B15" s="223" t="s">
        <v>27</v>
      </c>
      <c r="C15" s="223" t="s">
        <v>287</v>
      </c>
      <c r="D15" s="224" t="s">
        <v>306</v>
      </c>
      <c r="E15" s="172"/>
      <c r="F15" s="223" t="s">
        <v>307</v>
      </c>
      <c r="G15" s="223">
        <v>2050</v>
      </c>
      <c r="H15" s="222" t="s">
        <v>106</v>
      </c>
      <c r="I15" s="225">
        <v>-200</v>
      </c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spans="1:50" ht="15" x14ac:dyDescent="0.25">
      <c r="A16" s="75"/>
      <c r="B16" s="223" t="s">
        <v>27</v>
      </c>
      <c r="C16" s="223" t="s">
        <v>287</v>
      </c>
      <c r="D16" s="224" t="s">
        <v>306</v>
      </c>
      <c r="E16" s="172"/>
      <c r="F16" s="223" t="s">
        <v>307</v>
      </c>
      <c r="G16" s="223">
        <v>0</v>
      </c>
      <c r="H16" s="226"/>
      <c r="I16" s="225">
        <v>5</v>
      </c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1:26" ht="12" x14ac:dyDescent="0.2">
      <c r="A17" s="75"/>
      <c r="B17" s="75"/>
      <c r="C17" s="75"/>
      <c r="D17" s="75"/>
      <c r="E17" s="75"/>
      <c r="F17" s="75"/>
      <c r="G17" s="75"/>
      <c r="H17" s="75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spans="1:26" ht="12" x14ac:dyDescent="0.2">
      <c r="A18" s="75"/>
      <c r="B18" s="75"/>
      <c r="C18" s="75"/>
      <c r="D18" s="75"/>
      <c r="E18" s="75"/>
      <c r="F18" s="75"/>
      <c r="G18" s="75"/>
      <c r="H18" s="75"/>
      <c r="I18" s="74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6" ht="12" x14ac:dyDescent="0.2">
      <c r="A19" s="75"/>
      <c r="B19" s="75"/>
      <c r="C19" s="75"/>
      <c r="D19" s="75"/>
      <c r="E19" s="75"/>
      <c r="F19" s="75"/>
      <c r="G19" s="75"/>
      <c r="H19" s="75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spans="1:26" ht="12" x14ac:dyDescent="0.2">
      <c r="A20" s="75"/>
      <c r="B20" s="114" t="s">
        <v>235</v>
      </c>
      <c r="C20" s="114"/>
      <c r="D20" s="114"/>
      <c r="E20" s="114" t="s">
        <v>236</v>
      </c>
      <c r="F20" s="114"/>
      <c r="G20" s="114"/>
      <c r="H20" s="114"/>
      <c r="I20" s="126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75"/>
      <c r="W20" s="75"/>
      <c r="X20" s="75"/>
      <c r="Y20" s="75"/>
      <c r="Z20" s="75"/>
    </row>
    <row r="21" spans="1:26" ht="12" x14ac:dyDescent="0.2">
      <c r="A21" s="75"/>
      <c r="B21" s="17"/>
      <c r="C21" s="127" t="s">
        <v>158</v>
      </c>
      <c r="D21" s="128"/>
      <c r="E21" s="128"/>
      <c r="F21" s="128"/>
      <c r="G21" s="127" t="s">
        <v>159</v>
      </c>
      <c r="H21" s="128"/>
      <c r="I21" s="129"/>
      <c r="J21" s="128"/>
      <c r="K21" s="127" t="s">
        <v>160</v>
      </c>
      <c r="L21" s="128"/>
      <c r="M21" s="128"/>
      <c r="N21" s="128"/>
      <c r="O21" s="17"/>
      <c r="P21" s="17"/>
      <c r="Q21" s="17"/>
      <c r="R21" s="17"/>
      <c r="S21" s="37">
        <v>1</v>
      </c>
      <c r="T21" s="37">
        <v>2</v>
      </c>
      <c r="U21" s="37">
        <v>3</v>
      </c>
      <c r="V21" s="75"/>
      <c r="W21" s="75"/>
      <c r="X21" s="75"/>
      <c r="Y21" s="75"/>
      <c r="Z21" s="75"/>
    </row>
    <row r="22" spans="1:26" ht="12" x14ac:dyDescent="0.2">
      <c r="A22" s="75"/>
      <c r="B22" s="130"/>
      <c r="C22" s="131">
        <v>2030</v>
      </c>
      <c r="D22" s="131">
        <v>2050</v>
      </c>
      <c r="E22" s="131">
        <v>2080</v>
      </c>
      <c r="F22" s="132" t="s">
        <v>145</v>
      </c>
      <c r="G22" s="131">
        <v>2030</v>
      </c>
      <c r="H22" s="131">
        <v>2050</v>
      </c>
      <c r="I22" s="131">
        <v>2080</v>
      </c>
      <c r="J22" s="132" t="s">
        <v>145</v>
      </c>
      <c r="K22" s="131">
        <v>2030</v>
      </c>
      <c r="L22" s="131">
        <v>2050</v>
      </c>
      <c r="M22" s="131">
        <v>2080</v>
      </c>
      <c r="N22" s="132" t="s">
        <v>145</v>
      </c>
      <c r="O22" s="17"/>
      <c r="P22" s="126" t="s">
        <v>161</v>
      </c>
      <c r="Q22" s="17"/>
      <c r="R22" s="17"/>
      <c r="S22" s="17">
        <v>2030</v>
      </c>
      <c r="T22" s="37">
        <v>2050</v>
      </c>
      <c r="U22" s="37">
        <v>2080</v>
      </c>
      <c r="V22" s="75"/>
      <c r="W22" s="75"/>
      <c r="X22" s="75"/>
      <c r="Y22" s="75"/>
      <c r="Z22" s="75"/>
    </row>
    <row r="23" spans="1:26" ht="12" x14ac:dyDescent="0.2">
      <c r="A23" s="75"/>
      <c r="B23" s="133" t="s">
        <v>140</v>
      </c>
      <c r="C23" s="134">
        <v>0.60721808632471252</v>
      </c>
      <c r="D23" s="134">
        <v>1.1040328842267499</v>
      </c>
      <c r="E23" s="134">
        <v>1.5551942018486293</v>
      </c>
      <c r="F23" s="135">
        <v>67.77</v>
      </c>
      <c r="G23" s="134">
        <v>6.0162703216873246E-2</v>
      </c>
      <c r="H23" s="134">
        <v>0.10027117202812208</v>
      </c>
      <c r="I23" s="134">
        <v>0.2385202710273282</v>
      </c>
      <c r="J23" s="135">
        <v>7.53</v>
      </c>
      <c r="K23" s="134">
        <v>0.3633138054958141</v>
      </c>
      <c r="L23" s="134">
        <v>0.60552300915969015</v>
      </c>
      <c r="M23" s="134">
        <v>0.94003030474469484</v>
      </c>
      <c r="N23" s="135">
        <v>45.18</v>
      </c>
      <c r="O23" s="17"/>
      <c r="P23" s="136">
        <v>1</v>
      </c>
      <c r="Q23" s="17"/>
      <c r="R23" s="133" t="s">
        <v>140</v>
      </c>
      <c r="S23" s="117">
        <f t="shared" ref="S23:U42" ca="1" si="1">OFFSET($B23,0,S$21)</f>
        <v>0.60721808632471252</v>
      </c>
      <c r="T23" s="117">
        <f t="shared" ca="1" si="1"/>
        <v>1.1040328842267499</v>
      </c>
      <c r="U23" s="117">
        <f t="shared" ca="1" si="1"/>
        <v>1.5551942018486293</v>
      </c>
      <c r="V23" s="75"/>
      <c r="W23" s="75"/>
      <c r="X23" s="75"/>
      <c r="Y23" s="75"/>
      <c r="Z23" s="75"/>
    </row>
    <row r="24" spans="1:26" ht="12" x14ac:dyDescent="0.2">
      <c r="A24" s="75"/>
      <c r="B24" s="133" t="s">
        <v>139</v>
      </c>
      <c r="C24" s="134">
        <v>0.29580478315645681</v>
      </c>
      <c r="D24" s="134">
        <v>0.53782687846628507</v>
      </c>
      <c r="E24" s="134">
        <v>0.67167054027153872</v>
      </c>
      <c r="F24" s="135">
        <v>45.18</v>
      </c>
      <c r="G24" s="134">
        <v>0</v>
      </c>
      <c r="H24" s="134">
        <v>0</v>
      </c>
      <c r="I24" s="134">
        <v>0</v>
      </c>
      <c r="J24" s="135">
        <v>0</v>
      </c>
      <c r="K24" s="134">
        <v>0.18092183861214023</v>
      </c>
      <c r="L24" s="134">
        <v>0.30153639768690038</v>
      </c>
      <c r="M24" s="134">
        <v>0.3853249600297593</v>
      </c>
      <c r="N24" s="135">
        <v>22.59</v>
      </c>
      <c r="O24" s="17"/>
      <c r="P24" s="136">
        <v>1</v>
      </c>
      <c r="Q24" s="17"/>
      <c r="R24" s="133" t="s">
        <v>139</v>
      </c>
      <c r="S24" s="117">
        <f t="shared" ca="1" si="1"/>
        <v>0.29580478315645681</v>
      </c>
      <c r="T24" s="117">
        <f t="shared" ca="1" si="1"/>
        <v>0.53782687846628507</v>
      </c>
      <c r="U24" s="117">
        <f t="shared" ca="1" si="1"/>
        <v>0.67167054027153872</v>
      </c>
      <c r="V24" s="75"/>
      <c r="W24" s="75"/>
      <c r="X24" s="75"/>
      <c r="Y24" s="75"/>
      <c r="Z24" s="75"/>
    </row>
    <row r="25" spans="1:26" ht="12" x14ac:dyDescent="0.2">
      <c r="A25" s="75"/>
      <c r="B25" s="133" t="s">
        <v>138</v>
      </c>
      <c r="C25" s="134">
        <v>1.6095301162228315</v>
      </c>
      <c r="D25" s="134">
        <v>2.9264183931324208</v>
      </c>
      <c r="E25" s="134">
        <v>4.1788569778891542</v>
      </c>
      <c r="F25" s="135">
        <v>173.19</v>
      </c>
      <c r="G25" s="134">
        <v>6.0224679804969504E-2</v>
      </c>
      <c r="H25" s="134">
        <v>0.10037446634161584</v>
      </c>
      <c r="I25" s="134">
        <v>0.33194262358594956</v>
      </c>
      <c r="J25" s="135">
        <v>7.53</v>
      </c>
      <c r="K25" s="134">
        <v>0.18481353986407123</v>
      </c>
      <c r="L25" s="134">
        <v>0.30802256644011872</v>
      </c>
      <c r="M25" s="134">
        <v>1.0932613434838079</v>
      </c>
      <c r="N25" s="135">
        <v>22.59</v>
      </c>
      <c r="O25" s="17"/>
      <c r="P25" s="136">
        <v>1</v>
      </c>
      <c r="Q25" s="17"/>
      <c r="R25" s="133" t="s">
        <v>138</v>
      </c>
      <c r="S25" s="117">
        <f t="shared" ca="1" si="1"/>
        <v>1.6095301162228315</v>
      </c>
      <c r="T25" s="117">
        <f t="shared" ca="1" si="1"/>
        <v>2.9264183931324208</v>
      </c>
      <c r="U25" s="117">
        <f t="shared" ca="1" si="1"/>
        <v>4.1788569778891542</v>
      </c>
      <c r="V25" s="75"/>
      <c r="W25" s="75"/>
      <c r="X25" s="75"/>
      <c r="Y25" s="75"/>
      <c r="Z25" s="75"/>
    </row>
    <row r="26" spans="1:26" ht="12" x14ac:dyDescent="0.2">
      <c r="A26" s="75"/>
      <c r="B26" s="133" t="s">
        <v>112</v>
      </c>
      <c r="C26" s="134">
        <v>0.12936869247771413</v>
      </c>
      <c r="D26" s="134">
        <v>0.23521580450493473</v>
      </c>
      <c r="E26" s="134">
        <v>0.3</v>
      </c>
      <c r="F26" s="135">
        <v>22.59</v>
      </c>
      <c r="G26" s="134">
        <v>6.0041603247754843E-2</v>
      </c>
      <c r="H26" s="134">
        <v>0.10006933874625808</v>
      </c>
      <c r="I26" s="134">
        <v>0.12491961256533768</v>
      </c>
      <c r="J26" s="135">
        <v>7.53</v>
      </c>
      <c r="K26" s="134">
        <v>0.12048754587599077</v>
      </c>
      <c r="L26" s="134">
        <v>0.20081257645998463</v>
      </c>
      <c r="M26" s="134">
        <v>0.24395780244085274</v>
      </c>
      <c r="N26" s="135">
        <v>22.59</v>
      </c>
      <c r="O26" s="17"/>
      <c r="P26" s="17"/>
      <c r="Q26" s="17"/>
      <c r="R26" s="133" t="s">
        <v>112</v>
      </c>
      <c r="S26" s="117">
        <f t="shared" ca="1" si="1"/>
        <v>0.12936869247771413</v>
      </c>
      <c r="T26" s="117">
        <f t="shared" ca="1" si="1"/>
        <v>0.23521580450493473</v>
      </c>
      <c r="U26" s="117">
        <f t="shared" ca="1" si="1"/>
        <v>0.3</v>
      </c>
      <c r="V26" s="75"/>
      <c r="W26" s="75"/>
      <c r="X26" s="75"/>
      <c r="Y26" s="75"/>
      <c r="Z26" s="75"/>
    </row>
    <row r="27" spans="1:26" ht="12" x14ac:dyDescent="0.2">
      <c r="A27" s="75"/>
      <c r="B27" s="133" t="s">
        <v>137</v>
      </c>
      <c r="C27" s="134">
        <v>0</v>
      </c>
      <c r="D27" s="134">
        <v>0</v>
      </c>
      <c r="E27" s="134">
        <v>0</v>
      </c>
      <c r="F27" s="135">
        <v>15.06</v>
      </c>
      <c r="G27" s="134">
        <v>0</v>
      </c>
      <c r="H27" s="134">
        <v>0</v>
      </c>
      <c r="I27" s="134">
        <v>0</v>
      </c>
      <c r="J27" s="135">
        <v>0</v>
      </c>
      <c r="K27" s="134">
        <v>0</v>
      </c>
      <c r="L27" s="134">
        <v>0</v>
      </c>
      <c r="M27" s="134">
        <v>0</v>
      </c>
      <c r="N27" s="135">
        <v>0</v>
      </c>
      <c r="O27" s="17"/>
      <c r="P27" s="136">
        <v>1</v>
      </c>
      <c r="Q27" s="17"/>
      <c r="R27" s="133" t="s">
        <v>137</v>
      </c>
      <c r="S27" s="117">
        <f t="shared" ca="1" si="1"/>
        <v>0</v>
      </c>
      <c r="T27" s="117">
        <f t="shared" ca="1" si="1"/>
        <v>0</v>
      </c>
      <c r="U27" s="117">
        <f t="shared" ca="1" si="1"/>
        <v>0</v>
      </c>
      <c r="V27" s="75"/>
      <c r="W27" s="75"/>
      <c r="X27" s="75"/>
      <c r="Y27" s="75"/>
      <c r="Z27" s="75"/>
    </row>
    <row r="28" spans="1:26" ht="12" x14ac:dyDescent="0.2">
      <c r="A28" s="75"/>
      <c r="B28" s="133" t="s">
        <v>136</v>
      </c>
      <c r="C28" s="134">
        <v>1.0116438202653617</v>
      </c>
      <c r="D28" s="134">
        <v>1.8393524004824757</v>
      </c>
      <c r="E28" s="134">
        <v>2.2219161226816362</v>
      </c>
      <c r="F28" s="135">
        <v>135.54</v>
      </c>
      <c r="G28" s="134">
        <v>6.017692668583971E-2</v>
      </c>
      <c r="H28" s="134">
        <v>0.10029487780973285</v>
      </c>
      <c r="I28" s="134">
        <v>0.25732377021791636</v>
      </c>
      <c r="J28" s="135">
        <v>7.53</v>
      </c>
      <c r="K28" s="134">
        <v>0.66361706387574082</v>
      </c>
      <c r="L28" s="134">
        <v>1.1060284397929014</v>
      </c>
      <c r="M28" s="134">
        <v>1.4378034914959987</v>
      </c>
      <c r="N28" s="135">
        <v>82.83</v>
      </c>
      <c r="O28" s="17"/>
      <c r="P28" s="136">
        <v>1</v>
      </c>
      <c r="Q28" s="17"/>
      <c r="R28" s="133" t="s">
        <v>136</v>
      </c>
      <c r="S28" s="117">
        <f t="shared" ca="1" si="1"/>
        <v>1.0116438202653617</v>
      </c>
      <c r="T28" s="117">
        <f t="shared" ca="1" si="1"/>
        <v>1.8393524004824757</v>
      </c>
      <c r="U28" s="117">
        <f t="shared" ca="1" si="1"/>
        <v>2.2219161226816362</v>
      </c>
      <c r="V28" s="75"/>
      <c r="W28" s="75"/>
      <c r="X28" s="75"/>
      <c r="Y28" s="75"/>
      <c r="Z28" s="75"/>
    </row>
    <row r="29" spans="1:26" ht="12" x14ac:dyDescent="0.2">
      <c r="A29" s="75"/>
      <c r="B29" s="133" t="s">
        <v>135</v>
      </c>
      <c r="C29" s="134">
        <v>3.1817953350842711</v>
      </c>
      <c r="D29" s="134">
        <v>5.7850824274259471</v>
      </c>
      <c r="E29" s="134">
        <v>8.2873857002210052</v>
      </c>
      <c r="F29" s="135">
        <v>353.91</v>
      </c>
      <c r="G29" s="134">
        <v>0.12044196798645845</v>
      </c>
      <c r="H29" s="134">
        <v>0.20073661331076409</v>
      </c>
      <c r="I29" s="134">
        <v>0.6509350594933726</v>
      </c>
      <c r="J29" s="135">
        <v>15.06</v>
      </c>
      <c r="K29" s="134">
        <v>2.2967476566830203</v>
      </c>
      <c r="L29" s="134">
        <v>3.827912761138367</v>
      </c>
      <c r="M29" s="134">
        <v>5.4390983148081062</v>
      </c>
      <c r="N29" s="135">
        <v>286.14</v>
      </c>
      <c r="O29" s="17"/>
      <c r="P29" s="136">
        <v>1</v>
      </c>
      <c r="Q29" s="17"/>
      <c r="R29" s="133" t="s">
        <v>135</v>
      </c>
      <c r="S29" s="117">
        <f t="shared" ca="1" si="1"/>
        <v>3.1817953350842711</v>
      </c>
      <c r="T29" s="117">
        <f t="shared" ca="1" si="1"/>
        <v>5.7850824274259471</v>
      </c>
      <c r="U29" s="117">
        <f t="shared" ca="1" si="1"/>
        <v>8.2873857002210052</v>
      </c>
      <c r="V29" s="75"/>
      <c r="W29" s="75"/>
      <c r="X29" s="75"/>
      <c r="Y29" s="75"/>
      <c r="Z29" s="75"/>
    </row>
    <row r="30" spans="1:26" ht="12" x14ac:dyDescent="0.2">
      <c r="A30" s="75"/>
      <c r="B30" s="133" t="s">
        <v>134</v>
      </c>
      <c r="C30" s="134">
        <v>0.62923649572229767</v>
      </c>
      <c r="D30" s="134">
        <v>1.144066355858723</v>
      </c>
      <c r="E30" s="134">
        <v>1.5376570144569564</v>
      </c>
      <c r="F30" s="135">
        <v>75.3</v>
      </c>
      <c r="G30" s="134">
        <v>0</v>
      </c>
      <c r="H30" s="134">
        <v>0</v>
      </c>
      <c r="I30" s="134">
        <v>0</v>
      </c>
      <c r="J30" s="135">
        <v>0</v>
      </c>
      <c r="K30" s="134">
        <v>0.30310481471028589</v>
      </c>
      <c r="L30" s="134">
        <v>0.50517469118380987</v>
      </c>
      <c r="M30" s="134">
        <v>0.82808980847147529</v>
      </c>
      <c r="N30" s="135">
        <v>37.65</v>
      </c>
      <c r="O30" s="17"/>
      <c r="P30" s="136">
        <v>1</v>
      </c>
      <c r="Q30" s="17"/>
      <c r="R30" s="133" t="s">
        <v>134</v>
      </c>
      <c r="S30" s="117">
        <f t="shared" ca="1" si="1"/>
        <v>0.62923649572229767</v>
      </c>
      <c r="T30" s="117">
        <f t="shared" ca="1" si="1"/>
        <v>1.144066355858723</v>
      </c>
      <c r="U30" s="117">
        <f t="shared" ca="1" si="1"/>
        <v>1.5376570144569564</v>
      </c>
      <c r="V30" s="75"/>
      <c r="W30" s="75"/>
      <c r="X30" s="75"/>
      <c r="Y30" s="75"/>
      <c r="Z30" s="75"/>
    </row>
    <row r="31" spans="1:26" ht="12" x14ac:dyDescent="0.2">
      <c r="A31" s="75"/>
      <c r="B31" s="133" t="s">
        <v>133</v>
      </c>
      <c r="C31" s="134">
        <v>0.16500000000000001</v>
      </c>
      <c r="D31" s="134">
        <v>0.3</v>
      </c>
      <c r="E31" s="134">
        <v>0.3703193537802727</v>
      </c>
      <c r="F31" s="135">
        <v>22.59</v>
      </c>
      <c r="G31" s="134">
        <v>0</v>
      </c>
      <c r="H31" s="134">
        <v>0</v>
      </c>
      <c r="I31" s="134">
        <v>0</v>
      </c>
      <c r="J31" s="135">
        <v>0</v>
      </c>
      <c r="K31" s="134">
        <v>0.18</v>
      </c>
      <c r="L31" s="134">
        <v>0.3</v>
      </c>
      <c r="M31" s="134">
        <v>0.3</v>
      </c>
      <c r="N31" s="135">
        <v>22.59</v>
      </c>
      <c r="O31" s="17"/>
      <c r="P31" s="136">
        <v>1</v>
      </c>
      <c r="Q31" s="17"/>
      <c r="R31" s="133" t="s">
        <v>133</v>
      </c>
      <c r="S31" s="117">
        <f t="shared" ca="1" si="1"/>
        <v>0.16500000000000001</v>
      </c>
      <c r="T31" s="117">
        <f t="shared" ca="1" si="1"/>
        <v>0.3</v>
      </c>
      <c r="U31" s="117">
        <f t="shared" ca="1" si="1"/>
        <v>0.3703193537802727</v>
      </c>
      <c r="V31" s="75"/>
      <c r="W31" s="75"/>
      <c r="X31" s="75"/>
      <c r="Y31" s="75"/>
      <c r="Z31" s="75"/>
    </row>
    <row r="32" spans="1:26" ht="12" x14ac:dyDescent="0.2">
      <c r="A32" s="75"/>
      <c r="B32" s="133" t="s">
        <v>132</v>
      </c>
      <c r="C32" s="134">
        <v>4.7735801470390493</v>
      </c>
      <c r="D32" s="134">
        <v>8.679236630980089</v>
      </c>
      <c r="E32" s="134">
        <v>12.562300219295825</v>
      </c>
      <c r="F32" s="135">
        <v>1137.03</v>
      </c>
      <c r="G32" s="134">
        <v>0</v>
      </c>
      <c r="H32" s="134">
        <v>0</v>
      </c>
      <c r="I32" s="134">
        <v>0</v>
      </c>
      <c r="J32" s="135">
        <v>0</v>
      </c>
      <c r="K32" s="134">
        <v>0.24658812270401448</v>
      </c>
      <c r="L32" s="134">
        <v>0.41098020450669082</v>
      </c>
      <c r="M32" s="134">
        <v>1.5078033652180403</v>
      </c>
      <c r="N32" s="135">
        <v>30.12</v>
      </c>
      <c r="O32" s="17"/>
      <c r="P32" s="136">
        <v>1</v>
      </c>
      <c r="Q32" s="17"/>
      <c r="R32" s="133" t="s">
        <v>132</v>
      </c>
      <c r="S32" s="117">
        <f t="shared" ca="1" si="1"/>
        <v>4.7735801470390493</v>
      </c>
      <c r="T32" s="117">
        <f t="shared" ca="1" si="1"/>
        <v>8.679236630980089</v>
      </c>
      <c r="U32" s="117">
        <f t="shared" ca="1" si="1"/>
        <v>12.562300219295825</v>
      </c>
      <c r="V32" s="75"/>
      <c r="W32" s="75"/>
      <c r="X32" s="75"/>
      <c r="Y32" s="75"/>
      <c r="Z32" s="75"/>
    </row>
    <row r="33" spans="1:26" ht="12" x14ac:dyDescent="0.2">
      <c r="A33" s="75"/>
      <c r="B33" s="133" t="s">
        <v>131</v>
      </c>
      <c r="C33" s="134">
        <v>0.20240602877490418</v>
      </c>
      <c r="D33" s="134">
        <v>0.36801096140891665</v>
      </c>
      <c r="E33" s="134">
        <v>0.49828201445453646</v>
      </c>
      <c r="F33" s="135">
        <v>22.59</v>
      </c>
      <c r="G33" s="134">
        <v>0</v>
      </c>
      <c r="H33" s="134">
        <v>0</v>
      </c>
      <c r="I33" s="134">
        <v>0</v>
      </c>
      <c r="J33" s="135">
        <v>0</v>
      </c>
      <c r="K33" s="134">
        <v>0.18092183861214023</v>
      </c>
      <c r="L33" s="134">
        <v>0.30153639768690038</v>
      </c>
      <c r="M33" s="134">
        <v>0.3853249600297593</v>
      </c>
      <c r="N33" s="135">
        <v>22.59</v>
      </c>
      <c r="O33" s="17"/>
      <c r="P33" s="136">
        <v>1</v>
      </c>
      <c r="Q33" s="17"/>
      <c r="R33" s="133" t="s">
        <v>131</v>
      </c>
      <c r="S33" s="117">
        <f t="shared" ca="1" si="1"/>
        <v>0.20240602877490418</v>
      </c>
      <c r="T33" s="117">
        <f t="shared" ca="1" si="1"/>
        <v>0.36801096140891665</v>
      </c>
      <c r="U33" s="117">
        <f t="shared" ca="1" si="1"/>
        <v>0.49828201445453646</v>
      </c>
      <c r="V33" s="75"/>
      <c r="W33" s="75"/>
      <c r="X33" s="75"/>
      <c r="Y33" s="75"/>
      <c r="Z33" s="75"/>
    </row>
    <row r="34" spans="1:26" ht="12" x14ac:dyDescent="0.2">
      <c r="A34" s="75"/>
      <c r="B34" s="133" t="s">
        <v>130</v>
      </c>
      <c r="C34" s="134">
        <v>6.5252998191865466</v>
      </c>
      <c r="D34" s="134">
        <v>11.864181489430084</v>
      </c>
      <c r="E34" s="134">
        <v>16.907175145691536</v>
      </c>
      <c r="F34" s="135">
        <v>722.88</v>
      </c>
      <c r="G34" s="134">
        <v>0.24089144086926512</v>
      </c>
      <c r="H34" s="134">
        <v>0.40148573478210853</v>
      </c>
      <c r="I34" s="134">
        <v>1.314955194815145</v>
      </c>
      <c r="J34" s="135">
        <v>30.12</v>
      </c>
      <c r="K34" s="134">
        <v>2.4339548503406281</v>
      </c>
      <c r="L34" s="134">
        <v>4.0565914172343804</v>
      </c>
      <c r="M34" s="134">
        <v>7.9620063888805541</v>
      </c>
      <c r="N34" s="135">
        <v>301.2</v>
      </c>
      <c r="O34" s="17"/>
      <c r="P34" s="136">
        <v>1</v>
      </c>
      <c r="Q34" s="17"/>
      <c r="R34" s="133" t="s">
        <v>130</v>
      </c>
      <c r="S34" s="117">
        <f t="shared" ca="1" si="1"/>
        <v>6.5252998191865466</v>
      </c>
      <c r="T34" s="117">
        <f t="shared" ca="1" si="1"/>
        <v>11.864181489430084</v>
      </c>
      <c r="U34" s="117">
        <f t="shared" ca="1" si="1"/>
        <v>16.907175145691536</v>
      </c>
      <c r="V34" s="75"/>
      <c r="W34" s="75"/>
      <c r="X34" s="75"/>
      <c r="Y34" s="75"/>
      <c r="Z34" s="75"/>
    </row>
    <row r="35" spans="1:26" ht="12" x14ac:dyDescent="0.2">
      <c r="A35" s="75"/>
      <c r="B35" s="133" t="s">
        <v>129</v>
      </c>
      <c r="C35" s="134">
        <v>0.99780124292118011</v>
      </c>
      <c r="D35" s="134">
        <v>1.8141840780385092</v>
      </c>
      <c r="E35" s="134">
        <v>2.1445167426098588</v>
      </c>
      <c r="F35" s="135">
        <v>150.6</v>
      </c>
      <c r="G35" s="134">
        <v>0</v>
      </c>
      <c r="H35" s="134">
        <v>0</v>
      </c>
      <c r="I35" s="134">
        <v>0</v>
      </c>
      <c r="J35" s="135">
        <v>0</v>
      </c>
      <c r="K35" s="134">
        <v>0</v>
      </c>
      <c r="L35" s="134">
        <v>0</v>
      </c>
      <c r="M35" s="134">
        <v>0</v>
      </c>
      <c r="N35" s="135">
        <v>0</v>
      </c>
      <c r="O35" s="17"/>
      <c r="P35" s="136">
        <v>1</v>
      </c>
      <c r="Q35" s="17"/>
      <c r="R35" s="133" t="s">
        <v>129</v>
      </c>
      <c r="S35" s="117">
        <f t="shared" ca="1" si="1"/>
        <v>0.99780124292118011</v>
      </c>
      <c r="T35" s="117">
        <f t="shared" ca="1" si="1"/>
        <v>1.8141840780385092</v>
      </c>
      <c r="U35" s="117">
        <f t="shared" ca="1" si="1"/>
        <v>2.1445167426098588</v>
      </c>
      <c r="V35" s="75"/>
      <c r="W35" s="75"/>
      <c r="X35" s="75"/>
      <c r="Y35" s="75"/>
      <c r="Z35" s="75"/>
    </row>
    <row r="36" spans="1:26" ht="12" x14ac:dyDescent="0.2">
      <c r="A36" s="75"/>
      <c r="B36" s="133" t="s">
        <v>128</v>
      </c>
      <c r="C36" s="134">
        <v>1.7516715504353881</v>
      </c>
      <c r="D36" s="134">
        <v>3.1848573644279781</v>
      </c>
      <c r="E36" s="134">
        <v>5.5174436873082424</v>
      </c>
      <c r="F36" s="135">
        <v>150.6</v>
      </c>
      <c r="G36" s="134">
        <v>6.0250052594338389E-2</v>
      </c>
      <c r="H36" s="134">
        <v>0.10041675432389732</v>
      </c>
      <c r="I36" s="134">
        <v>0.38000015314995439</v>
      </c>
      <c r="J36" s="135">
        <v>7.53</v>
      </c>
      <c r="K36" s="134">
        <v>0.30774666440842685</v>
      </c>
      <c r="L36" s="134">
        <v>0.5129111073473781</v>
      </c>
      <c r="M36" s="134">
        <v>1.7438249595054087</v>
      </c>
      <c r="N36" s="135">
        <v>37.65</v>
      </c>
      <c r="O36" s="17"/>
      <c r="P36" s="136">
        <v>1</v>
      </c>
      <c r="Q36" s="17"/>
      <c r="R36" s="133" t="s">
        <v>128</v>
      </c>
      <c r="S36" s="117">
        <f t="shared" ca="1" si="1"/>
        <v>1.7516715504353881</v>
      </c>
      <c r="T36" s="117">
        <f t="shared" ca="1" si="1"/>
        <v>3.1848573644279781</v>
      </c>
      <c r="U36" s="117">
        <f t="shared" ca="1" si="1"/>
        <v>5.5174436873082424</v>
      </c>
      <c r="V36" s="75"/>
      <c r="W36" s="75"/>
      <c r="X36" s="75"/>
      <c r="Y36" s="75"/>
      <c r="Z36" s="75"/>
    </row>
    <row r="37" spans="1:26" ht="12" x14ac:dyDescent="0.2">
      <c r="A37" s="75"/>
      <c r="B37" s="133" t="s">
        <v>127</v>
      </c>
      <c r="C37" s="134">
        <v>8.5351506565344792E-2</v>
      </c>
      <c r="D37" s="134">
        <v>0.15518455739153597</v>
      </c>
      <c r="E37" s="134">
        <v>0.27587218436541211</v>
      </c>
      <c r="F37" s="135">
        <v>7.53</v>
      </c>
      <c r="G37" s="134">
        <v>0</v>
      </c>
      <c r="H37" s="134">
        <v>0</v>
      </c>
      <c r="I37" s="134">
        <v>0</v>
      </c>
      <c r="J37" s="135">
        <v>0</v>
      </c>
      <c r="K37" s="134">
        <v>6.0662801516271209E-2</v>
      </c>
      <c r="L37" s="134">
        <v>0.10110466919378536</v>
      </c>
      <c r="M37" s="134">
        <v>0.17131264276717917</v>
      </c>
      <c r="N37" s="135">
        <v>7.53</v>
      </c>
      <c r="O37" s="17"/>
      <c r="P37" s="136">
        <v>1</v>
      </c>
      <c r="Q37" s="17"/>
      <c r="R37" s="133" t="s">
        <v>127</v>
      </c>
      <c r="S37" s="117">
        <f t="shared" ca="1" si="1"/>
        <v>8.5351506565344792E-2</v>
      </c>
      <c r="T37" s="117">
        <f t="shared" ca="1" si="1"/>
        <v>0.15518455739153597</v>
      </c>
      <c r="U37" s="117">
        <f t="shared" ca="1" si="1"/>
        <v>0.27587218436541211</v>
      </c>
      <c r="V37" s="75"/>
      <c r="W37" s="75"/>
      <c r="X37" s="75"/>
      <c r="Y37" s="75"/>
      <c r="Z37" s="75"/>
    </row>
    <row r="38" spans="1:26" ht="12" x14ac:dyDescent="0.2">
      <c r="A38" s="75"/>
      <c r="B38" s="133" t="s">
        <v>113</v>
      </c>
      <c r="C38" s="134">
        <v>0</v>
      </c>
      <c r="D38" s="134">
        <v>0</v>
      </c>
      <c r="E38" s="134">
        <v>0</v>
      </c>
      <c r="F38" s="135">
        <v>0</v>
      </c>
      <c r="G38" s="134">
        <v>0</v>
      </c>
      <c r="H38" s="134">
        <v>0</v>
      </c>
      <c r="I38" s="134">
        <v>0</v>
      </c>
      <c r="J38" s="135">
        <v>0</v>
      </c>
      <c r="K38" s="134">
        <v>0</v>
      </c>
      <c r="L38" s="134">
        <v>0</v>
      </c>
      <c r="M38" s="134">
        <v>0</v>
      </c>
      <c r="N38" s="135">
        <v>0</v>
      </c>
      <c r="O38" s="17"/>
      <c r="P38" s="17"/>
      <c r="Q38" s="17"/>
      <c r="R38" s="133" t="s">
        <v>113</v>
      </c>
      <c r="S38" s="117">
        <f t="shared" ca="1" si="1"/>
        <v>0</v>
      </c>
      <c r="T38" s="117">
        <f t="shared" ca="1" si="1"/>
        <v>0</v>
      </c>
      <c r="U38" s="117">
        <f t="shared" ca="1" si="1"/>
        <v>0</v>
      </c>
      <c r="V38" s="75"/>
      <c r="W38" s="75"/>
      <c r="X38" s="75"/>
      <c r="Y38" s="75"/>
      <c r="Z38" s="75"/>
    </row>
    <row r="39" spans="1:26" ht="12" x14ac:dyDescent="0.2">
      <c r="A39" s="75"/>
      <c r="B39" s="133" t="s">
        <v>126</v>
      </c>
      <c r="C39" s="134">
        <v>2.9803877835320058</v>
      </c>
      <c r="D39" s="134">
        <v>5.4188868791491007</v>
      </c>
      <c r="E39" s="134">
        <v>7.1036963903144619</v>
      </c>
      <c r="F39" s="135">
        <v>361.44</v>
      </c>
      <c r="G39" s="134">
        <v>0.12041847679719397</v>
      </c>
      <c r="H39" s="134">
        <v>0.20069746132865662</v>
      </c>
      <c r="I39" s="134">
        <v>0.611426917947129</v>
      </c>
      <c r="J39" s="135">
        <v>15.06</v>
      </c>
      <c r="K39" s="134">
        <v>0.8529962841255504</v>
      </c>
      <c r="L39" s="134">
        <v>1.421660473542584</v>
      </c>
      <c r="M39" s="134">
        <v>2.9706592781578358</v>
      </c>
      <c r="N39" s="135">
        <v>105.42</v>
      </c>
      <c r="O39" s="17"/>
      <c r="P39" s="136">
        <v>1</v>
      </c>
      <c r="Q39" s="17"/>
      <c r="R39" s="133" t="s">
        <v>126</v>
      </c>
      <c r="S39" s="117">
        <f t="shared" ca="1" si="1"/>
        <v>2.9803877835320058</v>
      </c>
      <c r="T39" s="117">
        <f t="shared" ca="1" si="1"/>
        <v>5.4188868791491007</v>
      </c>
      <c r="U39" s="117">
        <f t="shared" ca="1" si="1"/>
        <v>7.1036963903144619</v>
      </c>
      <c r="V39" s="75"/>
      <c r="W39" s="75"/>
      <c r="X39" s="75"/>
      <c r="Y39" s="75"/>
      <c r="Z39" s="75"/>
    </row>
    <row r="40" spans="1:26" ht="12" x14ac:dyDescent="0.2">
      <c r="A40" s="75"/>
      <c r="B40" s="133" t="s">
        <v>125</v>
      </c>
      <c r="C40" s="134">
        <v>0.66</v>
      </c>
      <c r="D40" s="134">
        <v>1.2</v>
      </c>
      <c r="E40" s="134">
        <v>1.4812774151210908</v>
      </c>
      <c r="F40" s="135">
        <v>90.36</v>
      </c>
      <c r="G40" s="134">
        <v>0</v>
      </c>
      <c r="H40" s="134">
        <v>0</v>
      </c>
      <c r="I40" s="134">
        <v>0</v>
      </c>
      <c r="J40" s="135">
        <v>0</v>
      </c>
      <c r="K40" s="134">
        <v>0.42226989714079094</v>
      </c>
      <c r="L40" s="134">
        <v>0.70378316190131829</v>
      </c>
      <c r="M40" s="134">
        <v>0.91158844374821058</v>
      </c>
      <c r="N40" s="135">
        <v>52.71</v>
      </c>
      <c r="O40" s="17"/>
      <c r="P40" s="136">
        <v>1</v>
      </c>
      <c r="Q40" s="17"/>
      <c r="R40" s="133" t="s">
        <v>125</v>
      </c>
      <c r="S40" s="117">
        <f t="shared" ca="1" si="1"/>
        <v>0.66</v>
      </c>
      <c r="T40" s="117">
        <f t="shared" ca="1" si="1"/>
        <v>1.2</v>
      </c>
      <c r="U40" s="117">
        <f t="shared" ca="1" si="1"/>
        <v>1.4812774151210908</v>
      </c>
      <c r="V40" s="75"/>
      <c r="W40" s="75"/>
      <c r="X40" s="75"/>
      <c r="Y40" s="75"/>
      <c r="Z40" s="75"/>
    </row>
    <row r="41" spans="1:26" ht="12" x14ac:dyDescent="0.2">
      <c r="A41" s="75"/>
      <c r="B41" s="133" t="s">
        <v>124</v>
      </c>
      <c r="C41" s="134">
        <v>0</v>
      </c>
      <c r="D41" s="134">
        <v>0</v>
      </c>
      <c r="E41" s="134">
        <v>0</v>
      </c>
      <c r="F41" s="135">
        <v>0</v>
      </c>
      <c r="G41" s="134">
        <v>0</v>
      </c>
      <c r="H41" s="134">
        <v>0</v>
      </c>
      <c r="I41" s="134">
        <v>0</v>
      </c>
      <c r="J41" s="135">
        <v>0</v>
      </c>
      <c r="K41" s="134">
        <v>0</v>
      </c>
      <c r="L41" s="134">
        <v>0</v>
      </c>
      <c r="M41" s="134">
        <v>0</v>
      </c>
      <c r="N41" s="135">
        <v>0</v>
      </c>
      <c r="O41" s="17"/>
      <c r="P41" s="136">
        <v>1</v>
      </c>
      <c r="Q41" s="17"/>
      <c r="R41" s="133" t="s">
        <v>124</v>
      </c>
      <c r="S41" s="117">
        <f t="shared" ca="1" si="1"/>
        <v>0</v>
      </c>
      <c r="T41" s="117">
        <f t="shared" ca="1" si="1"/>
        <v>0</v>
      </c>
      <c r="U41" s="117">
        <f t="shared" ca="1" si="1"/>
        <v>0</v>
      </c>
      <c r="V41" s="75"/>
      <c r="W41" s="75"/>
      <c r="X41" s="75"/>
      <c r="Y41" s="75"/>
      <c r="Z41" s="75"/>
    </row>
    <row r="42" spans="1:26" ht="12" x14ac:dyDescent="0.2">
      <c r="A42" s="75"/>
      <c r="B42" s="133" t="s">
        <v>123</v>
      </c>
      <c r="C42" s="134">
        <v>0.29580478315645681</v>
      </c>
      <c r="D42" s="134">
        <v>0.53782687846628507</v>
      </c>
      <c r="E42" s="134">
        <v>0.76882850722847818</v>
      </c>
      <c r="F42" s="135">
        <v>37.65</v>
      </c>
      <c r="G42" s="134">
        <v>0</v>
      </c>
      <c r="H42" s="134">
        <v>0</v>
      </c>
      <c r="I42" s="134">
        <v>0</v>
      </c>
      <c r="J42" s="135">
        <v>0</v>
      </c>
      <c r="K42" s="134">
        <v>0.18125199901020939</v>
      </c>
      <c r="L42" s="134">
        <v>0.30208666501701564</v>
      </c>
      <c r="M42" s="134">
        <v>0.42133346272139915</v>
      </c>
      <c r="N42" s="135">
        <v>22.59</v>
      </c>
      <c r="O42" s="17"/>
      <c r="P42" s="136">
        <v>1</v>
      </c>
      <c r="Q42" s="17"/>
      <c r="R42" s="133" t="s">
        <v>123</v>
      </c>
      <c r="S42" s="117">
        <f t="shared" ca="1" si="1"/>
        <v>0.29580478315645681</v>
      </c>
      <c r="T42" s="117">
        <f t="shared" ca="1" si="1"/>
        <v>0.53782687846628507</v>
      </c>
      <c r="U42" s="117">
        <f t="shared" ca="1" si="1"/>
        <v>0.76882850722847818</v>
      </c>
      <c r="V42" s="75"/>
      <c r="W42" s="75"/>
      <c r="X42" s="75"/>
      <c r="Y42" s="75"/>
      <c r="Z42" s="75"/>
    </row>
    <row r="43" spans="1:26" ht="12" x14ac:dyDescent="0.2">
      <c r="A43" s="75"/>
      <c r="B43" s="133" t="s">
        <v>122</v>
      </c>
      <c r="C43" s="134">
        <v>0</v>
      </c>
      <c r="D43" s="134">
        <v>0</v>
      </c>
      <c r="E43" s="134">
        <v>0</v>
      </c>
      <c r="F43" s="135">
        <v>0</v>
      </c>
      <c r="G43" s="134">
        <v>0</v>
      </c>
      <c r="H43" s="134">
        <v>0</v>
      </c>
      <c r="I43" s="134">
        <v>0</v>
      </c>
      <c r="J43" s="135">
        <v>0</v>
      </c>
      <c r="K43" s="134">
        <v>0</v>
      </c>
      <c r="L43" s="134">
        <v>0</v>
      </c>
      <c r="M43" s="134">
        <v>0</v>
      </c>
      <c r="N43" s="135">
        <v>0</v>
      </c>
      <c r="O43" s="17"/>
      <c r="P43" s="136">
        <v>1</v>
      </c>
      <c r="Q43" s="17"/>
      <c r="R43" s="133" t="s">
        <v>122</v>
      </c>
      <c r="S43" s="117">
        <f t="shared" ref="S43:U59" ca="1" si="2">OFFSET($B43,0,S$21)</f>
        <v>0</v>
      </c>
      <c r="T43" s="117">
        <f t="shared" ca="1" si="2"/>
        <v>0</v>
      </c>
      <c r="U43" s="117">
        <f t="shared" ca="1" si="2"/>
        <v>0</v>
      </c>
      <c r="V43" s="75"/>
      <c r="W43" s="75"/>
      <c r="X43" s="75"/>
      <c r="Y43" s="75"/>
      <c r="Z43" s="75"/>
    </row>
    <row r="44" spans="1:26" ht="12" x14ac:dyDescent="0.2">
      <c r="A44" s="75"/>
      <c r="B44" s="133" t="s">
        <v>121</v>
      </c>
      <c r="C44" s="134">
        <v>0.17070301313068958</v>
      </c>
      <c r="D44" s="134">
        <v>0.31036911478307194</v>
      </c>
      <c r="E44" s="134">
        <v>0.57138742259515984</v>
      </c>
      <c r="F44" s="135">
        <v>45.18</v>
      </c>
      <c r="G44" s="134">
        <v>0</v>
      </c>
      <c r="H44" s="134">
        <v>0</v>
      </c>
      <c r="I44" s="134">
        <v>0</v>
      </c>
      <c r="J44" s="135">
        <v>0</v>
      </c>
      <c r="K44" s="134">
        <v>0.12048754587599077</v>
      </c>
      <c r="L44" s="134">
        <v>0.20081257645998463</v>
      </c>
      <c r="M44" s="134">
        <v>0.24395780244085274</v>
      </c>
      <c r="N44" s="135">
        <v>22.59</v>
      </c>
      <c r="O44" s="17"/>
      <c r="P44" s="136">
        <v>1</v>
      </c>
      <c r="Q44" s="17"/>
      <c r="R44" s="133" t="s">
        <v>121</v>
      </c>
      <c r="S44" s="117">
        <f t="shared" ca="1" si="2"/>
        <v>0.17070301313068958</v>
      </c>
      <c r="T44" s="117">
        <f t="shared" ca="1" si="2"/>
        <v>0.31036911478307194</v>
      </c>
      <c r="U44" s="117">
        <f t="shared" ca="1" si="2"/>
        <v>0.57138742259515984</v>
      </c>
      <c r="V44" s="75"/>
      <c r="W44" s="75"/>
      <c r="X44" s="75"/>
      <c r="Y44" s="75"/>
      <c r="Z44" s="75"/>
    </row>
    <row r="45" spans="1:26" ht="12" x14ac:dyDescent="0.2">
      <c r="A45" s="75"/>
      <c r="B45" s="133" t="s">
        <v>111</v>
      </c>
      <c r="C45" s="134">
        <v>7.25729350925092E-2</v>
      </c>
      <c r="D45" s="134">
        <v>0.13195079107728944</v>
      </c>
      <c r="E45" s="134">
        <v>0.16609400481817882</v>
      </c>
      <c r="F45" s="135">
        <v>7.53</v>
      </c>
      <c r="G45" s="134">
        <v>0</v>
      </c>
      <c r="H45" s="134">
        <v>0</v>
      </c>
      <c r="I45" s="134">
        <v>0</v>
      </c>
      <c r="J45" s="135">
        <v>0</v>
      </c>
      <c r="K45" s="134">
        <v>6.0417333003403136E-2</v>
      </c>
      <c r="L45" s="134">
        <v>0.1006955550056719</v>
      </c>
      <c r="M45" s="134">
        <v>0.14044448757379974</v>
      </c>
      <c r="N45" s="135">
        <v>7.53</v>
      </c>
      <c r="O45" s="17"/>
      <c r="P45" s="17"/>
      <c r="Q45" s="17"/>
      <c r="R45" s="133" t="s">
        <v>111</v>
      </c>
      <c r="S45" s="117">
        <f t="shared" ca="1" si="2"/>
        <v>7.25729350925092E-2</v>
      </c>
      <c r="T45" s="117">
        <f t="shared" ca="1" si="2"/>
        <v>0.13195079107728944</v>
      </c>
      <c r="U45" s="117">
        <f t="shared" ca="1" si="2"/>
        <v>0.16609400481817882</v>
      </c>
      <c r="V45" s="75"/>
      <c r="W45" s="75"/>
      <c r="X45" s="75"/>
      <c r="Y45" s="75"/>
      <c r="Z45" s="75"/>
    </row>
    <row r="46" spans="1:26" ht="12" x14ac:dyDescent="0.2">
      <c r="A46" s="75"/>
      <c r="B46" s="133" t="s">
        <v>120</v>
      </c>
      <c r="C46" s="134">
        <v>2.060766119997238</v>
      </c>
      <c r="D46" s="134">
        <v>3.7468474909040688</v>
      </c>
      <c r="E46" s="134">
        <v>5.7594789747363393</v>
      </c>
      <c r="F46" s="135">
        <v>210.84</v>
      </c>
      <c r="G46" s="134">
        <v>6.0244121866689426E-2</v>
      </c>
      <c r="H46" s="134">
        <v>0.10040686977781571</v>
      </c>
      <c r="I46" s="134">
        <v>0.36818016323450803</v>
      </c>
      <c r="J46" s="135">
        <v>7.53</v>
      </c>
      <c r="K46" s="134">
        <v>1.3328583109286325</v>
      </c>
      <c r="L46" s="134">
        <v>2.2214305182143876</v>
      </c>
      <c r="M46" s="134">
        <v>3.5376534261774926</v>
      </c>
      <c r="N46" s="135">
        <v>165.66</v>
      </c>
      <c r="O46" s="17"/>
      <c r="P46" s="136">
        <v>1</v>
      </c>
      <c r="Q46" s="17"/>
      <c r="R46" s="133" t="s">
        <v>120</v>
      </c>
      <c r="S46" s="117">
        <f t="shared" ca="1" si="2"/>
        <v>2.060766119997238</v>
      </c>
      <c r="T46" s="117">
        <f t="shared" ca="1" si="2"/>
        <v>3.7468474909040688</v>
      </c>
      <c r="U46" s="117">
        <f t="shared" ca="1" si="2"/>
        <v>5.7594789747363393</v>
      </c>
      <c r="V46" s="75"/>
      <c r="W46" s="75"/>
      <c r="X46" s="75"/>
      <c r="Y46" s="75"/>
      <c r="Z46" s="75"/>
    </row>
    <row r="47" spans="1:26" ht="12" x14ac:dyDescent="0.2">
      <c r="A47" s="75"/>
      <c r="B47" s="133" t="s">
        <v>119</v>
      </c>
      <c r="C47" s="134">
        <v>0.46907915320190152</v>
      </c>
      <c r="D47" s="134">
        <v>0.85287118763982084</v>
      </c>
      <c r="E47" s="134">
        <v>1.3950577015119554</v>
      </c>
      <c r="F47" s="135">
        <v>143.07</v>
      </c>
      <c r="G47" s="134">
        <v>0</v>
      </c>
      <c r="H47" s="134">
        <v>0</v>
      </c>
      <c r="I47" s="134">
        <v>0</v>
      </c>
      <c r="J47" s="135">
        <v>0</v>
      </c>
      <c r="K47" s="134">
        <v>6.097347547603954E-2</v>
      </c>
      <c r="L47" s="134">
        <v>0.10162245912673257</v>
      </c>
      <c r="M47" s="134">
        <v>0.22003679075618582</v>
      </c>
      <c r="N47" s="135">
        <v>7.53</v>
      </c>
      <c r="O47" s="17"/>
      <c r="P47" s="136">
        <v>1</v>
      </c>
      <c r="Q47" s="17"/>
      <c r="R47" s="133" t="s">
        <v>119</v>
      </c>
      <c r="S47" s="117">
        <f t="shared" ca="1" si="2"/>
        <v>0.46907915320190152</v>
      </c>
      <c r="T47" s="117">
        <f t="shared" ca="1" si="2"/>
        <v>0.85287118763982084</v>
      </c>
      <c r="U47" s="117">
        <f t="shared" ca="1" si="2"/>
        <v>1.3950577015119554</v>
      </c>
      <c r="V47" s="75"/>
      <c r="W47" s="75"/>
      <c r="X47" s="75"/>
      <c r="Y47" s="75"/>
      <c r="Z47" s="75"/>
    </row>
    <row r="48" spans="1:26" ht="12" x14ac:dyDescent="0.2">
      <c r="A48" s="75"/>
      <c r="B48" s="133" t="s">
        <v>118</v>
      </c>
      <c r="C48" s="134">
        <v>4.0226164748153286</v>
      </c>
      <c r="D48" s="134">
        <v>7.31384813602787</v>
      </c>
      <c r="E48" s="134">
        <v>11.512087019162594</v>
      </c>
      <c r="F48" s="135">
        <v>391.56</v>
      </c>
      <c r="G48" s="134">
        <v>6.0288934731264454E-2</v>
      </c>
      <c r="H48" s="134">
        <v>0.10048155788544076</v>
      </c>
      <c r="I48" s="134">
        <v>0.46743529902690351</v>
      </c>
      <c r="J48" s="135">
        <v>7.53</v>
      </c>
      <c r="K48" s="134">
        <v>0.67607302323086782</v>
      </c>
      <c r="L48" s="134">
        <v>1.1267883720514464</v>
      </c>
      <c r="M48" s="134">
        <v>3.5762394238650703</v>
      </c>
      <c r="N48" s="135">
        <v>82.83</v>
      </c>
      <c r="O48" s="17"/>
      <c r="P48" s="136">
        <v>1</v>
      </c>
      <c r="Q48" s="17"/>
      <c r="R48" s="133" t="s">
        <v>118</v>
      </c>
      <c r="S48" s="117">
        <f t="shared" ca="1" si="2"/>
        <v>4.0226164748153286</v>
      </c>
      <c r="T48" s="117">
        <f t="shared" ca="1" si="2"/>
        <v>7.31384813602787</v>
      </c>
      <c r="U48" s="117">
        <f t="shared" ca="1" si="2"/>
        <v>11.512087019162594</v>
      </c>
      <c r="V48" s="75"/>
      <c r="W48" s="75"/>
      <c r="X48" s="75"/>
      <c r="Y48" s="75"/>
      <c r="Z48" s="75"/>
    </row>
    <row r="49" spans="1:26" ht="12" x14ac:dyDescent="0.2">
      <c r="A49" s="75"/>
      <c r="B49" s="133" t="s">
        <v>117</v>
      </c>
      <c r="C49" s="134">
        <v>0.44000000000000006</v>
      </c>
      <c r="D49" s="134">
        <v>0.8</v>
      </c>
      <c r="E49" s="134">
        <v>1.0100143916040361</v>
      </c>
      <c r="F49" s="135">
        <v>60.24</v>
      </c>
      <c r="G49" s="134">
        <v>0</v>
      </c>
      <c r="H49" s="134">
        <v>0</v>
      </c>
      <c r="I49" s="134">
        <v>0</v>
      </c>
      <c r="J49" s="135">
        <v>0</v>
      </c>
      <c r="K49" s="134">
        <v>0.30141332963628553</v>
      </c>
      <c r="L49" s="134">
        <v>0.50235554939380922</v>
      </c>
      <c r="M49" s="134">
        <v>0.62948994272767345</v>
      </c>
      <c r="N49" s="135">
        <v>37.65</v>
      </c>
      <c r="O49" s="17"/>
      <c r="P49" s="136">
        <v>1</v>
      </c>
      <c r="Q49" s="17"/>
      <c r="R49" s="133" t="s">
        <v>117</v>
      </c>
      <c r="S49" s="117">
        <f t="shared" ca="1" si="2"/>
        <v>0.44000000000000006</v>
      </c>
      <c r="T49" s="117">
        <f t="shared" ca="1" si="2"/>
        <v>0.8</v>
      </c>
      <c r="U49" s="117">
        <f t="shared" ca="1" si="2"/>
        <v>1.0100143916040361</v>
      </c>
      <c r="V49" s="75"/>
      <c r="W49" s="75"/>
      <c r="X49" s="75"/>
      <c r="Y49" s="75"/>
      <c r="Z49" s="75"/>
    </row>
    <row r="50" spans="1:26" ht="12" x14ac:dyDescent="0.2">
      <c r="A50" s="75"/>
      <c r="B50" s="133" t="s">
        <v>116</v>
      </c>
      <c r="C50" s="134">
        <v>0.11000000000000001</v>
      </c>
      <c r="D50" s="134">
        <v>0.2</v>
      </c>
      <c r="E50" s="134">
        <v>0.26910935621808724</v>
      </c>
      <c r="F50" s="135">
        <v>15.06</v>
      </c>
      <c r="G50" s="134">
        <v>6.0041603247754843E-2</v>
      </c>
      <c r="H50" s="134">
        <v>0.10006933874625808</v>
      </c>
      <c r="I50" s="134">
        <v>0.12491961256533768</v>
      </c>
      <c r="J50" s="135">
        <v>7.53</v>
      </c>
      <c r="K50" s="134">
        <v>6.0417333003403136E-2</v>
      </c>
      <c r="L50" s="134">
        <v>0.1006955550056719</v>
      </c>
      <c r="M50" s="134">
        <v>0.14044448757379974</v>
      </c>
      <c r="N50" s="135">
        <v>7.53</v>
      </c>
      <c r="O50" s="17"/>
      <c r="P50" s="136">
        <v>1</v>
      </c>
      <c r="Q50" s="17"/>
      <c r="R50" s="133" t="s">
        <v>116</v>
      </c>
      <c r="S50" s="117">
        <f t="shared" ca="1" si="2"/>
        <v>0.11000000000000001</v>
      </c>
      <c r="T50" s="117">
        <f t="shared" ca="1" si="2"/>
        <v>0.2</v>
      </c>
      <c r="U50" s="117">
        <f t="shared" ca="1" si="2"/>
        <v>0.26910935621808724</v>
      </c>
      <c r="V50" s="75"/>
      <c r="W50" s="75"/>
      <c r="X50" s="75"/>
      <c r="Y50" s="75"/>
      <c r="Z50" s="75"/>
    </row>
    <row r="51" spans="1:26" ht="12" x14ac:dyDescent="0.2">
      <c r="A51" s="75"/>
      <c r="B51" s="133" t="s">
        <v>115</v>
      </c>
      <c r="C51" s="134">
        <v>0.52222543115426767</v>
      </c>
      <c r="D51" s="134">
        <v>0.94950078391685022</v>
      </c>
      <c r="E51" s="134">
        <v>1.4538979045643112</v>
      </c>
      <c r="F51" s="135">
        <v>52.71</v>
      </c>
      <c r="G51" s="134">
        <v>0</v>
      </c>
      <c r="H51" s="134">
        <v>0</v>
      </c>
      <c r="I51" s="134">
        <v>0</v>
      </c>
      <c r="J51" s="135">
        <v>0</v>
      </c>
      <c r="K51" s="134">
        <v>0.18292042642811859</v>
      </c>
      <c r="L51" s="134">
        <v>0.30486737738019765</v>
      </c>
      <c r="M51" s="134">
        <v>0.6601103722685574</v>
      </c>
      <c r="N51" s="135">
        <v>22.59</v>
      </c>
      <c r="O51" s="17"/>
      <c r="P51" s="136">
        <v>1</v>
      </c>
      <c r="Q51" s="17"/>
      <c r="R51" s="133" t="s">
        <v>115</v>
      </c>
      <c r="S51" s="117">
        <f t="shared" ca="1" si="2"/>
        <v>0.52222543115426767</v>
      </c>
      <c r="T51" s="117">
        <f t="shared" ca="1" si="2"/>
        <v>0.94950078391685022</v>
      </c>
      <c r="U51" s="117">
        <f t="shared" ca="1" si="2"/>
        <v>1.4538979045643112</v>
      </c>
      <c r="V51" s="75"/>
      <c r="W51" s="75"/>
      <c r="X51" s="75"/>
      <c r="Y51" s="75"/>
      <c r="Z51" s="75"/>
    </row>
    <row r="52" spans="1:26" ht="12" x14ac:dyDescent="0.2">
      <c r="A52" s="75"/>
      <c r="B52" s="133" t="s">
        <v>114</v>
      </c>
      <c r="C52" s="134">
        <v>1.513283829688107</v>
      </c>
      <c r="D52" s="134">
        <v>2.7514251448874671</v>
      </c>
      <c r="E52" s="134">
        <v>3.8807770388407237</v>
      </c>
      <c r="F52" s="135">
        <v>173.19</v>
      </c>
      <c r="G52" s="134">
        <v>0</v>
      </c>
      <c r="H52" s="134">
        <v>0</v>
      </c>
      <c r="I52" s="134">
        <v>0</v>
      </c>
      <c r="J52" s="135">
        <v>0</v>
      </c>
      <c r="K52" s="134">
        <v>0.66787168828264354</v>
      </c>
      <c r="L52" s="134">
        <v>1.1131194804710727</v>
      </c>
      <c r="M52" s="134">
        <v>1.9665205757680124</v>
      </c>
      <c r="N52" s="135">
        <v>82.83</v>
      </c>
      <c r="O52" s="17"/>
      <c r="P52" s="136">
        <v>1</v>
      </c>
      <c r="Q52" s="17"/>
      <c r="R52" s="133" t="s">
        <v>114</v>
      </c>
      <c r="S52" s="117">
        <f t="shared" ca="1" si="2"/>
        <v>1.513283829688107</v>
      </c>
      <c r="T52" s="117">
        <f t="shared" ca="1" si="2"/>
        <v>2.7514251448874671</v>
      </c>
      <c r="U52" s="117">
        <f t="shared" ca="1" si="2"/>
        <v>3.8807770388407237</v>
      </c>
      <c r="V52" s="75"/>
      <c r="W52" s="75"/>
      <c r="X52" s="75"/>
      <c r="Y52" s="75"/>
      <c r="Z52" s="75"/>
    </row>
    <row r="53" spans="1:26" ht="12" x14ac:dyDescent="0.2">
      <c r="A53" s="75"/>
      <c r="B53" s="133" t="s">
        <v>110</v>
      </c>
      <c r="C53" s="134">
        <v>0.8321834594198213</v>
      </c>
      <c r="D53" s="134">
        <v>1.5130608353087658</v>
      </c>
      <c r="E53" s="134">
        <v>1.7</v>
      </c>
      <c r="F53" s="135">
        <v>128.01</v>
      </c>
      <c r="G53" s="134">
        <v>6.015855256240632E-2</v>
      </c>
      <c r="H53" s="134">
        <v>0.1002642542706772</v>
      </c>
      <c r="I53" s="134">
        <v>0.23329589623478211</v>
      </c>
      <c r="J53" s="135">
        <v>7.53</v>
      </c>
      <c r="K53" s="134">
        <v>0.30310481471028589</v>
      </c>
      <c r="L53" s="134">
        <v>0.50517469118380987</v>
      </c>
      <c r="M53" s="134">
        <v>0.82808980847147529</v>
      </c>
      <c r="N53" s="135">
        <v>37.65</v>
      </c>
      <c r="O53" s="17"/>
      <c r="P53" s="136">
        <v>1</v>
      </c>
      <c r="Q53" s="17"/>
      <c r="R53" s="133" t="s">
        <v>110</v>
      </c>
      <c r="S53" s="117">
        <f t="shared" ca="1" si="2"/>
        <v>0.8321834594198213</v>
      </c>
      <c r="T53" s="117">
        <f t="shared" ca="1" si="2"/>
        <v>1.5130608353087658</v>
      </c>
      <c r="U53" s="117">
        <f t="shared" ca="1" si="2"/>
        <v>1.7</v>
      </c>
      <c r="V53" s="75"/>
      <c r="W53" s="75"/>
      <c r="X53" s="75"/>
      <c r="Y53" s="75"/>
      <c r="Z53" s="75"/>
    </row>
    <row r="54" spans="1:26" ht="12" x14ac:dyDescent="0.2">
      <c r="A54" s="75"/>
      <c r="B54" s="129" t="s">
        <v>109</v>
      </c>
      <c r="C54" s="134">
        <v>0.23156592774434046</v>
      </c>
      <c r="D54" s="134">
        <v>0.42102895953516445</v>
      </c>
      <c r="E54" s="134">
        <v>0.60250942227709547</v>
      </c>
      <c r="F54" s="135">
        <v>52.71</v>
      </c>
      <c r="G54" s="134">
        <v>0</v>
      </c>
      <c r="H54" s="134">
        <v>0</v>
      </c>
      <c r="I54" s="134">
        <v>0</v>
      </c>
      <c r="J54" s="135">
        <v>0</v>
      </c>
      <c r="K54" s="134">
        <v>6.0662801516271209E-2</v>
      </c>
      <c r="L54" s="134">
        <v>0.10110466919378536</v>
      </c>
      <c r="M54" s="134">
        <v>0.17131264276717917</v>
      </c>
      <c r="N54" s="135">
        <v>7.53</v>
      </c>
      <c r="O54" s="17"/>
      <c r="P54" s="17"/>
      <c r="Q54" s="17"/>
      <c r="R54" s="129" t="s">
        <v>109</v>
      </c>
      <c r="S54" s="117">
        <f t="shared" ca="1" si="2"/>
        <v>0.23156592774434046</v>
      </c>
      <c r="T54" s="117">
        <f t="shared" ca="1" si="2"/>
        <v>0.42102895953516445</v>
      </c>
      <c r="U54" s="117">
        <f t="shared" ca="1" si="2"/>
        <v>0.60250942227709547</v>
      </c>
      <c r="V54" s="75"/>
      <c r="W54" s="75"/>
      <c r="X54" s="75"/>
      <c r="Y54" s="75"/>
      <c r="Z54" s="75"/>
    </row>
    <row r="55" spans="1:26" ht="12" x14ac:dyDescent="0.2">
      <c r="A55" s="75"/>
      <c r="B55" s="137" t="s">
        <v>108</v>
      </c>
      <c r="C55" s="134">
        <v>0.46129483034192209</v>
      </c>
      <c r="D55" s="134">
        <v>0.83871787334894921</v>
      </c>
      <c r="E55" s="134">
        <v>1.0100143916040361</v>
      </c>
      <c r="F55" s="135">
        <v>82.83</v>
      </c>
      <c r="G55" s="134">
        <v>0</v>
      </c>
      <c r="H55" s="134">
        <v>0</v>
      </c>
      <c r="I55" s="134">
        <v>0</v>
      </c>
      <c r="J55" s="135">
        <v>0</v>
      </c>
      <c r="K55" s="134">
        <v>0.24134684294901604</v>
      </c>
      <c r="L55" s="134">
        <v>0.4022447382483601</v>
      </c>
      <c r="M55" s="134">
        <v>0.52619732406413933</v>
      </c>
      <c r="N55" s="135">
        <v>30.12</v>
      </c>
      <c r="O55" s="17"/>
      <c r="P55" s="17"/>
      <c r="Q55" s="17"/>
      <c r="R55" s="137" t="s">
        <v>108</v>
      </c>
      <c r="S55" s="117">
        <f t="shared" ca="1" si="2"/>
        <v>0.46129483034192209</v>
      </c>
      <c r="T55" s="117">
        <f t="shared" ca="1" si="2"/>
        <v>0.83871787334894921</v>
      </c>
      <c r="U55" s="117">
        <f t="shared" ca="1" si="2"/>
        <v>1.0100143916040361</v>
      </c>
      <c r="V55" s="75"/>
      <c r="W55" s="75"/>
      <c r="X55" s="75"/>
      <c r="Y55" s="75"/>
      <c r="Z55" s="75"/>
    </row>
    <row r="56" spans="1:26" ht="12" x14ac:dyDescent="0.2">
      <c r="A56" s="75"/>
      <c r="B56" s="137" t="s">
        <v>162</v>
      </c>
      <c r="C56" s="134">
        <v>0</v>
      </c>
      <c r="D56" s="134">
        <v>0</v>
      </c>
      <c r="E56" s="134">
        <v>0</v>
      </c>
      <c r="F56" s="135">
        <v>15.06</v>
      </c>
      <c r="G56" s="134">
        <v>0</v>
      </c>
      <c r="H56" s="134">
        <v>0</v>
      </c>
      <c r="I56" s="134">
        <v>0</v>
      </c>
      <c r="J56" s="135">
        <v>0</v>
      </c>
      <c r="K56" s="134">
        <v>0</v>
      </c>
      <c r="L56" s="134">
        <v>0</v>
      </c>
      <c r="M56" s="134">
        <v>0</v>
      </c>
      <c r="N56" s="135">
        <v>7.53</v>
      </c>
      <c r="O56" s="17"/>
      <c r="P56" s="17"/>
      <c r="Q56" s="17"/>
      <c r="R56" s="137" t="s">
        <v>162</v>
      </c>
      <c r="S56" s="117">
        <f t="shared" ca="1" si="2"/>
        <v>0</v>
      </c>
      <c r="T56" s="117">
        <f t="shared" ca="1" si="2"/>
        <v>0</v>
      </c>
      <c r="U56" s="117">
        <f t="shared" ca="1" si="2"/>
        <v>0</v>
      </c>
      <c r="V56" s="75"/>
      <c r="W56" s="126" t="s">
        <v>163</v>
      </c>
      <c r="X56" s="37">
        <v>80</v>
      </c>
      <c r="Y56" s="37">
        <f>1000/X56</f>
        <v>12.5</v>
      </c>
      <c r="Z56" s="75"/>
    </row>
    <row r="57" spans="1:26" ht="12" x14ac:dyDescent="0.2">
      <c r="A57" s="75"/>
      <c r="B57" s="137" t="s">
        <v>107</v>
      </c>
      <c r="C57" s="134">
        <v>0.11000000000000001</v>
      </c>
      <c r="D57" s="134">
        <v>0.2</v>
      </c>
      <c r="E57" s="134">
        <v>0.26910935621808724</v>
      </c>
      <c r="F57" s="135">
        <v>15.06</v>
      </c>
      <c r="G57" s="134">
        <v>0</v>
      </c>
      <c r="H57" s="134">
        <v>0</v>
      </c>
      <c r="I57" s="134">
        <v>0</v>
      </c>
      <c r="J57" s="135">
        <v>0</v>
      </c>
      <c r="K57" s="134">
        <v>0</v>
      </c>
      <c r="L57" s="134">
        <v>0</v>
      </c>
      <c r="M57" s="134">
        <v>0</v>
      </c>
      <c r="N57" s="135">
        <v>0</v>
      </c>
      <c r="O57" s="17"/>
      <c r="P57" s="17"/>
      <c r="Q57" s="17"/>
      <c r="R57" s="137" t="s">
        <v>107</v>
      </c>
      <c r="S57" s="117">
        <f t="shared" ca="1" si="2"/>
        <v>0.11000000000000001</v>
      </c>
      <c r="T57" s="117">
        <f t="shared" ca="1" si="2"/>
        <v>0.2</v>
      </c>
      <c r="U57" s="117">
        <f t="shared" ca="1" si="2"/>
        <v>0.26910935621808724</v>
      </c>
      <c r="V57" s="75"/>
      <c r="W57" s="17"/>
      <c r="X57" s="17"/>
      <c r="Y57" s="17"/>
      <c r="Z57" s="75"/>
    </row>
    <row r="58" spans="1:26" ht="12" x14ac:dyDescent="0.2">
      <c r="A58" s="75"/>
      <c r="B58" s="137" t="s">
        <v>164</v>
      </c>
      <c r="C58" s="134">
        <v>1.6252472155566706</v>
      </c>
      <c r="D58" s="134">
        <v>2.9549949373757647</v>
      </c>
      <c r="E58" s="134">
        <v>4.4729966174079756</v>
      </c>
      <c r="F58" s="135">
        <v>165.66</v>
      </c>
      <c r="G58" s="134">
        <v>6.0230158800396436E-2</v>
      </c>
      <c r="H58" s="134">
        <v>0.10038359800066073</v>
      </c>
      <c r="I58" s="134">
        <v>0.34177891281401607</v>
      </c>
      <c r="J58" s="135">
        <v>7.53</v>
      </c>
      <c r="K58" s="134">
        <v>0.3067320329227905</v>
      </c>
      <c r="L58" s="134">
        <v>0.5112200548713175</v>
      </c>
      <c r="M58" s="134">
        <v>1.4832899006593716</v>
      </c>
      <c r="N58" s="135">
        <v>37.65</v>
      </c>
      <c r="O58" s="17"/>
      <c r="P58" s="17"/>
      <c r="Q58" s="17"/>
      <c r="R58" s="137" t="s">
        <v>164</v>
      </c>
      <c r="S58" s="117">
        <f t="shared" ca="1" si="2"/>
        <v>1.6252472155566706</v>
      </c>
      <c r="T58" s="117">
        <f t="shared" ca="1" si="2"/>
        <v>2.9549949373757647</v>
      </c>
      <c r="U58" s="117">
        <f t="shared" ca="1" si="2"/>
        <v>4.4729966174079756</v>
      </c>
      <c r="V58" s="75"/>
      <c r="W58" s="17" t="s">
        <v>165</v>
      </c>
      <c r="X58" s="37">
        <v>2050</v>
      </c>
      <c r="Y58" s="37">
        <v>2080</v>
      </c>
      <c r="Z58" s="75"/>
    </row>
    <row r="59" spans="1:26" ht="12" x14ac:dyDescent="0.2">
      <c r="A59" s="75"/>
      <c r="B59" s="137" t="s">
        <v>166</v>
      </c>
      <c r="C59" s="134">
        <v>0</v>
      </c>
      <c r="D59" s="134">
        <v>0</v>
      </c>
      <c r="E59" s="134">
        <v>0</v>
      </c>
      <c r="F59" s="135">
        <v>15.06</v>
      </c>
      <c r="G59" s="134">
        <v>0</v>
      </c>
      <c r="H59" s="134">
        <v>0</v>
      </c>
      <c r="I59" s="134">
        <v>0</v>
      </c>
      <c r="J59" s="135">
        <v>0</v>
      </c>
      <c r="K59" s="134">
        <v>0</v>
      </c>
      <c r="L59" s="134">
        <v>0</v>
      </c>
      <c r="M59" s="134">
        <v>0</v>
      </c>
      <c r="N59" s="135">
        <v>0</v>
      </c>
      <c r="O59" s="17"/>
      <c r="P59" s="17"/>
      <c r="Q59" s="17"/>
      <c r="R59" s="137" t="s">
        <v>166</v>
      </c>
      <c r="S59" s="117">
        <f t="shared" ca="1" si="2"/>
        <v>0</v>
      </c>
      <c r="T59" s="117">
        <f t="shared" ca="1" si="2"/>
        <v>0</v>
      </c>
      <c r="U59" s="117">
        <f t="shared" ca="1" si="2"/>
        <v>0</v>
      </c>
      <c r="V59" s="75"/>
      <c r="W59" s="17" t="s">
        <v>167</v>
      </c>
      <c r="X59" s="138">
        <f ca="1">T60/$X$56*1000</f>
        <v>875.98724047743895</v>
      </c>
      <c r="Y59" s="138">
        <f ca="1">U60/$X$56*1000</f>
        <v>1255.6865727387149</v>
      </c>
      <c r="Z59" s="75"/>
    </row>
    <row r="60" spans="1:26" ht="12" x14ac:dyDescent="0.2">
      <c r="A60" s="75"/>
      <c r="B60" s="130"/>
      <c r="C60" s="139">
        <f t="shared" ref="C60:N60" si="3">SUM(C23:C59)</f>
        <v>38.543438581007308</v>
      </c>
      <c r="D60" s="139">
        <f t="shared" si="3"/>
        <v>70.078979238195117</v>
      </c>
      <c r="E60" s="139">
        <f t="shared" si="3"/>
        <v>100.45492581909718</v>
      </c>
      <c r="F60" s="139">
        <f t="shared" si="3"/>
        <v>5165.5800000000017</v>
      </c>
      <c r="G60" s="139">
        <f t="shared" si="3"/>
        <v>1.0835712224112048</v>
      </c>
      <c r="H60" s="139">
        <f t="shared" si="3"/>
        <v>1.8059520373520079</v>
      </c>
      <c r="I60" s="139">
        <f t="shared" si="3"/>
        <v>5.4456334866776812</v>
      </c>
      <c r="J60" s="139">
        <f t="shared" si="3"/>
        <v>135.54</v>
      </c>
      <c r="K60" s="139">
        <f t="shared" si="3"/>
        <v>13.35467768093884</v>
      </c>
      <c r="L60" s="139">
        <f t="shared" si="3"/>
        <v>22.257796134898072</v>
      </c>
      <c r="M60" s="139">
        <f t="shared" si="3"/>
        <v>40.865206511616698</v>
      </c>
      <c r="N60" s="139">
        <f t="shared" si="3"/>
        <v>1679.1899999999996</v>
      </c>
      <c r="O60" s="17"/>
      <c r="P60" s="17"/>
      <c r="Q60" s="17"/>
      <c r="R60" s="17"/>
      <c r="S60" s="139">
        <f ca="1">SUM(S23:S59)</f>
        <v>38.543438581007308</v>
      </c>
      <c r="T60" s="139">
        <f ca="1">SUM(T23:T59)</f>
        <v>70.078979238195117</v>
      </c>
      <c r="U60" s="139">
        <f ca="1">SUM(U23:U59)</f>
        <v>100.45492581909718</v>
      </c>
      <c r="V60" s="75"/>
      <c r="W60" s="17" t="s">
        <v>161</v>
      </c>
      <c r="X60" s="138">
        <f ca="1">SUMPRODUCT(T$23:T$59,$P$23:$P$59)*$Y$56</f>
        <v>816.21338590441269</v>
      </c>
      <c r="Y60" s="138">
        <f ca="1">SUMPRODUCT(U$23:U$59,$P$23:$P$59)*$Y$56</f>
        <v>1170.427525334648</v>
      </c>
      <c r="Z60" s="75"/>
    </row>
    <row r="61" spans="1:26" ht="12" x14ac:dyDescent="0.2">
      <c r="A61" s="75"/>
      <c r="B61" s="75"/>
      <c r="C61" s="75"/>
      <c r="D61" s="75"/>
      <c r="E61" s="75"/>
      <c r="F61" s="75"/>
      <c r="G61" s="75"/>
      <c r="H61" s="75"/>
      <c r="I61" s="74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2" x14ac:dyDescent="0.2">
      <c r="A62" s="75"/>
      <c r="B62" s="75"/>
      <c r="C62" s="75"/>
      <c r="D62" s="75"/>
      <c r="E62" s="75"/>
      <c r="F62" s="75"/>
      <c r="G62" s="75"/>
      <c r="H62" s="75"/>
      <c r="I62" s="74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105"/>
  <sheetViews>
    <sheetView workbookViewId="0"/>
  </sheetViews>
  <sheetFormatPr defaultColWidth="8.85546875" defaultRowHeight="11.25" x14ac:dyDescent="0.2"/>
  <cols>
    <col min="1" max="1" width="8.85546875" style="1"/>
    <col min="2" max="2" width="6.85546875" style="1" customWidth="1"/>
    <col min="3" max="3" width="9.28515625" style="1" customWidth="1"/>
    <col min="4" max="4" width="10.5703125" style="1" customWidth="1"/>
    <col min="5" max="5" width="11.28515625" style="1" customWidth="1"/>
    <col min="6" max="6" width="10.28515625" style="1" customWidth="1"/>
    <col min="7" max="7" width="8.140625" style="1" customWidth="1"/>
    <col min="8" max="8" width="9.85546875" style="1" customWidth="1"/>
    <col min="9" max="10" width="6.85546875" style="1" customWidth="1"/>
    <col min="11" max="38" width="6.42578125" style="1" customWidth="1"/>
    <col min="39" max="16384" width="8.85546875" style="1"/>
  </cols>
  <sheetData>
    <row r="1" spans="1:45" s="80" customFormat="1" ht="15" x14ac:dyDescent="0.25">
      <c r="B1" s="80" t="s">
        <v>173</v>
      </c>
      <c r="E1" s="101"/>
      <c r="I1" s="101" t="s">
        <v>285</v>
      </c>
    </row>
    <row r="2" spans="1:45" s="80" customFormat="1" ht="15" x14ac:dyDescent="0.25">
      <c r="B2" s="106" t="s">
        <v>240</v>
      </c>
      <c r="E2" s="101"/>
      <c r="G2" s="106"/>
      <c r="I2" s="101" t="s">
        <v>286</v>
      </c>
    </row>
    <row r="3" spans="1:45" ht="12" x14ac:dyDescent="0.2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</row>
    <row r="4" spans="1:45" ht="12" x14ac:dyDescent="0.2">
      <c r="A4" s="75"/>
      <c r="B4" s="76" t="s">
        <v>69</v>
      </c>
      <c r="C4" s="77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5"/>
      <c r="AN4" s="75"/>
      <c r="AO4" s="75"/>
      <c r="AP4" s="75"/>
      <c r="AQ4" s="75"/>
      <c r="AR4" s="75"/>
    </row>
    <row r="5" spans="1:45" ht="12.75" thickBot="1" x14ac:dyDescent="0.25">
      <c r="A5" s="75"/>
      <c r="B5" s="89" t="s">
        <v>141</v>
      </c>
      <c r="C5" s="89" t="s">
        <v>5</v>
      </c>
      <c r="D5" s="89" t="s">
        <v>67</v>
      </c>
      <c r="E5" s="89" t="s">
        <v>64</v>
      </c>
      <c r="F5" s="89" t="s">
        <v>4</v>
      </c>
      <c r="G5" s="105" t="s">
        <v>63</v>
      </c>
      <c r="H5" s="105" t="s">
        <v>65</v>
      </c>
      <c r="I5" s="105" t="s">
        <v>140</v>
      </c>
      <c r="J5" s="105" t="s">
        <v>139</v>
      </c>
      <c r="K5" s="105" t="s">
        <v>138</v>
      </c>
      <c r="L5" s="105" t="s">
        <v>136</v>
      </c>
      <c r="M5" s="105" t="s">
        <v>137</v>
      </c>
      <c r="N5" s="105" t="s">
        <v>135</v>
      </c>
      <c r="O5" s="105" t="s">
        <v>134</v>
      </c>
      <c r="P5" s="105" t="s">
        <v>133</v>
      </c>
      <c r="Q5" s="105" t="s">
        <v>132</v>
      </c>
      <c r="R5" s="105" t="s">
        <v>131</v>
      </c>
      <c r="S5" s="105" t="s">
        <v>130</v>
      </c>
      <c r="T5" s="105" t="s">
        <v>129</v>
      </c>
      <c r="U5" s="105" t="s">
        <v>128</v>
      </c>
      <c r="V5" s="105" t="s">
        <v>127</v>
      </c>
      <c r="W5" s="105" t="s">
        <v>126</v>
      </c>
      <c r="X5" s="105" t="s">
        <v>125</v>
      </c>
      <c r="Y5" s="105" t="s">
        <v>123</v>
      </c>
      <c r="Z5" s="105" t="s">
        <v>124</v>
      </c>
      <c r="AA5" s="105" t="s">
        <v>121</v>
      </c>
      <c r="AB5" s="105" t="s">
        <v>120</v>
      </c>
      <c r="AC5" s="105" t="s">
        <v>119</v>
      </c>
      <c r="AD5" s="105" t="s">
        <v>118</v>
      </c>
      <c r="AE5" s="105" t="s">
        <v>117</v>
      </c>
      <c r="AF5" s="105" t="s">
        <v>116</v>
      </c>
      <c r="AG5" s="105" t="s">
        <v>115</v>
      </c>
      <c r="AH5" s="105" t="s">
        <v>114</v>
      </c>
      <c r="AI5" s="105" t="s">
        <v>113</v>
      </c>
      <c r="AJ5" s="105" t="s">
        <v>112</v>
      </c>
      <c r="AK5" s="105" t="s">
        <v>111</v>
      </c>
      <c r="AL5" s="105" t="s">
        <v>110</v>
      </c>
      <c r="AM5" s="105" t="s">
        <v>109</v>
      </c>
      <c r="AN5" s="105" t="s">
        <v>108</v>
      </c>
      <c r="AO5" s="105" t="s">
        <v>107</v>
      </c>
      <c r="AP5" s="105" t="s">
        <v>162</v>
      </c>
      <c r="AQ5" s="105" t="s">
        <v>164</v>
      </c>
      <c r="AR5" s="105" t="s">
        <v>153</v>
      </c>
    </row>
    <row r="6" spans="1:45" ht="12" x14ac:dyDescent="0.2">
      <c r="A6" s="75"/>
      <c r="B6" s="86" t="s">
        <v>27</v>
      </c>
      <c r="C6" s="86" t="s">
        <v>222</v>
      </c>
      <c r="D6" s="90" t="s">
        <v>28</v>
      </c>
      <c r="E6" s="86" t="s">
        <v>29</v>
      </c>
      <c r="F6" s="86">
        <v>2020</v>
      </c>
      <c r="G6" s="90"/>
      <c r="H6" s="82">
        <v>0</v>
      </c>
      <c r="I6" s="107">
        <f>H6</f>
        <v>0</v>
      </c>
      <c r="J6" s="107">
        <f t="shared" ref="J6:AQ6" si="0">I6</f>
        <v>0</v>
      </c>
      <c r="K6" s="107">
        <f t="shared" si="0"/>
        <v>0</v>
      </c>
      <c r="L6" s="107">
        <f t="shared" si="0"/>
        <v>0</v>
      </c>
      <c r="M6" s="107">
        <f t="shared" si="0"/>
        <v>0</v>
      </c>
      <c r="N6" s="107">
        <f t="shared" si="0"/>
        <v>0</v>
      </c>
      <c r="O6" s="107">
        <f t="shared" si="0"/>
        <v>0</v>
      </c>
      <c r="P6" s="107">
        <f t="shared" si="0"/>
        <v>0</v>
      </c>
      <c r="Q6" s="107">
        <f t="shared" si="0"/>
        <v>0</v>
      </c>
      <c r="R6" s="107">
        <f t="shared" si="0"/>
        <v>0</v>
      </c>
      <c r="S6" s="107">
        <f t="shared" si="0"/>
        <v>0</v>
      </c>
      <c r="T6" s="107">
        <f t="shared" si="0"/>
        <v>0</v>
      </c>
      <c r="U6" s="107">
        <f t="shared" si="0"/>
        <v>0</v>
      </c>
      <c r="V6" s="107">
        <f t="shared" si="0"/>
        <v>0</v>
      </c>
      <c r="W6" s="107">
        <f t="shared" si="0"/>
        <v>0</v>
      </c>
      <c r="X6" s="107">
        <f t="shared" si="0"/>
        <v>0</v>
      </c>
      <c r="Y6" s="107">
        <f t="shared" si="0"/>
        <v>0</v>
      </c>
      <c r="Z6" s="107">
        <f t="shared" si="0"/>
        <v>0</v>
      </c>
      <c r="AA6" s="107">
        <f t="shared" si="0"/>
        <v>0</v>
      </c>
      <c r="AB6" s="107">
        <f t="shared" si="0"/>
        <v>0</v>
      </c>
      <c r="AC6" s="107">
        <f t="shared" si="0"/>
        <v>0</v>
      </c>
      <c r="AD6" s="107">
        <f t="shared" si="0"/>
        <v>0</v>
      </c>
      <c r="AE6" s="107">
        <f t="shared" si="0"/>
        <v>0</v>
      </c>
      <c r="AF6" s="107">
        <f t="shared" si="0"/>
        <v>0</v>
      </c>
      <c r="AG6" s="107">
        <f t="shared" si="0"/>
        <v>0</v>
      </c>
      <c r="AH6" s="107">
        <f t="shared" si="0"/>
        <v>0</v>
      </c>
      <c r="AI6" s="107">
        <f t="shared" si="0"/>
        <v>0</v>
      </c>
      <c r="AJ6" s="107">
        <f t="shared" si="0"/>
        <v>0</v>
      </c>
      <c r="AK6" s="107">
        <f t="shared" si="0"/>
        <v>0</v>
      </c>
      <c r="AL6" s="107">
        <f t="shared" si="0"/>
        <v>0</v>
      </c>
      <c r="AM6" s="107">
        <f t="shared" si="0"/>
        <v>0</v>
      </c>
      <c r="AN6" s="107">
        <f t="shared" si="0"/>
        <v>0</v>
      </c>
      <c r="AO6" s="107">
        <f t="shared" si="0"/>
        <v>0</v>
      </c>
      <c r="AP6" s="107">
        <f t="shared" si="0"/>
        <v>0</v>
      </c>
      <c r="AQ6" s="107">
        <f t="shared" si="0"/>
        <v>0</v>
      </c>
      <c r="AR6" s="107">
        <v>0</v>
      </c>
    </row>
    <row r="7" spans="1:45" ht="12" x14ac:dyDescent="0.2">
      <c r="A7" s="75"/>
      <c r="B7" s="86" t="s">
        <v>27</v>
      </c>
      <c r="C7" s="86" t="s">
        <v>222</v>
      </c>
      <c r="D7" s="90" t="s">
        <v>28</v>
      </c>
      <c r="E7" s="86" t="s">
        <v>29</v>
      </c>
      <c r="F7" s="86">
        <v>2060</v>
      </c>
      <c r="G7" s="90"/>
      <c r="H7" s="82">
        <v>0</v>
      </c>
      <c r="I7" s="107">
        <f>H7</f>
        <v>0</v>
      </c>
      <c r="J7" s="107">
        <f t="shared" ref="J7:AQ7" si="1">I7</f>
        <v>0</v>
      </c>
      <c r="K7" s="107">
        <f t="shared" si="1"/>
        <v>0</v>
      </c>
      <c r="L7" s="107">
        <f t="shared" si="1"/>
        <v>0</v>
      </c>
      <c r="M7" s="107">
        <f t="shared" si="1"/>
        <v>0</v>
      </c>
      <c r="N7" s="107">
        <f t="shared" si="1"/>
        <v>0</v>
      </c>
      <c r="O7" s="107">
        <f t="shared" si="1"/>
        <v>0</v>
      </c>
      <c r="P7" s="107">
        <f t="shared" si="1"/>
        <v>0</v>
      </c>
      <c r="Q7" s="107">
        <f t="shared" si="1"/>
        <v>0</v>
      </c>
      <c r="R7" s="107">
        <f t="shared" si="1"/>
        <v>0</v>
      </c>
      <c r="S7" s="107">
        <f t="shared" si="1"/>
        <v>0</v>
      </c>
      <c r="T7" s="107">
        <f t="shared" si="1"/>
        <v>0</v>
      </c>
      <c r="U7" s="107">
        <f t="shared" si="1"/>
        <v>0</v>
      </c>
      <c r="V7" s="107">
        <f t="shared" si="1"/>
        <v>0</v>
      </c>
      <c r="W7" s="107">
        <f t="shared" si="1"/>
        <v>0</v>
      </c>
      <c r="X7" s="107">
        <f t="shared" si="1"/>
        <v>0</v>
      </c>
      <c r="Y7" s="107">
        <f t="shared" si="1"/>
        <v>0</v>
      </c>
      <c r="Z7" s="107">
        <f t="shared" si="1"/>
        <v>0</v>
      </c>
      <c r="AA7" s="107">
        <f t="shared" si="1"/>
        <v>0</v>
      </c>
      <c r="AB7" s="107">
        <f t="shared" si="1"/>
        <v>0</v>
      </c>
      <c r="AC7" s="107">
        <f t="shared" si="1"/>
        <v>0</v>
      </c>
      <c r="AD7" s="107">
        <f t="shared" si="1"/>
        <v>0</v>
      </c>
      <c r="AE7" s="107">
        <f t="shared" si="1"/>
        <v>0</v>
      </c>
      <c r="AF7" s="107">
        <f t="shared" si="1"/>
        <v>0</v>
      </c>
      <c r="AG7" s="107">
        <f t="shared" si="1"/>
        <v>0</v>
      </c>
      <c r="AH7" s="107">
        <f t="shared" si="1"/>
        <v>0</v>
      </c>
      <c r="AI7" s="107">
        <f t="shared" si="1"/>
        <v>0</v>
      </c>
      <c r="AJ7" s="107">
        <f t="shared" si="1"/>
        <v>0</v>
      </c>
      <c r="AK7" s="107">
        <f t="shared" si="1"/>
        <v>0</v>
      </c>
      <c r="AL7" s="107">
        <f t="shared" si="1"/>
        <v>0</v>
      </c>
      <c r="AM7" s="107">
        <f t="shared" si="1"/>
        <v>0</v>
      </c>
      <c r="AN7" s="107">
        <f t="shared" si="1"/>
        <v>0</v>
      </c>
      <c r="AO7" s="107">
        <f t="shared" si="1"/>
        <v>0</v>
      </c>
      <c r="AP7" s="107">
        <f t="shared" si="1"/>
        <v>0</v>
      </c>
      <c r="AQ7" s="107">
        <f t="shared" si="1"/>
        <v>0</v>
      </c>
      <c r="AR7" s="107">
        <f>SUM(I7:AH7,AL7)</f>
        <v>0</v>
      </c>
      <c r="AS7" s="73"/>
    </row>
    <row r="8" spans="1:45" ht="12" x14ac:dyDescent="0.2">
      <c r="A8" s="75"/>
      <c r="B8" s="86" t="str">
        <f>B7</f>
        <v>ANNUAL</v>
      </c>
      <c r="C8" s="86" t="str">
        <f t="shared" ref="C8:E8" si="2">C7</f>
        <v>SINKSCS*</v>
      </c>
      <c r="D8" s="86" t="str">
        <f t="shared" si="2"/>
        <v>UP</v>
      </c>
      <c r="E8" s="86" t="str">
        <f t="shared" si="2"/>
        <v>ACT_BND</v>
      </c>
      <c r="F8" s="86">
        <v>0</v>
      </c>
      <c r="G8" s="90"/>
      <c r="H8" s="82">
        <v>5</v>
      </c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73"/>
    </row>
    <row r="9" spans="1:45" ht="12" x14ac:dyDescent="0.2">
      <c r="A9" s="75"/>
      <c r="B9" s="86"/>
      <c r="C9" s="86" t="s">
        <v>181</v>
      </c>
      <c r="D9" s="90"/>
      <c r="E9" s="86" t="s">
        <v>60</v>
      </c>
      <c r="F9" s="86">
        <v>2020</v>
      </c>
      <c r="G9" s="90" t="s">
        <v>106</v>
      </c>
      <c r="H9" s="104">
        <v>1.8440000000000002E-2</v>
      </c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</row>
    <row r="10" spans="1:45" ht="12" x14ac:dyDescent="0.2">
      <c r="A10" s="75"/>
      <c r="B10" s="86"/>
      <c r="C10" s="86" t="s">
        <v>182</v>
      </c>
      <c r="D10" s="90"/>
      <c r="E10" s="86" t="s">
        <v>60</v>
      </c>
      <c r="F10" s="86">
        <v>2020</v>
      </c>
      <c r="G10" s="90" t="s">
        <v>106</v>
      </c>
      <c r="H10" s="104">
        <v>4.3869999999999999E-2</v>
      </c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</row>
    <row r="11" spans="1:45" ht="12" x14ac:dyDescent="0.2">
      <c r="A11" s="75"/>
      <c r="B11" s="86"/>
      <c r="C11" s="86" t="s">
        <v>183</v>
      </c>
      <c r="D11" s="90"/>
      <c r="E11" s="86" t="s">
        <v>60</v>
      </c>
      <c r="F11" s="86">
        <v>2020</v>
      </c>
      <c r="G11" s="90" t="s">
        <v>106</v>
      </c>
      <c r="H11" s="104">
        <v>8.7739999999999999E-2</v>
      </c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</row>
    <row r="12" spans="1:45" ht="12" x14ac:dyDescent="0.2">
      <c r="A12" s="75"/>
      <c r="B12" s="170" t="s">
        <v>27</v>
      </c>
      <c r="C12" s="170" t="s">
        <v>279</v>
      </c>
      <c r="D12" s="90" t="s">
        <v>28</v>
      </c>
      <c r="E12" s="170" t="s">
        <v>29</v>
      </c>
      <c r="F12" s="170">
        <v>2020</v>
      </c>
      <c r="G12" s="90"/>
      <c r="H12" s="82">
        <v>0</v>
      </c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</row>
    <row r="13" spans="1:45" ht="12" x14ac:dyDescent="0.2">
      <c r="A13" s="75"/>
      <c r="B13" s="170" t="s">
        <v>27</v>
      </c>
      <c r="C13" s="170" t="s">
        <v>279</v>
      </c>
      <c r="D13" s="90" t="s">
        <v>28</v>
      </c>
      <c r="E13" s="170" t="s">
        <v>29</v>
      </c>
      <c r="F13" s="170">
        <v>2060</v>
      </c>
      <c r="G13" s="90"/>
      <c r="H13" s="82">
        <v>0</v>
      </c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  <c r="AM13" s="162"/>
      <c r="AN13" s="162"/>
      <c r="AO13" s="162"/>
      <c r="AP13" s="162"/>
      <c r="AQ13" s="162"/>
      <c r="AR13" s="162"/>
    </row>
    <row r="14" spans="1:45" ht="12" x14ac:dyDescent="0.2">
      <c r="A14" s="75"/>
      <c r="B14" s="170" t="s">
        <v>27</v>
      </c>
      <c r="C14" s="170" t="s">
        <v>279</v>
      </c>
      <c r="D14" s="90" t="s">
        <v>28</v>
      </c>
      <c r="E14" s="170" t="s">
        <v>29</v>
      </c>
      <c r="F14" s="170">
        <v>0</v>
      </c>
      <c r="G14" s="90"/>
      <c r="H14" s="82">
        <v>5</v>
      </c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</row>
    <row r="15" spans="1:45" ht="12" x14ac:dyDescent="0.2">
      <c r="A15" s="75"/>
      <c r="B15" s="170"/>
      <c r="C15" s="170" t="s">
        <v>280</v>
      </c>
      <c r="D15" s="90"/>
      <c r="E15" s="170" t="s">
        <v>60</v>
      </c>
      <c r="F15" s="170">
        <v>2020</v>
      </c>
      <c r="G15" s="90" t="s">
        <v>106</v>
      </c>
      <c r="H15" s="104">
        <v>1.8440000000000002E-2</v>
      </c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2"/>
      <c r="AQ15" s="162"/>
      <c r="AR15" s="162"/>
    </row>
    <row r="16" spans="1:45" ht="12" x14ac:dyDescent="0.2">
      <c r="A16" s="75"/>
      <c r="B16" s="170"/>
      <c r="C16" s="170" t="s">
        <v>282</v>
      </c>
      <c r="D16" s="90"/>
      <c r="E16" s="170" t="s">
        <v>60</v>
      </c>
      <c r="F16" s="170">
        <v>2020</v>
      </c>
      <c r="G16" s="90" t="s">
        <v>106</v>
      </c>
      <c r="H16" s="104">
        <v>4.3869999999999999E-2</v>
      </c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</row>
    <row r="17" spans="1:44" ht="12" x14ac:dyDescent="0.2">
      <c r="A17" s="75"/>
      <c r="B17" s="170"/>
      <c r="C17" s="170" t="s">
        <v>281</v>
      </c>
      <c r="D17" s="90"/>
      <c r="E17" s="170" t="s">
        <v>60</v>
      </c>
      <c r="F17" s="170">
        <v>2020</v>
      </c>
      <c r="G17" s="90" t="s">
        <v>106</v>
      </c>
      <c r="H17" s="104">
        <v>8.7739999999999999E-2</v>
      </c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</row>
    <row r="18" spans="1:44" ht="12" x14ac:dyDescent="0.2">
      <c r="A18" s="75"/>
      <c r="B18" s="170"/>
      <c r="C18" s="170" t="s">
        <v>283</v>
      </c>
      <c r="D18" s="90"/>
      <c r="E18" s="170" t="s">
        <v>60</v>
      </c>
      <c r="F18" s="170">
        <v>0</v>
      </c>
      <c r="G18" s="90" t="s">
        <v>106</v>
      </c>
      <c r="H18" s="104">
        <v>5</v>
      </c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  <c r="AQ18" s="162"/>
      <c r="AR18" s="162"/>
    </row>
    <row r="19" spans="1:44" ht="12" x14ac:dyDescent="0.2">
      <c r="A19" s="75"/>
      <c r="B19" s="170"/>
      <c r="C19" s="170"/>
      <c r="D19" s="90"/>
      <c r="E19" s="170"/>
      <c r="F19" s="170"/>
      <c r="G19" s="90"/>
      <c r="H19" s="104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  <c r="AO19" s="162"/>
      <c r="AP19" s="162"/>
      <c r="AQ19" s="162"/>
      <c r="AR19" s="162"/>
    </row>
    <row r="20" spans="1:44" ht="12" x14ac:dyDescent="0.2">
      <c r="A20" s="75"/>
      <c r="B20" s="170"/>
      <c r="C20" s="170"/>
      <c r="D20" s="90"/>
      <c r="E20" s="170"/>
      <c r="F20" s="170"/>
      <c r="G20" s="90"/>
      <c r="H20" s="104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</row>
    <row r="21" spans="1:44" ht="12" x14ac:dyDescent="0.2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</row>
    <row r="22" spans="1:44" ht="12" x14ac:dyDescent="0.2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</row>
    <row r="23" spans="1:44" ht="12" x14ac:dyDescent="0.2">
      <c r="A23" s="75"/>
      <c r="B23" s="108" t="s">
        <v>241</v>
      </c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</row>
    <row r="24" spans="1:44" ht="24" x14ac:dyDescent="0.2">
      <c r="A24" s="75"/>
      <c r="B24" s="109"/>
      <c r="C24" s="109"/>
      <c r="D24" s="110" t="s">
        <v>174</v>
      </c>
      <c r="E24" s="111" t="s">
        <v>175</v>
      </c>
      <c r="F24" s="111" t="s">
        <v>176</v>
      </c>
      <c r="G24" s="75"/>
      <c r="H24" s="75"/>
      <c r="I24" s="17"/>
      <c r="J24" s="17"/>
      <c r="K24" s="75"/>
      <c r="L24" s="75"/>
      <c r="M24" s="17"/>
      <c r="N24" s="17"/>
      <c r="O24" s="17"/>
      <c r="P24" s="17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</row>
    <row r="25" spans="1:44" ht="12" x14ac:dyDescent="0.2">
      <c r="A25" s="75"/>
      <c r="B25" s="109"/>
      <c r="C25" s="109"/>
      <c r="D25" s="112" t="s">
        <v>177</v>
      </c>
      <c r="E25" s="112" t="s">
        <v>177</v>
      </c>
      <c r="F25" s="112" t="s">
        <v>177</v>
      </c>
      <c r="G25" s="75"/>
      <c r="H25" s="75"/>
      <c r="I25" s="17"/>
      <c r="J25" s="17"/>
      <c r="K25" s="75"/>
      <c r="L25" s="75"/>
      <c r="M25" s="17"/>
      <c r="N25" s="17"/>
      <c r="O25" s="17"/>
      <c r="P25" s="17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</row>
    <row r="26" spans="1:44" ht="12" x14ac:dyDescent="0.2">
      <c r="A26" s="75"/>
      <c r="B26" s="109"/>
      <c r="C26" s="109"/>
      <c r="D26" s="112" t="s">
        <v>178</v>
      </c>
      <c r="E26" s="112" t="s">
        <v>178</v>
      </c>
      <c r="F26" s="112" t="s">
        <v>178</v>
      </c>
      <c r="G26" s="75"/>
      <c r="H26" s="75"/>
      <c r="I26" s="113" t="s">
        <v>179</v>
      </c>
      <c r="J26" s="113" t="s">
        <v>180</v>
      </c>
      <c r="K26" s="75"/>
      <c r="L26" s="75"/>
      <c r="M26" s="114" t="s">
        <v>181</v>
      </c>
      <c r="N26" s="114" t="s">
        <v>182</v>
      </c>
      <c r="O26" s="114" t="s">
        <v>183</v>
      </c>
      <c r="P26" s="17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</row>
    <row r="27" spans="1:44" ht="12" x14ac:dyDescent="0.2">
      <c r="A27" s="75"/>
      <c r="B27" s="109" t="s">
        <v>184</v>
      </c>
      <c r="C27" s="115" t="s">
        <v>109</v>
      </c>
      <c r="D27" s="116">
        <v>0.85561646382953471</v>
      </c>
      <c r="E27" s="116">
        <v>0.40555671323408121</v>
      </c>
      <c r="F27" s="116">
        <v>0.19435876839999999</v>
      </c>
      <c r="G27" s="75"/>
      <c r="H27" s="75"/>
      <c r="I27" s="117">
        <f>SUM(D27,F27)</f>
        <v>1.0499752322295346</v>
      </c>
      <c r="J27" s="117">
        <f>SUM(D27:F27)</f>
        <v>1.455531945463616</v>
      </c>
      <c r="K27" s="75"/>
      <c r="L27" s="75"/>
      <c r="M27" s="17">
        <f t="shared" ref="M27:O46" si="3">SUMPRODUCT($D27:$F27,INDEX($D$66:$F$68,RIGHT(M$26,1),0))</f>
        <v>0.53048220757431153</v>
      </c>
      <c r="N27" s="17">
        <f t="shared" si="3"/>
        <v>0.3640060099352232</v>
      </c>
      <c r="O27" s="17">
        <f t="shared" si="3"/>
        <v>0.15548701472000001</v>
      </c>
      <c r="P27" s="118">
        <f t="shared" ref="P27:P62" si="4">SUM(M27:O27)</f>
        <v>1.0499752322295348</v>
      </c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</row>
    <row r="28" spans="1:44" ht="12" x14ac:dyDescent="0.2">
      <c r="A28" s="75"/>
      <c r="B28" s="109" t="s">
        <v>185</v>
      </c>
      <c r="C28" s="115" t="s">
        <v>140</v>
      </c>
      <c r="D28" s="116">
        <v>1.0689800938638117</v>
      </c>
      <c r="E28" s="116">
        <v>1.1971802525217039</v>
      </c>
      <c r="F28" s="116">
        <v>0.5391765154</v>
      </c>
      <c r="G28" s="75"/>
      <c r="H28" s="75"/>
      <c r="I28" s="117">
        <f t="shared" ref="I28:I63" si="5">SUM(D28,F28)</f>
        <v>1.6081566092638115</v>
      </c>
      <c r="J28" s="117">
        <f t="shared" ref="J28:J63" si="6">SUM(D28:F28)</f>
        <v>2.8053368617855154</v>
      </c>
      <c r="K28" s="75"/>
      <c r="L28" s="75"/>
      <c r="M28" s="17">
        <f t="shared" si="3"/>
        <v>0.66276765819556327</v>
      </c>
      <c r="N28" s="17">
        <f t="shared" si="3"/>
        <v>0.51404773874824849</v>
      </c>
      <c r="O28" s="17">
        <f t="shared" si="3"/>
        <v>0.43134121232</v>
      </c>
      <c r="P28" s="118">
        <f t="shared" si="4"/>
        <v>1.6081566092638118</v>
      </c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</row>
    <row r="29" spans="1:44" ht="12" x14ac:dyDescent="0.2">
      <c r="A29" s="75"/>
      <c r="B29" s="109" t="s">
        <v>186</v>
      </c>
      <c r="C29" s="115" t="s">
        <v>108</v>
      </c>
      <c r="D29" s="116">
        <v>1.0541305616382057</v>
      </c>
      <c r="E29" s="116">
        <v>1.2548489720264591</v>
      </c>
      <c r="F29" s="116">
        <v>0.59707354079999997</v>
      </c>
      <c r="G29" s="75"/>
      <c r="H29" s="75"/>
      <c r="I29" s="117">
        <f t="shared" si="5"/>
        <v>1.6512041024382058</v>
      </c>
      <c r="J29" s="117">
        <f t="shared" si="6"/>
        <v>2.9060530744646647</v>
      </c>
      <c r="K29" s="75"/>
      <c r="L29" s="75"/>
      <c r="M29" s="17">
        <f t="shared" si="3"/>
        <v>0.65356094821568755</v>
      </c>
      <c r="N29" s="17">
        <f t="shared" si="3"/>
        <v>0.51998432158251817</v>
      </c>
      <c r="O29" s="17">
        <f t="shared" si="3"/>
        <v>0.47765883263999998</v>
      </c>
      <c r="P29" s="118">
        <f t="shared" si="4"/>
        <v>1.6512041024382058</v>
      </c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</row>
    <row r="30" spans="1:44" ht="12" x14ac:dyDescent="0.2">
      <c r="A30" s="75"/>
      <c r="B30" s="109" t="s">
        <v>187</v>
      </c>
      <c r="C30" s="115" t="s">
        <v>139</v>
      </c>
      <c r="D30" s="116">
        <v>1.3749784228901707</v>
      </c>
      <c r="E30" s="116">
        <v>0.63327886999024052</v>
      </c>
      <c r="F30" s="116">
        <v>0.27103826040000001</v>
      </c>
      <c r="G30" s="75"/>
      <c r="H30" s="75"/>
      <c r="I30" s="117">
        <f t="shared" si="5"/>
        <v>1.6460166832901706</v>
      </c>
      <c r="J30" s="117">
        <f t="shared" si="6"/>
        <v>2.2792955532804111</v>
      </c>
      <c r="K30" s="75"/>
      <c r="L30" s="75"/>
      <c r="M30" s="17">
        <f t="shared" si="3"/>
        <v>0.85248662219190585</v>
      </c>
      <c r="N30" s="17">
        <f t="shared" si="3"/>
        <v>0.57669945277826484</v>
      </c>
      <c r="O30" s="17">
        <f t="shared" si="3"/>
        <v>0.21683060832000001</v>
      </c>
      <c r="P30" s="118">
        <f t="shared" si="4"/>
        <v>1.6460166832901706</v>
      </c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</row>
    <row r="31" spans="1:44" ht="12" x14ac:dyDescent="0.2">
      <c r="A31" s="75"/>
      <c r="B31" s="109" t="s">
        <v>188</v>
      </c>
      <c r="C31" s="115" t="s">
        <v>138</v>
      </c>
      <c r="D31" s="116">
        <v>1.202447631571103</v>
      </c>
      <c r="E31" s="116">
        <v>0.14464183770201508</v>
      </c>
      <c r="F31" s="116">
        <v>1.5919460160000001</v>
      </c>
      <c r="G31" s="75"/>
      <c r="H31" s="75"/>
      <c r="I31" s="117">
        <f t="shared" si="5"/>
        <v>2.7943936475711029</v>
      </c>
      <c r="J31" s="117">
        <f t="shared" si="6"/>
        <v>2.9390354852731182</v>
      </c>
      <c r="K31" s="75"/>
      <c r="L31" s="75"/>
      <c r="M31" s="17">
        <f t="shared" si="3"/>
        <v>0.74551753157408385</v>
      </c>
      <c r="N31" s="17">
        <f t="shared" si="3"/>
        <v>0.77531930319701914</v>
      </c>
      <c r="O31" s="17">
        <f t="shared" si="3"/>
        <v>1.2735568128000001</v>
      </c>
      <c r="P31" s="118">
        <f t="shared" si="4"/>
        <v>2.7943936475711029</v>
      </c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</row>
    <row r="32" spans="1:44" ht="12" x14ac:dyDescent="0.2">
      <c r="A32" s="75"/>
      <c r="B32" s="109" t="s">
        <v>189</v>
      </c>
      <c r="C32" s="115" t="s">
        <v>112</v>
      </c>
      <c r="D32" s="116">
        <v>0.58617955585639892</v>
      </c>
      <c r="E32" s="116">
        <v>0.96011350610354207</v>
      </c>
      <c r="F32" s="116">
        <v>0.22364219825000001</v>
      </c>
      <c r="G32" s="75"/>
      <c r="H32" s="75"/>
      <c r="I32" s="117">
        <f t="shared" si="5"/>
        <v>0.80982175410639889</v>
      </c>
      <c r="J32" s="117">
        <f t="shared" si="6"/>
        <v>1.7699352602099412</v>
      </c>
      <c r="K32" s="75"/>
      <c r="L32" s="75"/>
      <c r="M32" s="17">
        <f t="shared" si="3"/>
        <v>0.36343132463096733</v>
      </c>
      <c r="N32" s="17">
        <f t="shared" si="3"/>
        <v>0.26747667087543159</v>
      </c>
      <c r="O32" s="17">
        <f t="shared" si="3"/>
        <v>0.17891375860000003</v>
      </c>
      <c r="P32" s="118">
        <f t="shared" si="4"/>
        <v>0.80982175410639901</v>
      </c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</row>
    <row r="33" spans="1:44" ht="12" x14ac:dyDescent="0.2">
      <c r="A33" s="75"/>
      <c r="B33" s="109" t="s">
        <v>190</v>
      </c>
      <c r="C33" s="115" t="s">
        <v>137</v>
      </c>
      <c r="D33" s="116">
        <v>6.5580741372226109E-2</v>
      </c>
      <c r="E33" s="116">
        <v>2.7248153840569493E-2</v>
      </c>
      <c r="F33" s="116">
        <v>0.18307530590000001</v>
      </c>
      <c r="G33" s="75"/>
      <c r="H33" s="75"/>
      <c r="I33" s="117">
        <f t="shared" si="5"/>
        <v>0.24865604727222612</v>
      </c>
      <c r="J33" s="117">
        <f t="shared" si="6"/>
        <v>0.27590420111279562</v>
      </c>
      <c r="K33" s="75"/>
      <c r="L33" s="75"/>
      <c r="M33" s="17">
        <f t="shared" si="3"/>
        <v>4.0660059650780185E-2</v>
      </c>
      <c r="N33" s="17">
        <f t="shared" si="3"/>
        <v>6.1535742901445922E-2</v>
      </c>
      <c r="O33" s="17">
        <f t="shared" si="3"/>
        <v>0.14646024472000002</v>
      </c>
      <c r="P33" s="118">
        <f t="shared" si="4"/>
        <v>0.24865604727222612</v>
      </c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</row>
    <row r="34" spans="1:44" ht="12" x14ac:dyDescent="0.2">
      <c r="A34" s="75"/>
      <c r="B34" s="109" t="s">
        <v>191</v>
      </c>
      <c r="C34" s="115" t="s">
        <v>136</v>
      </c>
      <c r="D34" s="116">
        <v>1.5789372231546888</v>
      </c>
      <c r="E34" s="116">
        <v>1.0086205384681433</v>
      </c>
      <c r="F34" s="116">
        <v>1.2330251720000001</v>
      </c>
      <c r="G34" s="75"/>
      <c r="H34" s="75"/>
      <c r="I34" s="117">
        <f t="shared" si="5"/>
        <v>2.8119623951546888</v>
      </c>
      <c r="J34" s="117">
        <f t="shared" si="6"/>
        <v>3.8205829336228319</v>
      </c>
      <c r="K34" s="75"/>
      <c r="L34" s="75"/>
      <c r="M34" s="17">
        <f t="shared" si="3"/>
        <v>0.97894107835590705</v>
      </c>
      <c r="N34" s="17">
        <f t="shared" si="3"/>
        <v>0.84660117919878175</v>
      </c>
      <c r="O34" s="17">
        <f t="shared" si="3"/>
        <v>0.98642013760000014</v>
      </c>
      <c r="P34" s="118">
        <f t="shared" si="4"/>
        <v>2.8119623951546888</v>
      </c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</row>
    <row r="35" spans="1:44" ht="12" x14ac:dyDescent="0.2">
      <c r="A35" s="75"/>
      <c r="B35" s="109" t="s">
        <v>192</v>
      </c>
      <c r="C35" s="115" t="s">
        <v>135</v>
      </c>
      <c r="D35" s="116">
        <v>8.7933516448932334</v>
      </c>
      <c r="E35" s="116">
        <v>3.9996444750099784</v>
      </c>
      <c r="F35" s="116">
        <v>4.3991018310000003</v>
      </c>
      <c r="G35" s="75"/>
      <c r="H35" s="75"/>
      <c r="I35" s="117">
        <f t="shared" si="5"/>
        <v>13.192453475893235</v>
      </c>
      <c r="J35" s="117">
        <f t="shared" si="6"/>
        <v>17.192097950903211</v>
      </c>
      <c r="K35" s="75"/>
      <c r="L35" s="75"/>
      <c r="M35" s="17">
        <f t="shared" si="3"/>
        <v>5.4518780198338046</v>
      </c>
      <c r="N35" s="17">
        <f t="shared" si="3"/>
        <v>4.2212939912594294</v>
      </c>
      <c r="O35" s="17">
        <f t="shared" si="3"/>
        <v>3.5192814648000006</v>
      </c>
      <c r="P35" s="118">
        <f t="shared" si="4"/>
        <v>13.192453475893235</v>
      </c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</row>
    <row r="36" spans="1:44" ht="12" x14ac:dyDescent="0.2">
      <c r="A36" s="75"/>
      <c r="B36" s="109" t="s">
        <v>193</v>
      </c>
      <c r="C36" s="115" t="s">
        <v>134</v>
      </c>
      <c r="D36" s="116">
        <v>2.8708591442694162</v>
      </c>
      <c r="E36" s="116">
        <v>0.129443467121133</v>
      </c>
      <c r="F36" s="116">
        <v>0.87931514830000002</v>
      </c>
      <c r="G36" s="75"/>
      <c r="H36" s="75"/>
      <c r="I36" s="117">
        <f t="shared" si="5"/>
        <v>3.7501742925694161</v>
      </c>
      <c r="J36" s="117">
        <f t="shared" si="6"/>
        <v>3.8796177596905492</v>
      </c>
      <c r="K36" s="75"/>
      <c r="L36" s="75"/>
      <c r="M36" s="17">
        <f t="shared" si="3"/>
        <v>1.7799326694470381</v>
      </c>
      <c r="N36" s="17">
        <f t="shared" si="3"/>
        <v>1.2667895044823783</v>
      </c>
      <c r="O36" s="17">
        <f t="shared" si="3"/>
        <v>0.70345211864000001</v>
      </c>
      <c r="P36" s="118">
        <f t="shared" si="4"/>
        <v>3.7501742925694166</v>
      </c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</row>
    <row r="37" spans="1:44" ht="12" x14ac:dyDescent="0.2">
      <c r="A37" s="75"/>
      <c r="B37" s="109" t="s">
        <v>194</v>
      </c>
      <c r="C37" s="115" t="s">
        <v>133</v>
      </c>
      <c r="D37" s="116">
        <v>1.3109145536058728</v>
      </c>
      <c r="E37" s="116">
        <v>0.10917121863061774</v>
      </c>
      <c r="F37" s="116">
        <v>0.39774714220000001</v>
      </c>
      <c r="G37" s="75"/>
      <c r="H37" s="75"/>
      <c r="I37" s="117">
        <f t="shared" si="5"/>
        <v>1.7086616958058729</v>
      </c>
      <c r="J37" s="117">
        <f t="shared" si="6"/>
        <v>1.8178329144364906</v>
      </c>
      <c r="K37" s="75"/>
      <c r="L37" s="75"/>
      <c r="M37" s="17">
        <f t="shared" si="3"/>
        <v>0.81276702323564121</v>
      </c>
      <c r="N37" s="17">
        <f t="shared" si="3"/>
        <v>0.57769695881023164</v>
      </c>
      <c r="O37" s="17">
        <f t="shared" si="3"/>
        <v>0.31819771376000006</v>
      </c>
      <c r="P37" s="118">
        <f t="shared" si="4"/>
        <v>1.7086616958058729</v>
      </c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</row>
    <row r="38" spans="1:44" ht="12" x14ac:dyDescent="0.2">
      <c r="A38" s="75"/>
      <c r="B38" s="109" t="s">
        <v>195</v>
      </c>
      <c r="C38" s="115" t="s">
        <v>129</v>
      </c>
      <c r="D38" s="116">
        <v>1.1675149252260557</v>
      </c>
      <c r="E38" s="116">
        <v>0.81307929640621923</v>
      </c>
      <c r="F38" s="116">
        <v>1.4827928670000001</v>
      </c>
      <c r="G38" s="75"/>
      <c r="H38" s="75"/>
      <c r="I38" s="117">
        <f t="shared" si="5"/>
        <v>2.6503077922260561</v>
      </c>
      <c r="J38" s="117">
        <f t="shared" si="6"/>
        <v>3.4633870886322748</v>
      </c>
      <c r="K38" s="75"/>
      <c r="L38" s="75"/>
      <c r="M38" s="17">
        <f t="shared" si="3"/>
        <v>0.72385925364015458</v>
      </c>
      <c r="N38" s="17">
        <f t="shared" si="3"/>
        <v>0.74021424498590127</v>
      </c>
      <c r="O38" s="17">
        <f t="shared" si="3"/>
        <v>1.1862342936000001</v>
      </c>
      <c r="P38" s="118">
        <f t="shared" si="4"/>
        <v>2.6503077922260561</v>
      </c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</row>
    <row r="39" spans="1:44" ht="12" x14ac:dyDescent="0.2">
      <c r="A39" s="75"/>
      <c r="B39" s="109" t="s">
        <v>196</v>
      </c>
      <c r="C39" s="115" t="s">
        <v>132</v>
      </c>
      <c r="D39" s="116">
        <v>5.3226511666635696</v>
      </c>
      <c r="E39" s="116">
        <v>2.6560461243153024</v>
      </c>
      <c r="F39" s="116">
        <v>15.634258496434001</v>
      </c>
      <c r="G39" s="75"/>
      <c r="H39" s="75"/>
      <c r="I39" s="117">
        <f t="shared" si="5"/>
        <v>20.956909663097569</v>
      </c>
      <c r="J39" s="117">
        <f t="shared" si="6"/>
        <v>23.612955787412872</v>
      </c>
      <c r="K39" s="75"/>
      <c r="L39" s="75"/>
      <c r="M39" s="17">
        <f t="shared" si="3"/>
        <v>3.300043723331413</v>
      </c>
      <c r="N39" s="17">
        <f t="shared" si="3"/>
        <v>5.1494591426189569</v>
      </c>
      <c r="O39" s="17">
        <f t="shared" si="3"/>
        <v>12.507406797147201</v>
      </c>
      <c r="P39" s="118">
        <f t="shared" si="4"/>
        <v>20.956909663097569</v>
      </c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</row>
    <row r="40" spans="1:44" ht="12" x14ac:dyDescent="0.2">
      <c r="A40" s="75"/>
      <c r="B40" s="109" t="s">
        <v>197</v>
      </c>
      <c r="C40" s="115" t="s">
        <v>131</v>
      </c>
      <c r="D40" s="116">
        <v>3.6206830481363967</v>
      </c>
      <c r="E40" s="116">
        <v>0.14341069584277699</v>
      </c>
      <c r="F40" s="116">
        <v>0.25628585860000003</v>
      </c>
      <c r="G40" s="75"/>
      <c r="H40" s="75"/>
      <c r="I40" s="117">
        <f t="shared" si="5"/>
        <v>3.8769689067363968</v>
      </c>
      <c r="J40" s="117">
        <f t="shared" si="6"/>
        <v>4.0203796025791734</v>
      </c>
      <c r="K40" s="75"/>
      <c r="L40" s="75"/>
      <c r="M40" s="17">
        <f t="shared" si="3"/>
        <v>2.244823489844566</v>
      </c>
      <c r="N40" s="17">
        <f t="shared" si="3"/>
        <v>1.4271167300118308</v>
      </c>
      <c r="O40" s="17">
        <f t="shared" si="3"/>
        <v>0.20502868688000003</v>
      </c>
      <c r="P40" s="118">
        <f t="shared" si="4"/>
        <v>3.8769689067363968</v>
      </c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</row>
    <row r="41" spans="1:44" ht="12" x14ac:dyDescent="0.2">
      <c r="A41" s="75"/>
      <c r="B41" s="109" t="s">
        <v>198</v>
      </c>
      <c r="C41" s="115" t="s">
        <v>130</v>
      </c>
      <c r="D41" s="116">
        <v>9.6695280249534132</v>
      </c>
      <c r="E41" s="116">
        <v>4.5482097940222745</v>
      </c>
      <c r="F41" s="116">
        <v>0.1315281799444</v>
      </c>
      <c r="G41" s="75"/>
      <c r="H41" s="75"/>
      <c r="I41" s="117">
        <f t="shared" si="5"/>
        <v>9.8010562048978134</v>
      </c>
      <c r="J41" s="117">
        <f t="shared" si="6"/>
        <v>14.349265998920089</v>
      </c>
      <c r="K41" s="75"/>
      <c r="L41" s="75"/>
      <c r="M41" s="17">
        <f t="shared" si="3"/>
        <v>5.9951073754711164</v>
      </c>
      <c r="N41" s="17">
        <f t="shared" si="3"/>
        <v>3.7007262854711769</v>
      </c>
      <c r="O41" s="17">
        <f t="shared" si="3"/>
        <v>0.10522254395552</v>
      </c>
      <c r="P41" s="118">
        <f t="shared" si="4"/>
        <v>9.8010562048978134</v>
      </c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</row>
    <row r="42" spans="1:44" ht="12" x14ac:dyDescent="0.2">
      <c r="A42" s="75"/>
      <c r="B42" s="109" t="s">
        <v>199</v>
      </c>
      <c r="C42" s="115" t="s">
        <v>110</v>
      </c>
      <c r="D42" s="116">
        <v>1.6643590670934547</v>
      </c>
      <c r="E42" s="116">
        <v>0.54295626780857142</v>
      </c>
      <c r="F42" s="116">
        <v>0.83968001780000001</v>
      </c>
      <c r="G42" s="75"/>
      <c r="H42" s="75"/>
      <c r="I42" s="117">
        <f t="shared" si="5"/>
        <v>2.5040390848934546</v>
      </c>
      <c r="J42" s="117">
        <f t="shared" si="6"/>
        <v>3.0469953527020261</v>
      </c>
      <c r="K42" s="75"/>
      <c r="L42" s="75"/>
      <c r="M42" s="17">
        <f t="shared" si="3"/>
        <v>1.0319026215979419</v>
      </c>
      <c r="N42" s="17">
        <f t="shared" si="3"/>
        <v>0.80039244905551288</v>
      </c>
      <c r="O42" s="17">
        <f t="shared" si="3"/>
        <v>0.67174401424000008</v>
      </c>
      <c r="P42" s="118">
        <f t="shared" si="4"/>
        <v>2.5040390848934551</v>
      </c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</row>
    <row r="43" spans="1:44" ht="12" x14ac:dyDescent="0.2">
      <c r="A43" s="75"/>
      <c r="B43" s="109" t="s">
        <v>200</v>
      </c>
      <c r="C43" s="115" t="s">
        <v>128</v>
      </c>
      <c r="D43" s="116">
        <v>1.2999449094262256</v>
      </c>
      <c r="E43" s="116">
        <v>0.3893077070602185</v>
      </c>
      <c r="F43" s="116">
        <v>2.0691251749999999</v>
      </c>
      <c r="G43" s="75"/>
      <c r="H43" s="75"/>
      <c r="I43" s="117">
        <f t="shared" si="5"/>
        <v>3.3690700844262258</v>
      </c>
      <c r="J43" s="117">
        <f t="shared" si="6"/>
        <v>3.7583777914864438</v>
      </c>
      <c r="K43" s="75"/>
      <c r="L43" s="75"/>
      <c r="M43" s="17">
        <f t="shared" si="3"/>
        <v>0.80596584384425984</v>
      </c>
      <c r="N43" s="17">
        <f t="shared" si="3"/>
        <v>0.9078041005819657</v>
      </c>
      <c r="O43" s="17">
        <f t="shared" si="3"/>
        <v>1.65530014</v>
      </c>
      <c r="P43" s="118">
        <f t="shared" si="4"/>
        <v>3.3690700844262258</v>
      </c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</row>
    <row r="44" spans="1:44" ht="12" x14ac:dyDescent="0.2">
      <c r="A44" s="75"/>
      <c r="B44" s="109" t="s">
        <v>201</v>
      </c>
      <c r="C44" s="115" t="s">
        <v>127</v>
      </c>
      <c r="D44" s="116">
        <v>0.58165332549733517</v>
      </c>
      <c r="E44" s="116">
        <v>0.91344429490903589</v>
      </c>
      <c r="F44" s="116">
        <v>0.72705455699999999</v>
      </c>
      <c r="G44" s="75"/>
      <c r="H44" s="75"/>
      <c r="I44" s="117">
        <f t="shared" si="5"/>
        <v>1.3087078824973353</v>
      </c>
      <c r="J44" s="117">
        <f t="shared" si="6"/>
        <v>2.2221521774063708</v>
      </c>
      <c r="K44" s="75"/>
      <c r="L44" s="75"/>
      <c r="M44" s="17">
        <f t="shared" si="3"/>
        <v>0.3606250618083478</v>
      </c>
      <c r="N44" s="17">
        <f t="shared" si="3"/>
        <v>0.36643917508898738</v>
      </c>
      <c r="O44" s="17">
        <f t="shared" si="3"/>
        <v>0.58164364560000004</v>
      </c>
      <c r="P44" s="118">
        <f t="shared" si="4"/>
        <v>1.3087078824973353</v>
      </c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</row>
    <row r="45" spans="1:44" ht="12" x14ac:dyDescent="0.2">
      <c r="A45" s="75"/>
      <c r="B45" s="109" t="s">
        <v>202</v>
      </c>
      <c r="C45" s="115" t="s">
        <v>113</v>
      </c>
      <c r="D45" s="116">
        <v>0</v>
      </c>
      <c r="E45" s="116">
        <v>6.0350603915585275</v>
      </c>
      <c r="F45" s="116">
        <v>8.5382247039999998E-2</v>
      </c>
      <c r="G45" s="75"/>
      <c r="H45" s="75"/>
      <c r="I45" s="117">
        <f t="shared" si="5"/>
        <v>8.5382247039999998E-2</v>
      </c>
      <c r="J45" s="117">
        <f t="shared" si="6"/>
        <v>6.1204426385985276</v>
      </c>
      <c r="K45" s="75"/>
      <c r="L45" s="75"/>
      <c r="M45" s="17">
        <f t="shared" si="3"/>
        <v>0</v>
      </c>
      <c r="N45" s="17">
        <f t="shared" si="3"/>
        <v>1.7076449407999999E-2</v>
      </c>
      <c r="O45" s="17">
        <f t="shared" si="3"/>
        <v>6.8305797631999995E-2</v>
      </c>
      <c r="P45" s="118">
        <f t="shared" si="4"/>
        <v>8.5382247039999998E-2</v>
      </c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</row>
    <row r="46" spans="1:44" ht="12" x14ac:dyDescent="0.2">
      <c r="A46" s="75"/>
      <c r="B46" s="109" t="s">
        <v>203</v>
      </c>
      <c r="C46" s="115" t="s">
        <v>126</v>
      </c>
      <c r="D46" s="116">
        <v>5.2860103339664857</v>
      </c>
      <c r="E46" s="116">
        <v>1.8327846013272184</v>
      </c>
      <c r="F46" s="116">
        <v>5.5977496715651798</v>
      </c>
      <c r="G46" s="75"/>
      <c r="H46" s="75"/>
      <c r="I46" s="117">
        <f t="shared" si="5"/>
        <v>10.883760005531666</v>
      </c>
      <c r="J46" s="117">
        <f t="shared" si="6"/>
        <v>12.716544606858884</v>
      </c>
      <c r="K46" s="75"/>
      <c r="L46" s="75"/>
      <c r="M46" s="17">
        <f t="shared" si="3"/>
        <v>3.277326407059221</v>
      </c>
      <c r="N46" s="17">
        <f t="shared" si="3"/>
        <v>3.1282338612203007</v>
      </c>
      <c r="O46" s="17">
        <f t="shared" si="3"/>
        <v>4.4781997372521438</v>
      </c>
      <c r="P46" s="118">
        <f t="shared" si="4"/>
        <v>10.883760005531666</v>
      </c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</row>
    <row r="47" spans="1:44" ht="12" x14ac:dyDescent="0.2">
      <c r="A47" s="75"/>
      <c r="B47" s="109" t="s">
        <v>204</v>
      </c>
      <c r="C47" s="115" t="s">
        <v>166</v>
      </c>
      <c r="D47" s="116">
        <v>0</v>
      </c>
      <c r="E47" s="116">
        <v>0</v>
      </c>
      <c r="F47" s="116">
        <v>0</v>
      </c>
      <c r="G47" s="75"/>
      <c r="H47" s="75"/>
      <c r="I47" s="117">
        <f t="shared" si="5"/>
        <v>0</v>
      </c>
      <c r="J47" s="117">
        <f t="shared" si="6"/>
        <v>0</v>
      </c>
      <c r="K47" s="75"/>
      <c r="L47" s="75"/>
      <c r="M47" s="17">
        <f t="shared" ref="M47:O63" si="7">SUMPRODUCT($D47:$F47,INDEX($D$66:$F$68,RIGHT(M$26,1),0))</f>
        <v>0</v>
      </c>
      <c r="N47" s="17">
        <f t="shared" si="7"/>
        <v>0</v>
      </c>
      <c r="O47" s="17">
        <f t="shared" si="7"/>
        <v>0</v>
      </c>
      <c r="P47" s="118">
        <f t="shared" si="4"/>
        <v>0</v>
      </c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</row>
    <row r="48" spans="1:44" ht="12" x14ac:dyDescent="0.2">
      <c r="A48" s="75"/>
      <c r="B48" s="109" t="s">
        <v>205</v>
      </c>
      <c r="C48" s="115" t="s">
        <v>125</v>
      </c>
      <c r="D48" s="116">
        <v>3.7859190326020036</v>
      </c>
      <c r="E48" s="116">
        <v>0.56047007734661602</v>
      </c>
      <c r="F48" s="116">
        <v>1.0076329289999999</v>
      </c>
      <c r="G48" s="75"/>
      <c r="H48" s="75"/>
      <c r="I48" s="117">
        <f t="shared" si="5"/>
        <v>4.7935519616020033</v>
      </c>
      <c r="J48" s="117">
        <f t="shared" si="6"/>
        <v>5.3540220389486191</v>
      </c>
      <c r="K48" s="75"/>
      <c r="L48" s="75"/>
      <c r="M48" s="17">
        <f t="shared" si="7"/>
        <v>2.3472698002132422</v>
      </c>
      <c r="N48" s="17">
        <f t="shared" si="7"/>
        <v>1.6401758181887613</v>
      </c>
      <c r="O48" s="17">
        <f t="shared" si="7"/>
        <v>0.80610634319999996</v>
      </c>
      <c r="P48" s="118">
        <f t="shared" si="4"/>
        <v>4.7935519616020033</v>
      </c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</row>
    <row r="49" spans="1:44" ht="12" x14ac:dyDescent="0.2">
      <c r="A49" s="75"/>
      <c r="B49" s="109" t="s">
        <v>206</v>
      </c>
      <c r="C49" s="115" t="s">
        <v>124</v>
      </c>
      <c r="D49" s="116">
        <v>6.9119828496917141E-2</v>
      </c>
      <c r="E49" s="116">
        <v>6.6200524589972581E-2</v>
      </c>
      <c r="F49" s="116">
        <v>1.8079915990000001E-2</v>
      </c>
      <c r="G49" s="75"/>
      <c r="H49" s="75"/>
      <c r="I49" s="117">
        <f t="shared" si="5"/>
        <v>8.7199744486917141E-2</v>
      </c>
      <c r="J49" s="117">
        <f t="shared" si="6"/>
        <v>0.15340026907688972</v>
      </c>
      <c r="K49" s="75"/>
      <c r="L49" s="75"/>
      <c r="M49" s="17">
        <f t="shared" si="7"/>
        <v>4.2854293668088628E-2</v>
      </c>
      <c r="N49" s="17">
        <f t="shared" si="7"/>
        <v>2.9881518026828514E-2</v>
      </c>
      <c r="O49" s="17">
        <f t="shared" si="7"/>
        <v>1.4463932792000001E-2</v>
      </c>
      <c r="P49" s="118">
        <f t="shared" si="4"/>
        <v>8.7199744486917141E-2</v>
      </c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</row>
    <row r="50" spans="1:44" ht="12" x14ac:dyDescent="0.2">
      <c r="A50" s="75"/>
      <c r="B50" s="109" t="s">
        <v>207</v>
      </c>
      <c r="C50" s="115" t="s">
        <v>123</v>
      </c>
      <c r="D50" s="116">
        <v>2.2135175466554231</v>
      </c>
      <c r="E50" s="116">
        <v>1.0578204830446878</v>
      </c>
      <c r="F50" s="116">
        <v>0.60781007679999999</v>
      </c>
      <c r="G50" s="75"/>
      <c r="H50" s="75"/>
      <c r="I50" s="117">
        <f t="shared" si="5"/>
        <v>2.821327623455423</v>
      </c>
      <c r="J50" s="117">
        <f t="shared" si="6"/>
        <v>3.8791481065001108</v>
      </c>
      <c r="K50" s="75"/>
      <c r="L50" s="75"/>
      <c r="M50" s="17">
        <f t="shared" si="7"/>
        <v>1.3723808789263623</v>
      </c>
      <c r="N50" s="17">
        <f t="shared" si="7"/>
        <v>0.96269868308906081</v>
      </c>
      <c r="O50" s="17">
        <f t="shared" si="7"/>
        <v>0.48624806143999999</v>
      </c>
      <c r="P50" s="118">
        <f t="shared" si="4"/>
        <v>2.821327623455423</v>
      </c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</row>
    <row r="51" spans="1:44" ht="12" x14ac:dyDescent="0.2">
      <c r="A51" s="75"/>
      <c r="B51" s="109" t="s">
        <v>208</v>
      </c>
      <c r="C51" s="115" t="s">
        <v>162</v>
      </c>
      <c r="D51" s="116">
        <v>0.22366789083621844</v>
      </c>
      <c r="E51" s="116">
        <v>0.37865884913418463</v>
      </c>
      <c r="F51" s="116">
        <v>9.659150289E-2</v>
      </c>
      <c r="G51" s="75"/>
      <c r="H51" s="75"/>
      <c r="I51" s="117">
        <f t="shared" si="5"/>
        <v>0.32025939372621842</v>
      </c>
      <c r="J51" s="117">
        <f t="shared" si="6"/>
        <v>0.69891824286040305</v>
      </c>
      <c r="K51" s="75"/>
      <c r="L51" s="75"/>
      <c r="M51" s="17">
        <f t="shared" si="7"/>
        <v>0.13867409231845543</v>
      </c>
      <c r="N51" s="17">
        <f t="shared" si="7"/>
        <v>0.10431209909576301</v>
      </c>
      <c r="O51" s="17">
        <f t="shared" si="7"/>
        <v>7.7273202312000008E-2</v>
      </c>
      <c r="P51" s="118">
        <f t="shared" si="4"/>
        <v>0.32025939372621848</v>
      </c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</row>
    <row r="52" spans="1:44" ht="12" x14ac:dyDescent="0.2">
      <c r="A52" s="75"/>
      <c r="B52" s="109" t="s">
        <v>209</v>
      </c>
      <c r="C52" s="115" t="s">
        <v>107</v>
      </c>
      <c r="D52" s="116">
        <v>0.18748823610545789</v>
      </c>
      <c r="E52" s="116">
        <v>0.2366092486258006</v>
      </c>
      <c r="F52" s="116">
        <v>0.34244186859999998</v>
      </c>
      <c r="G52" s="75"/>
      <c r="H52" s="75"/>
      <c r="I52" s="117">
        <f t="shared" si="5"/>
        <v>0.52993010470545787</v>
      </c>
      <c r="J52" s="117">
        <f t="shared" si="6"/>
        <v>0.76653935333125856</v>
      </c>
      <c r="K52" s="75"/>
      <c r="L52" s="75"/>
      <c r="M52" s="17">
        <f t="shared" si="7"/>
        <v>0.11624270638538389</v>
      </c>
      <c r="N52" s="17">
        <f t="shared" si="7"/>
        <v>0.139733903440074</v>
      </c>
      <c r="O52" s="17">
        <f t="shared" si="7"/>
        <v>0.27395349487999998</v>
      </c>
      <c r="P52" s="118">
        <f t="shared" si="4"/>
        <v>0.52993010470545787</v>
      </c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</row>
    <row r="53" spans="1:44" ht="12" x14ac:dyDescent="0.2">
      <c r="A53" s="75"/>
      <c r="B53" s="109" t="s">
        <v>210</v>
      </c>
      <c r="C53" s="115" t="s">
        <v>122</v>
      </c>
      <c r="D53" s="116">
        <v>2.4505992506859428E-3</v>
      </c>
      <c r="E53" s="116">
        <v>0</v>
      </c>
      <c r="F53" s="116">
        <v>4.4287058650000002E-3</v>
      </c>
      <c r="G53" s="75"/>
      <c r="H53" s="75"/>
      <c r="I53" s="117">
        <f t="shared" si="5"/>
        <v>6.8793051156859431E-3</v>
      </c>
      <c r="J53" s="117">
        <f t="shared" si="6"/>
        <v>6.8793051156859431E-3</v>
      </c>
      <c r="K53" s="75"/>
      <c r="L53" s="75"/>
      <c r="M53" s="17">
        <f t="shared" si="7"/>
        <v>1.5193715354252845E-3</v>
      </c>
      <c r="N53" s="17">
        <f t="shared" si="7"/>
        <v>1.8169688882606584E-3</v>
      </c>
      <c r="O53" s="17">
        <f t="shared" si="7"/>
        <v>3.5429646920000003E-3</v>
      </c>
      <c r="P53" s="118">
        <f t="shared" si="4"/>
        <v>6.8793051156859431E-3</v>
      </c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</row>
    <row r="54" spans="1:44" ht="12" x14ac:dyDescent="0.2">
      <c r="A54" s="75"/>
      <c r="B54" s="109" t="s">
        <v>211</v>
      </c>
      <c r="C54" s="115" t="s">
        <v>121</v>
      </c>
      <c r="D54" s="116">
        <v>1.0560448511350709</v>
      </c>
      <c r="E54" s="116">
        <v>0.65961631630632744</v>
      </c>
      <c r="F54" s="116">
        <v>0.41459184250000003</v>
      </c>
      <c r="G54" s="75"/>
      <c r="H54" s="75"/>
      <c r="I54" s="117">
        <f t="shared" si="5"/>
        <v>1.470636693635071</v>
      </c>
      <c r="J54" s="117">
        <f t="shared" si="6"/>
        <v>2.1302530099413985</v>
      </c>
      <c r="K54" s="75"/>
      <c r="L54" s="75"/>
      <c r="M54" s="17">
        <f t="shared" si="7"/>
        <v>0.65474780770374397</v>
      </c>
      <c r="N54" s="17">
        <f t="shared" si="7"/>
        <v>0.48421541193132694</v>
      </c>
      <c r="O54" s="17">
        <f t="shared" si="7"/>
        <v>0.33167347400000002</v>
      </c>
      <c r="P54" s="118">
        <f t="shared" si="4"/>
        <v>1.470636693635071</v>
      </c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</row>
    <row r="55" spans="1:44" ht="12" x14ac:dyDescent="0.2">
      <c r="A55" s="75"/>
      <c r="B55" s="109" t="s">
        <v>212</v>
      </c>
      <c r="C55" s="115" t="s">
        <v>111</v>
      </c>
      <c r="D55" s="116">
        <v>1.4256495530111273</v>
      </c>
      <c r="E55" s="116">
        <v>0.41300000764656697</v>
      </c>
      <c r="F55" s="116">
        <v>0.21708829329999998</v>
      </c>
      <c r="G55" s="75"/>
      <c r="H55" s="75"/>
      <c r="I55" s="117">
        <f t="shared" si="5"/>
        <v>1.6427378463111273</v>
      </c>
      <c r="J55" s="117">
        <f t="shared" si="6"/>
        <v>2.055737853957694</v>
      </c>
      <c r="K55" s="75"/>
      <c r="L55" s="75"/>
      <c r="M55" s="17">
        <f t="shared" si="7"/>
        <v>0.88390272286689886</v>
      </c>
      <c r="N55" s="17">
        <f t="shared" si="7"/>
        <v>0.58516448880422844</v>
      </c>
      <c r="O55" s="17">
        <f t="shared" si="7"/>
        <v>0.17367063463999999</v>
      </c>
      <c r="P55" s="118">
        <f t="shared" si="4"/>
        <v>1.6427378463111273</v>
      </c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</row>
    <row r="56" spans="1:44" ht="12" x14ac:dyDescent="0.2">
      <c r="A56" s="75"/>
      <c r="B56" s="109" t="s">
        <v>213</v>
      </c>
      <c r="C56" s="115" t="s">
        <v>120</v>
      </c>
      <c r="D56" s="116">
        <v>6.348471689563465</v>
      </c>
      <c r="E56" s="116">
        <v>1.5402495334177231</v>
      </c>
      <c r="F56" s="116">
        <v>4.442990386</v>
      </c>
      <c r="G56" s="75"/>
      <c r="H56" s="75"/>
      <c r="I56" s="117">
        <f t="shared" si="5"/>
        <v>10.791462075563466</v>
      </c>
      <c r="J56" s="117">
        <f t="shared" si="6"/>
        <v>12.331711608981188</v>
      </c>
      <c r="K56" s="75"/>
      <c r="L56" s="75"/>
      <c r="M56" s="17">
        <f t="shared" si="7"/>
        <v>3.9360524475293484</v>
      </c>
      <c r="N56" s="17">
        <f t="shared" si="7"/>
        <v>3.3010173192341168</v>
      </c>
      <c r="O56" s="17">
        <f t="shared" si="7"/>
        <v>3.5543923088000002</v>
      </c>
      <c r="P56" s="118">
        <f t="shared" si="4"/>
        <v>10.791462075563466</v>
      </c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</row>
    <row r="57" spans="1:44" ht="12" x14ac:dyDescent="0.2">
      <c r="A57" s="75"/>
      <c r="B57" s="109" t="s">
        <v>214</v>
      </c>
      <c r="C57" s="115" t="s">
        <v>119</v>
      </c>
      <c r="D57" s="116">
        <v>0.48872451716558729</v>
      </c>
      <c r="E57" s="116">
        <v>8.0301925533585783E-2</v>
      </c>
      <c r="F57" s="116">
        <v>2.1166368210000002</v>
      </c>
      <c r="G57" s="75"/>
      <c r="H57" s="75"/>
      <c r="I57" s="117">
        <f t="shared" si="5"/>
        <v>2.6053613381655873</v>
      </c>
      <c r="J57" s="117">
        <f t="shared" si="6"/>
        <v>2.6856632636991735</v>
      </c>
      <c r="K57" s="75"/>
      <c r="L57" s="75"/>
      <c r="M57" s="17">
        <f t="shared" si="7"/>
        <v>0.30300920064266412</v>
      </c>
      <c r="N57" s="17">
        <f t="shared" si="7"/>
        <v>0.60904268072292322</v>
      </c>
      <c r="O57" s="17">
        <f t="shared" si="7"/>
        <v>1.6933094568000002</v>
      </c>
      <c r="P57" s="118">
        <f t="shared" si="4"/>
        <v>2.6053613381655873</v>
      </c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</row>
    <row r="58" spans="1:44" ht="12" x14ac:dyDescent="0.2">
      <c r="A58" s="75"/>
      <c r="B58" s="109" t="s">
        <v>215</v>
      </c>
      <c r="C58" s="115" t="s">
        <v>118</v>
      </c>
      <c r="D58" s="116">
        <v>3.4237639443288899</v>
      </c>
      <c r="E58" s="116">
        <v>2.2838622660384957</v>
      </c>
      <c r="F58" s="116">
        <v>3.7683125980000001</v>
      </c>
      <c r="G58" s="75"/>
      <c r="H58" s="75"/>
      <c r="I58" s="117">
        <f t="shared" si="5"/>
        <v>7.1920765423288895</v>
      </c>
      <c r="J58" s="117">
        <f t="shared" si="6"/>
        <v>9.4759388083673848</v>
      </c>
      <c r="K58" s="75"/>
      <c r="L58" s="75"/>
      <c r="M58" s="17">
        <f t="shared" si="7"/>
        <v>2.1227336454839119</v>
      </c>
      <c r="N58" s="17">
        <f t="shared" si="7"/>
        <v>2.0546928184449782</v>
      </c>
      <c r="O58" s="17">
        <f t="shared" si="7"/>
        <v>3.0146500784000003</v>
      </c>
      <c r="P58" s="118">
        <f t="shared" si="4"/>
        <v>7.1920765423288913</v>
      </c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</row>
    <row r="59" spans="1:44" ht="12" x14ac:dyDescent="0.2">
      <c r="A59" s="75"/>
      <c r="B59" s="109" t="s">
        <v>216</v>
      </c>
      <c r="C59" s="115" t="s">
        <v>164</v>
      </c>
      <c r="D59" s="116">
        <v>1.3109019617148112</v>
      </c>
      <c r="E59" s="116">
        <v>0.43894886014059298</v>
      </c>
      <c r="F59" s="116">
        <v>1.3390890209999999</v>
      </c>
      <c r="G59" s="75"/>
      <c r="H59" s="75"/>
      <c r="I59" s="117">
        <f t="shared" si="5"/>
        <v>2.6499909827148111</v>
      </c>
      <c r="J59" s="117">
        <f t="shared" si="6"/>
        <v>3.088939842855404</v>
      </c>
      <c r="K59" s="75"/>
      <c r="L59" s="75"/>
      <c r="M59" s="17">
        <f t="shared" si="7"/>
        <v>0.81275921626318293</v>
      </c>
      <c r="N59" s="17">
        <f t="shared" si="7"/>
        <v>0.7659605496516283</v>
      </c>
      <c r="O59" s="17">
        <f t="shared" si="7"/>
        <v>1.0712712168</v>
      </c>
      <c r="P59" s="118">
        <f t="shared" si="4"/>
        <v>2.6499909827148111</v>
      </c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</row>
    <row r="60" spans="1:44" ht="12" x14ac:dyDescent="0.2">
      <c r="A60" s="75"/>
      <c r="B60" s="109" t="s">
        <v>217</v>
      </c>
      <c r="C60" s="115" t="s">
        <v>117</v>
      </c>
      <c r="D60" s="116">
        <v>3.9538456963955615</v>
      </c>
      <c r="E60" s="116">
        <v>1.0876721858961638</v>
      </c>
      <c r="F60" s="116">
        <v>0.8119926970000001</v>
      </c>
      <c r="G60" s="75"/>
      <c r="H60" s="75"/>
      <c r="I60" s="117">
        <f t="shared" si="5"/>
        <v>4.7658383933955619</v>
      </c>
      <c r="J60" s="117">
        <f t="shared" si="6"/>
        <v>5.8535105792917248</v>
      </c>
      <c r="K60" s="75"/>
      <c r="L60" s="75"/>
      <c r="M60" s="17">
        <f t="shared" si="7"/>
        <v>2.4513843317652482</v>
      </c>
      <c r="N60" s="17">
        <f t="shared" si="7"/>
        <v>1.6648599040303134</v>
      </c>
      <c r="O60" s="17">
        <f t="shared" si="7"/>
        <v>0.64959415760000017</v>
      </c>
      <c r="P60" s="118">
        <f t="shared" si="4"/>
        <v>4.7658383933955619</v>
      </c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</row>
    <row r="61" spans="1:44" ht="12" x14ac:dyDescent="0.2">
      <c r="A61" s="75"/>
      <c r="B61" s="109" t="s">
        <v>218</v>
      </c>
      <c r="C61" s="115" t="s">
        <v>116</v>
      </c>
      <c r="D61" s="116">
        <v>0.43664995416466934</v>
      </c>
      <c r="E61" s="116">
        <v>0.10509729291316861</v>
      </c>
      <c r="F61" s="116">
        <v>0.25865651470000001</v>
      </c>
      <c r="G61" s="75"/>
      <c r="H61" s="75"/>
      <c r="I61" s="117">
        <f t="shared" si="5"/>
        <v>0.69530646886466929</v>
      </c>
      <c r="J61" s="117">
        <f t="shared" si="6"/>
        <v>0.8004037617778379</v>
      </c>
      <c r="K61" s="75"/>
      <c r="L61" s="75"/>
      <c r="M61" s="17">
        <f t="shared" si="7"/>
        <v>0.27072297158209496</v>
      </c>
      <c r="N61" s="17">
        <f t="shared" si="7"/>
        <v>0.21765828552257435</v>
      </c>
      <c r="O61" s="17">
        <f t="shared" si="7"/>
        <v>0.20692521176000001</v>
      </c>
      <c r="P61" s="118">
        <f t="shared" si="4"/>
        <v>0.69530646886466929</v>
      </c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</row>
    <row r="62" spans="1:44" ht="12" x14ac:dyDescent="0.2">
      <c r="A62" s="75"/>
      <c r="B62" s="109" t="s">
        <v>219</v>
      </c>
      <c r="C62" s="115" t="s">
        <v>115</v>
      </c>
      <c r="D62" s="116">
        <v>0.89791387271013234</v>
      </c>
      <c r="E62" s="116">
        <v>0.34885410599169892</v>
      </c>
      <c r="F62" s="116">
        <v>0.677959647</v>
      </c>
      <c r="G62" s="75"/>
      <c r="H62" s="75"/>
      <c r="I62" s="117">
        <f t="shared" si="5"/>
        <v>1.5758735197101323</v>
      </c>
      <c r="J62" s="117">
        <f t="shared" si="6"/>
        <v>1.9247276257018313</v>
      </c>
      <c r="K62" s="75"/>
      <c r="L62" s="75"/>
      <c r="M62" s="17">
        <f t="shared" si="7"/>
        <v>0.55670660108028203</v>
      </c>
      <c r="N62" s="17">
        <f t="shared" si="7"/>
        <v>0.47679920102985029</v>
      </c>
      <c r="O62" s="17">
        <f t="shared" si="7"/>
        <v>0.54236771760000002</v>
      </c>
      <c r="P62" s="118">
        <f t="shared" si="4"/>
        <v>1.5758735197101323</v>
      </c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</row>
    <row r="63" spans="1:44" ht="12" x14ac:dyDescent="0.2">
      <c r="A63" s="75"/>
      <c r="B63" s="109" t="s">
        <v>220</v>
      </c>
      <c r="C63" s="115" t="s">
        <v>114</v>
      </c>
      <c r="D63" s="116">
        <v>6.7878651818680078</v>
      </c>
      <c r="E63" s="116">
        <v>9.8088430045847979</v>
      </c>
      <c r="F63" s="116">
        <v>2.6007329689714997</v>
      </c>
      <c r="G63" s="75"/>
      <c r="H63" s="75"/>
      <c r="I63" s="117">
        <f t="shared" si="5"/>
        <v>9.388598150839508</v>
      </c>
      <c r="J63" s="117">
        <f t="shared" si="6"/>
        <v>19.197441155424304</v>
      </c>
      <c r="K63" s="75"/>
      <c r="L63" s="75"/>
      <c r="M63" s="17">
        <f t="shared" si="7"/>
        <v>4.2084764127581646</v>
      </c>
      <c r="N63" s="17">
        <f t="shared" si="7"/>
        <v>3.0995353629041431</v>
      </c>
      <c r="O63" s="17">
        <f t="shared" si="7"/>
        <v>2.0805863751771998</v>
      </c>
      <c r="P63" s="118">
        <f>SUM(M63:O63)</f>
        <v>9.388598150839508</v>
      </c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</row>
    <row r="64" spans="1:44" ht="12" x14ac:dyDescent="0.2">
      <c r="A64" s="75"/>
      <c r="B64" s="109"/>
      <c r="C64" s="109"/>
      <c r="D64" s="119">
        <v>81.986315193911622</v>
      </c>
      <c r="E64" s="119">
        <v>46.810251859109002</v>
      </c>
      <c r="F64" s="119">
        <v>56.058392757650083</v>
      </c>
      <c r="G64" s="75"/>
      <c r="H64" s="75"/>
      <c r="I64" s="117">
        <f>SUM(I27:I63)</f>
        <v>138.04470795156172</v>
      </c>
      <c r="J64" s="117">
        <f>SUM(J27:J63)</f>
        <v>184.85495981067069</v>
      </c>
      <c r="K64" s="75"/>
      <c r="L64" s="75"/>
      <c r="M64" s="117">
        <f t="shared" ref="M64:O64" si="8">SUM(M27:M63)</f>
        <v>50.831515420225209</v>
      </c>
      <c r="N64" s="117">
        <f t="shared" si="8"/>
        <v>42.366478325216441</v>
      </c>
      <c r="O64" s="117">
        <f t="shared" si="8"/>
        <v>44.846714206120069</v>
      </c>
      <c r="P64" s="118">
        <f>SUM(M64:O64)</f>
        <v>138.04470795156172</v>
      </c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</row>
    <row r="65" spans="1:44" ht="12" x14ac:dyDescent="0.2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</row>
    <row r="66" spans="1:44" ht="12" x14ac:dyDescent="0.2">
      <c r="A66" s="75"/>
      <c r="B66" s="109" t="s">
        <v>221</v>
      </c>
      <c r="C66" s="37">
        <v>1</v>
      </c>
      <c r="D66" s="120">
        <v>0.62</v>
      </c>
      <c r="E66" s="116">
        <v>0</v>
      </c>
      <c r="F66" s="116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</row>
    <row r="67" spans="1:44" ht="12" x14ac:dyDescent="0.2">
      <c r="A67" s="75"/>
      <c r="B67" s="17"/>
      <c r="C67" s="37">
        <v>2</v>
      </c>
      <c r="D67" s="121">
        <f>1-D66</f>
        <v>0.38</v>
      </c>
      <c r="E67" s="116">
        <v>0</v>
      </c>
      <c r="F67" s="120">
        <v>0.2</v>
      </c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</row>
    <row r="68" spans="1:44" ht="12" x14ac:dyDescent="0.2">
      <c r="A68" s="75"/>
      <c r="B68" s="17"/>
      <c r="C68" s="37">
        <v>3</v>
      </c>
      <c r="D68" s="17"/>
      <c r="E68" s="116">
        <v>0</v>
      </c>
      <c r="F68" s="120">
        <f>1-F67</f>
        <v>0.8</v>
      </c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</row>
    <row r="69" spans="1:44" ht="12" x14ac:dyDescent="0.2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</row>
    <row r="70" spans="1:44" ht="12" x14ac:dyDescent="0.2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</row>
    <row r="71" spans="1:44" ht="12" x14ac:dyDescent="0.2">
      <c r="A71" s="75"/>
      <c r="B71" s="207" t="s">
        <v>284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</row>
    <row r="72" spans="1:44" ht="12" x14ac:dyDescent="0.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</row>
    <row r="73" spans="1:44" ht="12" x14ac:dyDescent="0.2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</row>
    <row r="74" spans="1:44" ht="12" x14ac:dyDescent="0.2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</row>
    <row r="75" spans="1:44" ht="12" x14ac:dyDescent="0.2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</row>
    <row r="76" spans="1:44" ht="12" x14ac:dyDescent="0.2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</row>
    <row r="77" spans="1:44" ht="12" x14ac:dyDescent="0.2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</row>
    <row r="78" spans="1:44" ht="12" x14ac:dyDescent="0.2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</row>
    <row r="79" spans="1:44" ht="12" x14ac:dyDescent="0.2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</row>
    <row r="80" spans="1:44" ht="12" x14ac:dyDescent="0.2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</row>
    <row r="81" spans="1:44" ht="12" x14ac:dyDescent="0.2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</row>
    <row r="82" spans="1:44" ht="12" x14ac:dyDescent="0.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</row>
    <row r="83" spans="1:44" ht="12" x14ac:dyDescent="0.2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</row>
    <row r="84" spans="1:44" ht="12" x14ac:dyDescent="0.2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</row>
    <row r="85" spans="1:44" ht="12" x14ac:dyDescent="0.2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</row>
    <row r="86" spans="1:44" ht="12" x14ac:dyDescent="0.2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</row>
    <row r="87" spans="1:44" ht="12" x14ac:dyDescent="0.2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</row>
    <row r="88" spans="1:44" ht="12" x14ac:dyDescent="0.2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</row>
    <row r="89" spans="1:44" ht="12" x14ac:dyDescent="0.2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</row>
    <row r="90" spans="1:44" ht="12" x14ac:dyDescent="0.2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</row>
    <row r="91" spans="1:44" ht="12" x14ac:dyDescent="0.2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</row>
    <row r="92" spans="1:44" ht="12" x14ac:dyDescent="0.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</row>
    <row r="93" spans="1:44" ht="12" x14ac:dyDescent="0.2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</row>
    <row r="94" spans="1:44" ht="12" x14ac:dyDescent="0.2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</row>
    <row r="95" spans="1:44" ht="12" x14ac:dyDescent="0.2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</row>
    <row r="96" spans="1:44" ht="12" x14ac:dyDescent="0.2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</row>
    <row r="97" spans="1:44" ht="12" x14ac:dyDescent="0.2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</row>
    <row r="98" spans="1:44" ht="12" x14ac:dyDescent="0.2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</row>
    <row r="99" spans="1:44" ht="12" x14ac:dyDescent="0.2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</row>
    <row r="100" spans="1:44" ht="12" x14ac:dyDescent="0.2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</row>
    <row r="101" spans="1:44" ht="12" x14ac:dyDescent="0.2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</row>
    <row r="102" spans="1:44" ht="12" x14ac:dyDescent="0.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</row>
    <row r="103" spans="1:44" ht="12" x14ac:dyDescent="0.2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</row>
    <row r="104" spans="1:44" ht="12" x14ac:dyDescent="0.2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</row>
    <row r="105" spans="1:44" ht="12" x14ac:dyDescent="0.2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11"/>
  <sheetViews>
    <sheetView workbookViewId="0">
      <selection activeCell="E40" sqref="E40"/>
    </sheetView>
  </sheetViews>
  <sheetFormatPr defaultColWidth="8.85546875" defaultRowHeight="12.75" x14ac:dyDescent="0.2"/>
  <cols>
    <col min="1" max="1" width="8.85546875" style="71"/>
    <col min="2" max="2" width="12" style="71" customWidth="1"/>
    <col min="3" max="3" width="12.28515625" style="71" customWidth="1"/>
    <col min="4" max="4" width="8.85546875" style="71"/>
    <col min="5" max="5" width="10.28515625" style="71" customWidth="1"/>
    <col min="6" max="6" width="9.28515625" style="71" customWidth="1"/>
    <col min="7" max="7" width="8.85546875" style="71"/>
    <col min="8" max="8" width="10.7109375" style="71" customWidth="1"/>
    <col min="9" max="9" width="18.28515625" style="71" customWidth="1"/>
    <col min="10" max="16384" width="8.85546875" style="71"/>
  </cols>
  <sheetData>
    <row r="1" spans="2:8" s="80" customFormat="1" ht="15" x14ac:dyDescent="0.25">
      <c r="B1" s="80" t="s">
        <v>238</v>
      </c>
      <c r="E1" s="101" t="s">
        <v>239</v>
      </c>
    </row>
    <row r="2" spans="2:8" s="102" customFormat="1" ht="15" x14ac:dyDescent="0.25">
      <c r="E2" s="103"/>
    </row>
    <row r="3" spans="2:8" x14ac:dyDescent="0.2">
      <c r="B3" s="76" t="s">
        <v>69</v>
      </c>
      <c r="C3" s="77"/>
      <c r="D3" s="78"/>
      <c r="E3" s="78"/>
      <c r="F3" s="78"/>
      <c r="G3" s="78"/>
      <c r="H3" s="78"/>
    </row>
    <row r="4" spans="2:8" ht="13.5" thickBot="1" x14ac:dyDescent="0.25">
      <c r="B4" s="89" t="s">
        <v>141</v>
      </c>
      <c r="C4" s="89" t="s">
        <v>5</v>
      </c>
      <c r="D4" s="89" t="s">
        <v>67</v>
      </c>
      <c r="E4" s="89" t="s">
        <v>64</v>
      </c>
      <c r="F4" s="89" t="s">
        <v>63</v>
      </c>
      <c r="G4" s="105" t="s">
        <v>4</v>
      </c>
      <c r="H4" s="105" t="s">
        <v>65</v>
      </c>
    </row>
    <row r="5" spans="2:8" x14ac:dyDescent="0.2">
      <c r="B5" s="86"/>
      <c r="C5" s="86" t="s">
        <v>234</v>
      </c>
      <c r="D5" s="90"/>
      <c r="E5" s="86" t="s">
        <v>145</v>
      </c>
      <c r="F5" s="86"/>
      <c r="G5" s="90"/>
      <c r="H5" s="82">
        <v>0</v>
      </c>
    </row>
    <row r="6" spans="2:8" x14ac:dyDescent="0.2">
      <c r="B6" s="86"/>
      <c r="C6" s="86" t="s">
        <v>157</v>
      </c>
      <c r="D6" s="90"/>
      <c r="E6" s="86" t="s">
        <v>233</v>
      </c>
      <c r="F6" s="86" t="s">
        <v>55</v>
      </c>
      <c r="G6" s="90">
        <v>2025</v>
      </c>
      <c r="H6" s="104">
        <v>4.4925537675360339E-2</v>
      </c>
    </row>
    <row r="7" spans="2:8" x14ac:dyDescent="0.2">
      <c r="B7" s="86"/>
      <c r="C7" s="86" t="s">
        <v>156</v>
      </c>
      <c r="D7" s="90"/>
      <c r="E7" s="86" t="s">
        <v>233</v>
      </c>
      <c r="F7" s="86" t="s">
        <v>55</v>
      </c>
      <c r="G7" s="90">
        <v>2025</v>
      </c>
      <c r="H7" s="104">
        <v>6.6759898492034564E-2</v>
      </c>
    </row>
    <row r="8" spans="2:8" x14ac:dyDescent="0.2">
      <c r="B8" s="86"/>
      <c r="C8" s="86" t="s">
        <v>155</v>
      </c>
      <c r="D8" s="90"/>
      <c r="E8" s="86" t="s">
        <v>233</v>
      </c>
      <c r="F8" s="86" t="s">
        <v>55</v>
      </c>
      <c r="G8" s="90">
        <v>2025</v>
      </c>
      <c r="H8" s="104">
        <v>9.9700775817021414E-2</v>
      </c>
    </row>
    <row r="9" spans="2:8" x14ac:dyDescent="0.2">
      <c r="B9" s="86"/>
      <c r="C9" s="86" t="s">
        <v>154</v>
      </c>
      <c r="D9" s="90"/>
      <c r="E9" s="86" t="s">
        <v>233</v>
      </c>
      <c r="F9" s="86" t="s">
        <v>55</v>
      </c>
      <c r="G9" s="90">
        <v>2025</v>
      </c>
      <c r="H9" s="104">
        <v>0.15</v>
      </c>
    </row>
    <row r="10" spans="2:8" x14ac:dyDescent="0.2">
      <c r="B10" s="86"/>
      <c r="C10" s="86" t="s">
        <v>39</v>
      </c>
      <c r="D10" s="90"/>
      <c r="E10" s="86" t="s">
        <v>60</v>
      </c>
      <c r="F10" s="86" t="s">
        <v>55</v>
      </c>
      <c r="G10" s="90">
        <v>2020</v>
      </c>
      <c r="H10" s="104">
        <v>1E-3</v>
      </c>
    </row>
    <row r="11" spans="2:8" x14ac:dyDescent="0.2">
      <c r="B11" s="86"/>
      <c r="C11" s="86" t="s">
        <v>234</v>
      </c>
      <c r="D11" s="90"/>
      <c r="E11" s="86" t="s">
        <v>23</v>
      </c>
      <c r="F11" s="86"/>
      <c r="G11" s="90">
        <v>2025</v>
      </c>
      <c r="H11" s="104"/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R31"/>
  <sheetViews>
    <sheetView workbookViewId="0">
      <selection activeCell="D34" sqref="D34"/>
    </sheetView>
  </sheetViews>
  <sheetFormatPr defaultColWidth="8.85546875" defaultRowHeight="12" x14ac:dyDescent="0.2"/>
  <cols>
    <col min="1" max="2" width="8.85546875" style="75"/>
    <col min="3" max="3" width="8.7109375" style="75" customWidth="1"/>
    <col min="4" max="4" width="8.85546875" style="75" customWidth="1"/>
    <col min="5" max="5" width="10.140625" style="75" customWidth="1"/>
    <col min="6" max="7" width="8.85546875" style="75"/>
    <col min="8" max="8" width="9.5703125" style="75" customWidth="1"/>
    <col min="9" max="16384" width="8.85546875" style="75"/>
  </cols>
  <sheetData>
    <row r="1" spans="2:44" s="80" customFormat="1" ht="15" x14ac:dyDescent="0.25">
      <c r="B1" s="80" t="s">
        <v>223</v>
      </c>
      <c r="E1" s="101" t="s">
        <v>237</v>
      </c>
    </row>
    <row r="3" spans="2:44" x14ac:dyDescent="0.2">
      <c r="B3" s="76" t="s">
        <v>69</v>
      </c>
      <c r="C3" s="77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</row>
    <row r="4" spans="2:44" ht="12.75" thickBot="1" x14ac:dyDescent="0.25">
      <c r="B4" s="89" t="s">
        <v>141</v>
      </c>
      <c r="C4" s="89" t="s">
        <v>5</v>
      </c>
      <c r="D4" s="89" t="s">
        <v>67</v>
      </c>
      <c r="E4" s="89" t="s">
        <v>64</v>
      </c>
      <c r="F4" s="89" t="s">
        <v>4</v>
      </c>
      <c r="G4" s="89" t="s">
        <v>63</v>
      </c>
      <c r="H4" s="89" t="s">
        <v>65</v>
      </c>
      <c r="I4" s="81" t="s">
        <v>135</v>
      </c>
      <c r="J4" s="81" t="s">
        <v>132</v>
      </c>
      <c r="K4" s="81" t="s">
        <v>130</v>
      </c>
      <c r="L4" s="81" t="s">
        <v>126</v>
      </c>
      <c r="M4" s="81" t="s">
        <v>120</v>
      </c>
      <c r="N4" s="81" t="s">
        <v>140</v>
      </c>
      <c r="O4" s="81" t="s">
        <v>119</v>
      </c>
      <c r="P4" s="81" t="s">
        <v>136</v>
      </c>
      <c r="Q4" s="81" t="s">
        <v>128</v>
      </c>
      <c r="R4" s="81" t="s">
        <v>115</v>
      </c>
      <c r="S4" s="81" t="s">
        <v>114</v>
      </c>
      <c r="T4" s="81" t="s">
        <v>131</v>
      </c>
      <c r="U4" s="81" t="s">
        <v>117</v>
      </c>
      <c r="V4" s="81" t="s">
        <v>153</v>
      </c>
      <c r="AM4" s="78"/>
      <c r="AN4" s="78"/>
      <c r="AO4" s="78"/>
      <c r="AP4" s="78"/>
      <c r="AQ4" s="78"/>
      <c r="AR4" s="78"/>
    </row>
    <row r="5" spans="2:44" x14ac:dyDescent="0.2">
      <c r="B5" s="86" t="s">
        <v>27</v>
      </c>
      <c r="C5" s="86" t="s">
        <v>228</v>
      </c>
      <c r="D5" s="90" t="s">
        <v>28</v>
      </c>
      <c r="E5" s="86" t="s">
        <v>29</v>
      </c>
      <c r="F5" s="86">
        <v>2020</v>
      </c>
      <c r="G5" s="86"/>
      <c r="H5" s="82">
        <v>0</v>
      </c>
      <c r="I5" s="82">
        <f>H5</f>
        <v>0</v>
      </c>
      <c r="J5" s="82">
        <f t="shared" ref="J5:U5" si="0">I5</f>
        <v>0</v>
      </c>
      <c r="K5" s="82">
        <f t="shared" si="0"/>
        <v>0</v>
      </c>
      <c r="L5" s="82">
        <f t="shared" si="0"/>
        <v>0</v>
      </c>
      <c r="M5" s="82">
        <f t="shared" si="0"/>
        <v>0</v>
      </c>
      <c r="N5" s="82">
        <f t="shared" si="0"/>
        <v>0</v>
      </c>
      <c r="O5" s="82">
        <f t="shared" si="0"/>
        <v>0</v>
      </c>
      <c r="P5" s="82">
        <f t="shared" si="0"/>
        <v>0</v>
      </c>
      <c r="Q5" s="82">
        <f t="shared" si="0"/>
        <v>0</v>
      </c>
      <c r="R5" s="82">
        <f t="shared" si="0"/>
        <v>0</v>
      </c>
      <c r="S5" s="82">
        <f t="shared" si="0"/>
        <v>0</v>
      </c>
      <c r="T5" s="82">
        <f t="shared" si="0"/>
        <v>0</v>
      </c>
      <c r="U5" s="82">
        <f t="shared" si="0"/>
        <v>0</v>
      </c>
      <c r="V5" s="83">
        <f>SUM(H5:U5)</f>
        <v>0</v>
      </c>
      <c r="AM5" s="78"/>
      <c r="AN5" s="78"/>
      <c r="AO5" s="78"/>
      <c r="AP5" s="78"/>
      <c r="AQ5" s="78"/>
      <c r="AR5" s="78"/>
    </row>
    <row r="6" spans="2:44" x14ac:dyDescent="0.2">
      <c r="B6" s="86" t="s">
        <v>27</v>
      </c>
      <c r="C6" s="86" t="s">
        <v>228</v>
      </c>
      <c r="D6" s="90" t="s">
        <v>28</v>
      </c>
      <c r="E6" s="86" t="s">
        <v>29</v>
      </c>
      <c r="F6" s="86">
        <v>2060</v>
      </c>
      <c r="G6" s="86"/>
      <c r="H6" s="82">
        <v>0</v>
      </c>
      <c r="I6" s="82">
        <f>H6</f>
        <v>0</v>
      </c>
      <c r="J6" s="82">
        <f t="shared" ref="J6:U6" si="1">I6</f>
        <v>0</v>
      </c>
      <c r="K6" s="82">
        <f t="shared" si="1"/>
        <v>0</v>
      </c>
      <c r="L6" s="82">
        <f t="shared" si="1"/>
        <v>0</v>
      </c>
      <c r="M6" s="82">
        <f t="shared" si="1"/>
        <v>0</v>
      </c>
      <c r="N6" s="82">
        <f t="shared" si="1"/>
        <v>0</v>
      </c>
      <c r="O6" s="82">
        <f t="shared" si="1"/>
        <v>0</v>
      </c>
      <c r="P6" s="82">
        <f t="shared" si="1"/>
        <v>0</v>
      </c>
      <c r="Q6" s="82">
        <f t="shared" si="1"/>
        <v>0</v>
      </c>
      <c r="R6" s="82">
        <f t="shared" si="1"/>
        <v>0</v>
      </c>
      <c r="S6" s="82">
        <f t="shared" si="1"/>
        <v>0</v>
      </c>
      <c r="T6" s="82">
        <f t="shared" si="1"/>
        <v>0</v>
      </c>
      <c r="U6" s="82">
        <f t="shared" si="1"/>
        <v>0</v>
      </c>
      <c r="V6" s="83">
        <f>SUM(H6:U6)</f>
        <v>0</v>
      </c>
      <c r="Y6" s="79">
        <v>1</v>
      </c>
      <c r="AM6" s="78"/>
      <c r="AN6" s="78"/>
      <c r="AO6" s="78"/>
      <c r="AP6" s="78"/>
      <c r="AQ6" s="78"/>
      <c r="AR6" s="78"/>
    </row>
    <row r="7" spans="2:44" x14ac:dyDescent="0.2">
      <c r="B7" s="86" t="str">
        <f>B6</f>
        <v>ANNUAL</v>
      </c>
      <c r="C7" s="86" t="str">
        <f t="shared" ref="C7:E7" si="2">C6</f>
        <v>SINKEW*</v>
      </c>
      <c r="D7" s="90" t="str">
        <f t="shared" si="2"/>
        <v>UP</v>
      </c>
      <c r="E7" s="86" t="str">
        <f t="shared" si="2"/>
        <v>ACT_BND</v>
      </c>
      <c r="F7" s="86">
        <v>0</v>
      </c>
      <c r="G7" s="86"/>
      <c r="H7" s="82">
        <v>5</v>
      </c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3"/>
      <c r="Y7" s="79"/>
      <c r="AM7" s="78"/>
      <c r="AN7" s="78"/>
      <c r="AO7" s="78"/>
      <c r="AP7" s="78"/>
      <c r="AQ7" s="78"/>
      <c r="AR7" s="78"/>
    </row>
    <row r="8" spans="2:44" x14ac:dyDescent="0.2">
      <c r="B8" s="86"/>
      <c r="C8" s="86" t="s">
        <v>229</v>
      </c>
      <c r="D8" s="90"/>
      <c r="E8" s="86" t="s">
        <v>60</v>
      </c>
      <c r="F8" s="86">
        <v>2020</v>
      </c>
      <c r="G8" s="90" t="s">
        <v>106</v>
      </c>
      <c r="H8" s="84">
        <f ca="1">AVERAGE(I8:S8)</f>
        <v>0.15964615443501898</v>
      </c>
      <c r="I8" s="84">
        <f t="shared" ref="I8:M11" ca="1" si="3">SUMIF($B$18:$B$24,I$4,OFFSET($H$18:$H$24,0,RIGHT($C8,1)*1))/1000</f>
        <v>0.15048148188209318</v>
      </c>
      <c r="J8" s="84">
        <f t="shared" ca="1" si="3"/>
        <v>0.17214036616405406</v>
      </c>
      <c r="K8" s="84">
        <f t="shared" ca="1" si="3"/>
        <v>0.14326559553483043</v>
      </c>
      <c r="L8" s="84">
        <f t="shared" ca="1" si="3"/>
        <v>0.1663638155159147</v>
      </c>
      <c r="M8" s="84">
        <f t="shared" ca="1" si="3"/>
        <v>0.1602469183284338</v>
      </c>
      <c r="N8" s="84">
        <f t="shared" ref="N8:S11" ca="1" si="4">SUMIF($B$18:$B$28,N$4,OFFSET($H$18:$H$28,0,RIGHT($C8,1)*1))/1000</f>
        <v>0.1602469183284338</v>
      </c>
      <c r="O8" s="84">
        <f t="shared" ca="1" si="4"/>
        <v>0.17214036616405406</v>
      </c>
      <c r="P8" s="84">
        <f t="shared" ca="1" si="4"/>
        <v>0.1602469183284338</v>
      </c>
      <c r="Q8" s="84">
        <f t="shared" ca="1" si="4"/>
        <v>0.1602469183284338</v>
      </c>
      <c r="R8" s="84">
        <f t="shared" ca="1" si="4"/>
        <v>0.1602469183284338</v>
      </c>
      <c r="S8" s="84">
        <f t="shared" ca="1" si="4"/>
        <v>0.15048148188209318</v>
      </c>
      <c r="T8" s="84"/>
      <c r="U8" s="84"/>
      <c r="V8" s="85"/>
    </row>
    <row r="9" spans="2:44" x14ac:dyDescent="0.2">
      <c r="B9" s="86"/>
      <c r="C9" s="86" t="s">
        <v>230</v>
      </c>
      <c r="D9" s="90"/>
      <c r="E9" s="86" t="s">
        <v>60</v>
      </c>
      <c r="F9" s="86">
        <v>2020</v>
      </c>
      <c r="G9" s="90" t="s">
        <v>106</v>
      </c>
      <c r="H9" s="84">
        <f t="shared" ref="H9:H11" ca="1" si="5">AVERAGE(I9:S9)</f>
        <v>0.17056498891006827</v>
      </c>
      <c r="I9" s="84">
        <f t="shared" ca="1" si="3"/>
        <v>0.16671484338142942</v>
      </c>
      <c r="J9" s="84">
        <f t="shared" ca="1" si="3"/>
        <v>0.18133090167078275</v>
      </c>
      <c r="K9" s="84">
        <f t="shared" ca="1" si="3"/>
        <v>0.1555396391175542</v>
      </c>
      <c r="L9" s="84">
        <f t="shared" ca="1" si="3"/>
        <v>0.18122705304676912</v>
      </c>
      <c r="M9" s="84">
        <f t="shared" ca="1" si="3"/>
        <v>0.16867133914840063</v>
      </c>
      <c r="N9" s="84">
        <f t="shared" ca="1" si="4"/>
        <v>0.16867133914840063</v>
      </c>
      <c r="O9" s="84">
        <f t="shared" ca="1" si="4"/>
        <v>0.18133090167078275</v>
      </c>
      <c r="P9" s="84">
        <f t="shared" ca="1" si="4"/>
        <v>0.16867133914840063</v>
      </c>
      <c r="Q9" s="84">
        <f t="shared" ca="1" si="4"/>
        <v>0.16867133914840063</v>
      </c>
      <c r="R9" s="84">
        <f t="shared" ca="1" si="4"/>
        <v>0.16867133914840063</v>
      </c>
      <c r="S9" s="84">
        <f t="shared" ca="1" si="4"/>
        <v>0.16671484338142942</v>
      </c>
      <c r="T9" s="84"/>
      <c r="U9" s="84"/>
      <c r="V9" s="85"/>
    </row>
    <row r="10" spans="2:44" x14ac:dyDescent="0.2">
      <c r="B10" s="86"/>
      <c r="C10" s="86" t="s">
        <v>231</v>
      </c>
      <c r="D10" s="90"/>
      <c r="E10" s="86" t="s">
        <v>60</v>
      </c>
      <c r="F10" s="86">
        <v>2020</v>
      </c>
      <c r="G10" s="90" t="s">
        <v>106</v>
      </c>
      <c r="H10" s="84">
        <f t="shared" ca="1" si="5"/>
        <v>0.17921800478511488</v>
      </c>
      <c r="I10" s="84">
        <f t="shared" ca="1" si="3"/>
        <v>0.17651076051390902</v>
      </c>
      <c r="J10" s="84">
        <f t="shared" ca="1" si="3"/>
        <v>0.18941687156594786</v>
      </c>
      <c r="K10" s="84">
        <f t="shared" ca="1" si="3"/>
        <v>0.1610088671433515</v>
      </c>
      <c r="L10" s="84">
        <f t="shared" ca="1" si="3"/>
        <v>0.19021181908008436</v>
      </c>
      <c r="M10" s="84">
        <f t="shared" ca="1" si="3"/>
        <v>0.17766442045062278</v>
      </c>
      <c r="N10" s="84">
        <f t="shared" ca="1" si="4"/>
        <v>0.17766442045062278</v>
      </c>
      <c r="O10" s="84">
        <f t="shared" ca="1" si="4"/>
        <v>0.18941687156594786</v>
      </c>
      <c r="P10" s="84">
        <f t="shared" ca="1" si="4"/>
        <v>0.17766442045062278</v>
      </c>
      <c r="Q10" s="84">
        <f t="shared" ca="1" si="4"/>
        <v>0.17766442045062278</v>
      </c>
      <c r="R10" s="84">
        <f t="shared" ca="1" si="4"/>
        <v>0.17766442045062278</v>
      </c>
      <c r="S10" s="84">
        <f t="shared" ca="1" si="4"/>
        <v>0.17651076051390902</v>
      </c>
      <c r="T10" s="84"/>
      <c r="U10" s="84"/>
      <c r="V10" s="85"/>
    </row>
    <row r="11" spans="2:44" x14ac:dyDescent="0.2">
      <c r="B11" s="86"/>
      <c r="C11" s="86" t="s">
        <v>232</v>
      </c>
      <c r="D11" s="90"/>
      <c r="E11" s="86" t="s">
        <v>60</v>
      </c>
      <c r="F11" s="86">
        <v>2020</v>
      </c>
      <c r="G11" s="90" t="s">
        <v>106</v>
      </c>
      <c r="H11" s="84">
        <f t="shared" ca="1" si="5"/>
        <v>0.18785697786963818</v>
      </c>
      <c r="I11" s="84">
        <f t="shared" ca="1" si="3"/>
        <v>0.18396003145372541</v>
      </c>
      <c r="J11" s="84">
        <f t="shared" ca="1" si="3"/>
        <v>0.19719336795096798</v>
      </c>
      <c r="K11" s="84">
        <f t="shared" ca="1" si="3"/>
        <v>0.16369830234218549</v>
      </c>
      <c r="L11" s="84">
        <f t="shared" ca="1" si="3"/>
        <v>0.19638559793718977</v>
      </c>
      <c r="M11" s="84">
        <f t="shared" ca="1" si="3"/>
        <v>0.18880721149545163</v>
      </c>
      <c r="N11" s="84">
        <f t="shared" ca="1" si="4"/>
        <v>0.18880721149545163</v>
      </c>
      <c r="O11" s="84">
        <f t="shared" ca="1" si="4"/>
        <v>0.19719336795096798</v>
      </c>
      <c r="P11" s="84">
        <f t="shared" ca="1" si="4"/>
        <v>0.18880721149545163</v>
      </c>
      <c r="Q11" s="84">
        <f t="shared" ca="1" si="4"/>
        <v>0.18880721149545163</v>
      </c>
      <c r="R11" s="84">
        <f t="shared" ca="1" si="4"/>
        <v>0.18880721149545163</v>
      </c>
      <c r="S11" s="84">
        <f t="shared" ca="1" si="4"/>
        <v>0.18396003145372541</v>
      </c>
      <c r="T11" s="84"/>
      <c r="U11" s="84"/>
      <c r="V11" s="85"/>
    </row>
    <row r="15" spans="2:44" x14ac:dyDescent="0.2">
      <c r="B15" s="100" t="s">
        <v>235</v>
      </c>
      <c r="C15" s="87"/>
      <c r="D15" s="87"/>
      <c r="E15" s="91" t="s">
        <v>236</v>
      </c>
      <c r="F15" s="87"/>
      <c r="G15" s="87"/>
      <c r="H15" s="87"/>
      <c r="I15" s="87"/>
      <c r="J15" s="87"/>
      <c r="K15" s="87"/>
      <c r="L15" s="87"/>
    </row>
    <row r="16" spans="2:44" x14ac:dyDescent="0.2">
      <c r="B16" s="87"/>
      <c r="C16" s="92"/>
      <c r="D16" s="93" t="s">
        <v>224</v>
      </c>
      <c r="E16" s="92"/>
      <c r="F16" s="92"/>
      <c r="G16" s="92"/>
      <c r="H16" s="92"/>
      <c r="I16" s="94" t="s">
        <v>106</v>
      </c>
      <c r="J16" s="92"/>
      <c r="K16" s="92"/>
      <c r="L16" s="92"/>
    </row>
    <row r="17" spans="2:12" x14ac:dyDescent="0.2">
      <c r="B17" s="87"/>
      <c r="C17" s="92"/>
      <c r="D17" s="95">
        <v>1</v>
      </c>
      <c r="E17" s="95">
        <v>2</v>
      </c>
      <c r="F17" s="95">
        <v>3</v>
      </c>
      <c r="G17" s="95">
        <v>4</v>
      </c>
      <c r="H17" s="92"/>
      <c r="I17" s="95">
        <v>1</v>
      </c>
      <c r="J17" s="95">
        <v>2</v>
      </c>
      <c r="K17" s="95">
        <v>3</v>
      </c>
      <c r="L17" s="95">
        <v>4</v>
      </c>
    </row>
    <row r="18" spans="2:12" x14ac:dyDescent="0.2">
      <c r="B18" s="88" t="s">
        <v>130</v>
      </c>
      <c r="C18" s="92" t="s">
        <v>198</v>
      </c>
      <c r="D18" s="96">
        <v>14.544448896561542</v>
      </c>
      <c r="E18" s="96">
        <v>14.290078188962225</v>
      </c>
      <c r="F18" s="96">
        <v>13.344380800483043</v>
      </c>
      <c r="G18" s="96">
        <v>12.679058234724117</v>
      </c>
      <c r="H18" s="96">
        <v>54.857966120730929</v>
      </c>
      <c r="I18" s="96">
        <v>143.26559553483042</v>
      </c>
      <c r="J18" s="96">
        <v>155.5396391175542</v>
      </c>
      <c r="K18" s="96">
        <v>161.00886714335149</v>
      </c>
      <c r="L18" s="96">
        <v>163.69830234218549</v>
      </c>
    </row>
    <row r="19" spans="2:12" x14ac:dyDescent="0.2">
      <c r="B19" s="88" t="s">
        <v>135</v>
      </c>
      <c r="C19" s="92" t="s">
        <v>192</v>
      </c>
      <c r="D19" s="96">
        <v>10.307035140065754</v>
      </c>
      <c r="E19" s="96">
        <v>11.801419417452021</v>
      </c>
      <c r="F19" s="96">
        <v>10.19428001081334</v>
      </c>
      <c r="G19" s="96">
        <v>8.6242147076177389</v>
      </c>
      <c r="H19" s="96">
        <v>40.926949275948857</v>
      </c>
      <c r="I19" s="96">
        <v>150.48148188209316</v>
      </c>
      <c r="J19" s="96">
        <v>166.7148433814294</v>
      </c>
      <c r="K19" s="96">
        <v>176.51076051390902</v>
      </c>
      <c r="L19" s="96">
        <v>183.96003145372541</v>
      </c>
    </row>
    <row r="20" spans="2:12" x14ac:dyDescent="0.2">
      <c r="B20" s="88" t="s">
        <v>126</v>
      </c>
      <c r="C20" s="92" t="s">
        <v>203</v>
      </c>
      <c r="D20" s="96">
        <v>5.6940091318660446</v>
      </c>
      <c r="E20" s="96">
        <v>7.2516955582646245</v>
      </c>
      <c r="F20" s="96">
        <v>6.1099448816462987</v>
      </c>
      <c r="G20" s="96">
        <v>4.8133042025280117</v>
      </c>
      <c r="H20" s="96">
        <v>23.86895377430498</v>
      </c>
      <c r="I20" s="96">
        <v>166.36381551591469</v>
      </c>
      <c r="J20" s="96">
        <v>181.22705304676913</v>
      </c>
      <c r="K20" s="96">
        <v>190.21181908008435</v>
      </c>
      <c r="L20" s="96">
        <v>196.38559793718977</v>
      </c>
    </row>
    <row r="21" spans="2:12" x14ac:dyDescent="0.2">
      <c r="B21" s="88" t="s">
        <v>132</v>
      </c>
      <c r="C21" s="92" t="s">
        <v>196</v>
      </c>
      <c r="D21" s="96">
        <v>9.9382032393539461</v>
      </c>
      <c r="E21" s="96">
        <v>5.8792471366049295</v>
      </c>
      <c r="F21" s="96">
        <v>6.6971387383269878</v>
      </c>
      <c r="G21" s="96">
        <v>6.1565257941927074</v>
      </c>
      <c r="H21" s="96">
        <v>28.671114908478568</v>
      </c>
      <c r="I21" s="96">
        <v>172.14036616405406</v>
      </c>
      <c r="J21" s="96">
        <v>181.33090167078277</v>
      </c>
      <c r="K21" s="96">
        <v>189.41687156594787</v>
      </c>
      <c r="L21" s="96">
        <v>197.19336795096797</v>
      </c>
    </row>
    <row r="22" spans="2:12" x14ac:dyDescent="0.2">
      <c r="B22" s="88" t="s">
        <v>120</v>
      </c>
      <c r="C22" s="92" t="s">
        <v>213</v>
      </c>
      <c r="D22" s="96">
        <v>6.9448930660692287</v>
      </c>
      <c r="E22" s="96">
        <v>4.0088520808653518</v>
      </c>
      <c r="F22" s="96">
        <v>5.0096415102878513</v>
      </c>
      <c r="G22" s="96">
        <v>4.5056040169743312</v>
      </c>
      <c r="H22" s="96">
        <v>20.46899067419676</v>
      </c>
      <c r="I22" s="96">
        <v>160.24691832843379</v>
      </c>
      <c r="J22" s="96">
        <v>168.67133914840062</v>
      </c>
      <c r="K22" s="96">
        <v>177.66442045062277</v>
      </c>
      <c r="L22" s="96">
        <v>188.80721149545164</v>
      </c>
    </row>
    <row r="23" spans="2:12" x14ac:dyDescent="0.2">
      <c r="B23" s="88" t="s">
        <v>114</v>
      </c>
      <c r="C23" s="92" t="s">
        <v>220</v>
      </c>
      <c r="D23" s="96">
        <v>4.0789060912849662</v>
      </c>
      <c r="E23" s="96">
        <v>4.6702937259362667</v>
      </c>
      <c r="F23" s="96">
        <v>4.0342843763804064</v>
      </c>
      <c r="G23" s="96">
        <v>3.4129467325389338</v>
      </c>
      <c r="H23" s="96">
        <v>16.196430926140572</v>
      </c>
      <c r="I23" s="96">
        <v>150.48148188209316</v>
      </c>
      <c r="J23" s="96">
        <v>166.7148433814294</v>
      </c>
      <c r="K23" s="96">
        <v>176.51076051390902</v>
      </c>
      <c r="L23" s="96">
        <v>183.96003145372541</v>
      </c>
    </row>
    <row r="24" spans="2:12" x14ac:dyDescent="0.2">
      <c r="B24" s="88" t="s">
        <v>140</v>
      </c>
      <c r="C24" s="92" t="s">
        <v>185</v>
      </c>
      <c r="D24" s="96">
        <v>1.3738156734789377</v>
      </c>
      <c r="E24" s="96">
        <v>0.79301780012412004</v>
      </c>
      <c r="F24" s="96">
        <v>0.99099064015387428</v>
      </c>
      <c r="G24" s="96">
        <v>0.89128361777821152</v>
      </c>
      <c r="H24" s="96">
        <v>4.0491077315351438</v>
      </c>
      <c r="I24" s="96">
        <v>160.24691832843379</v>
      </c>
      <c r="J24" s="96">
        <v>168.67133914840062</v>
      </c>
      <c r="K24" s="96">
        <v>177.66442045062277</v>
      </c>
      <c r="L24" s="96">
        <v>188.80721149545164</v>
      </c>
    </row>
    <row r="25" spans="2:12" x14ac:dyDescent="0.2">
      <c r="B25" s="88" t="s">
        <v>119</v>
      </c>
      <c r="C25" s="92" t="s">
        <v>214</v>
      </c>
      <c r="D25" s="96">
        <v>1.122826390323195</v>
      </c>
      <c r="E25" s="96">
        <v>0.66424218555639336</v>
      </c>
      <c r="F25" s="96">
        <v>0.75664825260085589</v>
      </c>
      <c r="G25" s="96">
        <v>0.69556935674767051</v>
      </c>
      <c r="H25" s="96">
        <v>3.2392861852281145</v>
      </c>
      <c r="I25" s="96">
        <v>172.14036616405406</v>
      </c>
      <c r="J25" s="96">
        <v>181.33090167078277</v>
      </c>
      <c r="K25" s="96">
        <v>189.41687156594787</v>
      </c>
      <c r="L25" s="96">
        <v>197.19336795096797</v>
      </c>
    </row>
    <row r="26" spans="2:12" x14ac:dyDescent="0.2">
      <c r="B26" s="88" t="s">
        <v>136</v>
      </c>
      <c r="C26" s="92" t="s">
        <v>225</v>
      </c>
      <c r="D26" s="96">
        <v>1.923341942870513</v>
      </c>
      <c r="E26" s="96">
        <v>1.1102249201737682</v>
      </c>
      <c r="F26" s="96">
        <v>1.3873868962154241</v>
      </c>
      <c r="G26" s="96">
        <v>1.247797064889496</v>
      </c>
      <c r="H26" s="96">
        <v>5.6687508241492006</v>
      </c>
      <c r="I26" s="96">
        <v>160.24691832843379</v>
      </c>
      <c r="J26" s="96">
        <v>168.67133914840062</v>
      </c>
      <c r="K26" s="96">
        <v>177.66442045062277</v>
      </c>
      <c r="L26" s="96">
        <v>188.80721149545164</v>
      </c>
    </row>
    <row r="27" spans="2:12" x14ac:dyDescent="0.2">
      <c r="B27" s="88" t="s">
        <v>115</v>
      </c>
      <c r="C27" s="92" t="s">
        <v>226</v>
      </c>
      <c r="D27" s="96">
        <v>1.0990525387831502</v>
      </c>
      <c r="E27" s="96">
        <v>0.63441424009929603</v>
      </c>
      <c r="F27" s="96">
        <v>0.79279251212309942</v>
      </c>
      <c r="G27" s="96">
        <v>0.71302689422256915</v>
      </c>
      <c r="H27" s="96">
        <v>3.2392861852281145</v>
      </c>
      <c r="I27" s="96">
        <v>160.24691832843379</v>
      </c>
      <c r="J27" s="96">
        <v>168.67133914840062</v>
      </c>
      <c r="K27" s="96">
        <v>177.66442045062277</v>
      </c>
      <c r="L27" s="96">
        <v>188.80721149545164</v>
      </c>
    </row>
    <row r="28" spans="2:12" x14ac:dyDescent="0.2">
      <c r="B28" s="88" t="s">
        <v>128</v>
      </c>
      <c r="C28" s="92" t="s">
        <v>200</v>
      </c>
      <c r="D28" s="96">
        <v>2.472868212262088</v>
      </c>
      <c r="E28" s="96">
        <v>1.427432040223416</v>
      </c>
      <c r="F28" s="96">
        <v>1.7837831522769736</v>
      </c>
      <c r="G28" s="96">
        <v>1.6043105120007806</v>
      </c>
      <c r="H28" s="96">
        <v>7.2883939167632583</v>
      </c>
      <c r="I28" s="96">
        <v>160.24691832843379</v>
      </c>
      <c r="J28" s="96">
        <v>168.67133914840062</v>
      </c>
      <c r="K28" s="96">
        <v>177.66442045062277</v>
      </c>
      <c r="L28" s="96">
        <v>188.80721149545164</v>
      </c>
    </row>
    <row r="29" spans="2:12" x14ac:dyDescent="0.2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</row>
    <row r="30" spans="2:12" x14ac:dyDescent="0.2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</row>
    <row r="31" spans="2:12" x14ac:dyDescent="0.2">
      <c r="B31" s="87"/>
      <c r="C31" s="97" t="s">
        <v>227</v>
      </c>
      <c r="D31" s="98">
        <f>SUM(D18:D28)</f>
        <v>59.499400322919364</v>
      </c>
      <c r="E31" s="98">
        <f>SUM(E18:E28)</f>
        <v>52.530917294262416</v>
      </c>
      <c r="F31" s="98">
        <f>SUM(F18:F28)</f>
        <v>51.101271771308149</v>
      </c>
      <c r="G31" s="98">
        <f>SUM(G18:G28)</f>
        <v>45.343641134214572</v>
      </c>
      <c r="H31" s="99">
        <f>SUM(H18:H28)</f>
        <v>208.47523052270452</v>
      </c>
      <c r="I31" s="87"/>
      <c r="J31" s="87"/>
      <c r="K31" s="87"/>
      <c r="L31" s="87"/>
    </row>
  </sheetData>
  <pageMargins left="0.7" right="0.7" top="0.75" bottom="0.75" header="0.3" footer="0.3"/>
  <pageSetup paperSize="9"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GeneralNETS</vt:lpstr>
      <vt:lpstr>CO2Storage</vt:lpstr>
      <vt:lpstr>DACCS</vt:lpstr>
      <vt:lpstr>PyCCs</vt:lpstr>
      <vt:lpstr>SCS</vt:lpstr>
      <vt:lpstr>Forestry</vt:lpstr>
      <vt:lpstr>EW</vt:lpstr>
    </vt:vector>
  </TitlesOfParts>
  <Company>VTT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Markkanen</dc:creator>
  <cp:lastModifiedBy>Johanna Markkanen</cp:lastModifiedBy>
  <dcterms:created xsi:type="dcterms:W3CDTF">2025-02-28T07:43:27Z</dcterms:created>
  <dcterms:modified xsi:type="dcterms:W3CDTF">2025-12-05T11:11:40Z</dcterms:modified>
</cp:coreProperties>
</file>