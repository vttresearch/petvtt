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210D6013-8306-4FFF-93F2-B13A586F4BF8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Final Coeffs_ELC" sheetId="16" r:id="rId1"/>
    <sheet name="Final Coeffs_SUP" sheetId="17" r:id="rId2"/>
    <sheet name="Final Coeffs_IND" sheetId="19" r:id="rId3"/>
    <sheet name="EmiFactors_IND" sheetId="24" r:id="rId4"/>
    <sheet name="EmiFactors_TRA" sheetId="27" r:id="rId5"/>
    <sheet name="EmiFactors_AGR_COM_RSD" sheetId="28" r:id="rId6"/>
    <sheet name="ETS Emissions" sheetId="22" r:id="rId7"/>
    <sheet name="Biofuel 2nd with CCS" sheetId="23" r:id="rId8"/>
    <sheet name="Negative Emissions" sheetId="25" r:id="rId9"/>
  </sheets>
  <definedNames>
    <definedName name="_xlnm._FilterDatabase" localSheetId="0" hidden="1">'Final Coeffs_ELC'!$A$3:$J$3</definedName>
    <definedName name="_xlnm._FilterDatabase" localSheetId="2" hidden="1">'Final Coeffs_IND'!$A$3:$H$3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2" l="1"/>
  <c r="I45" i="22"/>
  <c r="J45" i="22"/>
  <c r="K45" i="22"/>
  <c r="L45" i="22"/>
  <c r="M45" i="22"/>
  <c r="N45" i="22"/>
  <c r="O45" i="22"/>
  <c r="P45" i="22"/>
  <c r="Q45" i="22"/>
  <c r="R45" i="22"/>
  <c r="S45" i="22"/>
  <c r="T45" i="22"/>
  <c r="U45" i="22"/>
  <c r="V45" i="22"/>
  <c r="W45" i="22"/>
  <c r="X45" i="22"/>
  <c r="Y45" i="22"/>
  <c r="Z45" i="22"/>
  <c r="AA45" i="22"/>
  <c r="AB45" i="22"/>
  <c r="AC45" i="22"/>
  <c r="AD45" i="22"/>
  <c r="AE45" i="22"/>
  <c r="AF45" i="22"/>
  <c r="AG45" i="22"/>
  <c r="AH45" i="22"/>
  <c r="AI45" i="22"/>
  <c r="AJ45" i="22"/>
  <c r="AK45" i="22"/>
  <c r="AL45" i="22"/>
  <c r="AM45" i="22"/>
  <c r="AN45" i="22"/>
  <c r="AO45" i="22"/>
  <c r="AP45" i="22"/>
  <c r="AQ45" i="22"/>
  <c r="H46" i="22"/>
  <c r="I46" i="22"/>
  <c r="J46" i="22"/>
  <c r="K46" i="22"/>
  <c r="L46" i="22"/>
  <c r="M46" i="22"/>
  <c r="N46" i="22"/>
  <c r="O46" i="22"/>
  <c r="P46" i="22"/>
  <c r="Q46" i="22"/>
  <c r="R46" i="22"/>
  <c r="S46" i="22"/>
  <c r="T46" i="22"/>
  <c r="U46" i="22"/>
  <c r="V46" i="22"/>
  <c r="W46" i="22"/>
  <c r="X46" i="22"/>
  <c r="Y46" i="22"/>
  <c r="Z46" i="22"/>
  <c r="AA46" i="22"/>
  <c r="AB46" i="22"/>
  <c r="AC46" i="22"/>
  <c r="AD46" i="22"/>
  <c r="AE46" i="22"/>
  <c r="AF46" i="22"/>
  <c r="AG46" i="22"/>
  <c r="AH46" i="22"/>
  <c r="AI46" i="22"/>
  <c r="AJ46" i="22"/>
  <c r="AK46" i="22"/>
  <c r="AL46" i="22"/>
  <c r="AM46" i="22"/>
  <c r="AN46" i="22"/>
  <c r="AO46" i="22"/>
  <c r="AP46" i="22"/>
  <c r="AQ46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E52" i="22"/>
  <c r="E49" i="22"/>
  <c r="E42" i="22"/>
  <c r="AV42" i="22" s="1"/>
  <c r="G42" i="22"/>
  <c r="H42" i="22"/>
  <c r="I42" i="22"/>
  <c r="J42" i="22"/>
  <c r="K42" i="22"/>
  <c r="L42" i="22"/>
  <c r="M42" i="22"/>
  <c r="N42" i="22"/>
  <c r="O42" i="22"/>
  <c r="P42" i="22"/>
  <c r="Q42" i="22"/>
  <c r="R42" i="22"/>
  <c r="S42" i="22"/>
  <c r="T42" i="22"/>
  <c r="U42" i="22"/>
  <c r="V42" i="22"/>
  <c r="W42" i="22"/>
  <c r="X42" i="22"/>
  <c r="Y42" i="22"/>
  <c r="Z42" i="22"/>
  <c r="AA42" i="22"/>
  <c r="AB42" i="22"/>
  <c r="AC42" i="22"/>
  <c r="AD42" i="22"/>
  <c r="AE42" i="22"/>
  <c r="AF42" i="22"/>
  <c r="AG42" i="22"/>
  <c r="AH42" i="22"/>
  <c r="AI42" i="22"/>
  <c r="AJ42" i="22"/>
  <c r="AK42" i="22"/>
  <c r="AL42" i="22"/>
  <c r="AM42" i="22"/>
  <c r="AN42" i="22"/>
  <c r="AO42" i="22"/>
  <c r="AP42" i="22"/>
  <c r="AQ42" i="22"/>
  <c r="B28" i="27"/>
  <c r="C28" i="27"/>
  <c r="D28" i="27"/>
  <c r="F28" i="27"/>
  <c r="B29" i="27"/>
  <c r="C29" i="27"/>
  <c r="D29" i="27"/>
  <c r="B30" i="27"/>
  <c r="C30" i="27"/>
  <c r="D30" i="27"/>
  <c r="B31" i="27"/>
  <c r="C31" i="27"/>
  <c r="D31" i="27"/>
  <c r="B32" i="27"/>
  <c r="C32" i="27"/>
  <c r="D32" i="27"/>
  <c r="B33" i="27"/>
  <c r="C33" i="27"/>
  <c r="D33" i="27"/>
  <c r="B34" i="27"/>
  <c r="C34" i="27"/>
  <c r="D34" i="27"/>
  <c r="B35" i="27"/>
  <c r="C35" i="27"/>
  <c r="D35" i="27"/>
  <c r="B36" i="27"/>
  <c r="C36" i="27"/>
  <c r="D36" i="27"/>
  <c r="B37" i="27"/>
  <c r="C37" i="27"/>
  <c r="D37" i="27"/>
  <c r="B38" i="27"/>
  <c r="C38" i="27"/>
  <c r="D38" i="27"/>
  <c r="A29" i="27"/>
  <c r="A30" i="27"/>
  <c r="A31" i="27"/>
  <c r="A32" i="27"/>
  <c r="A33" i="27"/>
  <c r="A34" i="27"/>
  <c r="A35" i="27"/>
  <c r="A36" i="27"/>
  <c r="A37" i="27"/>
  <c r="A38" i="27"/>
  <c r="A28" i="27"/>
  <c r="F23" i="27"/>
  <c r="F34" i="27" s="1"/>
  <c r="F22" i="27"/>
  <c r="F33" i="27" s="1"/>
  <c r="F24" i="27"/>
  <c r="F35" i="27" s="1"/>
  <c r="F21" i="27"/>
  <c r="F32" i="27" s="1"/>
  <c r="F25" i="27"/>
  <c r="F36" i="27" s="1"/>
  <c r="F20" i="27"/>
  <c r="F31" i="27" s="1"/>
  <c r="F27" i="27"/>
  <c r="F38" i="27" s="1"/>
  <c r="F19" i="27"/>
  <c r="F30" i="27" s="1"/>
  <c r="F26" i="27"/>
  <c r="F37" i="27" s="1"/>
  <c r="F42" i="22" l="1"/>
  <c r="F18" i="27"/>
  <c r="F29" i="27" s="1"/>
  <c r="E51" i="22"/>
  <c r="E43" i="27" l="1"/>
  <c r="C44" i="27"/>
  <c r="B46" i="28"/>
  <c r="C46" i="28"/>
  <c r="D46" i="28"/>
  <c r="F38" i="28"/>
  <c r="F46" i="28"/>
  <c r="B47" i="28"/>
  <c r="C47" i="28"/>
  <c r="D47" i="28"/>
  <c r="F39" i="28"/>
  <c r="F47" i="28" s="1"/>
  <c r="B48" i="28"/>
  <c r="C48" i="28"/>
  <c r="D48" i="28"/>
  <c r="F40" i="28"/>
  <c r="F48" i="28" s="1"/>
  <c r="B49" i="28"/>
  <c r="C49" i="28"/>
  <c r="D49" i="28"/>
  <c r="F41" i="28"/>
  <c r="F49" i="28"/>
  <c r="B50" i="28"/>
  <c r="C50" i="28"/>
  <c r="D50" i="28"/>
  <c r="F50" i="28"/>
  <c r="B51" i="28"/>
  <c r="C51" i="28"/>
  <c r="D51" i="28"/>
  <c r="F43" i="28"/>
  <c r="F51" i="28" s="1"/>
  <c r="B52" i="28"/>
  <c r="C52" i="28"/>
  <c r="D52" i="28"/>
  <c r="F44" i="28"/>
  <c r="F52" i="28"/>
  <c r="B53" i="28"/>
  <c r="C53" i="28"/>
  <c r="D53" i="28"/>
  <c r="F45" i="28"/>
  <c r="F53" i="28" s="1"/>
  <c r="A47" i="28"/>
  <c r="A48" i="28"/>
  <c r="A49" i="28"/>
  <c r="A50" i="28"/>
  <c r="A51" i="28"/>
  <c r="A52" i="28"/>
  <c r="A53" i="28"/>
  <c r="A46" i="28"/>
  <c r="B26" i="28"/>
  <c r="C26" i="28"/>
  <c r="D26" i="28"/>
  <c r="F18" i="28"/>
  <c r="F26" i="28"/>
  <c r="B27" i="28"/>
  <c r="C27" i="28"/>
  <c r="D27" i="28"/>
  <c r="F19" i="28"/>
  <c r="F27" i="28"/>
  <c r="B28" i="28"/>
  <c r="C28" i="28"/>
  <c r="D28" i="28"/>
  <c r="F20" i="28"/>
  <c r="F28" i="28" s="1"/>
  <c r="B29" i="28"/>
  <c r="C29" i="28"/>
  <c r="D29" i="28"/>
  <c r="F21" i="28"/>
  <c r="F29" i="28" s="1"/>
  <c r="B30" i="28"/>
  <c r="C30" i="28"/>
  <c r="D30" i="28"/>
  <c r="F30" i="28"/>
  <c r="B31" i="28"/>
  <c r="C31" i="28"/>
  <c r="D31" i="28"/>
  <c r="F23" i="28"/>
  <c r="F31" i="28" s="1"/>
  <c r="B32" i="28"/>
  <c r="C32" i="28"/>
  <c r="D32" i="28"/>
  <c r="F24" i="28"/>
  <c r="F32" i="28"/>
  <c r="B33" i="28"/>
  <c r="C33" i="28"/>
  <c r="D33" i="28"/>
  <c r="F25" i="28"/>
  <c r="F33" i="28"/>
  <c r="A27" i="28"/>
  <c r="A28" i="28"/>
  <c r="A29" i="28"/>
  <c r="A30" i="28"/>
  <c r="A31" i="28"/>
  <c r="A32" i="28"/>
  <c r="A33" i="28"/>
  <c r="A26" i="28"/>
  <c r="A9" i="28"/>
  <c r="B9" i="28"/>
  <c r="C9" i="28"/>
  <c r="A10" i="28"/>
  <c r="B10" i="28"/>
  <c r="C10" i="28"/>
  <c r="A11" i="28"/>
  <c r="B11" i="28"/>
  <c r="C11" i="28"/>
  <c r="A12" i="28"/>
  <c r="B12" i="28"/>
  <c r="C12" i="28"/>
  <c r="A13" i="28"/>
  <c r="B13" i="28"/>
  <c r="C13" i="28"/>
  <c r="D10" i="28"/>
  <c r="F10" i="28"/>
  <c r="D11" i="28"/>
  <c r="F6" i="28"/>
  <c r="F11" i="28"/>
  <c r="D12" i="28"/>
  <c r="F7" i="28"/>
  <c r="F12" i="28" s="1"/>
  <c r="D13" i="28"/>
  <c r="F8" i="28"/>
  <c r="F13" i="28" s="1"/>
  <c r="F4" i="28"/>
  <c r="F9" i="28"/>
  <c r="D9" i="28"/>
  <c r="G50" i="22"/>
  <c r="H50" i="22"/>
  <c r="I50" i="22"/>
  <c r="J50" i="22"/>
  <c r="K50" i="22"/>
  <c r="L50" i="22"/>
  <c r="M50" i="22"/>
  <c r="N50" i="22"/>
  <c r="O50" i="22"/>
  <c r="P50" i="22"/>
  <c r="Q50" i="22"/>
  <c r="R50" i="22"/>
  <c r="S50" i="22"/>
  <c r="T50" i="22"/>
  <c r="U50" i="22"/>
  <c r="V50" i="22"/>
  <c r="W50" i="22"/>
  <c r="X50" i="22"/>
  <c r="Y50" i="22"/>
  <c r="Z50" i="22"/>
  <c r="AA50" i="22"/>
  <c r="AB50" i="22"/>
  <c r="AC50" i="22"/>
  <c r="AD50" i="22"/>
  <c r="AE50" i="22"/>
  <c r="AF50" i="22"/>
  <c r="AG50" i="22"/>
  <c r="AH50" i="22"/>
  <c r="AI50" i="22"/>
  <c r="AJ50" i="22"/>
  <c r="AK50" i="22"/>
  <c r="AL50" i="22"/>
  <c r="AM50" i="22"/>
  <c r="AN50" i="22"/>
  <c r="AO50" i="22"/>
  <c r="AP50" i="22"/>
  <c r="AQ50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S51" i="22"/>
  <c r="T51" i="22"/>
  <c r="U51" i="22"/>
  <c r="V51" i="22"/>
  <c r="W51" i="22"/>
  <c r="X51" i="22"/>
  <c r="Y51" i="22"/>
  <c r="Z51" i="22"/>
  <c r="AA51" i="22"/>
  <c r="AB51" i="22"/>
  <c r="AC51" i="22"/>
  <c r="AD51" i="22"/>
  <c r="AE51" i="22"/>
  <c r="AF51" i="22"/>
  <c r="AG51" i="22"/>
  <c r="AH51" i="22"/>
  <c r="AI51" i="22"/>
  <c r="AJ51" i="22"/>
  <c r="AK51" i="22"/>
  <c r="AL51" i="22"/>
  <c r="AM51" i="22"/>
  <c r="AN51" i="22"/>
  <c r="AO51" i="22"/>
  <c r="AP51" i="22"/>
  <c r="AQ51" i="22"/>
  <c r="H49" i="22"/>
  <c r="I49" i="22"/>
  <c r="J49" i="22"/>
  <c r="K49" i="22"/>
  <c r="L49" i="22"/>
  <c r="M49" i="22"/>
  <c r="N49" i="22"/>
  <c r="O49" i="22"/>
  <c r="P49" i="22"/>
  <c r="Q49" i="22"/>
  <c r="R49" i="22"/>
  <c r="S49" i="22"/>
  <c r="T49" i="22"/>
  <c r="U49" i="22"/>
  <c r="V49" i="22"/>
  <c r="W49" i="22"/>
  <c r="X49" i="22"/>
  <c r="Y49" i="22"/>
  <c r="Z49" i="22"/>
  <c r="AA49" i="22"/>
  <c r="AB49" i="22"/>
  <c r="AC49" i="22"/>
  <c r="AD49" i="22"/>
  <c r="AE49" i="22"/>
  <c r="AF49" i="22"/>
  <c r="AG49" i="22"/>
  <c r="AH49" i="22"/>
  <c r="AI49" i="22"/>
  <c r="AJ49" i="22"/>
  <c r="AK49" i="22"/>
  <c r="AL49" i="22"/>
  <c r="AM49" i="22"/>
  <c r="AN49" i="22"/>
  <c r="AO49" i="22"/>
  <c r="AP49" i="22"/>
  <c r="AQ49" i="22"/>
  <c r="G49" i="22"/>
  <c r="E50" i="22"/>
  <c r="I53" i="22"/>
  <c r="K53" i="22"/>
  <c r="M53" i="22"/>
  <c r="O53" i="22"/>
  <c r="Q53" i="22"/>
  <c r="S53" i="22"/>
  <c r="U53" i="22"/>
  <c r="W53" i="22"/>
  <c r="Y53" i="22"/>
  <c r="AA53" i="22"/>
  <c r="AC53" i="22"/>
  <c r="AE53" i="22"/>
  <c r="AG53" i="22"/>
  <c r="AI53" i="22"/>
  <c r="AK53" i="22"/>
  <c r="AM53" i="22"/>
  <c r="AO53" i="22"/>
  <c r="AQ53" i="22"/>
  <c r="I54" i="22"/>
  <c r="K54" i="22"/>
  <c r="M54" i="22"/>
  <c r="O54" i="22"/>
  <c r="Q54" i="22"/>
  <c r="S54" i="22"/>
  <c r="U54" i="22"/>
  <c r="W54" i="22"/>
  <c r="Y54" i="22"/>
  <c r="AA54" i="22"/>
  <c r="AC54" i="22"/>
  <c r="AE54" i="22"/>
  <c r="AG54" i="22"/>
  <c r="AI54" i="22"/>
  <c r="AK54" i="22"/>
  <c r="AM54" i="22"/>
  <c r="AO54" i="22"/>
  <c r="AQ54" i="22"/>
  <c r="I47" i="22"/>
  <c r="K47" i="22"/>
  <c r="M47" i="22"/>
  <c r="O47" i="22"/>
  <c r="Q47" i="22"/>
  <c r="S47" i="22"/>
  <c r="U47" i="22"/>
  <c r="W47" i="22"/>
  <c r="Y47" i="22"/>
  <c r="AA47" i="22"/>
  <c r="AC47" i="22"/>
  <c r="AE47" i="22"/>
  <c r="AG47" i="22"/>
  <c r="AI47" i="22"/>
  <c r="AK47" i="22"/>
  <c r="AM47" i="22"/>
  <c r="AO47" i="22"/>
  <c r="AQ47" i="22"/>
  <c r="G54" i="22"/>
  <c r="G45" i="22"/>
  <c r="G46" i="22"/>
  <c r="G47" i="22"/>
  <c r="G53" i="22"/>
  <c r="E45" i="22"/>
  <c r="E46" i="22"/>
  <c r="E47" i="22"/>
  <c r="E48" i="22"/>
  <c r="E54" i="22"/>
  <c r="E53" i="22"/>
  <c r="D9" i="27"/>
  <c r="D6" i="27"/>
  <c r="D7" i="27" s="1"/>
  <c r="D5" i="27"/>
  <c r="D4" i="27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G9" i="23"/>
  <c r="G10" i="23" s="1"/>
  <c r="I9" i="23"/>
  <c r="H3" i="23"/>
  <c r="I3" i="23" s="1"/>
  <c r="G8" i="23"/>
  <c r="G4" i="23"/>
  <c r="I4" i="23"/>
  <c r="G3" i="23"/>
  <c r="D10" i="23"/>
  <c r="H8" i="23"/>
  <c r="I8" i="23" s="1"/>
  <c r="D5" i="23"/>
  <c r="N46" i="17"/>
  <c r="F8" i="22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AH8" i="22" s="1"/>
  <c r="AI8" i="22" s="1"/>
  <c r="AJ8" i="22" s="1"/>
  <c r="AK8" i="22" s="1"/>
  <c r="AL8" i="22" s="1"/>
  <c r="AM8" i="22" s="1"/>
  <c r="AN8" i="22" s="1"/>
  <c r="AO8" i="22" s="1"/>
  <c r="AP8" i="22" s="1"/>
  <c r="AQ8" i="22" s="1"/>
  <c r="AV8" i="22"/>
  <c r="S11" i="17"/>
  <c r="S8" i="17"/>
  <c r="P48" i="17"/>
  <c r="O48" i="17"/>
  <c r="N48" i="17" s="1"/>
  <c r="S5" i="17"/>
  <c r="O47" i="17"/>
  <c r="N47" i="17" s="1"/>
  <c r="S13" i="17"/>
  <c r="S15" i="17"/>
  <c r="S17" i="17"/>
  <c r="S19" i="17"/>
  <c r="S21" i="17"/>
  <c r="O71" i="17"/>
  <c r="N71" i="17" s="1"/>
  <c r="N63" i="17"/>
  <c r="N64" i="17"/>
  <c r="N65" i="17"/>
  <c r="N66" i="17"/>
  <c r="N67" i="17"/>
  <c r="N68" i="17"/>
  <c r="N69" i="17"/>
  <c r="N70" i="17"/>
  <c r="N72" i="17"/>
  <c r="N73" i="17"/>
  <c r="N74" i="17"/>
  <c r="N62" i="17"/>
  <c r="O59" i="17"/>
  <c r="N58" i="17"/>
  <c r="N57" i="17"/>
  <c r="N49" i="17"/>
  <c r="N50" i="17"/>
  <c r="N51" i="17"/>
  <c r="N52" i="17"/>
  <c r="N53" i="17"/>
  <c r="N54" i="17"/>
  <c r="N56" i="17"/>
  <c r="N55" i="17"/>
  <c r="N59" i="17" s="1"/>
  <c r="H6" i="22"/>
  <c r="E12" i="22"/>
  <c r="AV12" i="22" s="1"/>
  <c r="AU90" i="16"/>
  <c r="AU102" i="16" s="1"/>
  <c r="AT90" i="16"/>
  <c r="AT94" i="16" s="1"/>
  <c r="AS90" i="16"/>
  <c r="AS102" i="16" s="1"/>
  <c r="AR90" i="16"/>
  <c r="AR100" i="16" s="1"/>
  <c r="AQ90" i="16"/>
  <c r="AQ100" i="16" s="1"/>
  <c r="AP90" i="16"/>
  <c r="AP94" i="16" s="1"/>
  <c r="AO90" i="16"/>
  <c r="AO95" i="16" s="1"/>
  <c r="AN90" i="16"/>
  <c r="AN95" i="16" s="1"/>
  <c r="AM90" i="16"/>
  <c r="AM95" i="16" s="1"/>
  <c r="AL90" i="16"/>
  <c r="AL102" i="16" s="1"/>
  <c r="AK90" i="16"/>
  <c r="AK94" i="16" s="1"/>
  <c r="AJ90" i="16"/>
  <c r="AJ100" i="16" s="1"/>
  <c r="AI90" i="16"/>
  <c r="AI94" i="16" s="1"/>
  <c r="AH90" i="16"/>
  <c r="AH102" i="16" s="1"/>
  <c r="AG90" i="16"/>
  <c r="AG95" i="16" s="1"/>
  <c r="AF90" i="16"/>
  <c r="AF95" i="16" s="1"/>
  <c r="AE90" i="16"/>
  <c r="AE97" i="16" s="1"/>
  <c r="AD90" i="16"/>
  <c r="AD100" i="16" s="1"/>
  <c r="AC90" i="16"/>
  <c r="AC100" i="16" s="1"/>
  <c r="AB90" i="16"/>
  <c r="AB95" i="16" s="1"/>
  <c r="AA90" i="16"/>
  <c r="AA94" i="16" s="1"/>
  <c r="Z90" i="16"/>
  <c r="Z97" i="16" s="1"/>
  <c r="Y90" i="16"/>
  <c r="Y95" i="16" s="1"/>
  <c r="X90" i="16"/>
  <c r="X94" i="16" s="1"/>
  <c r="W90" i="16"/>
  <c r="W95" i="16" s="1"/>
  <c r="V90" i="16"/>
  <c r="V95" i="16" s="1"/>
  <c r="U90" i="16"/>
  <c r="U102" i="16" s="1"/>
  <c r="T90" i="16"/>
  <c r="T100" i="16" s="1"/>
  <c r="S90" i="16"/>
  <c r="S102" i="16" s="1"/>
  <c r="R90" i="16"/>
  <c r="R94" i="16" s="1"/>
  <c r="Q90" i="16"/>
  <c r="Q94" i="16" s="1"/>
  <c r="P90" i="16"/>
  <c r="P102" i="16" s="1"/>
  <c r="O90" i="16"/>
  <c r="O100" i="16" s="1"/>
  <c r="N90" i="16"/>
  <c r="N95" i="16" s="1"/>
  <c r="M90" i="16"/>
  <c r="M97" i="16" s="1"/>
  <c r="L90" i="16"/>
  <c r="L100" i="16" s="1"/>
  <c r="AU89" i="16"/>
  <c r="AU103" i="16" s="1"/>
  <c r="AT89" i="16"/>
  <c r="AT96" i="16" s="1"/>
  <c r="AS89" i="16"/>
  <c r="AS99" i="16" s="1"/>
  <c r="AR89" i="16"/>
  <c r="AR104" i="16" s="1"/>
  <c r="AQ89" i="16"/>
  <c r="AQ93" i="16" s="1"/>
  <c r="AP89" i="16"/>
  <c r="AP99" i="16" s="1"/>
  <c r="AO89" i="16"/>
  <c r="AO101" i="16" s="1"/>
  <c r="AN89" i="16"/>
  <c r="AN98" i="16" s="1"/>
  <c r="AM89" i="16"/>
  <c r="AM96" i="16" s="1"/>
  <c r="AL89" i="16"/>
  <c r="AL98" i="16" s="1"/>
  <c r="AK89" i="16"/>
  <c r="AK101" i="16" s="1"/>
  <c r="AJ89" i="16"/>
  <c r="AJ93" i="16" s="1"/>
  <c r="AI89" i="16"/>
  <c r="AI93" i="16" s="1"/>
  <c r="AH89" i="16"/>
  <c r="AH93" i="16" s="1"/>
  <c r="AG89" i="16"/>
  <c r="AG101" i="16" s="1"/>
  <c r="AF89" i="16"/>
  <c r="AF103" i="16" s="1"/>
  <c r="AE89" i="16"/>
  <c r="AE99" i="16" s="1"/>
  <c r="AD89" i="16"/>
  <c r="AD96" i="16" s="1"/>
  <c r="AC89" i="16"/>
  <c r="AC93" i="16" s="1"/>
  <c r="AB89" i="16"/>
  <c r="AB98" i="16" s="1"/>
  <c r="AA89" i="16"/>
  <c r="AA103" i="16" s="1"/>
  <c r="Z89" i="16"/>
  <c r="Z101" i="16" s="1"/>
  <c r="Y89" i="16"/>
  <c r="Y93" i="16" s="1"/>
  <c r="X89" i="16"/>
  <c r="X98" i="16" s="1"/>
  <c r="W89" i="16"/>
  <c r="W99" i="16" s="1"/>
  <c r="V89" i="16"/>
  <c r="V93" i="16" s="1"/>
  <c r="U89" i="16"/>
  <c r="U96" i="16" s="1"/>
  <c r="T89" i="16"/>
  <c r="T103" i="16" s="1"/>
  <c r="S89" i="16"/>
  <c r="S93" i="16" s="1"/>
  <c r="R89" i="16"/>
  <c r="R104" i="16" s="1"/>
  <c r="Q89" i="16"/>
  <c r="Q99" i="16" s="1"/>
  <c r="P89" i="16"/>
  <c r="P93" i="16" s="1"/>
  <c r="O89" i="16"/>
  <c r="O104" i="16" s="1"/>
  <c r="N89" i="16"/>
  <c r="N103" i="16" s="1"/>
  <c r="M89" i="16"/>
  <c r="M104" i="16" s="1"/>
  <c r="L89" i="16"/>
  <c r="L98" i="16" s="1"/>
  <c r="K90" i="16"/>
  <c r="K95" i="16" s="1"/>
  <c r="K89" i="16"/>
  <c r="K93" i="16" s="1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G7" i="22"/>
  <c r="G6" i="22"/>
  <c r="AQ81" i="22"/>
  <c r="AP81" i="22"/>
  <c r="AO81" i="22"/>
  <c r="AN81" i="22"/>
  <c r="AM81" i="22"/>
  <c r="AL81" i="22"/>
  <c r="AK81" i="22"/>
  <c r="AQ80" i="22"/>
  <c r="AP80" i="22"/>
  <c r="AO80" i="22"/>
  <c r="AN80" i="22"/>
  <c r="AM80" i="22"/>
  <c r="AL80" i="22"/>
  <c r="AK80" i="22"/>
  <c r="AQ79" i="22"/>
  <c r="AP79" i="22"/>
  <c r="AO79" i="22"/>
  <c r="AN79" i="22"/>
  <c r="AM79" i="22"/>
  <c r="AL79" i="22"/>
  <c r="AK79" i="22"/>
  <c r="AQ78" i="22"/>
  <c r="AP78" i="22"/>
  <c r="AO78" i="22"/>
  <c r="AN78" i="22"/>
  <c r="AM78" i="22"/>
  <c r="AL78" i="22"/>
  <c r="AK78" i="22"/>
  <c r="AQ77" i="22"/>
  <c r="AP77" i="22"/>
  <c r="AO77" i="22"/>
  <c r="AN77" i="22"/>
  <c r="AM77" i="22"/>
  <c r="AL77" i="22"/>
  <c r="AK77" i="22"/>
  <c r="AQ75" i="22"/>
  <c r="AP75" i="22"/>
  <c r="AO75" i="22"/>
  <c r="AN75" i="22"/>
  <c r="AM75" i="22"/>
  <c r="AL75" i="22"/>
  <c r="AK75" i="22"/>
  <c r="AQ74" i="22"/>
  <c r="AP74" i="22"/>
  <c r="AO74" i="22"/>
  <c r="AN74" i="22"/>
  <c r="AM74" i="22"/>
  <c r="AL74" i="22"/>
  <c r="AK74" i="22"/>
  <c r="AQ73" i="22"/>
  <c r="AP73" i="22"/>
  <c r="AO73" i="22"/>
  <c r="AN73" i="22"/>
  <c r="AM73" i="22"/>
  <c r="AL73" i="22"/>
  <c r="AK73" i="22"/>
  <c r="AQ72" i="22"/>
  <c r="AP72" i="22"/>
  <c r="AO72" i="22"/>
  <c r="AN72" i="22"/>
  <c r="AM72" i="22"/>
  <c r="AL72" i="22"/>
  <c r="AK72" i="22"/>
  <c r="AQ71" i="22"/>
  <c r="AP71" i="22"/>
  <c r="AO71" i="22"/>
  <c r="AN71" i="22"/>
  <c r="AM71" i="22"/>
  <c r="AL71" i="22"/>
  <c r="AK71" i="22"/>
  <c r="AQ70" i="22"/>
  <c r="AP70" i="22"/>
  <c r="AO70" i="22"/>
  <c r="AN70" i="22"/>
  <c r="AM70" i="22"/>
  <c r="AL70" i="22"/>
  <c r="AK70" i="22"/>
  <c r="AQ69" i="22"/>
  <c r="AP69" i="22"/>
  <c r="AO69" i="22"/>
  <c r="AN69" i="22"/>
  <c r="AM69" i="22"/>
  <c r="AL69" i="22"/>
  <c r="AK69" i="22"/>
  <c r="AQ68" i="22"/>
  <c r="AP68" i="22"/>
  <c r="AO68" i="22"/>
  <c r="AN68" i="22"/>
  <c r="AM68" i="22"/>
  <c r="AL68" i="22"/>
  <c r="AK68" i="22"/>
  <c r="AQ67" i="22"/>
  <c r="AP67" i="22"/>
  <c r="AO67" i="22"/>
  <c r="AN67" i="22"/>
  <c r="AM67" i="22"/>
  <c r="AL67" i="22"/>
  <c r="AK67" i="22"/>
  <c r="AQ66" i="22"/>
  <c r="AP66" i="22"/>
  <c r="AO66" i="22"/>
  <c r="AN66" i="22"/>
  <c r="AM66" i="22"/>
  <c r="AL66" i="22"/>
  <c r="AK66" i="22"/>
  <c r="AQ65" i="22"/>
  <c r="AP65" i="22"/>
  <c r="AO65" i="22"/>
  <c r="AN65" i="22"/>
  <c r="AM65" i="22"/>
  <c r="AL65" i="22"/>
  <c r="AK65" i="22"/>
  <c r="AQ64" i="22"/>
  <c r="AP64" i="22"/>
  <c r="AO64" i="22"/>
  <c r="AN64" i="22"/>
  <c r="AM64" i="22"/>
  <c r="AL64" i="22"/>
  <c r="AK64" i="22"/>
  <c r="AQ63" i="22"/>
  <c r="AP63" i="22"/>
  <c r="AO63" i="22"/>
  <c r="AN63" i="22"/>
  <c r="AM63" i="22"/>
  <c r="AL63" i="22"/>
  <c r="AK63" i="22"/>
  <c r="AQ62" i="22"/>
  <c r="AP62" i="22"/>
  <c r="AO62" i="22"/>
  <c r="AN62" i="22"/>
  <c r="AM62" i="22"/>
  <c r="AL62" i="22"/>
  <c r="AK62" i="22"/>
  <c r="AQ61" i="22"/>
  <c r="AP61" i="22"/>
  <c r="AO61" i="22"/>
  <c r="AN61" i="22"/>
  <c r="AM61" i="22"/>
  <c r="AL61" i="22"/>
  <c r="AK61" i="22"/>
  <c r="AQ60" i="22"/>
  <c r="AP60" i="22"/>
  <c r="AO60" i="22"/>
  <c r="AN60" i="22"/>
  <c r="AM60" i="22"/>
  <c r="AL60" i="22"/>
  <c r="AK60" i="22"/>
  <c r="AQ59" i="22"/>
  <c r="AP59" i="22"/>
  <c r="AO59" i="22"/>
  <c r="AN59" i="22"/>
  <c r="AM59" i="22"/>
  <c r="AL59" i="22"/>
  <c r="AK59" i="22"/>
  <c r="AQ41" i="22"/>
  <c r="AP41" i="22"/>
  <c r="AO41" i="22"/>
  <c r="AN41" i="22"/>
  <c r="AM41" i="22"/>
  <c r="AL41" i="22"/>
  <c r="AK41" i="22"/>
  <c r="AQ40" i="22"/>
  <c r="AP40" i="22"/>
  <c r="AO40" i="22"/>
  <c r="AN40" i="22"/>
  <c r="AM40" i="22"/>
  <c r="AL40" i="22"/>
  <c r="AK40" i="22"/>
  <c r="AQ39" i="22"/>
  <c r="AP39" i="22"/>
  <c r="AO39" i="22"/>
  <c r="AN39" i="22"/>
  <c r="AM39" i="22"/>
  <c r="AL39" i="22"/>
  <c r="AK39" i="22"/>
  <c r="AQ38" i="22"/>
  <c r="AP38" i="22"/>
  <c r="AO38" i="22"/>
  <c r="AN38" i="22"/>
  <c r="AM38" i="22"/>
  <c r="AL38" i="22"/>
  <c r="AK38" i="22"/>
  <c r="AQ36" i="22"/>
  <c r="AP36" i="22"/>
  <c r="AO36" i="22"/>
  <c r="AN36" i="22"/>
  <c r="AM36" i="22"/>
  <c r="AL36" i="22"/>
  <c r="AK36" i="22"/>
  <c r="AQ35" i="22"/>
  <c r="AP35" i="22"/>
  <c r="AO35" i="22"/>
  <c r="AN35" i="22"/>
  <c r="AM35" i="22"/>
  <c r="AL35" i="22"/>
  <c r="AK35" i="22"/>
  <c r="AQ34" i="22"/>
  <c r="AP34" i="22"/>
  <c r="AO34" i="22"/>
  <c r="AN34" i="22"/>
  <c r="AM34" i="22"/>
  <c r="AL34" i="22"/>
  <c r="AK34" i="22"/>
  <c r="AQ33" i="22"/>
  <c r="AP33" i="22"/>
  <c r="AO33" i="22"/>
  <c r="AN33" i="22"/>
  <c r="AM33" i="22"/>
  <c r="AL33" i="22"/>
  <c r="AK33" i="22"/>
  <c r="AQ32" i="22"/>
  <c r="AP32" i="22"/>
  <c r="AO32" i="22"/>
  <c r="AN32" i="22"/>
  <c r="AM32" i="22"/>
  <c r="AL32" i="22"/>
  <c r="AK32" i="22"/>
  <c r="AQ31" i="22"/>
  <c r="AP31" i="22"/>
  <c r="AO31" i="22"/>
  <c r="AN31" i="22"/>
  <c r="AM31" i="22"/>
  <c r="AL31" i="22"/>
  <c r="AK31" i="22"/>
  <c r="AQ30" i="22"/>
  <c r="AQ48" i="22" s="1"/>
  <c r="AP30" i="22"/>
  <c r="AP48" i="22" s="1"/>
  <c r="AO30" i="22"/>
  <c r="AO48" i="22" s="1"/>
  <c r="AN30" i="22"/>
  <c r="AN48" i="22" s="1"/>
  <c r="AM30" i="22"/>
  <c r="AM48" i="22" s="1"/>
  <c r="AL30" i="22"/>
  <c r="AL48" i="22" s="1"/>
  <c r="AK30" i="22"/>
  <c r="AK48" i="22" s="1"/>
  <c r="AQ29" i="22"/>
  <c r="AP29" i="22"/>
  <c r="AO29" i="22"/>
  <c r="AN29" i="22"/>
  <c r="AM29" i="22"/>
  <c r="AL29" i="22"/>
  <c r="AK29" i="22"/>
  <c r="AQ28" i="22"/>
  <c r="AP28" i="22"/>
  <c r="AO28" i="22"/>
  <c r="AN28" i="22"/>
  <c r="AM28" i="22"/>
  <c r="AL28" i="22"/>
  <c r="AK28" i="22"/>
  <c r="AQ27" i="22"/>
  <c r="AP27" i="22"/>
  <c r="AO27" i="22"/>
  <c r="AN27" i="22"/>
  <c r="AM27" i="22"/>
  <c r="AL27" i="22"/>
  <c r="AK27" i="22"/>
  <c r="AQ26" i="22"/>
  <c r="AP26" i="22"/>
  <c r="AO26" i="22"/>
  <c r="AN26" i="22"/>
  <c r="AM26" i="22"/>
  <c r="AL26" i="22"/>
  <c r="AK26" i="22"/>
  <c r="AQ25" i="22"/>
  <c r="AP25" i="22"/>
  <c r="AO25" i="22"/>
  <c r="AN25" i="22"/>
  <c r="AM25" i="22"/>
  <c r="AL25" i="22"/>
  <c r="AK25" i="22"/>
  <c r="AQ24" i="22"/>
  <c r="AP24" i="22"/>
  <c r="AO24" i="22"/>
  <c r="AN24" i="22"/>
  <c r="AM24" i="22"/>
  <c r="AL24" i="22"/>
  <c r="AK24" i="22"/>
  <c r="AQ23" i="22"/>
  <c r="AP23" i="22"/>
  <c r="AO23" i="22"/>
  <c r="AN23" i="22"/>
  <c r="AM23" i="22"/>
  <c r="AL23" i="22"/>
  <c r="AK23" i="22"/>
  <c r="AQ22" i="22"/>
  <c r="AP22" i="22"/>
  <c r="AO22" i="22"/>
  <c r="AN22" i="22"/>
  <c r="AM22" i="22"/>
  <c r="AL22" i="22"/>
  <c r="AK22" i="22"/>
  <c r="AQ21" i="22"/>
  <c r="AP21" i="22"/>
  <c r="AO21" i="22"/>
  <c r="AN21" i="22"/>
  <c r="AM21" i="22"/>
  <c r="AL21" i="22"/>
  <c r="AK21" i="22"/>
  <c r="AQ20" i="22"/>
  <c r="AP20" i="22"/>
  <c r="AO20" i="22"/>
  <c r="AN20" i="22"/>
  <c r="AM20" i="22"/>
  <c r="AL20" i="22"/>
  <c r="AK20" i="22"/>
  <c r="AQ18" i="22"/>
  <c r="AP18" i="22"/>
  <c r="AO18" i="22"/>
  <c r="AN18" i="22"/>
  <c r="AM18" i="22"/>
  <c r="AL18" i="22"/>
  <c r="AK18" i="22"/>
  <c r="AQ17" i="22"/>
  <c r="AP17" i="22"/>
  <c r="AO17" i="22"/>
  <c r="AN17" i="22"/>
  <c r="AM17" i="22"/>
  <c r="AL17" i="22"/>
  <c r="AK17" i="22"/>
  <c r="AQ16" i="22"/>
  <c r="AP16" i="22"/>
  <c r="AO16" i="22"/>
  <c r="AN16" i="22"/>
  <c r="AM16" i="22"/>
  <c r="AL16" i="22"/>
  <c r="AK16" i="22"/>
  <c r="AQ15" i="22"/>
  <c r="AP15" i="22"/>
  <c r="AO15" i="22"/>
  <c r="AN15" i="22"/>
  <c r="AM15" i="22"/>
  <c r="AL15" i="22"/>
  <c r="AK15" i="22"/>
  <c r="AQ14" i="22"/>
  <c r="AP14" i="22"/>
  <c r="AO14" i="22"/>
  <c r="AN14" i="22"/>
  <c r="AM14" i="22"/>
  <c r="AL14" i="22"/>
  <c r="AK14" i="22"/>
  <c r="AQ13" i="22"/>
  <c r="AP13" i="22"/>
  <c r="AO13" i="22"/>
  <c r="AN13" i="22"/>
  <c r="AM13" i="22"/>
  <c r="AL13" i="22"/>
  <c r="AK13" i="22"/>
  <c r="AQ12" i="22"/>
  <c r="AP12" i="22"/>
  <c r="AO12" i="22"/>
  <c r="AN12" i="22"/>
  <c r="AM12" i="22"/>
  <c r="AL12" i="22"/>
  <c r="AK12" i="22"/>
  <c r="AQ11" i="22"/>
  <c r="AP11" i="22"/>
  <c r="AO11" i="22"/>
  <c r="AN11" i="22"/>
  <c r="AM11" i="22"/>
  <c r="AL11" i="22"/>
  <c r="AK11" i="22"/>
  <c r="AQ10" i="22"/>
  <c r="AP10" i="22"/>
  <c r="AO10" i="22"/>
  <c r="AN10" i="22"/>
  <c r="AM10" i="22"/>
  <c r="AL10" i="22"/>
  <c r="AK10" i="22"/>
  <c r="AQ9" i="22"/>
  <c r="AP9" i="22"/>
  <c r="AO9" i="22"/>
  <c r="AN9" i="22"/>
  <c r="AM9" i="22"/>
  <c r="AL9" i="22"/>
  <c r="AK9" i="22"/>
  <c r="AQ5" i="22"/>
  <c r="AP5" i="22"/>
  <c r="AO5" i="22"/>
  <c r="AN5" i="22"/>
  <c r="AM5" i="22"/>
  <c r="AL5" i="22"/>
  <c r="AK5" i="22"/>
  <c r="J92" i="16"/>
  <c r="J91" i="16"/>
  <c r="G94" i="16"/>
  <c r="G93" i="16"/>
  <c r="G92" i="16"/>
  <c r="G91" i="16"/>
  <c r="G90" i="16"/>
  <c r="G89" i="16"/>
  <c r="G4" i="22"/>
  <c r="G58" i="22" s="1"/>
  <c r="H4" i="22"/>
  <c r="H58" i="22" s="1"/>
  <c r="I4" i="22"/>
  <c r="I58" i="22" s="1"/>
  <c r="J4" i="22"/>
  <c r="J58" i="22" s="1"/>
  <c r="K4" i="22"/>
  <c r="K58" i="22" s="1"/>
  <c r="L4" i="22"/>
  <c r="L58" i="22" s="1"/>
  <c r="M4" i="22"/>
  <c r="M58" i="22" s="1"/>
  <c r="N4" i="22"/>
  <c r="N58" i="22" s="1"/>
  <c r="O4" i="22"/>
  <c r="O58" i="22" s="1"/>
  <c r="P4" i="22"/>
  <c r="P58" i="22" s="1"/>
  <c r="Q4" i="22"/>
  <c r="Q58" i="22" s="1"/>
  <c r="R4" i="22"/>
  <c r="R58" i="22" s="1"/>
  <c r="S58" i="22"/>
  <c r="T4" i="22"/>
  <c r="T58" i="22" s="1"/>
  <c r="U4" i="22"/>
  <c r="U58" i="22" s="1"/>
  <c r="V4" i="22"/>
  <c r="V58" i="22" s="1"/>
  <c r="W4" i="22"/>
  <c r="W58" i="22" s="1"/>
  <c r="X4" i="22"/>
  <c r="X58" i="22" s="1"/>
  <c r="Y4" i="22"/>
  <c r="Y58" i="22" s="1"/>
  <c r="Z4" i="22"/>
  <c r="Z58" i="22" s="1"/>
  <c r="AA4" i="22"/>
  <c r="AA58" i="22" s="1"/>
  <c r="AB4" i="22"/>
  <c r="AB58" i="22" s="1"/>
  <c r="AC4" i="22"/>
  <c r="AC58" i="22" s="1"/>
  <c r="AD4" i="22"/>
  <c r="AD58" i="22" s="1"/>
  <c r="AE4" i="22"/>
  <c r="AE58" i="22" s="1"/>
  <c r="AF4" i="22"/>
  <c r="AF58" i="22" s="1"/>
  <c r="AG4" i="22"/>
  <c r="AG58" i="22" s="1"/>
  <c r="AH4" i="22"/>
  <c r="AH58" i="22" s="1"/>
  <c r="AI4" i="22"/>
  <c r="AI58" i="22" s="1"/>
  <c r="AJ4" i="22"/>
  <c r="AJ58" i="22" s="1"/>
  <c r="E5" i="22"/>
  <c r="AV5" i="22" s="1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E6" i="22"/>
  <c r="AV6" i="22" s="1"/>
  <c r="E7" i="22"/>
  <c r="AV7" i="22" s="1"/>
  <c r="E9" i="22"/>
  <c r="AV9" i="22" s="1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E10" i="22"/>
  <c r="AV10" i="22" s="1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E11" i="22"/>
  <c r="AV11" i="22" s="1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E13" i="22"/>
  <c r="AV13" i="22" s="1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E14" i="22"/>
  <c r="AV14" i="22" s="1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E15" i="22"/>
  <c r="AV15" i="22" s="1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E16" i="22"/>
  <c r="AV16" i="22" s="1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AH16" i="22"/>
  <c r="AI16" i="22"/>
  <c r="AJ16" i="22"/>
  <c r="E17" i="22"/>
  <c r="AV17" i="22" s="1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AH17" i="22"/>
  <c r="AI17" i="22"/>
  <c r="AJ17" i="22"/>
  <c r="E18" i="22"/>
  <c r="AV18" i="22" s="1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AH18" i="22"/>
  <c r="AI18" i="22"/>
  <c r="AJ18" i="22"/>
  <c r="E20" i="22"/>
  <c r="AV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E21" i="22"/>
  <c r="AV21" i="22" s="1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E22" i="22"/>
  <c r="AV22" i="22" s="1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E23" i="22"/>
  <c r="AV23" i="22" s="1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E24" i="22"/>
  <c r="AV24" i="22" s="1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AH24" i="22"/>
  <c r="AI24" i="22"/>
  <c r="AJ24" i="22"/>
  <c r="E25" i="22"/>
  <c r="AV25" i="22" s="1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AH25" i="22"/>
  <c r="AI25" i="22"/>
  <c r="AJ25" i="22"/>
  <c r="E26" i="22"/>
  <c r="AV26" i="22" s="1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AH26" i="22"/>
  <c r="AI26" i="22"/>
  <c r="AJ26" i="22"/>
  <c r="E27" i="22"/>
  <c r="AV27" i="22" s="1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AJ27" i="22"/>
  <c r="E28" i="22"/>
  <c r="AV28" i="22" s="1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AA28" i="22"/>
  <c r="AB28" i="22"/>
  <c r="AC28" i="22"/>
  <c r="AD28" i="22"/>
  <c r="AE28" i="22"/>
  <c r="AF28" i="22"/>
  <c r="AG28" i="22"/>
  <c r="AH28" i="22"/>
  <c r="AI28" i="22"/>
  <c r="AJ28" i="22"/>
  <c r="E29" i="22"/>
  <c r="AV29" i="22" s="1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AJ29" i="22"/>
  <c r="E30" i="22"/>
  <c r="AV30" i="22" s="1"/>
  <c r="G30" i="22"/>
  <c r="G48" i="22" s="1"/>
  <c r="H30" i="22"/>
  <c r="H48" i="22" s="1"/>
  <c r="I30" i="22"/>
  <c r="I48" i="22" s="1"/>
  <c r="J30" i="22"/>
  <c r="J48" i="22" s="1"/>
  <c r="K30" i="22"/>
  <c r="K48" i="22" s="1"/>
  <c r="L30" i="22"/>
  <c r="L48" i="22" s="1"/>
  <c r="M30" i="22"/>
  <c r="M48" i="22" s="1"/>
  <c r="N30" i="22"/>
  <c r="N48" i="22" s="1"/>
  <c r="O30" i="22"/>
  <c r="O48" i="22" s="1"/>
  <c r="P30" i="22"/>
  <c r="P48" i="22" s="1"/>
  <c r="Q30" i="22"/>
  <c r="Q48" i="22" s="1"/>
  <c r="R30" i="22"/>
  <c r="R48" i="22" s="1"/>
  <c r="S30" i="22"/>
  <c r="S48" i="22" s="1"/>
  <c r="T30" i="22"/>
  <c r="T48" i="22" s="1"/>
  <c r="U30" i="22"/>
  <c r="U48" i="22" s="1"/>
  <c r="V30" i="22"/>
  <c r="V48" i="22" s="1"/>
  <c r="W30" i="22"/>
  <c r="W48" i="22" s="1"/>
  <c r="X30" i="22"/>
  <c r="X48" i="22" s="1"/>
  <c r="Y30" i="22"/>
  <c r="Y48" i="22" s="1"/>
  <c r="Z30" i="22"/>
  <c r="Z48" i="22" s="1"/>
  <c r="AA30" i="22"/>
  <c r="AA48" i="22" s="1"/>
  <c r="AB30" i="22"/>
  <c r="AB48" i="22" s="1"/>
  <c r="AC30" i="22"/>
  <c r="AC48" i="22" s="1"/>
  <c r="AD30" i="22"/>
  <c r="AD48" i="22" s="1"/>
  <c r="AE30" i="22"/>
  <c r="AE48" i="22" s="1"/>
  <c r="AF30" i="22"/>
  <c r="AF48" i="22" s="1"/>
  <c r="AG30" i="22"/>
  <c r="AG48" i="22" s="1"/>
  <c r="AH30" i="22"/>
  <c r="AH48" i="22" s="1"/>
  <c r="AI30" i="22"/>
  <c r="AI48" i="22" s="1"/>
  <c r="AJ30" i="22"/>
  <c r="AJ48" i="22" s="1"/>
  <c r="E31" i="22"/>
  <c r="AV31" i="22" s="1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AA31" i="22"/>
  <c r="AB31" i="22"/>
  <c r="AC31" i="22"/>
  <c r="AD31" i="22"/>
  <c r="AE31" i="22"/>
  <c r="AF31" i="22"/>
  <c r="AG31" i="22"/>
  <c r="AH31" i="22"/>
  <c r="AI31" i="22"/>
  <c r="AJ31" i="22"/>
  <c r="E32" i="22"/>
  <c r="AV32" i="22" s="1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AA32" i="22"/>
  <c r="AB32" i="22"/>
  <c r="AC32" i="22"/>
  <c r="AD32" i="22"/>
  <c r="AE32" i="22"/>
  <c r="AF32" i="22"/>
  <c r="AG32" i="22"/>
  <c r="AH32" i="22"/>
  <c r="AI32" i="22"/>
  <c r="AJ32" i="22"/>
  <c r="E33" i="22"/>
  <c r="AV33" i="22" s="1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AA33" i="22"/>
  <c r="AB33" i="22"/>
  <c r="AC33" i="22"/>
  <c r="AD33" i="22"/>
  <c r="AE33" i="22"/>
  <c r="AF33" i="22"/>
  <c r="AG33" i="22"/>
  <c r="AH33" i="22"/>
  <c r="AI33" i="22"/>
  <c r="AJ33" i="22"/>
  <c r="E34" i="22"/>
  <c r="AV34" i="22" s="1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AA34" i="22"/>
  <c r="AB34" i="22"/>
  <c r="AC34" i="22"/>
  <c r="AD34" i="22"/>
  <c r="AE34" i="22"/>
  <c r="AF34" i="22"/>
  <c r="AG34" i="22"/>
  <c r="AH34" i="22"/>
  <c r="AI34" i="22"/>
  <c r="AJ34" i="22"/>
  <c r="E35" i="22"/>
  <c r="AV35" i="22" s="1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AG35" i="22"/>
  <c r="AH35" i="22"/>
  <c r="AI35" i="22"/>
  <c r="AJ35" i="22"/>
  <c r="E36" i="22"/>
  <c r="AV36" i="22" s="1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AA36" i="22"/>
  <c r="AB36" i="22"/>
  <c r="AC36" i="22"/>
  <c r="AD36" i="22"/>
  <c r="AE36" i="22"/>
  <c r="AF36" i="22"/>
  <c r="AG36" i="22"/>
  <c r="AH36" i="22"/>
  <c r="AI36" i="22"/>
  <c r="AJ36" i="22"/>
  <c r="E38" i="22"/>
  <c r="AV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AA38" i="22"/>
  <c r="AB38" i="22"/>
  <c r="AC38" i="22"/>
  <c r="AD38" i="22"/>
  <c r="AE38" i="22"/>
  <c r="AF38" i="22"/>
  <c r="AG38" i="22"/>
  <c r="AH38" i="22"/>
  <c r="AI38" i="22"/>
  <c r="AJ38" i="22"/>
  <c r="E39" i="22"/>
  <c r="AV39" i="22" s="1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AH39" i="22"/>
  <c r="AI39" i="22"/>
  <c r="AJ39" i="22"/>
  <c r="E40" i="22"/>
  <c r="AV40" i="22" s="1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AA40" i="22"/>
  <c r="AB40" i="22"/>
  <c r="AC40" i="22"/>
  <c r="AD40" i="22"/>
  <c r="AE40" i="22"/>
  <c r="AF40" i="22"/>
  <c r="AG40" i="22"/>
  <c r="AH40" i="22"/>
  <c r="AI40" i="22"/>
  <c r="AJ40" i="22"/>
  <c r="E41" i="22"/>
  <c r="AV41" i="22" s="1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AA41" i="22"/>
  <c r="AB41" i="22"/>
  <c r="AC41" i="22"/>
  <c r="AD41" i="22"/>
  <c r="AE41" i="22"/>
  <c r="AF41" i="22"/>
  <c r="AG41" i="22"/>
  <c r="AH41" i="22"/>
  <c r="AI41" i="22"/>
  <c r="AJ41" i="22"/>
  <c r="E59" i="22"/>
  <c r="AV59" i="22" s="1"/>
  <c r="G59" i="22"/>
  <c r="H59" i="22"/>
  <c r="I59" i="22"/>
  <c r="J59" i="22"/>
  <c r="K59" i="22"/>
  <c r="L59" i="22"/>
  <c r="M59" i="22"/>
  <c r="N59" i="22"/>
  <c r="O59" i="22"/>
  <c r="P59" i="22"/>
  <c r="Q59" i="22"/>
  <c r="R59" i="22"/>
  <c r="S59" i="22"/>
  <c r="T59" i="22"/>
  <c r="U59" i="22"/>
  <c r="V59" i="22"/>
  <c r="W59" i="22"/>
  <c r="X59" i="22"/>
  <c r="Y59" i="22"/>
  <c r="Z59" i="22"/>
  <c r="AA59" i="22"/>
  <c r="AB59" i="22"/>
  <c r="AC59" i="22"/>
  <c r="AD59" i="22"/>
  <c r="AE59" i="22"/>
  <c r="AF59" i="22"/>
  <c r="AG59" i="22"/>
  <c r="AH59" i="22"/>
  <c r="AI59" i="22"/>
  <c r="AJ59" i="22"/>
  <c r="E60" i="22"/>
  <c r="AV60" i="22" s="1"/>
  <c r="G60" i="22"/>
  <c r="H60" i="22"/>
  <c r="I60" i="22"/>
  <c r="J60" i="22"/>
  <c r="K60" i="22"/>
  <c r="L60" i="22"/>
  <c r="M60" i="22"/>
  <c r="N60" i="22"/>
  <c r="O60" i="22"/>
  <c r="P60" i="22"/>
  <c r="Q60" i="22"/>
  <c r="R60" i="22"/>
  <c r="S60" i="22"/>
  <c r="T60" i="22"/>
  <c r="U60" i="22"/>
  <c r="V60" i="22"/>
  <c r="W60" i="22"/>
  <c r="X60" i="22"/>
  <c r="Y60" i="22"/>
  <c r="Z60" i="22"/>
  <c r="AA60" i="22"/>
  <c r="AB60" i="22"/>
  <c r="AC60" i="22"/>
  <c r="AD60" i="22"/>
  <c r="AE60" i="22"/>
  <c r="AF60" i="22"/>
  <c r="AG60" i="22"/>
  <c r="AH60" i="22"/>
  <c r="AI60" i="22"/>
  <c r="AJ60" i="22"/>
  <c r="E61" i="22"/>
  <c r="AV61" i="22" s="1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E62" i="22"/>
  <c r="AV62" i="22" s="1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E63" i="22"/>
  <c r="AV63" i="22" s="1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E64" i="22"/>
  <c r="AV64" i="22" s="1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E65" i="22"/>
  <c r="AV65" i="22" s="1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E66" i="22"/>
  <c r="AV66" i="22" s="1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E67" i="22"/>
  <c r="AV67" i="22" s="1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E68" i="22"/>
  <c r="AV68" i="22" s="1"/>
  <c r="G68" i="22"/>
  <c r="H68" i="22"/>
  <c r="I68" i="22"/>
  <c r="J68" i="22"/>
  <c r="K68" i="22"/>
  <c r="L68" i="22"/>
  <c r="M68" i="22"/>
  <c r="N68" i="22"/>
  <c r="O68" i="22"/>
  <c r="P68" i="22"/>
  <c r="Q68" i="22"/>
  <c r="R68" i="22"/>
  <c r="S68" i="22"/>
  <c r="T68" i="22"/>
  <c r="U68" i="22"/>
  <c r="V68" i="22"/>
  <c r="W68" i="22"/>
  <c r="X68" i="22"/>
  <c r="Y68" i="22"/>
  <c r="Z68" i="22"/>
  <c r="AA68" i="22"/>
  <c r="AB68" i="22"/>
  <c r="AC68" i="22"/>
  <c r="AD68" i="22"/>
  <c r="AE68" i="22"/>
  <c r="AF68" i="22"/>
  <c r="AG68" i="22"/>
  <c r="AH68" i="22"/>
  <c r="AI68" i="22"/>
  <c r="AJ68" i="22"/>
  <c r="E69" i="22"/>
  <c r="AV69" i="22" s="1"/>
  <c r="G69" i="22"/>
  <c r="H69" i="22"/>
  <c r="I69" i="22"/>
  <c r="J69" i="22"/>
  <c r="K69" i="22"/>
  <c r="L69" i="22"/>
  <c r="M69" i="22"/>
  <c r="N69" i="22"/>
  <c r="O69" i="22"/>
  <c r="P69" i="22"/>
  <c r="Q69" i="22"/>
  <c r="R69" i="22"/>
  <c r="S69" i="22"/>
  <c r="T69" i="22"/>
  <c r="U69" i="22"/>
  <c r="V69" i="22"/>
  <c r="W69" i="22"/>
  <c r="X69" i="22"/>
  <c r="Y69" i="22"/>
  <c r="Z69" i="22"/>
  <c r="AA69" i="22"/>
  <c r="AB69" i="22"/>
  <c r="AC69" i="22"/>
  <c r="AD69" i="22"/>
  <c r="AE69" i="22"/>
  <c r="AF69" i="22"/>
  <c r="AG69" i="22"/>
  <c r="AH69" i="22"/>
  <c r="AI69" i="22"/>
  <c r="AJ69" i="22"/>
  <c r="E70" i="22"/>
  <c r="AV70" i="22" s="1"/>
  <c r="G70" i="22"/>
  <c r="H70" i="22"/>
  <c r="I70" i="22"/>
  <c r="J70" i="22"/>
  <c r="K70" i="22"/>
  <c r="L70" i="22"/>
  <c r="M70" i="22"/>
  <c r="N70" i="22"/>
  <c r="O70" i="22"/>
  <c r="P70" i="22"/>
  <c r="Q70" i="22"/>
  <c r="R70" i="22"/>
  <c r="S70" i="22"/>
  <c r="T70" i="22"/>
  <c r="U70" i="22"/>
  <c r="V70" i="22"/>
  <c r="W70" i="22"/>
  <c r="X70" i="22"/>
  <c r="Y70" i="22"/>
  <c r="Z70" i="22"/>
  <c r="AA70" i="22"/>
  <c r="AB70" i="22"/>
  <c r="AC70" i="22"/>
  <c r="AD70" i="22"/>
  <c r="AE70" i="22"/>
  <c r="AF70" i="22"/>
  <c r="AG70" i="22"/>
  <c r="AH70" i="22"/>
  <c r="AI70" i="22"/>
  <c r="AJ70" i="22"/>
  <c r="E71" i="22"/>
  <c r="AV71" i="22" s="1"/>
  <c r="G71" i="22"/>
  <c r="H71" i="22"/>
  <c r="I71" i="22"/>
  <c r="J71" i="22"/>
  <c r="K71" i="22"/>
  <c r="L71" i="22"/>
  <c r="M71" i="22"/>
  <c r="N71" i="22"/>
  <c r="O71" i="22"/>
  <c r="P71" i="22"/>
  <c r="Q71" i="22"/>
  <c r="R71" i="22"/>
  <c r="S71" i="22"/>
  <c r="T71" i="22"/>
  <c r="U71" i="22"/>
  <c r="V71" i="22"/>
  <c r="W71" i="22"/>
  <c r="X71" i="22"/>
  <c r="Y71" i="22"/>
  <c r="Z71" i="22"/>
  <c r="AA71" i="22"/>
  <c r="AB71" i="22"/>
  <c r="AC71" i="22"/>
  <c r="AD71" i="22"/>
  <c r="AE71" i="22"/>
  <c r="AF71" i="22"/>
  <c r="AG71" i="22"/>
  <c r="AH71" i="22"/>
  <c r="AI71" i="22"/>
  <c r="AJ71" i="22"/>
  <c r="E72" i="22"/>
  <c r="AV72" i="22" s="1"/>
  <c r="G72" i="22"/>
  <c r="H72" i="22"/>
  <c r="I72" i="22"/>
  <c r="J72" i="22"/>
  <c r="K72" i="22"/>
  <c r="L72" i="22"/>
  <c r="M72" i="22"/>
  <c r="N72" i="22"/>
  <c r="O72" i="22"/>
  <c r="P72" i="22"/>
  <c r="Q72" i="22"/>
  <c r="R72" i="22"/>
  <c r="S72" i="22"/>
  <c r="T72" i="22"/>
  <c r="U72" i="22"/>
  <c r="V72" i="22"/>
  <c r="W72" i="22"/>
  <c r="X72" i="22"/>
  <c r="Y72" i="22"/>
  <c r="Z72" i="22"/>
  <c r="AA72" i="22"/>
  <c r="AB72" i="22"/>
  <c r="AC72" i="22"/>
  <c r="AD72" i="22"/>
  <c r="AE72" i="22"/>
  <c r="AF72" i="22"/>
  <c r="AG72" i="22"/>
  <c r="AH72" i="22"/>
  <c r="AI72" i="22"/>
  <c r="AJ72" i="22"/>
  <c r="E73" i="22"/>
  <c r="AV73" i="22" s="1"/>
  <c r="G73" i="22"/>
  <c r="H73" i="22"/>
  <c r="I73" i="22"/>
  <c r="J73" i="22"/>
  <c r="K73" i="22"/>
  <c r="L73" i="22"/>
  <c r="M73" i="22"/>
  <c r="N73" i="22"/>
  <c r="O73" i="22"/>
  <c r="P73" i="22"/>
  <c r="Q73" i="22"/>
  <c r="R73" i="22"/>
  <c r="S73" i="22"/>
  <c r="T73" i="22"/>
  <c r="U73" i="22"/>
  <c r="V73" i="22"/>
  <c r="W73" i="22"/>
  <c r="X73" i="22"/>
  <c r="Y73" i="22"/>
  <c r="Z73" i="22"/>
  <c r="AA73" i="22"/>
  <c r="AB73" i="22"/>
  <c r="AC73" i="22"/>
  <c r="AD73" i="22"/>
  <c r="AE73" i="22"/>
  <c r="AF73" i="22"/>
  <c r="AG73" i="22"/>
  <c r="AH73" i="22"/>
  <c r="AI73" i="22"/>
  <c r="AJ73" i="22"/>
  <c r="E74" i="22"/>
  <c r="AV74" i="22" s="1"/>
  <c r="G74" i="22"/>
  <c r="H74" i="22"/>
  <c r="I74" i="22"/>
  <c r="J74" i="22"/>
  <c r="K74" i="22"/>
  <c r="L74" i="22"/>
  <c r="M74" i="22"/>
  <c r="N74" i="22"/>
  <c r="O74" i="22"/>
  <c r="P74" i="22"/>
  <c r="Q74" i="22"/>
  <c r="R74" i="22"/>
  <c r="S74" i="22"/>
  <c r="T74" i="22"/>
  <c r="U74" i="22"/>
  <c r="V74" i="22"/>
  <c r="W74" i="22"/>
  <c r="X74" i="22"/>
  <c r="Y74" i="22"/>
  <c r="Z74" i="22"/>
  <c r="AA74" i="22"/>
  <c r="AB74" i="22"/>
  <c r="AC74" i="22"/>
  <c r="AD74" i="22"/>
  <c r="AE74" i="22"/>
  <c r="AF74" i="22"/>
  <c r="AG74" i="22"/>
  <c r="AH74" i="22"/>
  <c r="AI74" i="22"/>
  <c r="AJ74" i="22"/>
  <c r="E75" i="22"/>
  <c r="AV75" i="22" s="1"/>
  <c r="G75" i="22"/>
  <c r="H75" i="22"/>
  <c r="I75" i="22"/>
  <c r="J75" i="22"/>
  <c r="K75" i="22"/>
  <c r="L75" i="22"/>
  <c r="M75" i="22"/>
  <c r="N75" i="22"/>
  <c r="O75" i="22"/>
  <c r="P75" i="22"/>
  <c r="Q75" i="22"/>
  <c r="R75" i="22"/>
  <c r="S75" i="22"/>
  <c r="T75" i="22"/>
  <c r="U75" i="22"/>
  <c r="V75" i="22"/>
  <c r="W75" i="22"/>
  <c r="X75" i="22"/>
  <c r="Y75" i="22"/>
  <c r="Z75" i="22"/>
  <c r="AA75" i="22"/>
  <c r="AB75" i="22"/>
  <c r="AC75" i="22"/>
  <c r="AD75" i="22"/>
  <c r="AE75" i="22"/>
  <c r="AF75" i="22"/>
  <c r="AG75" i="22"/>
  <c r="AH75" i="22"/>
  <c r="AI75" i="22"/>
  <c r="AJ75" i="22"/>
  <c r="E77" i="22"/>
  <c r="AV77" i="22" s="1"/>
  <c r="G77" i="22"/>
  <c r="H77" i="22"/>
  <c r="I77" i="22"/>
  <c r="J77" i="22"/>
  <c r="K77" i="22"/>
  <c r="L77" i="22"/>
  <c r="M77" i="22"/>
  <c r="N77" i="22"/>
  <c r="O77" i="22"/>
  <c r="P77" i="22"/>
  <c r="Q77" i="22"/>
  <c r="R77" i="22"/>
  <c r="S77" i="22"/>
  <c r="T77" i="22"/>
  <c r="U77" i="22"/>
  <c r="V77" i="22"/>
  <c r="W77" i="22"/>
  <c r="X77" i="22"/>
  <c r="Y77" i="22"/>
  <c r="Z77" i="22"/>
  <c r="AA77" i="22"/>
  <c r="AB77" i="22"/>
  <c r="AC77" i="22"/>
  <c r="AD77" i="22"/>
  <c r="AE77" i="22"/>
  <c r="AF77" i="22"/>
  <c r="AG77" i="22"/>
  <c r="AH77" i="22"/>
  <c r="AI77" i="22"/>
  <c r="AJ77" i="22"/>
  <c r="E78" i="22"/>
  <c r="AV78" i="22" s="1"/>
  <c r="G78" i="22"/>
  <c r="H78" i="22"/>
  <c r="I78" i="22"/>
  <c r="J78" i="22"/>
  <c r="K78" i="22"/>
  <c r="L78" i="22"/>
  <c r="M78" i="22"/>
  <c r="N78" i="22"/>
  <c r="O78" i="22"/>
  <c r="P78" i="22"/>
  <c r="Q78" i="22"/>
  <c r="R78" i="22"/>
  <c r="S78" i="22"/>
  <c r="T78" i="22"/>
  <c r="U78" i="22"/>
  <c r="V78" i="22"/>
  <c r="W78" i="22"/>
  <c r="X78" i="22"/>
  <c r="Y78" i="22"/>
  <c r="Z78" i="22"/>
  <c r="AA78" i="22"/>
  <c r="AB78" i="22"/>
  <c r="AC78" i="22"/>
  <c r="AD78" i="22"/>
  <c r="AE78" i="22"/>
  <c r="AF78" i="22"/>
  <c r="AG78" i="22"/>
  <c r="AH78" i="22"/>
  <c r="AI78" i="22"/>
  <c r="AJ78" i="22"/>
  <c r="E79" i="22"/>
  <c r="AV79" i="22" s="1"/>
  <c r="G79" i="22"/>
  <c r="H79" i="22"/>
  <c r="I79" i="22"/>
  <c r="J79" i="22"/>
  <c r="K79" i="22"/>
  <c r="L79" i="22"/>
  <c r="M79" i="22"/>
  <c r="N79" i="22"/>
  <c r="O79" i="22"/>
  <c r="P79" i="22"/>
  <c r="Q79" i="22"/>
  <c r="R79" i="22"/>
  <c r="S79" i="22"/>
  <c r="T79" i="22"/>
  <c r="U79" i="22"/>
  <c r="V79" i="22"/>
  <c r="W79" i="22"/>
  <c r="X79" i="22"/>
  <c r="Y79" i="22"/>
  <c r="Z79" i="22"/>
  <c r="AA79" i="22"/>
  <c r="AB79" i="22"/>
  <c r="AC79" i="22"/>
  <c r="AD79" i="22"/>
  <c r="AE79" i="22"/>
  <c r="AF79" i="22"/>
  <c r="AG79" i="22"/>
  <c r="AH79" i="22"/>
  <c r="AI79" i="22"/>
  <c r="AJ79" i="22"/>
  <c r="E80" i="22"/>
  <c r="AV80" i="22" s="1"/>
  <c r="G80" i="22"/>
  <c r="H80" i="22"/>
  <c r="I80" i="22"/>
  <c r="J80" i="22"/>
  <c r="K80" i="22"/>
  <c r="L80" i="22"/>
  <c r="M80" i="22"/>
  <c r="N80" i="22"/>
  <c r="O80" i="22"/>
  <c r="P80" i="22"/>
  <c r="Q80" i="22"/>
  <c r="R80" i="22"/>
  <c r="S80" i="22"/>
  <c r="T80" i="22"/>
  <c r="U80" i="22"/>
  <c r="V80" i="22"/>
  <c r="W80" i="22"/>
  <c r="X80" i="22"/>
  <c r="Y80" i="22"/>
  <c r="Z80" i="22"/>
  <c r="AA80" i="22"/>
  <c r="AB80" i="22"/>
  <c r="AC80" i="22"/>
  <c r="AD80" i="22"/>
  <c r="AE80" i="22"/>
  <c r="AF80" i="22"/>
  <c r="AG80" i="22"/>
  <c r="AH80" i="22"/>
  <c r="AI80" i="22"/>
  <c r="AJ80" i="22"/>
  <c r="E81" i="22"/>
  <c r="AV81" i="22"/>
  <c r="G81" i="22"/>
  <c r="H81" i="22"/>
  <c r="I81" i="22"/>
  <c r="J81" i="22"/>
  <c r="K81" i="22"/>
  <c r="L81" i="22"/>
  <c r="M81" i="22"/>
  <c r="N81" i="22"/>
  <c r="O81" i="22"/>
  <c r="P81" i="22"/>
  <c r="Q81" i="22"/>
  <c r="R81" i="22"/>
  <c r="S81" i="22"/>
  <c r="T81" i="22"/>
  <c r="U81" i="22"/>
  <c r="V81" i="22"/>
  <c r="W81" i="22"/>
  <c r="X81" i="22"/>
  <c r="Y81" i="22"/>
  <c r="Z81" i="22"/>
  <c r="AA81" i="22"/>
  <c r="AB81" i="22"/>
  <c r="AC81" i="22"/>
  <c r="AD81" i="22"/>
  <c r="AE81" i="22"/>
  <c r="AF81" i="22"/>
  <c r="AG81" i="22"/>
  <c r="AH81" i="22"/>
  <c r="AI81" i="22"/>
  <c r="AJ81" i="22"/>
  <c r="G5" i="23"/>
  <c r="H4" i="23"/>
  <c r="L4" i="23"/>
  <c r="F48" i="22" l="1"/>
  <c r="F7" i="22"/>
  <c r="F65" i="22"/>
  <c r="F77" i="22"/>
  <c r="F73" i="22"/>
  <c r="Z103" i="16"/>
  <c r="F17" i="22"/>
  <c r="F64" i="22"/>
  <c r="F34" i="22"/>
  <c r="F22" i="22"/>
  <c r="F35" i="22"/>
  <c r="F25" i="22"/>
  <c r="F14" i="22"/>
  <c r="F5" i="22"/>
  <c r="F74" i="22"/>
  <c r="F61" i="22"/>
  <c r="F70" i="22"/>
  <c r="L102" i="16"/>
  <c r="F26" i="22"/>
  <c r="F11" i="22"/>
  <c r="F67" i="22"/>
  <c r="F80" i="22"/>
  <c r="F6" i="22"/>
  <c r="F40" i="22"/>
  <c r="F21" i="22"/>
  <c r="F36" i="22"/>
  <c r="F33" i="22"/>
  <c r="F27" i="22"/>
  <c r="F62" i="22"/>
  <c r="F39" i="22"/>
  <c r="F23" i="22"/>
  <c r="F15" i="22"/>
  <c r="F9" i="22"/>
  <c r="F28" i="22"/>
  <c r="F81" i="22"/>
  <c r="F10" i="22"/>
  <c r="F75" i="22"/>
  <c r="F32" i="22"/>
  <c r="F12" i="22"/>
  <c r="F38" i="22"/>
  <c r="F31" i="22"/>
  <c r="F63" i="22"/>
  <c r="F66" i="22"/>
  <c r="F68" i="22"/>
  <c r="F79" i="22"/>
  <c r="F72" i="22"/>
  <c r="F71" i="22"/>
  <c r="F59" i="22"/>
  <c r="W103" i="16"/>
  <c r="F30" i="22"/>
  <c r="F24" i="22"/>
  <c r="F20" i="22"/>
  <c r="F29" i="22"/>
  <c r="F69" i="22"/>
  <c r="F78" i="22"/>
  <c r="F16" i="22"/>
  <c r="F41" i="22"/>
  <c r="F60" i="22"/>
  <c r="F13" i="22"/>
  <c r="F18" i="22"/>
  <c r="E44" i="27"/>
  <c r="L3" i="23"/>
  <c r="I5" i="23"/>
  <c r="J3" i="23"/>
  <c r="J8" i="23"/>
  <c r="L8" i="23"/>
  <c r="I10" i="23"/>
  <c r="AJ102" i="16"/>
  <c r="L9" i="23"/>
  <c r="H9" i="23"/>
  <c r="K101" i="16"/>
  <c r="K102" i="16"/>
  <c r="O98" i="16"/>
  <c r="AE93" i="16"/>
  <c r="V104" i="16"/>
  <c r="V96" i="16"/>
  <c r="U104" i="16"/>
  <c r="AU93" i="16"/>
  <c r="AC101" i="16"/>
  <c r="AG98" i="16"/>
  <c r="Q96" i="16"/>
  <c r="AG99" i="16"/>
  <c r="AN94" i="16"/>
  <c r="AL96" i="16"/>
  <c r="AP102" i="16"/>
  <c r="AP97" i="16"/>
  <c r="AA98" i="16"/>
  <c r="AH97" i="16"/>
  <c r="AF101" i="16"/>
  <c r="AN97" i="16"/>
  <c r="AI102" i="16"/>
  <c r="V103" i="16"/>
  <c r="AJ97" i="16"/>
  <c r="X103" i="16"/>
  <c r="AD99" i="16"/>
  <c r="S104" i="16"/>
  <c r="AN102" i="16"/>
  <c r="X100" i="16"/>
  <c r="AP95" i="16"/>
  <c r="Z99" i="16"/>
  <c r="AO100" i="16"/>
  <c r="AA102" i="16"/>
  <c r="AU95" i="16"/>
  <c r="U99" i="16"/>
  <c r="AJ101" i="16"/>
  <c r="AB101" i="16"/>
  <c r="AO97" i="16"/>
  <c r="T93" i="16"/>
  <c r="Q104" i="16"/>
  <c r="AE103" i="16"/>
  <c r="T98" i="16"/>
  <c r="AL103" i="16"/>
  <c r="AP100" i="16"/>
  <c r="AL101" i="16"/>
  <c r="R99" i="16"/>
  <c r="T97" i="16"/>
  <c r="K98" i="16"/>
  <c r="AG103" i="16"/>
  <c r="T96" i="16"/>
  <c r="U101" i="16"/>
  <c r="T101" i="16"/>
  <c r="AH104" i="16"/>
  <c r="AA93" i="16"/>
  <c r="P103" i="16"/>
  <c r="AA99" i="16"/>
  <c r="S101" i="16"/>
  <c r="AR98" i="16"/>
  <c r="S96" i="16"/>
  <c r="O93" i="16"/>
  <c r="P101" i="16"/>
  <c r="S94" i="16"/>
  <c r="AK100" i="16"/>
  <c r="AI104" i="16"/>
  <c r="P94" i="16"/>
  <c r="K104" i="16"/>
  <c r="AL104" i="16"/>
  <c r="AL100" i="16"/>
  <c r="S103" i="16"/>
  <c r="AR96" i="16"/>
  <c r="P96" i="16"/>
  <c r="AR99" i="16"/>
  <c r="X99" i="16"/>
  <c r="U95" i="16"/>
  <c r="O99" i="16"/>
  <c r="K97" i="16"/>
  <c r="Z95" i="16"/>
  <c r="AR94" i="16"/>
  <c r="AJ94" i="16"/>
  <c r="Y99" i="16"/>
  <c r="AN101" i="16"/>
  <c r="N104" i="16"/>
  <c r="AD93" i="16"/>
  <c r="T104" i="16"/>
  <c r="AR103" i="16"/>
  <c r="L101" i="16"/>
  <c r="AQ101" i="16"/>
  <c r="AQ103" i="16"/>
  <c r="AO98" i="16"/>
  <c r="T99" i="16"/>
  <c r="K96" i="16"/>
  <c r="AQ97" i="16"/>
  <c r="AC103" i="16"/>
  <c r="AA96" i="16"/>
  <c r="R100" i="16"/>
  <c r="AR102" i="16"/>
  <c r="Y100" i="16"/>
  <c r="T102" i="16"/>
  <c r="Z94" i="16"/>
  <c r="AC97" i="16"/>
  <c r="AQ94" i="16"/>
  <c r="AR95" i="16"/>
  <c r="W102" i="16"/>
  <c r="AQ102" i="16"/>
  <c r="AE104" i="16"/>
  <c r="Z100" i="16"/>
  <c r="Y94" i="16"/>
  <c r="M102" i="16"/>
  <c r="AC102" i="16"/>
  <c r="AC95" i="16"/>
  <c r="W96" i="16"/>
  <c r="AR97" i="16"/>
  <c r="AC94" i="16"/>
  <c r="N100" i="16"/>
  <c r="P99" i="16"/>
  <c r="X95" i="16"/>
  <c r="AE96" i="16"/>
  <c r="M100" i="16"/>
  <c r="AC98" i="16"/>
  <c r="M95" i="16"/>
  <c r="AG96" i="16"/>
  <c r="AE98" i="16"/>
  <c r="Z102" i="16"/>
  <c r="R96" i="16"/>
  <c r="R101" i="16"/>
  <c r="AL99" i="16"/>
  <c r="U93" i="16"/>
  <c r="AQ95" i="16"/>
  <c r="Z98" i="16"/>
  <c r="U103" i="16"/>
  <c r="AC104" i="16"/>
  <c r="AC99" i="16"/>
  <c r="AD95" i="16"/>
  <c r="AK95" i="16"/>
  <c r="Q98" i="16"/>
  <c r="U98" i="16"/>
  <c r="AK97" i="16"/>
  <c r="Q100" i="16"/>
  <c r="S99" i="16"/>
  <c r="AQ99" i="16"/>
  <c r="Q95" i="16"/>
  <c r="AT102" i="16"/>
  <c r="AP93" i="16"/>
  <c r="AH100" i="16"/>
  <c r="AU94" i="16"/>
  <c r="AB103" i="16"/>
  <c r="AP104" i="16"/>
  <c r="AB104" i="16"/>
  <c r="P98" i="16"/>
  <c r="Q102" i="16"/>
  <c r="AQ98" i="16"/>
  <c r="T95" i="16"/>
  <c r="AE102" i="16"/>
  <c r="K99" i="16"/>
  <c r="AN96" i="16"/>
  <c r="AD94" i="16"/>
  <c r="AR93" i="16"/>
  <c r="T94" i="16"/>
  <c r="AF99" i="16"/>
  <c r="AT104" i="16"/>
  <c r="V100" i="16"/>
  <c r="Q97" i="16"/>
  <c r="R95" i="16"/>
  <c r="R97" i="16"/>
  <c r="AM101" i="16"/>
  <c r="AD102" i="16"/>
  <c r="P104" i="16"/>
  <c r="R102" i="16"/>
  <c r="S97" i="16"/>
  <c r="S95" i="16"/>
  <c r="AD97" i="16"/>
  <c r="AG97" i="16"/>
  <c r="AB99" i="16"/>
  <c r="AE100" i="16"/>
  <c r="AF102" i="16"/>
  <c r="AE95" i="16"/>
  <c r="S100" i="16"/>
  <c r="AN104" i="16"/>
  <c r="AP98" i="16"/>
  <c r="AQ96" i="16"/>
  <c r="S98" i="16"/>
  <c r="AQ104" i="16"/>
  <c r="AP96" i="16"/>
  <c r="AF97" i="16"/>
  <c r="AB93" i="16"/>
  <c r="AF98" i="16"/>
  <c r="AO104" i="16"/>
  <c r="V99" i="16"/>
  <c r="V101" i="16"/>
  <c r="AR101" i="16"/>
  <c r="L94" i="16"/>
  <c r="AO99" i="16"/>
  <c r="AI101" i="16"/>
  <c r="M94" i="16"/>
  <c r="Y97" i="16"/>
  <c r="AN100" i="16"/>
  <c r="Q103" i="16"/>
  <c r="AM102" i="16"/>
  <c r="J102" i="16" s="1"/>
  <c r="AP101" i="16"/>
  <c r="AP103" i="16"/>
  <c r="AN93" i="16"/>
  <c r="AF104" i="16"/>
  <c r="AG104" i="16"/>
  <c r="AI100" i="16"/>
  <c r="AL97" i="16"/>
  <c r="W97" i="16"/>
  <c r="AJ96" i="16"/>
  <c r="N94" i="16"/>
  <c r="AO94" i="16"/>
  <c r="V98" i="16"/>
  <c r="K103" i="16"/>
  <c r="AO93" i="16"/>
  <c r="M93" i="16"/>
  <c r="AU99" i="16"/>
  <c r="AB102" i="16"/>
  <c r="AL95" i="16"/>
  <c r="AK103" i="16"/>
  <c r="AF94" i="16"/>
  <c r="AF93" i="16"/>
  <c r="AB96" i="16"/>
  <c r="AE101" i="16"/>
  <c r="AF96" i="16"/>
  <c r="N99" i="16"/>
  <c r="Z104" i="16"/>
  <c r="P95" i="16"/>
  <c r="AE94" i="16"/>
  <c r="AF100" i="16"/>
  <c r="AG93" i="16"/>
  <c r="Q101" i="16"/>
  <c r="AL93" i="16"/>
  <c r="AB94" i="16"/>
  <c r="AH95" i="16"/>
  <c r="AT99" i="16"/>
  <c r="W93" i="16"/>
  <c r="L104" i="16"/>
  <c r="K100" i="16"/>
  <c r="K106" i="16" s="1"/>
  <c r="AT98" i="16"/>
  <c r="AM104" i="16"/>
  <c r="Y104" i="16"/>
  <c r="AJ104" i="16"/>
  <c r="AI95" i="16"/>
  <c r="L96" i="16"/>
  <c r="AH94" i="16"/>
  <c r="AK93" i="16"/>
  <c r="J89" i="16"/>
  <c r="AT95" i="16"/>
  <c r="AA95" i="16"/>
  <c r="AM100" i="16"/>
  <c r="AI103" i="16"/>
  <c r="X102" i="16"/>
  <c r="AS95" i="16"/>
  <c r="AJ103" i="16"/>
  <c r="N96" i="16"/>
  <c r="X101" i="16"/>
  <c r="AT93" i="16"/>
  <c r="P97" i="16"/>
  <c r="L93" i="16"/>
  <c r="AB100" i="16"/>
  <c r="J90" i="16"/>
  <c r="O94" i="16"/>
  <c r="M96" i="16"/>
  <c r="AH96" i="16"/>
  <c r="O103" i="16"/>
  <c r="AI99" i="16"/>
  <c r="AI96" i="16"/>
  <c r="Y102" i="16"/>
  <c r="X97" i="16"/>
  <c r="AM99" i="16"/>
  <c r="AN99" i="16"/>
  <c r="AS103" i="16"/>
  <c r="AM97" i="16"/>
  <c r="AL94" i="16"/>
  <c r="Y96" i="16"/>
  <c r="AJ98" i="16"/>
  <c r="AO102" i="16"/>
  <c r="AM93" i="16"/>
  <c r="O102" i="16"/>
  <c r="AM94" i="16"/>
  <c r="U100" i="16"/>
  <c r="W104" i="16"/>
  <c r="U97" i="16"/>
  <c r="O97" i="16"/>
  <c r="AS97" i="16"/>
  <c r="AK99" i="16"/>
  <c r="K94" i="16"/>
  <c r="P100" i="16"/>
  <c r="O95" i="16"/>
  <c r="AJ99" i="16"/>
  <c r="AA97" i="16"/>
  <c r="R103" i="16"/>
  <c r="V94" i="16"/>
  <c r="AH98" i="16"/>
  <c r="Z96" i="16"/>
  <c r="AS104" i="16"/>
  <c r="N102" i="16"/>
  <c r="L97" i="16"/>
  <c r="X104" i="16"/>
  <c r="X96" i="16"/>
  <c r="AA101" i="16"/>
  <c r="O96" i="16"/>
  <c r="AI98" i="16"/>
  <c r="W94" i="16"/>
  <c r="V97" i="16"/>
  <c r="AK96" i="16"/>
  <c r="AK102" i="16"/>
  <c r="AT97" i="16"/>
  <c r="Z93" i="16"/>
  <c r="M101" i="16"/>
  <c r="AT101" i="16"/>
  <c r="AG100" i="16"/>
  <c r="Y101" i="16"/>
  <c r="AD98" i="16"/>
  <c r="AT100" i="16"/>
  <c r="W101" i="16"/>
  <c r="AS98" i="16"/>
  <c r="AH99" i="16"/>
  <c r="AG94" i="16"/>
  <c r="AH101" i="16"/>
  <c r="L103" i="16"/>
  <c r="N101" i="16"/>
  <c r="AB97" i="16"/>
  <c r="Y98" i="16"/>
  <c r="R98" i="16"/>
  <c r="AS101" i="16"/>
  <c r="AS96" i="16"/>
  <c r="AU97" i="16"/>
  <c r="N97" i="16"/>
  <c r="AU104" i="16"/>
  <c r="O101" i="16"/>
  <c r="Y103" i="16"/>
  <c r="Q93" i="16"/>
  <c r="AC96" i="16"/>
  <c r="W98" i="16"/>
  <c r="AI97" i="16"/>
  <c r="AK104" i="16"/>
  <c r="W100" i="16"/>
  <c r="M103" i="16"/>
  <c r="L99" i="16"/>
  <c r="AN103" i="16"/>
  <c r="AD101" i="16"/>
  <c r="AH103" i="16"/>
  <c r="AM98" i="16"/>
  <c r="AS94" i="16"/>
  <c r="AO103" i="16"/>
  <c r="AJ95" i="16"/>
  <c r="AA100" i="16"/>
  <c r="N93" i="16"/>
  <c r="L95" i="16"/>
  <c r="AS93" i="16"/>
  <c r="AU101" i="16"/>
  <c r="R93" i="16"/>
  <c r="M99" i="16"/>
  <c r="V102" i="16"/>
  <c r="AU96" i="16"/>
  <c r="AT103" i="16"/>
  <c r="AK98" i="16"/>
  <c r="AG102" i="16"/>
  <c r="X93" i="16"/>
  <c r="AU98" i="16"/>
  <c r="AM103" i="16"/>
  <c r="U94" i="16"/>
  <c r="N98" i="16"/>
  <c r="AU100" i="16"/>
  <c r="M98" i="16"/>
  <c r="AD104" i="16"/>
  <c r="AD103" i="16"/>
  <c r="AO96" i="16"/>
  <c r="AS100" i="16"/>
  <c r="AA104" i="16"/>
  <c r="K108" i="16" l="1"/>
  <c r="J99" i="16"/>
  <c r="K107" i="16"/>
  <c r="J96" i="16"/>
  <c r="J104" i="16"/>
  <c r="K109" i="16"/>
  <c r="K110" i="16"/>
  <c r="J100" i="16"/>
  <c r="J101" i="16"/>
  <c r="J97" i="16"/>
  <c r="J103" i="16"/>
  <c r="J93" i="16"/>
  <c r="J95" i="16"/>
  <c r="J98" i="16"/>
  <c r="J9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  <author>Amit Kanudia</author>
  </authors>
  <commentList>
    <comment ref="I3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11.4.2025: we collect the fossil captured CO2 into a separate commodity to allow imposing various different bounds</t>
        </r>
      </text>
    </comment>
    <comment ref="I4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just to collect fossil CO2 without the impact of BECCS</t>
        </r>
      </text>
    </comment>
    <comment ref="J79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avg of PL, SI, SL for the Balkans
</t>
        </r>
      </text>
    </comment>
    <comment ref="C9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11/14/2011
declared in the SubRES
Sofia Simoes 16/04/2013 because the emissions had very strange values we decided to exclude these from the SUBRES and try again here</t>
        </r>
      </text>
    </comment>
    <comment ref="C92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11/14/2011
declared in the SubRES
</t>
        </r>
      </text>
    </comment>
    <comment ref="C93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11/14/2011
declared in the SubRES
</t>
        </r>
      </text>
    </comment>
    <comment ref="C94" authorId="1" shapeId="0" xr:uid="{00000000-0006-0000-00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11/14/2011
declared in the SubRES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Rocco2</author>
    <author>ese-veda04</author>
  </authors>
  <commentList>
    <comment ref="H1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P4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roughly 97% cpature efficiency</t>
        </r>
      </text>
    </comment>
    <comment ref="H7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H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</author>
  </authors>
  <commentList>
    <comment ref="C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CO2 emissions of advanced ammonia production with ccs (88% sequestration)
</t>
        </r>
      </text>
    </comment>
    <comment ref="L4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CO2 emissions of advanced ammonia production with ccs (88% sequestration)
</t>
        </r>
      </text>
    </comment>
    <comment ref="C5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CO2 emissions of ICM production with ccs (88% sequestration)
</t>
        </r>
      </text>
    </comment>
    <comment ref="L5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CO2 emissions of ICM production with ccs (88% sequestration)
</t>
        </r>
      </text>
    </comment>
    <comment ref="C6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CO2 emissions of ICM production with ccs (88% sequestration)
</t>
        </r>
      </text>
    </comment>
    <comment ref="L6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CO2 emissions of ICM production with ccs (88% sequestration)
</t>
        </r>
      </text>
    </comment>
    <comment ref="C7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7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8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8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9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9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0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0" authorId="0" shapeId="0" xr:uid="{00000000-0006-0000-0200-00000E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1" authorId="0" shapeId="0" xr:uid="{00000000-0006-0000-0200-00000F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1" authorId="0" shapeId="0" xr:uid="{00000000-0006-0000-0200-000010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2" authorId="0" shapeId="0" xr:uid="{00000000-0006-0000-0200-000011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2" authorId="0" shapeId="0" xr:uid="{00000000-0006-0000-0200-000012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3" authorId="0" shapeId="0" xr:uid="{00000000-0006-0000-0200-000013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3" authorId="0" shapeId="0" xr:uid="{00000000-0006-0000-0200-000014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4" authorId="0" shapeId="0" xr:uid="{00000000-0006-0000-0200-000015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4" authorId="0" shapeId="0" xr:uid="{00000000-0006-0000-0200-000016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5" authorId="0" shapeId="0" xr:uid="{00000000-0006-0000-0200-000017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5" authorId="0" shapeId="0" xr:uid="{00000000-0006-0000-0200-000018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6" authorId="0" shapeId="0" xr:uid="{00000000-0006-0000-0200-000019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6" authorId="0" shapeId="0" xr:uid="{00000000-0006-0000-0200-00001A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7" authorId="0" shapeId="0" xr:uid="{00000000-0006-0000-0200-00001B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7" authorId="0" shapeId="0" xr:uid="{00000000-0006-0000-0200-00001C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8" authorId="0" shapeId="0" xr:uid="{00000000-0006-0000-0200-00001D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8" authorId="0" shapeId="0" xr:uid="{00000000-0006-0000-0200-00001E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19" authorId="0" shapeId="0" xr:uid="{00000000-0006-0000-0200-00001F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19" authorId="0" shapeId="0" xr:uid="{00000000-0006-0000-0200-000020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20" authorId="0" shapeId="0" xr:uid="{00000000-0006-0000-0200-000021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20" authorId="0" shapeId="0" xr:uid="{00000000-0006-0000-0200-000022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21" authorId="0" shapeId="0" xr:uid="{00000000-0006-0000-0200-000023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L21" authorId="0" shapeId="0" xr:uid="{00000000-0006-0000-0200-000024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0" authorId="0" shapeId="0" xr:uid="{00000000-0006-0000-0200-000025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advanced ammonia production with ccs (88% sequestration)
</t>
        </r>
      </text>
    </comment>
    <comment ref="C51" authorId="0" shapeId="0" xr:uid="{00000000-0006-0000-0200-000026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2" authorId="0" shapeId="0" xr:uid="{00000000-0006-0000-0200-000027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3" authorId="0" shapeId="0" xr:uid="{00000000-0006-0000-0200-000028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4" authorId="0" shapeId="0" xr:uid="{00000000-0006-0000-0200-000029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5" authorId="0" shapeId="0" xr:uid="{00000000-0006-0000-0200-00002A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6" authorId="0" shapeId="0" xr:uid="{00000000-0006-0000-0200-00002B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7" authorId="0" shapeId="0" xr:uid="{00000000-0006-0000-0200-00002C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8" authorId="0" shapeId="0" xr:uid="{00000000-0006-0000-0200-00002D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59" authorId="0" shapeId="0" xr:uid="{00000000-0006-0000-0200-00002E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0" authorId="0" shapeId="0" xr:uid="{00000000-0006-0000-0200-00002F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1" authorId="0" shapeId="0" xr:uid="{00000000-0006-0000-0200-000030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2" authorId="0" shapeId="0" xr:uid="{00000000-0006-0000-0200-000031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3" authorId="0" shapeId="0" xr:uid="{00000000-0006-0000-0200-000032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4" authorId="0" shapeId="0" xr:uid="{00000000-0006-0000-0200-000033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5" authorId="0" shapeId="0" xr:uid="{00000000-0006-0000-0200-000034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6" authorId="0" shapeId="0" xr:uid="{00000000-0006-0000-0200-000035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  <comment ref="C67" authorId="0" shapeId="0" xr:uid="{00000000-0006-0000-0200-000036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Sequestrated CO2 of ICM production with ccs (88% sequestration)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avg of PL, SI, SL for the Balkans
</t>
        </r>
      </text>
    </comment>
    <comment ref="F58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avg of PL, SI, SL for the Balkans
</t>
        </r>
      </text>
    </comment>
  </commentList>
</comments>
</file>

<file path=xl/sharedStrings.xml><?xml version="1.0" encoding="utf-8"?>
<sst xmlns="http://schemas.openxmlformats.org/spreadsheetml/2006/main" count="2422" uniqueCount="411">
  <si>
    <t>Other_Indexes</t>
  </si>
  <si>
    <t>~TFM_INS</t>
  </si>
  <si>
    <t>FLO_EMIS</t>
  </si>
  <si>
    <t>ELCCO2N</t>
  </si>
  <si>
    <t>ELCCOH</t>
  </si>
  <si>
    <t>ELCCOL</t>
  </si>
  <si>
    <t>ELCOIL</t>
  </si>
  <si>
    <t>ELCSCO2N</t>
  </si>
  <si>
    <t>ELCRFG</t>
  </si>
  <si>
    <t>ELCDST</t>
  </si>
  <si>
    <t>ELCHFO</t>
  </si>
  <si>
    <t>ELCGAS</t>
  </si>
  <si>
    <t>ELCDGS</t>
  </si>
  <si>
    <t>ELCWOO</t>
  </si>
  <si>
    <t>ELCBGS</t>
  </si>
  <si>
    <t>ELCMUN</t>
  </si>
  <si>
    <t>ELCSLU</t>
  </si>
  <si>
    <t>SUPSCO2N</t>
  </si>
  <si>
    <t>SCOAH2G110</t>
  </si>
  <si>
    <t>SCOAH2G210</t>
  </si>
  <si>
    <t>INDCO2N</t>
  </si>
  <si>
    <t>INDGAS</t>
  </si>
  <si>
    <t>IAMADVCAP10</t>
  </si>
  <si>
    <t>INDCOK</t>
  </si>
  <si>
    <t>INDCOA</t>
  </si>
  <si>
    <t>INDHFO</t>
  </si>
  <si>
    <t>ICMDRYPRD10</t>
  </si>
  <si>
    <t>ENV_ACT</t>
  </si>
  <si>
    <t>IISBLAFUR00</t>
  </si>
  <si>
    <t>INDCO2P</t>
  </si>
  <si>
    <t>IISCOREXP00</t>
  </si>
  <si>
    <t>IISDRISPN00</t>
  </si>
  <si>
    <t>IISCYCFUR00</t>
  </si>
  <si>
    <t>IALHAHERG00</t>
  </si>
  <si>
    <t>INDCXFN</t>
  </si>
  <si>
    <t>IALHAHEPF00</t>
  </si>
  <si>
    <t>ICMDRYPRD00</t>
  </si>
  <si>
    <t>ICMWETPRD00</t>
  </si>
  <si>
    <t>IALHAHEPF01</t>
  </si>
  <si>
    <t>IALHAHERG01</t>
  </si>
  <si>
    <t>IALHAHERG05</t>
  </si>
  <si>
    <t>IALHAHERG10</t>
  </si>
  <si>
    <t>IALINERAN01</t>
  </si>
  <si>
    <t>IALRECYCP01</t>
  </si>
  <si>
    <t>IALRECYCP05</t>
  </si>
  <si>
    <t>IALRECYCP10</t>
  </si>
  <si>
    <t>603.73</t>
  </si>
  <si>
    <t>ICMDRYPRD01</t>
  </si>
  <si>
    <t>ICMWETPRD01</t>
  </si>
  <si>
    <t>IGHHOLLOW01</t>
  </si>
  <si>
    <t>IGHHOLLOW10</t>
  </si>
  <si>
    <t>ILMQLMPRO01</t>
  </si>
  <si>
    <t>SSOLH2G130</t>
  </si>
  <si>
    <t>SGASH2G301</t>
  </si>
  <si>
    <t>TimeSlice</t>
  </si>
  <si>
    <t>LimType</t>
  </si>
  <si>
    <t>Attribute</t>
  </si>
  <si>
    <t>Year</t>
  </si>
  <si>
    <t>Pset_PN</t>
  </si>
  <si>
    <t>Pset_PD</t>
  </si>
  <si>
    <t>Cset_CN</t>
  </si>
  <si>
    <t>AllRegions</t>
  </si>
  <si>
    <t>COAHAR</t>
  </si>
  <si>
    <t>GASNAT</t>
  </si>
  <si>
    <t>SCOAH2G101</t>
  </si>
  <si>
    <t>SCOADME110</t>
  </si>
  <si>
    <t>SCOADST110</t>
  </si>
  <si>
    <t>SCOAGAS110</t>
  </si>
  <si>
    <t>SGASDST110</t>
  </si>
  <si>
    <t>SGASDST130</t>
  </si>
  <si>
    <t>SHFOH2G101</t>
  </si>
  <si>
    <t>OILHFO</t>
  </si>
  <si>
    <t>SGASH2G2101</t>
  </si>
  <si>
    <t>SGASDME110</t>
  </si>
  <si>
    <t>UK</t>
  </si>
  <si>
    <t>SK</t>
  </si>
  <si>
    <t>SI</t>
  </si>
  <si>
    <t>SE</t>
  </si>
  <si>
    <t>RO</t>
  </si>
  <si>
    <t>PT</t>
  </si>
  <si>
    <t>PL</t>
  </si>
  <si>
    <t>NO</t>
  </si>
  <si>
    <t>NL</t>
  </si>
  <si>
    <t>MT</t>
  </si>
  <si>
    <t>LV</t>
  </si>
  <si>
    <t>LU</t>
  </si>
  <si>
    <t>LT</t>
  </si>
  <si>
    <t>IT</t>
  </si>
  <si>
    <t>IS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</si>
  <si>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</si>
  <si>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</si>
  <si>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</si>
  <si>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</si>
  <si>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</si>
  <si>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</si>
  <si>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</si>
  <si>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</si>
  <si>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</si>
  <si>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</si>
  <si>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CH</t>
  </si>
  <si>
    <t>BG</t>
  </si>
  <si>
    <t>BE</t>
  </si>
  <si>
    <t>AT</t>
  </si>
  <si>
    <t>SUPRPP</t>
  </si>
  <si>
    <t>SUPRPG</t>
  </si>
  <si>
    <t>SUPGAS</t>
  </si>
  <si>
    <t>SUPCRD</t>
  </si>
  <si>
    <t>SUPCOA</t>
  </si>
  <si>
    <t>SUPBIO</t>
  </si>
  <si>
    <t>INDSLU</t>
  </si>
  <si>
    <t>INDRFG</t>
  </si>
  <si>
    <t>INDNEU</t>
  </si>
  <si>
    <t>INDNAP</t>
  </si>
  <si>
    <t>INDMUN</t>
  </si>
  <si>
    <t>INDLPG</t>
  </si>
  <si>
    <t>INDLFO</t>
  </si>
  <si>
    <t>INDDME</t>
  </si>
  <si>
    <t>INDCOL</t>
  </si>
  <si>
    <t>INDCOG</t>
  </si>
  <si>
    <t>INDCOB</t>
  </si>
  <si>
    <t>INDBIO</t>
  </si>
  <si>
    <t>INDBFG</t>
  </si>
  <si>
    <t>ELCDME</t>
  </si>
  <si>
    <t>Commodity\Region</t>
  </si>
  <si>
    <t>From BASE (VDA_EMCB)</t>
  </si>
  <si>
    <t>NETSCO2</t>
  </si>
  <si>
    <t>-SSCDCOKE*,-SSCDRFLX*</t>
  </si>
  <si>
    <t>*</t>
  </si>
  <si>
    <t>-IIS*,-___IIS*,-ICM*,-ILM*,-IGF*,-IGH*,-___ICM*,-___ILM*,-___IGF*,-___IGH*,-IPL*,-IPH*,-IPP*,-___IPL*,-___IPH*,-___IPP*,-CHP*,-EAUT*</t>
  </si>
  <si>
    <t>Pset_CI</t>
  </si>
  <si>
    <t>Pset_CO</t>
  </si>
  <si>
    <t>Pset_Set</t>
  </si>
  <si>
    <t>Non-ETS Emissions</t>
  </si>
  <si>
    <t>ETSCO2</t>
  </si>
  <si>
    <t>SSCDCOKE*,SSCDRFLX*</t>
  </si>
  <si>
    <t>IIS*,___IIS*,ICM*,ILM*,IGF*,IGH*,___ICM*,___ILM*,___IGF*,___IGH*,IPL*,IPH*,IPP*,___IPL*,___IPH*,___IPP*,CHP*,EAUT*</t>
  </si>
  <si>
    <t>C_Neg_Opt</t>
  </si>
  <si>
    <t>C_Pos_Opt</t>
  </si>
  <si>
    <t>T_Neg_Opt</t>
  </si>
  <si>
    <t>T_Pos_Opt</t>
  </si>
  <si>
    <t>C_Neg_AndOr</t>
  </si>
  <si>
    <t>C_Pos_AndOr</t>
  </si>
  <si>
    <t>T_Neg_AndOr</t>
  </si>
  <si>
    <t>T_Pos_AndOr</t>
  </si>
  <si>
    <t>TechRep_Only</t>
  </si>
  <si>
    <t>ETS Emissions</t>
  </si>
  <si>
    <t>* AGR, RSD, COM, TRA added directly at the time of putting emission constraint</t>
  </si>
  <si>
    <t>PSET_CI</t>
  </si>
  <si>
    <t>-*seq*,-*CCS*</t>
  </si>
  <si>
    <t>EU*,PU*,CO*</t>
  </si>
  <si>
    <t>EU*,PU*,H*,CO*</t>
  </si>
  <si>
    <t>*seq*,*CCS*</t>
  </si>
  <si>
    <t>AL</t>
  </si>
  <si>
    <t>BA</t>
  </si>
  <si>
    <t>HR</t>
  </si>
  <si>
    <t>KS</t>
  </si>
  <si>
    <t>ME</t>
  </si>
  <si>
    <t>MK</t>
  </si>
  <si>
    <t>RS</t>
  </si>
  <si>
    <t>SUPCO2N</t>
  </si>
  <si>
    <t>IPPHIGQUA10</t>
  </si>
  <si>
    <t>IPPLOWQUA10</t>
  </si>
  <si>
    <t>IPPPUPMEC15</t>
  </si>
  <si>
    <t>IGFFLATGL15</t>
  </si>
  <si>
    <t>IGHHOLLOW15</t>
  </si>
  <si>
    <t>IGHRECYCL10</t>
  </si>
  <si>
    <t>ELCBFG</t>
  </si>
  <si>
    <t>ELCBFT</t>
  </si>
  <si>
    <t>ELCCOG</t>
  </si>
  <si>
    <t>ELCIIS</t>
  </si>
  <si>
    <t>ELCCOP</t>
  </si>
  <si>
    <t>EU*</t>
  </si>
  <si>
    <t>To avoid double counting and to have transparant emissions allocations over the sectors (IND and ELC sectors)</t>
  </si>
  <si>
    <t>EUSTIISGASCS101</t>
  </si>
  <si>
    <t>EUSTIISGAS101</t>
  </si>
  <si>
    <t>IISDRISPNCS01</t>
  </si>
  <si>
    <t>IISBLAFURTGRCS20</t>
  </si>
  <si>
    <t>IISBLAFURCS20</t>
  </si>
  <si>
    <t>IISCOREXCS</t>
  </si>
  <si>
    <t>H2 production coal gasification + PSA 2001</t>
  </si>
  <si>
    <t>H2 production coal gasification + PSA + CCS 2010</t>
  </si>
  <si>
    <t>H2 production coal gasification + HSMR + CCS 2010</t>
  </si>
  <si>
    <t>BWOOH2G101</t>
  </si>
  <si>
    <t>H2 production biomass gasification 2001</t>
  </si>
  <si>
    <t>BWOOH2G130</t>
  </si>
  <si>
    <t>H2 production biomass pyrolysis 2030</t>
  </si>
  <si>
    <t>SELCH2G120</t>
  </si>
  <si>
    <t>H2 production HT Steam electrolyser 2020</t>
  </si>
  <si>
    <t>SELCH2GL201</t>
  </si>
  <si>
    <t>H2 production electrolyser large 2001</t>
  </si>
  <si>
    <t>SELCH2GS101</t>
  </si>
  <si>
    <t>H2 production electrolyser small 2001</t>
  </si>
  <si>
    <t>SELCH2GTRA101</t>
  </si>
  <si>
    <t>H2 production electrolyser small 2001 TRA direct</t>
  </si>
  <si>
    <t>SGASH2101</t>
  </si>
  <si>
    <t>H2 production SMR small 2001</t>
  </si>
  <si>
    <t>H2 production SMR large 2001</t>
  </si>
  <si>
    <t>H2 production Kvaerner Black carbon 2001</t>
  </si>
  <si>
    <t>H2 production HFO partial oxidation 2001</t>
  </si>
  <si>
    <t>H2 production Solar MR  2030</t>
  </si>
  <si>
    <t>ETSCO2N</t>
  </si>
  <si>
    <t>FUEL1</t>
  </si>
  <si>
    <t>FUEL2</t>
  </si>
  <si>
    <t>BIOWOO</t>
  </si>
  <si>
    <t>ELCHIG</t>
  </si>
  <si>
    <t>SUPHTH</t>
  </si>
  <si>
    <t>H2 generation processes</t>
  </si>
  <si>
    <t>RENSOL</t>
  </si>
  <si>
    <t>FLO_EMIS (SSimoes 28 Oct 2013)</t>
  </si>
  <si>
    <t>Reference</t>
  </si>
  <si>
    <t>Cascade-Mints D1.1 Fuel cell technologies and H2 production/distribution options. DLR. September 2005.</t>
  </si>
  <si>
    <t>No data, assumed same EF as SMR small</t>
  </si>
  <si>
    <t>BBLQDME110</t>
  </si>
  <si>
    <t>Gasification,  black liquor to DME</t>
  </si>
  <si>
    <t>BBLQFTST110</t>
  </si>
  <si>
    <t>Gasification, black liquor to FT-diesel</t>
  </si>
  <si>
    <t>BBLQGAS110</t>
  </si>
  <si>
    <t>Gasification, black liquor to methane</t>
  </si>
  <si>
    <t>BBLQMtaH110</t>
  </si>
  <si>
    <t>Gasification,  black liquor to methanol</t>
  </si>
  <si>
    <t>BSLUGAS101</t>
  </si>
  <si>
    <t>Decomposition, bio waste to biogas (methane)</t>
  </si>
  <si>
    <t>BWOOGAS110</t>
  </si>
  <si>
    <t>Gasification, biomass (tree salix etc) to methane</t>
  </si>
  <si>
    <t>BBLQH2G110</t>
  </si>
  <si>
    <t>Gasification, black liquor to hydrogen</t>
  </si>
  <si>
    <t>Gasification, coal to DME</t>
  </si>
  <si>
    <t>Gasification, coal to FT-diesel</t>
  </si>
  <si>
    <t>Gasification, coal to methane</t>
  </si>
  <si>
    <t>SCOAMtaH110</t>
  </si>
  <si>
    <t>Gasification, coal to methanol</t>
  </si>
  <si>
    <t>Synthesis, natural gas to DME</t>
  </si>
  <si>
    <t>Synthesis, natural gas to F-T-diesel</t>
  </si>
  <si>
    <t>INDBLQ</t>
  </si>
  <si>
    <t>BIOSLU</t>
  </si>
  <si>
    <t>Other syntethic fuel processes</t>
  </si>
  <si>
    <t>This was here from previous file. Not sure the emissions are correct and probably need to update when possible</t>
  </si>
  <si>
    <t>There was no value, so assumed same as coal to CH4</t>
  </si>
  <si>
    <t>No data, assumed same EF as SMR small but 99% capture rate</t>
  </si>
  <si>
    <t>SCOAH2GC01</t>
  </si>
  <si>
    <t>SCOAH2GC02</t>
  </si>
  <si>
    <t>SCOAH2GCC01</t>
  </si>
  <si>
    <t>SCOAH2GCC02</t>
  </si>
  <si>
    <t>SBIOH2GCC01</t>
  </si>
  <si>
    <t>SGASH2KC01</t>
  </si>
  <si>
    <t>SGASH2RC01</t>
  </si>
  <si>
    <t>SGASH2RC02</t>
  </si>
  <si>
    <t>SGASH2RCC01</t>
  </si>
  <si>
    <t>SGASH2RCC02</t>
  </si>
  <si>
    <t>SGASSH2RC01</t>
  </si>
  <si>
    <t>SGASH2RD01</t>
  </si>
  <si>
    <t>SGASSH2RD01</t>
  </si>
  <si>
    <t>SHFOH2POC01</t>
  </si>
  <si>
    <t>OLD H2 Chain</t>
  </si>
  <si>
    <t>H2 Production-Coal Gasification, big size, centralized</t>
  </si>
  <si>
    <t>H2 Production-Coal Gasification, medium size, centralized</t>
  </si>
  <si>
    <t>H2 Production-Coal Gasification + Carbon Capture, big size, centralized</t>
  </si>
  <si>
    <t>H2 Production-Coal Gasification + Carbon Capture, medium size, centralized</t>
  </si>
  <si>
    <t>SBIOH2GD01</t>
  </si>
  <si>
    <t>H2 Production-Biomass Gasification, small size, decentralized</t>
  </si>
  <si>
    <t>SBIOH2GC01</t>
  </si>
  <si>
    <t>H2 Production-Biomass Gasification, medium size, centralized</t>
  </si>
  <si>
    <t>H2 Production-Biomass Gasification + Carbon Capture, medium size, centralized</t>
  </si>
  <si>
    <t>H2 Production-Kvaerner Process, centralized</t>
  </si>
  <si>
    <t>SBIOH2RC01</t>
  </si>
  <si>
    <t>H2 Production-Biomass Steam Reforming, centralized</t>
  </si>
  <si>
    <t>H2 Production-Methane Steam Reforming, large size, centralized</t>
  </si>
  <si>
    <t>H2 Production-Methane Steam Reforming, small size, centralized</t>
  </si>
  <si>
    <t>H2 Production-Methane Steam Reforming + Carbon Capture, large size, centralized</t>
  </si>
  <si>
    <t>H2 Production-Methane Steam Reforming + Carbon Capture, small size, centralized</t>
  </si>
  <si>
    <t>H2 Production-Solar Steam Reforming of Methane, centralized</t>
  </si>
  <si>
    <t>H2 Production-Methane Steam Reforming, medium size, decentralized</t>
  </si>
  <si>
    <t>H2 Production-Methane Steam Reforming, small size, decentralized</t>
  </si>
  <si>
    <t>SETHRH2D01</t>
  </si>
  <si>
    <t>H2 Production-Ethanol Steam Reforming, decentralized</t>
  </si>
  <si>
    <t>H2 Production-Solar Steam Reforming of Methane, decentralized</t>
  </si>
  <si>
    <t>H2 Production-Central PO of Heavy Oil (CPO3)</t>
  </si>
  <si>
    <t>Key</t>
  </si>
  <si>
    <t>SGASH2RD02</t>
  </si>
  <si>
    <t>\I: FLO_EMIS</t>
  </si>
  <si>
    <t>CCGT Advanced + CCS post combustion</t>
  </si>
  <si>
    <t>EUCCGASCCSpos20</t>
  </si>
  <si>
    <t>FB lignite + CCS post combustion</t>
  </si>
  <si>
    <t>EUPCCOLCCSpos20</t>
  </si>
  <si>
    <t>SC PC + CCS post combustion</t>
  </si>
  <si>
    <t>EUPCCOHCCSpos20</t>
  </si>
  <si>
    <t>IGCC lignite + CCS pre combustion</t>
  </si>
  <si>
    <t>EUIGCOLCCSpre20</t>
  </si>
  <si>
    <t>SC PC + CCS Oxyfuel</t>
  </si>
  <si>
    <t>EUPCCOHCCSoxy20</t>
  </si>
  <si>
    <t>IGCC + CCS pre combustion</t>
  </si>
  <si>
    <t>EUIGCOHCCSpre20</t>
  </si>
  <si>
    <t>ELCCO2N is residual</t>
  </si>
  <si>
    <t>Percentage</t>
  </si>
  <si>
    <t>Residual perecentage</t>
  </si>
  <si>
    <t>CHECK</t>
  </si>
  <si>
    <t>ETRI2014 data</t>
  </si>
  <si>
    <t>BRF2_ETHLGC_CCS</t>
  </si>
  <si>
    <t>BRF2_BTLFTDSL_CCS</t>
  </si>
  <si>
    <t>MJ/kg</t>
  </si>
  <si>
    <t>kt carbon</t>
  </si>
  <si>
    <t>kt CO2</t>
  </si>
  <si>
    <t xml:space="preserve">BRF2_ETHLGC
</t>
  </si>
  <si>
    <t>Wood</t>
  </si>
  <si>
    <t>kt</t>
  </si>
  <si>
    <t>Ethanol</t>
  </si>
  <si>
    <t>BRF2_BTLFTDSL</t>
  </si>
  <si>
    <t>FT Diesel</t>
  </si>
  <si>
    <t>Captured CO2</t>
  </si>
  <si>
    <t>Emission factor wood</t>
  </si>
  <si>
    <t>kt/PJ</t>
  </si>
  <si>
    <t>PJ</t>
  </si>
  <si>
    <t>EL</t>
  </si>
  <si>
    <t>SE_TRACO2N</t>
  </si>
  <si>
    <t>TAI*,BLD*,TRA*</t>
  </si>
  <si>
    <t>OILDST</t>
  </si>
  <si>
    <t>*FLO_EMIS</t>
  </si>
  <si>
    <t>OILKER</t>
  </si>
  <si>
    <t>OILGSL</t>
  </si>
  <si>
    <t>OILLPG</t>
  </si>
  <si>
    <t>BIOLIQ</t>
  </si>
  <si>
    <t>OILNEU</t>
  </si>
  <si>
    <t>TRACO2N</t>
  </si>
  <si>
    <t>TRAGSLE85</t>
  </si>
  <si>
    <t>VDA_EMCB</t>
  </si>
  <si>
    <t>TRAGSLSP95</t>
  </si>
  <si>
    <t>TRAGAS</t>
  </si>
  <si>
    <t>SE_INDCO2N</t>
  </si>
  <si>
    <t>IND*</t>
  </si>
  <si>
    <t>TRAHFO</t>
  </si>
  <si>
    <t>TRADST</t>
  </si>
  <si>
    <t>BIOMUN</t>
  </si>
  <si>
    <t>TRAJTK</t>
  </si>
  <si>
    <t>BIOGAS</t>
  </si>
  <si>
    <t>TRALPG</t>
  </si>
  <si>
    <t>GASGWG</t>
  </si>
  <si>
    <t>GASBFG</t>
  </si>
  <si>
    <t>GASCOG</t>
  </si>
  <si>
    <t>OILOTH</t>
  </si>
  <si>
    <t>OILNAP</t>
  </si>
  <si>
    <t>Dynamic coefficients for combustion emissions in transport</t>
  </si>
  <si>
    <t>OILRFG</t>
  </si>
  <si>
    <t>COABRO</t>
  </si>
  <si>
    <t>COALIG</t>
  </si>
  <si>
    <t>COACOK</t>
  </si>
  <si>
    <t>CSET_CN</t>
  </si>
  <si>
    <t>PSET_PN</t>
  </si>
  <si>
    <t>Static coefficients for combustion emissions in transport</t>
  </si>
  <si>
    <t>Dynamic coefficients for combustion emissions in industry</t>
  </si>
  <si>
    <t>Static coefficients for combustion emissions in industry</t>
  </si>
  <si>
    <t>COM_BNDNET</t>
  </si>
  <si>
    <t>ELCCO2N,ETSCO2,SUPCO2N,TOTCO2</t>
  </si>
  <si>
    <t>N</t>
  </si>
  <si>
    <t>ANNUAL</t>
  </si>
  <si>
    <t>TRALFO</t>
  </si>
  <si>
    <t>TRAHFO00</t>
  </si>
  <si>
    <t>TRALFO00</t>
  </si>
  <si>
    <t>BLDJET</t>
  </si>
  <si>
    <t>AGRCO2N</t>
  </si>
  <si>
    <t>AGRGAS*</t>
  </si>
  <si>
    <t>AGROIL*</t>
  </si>
  <si>
    <t>AGRLPG*</t>
  </si>
  <si>
    <t>AGRCOA*</t>
  </si>
  <si>
    <t>GASNAT,GASP2G</t>
  </si>
  <si>
    <t>AGRDST*</t>
  </si>
  <si>
    <t>OILDST,P2LDST,SYNDST</t>
  </si>
  <si>
    <t>Static coefficients for combustion emissions in agriculture fuel use</t>
  </si>
  <si>
    <t>Static coefficients for combustion emissions in commercial fuel use</t>
  </si>
  <si>
    <t>COMCOA*</t>
  </si>
  <si>
    <t>COMCO2N</t>
  </si>
  <si>
    <t>COMLPG*</t>
  </si>
  <si>
    <t>COMOIL*</t>
  </si>
  <si>
    <t>COMGAS*</t>
  </si>
  <si>
    <t>Static coefficients for combustion emissions in residential fuel use</t>
  </si>
  <si>
    <t>RSDCOA*</t>
  </si>
  <si>
    <t>RSDLPG*</t>
  </si>
  <si>
    <t>RSDOIL*</t>
  </si>
  <si>
    <t>RSDGAS*</t>
  </si>
  <si>
    <t>RSDCO2N</t>
  </si>
  <si>
    <t>FOSCO2</t>
  </si>
  <si>
    <t>ktCO2/PJ</t>
  </si>
  <si>
    <t>kt HFO</t>
  </si>
  <si>
    <t>ktCO2</t>
  </si>
  <si>
    <t>ktCO2/ktHFO</t>
  </si>
  <si>
    <t>these were before:</t>
  </si>
  <si>
    <t>SNKFCO2</t>
  </si>
  <si>
    <t>P2LGSL_FOS</t>
  </si>
  <si>
    <t>P2LDST_FOS,SYNDST</t>
  </si>
  <si>
    <t>TRAGAS*</t>
  </si>
  <si>
    <t>BLD_RFNBO_GAS</t>
  </si>
  <si>
    <t>BLD_RFNBO_NAV</t>
  </si>
  <si>
    <t>GASP2G_FOS</t>
  </si>
  <si>
    <t>BLD_RFNBO_JET</t>
  </si>
  <si>
    <t>P2LKER_FOS,SYNKER</t>
  </si>
  <si>
    <t>BLDGSL*</t>
  </si>
  <si>
    <t>BLD_RFNBO_GSL</t>
  </si>
  <si>
    <t>TRALPG*</t>
  </si>
  <si>
    <t>TRAHFO*</t>
  </si>
  <si>
    <t>BLDDSL*</t>
  </si>
  <si>
    <t>BLD_RFNBO_RAI,BLD_RFNBO_DSL</t>
  </si>
  <si>
    <t>BIONAV</t>
  </si>
  <si>
    <t>P2LDST_FOS</t>
  </si>
  <si>
    <t>SYNDST</t>
  </si>
  <si>
    <t>remove HFO for now. goes mainly to bunkers, which are only partially covered by regulation</t>
  </si>
  <si>
    <t>BIOJET</t>
  </si>
  <si>
    <t>P2LKER_FOS</t>
  </si>
  <si>
    <t>SYNKER</t>
  </si>
  <si>
    <t>BIOWOOH2</t>
  </si>
  <si>
    <t>SGASMtaH110</t>
  </si>
  <si>
    <t>BIOETHAkt</t>
  </si>
  <si>
    <t>BIOBTLFTDSLkt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</si>
</sst>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_-* #,##0.00\ _€_-;\-* #,##0.00\ _€_-;_-* &quot;-&quot;??\ _€_-;_-@_-"/>
    <numFmt numFmtId="168" formatCode="0.0%"/>
    <numFmt numFmtId="169" formatCode="0.0"/>
    <numFmt numFmtId="170" formatCode="_ &quot;kr&quot;\ * #,##0_ ;_ &quot;kr&quot;\ * \-#,##0_ ;_ &quot;kr&quot;\ * &quot;-&quot;_ ;_ @_ "/>
    <numFmt numFmtId="171" formatCode="_ &quot;kr&quot;\ * #,##0.00_ ;_ &quot;kr&quot;\ * \-#,##0.00_ ;_ &quot;kr&quot;\ * &quot;-&quot;??_ ;_ @_ "/>
    <numFmt numFmtId="172" formatCode="_([$€]* #,##0.00_);_([$€]* \(#,##0.00\);_([$€]* &quot;-&quot;??_);_(@_)"/>
    <numFmt numFmtId="173" formatCode="_-[$€-2]\ * #,##0.00_-;\-[$€-2]\ * #,##0.00_-;_-[$€-2]\ * &quot;-&quot;??_-"/>
    <numFmt numFmtId="174" formatCode="#,##0;\-\ #,##0;_-\ &quot;- &quot;"/>
    <numFmt numFmtId="175" formatCode="_-&quot;€&quot;\ * #,##0.00_-;\-&quot;€&quot;\ * #,##0.00_-;_-&quot;€&quot;\ * &quot;-&quot;??_-;_-@_-"/>
    <numFmt numFmtId="176" formatCode="_-&quot;$&quot;* #,##0.00_-;\-&quot;$&quot;* #,##0.00_-;_-&quot;$&quot;* &quot;-&quot;??_-;_-@_-"/>
    <numFmt numFmtId="177" formatCode="_([$€-2]* #,##0.00_);_([$€-2]* \(#,##0.00\);_([$€-2]* &quot;-&quot;??_)"/>
    <numFmt numFmtId="178" formatCode="General_)"/>
    <numFmt numFmtId="179" formatCode="_-[$€]* #,##0.00_-;\-[$€]* #,##0.00_-;_-[$€]* &quot;-&quot;??_-;_-@_-"/>
    <numFmt numFmtId="180" formatCode="0.000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"/>
      <name val="Arial"/>
      <family val="2"/>
    </font>
    <font>
      <u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indexed="12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B05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791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8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1" fillId="0" borderId="0" applyNumberFormat="0" applyFont="0" applyFill="0" applyBorder="0" applyProtection="0">
      <alignment horizontal="left" vertical="center" indent="5"/>
    </xf>
    <xf numFmtId="0" fontId="19" fillId="14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1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17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8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5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4" fontId="37" fillId="24" borderId="1">
      <alignment horizontal="right" vertical="center"/>
    </xf>
    <xf numFmtId="4" fontId="37" fillId="24" borderId="1">
      <alignment horizontal="right" vertical="center"/>
    </xf>
    <xf numFmtId="0" fontId="20" fillId="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25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40" fillId="26" borderId="2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4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4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38" fillId="0" borderId="4">
      <alignment horizontal="left" vertical="center" wrapText="1" indent="2"/>
    </xf>
    <xf numFmtId="172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0" borderId="5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26" fillId="0" borderId="7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27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9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0" fontId="28" fillId="12" borderId="2" applyNumberFormat="0" applyAlignment="0" applyProtection="0"/>
    <xf numFmtId="4" fontId="38" fillId="0" borderId="0" applyBorder="0">
      <alignment horizontal="right" vertical="center"/>
    </xf>
    <xf numFmtId="0" fontId="29" fillId="0" borderId="11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167" fontId="11" fillId="0" borderId="0" applyFont="0" applyFill="0" applyBorder="0" applyAlignment="0" applyProtection="0"/>
    <xf numFmtId="0" fontId="14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164" fontId="46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164" fontId="46" fillId="0" borderId="0">
      <alignment vertical="center"/>
    </xf>
    <xf numFmtId="164" fontId="46" fillId="0" borderId="0">
      <alignment vertical="center"/>
    </xf>
    <xf numFmtId="164" fontId="46" fillId="0" borderId="0">
      <alignment vertical="center"/>
    </xf>
    <xf numFmtId="164" fontId="46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64" fontId="46" fillId="0" borderId="0">
      <alignment vertical="center"/>
    </xf>
    <xf numFmtId="164" fontId="46" fillId="0" borderId="0">
      <alignment vertical="center"/>
    </xf>
    <xf numFmtId="164" fontId="4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164" fontId="46" fillId="0" borderId="0">
      <alignment vertical="center"/>
    </xf>
    <xf numFmtId="164" fontId="46" fillId="0" borderId="0">
      <alignment vertical="center"/>
    </xf>
    <xf numFmtId="164" fontId="46" fillId="0" borderId="0">
      <alignment vertical="center"/>
    </xf>
    <xf numFmtId="164" fontId="46" fillId="0" borderId="0">
      <alignment vertical="center"/>
    </xf>
    <xf numFmtId="0" fontId="54" fillId="0" borderId="0"/>
    <xf numFmtId="168" fontId="46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8" fontId="4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8" fontId="4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" fontId="38" fillId="0" borderId="1" applyFill="0" applyBorder="0" applyProtection="0">
      <alignment horizontal="right" vertical="center"/>
    </xf>
    <xf numFmtId="0" fontId="39" fillId="0" borderId="0" applyNumberFormat="0" applyFill="0" applyBorder="0" applyProtection="0">
      <alignment horizontal="left" vertical="center"/>
    </xf>
    <xf numFmtId="0" fontId="11" fillId="28" borderId="0" applyNumberFormat="0" applyFont="0" applyBorder="0" applyAlignment="0" applyProtection="0"/>
    <xf numFmtId="0" fontId="11" fillId="0" borderId="0"/>
    <xf numFmtId="0" fontId="15" fillId="0" borderId="0"/>
    <xf numFmtId="0" fontId="18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0" fontId="11" fillId="7" borderId="13" applyNumberFormat="0" applyFont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30" fillId="25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0" fontId="30" fillId="26" borderId="14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0" fontId="11" fillId="0" borderId="0"/>
    <xf numFmtId="0" fontId="11" fillId="0" borderId="1" applyNumberFormat="0" applyFill="0" applyProtection="0">
      <alignment horizontal="right"/>
    </xf>
    <xf numFmtId="0" fontId="11" fillId="0" borderId="1" applyNumberFormat="0" applyFill="0" applyProtection="0">
      <alignment horizontal="right"/>
    </xf>
    <xf numFmtId="0" fontId="11" fillId="0" borderId="1" applyNumberFormat="0" applyFill="0" applyProtection="0">
      <alignment horizontal="right"/>
    </xf>
    <xf numFmtId="0" fontId="11" fillId="0" borderId="1" applyNumberFormat="0" applyFill="0" applyProtection="0">
      <alignment horizontal="right"/>
    </xf>
    <xf numFmtId="0" fontId="5" fillId="29" borderId="1" applyNumberFormat="0" applyProtection="0">
      <alignment horizontal="right"/>
    </xf>
    <xf numFmtId="0" fontId="35" fillId="29" borderId="0" applyNumberFormat="0" applyBorder="0" applyProtection="0">
      <alignment horizontal="left"/>
    </xf>
    <xf numFmtId="0" fontId="5" fillId="29" borderId="1" applyNumberFormat="0" applyProtection="0">
      <alignment horizontal="left"/>
    </xf>
    <xf numFmtId="0" fontId="11" fillId="0" borderId="1" applyNumberFormat="0" applyFill="0" applyProtection="0">
      <alignment horizontal="right"/>
    </xf>
    <xf numFmtId="0" fontId="11" fillId="0" borderId="1" applyNumberFormat="0" applyFill="0" applyProtection="0">
      <alignment horizontal="right"/>
    </xf>
    <xf numFmtId="0" fontId="11" fillId="0" borderId="1" applyNumberFormat="0" applyFill="0" applyProtection="0">
      <alignment horizontal="right"/>
    </xf>
    <xf numFmtId="0" fontId="11" fillId="0" borderId="1" applyNumberFormat="0" applyFill="0" applyProtection="0">
      <alignment horizontal="right"/>
    </xf>
    <xf numFmtId="0" fontId="33" fillId="30" borderId="0" applyNumberFormat="0" applyBorder="0" applyProtection="0">
      <alignment horizontal="left"/>
    </xf>
    <xf numFmtId="0" fontId="3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171" fontId="3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4" fontId="38" fillId="0" borderId="0"/>
    <xf numFmtId="0" fontId="48" fillId="0" borderId="0" applyNumberFormat="0" applyFill="0" applyBorder="0" applyAlignment="0" applyProtection="0">
      <alignment vertical="center"/>
    </xf>
    <xf numFmtId="0" fontId="4" fillId="0" borderId="0"/>
    <xf numFmtId="0" fontId="11" fillId="0" borderId="0"/>
  </cellStyleXfs>
  <cellXfs count="130">
    <xf numFmtId="0" fontId="0" fillId="0" borderId="0" xfId="0"/>
    <xf numFmtId="0" fontId="5" fillId="31" borderId="0" xfId="0" applyFont="1" applyFill="1"/>
    <xf numFmtId="0" fontId="5" fillId="32" borderId="0" xfId="0" applyFont="1" applyFill="1"/>
    <xf numFmtId="0" fontId="7" fillId="0" borderId="0" xfId="0" applyFont="1"/>
    <xf numFmtId="0" fontId="8" fillId="0" borderId="0" xfId="0" applyFont="1"/>
    <xf numFmtId="2" fontId="8" fillId="0" borderId="0" xfId="0" applyNumberFormat="1" applyFont="1"/>
    <xf numFmtId="0" fontId="5" fillId="31" borderId="17" xfId="0" applyFont="1" applyFill="1" applyBorder="1"/>
    <xf numFmtId="0" fontId="5" fillId="33" borderId="18" xfId="0" applyFont="1" applyFill="1" applyBorder="1" applyAlignment="1">
      <alignment horizontal="center"/>
    </xf>
    <xf numFmtId="0" fontId="14" fillId="0" borderId="0" xfId="785" applyFill="1"/>
    <xf numFmtId="0" fontId="54" fillId="0" borderId="0" xfId="914"/>
    <xf numFmtId="169" fontId="54" fillId="0" borderId="0" xfId="914" applyNumberFormat="1"/>
    <xf numFmtId="0" fontId="17" fillId="0" borderId="0" xfId="914" applyFont="1"/>
    <xf numFmtId="0" fontId="54" fillId="0" borderId="0" xfId="914" quotePrefix="1"/>
    <xf numFmtId="1" fontId="54" fillId="0" borderId="0" xfId="914" applyNumberFormat="1"/>
    <xf numFmtId="0" fontId="17" fillId="31" borderId="0" xfId="914" applyFont="1" applyFill="1"/>
    <xf numFmtId="0" fontId="17" fillId="32" borderId="0" xfId="914" applyFont="1" applyFill="1"/>
    <xf numFmtId="0" fontId="16" fillId="0" borderId="0" xfId="0" applyFont="1"/>
    <xf numFmtId="0" fontId="5" fillId="32" borderId="17" xfId="0" applyFont="1" applyFill="1" applyBorder="1"/>
    <xf numFmtId="0" fontId="5" fillId="33" borderId="17" xfId="0" applyFont="1" applyFill="1" applyBorder="1" applyAlignment="1">
      <alignment horizontal="center"/>
    </xf>
    <xf numFmtId="1" fontId="0" fillId="0" borderId="0" xfId="0" applyNumberFormat="1"/>
    <xf numFmtId="0" fontId="11" fillId="0" borderId="0" xfId="0" applyFont="1"/>
    <xf numFmtId="1" fontId="8" fillId="0" borderId="0" xfId="0" applyNumberFormat="1" applyFont="1"/>
    <xf numFmtId="0" fontId="11" fillId="0" borderId="0" xfId="796"/>
    <xf numFmtId="0" fontId="11" fillId="0" borderId="0" xfId="1301"/>
    <xf numFmtId="0" fontId="53" fillId="0" borderId="0" xfId="0" applyFont="1"/>
    <xf numFmtId="0" fontId="52" fillId="0" borderId="0" xfId="0" applyFont="1"/>
    <xf numFmtId="0" fontId="5" fillId="0" borderId="0" xfId="0" applyFont="1"/>
    <xf numFmtId="2" fontId="0" fillId="0" borderId="0" xfId="0" applyNumberFormat="1"/>
    <xf numFmtId="0" fontId="11" fillId="35" borderId="0" xfId="796" applyFill="1"/>
    <xf numFmtId="2" fontId="8" fillId="35" borderId="0" xfId="0" applyNumberFormat="1" applyFont="1" applyFill="1"/>
    <xf numFmtId="0" fontId="8" fillId="35" borderId="0" xfId="0" applyFont="1" applyFill="1"/>
    <xf numFmtId="0" fontId="0" fillId="35" borderId="0" xfId="0" applyFill="1"/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11" fillId="0" borderId="23" xfId="0" applyFont="1" applyBorder="1"/>
    <xf numFmtId="169" fontId="0" fillId="0" borderId="0" xfId="0" applyNumberFormat="1"/>
    <xf numFmtId="0" fontId="54" fillId="0" borderId="0" xfId="926"/>
    <xf numFmtId="9" fontId="0" fillId="0" borderId="0" xfId="1690" applyFont="1"/>
    <xf numFmtId="169" fontId="0" fillId="34" borderId="0" xfId="0" applyNumberFormat="1" applyFill="1"/>
    <xf numFmtId="0" fontId="56" fillId="0" borderId="0" xfId="915" applyFont="1"/>
    <xf numFmtId="0" fontId="58" fillId="0" borderId="0" xfId="1790" applyFont="1" applyAlignment="1">
      <alignment horizontal="left" vertical="center"/>
    </xf>
    <xf numFmtId="0" fontId="55" fillId="36" borderId="27" xfId="1054" applyFont="1" applyFill="1" applyBorder="1" applyAlignment="1">
      <alignment vertical="center"/>
    </xf>
    <xf numFmtId="3" fontId="0" fillId="0" borderId="0" xfId="0" applyNumberFormat="1"/>
    <xf numFmtId="0" fontId="56" fillId="0" borderId="0" xfId="0" applyFont="1"/>
    <xf numFmtId="0" fontId="4" fillId="0" borderId="0" xfId="1789"/>
    <xf numFmtId="0" fontId="59" fillId="0" borderId="0" xfId="1789" applyFont="1" applyAlignment="1">
      <alignment horizontal="left"/>
    </xf>
    <xf numFmtId="0" fontId="59" fillId="0" borderId="0" xfId="1789" applyFont="1" applyAlignment="1">
      <alignment horizontal="center"/>
    </xf>
    <xf numFmtId="0" fontId="57" fillId="0" borderId="0" xfId="0" applyFont="1"/>
    <xf numFmtId="0" fontId="60" fillId="0" borderId="0" xfId="0" applyFont="1"/>
    <xf numFmtId="0" fontId="3" fillId="0" borderId="0" xfId="914" applyFont="1"/>
    <xf numFmtId="0" fontId="61" fillId="0" borderId="0" xfId="1790" applyFont="1" applyAlignment="1">
      <alignment horizontal="left" vertical="center"/>
    </xf>
    <xf numFmtId="0" fontId="62" fillId="0" borderId="0" xfId="0" applyFont="1"/>
    <xf numFmtId="0" fontId="63" fillId="36" borderId="27" xfId="1054" applyFont="1" applyFill="1" applyBorder="1" applyAlignment="1">
      <alignment vertical="center"/>
    </xf>
    <xf numFmtId="0" fontId="62" fillId="37" borderId="0" xfId="0" applyFont="1" applyFill="1"/>
    <xf numFmtId="2" fontId="62" fillId="37" borderId="0" xfId="0" applyNumberFormat="1" applyFont="1" applyFill="1"/>
    <xf numFmtId="0" fontId="64" fillId="0" borderId="0" xfId="1789" applyFont="1"/>
    <xf numFmtId="0" fontId="64" fillId="37" borderId="0" xfId="1789" applyFont="1" applyFill="1"/>
    <xf numFmtId="0" fontId="57" fillId="37" borderId="0" xfId="0" applyFont="1" applyFill="1"/>
    <xf numFmtId="0" fontId="56" fillId="37" borderId="0" xfId="0" applyFont="1" applyFill="1"/>
    <xf numFmtId="0" fontId="0" fillId="37" borderId="0" xfId="0" applyFill="1"/>
    <xf numFmtId="0" fontId="8" fillId="37" borderId="0" xfId="0" applyFont="1" applyFill="1"/>
    <xf numFmtId="2" fontId="8" fillId="37" borderId="0" xfId="0" applyNumberFormat="1" applyFont="1" applyFill="1"/>
    <xf numFmtId="0" fontId="11" fillId="37" borderId="0" xfId="796" applyFill="1"/>
    <xf numFmtId="0" fontId="11" fillId="37" borderId="0" xfId="0" applyFont="1" applyFill="1"/>
    <xf numFmtId="0" fontId="12" fillId="37" borderId="0" xfId="0" applyFont="1" applyFill="1"/>
    <xf numFmtId="2" fontId="0" fillId="37" borderId="0" xfId="0" applyNumberFormat="1" applyFill="1"/>
    <xf numFmtId="0" fontId="0" fillId="38" borderId="0" xfId="0" applyFill="1"/>
    <xf numFmtId="0" fontId="8" fillId="38" borderId="0" xfId="0" applyFont="1" applyFill="1"/>
    <xf numFmtId="0" fontId="11" fillId="38" borderId="0" xfId="0" applyFont="1" applyFill="1"/>
    <xf numFmtId="2" fontId="8" fillId="38" borderId="0" xfId="0" applyNumberFormat="1" applyFont="1" applyFill="1"/>
    <xf numFmtId="0" fontId="12" fillId="38" borderId="0" xfId="0" applyFont="1" applyFill="1"/>
    <xf numFmtId="2" fontId="0" fillId="38" borderId="0" xfId="0" applyNumberFormat="1" applyFill="1"/>
    <xf numFmtId="0" fontId="11" fillId="38" borderId="0" xfId="796" applyFill="1"/>
    <xf numFmtId="2" fontId="8" fillId="38" borderId="0" xfId="0" applyNumberFormat="1" applyFont="1" applyFill="1" applyAlignment="1">
      <alignment horizontal="right"/>
    </xf>
    <xf numFmtId="180" fontId="56" fillId="0" borderId="0" xfId="0" applyNumberFormat="1" applyFont="1"/>
    <xf numFmtId="0" fontId="8" fillId="37" borderId="19" xfId="0" applyFont="1" applyFill="1" applyBorder="1"/>
    <xf numFmtId="0" fontId="0" fillId="37" borderId="19" xfId="0" applyFill="1" applyBorder="1"/>
    <xf numFmtId="0" fontId="11" fillId="37" borderId="19" xfId="0" applyFont="1" applyFill="1" applyBorder="1"/>
    <xf numFmtId="0" fontId="11" fillId="37" borderId="19" xfId="796" applyFill="1" applyBorder="1"/>
    <xf numFmtId="2" fontId="8" fillId="37" borderId="19" xfId="0" applyNumberFormat="1" applyFont="1" applyFill="1" applyBorder="1"/>
    <xf numFmtId="0" fontId="8" fillId="37" borderId="21" xfId="0" applyFont="1" applyFill="1" applyBorder="1"/>
    <xf numFmtId="0" fontId="0" fillId="37" borderId="21" xfId="0" applyFill="1" applyBorder="1"/>
    <xf numFmtId="0" fontId="11" fillId="37" borderId="21" xfId="0" applyFont="1" applyFill="1" applyBorder="1"/>
    <xf numFmtId="0" fontId="11" fillId="37" borderId="21" xfId="796" applyFill="1" applyBorder="1"/>
    <xf numFmtId="2" fontId="8" fillId="37" borderId="21" xfId="0" applyNumberFormat="1" applyFont="1" applyFill="1" applyBorder="1"/>
    <xf numFmtId="2" fontId="0" fillId="37" borderId="19" xfId="0" applyNumberFormat="1" applyFill="1" applyBorder="1"/>
    <xf numFmtId="2" fontId="65" fillId="37" borderId="0" xfId="0" applyNumberFormat="1" applyFont="1" applyFill="1"/>
    <xf numFmtId="2" fontId="65" fillId="37" borderId="19" xfId="0" applyNumberFormat="1" applyFont="1" applyFill="1" applyBorder="1"/>
    <xf numFmtId="0" fontId="11" fillId="37" borderId="0" xfId="1301" applyFill="1"/>
    <xf numFmtId="0" fontId="11" fillId="38" borderId="0" xfId="1301" applyFill="1"/>
    <xf numFmtId="0" fontId="7" fillId="37" borderId="0" xfId="0" applyFont="1" applyFill="1"/>
    <xf numFmtId="0" fontId="8" fillId="37" borderId="0" xfId="0" quotePrefix="1" applyFont="1" applyFill="1"/>
    <xf numFmtId="0" fontId="7" fillId="38" borderId="0" xfId="0" applyFont="1" applyFill="1"/>
    <xf numFmtId="0" fontId="11" fillId="37" borderId="0" xfId="0" applyFont="1" applyFill="1" applyAlignment="1">
      <alignment horizontal="center"/>
    </xf>
    <xf numFmtId="1" fontId="11" fillId="37" borderId="0" xfId="0" applyNumberFormat="1" applyFont="1" applyFill="1"/>
    <xf numFmtId="0" fontId="8" fillId="38" borderId="0" xfId="0" quotePrefix="1" applyFont="1" applyFill="1"/>
    <xf numFmtId="1" fontId="8" fillId="38" borderId="0" xfId="0" applyNumberFormat="1" applyFont="1" applyFill="1"/>
    <xf numFmtId="1" fontId="0" fillId="38" borderId="0" xfId="0" applyNumberFormat="1" applyFill="1"/>
    <xf numFmtId="169" fontId="11" fillId="38" borderId="0" xfId="0" applyNumberFormat="1" applyFont="1" applyFill="1"/>
    <xf numFmtId="169" fontId="0" fillId="38" borderId="0" xfId="0" applyNumberFormat="1" applyFill="1"/>
    <xf numFmtId="0" fontId="66" fillId="37" borderId="0" xfId="0" applyFont="1" applyFill="1"/>
    <xf numFmtId="2" fontId="66" fillId="37" borderId="0" xfId="0" applyNumberFormat="1" applyFont="1" applyFill="1"/>
    <xf numFmtId="0" fontId="66" fillId="37" borderId="0" xfId="0" quotePrefix="1" applyFont="1" applyFill="1"/>
    <xf numFmtId="0" fontId="66" fillId="38" borderId="0" xfId="0" applyFont="1" applyFill="1"/>
    <xf numFmtId="2" fontId="66" fillId="38" borderId="0" xfId="0" applyNumberFormat="1" applyFont="1" applyFill="1"/>
    <xf numFmtId="0" fontId="66" fillId="37" borderId="21" xfId="0" applyFont="1" applyFill="1" applyBorder="1"/>
    <xf numFmtId="0" fontId="66" fillId="37" borderId="19" xfId="0" applyFont="1" applyFill="1" applyBorder="1"/>
    <xf numFmtId="0" fontId="66" fillId="37" borderId="21" xfId="796" applyFont="1" applyFill="1" applyBorder="1"/>
    <xf numFmtId="2" fontId="66" fillId="37" borderId="21" xfId="0" applyNumberFormat="1" applyFont="1" applyFill="1" applyBorder="1"/>
    <xf numFmtId="0" fontId="66" fillId="37" borderId="0" xfId="796" applyFont="1" applyFill="1"/>
    <xf numFmtId="0" fontId="66" fillId="37" borderId="19" xfId="796" applyFont="1" applyFill="1" applyBorder="1"/>
    <xf numFmtId="2" fontId="66" fillId="37" borderId="19" xfId="0" applyNumberFormat="1" applyFont="1" applyFill="1" applyBorder="1"/>
    <xf numFmtId="0" fontId="64" fillId="37" borderId="19" xfId="1789" applyFont="1" applyFill="1" applyBorder="1"/>
    <xf numFmtId="0" fontId="62" fillId="37" borderId="19" xfId="0" applyFont="1" applyFill="1" applyBorder="1"/>
    <xf numFmtId="0" fontId="1" fillId="0" borderId="0" xfId="914" applyFont="1"/>
    <xf numFmtId="0" fontId="54" fillId="38" borderId="0" xfId="914" applyFill="1"/>
    <xf numFmtId="1" fontId="54" fillId="38" borderId="0" xfId="914" applyNumberFormat="1" applyFill="1"/>
    <xf numFmtId="0" fontId="3" fillId="38" borderId="0" xfId="914" applyFont="1" applyFill="1"/>
    <xf numFmtId="0" fontId="1" fillId="38" borderId="0" xfId="914" applyFont="1" applyFill="1"/>
    <xf numFmtId="169" fontId="54" fillId="38" borderId="0" xfId="914" applyNumberFormat="1" applyFill="1"/>
    <xf numFmtId="0" fontId="2" fillId="38" borderId="0" xfId="914" applyFont="1" applyFill="1"/>
  </cellXfs>
  <cellStyles count="1791">
    <cellStyle name="20% - Accent1 2" xfId="1" xr:uid="{00000000-0005-0000-0000-000000000000}"/>
    <cellStyle name="20% - Accent1 2 10" xfId="2" xr:uid="{00000000-0005-0000-0000-000001000000}"/>
    <cellStyle name="20% - Accent1 2 11" xfId="3" xr:uid="{00000000-0005-0000-0000-000002000000}"/>
    <cellStyle name="20% - Accent1 2 12" xfId="4" xr:uid="{00000000-0005-0000-0000-000003000000}"/>
    <cellStyle name="20% - Accent1 2 13" xfId="5" xr:uid="{00000000-0005-0000-0000-000004000000}"/>
    <cellStyle name="20% - Accent1 2 14" xfId="6" xr:uid="{00000000-0005-0000-0000-000005000000}"/>
    <cellStyle name="20% - Accent1 2 15" xfId="7" xr:uid="{00000000-0005-0000-0000-000006000000}"/>
    <cellStyle name="20% - Accent1 2 2" xfId="8" xr:uid="{00000000-0005-0000-0000-000007000000}"/>
    <cellStyle name="20% - Accent1 2 3" xfId="9" xr:uid="{00000000-0005-0000-0000-000008000000}"/>
    <cellStyle name="20% - Accent1 2 4" xfId="10" xr:uid="{00000000-0005-0000-0000-000009000000}"/>
    <cellStyle name="20% - Accent1 2 5" xfId="11" xr:uid="{00000000-0005-0000-0000-00000A000000}"/>
    <cellStyle name="20% - Accent1 2 6" xfId="12" xr:uid="{00000000-0005-0000-0000-00000B000000}"/>
    <cellStyle name="20% - Accent1 2 7" xfId="13" xr:uid="{00000000-0005-0000-0000-00000C000000}"/>
    <cellStyle name="20% - Accent1 2 8" xfId="14" xr:uid="{00000000-0005-0000-0000-00000D000000}"/>
    <cellStyle name="20% - Accent1 2 9" xfId="15" xr:uid="{00000000-0005-0000-0000-00000E000000}"/>
    <cellStyle name="20% - Accent1 3" xfId="16" xr:uid="{00000000-0005-0000-0000-00000F000000}"/>
    <cellStyle name="20% - Accent1 4" xfId="17" xr:uid="{00000000-0005-0000-0000-000010000000}"/>
    <cellStyle name="20% - Accent1 5" xfId="18" xr:uid="{00000000-0005-0000-0000-000011000000}"/>
    <cellStyle name="20% - Accent1 6" xfId="19" xr:uid="{00000000-0005-0000-0000-000012000000}"/>
    <cellStyle name="20% - Accent1 7" xfId="20" xr:uid="{00000000-0005-0000-0000-000013000000}"/>
    <cellStyle name="20% - Accent1 8" xfId="21" xr:uid="{00000000-0005-0000-0000-000014000000}"/>
    <cellStyle name="20% - Accent2 2" xfId="22" xr:uid="{00000000-0005-0000-0000-000015000000}"/>
    <cellStyle name="20% - Accent2 2 10" xfId="23" xr:uid="{00000000-0005-0000-0000-000016000000}"/>
    <cellStyle name="20% - Accent2 2 11" xfId="24" xr:uid="{00000000-0005-0000-0000-000017000000}"/>
    <cellStyle name="20% - Accent2 2 12" xfId="25" xr:uid="{00000000-0005-0000-0000-000018000000}"/>
    <cellStyle name="20% - Accent2 2 13" xfId="26" xr:uid="{00000000-0005-0000-0000-000019000000}"/>
    <cellStyle name="20% - Accent2 2 14" xfId="27" xr:uid="{00000000-0005-0000-0000-00001A000000}"/>
    <cellStyle name="20% - Accent2 2 15" xfId="28" xr:uid="{00000000-0005-0000-0000-00001B000000}"/>
    <cellStyle name="20% - Accent2 2 2" xfId="29" xr:uid="{00000000-0005-0000-0000-00001C000000}"/>
    <cellStyle name="20% - Accent2 2 3" xfId="30" xr:uid="{00000000-0005-0000-0000-00001D000000}"/>
    <cellStyle name="20% - Accent2 2 4" xfId="31" xr:uid="{00000000-0005-0000-0000-00001E000000}"/>
    <cellStyle name="20% - Accent2 2 5" xfId="32" xr:uid="{00000000-0005-0000-0000-00001F000000}"/>
    <cellStyle name="20% - Accent2 2 6" xfId="33" xr:uid="{00000000-0005-0000-0000-000020000000}"/>
    <cellStyle name="20% - Accent2 2 7" xfId="34" xr:uid="{00000000-0005-0000-0000-000021000000}"/>
    <cellStyle name="20% - Accent2 2 8" xfId="35" xr:uid="{00000000-0005-0000-0000-000022000000}"/>
    <cellStyle name="20% - Accent2 2 9" xfId="36" xr:uid="{00000000-0005-0000-0000-000023000000}"/>
    <cellStyle name="20% - Accent2 3" xfId="37" xr:uid="{00000000-0005-0000-0000-000024000000}"/>
    <cellStyle name="20% - Accent2 4" xfId="38" xr:uid="{00000000-0005-0000-0000-000025000000}"/>
    <cellStyle name="20% - Accent2 5" xfId="39" xr:uid="{00000000-0005-0000-0000-000026000000}"/>
    <cellStyle name="20% - Accent2 6" xfId="40" xr:uid="{00000000-0005-0000-0000-000027000000}"/>
    <cellStyle name="20% - Accent2 7" xfId="41" xr:uid="{00000000-0005-0000-0000-000028000000}"/>
    <cellStyle name="20% - Accent2 8" xfId="42" xr:uid="{00000000-0005-0000-0000-000029000000}"/>
    <cellStyle name="20% - Accent3 2" xfId="43" xr:uid="{00000000-0005-0000-0000-00002A000000}"/>
    <cellStyle name="20% - Accent3 2 10" xfId="44" xr:uid="{00000000-0005-0000-0000-00002B000000}"/>
    <cellStyle name="20% - Accent3 2 11" xfId="45" xr:uid="{00000000-0005-0000-0000-00002C000000}"/>
    <cellStyle name="20% - Accent3 2 12" xfId="46" xr:uid="{00000000-0005-0000-0000-00002D000000}"/>
    <cellStyle name="20% - Accent3 2 13" xfId="47" xr:uid="{00000000-0005-0000-0000-00002E000000}"/>
    <cellStyle name="20% - Accent3 2 14" xfId="48" xr:uid="{00000000-0005-0000-0000-00002F000000}"/>
    <cellStyle name="20% - Accent3 2 15" xfId="49" xr:uid="{00000000-0005-0000-0000-000030000000}"/>
    <cellStyle name="20% - Accent3 2 2" xfId="50" xr:uid="{00000000-0005-0000-0000-000031000000}"/>
    <cellStyle name="20% - Accent3 2 3" xfId="51" xr:uid="{00000000-0005-0000-0000-000032000000}"/>
    <cellStyle name="20% - Accent3 2 4" xfId="52" xr:uid="{00000000-0005-0000-0000-000033000000}"/>
    <cellStyle name="20% - Accent3 2 5" xfId="53" xr:uid="{00000000-0005-0000-0000-000034000000}"/>
    <cellStyle name="20% - Accent3 2 6" xfId="54" xr:uid="{00000000-0005-0000-0000-000035000000}"/>
    <cellStyle name="20% - Accent3 2 7" xfId="55" xr:uid="{00000000-0005-0000-0000-000036000000}"/>
    <cellStyle name="20% - Accent3 2 8" xfId="56" xr:uid="{00000000-0005-0000-0000-000037000000}"/>
    <cellStyle name="20% - Accent3 2 9" xfId="57" xr:uid="{00000000-0005-0000-0000-000038000000}"/>
    <cellStyle name="20% - Accent3 3" xfId="58" xr:uid="{00000000-0005-0000-0000-000039000000}"/>
    <cellStyle name="20% - Accent3 4" xfId="59" xr:uid="{00000000-0005-0000-0000-00003A000000}"/>
    <cellStyle name="20% - Accent3 5" xfId="60" xr:uid="{00000000-0005-0000-0000-00003B000000}"/>
    <cellStyle name="20% - Accent3 6" xfId="61" xr:uid="{00000000-0005-0000-0000-00003C000000}"/>
    <cellStyle name="20% - Accent3 7" xfId="62" xr:uid="{00000000-0005-0000-0000-00003D000000}"/>
    <cellStyle name="20% - Accent3 8" xfId="63" xr:uid="{00000000-0005-0000-0000-00003E000000}"/>
    <cellStyle name="20% - Accent4 2" xfId="64" xr:uid="{00000000-0005-0000-0000-00003F000000}"/>
    <cellStyle name="20% - Accent4 2 10" xfId="65" xr:uid="{00000000-0005-0000-0000-000040000000}"/>
    <cellStyle name="20% - Accent4 2 11" xfId="66" xr:uid="{00000000-0005-0000-0000-000041000000}"/>
    <cellStyle name="20% - Accent4 2 12" xfId="67" xr:uid="{00000000-0005-0000-0000-000042000000}"/>
    <cellStyle name="20% - Accent4 2 13" xfId="68" xr:uid="{00000000-0005-0000-0000-000043000000}"/>
    <cellStyle name="20% - Accent4 2 14" xfId="69" xr:uid="{00000000-0005-0000-0000-000044000000}"/>
    <cellStyle name="20% - Accent4 2 15" xfId="70" xr:uid="{00000000-0005-0000-0000-000045000000}"/>
    <cellStyle name="20% - Accent4 2 2" xfId="71" xr:uid="{00000000-0005-0000-0000-000046000000}"/>
    <cellStyle name="20% - Accent4 2 3" xfId="72" xr:uid="{00000000-0005-0000-0000-000047000000}"/>
    <cellStyle name="20% - Accent4 2 4" xfId="73" xr:uid="{00000000-0005-0000-0000-000048000000}"/>
    <cellStyle name="20% - Accent4 2 5" xfId="74" xr:uid="{00000000-0005-0000-0000-000049000000}"/>
    <cellStyle name="20% - Accent4 2 6" xfId="75" xr:uid="{00000000-0005-0000-0000-00004A000000}"/>
    <cellStyle name="20% - Accent4 2 7" xfId="76" xr:uid="{00000000-0005-0000-0000-00004B000000}"/>
    <cellStyle name="20% - Accent4 2 8" xfId="77" xr:uid="{00000000-0005-0000-0000-00004C000000}"/>
    <cellStyle name="20% - Accent4 2 9" xfId="78" xr:uid="{00000000-0005-0000-0000-00004D000000}"/>
    <cellStyle name="20% - Accent4 3" xfId="79" xr:uid="{00000000-0005-0000-0000-00004E000000}"/>
    <cellStyle name="20% - Accent4 4" xfId="80" xr:uid="{00000000-0005-0000-0000-00004F000000}"/>
    <cellStyle name="20% - Accent4 5" xfId="81" xr:uid="{00000000-0005-0000-0000-000050000000}"/>
    <cellStyle name="20% - Accent4 6" xfId="82" xr:uid="{00000000-0005-0000-0000-000051000000}"/>
    <cellStyle name="20% - Accent4 7" xfId="83" xr:uid="{00000000-0005-0000-0000-000052000000}"/>
    <cellStyle name="20% - Accent4 8" xfId="84" xr:uid="{00000000-0005-0000-0000-000053000000}"/>
    <cellStyle name="20% - Accent5 2" xfId="85" xr:uid="{00000000-0005-0000-0000-000054000000}"/>
    <cellStyle name="20% - Accent5 2 10" xfId="86" xr:uid="{00000000-0005-0000-0000-000055000000}"/>
    <cellStyle name="20% - Accent5 2 11" xfId="87" xr:uid="{00000000-0005-0000-0000-000056000000}"/>
    <cellStyle name="20% - Accent5 2 12" xfId="88" xr:uid="{00000000-0005-0000-0000-000057000000}"/>
    <cellStyle name="20% - Accent5 2 13" xfId="89" xr:uid="{00000000-0005-0000-0000-000058000000}"/>
    <cellStyle name="20% - Accent5 2 14" xfId="90" xr:uid="{00000000-0005-0000-0000-000059000000}"/>
    <cellStyle name="20% - Accent5 2 15" xfId="91" xr:uid="{00000000-0005-0000-0000-00005A000000}"/>
    <cellStyle name="20% - Accent5 2 2" xfId="92" xr:uid="{00000000-0005-0000-0000-00005B000000}"/>
    <cellStyle name="20% - Accent5 2 3" xfId="93" xr:uid="{00000000-0005-0000-0000-00005C000000}"/>
    <cellStyle name="20% - Accent5 2 4" xfId="94" xr:uid="{00000000-0005-0000-0000-00005D000000}"/>
    <cellStyle name="20% - Accent5 2 5" xfId="95" xr:uid="{00000000-0005-0000-0000-00005E000000}"/>
    <cellStyle name="20% - Accent5 2 6" xfId="96" xr:uid="{00000000-0005-0000-0000-00005F000000}"/>
    <cellStyle name="20% - Accent5 2 7" xfId="97" xr:uid="{00000000-0005-0000-0000-000060000000}"/>
    <cellStyle name="20% - Accent5 2 8" xfId="98" xr:uid="{00000000-0005-0000-0000-000061000000}"/>
    <cellStyle name="20% - Accent5 2 9" xfId="99" xr:uid="{00000000-0005-0000-0000-000062000000}"/>
    <cellStyle name="20% - Accent5 3" xfId="100" xr:uid="{00000000-0005-0000-0000-000063000000}"/>
    <cellStyle name="20% - Accent5 4" xfId="101" xr:uid="{00000000-0005-0000-0000-000064000000}"/>
    <cellStyle name="20% - Accent5 5" xfId="102" xr:uid="{00000000-0005-0000-0000-000065000000}"/>
    <cellStyle name="20% - Accent5 6" xfId="103" xr:uid="{00000000-0005-0000-0000-000066000000}"/>
    <cellStyle name="20% - Accent5 7" xfId="104" xr:uid="{00000000-0005-0000-0000-000067000000}"/>
    <cellStyle name="20% - Accent5 8" xfId="105" xr:uid="{00000000-0005-0000-0000-000068000000}"/>
    <cellStyle name="20% - Accent6 2" xfId="106" xr:uid="{00000000-0005-0000-0000-000069000000}"/>
    <cellStyle name="20% - Accent6 2 10" xfId="107" xr:uid="{00000000-0005-0000-0000-00006A000000}"/>
    <cellStyle name="20% - Accent6 2 11" xfId="108" xr:uid="{00000000-0005-0000-0000-00006B000000}"/>
    <cellStyle name="20% - Accent6 2 12" xfId="109" xr:uid="{00000000-0005-0000-0000-00006C000000}"/>
    <cellStyle name="20% - Accent6 2 13" xfId="110" xr:uid="{00000000-0005-0000-0000-00006D000000}"/>
    <cellStyle name="20% - Accent6 2 14" xfId="111" xr:uid="{00000000-0005-0000-0000-00006E000000}"/>
    <cellStyle name="20% - Accent6 2 15" xfId="112" xr:uid="{00000000-0005-0000-0000-00006F000000}"/>
    <cellStyle name="20% - Accent6 2 2" xfId="113" xr:uid="{00000000-0005-0000-0000-000070000000}"/>
    <cellStyle name="20% - Accent6 2 3" xfId="114" xr:uid="{00000000-0005-0000-0000-000071000000}"/>
    <cellStyle name="20% - Accent6 2 4" xfId="115" xr:uid="{00000000-0005-0000-0000-000072000000}"/>
    <cellStyle name="20% - Accent6 2 5" xfId="116" xr:uid="{00000000-0005-0000-0000-000073000000}"/>
    <cellStyle name="20% - Accent6 2 6" xfId="117" xr:uid="{00000000-0005-0000-0000-000074000000}"/>
    <cellStyle name="20% - Accent6 2 7" xfId="118" xr:uid="{00000000-0005-0000-0000-000075000000}"/>
    <cellStyle name="20% - Accent6 2 8" xfId="119" xr:uid="{00000000-0005-0000-0000-000076000000}"/>
    <cellStyle name="20% - Accent6 2 9" xfId="120" xr:uid="{00000000-0005-0000-0000-000077000000}"/>
    <cellStyle name="20% - Accent6 3" xfId="121" xr:uid="{00000000-0005-0000-0000-000078000000}"/>
    <cellStyle name="20% - Accent6 4" xfId="122" xr:uid="{00000000-0005-0000-0000-000079000000}"/>
    <cellStyle name="20% - Accent6 5" xfId="123" xr:uid="{00000000-0005-0000-0000-00007A000000}"/>
    <cellStyle name="20% - Accent6 6" xfId="124" xr:uid="{00000000-0005-0000-0000-00007B000000}"/>
    <cellStyle name="20% - Accent6 7" xfId="125" xr:uid="{00000000-0005-0000-0000-00007C000000}"/>
    <cellStyle name="20% - Accent6 8" xfId="126" xr:uid="{00000000-0005-0000-0000-00007D000000}"/>
    <cellStyle name="40% - Accent1 2" xfId="127" xr:uid="{00000000-0005-0000-0000-00007E000000}"/>
    <cellStyle name="40% - Accent1 2 10" xfId="128" xr:uid="{00000000-0005-0000-0000-00007F000000}"/>
    <cellStyle name="40% - Accent1 2 11" xfId="129" xr:uid="{00000000-0005-0000-0000-000080000000}"/>
    <cellStyle name="40% - Accent1 2 12" xfId="130" xr:uid="{00000000-0005-0000-0000-000081000000}"/>
    <cellStyle name="40% - Accent1 2 13" xfId="131" xr:uid="{00000000-0005-0000-0000-000082000000}"/>
    <cellStyle name="40% - Accent1 2 14" xfId="132" xr:uid="{00000000-0005-0000-0000-000083000000}"/>
    <cellStyle name="40% - Accent1 2 15" xfId="133" xr:uid="{00000000-0005-0000-0000-000084000000}"/>
    <cellStyle name="40% - Accent1 2 2" xfId="134" xr:uid="{00000000-0005-0000-0000-000085000000}"/>
    <cellStyle name="40% - Accent1 2 3" xfId="135" xr:uid="{00000000-0005-0000-0000-000086000000}"/>
    <cellStyle name="40% - Accent1 2 4" xfId="136" xr:uid="{00000000-0005-0000-0000-000087000000}"/>
    <cellStyle name="40% - Accent1 2 5" xfId="137" xr:uid="{00000000-0005-0000-0000-000088000000}"/>
    <cellStyle name="40% - Accent1 2 6" xfId="138" xr:uid="{00000000-0005-0000-0000-000089000000}"/>
    <cellStyle name="40% - Accent1 2 7" xfId="139" xr:uid="{00000000-0005-0000-0000-00008A000000}"/>
    <cellStyle name="40% - Accent1 2 8" xfId="140" xr:uid="{00000000-0005-0000-0000-00008B000000}"/>
    <cellStyle name="40% - Accent1 2 9" xfId="141" xr:uid="{00000000-0005-0000-0000-00008C000000}"/>
    <cellStyle name="40% - Accent1 3" xfId="142" xr:uid="{00000000-0005-0000-0000-00008D000000}"/>
    <cellStyle name="40% - Accent1 4" xfId="143" xr:uid="{00000000-0005-0000-0000-00008E000000}"/>
    <cellStyle name="40% - Accent1 5" xfId="144" xr:uid="{00000000-0005-0000-0000-00008F000000}"/>
    <cellStyle name="40% - Accent1 6" xfId="145" xr:uid="{00000000-0005-0000-0000-000090000000}"/>
    <cellStyle name="40% - Accent1 7" xfId="146" xr:uid="{00000000-0005-0000-0000-000091000000}"/>
    <cellStyle name="40% - Accent1 8" xfId="147" xr:uid="{00000000-0005-0000-0000-000092000000}"/>
    <cellStyle name="40% - Accent2 2" xfId="148" xr:uid="{00000000-0005-0000-0000-000093000000}"/>
    <cellStyle name="40% - Accent2 2 10" xfId="149" xr:uid="{00000000-0005-0000-0000-000094000000}"/>
    <cellStyle name="40% - Accent2 2 11" xfId="150" xr:uid="{00000000-0005-0000-0000-000095000000}"/>
    <cellStyle name="40% - Accent2 2 12" xfId="151" xr:uid="{00000000-0005-0000-0000-000096000000}"/>
    <cellStyle name="40% - Accent2 2 13" xfId="152" xr:uid="{00000000-0005-0000-0000-000097000000}"/>
    <cellStyle name="40% - Accent2 2 14" xfId="153" xr:uid="{00000000-0005-0000-0000-000098000000}"/>
    <cellStyle name="40% - Accent2 2 15" xfId="154" xr:uid="{00000000-0005-0000-0000-000099000000}"/>
    <cellStyle name="40% - Accent2 2 2" xfId="155" xr:uid="{00000000-0005-0000-0000-00009A000000}"/>
    <cellStyle name="40% - Accent2 2 3" xfId="156" xr:uid="{00000000-0005-0000-0000-00009B000000}"/>
    <cellStyle name="40% - Accent2 2 4" xfId="157" xr:uid="{00000000-0005-0000-0000-00009C000000}"/>
    <cellStyle name="40% - Accent2 2 5" xfId="158" xr:uid="{00000000-0005-0000-0000-00009D000000}"/>
    <cellStyle name="40% - Accent2 2 6" xfId="159" xr:uid="{00000000-0005-0000-0000-00009E000000}"/>
    <cellStyle name="40% - Accent2 2 7" xfId="160" xr:uid="{00000000-0005-0000-0000-00009F000000}"/>
    <cellStyle name="40% - Accent2 2 8" xfId="161" xr:uid="{00000000-0005-0000-0000-0000A0000000}"/>
    <cellStyle name="40% - Accent2 2 9" xfId="162" xr:uid="{00000000-0005-0000-0000-0000A1000000}"/>
    <cellStyle name="40% - Accent2 3" xfId="163" xr:uid="{00000000-0005-0000-0000-0000A2000000}"/>
    <cellStyle name="40% - Accent2 4" xfId="164" xr:uid="{00000000-0005-0000-0000-0000A3000000}"/>
    <cellStyle name="40% - Accent2 5" xfId="165" xr:uid="{00000000-0005-0000-0000-0000A4000000}"/>
    <cellStyle name="40% - Accent2 6" xfId="166" xr:uid="{00000000-0005-0000-0000-0000A5000000}"/>
    <cellStyle name="40% - Accent2 7" xfId="167" xr:uid="{00000000-0005-0000-0000-0000A6000000}"/>
    <cellStyle name="40% - Accent2 8" xfId="168" xr:uid="{00000000-0005-0000-0000-0000A7000000}"/>
    <cellStyle name="40% - Accent3 2" xfId="169" xr:uid="{00000000-0005-0000-0000-0000A8000000}"/>
    <cellStyle name="40% - Accent3 2 10" xfId="170" xr:uid="{00000000-0005-0000-0000-0000A9000000}"/>
    <cellStyle name="40% - Accent3 2 11" xfId="171" xr:uid="{00000000-0005-0000-0000-0000AA000000}"/>
    <cellStyle name="40% - Accent3 2 12" xfId="172" xr:uid="{00000000-0005-0000-0000-0000AB000000}"/>
    <cellStyle name="40% - Accent3 2 13" xfId="173" xr:uid="{00000000-0005-0000-0000-0000AC000000}"/>
    <cellStyle name="40% - Accent3 2 14" xfId="174" xr:uid="{00000000-0005-0000-0000-0000AD000000}"/>
    <cellStyle name="40% - Accent3 2 15" xfId="175" xr:uid="{00000000-0005-0000-0000-0000AE000000}"/>
    <cellStyle name="40% - Accent3 2 2" xfId="176" xr:uid="{00000000-0005-0000-0000-0000AF000000}"/>
    <cellStyle name="40% - Accent3 2 3" xfId="177" xr:uid="{00000000-0005-0000-0000-0000B0000000}"/>
    <cellStyle name="40% - Accent3 2 4" xfId="178" xr:uid="{00000000-0005-0000-0000-0000B1000000}"/>
    <cellStyle name="40% - Accent3 2 5" xfId="179" xr:uid="{00000000-0005-0000-0000-0000B2000000}"/>
    <cellStyle name="40% - Accent3 2 6" xfId="180" xr:uid="{00000000-0005-0000-0000-0000B3000000}"/>
    <cellStyle name="40% - Accent3 2 7" xfId="181" xr:uid="{00000000-0005-0000-0000-0000B4000000}"/>
    <cellStyle name="40% - Accent3 2 8" xfId="182" xr:uid="{00000000-0005-0000-0000-0000B5000000}"/>
    <cellStyle name="40% - Accent3 2 9" xfId="183" xr:uid="{00000000-0005-0000-0000-0000B6000000}"/>
    <cellStyle name="40% - Accent3 3" xfId="184" xr:uid="{00000000-0005-0000-0000-0000B7000000}"/>
    <cellStyle name="40% - Accent3 4" xfId="185" xr:uid="{00000000-0005-0000-0000-0000B8000000}"/>
    <cellStyle name="40% - Accent3 5" xfId="186" xr:uid="{00000000-0005-0000-0000-0000B9000000}"/>
    <cellStyle name="40% - Accent3 6" xfId="187" xr:uid="{00000000-0005-0000-0000-0000BA000000}"/>
    <cellStyle name="40% - Accent3 7" xfId="188" xr:uid="{00000000-0005-0000-0000-0000BB000000}"/>
    <cellStyle name="40% - Accent3 8" xfId="189" xr:uid="{00000000-0005-0000-0000-0000BC000000}"/>
    <cellStyle name="40% - Accent4 2" xfId="190" xr:uid="{00000000-0005-0000-0000-0000BD000000}"/>
    <cellStyle name="40% - Accent4 2 10" xfId="191" xr:uid="{00000000-0005-0000-0000-0000BE000000}"/>
    <cellStyle name="40% - Accent4 2 11" xfId="192" xr:uid="{00000000-0005-0000-0000-0000BF000000}"/>
    <cellStyle name="40% - Accent4 2 12" xfId="193" xr:uid="{00000000-0005-0000-0000-0000C0000000}"/>
    <cellStyle name="40% - Accent4 2 13" xfId="194" xr:uid="{00000000-0005-0000-0000-0000C1000000}"/>
    <cellStyle name="40% - Accent4 2 14" xfId="195" xr:uid="{00000000-0005-0000-0000-0000C2000000}"/>
    <cellStyle name="40% - Accent4 2 15" xfId="196" xr:uid="{00000000-0005-0000-0000-0000C3000000}"/>
    <cellStyle name="40% - Accent4 2 2" xfId="197" xr:uid="{00000000-0005-0000-0000-0000C4000000}"/>
    <cellStyle name="40% - Accent4 2 3" xfId="198" xr:uid="{00000000-0005-0000-0000-0000C5000000}"/>
    <cellStyle name="40% - Accent4 2 4" xfId="199" xr:uid="{00000000-0005-0000-0000-0000C6000000}"/>
    <cellStyle name="40% - Accent4 2 5" xfId="200" xr:uid="{00000000-0005-0000-0000-0000C7000000}"/>
    <cellStyle name="40% - Accent4 2 6" xfId="201" xr:uid="{00000000-0005-0000-0000-0000C8000000}"/>
    <cellStyle name="40% - Accent4 2 7" xfId="202" xr:uid="{00000000-0005-0000-0000-0000C9000000}"/>
    <cellStyle name="40% - Accent4 2 8" xfId="203" xr:uid="{00000000-0005-0000-0000-0000CA000000}"/>
    <cellStyle name="40% - Accent4 2 9" xfId="204" xr:uid="{00000000-0005-0000-0000-0000CB000000}"/>
    <cellStyle name="40% - Accent4 3" xfId="205" xr:uid="{00000000-0005-0000-0000-0000CC000000}"/>
    <cellStyle name="40% - Accent4 4" xfId="206" xr:uid="{00000000-0005-0000-0000-0000CD000000}"/>
    <cellStyle name="40% - Accent4 5" xfId="207" xr:uid="{00000000-0005-0000-0000-0000CE000000}"/>
    <cellStyle name="40% - Accent4 6" xfId="208" xr:uid="{00000000-0005-0000-0000-0000CF000000}"/>
    <cellStyle name="40% - Accent4 7" xfId="209" xr:uid="{00000000-0005-0000-0000-0000D0000000}"/>
    <cellStyle name="40% - Accent4 8" xfId="210" xr:uid="{00000000-0005-0000-0000-0000D1000000}"/>
    <cellStyle name="40% - Accent5 2" xfId="211" xr:uid="{00000000-0005-0000-0000-0000D2000000}"/>
    <cellStyle name="40% - Accent5 2 10" xfId="212" xr:uid="{00000000-0005-0000-0000-0000D3000000}"/>
    <cellStyle name="40% - Accent5 2 11" xfId="213" xr:uid="{00000000-0005-0000-0000-0000D4000000}"/>
    <cellStyle name="40% - Accent5 2 12" xfId="214" xr:uid="{00000000-0005-0000-0000-0000D5000000}"/>
    <cellStyle name="40% - Accent5 2 13" xfId="215" xr:uid="{00000000-0005-0000-0000-0000D6000000}"/>
    <cellStyle name="40% - Accent5 2 14" xfId="216" xr:uid="{00000000-0005-0000-0000-0000D7000000}"/>
    <cellStyle name="40% - Accent5 2 15" xfId="217" xr:uid="{00000000-0005-0000-0000-0000D8000000}"/>
    <cellStyle name="40% - Accent5 2 2" xfId="218" xr:uid="{00000000-0005-0000-0000-0000D9000000}"/>
    <cellStyle name="40% - Accent5 2 3" xfId="219" xr:uid="{00000000-0005-0000-0000-0000DA000000}"/>
    <cellStyle name="40% - Accent5 2 4" xfId="220" xr:uid="{00000000-0005-0000-0000-0000DB000000}"/>
    <cellStyle name="40% - Accent5 2 5" xfId="221" xr:uid="{00000000-0005-0000-0000-0000DC000000}"/>
    <cellStyle name="40% - Accent5 2 6" xfId="222" xr:uid="{00000000-0005-0000-0000-0000DD000000}"/>
    <cellStyle name="40% - Accent5 2 7" xfId="223" xr:uid="{00000000-0005-0000-0000-0000DE000000}"/>
    <cellStyle name="40% - Accent5 2 8" xfId="224" xr:uid="{00000000-0005-0000-0000-0000DF000000}"/>
    <cellStyle name="40% - Accent5 2 9" xfId="225" xr:uid="{00000000-0005-0000-0000-0000E0000000}"/>
    <cellStyle name="40% - Accent5 3" xfId="226" xr:uid="{00000000-0005-0000-0000-0000E1000000}"/>
    <cellStyle name="40% - Accent5 4" xfId="227" xr:uid="{00000000-0005-0000-0000-0000E2000000}"/>
    <cellStyle name="40% - Accent5 5" xfId="228" xr:uid="{00000000-0005-0000-0000-0000E3000000}"/>
    <cellStyle name="40% - Accent5 6" xfId="229" xr:uid="{00000000-0005-0000-0000-0000E4000000}"/>
    <cellStyle name="40% - Accent5 7" xfId="230" xr:uid="{00000000-0005-0000-0000-0000E5000000}"/>
    <cellStyle name="40% - Accent5 8" xfId="231" xr:uid="{00000000-0005-0000-0000-0000E6000000}"/>
    <cellStyle name="40% - Accent6 2" xfId="232" xr:uid="{00000000-0005-0000-0000-0000E7000000}"/>
    <cellStyle name="40% - Accent6 2 10" xfId="233" xr:uid="{00000000-0005-0000-0000-0000E8000000}"/>
    <cellStyle name="40% - Accent6 2 11" xfId="234" xr:uid="{00000000-0005-0000-0000-0000E9000000}"/>
    <cellStyle name="40% - Accent6 2 12" xfId="235" xr:uid="{00000000-0005-0000-0000-0000EA000000}"/>
    <cellStyle name="40% - Accent6 2 13" xfId="236" xr:uid="{00000000-0005-0000-0000-0000EB000000}"/>
    <cellStyle name="40% - Accent6 2 14" xfId="237" xr:uid="{00000000-0005-0000-0000-0000EC000000}"/>
    <cellStyle name="40% - Accent6 2 15" xfId="238" xr:uid="{00000000-0005-0000-0000-0000ED000000}"/>
    <cellStyle name="40% - Accent6 2 2" xfId="239" xr:uid="{00000000-0005-0000-0000-0000EE000000}"/>
    <cellStyle name="40% - Accent6 2 3" xfId="240" xr:uid="{00000000-0005-0000-0000-0000EF000000}"/>
    <cellStyle name="40% - Accent6 2 4" xfId="241" xr:uid="{00000000-0005-0000-0000-0000F0000000}"/>
    <cellStyle name="40% - Accent6 2 5" xfId="242" xr:uid="{00000000-0005-0000-0000-0000F1000000}"/>
    <cellStyle name="40% - Accent6 2 6" xfId="243" xr:uid="{00000000-0005-0000-0000-0000F2000000}"/>
    <cellStyle name="40% - Accent6 2 7" xfId="244" xr:uid="{00000000-0005-0000-0000-0000F3000000}"/>
    <cellStyle name="40% - Accent6 2 8" xfId="245" xr:uid="{00000000-0005-0000-0000-0000F4000000}"/>
    <cellStyle name="40% - Accent6 2 9" xfId="246" xr:uid="{00000000-0005-0000-0000-0000F5000000}"/>
    <cellStyle name="40% - Accent6 3" xfId="247" xr:uid="{00000000-0005-0000-0000-0000F6000000}"/>
    <cellStyle name="40% - Accent6 4" xfId="248" xr:uid="{00000000-0005-0000-0000-0000F7000000}"/>
    <cellStyle name="40% - Accent6 5" xfId="249" xr:uid="{00000000-0005-0000-0000-0000F8000000}"/>
    <cellStyle name="40% - Accent6 6" xfId="250" xr:uid="{00000000-0005-0000-0000-0000F9000000}"/>
    <cellStyle name="40% - Accent6 7" xfId="251" xr:uid="{00000000-0005-0000-0000-0000FA000000}"/>
    <cellStyle name="40% - Accent6 8" xfId="252" xr:uid="{00000000-0005-0000-0000-0000FB000000}"/>
    <cellStyle name="5x indented GHG Textfiels" xfId="253" xr:uid="{00000000-0005-0000-0000-0000FC000000}"/>
    <cellStyle name="60% - Accent1 2" xfId="254" xr:uid="{00000000-0005-0000-0000-0000FD000000}"/>
    <cellStyle name="60% - Accent1 2 10" xfId="255" xr:uid="{00000000-0005-0000-0000-0000FE000000}"/>
    <cellStyle name="60% - Accent1 2 2" xfId="256" xr:uid="{00000000-0005-0000-0000-0000FF000000}"/>
    <cellStyle name="60% - Accent1 2 3" xfId="257" xr:uid="{00000000-0005-0000-0000-000000010000}"/>
    <cellStyle name="60% - Accent1 2 4" xfId="258" xr:uid="{00000000-0005-0000-0000-000001010000}"/>
    <cellStyle name="60% - Accent1 2 5" xfId="259" xr:uid="{00000000-0005-0000-0000-000002010000}"/>
    <cellStyle name="60% - Accent1 2 6" xfId="260" xr:uid="{00000000-0005-0000-0000-000003010000}"/>
    <cellStyle name="60% - Accent1 2 7" xfId="261" xr:uid="{00000000-0005-0000-0000-000004010000}"/>
    <cellStyle name="60% - Accent1 2 8" xfId="262" xr:uid="{00000000-0005-0000-0000-000005010000}"/>
    <cellStyle name="60% - Accent1 2 9" xfId="263" xr:uid="{00000000-0005-0000-0000-000006010000}"/>
    <cellStyle name="60% - Accent1 3" xfId="264" xr:uid="{00000000-0005-0000-0000-000007010000}"/>
    <cellStyle name="60% - Accent2 2" xfId="265" xr:uid="{00000000-0005-0000-0000-000008010000}"/>
    <cellStyle name="60% - Accent2 2 10" xfId="266" xr:uid="{00000000-0005-0000-0000-000009010000}"/>
    <cellStyle name="60% - Accent2 2 2" xfId="267" xr:uid="{00000000-0005-0000-0000-00000A010000}"/>
    <cellStyle name="60% - Accent2 2 3" xfId="268" xr:uid="{00000000-0005-0000-0000-00000B010000}"/>
    <cellStyle name="60% - Accent2 2 4" xfId="269" xr:uid="{00000000-0005-0000-0000-00000C010000}"/>
    <cellStyle name="60% - Accent2 2 5" xfId="270" xr:uid="{00000000-0005-0000-0000-00000D010000}"/>
    <cellStyle name="60% - Accent2 2 6" xfId="271" xr:uid="{00000000-0005-0000-0000-00000E010000}"/>
    <cellStyle name="60% - Accent2 2 7" xfId="272" xr:uid="{00000000-0005-0000-0000-00000F010000}"/>
    <cellStyle name="60% - Accent2 2 8" xfId="273" xr:uid="{00000000-0005-0000-0000-000010010000}"/>
    <cellStyle name="60% - Accent2 2 9" xfId="274" xr:uid="{00000000-0005-0000-0000-000011010000}"/>
    <cellStyle name="60% - Accent2 3" xfId="275" xr:uid="{00000000-0005-0000-0000-000012010000}"/>
    <cellStyle name="60% - Accent3 2" xfId="276" xr:uid="{00000000-0005-0000-0000-000013010000}"/>
    <cellStyle name="60% - Accent3 2 10" xfId="277" xr:uid="{00000000-0005-0000-0000-000014010000}"/>
    <cellStyle name="60% - Accent3 2 2" xfId="278" xr:uid="{00000000-0005-0000-0000-000015010000}"/>
    <cellStyle name="60% - Accent3 2 3" xfId="279" xr:uid="{00000000-0005-0000-0000-000016010000}"/>
    <cellStyle name="60% - Accent3 2 4" xfId="280" xr:uid="{00000000-0005-0000-0000-000017010000}"/>
    <cellStyle name="60% - Accent3 2 5" xfId="281" xr:uid="{00000000-0005-0000-0000-000018010000}"/>
    <cellStyle name="60% - Accent3 2 6" xfId="282" xr:uid="{00000000-0005-0000-0000-000019010000}"/>
    <cellStyle name="60% - Accent3 2 7" xfId="283" xr:uid="{00000000-0005-0000-0000-00001A010000}"/>
    <cellStyle name="60% - Accent3 2 8" xfId="284" xr:uid="{00000000-0005-0000-0000-00001B010000}"/>
    <cellStyle name="60% - Accent3 2 9" xfId="285" xr:uid="{00000000-0005-0000-0000-00001C010000}"/>
    <cellStyle name="60% - Accent3 3" xfId="286" xr:uid="{00000000-0005-0000-0000-00001D010000}"/>
    <cellStyle name="60% - Accent4 2" xfId="287" xr:uid="{00000000-0005-0000-0000-00001E010000}"/>
    <cellStyle name="60% - Accent4 2 10" xfId="288" xr:uid="{00000000-0005-0000-0000-00001F010000}"/>
    <cellStyle name="60% - Accent4 2 2" xfId="289" xr:uid="{00000000-0005-0000-0000-000020010000}"/>
    <cellStyle name="60% - Accent4 2 3" xfId="290" xr:uid="{00000000-0005-0000-0000-000021010000}"/>
    <cellStyle name="60% - Accent4 2 4" xfId="291" xr:uid="{00000000-0005-0000-0000-000022010000}"/>
    <cellStyle name="60% - Accent4 2 5" xfId="292" xr:uid="{00000000-0005-0000-0000-000023010000}"/>
    <cellStyle name="60% - Accent4 2 6" xfId="293" xr:uid="{00000000-0005-0000-0000-000024010000}"/>
    <cellStyle name="60% - Accent4 2 7" xfId="294" xr:uid="{00000000-0005-0000-0000-000025010000}"/>
    <cellStyle name="60% - Accent4 2 8" xfId="295" xr:uid="{00000000-0005-0000-0000-000026010000}"/>
    <cellStyle name="60% - Accent4 2 9" xfId="296" xr:uid="{00000000-0005-0000-0000-000027010000}"/>
    <cellStyle name="60% - Accent4 3" xfId="297" xr:uid="{00000000-0005-0000-0000-000028010000}"/>
    <cellStyle name="60% - Accent5 2" xfId="298" xr:uid="{00000000-0005-0000-0000-000029010000}"/>
    <cellStyle name="60% - Accent5 2 10" xfId="299" xr:uid="{00000000-0005-0000-0000-00002A010000}"/>
    <cellStyle name="60% - Accent5 2 2" xfId="300" xr:uid="{00000000-0005-0000-0000-00002B010000}"/>
    <cellStyle name="60% - Accent5 2 3" xfId="301" xr:uid="{00000000-0005-0000-0000-00002C010000}"/>
    <cellStyle name="60% - Accent5 2 4" xfId="302" xr:uid="{00000000-0005-0000-0000-00002D010000}"/>
    <cellStyle name="60% - Accent5 2 5" xfId="303" xr:uid="{00000000-0005-0000-0000-00002E010000}"/>
    <cellStyle name="60% - Accent5 2 6" xfId="304" xr:uid="{00000000-0005-0000-0000-00002F010000}"/>
    <cellStyle name="60% - Accent5 2 7" xfId="305" xr:uid="{00000000-0005-0000-0000-000030010000}"/>
    <cellStyle name="60% - Accent5 2 8" xfId="306" xr:uid="{00000000-0005-0000-0000-000031010000}"/>
    <cellStyle name="60% - Accent5 2 9" xfId="307" xr:uid="{00000000-0005-0000-0000-000032010000}"/>
    <cellStyle name="60% - Accent5 3" xfId="308" xr:uid="{00000000-0005-0000-0000-000033010000}"/>
    <cellStyle name="60% - Accent6 2" xfId="309" xr:uid="{00000000-0005-0000-0000-000034010000}"/>
    <cellStyle name="60% - Accent6 2 10" xfId="310" xr:uid="{00000000-0005-0000-0000-000035010000}"/>
    <cellStyle name="60% - Accent6 2 2" xfId="311" xr:uid="{00000000-0005-0000-0000-000036010000}"/>
    <cellStyle name="60% - Accent6 2 3" xfId="312" xr:uid="{00000000-0005-0000-0000-000037010000}"/>
    <cellStyle name="60% - Accent6 2 4" xfId="313" xr:uid="{00000000-0005-0000-0000-000038010000}"/>
    <cellStyle name="60% - Accent6 2 5" xfId="314" xr:uid="{00000000-0005-0000-0000-000039010000}"/>
    <cellStyle name="60% - Accent6 2 6" xfId="315" xr:uid="{00000000-0005-0000-0000-00003A010000}"/>
    <cellStyle name="60% - Accent6 2 7" xfId="316" xr:uid="{00000000-0005-0000-0000-00003B010000}"/>
    <cellStyle name="60% - Accent6 2 8" xfId="317" xr:uid="{00000000-0005-0000-0000-00003C010000}"/>
    <cellStyle name="60% - Accent6 2 9" xfId="318" xr:uid="{00000000-0005-0000-0000-00003D010000}"/>
    <cellStyle name="60% - Accent6 3" xfId="319" xr:uid="{00000000-0005-0000-0000-00003E010000}"/>
    <cellStyle name="Accent1 2" xfId="320" xr:uid="{00000000-0005-0000-0000-00003F010000}"/>
    <cellStyle name="Accent1 2 10" xfId="321" xr:uid="{00000000-0005-0000-0000-000040010000}"/>
    <cellStyle name="Accent1 2 2" xfId="322" xr:uid="{00000000-0005-0000-0000-000041010000}"/>
    <cellStyle name="Accent1 2 3" xfId="323" xr:uid="{00000000-0005-0000-0000-000042010000}"/>
    <cellStyle name="Accent1 2 4" xfId="324" xr:uid="{00000000-0005-0000-0000-000043010000}"/>
    <cellStyle name="Accent1 2 5" xfId="325" xr:uid="{00000000-0005-0000-0000-000044010000}"/>
    <cellStyle name="Accent1 2 6" xfId="326" xr:uid="{00000000-0005-0000-0000-000045010000}"/>
    <cellStyle name="Accent1 2 7" xfId="327" xr:uid="{00000000-0005-0000-0000-000046010000}"/>
    <cellStyle name="Accent1 2 8" xfId="328" xr:uid="{00000000-0005-0000-0000-000047010000}"/>
    <cellStyle name="Accent1 2 9" xfId="329" xr:uid="{00000000-0005-0000-0000-000048010000}"/>
    <cellStyle name="Accent1 3" xfId="330" xr:uid="{00000000-0005-0000-0000-000049010000}"/>
    <cellStyle name="Accent2 2" xfId="331" xr:uid="{00000000-0005-0000-0000-00004A010000}"/>
    <cellStyle name="Accent2 2 10" xfId="332" xr:uid="{00000000-0005-0000-0000-00004B010000}"/>
    <cellStyle name="Accent2 2 2" xfId="333" xr:uid="{00000000-0005-0000-0000-00004C010000}"/>
    <cellStyle name="Accent2 2 3" xfId="334" xr:uid="{00000000-0005-0000-0000-00004D010000}"/>
    <cellStyle name="Accent2 2 4" xfId="335" xr:uid="{00000000-0005-0000-0000-00004E010000}"/>
    <cellStyle name="Accent2 2 5" xfId="336" xr:uid="{00000000-0005-0000-0000-00004F010000}"/>
    <cellStyle name="Accent2 2 6" xfId="337" xr:uid="{00000000-0005-0000-0000-000050010000}"/>
    <cellStyle name="Accent2 2 7" xfId="338" xr:uid="{00000000-0005-0000-0000-000051010000}"/>
    <cellStyle name="Accent2 2 8" xfId="339" xr:uid="{00000000-0005-0000-0000-000052010000}"/>
    <cellStyle name="Accent2 2 9" xfId="340" xr:uid="{00000000-0005-0000-0000-000053010000}"/>
    <cellStyle name="Accent2 3" xfId="341" xr:uid="{00000000-0005-0000-0000-000054010000}"/>
    <cellStyle name="Accent3 2" xfId="342" xr:uid="{00000000-0005-0000-0000-000055010000}"/>
    <cellStyle name="Accent3 2 10" xfId="343" xr:uid="{00000000-0005-0000-0000-000056010000}"/>
    <cellStyle name="Accent3 2 2" xfId="344" xr:uid="{00000000-0005-0000-0000-000057010000}"/>
    <cellStyle name="Accent3 2 3" xfId="345" xr:uid="{00000000-0005-0000-0000-000058010000}"/>
    <cellStyle name="Accent3 2 4" xfId="346" xr:uid="{00000000-0005-0000-0000-000059010000}"/>
    <cellStyle name="Accent3 2 5" xfId="347" xr:uid="{00000000-0005-0000-0000-00005A010000}"/>
    <cellStyle name="Accent3 2 6" xfId="348" xr:uid="{00000000-0005-0000-0000-00005B010000}"/>
    <cellStyle name="Accent3 2 7" xfId="349" xr:uid="{00000000-0005-0000-0000-00005C010000}"/>
    <cellStyle name="Accent3 2 8" xfId="350" xr:uid="{00000000-0005-0000-0000-00005D010000}"/>
    <cellStyle name="Accent3 2 9" xfId="351" xr:uid="{00000000-0005-0000-0000-00005E010000}"/>
    <cellStyle name="Accent3 3" xfId="352" xr:uid="{00000000-0005-0000-0000-00005F010000}"/>
    <cellStyle name="Accent4 2" xfId="353" xr:uid="{00000000-0005-0000-0000-000060010000}"/>
    <cellStyle name="Accent4 2 10" xfId="354" xr:uid="{00000000-0005-0000-0000-000061010000}"/>
    <cellStyle name="Accent4 2 2" xfId="355" xr:uid="{00000000-0005-0000-0000-000062010000}"/>
    <cellStyle name="Accent4 2 3" xfId="356" xr:uid="{00000000-0005-0000-0000-000063010000}"/>
    <cellStyle name="Accent4 2 4" xfId="357" xr:uid="{00000000-0005-0000-0000-000064010000}"/>
    <cellStyle name="Accent4 2 5" xfId="358" xr:uid="{00000000-0005-0000-0000-000065010000}"/>
    <cellStyle name="Accent4 2 6" xfId="359" xr:uid="{00000000-0005-0000-0000-000066010000}"/>
    <cellStyle name="Accent4 2 7" xfId="360" xr:uid="{00000000-0005-0000-0000-000067010000}"/>
    <cellStyle name="Accent4 2 8" xfId="361" xr:uid="{00000000-0005-0000-0000-000068010000}"/>
    <cellStyle name="Accent4 2 9" xfId="362" xr:uid="{00000000-0005-0000-0000-000069010000}"/>
    <cellStyle name="Accent4 3" xfId="363" xr:uid="{00000000-0005-0000-0000-00006A010000}"/>
    <cellStyle name="Accent5 2" xfId="364" xr:uid="{00000000-0005-0000-0000-00006B010000}"/>
    <cellStyle name="Accent5 2 10" xfId="365" xr:uid="{00000000-0005-0000-0000-00006C010000}"/>
    <cellStyle name="Accent5 2 2" xfId="366" xr:uid="{00000000-0005-0000-0000-00006D010000}"/>
    <cellStyle name="Accent5 2 3" xfId="367" xr:uid="{00000000-0005-0000-0000-00006E010000}"/>
    <cellStyle name="Accent5 2 4" xfId="368" xr:uid="{00000000-0005-0000-0000-00006F010000}"/>
    <cellStyle name="Accent5 2 5" xfId="369" xr:uid="{00000000-0005-0000-0000-000070010000}"/>
    <cellStyle name="Accent5 2 6" xfId="370" xr:uid="{00000000-0005-0000-0000-000071010000}"/>
    <cellStyle name="Accent5 2 7" xfId="371" xr:uid="{00000000-0005-0000-0000-000072010000}"/>
    <cellStyle name="Accent5 2 8" xfId="372" xr:uid="{00000000-0005-0000-0000-000073010000}"/>
    <cellStyle name="Accent5 2 9" xfId="373" xr:uid="{00000000-0005-0000-0000-000074010000}"/>
    <cellStyle name="Accent5 3" xfId="374" xr:uid="{00000000-0005-0000-0000-000075010000}"/>
    <cellStyle name="Accent6 2" xfId="375" xr:uid="{00000000-0005-0000-0000-000076010000}"/>
    <cellStyle name="Accent6 2 10" xfId="376" xr:uid="{00000000-0005-0000-0000-000077010000}"/>
    <cellStyle name="Accent6 2 2" xfId="377" xr:uid="{00000000-0005-0000-0000-000078010000}"/>
    <cellStyle name="Accent6 2 3" xfId="378" xr:uid="{00000000-0005-0000-0000-000079010000}"/>
    <cellStyle name="Accent6 2 4" xfId="379" xr:uid="{00000000-0005-0000-0000-00007A010000}"/>
    <cellStyle name="Accent6 2 5" xfId="380" xr:uid="{00000000-0005-0000-0000-00007B010000}"/>
    <cellStyle name="Accent6 2 6" xfId="381" xr:uid="{00000000-0005-0000-0000-00007C010000}"/>
    <cellStyle name="Accent6 2 7" xfId="382" xr:uid="{00000000-0005-0000-0000-00007D010000}"/>
    <cellStyle name="Accent6 2 8" xfId="383" xr:uid="{00000000-0005-0000-0000-00007E010000}"/>
    <cellStyle name="Accent6 2 9" xfId="384" xr:uid="{00000000-0005-0000-0000-00007F010000}"/>
    <cellStyle name="Accent6 3" xfId="385" xr:uid="{00000000-0005-0000-0000-000080010000}"/>
    <cellStyle name="AggOrange_CRFReport-template" xfId="386" xr:uid="{00000000-0005-0000-0000-000081010000}"/>
    <cellStyle name="AggOrange9_CRFReport-template" xfId="387" xr:uid="{00000000-0005-0000-0000-000082010000}"/>
    <cellStyle name="Bad 2" xfId="388" xr:uid="{00000000-0005-0000-0000-000083010000}"/>
    <cellStyle name="Bad 2 10" xfId="389" xr:uid="{00000000-0005-0000-0000-000084010000}"/>
    <cellStyle name="Bad 2 2" xfId="390" xr:uid="{00000000-0005-0000-0000-000085010000}"/>
    <cellStyle name="Bad 2 3" xfId="391" xr:uid="{00000000-0005-0000-0000-000086010000}"/>
    <cellStyle name="Bad 2 4" xfId="392" xr:uid="{00000000-0005-0000-0000-000087010000}"/>
    <cellStyle name="Bad 2 5" xfId="393" xr:uid="{00000000-0005-0000-0000-000088010000}"/>
    <cellStyle name="Bad 2 6" xfId="394" xr:uid="{00000000-0005-0000-0000-000089010000}"/>
    <cellStyle name="Bad 2 7" xfId="395" xr:uid="{00000000-0005-0000-0000-00008A010000}"/>
    <cellStyle name="Bad 2 8" xfId="396" xr:uid="{00000000-0005-0000-0000-00008B010000}"/>
    <cellStyle name="Bad 2 9" xfId="397" xr:uid="{00000000-0005-0000-0000-00008C010000}"/>
    <cellStyle name="Bad 3" xfId="398" xr:uid="{00000000-0005-0000-0000-00008D010000}"/>
    <cellStyle name="Calculation 2" xfId="399" xr:uid="{00000000-0005-0000-0000-00008E010000}"/>
    <cellStyle name="Calculation 2 10" xfId="400" xr:uid="{00000000-0005-0000-0000-00008F010000}"/>
    <cellStyle name="Calculation 2 2" xfId="401" xr:uid="{00000000-0005-0000-0000-000090010000}"/>
    <cellStyle name="Calculation 2 3" xfId="402" xr:uid="{00000000-0005-0000-0000-000091010000}"/>
    <cellStyle name="Calculation 2 4" xfId="403" xr:uid="{00000000-0005-0000-0000-000092010000}"/>
    <cellStyle name="Calculation 2 5" xfId="404" xr:uid="{00000000-0005-0000-0000-000093010000}"/>
    <cellStyle name="Calculation 2 6" xfId="405" xr:uid="{00000000-0005-0000-0000-000094010000}"/>
    <cellStyle name="Calculation 2 7" xfId="406" xr:uid="{00000000-0005-0000-0000-000095010000}"/>
    <cellStyle name="Calculation 2 8" xfId="407" xr:uid="{00000000-0005-0000-0000-000096010000}"/>
    <cellStyle name="Calculation 2 9" xfId="408" xr:uid="{00000000-0005-0000-0000-000097010000}"/>
    <cellStyle name="Calculation 3" xfId="409" xr:uid="{00000000-0005-0000-0000-000098010000}"/>
    <cellStyle name="Check Cell 2" xfId="410" xr:uid="{00000000-0005-0000-0000-000099010000}"/>
    <cellStyle name="Check Cell 2 10" xfId="411" xr:uid="{00000000-0005-0000-0000-00009A010000}"/>
    <cellStyle name="Check Cell 2 2" xfId="412" xr:uid="{00000000-0005-0000-0000-00009B010000}"/>
    <cellStyle name="Check Cell 2 3" xfId="413" xr:uid="{00000000-0005-0000-0000-00009C010000}"/>
    <cellStyle name="Check Cell 2 4" xfId="414" xr:uid="{00000000-0005-0000-0000-00009D010000}"/>
    <cellStyle name="Check Cell 2 5" xfId="415" xr:uid="{00000000-0005-0000-0000-00009E010000}"/>
    <cellStyle name="Check Cell 2 6" xfId="416" xr:uid="{00000000-0005-0000-0000-00009F010000}"/>
    <cellStyle name="Check Cell 2 7" xfId="417" xr:uid="{00000000-0005-0000-0000-0000A0010000}"/>
    <cellStyle name="Check Cell 2 8" xfId="418" xr:uid="{00000000-0005-0000-0000-0000A1010000}"/>
    <cellStyle name="Check Cell 2 9" xfId="419" xr:uid="{00000000-0005-0000-0000-0000A2010000}"/>
    <cellStyle name="Check Cell 3" xfId="420" xr:uid="{00000000-0005-0000-0000-0000A3010000}"/>
    <cellStyle name="Comma [0] 2 10" xfId="421" xr:uid="{00000000-0005-0000-0000-0000A4010000}"/>
    <cellStyle name="Comma [0] 2 2" xfId="422" xr:uid="{00000000-0005-0000-0000-0000A5010000}"/>
    <cellStyle name="Comma [0] 2 3" xfId="423" xr:uid="{00000000-0005-0000-0000-0000A6010000}"/>
    <cellStyle name="Comma [0] 2 4" xfId="424" xr:uid="{00000000-0005-0000-0000-0000A7010000}"/>
    <cellStyle name="Comma [0] 2 5" xfId="425" xr:uid="{00000000-0005-0000-0000-0000A8010000}"/>
    <cellStyle name="Comma [0] 2 6" xfId="426" xr:uid="{00000000-0005-0000-0000-0000A9010000}"/>
    <cellStyle name="Comma [0] 2 7" xfId="427" xr:uid="{00000000-0005-0000-0000-0000AA010000}"/>
    <cellStyle name="Comma [0] 2 8" xfId="428" xr:uid="{00000000-0005-0000-0000-0000AB010000}"/>
    <cellStyle name="Comma [0] 2 9" xfId="429" xr:uid="{00000000-0005-0000-0000-0000AC010000}"/>
    <cellStyle name="Comma 10" xfId="430" xr:uid="{00000000-0005-0000-0000-0000AD010000}"/>
    <cellStyle name="Comma 10 2" xfId="431" xr:uid="{00000000-0005-0000-0000-0000AE010000}"/>
    <cellStyle name="Comma 10 2 10" xfId="432" xr:uid="{00000000-0005-0000-0000-0000AF010000}"/>
    <cellStyle name="Comma 10 2 11" xfId="433" xr:uid="{00000000-0005-0000-0000-0000B0010000}"/>
    <cellStyle name="Comma 10 2 12" xfId="434" xr:uid="{00000000-0005-0000-0000-0000B1010000}"/>
    <cellStyle name="Comma 10 2 13" xfId="435" xr:uid="{00000000-0005-0000-0000-0000B2010000}"/>
    <cellStyle name="Comma 10 2 14" xfId="436" xr:uid="{00000000-0005-0000-0000-0000B3010000}"/>
    <cellStyle name="Comma 10 2 15" xfId="437" xr:uid="{00000000-0005-0000-0000-0000B4010000}"/>
    <cellStyle name="Comma 10 2 16" xfId="438" xr:uid="{00000000-0005-0000-0000-0000B5010000}"/>
    <cellStyle name="Comma 10 2 17" xfId="439" xr:uid="{00000000-0005-0000-0000-0000B6010000}"/>
    <cellStyle name="Comma 10 2 2" xfId="440" xr:uid="{00000000-0005-0000-0000-0000B7010000}"/>
    <cellStyle name="Comma 10 2 3" xfId="441" xr:uid="{00000000-0005-0000-0000-0000B8010000}"/>
    <cellStyle name="Comma 10 2 4" xfId="442" xr:uid="{00000000-0005-0000-0000-0000B9010000}"/>
    <cellStyle name="Comma 10 2 5" xfId="443" xr:uid="{00000000-0005-0000-0000-0000BA010000}"/>
    <cellStyle name="Comma 10 2 6" xfId="444" xr:uid="{00000000-0005-0000-0000-0000BB010000}"/>
    <cellStyle name="Comma 10 2 7" xfId="445" xr:uid="{00000000-0005-0000-0000-0000BC010000}"/>
    <cellStyle name="Comma 10 2 8" xfId="446" xr:uid="{00000000-0005-0000-0000-0000BD010000}"/>
    <cellStyle name="Comma 10 2 9" xfId="447" xr:uid="{00000000-0005-0000-0000-0000BE010000}"/>
    <cellStyle name="Comma 10 3" xfId="448" xr:uid="{00000000-0005-0000-0000-0000BF010000}"/>
    <cellStyle name="Comma 10 3 10" xfId="449" xr:uid="{00000000-0005-0000-0000-0000C0010000}"/>
    <cellStyle name="Comma 10 3 11" xfId="450" xr:uid="{00000000-0005-0000-0000-0000C1010000}"/>
    <cellStyle name="Comma 10 3 12" xfId="451" xr:uid="{00000000-0005-0000-0000-0000C2010000}"/>
    <cellStyle name="Comma 10 3 13" xfId="452" xr:uid="{00000000-0005-0000-0000-0000C3010000}"/>
    <cellStyle name="Comma 10 3 14" xfId="453" xr:uid="{00000000-0005-0000-0000-0000C4010000}"/>
    <cellStyle name="Comma 10 3 15" xfId="454" xr:uid="{00000000-0005-0000-0000-0000C5010000}"/>
    <cellStyle name="Comma 10 3 16" xfId="455" xr:uid="{00000000-0005-0000-0000-0000C6010000}"/>
    <cellStyle name="Comma 10 3 17" xfId="456" xr:uid="{00000000-0005-0000-0000-0000C7010000}"/>
    <cellStyle name="Comma 10 3 2" xfId="457" xr:uid="{00000000-0005-0000-0000-0000C8010000}"/>
    <cellStyle name="Comma 10 3 3" xfId="458" xr:uid="{00000000-0005-0000-0000-0000C9010000}"/>
    <cellStyle name="Comma 10 3 4" xfId="459" xr:uid="{00000000-0005-0000-0000-0000CA010000}"/>
    <cellStyle name="Comma 10 3 5" xfId="460" xr:uid="{00000000-0005-0000-0000-0000CB010000}"/>
    <cellStyle name="Comma 10 3 6" xfId="461" xr:uid="{00000000-0005-0000-0000-0000CC010000}"/>
    <cellStyle name="Comma 10 3 7" xfId="462" xr:uid="{00000000-0005-0000-0000-0000CD010000}"/>
    <cellStyle name="Comma 10 3 8" xfId="463" xr:uid="{00000000-0005-0000-0000-0000CE010000}"/>
    <cellStyle name="Comma 10 3 9" xfId="464" xr:uid="{00000000-0005-0000-0000-0000CF010000}"/>
    <cellStyle name="Comma 10 4" xfId="465" xr:uid="{00000000-0005-0000-0000-0000D0010000}"/>
    <cellStyle name="Comma 10 4 10" xfId="466" xr:uid="{00000000-0005-0000-0000-0000D1010000}"/>
    <cellStyle name="Comma 10 4 11" xfId="467" xr:uid="{00000000-0005-0000-0000-0000D2010000}"/>
    <cellStyle name="Comma 10 4 12" xfId="468" xr:uid="{00000000-0005-0000-0000-0000D3010000}"/>
    <cellStyle name="Comma 10 4 13" xfId="469" xr:uid="{00000000-0005-0000-0000-0000D4010000}"/>
    <cellStyle name="Comma 10 4 14" xfId="470" xr:uid="{00000000-0005-0000-0000-0000D5010000}"/>
    <cellStyle name="Comma 10 4 15" xfId="471" xr:uid="{00000000-0005-0000-0000-0000D6010000}"/>
    <cellStyle name="Comma 10 4 16" xfId="472" xr:uid="{00000000-0005-0000-0000-0000D7010000}"/>
    <cellStyle name="Comma 10 4 17" xfId="473" xr:uid="{00000000-0005-0000-0000-0000D8010000}"/>
    <cellStyle name="Comma 10 4 2" xfId="474" xr:uid="{00000000-0005-0000-0000-0000D9010000}"/>
    <cellStyle name="Comma 10 4 3" xfId="475" xr:uid="{00000000-0005-0000-0000-0000DA010000}"/>
    <cellStyle name="Comma 10 4 4" xfId="476" xr:uid="{00000000-0005-0000-0000-0000DB010000}"/>
    <cellStyle name="Comma 10 4 5" xfId="477" xr:uid="{00000000-0005-0000-0000-0000DC010000}"/>
    <cellStyle name="Comma 10 4 6" xfId="478" xr:uid="{00000000-0005-0000-0000-0000DD010000}"/>
    <cellStyle name="Comma 10 4 7" xfId="479" xr:uid="{00000000-0005-0000-0000-0000DE010000}"/>
    <cellStyle name="Comma 10 4 8" xfId="480" xr:uid="{00000000-0005-0000-0000-0000DF010000}"/>
    <cellStyle name="Comma 10 4 9" xfId="481" xr:uid="{00000000-0005-0000-0000-0000E0010000}"/>
    <cellStyle name="Comma 10 5" xfId="482" xr:uid="{00000000-0005-0000-0000-0000E1010000}"/>
    <cellStyle name="Comma 10 5 10" xfId="483" xr:uid="{00000000-0005-0000-0000-0000E2010000}"/>
    <cellStyle name="Comma 10 5 11" xfId="484" xr:uid="{00000000-0005-0000-0000-0000E3010000}"/>
    <cellStyle name="Comma 10 5 12" xfId="485" xr:uid="{00000000-0005-0000-0000-0000E4010000}"/>
    <cellStyle name="Comma 10 5 13" xfId="486" xr:uid="{00000000-0005-0000-0000-0000E5010000}"/>
    <cellStyle name="Comma 10 5 14" xfId="487" xr:uid="{00000000-0005-0000-0000-0000E6010000}"/>
    <cellStyle name="Comma 10 5 15" xfId="488" xr:uid="{00000000-0005-0000-0000-0000E7010000}"/>
    <cellStyle name="Comma 10 5 16" xfId="489" xr:uid="{00000000-0005-0000-0000-0000E8010000}"/>
    <cellStyle name="Comma 10 5 17" xfId="490" xr:uid="{00000000-0005-0000-0000-0000E9010000}"/>
    <cellStyle name="Comma 10 5 2" xfId="491" xr:uid="{00000000-0005-0000-0000-0000EA010000}"/>
    <cellStyle name="Comma 10 5 3" xfId="492" xr:uid="{00000000-0005-0000-0000-0000EB010000}"/>
    <cellStyle name="Comma 10 5 4" xfId="493" xr:uid="{00000000-0005-0000-0000-0000EC010000}"/>
    <cellStyle name="Comma 10 5 5" xfId="494" xr:uid="{00000000-0005-0000-0000-0000ED010000}"/>
    <cellStyle name="Comma 10 5 6" xfId="495" xr:uid="{00000000-0005-0000-0000-0000EE010000}"/>
    <cellStyle name="Comma 10 5 7" xfId="496" xr:uid="{00000000-0005-0000-0000-0000EF010000}"/>
    <cellStyle name="Comma 10 5 8" xfId="497" xr:uid="{00000000-0005-0000-0000-0000F0010000}"/>
    <cellStyle name="Comma 10 5 9" xfId="498" xr:uid="{00000000-0005-0000-0000-0000F1010000}"/>
    <cellStyle name="Comma 10 6" xfId="499" xr:uid="{00000000-0005-0000-0000-0000F2010000}"/>
    <cellStyle name="Comma 10 6 10" xfId="500" xr:uid="{00000000-0005-0000-0000-0000F3010000}"/>
    <cellStyle name="Comma 10 6 11" xfId="501" xr:uid="{00000000-0005-0000-0000-0000F4010000}"/>
    <cellStyle name="Comma 10 6 12" xfId="502" xr:uid="{00000000-0005-0000-0000-0000F5010000}"/>
    <cellStyle name="Comma 10 6 13" xfId="503" xr:uid="{00000000-0005-0000-0000-0000F6010000}"/>
    <cellStyle name="Comma 10 6 14" xfId="504" xr:uid="{00000000-0005-0000-0000-0000F7010000}"/>
    <cellStyle name="Comma 10 6 15" xfId="505" xr:uid="{00000000-0005-0000-0000-0000F8010000}"/>
    <cellStyle name="Comma 10 6 16" xfId="506" xr:uid="{00000000-0005-0000-0000-0000F9010000}"/>
    <cellStyle name="Comma 10 6 17" xfId="507" xr:uid="{00000000-0005-0000-0000-0000FA010000}"/>
    <cellStyle name="Comma 10 6 2" xfId="508" xr:uid="{00000000-0005-0000-0000-0000FB010000}"/>
    <cellStyle name="Comma 10 6 3" xfId="509" xr:uid="{00000000-0005-0000-0000-0000FC010000}"/>
    <cellStyle name="Comma 10 6 4" xfId="510" xr:uid="{00000000-0005-0000-0000-0000FD010000}"/>
    <cellStyle name="Comma 10 6 5" xfId="511" xr:uid="{00000000-0005-0000-0000-0000FE010000}"/>
    <cellStyle name="Comma 10 6 6" xfId="512" xr:uid="{00000000-0005-0000-0000-0000FF010000}"/>
    <cellStyle name="Comma 10 6 7" xfId="513" xr:uid="{00000000-0005-0000-0000-000000020000}"/>
    <cellStyle name="Comma 10 6 8" xfId="514" xr:uid="{00000000-0005-0000-0000-000001020000}"/>
    <cellStyle name="Comma 10 6 9" xfId="515" xr:uid="{00000000-0005-0000-0000-000002020000}"/>
    <cellStyle name="Comma 10 7" xfId="516" xr:uid="{00000000-0005-0000-0000-000003020000}"/>
    <cellStyle name="Comma 10 7 10" xfId="517" xr:uid="{00000000-0005-0000-0000-000004020000}"/>
    <cellStyle name="Comma 10 7 11" xfId="518" xr:uid="{00000000-0005-0000-0000-000005020000}"/>
    <cellStyle name="Comma 10 7 12" xfId="519" xr:uid="{00000000-0005-0000-0000-000006020000}"/>
    <cellStyle name="Comma 10 7 13" xfId="520" xr:uid="{00000000-0005-0000-0000-000007020000}"/>
    <cellStyle name="Comma 10 7 14" xfId="521" xr:uid="{00000000-0005-0000-0000-000008020000}"/>
    <cellStyle name="Comma 10 7 15" xfId="522" xr:uid="{00000000-0005-0000-0000-000009020000}"/>
    <cellStyle name="Comma 10 7 16" xfId="523" xr:uid="{00000000-0005-0000-0000-00000A020000}"/>
    <cellStyle name="Comma 10 7 17" xfId="524" xr:uid="{00000000-0005-0000-0000-00000B020000}"/>
    <cellStyle name="Comma 10 7 2" xfId="525" xr:uid="{00000000-0005-0000-0000-00000C020000}"/>
    <cellStyle name="Comma 10 7 3" xfId="526" xr:uid="{00000000-0005-0000-0000-00000D020000}"/>
    <cellStyle name="Comma 10 7 4" xfId="527" xr:uid="{00000000-0005-0000-0000-00000E020000}"/>
    <cellStyle name="Comma 10 7 5" xfId="528" xr:uid="{00000000-0005-0000-0000-00000F020000}"/>
    <cellStyle name="Comma 10 7 6" xfId="529" xr:uid="{00000000-0005-0000-0000-000010020000}"/>
    <cellStyle name="Comma 10 7 7" xfId="530" xr:uid="{00000000-0005-0000-0000-000011020000}"/>
    <cellStyle name="Comma 10 7 8" xfId="531" xr:uid="{00000000-0005-0000-0000-000012020000}"/>
    <cellStyle name="Comma 10 7 9" xfId="532" xr:uid="{00000000-0005-0000-0000-000013020000}"/>
    <cellStyle name="Comma 10 8" xfId="533" xr:uid="{00000000-0005-0000-0000-000014020000}"/>
    <cellStyle name="Comma 10 8 10" xfId="534" xr:uid="{00000000-0005-0000-0000-000015020000}"/>
    <cellStyle name="Comma 10 8 11" xfId="535" xr:uid="{00000000-0005-0000-0000-000016020000}"/>
    <cellStyle name="Comma 10 8 12" xfId="536" xr:uid="{00000000-0005-0000-0000-000017020000}"/>
    <cellStyle name="Comma 10 8 13" xfId="537" xr:uid="{00000000-0005-0000-0000-000018020000}"/>
    <cellStyle name="Comma 10 8 14" xfId="538" xr:uid="{00000000-0005-0000-0000-000019020000}"/>
    <cellStyle name="Comma 10 8 15" xfId="539" xr:uid="{00000000-0005-0000-0000-00001A020000}"/>
    <cellStyle name="Comma 10 8 16" xfId="540" xr:uid="{00000000-0005-0000-0000-00001B020000}"/>
    <cellStyle name="Comma 10 8 17" xfId="541" xr:uid="{00000000-0005-0000-0000-00001C020000}"/>
    <cellStyle name="Comma 10 8 2" xfId="542" xr:uid="{00000000-0005-0000-0000-00001D020000}"/>
    <cellStyle name="Comma 10 8 3" xfId="543" xr:uid="{00000000-0005-0000-0000-00001E020000}"/>
    <cellStyle name="Comma 10 8 4" xfId="544" xr:uid="{00000000-0005-0000-0000-00001F020000}"/>
    <cellStyle name="Comma 10 8 5" xfId="545" xr:uid="{00000000-0005-0000-0000-000020020000}"/>
    <cellStyle name="Comma 10 8 6" xfId="546" xr:uid="{00000000-0005-0000-0000-000021020000}"/>
    <cellStyle name="Comma 10 8 7" xfId="547" xr:uid="{00000000-0005-0000-0000-000022020000}"/>
    <cellStyle name="Comma 10 8 8" xfId="548" xr:uid="{00000000-0005-0000-0000-000023020000}"/>
    <cellStyle name="Comma 10 8 9" xfId="549" xr:uid="{00000000-0005-0000-0000-000024020000}"/>
    <cellStyle name="Comma 11" xfId="550" xr:uid="{00000000-0005-0000-0000-000025020000}"/>
    <cellStyle name="Comma 12" xfId="551" xr:uid="{00000000-0005-0000-0000-000026020000}"/>
    <cellStyle name="Comma 13" xfId="552" xr:uid="{00000000-0005-0000-0000-000027020000}"/>
    <cellStyle name="Comma 14" xfId="553" xr:uid="{00000000-0005-0000-0000-000028020000}"/>
    <cellStyle name="Comma 15" xfId="554" xr:uid="{00000000-0005-0000-0000-000029020000}"/>
    <cellStyle name="Comma 16" xfId="555" xr:uid="{00000000-0005-0000-0000-00002A020000}"/>
    <cellStyle name="Comma 17" xfId="556" xr:uid="{00000000-0005-0000-0000-00002B020000}"/>
    <cellStyle name="Comma 18" xfId="557" xr:uid="{00000000-0005-0000-0000-00002C020000}"/>
    <cellStyle name="Comma 19" xfId="558" xr:uid="{00000000-0005-0000-0000-00002D020000}"/>
    <cellStyle name="Comma 2" xfId="559" xr:uid="{00000000-0005-0000-0000-00002E020000}"/>
    <cellStyle name="Comma 2 10" xfId="560" xr:uid="{00000000-0005-0000-0000-00002F020000}"/>
    <cellStyle name="Comma 2 11" xfId="561" xr:uid="{00000000-0005-0000-0000-000030020000}"/>
    <cellStyle name="Comma 2 12" xfId="562" xr:uid="{00000000-0005-0000-0000-000031020000}"/>
    <cellStyle name="Comma 2 13" xfId="563" xr:uid="{00000000-0005-0000-0000-000032020000}"/>
    <cellStyle name="Comma 2 14" xfId="564" xr:uid="{00000000-0005-0000-0000-000033020000}"/>
    <cellStyle name="Comma 2 15" xfId="565" xr:uid="{00000000-0005-0000-0000-000034020000}"/>
    <cellStyle name="Comma 2 16" xfId="566" xr:uid="{00000000-0005-0000-0000-000035020000}"/>
    <cellStyle name="Comma 2 17" xfId="567" xr:uid="{00000000-0005-0000-0000-000036020000}"/>
    <cellStyle name="Comma 2 18" xfId="568" xr:uid="{00000000-0005-0000-0000-000037020000}"/>
    <cellStyle name="Comma 2 19" xfId="569" xr:uid="{00000000-0005-0000-0000-000038020000}"/>
    <cellStyle name="Comma 2 19 2" xfId="570" xr:uid="{00000000-0005-0000-0000-000039020000}"/>
    <cellStyle name="Comma 2 19 3" xfId="571" xr:uid="{00000000-0005-0000-0000-00003A020000}"/>
    <cellStyle name="Comma 2 2" xfId="572" xr:uid="{00000000-0005-0000-0000-00003B020000}"/>
    <cellStyle name="Comma 2 2 2" xfId="573" xr:uid="{00000000-0005-0000-0000-00003C020000}"/>
    <cellStyle name="Comma 2 2 3" xfId="574" xr:uid="{00000000-0005-0000-0000-00003D020000}"/>
    <cellStyle name="Comma 2 2 4" xfId="575" xr:uid="{00000000-0005-0000-0000-00003E020000}"/>
    <cellStyle name="Comma 2 2 5" xfId="576" xr:uid="{00000000-0005-0000-0000-00003F020000}"/>
    <cellStyle name="Comma 2 20" xfId="577" xr:uid="{00000000-0005-0000-0000-000040020000}"/>
    <cellStyle name="Comma 2 21" xfId="578" xr:uid="{00000000-0005-0000-0000-000041020000}"/>
    <cellStyle name="Comma 2 3" xfId="579" xr:uid="{00000000-0005-0000-0000-000042020000}"/>
    <cellStyle name="Comma 2 3 2" xfId="580" xr:uid="{00000000-0005-0000-0000-000043020000}"/>
    <cellStyle name="Comma 2 3 3" xfId="581" xr:uid="{00000000-0005-0000-0000-000044020000}"/>
    <cellStyle name="Comma 2 4" xfId="582" xr:uid="{00000000-0005-0000-0000-000045020000}"/>
    <cellStyle name="Comma 2 5" xfId="583" xr:uid="{00000000-0005-0000-0000-000046020000}"/>
    <cellStyle name="Comma 2 6" xfId="584" xr:uid="{00000000-0005-0000-0000-000047020000}"/>
    <cellStyle name="Comma 2 7" xfId="585" xr:uid="{00000000-0005-0000-0000-000048020000}"/>
    <cellStyle name="Comma 2 8" xfId="586" xr:uid="{00000000-0005-0000-0000-000049020000}"/>
    <cellStyle name="Comma 2 9" xfId="587" xr:uid="{00000000-0005-0000-0000-00004A020000}"/>
    <cellStyle name="Comma 3" xfId="588" xr:uid="{00000000-0005-0000-0000-00004B020000}"/>
    <cellStyle name="Comma 3 10" xfId="589" xr:uid="{00000000-0005-0000-0000-00004C020000}"/>
    <cellStyle name="Comma 3 2" xfId="590" xr:uid="{00000000-0005-0000-0000-00004D020000}"/>
    <cellStyle name="Comma 3 3" xfId="591" xr:uid="{00000000-0005-0000-0000-00004E020000}"/>
    <cellStyle name="Comma 3 4" xfId="592" xr:uid="{00000000-0005-0000-0000-00004F020000}"/>
    <cellStyle name="Comma 3 5" xfId="593" xr:uid="{00000000-0005-0000-0000-000050020000}"/>
    <cellStyle name="Comma 3 6" xfId="594" xr:uid="{00000000-0005-0000-0000-000051020000}"/>
    <cellStyle name="Comma 3 7" xfId="595" xr:uid="{00000000-0005-0000-0000-000052020000}"/>
    <cellStyle name="Comma 3 8" xfId="596" xr:uid="{00000000-0005-0000-0000-000053020000}"/>
    <cellStyle name="Comma 3 9" xfId="597" xr:uid="{00000000-0005-0000-0000-000054020000}"/>
    <cellStyle name="Comma 4" xfId="598" xr:uid="{00000000-0005-0000-0000-000055020000}"/>
    <cellStyle name="Comma 4 2" xfId="599" xr:uid="{00000000-0005-0000-0000-000056020000}"/>
    <cellStyle name="Comma 4 3" xfId="600" xr:uid="{00000000-0005-0000-0000-000057020000}"/>
    <cellStyle name="Comma 4 4" xfId="601" xr:uid="{00000000-0005-0000-0000-000058020000}"/>
    <cellStyle name="Comma 4 5" xfId="602" xr:uid="{00000000-0005-0000-0000-000059020000}"/>
    <cellStyle name="Comma 4 6" xfId="603" xr:uid="{00000000-0005-0000-0000-00005A020000}"/>
    <cellStyle name="Comma 4 7" xfId="604" xr:uid="{00000000-0005-0000-0000-00005B020000}"/>
    <cellStyle name="Comma 4 8" xfId="605" xr:uid="{00000000-0005-0000-0000-00005C020000}"/>
    <cellStyle name="Comma 4 9" xfId="606" xr:uid="{00000000-0005-0000-0000-00005D020000}"/>
    <cellStyle name="Comma 5" xfId="607" xr:uid="{00000000-0005-0000-0000-00005E020000}"/>
    <cellStyle name="Comma 5 2" xfId="608" xr:uid="{00000000-0005-0000-0000-00005F020000}"/>
    <cellStyle name="Comma 5 3" xfId="609" xr:uid="{00000000-0005-0000-0000-000060020000}"/>
    <cellStyle name="Comma 5 4" xfId="610" xr:uid="{00000000-0005-0000-0000-000061020000}"/>
    <cellStyle name="Comma 5 5" xfId="611" xr:uid="{00000000-0005-0000-0000-000062020000}"/>
    <cellStyle name="Comma 5 6" xfId="612" xr:uid="{00000000-0005-0000-0000-000063020000}"/>
    <cellStyle name="Comma 5 7" xfId="613" xr:uid="{00000000-0005-0000-0000-000064020000}"/>
    <cellStyle name="Comma 5 8" xfId="614" xr:uid="{00000000-0005-0000-0000-000065020000}"/>
    <cellStyle name="Comma 6" xfId="615" xr:uid="{00000000-0005-0000-0000-000066020000}"/>
    <cellStyle name="Comma 6 2" xfId="616" xr:uid="{00000000-0005-0000-0000-000067020000}"/>
    <cellStyle name="Comma 6 3" xfId="617" xr:uid="{00000000-0005-0000-0000-000068020000}"/>
    <cellStyle name="Comma 6 4" xfId="618" xr:uid="{00000000-0005-0000-0000-000069020000}"/>
    <cellStyle name="Comma 6 5" xfId="619" xr:uid="{00000000-0005-0000-0000-00006A020000}"/>
    <cellStyle name="Comma 6 6" xfId="620" xr:uid="{00000000-0005-0000-0000-00006B020000}"/>
    <cellStyle name="Comma 6 7" xfId="621" xr:uid="{00000000-0005-0000-0000-00006C020000}"/>
    <cellStyle name="Comma 6 8" xfId="622" xr:uid="{00000000-0005-0000-0000-00006D020000}"/>
    <cellStyle name="Comma 7" xfId="623" xr:uid="{00000000-0005-0000-0000-00006E020000}"/>
    <cellStyle name="Comma 7 10" xfId="624" xr:uid="{00000000-0005-0000-0000-00006F020000}"/>
    <cellStyle name="Comma 7 11" xfId="625" xr:uid="{00000000-0005-0000-0000-000070020000}"/>
    <cellStyle name="Comma 7 12" xfId="626" xr:uid="{00000000-0005-0000-0000-000071020000}"/>
    <cellStyle name="Comma 7 13" xfId="627" xr:uid="{00000000-0005-0000-0000-000072020000}"/>
    <cellStyle name="Comma 7 14" xfId="628" xr:uid="{00000000-0005-0000-0000-000073020000}"/>
    <cellStyle name="Comma 7 15" xfId="629" xr:uid="{00000000-0005-0000-0000-000074020000}"/>
    <cellStyle name="Comma 7 16" xfId="630" xr:uid="{00000000-0005-0000-0000-000075020000}"/>
    <cellStyle name="Comma 7 17" xfId="631" xr:uid="{00000000-0005-0000-0000-000076020000}"/>
    <cellStyle name="Comma 7 18" xfId="632" xr:uid="{00000000-0005-0000-0000-000077020000}"/>
    <cellStyle name="Comma 7 19" xfId="633" xr:uid="{00000000-0005-0000-0000-000078020000}"/>
    <cellStyle name="Comma 7 2" xfId="634" xr:uid="{00000000-0005-0000-0000-000079020000}"/>
    <cellStyle name="Comma 7 20" xfId="635" xr:uid="{00000000-0005-0000-0000-00007A020000}"/>
    <cellStyle name="Comma 7 21" xfId="636" xr:uid="{00000000-0005-0000-0000-00007B020000}"/>
    <cellStyle name="Comma 7 3" xfId="637" xr:uid="{00000000-0005-0000-0000-00007C020000}"/>
    <cellStyle name="Comma 7 3 10" xfId="638" xr:uid="{00000000-0005-0000-0000-00007D020000}"/>
    <cellStyle name="Comma 7 3 11" xfId="639" xr:uid="{00000000-0005-0000-0000-00007E020000}"/>
    <cellStyle name="Comma 7 3 12" xfId="640" xr:uid="{00000000-0005-0000-0000-00007F020000}"/>
    <cellStyle name="Comma 7 3 13" xfId="641" xr:uid="{00000000-0005-0000-0000-000080020000}"/>
    <cellStyle name="Comma 7 3 14" xfId="642" xr:uid="{00000000-0005-0000-0000-000081020000}"/>
    <cellStyle name="Comma 7 3 15" xfId="643" xr:uid="{00000000-0005-0000-0000-000082020000}"/>
    <cellStyle name="Comma 7 3 2" xfId="644" xr:uid="{00000000-0005-0000-0000-000083020000}"/>
    <cellStyle name="Comma 7 3 3" xfId="645" xr:uid="{00000000-0005-0000-0000-000084020000}"/>
    <cellStyle name="Comma 7 3 4" xfId="646" xr:uid="{00000000-0005-0000-0000-000085020000}"/>
    <cellStyle name="Comma 7 3 5" xfId="647" xr:uid="{00000000-0005-0000-0000-000086020000}"/>
    <cellStyle name="Comma 7 3 6" xfId="648" xr:uid="{00000000-0005-0000-0000-000087020000}"/>
    <cellStyle name="Comma 7 3 7" xfId="649" xr:uid="{00000000-0005-0000-0000-000088020000}"/>
    <cellStyle name="Comma 7 3 8" xfId="650" xr:uid="{00000000-0005-0000-0000-000089020000}"/>
    <cellStyle name="Comma 7 3 9" xfId="651" xr:uid="{00000000-0005-0000-0000-00008A020000}"/>
    <cellStyle name="Comma 7 4" xfId="652" xr:uid="{00000000-0005-0000-0000-00008B020000}"/>
    <cellStyle name="Comma 7 5" xfId="653" xr:uid="{00000000-0005-0000-0000-00008C020000}"/>
    <cellStyle name="Comma 7 6" xfId="654" xr:uid="{00000000-0005-0000-0000-00008D020000}"/>
    <cellStyle name="Comma 7 7" xfId="655" xr:uid="{00000000-0005-0000-0000-00008E020000}"/>
    <cellStyle name="Comma 7 8" xfId="656" xr:uid="{00000000-0005-0000-0000-00008F020000}"/>
    <cellStyle name="Comma 7 9" xfId="657" xr:uid="{00000000-0005-0000-0000-000090020000}"/>
    <cellStyle name="Comma 8" xfId="658" xr:uid="{00000000-0005-0000-0000-000091020000}"/>
    <cellStyle name="Comma 8 2" xfId="659" xr:uid="{00000000-0005-0000-0000-000092020000}"/>
    <cellStyle name="Comma 8 3" xfId="660" xr:uid="{00000000-0005-0000-0000-000093020000}"/>
    <cellStyle name="Comma 8 4" xfId="661" xr:uid="{00000000-0005-0000-0000-000094020000}"/>
    <cellStyle name="Comma 8 5" xfId="662" xr:uid="{00000000-0005-0000-0000-000095020000}"/>
    <cellStyle name="Comma 8 6" xfId="663" xr:uid="{00000000-0005-0000-0000-000096020000}"/>
    <cellStyle name="Comma 8 7" xfId="664" xr:uid="{00000000-0005-0000-0000-000097020000}"/>
    <cellStyle name="Comma 8 8" xfId="665" xr:uid="{00000000-0005-0000-0000-000098020000}"/>
    <cellStyle name="Comma 9" xfId="666" xr:uid="{00000000-0005-0000-0000-000099020000}"/>
    <cellStyle name="Comma 9 2" xfId="667" xr:uid="{00000000-0005-0000-0000-00009A020000}"/>
    <cellStyle name="Comma 9 3" xfId="668" xr:uid="{00000000-0005-0000-0000-00009B020000}"/>
    <cellStyle name="Comma 9 4" xfId="669" xr:uid="{00000000-0005-0000-0000-00009C020000}"/>
    <cellStyle name="Comma 9 5" xfId="670" xr:uid="{00000000-0005-0000-0000-00009D020000}"/>
    <cellStyle name="Comma 9 6" xfId="671" xr:uid="{00000000-0005-0000-0000-00009E020000}"/>
    <cellStyle name="Comma 9 7" xfId="672" xr:uid="{00000000-0005-0000-0000-00009F020000}"/>
    <cellStyle name="Comma 9 8" xfId="673" xr:uid="{00000000-0005-0000-0000-0000A0020000}"/>
    <cellStyle name="Comma 9 9" xfId="674" xr:uid="{00000000-0005-0000-0000-0000A1020000}"/>
    <cellStyle name="Currency 2 2" xfId="675" xr:uid="{00000000-0005-0000-0000-0000A2020000}"/>
    <cellStyle name="CustomizationCells" xfId="676" xr:uid="{00000000-0005-0000-0000-0000A3020000}"/>
    <cellStyle name="Euro" xfId="677" xr:uid="{00000000-0005-0000-0000-0000A4020000}"/>
    <cellStyle name="Euro 2" xfId="678" xr:uid="{00000000-0005-0000-0000-0000A5020000}"/>
    <cellStyle name="Euro 2 2" xfId="679" xr:uid="{00000000-0005-0000-0000-0000A6020000}"/>
    <cellStyle name="Euro 2 2 2" xfId="680" xr:uid="{00000000-0005-0000-0000-0000A7020000}"/>
    <cellStyle name="Euro 3" xfId="681" xr:uid="{00000000-0005-0000-0000-0000A8020000}"/>
    <cellStyle name="Euro 3 2" xfId="682" xr:uid="{00000000-0005-0000-0000-0000A9020000}"/>
    <cellStyle name="Euro 3 3" xfId="683" xr:uid="{00000000-0005-0000-0000-0000AA020000}"/>
    <cellStyle name="Euro 4" xfId="684" xr:uid="{00000000-0005-0000-0000-0000AB020000}"/>
    <cellStyle name="Euro 4 2" xfId="685" xr:uid="{00000000-0005-0000-0000-0000AC020000}"/>
    <cellStyle name="Euro 4 3" xfId="686" xr:uid="{00000000-0005-0000-0000-0000AD020000}"/>
    <cellStyle name="Euro 4 4" xfId="687" xr:uid="{00000000-0005-0000-0000-0000AE020000}"/>
    <cellStyle name="Euro 5" xfId="688" xr:uid="{00000000-0005-0000-0000-0000AF020000}"/>
    <cellStyle name="Euro 6" xfId="689" xr:uid="{00000000-0005-0000-0000-0000B0020000}"/>
    <cellStyle name="Euro_UC_ICM" xfId="690" xr:uid="{00000000-0005-0000-0000-0000B1020000}"/>
    <cellStyle name="Explanatory Text 2" xfId="691" xr:uid="{00000000-0005-0000-0000-0000B2020000}"/>
    <cellStyle name="Explanatory Text 2 10" xfId="692" xr:uid="{00000000-0005-0000-0000-0000B3020000}"/>
    <cellStyle name="Explanatory Text 2 2" xfId="693" xr:uid="{00000000-0005-0000-0000-0000B4020000}"/>
    <cellStyle name="Explanatory Text 2 3" xfId="694" xr:uid="{00000000-0005-0000-0000-0000B5020000}"/>
    <cellStyle name="Explanatory Text 2 4" xfId="695" xr:uid="{00000000-0005-0000-0000-0000B6020000}"/>
    <cellStyle name="Explanatory Text 2 5" xfId="696" xr:uid="{00000000-0005-0000-0000-0000B7020000}"/>
    <cellStyle name="Explanatory Text 2 6" xfId="697" xr:uid="{00000000-0005-0000-0000-0000B8020000}"/>
    <cellStyle name="Explanatory Text 2 7" xfId="698" xr:uid="{00000000-0005-0000-0000-0000B9020000}"/>
    <cellStyle name="Explanatory Text 2 8" xfId="699" xr:uid="{00000000-0005-0000-0000-0000BA020000}"/>
    <cellStyle name="Explanatory Text 2 9" xfId="700" xr:uid="{00000000-0005-0000-0000-0000BB020000}"/>
    <cellStyle name="Explanatory Text 3" xfId="701" xr:uid="{00000000-0005-0000-0000-0000BC020000}"/>
    <cellStyle name="Float" xfId="702" xr:uid="{00000000-0005-0000-0000-0000BD020000}"/>
    <cellStyle name="Float 2" xfId="703" xr:uid="{00000000-0005-0000-0000-0000BE020000}"/>
    <cellStyle name="Float 2 2" xfId="704" xr:uid="{00000000-0005-0000-0000-0000BF020000}"/>
    <cellStyle name="Float 3" xfId="705" xr:uid="{00000000-0005-0000-0000-0000C0020000}"/>
    <cellStyle name="Good 2" xfId="706" xr:uid="{00000000-0005-0000-0000-0000C1020000}"/>
    <cellStyle name="Good 2 10" xfId="707" xr:uid="{00000000-0005-0000-0000-0000C2020000}"/>
    <cellStyle name="Good 2 2" xfId="708" xr:uid="{00000000-0005-0000-0000-0000C3020000}"/>
    <cellStyle name="Good 2 3" xfId="709" xr:uid="{00000000-0005-0000-0000-0000C4020000}"/>
    <cellStyle name="Good 2 4" xfId="710" xr:uid="{00000000-0005-0000-0000-0000C5020000}"/>
    <cellStyle name="Good 2 5" xfId="711" xr:uid="{00000000-0005-0000-0000-0000C6020000}"/>
    <cellStyle name="Good 2 6" xfId="712" xr:uid="{00000000-0005-0000-0000-0000C7020000}"/>
    <cellStyle name="Good 2 7" xfId="713" xr:uid="{00000000-0005-0000-0000-0000C8020000}"/>
    <cellStyle name="Good 2 8" xfId="714" xr:uid="{00000000-0005-0000-0000-0000C9020000}"/>
    <cellStyle name="Good 2 9" xfId="715" xr:uid="{00000000-0005-0000-0000-0000CA020000}"/>
    <cellStyle name="Good 3" xfId="716" xr:uid="{00000000-0005-0000-0000-0000CB020000}"/>
    <cellStyle name="Heading 1 2" xfId="717" xr:uid="{00000000-0005-0000-0000-0000CC020000}"/>
    <cellStyle name="Heading 1 2 10" xfId="718" xr:uid="{00000000-0005-0000-0000-0000CD020000}"/>
    <cellStyle name="Heading 1 2 2" xfId="719" xr:uid="{00000000-0005-0000-0000-0000CE020000}"/>
    <cellStyle name="Heading 1 2 3" xfId="720" xr:uid="{00000000-0005-0000-0000-0000CF020000}"/>
    <cellStyle name="Heading 1 2 4" xfId="721" xr:uid="{00000000-0005-0000-0000-0000D0020000}"/>
    <cellStyle name="Heading 1 2 5" xfId="722" xr:uid="{00000000-0005-0000-0000-0000D1020000}"/>
    <cellStyle name="Heading 1 2 6" xfId="723" xr:uid="{00000000-0005-0000-0000-0000D2020000}"/>
    <cellStyle name="Heading 1 2 7" xfId="724" xr:uid="{00000000-0005-0000-0000-0000D3020000}"/>
    <cellStyle name="Heading 1 2 8" xfId="725" xr:uid="{00000000-0005-0000-0000-0000D4020000}"/>
    <cellStyle name="Heading 1 2 9" xfId="726" xr:uid="{00000000-0005-0000-0000-0000D5020000}"/>
    <cellStyle name="Heading 1 3" xfId="727" xr:uid="{00000000-0005-0000-0000-0000D6020000}"/>
    <cellStyle name="Heading 2 2" xfId="728" xr:uid="{00000000-0005-0000-0000-0000D7020000}"/>
    <cellStyle name="Heading 2 2 10" xfId="729" xr:uid="{00000000-0005-0000-0000-0000D8020000}"/>
    <cellStyle name="Heading 2 2 2" xfId="730" xr:uid="{00000000-0005-0000-0000-0000D9020000}"/>
    <cellStyle name="Heading 2 2 3" xfId="731" xr:uid="{00000000-0005-0000-0000-0000DA020000}"/>
    <cellStyle name="Heading 2 2 4" xfId="732" xr:uid="{00000000-0005-0000-0000-0000DB020000}"/>
    <cellStyle name="Heading 2 2 5" xfId="733" xr:uid="{00000000-0005-0000-0000-0000DC020000}"/>
    <cellStyle name="Heading 2 2 6" xfId="734" xr:uid="{00000000-0005-0000-0000-0000DD020000}"/>
    <cellStyle name="Heading 2 2 7" xfId="735" xr:uid="{00000000-0005-0000-0000-0000DE020000}"/>
    <cellStyle name="Heading 2 2 8" xfId="736" xr:uid="{00000000-0005-0000-0000-0000DF020000}"/>
    <cellStyle name="Heading 2 2 9" xfId="737" xr:uid="{00000000-0005-0000-0000-0000E0020000}"/>
    <cellStyle name="Heading 2 3" xfId="738" xr:uid="{00000000-0005-0000-0000-0000E1020000}"/>
    <cellStyle name="Heading 3 2" xfId="739" xr:uid="{00000000-0005-0000-0000-0000E2020000}"/>
    <cellStyle name="Heading 3 2 10" xfId="740" xr:uid="{00000000-0005-0000-0000-0000E3020000}"/>
    <cellStyle name="Heading 3 2 2" xfId="741" xr:uid="{00000000-0005-0000-0000-0000E4020000}"/>
    <cellStyle name="Heading 3 2 3" xfId="742" xr:uid="{00000000-0005-0000-0000-0000E5020000}"/>
    <cellStyle name="Heading 3 2 4" xfId="743" xr:uid="{00000000-0005-0000-0000-0000E6020000}"/>
    <cellStyle name="Heading 3 2 5" xfId="744" xr:uid="{00000000-0005-0000-0000-0000E7020000}"/>
    <cellStyle name="Heading 3 2 6" xfId="745" xr:uid="{00000000-0005-0000-0000-0000E8020000}"/>
    <cellStyle name="Heading 3 2 7" xfId="746" xr:uid="{00000000-0005-0000-0000-0000E9020000}"/>
    <cellStyle name="Heading 3 2 8" xfId="747" xr:uid="{00000000-0005-0000-0000-0000EA020000}"/>
    <cellStyle name="Heading 3 2 9" xfId="748" xr:uid="{00000000-0005-0000-0000-0000EB020000}"/>
    <cellStyle name="Heading 3 3" xfId="749" xr:uid="{00000000-0005-0000-0000-0000EC020000}"/>
    <cellStyle name="Heading 4 2" xfId="750" xr:uid="{00000000-0005-0000-0000-0000ED020000}"/>
    <cellStyle name="Heading 4 2 10" xfId="751" xr:uid="{00000000-0005-0000-0000-0000EE020000}"/>
    <cellStyle name="Heading 4 2 2" xfId="752" xr:uid="{00000000-0005-0000-0000-0000EF020000}"/>
    <cellStyle name="Heading 4 2 3" xfId="753" xr:uid="{00000000-0005-0000-0000-0000F0020000}"/>
    <cellStyle name="Heading 4 2 4" xfId="754" xr:uid="{00000000-0005-0000-0000-0000F1020000}"/>
    <cellStyle name="Heading 4 2 5" xfId="755" xr:uid="{00000000-0005-0000-0000-0000F2020000}"/>
    <cellStyle name="Heading 4 2 6" xfId="756" xr:uid="{00000000-0005-0000-0000-0000F3020000}"/>
    <cellStyle name="Heading 4 2 7" xfId="757" xr:uid="{00000000-0005-0000-0000-0000F4020000}"/>
    <cellStyle name="Heading 4 2 8" xfId="758" xr:uid="{00000000-0005-0000-0000-0000F5020000}"/>
    <cellStyle name="Heading 4 2 9" xfId="759" xr:uid="{00000000-0005-0000-0000-0000F6020000}"/>
    <cellStyle name="Heading 4 3" xfId="760" xr:uid="{00000000-0005-0000-0000-0000F7020000}"/>
    <cellStyle name="Input 2" xfId="761" xr:uid="{00000000-0005-0000-0000-0000F8020000}"/>
    <cellStyle name="Input 2 10" xfId="762" xr:uid="{00000000-0005-0000-0000-0000F9020000}"/>
    <cellStyle name="Input 2 2" xfId="763" xr:uid="{00000000-0005-0000-0000-0000FA020000}"/>
    <cellStyle name="Input 2 3" xfId="764" xr:uid="{00000000-0005-0000-0000-0000FB020000}"/>
    <cellStyle name="Input 2 4" xfId="765" xr:uid="{00000000-0005-0000-0000-0000FC020000}"/>
    <cellStyle name="Input 2 5" xfId="766" xr:uid="{00000000-0005-0000-0000-0000FD020000}"/>
    <cellStyle name="Input 2 6" xfId="767" xr:uid="{00000000-0005-0000-0000-0000FE020000}"/>
    <cellStyle name="Input 2 7" xfId="768" xr:uid="{00000000-0005-0000-0000-0000FF020000}"/>
    <cellStyle name="Input 2 8" xfId="769" xr:uid="{00000000-0005-0000-0000-000000030000}"/>
    <cellStyle name="Input 2 9" xfId="770" xr:uid="{00000000-0005-0000-0000-000001030000}"/>
    <cellStyle name="Input 3" xfId="771" xr:uid="{00000000-0005-0000-0000-000002030000}"/>
    <cellStyle name="InputCells" xfId="772" xr:uid="{00000000-0005-0000-0000-000003030000}"/>
    <cellStyle name="Linked Cell 2" xfId="773" xr:uid="{00000000-0005-0000-0000-000004030000}"/>
    <cellStyle name="Linked Cell 2 10" xfId="774" xr:uid="{00000000-0005-0000-0000-000005030000}"/>
    <cellStyle name="Linked Cell 2 2" xfId="775" xr:uid="{00000000-0005-0000-0000-000006030000}"/>
    <cellStyle name="Linked Cell 2 3" xfId="776" xr:uid="{00000000-0005-0000-0000-000007030000}"/>
    <cellStyle name="Linked Cell 2 4" xfId="777" xr:uid="{00000000-0005-0000-0000-000008030000}"/>
    <cellStyle name="Linked Cell 2 5" xfId="778" xr:uid="{00000000-0005-0000-0000-000009030000}"/>
    <cellStyle name="Linked Cell 2 6" xfId="779" xr:uid="{00000000-0005-0000-0000-00000A030000}"/>
    <cellStyle name="Linked Cell 2 7" xfId="780" xr:uid="{00000000-0005-0000-0000-00000B030000}"/>
    <cellStyle name="Linked Cell 2 8" xfId="781" xr:uid="{00000000-0005-0000-0000-00000C030000}"/>
    <cellStyle name="Linked Cell 2 9" xfId="782" xr:uid="{00000000-0005-0000-0000-00000D030000}"/>
    <cellStyle name="Linked Cell 3" xfId="783" xr:uid="{00000000-0005-0000-0000-00000E030000}"/>
    <cellStyle name="Migliaia_Oil&amp;Gas IFE ARC POLITO" xfId="784" xr:uid="{00000000-0005-0000-0000-00000F030000}"/>
    <cellStyle name="Neutral 2" xfId="785" xr:uid="{00000000-0005-0000-0000-000010030000}"/>
    <cellStyle name="Neutral 2 10" xfId="786" xr:uid="{00000000-0005-0000-0000-000011030000}"/>
    <cellStyle name="Neutral 2 2" xfId="787" xr:uid="{00000000-0005-0000-0000-000012030000}"/>
    <cellStyle name="Neutral 2 3" xfId="788" xr:uid="{00000000-0005-0000-0000-000013030000}"/>
    <cellStyle name="Neutral 2 4" xfId="789" xr:uid="{00000000-0005-0000-0000-000014030000}"/>
    <cellStyle name="Neutral 2 5" xfId="790" xr:uid="{00000000-0005-0000-0000-000015030000}"/>
    <cellStyle name="Neutral 2 6" xfId="791" xr:uid="{00000000-0005-0000-0000-000016030000}"/>
    <cellStyle name="Neutral 2 7" xfId="792" xr:uid="{00000000-0005-0000-0000-000017030000}"/>
    <cellStyle name="Neutral 2 8" xfId="793" xr:uid="{00000000-0005-0000-0000-000018030000}"/>
    <cellStyle name="Neutral 2 9" xfId="794" xr:uid="{00000000-0005-0000-0000-000019030000}"/>
    <cellStyle name="Neutral 3" xfId="795" xr:uid="{00000000-0005-0000-0000-00001A030000}"/>
    <cellStyle name="Normal" xfId="0" builtinId="0"/>
    <cellStyle name="Normal 10" xfId="796" xr:uid="{00000000-0005-0000-0000-00001C030000}"/>
    <cellStyle name="Normal 10 2" xfId="797" xr:uid="{00000000-0005-0000-0000-00001D030000}"/>
    <cellStyle name="Normal 10 2 2 2 2 2" xfId="1790" xr:uid="{00000000-0005-0000-0000-00001E030000}"/>
    <cellStyle name="Normal 10 3" xfId="798" xr:uid="{00000000-0005-0000-0000-00001F030000}"/>
    <cellStyle name="Normal 10 4" xfId="799" xr:uid="{00000000-0005-0000-0000-000020030000}"/>
    <cellStyle name="Normal 10 5" xfId="800" xr:uid="{00000000-0005-0000-0000-000021030000}"/>
    <cellStyle name="Normal 10 6" xfId="801" xr:uid="{00000000-0005-0000-0000-000022030000}"/>
    <cellStyle name="Normal 10 7" xfId="802" xr:uid="{00000000-0005-0000-0000-000023030000}"/>
    <cellStyle name="Normal 10 8" xfId="803" xr:uid="{00000000-0005-0000-0000-000024030000}"/>
    <cellStyle name="Normal 10 9" xfId="804" xr:uid="{00000000-0005-0000-0000-000025030000}"/>
    <cellStyle name="Normal 11" xfId="805" xr:uid="{00000000-0005-0000-0000-000026030000}"/>
    <cellStyle name="Normal 11 2" xfId="806" xr:uid="{00000000-0005-0000-0000-000027030000}"/>
    <cellStyle name="Normal 11 3" xfId="807" xr:uid="{00000000-0005-0000-0000-000028030000}"/>
    <cellStyle name="Normal 11 4" xfId="808" xr:uid="{00000000-0005-0000-0000-000029030000}"/>
    <cellStyle name="Normal 11 5" xfId="809" xr:uid="{00000000-0005-0000-0000-00002A030000}"/>
    <cellStyle name="Normal 11 6" xfId="810" xr:uid="{00000000-0005-0000-0000-00002B030000}"/>
    <cellStyle name="Normal 11 7" xfId="811" xr:uid="{00000000-0005-0000-0000-00002C030000}"/>
    <cellStyle name="Normal 11 8" xfId="812" xr:uid="{00000000-0005-0000-0000-00002D030000}"/>
    <cellStyle name="Normal 12" xfId="813" xr:uid="{00000000-0005-0000-0000-00002E030000}"/>
    <cellStyle name="Normal 12 2" xfId="814" xr:uid="{00000000-0005-0000-0000-00002F030000}"/>
    <cellStyle name="Normal 12 3" xfId="815" xr:uid="{00000000-0005-0000-0000-000030030000}"/>
    <cellStyle name="Normal 12 4" xfId="816" xr:uid="{00000000-0005-0000-0000-000031030000}"/>
    <cellStyle name="Normal 12 5" xfId="817" xr:uid="{00000000-0005-0000-0000-000032030000}"/>
    <cellStyle name="Normal 12 6" xfId="818" xr:uid="{00000000-0005-0000-0000-000033030000}"/>
    <cellStyle name="Normal 12 7" xfId="819" xr:uid="{00000000-0005-0000-0000-000034030000}"/>
    <cellStyle name="Normal 12 8" xfId="820" xr:uid="{00000000-0005-0000-0000-000035030000}"/>
    <cellStyle name="Normal 13" xfId="821" xr:uid="{00000000-0005-0000-0000-000036030000}"/>
    <cellStyle name="Normal 13 10" xfId="822" xr:uid="{00000000-0005-0000-0000-000037030000}"/>
    <cellStyle name="Normal 13 11" xfId="823" xr:uid="{00000000-0005-0000-0000-000038030000}"/>
    <cellStyle name="Normal 13 12" xfId="824" xr:uid="{00000000-0005-0000-0000-000039030000}"/>
    <cellStyle name="Normal 13 13" xfId="825" xr:uid="{00000000-0005-0000-0000-00003A030000}"/>
    <cellStyle name="Normal 13 14" xfId="826" xr:uid="{00000000-0005-0000-0000-00003B030000}"/>
    <cellStyle name="Normal 13 15" xfId="827" xr:uid="{00000000-0005-0000-0000-00003C030000}"/>
    <cellStyle name="Normal 13 16" xfId="828" xr:uid="{00000000-0005-0000-0000-00003D030000}"/>
    <cellStyle name="Normal 13 17" xfId="829" xr:uid="{00000000-0005-0000-0000-00003E030000}"/>
    <cellStyle name="Normal 13 18" xfId="830" xr:uid="{00000000-0005-0000-0000-00003F030000}"/>
    <cellStyle name="Normal 13 19" xfId="831" xr:uid="{00000000-0005-0000-0000-000040030000}"/>
    <cellStyle name="Normal 13 2" xfId="832" xr:uid="{00000000-0005-0000-0000-000041030000}"/>
    <cellStyle name="Normal 13 2 2" xfId="833" xr:uid="{00000000-0005-0000-0000-000042030000}"/>
    <cellStyle name="Normal 13 2 3" xfId="834" xr:uid="{00000000-0005-0000-0000-000043030000}"/>
    <cellStyle name="Normal 13 2 4" xfId="835" xr:uid="{00000000-0005-0000-0000-000044030000}"/>
    <cellStyle name="Normal 13 2 5" xfId="836" xr:uid="{00000000-0005-0000-0000-000045030000}"/>
    <cellStyle name="Normal 13 2 6" xfId="837" xr:uid="{00000000-0005-0000-0000-000046030000}"/>
    <cellStyle name="Normal 13 2 7" xfId="838" xr:uid="{00000000-0005-0000-0000-000047030000}"/>
    <cellStyle name="Normal 13 2 8" xfId="839" xr:uid="{00000000-0005-0000-0000-000048030000}"/>
    <cellStyle name="Normal 13 20" xfId="840" xr:uid="{00000000-0005-0000-0000-000049030000}"/>
    <cellStyle name="Normal 13 21" xfId="841" xr:uid="{00000000-0005-0000-0000-00004A030000}"/>
    <cellStyle name="Normal 13 22" xfId="842" xr:uid="{00000000-0005-0000-0000-00004B030000}"/>
    <cellStyle name="Normal 13 23" xfId="843" xr:uid="{00000000-0005-0000-0000-00004C030000}"/>
    <cellStyle name="Normal 13 24" xfId="844" xr:uid="{00000000-0005-0000-0000-00004D030000}"/>
    <cellStyle name="Normal 13 25" xfId="845" xr:uid="{00000000-0005-0000-0000-00004E030000}"/>
    <cellStyle name="Normal 13 26" xfId="846" xr:uid="{00000000-0005-0000-0000-00004F030000}"/>
    <cellStyle name="Normal 13 27" xfId="847" xr:uid="{00000000-0005-0000-0000-000050030000}"/>
    <cellStyle name="Normal 13 28" xfId="848" xr:uid="{00000000-0005-0000-0000-000051030000}"/>
    <cellStyle name="Normal 13 29" xfId="849" xr:uid="{00000000-0005-0000-0000-000052030000}"/>
    <cellStyle name="Normal 13 3" xfId="850" xr:uid="{00000000-0005-0000-0000-000053030000}"/>
    <cellStyle name="Normal 13 30" xfId="851" xr:uid="{00000000-0005-0000-0000-000054030000}"/>
    <cellStyle name="Normal 13 31" xfId="852" xr:uid="{00000000-0005-0000-0000-000055030000}"/>
    <cellStyle name="Normal 13 32" xfId="853" xr:uid="{00000000-0005-0000-0000-000056030000}"/>
    <cellStyle name="Normal 13 33" xfId="854" xr:uid="{00000000-0005-0000-0000-000057030000}"/>
    <cellStyle name="Normal 13 34" xfId="855" xr:uid="{00000000-0005-0000-0000-000058030000}"/>
    <cellStyle name="Normal 13 35" xfId="856" xr:uid="{00000000-0005-0000-0000-000059030000}"/>
    <cellStyle name="Normal 13 36" xfId="857" xr:uid="{00000000-0005-0000-0000-00005A030000}"/>
    <cellStyle name="Normal 13 37" xfId="858" xr:uid="{00000000-0005-0000-0000-00005B030000}"/>
    <cellStyle name="Normal 13 38" xfId="859" xr:uid="{00000000-0005-0000-0000-00005C030000}"/>
    <cellStyle name="Normal 13 4" xfId="860" xr:uid="{00000000-0005-0000-0000-00005D030000}"/>
    <cellStyle name="Normal 13 5" xfId="861" xr:uid="{00000000-0005-0000-0000-00005E030000}"/>
    <cellStyle name="Normal 13 6" xfId="862" xr:uid="{00000000-0005-0000-0000-00005F030000}"/>
    <cellStyle name="Normal 13 7" xfId="863" xr:uid="{00000000-0005-0000-0000-000060030000}"/>
    <cellStyle name="Normal 13 8" xfId="864" xr:uid="{00000000-0005-0000-0000-000061030000}"/>
    <cellStyle name="Normal 13 9" xfId="865" xr:uid="{00000000-0005-0000-0000-000062030000}"/>
    <cellStyle name="Normal 14" xfId="866" xr:uid="{00000000-0005-0000-0000-000063030000}"/>
    <cellStyle name="Normal 14 10" xfId="867" xr:uid="{00000000-0005-0000-0000-000064030000}"/>
    <cellStyle name="Normal 14 11" xfId="868" xr:uid="{00000000-0005-0000-0000-000065030000}"/>
    <cellStyle name="Normal 14 12" xfId="869" xr:uid="{00000000-0005-0000-0000-000066030000}"/>
    <cellStyle name="Normal 14 13" xfId="870" xr:uid="{00000000-0005-0000-0000-000067030000}"/>
    <cellStyle name="Normal 14 14" xfId="871" xr:uid="{00000000-0005-0000-0000-000068030000}"/>
    <cellStyle name="Normal 14 15" xfId="872" xr:uid="{00000000-0005-0000-0000-000069030000}"/>
    <cellStyle name="Normal 14 2" xfId="873" xr:uid="{00000000-0005-0000-0000-00006A030000}"/>
    <cellStyle name="Normal 14 2 2" xfId="874" xr:uid="{00000000-0005-0000-0000-00006B030000}"/>
    <cellStyle name="Normal 14 2 3" xfId="875" xr:uid="{00000000-0005-0000-0000-00006C030000}"/>
    <cellStyle name="Normal 14 2 4" xfId="876" xr:uid="{00000000-0005-0000-0000-00006D030000}"/>
    <cellStyle name="Normal 14 2 5" xfId="877" xr:uid="{00000000-0005-0000-0000-00006E030000}"/>
    <cellStyle name="Normal 14 2 6" xfId="878" xr:uid="{00000000-0005-0000-0000-00006F030000}"/>
    <cellStyle name="Normal 14 2 7" xfId="879" xr:uid="{00000000-0005-0000-0000-000070030000}"/>
    <cellStyle name="Normal 14 3" xfId="880" xr:uid="{00000000-0005-0000-0000-000071030000}"/>
    <cellStyle name="Normal 14 4" xfId="881" xr:uid="{00000000-0005-0000-0000-000072030000}"/>
    <cellStyle name="Normal 14 5" xfId="882" xr:uid="{00000000-0005-0000-0000-000073030000}"/>
    <cellStyle name="Normal 14 6" xfId="883" xr:uid="{00000000-0005-0000-0000-000074030000}"/>
    <cellStyle name="Normal 14 7" xfId="884" xr:uid="{00000000-0005-0000-0000-000075030000}"/>
    <cellStyle name="Normal 14 8" xfId="885" xr:uid="{00000000-0005-0000-0000-000076030000}"/>
    <cellStyle name="Normal 14 9" xfId="886" xr:uid="{00000000-0005-0000-0000-000077030000}"/>
    <cellStyle name="Normal 15" xfId="887" xr:uid="{00000000-0005-0000-0000-000078030000}"/>
    <cellStyle name="Normal 15 2" xfId="888" xr:uid="{00000000-0005-0000-0000-000079030000}"/>
    <cellStyle name="Normal 15 3" xfId="889" xr:uid="{00000000-0005-0000-0000-00007A030000}"/>
    <cellStyle name="Normal 15 4" xfId="890" xr:uid="{00000000-0005-0000-0000-00007B030000}"/>
    <cellStyle name="Normal 15 5" xfId="891" xr:uid="{00000000-0005-0000-0000-00007C030000}"/>
    <cellStyle name="Normal 15 6" xfId="892" xr:uid="{00000000-0005-0000-0000-00007D030000}"/>
    <cellStyle name="Normal 16" xfId="893" xr:uid="{00000000-0005-0000-0000-00007E030000}"/>
    <cellStyle name="Normal 16 2" xfId="894" xr:uid="{00000000-0005-0000-0000-00007F030000}"/>
    <cellStyle name="Normal 16 3" xfId="895" xr:uid="{00000000-0005-0000-0000-000080030000}"/>
    <cellStyle name="Normal 16 4" xfId="896" xr:uid="{00000000-0005-0000-0000-000081030000}"/>
    <cellStyle name="Normal 16 5" xfId="897" xr:uid="{00000000-0005-0000-0000-000082030000}"/>
    <cellStyle name="Normal 16 6" xfId="898" xr:uid="{00000000-0005-0000-0000-000083030000}"/>
    <cellStyle name="Normal 17" xfId="899" xr:uid="{00000000-0005-0000-0000-000084030000}"/>
    <cellStyle name="Normal 17 10" xfId="900" xr:uid="{00000000-0005-0000-0000-000085030000}"/>
    <cellStyle name="Normal 17 11" xfId="901" xr:uid="{00000000-0005-0000-0000-000086030000}"/>
    <cellStyle name="Normal 17 12" xfId="902" xr:uid="{00000000-0005-0000-0000-000087030000}"/>
    <cellStyle name="Normal 17 13" xfId="903" xr:uid="{00000000-0005-0000-0000-000088030000}"/>
    <cellStyle name="Normal 17 2" xfId="904" xr:uid="{00000000-0005-0000-0000-000089030000}"/>
    <cellStyle name="Normal 17 3" xfId="905" xr:uid="{00000000-0005-0000-0000-00008A030000}"/>
    <cellStyle name="Normal 17 4" xfId="906" xr:uid="{00000000-0005-0000-0000-00008B030000}"/>
    <cellStyle name="Normal 17 5" xfId="907" xr:uid="{00000000-0005-0000-0000-00008C030000}"/>
    <cellStyle name="Normal 17 6" xfId="908" xr:uid="{00000000-0005-0000-0000-00008D030000}"/>
    <cellStyle name="Normal 17 7" xfId="909" xr:uid="{00000000-0005-0000-0000-00008E030000}"/>
    <cellStyle name="Normal 17 8" xfId="910" xr:uid="{00000000-0005-0000-0000-00008F030000}"/>
    <cellStyle name="Normal 17 9" xfId="911" xr:uid="{00000000-0005-0000-0000-000090030000}"/>
    <cellStyle name="Normal 18" xfId="912" xr:uid="{00000000-0005-0000-0000-000091030000}"/>
    <cellStyle name="Normal 19" xfId="913" xr:uid="{00000000-0005-0000-0000-000092030000}"/>
    <cellStyle name="Normal 2" xfId="914" xr:uid="{00000000-0005-0000-0000-000093030000}"/>
    <cellStyle name="Normal 2 10" xfId="915" xr:uid="{00000000-0005-0000-0000-000094030000}"/>
    <cellStyle name="Normal 2 11" xfId="916" xr:uid="{00000000-0005-0000-0000-000095030000}"/>
    <cellStyle name="Normal 2 12" xfId="917" xr:uid="{00000000-0005-0000-0000-000096030000}"/>
    <cellStyle name="Normal 2 13" xfId="918" xr:uid="{00000000-0005-0000-0000-000097030000}"/>
    <cellStyle name="Normal 2 14" xfId="919" xr:uid="{00000000-0005-0000-0000-000098030000}"/>
    <cellStyle name="Normal 2 15" xfId="920" xr:uid="{00000000-0005-0000-0000-000099030000}"/>
    <cellStyle name="Normal 2 16" xfId="921" xr:uid="{00000000-0005-0000-0000-00009A030000}"/>
    <cellStyle name="Normal 2 17" xfId="922" xr:uid="{00000000-0005-0000-0000-00009B030000}"/>
    <cellStyle name="Normal 2 18" xfId="923" xr:uid="{00000000-0005-0000-0000-00009C030000}"/>
    <cellStyle name="Normal 2 19" xfId="924" xr:uid="{00000000-0005-0000-0000-00009D030000}"/>
    <cellStyle name="Normal 2 2" xfId="925" xr:uid="{00000000-0005-0000-0000-00009E030000}"/>
    <cellStyle name="Normal 2 2 10" xfId="926" xr:uid="{00000000-0005-0000-0000-00009F030000}"/>
    <cellStyle name="Normal 2 2 11" xfId="927" xr:uid="{00000000-0005-0000-0000-0000A0030000}"/>
    <cellStyle name="Normal 2 2 12" xfId="928" xr:uid="{00000000-0005-0000-0000-0000A1030000}"/>
    <cellStyle name="Normal 2 2 13" xfId="929" xr:uid="{00000000-0005-0000-0000-0000A2030000}"/>
    <cellStyle name="Normal 2 2 14" xfId="930" xr:uid="{00000000-0005-0000-0000-0000A3030000}"/>
    <cellStyle name="Normal 2 2 2" xfId="931" xr:uid="{00000000-0005-0000-0000-0000A4030000}"/>
    <cellStyle name="Normal 2 2 2 2" xfId="932" xr:uid="{00000000-0005-0000-0000-0000A5030000}"/>
    <cellStyle name="Normal 2 2 3" xfId="933" xr:uid="{00000000-0005-0000-0000-0000A6030000}"/>
    <cellStyle name="Normal 2 2 4" xfId="934" xr:uid="{00000000-0005-0000-0000-0000A7030000}"/>
    <cellStyle name="Normal 2 2 5" xfId="935" xr:uid="{00000000-0005-0000-0000-0000A8030000}"/>
    <cellStyle name="Normal 2 2 6" xfId="936" xr:uid="{00000000-0005-0000-0000-0000A9030000}"/>
    <cellStyle name="Normal 2 2 7" xfId="937" xr:uid="{00000000-0005-0000-0000-0000AA030000}"/>
    <cellStyle name="Normal 2 2 8" xfId="938" xr:uid="{00000000-0005-0000-0000-0000AB030000}"/>
    <cellStyle name="Normal 2 2 9" xfId="939" xr:uid="{00000000-0005-0000-0000-0000AC030000}"/>
    <cellStyle name="Normal 2 3" xfId="940" xr:uid="{00000000-0005-0000-0000-0000AD030000}"/>
    <cellStyle name="Normal 2 3 10" xfId="941" xr:uid="{00000000-0005-0000-0000-0000AE030000}"/>
    <cellStyle name="Normal 2 3 11" xfId="942" xr:uid="{00000000-0005-0000-0000-0000AF030000}"/>
    <cellStyle name="Normal 2 3 12" xfId="943" xr:uid="{00000000-0005-0000-0000-0000B0030000}"/>
    <cellStyle name="Normal 2 3 13" xfId="944" xr:uid="{00000000-0005-0000-0000-0000B1030000}"/>
    <cellStyle name="Normal 2 3 14" xfId="945" xr:uid="{00000000-0005-0000-0000-0000B2030000}"/>
    <cellStyle name="Normal 2 3 2" xfId="946" xr:uid="{00000000-0005-0000-0000-0000B3030000}"/>
    <cellStyle name="Normal 2 3 2 2" xfId="947" xr:uid="{00000000-0005-0000-0000-0000B4030000}"/>
    <cellStyle name="Normal 2 3 3" xfId="948" xr:uid="{00000000-0005-0000-0000-0000B5030000}"/>
    <cellStyle name="Normal 2 3 4" xfId="949" xr:uid="{00000000-0005-0000-0000-0000B6030000}"/>
    <cellStyle name="Normal 2 3 4 2" xfId="950" xr:uid="{00000000-0005-0000-0000-0000B7030000}"/>
    <cellStyle name="Normal 2 3 5" xfId="951" xr:uid="{00000000-0005-0000-0000-0000B8030000}"/>
    <cellStyle name="Normal 2 3 6" xfId="952" xr:uid="{00000000-0005-0000-0000-0000B9030000}"/>
    <cellStyle name="Normal 2 3 7" xfId="953" xr:uid="{00000000-0005-0000-0000-0000BA030000}"/>
    <cellStyle name="Normal 2 3 8" xfId="954" xr:uid="{00000000-0005-0000-0000-0000BB030000}"/>
    <cellStyle name="Normal 2 3 9" xfId="955" xr:uid="{00000000-0005-0000-0000-0000BC030000}"/>
    <cellStyle name="Normal 2 4" xfId="956" xr:uid="{00000000-0005-0000-0000-0000BD030000}"/>
    <cellStyle name="Normal 2 4 10" xfId="957" xr:uid="{00000000-0005-0000-0000-0000BE030000}"/>
    <cellStyle name="Normal 2 4 11" xfId="958" xr:uid="{00000000-0005-0000-0000-0000BF030000}"/>
    <cellStyle name="Normal 2 4 12" xfId="959" xr:uid="{00000000-0005-0000-0000-0000C0030000}"/>
    <cellStyle name="Normal 2 4 13" xfId="960" xr:uid="{00000000-0005-0000-0000-0000C1030000}"/>
    <cellStyle name="Normal 2 4 2" xfId="961" xr:uid="{00000000-0005-0000-0000-0000C2030000}"/>
    <cellStyle name="Normal 2 4 3" xfId="962" xr:uid="{00000000-0005-0000-0000-0000C3030000}"/>
    <cellStyle name="Normal 2 4 4" xfId="963" xr:uid="{00000000-0005-0000-0000-0000C4030000}"/>
    <cellStyle name="Normal 2 4 5" xfId="964" xr:uid="{00000000-0005-0000-0000-0000C5030000}"/>
    <cellStyle name="Normal 2 4 6" xfId="965" xr:uid="{00000000-0005-0000-0000-0000C6030000}"/>
    <cellStyle name="Normal 2 4 7" xfId="966" xr:uid="{00000000-0005-0000-0000-0000C7030000}"/>
    <cellStyle name="Normal 2 4 8" xfId="967" xr:uid="{00000000-0005-0000-0000-0000C8030000}"/>
    <cellStyle name="Normal 2 4 9" xfId="968" xr:uid="{00000000-0005-0000-0000-0000C9030000}"/>
    <cellStyle name="Normal 2 5" xfId="969" xr:uid="{00000000-0005-0000-0000-0000CA030000}"/>
    <cellStyle name="Normal 2 5 2" xfId="970" xr:uid="{00000000-0005-0000-0000-0000CB030000}"/>
    <cellStyle name="Normal 2 6" xfId="971" xr:uid="{00000000-0005-0000-0000-0000CC030000}"/>
    <cellStyle name="Normal 2 6 2" xfId="972" xr:uid="{00000000-0005-0000-0000-0000CD030000}"/>
    <cellStyle name="Normal 2 7" xfId="973" xr:uid="{00000000-0005-0000-0000-0000CE030000}"/>
    <cellStyle name="Normal 2 7 2" xfId="974" xr:uid="{00000000-0005-0000-0000-0000CF030000}"/>
    <cellStyle name="Normal 2 8" xfId="975" xr:uid="{00000000-0005-0000-0000-0000D0030000}"/>
    <cellStyle name="Normal 2 9" xfId="976" xr:uid="{00000000-0005-0000-0000-0000D1030000}"/>
    <cellStyle name="Normal 2_FILL-ICM" xfId="977" xr:uid="{00000000-0005-0000-0000-0000D2030000}"/>
    <cellStyle name="Normal 20" xfId="978" xr:uid="{00000000-0005-0000-0000-0000D3030000}"/>
    <cellStyle name="Normal 21" xfId="979" xr:uid="{00000000-0005-0000-0000-0000D4030000}"/>
    <cellStyle name="Normal 26" xfId="980" xr:uid="{00000000-0005-0000-0000-0000D5030000}"/>
    <cellStyle name="Normal 3 10" xfId="981" xr:uid="{00000000-0005-0000-0000-0000D6030000}"/>
    <cellStyle name="Normal 3 11" xfId="982" xr:uid="{00000000-0005-0000-0000-0000D7030000}"/>
    <cellStyle name="Normal 3 12" xfId="983" xr:uid="{00000000-0005-0000-0000-0000D8030000}"/>
    <cellStyle name="Normal 3 2" xfId="984" xr:uid="{00000000-0005-0000-0000-0000D9030000}"/>
    <cellStyle name="Normal 3 2 10" xfId="985" xr:uid="{00000000-0005-0000-0000-0000DA030000}"/>
    <cellStyle name="Normal 3 2 2" xfId="986" xr:uid="{00000000-0005-0000-0000-0000DB030000}"/>
    <cellStyle name="Normal 3 2 3" xfId="987" xr:uid="{00000000-0005-0000-0000-0000DC030000}"/>
    <cellStyle name="Normal 3 2 4" xfId="988" xr:uid="{00000000-0005-0000-0000-0000DD030000}"/>
    <cellStyle name="Normal 3 2 5" xfId="989" xr:uid="{00000000-0005-0000-0000-0000DE030000}"/>
    <cellStyle name="Normal 3 2 6" xfId="990" xr:uid="{00000000-0005-0000-0000-0000DF030000}"/>
    <cellStyle name="Normal 3 2 7" xfId="991" xr:uid="{00000000-0005-0000-0000-0000E0030000}"/>
    <cellStyle name="Normal 3 2 8" xfId="992" xr:uid="{00000000-0005-0000-0000-0000E1030000}"/>
    <cellStyle name="Normal 3 2 9" xfId="993" xr:uid="{00000000-0005-0000-0000-0000E2030000}"/>
    <cellStyle name="Normal 3 2 9 2" xfId="994" xr:uid="{00000000-0005-0000-0000-0000E3030000}"/>
    <cellStyle name="Normal 3 3" xfId="995" xr:uid="{00000000-0005-0000-0000-0000E4030000}"/>
    <cellStyle name="Normal 3 3 2" xfId="996" xr:uid="{00000000-0005-0000-0000-0000E5030000}"/>
    <cellStyle name="Normal 3 3 3" xfId="997" xr:uid="{00000000-0005-0000-0000-0000E6030000}"/>
    <cellStyle name="Normal 3 3 4" xfId="998" xr:uid="{00000000-0005-0000-0000-0000E7030000}"/>
    <cellStyle name="Normal 3 3 5" xfId="999" xr:uid="{00000000-0005-0000-0000-0000E8030000}"/>
    <cellStyle name="Normal 3 3 6" xfId="1000" xr:uid="{00000000-0005-0000-0000-0000E9030000}"/>
    <cellStyle name="Normal 3 3 7" xfId="1001" xr:uid="{00000000-0005-0000-0000-0000EA030000}"/>
    <cellStyle name="Normal 3 3 8" xfId="1002" xr:uid="{00000000-0005-0000-0000-0000EB030000}"/>
    <cellStyle name="Normal 3 3 9" xfId="1003" xr:uid="{00000000-0005-0000-0000-0000EC030000}"/>
    <cellStyle name="Normal 3 4" xfId="1004" xr:uid="{00000000-0005-0000-0000-0000ED030000}"/>
    <cellStyle name="Normal 3 4 2" xfId="1005" xr:uid="{00000000-0005-0000-0000-0000EE030000}"/>
    <cellStyle name="Normal 3 4 3" xfId="1006" xr:uid="{00000000-0005-0000-0000-0000EF030000}"/>
    <cellStyle name="Normal 3 4 4" xfId="1007" xr:uid="{00000000-0005-0000-0000-0000F0030000}"/>
    <cellStyle name="Normal 3 4 5" xfId="1008" xr:uid="{00000000-0005-0000-0000-0000F1030000}"/>
    <cellStyle name="Normal 3 4 6" xfId="1009" xr:uid="{00000000-0005-0000-0000-0000F2030000}"/>
    <cellStyle name="Normal 3 4 7" xfId="1010" xr:uid="{00000000-0005-0000-0000-0000F3030000}"/>
    <cellStyle name="Normal 3 4 8" xfId="1011" xr:uid="{00000000-0005-0000-0000-0000F4030000}"/>
    <cellStyle name="Normal 3 5" xfId="1012" xr:uid="{00000000-0005-0000-0000-0000F5030000}"/>
    <cellStyle name="Normal 3 5 2" xfId="1013" xr:uid="{00000000-0005-0000-0000-0000F6030000}"/>
    <cellStyle name="Normal 3 5 3" xfId="1014" xr:uid="{00000000-0005-0000-0000-0000F7030000}"/>
    <cellStyle name="Normal 3 5 4" xfId="1015" xr:uid="{00000000-0005-0000-0000-0000F8030000}"/>
    <cellStyle name="Normal 3 5 5" xfId="1016" xr:uid="{00000000-0005-0000-0000-0000F9030000}"/>
    <cellStyle name="Normal 3 5 6" xfId="1017" xr:uid="{00000000-0005-0000-0000-0000FA030000}"/>
    <cellStyle name="Normal 3 5 7" xfId="1018" xr:uid="{00000000-0005-0000-0000-0000FB030000}"/>
    <cellStyle name="Normal 3 5 8" xfId="1019" xr:uid="{00000000-0005-0000-0000-0000FC030000}"/>
    <cellStyle name="Normal 3 6" xfId="1020" xr:uid="{00000000-0005-0000-0000-0000FD030000}"/>
    <cellStyle name="Normal 3 7" xfId="1021" xr:uid="{00000000-0005-0000-0000-0000FE030000}"/>
    <cellStyle name="Normal 3 8" xfId="1022" xr:uid="{00000000-0005-0000-0000-0000FF030000}"/>
    <cellStyle name="Normal 3 9" xfId="1023" xr:uid="{00000000-0005-0000-0000-000000040000}"/>
    <cellStyle name="Normal 4" xfId="1024" xr:uid="{00000000-0005-0000-0000-000001040000}"/>
    <cellStyle name="Normal 4 10" xfId="1025" xr:uid="{00000000-0005-0000-0000-000002040000}"/>
    <cellStyle name="Normal 4 11" xfId="1026" xr:uid="{00000000-0005-0000-0000-000003040000}"/>
    <cellStyle name="Normal 4 12" xfId="1027" xr:uid="{00000000-0005-0000-0000-000004040000}"/>
    <cellStyle name="Normal 4 2" xfId="1028" xr:uid="{00000000-0005-0000-0000-000005040000}"/>
    <cellStyle name="Normal 4 2 2" xfId="1029" xr:uid="{00000000-0005-0000-0000-000006040000}"/>
    <cellStyle name="Normal 4 2 2 10" xfId="1030" xr:uid="{00000000-0005-0000-0000-000007040000}"/>
    <cellStyle name="Normal 4 2 2 11" xfId="1031" xr:uid="{00000000-0005-0000-0000-000008040000}"/>
    <cellStyle name="Normal 4 2 2 12" xfId="1032" xr:uid="{00000000-0005-0000-0000-000009040000}"/>
    <cellStyle name="Normal 4 2 2 13" xfId="1033" xr:uid="{00000000-0005-0000-0000-00000A040000}"/>
    <cellStyle name="Normal 4 2 2 2" xfId="1034" xr:uid="{00000000-0005-0000-0000-00000B040000}"/>
    <cellStyle name="Normal 4 2 2 2 10" xfId="1035" xr:uid="{00000000-0005-0000-0000-00000C040000}"/>
    <cellStyle name="Normal 4 2 2 2 11" xfId="1036" xr:uid="{00000000-0005-0000-0000-00000D040000}"/>
    <cellStyle name="Normal 4 2 2 2 12" xfId="1037" xr:uid="{00000000-0005-0000-0000-00000E040000}"/>
    <cellStyle name="Normal 4 2 2 2 13" xfId="1038" xr:uid="{00000000-0005-0000-0000-00000F040000}"/>
    <cellStyle name="Normal 4 2 2 2 2" xfId="1039" xr:uid="{00000000-0005-0000-0000-000010040000}"/>
    <cellStyle name="Normal 4 2 2 2 3" xfId="1040" xr:uid="{00000000-0005-0000-0000-000011040000}"/>
    <cellStyle name="Normal 4 2 2 2 4" xfId="1041" xr:uid="{00000000-0005-0000-0000-000012040000}"/>
    <cellStyle name="Normal 4 2 2 2 5" xfId="1042" xr:uid="{00000000-0005-0000-0000-000013040000}"/>
    <cellStyle name="Normal 4 2 2 2 6" xfId="1043" xr:uid="{00000000-0005-0000-0000-000014040000}"/>
    <cellStyle name="Normal 4 2 2 2 7" xfId="1044" xr:uid="{00000000-0005-0000-0000-000015040000}"/>
    <cellStyle name="Normal 4 2 2 2 8" xfId="1045" xr:uid="{00000000-0005-0000-0000-000016040000}"/>
    <cellStyle name="Normal 4 2 2 2 9" xfId="1046" xr:uid="{00000000-0005-0000-0000-000017040000}"/>
    <cellStyle name="Normal 4 2 2 3" xfId="1047" xr:uid="{00000000-0005-0000-0000-000018040000}"/>
    <cellStyle name="Normal 4 2 2 4" xfId="1048" xr:uid="{00000000-0005-0000-0000-000019040000}"/>
    <cellStyle name="Normal 4 2 2 5" xfId="1049" xr:uid="{00000000-0005-0000-0000-00001A040000}"/>
    <cellStyle name="Normal 4 2 2 6" xfId="1050" xr:uid="{00000000-0005-0000-0000-00001B040000}"/>
    <cellStyle name="Normal 4 2 2 7" xfId="1051" xr:uid="{00000000-0005-0000-0000-00001C040000}"/>
    <cellStyle name="Normal 4 2 2 8" xfId="1052" xr:uid="{00000000-0005-0000-0000-00001D040000}"/>
    <cellStyle name="Normal 4 2 2 9" xfId="1053" xr:uid="{00000000-0005-0000-0000-00001E040000}"/>
    <cellStyle name="Normal 4 2 3" xfId="1054" xr:uid="{00000000-0005-0000-0000-00001F040000}"/>
    <cellStyle name="Normal 4 2 4" xfId="1055" xr:uid="{00000000-0005-0000-0000-000020040000}"/>
    <cellStyle name="Normal 4 2 5" xfId="1056" xr:uid="{00000000-0005-0000-0000-000021040000}"/>
    <cellStyle name="Normal 4 2 6" xfId="1057" xr:uid="{00000000-0005-0000-0000-000022040000}"/>
    <cellStyle name="Normal 4 2 7" xfId="1058" xr:uid="{00000000-0005-0000-0000-000023040000}"/>
    <cellStyle name="Normal 4 2 8" xfId="1059" xr:uid="{00000000-0005-0000-0000-000024040000}"/>
    <cellStyle name="Normal 4 2 9" xfId="1060" xr:uid="{00000000-0005-0000-0000-000025040000}"/>
    <cellStyle name="Normal 4 3" xfId="1061" xr:uid="{00000000-0005-0000-0000-000026040000}"/>
    <cellStyle name="Normal 4 3 2" xfId="1062" xr:uid="{00000000-0005-0000-0000-000027040000}"/>
    <cellStyle name="Normal 4 3 3" xfId="1063" xr:uid="{00000000-0005-0000-0000-000028040000}"/>
    <cellStyle name="Normal 4 3 4" xfId="1064" xr:uid="{00000000-0005-0000-0000-000029040000}"/>
    <cellStyle name="Normal 4 3 5" xfId="1065" xr:uid="{00000000-0005-0000-0000-00002A040000}"/>
    <cellStyle name="Normal 4 3 6" xfId="1066" xr:uid="{00000000-0005-0000-0000-00002B040000}"/>
    <cellStyle name="Normal 4 3 7" xfId="1067" xr:uid="{00000000-0005-0000-0000-00002C040000}"/>
    <cellStyle name="Normal 4 3 8" xfId="1068" xr:uid="{00000000-0005-0000-0000-00002D040000}"/>
    <cellStyle name="Normal 4 4" xfId="1069" xr:uid="{00000000-0005-0000-0000-00002E040000}"/>
    <cellStyle name="Normal 4 4 2" xfId="1070" xr:uid="{00000000-0005-0000-0000-00002F040000}"/>
    <cellStyle name="Normal 4 4 3" xfId="1071" xr:uid="{00000000-0005-0000-0000-000030040000}"/>
    <cellStyle name="Normal 4 4 4" xfId="1072" xr:uid="{00000000-0005-0000-0000-000031040000}"/>
    <cellStyle name="Normal 4 4 5" xfId="1073" xr:uid="{00000000-0005-0000-0000-000032040000}"/>
    <cellStyle name="Normal 4 4 6" xfId="1074" xr:uid="{00000000-0005-0000-0000-000033040000}"/>
    <cellStyle name="Normal 4 4 7" xfId="1075" xr:uid="{00000000-0005-0000-0000-000034040000}"/>
    <cellStyle name="Normal 4 4 8" xfId="1076" xr:uid="{00000000-0005-0000-0000-000035040000}"/>
    <cellStyle name="Normal 4 5" xfId="1077" xr:uid="{00000000-0005-0000-0000-000036040000}"/>
    <cellStyle name="Normal 4 5 2" xfId="1078" xr:uid="{00000000-0005-0000-0000-000037040000}"/>
    <cellStyle name="Normal 4 5 3" xfId="1079" xr:uid="{00000000-0005-0000-0000-000038040000}"/>
    <cellStyle name="Normal 4 5 4" xfId="1080" xr:uid="{00000000-0005-0000-0000-000039040000}"/>
    <cellStyle name="Normal 4 5 5" xfId="1081" xr:uid="{00000000-0005-0000-0000-00003A040000}"/>
    <cellStyle name="Normal 4 5 6" xfId="1082" xr:uid="{00000000-0005-0000-0000-00003B040000}"/>
    <cellStyle name="Normal 4 5 7" xfId="1083" xr:uid="{00000000-0005-0000-0000-00003C040000}"/>
    <cellStyle name="Normal 4 5 8" xfId="1084" xr:uid="{00000000-0005-0000-0000-00003D040000}"/>
    <cellStyle name="Normal 4 6" xfId="1085" xr:uid="{00000000-0005-0000-0000-00003E040000}"/>
    <cellStyle name="Normal 4 7" xfId="1086" xr:uid="{00000000-0005-0000-0000-00003F040000}"/>
    <cellStyle name="Normal 4 8" xfId="1087" xr:uid="{00000000-0005-0000-0000-000040040000}"/>
    <cellStyle name="Normal 4 9" xfId="1088" xr:uid="{00000000-0005-0000-0000-000041040000}"/>
    <cellStyle name="Normal 4_SUP" xfId="1089" xr:uid="{00000000-0005-0000-0000-000042040000}"/>
    <cellStyle name="Normal 41" xfId="1789" xr:uid="{00000000-0005-0000-0000-000043040000}"/>
    <cellStyle name="Normal 5" xfId="1090" xr:uid="{00000000-0005-0000-0000-000044040000}"/>
    <cellStyle name="Normal 5 10" xfId="1091" xr:uid="{00000000-0005-0000-0000-000045040000}"/>
    <cellStyle name="Normal 5 11" xfId="1092" xr:uid="{00000000-0005-0000-0000-000046040000}"/>
    <cellStyle name="Normal 5 12" xfId="1093" xr:uid="{00000000-0005-0000-0000-000047040000}"/>
    <cellStyle name="Normal 5 2" xfId="1094" xr:uid="{00000000-0005-0000-0000-000048040000}"/>
    <cellStyle name="Normal 5 2 2" xfId="1095" xr:uid="{00000000-0005-0000-0000-000049040000}"/>
    <cellStyle name="Normal 5 2 2 10" xfId="1096" xr:uid="{00000000-0005-0000-0000-00004A040000}"/>
    <cellStyle name="Normal 5 2 2 11" xfId="1097" xr:uid="{00000000-0005-0000-0000-00004B040000}"/>
    <cellStyle name="Normal 5 2 2 12" xfId="1098" xr:uid="{00000000-0005-0000-0000-00004C040000}"/>
    <cellStyle name="Normal 5 2 2 13" xfId="1099" xr:uid="{00000000-0005-0000-0000-00004D040000}"/>
    <cellStyle name="Normal 5 2 2 2" xfId="1100" xr:uid="{00000000-0005-0000-0000-00004E040000}"/>
    <cellStyle name="Normal 5 2 2 2 10" xfId="1101" xr:uid="{00000000-0005-0000-0000-00004F040000}"/>
    <cellStyle name="Normal 5 2 2 2 11" xfId="1102" xr:uid="{00000000-0005-0000-0000-000050040000}"/>
    <cellStyle name="Normal 5 2 2 2 12" xfId="1103" xr:uid="{00000000-0005-0000-0000-000051040000}"/>
    <cellStyle name="Normal 5 2 2 2 13" xfId="1104" xr:uid="{00000000-0005-0000-0000-000052040000}"/>
    <cellStyle name="Normal 5 2 2 2 2" xfId="1105" xr:uid="{00000000-0005-0000-0000-000053040000}"/>
    <cellStyle name="Normal 5 2 2 2 3" xfId="1106" xr:uid="{00000000-0005-0000-0000-000054040000}"/>
    <cellStyle name="Normal 5 2 2 2 4" xfId="1107" xr:uid="{00000000-0005-0000-0000-000055040000}"/>
    <cellStyle name="Normal 5 2 2 2 5" xfId="1108" xr:uid="{00000000-0005-0000-0000-000056040000}"/>
    <cellStyle name="Normal 5 2 2 2 6" xfId="1109" xr:uid="{00000000-0005-0000-0000-000057040000}"/>
    <cellStyle name="Normal 5 2 2 2 7" xfId="1110" xr:uid="{00000000-0005-0000-0000-000058040000}"/>
    <cellStyle name="Normal 5 2 2 2 8" xfId="1111" xr:uid="{00000000-0005-0000-0000-000059040000}"/>
    <cellStyle name="Normal 5 2 2 2 9" xfId="1112" xr:uid="{00000000-0005-0000-0000-00005A040000}"/>
    <cellStyle name="Normal 5 2 2 3" xfId="1113" xr:uid="{00000000-0005-0000-0000-00005B040000}"/>
    <cellStyle name="Normal 5 2 2 4" xfId="1114" xr:uid="{00000000-0005-0000-0000-00005C040000}"/>
    <cellStyle name="Normal 5 2 2 5" xfId="1115" xr:uid="{00000000-0005-0000-0000-00005D040000}"/>
    <cellStyle name="Normal 5 2 2 6" xfId="1116" xr:uid="{00000000-0005-0000-0000-00005E040000}"/>
    <cellStyle name="Normal 5 2 2 7" xfId="1117" xr:uid="{00000000-0005-0000-0000-00005F040000}"/>
    <cellStyle name="Normal 5 2 2 8" xfId="1118" xr:uid="{00000000-0005-0000-0000-000060040000}"/>
    <cellStyle name="Normal 5 2 2 9" xfId="1119" xr:uid="{00000000-0005-0000-0000-000061040000}"/>
    <cellStyle name="Normal 5 2 3" xfId="1120" xr:uid="{00000000-0005-0000-0000-000062040000}"/>
    <cellStyle name="Normal 5 2 4" xfId="1121" xr:uid="{00000000-0005-0000-0000-000063040000}"/>
    <cellStyle name="Normal 5 2 5" xfId="1122" xr:uid="{00000000-0005-0000-0000-000064040000}"/>
    <cellStyle name="Normal 5 2 6" xfId="1123" xr:uid="{00000000-0005-0000-0000-000065040000}"/>
    <cellStyle name="Normal 5 2 7" xfId="1124" xr:uid="{00000000-0005-0000-0000-000066040000}"/>
    <cellStyle name="Normal 5 2 8" xfId="1125" xr:uid="{00000000-0005-0000-0000-000067040000}"/>
    <cellStyle name="Normal 5 3" xfId="1126" xr:uid="{00000000-0005-0000-0000-000068040000}"/>
    <cellStyle name="Normal 5 3 2" xfId="1127" xr:uid="{00000000-0005-0000-0000-000069040000}"/>
    <cellStyle name="Normal 5 3 3" xfId="1128" xr:uid="{00000000-0005-0000-0000-00006A040000}"/>
    <cellStyle name="Normal 5 3 4" xfId="1129" xr:uid="{00000000-0005-0000-0000-00006B040000}"/>
    <cellStyle name="Normal 5 3 5" xfId="1130" xr:uid="{00000000-0005-0000-0000-00006C040000}"/>
    <cellStyle name="Normal 5 3 6" xfId="1131" xr:uid="{00000000-0005-0000-0000-00006D040000}"/>
    <cellStyle name="Normal 5 3 7" xfId="1132" xr:uid="{00000000-0005-0000-0000-00006E040000}"/>
    <cellStyle name="Normal 5 3 8" xfId="1133" xr:uid="{00000000-0005-0000-0000-00006F040000}"/>
    <cellStyle name="Normal 5 4" xfId="1134" xr:uid="{00000000-0005-0000-0000-000070040000}"/>
    <cellStyle name="Normal 5 4 2" xfId="1135" xr:uid="{00000000-0005-0000-0000-000071040000}"/>
    <cellStyle name="Normal 5 4 3" xfId="1136" xr:uid="{00000000-0005-0000-0000-000072040000}"/>
    <cellStyle name="Normal 5 4 4" xfId="1137" xr:uid="{00000000-0005-0000-0000-000073040000}"/>
    <cellStyle name="Normal 5 4 5" xfId="1138" xr:uid="{00000000-0005-0000-0000-000074040000}"/>
    <cellStyle name="Normal 5 4 6" xfId="1139" xr:uid="{00000000-0005-0000-0000-000075040000}"/>
    <cellStyle name="Normal 5 4 7" xfId="1140" xr:uid="{00000000-0005-0000-0000-000076040000}"/>
    <cellStyle name="Normal 5 4 8" xfId="1141" xr:uid="{00000000-0005-0000-0000-000077040000}"/>
    <cellStyle name="Normal 5 5" xfId="1142" xr:uid="{00000000-0005-0000-0000-000078040000}"/>
    <cellStyle name="Normal 5 5 2" xfId="1143" xr:uid="{00000000-0005-0000-0000-000079040000}"/>
    <cellStyle name="Normal 5 5 3" xfId="1144" xr:uid="{00000000-0005-0000-0000-00007A040000}"/>
    <cellStyle name="Normal 5 5 4" xfId="1145" xr:uid="{00000000-0005-0000-0000-00007B040000}"/>
    <cellStyle name="Normal 5 5 5" xfId="1146" xr:uid="{00000000-0005-0000-0000-00007C040000}"/>
    <cellStyle name="Normal 5 5 6" xfId="1147" xr:uid="{00000000-0005-0000-0000-00007D040000}"/>
    <cellStyle name="Normal 5 5 7" xfId="1148" xr:uid="{00000000-0005-0000-0000-00007E040000}"/>
    <cellStyle name="Normal 5 5 8" xfId="1149" xr:uid="{00000000-0005-0000-0000-00007F040000}"/>
    <cellStyle name="Normal 5 6" xfId="1150" xr:uid="{00000000-0005-0000-0000-000080040000}"/>
    <cellStyle name="Normal 5 7" xfId="1151" xr:uid="{00000000-0005-0000-0000-000081040000}"/>
    <cellStyle name="Normal 5 8" xfId="1152" xr:uid="{00000000-0005-0000-0000-000082040000}"/>
    <cellStyle name="Normal 5 9" xfId="1153" xr:uid="{00000000-0005-0000-0000-000083040000}"/>
    <cellStyle name="Normal 6" xfId="1154" xr:uid="{00000000-0005-0000-0000-000084040000}"/>
    <cellStyle name="Normal 6 10" xfId="1155" xr:uid="{00000000-0005-0000-0000-000085040000}"/>
    <cellStyle name="Normal 6 11" xfId="1156" xr:uid="{00000000-0005-0000-0000-000086040000}"/>
    <cellStyle name="Normal 6 12" xfId="1157" xr:uid="{00000000-0005-0000-0000-000087040000}"/>
    <cellStyle name="Normal 6 2" xfId="1158" xr:uid="{00000000-0005-0000-0000-000088040000}"/>
    <cellStyle name="Normal 6 2 2" xfId="1159" xr:uid="{00000000-0005-0000-0000-000089040000}"/>
    <cellStyle name="Normal 6 2 2 10" xfId="1160" xr:uid="{00000000-0005-0000-0000-00008A040000}"/>
    <cellStyle name="Normal 6 2 2 11" xfId="1161" xr:uid="{00000000-0005-0000-0000-00008B040000}"/>
    <cellStyle name="Normal 6 2 2 12" xfId="1162" xr:uid="{00000000-0005-0000-0000-00008C040000}"/>
    <cellStyle name="Normal 6 2 2 13" xfId="1163" xr:uid="{00000000-0005-0000-0000-00008D040000}"/>
    <cellStyle name="Normal 6 2 2 2" xfId="1164" xr:uid="{00000000-0005-0000-0000-00008E040000}"/>
    <cellStyle name="Normal 6 2 2 3" xfId="1165" xr:uid="{00000000-0005-0000-0000-00008F040000}"/>
    <cellStyle name="Normal 6 2 2 4" xfId="1166" xr:uid="{00000000-0005-0000-0000-000090040000}"/>
    <cellStyle name="Normal 6 2 2 5" xfId="1167" xr:uid="{00000000-0005-0000-0000-000091040000}"/>
    <cellStyle name="Normal 6 2 2 6" xfId="1168" xr:uid="{00000000-0005-0000-0000-000092040000}"/>
    <cellStyle name="Normal 6 2 2 7" xfId="1169" xr:uid="{00000000-0005-0000-0000-000093040000}"/>
    <cellStyle name="Normal 6 2 2 8" xfId="1170" xr:uid="{00000000-0005-0000-0000-000094040000}"/>
    <cellStyle name="Normal 6 2 2 9" xfId="1171" xr:uid="{00000000-0005-0000-0000-000095040000}"/>
    <cellStyle name="Normal 6 2 3" xfId="1172" xr:uid="{00000000-0005-0000-0000-000096040000}"/>
    <cellStyle name="Normal 6 2 4" xfId="1173" xr:uid="{00000000-0005-0000-0000-000097040000}"/>
    <cellStyle name="Normal 6 2 5" xfId="1174" xr:uid="{00000000-0005-0000-0000-000098040000}"/>
    <cellStyle name="Normal 6 2 6" xfId="1175" xr:uid="{00000000-0005-0000-0000-000099040000}"/>
    <cellStyle name="Normal 6 2 7" xfId="1176" xr:uid="{00000000-0005-0000-0000-00009A040000}"/>
    <cellStyle name="Normal 6 2 8" xfId="1177" xr:uid="{00000000-0005-0000-0000-00009B040000}"/>
    <cellStyle name="Normal 6 3" xfId="1178" xr:uid="{00000000-0005-0000-0000-00009C040000}"/>
    <cellStyle name="Normal 6 3 2" xfId="1179" xr:uid="{00000000-0005-0000-0000-00009D040000}"/>
    <cellStyle name="Normal 6 3 3" xfId="1180" xr:uid="{00000000-0005-0000-0000-00009E040000}"/>
    <cellStyle name="Normal 6 3 4" xfId="1181" xr:uid="{00000000-0005-0000-0000-00009F040000}"/>
    <cellStyle name="Normal 6 3 5" xfId="1182" xr:uid="{00000000-0005-0000-0000-0000A0040000}"/>
    <cellStyle name="Normal 6 3 6" xfId="1183" xr:uid="{00000000-0005-0000-0000-0000A1040000}"/>
    <cellStyle name="Normal 6 3 7" xfId="1184" xr:uid="{00000000-0005-0000-0000-0000A2040000}"/>
    <cellStyle name="Normal 6 3 8" xfId="1185" xr:uid="{00000000-0005-0000-0000-0000A3040000}"/>
    <cellStyle name="Normal 6 4" xfId="1186" xr:uid="{00000000-0005-0000-0000-0000A4040000}"/>
    <cellStyle name="Normal 6 4 2" xfId="1187" xr:uid="{00000000-0005-0000-0000-0000A5040000}"/>
    <cellStyle name="Normal 6 4 3" xfId="1188" xr:uid="{00000000-0005-0000-0000-0000A6040000}"/>
    <cellStyle name="Normal 6 4 4" xfId="1189" xr:uid="{00000000-0005-0000-0000-0000A7040000}"/>
    <cellStyle name="Normal 6 4 5" xfId="1190" xr:uid="{00000000-0005-0000-0000-0000A8040000}"/>
    <cellStyle name="Normal 6 4 6" xfId="1191" xr:uid="{00000000-0005-0000-0000-0000A9040000}"/>
    <cellStyle name="Normal 6 4 7" xfId="1192" xr:uid="{00000000-0005-0000-0000-0000AA040000}"/>
    <cellStyle name="Normal 6 4 8" xfId="1193" xr:uid="{00000000-0005-0000-0000-0000AB040000}"/>
    <cellStyle name="Normal 6 5" xfId="1194" xr:uid="{00000000-0005-0000-0000-0000AC040000}"/>
    <cellStyle name="Normal 6 5 2" xfId="1195" xr:uid="{00000000-0005-0000-0000-0000AD040000}"/>
    <cellStyle name="Normal 6 5 3" xfId="1196" xr:uid="{00000000-0005-0000-0000-0000AE040000}"/>
    <cellStyle name="Normal 6 5 4" xfId="1197" xr:uid="{00000000-0005-0000-0000-0000AF040000}"/>
    <cellStyle name="Normal 6 5 5" xfId="1198" xr:uid="{00000000-0005-0000-0000-0000B0040000}"/>
    <cellStyle name="Normal 6 5 6" xfId="1199" xr:uid="{00000000-0005-0000-0000-0000B1040000}"/>
    <cellStyle name="Normal 6 5 7" xfId="1200" xr:uid="{00000000-0005-0000-0000-0000B2040000}"/>
    <cellStyle name="Normal 6 5 8" xfId="1201" xr:uid="{00000000-0005-0000-0000-0000B3040000}"/>
    <cellStyle name="Normal 6 6" xfId="1202" xr:uid="{00000000-0005-0000-0000-0000B4040000}"/>
    <cellStyle name="Normal 6 7" xfId="1203" xr:uid="{00000000-0005-0000-0000-0000B5040000}"/>
    <cellStyle name="Normal 6 8" xfId="1204" xr:uid="{00000000-0005-0000-0000-0000B6040000}"/>
    <cellStyle name="Normal 6 9" xfId="1205" xr:uid="{00000000-0005-0000-0000-0000B7040000}"/>
    <cellStyle name="Normal 7" xfId="1206" xr:uid="{00000000-0005-0000-0000-0000B8040000}"/>
    <cellStyle name="Normal 7 10" xfId="1207" xr:uid="{00000000-0005-0000-0000-0000B9040000}"/>
    <cellStyle name="Normal 7 11" xfId="1208" xr:uid="{00000000-0005-0000-0000-0000BA040000}"/>
    <cellStyle name="Normal 7 12" xfId="1209" xr:uid="{00000000-0005-0000-0000-0000BB040000}"/>
    <cellStyle name="Normal 7 13" xfId="1210" xr:uid="{00000000-0005-0000-0000-0000BC040000}"/>
    <cellStyle name="Normal 7 2" xfId="1211" xr:uid="{00000000-0005-0000-0000-0000BD040000}"/>
    <cellStyle name="Normal 7 2 2" xfId="1212" xr:uid="{00000000-0005-0000-0000-0000BE040000}"/>
    <cellStyle name="Normal 7 2 3" xfId="1213" xr:uid="{00000000-0005-0000-0000-0000BF040000}"/>
    <cellStyle name="Normal 7 2 4" xfId="1214" xr:uid="{00000000-0005-0000-0000-0000C0040000}"/>
    <cellStyle name="Normal 7 2 5" xfId="1215" xr:uid="{00000000-0005-0000-0000-0000C1040000}"/>
    <cellStyle name="Normal 7 2 6" xfId="1216" xr:uid="{00000000-0005-0000-0000-0000C2040000}"/>
    <cellStyle name="Normal 7 2 7" xfId="1217" xr:uid="{00000000-0005-0000-0000-0000C3040000}"/>
    <cellStyle name="Normal 7 2 8" xfId="1218" xr:uid="{00000000-0005-0000-0000-0000C4040000}"/>
    <cellStyle name="Normal 7 2 9" xfId="1219" xr:uid="{00000000-0005-0000-0000-0000C5040000}"/>
    <cellStyle name="Normal 7 3" xfId="1220" xr:uid="{00000000-0005-0000-0000-0000C6040000}"/>
    <cellStyle name="Normal 7 3 2" xfId="1221" xr:uid="{00000000-0005-0000-0000-0000C7040000}"/>
    <cellStyle name="Normal 7 3 3" xfId="1222" xr:uid="{00000000-0005-0000-0000-0000C8040000}"/>
    <cellStyle name="Normal 7 3 4" xfId="1223" xr:uid="{00000000-0005-0000-0000-0000C9040000}"/>
    <cellStyle name="Normal 7 3 5" xfId="1224" xr:uid="{00000000-0005-0000-0000-0000CA040000}"/>
    <cellStyle name="Normal 7 3 6" xfId="1225" xr:uid="{00000000-0005-0000-0000-0000CB040000}"/>
    <cellStyle name="Normal 7 3 7" xfId="1226" xr:uid="{00000000-0005-0000-0000-0000CC040000}"/>
    <cellStyle name="Normal 7 3 8" xfId="1227" xr:uid="{00000000-0005-0000-0000-0000CD040000}"/>
    <cellStyle name="Normal 7 4" xfId="1228" xr:uid="{00000000-0005-0000-0000-0000CE040000}"/>
    <cellStyle name="Normal 7 4 2" xfId="1229" xr:uid="{00000000-0005-0000-0000-0000CF040000}"/>
    <cellStyle name="Normal 7 4 3" xfId="1230" xr:uid="{00000000-0005-0000-0000-0000D0040000}"/>
    <cellStyle name="Normal 7 4 4" xfId="1231" xr:uid="{00000000-0005-0000-0000-0000D1040000}"/>
    <cellStyle name="Normal 7 4 5" xfId="1232" xr:uid="{00000000-0005-0000-0000-0000D2040000}"/>
    <cellStyle name="Normal 7 4 6" xfId="1233" xr:uid="{00000000-0005-0000-0000-0000D3040000}"/>
    <cellStyle name="Normal 7 4 7" xfId="1234" xr:uid="{00000000-0005-0000-0000-0000D4040000}"/>
    <cellStyle name="Normal 7 4 8" xfId="1235" xr:uid="{00000000-0005-0000-0000-0000D5040000}"/>
    <cellStyle name="Normal 7 5" xfId="1236" xr:uid="{00000000-0005-0000-0000-0000D6040000}"/>
    <cellStyle name="Normal 7 5 2" xfId="1237" xr:uid="{00000000-0005-0000-0000-0000D7040000}"/>
    <cellStyle name="Normal 7 5 3" xfId="1238" xr:uid="{00000000-0005-0000-0000-0000D8040000}"/>
    <cellStyle name="Normal 7 5 4" xfId="1239" xr:uid="{00000000-0005-0000-0000-0000D9040000}"/>
    <cellStyle name="Normal 7 5 5" xfId="1240" xr:uid="{00000000-0005-0000-0000-0000DA040000}"/>
    <cellStyle name="Normal 7 5 6" xfId="1241" xr:uid="{00000000-0005-0000-0000-0000DB040000}"/>
    <cellStyle name="Normal 7 5 7" xfId="1242" xr:uid="{00000000-0005-0000-0000-0000DC040000}"/>
    <cellStyle name="Normal 7 5 8" xfId="1243" xr:uid="{00000000-0005-0000-0000-0000DD040000}"/>
    <cellStyle name="Normal 7 6" xfId="1244" xr:uid="{00000000-0005-0000-0000-0000DE040000}"/>
    <cellStyle name="Normal 7 7" xfId="1245" xr:uid="{00000000-0005-0000-0000-0000DF040000}"/>
    <cellStyle name="Normal 7 8" xfId="1246" xr:uid="{00000000-0005-0000-0000-0000E0040000}"/>
    <cellStyle name="Normal 7 9" xfId="1247" xr:uid="{00000000-0005-0000-0000-0000E1040000}"/>
    <cellStyle name="Normal 8" xfId="1248" xr:uid="{00000000-0005-0000-0000-0000E2040000}"/>
    <cellStyle name="Normal 8 10" xfId="1249" xr:uid="{00000000-0005-0000-0000-0000E3040000}"/>
    <cellStyle name="Normal 8 11" xfId="1250" xr:uid="{00000000-0005-0000-0000-0000E4040000}"/>
    <cellStyle name="Normal 8 12" xfId="1251" xr:uid="{00000000-0005-0000-0000-0000E5040000}"/>
    <cellStyle name="Normal 8 13" xfId="1252" xr:uid="{00000000-0005-0000-0000-0000E6040000}"/>
    <cellStyle name="Normal 8 2" xfId="1253" xr:uid="{00000000-0005-0000-0000-0000E7040000}"/>
    <cellStyle name="Normal 8 2 2" xfId="1254" xr:uid="{00000000-0005-0000-0000-0000E8040000}"/>
    <cellStyle name="Normal 8 2 3" xfId="1255" xr:uid="{00000000-0005-0000-0000-0000E9040000}"/>
    <cellStyle name="Normal 8 2 4" xfId="1256" xr:uid="{00000000-0005-0000-0000-0000EA040000}"/>
    <cellStyle name="Normal 8 2 5" xfId="1257" xr:uid="{00000000-0005-0000-0000-0000EB040000}"/>
    <cellStyle name="Normal 8 2 6" xfId="1258" xr:uid="{00000000-0005-0000-0000-0000EC040000}"/>
    <cellStyle name="Normal 8 2 7" xfId="1259" xr:uid="{00000000-0005-0000-0000-0000ED040000}"/>
    <cellStyle name="Normal 8 2 8" xfId="1260" xr:uid="{00000000-0005-0000-0000-0000EE040000}"/>
    <cellStyle name="Normal 8 2 9" xfId="1261" xr:uid="{00000000-0005-0000-0000-0000EF040000}"/>
    <cellStyle name="Normal 8 3" xfId="1262" xr:uid="{00000000-0005-0000-0000-0000F0040000}"/>
    <cellStyle name="Normal 8 3 2" xfId="1263" xr:uid="{00000000-0005-0000-0000-0000F1040000}"/>
    <cellStyle name="Normal 8 3 3" xfId="1264" xr:uid="{00000000-0005-0000-0000-0000F2040000}"/>
    <cellStyle name="Normal 8 3 4" xfId="1265" xr:uid="{00000000-0005-0000-0000-0000F3040000}"/>
    <cellStyle name="Normal 8 3 5" xfId="1266" xr:uid="{00000000-0005-0000-0000-0000F4040000}"/>
    <cellStyle name="Normal 8 3 6" xfId="1267" xr:uid="{00000000-0005-0000-0000-0000F5040000}"/>
    <cellStyle name="Normal 8 3 7" xfId="1268" xr:uid="{00000000-0005-0000-0000-0000F6040000}"/>
    <cellStyle name="Normal 8 3 8" xfId="1269" xr:uid="{00000000-0005-0000-0000-0000F7040000}"/>
    <cellStyle name="Normal 8 4" xfId="1270" xr:uid="{00000000-0005-0000-0000-0000F8040000}"/>
    <cellStyle name="Normal 8 4 2" xfId="1271" xr:uid="{00000000-0005-0000-0000-0000F9040000}"/>
    <cellStyle name="Normal 8 4 3" xfId="1272" xr:uid="{00000000-0005-0000-0000-0000FA040000}"/>
    <cellStyle name="Normal 8 4 4" xfId="1273" xr:uid="{00000000-0005-0000-0000-0000FB040000}"/>
    <cellStyle name="Normal 8 4 5" xfId="1274" xr:uid="{00000000-0005-0000-0000-0000FC040000}"/>
    <cellStyle name="Normal 8 4 6" xfId="1275" xr:uid="{00000000-0005-0000-0000-0000FD040000}"/>
    <cellStyle name="Normal 8 4 7" xfId="1276" xr:uid="{00000000-0005-0000-0000-0000FE040000}"/>
    <cellStyle name="Normal 8 4 8" xfId="1277" xr:uid="{00000000-0005-0000-0000-0000FF040000}"/>
    <cellStyle name="Normal 8 5" xfId="1278" xr:uid="{00000000-0005-0000-0000-000000050000}"/>
    <cellStyle name="Normal 8 5 2" xfId="1279" xr:uid="{00000000-0005-0000-0000-000001050000}"/>
    <cellStyle name="Normal 8 5 3" xfId="1280" xr:uid="{00000000-0005-0000-0000-000002050000}"/>
    <cellStyle name="Normal 8 5 4" xfId="1281" xr:uid="{00000000-0005-0000-0000-000003050000}"/>
    <cellStyle name="Normal 8 5 5" xfId="1282" xr:uid="{00000000-0005-0000-0000-000004050000}"/>
    <cellStyle name="Normal 8 5 6" xfId="1283" xr:uid="{00000000-0005-0000-0000-000005050000}"/>
    <cellStyle name="Normal 8 5 7" xfId="1284" xr:uid="{00000000-0005-0000-0000-000006050000}"/>
    <cellStyle name="Normal 8 5 8" xfId="1285" xr:uid="{00000000-0005-0000-0000-000007050000}"/>
    <cellStyle name="Normal 8 6" xfId="1286" xr:uid="{00000000-0005-0000-0000-000008050000}"/>
    <cellStyle name="Normal 8 7" xfId="1287" xr:uid="{00000000-0005-0000-0000-000009050000}"/>
    <cellStyle name="Normal 8 8" xfId="1288" xr:uid="{00000000-0005-0000-0000-00000A050000}"/>
    <cellStyle name="Normal 8 9" xfId="1289" xr:uid="{00000000-0005-0000-0000-00000B050000}"/>
    <cellStyle name="Normal 9" xfId="1290" xr:uid="{00000000-0005-0000-0000-00000C050000}"/>
    <cellStyle name="Normal 9 2" xfId="1291" xr:uid="{00000000-0005-0000-0000-00000D050000}"/>
    <cellStyle name="Normal 9 3" xfId="1292" xr:uid="{00000000-0005-0000-0000-00000E050000}"/>
    <cellStyle name="Normal 9 4" xfId="1293" xr:uid="{00000000-0005-0000-0000-00000F050000}"/>
    <cellStyle name="Normal 9 5" xfId="1294" xr:uid="{00000000-0005-0000-0000-000010050000}"/>
    <cellStyle name="Normal 9 6" xfId="1295" xr:uid="{00000000-0005-0000-0000-000011050000}"/>
    <cellStyle name="Normal 9 7" xfId="1296" xr:uid="{00000000-0005-0000-0000-000012050000}"/>
    <cellStyle name="Normal 9 8" xfId="1297" xr:uid="{00000000-0005-0000-0000-000013050000}"/>
    <cellStyle name="Normal GHG Numbers (0.00)" xfId="1298" xr:uid="{00000000-0005-0000-0000-000014050000}"/>
    <cellStyle name="Normal GHG Textfiels Bold" xfId="1299" xr:uid="{00000000-0005-0000-0000-000015050000}"/>
    <cellStyle name="Normal GHG-Shade" xfId="1300" xr:uid="{00000000-0005-0000-0000-000016050000}"/>
    <cellStyle name="Normal_SUBRES_B-NTech-BE 3" xfId="1301" xr:uid="{00000000-0005-0000-0000-000017050000}"/>
    <cellStyle name="Normale_B2020" xfId="1302" xr:uid="{00000000-0005-0000-0000-000018050000}"/>
    <cellStyle name="Note 2" xfId="1303" xr:uid="{00000000-0005-0000-0000-000019050000}"/>
    <cellStyle name="Note 2 10" xfId="1304" xr:uid="{00000000-0005-0000-0000-00001A050000}"/>
    <cellStyle name="Note 2 11" xfId="1305" xr:uid="{00000000-0005-0000-0000-00001B050000}"/>
    <cellStyle name="Note 2 12" xfId="1306" xr:uid="{00000000-0005-0000-0000-00001C050000}"/>
    <cellStyle name="Note 2 13" xfId="1307" xr:uid="{00000000-0005-0000-0000-00001D050000}"/>
    <cellStyle name="Note 2 14" xfId="1308" xr:uid="{00000000-0005-0000-0000-00001E050000}"/>
    <cellStyle name="Note 2 15" xfId="1309" xr:uid="{00000000-0005-0000-0000-00001F050000}"/>
    <cellStyle name="Note 2 2" xfId="1310" xr:uid="{00000000-0005-0000-0000-000020050000}"/>
    <cellStyle name="Note 2 3" xfId="1311" xr:uid="{00000000-0005-0000-0000-000021050000}"/>
    <cellStyle name="Note 2 4" xfId="1312" xr:uid="{00000000-0005-0000-0000-000022050000}"/>
    <cellStyle name="Note 2 5" xfId="1313" xr:uid="{00000000-0005-0000-0000-000023050000}"/>
    <cellStyle name="Note 2 6" xfId="1314" xr:uid="{00000000-0005-0000-0000-000024050000}"/>
    <cellStyle name="Note 2 7" xfId="1315" xr:uid="{00000000-0005-0000-0000-000025050000}"/>
    <cellStyle name="Note 2 8" xfId="1316" xr:uid="{00000000-0005-0000-0000-000026050000}"/>
    <cellStyle name="Note 2 9" xfId="1317" xr:uid="{00000000-0005-0000-0000-000027050000}"/>
    <cellStyle name="Note 3" xfId="1318" xr:uid="{00000000-0005-0000-0000-000028050000}"/>
    <cellStyle name="Note 3 2" xfId="1319" xr:uid="{00000000-0005-0000-0000-000029050000}"/>
    <cellStyle name="Note 4" xfId="1320" xr:uid="{00000000-0005-0000-0000-00002A050000}"/>
    <cellStyle name="Note 5" xfId="1321" xr:uid="{00000000-0005-0000-0000-00002B050000}"/>
    <cellStyle name="Note 6" xfId="1322" xr:uid="{00000000-0005-0000-0000-00002C050000}"/>
    <cellStyle name="Note 7" xfId="1323" xr:uid="{00000000-0005-0000-0000-00002D050000}"/>
    <cellStyle name="Note 8" xfId="1324" xr:uid="{00000000-0005-0000-0000-00002E050000}"/>
    <cellStyle name="Nuovo" xfId="1325" xr:uid="{00000000-0005-0000-0000-00002F050000}"/>
    <cellStyle name="Nuovo 2" xfId="1326" xr:uid="{00000000-0005-0000-0000-000030050000}"/>
    <cellStyle name="Output 2" xfId="1327" xr:uid="{00000000-0005-0000-0000-000031050000}"/>
    <cellStyle name="Output 2 10" xfId="1328" xr:uid="{00000000-0005-0000-0000-000032050000}"/>
    <cellStyle name="Output 2 2" xfId="1329" xr:uid="{00000000-0005-0000-0000-000033050000}"/>
    <cellStyle name="Output 2 3" xfId="1330" xr:uid="{00000000-0005-0000-0000-000034050000}"/>
    <cellStyle name="Output 2 4" xfId="1331" xr:uid="{00000000-0005-0000-0000-000035050000}"/>
    <cellStyle name="Output 2 5" xfId="1332" xr:uid="{00000000-0005-0000-0000-000036050000}"/>
    <cellStyle name="Output 2 6" xfId="1333" xr:uid="{00000000-0005-0000-0000-000037050000}"/>
    <cellStyle name="Output 2 7" xfId="1334" xr:uid="{00000000-0005-0000-0000-000038050000}"/>
    <cellStyle name="Output 2 8" xfId="1335" xr:uid="{00000000-0005-0000-0000-000039050000}"/>
    <cellStyle name="Output 2 9" xfId="1336" xr:uid="{00000000-0005-0000-0000-00003A050000}"/>
    <cellStyle name="Output 3" xfId="1337" xr:uid="{00000000-0005-0000-0000-00003B050000}"/>
    <cellStyle name="Percent 10" xfId="1338" xr:uid="{00000000-0005-0000-0000-00003C050000}"/>
    <cellStyle name="Percent 10 2" xfId="1339" xr:uid="{00000000-0005-0000-0000-00003D050000}"/>
    <cellStyle name="Percent 10 3" xfId="1340" xr:uid="{00000000-0005-0000-0000-00003E050000}"/>
    <cellStyle name="Percent 10 4" xfId="1341" xr:uid="{00000000-0005-0000-0000-00003F050000}"/>
    <cellStyle name="Percent 10 5" xfId="1342" xr:uid="{00000000-0005-0000-0000-000040050000}"/>
    <cellStyle name="Percent 10 6" xfId="1343" xr:uid="{00000000-0005-0000-0000-000041050000}"/>
    <cellStyle name="Percent 10 7" xfId="1344" xr:uid="{00000000-0005-0000-0000-000042050000}"/>
    <cellStyle name="Percent 10 8" xfId="1345" xr:uid="{00000000-0005-0000-0000-000043050000}"/>
    <cellStyle name="Percent 11" xfId="1346" xr:uid="{00000000-0005-0000-0000-000044050000}"/>
    <cellStyle name="Percent 11 2" xfId="1347" xr:uid="{00000000-0005-0000-0000-000045050000}"/>
    <cellStyle name="Percent 11 3" xfId="1348" xr:uid="{00000000-0005-0000-0000-000046050000}"/>
    <cellStyle name="Percent 11 4" xfId="1349" xr:uid="{00000000-0005-0000-0000-000047050000}"/>
    <cellStyle name="Percent 11 5" xfId="1350" xr:uid="{00000000-0005-0000-0000-000048050000}"/>
    <cellStyle name="Percent 11 6" xfId="1351" xr:uid="{00000000-0005-0000-0000-000049050000}"/>
    <cellStyle name="Percent 11 7" xfId="1352" xr:uid="{00000000-0005-0000-0000-00004A050000}"/>
    <cellStyle name="Percent 11 8" xfId="1353" xr:uid="{00000000-0005-0000-0000-00004B050000}"/>
    <cellStyle name="Percent 12" xfId="1354" xr:uid="{00000000-0005-0000-0000-00004C050000}"/>
    <cellStyle name="Percent 12 2" xfId="1355" xr:uid="{00000000-0005-0000-0000-00004D050000}"/>
    <cellStyle name="Percent 12 3" xfId="1356" xr:uid="{00000000-0005-0000-0000-00004E050000}"/>
    <cellStyle name="Percent 12 4" xfId="1357" xr:uid="{00000000-0005-0000-0000-00004F050000}"/>
    <cellStyle name="Percent 12 5" xfId="1358" xr:uid="{00000000-0005-0000-0000-000050050000}"/>
    <cellStyle name="Percent 12 6" xfId="1359" xr:uid="{00000000-0005-0000-0000-000051050000}"/>
    <cellStyle name="Percent 12 7" xfId="1360" xr:uid="{00000000-0005-0000-0000-000052050000}"/>
    <cellStyle name="Percent 12 8" xfId="1361" xr:uid="{00000000-0005-0000-0000-000053050000}"/>
    <cellStyle name="Percent 13" xfId="1362" xr:uid="{00000000-0005-0000-0000-000054050000}"/>
    <cellStyle name="Percent 13 2" xfId="1363" xr:uid="{00000000-0005-0000-0000-000055050000}"/>
    <cellStyle name="Percent 13 3" xfId="1364" xr:uid="{00000000-0005-0000-0000-000056050000}"/>
    <cellStyle name="Percent 13 4" xfId="1365" xr:uid="{00000000-0005-0000-0000-000057050000}"/>
    <cellStyle name="Percent 13 5" xfId="1366" xr:uid="{00000000-0005-0000-0000-000058050000}"/>
    <cellStyle name="Percent 13 6" xfId="1367" xr:uid="{00000000-0005-0000-0000-000059050000}"/>
    <cellStyle name="Percent 13 7" xfId="1368" xr:uid="{00000000-0005-0000-0000-00005A050000}"/>
    <cellStyle name="Percent 13 8" xfId="1369" xr:uid="{00000000-0005-0000-0000-00005B050000}"/>
    <cellStyle name="Percent 14" xfId="1370" xr:uid="{00000000-0005-0000-0000-00005C050000}"/>
    <cellStyle name="Percent 14 2" xfId="1371" xr:uid="{00000000-0005-0000-0000-00005D050000}"/>
    <cellStyle name="Percent 14 3" xfId="1372" xr:uid="{00000000-0005-0000-0000-00005E050000}"/>
    <cellStyle name="Percent 14 4" xfId="1373" xr:uid="{00000000-0005-0000-0000-00005F050000}"/>
    <cellStyle name="Percent 14 5" xfId="1374" xr:uid="{00000000-0005-0000-0000-000060050000}"/>
    <cellStyle name="Percent 14 6" xfId="1375" xr:uid="{00000000-0005-0000-0000-000061050000}"/>
    <cellStyle name="Percent 14 7" xfId="1376" xr:uid="{00000000-0005-0000-0000-000062050000}"/>
    <cellStyle name="Percent 14 8" xfId="1377" xr:uid="{00000000-0005-0000-0000-000063050000}"/>
    <cellStyle name="Percent 15" xfId="1378" xr:uid="{00000000-0005-0000-0000-000064050000}"/>
    <cellStyle name="Percent 15 10" xfId="1379" xr:uid="{00000000-0005-0000-0000-000065050000}"/>
    <cellStyle name="Percent 15 11" xfId="1380" xr:uid="{00000000-0005-0000-0000-000066050000}"/>
    <cellStyle name="Percent 15 12" xfId="1381" xr:uid="{00000000-0005-0000-0000-000067050000}"/>
    <cellStyle name="Percent 15 13" xfId="1382" xr:uid="{00000000-0005-0000-0000-000068050000}"/>
    <cellStyle name="Percent 15 14" xfId="1383" xr:uid="{00000000-0005-0000-0000-000069050000}"/>
    <cellStyle name="Percent 15 2" xfId="1384" xr:uid="{00000000-0005-0000-0000-00006A050000}"/>
    <cellStyle name="Percent 15 2 2" xfId="1385" xr:uid="{00000000-0005-0000-0000-00006B050000}"/>
    <cellStyle name="Percent 15 2 3" xfId="1386" xr:uid="{00000000-0005-0000-0000-00006C050000}"/>
    <cellStyle name="Percent 15 2 4" xfId="1387" xr:uid="{00000000-0005-0000-0000-00006D050000}"/>
    <cellStyle name="Percent 15 2 5" xfId="1388" xr:uid="{00000000-0005-0000-0000-00006E050000}"/>
    <cellStyle name="Percent 15 2 6" xfId="1389" xr:uid="{00000000-0005-0000-0000-00006F050000}"/>
    <cellStyle name="Percent 15 2 7" xfId="1390" xr:uid="{00000000-0005-0000-0000-000070050000}"/>
    <cellStyle name="Percent 15 3" xfId="1391" xr:uid="{00000000-0005-0000-0000-000071050000}"/>
    <cellStyle name="Percent 15 4" xfId="1392" xr:uid="{00000000-0005-0000-0000-000072050000}"/>
    <cellStyle name="Percent 15 5" xfId="1393" xr:uid="{00000000-0005-0000-0000-000073050000}"/>
    <cellStyle name="Percent 15 6" xfId="1394" xr:uid="{00000000-0005-0000-0000-000074050000}"/>
    <cellStyle name="Percent 15 7" xfId="1395" xr:uid="{00000000-0005-0000-0000-000075050000}"/>
    <cellStyle name="Percent 15 8" xfId="1396" xr:uid="{00000000-0005-0000-0000-000076050000}"/>
    <cellStyle name="Percent 15 9" xfId="1397" xr:uid="{00000000-0005-0000-0000-000077050000}"/>
    <cellStyle name="Percent 16" xfId="1398" xr:uid="{00000000-0005-0000-0000-000078050000}"/>
    <cellStyle name="Percent 16 2" xfId="1399" xr:uid="{00000000-0005-0000-0000-000079050000}"/>
    <cellStyle name="Percent 16 3" xfId="1400" xr:uid="{00000000-0005-0000-0000-00007A050000}"/>
    <cellStyle name="Percent 16 3 10" xfId="1401" xr:uid="{00000000-0005-0000-0000-00007B050000}"/>
    <cellStyle name="Percent 16 3 11" xfId="1402" xr:uid="{00000000-0005-0000-0000-00007C050000}"/>
    <cellStyle name="Percent 16 3 12" xfId="1403" xr:uid="{00000000-0005-0000-0000-00007D050000}"/>
    <cellStyle name="Percent 16 3 13" xfId="1404" xr:uid="{00000000-0005-0000-0000-00007E050000}"/>
    <cellStyle name="Percent 16 3 14" xfId="1405" xr:uid="{00000000-0005-0000-0000-00007F050000}"/>
    <cellStyle name="Percent 16 3 15" xfId="1406" xr:uid="{00000000-0005-0000-0000-000080050000}"/>
    <cellStyle name="Percent 16 3 16" xfId="1407" xr:uid="{00000000-0005-0000-0000-000081050000}"/>
    <cellStyle name="Percent 16 3 17" xfId="1408" xr:uid="{00000000-0005-0000-0000-000082050000}"/>
    <cellStyle name="Percent 16 3 2" xfId="1409" xr:uid="{00000000-0005-0000-0000-000083050000}"/>
    <cellStyle name="Percent 16 3 3" xfId="1410" xr:uid="{00000000-0005-0000-0000-000084050000}"/>
    <cellStyle name="Percent 16 3 4" xfId="1411" xr:uid="{00000000-0005-0000-0000-000085050000}"/>
    <cellStyle name="Percent 16 3 5" xfId="1412" xr:uid="{00000000-0005-0000-0000-000086050000}"/>
    <cellStyle name="Percent 16 3 6" xfId="1413" xr:uid="{00000000-0005-0000-0000-000087050000}"/>
    <cellStyle name="Percent 16 3 7" xfId="1414" xr:uid="{00000000-0005-0000-0000-000088050000}"/>
    <cellStyle name="Percent 16 3 8" xfId="1415" xr:uid="{00000000-0005-0000-0000-000089050000}"/>
    <cellStyle name="Percent 16 3 9" xfId="1416" xr:uid="{00000000-0005-0000-0000-00008A050000}"/>
    <cellStyle name="Percent 16 4" xfId="1417" xr:uid="{00000000-0005-0000-0000-00008B050000}"/>
    <cellStyle name="Percent 16 4 10" xfId="1418" xr:uid="{00000000-0005-0000-0000-00008C050000}"/>
    <cellStyle name="Percent 16 4 11" xfId="1419" xr:uid="{00000000-0005-0000-0000-00008D050000}"/>
    <cellStyle name="Percent 16 4 12" xfId="1420" xr:uid="{00000000-0005-0000-0000-00008E050000}"/>
    <cellStyle name="Percent 16 4 13" xfId="1421" xr:uid="{00000000-0005-0000-0000-00008F050000}"/>
    <cellStyle name="Percent 16 4 14" xfId="1422" xr:uid="{00000000-0005-0000-0000-000090050000}"/>
    <cellStyle name="Percent 16 4 15" xfId="1423" xr:uid="{00000000-0005-0000-0000-000091050000}"/>
    <cellStyle name="Percent 16 4 16" xfId="1424" xr:uid="{00000000-0005-0000-0000-000092050000}"/>
    <cellStyle name="Percent 16 4 17" xfId="1425" xr:uid="{00000000-0005-0000-0000-000093050000}"/>
    <cellStyle name="Percent 16 4 2" xfId="1426" xr:uid="{00000000-0005-0000-0000-000094050000}"/>
    <cellStyle name="Percent 16 4 3" xfId="1427" xr:uid="{00000000-0005-0000-0000-000095050000}"/>
    <cellStyle name="Percent 16 4 4" xfId="1428" xr:uid="{00000000-0005-0000-0000-000096050000}"/>
    <cellStyle name="Percent 16 4 5" xfId="1429" xr:uid="{00000000-0005-0000-0000-000097050000}"/>
    <cellStyle name="Percent 16 4 6" xfId="1430" xr:uid="{00000000-0005-0000-0000-000098050000}"/>
    <cellStyle name="Percent 16 4 7" xfId="1431" xr:uid="{00000000-0005-0000-0000-000099050000}"/>
    <cellStyle name="Percent 16 4 8" xfId="1432" xr:uid="{00000000-0005-0000-0000-00009A050000}"/>
    <cellStyle name="Percent 16 4 9" xfId="1433" xr:uid="{00000000-0005-0000-0000-00009B050000}"/>
    <cellStyle name="Percent 16 5" xfId="1434" xr:uid="{00000000-0005-0000-0000-00009C050000}"/>
    <cellStyle name="Percent 16 5 10" xfId="1435" xr:uid="{00000000-0005-0000-0000-00009D050000}"/>
    <cellStyle name="Percent 16 5 11" xfId="1436" xr:uid="{00000000-0005-0000-0000-00009E050000}"/>
    <cellStyle name="Percent 16 5 12" xfId="1437" xr:uid="{00000000-0005-0000-0000-00009F050000}"/>
    <cellStyle name="Percent 16 5 13" xfId="1438" xr:uid="{00000000-0005-0000-0000-0000A0050000}"/>
    <cellStyle name="Percent 16 5 14" xfId="1439" xr:uid="{00000000-0005-0000-0000-0000A1050000}"/>
    <cellStyle name="Percent 16 5 15" xfId="1440" xr:uid="{00000000-0005-0000-0000-0000A2050000}"/>
    <cellStyle name="Percent 16 5 16" xfId="1441" xr:uid="{00000000-0005-0000-0000-0000A3050000}"/>
    <cellStyle name="Percent 16 5 17" xfId="1442" xr:uid="{00000000-0005-0000-0000-0000A4050000}"/>
    <cellStyle name="Percent 16 5 2" xfId="1443" xr:uid="{00000000-0005-0000-0000-0000A5050000}"/>
    <cellStyle name="Percent 16 5 3" xfId="1444" xr:uid="{00000000-0005-0000-0000-0000A6050000}"/>
    <cellStyle name="Percent 16 5 4" xfId="1445" xr:uid="{00000000-0005-0000-0000-0000A7050000}"/>
    <cellStyle name="Percent 16 5 5" xfId="1446" xr:uid="{00000000-0005-0000-0000-0000A8050000}"/>
    <cellStyle name="Percent 16 5 6" xfId="1447" xr:uid="{00000000-0005-0000-0000-0000A9050000}"/>
    <cellStyle name="Percent 16 5 7" xfId="1448" xr:uid="{00000000-0005-0000-0000-0000AA050000}"/>
    <cellStyle name="Percent 16 5 8" xfId="1449" xr:uid="{00000000-0005-0000-0000-0000AB050000}"/>
    <cellStyle name="Percent 16 5 9" xfId="1450" xr:uid="{00000000-0005-0000-0000-0000AC050000}"/>
    <cellStyle name="Percent 16 6" xfId="1451" xr:uid="{00000000-0005-0000-0000-0000AD050000}"/>
    <cellStyle name="Percent 16 6 10" xfId="1452" xr:uid="{00000000-0005-0000-0000-0000AE050000}"/>
    <cellStyle name="Percent 16 6 11" xfId="1453" xr:uid="{00000000-0005-0000-0000-0000AF050000}"/>
    <cellStyle name="Percent 16 6 12" xfId="1454" xr:uid="{00000000-0005-0000-0000-0000B0050000}"/>
    <cellStyle name="Percent 16 6 13" xfId="1455" xr:uid="{00000000-0005-0000-0000-0000B1050000}"/>
    <cellStyle name="Percent 16 6 14" xfId="1456" xr:uid="{00000000-0005-0000-0000-0000B2050000}"/>
    <cellStyle name="Percent 16 6 15" xfId="1457" xr:uid="{00000000-0005-0000-0000-0000B3050000}"/>
    <cellStyle name="Percent 16 6 16" xfId="1458" xr:uid="{00000000-0005-0000-0000-0000B4050000}"/>
    <cellStyle name="Percent 16 6 17" xfId="1459" xr:uid="{00000000-0005-0000-0000-0000B5050000}"/>
    <cellStyle name="Percent 16 6 2" xfId="1460" xr:uid="{00000000-0005-0000-0000-0000B6050000}"/>
    <cellStyle name="Percent 16 6 3" xfId="1461" xr:uid="{00000000-0005-0000-0000-0000B7050000}"/>
    <cellStyle name="Percent 16 6 4" xfId="1462" xr:uid="{00000000-0005-0000-0000-0000B8050000}"/>
    <cellStyle name="Percent 16 6 5" xfId="1463" xr:uid="{00000000-0005-0000-0000-0000B9050000}"/>
    <cellStyle name="Percent 16 6 6" xfId="1464" xr:uid="{00000000-0005-0000-0000-0000BA050000}"/>
    <cellStyle name="Percent 16 6 7" xfId="1465" xr:uid="{00000000-0005-0000-0000-0000BB050000}"/>
    <cellStyle name="Percent 16 6 8" xfId="1466" xr:uid="{00000000-0005-0000-0000-0000BC050000}"/>
    <cellStyle name="Percent 16 6 9" xfId="1467" xr:uid="{00000000-0005-0000-0000-0000BD050000}"/>
    <cellStyle name="Percent 16 7" xfId="1468" xr:uid="{00000000-0005-0000-0000-0000BE050000}"/>
    <cellStyle name="Percent 16 7 10" xfId="1469" xr:uid="{00000000-0005-0000-0000-0000BF050000}"/>
    <cellStyle name="Percent 16 7 11" xfId="1470" xr:uid="{00000000-0005-0000-0000-0000C0050000}"/>
    <cellStyle name="Percent 16 7 12" xfId="1471" xr:uid="{00000000-0005-0000-0000-0000C1050000}"/>
    <cellStyle name="Percent 16 7 13" xfId="1472" xr:uid="{00000000-0005-0000-0000-0000C2050000}"/>
    <cellStyle name="Percent 16 7 14" xfId="1473" xr:uid="{00000000-0005-0000-0000-0000C3050000}"/>
    <cellStyle name="Percent 16 7 15" xfId="1474" xr:uid="{00000000-0005-0000-0000-0000C4050000}"/>
    <cellStyle name="Percent 16 7 16" xfId="1475" xr:uid="{00000000-0005-0000-0000-0000C5050000}"/>
    <cellStyle name="Percent 16 7 17" xfId="1476" xr:uid="{00000000-0005-0000-0000-0000C6050000}"/>
    <cellStyle name="Percent 16 7 2" xfId="1477" xr:uid="{00000000-0005-0000-0000-0000C7050000}"/>
    <cellStyle name="Percent 16 7 3" xfId="1478" xr:uid="{00000000-0005-0000-0000-0000C8050000}"/>
    <cellStyle name="Percent 16 7 4" xfId="1479" xr:uid="{00000000-0005-0000-0000-0000C9050000}"/>
    <cellStyle name="Percent 16 7 5" xfId="1480" xr:uid="{00000000-0005-0000-0000-0000CA050000}"/>
    <cellStyle name="Percent 16 7 6" xfId="1481" xr:uid="{00000000-0005-0000-0000-0000CB050000}"/>
    <cellStyle name="Percent 16 7 7" xfId="1482" xr:uid="{00000000-0005-0000-0000-0000CC050000}"/>
    <cellStyle name="Percent 16 7 8" xfId="1483" xr:uid="{00000000-0005-0000-0000-0000CD050000}"/>
    <cellStyle name="Percent 16 7 9" xfId="1484" xr:uid="{00000000-0005-0000-0000-0000CE050000}"/>
    <cellStyle name="Percent 16 8" xfId="1485" xr:uid="{00000000-0005-0000-0000-0000CF050000}"/>
    <cellStyle name="Percent 16 8 10" xfId="1486" xr:uid="{00000000-0005-0000-0000-0000D0050000}"/>
    <cellStyle name="Percent 16 8 11" xfId="1487" xr:uid="{00000000-0005-0000-0000-0000D1050000}"/>
    <cellStyle name="Percent 16 8 12" xfId="1488" xr:uid="{00000000-0005-0000-0000-0000D2050000}"/>
    <cellStyle name="Percent 16 8 13" xfId="1489" xr:uid="{00000000-0005-0000-0000-0000D3050000}"/>
    <cellStyle name="Percent 16 8 14" xfId="1490" xr:uid="{00000000-0005-0000-0000-0000D4050000}"/>
    <cellStyle name="Percent 16 8 15" xfId="1491" xr:uid="{00000000-0005-0000-0000-0000D5050000}"/>
    <cellStyle name="Percent 16 8 16" xfId="1492" xr:uid="{00000000-0005-0000-0000-0000D6050000}"/>
    <cellStyle name="Percent 16 8 17" xfId="1493" xr:uid="{00000000-0005-0000-0000-0000D7050000}"/>
    <cellStyle name="Percent 16 8 2" xfId="1494" xr:uid="{00000000-0005-0000-0000-0000D8050000}"/>
    <cellStyle name="Percent 16 8 3" xfId="1495" xr:uid="{00000000-0005-0000-0000-0000D9050000}"/>
    <cellStyle name="Percent 16 8 4" xfId="1496" xr:uid="{00000000-0005-0000-0000-0000DA050000}"/>
    <cellStyle name="Percent 16 8 5" xfId="1497" xr:uid="{00000000-0005-0000-0000-0000DB050000}"/>
    <cellStyle name="Percent 16 8 6" xfId="1498" xr:uid="{00000000-0005-0000-0000-0000DC050000}"/>
    <cellStyle name="Percent 16 8 7" xfId="1499" xr:uid="{00000000-0005-0000-0000-0000DD050000}"/>
    <cellStyle name="Percent 16 8 8" xfId="1500" xr:uid="{00000000-0005-0000-0000-0000DE050000}"/>
    <cellStyle name="Percent 16 8 9" xfId="1501" xr:uid="{00000000-0005-0000-0000-0000DF050000}"/>
    <cellStyle name="Percent 16 9" xfId="1502" xr:uid="{00000000-0005-0000-0000-0000E0050000}"/>
    <cellStyle name="Percent 16 9 10" xfId="1503" xr:uid="{00000000-0005-0000-0000-0000E1050000}"/>
    <cellStyle name="Percent 16 9 11" xfId="1504" xr:uid="{00000000-0005-0000-0000-0000E2050000}"/>
    <cellStyle name="Percent 16 9 12" xfId="1505" xr:uid="{00000000-0005-0000-0000-0000E3050000}"/>
    <cellStyle name="Percent 16 9 13" xfId="1506" xr:uid="{00000000-0005-0000-0000-0000E4050000}"/>
    <cellStyle name="Percent 16 9 14" xfId="1507" xr:uid="{00000000-0005-0000-0000-0000E5050000}"/>
    <cellStyle name="Percent 16 9 15" xfId="1508" xr:uid="{00000000-0005-0000-0000-0000E6050000}"/>
    <cellStyle name="Percent 16 9 16" xfId="1509" xr:uid="{00000000-0005-0000-0000-0000E7050000}"/>
    <cellStyle name="Percent 16 9 17" xfId="1510" xr:uid="{00000000-0005-0000-0000-0000E8050000}"/>
    <cellStyle name="Percent 16 9 2" xfId="1511" xr:uid="{00000000-0005-0000-0000-0000E9050000}"/>
    <cellStyle name="Percent 16 9 3" xfId="1512" xr:uid="{00000000-0005-0000-0000-0000EA050000}"/>
    <cellStyle name="Percent 16 9 4" xfId="1513" xr:uid="{00000000-0005-0000-0000-0000EB050000}"/>
    <cellStyle name="Percent 16 9 5" xfId="1514" xr:uid="{00000000-0005-0000-0000-0000EC050000}"/>
    <cellStyle name="Percent 16 9 6" xfId="1515" xr:uid="{00000000-0005-0000-0000-0000ED050000}"/>
    <cellStyle name="Percent 16 9 7" xfId="1516" xr:uid="{00000000-0005-0000-0000-0000EE050000}"/>
    <cellStyle name="Percent 16 9 8" xfId="1517" xr:uid="{00000000-0005-0000-0000-0000EF050000}"/>
    <cellStyle name="Percent 16 9 9" xfId="1518" xr:uid="{00000000-0005-0000-0000-0000F0050000}"/>
    <cellStyle name="Percent 17" xfId="1519" xr:uid="{00000000-0005-0000-0000-0000F1050000}"/>
    <cellStyle name="Percent 18" xfId="1520" xr:uid="{00000000-0005-0000-0000-0000F2050000}"/>
    <cellStyle name="Percent 18 2" xfId="1521" xr:uid="{00000000-0005-0000-0000-0000F3050000}"/>
    <cellStyle name="Percent 19" xfId="1522" xr:uid="{00000000-0005-0000-0000-0000F4050000}"/>
    <cellStyle name="Percent 2" xfId="1523" xr:uid="{00000000-0005-0000-0000-0000F5050000}"/>
    <cellStyle name="Percent 2 10" xfId="1524" xr:uid="{00000000-0005-0000-0000-0000F6050000}"/>
    <cellStyle name="Percent 2 10 2" xfId="1525" xr:uid="{00000000-0005-0000-0000-0000F7050000}"/>
    <cellStyle name="Percent 2 10 3" xfId="1526" xr:uid="{00000000-0005-0000-0000-0000F8050000}"/>
    <cellStyle name="Percent 2 10 4" xfId="1527" xr:uid="{00000000-0005-0000-0000-0000F9050000}"/>
    <cellStyle name="Percent 2 10 5" xfId="1528" xr:uid="{00000000-0005-0000-0000-0000FA050000}"/>
    <cellStyle name="Percent 2 10 6" xfId="1529" xr:uid="{00000000-0005-0000-0000-0000FB050000}"/>
    <cellStyle name="Percent 2 10 7" xfId="1530" xr:uid="{00000000-0005-0000-0000-0000FC050000}"/>
    <cellStyle name="Percent 2 10 8" xfId="1531" xr:uid="{00000000-0005-0000-0000-0000FD050000}"/>
    <cellStyle name="Percent 2 11" xfId="1532" xr:uid="{00000000-0005-0000-0000-0000FE050000}"/>
    <cellStyle name="Percent 2 11 2" xfId="1533" xr:uid="{00000000-0005-0000-0000-0000FF050000}"/>
    <cellStyle name="Percent 2 11 3" xfId="1534" xr:uid="{00000000-0005-0000-0000-000000060000}"/>
    <cellStyle name="Percent 2 11 4" xfId="1535" xr:uid="{00000000-0005-0000-0000-000001060000}"/>
    <cellStyle name="Percent 2 11 5" xfId="1536" xr:uid="{00000000-0005-0000-0000-000002060000}"/>
    <cellStyle name="Percent 2 11 6" xfId="1537" xr:uid="{00000000-0005-0000-0000-000003060000}"/>
    <cellStyle name="Percent 2 11 7" xfId="1538" xr:uid="{00000000-0005-0000-0000-000004060000}"/>
    <cellStyle name="Percent 2 11 8" xfId="1539" xr:uid="{00000000-0005-0000-0000-000005060000}"/>
    <cellStyle name="Percent 2 12" xfId="1540" xr:uid="{00000000-0005-0000-0000-000006060000}"/>
    <cellStyle name="Percent 2 13" xfId="1541" xr:uid="{00000000-0005-0000-0000-000007060000}"/>
    <cellStyle name="Percent 2 14" xfId="1542" xr:uid="{00000000-0005-0000-0000-000008060000}"/>
    <cellStyle name="Percent 2 15" xfId="1543" xr:uid="{00000000-0005-0000-0000-000009060000}"/>
    <cellStyle name="Percent 2 16" xfId="1544" xr:uid="{00000000-0005-0000-0000-00000A060000}"/>
    <cellStyle name="Percent 2 17" xfId="1545" xr:uid="{00000000-0005-0000-0000-00000B060000}"/>
    <cellStyle name="Percent 2 18" xfId="1546" xr:uid="{00000000-0005-0000-0000-00000C060000}"/>
    <cellStyle name="Percent 2 19" xfId="1547" xr:uid="{00000000-0005-0000-0000-00000D060000}"/>
    <cellStyle name="Percent 2 2" xfId="1548" xr:uid="{00000000-0005-0000-0000-00000E060000}"/>
    <cellStyle name="Percent 2 2 2" xfId="1549" xr:uid="{00000000-0005-0000-0000-00000F060000}"/>
    <cellStyle name="Percent 2 2 3" xfId="1550" xr:uid="{00000000-0005-0000-0000-000010060000}"/>
    <cellStyle name="Percent 2 2 3 2" xfId="1551" xr:uid="{00000000-0005-0000-0000-000011060000}"/>
    <cellStyle name="Percent 2 2 4" xfId="1552" xr:uid="{00000000-0005-0000-0000-000012060000}"/>
    <cellStyle name="Percent 2 2 5" xfId="1553" xr:uid="{00000000-0005-0000-0000-000013060000}"/>
    <cellStyle name="Percent 2 2 6" xfId="1554" xr:uid="{00000000-0005-0000-0000-000014060000}"/>
    <cellStyle name="Percent 2 2 7" xfId="1555" xr:uid="{00000000-0005-0000-0000-000015060000}"/>
    <cellStyle name="Percent 2 2 8" xfId="1556" xr:uid="{00000000-0005-0000-0000-000016060000}"/>
    <cellStyle name="Percent 2 2 9" xfId="1557" xr:uid="{00000000-0005-0000-0000-000017060000}"/>
    <cellStyle name="Percent 2 3" xfId="1558" xr:uid="{00000000-0005-0000-0000-000018060000}"/>
    <cellStyle name="Percent 2 3 2" xfId="1559" xr:uid="{00000000-0005-0000-0000-000019060000}"/>
    <cellStyle name="Percent 2 3 3" xfId="1560" xr:uid="{00000000-0005-0000-0000-00001A060000}"/>
    <cellStyle name="Percent 2 3 3 2" xfId="1561" xr:uid="{00000000-0005-0000-0000-00001B060000}"/>
    <cellStyle name="Percent 2 3 3 3" xfId="1562" xr:uid="{00000000-0005-0000-0000-00001C060000}"/>
    <cellStyle name="Percent 2 3 4" xfId="1563" xr:uid="{00000000-0005-0000-0000-00001D060000}"/>
    <cellStyle name="Percent 2 3 5" xfId="1564" xr:uid="{00000000-0005-0000-0000-00001E060000}"/>
    <cellStyle name="Percent 2 3 6" xfId="1565" xr:uid="{00000000-0005-0000-0000-00001F060000}"/>
    <cellStyle name="Percent 2 3 7" xfId="1566" xr:uid="{00000000-0005-0000-0000-000020060000}"/>
    <cellStyle name="Percent 2 3 8" xfId="1567" xr:uid="{00000000-0005-0000-0000-000021060000}"/>
    <cellStyle name="Percent 2 4" xfId="1568" xr:uid="{00000000-0005-0000-0000-000022060000}"/>
    <cellStyle name="Percent 2 4 2" xfId="1569" xr:uid="{00000000-0005-0000-0000-000023060000}"/>
    <cellStyle name="Percent 2 4 3" xfId="1570" xr:uid="{00000000-0005-0000-0000-000024060000}"/>
    <cellStyle name="Percent 2 4 4" xfId="1571" xr:uid="{00000000-0005-0000-0000-000025060000}"/>
    <cellStyle name="Percent 2 4 5" xfId="1572" xr:uid="{00000000-0005-0000-0000-000026060000}"/>
    <cellStyle name="Percent 2 4 6" xfId="1573" xr:uid="{00000000-0005-0000-0000-000027060000}"/>
    <cellStyle name="Percent 2 4 7" xfId="1574" xr:uid="{00000000-0005-0000-0000-000028060000}"/>
    <cellStyle name="Percent 2 4 8" xfId="1575" xr:uid="{00000000-0005-0000-0000-000029060000}"/>
    <cellStyle name="Percent 2 5" xfId="1576" xr:uid="{00000000-0005-0000-0000-00002A060000}"/>
    <cellStyle name="Percent 2 5 2" xfId="1577" xr:uid="{00000000-0005-0000-0000-00002B060000}"/>
    <cellStyle name="Percent 2 5 3" xfId="1578" xr:uid="{00000000-0005-0000-0000-00002C060000}"/>
    <cellStyle name="Percent 2 5 4" xfId="1579" xr:uid="{00000000-0005-0000-0000-00002D060000}"/>
    <cellStyle name="Percent 2 5 5" xfId="1580" xr:uid="{00000000-0005-0000-0000-00002E060000}"/>
    <cellStyle name="Percent 2 5 6" xfId="1581" xr:uid="{00000000-0005-0000-0000-00002F060000}"/>
    <cellStyle name="Percent 2 5 7" xfId="1582" xr:uid="{00000000-0005-0000-0000-000030060000}"/>
    <cellStyle name="Percent 2 5 8" xfId="1583" xr:uid="{00000000-0005-0000-0000-000031060000}"/>
    <cellStyle name="Percent 2 6" xfId="1584" xr:uid="{00000000-0005-0000-0000-000032060000}"/>
    <cellStyle name="Percent 2 6 2" xfId="1585" xr:uid="{00000000-0005-0000-0000-000033060000}"/>
    <cellStyle name="Percent 2 6 3" xfId="1586" xr:uid="{00000000-0005-0000-0000-000034060000}"/>
    <cellStyle name="Percent 2 6 4" xfId="1587" xr:uid="{00000000-0005-0000-0000-000035060000}"/>
    <cellStyle name="Percent 2 6 5" xfId="1588" xr:uid="{00000000-0005-0000-0000-000036060000}"/>
    <cellStyle name="Percent 2 6 6" xfId="1589" xr:uid="{00000000-0005-0000-0000-000037060000}"/>
    <cellStyle name="Percent 2 6 7" xfId="1590" xr:uid="{00000000-0005-0000-0000-000038060000}"/>
    <cellStyle name="Percent 2 6 8" xfId="1591" xr:uid="{00000000-0005-0000-0000-000039060000}"/>
    <cellStyle name="Percent 2 7" xfId="1592" xr:uid="{00000000-0005-0000-0000-00003A060000}"/>
    <cellStyle name="Percent 2 7 2" xfId="1593" xr:uid="{00000000-0005-0000-0000-00003B060000}"/>
    <cellStyle name="Percent 2 7 3" xfId="1594" xr:uid="{00000000-0005-0000-0000-00003C060000}"/>
    <cellStyle name="Percent 2 7 4" xfId="1595" xr:uid="{00000000-0005-0000-0000-00003D060000}"/>
    <cellStyle name="Percent 2 7 5" xfId="1596" xr:uid="{00000000-0005-0000-0000-00003E060000}"/>
    <cellStyle name="Percent 2 7 6" xfId="1597" xr:uid="{00000000-0005-0000-0000-00003F060000}"/>
    <cellStyle name="Percent 2 7 7" xfId="1598" xr:uid="{00000000-0005-0000-0000-000040060000}"/>
    <cellStyle name="Percent 2 7 8" xfId="1599" xr:uid="{00000000-0005-0000-0000-000041060000}"/>
    <cellStyle name="Percent 2 8" xfId="1600" xr:uid="{00000000-0005-0000-0000-000042060000}"/>
    <cellStyle name="Percent 2 8 2" xfId="1601" xr:uid="{00000000-0005-0000-0000-000043060000}"/>
    <cellStyle name="Percent 2 8 3" xfId="1602" xr:uid="{00000000-0005-0000-0000-000044060000}"/>
    <cellStyle name="Percent 2 8 4" xfId="1603" xr:uid="{00000000-0005-0000-0000-000045060000}"/>
    <cellStyle name="Percent 2 8 5" xfId="1604" xr:uid="{00000000-0005-0000-0000-000046060000}"/>
    <cellStyle name="Percent 2 8 6" xfId="1605" xr:uid="{00000000-0005-0000-0000-000047060000}"/>
    <cellStyle name="Percent 2 8 7" xfId="1606" xr:uid="{00000000-0005-0000-0000-000048060000}"/>
    <cellStyle name="Percent 2 8 8" xfId="1607" xr:uid="{00000000-0005-0000-0000-000049060000}"/>
    <cellStyle name="Percent 2 9" xfId="1608" xr:uid="{00000000-0005-0000-0000-00004A060000}"/>
    <cellStyle name="Percent 2 9 2" xfId="1609" xr:uid="{00000000-0005-0000-0000-00004B060000}"/>
    <cellStyle name="Percent 2 9 3" xfId="1610" xr:uid="{00000000-0005-0000-0000-00004C060000}"/>
    <cellStyle name="Percent 2 9 4" xfId="1611" xr:uid="{00000000-0005-0000-0000-00004D060000}"/>
    <cellStyle name="Percent 2 9 5" xfId="1612" xr:uid="{00000000-0005-0000-0000-00004E060000}"/>
    <cellStyle name="Percent 2 9 6" xfId="1613" xr:uid="{00000000-0005-0000-0000-00004F060000}"/>
    <cellStyle name="Percent 2 9 7" xfId="1614" xr:uid="{00000000-0005-0000-0000-000050060000}"/>
    <cellStyle name="Percent 2 9 8" xfId="1615" xr:uid="{00000000-0005-0000-0000-000051060000}"/>
    <cellStyle name="Percent 3" xfId="1616" xr:uid="{00000000-0005-0000-0000-000052060000}"/>
    <cellStyle name="Percent 3 2" xfId="1617" xr:uid="{00000000-0005-0000-0000-000053060000}"/>
    <cellStyle name="Percent 3 2 2" xfId="1618" xr:uid="{00000000-0005-0000-0000-000054060000}"/>
    <cellStyle name="Percent 3 2 2 2" xfId="1619" xr:uid="{00000000-0005-0000-0000-000055060000}"/>
    <cellStyle name="Percent 3 2 3" xfId="1620" xr:uid="{00000000-0005-0000-0000-000056060000}"/>
    <cellStyle name="Percent 3 2 4" xfId="1621" xr:uid="{00000000-0005-0000-0000-000057060000}"/>
    <cellStyle name="Percent 3 3" xfId="1622" xr:uid="{00000000-0005-0000-0000-000058060000}"/>
    <cellStyle name="Percent 3 3 2" xfId="1623" xr:uid="{00000000-0005-0000-0000-000059060000}"/>
    <cellStyle name="Percent 3 3 3" xfId="1624" xr:uid="{00000000-0005-0000-0000-00005A060000}"/>
    <cellStyle name="Percent 3 3 3 2" xfId="1625" xr:uid="{00000000-0005-0000-0000-00005B060000}"/>
    <cellStyle name="Percent 3 3 3 3" xfId="1626" xr:uid="{00000000-0005-0000-0000-00005C060000}"/>
    <cellStyle name="Percent 3 3 4" xfId="1627" xr:uid="{00000000-0005-0000-0000-00005D060000}"/>
    <cellStyle name="Percent 3 4" xfId="1628" xr:uid="{00000000-0005-0000-0000-00005E060000}"/>
    <cellStyle name="Percent 3 4 2" xfId="1629" xr:uid="{00000000-0005-0000-0000-00005F060000}"/>
    <cellStyle name="Percent 3 5" xfId="1630" xr:uid="{00000000-0005-0000-0000-000060060000}"/>
    <cellStyle name="Percent 3 6" xfId="1631" xr:uid="{00000000-0005-0000-0000-000061060000}"/>
    <cellStyle name="Percent 3 7" xfId="1632" xr:uid="{00000000-0005-0000-0000-000062060000}"/>
    <cellStyle name="Percent 3 8" xfId="1633" xr:uid="{00000000-0005-0000-0000-000063060000}"/>
    <cellStyle name="Percent 4" xfId="1634" xr:uid="{00000000-0005-0000-0000-000064060000}"/>
    <cellStyle name="Percent 4 10" xfId="1635" xr:uid="{00000000-0005-0000-0000-000065060000}"/>
    <cellStyle name="Percent 4 11" xfId="1636" xr:uid="{00000000-0005-0000-0000-000066060000}"/>
    <cellStyle name="Percent 4 12" xfId="1637" xr:uid="{00000000-0005-0000-0000-000067060000}"/>
    <cellStyle name="Percent 4 13" xfId="1638" xr:uid="{00000000-0005-0000-0000-000068060000}"/>
    <cellStyle name="Percent 4 14" xfId="1639" xr:uid="{00000000-0005-0000-0000-000069060000}"/>
    <cellStyle name="Percent 4 15" xfId="1640" xr:uid="{00000000-0005-0000-0000-00006A060000}"/>
    <cellStyle name="Percent 4 16" xfId="1641" xr:uid="{00000000-0005-0000-0000-00006B060000}"/>
    <cellStyle name="Percent 4 16 2" xfId="1642" xr:uid="{00000000-0005-0000-0000-00006C060000}"/>
    <cellStyle name="Percent 4 16 3" xfId="1643" xr:uid="{00000000-0005-0000-0000-00006D060000}"/>
    <cellStyle name="Percent 4 17" xfId="1644" xr:uid="{00000000-0005-0000-0000-00006E060000}"/>
    <cellStyle name="Percent 4 18" xfId="1645" xr:uid="{00000000-0005-0000-0000-00006F060000}"/>
    <cellStyle name="Percent 4 2" xfId="1646" xr:uid="{00000000-0005-0000-0000-000070060000}"/>
    <cellStyle name="Percent 4 2 2" xfId="1647" xr:uid="{00000000-0005-0000-0000-000071060000}"/>
    <cellStyle name="Percent 4 2 3" xfId="1648" xr:uid="{00000000-0005-0000-0000-000072060000}"/>
    <cellStyle name="Percent 4 2 4" xfId="1649" xr:uid="{00000000-0005-0000-0000-000073060000}"/>
    <cellStyle name="Percent 4 2 5" xfId="1650" xr:uid="{00000000-0005-0000-0000-000074060000}"/>
    <cellStyle name="Percent 4 2 6" xfId="1651" xr:uid="{00000000-0005-0000-0000-000075060000}"/>
    <cellStyle name="Percent 4 2 7" xfId="1652" xr:uid="{00000000-0005-0000-0000-000076060000}"/>
    <cellStyle name="Percent 4 2 8" xfId="1653" xr:uid="{00000000-0005-0000-0000-000077060000}"/>
    <cellStyle name="Percent 4 2 9" xfId="1654" xr:uid="{00000000-0005-0000-0000-000078060000}"/>
    <cellStyle name="Percent 4 3" xfId="1655" xr:uid="{00000000-0005-0000-0000-000079060000}"/>
    <cellStyle name="Percent 4 3 2" xfId="1656" xr:uid="{00000000-0005-0000-0000-00007A060000}"/>
    <cellStyle name="Percent 4 3 3" xfId="1657" xr:uid="{00000000-0005-0000-0000-00007B060000}"/>
    <cellStyle name="Percent 4 3 4" xfId="1658" xr:uid="{00000000-0005-0000-0000-00007C060000}"/>
    <cellStyle name="Percent 4 3 5" xfId="1659" xr:uid="{00000000-0005-0000-0000-00007D060000}"/>
    <cellStyle name="Percent 4 3 6" xfId="1660" xr:uid="{00000000-0005-0000-0000-00007E060000}"/>
    <cellStyle name="Percent 4 3 7" xfId="1661" xr:uid="{00000000-0005-0000-0000-00007F060000}"/>
    <cellStyle name="Percent 4 3 8" xfId="1662" xr:uid="{00000000-0005-0000-0000-000080060000}"/>
    <cellStyle name="Percent 4 4" xfId="1663" xr:uid="{00000000-0005-0000-0000-000081060000}"/>
    <cellStyle name="Percent 4 4 2" xfId="1664" xr:uid="{00000000-0005-0000-0000-000082060000}"/>
    <cellStyle name="Percent 4 4 3" xfId="1665" xr:uid="{00000000-0005-0000-0000-000083060000}"/>
    <cellStyle name="Percent 4 4 4" xfId="1666" xr:uid="{00000000-0005-0000-0000-000084060000}"/>
    <cellStyle name="Percent 4 4 5" xfId="1667" xr:uid="{00000000-0005-0000-0000-000085060000}"/>
    <cellStyle name="Percent 4 4 6" xfId="1668" xr:uid="{00000000-0005-0000-0000-000086060000}"/>
    <cellStyle name="Percent 4 4 7" xfId="1669" xr:uid="{00000000-0005-0000-0000-000087060000}"/>
    <cellStyle name="Percent 4 4 8" xfId="1670" xr:uid="{00000000-0005-0000-0000-000088060000}"/>
    <cellStyle name="Percent 4 5" xfId="1671" xr:uid="{00000000-0005-0000-0000-000089060000}"/>
    <cellStyle name="Percent 4 5 2" xfId="1672" xr:uid="{00000000-0005-0000-0000-00008A060000}"/>
    <cellStyle name="Percent 4 5 3" xfId="1673" xr:uid="{00000000-0005-0000-0000-00008B060000}"/>
    <cellStyle name="Percent 4 5 4" xfId="1674" xr:uid="{00000000-0005-0000-0000-00008C060000}"/>
    <cellStyle name="Percent 4 5 5" xfId="1675" xr:uid="{00000000-0005-0000-0000-00008D060000}"/>
    <cellStyle name="Percent 4 5 6" xfId="1676" xr:uid="{00000000-0005-0000-0000-00008E060000}"/>
    <cellStyle name="Percent 4 5 7" xfId="1677" xr:uid="{00000000-0005-0000-0000-00008F060000}"/>
    <cellStyle name="Percent 4 5 8" xfId="1678" xr:uid="{00000000-0005-0000-0000-000090060000}"/>
    <cellStyle name="Percent 4 6" xfId="1679" xr:uid="{00000000-0005-0000-0000-000091060000}"/>
    <cellStyle name="Percent 4 6 2" xfId="1680" xr:uid="{00000000-0005-0000-0000-000092060000}"/>
    <cellStyle name="Percent 4 6 3" xfId="1681" xr:uid="{00000000-0005-0000-0000-000093060000}"/>
    <cellStyle name="Percent 4 6 4" xfId="1682" xr:uid="{00000000-0005-0000-0000-000094060000}"/>
    <cellStyle name="Percent 4 6 5" xfId="1683" xr:uid="{00000000-0005-0000-0000-000095060000}"/>
    <cellStyle name="Percent 4 6 6" xfId="1684" xr:uid="{00000000-0005-0000-0000-000096060000}"/>
    <cellStyle name="Percent 4 6 7" xfId="1685" xr:uid="{00000000-0005-0000-0000-000097060000}"/>
    <cellStyle name="Percent 4 6 8" xfId="1686" xr:uid="{00000000-0005-0000-0000-000098060000}"/>
    <cellStyle name="Percent 4 7" xfId="1687" xr:uid="{00000000-0005-0000-0000-000099060000}"/>
    <cellStyle name="Percent 4 8" xfId="1688" xr:uid="{00000000-0005-0000-0000-00009A060000}"/>
    <cellStyle name="Percent 4 9" xfId="1689" xr:uid="{00000000-0005-0000-0000-00009B060000}"/>
    <cellStyle name="Percent 5" xfId="1690" xr:uid="{00000000-0005-0000-0000-00009C060000}"/>
    <cellStyle name="Percent 5 10" xfId="1691" xr:uid="{00000000-0005-0000-0000-00009D060000}"/>
    <cellStyle name="Percent 5 11" xfId="1692" xr:uid="{00000000-0005-0000-0000-00009E060000}"/>
    <cellStyle name="Percent 5 12" xfId="1693" xr:uid="{00000000-0005-0000-0000-00009F060000}"/>
    <cellStyle name="Percent 5 2" xfId="1694" xr:uid="{00000000-0005-0000-0000-0000A0060000}"/>
    <cellStyle name="Percent 5 3" xfId="1695" xr:uid="{00000000-0005-0000-0000-0000A1060000}"/>
    <cellStyle name="Percent 5 4" xfId="1696" xr:uid="{00000000-0005-0000-0000-0000A2060000}"/>
    <cellStyle name="Percent 5 5" xfId="1697" xr:uid="{00000000-0005-0000-0000-0000A3060000}"/>
    <cellStyle name="Percent 5 6" xfId="1698" xr:uid="{00000000-0005-0000-0000-0000A4060000}"/>
    <cellStyle name="Percent 5 7" xfId="1699" xr:uid="{00000000-0005-0000-0000-0000A5060000}"/>
    <cellStyle name="Percent 5 8" xfId="1700" xr:uid="{00000000-0005-0000-0000-0000A6060000}"/>
    <cellStyle name="Percent 5 9" xfId="1701" xr:uid="{00000000-0005-0000-0000-0000A7060000}"/>
    <cellStyle name="Percent 5 9 2" xfId="1702" xr:uid="{00000000-0005-0000-0000-0000A8060000}"/>
    <cellStyle name="Percent 5 9 2 2" xfId="1703" xr:uid="{00000000-0005-0000-0000-0000A9060000}"/>
    <cellStyle name="Percent 6" xfId="1704" xr:uid="{00000000-0005-0000-0000-0000AA060000}"/>
    <cellStyle name="Percent 6 2" xfId="1705" xr:uid="{00000000-0005-0000-0000-0000AB060000}"/>
    <cellStyle name="Percent 6 3" xfId="1706" xr:uid="{00000000-0005-0000-0000-0000AC060000}"/>
    <cellStyle name="Percent 6 4" xfId="1707" xr:uid="{00000000-0005-0000-0000-0000AD060000}"/>
    <cellStyle name="Percent 6 5" xfId="1708" xr:uid="{00000000-0005-0000-0000-0000AE060000}"/>
    <cellStyle name="Percent 6 6" xfId="1709" xr:uid="{00000000-0005-0000-0000-0000AF060000}"/>
    <cellStyle name="Percent 6 7" xfId="1710" xr:uid="{00000000-0005-0000-0000-0000B0060000}"/>
    <cellStyle name="Percent 6 8" xfId="1711" xr:uid="{00000000-0005-0000-0000-0000B1060000}"/>
    <cellStyle name="Percent 6 9" xfId="1712" xr:uid="{00000000-0005-0000-0000-0000B2060000}"/>
    <cellStyle name="Percent 7" xfId="1713" xr:uid="{00000000-0005-0000-0000-0000B3060000}"/>
    <cellStyle name="Percent 7 2" xfId="1714" xr:uid="{00000000-0005-0000-0000-0000B4060000}"/>
    <cellStyle name="Percent 7 3" xfId="1715" xr:uid="{00000000-0005-0000-0000-0000B5060000}"/>
    <cellStyle name="Percent 7 4" xfId="1716" xr:uid="{00000000-0005-0000-0000-0000B6060000}"/>
    <cellStyle name="Percent 7 5" xfId="1717" xr:uid="{00000000-0005-0000-0000-0000B7060000}"/>
    <cellStyle name="Percent 7 6" xfId="1718" xr:uid="{00000000-0005-0000-0000-0000B8060000}"/>
    <cellStyle name="Percent 7 7" xfId="1719" xr:uid="{00000000-0005-0000-0000-0000B9060000}"/>
    <cellStyle name="Percent 7 8" xfId="1720" xr:uid="{00000000-0005-0000-0000-0000BA060000}"/>
    <cellStyle name="Percent 8" xfId="1721" xr:uid="{00000000-0005-0000-0000-0000BB060000}"/>
    <cellStyle name="Percent 8 2" xfId="1722" xr:uid="{00000000-0005-0000-0000-0000BC060000}"/>
    <cellStyle name="Percent 8 3" xfId="1723" xr:uid="{00000000-0005-0000-0000-0000BD060000}"/>
    <cellStyle name="Percent 8 4" xfId="1724" xr:uid="{00000000-0005-0000-0000-0000BE060000}"/>
    <cellStyle name="Percent 8 5" xfId="1725" xr:uid="{00000000-0005-0000-0000-0000BF060000}"/>
    <cellStyle name="Percent 8 6" xfId="1726" xr:uid="{00000000-0005-0000-0000-0000C0060000}"/>
    <cellStyle name="Percent 8 7" xfId="1727" xr:uid="{00000000-0005-0000-0000-0000C1060000}"/>
    <cellStyle name="Percent 8 8" xfId="1728" xr:uid="{00000000-0005-0000-0000-0000C2060000}"/>
    <cellStyle name="Percent 9" xfId="1729" xr:uid="{00000000-0005-0000-0000-0000C3060000}"/>
    <cellStyle name="Percent 9 2" xfId="1730" xr:uid="{00000000-0005-0000-0000-0000C4060000}"/>
    <cellStyle name="Percent 9 3" xfId="1731" xr:uid="{00000000-0005-0000-0000-0000C5060000}"/>
    <cellStyle name="Percent 9 4" xfId="1732" xr:uid="{00000000-0005-0000-0000-0000C6060000}"/>
    <cellStyle name="Percent 9 5" xfId="1733" xr:uid="{00000000-0005-0000-0000-0000C7060000}"/>
    <cellStyle name="Percent 9 6" xfId="1734" xr:uid="{00000000-0005-0000-0000-0000C8060000}"/>
    <cellStyle name="Percent 9 7" xfId="1735" xr:uid="{00000000-0005-0000-0000-0000C9060000}"/>
    <cellStyle name="Percent 9 8" xfId="1736" xr:uid="{00000000-0005-0000-0000-0000CA060000}"/>
    <cellStyle name="Pilkku_Layo9704" xfId="1737" xr:uid="{00000000-0005-0000-0000-0000CB060000}"/>
    <cellStyle name="Pyör. luku_Layo9704" xfId="1738" xr:uid="{00000000-0005-0000-0000-0000CC060000}"/>
    <cellStyle name="Pyör. valuutta_Layo9704" xfId="1739" xr:uid="{00000000-0005-0000-0000-0000CD060000}"/>
    <cellStyle name="Standard_Sce_D_Extraction" xfId="1740" xr:uid="{00000000-0005-0000-0000-0000CE060000}"/>
    <cellStyle name="Style 21" xfId="1741" xr:uid="{00000000-0005-0000-0000-0000CF060000}"/>
    <cellStyle name="Style 21 2" xfId="1742" xr:uid="{00000000-0005-0000-0000-0000D0060000}"/>
    <cellStyle name="Style 21 2 2" xfId="1743" xr:uid="{00000000-0005-0000-0000-0000D1060000}"/>
    <cellStyle name="Style 21 3" xfId="1744" xr:uid="{00000000-0005-0000-0000-0000D2060000}"/>
    <cellStyle name="Style 22" xfId="1745" xr:uid="{00000000-0005-0000-0000-0000D3060000}"/>
    <cellStyle name="Style 23" xfId="1746" xr:uid="{00000000-0005-0000-0000-0000D4060000}"/>
    <cellStyle name="Style 24" xfId="1747" xr:uid="{00000000-0005-0000-0000-0000D5060000}"/>
    <cellStyle name="Style 25" xfId="1748" xr:uid="{00000000-0005-0000-0000-0000D6060000}"/>
    <cellStyle name="Style 25 2" xfId="1749" xr:uid="{00000000-0005-0000-0000-0000D7060000}"/>
    <cellStyle name="Style 25 2 2" xfId="1750" xr:uid="{00000000-0005-0000-0000-0000D8060000}"/>
    <cellStyle name="Style 25 3" xfId="1751" xr:uid="{00000000-0005-0000-0000-0000D9060000}"/>
    <cellStyle name="Style 26" xfId="1752" xr:uid="{00000000-0005-0000-0000-0000DA060000}"/>
    <cellStyle name="Title 2" xfId="1753" xr:uid="{00000000-0005-0000-0000-0000DB060000}"/>
    <cellStyle name="Title 2 10" xfId="1754" xr:uid="{00000000-0005-0000-0000-0000DC060000}"/>
    <cellStyle name="Title 2 2" xfId="1755" xr:uid="{00000000-0005-0000-0000-0000DD060000}"/>
    <cellStyle name="Title 2 3" xfId="1756" xr:uid="{00000000-0005-0000-0000-0000DE060000}"/>
    <cellStyle name="Title 2 4" xfId="1757" xr:uid="{00000000-0005-0000-0000-0000DF060000}"/>
    <cellStyle name="Title 2 5" xfId="1758" xr:uid="{00000000-0005-0000-0000-0000E0060000}"/>
    <cellStyle name="Title 2 6" xfId="1759" xr:uid="{00000000-0005-0000-0000-0000E1060000}"/>
    <cellStyle name="Title 2 7" xfId="1760" xr:uid="{00000000-0005-0000-0000-0000E2060000}"/>
    <cellStyle name="Title 2 8" xfId="1761" xr:uid="{00000000-0005-0000-0000-0000E3060000}"/>
    <cellStyle name="Title 2 9" xfId="1762" xr:uid="{00000000-0005-0000-0000-0000E4060000}"/>
    <cellStyle name="Title 3" xfId="1763" xr:uid="{00000000-0005-0000-0000-0000E5060000}"/>
    <cellStyle name="Total 2" xfId="1764" xr:uid="{00000000-0005-0000-0000-0000E6060000}"/>
    <cellStyle name="Total 2 10" xfId="1765" xr:uid="{00000000-0005-0000-0000-0000E7060000}"/>
    <cellStyle name="Total 2 2" xfId="1766" xr:uid="{00000000-0005-0000-0000-0000E8060000}"/>
    <cellStyle name="Total 2 3" xfId="1767" xr:uid="{00000000-0005-0000-0000-0000E9060000}"/>
    <cellStyle name="Total 2 4" xfId="1768" xr:uid="{00000000-0005-0000-0000-0000EA060000}"/>
    <cellStyle name="Total 2 5" xfId="1769" xr:uid="{00000000-0005-0000-0000-0000EB060000}"/>
    <cellStyle name="Total 2 6" xfId="1770" xr:uid="{00000000-0005-0000-0000-0000EC060000}"/>
    <cellStyle name="Total 2 7" xfId="1771" xr:uid="{00000000-0005-0000-0000-0000ED060000}"/>
    <cellStyle name="Total 2 8" xfId="1772" xr:uid="{00000000-0005-0000-0000-0000EE060000}"/>
    <cellStyle name="Total 2 9" xfId="1773" xr:uid="{00000000-0005-0000-0000-0000EF060000}"/>
    <cellStyle name="Total 3" xfId="1774" xr:uid="{00000000-0005-0000-0000-0000F0060000}"/>
    <cellStyle name="Valuutta_Layo9704" xfId="1775" xr:uid="{00000000-0005-0000-0000-0000F1060000}"/>
    <cellStyle name="Warning Text 2" xfId="1776" xr:uid="{00000000-0005-0000-0000-0000F2060000}"/>
    <cellStyle name="Warning Text 2 10" xfId="1777" xr:uid="{00000000-0005-0000-0000-0000F3060000}"/>
    <cellStyle name="Warning Text 2 2" xfId="1778" xr:uid="{00000000-0005-0000-0000-0000F4060000}"/>
    <cellStyle name="Warning Text 2 3" xfId="1779" xr:uid="{00000000-0005-0000-0000-0000F5060000}"/>
    <cellStyle name="Warning Text 2 4" xfId="1780" xr:uid="{00000000-0005-0000-0000-0000F6060000}"/>
    <cellStyle name="Warning Text 2 5" xfId="1781" xr:uid="{00000000-0005-0000-0000-0000F7060000}"/>
    <cellStyle name="Warning Text 2 6" xfId="1782" xr:uid="{00000000-0005-0000-0000-0000F8060000}"/>
    <cellStyle name="Warning Text 2 7" xfId="1783" xr:uid="{00000000-0005-0000-0000-0000F9060000}"/>
    <cellStyle name="Warning Text 2 8" xfId="1784" xr:uid="{00000000-0005-0000-0000-0000FA060000}"/>
    <cellStyle name="Warning Text 2 9" xfId="1785" xr:uid="{00000000-0005-0000-0000-0000FB060000}"/>
    <cellStyle name="Warning Text 3" xfId="1786" xr:uid="{00000000-0005-0000-0000-0000FC060000}"/>
    <cellStyle name="Обычный_CRF2002 (1)" xfId="1787" xr:uid="{00000000-0005-0000-0000-0000FD060000}"/>
    <cellStyle name="已访问的超链接" xfId="1788" xr:uid="{00000000-0005-0000-0000-0000FE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22</xdr:row>
      <xdr:rowOff>0</xdr:rowOff>
    </xdr:from>
    <xdr:to>
      <xdr:col>11</xdr:col>
      <xdr:colOff>104775</xdr:colOff>
      <xdr:row>55</xdr:row>
      <xdr:rowOff>66675</xdr:rowOff>
    </xdr:to>
    <xdr:pic>
      <xdr:nvPicPr>
        <xdr:cNvPr id="9226" name="Picture 1" descr="C:\Users\nijswou\AppData\Local\Temp\1\ScreenClip.png">
          <a:extLst>
            <a:ext uri="{FF2B5EF4-FFF2-40B4-BE49-F238E27FC236}">
              <a16:creationId xmlns:a16="http://schemas.microsoft.com/office/drawing/2014/main" id="{FC5DFCAC-E542-4DA8-AECC-0C242700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819525"/>
          <a:ext cx="7038975" cy="541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609600</xdr:colOff>
      <xdr:row>23</xdr:row>
      <xdr:rowOff>161925</xdr:rowOff>
    </xdr:from>
    <xdr:to>
      <xdr:col>25</xdr:col>
      <xdr:colOff>276225</xdr:colOff>
      <xdr:row>53</xdr:row>
      <xdr:rowOff>133350</xdr:rowOff>
    </xdr:to>
    <xdr:pic>
      <xdr:nvPicPr>
        <xdr:cNvPr id="9227" name="Picture 2" descr="C:\Users\nijswou\AppData\Local\Temp\1\ScreenClip.png">
          <a:extLst>
            <a:ext uri="{FF2B5EF4-FFF2-40B4-BE49-F238E27FC236}">
              <a16:creationId xmlns:a16="http://schemas.microsoft.com/office/drawing/2014/main" id="{F0C63E08-0B5C-4C98-920B-523807305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4143375"/>
          <a:ext cx="6981825" cy="482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4"/>
  </sheetPr>
  <dimension ref="A2:BL141"/>
  <sheetViews>
    <sheetView topLeftCell="A39" zoomScaleNormal="100" workbookViewId="0"/>
  </sheetViews>
  <sheetFormatPr defaultRowHeight="13.2"/>
  <cols>
    <col min="1" max="1" width="19.33203125" customWidth="1"/>
    <col min="2" max="2" width="12.5546875" customWidth="1"/>
    <col min="3" max="3" width="14.88671875" bestFit="1" customWidth="1"/>
    <col min="4" max="4" width="11.5546875" bestFit="1" customWidth="1"/>
    <col min="5" max="5" width="15.5546875" bestFit="1" customWidth="1"/>
    <col min="6" max="9" width="15.5546875" customWidth="1"/>
    <col min="10" max="10" width="11" customWidth="1"/>
    <col min="11" max="40" width="9.88671875" customWidth="1"/>
    <col min="42" max="42" width="19.33203125" customWidth="1"/>
    <col min="43" max="43" width="17" customWidth="1"/>
    <col min="44" max="44" width="20.5546875" customWidth="1"/>
    <col min="49" max="49" width="13" customWidth="1"/>
    <col min="51" max="51" width="16.109375" customWidth="1"/>
    <col min="52" max="52" width="13.109375" customWidth="1"/>
    <col min="54" max="54" width="13" customWidth="1"/>
  </cols>
  <sheetData>
    <row r="2" spans="1:64">
      <c r="A2" s="26" t="s">
        <v>1</v>
      </c>
      <c r="O2" s="20" t="s">
        <v>296</v>
      </c>
    </row>
    <row r="3" spans="1:64" ht="13.8" thickBot="1">
      <c r="A3" s="6" t="s">
        <v>54</v>
      </c>
      <c r="B3" s="6" t="s">
        <v>55</v>
      </c>
      <c r="C3" s="6" t="s">
        <v>56</v>
      </c>
      <c r="D3" s="6" t="s">
        <v>57</v>
      </c>
      <c r="E3" s="6" t="s">
        <v>0</v>
      </c>
      <c r="F3" s="6" t="s">
        <v>147</v>
      </c>
      <c r="G3" s="6" t="s">
        <v>58</v>
      </c>
      <c r="H3" s="6" t="s">
        <v>59</v>
      </c>
      <c r="I3" s="6" t="s">
        <v>60</v>
      </c>
      <c r="J3" s="7" t="s">
        <v>61</v>
      </c>
      <c r="R3" s="20" t="s">
        <v>293</v>
      </c>
      <c r="S3" s="20" t="s">
        <v>294</v>
      </c>
    </row>
    <row r="4" spans="1:64" s="3" customFormat="1">
      <c r="A4" s="99"/>
      <c r="B4" s="99"/>
      <c r="C4" s="69" t="s">
        <v>279</v>
      </c>
      <c r="D4" s="69"/>
      <c r="E4" s="69" t="s">
        <v>6</v>
      </c>
      <c r="F4" s="69" t="s">
        <v>6</v>
      </c>
      <c r="G4" s="69" t="s">
        <v>149</v>
      </c>
      <c r="H4" s="69" t="s">
        <v>151</v>
      </c>
      <c r="I4" s="69" t="s">
        <v>3</v>
      </c>
      <c r="J4" s="70">
        <v>9.0405204460966537</v>
      </c>
      <c r="K4"/>
      <c r="L4" s="20" t="s">
        <v>292</v>
      </c>
      <c r="O4" t="s">
        <v>280</v>
      </c>
      <c r="P4" t="s">
        <v>281</v>
      </c>
      <c r="R4" s="20">
        <v>86</v>
      </c>
      <c r="S4" s="20">
        <v>14.000000000000002</v>
      </c>
      <c r="T4" s="20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s="3" customFormat="1">
      <c r="A5" s="99"/>
      <c r="B5" s="99"/>
      <c r="C5" s="69" t="s">
        <v>279</v>
      </c>
      <c r="D5" s="69"/>
      <c r="E5" s="69" t="s">
        <v>8</v>
      </c>
      <c r="F5" s="69" t="s">
        <v>8</v>
      </c>
      <c r="G5" s="69" t="s">
        <v>149</v>
      </c>
      <c r="H5" s="69" t="s">
        <v>151</v>
      </c>
      <c r="I5" s="69" t="s">
        <v>3</v>
      </c>
      <c r="J5" s="70">
        <v>6.7320000000000002</v>
      </c>
      <c r="K5"/>
      <c r="O5" t="s">
        <v>282</v>
      </c>
      <c r="P5" t="s">
        <v>283</v>
      </c>
      <c r="R5" s="20">
        <v>87</v>
      </c>
      <c r="S5" s="20">
        <v>13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1:64" s="3" customFormat="1">
      <c r="A6" s="99"/>
      <c r="B6" s="99"/>
      <c r="C6" s="69" t="s">
        <v>2</v>
      </c>
      <c r="D6" s="69"/>
      <c r="E6" s="69" t="s">
        <v>9</v>
      </c>
      <c r="F6" s="69" t="s">
        <v>9</v>
      </c>
      <c r="G6" s="69" t="s">
        <v>149</v>
      </c>
      <c r="H6" s="69" t="s">
        <v>151</v>
      </c>
      <c r="I6" s="69" t="s">
        <v>3</v>
      </c>
      <c r="J6" s="70">
        <v>8.868398190045248</v>
      </c>
      <c r="K6"/>
      <c r="O6" t="s">
        <v>284</v>
      </c>
      <c r="P6" t="s">
        <v>285</v>
      </c>
      <c r="R6" s="20">
        <v>87</v>
      </c>
      <c r="S6" s="20">
        <v>13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1:64" s="3" customFormat="1">
      <c r="A7" s="99"/>
      <c r="B7" s="99"/>
      <c r="C7" s="69" t="s">
        <v>279</v>
      </c>
      <c r="D7" s="69"/>
      <c r="E7" s="69" t="s">
        <v>10</v>
      </c>
      <c r="F7" s="69" t="s">
        <v>10</v>
      </c>
      <c r="G7" s="69" t="s">
        <v>149</v>
      </c>
      <c r="H7" s="69" t="s">
        <v>151</v>
      </c>
      <c r="I7" s="69" t="s">
        <v>3</v>
      </c>
      <c r="J7" s="70">
        <v>9.2880000000000003</v>
      </c>
      <c r="K7"/>
      <c r="O7" t="s">
        <v>286</v>
      </c>
      <c r="P7" t="s">
        <v>287</v>
      </c>
      <c r="R7" s="20">
        <v>89</v>
      </c>
      <c r="S7" s="20">
        <v>10.999999999999998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1:64" s="3" customFormat="1">
      <c r="A8" s="99"/>
      <c r="B8" s="99"/>
      <c r="C8" s="69" t="s">
        <v>2</v>
      </c>
      <c r="D8" s="69"/>
      <c r="E8" s="69" t="s">
        <v>11</v>
      </c>
      <c r="F8" s="69" t="s">
        <v>11</v>
      </c>
      <c r="G8" s="69" t="s">
        <v>149</v>
      </c>
      <c r="H8" s="69" t="s">
        <v>151</v>
      </c>
      <c r="I8" s="69" t="s">
        <v>3</v>
      </c>
      <c r="J8" s="70">
        <v>7.854000000000001</v>
      </c>
      <c r="K8"/>
      <c r="O8" t="s">
        <v>288</v>
      </c>
      <c r="P8" t="s">
        <v>289</v>
      </c>
      <c r="R8" s="20">
        <v>90</v>
      </c>
      <c r="S8" s="20">
        <v>9.9999999999999982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s="3" customFormat="1">
      <c r="A9" s="99"/>
      <c r="B9" s="99"/>
      <c r="C9" s="69" t="s">
        <v>279</v>
      </c>
      <c r="D9" s="69"/>
      <c r="E9" s="69" t="s">
        <v>12</v>
      </c>
      <c r="F9" s="69" t="s">
        <v>12</v>
      </c>
      <c r="G9" s="69" t="s">
        <v>149</v>
      </c>
      <c r="H9" s="69" t="s">
        <v>151</v>
      </c>
      <c r="I9" s="69" t="s">
        <v>3</v>
      </c>
      <c r="J9" s="70">
        <v>12.984</v>
      </c>
      <c r="K9"/>
      <c r="O9" t="s">
        <v>290</v>
      </c>
      <c r="P9" t="s">
        <v>291</v>
      </c>
      <c r="R9" s="20">
        <v>88</v>
      </c>
      <c r="S9" s="20">
        <v>12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s="3" customFormat="1">
      <c r="A10" s="109"/>
      <c r="B10" s="109"/>
      <c r="C10" s="109" t="s">
        <v>2</v>
      </c>
      <c r="D10" s="109"/>
      <c r="E10" s="109" t="s">
        <v>13</v>
      </c>
      <c r="F10" s="109" t="s">
        <v>13</v>
      </c>
      <c r="G10" s="109" t="s">
        <v>149</v>
      </c>
      <c r="H10" s="109" t="s">
        <v>151</v>
      </c>
      <c r="I10" s="109" t="s">
        <v>3</v>
      </c>
      <c r="J10" s="110">
        <v>-98.56</v>
      </c>
      <c r="K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s="3" customFormat="1">
      <c r="A11" s="99"/>
      <c r="B11" s="99"/>
      <c r="C11" s="69" t="s">
        <v>279</v>
      </c>
      <c r="D11" s="69"/>
      <c r="E11" s="69" t="s">
        <v>14</v>
      </c>
      <c r="F11" s="69" t="s">
        <v>14</v>
      </c>
      <c r="G11" s="69" t="s">
        <v>149</v>
      </c>
      <c r="H11" s="69" t="s">
        <v>151</v>
      </c>
      <c r="I11" s="69" t="s">
        <v>3</v>
      </c>
      <c r="J11" s="70">
        <v>-84.304000000000002</v>
      </c>
      <c r="K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s="3" customFormat="1">
      <c r="A12" s="99"/>
      <c r="B12" s="99"/>
      <c r="C12" s="69" t="s">
        <v>279</v>
      </c>
      <c r="D12" s="69"/>
      <c r="E12" s="69" t="s">
        <v>15</v>
      </c>
      <c r="F12" s="69" t="s">
        <v>15</v>
      </c>
      <c r="G12" s="69" t="s">
        <v>149</v>
      </c>
      <c r="H12" s="69" t="s">
        <v>151</v>
      </c>
      <c r="I12" s="69" t="s">
        <v>3</v>
      </c>
      <c r="J12" s="70">
        <v>10.302</v>
      </c>
      <c r="K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 s="3" customFormat="1">
      <c r="A13" s="99"/>
      <c r="B13" s="99"/>
      <c r="C13" s="69" t="s">
        <v>279</v>
      </c>
      <c r="D13" s="69"/>
      <c r="E13" s="69" t="s">
        <v>16</v>
      </c>
      <c r="F13" s="69" t="s">
        <v>16</v>
      </c>
      <c r="G13" s="69" t="s">
        <v>149</v>
      </c>
      <c r="H13" s="69" t="s">
        <v>151</v>
      </c>
      <c r="I13" s="69" t="s">
        <v>3</v>
      </c>
      <c r="J13" s="70">
        <v>10.302</v>
      </c>
      <c r="K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s="3" customFormat="1">
      <c r="A14" s="68"/>
      <c r="B14" s="68"/>
      <c r="C14" s="69" t="s">
        <v>2</v>
      </c>
      <c r="D14" s="69"/>
      <c r="E14" s="69" t="s">
        <v>6</v>
      </c>
      <c r="F14" s="69" t="s">
        <v>6</v>
      </c>
      <c r="G14" s="69" t="s">
        <v>150</v>
      </c>
      <c r="H14" s="100" t="s">
        <v>148</v>
      </c>
      <c r="I14" s="69" t="s">
        <v>3</v>
      </c>
      <c r="J14" s="70">
        <v>75.337670384138789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s="3" customFormat="1">
      <c r="A15" s="68"/>
      <c r="B15" s="68"/>
      <c r="C15" s="68" t="s">
        <v>279</v>
      </c>
      <c r="D15" s="68"/>
      <c r="E15" s="68" t="s">
        <v>8</v>
      </c>
      <c r="F15" s="69" t="s">
        <v>8</v>
      </c>
      <c r="G15" s="69" t="s">
        <v>150</v>
      </c>
      <c r="H15" s="100" t="s">
        <v>148</v>
      </c>
      <c r="I15" s="68" t="s">
        <v>3</v>
      </c>
      <c r="J15" s="70">
        <v>56.1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s="3" customFormat="1">
      <c r="A16" s="68"/>
      <c r="B16" s="68"/>
      <c r="C16" s="68" t="s">
        <v>2</v>
      </c>
      <c r="D16" s="68"/>
      <c r="E16" s="68" t="s">
        <v>9</v>
      </c>
      <c r="F16" s="69" t="s">
        <v>9</v>
      </c>
      <c r="G16" s="69" t="s">
        <v>150</v>
      </c>
      <c r="H16" s="100" t="s">
        <v>148</v>
      </c>
      <c r="I16" s="68" t="s">
        <v>3</v>
      </c>
      <c r="J16" s="70">
        <v>73.903318250377069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s="3" customFormat="1">
      <c r="A17" s="68"/>
      <c r="B17" s="68"/>
      <c r="C17" s="68" t="s">
        <v>2</v>
      </c>
      <c r="D17" s="68"/>
      <c r="E17" s="68" t="s">
        <v>10</v>
      </c>
      <c r="F17" s="69" t="s">
        <v>10</v>
      </c>
      <c r="G17" s="69" t="s">
        <v>150</v>
      </c>
      <c r="H17" s="100" t="s">
        <v>148</v>
      </c>
      <c r="I17" s="68" t="s">
        <v>3</v>
      </c>
      <c r="J17" s="70">
        <v>77.400000000000006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s="3" customFormat="1">
      <c r="A18" s="68"/>
      <c r="B18" s="68"/>
      <c r="C18" s="68" t="s">
        <v>2</v>
      </c>
      <c r="D18" s="68"/>
      <c r="E18" s="68" t="s">
        <v>11</v>
      </c>
      <c r="F18" s="69" t="s">
        <v>11</v>
      </c>
      <c r="G18" s="69" t="s">
        <v>150</v>
      </c>
      <c r="H18" s="100" t="s">
        <v>148</v>
      </c>
      <c r="I18" s="68" t="s">
        <v>3</v>
      </c>
      <c r="J18" s="70">
        <v>56.1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s="3" customFormat="1">
      <c r="A19" s="68"/>
      <c r="B19" s="68"/>
      <c r="C19" s="68" t="s">
        <v>2</v>
      </c>
      <c r="D19" s="68"/>
      <c r="E19" s="68" t="s">
        <v>12</v>
      </c>
      <c r="F19" s="69" t="s">
        <v>12</v>
      </c>
      <c r="G19" s="69" t="s">
        <v>150</v>
      </c>
      <c r="H19" s="100" t="s">
        <v>148</v>
      </c>
      <c r="I19" s="68" t="s">
        <v>3</v>
      </c>
      <c r="J19" s="70">
        <v>108.2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s="3" customFormat="1">
      <c r="A20" s="109"/>
      <c r="B20" s="109"/>
      <c r="C20" s="109" t="s">
        <v>2</v>
      </c>
      <c r="D20" s="109"/>
      <c r="E20" s="109" t="s">
        <v>13</v>
      </c>
      <c r="F20" s="109" t="s">
        <v>13</v>
      </c>
      <c r="G20" s="109" t="s">
        <v>150</v>
      </c>
      <c r="H20" s="111" t="s">
        <v>148</v>
      </c>
      <c r="I20" s="109" t="s">
        <v>3</v>
      </c>
      <c r="J20" s="110">
        <v>0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s="3" customFormat="1">
      <c r="A21" s="68"/>
      <c r="B21" s="68"/>
      <c r="C21" s="68" t="s">
        <v>2</v>
      </c>
      <c r="D21" s="68"/>
      <c r="E21" s="68" t="s">
        <v>14</v>
      </c>
      <c r="F21" s="69" t="s">
        <v>14</v>
      </c>
      <c r="G21" s="69" t="s">
        <v>150</v>
      </c>
      <c r="H21" s="100" t="s">
        <v>148</v>
      </c>
      <c r="I21" s="68" t="s">
        <v>3</v>
      </c>
      <c r="J21" s="70">
        <v>0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s="3" customFormat="1">
      <c r="A22" s="68"/>
      <c r="B22" s="68"/>
      <c r="C22" s="68" t="s">
        <v>2</v>
      </c>
      <c r="D22" s="68"/>
      <c r="E22" s="68" t="s">
        <v>15</v>
      </c>
      <c r="F22" s="69" t="s">
        <v>15</v>
      </c>
      <c r="G22" s="69" t="s">
        <v>150</v>
      </c>
      <c r="H22" s="100" t="s">
        <v>148</v>
      </c>
      <c r="I22" s="68" t="s">
        <v>3</v>
      </c>
      <c r="J22" s="70">
        <v>85.85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s="3" customFormat="1">
      <c r="A23" s="68"/>
      <c r="B23" s="68"/>
      <c r="C23" s="68" t="s">
        <v>2</v>
      </c>
      <c r="D23" s="68"/>
      <c r="E23" s="68" t="s">
        <v>16</v>
      </c>
      <c r="F23" s="69" t="s">
        <v>16</v>
      </c>
      <c r="G23" s="69" t="s">
        <v>150</v>
      </c>
      <c r="H23" s="100" t="s">
        <v>148</v>
      </c>
      <c r="I23" s="68" t="s">
        <v>3</v>
      </c>
      <c r="J23" s="70">
        <v>85.85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>
      <c r="A24" s="99"/>
      <c r="B24" s="99"/>
      <c r="C24" s="69" t="s">
        <v>2</v>
      </c>
      <c r="D24" s="69"/>
      <c r="E24" s="69" t="s">
        <v>166</v>
      </c>
      <c r="F24" s="69" t="s">
        <v>166</v>
      </c>
      <c r="G24" s="97" t="s">
        <v>173</v>
      </c>
      <c r="H24" s="69"/>
      <c r="I24" s="69" t="s">
        <v>3</v>
      </c>
      <c r="J24" s="70">
        <v>34.32</v>
      </c>
    </row>
    <row r="25" spans="1:64" ht="14.4">
      <c r="A25" s="99"/>
      <c r="B25" s="99"/>
      <c r="C25" s="69" t="s">
        <v>2</v>
      </c>
      <c r="D25" s="69"/>
      <c r="E25" s="69" t="s">
        <v>167</v>
      </c>
      <c r="F25" s="69" t="s">
        <v>167</v>
      </c>
      <c r="G25" s="97" t="s">
        <v>173</v>
      </c>
      <c r="H25" s="69"/>
      <c r="I25" s="69" t="s">
        <v>3</v>
      </c>
      <c r="J25" s="70">
        <v>107.28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64">
      <c r="A26" s="99"/>
      <c r="B26" s="99"/>
      <c r="C26" s="69" t="s">
        <v>2</v>
      </c>
      <c r="D26" s="69"/>
      <c r="E26" s="69" t="s">
        <v>168</v>
      </c>
      <c r="F26" s="69" t="s">
        <v>168</v>
      </c>
      <c r="G26" s="97" t="s">
        <v>173</v>
      </c>
      <c r="H26" s="69"/>
      <c r="I26" s="69" t="s">
        <v>3</v>
      </c>
      <c r="J26" s="70">
        <v>5.3999999999999995</v>
      </c>
    </row>
    <row r="27" spans="1:64">
      <c r="A27" s="99"/>
      <c r="B27" s="99"/>
      <c r="C27" s="69" t="s">
        <v>2</v>
      </c>
      <c r="D27" s="69"/>
      <c r="E27" s="69" t="s">
        <v>169</v>
      </c>
      <c r="F27" s="69" t="s">
        <v>169</v>
      </c>
      <c r="G27" s="97" t="s">
        <v>173</v>
      </c>
      <c r="H27" s="69"/>
      <c r="I27" s="69" t="s">
        <v>3</v>
      </c>
      <c r="J27" s="70">
        <v>23.4</v>
      </c>
    </row>
    <row r="28" spans="1:64">
      <c r="A28" s="99"/>
      <c r="B28" s="99"/>
      <c r="C28" s="69" t="s">
        <v>2</v>
      </c>
      <c r="D28" s="69"/>
      <c r="E28" s="69" t="s">
        <v>170</v>
      </c>
      <c r="F28" s="69" t="s">
        <v>170</v>
      </c>
      <c r="G28" s="97" t="s">
        <v>173</v>
      </c>
      <c r="H28" s="69"/>
      <c r="I28" s="69" t="s">
        <v>3</v>
      </c>
      <c r="J28" s="70">
        <v>14.639999999999999</v>
      </c>
    </row>
    <row r="29" spans="1:64">
      <c r="A29" s="68"/>
      <c r="B29" s="68"/>
      <c r="C29" s="68" t="s">
        <v>2</v>
      </c>
      <c r="D29" s="68"/>
      <c r="E29" s="69" t="s">
        <v>166</v>
      </c>
      <c r="F29" s="69" t="s">
        <v>166</v>
      </c>
      <c r="G29" s="69" t="s">
        <v>174</v>
      </c>
      <c r="H29" s="100"/>
      <c r="I29" s="68" t="s">
        <v>3</v>
      </c>
      <c r="J29" s="70">
        <v>286</v>
      </c>
    </row>
    <row r="30" spans="1:64">
      <c r="A30" s="68"/>
      <c r="B30" s="68"/>
      <c r="C30" s="68" t="s">
        <v>2</v>
      </c>
      <c r="D30" s="68"/>
      <c r="E30" s="69" t="s">
        <v>167</v>
      </c>
      <c r="F30" s="69" t="s">
        <v>167</v>
      </c>
      <c r="G30" s="69" t="s">
        <v>174</v>
      </c>
      <c r="H30" s="100"/>
      <c r="I30" s="68" t="s">
        <v>3</v>
      </c>
      <c r="J30" s="70">
        <v>894</v>
      </c>
    </row>
    <row r="31" spans="1:64">
      <c r="A31" s="68"/>
      <c r="B31" s="68"/>
      <c r="C31" s="68" t="s">
        <v>2</v>
      </c>
      <c r="D31" s="68"/>
      <c r="E31" s="69" t="s">
        <v>168</v>
      </c>
      <c r="F31" s="69" t="s">
        <v>168</v>
      </c>
      <c r="G31" s="69" t="s">
        <v>174</v>
      </c>
      <c r="H31" s="100"/>
      <c r="I31" s="68" t="s">
        <v>3</v>
      </c>
      <c r="J31" s="70">
        <v>45</v>
      </c>
    </row>
    <row r="32" spans="1:64">
      <c r="A32" s="68"/>
      <c r="B32" s="68"/>
      <c r="C32" s="68" t="s">
        <v>2</v>
      </c>
      <c r="D32" s="68"/>
      <c r="E32" s="69" t="s">
        <v>169</v>
      </c>
      <c r="F32" s="69" t="s">
        <v>169</v>
      </c>
      <c r="G32" s="69" t="s">
        <v>174</v>
      </c>
      <c r="H32" s="100"/>
      <c r="I32" s="68" t="s">
        <v>3</v>
      </c>
      <c r="J32" s="70">
        <v>195</v>
      </c>
    </row>
    <row r="33" spans="1:13">
      <c r="A33" s="68"/>
      <c r="B33" s="68"/>
      <c r="C33" s="68" t="s">
        <v>2</v>
      </c>
      <c r="D33" s="68"/>
      <c r="E33" s="69" t="s">
        <v>170</v>
      </c>
      <c r="F33" s="69" t="s">
        <v>170</v>
      </c>
      <c r="G33" s="69" t="s">
        <v>174</v>
      </c>
      <c r="H33" s="100"/>
      <c r="I33" s="68" t="s">
        <v>3</v>
      </c>
      <c r="J33" s="70">
        <v>122</v>
      </c>
      <c r="M33" t="s">
        <v>384</v>
      </c>
    </row>
    <row r="34" spans="1:13">
      <c r="A34" s="101"/>
      <c r="B34" s="101"/>
      <c r="C34" s="76" t="s">
        <v>279</v>
      </c>
      <c r="D34" s="76"/>
      <c r="E34" s="76" t="s">
        <v>6</v>
      </c>
      <c r="F34" s="76" t="s">
        <v>6</v>
      </c>
      <c r="G34" s="76" t="s">
        <v>149</v>
      </c>
      <c r="H34" s="76" t="s">
        <v>151</v>
      </c>
      <c r="I34" s="76" t="s">
        <v>385</v>
      </c>
      <c r="J34" s="78">
        <v>66.297149938042139</v>
      </c>
      <c r="M34" s="76" t="s">
        <v>7</v>
      </c>
    </row>
    <row r="35" spans="1:13">
      <c r="A35" s="101"/>
      <c r="B35" s="101"/>
      <c r="C35" s="76" t="s">
        <v>279</v>
      </c>
      <c r="D35" s="76"/>
      <c r="E35" s="76" t="s">
        <v>8</v>
      </c>
      <c r="F35" s="76" t="s">
        <v>8</v>
      </c>
      <c r="G35" s="76" t="s">
        <v>149</v>
      </c>
      <c r="H35" s="76" t="s">
        <v>151</v>
      </c>
      <c r="I35" s="76" t="s">
        <v>385</v>
      </c>
      <c r="J35" s="78">
        <v>49.368000000000002</v>
      </c>
      <c r="M35" s="76" t="s">
        <v>7</v>
      </c>
    </row>
    <row r="36" spans="1:13">
      <c r="A36" s="101"/>
      <c r="B36" s="101"/>
      <c r="C36" s="76" t="s">
        <v>2</v>
      </c>
      <c r="D36" s="76"/>
      <c r="E36" s="76" t="s">
        <v>9</v>
      </c>
      <c r="F36" s="76" t="s">
        <v>9</v>
      </c>
      <c r="G36" s="76" t="s">
        <v>149</v>
      </c>
      <c r="H36" s="76" t="s">
        <v>151</v>
      </c>
      <c r="I36" s="76" t="s">
        <v>385</v>
      </c>
      <c r="J36" s="78">
        <v>65.034920060331828</v>
      </c>
      <c r="M36" s="76" t="s">
        <v>7</v>
      </c>
    </row>
    <row r="37" spans="1:13">
      <c r="A37" s="101"/>
      <c r="B37" s="101"/>
      <c r="C37" s="76" t="s">
        <v>279</v>
      </c>
      <c r="D37" s="76"/>
      <c r="E37" s="76" t="s">
        <v>10</v>
      </c>
      <c r="F37" s="76" t="s">
        <v>10</v>
      </c>
      <c r="G37" s="76" t="s">
        <v>149</v>
      </c>
      <c r="H37" s="76" t="s">
        <v>151</v>
      </c>
      <c r="I37" s="76" t="s">
        <v>385</v>
      </c>
      <c r="J37" s="78">
        <v>68.112000000000009</v>
      </c>
      <c r="L37" s="20"/>
      <c r="M37" s="76" t="s">
        <v>7</v>
      </c>
    </row>
    <row r="38" spans="1:13">
      <c r="A38" s="101"/>
      <c r="B38" s="101"/>
      <c r="C38" s="76" t="s">
        <v>2</v>
      </c>
      <c r="D38" s="76"/>
      <c r="E38" s="76" t="s">
        <v>11</v>
      </c>
      <c r="F38" s="76" t="s">
        <v>11</v>
      </c>
      <c r="G38" s="76" t="s">
        <v>149</v>
      </c>
      <c r="H38" s="76" t="s">
        <v>151</v>
      </c>
      <c r="I38" s="76" t="s">
        <v>385</v>
      </c>
      <c r="J38" s="78">
        <v>48.246000000000002</v>
      </c>
      <c r="M38" s="76" t="s">
        <v>7</v>
      </c>
    </row>
    <row r="39" spans="1:13">
      <c r="A39" s="101"/>
      <c r="B39" s="101"/>
      <c r="C39" s="76" t="s">
        <v>279</v>
      </c>
      <c r="D39" s="76"/>
      <c r="E39" s="76" t="s">
        <v>12</v>
      </c>
      <c r="F39" s="76" t="s">
        <v>12</v>
      </c>
      <c r="G39" s="76" t="s">
        <v>149</v>
      </c>
      <c r="H39" s="76" t="s">
        <v>151</v>
      </c>
      <c r="I39" s="76" t="s">
        <v>385</v>
      </c>
      <c r="J39" s="78">
        <v>95.216000000000008</v>
      </c>
      <c r="M39" s="76" t="s">
        <v>7</v>
      </c>
    </row>
    <row r="40" spans="1:13">
      <c r="A40" s="112"/>
      <c r="B40" s="112"/>
      <c r="C40" s="112" t="s">
        <v>2</v>
      </c>
      <c r="D40" s="112"/>
      <c r="E40" s="112" t="s">
        <v>13</v>
      </c>
      <c r="F40" s="112" t="s">
        <v>13</v>
      </c>
      <c r="G40" s="112" t="s">
        <v>149</v>
      </c>
      <c r="H40" s="112" t="s">
        <v>151</v>
      </c>
      <c r="I40" s="112" t="s">
        <v>7</v>
      </c>
      <c r="J40" s="113">
        <v>98.56</v>
      </c>
      <c r="M40" s="76" t="s">
        <v>7</v>
      </c>
    </row>
    <row r="41" spans="1:13">
      <c r="A41" s="101"/>
      <c r="B41" s="112"/>
      <c r="C41" s="112" t="s">
        <v>279</v>
      </c>
      <c r="D41" s="112"/>
      <c r="E41" s="112" t="s">
        <v>14</v>
      </c>
      <c r="F41" s="112" t="s">
        <v>14</v>
      </c>
      <c r="G41" s="112" t="s">
        <v>149</v>
      </c>
      <c r="H41" s="112" t="s">
        <v>151</v>
      </c>
      <c r="I41" s="112" t="s">
        <v>7</v>
      </c>
      <c r="J41" s="113">
        <v>84.304000000000002</v>
      </c>
      <c r="M41" s="76" t="s">
        <v>7</v>
      </c>
    </row>
    <row r="42" spans="1:13">
      <c r="A42" s="101"/>
      <c r="B42" s="101"/>
      <c r="C42" s="76" t="s">
        <v>279</v>
      </c>
      <c r="D42" s="76"/>
      <c r="E42" s="76" t="s">
        <v>15</v>
      </c>
      <c r="F42" s="76" t="s">
        <v>15</v>
      </c>
      <c r="G42" s="76" t="s">
        <v>149</v>
      </c>
      <c r="H42" s="76" t="s">
        <v>151</v>
      </c>
      <c r="I42" s="76" t="s">
        <v>385</v>
      </c>
      <c r="J42" s="78">
        <v>75.548000000000002</v>
      </c>
      <c r="M42" s="76" t="s">
        <v>7</v>
      </c>
    </row>
    <row r="43" spans="1:13">
      <c r="A43" s="101"/>
      <c r="B43" s="101"/>
      <c r="C43" s="76" t="s">
        <v>279</v>
      </c>
      <c r="D43" s="76"/>
      <c r="E43" s="76" t="s">
        <v>16</v>
      </c>
      <c r="F43" s="76" t="s">
        <v>16</v>
      </c>
      <c r="G43" s="76" t="s">
        <v>149</v>
      </c>
      <c r="H43" s="76" t="s">
        <v>151</v>
      </c>
      <c r="I43" s="76" t="s">
        <v>385</v>
      </c>
      <c r="J43" s="78">
        <v>75.548000000000002</v>
      </c>
      <c r="M43" s="76" t="s">
        <v>7</v>
      </c>
    </row>
    <row r="44" spans="1:13">
      <c r="A44" s="101"/>
      <c r="B44" s="101"/>
      <c r="C44" s="76" t="s">
        <v>2</v>
      </c>
      <c r="D44" s="76"/>
      <c r="E44" s="76" t="s">
        <v>166</v>
      </c>
      <c r="F44" s="76" t="s">
        <v>166</v>
      </c>
      <c r="G44" s="98" t="s">
        <v>173</v>
      </c>
      <c r="H44" s="76"/>
      <c r="I44" s="76" t="s">
        <v>385</v>
      </c>
      <c r="J44" s="78">
        <v>251.68</v>
      </c>
      <c r="M44" s="76" t="s">
        <v>7</v>
      </c>
    </row>
    <row r="45" spans="1:13">
      <c r="A45" s="101"/>
      <c r="B45" s="101"/>
      <c r="C45" s="76" t="s">
        <v>2</v>
      </c>
      <c r="D45" s="76"/>
      <c r="E45" s="76" t="s">
        <v>167</v>
      </c>
      <c r="F45" s="76" t="s">
        <v>167</v>
      </c>
      <c r="G45" s="98" t="s">
        <v>173</v>
      </c>
      <c r="H45" s="76"/>
      <c r="I45" s="76" t="s">
        <v>385</v>
      </c>
      <c r="J45" s="78">
        <v>786.72</v>
      </c>
      <c r="M45" s="76" t="s">
        <v>7</v>
      </c>
    </row>
    <row r="46" spans="1:13">
      <c r="A46" s="101"/>
      <c r="B46" s="101"/>
      <c r="C46" s="76" t="s">
        <v>2</v>
      </c>
      <c r="D46" s="76"/>
      <c r="E46" s="76" t="s">
        <v>168</v>
      </c>
      <c r="F46" s="76" t="s">
        <v>168</v>
      </c>
      <c r="G46" s="98" t="s">
        <v>173</v>
      </c>
      <c r="H46" s="76"/>
      <c r="I46" s="76" t="s">
        <v>385</v>
      </c>
      <c r="J46" s="78">
        <v>39.6</v>
      </c>
      <c r="M46" s="76" t="s">
        <v>7</v>
      </c>
    </row>
    <row r="47" spans="1:13">
      <c r="A47" s="101"/>
      <c r="B47" s="101"/>
      <c r="C47" s="76" t="s">
        <v>2</v>
      </c>
      <c r="D47" s="76"/>
      <c r="E47" s="76" t="s">
        <v>169</v>
      </c>
      <c r="F47" s="76" t="s">
        <v>169</v>
      </c>
      <c r="G47" s="98" t="s">
        <v>173</v>
      </c>
      <c r="H47" s="76"/>
      <c r="I47" s="76" t="s">
        <v>385</v>
      </c>
      <c r="J47" s="78">
        <v>171.6</v>
      </c>
      <c r="M47" s="76" t="s">
        <v>7</v>
      </c>
    </row>
    <row r="48" spans="1:13">
      <c r="A48" s="101"/>
      <c r="B48" s="101"/>
      <c r="C48" s="76" t="s">
        <v>2</v>
      </c>
      <c r="D48" s="76"/>
      <c r="E48" s="76" t="s">
        <v>170</v>
      </c>
      <c r="F48" s="76" t="s">
        <v>170</v>
      </c>
      <c r="G48" s="98" t="s">
        <v>173</v>
      </c>
      <c r="H48" s="76"/>
      <c r="I48" s="76" t="s">
        <v>385</v>
      </c>
      <c r="J48" s="78">
        <v>107.36</v>
      </c>
      <c r="M48" s="76" t="s">
        <v>7</v>
      </c>
    </row>
    <row r="49" spans="1:10">
      <c r="A49" s="99"/>
      <c r="B49" s="99"/>
      <c r="C49" s="69" t="s">
        <v>279</v>
      </c>
      <c r="D49" s="69"/>
      <c r="E49" s="69" t="s">
        <v>6</v>
      </c>
      <c r="F49" s="69" t="s">
        <v>6</v>
      </c>
      <c r="G49" s="97" t="s">
        <v>149</v>
      </c>
      <c r="H49" s="69" t="s">
        <v>151</v>
      </c>
      <c r="I49" s="69" t="s">
        <v>379</v>
      </c>
      <c r="J49" s="70">
        <v>9.0405204460966537</v>
      </c>
    </row>
    <row r="50" spans="1:10">
      <c r="A50" s="99"/>
      <c r="B50" s="99"/>
      <c r="C50" s="69" t="s">
        <v>279</v>
      </c>
      <c r="D50" s="69"/>
      <c r="E50" s="69" t="s">
        <v>8</v>
      </c>
      <c r="F50" s="69" t="s">
        <v>8</v>
      </c>
      <c r="G50" s="97" t="s">
        <v>149</v>
      </c>
      <c r="H50" s="69" t="s">
        <v>151</v>
      </c>
      <c r="I50" s="69" t="s">
        <v>379</v>
      </c>
      <c r="J50" s="70">
        <v>6.7320000000000002</v>
      </c>
    </row>
    <row r="51" spans="1:10">
      <c r="A51" s="99"/>
      <c r="B51" s="99"/>
      <c r="C51" s="69" t="s">
        <v>2</v>
      </c>
      <c r="D51" s="69"/>
      <c r="E51" s="69" t="s">
        <v>9</v>
      </c>
      <c r="F51" s="69" t="s">
        <v>9</v>
      </c>
      <c r="G51" s="97" t="s">
        <v>149</v>
      </c>
      <c r="H51" s="69" t="s">
        <v>151</v>
      </c>
      <c r="I51" s="69" t="s">
        <v>379</v>
      </c>
      <c r="J51" s="70">
        <v>8.868398190045248</v>
      </c>
    </row>
    <row r="52" spans="1:10">
      <c r="A52" s="99"/>
      <c r="B52" s="99"/>
      <c r="C52" s="69" t="s">
        <v>279</v>
      </c>
      <c r="D52" s="69"/>
      <c r="E52" s="69" t="s">
        <v>10</v>
      </c>
      <c r="F52" s="69" t="s">
        <v>10</v>
      </c>
      <c r="G52" s="97" t="s">
        <v>149</v>
      </c>
      <c r="H52" s="69" t="s">
        <v>151</v>
      </c>
      <c r="I52" s="69" t="s">
        <v>379</v>
      </c>
      <c r="J52" s="70">
        <v>9.2880000000000003</v>
      </c>
    </row>
    <row r="53" spans="1:10">
      <c r="A53" s="99"/>
      <c r="B53" s="99"/>
      <c r="C53" s="69" t="s">
        <v>2</v>
      </c>
      <c r="D53" s="69"/>
      <c r="E53" s="69" t="s">
        <v>11</v>
      </c>
      <c r="F53" s="69" t="s">
        <v>11</v>
      </c>
      <c r="G53" s="97" t="s">
        <v>149</v>
      </c>
      <c r="H53" s="69" t="s">
        <v>151</v>
      </c>
      <c r="I53" s="69" t="s">
        <v>379</v>
      </c>
      <c r="J53" s="70">
        <v>7.854000000000001</v>
      </c>
    </row>
    <row r="54" spans="1:10">
      <c r="A54" s="99"/>
      <c r="B54" s="99"/>
      <c r="C54" s="69" t="s">
        <v>279</v>
      </c>
      <c r="D54" s="69"/>
      <c r="E54" s="69" t="s">
        <v>12</v>
      </c>
      <c r="F54" s="69" t="s">
        <v>12</v>
      </c>
      <c r="G54" s="97" t="s">
        <v>149</v>
      </c>
      <c r="H54" s="69" t="s">
        <v>151</v>
      </c>
      <c r="I54" s="69" t="s">
        <v>379</v>
      </c>
      <c r="J54" s="70">
        <v>12.984</v>
      </c>
    </row>
    <row r="55" spans="1:10">
      <c r="A55" s="99"/>
      <c r="B55" s="99"/>
      <c r="C55" s="69" t="s">
        <v>279</v>
      </c>
      <c r="D55" s="69"/>
      <c r="E55" s="69" t="s">
        <v>14</v>
      </c>
      <c r="F55" s="69" t="s">
        <v>14</v>
      </c>
      <c r="G55" s="97" t="s">
        <v>149</v>
      </c>
      <c r="H55" s="69" t="s">
        <v>151</v>
      </c>
      <c r="I55" s="69" t="s">
        <v>379</v>
      </c>
      <c r="J55" s="70">
        <v>0</v>
      </c>
    </row>
    <row r="56" spans="1:10">
      <c r="A56" s="99"/>
      <c r="B56" s="99"/>
      <c r="C56" s="69" t="s">
        <v>279</v>
      </c>
      <c r="D56" s="69"/>
      <c r="E56" s="69" t="s">
        <v>15</v>
      </c>
      <c r="F56" s="69" t="s">
        <v>15</v>
      </c>
      <c r="G56" s="97" t="s">
        <v>149</v>
      </c>
      <c r="H56" s="69" t="s">
        <v>151</v>
      </c>
      <c r="I56" s="69" t="s">
        <v>379</v>
      </c>
      <c r="J56" s="70">
        <v>10.302</v>
      </c>
    </row>
    <row r="57" spans="1:10">
      <c r="A57" s="99"/>
      <c r="B57" s="99"/>
      <c r="C57" s="69" t="s">
        <v>279</v>
      </c>
      <c r="D57" s="69"/>
      <c r="E57" s="69" t="s">
        <v>16</v>
      </c>
      <c r="F57" s="69" t="s">
        <v>16</v>
      </c>
      <c r="G57" s="97" t="s">
        <v>149</v>
      </c>
      <c r="H57" s="69" t="s">
        <v>151</v>
      </c>
      <c r="I57" s="69" t="s">
        <v>379</v>
      </c>
      <c r="J57" s="70">
        <v>10.302</v>
      </c>
    </row>
    <row r="58" spans="1:10">
      <c r="A58" s="99"/>
      <c r="B58" s="99"/>
      <c r="C58" s="69" t="s">
        <v>2</v>
      </c>
      <c r="D58" s="69"/>
      <c r="E58" s="69" t="s">
        <v>6</v>
      </c>
      <c r="F58" s="69" t="s">
        <v>6</v>
      </c>
      <c r="G58" s="97" t="s">
        <v>150</v>
      </c>
      <c r="H58" s="69" t="s">
        <v>148</v>
      </c>
      <c r="I58" s="69" t="s">
        <v>379</v>
      </c>
      <c r="J58" s="70">
        <v>75.337670384138789</v>
      </c>
    </row>
    <row r="59" spans="1:10">
      <c r="A59" s="99"/>
      <c r="B59" s="99"/>
      <c r="C59" s="69" t="s">
        <v>279</v>
      </c>
      <c r="D59" s="69"/>
      <c r="E59" s="69" t="s">
        <v>8</v>
      </c>
      <c r="F59" s="69" t="s">
        <v>8</v>
      </c>
      <c r="G59" s="97" t="s">
        <v>150</v>
      </c>
      <c r="H59" s="69" t="s">
        <v>148</v>
      </c>
      <c r="I59" s="69" t="s">
        <v>379</v>
      </c>
      <c r="J59" s="70">
        <v>56.1</v>
      </c>
    </row>
    <row r="60" spans="1:10">
      <c r="A60" s="99"/>
      <c r="B60" s="99"/>
      <c r="C60" s="69" t="s">
        <v>2</v>
      </c>
      <c r="D60" s="69"/>
      <c r="E60" s="69" t="s">
        <v>9</v>
      </c>
      <c r="F60" s="69" t="s">
        <v>9</v>
      </c>
      <c r="G60" s="97" t="s">
        <v>150</v>
      </c>
      <c r="H60" s="69" t="s">
        <v>148</v>
      </c>
      <c r="I60" s="69" t="s">
        <v>379</v>
      </c>
      <c r="J60" s="70">
        <v>73.903318250377069</v>
      </c>
    </row>
    <row r="61" spans="1:10">
      <c r="A61" s="99"/>
      <c r="B61" s="99"/>
      <c r="C61" s="69" t="s">
        <v>2</v>
      </c>
      <c r="D61" s="69"/>
      <c r="E61" s="69" t="s">
        <v>10</v>
      </c>
      <c r="F61" s="69" t="s">
        <v>10</v>
      </c>
      <c r="G61" s="97" t="s">
        <v>150</v>
      </c>
      <c r="H61" s="69" t="s">
        <v>148</v>
      </c>
      <c r="I61" s="69" t="s">
        <v>379</v>
      </c>
      <c r="J61" s="70">
        <v>77.400000000000006</v>
      </c>
    </row>
    <row r="62" spans="1:10">
      <c r="A62" s="99"/>
      <c r="B62" s="99"/>
      <c r="C62" s="69" t="s">
        <v>2</v>
      </c>
      <c r="D62" s="69"/>
      <c r="E62" s="69" t="s">
        <v>11</v>
      </c>
      <c r="F62" s="69" t="s">
        <v>11</v>
      </c>
      <c r="G62" s="97" t="s">
        <v>150</v>
      </c>
      <c r="H62" s="69" t="s">
        <v>148</v>
      </c>
      <c r="I62" s="69" t="s">
        <v>379</v>
      </c>
      <c r="J62" s="70">
        <v>56.1</v>
      </c>
    </row>
    <row r="63" spans="1:10">
      <c r="A63" s="99"/>
      <c r="B63" s="99"/>
      <c r="C63" s="69" t="s">
        <v>2</v>
      </c>
      <c r="D63" s="69"/>
      <c r="E63" s="69" t="s">
        <v>12</v>
      </c>
      <c r="F63" s="69" t="s">
        <v>12</v>
      </c>
      <c r="G63" s="97" t="s">
        <v>150</v>
      </c>
      <c r="H63" s="69" t="s">
        <v>148</v>
      </c>
      <c r="I63" s="69" t="s">
        <v>379</v>
      </c>
      <c r="J63" s="70">
        <v>108.2</v>
      </c>
    </row>
    <row r="64" spans="1:10">
      <c r="A64" s="99"/>
      <c r="B64" s="99"/>
      <c r="C64" s="69" t="s">
        <v>2</v>
      </c>
      <c r="D64" s="69"/>
      <c r="E64" s="69" t="s">
        <v>15</v>
      </c>
      <c r="F64" s="69" t="s">
        <v>15</v>
      </c>
      <c r="G64" s="97" t="s">
        <v>150</v>
      </c>
      <c r="H64" s="69" t="s">
        <v>148</v>
      </c>
      <c r="I64" s="69" t="s">
        <v>379</v>
      </c>
      <c r="J64" s="70">
        <v>85.85</v>
      </c>
    </row>
    <row r="65" spans="1:47">
      <c r="A65" s="99"/>
      <c r="B65" s="99"/>
      <c r="C65" s="69" t="s">
        <v>2</v>
      </c>
      <c r="D65" s="69"/>
      <c r="E65" s="69" t="s">
        <v>16</v>
      </c>
      <c r="F65" s="69" t="s">
        <v>16</v>
      </c>
      <c r="G65" s="97" t="s">
        <v>150</v>
      </c>
      <c r="H65" s="69" t="s">
        <v>148</v>
      </c>
      <c r="I65" s="69" t="s">
        <v>379</v>
      </c>
      <c r="J65" s="70">
        <v>85.85</v>
      </c>
    </row>
    <row r="66" spans="1:47">
      <c r="A66" s="99"/>
      <c r="B66" s="99"/>
      <c r="C66" s="69" t="s">
        <v>2</v>
      </c>
      <c r="D66" s="69"/>
      <c r="E66" s="69" t="s">
        <v>166</v>
      </c>
      <c r="F66" s="69" t="s">
        <v>166</v>
      </c>
      <c r="G66" s="97" t="s">
        <v>173</v>
      </c>
      <c r="H66" s="69"/>
      <c r="I66" s="69" t="s">
        <v>379</v>
      </c>
      <c r="J66" s="70">
        <v>34.32</v>
      </c>
    </row>
    <row r="67" spans="1:47">
      <c r="A67" s="99"/>
      <c r="B67" s="99"/>
      <c r="C67" s="69" t="s">
        <v>2</v>
      </c>
      <c r="D67" s="69"/>
      <c r="E67" s="69" t="s">
        <v>167</v>
      </c>
      <c r="F67" s="69" t="s">
        <v>167</v>
      </c>
      <c r="G67" s="97" t="s">
        <v>173</v>
      </c>
      <c r="H67" s="69"/>
      <c r="I67" s="69" t="s">
        <v>379</v>
      </c>
      <c r="J67" s="70">
        <v>107.28</v>
      </c>
    </row>
    <row r="68" spans="1:47">
      <c r="A68" s="99"/>
      <c r="B68" s="99"/>
      <c r="C68" s="69" t="s">
        <v>2</v>
      </c>
      <c r="D68" s="69"/>
      <c r="E68" s="69" t="s">
        <v>168</v>
      </c>
      <c r="F68" s="69" t="s">
        <v>168</v>
      </c>
      <c r="G68" s="97" t="s">
        <v>173</v>
      </c>
      <c r="H68" s="69"/>
      <c r="I68" s="69" t="s">
        <v>379</v>
      </c>
      <c r="J68" s="70">
        <v>5.3999999999999995</v>
      </c>
    </row>
    <row r="69" spans="1:47">
      <c r="A69" s="99"/>
      <c r="B69" s="99"/>
      <c r="C69" s="69" t="s">
        <v>2</v>
      </c>
      <c r="D69" s="69"/>
      <c r="E69" s="69" t="s">
        <v>169</v>
      </c>
      <c r="F69" s="69" t="s">
        <v>169</v>
      </c>
      <c r="G69" s="97" t="s">
        <v>173</v>
      </c>
      <c r="H69" s="69"/>
      <c r="I69" s="69" t="s">
        <v>379</v>
      </c>
      <c r="J69" s="70">
        <v>23.4</v>
      </c>
    </row>
    <row r="70" spans="1:47">
      <c r="A70" s="99"/>
      <c r="B70" s="99"/>
      <c r="C70" s="69" t="s">
        <v>2</v>
      </c>
      <c r="D70" s="69"/>
      <c r="E70" s="69" t="s">
        <v>170</v>
      </c>
      <c r="F70" s="69" t="s">
        <v>170</v>
      </c>
      <c r="G70" s="97" t="s">
        <v>173</v>
      </c>
      <c r="H70" s="69"/>
      <c r="I70" s="69" t="s">
        <v>379</v>
      </c>
      <c r="J70" s="70">
        <v>14.639999999999999</v>
      </c>
    </row>
    <row r="71" spans="1:47">
      <c r="A71" s="99"/>
      <c r="B71" s="99"/>
      <c r="C71" s="69" t="s">
        <v>2</v>
      </c>
      <c r="D71" s="69"/>
      <c r="E71" s="69" t="s">
        <v>166</v>
      </c>
      <c r="F71" s="69" t="s">
        <v>166</v>
      </c>
      <c r="G71" s="97" t="s">
        <v>174</v>
      </c>
      <c r="H71" s="69"/>
      <c r="I71" s="69" t="s">
        <v>379</v>
      </c>
      <c r="J71" s="70">
        <v>286</v>
      </c>
    </row>
    <row r="72" spans="1:47">
      <c r="A72" s="99"/>
      <c r="B72" s="99"/>
      <c r="C72" s="69" t="s">
        <v>2</v>
      </c>
      <c r="D72" s="69"/>
      <c r="E72" s="69" t="s">
        <v>167</v>
      </c>
      <c r="F72" s="69" t="s">
        <v>167</v>
      </c>
      <c r="G72" s="97" t="s">
        <v>174</v>
      </c>
      <c r="H72" s="69"/>
      <c r="I72" s="69" t="s">
        <v>379</v>
      </c>
      <c r="J72" s="70">
        <v>894</v>
      </c>
    </row>
    <row r="73" spans="1:47">
      <c r="A73" s="99"/>
      <c r="B73" s="99"/>
      <c r="C73" s="69" t="s">
        <v>2</v>
      </c>
      <c r="D73" s="69"/>
      <c r="E73" s="69" t="s">
        <v>168</v>
      </c>
      <c r="F73" s="69" t="s">
        <v>168</v>
      </c>
      <c r="G73" s="97" t="s">
        <v>174</v>
      </c>
      <c r="H73" s="69"/>
      <c r="I73" s="69" t="s">
        <v>379</v>
      </c>
      <c r="J73" s="70">
        <v>45</v>
      </c>
    </row>
    <row r="74" spans="1:47">
      <c r="A74" s="99"/>
      <c r="B74" s="99"/>
      <c r="C74" s="69" t="s">
        <v>2</v>
      </c>
      <c r="D74" s="69"/>
      <c r="E74" s="69" t="s">
        <v>169</v>
      </c>
      <c r="F74" s="69" t="s">
        <v>169</v>
      </c>
      <c r="G74" s="97" t="s">
        <v>174</v>
      </c>
      <c r="H74" s="69"/>
      <c r="I74" s="69" t="s">
        <v>379</v>
      </c>
      <c r="J74" s="70">
        <v>195</v>
      </c>
    </row>
    <row r="75" spans="1:47">
      <c r="A75" s="99"/>
      <c r="B75" s="99"/>
      <c r="C75" s="69" t="s">
        <v>2</v>
      </c>
      <c r="D75" s="69"/>
      <c r="E75" s="69" t="s">
        <v>170</v>
      </c>
      <c r="F75" s="69" t="s">
        <v>170</v>
      </c>
      <c r="G75" s="97" t="s">
        <v>174</v>
      </c>
      <c r="H75" s="69"/>
      <c r="I75" s="69" t="s">
        <v>379</v>
      </c>
      <c r="J75" s="70">
        <v>122</v>
      </c>
    </row>
    <row r="76" spans="1:47">
      <c r="A76" s="3"/>
      <c r="B76" s="3"/>
      <c r="C76" s="4"/>
      <c r="D76" s="4"/>
      <c r="E76" s="4"/>
      <c r="F76" s="4"/>
      <c r="G76" s="23"/>
      <c r="H76" s="4"/>
      <c r="I76" s="4"/>
      <c r="J76" s="5"/>
    </row>
    <row r="78" spans="1:47">
      <c r="A78" s="16" t="s">
        <v>1</v>
      </c>
    </row>
    <row r="79" spans="1:47" ht="13.8" thickBot="1">
      <c r="A79" s="6" t="s">
        <v>54</v>
      </c>
      <c r="B79" s="6" t="s">
        <v>55</v>
      </c>
      <c r="C79" s="6" t="s">
        <v>56</v>
      </c>
      <c r="D79" s="6" t="s">
        <v>57</v>
      </c>
      <c r="E79" s="6" t="s">
        <v>0</v>
      </c>
      <c r="F79" s="17" t="s">
        <v>58</v>
      </c>
      <c r="G79" s="17" t="s">
        <v>147</v>
      </c>
      <c r="H79" s="17" t="s">
        <v>59</v>
      </c>
      <c r="I79" s="6" t="s">
        <v>60</v>
      </c>
      <c r="J79" s="6" t="s">
        <v>61</v>
      </c>
      <c r="K79" s="18" t="s">
        <v>102</v>
      </c>
      <c r="L79" s="18" t="s">
        <v>101</v>
      </c>
      <c r="M79" s="18" t="s">
        <v>100</v>
      </c>
      <c r="N79" s="18" t="s">
        <v>99</v>
      </c>
      <c r="O79" s="18" t="s">
        <v>98</v>
      </c>
      <c r="P79" s="18" t="s">
        <v>97</v>
      </c>
      <c r="Q79" s="18" t="s">
        <v>96</v>
      </c>
      <c r="R79" s="18" t="s">
        <v>95</v>
      </c>
      <c r="S79" s="18" t="s">
        <v>94</v>
      </c>
      <c r="T79" s="18" t="s">
        <v>93</v>
      </c>
      <c r="U79" s="18" t="s">
        <v>92</v>
      </c>
      <c r="V79" s="18" t="s">
        <v>91</v>
      </c>
      <c r="W79" s="18" t="s">
        <v>312</v>
      </c>
      <c r="X79" s="18" t="s">
        <v>90</v>
      </c>
      <c r="Y79" s="18" t="s">
        <v>89</v>
      </c>
      <c r="Z79" s="18" t="s">
        <v>88</v>
      </c>
      <c r="AA79" s="18" t="s">
        <v>87</v>
      </c>
      <c r="AB79" s="18" t="s">
        <v>86</v>
      </c>
      <c r="AC79" s="18" t="s">
        <v>85</v>
      </c>
      <c r="AD79" s="18" t="s">
        <v>84</v>
      </c>
      <c r="AE79" s="18" t="s">
        <v>83</v>
      </c>
      <c r="AF79" s="18" t="s">
        <v>82</v>
      </c>
      <c r="AG79" s="18" t="s">
        <v>81</v>
      </c>
      <c r="AH79" s="18" t="s">
        <v>80</v>
      </c>
      <c r="AI79" s="18" t="s">
        <v>79</v>
      </c>
      <c r="AJ79" s="18" t="s">
        <v>78</v>
      </c>
      <c r="AK79" s="18" t="s">
        <v>77</v>
      </c>
      <c r="AL79" s="18" t="s">
        <v>76</v>
      </c>
      <c r="AM79" s="18" t="s">
        <v>75</v>
      </c>
      <c r="AN79" s="18" t="s">
        <v>74</v>
      </c>
      <c r="AO79" s="18" t="s">
        <v>152</v>
      </c>
      <c r="AP79" s="18" t="s">
        <v>153</v>
      </c>
      <c r="AQ79" s="18" t="s">
        <v>154</v>
      </c>
      <c r="AR79" s="18" t="s">
        <v>155</v>
      </c>
      <c r="AS79" s="18" t="s">
        <v>156</v>
      </c>
      <c r="AT79" s="18" t="s">
        <v>157</v>
      </c>
      <c r="AU79" s="18" t="s">
        <v>158</v>
      </c>
    </row>
    <row r="80" spans="1:47" s="72" customFormat="1">
      <c r="C80" s="72" t="s">
        <v>2</v>
      </c>
      <c r="E80" s="72" t="s">
        <v>4</v>
      </c>
      <c r="F80" s="72" t="s">
        <v>150</v>
      </c>
      <c r="G80" s="72" t="s">
        <v>4</v>
      </c>
      <c r="H80" s="72" t="s">
        <v>148</v>
      </c>
      <c r="I80" s="72" t="s">
        <v>379</v>
      </c>
      <c r="J80" s="103">
        <v>96.100000000000009</v>
      </c>
      <c r="K80" s="102">
        <v>95</v>
      </c>
      <c r="L80" s="102">
        <v>98.3</v>
      </c>
      <c r="M80" s="102">
        <v>98.3</v>
      </c>
      <c r="N80" s="102">
        <v>98.3</v>
      </c>
      <c r="O80" s="102">
        <v>98.3</v>
      </c>
      <c r="P80" s="102">
        <v>95</v>
      </c>
      <c r="Q80" s="102">
        <v>98.3</v>
      </c>
      <c r="R80" s="102">
        <v>98.3</v>
      </c>
      <c r="S80" s="102">
        <v>98.3</v>
      </c>
      <c r="T80" s="102">
        <v>98.3</v>
      </c>
      <c r="U80" s="102">
        <v>98.3</v>
      </c>
      <c r="V80" s="102">
        <v>98.3</v>
      </c>
      <c r="W80" s="102">
        <v>98.3</v>
      </c>
      <c r="X80" s="102">
        <v>95</v>
      </c>
      <c r="Y80" s="102">
        <v>98.3</v>
      </c>
      <c r="Z80" s="102">
        <v>98.3</v>
      </c>
      <c r="AA80" s="102">
        <v>98.3</v>
      </c>
      <c r="AB80" s="102">
        <v>98.3</v>
      </c>
      <c r="AC80" s="102">
        <v>98.3</v>
      </c>
      <c r="AD80" s="102">
        <v>98.3</v>
      </c>
      <c r="AE80" s="102">
        <v>98.3</v>
      </c>
      <c r="AF80" s="102">
        <v>98.3</v>
      </c>
      <c r="AG80" s="102">
        <v>98.3</v>
      </c>
      <c r="AH80" s="102">
        <v>95</v>
      </c>
      <c r="AI80" s="102">
        <v>98.3</v>
      </c>
      <c r="AJ80" s="102">
        <v>98.3</v>
      </c>
      <c r="AK80" s="102">
        <v>98.3</v>
      </c>
      <c r="AL80" s="102">
        <v>98.3</v>
      </c>
      <c r="AM80" s="102">
        <v>95</v>
      </c>
      <c r="AN80" s="102">
        <v>98.3</v>
      </c>
      <c r="AO80" s="102">
        <v>98.3</v>
      </c>
      <c r="AP80" s="102">
        <v>98.3</v>
      </c>
      <c r="AQ80" s="102">
        <v>98.3</v>
      </c>
      <c r="AR80" s="102">
        <v>98.3</v>
      </c>
      <c r="AS80" s="102">
        <v>98.3</v>
      </c>
      <c r="AT80" s="102">
        <v>98.3</v>
      </c>
      <c r="AU80" s="102">
        <v>98.3</v>
      </c>
    </row>
    <row r="81" spans="1:47" s="72" customFormat="1">
      <c r="C81" s="72" t="s">
        <v>2</v>
      </c>
      <c r="E81" s="72" t="s">
        <v>5</v>
      </c>
      <c r="F81" s="72" t="s">
        <v>150</v>
      </c>
      <c r="G81" s="72" t="s">
        <v>5</v>
      </c>
      <c r="H81" s="72" t="s">
        <v>148</v>
      </c>
      <c r="I81" s="72" t="s">
        <v>379</v>
      </c>
      <c r="J81" s="103">
        <v>107.46666666666665</v>
      </c>
      <c r="K81" s="102">
        <v>110.6</v>
      </c>
      <c r="L81" s="102">
        <v>101.2</v>
      </c>
      <c r="M81" s="102">
        <v>101.2</v>
      </c>
      <c r="N81" s="102">
        <v>101.2</v>
      </c>
      <c r="O81" s="102">
        <v>101.2</v>
      </c>
      <c r="P81" s="102">
        <v>110.6</v>
      </c>
      <c r="Q81" s="102">
        <v>101.2</v>
      </c>
      <c r="R81" s="102">
        <v>101.2</v>
      </c>
      <c r="S81" s="102">
        <v>101.2</v>
      </c>
      <c r="T81" s="102">
        <v>101.2</v>
      </c>
      <c r="U81" s="102">
        <v>101.2</v>
      </c>
      <c r="V81" s="102">
        <v>101.2</v>
      </c>
      <c r="W81" s="102">
        <v>101.2</v>
      </c>
      <c r="X81" s="102">
        <v>110.6</v>
      </c>
      <c r="Y81" s="102">
        <v>101.2</v>
      </c>
      <c r="Z81" s="102">
        <v>101.2</v>
      </c>
      <c r="AA81" s="102">
        <v>101.2</v>
      </c>
      <c r="AB81" s="102">
        <v>101.2</v>
      </c>
      <c r="AC81" s="102">
        <v>101.2</v>
      </c>
      <c r="AD81" s="102">
        <v>101.2</v>
      </c>
      <c r="AE81" s="102">
        <v>101.2</v>
      </c>
      <c r="AF81" s="102">
        <v>101.2</v>
      </c>
      <c r="AG81" s="102">
        <v>101.2</v>
      </c>
      <c r="AH81" s="102">
        <v>110.6</v>
      </c>
      <c r="AI81" s="102">
        <v>101.2</v>
      </c>
      <c r="AJ81" s="102">
        <v>101.2</v>
      </c>
      <c r="AK81" s="102">
        <v>101.2</v>
      </c>
      <c r="AL81" s="102">
        <v>101.2</v>
      </c>
      <c r="AM81" s="102">
        <v>110.6</v>
      </c>
      <c r="AN81" s="102">
        <v>101.2</v>
      </c>
      <c r="AO81" s="102">
        <v>101.2</v>
      </c>
      <c r="AP81" s="102">
        <v>101.2</v>
      </c>
      <c r="AQ81" s="102">
        <v>101.2</v>
      </c>
      <c r="AR81" s="102">
        <v>101.2</v>
      </c>
      <c r="AS81" s="102">
        <v>101.2</v>
      </c>
      <c r="AT81" s="102">
        <v>101.2</v>
      </c>
      <c r="AU81" s="102">
        <v>101.2</v>
      </c>
    </row>
    <row r="82" spans="1:47" s="72" customFormat="1">
      <c r="C82" s="72" t="s">
        <v>2</v>
      </c>
      <c r="E82" s="72" t="s">
        <v>4</v>
      </c>
      <c r="F82" s="72" t="s">
        <v>150</v>
      </c>
      <c r="G82" s="72" t="s">
        <v>4</v>
      </c>
      <c r="H82" s="72" t="s">
        <v>151</v>
      </c>
      <c r="I82" s="72" t="s">
        <v>379</v>
      </c>
      <c r="J82" s="103">
        <v>11.795999999999999</v>
      </c>
      <c r="K82" s="102">
        <v>11.795999999999999</v>
      </c>
      <c r="L82" s="102">
        <v>11.795999999999999</v>
      </c>
      <c r="M82" s="102">
        <v>11.795999999999999</v>
      </c>
      <c r="N82" s="102">
        <v>11.795999999999999</v>
      </c>
      <c r="O82" s="102">
        <v>11.795999999999999</v>
      </c>
      <c r="P82" s="102">
        <v>11.795999999999999</v>
      </c>
      <c r="Q82" s="102">
        <v>11.795999999999999</v>
      </c>
      <c r="R82" s="102">
        <v>11.795999999999999</v>
      </c>
      <c r="S82" s="102">
        <v>11.795999999999999</v>
      </c>
      <c r="T82" s="102">
        <v>11.795999999999999</v>
      </c>
      <c r="U82" s="102">
        <v>11.795999999999999</v>
      </c>
      <c r="V82" s="102">
        <v>11.795999999999999</v>
      </c>
      <c r="W82" s="102">
        <v>11.795999999999999</v>
      </c>
      <c r="X82" s="102">
        <v>11.795999999999999</v>
      </c>
      <c r="Y82" s="102">
        <v>11.795999999999999</v>
      </c>
      <c r="Z82" s="102">
        <v>11.795999999999999</v>
      </c>
      <c r="AA82" s="102">
        <v>11.795999999999999</v>
      </c>
      <c r="AB82" s="102">
        <v>11.795999999999999</v>
      </c>
      <c r="AC82" s="102">
        <v>11.795999999999999</v>
      </c>
      <c r="AD82" s="102">
        <v>11.795999999999999</v>
      </c>
      <c r="AE82" s="102">
        <v>11.795999999999999</v>
      </c>
      <c r="AF82" s="102">
        <v>11.795999999999999</v>
      </c>
      <c r="AG82" s="102">
        <v>11.795999999999999</v>
      </c>
      <c r="AH82" s="102">
        <v>11.795999999999999</v>
      </c>
      <c r="AI82" s="102">
        <v>11.795999999999999</v>
      </c>
      <c r="AJ82" s="102">
        <v>11.795999999999999</v>
      </c>
      <c r="AK82" s="102">
        <v>11.795999999999999</v>
      </c>
      <c r="AL82" s="102">
        <v>11.795999999999999</v>
      </c>
      <c r="AM82" s="102">
        <v>11.795999999999999</v>
      </c>
      <c r="AN82" s="102">
        <v>11.795999999999999</v>
      </c>
      <c r="AO82" s="102">
        <v>11.795999999999999</v>
      </c>
      <c r="AP82" s="102">
        <v>11.795999999999999</v>
      </c>
      <c r="AQ82" s="102">
        <v>11.795999999999999</v>
      </c>
      <c r="AR82" s="102">
        <v>11.795999999999999</v>
      </c>
      <c r="AS82" s="102">
        <v>11.795999999999999</v>
      </c>
      <c r="AT82" s="102">
        <v>11.795999999999999</v>
      </c>
      <c r="AU82" s="102">
        <v>11.795999999999999</v>
      </c>
    </row>
    <row r="83" spans="1:47" s="72" customFormat="1">
      <c r="C83" s="72" t="s">
        <v>2</v>
      </c>
      <c r="E83" s="72" t="s">
        <v>5</v>
      </c>
      <c r="F83" s="72" t="s">
        <v>150</v>
      </c>
      <c r="G83" s="72" t="s">
        <v>5</v>
      </c>
      <c r="H83" s="72" t="s">
        <v>151</v>
      </c>
      <c r="I83" s="72" t="s">
        <v>379</v>
      </c>
      <c r="J83" s="103">
        <v>12.144</v>
      </c>
      <c r="K83" s="102">
        <v>12.144</v>
      </c>
      <c r="L83" s="102">
        <v>12.144</v>
      </c>
      <c r="M83" s="102">
        <v>12.144</v>
      </c>
      <c r="N83" s="102">
        <v>12.144</v>
      </c>
      <c r="O83" s="102">
        <v>12.144</v>
      </c>
      <c r="P83" s="102">
        <v>12.144</v>
      </c>
      <c r="Q83" s="102">
        <v>12.144</v>
      </c>
      <c r="R83" s="102">
        <v>12.144</v>
      </c>
      <c r="S83" s="102">
        <v>12.144</v>
      </c>
      <c r="T83" s="102">
        <v>12.144</v>
      </c>
      <c r="U83" s="102">
        <v>12.144</v>
      </c>
      <c r="V83" s="102">
        <v>12.144</v>
      </c>
      <c r="W83" s="102">
        <v>12.144</v>
      </c>
      <c r="X83" s="102">
        <v>12.144</v>
      </c>
      <c r="Y83" s="102">
        <v>12.144</v>
      </c>
      <c r="Z83" s="102">
        <v>12.144</v>
      </c>
      <c r="AA83" s="102">
        <v>12.144</v>
      </c>
      <c r="AB83" s="102">
        <v>12.144</v>
      </c>
      <c r="AC83" s="102">
        <v>12.144</v>
      </c>
      <c r="AD83" s="102">
        <v>12.144</v>
      </c>
      <c r="AE83" s="102">
        <v>12.144</v>
      </c>
      <c r="AF83" s="102">
        <v>12.144</v>
      </c>
      <c r="AG83" s="102">
        <v>12.144</v>
      </c>
      <c r="AH83" s="102">
        <v>12.144</v>
      </c>
      <c r="AI83" s="102">
        <v>12.144</v>
      </c>
      <c r="AJ83" s="102">
        <v>12.144</v>
      </c>
      <c r="AK83" s="102">
        <v>12.144</v>
      </c>
      <c r="AL83" s="102">
        <v>12.144</v>
      </c>
      <c r="AM83" s="102">
        <v>12.144</v>
      </c>
      <c r="AN83" s="102">
        <v>12.144</v>
      </c>
      <c r="AO83" s="102">
        <v>12.144</v>
      </c>
      <c r="AP83" s="102">
        <v>12.144</v>
      </c>
      <c r="AQ83" s="102">
        <v>12.144</v>
      </c>
      <c r="AR83" s="102">
        <v>12.144</v>
      </c>
      <c r="AS83" s="102">
        <v>12.144</v>
      </c>
      <c r="AT83" s="102">
        <v>12.144</v>
      </c>
      <c r="AU83" s="102">
        <v>12.144</v>
      </c>
    </row>
    <row r="84" spans="1:47" s="72" customFormat="1">
      <c r="C84" s="72" t="s">
        <v>2</v>
      </c>
      <c r="E84" s="72" t="s">
        <v>5</v>
      </c>
      <c r="F84" s="72" t="s">
        <v>283</v>
      </c>
      <c r="I84" s="72" t="s">
        <v>379</v>
      </c>
      <c r="J84" s="103">
        <v>13.970666666666666</v>
      </c>
      <c r="K84" s="102">
        <v>14.378</v>
      </c>
      <c r="L84" s="102">
        <v>13.156000000000001</v>
      </c>
      <c r="M84" s="102">
        <v>13.156000000000001</v>
      </c>
      <c r="N84" s="102">
        <v>13.156000000000001</v>
      </c>
      <c r="O84" s="102">
        <v>13.156000000000001</v>
      </c>
      <c r="P84" s="102">
        <v>14.378</v>
      </c>
      <c r="Q84" s="102">
        <v>13.156000000000001</v>
      </c>
      <c r="R84" s="102">
        <v>13.156000000000001</v>
      </c>
      <c r="S84" s="102">
        <v>13.156000000000001</v>
      </c>
      <c r="T84" s="102">
        <v>13.156000000000001</v>
      </c>
      <c r="U84" s="102">
        <v>13.156000000000001</v>
      </c>
      <c r="V84" s="102">
        <v>13.156000000000001</v>
      </c>
      <c r="W84" s="102">
        <v>13.156000000000001</v>
      </c>
      <c r="X84" s="102">
        <v>14.378</v>
      </c>
      <c r="Y84" s="102">
        <v>13.156000000000001</v>
      </c>
      <c r="Z84" s="102">
        <v>13.156000000000001</v>
      </c>
      <c r="AA84" s="102">
        <v>13.156000000000001</v>
      </c>
      <c r="AB84" s="102">
        <v>13.156000000000001</v>
      </c>
      <c r="AC84" s="102">
        <v>13.156000000000001</v>
      </c>
      <c r="AD84" s="102">
        <v>13.156000000000001</v>
      </c>
      <c r="AE84" s="102">
        <v>13.156000000000001</v>
      </c>
      <c r="AF84" s="102">
        <v>13.156000000000001</v>
      </c>
      <c r="AG84" s="102">
        <v>13.156000000000001</v>
      </c>
      <c r="AH84" s="102">
        <v>14.378</v>
      </c>
      <c r="AI84" s="102">
        <v>13.156000000000001</v>
      </c>
      <c r="AJ84" s="102">
        <v>13.156000000000001</v>
      </c>
      <c r="AK84" s="102">
        <v>13.156000000000001</v>
      </c>
      <c r="AL84" s="102">
        <v>13.156000000000001</v>
      </c>
      <c r="AM84" s="102">
        <v>14.378</v>
      </c>
      <c r="AN84" s="102">
        <v>13.156000000000001</v>
      </c>
      <c r="AO84" s="102">
        <v>13.156000000000001</v>
      </c>
      <c r="AP84" s="102">
        <v>13.156000000000001</v>
      </c>
      <c r="AQ84" s="102">
        <v>13.156000000000001</v>
      </c>
      <c r="AR84" s="102">
        <v>13.156000000000001</v>
      </c>
      <c r="AS84" s="102">
        <v>13.156000000000001</v>
      </c>
      <c r="AT84" s="102">
        <v>13.156000000000001</v>
      </c>
      <c r="AU84" s="102">
        <v>13.156000000000001</v>
      </c>
    </row>
    <row r="85" spans="1:47" s="72" customFormat="1">
      <c r="C85" s="72" t="s">
        <v>2</v>
      </c>
      <c r="E85" s="72" t="s">
        <v>4</v>
      </c>
      <c r="F85" s="72" t="s">
        <v>285</v>
      </c>
      <c r="I85" s="72" t="s">
        <v>379</v>
      </c>
      <c r="J85" s="103">
        <v>12.493</v>
      </c>
      <c r="K85" s="102">
        <v>12.35</v>
      </c>
      <c r="L85" s="102">
        <v>12.779</v>
      </c>
      <c r="M85" s="102">
        <v>12.779</v>
      </c>
      <c r="N85" s="102">
        <v>12.779</v>
      </c>
      <c r="O85" s="102">
        <v>12.779</v>
      </c>
      <c r="P85" s="102">
        <v>12.35</v>
      </c>
      <c r="Q85" s="102">
        <v>12.779</v>
      </c>
      <c r="R85" s="102">
        <v>12.779</v>
      </c>
      <c r="S85" s="102">
        <v>12.779</v>
      </c>
      <c r="T85" s="102">
        <v>12.779</v>
      </c>
      <c r="U85" s="102">
        <v>12.779</v>
      </c>
      <c r="V85" s="102">
        <v>12.779</v>
      </c>
      <c r="W85" s="102">
        <v>12.779</v>
      </c>
      <c r="X85" s="102">
        <v>12.35</v>
      </c>
      <c r="Y85" s="102">
        <v>12.779</v>
      </c>
      <c r="Z85" s="102">
        <v>12.779</v>
      </c>
      <c r="AA85" s="102">
        <v>12.779</v>
      </c>
      <c r="AB85" s="102">
        <v>12.779</v>
      </c>
      <c r="AC85" s="102">
        <v>12.779</v>
      </c>
      <c r="AD85" s="102">
        <v>12.779</v>
      </c>
      <c r="AE85" s="102">
        <v>12.779</v>
      </c>
      <c r="AF85" s="102">
        <v>12.779</v>
      </c>
      <c r="AG85" s="102">
        <v>12.779</v>
      </c>
      <c r="AH85" s="102">
        <v>12.35</v>
      </c>
      <c r="AI85" s="102">
        <v>12.779</v>
      </c>
      <c r="AJ85" s="102">
        <v>12.779</v>
      </c>
      <c r="AK85" s="102">
        <v>12.779</v>
      </c>
      <c r="AL85" s="102">
        <v>12.779</v>
      </c>
      <c r="AM85" s="102">
        <v>12.35</v>
      </c>
      <c r="AN85" s="102">
        <v>12.779</v>
      </c>
      <c r="AO85" s="102">
        <v>12.779</v>
      </c>
      <c r="AP85" s="102">
        <v>12.779</v>
      </c>
      <c r="AQ85" s="102">
        <v>12.779</v>
      </c>
      <c r="AR85" s="102">
        <v>12.779</v>
      </c>
      <c r="AS85" s="102">
        <v>12.779</v>
      </c>
      <c r="AT85" s="102">
        <v>12.779</v>
      </c>
      <c r="AU85" s="102">
        <v>12.779</v>
      </c>
    </row>
    <row r="86" spans="1:47" s="72" customFormat="1">
      <c r="C86" s="72" t="s">
        <v>2</v>
      </c>
      <c r="E86" s="72" t="s">
        <v>5</v>
      </c>
      <c r="F86" s="72" t="s">
        <v>287</v>
      </c>
      <c r="I86" s="72" t="s">
        <v>379</v>
      </c>
      <c r="J86" s="103">
        <v>11.821333333333333</v>
      </c>
      <c r="K86" s="102">
        <v>12.165999999999999</v>
      </c>
      <c r="L86" s="102">
        <v>11.132</v>
      </c>
      <c r="M86" s="102">
        <v>11.132</v>
      </c>
      <c r="N86" s="102">
        <v>11.132</v>
      </c>
      <c r="O86" s="102">
        <v>11.132</v>
      </c>
      <c r="P86" s="102">
        <v>12.165999999999999</v>
      </c>
      <c r="Q86" s="102">
        <v>11.132</v>
      </c>
      <c r="R86" s="102">
        <v>11.132</v>
      </c>
      <c r="S86" s="102">
        <v>11.132</v>
      </c>
      <c r="T86" s="102">
        <v>11.132</v>
      </c>
      <c r="U86" s="102">
        <v>11.132</v>
      </c>
      <c r="V86" s="102">
        <v>11.132</v>
      </c>
      <c r="W86" s="102">
        <v>11.132</v>
      </c>
      <c r="X86" s="102">
        <v>12.165999999999999</v>
      </c>
      <c r="Y86" s="102">
        <v>11.132</v>
      </c>
      <c r="Z86" s="102">
        <v>11.132</v>
      </c>
      <c r="AA86" s="102">
        <v>11.132</v>
      </c>
      <c r="AB86" s="102">
        <v>11.132</v>
      </c>
      <c r="AC86" s="102">
        <v>11.132</v>
      </c>
      <c r="AD86" s="102">
        <v>11.132</v>
      </c>
      <c r="AE86" s="102">
        <v>11.132</v>
      </c>
      <c r="AF86" s="102">
        <v>11.132</v>
      </c>
      <c r="AG86" s="102">
        <v>11.132</v>
      </c>
      <c r="AH86" s="102">
        <v>12.165999999999999</v>
      </c>
      <c r="AI86" s="102">
        <v>11.132</v>
      </c>
      <c r="AJ86" s="102">
        <v>11.132</v>
      </c>
      <c r="AK86" s="102">
        <v>11.132</v>
      </c>
      <c r="AL86" s="102">
        <v>11.132</v>
      </c>
      <c r="AM86" s="102">
        <v>12.165999999999999</v>
      </c>
      <c r="AN86" s="102">
        <v>11.132</v>
      </c>
      <c r="AO86" s="102">
        <v>11.132</v>
      </c>
      <c r="AP86" s="102">
        <v>11.132</v>
      </c>
      <c r="AQ86" s="102">
        <v>11.132</v>
      </c>
      <c r="AR86" s="102">
        <v>11.132</v>
      </c>
      <c r="AS86" s="102">
        <v>11.132</v>
      </c>
      <c r="AT86" s="102">
        <v>11.132</v>
      </c>
      <c r="AU86" s="102">
        <v>11.132</v>
      </c>
    </row>
    <row r="87" spans="1:47" s="72" customFormat="1">
      <c r="C87" s="72" t="s">
        <v>2</v>
      </c>
      <c r="E87" s="72" t="s">
        <v>4</v>
      </c>
      <c r="F87" s="72" t="s">
        <v>289</v>
      </c>
      <c r="I87" s="72" t="s">
        <v>379</v>
      </c>
      <c r="J87" s="103">
        <v>9.61</v>
      </c>
      <c r="K87" s="102">
        <v>9.5</v>
      </c>
      <c r="L87" s="102">
        <v>9.83</v>
      </c>
      <c r="M87" s="102">
        <v>9.83</v>
      </c>
      <c r="N87" s="102">
        <v>9.83</v>
      </c>
      <c r="O87" s="102">
        <v>9.83</v>
      </c>
      <c r="P87" s="102">
        <v>9.5</v>
      </c>
      <c r="Q87" s="102">
        <v>9.83</v>
      </c>
      <c r="R87" s="102">
        <v>9.83</v>
      </c>
      <c r="S87" s="102">
        <v>9.83</v>
      </c>
      <c r="T87" s="102">
        <v>9.83</v>
      </c>
      <c r="U87" s="102">
        <v>9.83</v>
      </c>
      <c r="V87" s="102">
        <v>9.83</v>
      </c>
      <c r="W87" s="102">
        <v>9.83</v>
      </c>
      <c r="X87" s="102">
        <v>9.5</v>
      </c>
      <c r="Y87" s="102">
        <v>9.83</v>
      </c>
      <c r="Z87" s="102">
        <v>9.83</v>
      </c>
      <c r="AA87" s="102">
        <v>9.83</v>
      </c>
      <c r="AB87" s="102">
        <v>9.83</v>
      </c>
      <c r="AC87" s="102">
        <v>9.83</v>
      </c>
      <c r="AD87" s="102">
        <v>9.83</v>
      </c>
      <c r="AE87" s="102">
        <v>9.83</v>
      </c>
      <c r="AF87" s="102">
        <v>9.83</v>
      </c>
      <c r="AG87" s="102">
        <v>9.83</v>
      </c>
      <c r="AH87" s="102">
        <v>9.5</v>
      </c>
      <c r="AI87" s="102">
        <v>9.83</v>
      </c>
      <c r="AJ87" s="102">
        <v>9.83</v>
      </c>
      <c r="AK87" s="102">
        <v>9.83</v>
      </c>
      <c r="AL87" s="102">
        <v>9.83</v>
      </c>
      <c r="AM87" s="102">
        <v>9.5</v>
      </c>
      <c r="AN87" s="102">
        <v>9.83</v>
      </c>
      <c r="AO87" s="102">
        <v>9.83</v>
      </c>
      <c r="AP87" s="102">
        <v>9.83</v>
      </c>
      <c r="AQ87" s="102">
        <v>9.83</v>
      </c>
      <c r="AR87" s="102">
        <v>9.83</v>
      </c>
      <c r="AS87" s="102">
        <v>9.83</v>
      </c>
      <c r="AT87" s="102">
        <v>9.83</v>
      </c>
      <c r="AU87" s="102">
        <v>9.83</v>
      </c>
    </row>
    <row r="88" spans="1:47" s="72" customFormat="1">
      <c r="C88" s="72" t="s">
        <v>2</v>
      </c>
      <c r="E88" s="72" t="s">
        <v>4</v>
      </c>
      <c r="F88" s="72" t="s">
        <v>291</v>
      </c>
      <c r="I88" s="72" t="s">
        <v>379</v>
      </c>
      <c r="J88" s="103">
        <v>11.531999999999998</v>
      </c>
      <c r="K88" s="102">
        <v>11.4</v>
      </c>
      <c r="L88" s="102">
        <v>11.795999999999999</v>
      </c>
      <c r="M88" s="102">
        <v>11.795999999999999</v>
      </c>
      <c r="N88" s="102">
        <v>11.795999999999999</v>
      </c>
      <c r="O88" s="102">
        <v>11.795999999999999</v>
      </c>
      <c r="P88" s="102">
        <v>11.4</v>
      </c>
      <c r="Q88" s="102">
        <v>11.795999999999999</v>
      </c>
      <c r="R88" s="102">
        <v>11.795999999999999</v>
      </c>
      <c r="S88" s="102">
        <v>11.795999999999999</v>
      </c>
      <c r="T88" s="102">
        <v>11.795999999999999</v>
      </c>
      <c r="U88" s="102">
        <v>11.795999999999999</v>
      </c>
      <c r="V88" s="102">
        <v>11.795999999999999</v>
      </c>
      <c r="W88" s="102">
        <v>11.795999999999999</v>
      </c>
      <c r="X88" s="102">
        <v>11.4</v>
      </c>
      <c r="Y88" s="102">
        <v>11.795999999999999</v>
      </c>
      <c r="Z88" s="102">
        <v>11.795999999999999</v>
      </c>
      <c r="AA88" s="102">
        <v>11.795999999999999</v>
      </c>
      <c r="AB88" s="102">
        <v>11.795999999999999</v>
      </c>
      <c r="AC88" s="102">
        <v>11.795999999999999</v>
      </c>
      <c r="AD88" s="102">
        <v>11.795999999999999</v>
      </c>
      <c r="AE88" s="102">
        <v>11.795999999999999</v>
      </c>
      <c r="AF88" s="102">
        <v>11.795999999999999</v>
      </c>
      <c r="AG88" s="102">
        <v>11.795999999999999</v>
      </c>
      <c r="AH88" s="102">
        <v>11.4</v>
      </c>
      <c r="AI88" s="102">
        <v>11.795999999999999</v>
      </c>
      <c r="AJ88" s="102">
        <v>11.795999999999999</v>
      </c>
      <c r="AK88" s="102">
        <v>11.795999999999999</v>
      </c>
      <c r="AL88" s="102">
        <v>11.795999999999999</v>
      </c>
      <c r="AM88" s="102">
        <v>11.4</v>
      </c>
      <c r="AN88" s="102">
        <v>11.795999999999999</v>
      </c>
      <c r="AO88" s="102">
        <v>11.795999999999999</v>
      </c>
      <c r="AP88" s="102">
        <v>11.795999999999999</v>
      </c>
      <c r="AQ88" s="102">
        <v>11.795999999999999</v>
      </c>
      <c r="AR88" s="102">
        <v>11.795999999999999</v>
      </c>
      <c r="AS88" s="102">
        <v>11.795999999999999</v>
      </c>
      <c r="AT88" s="102">
        <v>11.795999999999999</v>
      </c>
      <c r="AU88" s="102">
        <v>11.795999999999999</v>
      </c>
    </row>
    <row r="89" spans="1:47" s="75" customFormat="1">
      <c r="C89" s="76" t="s">
        <v>2</v>
      </c>
      <c r="E89" s="76" t="s">
        <v>4</v>
      </c>
      <c r="F89" s="76" t="s">
        <v>150</v>
      </c>
      <c r="G89" s="76" t="str">
        <f t="shared" ref="G89:G94" si="0">E89</f>
        <v>ELCCOH</v>
      </c>
      <c r="H89" s="104" t="s">
        <v>148</v>
      </c>
      <c r="I89" s="76" t="s">
        <v>3</v>
      </c>
      <c r="J89" s="105">
        <f t="shared" ref="J89:J99" si="1">AVERAGE(AH89,AL89,AM89)</f>
        <v>96.100000000000009</v>
      </c>
      <c r="K89" s="106">
        <f>'ETS Emissions'!C89</f>
        <v>95</v>
      </c>
      <c r="L89" s="106">
        <f>'ETS Emissions'!D89</f>
        <v>98.3</v>
      </c>
      <c r="M89" s="106">
        <f>'ETS Emissions'!E89</f>
        <v>98.3</v>
      </c>
      <c r="N89" s="106">
        <f>'ETS Emissions'!F89</f>
        <v>98.3</v>
      </c>
      <c r="O89" s="106">
        <f>'ETS Emissions'!G89</f>
        <v>98.3</v>
      </c>
      <c r="P89" s="106">
        <f>'ETS Emissions'!H89</f>
        <v>95</v>
      </c>
      <c r="Q89" s="106">
        <f>'ETS Emissions'!I89</f>
        <v>98.3</v>
      </c>
      <c r="R89" s="106">
        <f>'ETS Emissions'!J89</f>
        <v>98.3</v>
      </c>
      <c r="S89" s="106">
        <f>'ETS Emissions'!K89</f>
        <v>98.3</v>
      </c>
      <c r="T89" s="106">
        <f>'ETS Emissions'!L89</f>
        <v>98.3</v>
      </c>
      <c r="U89" s="106">
        <f>'ETS Emissions'!M89</f>
        <v>98.3</v>
      </c>
      <c r="V89" s="106">
        <f>'ETS Emissions'!N89</f>
        <v>98.3</v>
      </c>
      <c r="W89" s="106">
        <f>'ETS Emissions'!O89</f>
        <v>98.3</v>
      </c>
      <c r="X89" s="106">
        <f>'ETS Emissions'!P89</f>
        <v>95</v>
      </c>
      <c r="Y89" s="106">
        <f>'ETS Emissions'!Q89</f>
        <v>98.3</v>
      </c>
      <c r="Z89" s="106">
        <f>'ETS Emissions'!R89</f>
        <v>98.3</v>
      </c>
      <c r="AA89" s="106">
        <f>'ETS Emissions'!S89</f>
        <v>98.3</v>
      </c>
      <c r="AB89" s="106">
        <f>'ETS Emissions'!T89</f>
        <v>98.3</v>
      </c>
      <c r="AC89" s="106">
        <f>'ETS Emissions'!U89</f>
        <v>98.3</v>
      </c>
      <c r="AD89" s="106">
        <f>'ETS Emissions'!V89</f>
        <v>98.3</v>
      </c>
      <c r="AE89" s="106">
        <f>'ETS Emissions'!W89</f>
        <v>98.3</v>
      </c>
      <c r="AF89" s="106">
        <f>'ETS Emissions'!X89</f>
        <v>98.3</v>
      </c>
      <c r="AG89" s="106">
        <f>'ETS Emissions'!Y89</f>
        <v>98.3</v>
      </c>
      <c r="AH89" s="106">
        <f>'ETS Emissions'!Z89</f>
        <v>95</v>
      </c>
      <c r="AI89" s="106">
        <f>'ETS Emissions'!AA89</f>
        <v>98.3</v>
      </c>
      <c r="AJ89" s="106">
        <f>'ETS Emissions'!AB89</f>
        <v>98.3</v>
      </c>
      <c r="AK89" s="106">
        <f>'ETS Emissions'!AC89</f>
        <v>98.3</v>
      </c>
      <c r="AL89" s="106">
        <f>'ETS Emissions'!AD89</f>
        <v>98.3</v>
      </c>
      <c r="AM89" s="106">
        <f>'ETS Emissions'!AE89</f>
        <v>95</v>
      </c>
      <c r="AN89" s="106">
        <f>'ETS Emissions'!AF89</f>
        <v>98.3</v>
      </c>
      <c r="AO89" s="106">
        <f>'ETS Emissions'!AG89</f>
        <v>98.3</v>
      </c>
      <c r="AP89" s="106">
        <f>'ETS Emissions'!AH89</f>
        <v>98.3</v>
      </c>
      <c r="AQ89" s="106">
        <f>'ETS Emissions'!AI89</f>
        <v>98.3</v>
      </c>
      <c r="AR89" s="106">
        <f>'ETS Emissions'!AJ89</f>
        <v>98.3</v>
      </c>
      <c r="AS89" s="106">
        <f>'ETS Emissions'!AK89</f>
        <v>98.3</v>
      </c>
      <c r="AT89" s="106">
        <f>'ETS Emissions'!AL89</f>
        <v>98.3</v>
      </c>
      <c r="AU89" s="106">
        <f>'ETS Emissions'!AM89</f>
        <v>98.3</v>
      </c>
    </row>
    <row r="90" spans="1:47" s="75" customFormat="1">
      <c r="C90" s="76" t="s">
        <v>2</v>
      </c>
      <c r="E90" s="76" t="s">
        <v>5</v>
      </c>
      <c r="F90" s="76" t="s">
        <v>150</v>
      </c>
      <c r="G90" s="76" t="str">
        <f t="shared" si="0"/>
        <v>ELCCOL</v>
      </c>
      <c r="H90" s="104" t="s">
        <v>148</v>
      </c>
      <c r="I90" s="76" t="s">
        <v>3</v>
      </c>
      <c r="J90" s="105">
        <f t="shared" si="1"/>
        <v>107.46666666666665</v>
      </c>
      <c r="K90" s="106">
        <f>'ETS Emissions'!C90</f>
        <v>110.6</v>
      </c>
      <c r="L90" s="106">
        <f>'ETS Emissions'!D90</f>
        <v>101.2</v>
      </c>
      <c r="M90" s="106">
        <f>'ETS Emissions'!E90</f>
        <v>101.2</v>
      </c>
      <c r="N90" s="106">
        <f>'ETS Emissions'!F90</f>
        <v>101.2</v>
      </c>
      <c r="O90" s="106">
        <f>'ETS Emissions'!G90</f>
        <v>101.2</v>
      </c>
      <c r="P90" s="106">
        <f>'ETS Emissions'!H90</f>
        <v>110.6</v>
      </c>
      <c r="Q90" s="106">
        <f>'ETS Emissions'!I90</f>
        <v>101.2</v>
      </c>
      <c r="R90" s="106">
        <f>'ETS Emissions'!J90</f>
        <v>101.2</v>
      </c>
      <c r="S90" s="106">
        <f>'ETS Emissions'!K90</f>
        <v>101.2</v>
      </c>
      <c r="T90" s="106">
        <f>'ETS Emissions'!L90</f>
        <v>101.2</v>
      </c>
      <c r="U90" s="106">
        <f>'ETS Emissions'!M90</f>
        <v>101.2</v>
      </c>
      <c r="V90" s="106">
        <f>'ETS Emissions'!N90</f>
        <v>101.2</v>
      </c>
      <c r="W90" s="106">
        <f>'ETS Emissions'!O90</f>
        <v>101.2</v>
      </c>
      <c r="X90" s="106">
        <f>'ETS Emissions'!P90</f>
        <v>110.6</v>
      </c>
      <c r="Y90" s="106">
        <f>'ETS Emissions'!Q90</f>
        <v>101.2</v>
      </c>
      <c r="Z90" s="106">
        <f>'ETS Emissions'!R90</f>
        <v>101.2</v>
      </c>
      <c r="AA90" s="106">
        <f>'ETS Emissions'!S90</f>
        <v>101.2</v>
      </c>
      <c r="AB90" s="106">
        <f>'ETS Emissions'!T90</f>
        <v>101.2</v>
      </c>
      <c r="AC90" s="106">
        <f>'ETS Emissions'!U90</f>
        <v>101.2</v>
      </c>
      <c r="AD90" s="106">
        <f>'ETS Emissions'!V90</f>
        <v>101.2</v>
      </c>
      <c r="AE90" s="106">
        <f>'ETS Emissions'!W90</f>
        <v>101.2</v>
      </c>
      <c r="AF90" s="106">
        <f>'ETS Emissions'!X90</f>
        <v>101.2</v>
      </c>
      <c r="AG90" s="106">
        <f>'ETS Emissions'!Y90</f>
        <v>101.2</v>
      </c>
      <c r="AH90" s="106">
        <f>'ETS Emissions'!Z90</f>
        <v>110.6</v>
      </c>
      <c r="AI90" s="106">
        <f>'ETS Emissions'!AA90</f>
        <v>101.2</v>
      </c>
      <c r="AJ90" s="106">
        <f>'ETS Emissions'!AB90</f>
        <v>101.2</v>
      </c>
      <c r="AK90" s="106">
        <f>'ETS Emissions'!AC90</f>
        <v>101.2</v>
      </c>
      <c r="AL90" s="106">
        <f>'ETS Emissions'!AD90</f>
        <v>101.2</v>
      </c>
      <c r="AM90" s="106">
        <f>'ETS Emissions'!AE90</f>
        <v>110.6</v>
      </c>
      <c r="AN90" s="106">
        <f>'ETS Emissions'!AF90</f>
        <v>101.2</v>
      </c>
      <c r="AO90" s="106">
        <f>'ETS Emissions'!AG90</f>
        <v>101.2</v>
      </c>
      <c r="AP90" s="106">
        <f>'ETS Emissions'!AH90</f>
        <v>101.2</v>
      </c>
      <c r="AQ90" s="106">
        <f>'ETS Emissions'!AI90</f>
        <v>101.2</v>
      </c>
      <c r="AR90" s="106">
        <f>'ETS Emissions'!AJ90</f>
        <v>101.2</v>
      </c>
      <c r="AS90" s="106">
        <f>'ETS Emissions'!AK90</f>
        <v>101.2</v>
      </c>
      <c r="AT90" s="106">
        <f>'ETS Emissions'!AL90</f>
        <v>101.2</v>
      </c>
      <c r="AU90" s="106">
        <f>'ETS Emissions'!AM90</f>
        <v>101.2</v>
      </c>
    </row>
    <row r="91" spans="1:47" s="75" customFormat="1">
      <c r="A91" s="101"/>
      <c r="B91" s="101"/>
      <c r="C91" s="76" t="s">
        <v>2</v>
      </c>
      <c r="E91" s="76" t="s">
        <v>4</v>
      </c>
      <c r="F91" s="76" t="s">
        <v>150</v>
      </c>
      <c r="G91" s="76" t="str">
        <f t="shared" si="0"/>
        <v>ELCCOH</v>
      </c>
      <c r="H91" s="76" t="s">
        <v>151</v>
      </c>
      <c r="I91" s="76" t="s">
        <v>3</v>
      </c>
      <c r="J91" s="105">
        <f t="shared" si="1"/>
        <v>11.795999999999999</v>
      </c>
      <c r="K91" s="78">
        <v>11.795999999999999</v>
      </c>
      <c r="L91" s="78">
        <v>11.795999999999999</v>
      </c>
      <c r="M91" s="78">
        <v>11.795999999999999</v>
      </c>
      <c r="N91" s="78">
        <v>11.795999999999999</v>
      </c>
      <c r="O91" s="78">
        <v>11.795999999999999</v>
      </c>
      <c r="P91" s="78">
        <v>11.795999999999999</v>
      </c>
      <c r="Q91" s="78">
        <v>11.795999999999999</v>
      </c>
      <c r="R91" s="78">
        <v>11.795999999999999</v>
      </c>
      <c r="S91" s="78">
        <v>11.795999999999999</v>
      </c>
      <c r="T91" s="78">
        <v>11.795999999999999</v>
      </c>
      <c r="U91" s="78">
        <v>11.795999999999999</v>
      </c>
      <c r="V91" s="78">
        <v>11.795999999999999</v>
      </c>
      <c r="W91" s="78">
        <v>11.795999999999999</v>
      </c>
      <c r="X91" s="78">
        <v>11.795999999999999</v>
      </c>
      <c r="Y91" s="78">
        <v>11.795999999999999</v>
      </c>
      <c r="Z91" s="78">
        <v>11.795999999999999</v>
      </c>
      <c r="AA91" s="78">
        <v>11.795999999999999</v>
      </c>
      <c r="AB91" s="78">
        <v>11.795999999999999</v>
      </c>
      <c r="AC91" s="78">
        <v>11.795999999999999</v>
      </c>
      <c r="AD91" s="78">
        <v>11.795999999999999</v>
      </c>
      <c r="AE91" s="78">
        <v>11.795999999999999</v>
      </c>
      <c r="AF91" s="78">
        <v>11.795999999999999</v>
      </c>
      <c r="AG91" s="78">
        <v>11.795999999999999</v>
      </c>
      <c r="AH91" s="78">
        <v>11.795999999999999</v>
      </c>
      <c r="AI91" s="78">
        <v>11.795999999999999</v>
      </c>
      <c r="AJ91" s="78">
        <v>11.795999999999999</v>
      </c>
      <c r="AK91" s="78">
        <v>11.795999999999999</v>
      </c>
      <c r="AL91" s="78">
        <v>11.795999999999999</v>
      </c>
      <c r="AM91" s="78">
        <v>11.795999999999999</v>
      </c>
      <c r="AN91" s="78">
        <v>11.795999999999999</v>
      </c>
      <c r="AO91" s="78">
        <v>11.795999999999999</v>
      </c>
      <c r="AP91" s="78">
        <v>11.795999999999999</v>
      </c>
      <c r="AQ91" s="78">
        <v>11.795999999999999</v>
      </c>
      <c r="AR91" s="78">
        <v>11.795999999999999</v>
      </c>
      <c r="AS91" s="78">
        <v>11.795999999999999</v>
      </c>
      <c r="AT91" s="78">
        <v>11.795999999999999</v>
      </c>
      <c r="AU91" s="78">
        <v>11.795999999999999</v>
      </c>
    </row>
    <row r="92" spans="1:47" s="75" customFormat="1">
      <c r="A92" s="101"/>
      <c r="B92" s="101"/>
      <c r="C92" s="76" t="s">
        <v>2</v>
      </c>
      <c r="E92" s="76" t="s">
        <v>5</v>
      </c>
      <c r="F92" s="76" t="s">
        <v>150</v>
      </c>
      <c r="G92" s="76" t="str">
        <f t="shared" si="0"/>
        <v>ELCCOL</v>
      </c>
      <c r="H92" s="76" t="s">
        <v>151</v>
      </c>
      <c r="I92" s="76" t="s">
        <v>3</v>
      </c>
      <c r="J92" s="105">
        <f t="shared" si="1"/>
        <v>12.144</v>
      </c>
      <c r="K92" s="78">
        <v>12.144</v>
      </c>
      <c r="L92" s="78">
        <v>12.144</v>
      </c>
      <c r="M92" s="78">
        <v>12.144</v>
      </c>
      <c r="N92" s="78">
        <v>12.144</v>
      </c>
      <c r="O92" s="78">
        <v>12.144</v>
      </c>
      <c r="P92" s="78">
        <v>12.144</v>
      </c>
      <c r="Q92" s="78">
        <v>12.144</v>
      </c>
      <c r="R92" s="78">
        <v>12.144</v>
      </c>
      <c r="S92" s="78">
        <v>12.144</v>
      </c>
      <c r="T92" s="78">
        <v>12.144</v>
      </c>
      <c r="U92" s="78">
        <v>12.144</v>
      </c>
      <c r="V92" s="78">
        <v>12.144</v>
      </c>
      <c r="W92" s="78">
        <v>12.144</v>
      </c>
      <c r="X92" s="78">
        <v>12.144</v>
      </c>
      <c r="Y92" s="78">
        <v>12.144</v>
      </c>
      <c r="Z92" s="78">
        <v>12.144</v>
      </c>
      <c r="AA92" s="78">
        <v>12.144</v>
      </c>
      <c r="AB92" s="78">
        <v>12.144</v>
      </c>
      <c r="AC92" s="78">
        <v>12.144</v>
      </c>
      <c r="AD92" s="78">
        <v>12.144</v>
      </c>
      <c r="AE92" s="78">
        <v>12.144</v>
      </c>
      <c r="AF92" s="78">
        <v>12.144</v>
      </c>
      <c r="AG92" s="78">
        <v>12.144</v>
      </c>
      <c r="AH92" s="78">
        <v>12.144</v>
      </c>
      <c r="AI92" s="78">
        <v>12.144</v>
      </c>
      <c r="AJ92" s="78">
        <v>12.144</v>
      </c>
      <c r="AK92" s="78">
        <v>12.144</v>
      </c>
      <c r="AL92" s="78">
        <v>12.144</v>
      </c>
      <c r="AM92" s="78">
        <v>12.144</v>
      </c>
      <c r="AN92" s="78">
        <v>12.144</v>
      </c>
      <c r="AO92" s="78">
        <v>12.144</v>
      </c>
      <c r="AP92" s="78">
        <v>12.144</v>
      </c>
      <c r="AQ92" s="78">
        <v>12.144</v>
      </c>
      <c r="AR92" s="78">
        <v>12.144</v>
      </c>
      <c r="AS92" s="78">
        <v>12.144</v>
      </c>
      <c r="AT92" s="78">
        <v>12.144</v>
      </c>
      <c r="AU92" s="78">
        <v>12.144</v>
      </c>
    </row>
    <row r="93" spans="1:47" s="75" customFormat="1">
      <c r="A93" s="101"/>
      <c r="B93" s="101"/>
      <c r="C93" s="76" t="s">
        <v>2</v>
      </c>
      <c r="E93" s="76" t="s">
        <v>4</v>
      </c>
      <c r="F93" s="76" t="s">
        <v>150</v>
      </c>
      <c r="G93" s="76" t="str">
        <f t="shared" si="0"/>
        <v>ELCCOH</v>
      </c>
      <c r="H93" s="76" t="s">
        <v>151</v>
      </c>
      <c r="I93" s="76" t="s">
        <v>385</v>
      </c>
      <c r="J93" s="105">
        <f t="shared" si="1"/>
        <v>84.304000000000002</v>
      </c>
      <c r="K93" s="78">
        <f>K89-K91</f>
        <v>83.204000000000008</v>
      </c>
      <c r="L93" s="78">
        <f t="shared" ref="L93:AN94" si="2">L89-L91</f>
        <v>86.503999999999991</v>
      </c>
      <c r="M93" s="78">
        <f t="shared" si="2"/>
        <v>86.503999999999991</v>
      </c>
      <c r="N93" s="78">
        <f t="shared" si="2"/>
        <v>86.503999999999991</v>
      </c>
      <c r="O93" s="78">
        <f t="shared" si="2"/>
        <v>86.503999999999991</v>
      </c>
      <c r="P93" s="78">
        <f t="shared" si="2"/>
        <v>83.204000000000008</v>
      </c>
      <c r="Q93" s="78">
        <f t="shared" si="2"/>
        <v>86.503999999999991</v>
      </c>
      <c r="R93" s="78">
        <f t="shared" si="2"/>
        <v>86.503999999999991</v>
      </c>
      <c r="S93" s="78">
        <f t="shared" si="2"/>
        <v>86.503999999999991</v>
      </c>
      <c r="T93" s="78">
        <f t="shared" si="2"/>
        <v>86.503999999999991</v>
      </c>
      <c r="U93" s="78">
        <f t="shared" si="2"/>
        <v>86.503999999999991</v>
      </c>
      <c r="V93" s="78">
        <f t="shared" si="2"/>
        <v>86.503999999999991</v>
      </c>
      <c r="W93" s="78">
        <f t="shared" si="2"/>
        <v>86.503999999999991</v>
      </c>
      <c r="X93" s="78">
        <f t="shared" si="2"/>
        <v>83.204000000000008</v>
      </c>
      <c r="Y93" s="78">
        <f t="shared" si="2"/>
        <v>86.503999999999991</v>
      </c>
      <c r="Z93" s="78">
        <f>Z89-Z91</f>
        <v>86.503999999999991</v>
      </c>
      <c r="AA93" s="78">
        <f t="shared" si="2"/>
        <v>86.503999999999991</v>
      </c>
      <c r="AB93" s="78">
        <f t="shared" si="2"/>
        <v>86.503999999999991</v>
      </c>
      <c r="AC93" s="78">
        <f t="shared" si="2"/>
        <v>86.503999999999991</v>
      </c>
      <c r="AD93" s="78">
        <f t="shared" si="2"/>
        <v>86.503999999999991</v>
      </c>
      <c r="AE93" s="78">
        <f t="shared" si="2"/>
        <v>86.503999999999991</v>
      </c>
      <c r="AF93" s="78">
        <f t="shared" si="2"/>
        <v>86.503999999999991</v>
      </c>
      <c r="AG93" s="78">
        <f t="shared" si="2"/>
        <v>86.503999999999991</v>
      </c>
      <c r="AH93" s="78">
        <f t="shared" si="2"/>
        <v>83.204000000000008</v>
      </c>
      <c r="AI93" s="78">
        <f t="shared" si="2"/>
        <v>86.503999999999991</v>
      </c>
      <c r="AJ93" s="78">
        <f t="shared" si="2"/>
        <v>86.503999999999991</v>
      </c>
      <c r="AK93" s="78">
        <f t="shared" si="2"/>
        <v>86.503999999999991</v>
      </c>
      <c r="AL93" s="78">
        <f t="shared" si="2"/>
        <v>86.503999999999991</v>
      </c>
      <c r="AM93" s="78">
        <f t="shared" si="2"/>
        <v>83.204000000000008</v>
      </c>
      <c r="AN93" s="78">
        <f t="shared" si="2"/>
        <v>86.503999999999991</v>
      </c>
      <c r="AO93" s="78">
        <f t="shared" ref="AO93:AU93" si="3">AO89-AO91</f>
        <v>86.503999999999991</v>
      </c>
      <c r="AP93" s="78">
        <f t="shared" si="3"/>
        <v>86.503999999999991</v>
      </c>
      <c r="AQ93" s="78">
        <f t="shared" si="3"/>
        <v>86.503999999999991</v>
      </c>
      <c r="AR93" s="78">
        <f t="shared" si="3"/>
        <v>86.503999999999991</v>
      </c>
      <c r="AS93" s="78">
        <f t="shared" si="3"/>
        <v>86.503999999999991</v>
      </c>
      <c r="AT93" s="78">
        <f t="shared" si="3"/>
        <v>86.503999999999991</v>
      </c>
      <c r="AU93" s="78">
        <f t="shared" si="3"/>
        <v>86.503999999999991</v>
      </c>
    </row>
    <row r="94" spans="1:47" s="75" customFormat="1">
      <c r="A94" s="101"/>
      <c r="B94" s="101"/>
      <c r="C94" s="76" t="s">
        <v>2</v>
      </c>
      <c r="E94" s="76" t="s">
        <v>5</v>
      </c>
      <c r="F94" s="76" t="s">
        <v>150</v>
      </c>
      <c r="G94" s="76" t="str">
        <f t="shared" si="0"/>
        <v>ELCCOL</v>
      </c>
      <c r="H94" s="76" t="s">
        <v>151</v>
      </c>
      <c r="I94" s="76" t="s">
        <v>385</v>
      </c>
      <c r="J94" s="105">
        <f t="shared" si="1"/>
        <v>95.322666666666649</v>
      </c>
      <c r="K94" s="78">
        <f>K90-K92</f>
        <v>98.455999999999989</v>
      </c>
      <c r="L94" s="78">
        <f t="shared" si="2"/>
        <v>89.055999999999997</v>
      </c>
      <c r="M94" s="78">
        <f t="shared" si="2"/>
        <v>89.055999999999997</v>
      </c>
      <c r="N94" s="78">
        <f t="shared" si="2"/>
        <v>89.055999999999997</v>
      </c>
      <c r="O94" s="78">
        <f t="shared" si="2"/>
        <v>89.055999999999997</v>
      </c>
      <c r="P94" s="78">
        <f t="shared" si="2"/>
        <v>98.455999999999989</v>
      </c>
      <c r="Q94" s="78">
        <f t="shared" si="2"/>
        <v>89.055999999999997</v>
      </c>
      <c r="R94" s="78">
        <f t="shared" si="2"/>
        <v>89.055999999999997</v>
      </c>
      <c r="S94" s="78">
        <f t="shared" si="2"/>
        <v>89.055999999999997</v>
      </c>
      <c r="T94" s="78">
        <f t="shared" si="2"/>
        <v>89.055999999999997</v>
      </c>
      <c r="U94" s="78">
        <f t="shared" si="2"/>
        <v>89.055999999999997</v>
      </c>
      <c r="V94" s="78">
        <f t="shared" si="2"/>
        <v>89.055999999999997</v>
      </c>
      <c r="W94" s="78">
        <f t="shared" si="2"/>
        <v>89.055999999999997</v>
      </c>
      <c r="X94" s="78">
        <f t="shared" si="2"/>
        <v>98.455999999999989</v>
      </c>
      <c r="Y94" s="78">
        <f t="shared" si="2"/>
        <v>89.055999999999997</v>
      </c>
      <c r="Z94" s="78">
        <f>Z90-Z92</f>
        <v>89.055999999999997</v>
      </c>
      <c r="AA94" s="78">
        <f t="shared" si="2"/>
        <v>89.055999999999997</v>
      </c>
      <c r="AB94" s="78">
        <f t="shared" si="2"/>
        <v>89.055999999999997</v>
      </c>
      <c r="AC94" s="78">
        <f t="shared" si="2"/>
        <v>89.055999999999997</v>
      </c>
      <c r="AD94" s="78">
        <f t="shared" si="2"/>
        <v>89.055999999999997</v>
      </c>
      <c r="AE94" s="78">
        <f t="shared" si="2"/>
        <v>89.055999999999997</v>
      </c>
      <c r="AF94" s="78">
        <f t="shared" si="2"/>
        <v>89.055999999999997</v>
      </c>
      <c r="AG94" s="78">
        <f t="shared" si="2"/>
        <v>89.055999999999997</v>
      </c>
      <c r="AH94" s="78">
        <f t="shared" si="2"/>
        <v>98.455999999999989</v>
      </c>
      <c r="AI94" s="78">
        <f t="shared" si="2"/>
        <v>89.055999999999997</v>
      </c>
      <c r="AJ94" s="78">
        <f t="shared" si="2"/>
        <v>89.055999999999997</v>
      </c>
      <c r="AK94" s="78">
        <f t="shared" si="2"/>
        <v>89.055999999999997</v>
      </c>
      <c r="AL94" s="78">
        <f t="shared" si="2"/>
        <v>89.055999999999997</v>
      </c>
      <c r="AM94" s="78">
        <f t="shared" si="2"/>
        <v>98.455999999999989</v>
      </c>
      <c r="AN94" s="78">
        <f t="shared" si="2"/>
        <v>89.055999999999997</v>
      </c>
      <c r="AO94" s="78">
        <f t="shared" ref="AO94:AU94" si="4">AO90-AO92</f>
        <v>89.055999999999997</v>
      </c>
      <c r="AP94" s="78">
        <f t="shared" si="4"/>
        <v>89.055999999999997</v>
      </c>
      <c r="AQ94" s="78">
        <f t="shared" si="4"/>
        <v>89.055999999999997</v>
      </c>
      <c r="AR94" s="78">
        <f t="shared" si="4"/>
        <v>89.055999999999997</v>
      </c>
      <c r="AS94" s="78">
        <f t="shared" si="4"/>
        <v>89.055999999999997</v>
      </c>
      <c r="AT94" s="78">
        <f t="shared" si="4"/>
        <v>89.055999999999997</v>
      </c>
      <c r="AU94" s="78">
        <f t="shared" si="4"/>
        <v>89.055999999999997</v>
      </c>
    </row>
    <row r="95" spans="1:47" s="75" customFormat="1">
      <c r="C95" s="76" t="s">
        <v>2</v>
      </c>
      <c r="D95" s="76"/>
      <c r="E95" s="76" t="s">
        <v>5</v>
      </c>
      <c r="F95" s="75" t="s">
        <v>283</v>
      </c>
      <c r="G95" s="76"/>
      <c r="H95" s="76"/>
      <c r="I95" s="76" t="s">
        <v>3</v>
      </c>
      <c r="J95" s="105">
        <f>AVERAGE(AH95,AL95,AM95)</f>
        <v>13.970666666666666</v>
      </c>
      <c r="K95" s="107">
        <f>0.13*K90</f>
        <v>14.378</v>
      </c>
      <c r="L95" s="107">
        <f t="shared" ref="L95:AU95" si="5">0.13*L90</f>
        <v>13.156000000000001</v>
      </c>
      <c r="M95" s="107">
        <f t="shared" si="5"/>
        <v>13.156000000000001</v>
      </c>
      <c r="N95" s="107">
        <f t="shared" si="5"/>
        <v>13.156000000000001</v>
      </c>
      <c r="O95" s="107">
        <f t="shared" si="5"/>
        <v>13.156000000000001</v>
      </c>
      <c r="P95" s="107">
        <f t="shared" si="5"/>
        <v>14.378</v>
      </c>
      <c r="Q95" s="107">
        <f t="shared" si="5"/>
        <v>13.156000000000001</v>
      </c>
      <c r="R95" s="107">
        <f t="shared" si="5"/>
        <v>13.156000000000001</v>
      </c>
      <c r="S95" s="107">
        <f t="shared" si="5"/>
        <v>13.156000000000001</v>
      </c>
      <c r="T95" s="107">
        <f t="shared" si="5"/>
        <v>13.156000000000001</v>
      </c>
      <c r="U95" s="107">
        <f t="shared" si="5"/>
        <v>13.156000000000001</v>
      </c>
      <c r="V95" s="107">
        <f t="shared" si="5"/>
        <v>13.156000000000001</v>
      </c>
      <c r="W95" s="107">
        <f t="shared" si="5"/>
        <v>13.156000000000001</v>
      </c>
      <c r="X95" s="107">
        <f t="shared" si="5"/>
        <v>14.378</v>
      </c>
      <c r="Y95" s="107">
        <f t="shared" si="5"/>
        <v>13.156000000000001</v>
      </c>
      <c r="Z95" s="107">
        <f t="shared" si="5"/>
        <v>13.156000000000001</v>
      </c>
      <c r="AA95" s="107">
        <f t="shared" si="5"/>
        <v>13.156000000000001</v>
      </c>
      <c r="AB95" s="107">
        <f t="shared" si="5"/>
        <v>13.156000000000001</v>
      </c>
      <c r="AC95" s="107">
        <f t="shared" si="5"/>
        <v>13.156000000000001</v>
      </c>
      <c r="AD95" s="107">
        <f t="shared" si="5"/>
        <v>13.156000000000001</v>
      </c>
      <c r="AE95" s="107">
        <f t="shared" si="5"/>
        <v>13.156000000000001</v>
      </c>
      <c r="AF95" s="107">
        <f t="shared" si="5"/>
        <v>13.156000000000001</v>
      </c>
      <c r="AG95" s="107">
        <f t="shared" si="5"/>
        <v>13.156000000000001</v>
      </c>
      <c r="AH95" s="107">
        <f t="shared" si="5"/>
        <v>14.378</v>
      </c>
      <c r="AI95" s="107">
        <f t="shared" si="5"/>
        <v>13.156000000000001</v>
      </c>
      <c r="AJ95" s="107">
        <f t="shared" si="5"/>
        <v>13.156000000000001</v>
      </c>
      <c r="AK95" s="107">
        <f t="shared" si="5"/>
        <v>13.156000000000001</v>
      </c>
      <c r="AL95" s="107">
        <f t="shared" si="5"/>
        <v>13.156000000000001</v>
      </c>
      <c r="AM95" s="107">
        <f t="shared" si="5"/>
        <v>14.378</v>
      </c>
      <c r="AN95" s="107">
        <f t="shared" si="5"/>
        <v>13.156000000000001</v>
      </c>
      <c r="AO95" s="107">
        <f t="shared" si="5"/>
        <v>13.156000000000001</v>
      </c>
      <c r="AP95" s="107">
        <f t="shared" si="5"/>
        <v>13.156000000000001</v>
      </c>
      <c r="AQ95" s="107">
        <f t="shared" si="5"/>
        <v>13.156000000000001</v>
      </c>
      <c r="AR95" s="107">
        <f t="shared" si="5"/>
        <v>13.156000000000001</v>
      </c>
      <c r="AS95" s="107">
        <f t="shared" si="5"/>
        <v>13.156000000000001</v>
      </c>
      <c r="AT95" s="107">
        <f t="shared" si="5"/>
        <v>13.156000000000001</v>
      </c>
      <c r="AU95" s="107">
        <f t="shared" si="5"/>
        <v>13.156000000000001</v>
      </c>
    </row>
    <row r="96" spans="1:47" s="75" customFormat="1">
      <c r="C96" s="76" t="s">
        <v>2</v>
      </c>
      <c r="D96" s="76"/>
      <c r="E96" s="76" t="s">
        <v>4</v>
      </c>
      <c r="F96" s="75" t="s">
        <v>285</v>
      </c>
      <c r="G96" s="76"/>
      <c r="H96" s="76"/>
      <c r="I96" s="76" t="s">
        <v>3</v>
      </c>
      <c r="J96" s="105">
        <f t="shared" si="1"/>
        <v>12.493</v>
      </c>
      <c r="K96" s="107">
        <f>0.13*K89</f>
        <v>12.35</v>
      </c>
      <c r="L96" s="107">
        <f t="shared" ref="L96:AU96" si="6">0.13*L89</f>
        <v>12.779</v>
      </c>
      <c r="M96" s="107">
        <f t="shared" si="6"/>
        <v>12.779</v>
      </c>
      <c r="N96" s="107">
        <f t="shared" si="6"/>
        <v>12.779</v>
      </c>
      <c r="O96" s="107">
        <f t="shared" si="6"/>
        <v>12.779</v>
      </c>
      <c r="P96" s="107">
        <f t="shared" si="6"/>
        <v>12.35</v>
      </c>
      <c r="Q96" s="107">
        <f t="shared" si="6"/>
        <v>12.779</v>
      </c>
      <c r="R96" s="107">
        <f t="shared" si="6"/>
        <v>12.779</v>
      </c>
      <c r="S96" s="107">
        <f t="shared" si="6"/>
        <v>12.779</v>
      </c>
      <c r="T96" s="107">
        <f t="shared" si="6"/>
        <v>12.779</v>
      </c>
      <c r="U96" s="107">
        <f t="shared" si="6"/>
        <v>12.779</v>
      </c>
      <c r="V96" s="107">
        <f t="shared" si="6"/>
        <v>12.779</v>
      </c>
      <c r="W96" s="107">
        <f t="shared" si="6"/>
        <v>12.779</v>
      </c>
      <c r="X96" s="107">
        <f t="shared" si="6"/>
        <v>12.35</v>
      </c>
      <c r="Y96" s="107">
        <f t="shared" si="6"/>
        <v>12.779</v>
      </c>
      <c r="Z96" s="107">
        <f t="shared" si="6"/>
        <v>12.779</v>
      </c>
      <c r="AA96" s="107">
        <f t="shared" si="6"/>
        <v>12.779</v>
      </c>
      <c r="AB96" s="107">
        <f t="shared" si="6"/>
        <v>12.779</v>
      </c>
      <c r="AC96" s="107">
        <f t="shared" si="6"/>
        <v>12.779</v>
      </c>
      <c r="AD96" s="107">
        <f t="shared" si="6"/>
        <v>12.779</v>
      </c>
      <c r="AE96" s="107">
        <f t="shared" si="6"/>
        <v>12.779</v>
      </c>
      <c r="AF96" s="107">
        <f t="shared" si="6"/>
        <v>12.779</v>
      </c>
      <c r="AG96" s="107">
        <f t="shared" si="6"/>
        <v>12.779</v>
      </c>
      <c r="AH96" s="107">
        <f t="shared" si="6"/>
        <v>12.35</v>
      </c>
      <c r="AI96" s="107">
        <f t="shared" si="6"/>
        <v>12.779</v>
      </c>
      <c r="AJ96" s="107">
        <f t="shared" si="6"/>
        <v>12.779</v>
      </c>
      <c r="AK96" s="107">
        <f t="shared" si="6"/>
        <v>12.779</v>
      </c>
      <c r="AL96" s="107">
        <f t="shared" si="6"/>
        <v>12.779</v>
      </c>
      <c r="AM96" s="107">
        <f t="shared" si="6"/>
        <v>12.35</v>
      </c>
      <c r="AN96" s="107">
        <f t="shared" si="6"/>
        <v>12.779</v>
      </c>
      <c r="AO96" s="107">
        <f t="shared" si="6"/>
        <v>12.779</v>
      </c>
      <c r="AP96" s="107">
        <f t="shared" si="6"/>
        <v>12.779</v>
      </c>
      <c r="AQ96" s="107">
        <f t="shared" si="6"/>
        <v>12.779</v>
      </c>
      <c r="AR96" s="107">
        <f t="shared" si="6"/>
        <v>12.779</v>
      </c>
      <c r="AS96" s="107">
        <f t="shared" si="6"/>
        <v>12.779</v>
      </c>
      <c r="AT96" s="107">
        <f t="shared" si="6"/>
        <v>12.779</v>
      </c>
      <c r="AU96" s="107">
        <f t="shared" si="6"/>
        <v>12.779</v>
      </c>
    </row>
    <row r="97" spans="3:47" s="75" customFormat="1">
      <c r="C97" s="76" t="s">
        <v>2</v>
      </c>
      <c r="D97" s="76"/>
      <c r="E97" s="76" t="s">
        <v>5</v>
      </c>
      <c r="F97" s="75" t="s">
        <v>287</v>
      </c>
      <c r="G97" s="76"/>
      <c r="H97" s="76"/>
      <c r="I97" s="76" t="s">
        <v>3</v>
      </c>
      <c r="J97" s="105">
        <f t="shared" si="1"/>
        <v>11.821333333333333</v>
      </c>
      <c r="K97" s="107">
        <f>0.11*K90</f>
        <v>12.165999999999999</v>
      </c>
      <c r="L97" s="107">
        <f t="shared" ref="L97:AU97" si="7">0.11*L90</f>
        <v>11.132</v>
      </c>
      <c r="M97" s="107">
        <f t="shared" si="7"/>
        <v>11.132</v>
      </c>
      <c r="N97" s="107">
        <f t="shared" si="7"/>
        <v>11.132</v>
      </c>
      <c r="O97" s="107">
        <f t="shared" si="7"/>
        <v>11.132</v>
      </c>
      <c r="P97" s="107">
        <f t="shared" si="7"/>
        <v>12.165999999999999</v>
      </c>
      <c r="Q97" s="107">
        <f t="shared" si="7"/>
        <v>11.132</v>
      </c>
      <c r="R97" s="107">
        <f t="shared" si="7"/>
        <v>11.132</v>
      </c>
      <c r="S97" s="107">
        <f t="shared" si="7"/>
        <v>11.132</v>
      </c>
      <c r="T97" s="107">
        <f t="shared" si="7"/>
        <v>11.132</v>
      </c>
      <c r="U97" s="107">
        <f t="shared" si="7"/>
        <v>11.132</v>
      </c>
      <c r="V97" s="107">
        <f t="shared" si="7"/>
        <v>11.132</v>
      </c>
      <c r="W97" s="107">
        <f t="shared" si="7"/>
        <v>11.132</v>
      </c>
      <c r="X97" s="107">
        <f t="shared" si="7"/>
        <v>12.165999999999999</v>
      </c>
      <c r="Y97" s="107">
        <f t="shared" si="7"/>
        <v>11.132</v>
      </c>
      <c r="Z97" s="107">
        <f t="shared" si="7"/>
        <v>11.132</v>
      </c>
      <c r="AA97" s="107">
        <f t="shared" si="7"/>
        <v>11.132</v>
      </c>
      <c r="AB97" s="107">
        <f t="shared" si="7"/>
        <v>11.132</v>
      </c>
      <c r="AC97" s="107">
        <f t="shared" si="7"/>
        <v>11.132</v>
      </c>
      <c r="AD97" s="107">
        <f t="shared" si="7"/>
        <v>11.132</v>
      </c>
      <c r="AE97" s="107">
        <f t="shared" si="7"/>
        <v>11.132</v>
      </c>
      <c r="AF97" s="107">
        <f t="shared" si="7"/>
        <v>11.132</v>
      </c>
      <c r="AG97" s="107">
        <f t="shared" si="7"/>
        <v>11.132</v>
      </c>
      <c r="AH97" s="107">
        <f t="shared" si="7"/>
        <v>12.165999999999999</v>
      </c>
      <c r="AI97" s="107">
        <f t="shared" si="7"/>
        <v>11.132</v>
      </c>
      <c r="AJ97" s="107">
        <f t="shared" si="7"/>
        <v>11.132</v>
      </c>
      <c r="AK97" s="107">
        <f t="shared" si="7"/>
        <v>11.132</v>
      </c>
      <c r="AL97" s="107">
        <f t="shared" si="7"/>
        <v>11.132</v>
      </c>
      <c r="AM97" s="107">
        <f t="shared" si="7"/>
        <v>12.165999999999999</v>
      </c>
      <c r="AN97" s="107">
        <f t="shared" si="7"/>
        <v>11.132</v>
      </c>
      <c r="AO97" s="107">
        <f t="shared" si="7"/>
        <v>11.132</v>
      </c>
      <c r="AP97" s="107">
        <f t="shared" si="7"/>
        <v>11.132</v>
      </c>
      <c r="AQ97" s="107">
        <f t="shared" si="7"/>
        <v>11.132</v>
      </c>
      <c r="AR97" s="107">
        <f t="shared" si="7"/>
        <v>11.132</v>
      </c>
      <c r="AS97" s="107">
        <f t="shared" si="7"/>
        <v>11.132</v>
      </c>
      <c r="AT97" s="107">
        <f t="shared" si="7"/>
        <v>11.132</v>
      </c>
      <c r="AU97" s="107">
        <f t="shared" si="7"/>
        <v>11.132</v>
      </c>
    </row>
    <row r="98" spans="3:47" s="75" customFormat="1">
      <c r="C98" s="76" t="s">
        <v>2</v>
      </c>
      <c r="D98" s="76"/>
      <c r="E98" s="76" t="s">
        <v>4</v>
      </c>
      <c r="F98" s="75" t="s">
        <v>289</v>
      </c>
      <c r="G98" s="76"/>
      <c r="H98" s="76"/>
      <c r="I98" s="76" t="s">
        <v>3</v>
      </c>
      <c r="J98" s="105">
        <f t="shared" si="1"/>
        <v>9.61</v>
      </c>
      <c r="K98" s="107">
        <f>0.1*K89</f>
        <v>9.5</v>
      </c>
      <c r="L98" s="107">
        <f t="shared" ref="L98:AU98" si="8">0.1*L89</f>
        <v>9.83</v>
      </c>
      <c r="M98" s="107">
        <f t="shared" si="8"/>
        <v>9.83</v>
      </c>
      <c r="N98" s="107">
        <f t="shared" si="8"/>
        <v>9.83</v>
      </c>
      <c r="O98" s="107">
        <f t="shared" si="8"/>
        <v>9.83</v>
      </c>
      <c r="P98" s="107">
        <f t="shared" si="8"/>
        <v>9.5</v>
      </c>
      <c r="Q98" s="107">
        <f t="shared" si="8"/>
        <v>9.83</v>
      </c>
      <c r="R98" s="107">
        <f t="shared" si="8"/>
        <v>9.83</v>
      </c>
      <c r="S98" s="107">
        <f t="shared" si="8"/>
        <v>9.83</v>
      </c>
      <c r="T98" s="107">
        <f t="shared" si="8"/>
        <v>9.83</v>
      </c>
      <c r="U98" s="107">
        <f t="shared" si="8"/>
        <v>9.83</v>
      </c>
      <c r="V98" s="107">
        <f t="shared" si="8"/>
        <v>9.83</v>
      </c>
      <c r="W98" s="107">
        <f t="shared" si="8"/>
        <v>9.83</v>
      </c>
      <c r="X98" s="107">
        <f t="shared" si="8"/>
        <v>9.5</v>
      </c>
      <c r="Y98" s="107">
        <f t="shared" si="8"/>
        <v>9.83</v>
      </c>
      <c r="Z98" s="107">
        <f t="shared" si="8"/>
        <v>9.83</v>
      </c>
      <c r="AA98" s="107">
        <f t="shared" si="8"/>
        <v>9.83</v>
      </c>
      <c r="AB98" s="107">
        <f t="shared" si="8"/>
        <v>9.83</v>
      </c>
      <c r="AC98" s="107">
        <f t="shared" si="8"/>
        <v>9.83</v>
      </c>
      <c r="AD98" s="107">
        <f t="shared" si="8"/>
        <v>9.83</v>
      </c>
      <c r="AE98" s="107">
        <f t="shared" si="8"/>
        <v>9.83</v>
      </c>
      <c r="AF98" s="107">
        <f t="shared" si="8"/>
        <v>9.83</v>
      </c>
      <c r="AG98" s="107">
        <f t="shared" si="8"/>
        <v>9.83</v>
      </c>
      <c r="AH98" s="107">
        <f t="shared" si="8"/>
        <v>9.5</v>
      </c>
      <c r="AI98" s="107">
        <f t="shared" si="8"/>
        <v>9.83</v>
      </c>
      <c r="AJ98" s="107">
        <f t="shared" si="8"/>
        <v>9.83</v>
      </c>
      <c r="AK98" s="107">
        <f t="shared" si="8"/>
        <v>9.83</v>
      </c>
      <c r="AL98" s="107">
        <f t="shared" si="8"/>
        <v>9.83</v>
      </c>
      <c r="AM98" s="107">
        <f t="shared" si="8"/>
        <v>9.5</v>
      </c>
      <c r="AN98" s="107">
        <f t="shared" si="8"/>
        <v>9.83</v>
      </c>
      <c r="AO98" s="107">
        <f t="shared" si="8"/>
        <v>9.83</v>
      </c>
      <c r="AP98" s="107">
        <f t="shared" si="8"/>
        <v>9.83</v>
      </c>
      <c r="AQ98" s="107">
        <f t="shared" si="8"/>
        <v>9.83</v>
      </c>
      <c r="AR98" s="107">
        <f t="shared" si="8"/>
        <v>9.83</v>
      </c>
      <c r="AS98" s="107">
        <f t="shared" si="8"/>
        <v>9.83</v>
      </c>
      <c r="AT98" s="107">
        <f t="shared" si="8"/>
        <v>9.83</v>
      </c>
      <c r="AU98" s="107">
        <f t="shared" si="8"/>
        <v>9.83</v>
      </c>
    </row>
    <row r="99" spans="3:47" s="75" customFormat="1">
      <c r="C99" s="76" t="s">
        <v>2</v>
      </c>
      <c r="D99" s="76"/>
      <c r="E99" s="76" t="s">
        <v>4</v>
      </c>
      <c r="F99" s="75" t="s">
        <v>291</v>
      </c>
      <c r="G99" s="76"/>
      <c r="H99" s="76"/>
      <c r="I99" s="76" t="s">
        <v>3</v>
      </c>
      <c r="J99" s="105">
        <f t="shared" si="1"/>
        <v>11.531999999999998</v>
      </c>
      <c r="K99" s="107">
        <f>0.12*K89</f>
        <v>11.4</v>
      </c>
      <c r="L99" s="107">
        <f t="shared" ref="L99:AU99" si="9">0.12*L89</f>
        <v>11.795999999999999</v>
      </c>
      <c r="M99" s="107">
        <f t="shared" si="9"/>
        <v>11.795999999999999</v>
      </c>
      <c r="N99" s="107">
        <f t="shared" si="9"/>
        <v>11.795999999999999</v>
      </c>
      <c r="O99" s="107">
        <f t="shared" si="9"/>
        <v>11.795999999999999</v>
      </c>
      <c r="P99" s="107">
        <f t="shared" si="9"/>
        <v>11.4</v>
      </c>
      <c r="Q99" s="107">
        <f t="shared" si="9"/>
        <v>11.795999999999999</v>
      </c>
      <c r="R99" s="107">
        <f t="shared" si="9"/>
        <v>11.795999999999999</v>
      </c>
      <c r="S99" s="107">
        <f t="shared" si="9"/>
        <v>11.795999999999999</v>
      </c>
      <c r="T99" s="107">
        <f t="shared" si="9"/>
        <v>11.795999999999999</v>
      </c>
      <c r="U99" s="107">
        <f t="shared" si="9"/>
        <v>11.795999999999999</v>
      </c>
      <c r="V99" s="107">
        <f t="shared" si="9"/>
        <v>11.795999999999999</v>
      </c>
      <c r="W99" s="107">
        <f t="shared" si="9"/>
        <v>11.795999999999999</v>
      </c>
      <c r="X99" s="107">
        <f t="shared" si="9"/>
        <v>11.4</v>
      </c>
      <c r="Y99" s="107">
        <f t="shared" si="9"/>
        <v>11.795999999999999</v>
      </c>
      <c r="Z99" s="107">
        <f t="shared" si="9"/>
        <v>11.795999999999999</v>
      </c>
      <c r="AA99" s="107">
        <f t="shared" si="9"/>
        <v>11.795999999999999</v>
      </c>
      <c r="AB99" s="107">
        <f t="shared" si="9"/>
        <v>11.795999999999999</v>
      </c>
      <c r="AC99" s="107">
        <f t="shared" si="9"/>
        <v>11.795999999999999</v>
      </c>
      <c r="AD99" s="107">
        <f t="shared" si="9"/>
        <v>11.795999999999999</v>
      </c>
      <c r="AE99" s="107">
        <f t="shared" si="9"/>
        <v>11.795999999999999</v>
      </c>
      <c r="AF99" s="107">
        <f t="shared" si="9"/>
        <v>11.795999999999999</v>
      </c>
      <c r="AG99" s="107">
        <f t="shared" si="9"/>
        <v>11.795999999999999</v>
      </c>
      <c r="AH99" s="107">
        <f t="shared" si="9"/>
        <v>11.4</v>
      </c>
      <c r="AI99" s="107">
        <f t="shared" si="9"/>
        <v>11.795999999999999</v>
      </c>
      <c r="AJ99" s="107">
        <f t="shared" si="9"/>
        <v>11.795999999999999</v>
      </c>
      <c r="AK99" s="107">
        <f t="shared" si="9"/>
        <v>11.795999999999999</v>
      </c>
      <c r="AL99" s="107">
        <f t="shared" si="9"/>
        <v>11.795999999999999</v>
      </c>
      <c r="AM99" s="107">
        <f t="shared" si="9"/>
        <v>11.4</v>
      </c>
      <c r="AN99" s="107">
        <f t="shared" si="9"/>
        <v>11.795999999999999</v>
      </c>
      <c r="AO99" s="107">
        <f t="shared" si="9"/>
        <v>11.795999999999999</v>
      </c>
      <c r="AP99" s="107">
        <f t="shared" si="9"/>
        <v>11.795999999999999</v>
      </c>
      <c r="AQ99" s="107">
        <f t="shared" si="9"/>
        <v>11.795999999999999</v>
      </c>
      <c r="AR99" s="107">
        <f t="shared" si="9"/>
        <v>11.795999999999999</v>
      </c>
      <c r="AS99" s="107">
        <f t="shared" si="9"/>
        <v>11.795999999999999</v>
      </c>
      <c r="AT99" s="107">
        <f t="shared" si="9"/>
        <v>11.795999999999999</v>
      </c>
      <c r="AU99" s="107">
        <f t="shared" si="9"/>
        <v>11.795999999999999</v>
      </c>
    </row>
    <row r="100" spans="3:47" s="75" customFormat="1">
      <c r="C100" s="76" t="s">
        <v>2</v>
      </c>
      <c r="D100" s="76"/>
      <c r="E100" s="76" t="s">
        <v>5</v>
      </c>
      <c r="F100" s="75" t="s">
        <v>283</v>
      </c>
      <c r="G100" s="76"/>
      <c r="H100" s="76"/>
      <c r="I100" s="76" t="s">
        <v>385</v>
      </c>
      <c r="J100" s="105">
        <f>AVERAGE(AH100,AL100,AM100)</f>
        <v>93.495999999999995</v>
      </c>
      <c r="K100" s="108">
        <f>0.87*K90</f>
        <v>96.221999999999994</v>
      </c>
      <c r="L100" s="108">
        <f t="shared" ref="L100:AU100" si="10">0.87*L90</f>
        <v>88.043999999999997</v>
      </c>
      <c r="M100" s="108">
        <f t="shared" si="10"/>
        <v>88.043999999999997</v>
      </c>
      <c r="N100" s="108">
        <f t="shared" si="10"/>
        <v>88.043999999999997</v>
      </c>
      <c r="O100" s="108">
        <f t="shared" si="10"/>
        <v>88.043999999999997</v>
      </c>
      <c r="P100" s="108">
        <f t="shared" si="10"/>
        <v>96.221999999999994</v>
      </c>
      <c r="Q100" s="108">
        <f t="shared" si="10"/>
        <v>88.043999999999997</v>
      </c>
      <c r="R100" s="108">
        <f t="shared" si="10"/>
        <v>88.043999999999997</v>
      </c>
      <c r="S100" s="108">
        <f t="shared" si="10"/>
        <v>88.043999999999997</v>
      </c>
      <c r="T100" s="108">
        <f t="shared" si="10"/>
        <v>88.043999999999997</v>
      </c>
      <c r="U100" s="108">
        <f t="shared" si="10"/>
        <v>88.043999999999997</v>
      </c>
      <c r="V100" s="108">
        <f t="shared" si="10"/>
        <v>88.043999999999997</v>
      </c>
      <c r="W100" s="108">
        <f t="shared" si="10"/>
        <v>88.043999999999997</v>
      </c>
      <c r="X100" s="108">
        <f t="shared" si="10"/>
        <v>96.221999999999994</v>
      </c>
      <c r="Y100" s="108">
        <f t="shared" si="10"/>
        <v>88.043999999999997</v>
      </c>
      <c r="Z100" s="108">
        <f t="shared" si="10"/>
        <v>88.043999999999997</v>
      </c>
      <c r="AA100" s="108">
        <f t="shared" si="10"/>
        <v>88.043999999999997</v>
      </c>
      <c r="AB100" s="108">
        <f t="shared" si="10"/>
        <v>88.043999999999997</v>
      </c>
      <c r="AC100" s="108">
        <f t="shared" si="10"/>
        <v>88.043999999999997</v>
      </c>
      <c r="AD100" s="108">
        <f t="shared" si="10"/>
        <v>88.043999999999997</v>
      </c>
      <c r="AE100" s="108">
        <f t="shared" si="10"/>
        <v>88.043999999999997</v>
      </c>
      <c r="AF100" s="108">
        <f t="shared" si="10"/>
        <v>88.043999999999997</v>
      </c>
      <c r="AG100" s="108">
        <f t="shared" si="10"/>
        <v>88.043999999999997</v>
      </c>
      <c r="AH100" s="108">
        <f t="shared" si="10"/>
        <v>96.221999999999994</v>
      </c>
      <c r="AI100" s="108">
        <f t="shared" si="10"/>
        <v>88.043999999999997</v>
      </c>
      <c r="AJ100" s="108">
        <f t="shared" si="10"/>
        <v>88.043999999999997</v>
      </c>
      <c r="AK100" s="108">
        <f t="shared" si="10"/>
        <v>88.043999999999997</v>
      </c>
      <c r="AL100" s="108">
        <f t="shared" si="10"/>
        <v>88.043999999999997</v>
      </c>
      <c r="AM100" s="108">
        <f t="shared" si="10"/>
        <v>96.221999999999994</v>
      </c>
      <c r="AN100" s="108">
        <f t="shared" si="10"/>
        <v>88.043999999999997</v>
      </c>
      <c r="AO100" s="108">
        <f t="shared" si="10"/>
        <v>88.043999999999997</v>
      </c>
      <c r="AP100" s="108">
        <f t="shared" si="10"/>
        <v>88.043999999999997</v>
      </c>
      <c r="AQ100" s="108">
        <f t="shared" si="10"/>
        <v>88.043999999999997</v>
      </c>
      <c r="AR100" s="108">
        <f t="shared" si="10"/>
        <v>88.043999999999997</v>
      </c>
      <c r="AS100" s="108">
        <f t="shared" si="10"/>
        <v>88.043999999999997</v>
      </c>
      <c r="AT100" s="108">
        <f t="shared" si="10"/>
        <v>88.043999999999997</v>
      </c>
      <c r="AU100" s="108">
        <f t="shared" si="10"/>
        <v>88.043999999999997</v>
      </c>
    </row>
    <row r="101" spans="3:47" s="75" customFormat="1">
      <c r="C101" s="76" t="s">
        <v>2</v>
      </c>
      <c r="D101" s="76"/>
      <c r="E101" s="76" t="s">
        <v>4</v>
      </c>
      <c r="F101" s="75" t="s">
        <v>285</v>
      </c>
      <c r="G101" s="76"/>
      <c r="H101" s="76"/>
      <c r="I101" s="76" t="s">
        <v>385</v>
      </c>
      <c r="J101" s="105">
        <f>AVERAGE(AH101,AL101,AM101)</f>
        <v>83.606999999999999</v>
      </c>
      <c r="K101" s="108">
        <f>0.87*K89</f>
        <v>82.65</v>
      </c>
      <c r="L101" s="108">
        <f t="shared" ref="L101:AU101" si="11">0.87*L89</f>
        <v>85.521000000000001</v>
      </c>
      <c r="M101" s="108">
        <f t="shared" si="11"/>
        <v>85.521000000000001</v>
      </c>
      <c r="N101" s="108">
        <f t="shared" si="11"/>
        <v>85.521000000000001</v>
      </c>
      <c r="O101" s="108">
        <f t="shared" si="11"/>
        <v>85.521000000000001</v>
      </c>
      <c r="P101" s="108">
        <f t="shared" si="11"/>
        <v>82.65</v>
      </c>
      <c r="Q101" s="108">
        <f t="shared" si="11"/>
        <v>85.521000000000001</v>
      </c>
      <c r="R101" s="108">
        <f t="shared" si="11"/>
        <v>85.521000000000001</v>
      </c>
      <c r="S101" s="108">
        <f t="shared" si="11"/>
        <v>85.521000000000001</v>
      </c>
      <c r="T101" s="108">
        <f t="shared" si="11"/>
        <v>85.521000000000001</v>
      </c>
      <c r="U101" s="108">
        <f t="shared" si="11"/>
        <v>85.521000000000001</v>
      </c>
      <c r="V101" s="108">
        <f t="shared" si="11"/>
        <v>85.521000000000001</v>
      </c>
      <c r="W101" s="108">
        <f t="shared" si="11"/>
        <v>85.521000000000001</v>
      </c>
      <c r="X101" s="108">
        <f t="shared" si="11"/>
        <v>82.65</v>
      </c>
      <c r="Y101" s="108">
        <f t="shared" si="11"/>
        <v>85.521000000000001</v>
      </c>
      <c r="Z101" s="108">
        <f t="shared" si="11"/>
        <v>85.521000000000001</v>
      </c>
      <c r="AA101" s="108">
        <f t="shared" si="11"/>
        <v>85.521000000000001</v>
      </c>
      <c r="AB101" s="108">
        <f t="shared" si="11"/>
        <v>85.521000000000001</v>
      </c>
      <c r="AC101" s="108">
        <f t="shared" si="11"/>
        <v>85.521000000000001</v>
      </c>
      <c r="AD101" s="108">
        <f t="shared" si="11"/>
        <v>85.521000000000001</v>
      </c>
      <c r="AE101" s="108">
        <f t="shared" si="11"/>
        <v>85.521000000000001</v>
      </c>
      <c r="AF101" s="108">
        <f t="shared" si="11"/>
        <v>85.521000000000001</v>
      </c>
      <c r="AG101" s="108">
        <f t="shared" si="11"/>
        <v>85.521000000000001</v>
      </c>
      <c r="AH101" s="108">
        <f t="shared" si="11"/>
        <v>82.65</v>
      </c>
      <c r="AI101" s="108">
        <f t="shared" si="11"/>
        <v>85.521000000000001</v>
      </c>
      <c r="AJ101" s="108">
        <f t="shared" si="11"/>
        <v>85.521000000000001</v>
      </c>
      <c r="AK101" s="108">
        <f t="shared" si="11"/>
        <v>85.521000000000001</v>
      </c>
      <c r="AL101" s="108">
        <f t="shared" si="11"/>
        <v>85.521000000000001</v>
      </c>
      <c r="AM101" s="108">
        <f t="shared" si="11"/>
        <v>82.65</v>
      </c>
      <c r="AN101" s="108">
        <f t="shared" si="11"/>
        <v>85.521000000000001</v>
      </c>
      <c r="AO101" s="108">
        <f t="shared" si="11"/>
        <v>85.521000000000001</v>
      </c>
      <c r="AP101" s="108">
        <f t="shared" si="11"/>
        <v>85.521000000000001</v>
      </c>
      <c r="AQ101" s="108">
        <f t="shared" si="11"/>
        <v>85.521000000000001</v>
      </c>
      <c r="AR101" s="108">
        <f t="shared" si="11"/>
        <v>85.521000000000001</v>
      </c>
      <c r="AS101" s="108">
        <f t="shared" si="11"/>
        <v>85.521000000000001</v>
      </c>
      <c r="AT101" s="108">
        <f t="shared" si="11"/>
        <v>85.521000000000001</v>
      </c>
      <c r="AU101" s="108">
        <f t="shared" si="11"/>
        <v>85.521000000000001</v>
      </c>
    </row>
    <row r="102" spans="3:47" s="75" customFormat="1">
      <c r="C102" s="76" t="s">
        <v>2</v>
      </c>
      <c r="D102" s="76"/>
      <c r="E102" s="76" t="s">
        <v>5</v>
      </c>
      <c r="F102" s="75" t="s">
        <v>287</v>
      </c>
      <c r="G102" s="76"/>
      <c r="H102" s="76"/>
      <c r="I102" s="76" t="s">
        <v>385</v>
      </c>
      <c r="J102" s="105">
        <f>AVERAGE(AH102,AL102,AM102)</f>
        <v>95.64533333333334</v>
      </c>
      <c r="K102" s="108">
        <f>0.89*K90</f>
        <v>98.433999999999997</v>
      </c>
      <c r="L102" s="108">
        <f t="shared" ref="L102:AU102" si="12">0.89*L90</f>
        <v>90.067999999999998</v>
      </c>
      <c r="M102" s="108">
        <f t="shared" si="12"/>
        <v>90.067999999999998</v>
      </c>
      <c r="N102" s="108">
        <f t="shared" si="12"/>
        <v>90.067999999999998</v>
      </c>
      <c r="O102" s="108">
        <f t="shared" si="12"/>
        <v>90.067999999999998</v>
      </c>
      <c r="P102" s="108">
        <f t="shared" si="12"/>
        <v>98.433999999999997</v>
      </c>
      <c r="Q102" s="108">
        <f t="shared" si="12"/>
        <v>90.067999999999998</v>
      </c>
      <c r="R102" s="108">
        <f t="shared" si="12"/>
        <v>90.067999999999998</v>
      </c>
      <c r="S102" s="108">
        <f t="shared" si="12"/>
        <v>90.067999999999998</v>
      </c>
      <c r="T102" s="108">
        <f t="shared" si="12"/>
        <v>90.067999999999998</v>
      </c>
      <c r="U102" s="108">
        <f t="shared" si="12"/>
        <v>90.067999999999998</v>
      </c>
      <c r="V102" s="108">
        <f t="shared" si="12"/>
        <v>90.067999999999998</v>
      </c>
      <c r="W102" s="108">
        <f t="shared" si="12"/>
        <v>90.067999999999998</v>
      </c>
      <c r="X102" s="108">
        <f t="shared" si="12"/>
        <v>98.433999999999997</v>
      </c>
      <c r="Y102" s="108">
        <f t="shared" si="12"/>
        <v>90.067999999999998</v>
      </c>
      <c r="Z102" s="108">
        <f t="shared" si="12"/>
        <v>90.067999999999998</v>
      </c>
      <c r="AA102" s="108">
        <f t="shared" si="12"/>
        <v>90.067999999999998</v>
      </c>
      <c r="AB102" s="108">
        <f t="shared" si="12"/>
        <v>90.067999999999998</v>
      </c>
      <c r="AC102" s="108">
        <f t="shared" si="12"/>
        <v>90.067999999999998</v>
      </c>
      <c r="AD102" s="108">
        <f t="shared" si="12"/>
        <v>90.067999999999998</v>
      </c>
      <c r="AE102" s="108">
        <f t="shared" si="12"/>
        <v>90.067999999999998</v>
      </c>
      <c r="AF102" s="108">
        <f t="shared" si="12"/>
        <v>90.067999999999998</v>
      </c>
      <c r="AG102" s="108">
        <f t="shared" si="12"/>
        <v>90.067999999999998</v>
      </c>
      <c r="AH102" s="108">
        <f t="shared" si="12"/>
        <v>98.433999999999997</v>
      </c>
      <c r="AI102" s="108">
        <f t="shared" si="12"/>
        <v>90.067999999999998</v>
      </c>
      <c r="AJ102" s="108">
        <f t="shared" si="12"/>
        <v>90.067999999999998</v>
      </c>
      <c r="AK102" s="108">
        <f t="shared" si="12"/>
        <v>90.067999999999998</v>
      </c>
      <c r="AL102" s="108">
        <f t="shared" si="12"/>
        <v>90.067999999999998</v>
      </c>
      <c r="AM102" s="108">
        <f t="shared" si="12"/>
        <v>98.433999999999997</v>
      </c>
      <c r="AN102" s="108">
        <f t="shared" si="12"/>
        <v>90.067999999999998</v>
      </c>
      <c r="AO102" s="108">
        <f t="shared" si="12"/>
        <v>90.067999999999998</v>
      </c>
      <c r="AP102" s="108">
        <f t="shared" si="12"/>
        <v>90.067999999999998</v>
      </c>
      <c r="AQ102" s="108">
        <f t="shared" si="12"/>
        <v>90.067999999999998</v>
      </c>
      <c r="AR102" s="108">
        <f t="shared" si="12"/>
        <v>90.067999999999998</v>
      </c>
      <c r="AS102" s="108">
        <f t="shared" si="12"/>
        <v>90.067999999999998</v>
      </c>
      <c r="AT102" s="108">
        <f t="shared" si="12"/>
        <v>90.067999999999998</v>
      </c>
      <c r="AU102" s="108">
        <f t="shared" si="12"/>
        <v>90.067999999999998</v>
      </c>
    </row>
    <row r="103" spans="3:47" s="75" customFormat="1">
      <c r="C103" s="76" t="s">
        <v>2</v>
      </c>
      <c r="D103" s="76"/>
      <c r="E103" s="76" t="s">
        <v>4</v>
      </c>
      <c r="F103" s="75" t="s">
        <v>289</v>
      </c>
      <c r="G103" s="76"/>
      <c r="H103" s="76"/>
      <c r="I103" s="76" t="s">
        <v>385</v>
      </c>
      <c r="J103" s="105">
        <f>AVERAGE(AH103,AL103,AM103)</f>
        <v>86.490000000000009</v>
      </c>
      <c r="K103" s="108">
        <f>0.9*K89</f>
        <v>85.5</v>
      </c>
      <c r="L103" s="108">
        <f t="shared" ref="L103:AU103" si="13">0.9*L89</f>
        <v>88.47</v>
      </c>
      <c r="M103" s="108">
        <f t="shared" si="13"/>
        <v>88.47</v>
      </c>
      <c r="N103" s="108">
        <f t="shared" si="13"/>
        <v>88.47</v>
      </c>
      <c r="O103" s="108">
        <f t="shared" si="13"/>
        <v>88.47</v>
      </c>
      <c r="P103" s="108">
        <f t="shared" si="13"/>
        <v>85.5</v>
      </c>
      <c r="Q103" s="108">
        <f t="shared" si="13"/>
        <v>88.47</v>
      </c>
      <c r="R103" s="108">
        <f t="shared" si="13"/>
        <v>88.47</v>
      </c>
      <c r="S103" s="108">
        <f t="shared" si="13"/>
        <v>88.47</v>
      </c>
      <c r="T103" s="108">
        <f t="shared" si="13"/>
        <v>88.47</v>
      </c>
      <c r="U103" s="108">
        <f t="shared" si="13"/>
        <v>88.47</v>
      </c>
      <c r="V103" s="108">
        <f t="shared" si="13"/>
        <v>88.47</v>
      </c>
      <c r="W103" s="108">
        <f t="shared" si="13"/>
        <v>88.47</v>
      </c>
      <c r="X103" s="108">
        <f t="shared" si="13"/>
        <v>85.5</v>
      </c>
      <c r="Y103" s="108">
        <f t="shared" si="13"/>
        <v>88.47</v>
      </c>
      <c r="Z103" s="108">
        <f t="shared" si="13"/>
        <v>88.47</v>
      </c>
      <c r="AA103" s="108">
        <f t="shared" si="13"/>
        <v>88.47</v>
      </c>
      <c r="AB103" s="108">
        <f t="shared" si="13"/>
        <v>88.47</v>
      </c>
      <c r="AC103" s="108">
        <f t="shared" si="13"/>
        <v>88.47</v>
      </c>
      <c r="AD103" s="108">
        <f t="shared" si="13"/>
        <v>88.47</v>
      </c>
      <c r="AE103" s="108">
        <f t="shared" si="13"/>
        <v>88.47</v>
      </c>
      <c r="AF103" s="108">
        <f t="shared" si="13"/>
        <v>88.47</v>
      </c>
      <c r="AG103" s="108">
        <f t="shared" si="13"/>
        <v>88.47</v>
      </c>
      <c r="AH103" s="108">
        <f t="shared" si="13"/>
        <v>85.5</v>
      </c>
      <c r="AI103" s="108">
        <f t="shared" si="13"/>
        <v>88.47</v>
      </c>
      <c r="AJ103" s="108">
        <f t="shared" si="13"/>
        <v>88.47</v>
      </c>
      <c r="AK103" s="108">
        <f t="shared" si="13"/>
        <v>88.47</v>
      </c>
      <c r="AL103" s="108">
        <f t="shared" si="13"/>
        <v>88.47</v>
      </c>
      <c r="AM103" s="108">
        <f t="shared" si="13"/>
        <v>85.5</v>
      </c>
      <c r="AN103" s="108">
        <f t="shared" si="13"/>
        <v>88.47</v>
      </c>
      <c r="AO103" s="108">
        <f t="shared" si="13"/>
        <v>88.47</v>
      </c>
      <c r="AP103" s="108">
        <f t="shared" si="13"/>
        <v>88.47</v>
      </c>
      <c r="AQ103" s="108">
        <f t="shared" si="13"/>
        <v>88.47</v>
      </c>
      <c r="AR103" s="108">
        <f t="shared" si="13"/>
        <v>88.47</v>
      </c>
      <c r="AS103" s="108">
        <f t="shared" si="13"/>
        <v>88.47</v>
      </c>
      <c r="AT103" s="108">
        <f t="shared" si="13"/>
        <v>88.47</v>
      </c>
      <c r="AU103" s="108">
        <f t="shared" si="13"/>
        <v>88.47</v>
      </c>
    </row>
    <row r="104" spans="3:47" s="75" customFormat="1">
      <c r="C104" s="76" t="s">
        <v>2</v>
      </c>
      <c r="D104" s="76"/>
      <c r="E104" s="76" t="s">
        <v>4</v>
      </c>
      <c r="F104" s="75" t="s">
        <v>291</v>
      </c>
      <c r="G104" s="76"/>
      <c r="H104" s="76"/>
      <c r="I104" s="76" t="s">
        <v>385</v>
      </c>
      <c r="J104" s="105">
        <f>AVERAGE(AH104,AL104,AM104)</f>
        <v>84.567999999999998</v>
      </c>
      <c r="K104" s="108">
        <f>0.88*K89</f>
        <v>83.6</v>
      </c>
      <c r="L104" s="108">
        <f t="shared" ref="L104:AU104" si="14">0.88*L89</f>
        <v>86.504000000000005</v>
      </c>
      <c r="M104" s="108">
        <f t="shared" si="14"/>
        <v>86.504000000000005</v>
      </c>
      <c r="N104" s="108">
        <f t="shared" si="14"/>
        <v>86.504000000000005</v>
      </c>
      <c r="O104" s="108">
        <f t="shared" si="14"/>
        <v>86.504000000000005</v>
      </c>
      <c r="P104" s="108">
        <f t="shared" si="14"/>
        <v>83.6</v>
      </c>
      <c r="Q104" s="108">
        <f t="shared" si="14"/>
        <v>86.504000000000005</v>
      </c>
      <c r="R104" s="108">
        <f t="shared" si="14"/>
        <v>86.504000000000005</v>
      </c>
      <c r="S104" s="108">
        <f t="shared" si="14"/>
        <v>86.504000000000005</v>
      </c>
      <c r="T104" s="108">
        <f t="shared" si="14"/>
        <v>86.504000000000005</v>
      </c>
      <c r="U104" s="108">
        <f t="shared" si="14"/>
        <v>86.504000000000005</v>
      </c>
      <c r="V104" s="108">
        <f t="shared" si="14"/>
        <v>86.504000000000005</v>
      </c>
      <c r="W104" s="108">
        <f t="shared" si="14"/>
        <v>86.504000000000005</v>
      </c>
      <c r="X104" s="108">
        <f t="shared" si="14"/>
        <v>83.6</v>
      </c>
      <c r="Y104" s="108">
        <f t="shared" si="14"/>
        <v>86.504000000000005</v>
      </c>
      <c r="Z104" s="108">
        <f t="shared" si="14"/>
        <v>86.504000000000005</v>
      </c>
      <c r="AA104" s="108">
        <f t="shared" si="14"/>
        <v>86.504000000000005</v>
      </c>
      <c r="AB104" s="108">
        <f t="shared" si="14"/>
        <v>86.504000000000005</v>
      </c>
      <c r="AC104" s="108">
        <f t="shared" si="14"/>
        <v>86.504000000000005</v>
      </c>
      <c r="AD104" s="108">
        <f t="shared" si="14"/>
        <v>86.504000000000005</v>
      </c>
      <c r="AE104" s="108">
        <f t="shared" si="14"/>
        <v>86.504000000000005</v>
      </c>
      <c r="AF104" s="108">
        <f t="shared" si="14"/>
        <v>86.504000000000005</v>
      </c>
      <c r="AG104" s="108">
        <f t="shared" si="14"/>
        <v>86.504000000000005</v>
      </c>
      <c r="AH104" s="108">
        <f t="shared" si="14"/>
        <v>83.6</v>
      </c>
      <c r="AI104" s="108">
        <f t="shared" si="14"/>
        <v>86.504000000000005</v>
      </c>
      <c r="AJ104" s="108">
        <f t="shared" si="14"/>
        <v>86.504000000000005</v>
      </c>
      <c r="AK104" s="108">
        <f t="shared" si="14"/>
        <v>86.504000000000005</v>
      </c>
      <c r="AL104" s="108">
        <f t="shared" si="14"/>
        <v>86.504000000000005</v>
      </c>
      <c r="AM104" s="108">
        <f t="shared" si="14"/>
        <v>83.6</v>
      </c>
      <c r="AN104" s="108">
        <f t="shared" si="14"/>
        <v>86.504000000000005</v>
      </c>
      <c r="AO104" s="108">
        <f t="shared" si="14"/>
        <v>86.504000000000005</v>
      </c>
      <c r="AP104" s="108">
        <f t="shared" si="14"/>
        <v>86.504000000000005</v>
      </c>
      <c r="AQ104" s="108">
        <f t="shared" si="14"/>
        <v>86.504000000000005</v>
      </c>
      <c r="AR104" s="108">
        <f t="shared" si="14"/>
        <v>86.504000000000005</v>
      </c>
      <c r="AS104" s="108">
        <f t="shared" si="14"/>
        <v>86.504000000000005</v>
      </c>
      <c r="AT104" s="108">
        <f t="shared" si="14"/>
        <v>86.504000000000005</v>
      </c>
      <c r="AU104" s="108">
        <f t="shared" si="14"/>
        <v>86.504000000000005</v>
      </c>
    </row>
    <row r="105" spans="3:47">
      <c r="C105" s="4"/>
      <c r="D105" s="4"/>
      <c r="E105" s="4"/>
      <c r="F105" s="4"/>
      <c r="G105" s="4"/>
      <c r="H105" s="4"/>
      <c r="I105" s="4"/>
    </row>
    <row r="106" spans="3:47">
      <c r="C106" s="4"/>
      <c r="D106" s="4"/>
      <c r="E106" s="4"/>
      <c r="F106" s="4"/>
      <c r="G106" s="4"/>
      <c r="H106" s="4"/>
      <c r="J106" s="4" t="s">
        <v>295</v>
      </c>
      <c r="K106" s="44">
        <f>K95+K100</f>
        <v>110.6</v>
      </c>
    </row>
    <row r="107" spans="3:47">
      <c r="C107" s="4"/>
      <c r="D107" s="4"/>
      <c r="E107" s="4"/>
      <c r="F107" s="4"/>
      <c r="G107" s="4"/>
      <c r="H107" s="4"/>
      <c r="I107" s="4"/>
      <c r="K107" s="44">
        <f>K96+K101</f>
        <v>95</v>
      </c>
    </row>
    <row r="108" spans="3:47">
      <c r="C108" s="4"/>
      <c r="D108" s="4"/>
      <c r="E108" s="4"/>
      <c r="F108" s="4"/>
      <c r="G108" s="4"/>
      <c r="H108" s="4"/>
      <c r="I108" s="4"/>
      <c r="K108" s="44">
        <f>K97+K102</f>
        <v>110.6</v>
      </c>
    </row>
    <row r="109" spans="3:47">
      <c r="C109" s="4"/>
      <c r="D109" s="4"/>
      <c r="E109" s="4"/>
      <c r="F109" s="4"/>
      <c r="G109" s="4"/>
      <c r="H109" s="4"/>
      <c r="I109" s="4"/>
      <c r="K109" s="44">
        <f>K98+K103</f>
        <v>95</v>
      </c>
    </row>
    <row r="110" spans="3:47">
      <c r="C110" s="4"/>
      <c r="D110" s="4"/>
      <c r="E110" s="4"/>
      <c r="F110" s="4"/>
      <c r="G110" s="4"/>
      <c r="H110" s="4"/>
      <c r="I110" s="4"/>
      <c r="K110" s="44">
        <f>K99+K104</f>
        <v>95</v>
      </c>
    </row>
    <row r="111" spans="3:47">
      <c r="C111" s="4"/>
      <c r="D111" s="4"/>
      <c r="E111" s="4"/>
      <c r="F111" s="4"/>
      <c r="G111" s="4"/>
      <c r="H111" s="4"/>
      <c r="I111" s="4"/>
      <c r="K111" s="44"/>
    </row>
    <row r="112" spans="3:47">
      <c r="C112" s="4"/>
      <c r="D112" s="4"/>
      <c r="E112" s="4"/>
      <c r="F112" s="4"/>
      <c r="G112" s="4"/>
      <c r="H112" s="4"/>
      <c r="I112" s="4"/>
    </row>
    <row r="113" spans="3:9">
      <c r="C113" s="4"/>
      <c r="D113" s="4"/>
      <c r="E113" s="4"/>
      <c r="F113" s="4"/>
      <c r="G113" s="4"/>
      <c r="H113" s="4"/>
      <c r="I113" s="4"/>
    </row>
    <row r="114" spans="3:9">
      <c r="C114" s="4"/>
      <c r="D114" s="4"/>
      <c r="E114" s="4"/>
      <c r="F114" s="4"/>
      <c r="G114" s="4"/>
      <c r="H114" s="4"/>
      <c r="I114" s="4"/>
    </row>
    <row r="115" spans="3:9">
      <c r="C115" s="4"/>
      <c r="D115" s="4"/>
      <c r="E115" s="4"/>
      <c r="F115" s="4"/>
      <c r="G115" s="4"/>
      <c r="H115" s="4"/>
      <c r="I115" s="4"/>
    </row>
    <row r="116" spans="3:9">
      <c r="C116" s="4"/>
      <c r="D116" s="4"/>
      <c r="E116" s="4"/>
      <c r="F116" s="4"/>
      <c r="G116" s="4"/>
      <c r="H116" s="4"/>
      <c r="I116" s="4"/>
    </row>
    <row r="117" spans="3:9">
      <c r="C117" s="4"/>
      <c r="D117" s="4"/>
      <c r="E117" s="4"/>
      <c r="F117" s="4"/>
      <c r="G117" s="4"/>
      <c r="H117" s="4"/>
      <c r="I117" s="4"/>
    </row>
    <row r="118" spans="3:9">
      <c r="C118" s="4"/>
      <c r="D118" s="4"/>
      <c r="E118" s="4"/>
      <c r="F118" s="4"/>
      <c r="G118" s="4"/>
      <c r="H118" s="4"/>
      <c r="I118" s="4"/>
    </row>
    <row r="119" spans="3:9">
      <c r="C119" s="4"/>
      <c r="D119" s="4"/>
      <c r="E119" s="4"/>
      <c r="F119" s="4"/>
      <c r="G119" s="4"/>
      <c r="H119" s="4"/>
      <c r="I119" s="4"/>
    </row>
    <row r="120" spans="3:9">
      <c r="C120" s="4"/>
      <c r="D120" s="4"/>
      <c r="E120" s="4"/>
      <c r="F120" s="4"/>
      <c r="G120" s="4"/>
      <c r="H120" s="4"/>
      <c r="I120" s="4"/>
    </row>
    <row r="121" spans="3:9">
      <c r="C121" s="4"/>
      <c r="D121" s="4"/>
      <c r="E121" s="4"/>
      <c r="F121" s="4"/>
      <c r="G121" s="4"/>
      <c r="H121" s="4"/>
      <c r="I121" s="4"/>
    </row>
    <row r="122" spans="3:9">
      <c r="C122" s="4"/>
      <c r="D122" s="4"/>
      <c r="E122" s="4"/>
      <c r="F122" s="4"/>
      <c r="G122" s="4"/>
      <c r="H122" s="4"/>
      <c r="I122" s="4"/>
    </row>
    <row r="123" spans="3:9">
      <c r="C123" s="4"/>
      <c r="D123" s="4"/>
      <c r="E123" s="4"/>
      <c r="F123" s="4"/>
      <c r="G123" s="4"/>
      <c r="H123" s="4"/>
      <c r="I123" s="4"/>
    </row>
    <row r="124" spans="3:9">
      <c r="C124" s="4"/>
      <c r="D124" s="4"/>
      <c r="E124" s="4"/>
      <c r="F124" s="4"/>
      <c r="G124" s="4"/>
      <c r="H124" s="4"/>
      <c r="I124" s="4"/>
    </row>
    <row r="125" spans="3:9">
      <c r="C125" s="4"/>
      <c r="D125" s="4"/>
      <c r="E125" s="4"/>
      <c r="F125" s="4"/>
      <c r="G125" s="4"/>
      <c r="H125" s="4"/>
      <c r="I125" s="4"/>
    </row>
    <row r="126" spans="3:9">
      <c r="C126" s="4"/>
      <c r="D126" s="4"/>
      <c r="E126" s="4"/>
      <c r="F126" s="4"/>
      <c r="G126" s="4"/>
      <c r="H126" s="4"/>
      <c r="I126" s="4"/>
    </row>
    <row r="127" spans="3:9">
      <c r="C127" s="4"/>
      <c r="D127" s="4"/>
      <c r="E127" s="4"/>
      <c r="F127" s="4"/>
      <c r="G127" s="4"/>
      <c r="H127" s="4"/>
      <c r="I127" s="4"/>
    </row>
    <row r="128" spans="3:9">
      <c r="C128" s="4"/>
      <c r="D128" s="4"/>
      <c r="E128" s="4"/>
      <c r="F128" s="4"/>
      <c r="G128" s="4"/>
      <c r="H128" s="4"/>
      <c r="I128" s="4"/>
    </row>
    <row r="129" spans="3:9">
      <c r="C129" s="4"/>
      <c r="D129" s="4"/>
      <c r="E129" s="4"/>
      <c r="F129" s="4"/>
      <c r="G129" s="4"/>
      <c r="H129" s="4"/>
      <c r="I129" s="4"/>
    </row>
    <row r="130" spans="3:9">
      <c r="C130" s="4"/>
      <c r="D130" s="4"/>
      <c r="E130" s="4"/>
      <c r="F130" s="4"/>
      <c r="G130" s="4"/>
      <c r="H130" s="4"/>
      <c r="I130" s="4"/>
    </row>
    <row r="131" spans="3:9">
      <c r="C131" s="4"/>
      <c r="D131" s="4"/>
      <c r="E131" s="4"/>
      <c r="F131" s="4"/>
      <c r="G131" s="4"/>
      <c r="H131" s="4"/>
      <c r="I131" s="4"/>
    </row>
    <row r="132" spans="3:9">
      <c r="C132" s="4"/>
      <c r="D132" s="4"/>
      <c r="E132" s="4"/>
      <c r="F132" s="4"/>
      <c r="G132" s="4"/>
      <c r="H132" s="4"/>
      <c r="I132" s="4"/>
    </row>
    <row r="133" spans="3:9">
      <c r="C133" s="4"/>
      <c r="D133" s="4"/>
      <c r="E133" s="4"/>
      <c r="F133" s="4"/>
      <c r="G133" s="4"/>
      <c r="H133" s="4"/>
      <c r="I133" s="4"/>
    </row>
    <row r="134" spans="3:9">
      <c r="C134" s="4"/>
      <c r="D134" s="4"/>
      <c r="E134" s="4"/>
      <c r="F134" s="4"/>
      <c r="G134" s="4"/>
      <c r="H134" s="4"/>
      <c r="I134" s="4"/>
    </row>
    <row r="135" spans="3:9">
      <c r="C135" s="4"/>
      <c r="D135" s="4"/>
      <c r="E135" s="4"/>
      <c r="F135" s="4"/>
      <c r="G135" s="4"/>
      <c r="H135" s="4"/>
      <c r="I135" s="4"/>
    </row>
    <row r="136" spans="3:9">
      <c r="C136" s="4"/>
      <c r="D136" s="4"/>
      <c r="E136" s="4"/>
      <c r="F136" s="4"/>
      <c r="G136" s="4"/>
      <c r="H136" s="4"/>
      <c r="I136" s="4"/>
    </row>
    <row r="137" spans="3:9">
      <c r="C137" s="4"/>
      <c r="D137" s="4"/>
      <c r="E137" s="4"/>
      <c r="F137" s="4"/>
      <c r="G137" s="4"/>
      <c r="H137" s="4"/>
      <c r="I137" s="4"/>
    </row>
    <row r="138" spans="3:9">
      <c r="C138" s="4"/>
      <c r="D138" s="4"/>
      <c r="E138" s="4"/>
      <c r="F138" s="4"/>
      <c r="G138" s="4"/>
      <c r="H138" s="4"/>
      <c r="I138" s="4"/>
    </row>
    <row r="139" spans="3:9">
      <c r="C139" s="4"/>
      <c r="D139" s="4"/>
      <c r="E139" s="4"/>
      <c r="F139" s="4"/>
      <c r="G139" s="4"/>
      <c r="H139" s="4"/>
      <c r="I139" s="4"/>
    </row>
    <row r="140" spans="3:9">
      <c r="C140" s="4"/>
      <c r="D140" s="4"/>
      <c r="E140" s="4"/>
      <c r="F140" s="4"/>
      <c r="G140" s="4"/>
      <c r="H140" s="4"/>
      <c r="I140" s="4"/>
    </row>
    <row r="141" spans="3:9">
      <c r="C141" s="4"/>
      <c r="D141" s="4"/>
      <c r="E141" s="4"/>
      <c r="F141" s="4"/>
      <c r="G141" s="4"/>
      <c r="H141" s="4"/>
      <c r="I141" s="4"/>
    </row>
  </sheetData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2:S127"/>
  <sheetViews>
    <sheetView tabSelected="1" topLeftCell="A36" zoomScaleNormal="100" workbookViewId="0"/>
  </sheetViews>
  <sheetFormatPr defaultRowHeight="13.2"/>
  <cols>
    <col min="1" max="1" width="4.33203125" bestFit="1" customWidth="1"/>
    <col min="2" max="2" width="4.6640625" bestFit="1" customWidth="1"/>
    <col min="3" max="3" width="14.88671875" bestFit="1" customWidth="1"/>
    <col min="4" max="4" width="11.5546875" bestFit="1" customWidth="1"/>
    <col min="5" max="5" width="15.5546875" bestFit="1" customWidth="1"/>
    <col min="6" max="6" width="25.6640625" customWidth="1"/>
    <col min="7" max="7" width="18" bestFit="1" customWidth="1"/>
    <col min="8" max="8" width="12.88671875" customWidth="1"/>
    <col min="9" max="9" width="8.6640625" customWidth="1"/>
    <col min="10" max="10" width="14.44140625" bestFit="1" customWidth="1"/>
    <col min="11" max="11" width="5.6640625" customWidth="1"/>
    <col min="12" max="12" width="70.33203125" bestFit="1" customWidth="1"/>
    <col min="13" max="13" width="8.33203125" bestFit="1" customWidth="1"/>
    <col min="14" max="14" width="13.44140625" bestFit="1" customWidth="1"/>
    <col min="15" max="15" width="14.33203125" bestFit="1" customWidth="1"/>
    <col min="16" max="16" width="14.109375" bestFit="1" customWidth="1"/>
    <col min="17" max="17" width="8.88671875" bestFit="1" customWidth="1"/>
    <col min="18" max="18" width="11.109375" bestFit="1" customWidth="1"/>
    <col min="19" max="19" width="8.5546875" customWidth="1"/>
    <col min="20" max="20" width="5.6640625" customWidth="1"/>
    <col min="21" max="23" width="5.5546875" bestFit="1" customWidth="1"/>
    <col min="24" max="24" width="5.33203125" customWidth="1"/>
    <col min="25" max="25" width="5.5546875" bestFit="1" customWidth="1"/>
    <col min="26" max="27" width="4.109375" customWidth="1"/>
    <col min="28" max="28" width="4.88671875" customWidth="1"/>
    <col min="29" max="29" width="8.109375" customWidth="1"/>
    <col min="30" max="30" width="5.33203125" customWidth="1"/>
    <col min="31" max="31" width="4.33203125" customWidth="1"/>
    <col min="32" max="32" width="5.6640625" customWidth="1"/>
    <col min="33" max="33" width="4.6640625" customWidth="1"/>
    <col min="34" max="34" width="5.6640625" customWidth="1"/>
    <col min="35" max="35" width="3.5546875" customWidth="1"/>
    <col min="36" max="36" width="4.33203125" customWidth="1"/>
    <col min="37" max="37" width="5.6640625" customWidth="1"/>
    <col min="38" max="38" width="6.5546875" customWidth="1"/>
    <col min="41" max="41" width="19.33203125" customWidth="1"/>
    <col min="42" max="42" width="17" customWidth="1"/>
    <col min="43" max="43" width="20.5546875" customWidth="1"/>
    <col min="48" max="48" width="13" customWidth="1"/>
    <col min="50" max="50" width="16.109375" customWidth="1"/>
    <col min="51" max="51" width="13.109375" customWidth="1"/>
    <col min="53" max="53" width="13" customWidth="1"/>
  </cols>
  <sheetData>
    <row r="2" spans="1:19">
      <c r="A2" s="26" t="s">
        <v>1</v>
      </c>
      <c r="J2" s="20" t="s">
        <v>277</v>
      </c>
    </row>
    <row r="3" spans="1:19" ht="13.8" thickBot="1">
      <c r="A3" s="6" t="s">
        <v>54</v>
      </c>
      <c r="B3" s="6" t="s">
        <v>55</v>
      </c>
      <c r="C3" s="6" t="s">
        <v>56</v>
      </c>
      <c r="D3" s="6" t="s">
        <v>57</v>
      </c>
      <c r="E3" s="6" t="s">
        <v>0</v>
      </c>
      <c r="F3" s="6" t="s">
        <v>58</v>
      </c>
      <c r="G3" s="6" t="s">
        <v>60</v>
      </c>
      <c r="H3" s="6" t="s">
        <v>61</v>
      </c>
      <c r="J3" s="35" t="s">
        <v>239</v>
      </c>
      <c r="K3" s="36"/>
      <c r="L3" s="37" t="s">
        <v>254</v>
      </c>
      <c r="N3" s="26" t="s">
        <v>253</v>
      </c>
    </row>
    <row r="4" spans="1:19">
      <c r="C4" s="69" t="s">
        <v>2</v>
      </c>
      <c r="D4" s="68"/>
      <c r="E4" s="72" t="s">
        <v>62</v>
      </c>
      <c r="F4" s="71" t="s">
        <v>239</v>
      </c>
      <c r="G4" s="69" t="s">
        <v>159</v>
      </c>
      <c r="H4" s="70">
        <v>96.100000000000009</v>
      </c>
      <c r="J4" s="38" t="s">
        <v>240</v>
      </c>
      <c r="L4" s="39" t="s">
        <v>255</v>
      </c>
      <c r="M4" s="4"/>
      <c r="N4" s="4" t="s">
        <v>2</v>
      </c>
      <c r="O4" s="4"/>
      <c r="P4" s="20" t="s">
        <v>62</v>
      </c>
      <c r="Q4" s="31" t="s">
        <v>64</v>
      </c>
      <c r="R4" s="30" t="s">
        <v>159</v>
      </c>
      <c r="S4" s="29">
        <v>183.30600000000001</v>
      </c>
    </row>
    <row r="5" spans="1:19">
      <c r="C5" s="68" t="s">
        <v>2</v>
      </c>
      <c r="D5" s="68"/>
      <c r="E5" s="68" t="s">
        <v>62</v>
      </c>
      <c r="F5" s="68" t="s">
        <v>239</v>
      </c>
      <c r="G5" s="68" t="s">
        <v>379</v>
      </c>
      <c r="H5" s="74">
        <v>96.100000000000009</v>
      </c>
      <c r="J5" s="38" t="s">
        <v>241</v>
      </c>
      <c r="L5" s="39" t="s">
        <v>256</v>
      </c>
      <c r="M5" s="4"/>
      <c r="N5" s="4" t="s">
        <v>2</v>
      </c>
      <c r="O5" s="4"/>
      <c r="P5" s="20" t="s">
        <v>62</v>
      </c>
      <c r="Q5" s="31" t="s">
        <v>64</v>
      </c>
      <c r="R5" s="30" t="s">
        <v>133</v>
      </c>
      <c r="S5" s="29">
        <f>S4</f>
        <v>183.30600000000001</v>
      </c>
    </row>
    <row r="6" spans="1:19">
      <c r="C6" s="84" t="s">
        <v>2</v>
      </c>
      <c r="D6" s="85"/>
      <c r="E6" s="86" t="s">
        <v>62</v>
      </c>
      <c r="F6" s="87" t="s">
        <v>239</v>
      </c>
      <c r="G6" s="84" t="s">
        <v>133</v>
      </c>
      <c r="H6" s="88">
        <v>96.100000000000009</v>
      </c>
      <c r="J6" s="38" t="s">
        <v>242</v>
      </c>
      <c r="L6" s="39" t="s">
        <v>257</v>
      </c>
      <c r="M6" s="4"/>
      <c r="N6" s="4" t="s">
        <v>2</v>
      </c>
      <c r="O6" s="4"/>
      <c r="P6" s="20" t="s">
        <v>62</v>
      </c>
      <c r="Q6" t="s">
        <v>18</v>
      </c>
      <c r="R6" s="4" t="s">
        <v>159</v>
      </c>
      <c r="S6" s="5">
        <v>5.63900000000001</v>
      </c>
    </row>
    <row r="7" spans="1:19">
      <c r="C7" s="69" t="s">
        <v>2</v>
      </c>
      <c r="D7" s="68"/>
      <c r="E7" s="72" t="s">
        <v>62</v>
      </c>
      <c r="F7" s="72" t="s">
        <v>240</v>
      </c>
      <c r="G7" s="69" t="s">
        <v>159</v>
      </c>
      <c r="H7" s="70">
        <v>96.100000000000009</v>
      </c>
      <c r="J7" s="38" t="s">
        <v>258</v>
      </c>
      <c r="L7" s="39" t="s">
        <v>259</v>
      </c>
      <c r="M7" s="4"/>
      <c r="N7" s="4" t="s">
        <v>2</v>
      </c>
      <c r="O7" s="4"/>
      <c r="P7" s="20" t="s">
        <v>62</v>
      </c>
      <c r="Q7" t="s">
        <v>18</v>
      </c>
      <c r="R7" s="4" t="s">
        <v>17</v>
      </c>
      <c r="S7" s="5">
        <v>177.667</v>
      </c>
    </row>
    <row r="8" spans="1:19">
      <c r="C8" s="69" t="s">
        <v>2</v>
      </c>
      <c r="D8" s="68"/>
      <c r="E8" s="72" t="s">
        <v>62</v>
      </c>
      <c r="F8" s="72" t="s">
        <v>240</v>
      </c>
      <c r="G8" s="68" t="s">
        <v>379</v>
      </c>
      <c r="H8" s="74">
        <v>96.100000000000009</v>
      </c>
      <c r="J8" s="38" t="s">
        <v>260</v>
      </c>
      <c r="L8" s="39" t="s">
        <v>261</v>
      </c>
      <c r="M8" s="4"/>
      <c r="N8" s="4" t="s">
        <v>2</v>
      </c>
      <c r="O8" s="4"/>
      <c r="P8" s="20" t="s">
        <v>62</v>
      </c>
      <c r="Q8" t="s">
        <v>18</v>
      </c>
      <c r="R8" s="4" t="s">
        <v>133</v>
      </c>
      <c r="S8" s="5">
        <f>S6+S7</f>
        <v>183.30600000000001</v>
      </c>
    </row>
    <row r="9" spans="1:19">
      <c r="C9" s="84" t="s">
        <v>2</v>
      </c>
      <c r="D9" s="85"/>
      <c r="E9" s="86" t="s">
        <v>62</v>
      </c>
      <c r="F9" s="86" t="s">
        <v>240</v>
      </c>
      <c r="G9" s="84" t="s">
        <v>133</v>
      </c>
      <c r="H9" s="88">
        <v>96.100000000000009</v>
      </c>
      <c r="J9" s="38" t="s">
        <v>243</v>
      </c>
      <c r="L9" s="39" t="s">
        <v>262</v>
      </c>
      <c r="M9" s="4"/>
      <c r="N9" s="4" t="s">
        <v>2</v>
      </c>
      <c r="O9" s="4"/>
      <c r="P9" s="20" t="s">
        <v>62</v>
      </c>
      <c r="Q9" s="31" t="s">
        <v>19</v>
      </c>
      <c r="R9" s="30" t="s">
        <v>159</v>
      </c>
      <c r="S9" s="29">
        <v>1.833059999999989</v>
      </c>
    </row>
    <row r="10" spans="1:19">
      <c r="C10" s="69" t="s">
        <v>2</v>
      </c>
      <c r="D10" s="68"/>
      <c r="E10" s="72" t="s">
        <v>62</v>
      </c>
      <c r="F10" s="71" t="s">
        <v>241</v>
      </c>
      <c r="G10" s="69" t="s">
        <v>159</v>
      </c>
      <c r="H10" s="70">
        <v>9.61</v>
      </c>
      <c r="J10" s="38" t="s">
        <v>244</v>
      </c>
      <c r="L10" s="39" t="s">
        <v>263</v>
      </c>
      <c r="M10" s="4"/>
      <c r="N10" s="4" t="s">
        <v>2</v>
      </c>
      <c r="O10" s="4"/>
      <c r="P10" s="20" t="s">
        <v>62</v>
      </c>
      <c r="Q10" s="31" t="s">
        <v>19</v>
      </c>
      <c r="R10" s="30" t="s">
        <v>17</v>
      </c>
      <c r="S10" s="29">
        <v>181.47294000000002</v>
      </c>
    </row>
    <row r="11" spans="1:19">
      <c r="C11" s="69" t="s">
        <v>2</v>
      </c>
      <c r="D11" s="68"/>
      <c r="E11" s="72" t="s">
        <v>62</v>
      </c>
      <c r="F11" s="71" t="s">
        <v>241</v>
      </c>
      <c r="G11" s="68" t="s">
        <v>379</v>
      </c>
      <c r="H11" s="74">
        <v>9.61</v>
      </c>
      <c r="J11" s="38" t="s">
        <v>264</v>
      </c>
      <c r="L11" s="39" t="s">
        <v>265</v>
      </c>
      <c r="M11" s="4"/>
      <c r="N11" s="4" t="s">
        <v>2</v>
      </c>
      <c r="O11" s="4"/>
      <c r="P11" s="20" t="s">
        <v>62</v>
      </c>
      <c r="Q11" s="31" t="s">
        <v>19</v>
      </c>
      <c r="R11" s="30" t="s">
        <v>133</v>
      </c>
      <c r="S11" s="29">
        <f>S9+S10</f>
        <v>183.30600000000001</v>
      </c>
    </row>
    <row r="12" spans="1:19">
      <c r="C12" s="69" t="s">
        <v>2</v>
      </c>
      <c r="D12" s="68"/>
      <c r="E12" s="72" t="s">
        <v>62</v>
      </c>
      <c r="F12" s="71" t="s">
        <v>241</v>
      </c>
      <c r="G12" s="69" t="s">
        <v>385</v>
      </c>
      <c r="H12" s="70">
        <v>86.490000000000009</v>
      </c>
      <c r="J12" s="38" t="s">
        <v>245</v>
      </c>
      <c r="L12" s="39" t="s">
        <v>266</v>
      </c>
      <c r="M12" s="4"/>
      <c r="N12" s="4" t="s">
        <v>2</v>
      </c>
      <c r="O12" s="4"/>
      <c r="P12" s="20" t="s">
        <v>63</v>
      </c>
      <c r="Q12" t="s">
        <v>194</v>
      </c>
      <c r="R12" s="4" t="s">
        <v>159</v>
      </c>
      <c r="S12" s="5">
        <v>84.15</v>
      </c>
    </row>
    <row r="13" spans="1:19">
      <c r="C13" s="84" t="s">
        <v>2</v>
      </c>
      <c r="D13" s="85"/>
      <c r="E13" s="86" t="s">
        <v>62</v>
      </c>
      <c r="F13" s="87" t="s">
        <v>241</v>
      </c>
      <c r="G13" s="84" t="s">
        <v>133</v>
      </c>
      <c r="H13" s="88">
        <v>96.100000000000009</v>
      </c>
      <c r="J13" s="38" t="s">
        <v>246</v>
      </c>
      <c r="L13" s="39" t="s">
        <v>267</v>
      </c>
      <c r="M13" s="4"/>
      <c r="N13" s="4" t="s">
        <v>2</v>
      </c>
      <c r="O13" s="4"/>
      <c r="P13" s="20" t="s">
        <v>63</v>
      </c>
      <c r="Q13" t="s">
        <v>194</v>
      </c>
      <c r="R13" s="4" t="s">
        <v>133</v>
      </c>
      <c r="S13" s="5">
        <f>S12</f>
        <v>84.15</v>
      </c>
    </row>
    <row r="14" spans="1:19">
      <c r="C14" s="69" t="s">
        <v>2</v>
      </c>
      <c r="D14" s="68"/>
      <c r="E14" s="72" t="s">
        <v>62</v>
      </c>
      <c r="F14" s="71" t="s">
        <v>242</v>
      </c>
      <c r="G14" s="69" t="s">
        <v>159</v>
      </c>
      <c r="H14" s="95">
        <v>4.8050000000000068</v>
      </c>
      <c r="J14" s="38" t="s">
        <v>247</v>
      </c>
      <c r="L14" s="39" t="s">
        <v>268</v>
      </c>
      <c r="M14" s="4"/>
      <c r="N14" s="4" t="s">
        <v>2</v>
      </c>
      <c r="O14" s="4"/>
      <c r="P14" s="20" t="s">
        <v>63</v>
      </c>
      <c r="Q14" s="31" t="s">
        <v>72</v>
      </c>
      <c r="R14" s="30" t="s">
        <v>159</v>
      </c>
      <c r="S14" s="29">
        <v>75.734999999999999</v>
      </c>
    </row>
    <row r="15" spans="1:19">
      <c r="C15" s="69" t="s">
        <v>2</v>
      </c>
      <c r="D15" s="68"/>
      <c r="E15" s="72" t="s">
        <v>62</v>
      </c>
      <c r="F15" s="71" t="s">
        <v>242</v>
      </c>
      <c r="G15" s="68" t="s">
        <v>379</v>
      </c>
      <c r="H15" s="95">
        <v>4.8050000000000068</v>
      </c>
      <c r="J15" s="38" t="s">
        <v>248</v>
      </c>
      <c r="L15" s="39" t="s">
        <v>269</v>
      </c>
      <c r="M15" s="4"/>
      <c r="N15" s="4" t="s">
        <v>2</v>
      </c>
      <c r="O15" s="4"/>
      <c r="P15" s="20" t="s">
        <v>63</v>
      </c>
      <c r="Q15" s="31" t="s">
        <v>72</v>
      </c>
      <c r="R15" s="30" t="s">
        <v>133</v>
      </c>
      <c r="S15" s="29">
        <f>S14</f>
        <v>75.734999999999999</v>
      </c>
    </row>
    <row r="16" spans="1:19">
      <c r="C16" s="69" t="s">
        <v>2</v>
      </c>
      <c r="D16" s="68"/>
      <c r="E16" s="72" t="s">
        <v>62</v>
      </c>
      <c r="F16" s="71" t="s">
        <v>242</v>
      </c>
      <c r="G16" s="69" t="s">
        <v>385</v>
      </c>
      <c r="H16" s="95">
        <v>91.295000000000002</v>
      </c>
      <c r="J16" s="38" t="s">
        <v>249</v>
      </c>
      <c r="L16" s="39" t="s">
        <v>270</v>
      </c>
      <c r="M16" s="4"/>
      <c r="N16" s="4" t="s">
        <v>2</v>
      </c>
      <c r="O16" s="4"/>
      <c r="P16" s="20" t="s">
        <v>63</v>
      </c>
      <c r="Q16" t="s">
        <v>53</v>
      </c>
      <c r="R16" s="4" t="s">
        <v>159</v>
      </c>
      <c r="S16" s="5">
        <v>2.1316999999999999E-2</v>
      </c>
    </row>
    <row r="17" spans="3:19">
      <c r="C17" s="84" t="s">
        <v>2</v>
      </c>
      <c r="D17" s="85"/>
      <c r="E17" s="86" t="s">
        <v>62</v>
      </c>
      <c r="F17" s="87" t="s">
        <v>242</v>
      </c>
      <c r="G17" s="84" t="s">
        <v>133</v>
      </c>
      <c r="H17" s="96">
        <v>96.100000000000009</v>
      </c>
      <c r="J17" s="38" t="s">
        <v>250</v>
      </c>
      <c r="L17" s="39" t="s">
        <v>271</v>
      </c>
      <c r="M17" s="4"/>
      <c r="N17" s="4" t="s">
        <v>2</v>
      </c>
      <c r="O17" s="4"/>
      <c r="P17" s="20" t="s">
        <v>63</v>
      </c>
      <c r="Q17" t="s">
        <v>53</v>
      </c>
      <c r="R17" s="4" t="s">
        <v>133</v>
      </c>
      <c r="S17" s="5">
        <f>S16</f>
        <v>2.1316999999999999E-2</v>
      </c>
    </row>
    <row r="18" spans="3:19">
      <c r="C18" s="114" t="s">
        <v>2</v>
      </c>
      <c r="D18" s="114"/>
      <c r="E18" s="114" t="s">
        <v>407</v>
      </c>
      <c r="F18" s="116" t="s">
        <v>243</v>
      </c>
      <c r="G18" s="114" t="s">
        <v>159</v>
      </c>
      <c r="H18" s="117">
        <v>-98.56</v>
      </c>
      <c r="J18" s="43" t="s">
        <v>278</v>
      </c>
      <c r="L18" s="39" t="s">
        <v>272</v>
      </c>
      <c r="M18" s="4"/>
      <c r="N18" s="4" t="s">
        <v>2</v>
      </c>
      <c r="O18" s="4"/>
      <c r="P18" s="20" t="s">
        <v>71</v>
      </c>
      <c r="Q18" s="31" t="s">
        <v>70</v>
      </c>
      <c r="R18" s="30" t="s">
        <v>159</v>
      </c>
      <c r="S18" s="29">
        <v>100.62</v>
      </c>
    </row>
    <row r="19" spans="3:19">
      <c r="C19" s="109" t="s">
        <v>2</v>
      </c>
      <c r="D19" s="109"/>
      <c r="E19" s="109" t="s">
        <v>407</v>
      </c>
      <c r="F19" s="118" t="s">
        <v>243</v>
      </c>
      <c r="G19" s="109" t="s">
        <v>17</v>
      </c>
      <c r="H19" s="110">
        <v>98.56</v>
      </c>
      <c r="J19" s="38" t="s">
        <v>273</v>
      </c>
      <c r="L19" s="39" t="s">
        <v>274</v>
      </c>
      <c r="M19" s="4"/>
      <c r="N19" s="4" t="s">
        <v>2</v>
      </c>
      <c r="O19" s="4"/>
      <c r="P19" s="20" t="s">
        <v>71</v>
      </c>
      <c r="Q19" s="31" t="s">
        <v>70</v>
      </c>
      <c r="R19" s="30" t="s">
        <v>133</v>
      </c>
      <c r="S19" s="29">
        <f>S18</f>
        <v>100.62</v>
      </c>
    </row>
    <row r="20" spans="3:19">
      <c r="C20" s="115" t="s">
        <v>2</v>
      </c>
      <c r="D20" s="115"/>
      <c r="E20" s="115" t="s">
        <v>407</v>
      </c>
      <c r="F20" s="119" t="s">
        <v>243</v>
      </c>
      <c r="G20" s="115" t="s">
        <v>133</v>
      </c>
      <c r="H20" s="120">
        <v>0</v>
      </c>
      <c r="J20" s="38" t="s">
        <v>251</v>
      </c>
      <c r="L20" s="39" t="s">
        <v>275</v>
      </c>
      <c r="M20" s="4"/>
      <c r="N20" s="4" t="s">
        <v>2</v>
      </c>
      <c r="O20" s="4"/>
      <c r="P20" s="20" t="s">
        <v>63</v>
      </c>
      <c r="Q20" t="s">
        <v>52</v>
      </c>
      <c r="R20" s="4" t="s">
        <v>159</v>
      </c>
      <c r="S20" s="5">
        <v>84.15</v>
      </c>
    </row>
    <row r="21" spans="3:19">
      <c r="C21" s="69" t="s">
        <v>2</v>
      </c>
      <c r="D21" s="68"/>
      <c r="E21" s="72" t="s">
        <v>63</v>
      </c>
      <c r="F21" s="72" t="s">
        <v>244</v>
      </c>
      <c r="G21" s="69" t="s">
        <v>159</v>
      </c>
      <c r="H21" s="70">
        <v>56.1</v>
      </c>
      <c r="J21" s="40" t="s">
        <v>252</v>
      </c>
      <c r="K21" s="41"/>
      <c r="L21" s="42" t="s">
        <v>276</v>
      </c>
      <c r="M21" s="4"/>
      <c r="N21" s="4" t="s">
        <v>2</v>
      </c>
      <c r="O21" s="4"/>
      <c r="P21" s="20" t="s">
        <v>63</v>
      </c>
      <c r="Q21" t="s">
        <v>52</v>
      </c>
      <c r="R21" s="4" t="s">
        <v>133</v>
      </c>
      <c r="S21" s="5">
        <f>S20</f>
        <v>84.15</v>
      </c>
    </row>
    <row r="22" spans="3:19">
      <c r="C22" s="69" t="s">
        <v>2</v>
      </c>
      <c r="D22" s="68"/>
      <c r="E22" s="72" t="s">
        <v>63</v>
      </c>
      <c r="F22" s="72" t="s">
        <v>244</v>
      </c>
      <c r="G22" s="68" t="s">
        <v>379</v>
      </c>
      <c r="H22" s="74">
        <v>56.1</v>
      </c>
    </row>
    <row r="23" spans="3:19">
      <c r="C23" s="84" t="s">
        <v>2</v>
      </c>
      <c r="D23" s="85"/>
      <c r="E23" s="86" t="s">
        <v>63</v>
      </c>
      <c r="F23" s="86" t="s">
        <v>244</v>
      </c>
      <c r="G23" s="84" t="s">
        <v>133</v>
      </c>
      <c r="H23" s="88">
        <v>56.1</v>
      </c>
    </row>
    <row r="24" spans="3:19">
      <c r="C24" s="69" t="s">
        <v>2</v>
      </c>
      <c r="D24" s="68"/>
      <c r="E24" s="72" t="s">
        <v>63</v>
      </c>
      <c r="F24" s="72" t="s">
        <v>245</v>
      </c>
      <c r="G24" s="69" t="s">
        <v>159</v>
      </c>
      <c r="H24" s="70">
        <v>56.1</v>
      </c>
    </row>
    <row r="25" spans="3:19">
      <c r="C25" s="69" t="s">
        <v>2</v>
      </c>
      <c r="D25" s="68"/>
      <c r="E25" s="72" t="s">
        <v>63</v>
      </c>
      <c r="F25" s="72" t="s">
        <v>245</v>
      </c>
      <c r="G25" s="68" t="s">
        <v>379</v>
      </c>
      <c r="H25" s="74">
        <v>56.1</v>
      </c>
    </row>
    <row r="26" spans="3:19">
      <c r="C26" s="84" t="s">
        <v>2</v>
      </c>
      <c r="D26" s="85"/>
      <c r="E26" s="86" t="s">
        <v>63</v>
      </c>
      <c r="F26" s="86" t="s">
        <v>245</v>
      </c>
      <c r="G26" s="84" t="s">
        <v>133</v>
      </c>
      <c r="H26" s="88">
        <v>56.1</v>
      </c>
    </row>
    <row r="27" spans="3:19">
      <c r="C27" s="69" t="s">
        <v>2</v>
      </c>
      <c r="D27" s="68"/>
      <c r="E27" s="72" t="s">
        <v>63</v>
      </c>
      <c r="F27" s="72" t="s">
        <v>246</v>
      </c>
      <c r="G27" s="69" t="s">
        <v>159</v>
      </c>
      <c r="H27" s="70">
        <v>56.1</v>
      </c>
    </row>
    <row r="28" spans="3:19">
      <c r="C28" s="69" t="s">
        <v>2</v>
      </c>
      <c r="D28" s="68"/>
      <c r="E28" s="72" t="s">
        <v>63</v>
      </c>
      <c r="F28" s="72" t="s">
        <v>246</v>
      </c>
      <c r="G28" s="68" t="s">
        <v>379</v>
      </c>
      <c r="H28" s="74">
        <v>56.1</v>
      </c>
    </row>
    <row r="29" spans="3:19">
      <c r="C29" s="84" t="s">
        <v>2</v>
      </c>
      <c r="D29" s="85"/>
      <c r="E29" s="86" t="s">
        <v>63</v>
      </c>
      <c r="F29" s="86" t="s">
        <v>246</v>
      </c>
      <c r="G29" s="84" t="s">
        <v>133</v>
      </c>
      <c r="H29" s="88">
        <v>56.1</v>
      </c>
    </row>
    <row r="30" spans="3:19">
      <c r="C30" s="89" t="s">
        <v>2</v>
      </c>
      <c r="D30" s="90"/>
      <c r="E30" s="91" t="s">
        <v>63</v>
      </c>
      <c r="F30" s="92" t="s">
        <v>247</v>
      </c>
      <c r="G30" s="89" t="s">
        <v>159</v>
      </c>
      <c r="H30" s="93">
        <v>2.8050000000000002</v>
      </c>
    </row>
    <row r="31" spans="3:19">
      <c r="C31" s="68" t="s">
        <v>2</v>
      </c>
      <c r="D31" s="68"/>
      <c r="E31" s="68" t="s">
        <v>63</v>
      </c>
      <c r="F31" s="68" t="s">
        <v>247</v>
      </c>
      <c r="G31" s="68" t="s">
        <v>379</v>
      </c>
      <c r="H31" s="74">
        <v>2.8050000000000002</v>
      </c>
    </row>
    <row r="32" spans="3:19">
      <c r="C32" s="69" t="s">
        <v>2</v>
      </c>
      <c r="D32" s="68"/>
      <c r="E32" s="72" t="s">
        <v>63</v>
      </c>
      <c r="F32" s="71" t="s">
        <v>247</v>
      </c>
      <c r="G32" s="69" t="s">
        <v>385</v>
      </c>
      <c r="H32" s="70">
        <v>53.295000000000002</v>
      </c>
    </row>
    <row r="33" spans="1:17">
      <c r="C33" s="84" t="s">
        <v>2</v>
      </c>
      <c r="D33" s="85"/>
      <c r="E33" s="86" t="s">
        <v>63</v>
      </c>
      <c r="F33" s="87" t="s">
        <v>247</v>
      </c>
      <c r="G33" s="84" t="s">
        <v>133</v>
      </c>
      <c r="H33" s="88">
        <v>56.1</v>
      </c>
    </row>
    <row r="34" spans="1:17">
      <c r="C34" s="89" t="s">
        <v>2</v>
      </c>
      <c r="D34" s="90"/>
      <c r="E34" s="91" t="s">
        <v>63</v>
      </c>
      <c r="F34" s="92" t="s">
        <v>248</v>
      </c>
      <c r="G34" s="89" t="s">
        <v>159</v>
      </c>
      <c r="H34" s="93">
        <v>2.8050000000000002</v>
      </c>
    </row>
    <row r="35" spans="1:17">
      <c r="C35" s="68" t="s">
        <v>2</v>
      </c>
      <c r="D35" s="68"/>
      <c r="E35" s="68" t="s">
        <v>63</v>
      </c>
      <c r="F35" s="68" t="s">
        <v>248</v>
      </c>
      <c r="G35" s="68" t="s">
        <v>379</v>
      </c>
      <c r="H35" s="74">
        <v>2.8050000000000002</v>
      </c>
    </row>
    <row r="36" spans="1:17">
      <c r="C36" s="69" t="s">
        <v>2</v>
      </c>
      <c r="D36" s="68"/>
      <c r="E36" s="72" t="s">
        <v>63</v>
      </c>
      <c r="F36" s="71" t="s">
        <v>248</v>
      </c>
      <c r="G36" s="69" t="s">
        <v>385</v>
      </c>
      <c r="H36" s="70">
        <v>53.295000000000002</v>
      </c>
    </row>
    <row r="37" spans="1:17">
      <c r="B37" s="4"/>
      <c r="C37" s="84" t="s">
        <v>2</v>
      </c>
      <c r="D37" s="85"/>
      <c r="E37" s="86" t="s">
        <v>63</v>
      </c>
      <c r="F37" s="87" t="s">
        <v>248</v>
      </c>
      <c r="G37" s="84" t="s">
        <v>133</v>
      </c>
      <c r="H37" s="94">
        <v>56.1</v>
      </c>
    </row>
    <row r="38" spans="1:17">
      <c r="B38" s="4"/>
      <c r="C38" s="69" t="s">
        <v>2</v>
      </c>
      <c r="D38" s="68"/>
      <c r="E38" s="72" t="s">
        <v>63</v>
      </c>
      <c r="F38" s="71" t="s">
        <v>249</v>
      </c>
      <c r="G38" s="69" t="s">
        <v>159</v>
      </c>
      <c r="H38" s="70">
        <v>56.1</v>
      </c>
    </row>
    <row r="39" spans="1:17">
      <c r="A39" s="4"/>
      <c r="B39" s="4"/>
      <c r="C39" s="68" t="s">
        <v>2</v>
      </c>
      <c r="D39" s="68"/>
      <c r="E39" s="68" t="s">
        <v>63</v>
      </c>
      <c r="F39" s="68" t="s">
        <v>249</v>
      </c>
      <c r="G39" s="68" t="s">
        <v>379</v>
      </c>
      <c r="H39" s="74">
        <v>56.1</v>
      </c>
    </row>
    <row r="40" spans="1:17">
      <c r="A40" s="4"/>
      <c r="B40" s="4"/>
      <c r="C40" s="84" t="s">
        <v>2</v>
      </c>
      <c r="D40" s="85"/>
      <c r="E40" s="86" t="s">
        <v>63</v>
      </c>
      <c r="F40" s="87" t="s">
        <v>249</v>
      </c>
      <c r="G40" s="84" t="s">
        <v>133</v>
      </c>
      <c r="H40" s="88">
        <v>56.1</v>
      </c>
      <c r="P40" s="27"/>
    </row>
    <row r="41" spans="1:17">
      <c r="A41" s="4"/>
      <c r="B41" s="4"/>
      <c r="C41" s="69" t="s">
        <v>2</v>
      </c>
      <c r="D41" s="68"/>
      <c r="E41" s="72" t="s">
        <v>63</v>
      </c>
      <c r="F41" s="69" t="s">
        <v>250</v>
      </c>
      <c r="G41" s="69" t="s">
        <v>159</v>
      </c>
      <c r="H41" s="74">
        <v>56.1</v>
      </c>
    </row>
    <row r="42" spans="1:17">
      <c r="A42" s="4"/>
      <c r="B42" s="4"/>
      <c r="C42" s="68" t="s">
        <v>2</v>
      </c>
      <c r="D42" s="68"/>
      <c r="E42" s="68" t="s">
        <v>63</v>
      </c>
      <c r="F42" s="68" t="s">
        <v>250</v>
      </c>
      <c r="G42" s="68" t="s">
        <v>379</v>
      </c>
      <c r="H42" s="74">
        <v>56.1</v>
      </c>
    </row>
    <row r="43" spans="1:17">
      <c r="A43" s="4"/>
      <c r="B43" s="4"/>
      <c r="C43" s="84" t="s">
        <v>2</v>
      </c>
      <c r="D43" s="85"/>
      <c r="E43" s="86" t="s">
        <v>63</v>
      </c>
      <c r="F43" s="84" t="s">
        <v>250</v>
      </c>
      <c r="G43" s="84" t="s">
        <v>133</v>
      </c>
      <c r="H43" s="94">
        <v>56.1</v>
      </c>
    </row>
    <row r="44" spans="1:17">
      <c r="A44" s="4"/>
      <c r="B44" s="4"/>
      <c r="C44" s="69" t="s">
        <v>2</v>
      </c>
      <c r="D44" s="68"/>
      <c r="E44" s="72" t="s">
        <v>63</v>
      </c>
      <c r="F44" s="71" t="s">
        <v>278</v>
      </c>
      <c r="G44" s="69" t="s">
        <v>159</v>
      </c>
      <c r="H44" s="95">
        <v>56.1</v>
      </c>
    </row>
    <row r="45" spans="1:17">
      <c r="A45" s="4"/>
      <c r="B45" s="4"/>
      <c r="C45" s="68" t="s">
        <v>2</v>
      </c>
      <c r="D45" s="68"/>
      <c r="E45" s="68" t="s">
        <v>63</v>
      </c>
      <c r="F45" s="68" t="s">
        <v>278</v>
      </c>
      <c r="G45" s="68" t="s">
        <v>379</v>
      </c>
      <c r="H45" s="95">
        <v>56.1</v>
      </c>
      <c r="L45" s="26" t="s">
        <v>201</v>
      </c>
      <c r="M45" s="26" t="s">
        <v>202</v>
      </c>
      <c r="N45" s="26" t="s">
        <v>200</v>
      </c>
      <c r="O45" s="26" t="s">
        <v>159</v>
      </c>
      <c r="P45" s="26" t="s">
        <v>17</v>
      </c>
      <c r="Q45" s="26" t="s">
        <v>209</v>
      </c>
    </row>
    <row r="46" spans="1:17">
      <c r="A46" s="4"/>
      <c r="B46" s="4"/>
      <c r="C46" s="84" t="s">
        <v>2</v>
      </c>
      <c r="D46" s="85"/>
      <c r="E46" s="86" t="s">
        <v>63</v>
      </c>
      <c r="F46" s="87" t="s">
        <v>278</v>
      </c>
      <c r="G46" s="84" t="s">
        <v>133</v>
      </c>
      <c r="H46" s="96">
        <v>56.1</v>
      </c>
      <c r="L46" s="20" t="s">
        <v>62</v>
      </c>
      <c r="N46" s="34">
        <f>O46</f>
        <v>183.30600000000001</v>
      </c>
      <c r="O46" s="34">
        <v>183.30600000000001</v>
      </c>
      <c r="P46" s="34">
        <v>0</v>
      </c>
      <c r="Q46" s="20" t="s">
        <v>210</v>
      </c>
    </row>
    <row r="47" spans="1:17">
      <c r="A47" s="4"/>
      <c r="B47" s="4"/>
      <c r="C47" s="69" t="s">
        <v>2</v>
      </c>
      <c r="D47" s="68"/>
      <c r="E47" s="72" t="s">
        <v>63</v>
      </c>
      <c r="F47" s="69" t="s">
        <v>251</v>
      </c>
      <c r="G47" s="69" t="s">
        <v>159</v>
      </c>
      <c r="H47" s="74">
        <v>56.1</v>
      </c>
      <c r="L47" s="20" t="s">
        <v>62</v>
      </c>
      <c r="N47" s="34">
        <f t="shared" ref="N47:N54" si="0">O47</f>
        <v>5.63900000000001</v>
      </c>
      <c r="O47" s="34">
        <f>O46-P47</f>
        <v>5.63900000000001</v>
      </c>
      <c r="P47" s="34">
        <v>177.667</v>
      </c>
      <c r="Q47" s="20" t="s">
        <v>210</v>
      </c>
    </row>
    <row r="48" spans="1:17">
      <c r="A48" s="4"/>
      <c r="B48" s="4"/>
      <c r="C48" s="68" t="s">
        <v>2</v>
      </c>
      <c r="D48" s="68"/>
      <c r="E48" s="68" t="s">
        <v>63</v>
      </c>
      <c r="F48" s="68" t="s">
        <v>251</v>
      </c>
      <c r="G48" s="68" t="s">
        <v>379</v>
      </c>
      <c r="H48" s="74">
        <v>56.1</v>
      </c>
      <c r="L48" s="20" t="s">
        <v>62</v>
      </c>
      <c r="N48" s="34">
        <f t="shared" si="0"/>
        <v>1.833059999999989</v>
      </c>
      <c r="O48" s="34">
        <f>O46-P48</f>
        <v>1.833059999999989</v>
      </c>
      <c r="P48" s="34">
        <f>O46*0.99</f>
        <v>181.47294000000002</v>
      </c>
      <c r="Q48" s="20" t="s">
        <v>238</v>
      </c>
    </row>
    <row r="49" spans="1:17">
      <c r="A49" s="4"/>
      <c r="B49" s="4"/>
      <c r="C49" s="84" t="s">
        <v>2</v>
      </c>
      <c r="D49" s="85"/>
      <c r="E49" s="86" t="s">
        <v>63</v>
      </c>
      <c r="F49" s="84" t="s">
        <v>251</v>
      </c>
      <c r="G49" s="84" t="s">
        <v>133</v>
      </c>
      <c r="H49" s="94">
        <v>56.1</v>
      </c>
      <c r="L49" s="20" t="s">
        <v>203</v>
      </c>
      <c r="M49" s="20" t="s">
        <v>204</v>
      </c>
      <c r="N49" s="34">
        <f t="shared" si="0"/>
        <v>0</v>
      </c>
      <c r="O49" s="34">
        <v>0</v>
      </c>
      <c r="P49" s="34">
        <v>0</v>
      </c>
      <c r="Q49" s="20" t="s">
        <v>210</v>
      </c>
    </row>
    <row r="50" spans="1:17">
      <c r="A50" s="4"/>
      <c r="B50" s="4"/>
      <c r="C50" s="69" t="s">
        <v>2</v>
      </c>
      <c r="D50" s="68"/>
      <c r="E50" s="72" t="s">
        <v>71</v>
      </c>
      <c r="F50" s="68" t="s">
        <v>252</v>
      </c>
      <c r="G50" s="69" t="s">
        <v>159</v>
      </c>
      <c r="H50" s="74">
        <v>75.337670384138789</v>
      </c>
      <c r="L50" s="20" t="s">
        <v>203</v>
      </c>
      <c r="M50" s="20"/>
      <c r="N50" s="34">
        <f t="shared" si="0"/>
        <v>0</v>
      </c>
      <c r="O50" s="34">
        <v>0</v>
      </c>
      <c r="P50" s="34">
        <v>0</v>
      </c>
      <c r="Q50" s="20" t="s">
        <v>210</v>
      </c>
    </row>
    <row r="51" spans="1:17">
      <c r="A51" s="4"/>
      <c r="B51" s="4"/>
      <c r="C51" s="68" t="s">
        <v>2</v>
      </c>
      <c r="D51" s="68"/>
      <c r="E51" s="68" t="s">
        <v>71</v>
      </c>
      <c r="F51" s="68" t="s">
        <v>252</v>
      </c>
      <c r="G51" s="68" t="s">
        <v>379</v>
      </c>
      <c r="H51" s="74">
        <v>75.337670384138789</v>
      </c>
      <c r="L51" s="20" t="s">
        <v>204</v>
      </c>
      <c r="M51" s="20" t="s">
        <v>205</v>
      </c>
      <c r="N51" s="34">
        <f t="shared" si="0"/>
        <v>0</v>
      </c>
      <c r="O51" s="34">
        <v>0</v>
      </c>
      <c r="P51" s="34">
        <v>0</v>
      </c>
      <c r="Q51" s="20" t="s">
        <v>210</v>
      </c>
    </row>
    <row r="52" spans="1:17">
      <c r="A52" s="4"/>
      <c r="B52" s="4"/>
      <c r="C52" s="84" t="s">
        <v>2</v>
      </c>
      <c r="D52" s="85"/>
      <c r="E52" s="86" t="s">
        <v>71</v>
      </c>
      <c r="F52" s="85" t="s">
        <v>252</v>
      </c>
      <c r="G52" s="84" t="s">
        <v>133</v>
      </c>
      <c r="H52" s="94">
        <v>75.337670384138789</v>
      </c>
      <c r="L52" s="20" t="s">
        <v>204</v>
      </c>
      <c r="N52" s="34">
        <f t="shared" si="0"/>
        <v>0</v>
      </c>
      <c r="O52" s="34">
        <v>0</v>
      </c>
      <c r="P52" s="34">
        <v>0</v>
      </c>
      <c r="Q52" s="20" t="s">
        <v>210</v>
      </c>
    </row>
    <row r="53" spans="1:17">
      <c r="A53" s="4"/>
      <c r="B53" s="4"/>
      <c r="C53" s="69" t="s">
        <v>2</v>
      </c>
      <c r="D53" s="69"/>
      <c r="E53" s="72" t="s">
        <v>62</v>
      </c>
      <c r="F53" s="71" t="s">
        <v>65</v>
      </c>
      <c r="G53" s="69" t="s">
        <v>159</v>
      </c>
      <c r="H53" s="70">
        <v>60.347532638888886</v>
      </c>
      <c r="L53" s="20" t="s">
        <v>204</v>
      </c>
      <c r="N53" s="34">
        <f t="shared" si="0"/>
        <v>0</v>
      </c>
      <c r="O53" s="34">
        <v>0</v>
      </c>
      <c r="P53" s="34">
        <v>0</v>
      </c>
      <c r="Q53" s="20" t="s">
        <v>210</v>
      </c>
    </row>
    <row r="54" spans="1:17">
      <c r="A54" s="4"/>
      <c r="B54" s="4"/>
      <c r="C54" s="69" t="s">
        <v>2</v>
      </c>
      <c r="D54" s="69"/>
      <c r="E54" s="72" t="s">
        <v>62</v>
      </c>
      <c r="F54" s="71" t="s">
        <v>65</v>
      </c>
      <c r="G54" s="68" t="s">
        <v>379</v>
      </c>
      <c r="H54" s="70">
        <v>60.347532638888886</v>
      </c>
      <c r="L54" s="20" t="s">
        <v>204</v>
      </c>
      <c r="N54" s="34">
        <f t="shared" si="0"/>
        <v>0</v>
      </c>
      <c r="O54" s="34">
        <v>0</v>
      </c>
      <c r="P54" s="34">
        <v>0</v>
      </c>
      <c r="Q54" s="20" t="s">
        <v>210</v>
      </c>
    </row>
    <row r="55" spans="1:17">
      <c r="A55" s="4"/>
      <c r="B55" s="4"/>
      <c r="C55" s="84" t="s">
        <v>2</v>
      </c>
      <c r="D55" s="84"/>
      <c r="E55" s="86" t="s">
        <v>62</v>
      </c>
      <c r="F55" s="87" t="s">
        <v>65</v>
      </c>
      <c r="G55" s="84" t="s">
        <v>133</v>
      </c>
      <c r="H55" s="88">
        <v>60.347532638888886</v>
      </c>
      <c r="L55" s="20" t="s">
        <v>63</v>
      </c>
      <c r="N55" s="33">
        <f>O55</f>
        <v>84.15</v>
      </c>
      <c r="O55" s="33">
        <v>84.15</v>
      </c>
      <c r="P55" s="34">
        <v>0</v>
      </c>
      <c r="Q55" s="20" t="s">
        <v>210</v>
      </c>
    </row>
    <row r="56" spans="1:17">
      <c r="A56" s="4"/>
      <c r="B56" s="4"/>
      <c r="C56" s="69" t="s">
        <v>2</v>
      </c>
      <c r="D56" s="69"/>
      <c r="E56" s="72" t="s">
        <v>62</v>
      </c>
      <c r="F56" s="71" t="s">
        <v>66</v>
      </c>
      <c r="G56" s="69" t="s">
        <v>159</v>
      </c>
      <c r="H56" s="70">
        <v>64.91794999999999</v>
      </c>
      <c r="L56" s="20" t="s">
        <v>63</v>
      </c>
      <c r="N56" s="33">
        <f>O56</f>
        <v>75.734999999999999</v>
      </c>
      <c r="O56" s="33">
        <v>75.734999999999999</v>
      </c>
      <c r="P56" s="34">
        <v>0</v>
      </c>
      <c r="Q56" s="20" t="s">
        <v>210</v>
      </c>
    </row>
    <row r="57" spans="1:17">
      <c r="A57" s="4"/>
      <c r="C57" s="69" t="s">
        <v>2</v>
      </c>
      <c r="D57" s="69"/>
      <c r="E57" s="72" t="s">
        <v>62</v>
      </c>
      <c r="F57" s="71" t="s">
        <v>66</v>
      </c>
      <c r="G57" s="68" t="s">
        <v>379</v>
      </c>
      <c r="H57" s="70">
        <v>64.91794999999999</v>
      </c>
      <c r="L57" s="20" t="s">
        <v>63</v>
      </c>
      <c r="M57" s="20" t="s">
        <v>204</v>
      </c>
      <c r="N57" s="33">
        <f>O57</f>
        <v>2.1316999999999999E-2</v>
      </c>
      <c r="O57" s="33">
        <v>2.1316999999999999E-2</v>
      </c>
      <c r="P57" s="34">
        <v>0</v>
      </c>
      <c r="Q57" s="20" t="s">
        <v>210</v>
      </c>
    </row>
    <row r="58" spans="1:17">
      <c r="A58" s="4"/>
      <c r="C58" s="84" t="s">
        <v>2</v>
      </c>
      <c r="D58" s="84"/>
      <c r="E58" s="86" t="s">
        <v>62</v>
      </c>
      <c r="F58" s="87" t="s">
        <v>66</v>
      </c>
      <c r="G58" s="84" t="s">
        <v>133</v>
      </c>
      <c r="H58" s="88">
        <v>64.91794999999999</v>
      </c>
      <c r="L58" s="20" t="s">
        <v>71</v>
      </c>
      <c r="M58" s="20" t="s">
        <v>204</v>
      </c>
      <c r="N58" s="33">
        <f>O58</f>
        <v>100.62</v>
      </c>
      <c r="O58" s="33">
        <v>100.62</v>
      </c>
      <c r="P58" s="34">
        <v>0</v>
      </c>
      <c r="Q58" s="20" t="s">
        <v>210</v>
      </c>
    </row>
    <row r="59" spans="1:17">
      <c r="C59" s="69" t="s">
        <v>2</v>
      </c>
      <c r="D59" s="69"/>
      <c r="E59" s="72" t="s">
        <v>62</v>
      </c>
      <c r="F59" s="71" t="s">
        <v>67</v>
      </c>
      <c r="G59" s="69" t="s">
        <v>159</v>
      </c>
      <c r="H59" s="70">
        <v>60.270091919330497</v>
      </c>
      <c r="L59" s="20" t="s">
        <v>63</v>
      </c>
      <c r="M59" s="20" t="s">
        <v>207</v>
      </c>
      <c r="N59" s="33">
        <f>N55</f>
        <v>84.15</v>
      </c>
      <c r="O59" s="33">
        <f>O55</f>
        <v>84.15</v>
      </c>
      <c r="P59" s="34">
        <v>0</v>
      </c>
      <c r="Q59" s="20" t="s">
        <v>211</v>
      </c>
    </row>
    <row r="60" spans="1:17">
      <c r="C60" s="69" t="s">
        <v>2</v>
      </c>
      <c r="D60" s="69"/>
      <c r="E60" s="72" t="s">
        <v>62</v>
      </c>
      <c r="F60" s="71" t="s">
        <v>67</v>
      </c>
      <c r="G60" s="68" t="s">
        <v>379</v>
      </c>
      <c r="H60" s="70">
        <v>60.270091919330497</v>
      </c>
      <c r="L60" s="20" t="s">
        <v>233</v>
      </c>
      <c r="N60" s="34"/>
      <c r="O60" s="34"/>
      <c r="P60" s="34"/>
    </row>
    <row r="61" spans="1:17">
      <c r="C61" s="84" t="s">
        <v>2</v>
      </c>
      <c r="D61" s="84"/>
      <c r="E61" s="86" t="s">
        <v>62</v>
      </c>
      <c r="F61" s="87" t="s">
        <v>67</v>
      </c>
      <c r="G61" s="84" t="s">
        <v>133</v>
      </c>
      <c r="H61" s="88">
        <v>60.270091919330497</v>
      </c>
      <c r="N61" s="34"/>
      <c r="O61" s="34"/>
      <c r="P61" s="34"/>
    </row>
    <row r="62" spans="1:17">
      <c r="C62" s="69" t="s">
        <v>2</v>
      </c>
      <c r="D62" s="69"/>
      <c r="E62" s="72" t="s">
        <v>62</v>
      </c>
      <c r="F62" s="71" t="s">
        <v>229</v>
      </c>
      <c r="G62" s="69" t="s">
        <v>159</v>
      </c>
      <c r="H62" s="70">
        <v>60.347532638888886</v>
      </c>
      <c r="L62" s="20" t="s">
        <v>233</v>
      </c>
      <c r="N62" s="33">
        <f>O62</f>
        <v>0</v>
      </c>
      <c r="O62" s="34">
        <v>0</v>
      </c>
      <c r="P62" s="34"/>
      <c r="Q62" s="20" t="s">
        <v>236</v>
      </c>
    </row>
    <row r="63" spans="1:17">
      <c r="C63" s="69" t="s">
        <v>2</v>
      </c>
      <c r="D63" s="69"/>
      <c r="E63" s="72" t="s">
        <v>62</v>
      </c>
      <c r="F63" s="71" t="s">
        <v>229</v>
      </c>
      <c r="G63" s="68" t="s">
        <v>379</v>
      </c>
      <c r="H63" s="70">
        <v>60.347532638888886</v>
      </c>
      <c r="L63" s="20" t="s">
        <v>233</v>
      </c>
      <c r="N63" s="33">
        <f t="shared" ref="N63:N74" si="1">O63</f>
        <v>0</v>
      </c>
      <c r="O63" s="34">
        <v>0</v>
      </c>
      <c r="P63" s="34"/>
      <c r="Q63" s="20" t="s">
        <v>236</v>
      </c>
    </row>
    <row r="64" spans="1:17">
      <c r="C64" s="84" t="s">
        <v>2</v>
      </c>
      <c r="D64" s="84"/>
      <c r="E64" s="86" t="s">
        <v>62</v>
      </c>
      <c r="F64" s="87" t="s">
        <v>229</v>
      </c>
      <c r="G64" s="84" t="s">
        <v>133</v>
      </c>
      <c r="H64" s="88">
        <v>60.347532638888886</v>
      </c>
      <c r="L64" s="20" t="s">
        <v>233</v>
      </c>
      <c r="N64" s="33">
        <f t="shared" si="1"/>
        <v>0</v>
      </c>
      <c r="O64" s="34">
        <v>0</v>
      </c>
      <c r="P64" s="34"/>
      <c r="Q64" s="20" t="s">
        <v>236</v>
      </c>
    </row>
    <row r="65" spans="3:17">
      <c r="C65" s="69" t="s">
        <v>2</v>
      </c>
      <c r="D65" s="69"/>
      <c r="E65" s="72" t="s">
        <v>63</v>
      </c>
      <c r="F65" s="71" t="s">
        <v>73</v>
      </c>
      <c r="G65" s="69" t="s">
        <v>159</v>
      </c>
      <c r="H65" s="70">
        <v>6.899897119341567</v>
      </c>
      <c r="L65" s="20" t="s">
        <v>233</v>
      </c>
      <c r="N65" s="33">
        <f t="shared" si="1"/>
        <v>0</v>
      </c>
      <c r="O65" s="34">
        <v>0</v>
      </c>
      <c r="P65" s="34"/>
      <c r="Q65" s="20" t="s">
        <v>236</v>
      </c>
    </row>
    <row r="66" spans="3:17">
      <c r="C66" s="69" t="s">
        <v>2</v>
      </c>
      <c r="D66" s="69"/>
      <c r="E66" s="72" t="s">
        <v>63</v>
      </c>
      <c r="F66" s="71" t="s">
        <v>73</v>
      </c>
      <c r="G66" s="68" t="s">
        <v>379</v>
      </c>
      <c r="H66" s="70">
        <v>6.899897119341567</v>
      </c>
      <c r="L66" s="20" t="s">
        <v>234</v>
      </c>
      <c r="N66" s="33">
        <f t="shared" si="1"/>
        <v>0</v>
      </c>
      <c r="O66" s="34">
        <v>0</v>
      </c>
      <c r="P66" s="34"/>
      <c r="Q66" s="20" t="s">
        <v>236</v>
      </c>
    </row>
    <row r="67" spans="3:17">
      <c r="C67" s="84" t="s">
        <v>2</v>
      </c>
      <c r="D67" s="84"/>
      <c r="E67" s="86" t="s">
        <v>63</v>
      </c>
      <c r="F67" s="87" t="s">
        <v>73</v>
      </c>
      <c r="G67" s="84" t="s">
        <v>133</v>
      </c>
      <c r="H67" s="88">
        <v>6.899897119341567</v>
      </c>
      <c r="L67" s="20" t="s">
        <v>203</v>
      </c>
      <c r="N67" s="33">
        <f t="shared" si="1"/>
        <v>0</v>
      </c>
      <c r="O67" s="34">
        <v>0</v>
      </c>
      <c r="P67" s="34"/>
      <c r="Q67" s="20" t="s">
        <v>236</v>
      </c>
    </row>
    <row r="68" spans="3:17">
      <c r="C68" s="89" t="s">
        <v>2</v>
      </c>
      <c r="D68" s="89"/>
      <c r="E68" s="91" t="s">
        <v>63</v>
      </c>
      <c r="F68" s="92" t="s">
        <v>68</v>
      </c>
      <c r="G68" s="89" t="s">
        <v>159</v>
      </c>
      <c r="H68" s="93">
        <v>13.757142857142867</v>
      </c>
      <c r="L68" s="20" t="s">
        <v>62</v>
      </c>
      <c r="N68" s="33">
        <f t="shared" si="1"/>
        <v>60.347532638888886</v>
      </c>
      <c r="O68" s="32">
        <v>60.347532638888886</v>
      </c>
      <c r="P68" s="34"/>
      <c r="Q68" s="20" t="s">
        <v>236</v>
      </c>
    </row>
    <row r="69" spans="3:17">
      <c r="C69" s="69" t="s">
        <v>2</v>
      </c>
      <c r="D69" s="69"/>
      <c r="E69" s="72" t="s">
        <v>63</v>
      </c>
      <c r="F69" s="71" t="s">
        <v>68</v>
      </c>
      <c r="G69" s="68" t="s">
        <v>379</v>
      </c>
      <c r="H69" s="70">
        <v>13.757142857142867</v>
      </c>
      <c r="L69" s="20" t="s">
        <v>62</v>
      </c>
      <c r="N69" s="33">
        <f t="shared" si="1"/>
        <v>64.91794999999999</v>
      </c>
      <c r="O69" s="32">
        <v>64.91794999999999</v>
      </c>
      <c r="P69" s="34"/>
      <c r="Q69" s="20" t="s">
        <v>236</v>
      </c>
    </row>
    <row r="70" spans="3:17">
      <c r="C70" s="84" t="s">
        <v>2</v>
      </c>
      <c r="D70" s="84"/>
      <c r="E70" s="86" t="s">
        <v>63</v>
      </c>
      <c r="F70" s="87" t="s">
        <v>68</v>
      </c>
      <c r="G70" s="84" t="s">
        <v>133</v>
      </c>
      <c r="H70" s="88">
        <v>13.757142857142867</v>
      </c>
      <c r="L70" s="20" t="s">
        <v>62</v>
      </c>
      <c r="N70" s="33">
        <f t="shared" si="1"/>
        <v>60.270091919330497</v>
      </c>
      <c r="O70" s="32">
        <v>60.270091919330497</v>
      </c>
      <c r="P70" s="34"/>
      <c r="Q70" s="20" t="s">
        <v>236</v>
      </c>
    </row>
    <row r="71" spans="3:17">
      <c r="C71" s="69" t="s">
        <v>2</v>
      </c>
      <c r="D71" s="69"/>
      <c r="E71" s="72" t="s">
        <v>63</v>
      </c>
      <c r="F71" s="71" t="s">
        <v>69</v>
      </c>
      <c r="G71" s="69" t="s">
        <v>159</v>
      </c>
      <c r="H71" s="70">
        <v>13.757142857142867</v>
      </c>
      <c r="L71" s="20" t="s">
        <v>62</v>
      </c>
      <c r="N71" s="33">
        <f t="shared" si="1"/>
        <v>60.347532638888886</v>
      </c>
      <c r="O71" s="33">
        <f>O68</f>
        <v>60.347532638888886</v>
      </c>
      <c r="P71" s="34"/>
      <c r="Q71" s="20" t="s">
        <v>237</v>
      </c>
    </row>
    <row r="72" spans="3:17">
      <c r="C72" s="69" t="s">
        <v>2</v>
      </c>
      <c r="D72" s="69"/>
      <c r="E72" s="72" t="s">
        <v>63</v>
      </c>
      <c r="F72" s="71" t="s">
        <v>69</v>
      </c>
      <c r="G72" s="68" t="s">
        <v>379</v>
      </c>
      <c r="H72" s="70">
        <v>13.757142857142867</v>
      </c>
      <c r="L72" s="20" t="s">
        <v>63</v>
      </c>
      <c r="N72" s="33">
        <f t="shared" si="1"/>
        <v>6.899897119341567</v>
      </c>
      <c r="O72" s="32">
        <v>6.899897119341567</v>
      </c>
      <c r="P72" s="34"/>
      <c r="Q72" s="20" t="s">
        <v>236</v>
      </c>
    </row>
    <row r="73" spans="3:17">
      <c r="C73" s="84" t="s">
        <v>2</v>
      </c>
      <c r="D73" s="84"/>
      <c r="E73" s="86" t="s">
        <v>63</v>
      </c>
      <c r="F73" s="87" t="s">
        <v>69</v>
      </c>
      <c r="G73" s="84" t="s">
        <v>133</v>
      </c>
      <c r="H73" s="88">
        <v>13.757142857142867</v>
      </c>
      <c r="L73" s="20" t="s">
        <v>63</v>
      </c>
      <c r="N73" s="33">
        <f t="shared" si="1"/>
        <v>13.757142857142867</v>
      </c>
      <c r="O73" s="32">
        <v>13.757142857142867</v>
      </c>
      <c r="P73" s="34"/>
      <c r="Q73" s="20" t="s">
        <v>236</v>
      </c>
    </row>
    <row r="74" spans="3:17">
      <c r="C74" s="109" t="s">
        <v>2</v>
      </c>
      <c r="D74" s="109"/>
      <c r="E74" s="109" t="s">
        <v>409</v>
      </c>
      <c r="F74" s="118" t="s">
        <v>297</v>
      </c>
      <c r="G74" s="109" t="s">
        <v>159</v>
      </c>
      <c r="H74" s="110">
        <v>-5.9805333333333328</v>
      </c>
      <c r="L74" s="20" t="s">
        <v>63</v>
      </c>
      <c r="N74" s="33">
        <f t="shared" si="1"/>
        <v>13.757142857142867</v>
      </c>
      <c r="O74" s="32">
        <v>13.757142857142867</v>
      </c>
      <c r="P74" s="34"/>
      <c r="Q74" s="20" t="s">
        <v>236</v>
      </c>
    </row>
    <row r="75" spans="3:17">
      <c r="C75" s="109" t="s">
        <v>2</v>
      </c>
      <c r="D75" s="109"/>
      <c r="E75" s="109" t="s">
        <v>409</v>
      </c>
      <c r="F75" s="118" t="s">
        <v>297</v>
      </c>
      <c r="G75" s="109" t="s">
        <v>17</v>
      </c>
      <c r="H75" s="110">
        <v>5.9805333333333328</v>
      </c>
    </row>
    <row r="76" spans="3:17">
      <c r="C76" s="115" t="s">
        <v>2</v>
      </c>
      <c r="D76" s="115"/>
      <c r="E76" s="109" t="s">
        <v>409</v>
      </c>
      <c r="F76" s="119" t="s">
        <v>297</v>
      </c>
      <c r="G76" s="115" t="s">
        <v>133</v>
      </c>
      <c r="H76" s="120">
        <v>0</v>
      </c>
    </row>
    <row r="77" spans="3:17">
      <c r="C77" s="109" t="s">
        <v>2</v>
      </c>
      <c r="D77" s="109"/>
      <c r="E77" s="109" t="s">
        <v>410</v>
      </c>
      <c r="F77" s="118" t="s">
        <v>298</v>
      </c>
      <c r="G77" s="109" t="s">
        <v>159</v>
      </c>
      <c r="H77" s="110">
        <v>-6.3320266666666658</v>
      </c>
    </row>
    <row r="78" spans="3:17">
      <c r="C78" s="109" t="s">
        <v>2</v>
      </c>
      <c r="D78" s="109"/>
      <c r="E78" s="109" t="s">
        <v>410</v>
      </c>
      <c r="F78" s="118" t="s">
        <v>298</v>
      </c>
      <c r="G78" s="109" t="s">
        <v>17</v>
      </c>
      <c r="H78" s="110">
        <v>6.3320266666666658</v>
      </c>
    </row>
    <row r="79" spans="3:17">
      <c r="C79" s="115" t="s">
        <v>2</v>
      </c>
      <c r="D79" s="115"/>
      <c r="E79" s="109" t="s">
        <v>410</v>
      </c>
      <c r="F79" s="119" t="s">
        <v>298</v>
      </c>
      <c r="G79" s="115" t="s">
        <v>133</v>
      </c>
      <c r="H79" s="120">
        <v>0</v>
      </c>
    </row>
    <row r="80" spans="3:17">
      <c r="C80" s="69" t="s">
        <v>2</v>
      </c>
      <c r="D80" s="69"/>
      <c r="E80" s="72" t="s">
        <v>63</v>
      </c>
      <c r="F80" s="71" t="s">
        <v>408</v>
      </c>
      <c r="G80" s="69" t="s">
        <v>159</v>
      </c>
      <c r="H80" s="70">
        <v>13.757142857142867</v>
      </c>
    </row>
    <row r="81" spans="3:8">
      <c r="C81" s="69" t="s">
        <v>2</v>
      </c>
      <c r="D81" s="69"/>
      <c r="E81" s="72" t="s">
        <v>63</v>
      </c>
      <c r="F81" s="71" t="s">
        <v>408</v>
      </c>
      <c r="G81" s="68" t="s">
        <v>379</v>
      </c>
      <c r="H81" s="70">
        <v>13.757142857142867</v>
      </c>
    </row>
    <row r="82" spans="3:8">
      <c r="C82" s="84" t="s">
        <v>2</v>
      </c>
      <c r="D82" s="84"/>
      <c r="E82" s="86" t="s">
        <v>63</v>
      </c>
      <c r="F82" s="71" t="s">
        <v>408</v>
      </c>
      <c r="G82" s="84" t="s">
        <v>133</v>
      </c>
      <c r="H82" s="88">
        <v>13.757142857142867</v>
      </c>
    </row>
    <row r="83" spans="3:8">
      <c r="C83" s="4"/>
      <c r="D83" s="4"/>
      <c r="H83" s="4"/>
    </row>
    <row r="84" spans="3:8">
      <c r="C84" s="4"/>
      <c r="D84" s="4"/>
      <c r="H84" s="4"/>
    </row>
    <row r="85" spans="3:8">
      <c r="C85" s="4"/>
      <c r="D85" s="4"/>
      <c r="H85" s="4"/>
    </row>
    <row r="86" spans="3:8">
      <c r="C86" s="4"/>
      <c r="D86" s="4"/>
      <c r="H86" s="4"/>
    </row>
    <row r="97" spans="5:7">
      <c r="E97" s="4"/>
      <c r="F97" s="25" t="s">
        <v>208</v>
      </c>
      <c r="G97" s="4"/>
    </row>
    <row r="98" spans="5:7">
      <c r="E98" s="4"/>
      <c r="F98" s="24" t="s">
        <v>206</v>
      </c>
      <c r="G98" s="4"/>
    </row>
    <row r="99" spans="5:7">
      <c r="E99" s="4">
        <v>1</v>
      </c>
      <c r="F99" s="31" t="s">
        <v>64</v>
      </c>
      <c r="G99" t="s">
        <v>179</v>
      </c>
    </row>
    <row r="100" spans="5:7">
      <c r="E100" s="4">
        <v>2</v>
      </c>
      <c r="F100" s="31" t="s">
        <v>18</v>
      </c>
      <c r="G100" t="s">
        <v>180</v>
      </c>
    </row>
    <row r="101" spans="5:7">
      <c r="E101" s="4">
        <v>3</v>
      </c>
      <c r="F101" s="31" t="s">
        <v>19</v>
      </c>
      <c r="G101" t="s">
        <v>181</v>
      </c>
    </row>
    <row r="102" spans="5:7">
      <c r="E102" s="4">
        <v>4</v>
      </c>
      <c r="F102" s="31" t="s">
        <v>182</v>
      </c>
      <c r="G102" t="s">
        <v>183</v>
      </c>
    </row>
    <row r="103" spans="5:7">
      <c r="E103" s="4">
        <v>5</v>
      </c>
      <c r="F103" s="31" t="s">
        <v>184</v>
      </c>
      <c r="G103" t="s">
        <v>185</v>
      </c>
    </row>
    <row r="104" spans="5:7">
      <c r="E104" s="4">
        <v>6</v>
      </c>
      <c r="F104" s="31" t="s">
        <v>186</v>
      </c>
      <c r="G104" t="s">
        <v>187</v>
      </c>
    </row>
    <row r="105" spans="5:7">
      <c r="E105" s="4">
        <v>7</v>
      </c>
      <c r="F105" s="31" t="s">
        <v>188</v>
      </c>
      <c r="G105" t="s">
        <v>189</v>
      </c>
    </row>
    <row r="106" spans="5:7">
      <c r="E106" s="4">
        <v>8</v>
      </c>
      <c r="F106" s="31" t="s">
        <v>190</v>
      </c>
      <c r="G106" t="s">
        <v>191</v>
      </c>
    </row>
    <row r="107" spans="5:7">
      <c r="E107" s="4">
        <v>9</v>
      </c>
      <c r="F107" s="31" t="s">
        <v>192</v>
      </c>
      <c r="G107" t="s">
        <v>193</v>
      </c>
    </row>
    <row r="108" spans="5:7">
      <c r="E108" s="4">
        <v>10</v>
      </c>
      <c r="F108" s="31" t="s">
        <v>194</v>
      </c>
      <c r="G108" t="s">
        <v>195</v>
      </c>
    </row>
    <row r="109" spans="5:7">
      <c r="E109" s="4">
        <v>11</v>
      </c>
      <c r="F109" s="31" t="s">
        <v>72</v>
      </c>
      <c r="G109" t="s">
        <v>196</v>
      </c>
    </row>
    <row r="110" spans="5:7">
      <c r="E110" s="4">
        <v>12</v>
      </c>
      <c r="F110" s="31" t="s">
        <v>53</v>
      </c>
      <c r="G110" t="s">
        <v>197</v>
      </c>
    </row>
    <row r="111" spans="5:7">
      <c r="E111" s="4">
        <v>13</v>
      </c>
      <c r="F111" s="31" t="s">
        <v>70</v>
      </c>
      <c r="G111" t="s">
        <v>198</v>
      </c>
    </row>
    <row r="112" spans="5:7">
      <c r="E112" s="4">
        <v>14</v>
      </c>
      <c r="F112" s="31" t="s">
        <v>52</v>
      </c>
      <c r="G112" t="s">
        <v>199</v>
      </c>
    </row>
    <row r="113" spans="5:7">
      <c r="E113" s="4">
        <v>15</v>
      </c>
      <c r="F113" s="28" t="s">
        <v>224</v>
      </c>
      <c r="G113" s="22" t="s">
        <v>225</v>
      </c>
    </row>
    <row r="114" spans="5:7">
      <c r="E114" s="4"/>
      <c r="F114" s="24" t="s">
        <v>235</v>
      </c>
      <c r="G114" s="4"/>
    </row>
    <row r="115" spans="5:7">
      <c r="E115" s="4"/>
      <c r="F115" s="22" t="s">
        <v>212</v>
      </c>
      <c r="G115" s="22" t="s">
        <v>213</v>
      </c>
    </row>
    <row r="116" spans="5:7">
      <c r="E116" s="4"/>
      <c r="F116" s="22" t="s">
        <v>214</v>
      </c>
      <c r="G116" s="22" t="s">
        <v>215</v>
      </c>
    </row>
    <row r="117" spans="5:7">
      <c r="E117" s="4"/>
      <c r="F117" s="22" t="s">
        <v>216</v>
      </c>
      <c r="G117" s="22" t="s">
        <v>217</v>
      </c>
    </row>
    <row r="118" spans="5:7">
      <c r="E118" s="4"/>
      <c r="F118" s="22" t="s">
        <v>218</v>
      </c>
      <c r="G118" s="22" t="s">
        <v>219</v>
      </c>
    </row>
    <row r="119" spans="5:7">
      <c r="E119" s="4"/>
      <c r="F119" s="22" t="s">
        <v>220</v>
      </c>
      <c r="G119" s="22" t="s">
        <v>221</v>
      </c>
    </row>
    <row r="120" spans="5:7">
      <c r="E120" s="4"/>
      <c r="F120" s="22" t="s">
        <v>222</v>
      </c>
      <c r="G120" s="22" t="s">
        <v>223</v>
      </c>
    </row>
    <row r="121" spans="5:7">
      <c r="E121" s="4"/>
      <c r="F121" s="22" t="s">
        <v>65</v>
      </c>
      <c r="G121" s="22" t="s">
        <v>226</v>
      </c>
    </row>
    <row r="122" spans="5:7">
      <c r="E122" s="4"/>
      <c r="F122" s="22" t="s">
        <v>66</v>
      </c>
      <c r="G122" s="22" t="s">
        <v>227</v>
      </c>
    </row>
    <row r="123" spans="5:7">
      <c r="E123" s="4"/>
      <c r="F123" s="22" t="s">
        <v>67</v>
      </c>
      <c r="G123" s="22" t="s">
        <v>228</v>
      </c>
    </row>
    <row r="124" spans="5:7">
      <c r="E124" s="4"/>
      <c r="F124" s="22" t="s">
        <v>229</v>
      </c>
      <c r="G124" s="22" t="s">
        <v>230</v>
      </c>
    </row>
    <row r="125" spans="5:7">
      <c r="F125" s="22" t="s">
        <v>73</v>
      </c>
      <c r="G125" s="22" t="s">
        <v>231</v>
      </c>
    </row>
    <row r="126" spans="5:7">
      <c r="F126" s="22" t="s">
        <v>68</v>
      </c>
      <c r="G126" s="22" t="s">
        <v>232</v>
      </c>
    </row>
    <row r="127" spans="5:7">
      <c r="F127" s="22" t="s">
        <v>69</v>
      </c>
      <c r="G127" s="22" t="s">
        <v>232</v>
      </c>
    </row>
  </sheetData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4"/>
  </sheetPr>
  <dimension ref="A2:Q104"/>
  <sheetViews>
    <sheetView topLeftCell="A42" zoomScale="110" zoomScaleNormal="110" workbookViewId="0">
      <selection activeCell="G77" sqref="G77"/>
    </sheetView>
  </sheetViews>
  <sheetFormatPr defaultRowHeight="13.2"/>
  <cols>
    <col min="1" max="1" width="4.33203125" bestFit="1" customWidth="1"/>
    <col min="2" max="2" width="4.6640625" bestFit="1" customWidth="1"/>
    <col min="3" max="3" width="14.88671875" bestFit="1" customWidth="1"/>
    <col min="4" max="4" width="11.5546875" bestFit="1" customWidth="1"/>
    <col min="5" max="5" width="15.5546875" bestFit="1" customWidth="1"/>
    <col min="6" max="6" width="20.88671875" customWidth="1"/>
    <col min="7" max="7" width="16.109375" customWidth="1"/>
    <col min="8" max="8" width="15.5546875" customWidth="1"/>
    <col min="9" max="9" width="10.88671875" bestFit="1" customWidth="1"/>
    <col min="10" max="10" width="8.6640625" customWidth="1"/>
    <col min="11" max="11" width="5.6640625" customWidth="1"/>
    <col min="12" max="12" width="10.33203125" bestFit="1" customWidth="1"/>
    <col min="13" max="13" width="6" bestFit="1" customWidth="1"/>
    <col min="14" max="14" width="15.5546875" bestFit="1" customWidth="1"/>
    <col min="15" max="15" width="14.5546875" bestFit="1" customWidth="1"/>
    <col min="16" max="17" width="10.44140625" bestFit="1" customWidth="1"/>
    <col min="18" max="18" width="12.33203125" bestFit="1" customWidth="1"/>
    <col min="19" max="19" width="8.5546875" customWidth="1"/>
    <col min="20" max="20" width="5.6640625" customWidth="1"/>
    <col min="21" max="23" width="5.5546875" bestFit="1" customWidth="1"/>
    <col min="24" max="24" width="5.33203125" customWidth="1"/>
    <col min="25" max="25" width="5.5546875" bestFit="1" customWidth="1"/>
    <col min="26" max="27" width="4.109375" customWidth="1"/>
    <col min="28" max="28" width="4.88671875" customWidth="1"/>
    <col min="29" max="29" width="8.109375" customWidth="1"/>
    <col min="30" max="30" width="5.33203125" customWidth="1"/>
    <col min="31" max="31" width="4.33203125" customWidth="1"/>
    <col min="32" max="32" width="5.6640625" customWidth="1"/>
    <col min="33" max="33" width="4.6640625" customWidth="1"/>
    <col min="34" max="34" width="5.6640625" customWidth="1"/>
    <col min="35" max="35" width="3.5546875" customWidth="1"/>
    <col min="36" max="36" width="4.33203125" customWidth="1"/>
    <col min="37" max="37" width="5.6640625" customWidth="1"/>
    <col min="38" max="38" width="6.5546875" customWidth="1"/>
    <col min="41" max="41" width="19.33203125" customWidth="1"/>
    <col min="42" max="42" width="17" customWidth="1"/>
    <col min="43" max="43" width="20.5546875" customWidth="1"/>
    <col min="48" max="48" width="13" customWidth="1"/>
    <col min="50" max="50" width="16.109375" customWidth="1"/>
    <col min="51" max="51" width="13.109375" customWidth="1"/>
    <col min="53" max="53" width="13" customWidth="1"/>
  </cols>
  <sheetData>
    <row r="2" spans="1:17">
      <c r="A2" t="s">
        <v>1</v>
      </c>
      <c r="J2" t="s">
        <v>1</v>
      </c>
    </row>
    <row r="3" spans="1:17" ht="13.8" thickBot="1">
      <c r="A3" s="6" t="s">
        <v>54</v>
      </c>
      <c r="B3" s="6" t="s">
        <v>55</v>
      </c>
      <c r="C3" s="6" t="s">
        <v>56</v>
      </c>
      <c r="D3" s="6" t="s">
        <v>57</v>
      </c>
      <c r="E3" s="1" t="s">
        <v>0</v>
      </c>
      <c r="F3" s="2" t="s">
        <v>58</v>
      </c>
      <c r="G3" s="1" t="s">
        <v>60</v>
      </c>
      <c r="H3" s="7" t="s">
        <v>61</v>
      </c>
      <c r="J3" s="6" t="s">
        <v>54</v>
      </c>
      <c r="K3" s="6" t="s">
        <v>55</v>
      </c>
      <c r="L3" s="6" t="s">
        <v>56</v>
      </c>
      <c r="M3" s="6" t="s">
        <v>57</v>
      </c>
      <c r="N3" s="1" t="s">
        <v>0</v>
      </c>
      <c r="O3" s="2" t="s">
        <v>58</v>
      </c>
      <c r="P3" s="1" t="s">
        <v>60</v>
      </c>
      <c r="Q3" s="7" t="s">
        <v>61</v>
      </c>
    </row>
    <row r="4" spans="1:17">
      <c r="A4" s="68"/>
      <c r="B4" s="68"/>
      <c r="C4" s="69" t="s">
        <v>2</v>
      </c>
      <c r="D4" s="69"/>
      <c r="E4" s="69" t="s">
        <v>21</v>
      </c>
      <c r="F4" s="69" t="s">
        <v>22</v>
      </c>
      <c r="G4" s="69" t="s">
        <v>20</v>
      </c>
      <c r="H4" s="70">
        <v>6.72</v>
      </c>
      <c r="J4" s="68"/>
      <c r="K4" s="68"/>
      <c r="L4" s="69" t="s">
        <v>2</v>
      </c>
      <c r="M4" s="69"/>
      <c r="N4" s="69" t="s">
        <v>21</v>
      </c>
      <c r="O4" s="69" t="s">
        <v>22</v>
      </c>
      <c r="P4" s="69" t="s">
        <v>379</v>
      </c>
      <c r="Q4" s="70">
        <v>6.72</v>
      </c>
    </row>
    <row r="5" spans="1:17">
      <c r="A5" s="68"/>
      <c r="B5" s="68"/>
      <c r="C5" s="69" t="s">
        <v>2</v>
      </c>
      <c r="D5" s="69"/>
      <c r="E5" s="69" t="s">
        <v>21</v>
      </c>
      <c r="F5" s="69" t="s">
        <v>26</v>
      </c>
      <c r="G5" s="69" t="s">
        <v>20</v>
      </c>
      <c r="H5" s="70">
        <v>6.72</v>
      </c>
      <c r="J5" s="68"/>
      <c r="K5" s="68"/>
      <c r="L5" s="69" t="s">
        <v>2</v>
      </c>
      <c r="M5" s="69"/>
      <c r="N5" s="69" t="s">
        <v>21</v>
      </c>
      <c r="O5" s="69" t="s">
        <v>26</v>
      </c>
      <c r="P5" s="69" t="s">
        <v>379</v>
      </c>
      <c r="Q5" s="70">
        <v>6.72</v>
      </c>
    </row>
    <row r="6" spans="1:17">
      <c r="A6" s="68"/>
      <c r="B6" s="68"/>
      <c r="C6" s="69" t="s">
        <v>2</v>
      </c>
      <c r="D6" s="69"/>
      <c r="E6" s="69" t="s">
        <v>24</v>
      </c>
      <c r="F6" s="69" t="s">
        <v>26</v>
      </c>
      <c r="G6" s="69" t="s">
        <v>20</v>
      </c>
      <c r="H6" s="70">
        <v>11.795999999999999</v>
      </c>
      <c r="J6" s="68"/>
      <c r="K6" s="68"/>
      <c r="L6" s="69" t="s">
        <v>2</v>
      </c>
      <c r="M6" s="69"/>
      <c r="N6" s="69" t="s">
        <v>24</v>
      </c>
      <c r="O6" s="69" t="s">
        <v>26</v>
      </c>
      <c r="P6" s="69" t="s">
        <v>379</v>
      </c>
      <c r="Q6" s="70">
        <v>11.795999999999999</v>
      </c>
    </row>
    <row r="7" spans="1:17">
      <c r="A7" s="68"/>
      <c r="B7" s="68"/>
      <c r="C7" s="69" t="s">
        <v>2</v>
      </c>
      <c r="D7" s="69"/>
      <c r="E7" s="71" t="s">
        <v>21</v>
      </c>
      <c r="F7" s="71" t="s">
        <v>175</v>
      </c>
      <c r="G7" s="69" t="s">
        <v>20</v>
      </c>
      <c r="H7" s="70">
        <v>17.863999999999997</v>
      </c>
      <c r="J7" s="68"/>
      <c r="K7" s="68"/>
      <c r="L7" s="69" t="s">
        <v>2</v>
      </c>
      <c r="M7" s="69"/>
      <c r="N7" s="71" t="s">
        <v>21</v>
      </c>
      <c r="O7" s="71" t="s">
        <v>175</v>
      </c>
      <c r="P7" s="69" t="s">
        <v>379</v>
      </c>
      <c r="Q7" s="70">
        <v>17.863999999999997</v>
      </c>
    </row>
    <row r="8" spans="1:17">
      <c r="A8" s="68"/>
      <c r="B8" s="68"/>
      <c r="C8" s="69" t="s">
        <v>2</v>
      </c>
      <c r="D8" s="69"/>
      <c r="E8" s="71" t="s">
        <v>23</v>
      </c>
      <c r="F8" s="71" t="s">
        <v>176</v>
      </c>
      <c r="G8" s="69" t="s">
        <v>20</v>
      </c>
      <c r="H8" s="70">
        <v>24.501400000000004</v>
      </c>
      <c r="J8" s="68"/>
      <c r="K8" s="68"/>
      <c r="L8" s="69" t="s">
        <v>2</v>
      </c>
      <c r="M8" s="69"/>
      <c r="N8" s="71" t="s">
        <v>23</v>
      </c>
      <c r="O8" s="71" t="s">
        <v>176</v>
      </c>
      <c r="P8" s="69" t="s">
        <v>379</v>
      </c>
      <c r="Q8" s="70">
        <v>24.501400000000004</v>
      </c>
    </row>
    <row r="9" spans="1:17">
      <c r="A9" s="68"/>
      <c r="B9" s="68"/>
      <c r="C9" s="69" t="s">
        <v>2</v>
      </c>
      <c r="D9" s="69"/>
      <c r="E9" s="71" t="s">
        <v>24</v>
      </c>
      <c r="F9" s="71" t="s">
        <v>176</v>
      </c>
      <c r="G9" s="69" t="s">
        <v>20</v>
      </c>
      <c r="H9" s="70">
        <v>25.459699999999998</v>
      </c>
      <c r="J9" s="68"/>
      <c r="K9" s="68"/>
      <c r="L9" s="69" t="s">
        <v>2</v>
      </c>
      <c r="M9" s="69"/>
      <c r="N9" s="71" t="s">
        <v>24</v>
      </c>
      <c r="O9" s="71" t="s">
        <v>176</v>
      </c>
      <c r="P9" s="69" t="s">
        <v>379</v>
      </c>
      <c r="Q9" s="70">
        <v>25.459699999999998</v>
      </c>
    </row>
    <row r="10" spans="1:17">
      <c r="A10" s="68"/>
      <c r="B10" s="68"/>
      <c r="C10" s="69" t="s">
        <v>2</v>
      </c>
      <c r="D10" s="69"/>
      <c r="E10" s="71" t="s">
        <v>23</v>
      </c>
      <c r="F10" s="71" t="s">
        <v>177</v>
      </c>
      <c r="G10" s="69" t="s">
        <v>20</v>
      </c>
      <c r="H10" s="70">
        <v>47.3</v>
      </c>
      <c r="J10" s="68"/>
      <c r="K10" s="68"/>
      <c r="L10" s="69" t="s">
        <v>2</v>
      </c>
      <c r="M10" s="69"/>
      <c r="N10" s="71" t="s">
        <v>23</v>
      </c>
      <c r="O10" s="71" t="s">
        <v>177</v>
      </c>
      <c r="P10" s="69" t="s">
        <v>379</v>
      </c>
      <c r="Q10" s="70">
        <v>47.3</v>
      </c>
    </row>
    <row r="11" spans="1:17">
      <c r="A11" s="68"/>
      <c r="B11" s="68"/>
      <c r="C11" s="69" t="s">
        <v>2</v>
      </c>
      <c r="D11" s="69"/>
      <c r="E11" s="71" t="s">
        <v>24</v>
      </c>
      <c r="F11" s="71" t="s">
        <v>177</v>
      </c>
      <c r="G11" s="69" t="s">
        <v>20</v>
      </c>
      <c r="H11" s="70">
        <v>49.15</v>
      </c>
      <c r="J11" s="68"/>
      <c r="K11" s="68"/>
      <c r="L11" s="69" t="s">
        <v>2</v>
      </c>
      <c r="M11" s="69"/>
      <c r="N11" s="71" t="s">
        <v>24</v>
      </c>
      <c r="O11" s="71" t="s">
        <v>177</v>
      </c>
      <c r="P11" s="69" t="s">
        <v>379</v>
      </c>
      <c r="Q11" s="70">
        <v>49.15</v>
      </c>
    </row>
    <row r="12" spans="1:17">
      <c r="A12" s="68"/>
      <c r="B12" s="68"/>
      <c r="C12" s="69" t="s">
        <v>2</v>
      </c>
      <c r="D12" s="69"/>
      <c r="E12" s="71" t="s">
        <v>24</v>
      </c>
      <c r="F12" s="71" t="s">
        <v>178</v>
      </c>
      <c r="G12" s="69" t="s">
        <v>20</v>
      </c>
      <c r="H12" s="70">
        <v>72.840299999999999</v>
      </c>
      <c r="J12" s="68"/>
      <c r="K12" s="68"/>
      <c r="L12" s="69" t="s">
        <v>2</v>
      </c>
      <c r="M12" s="69"/>
      <c r="N12" s="71" t="s">
        <v>24</v>
      </c>
      <c r="O12" s="71" t="s">
        <v>178</v>
      </c>
      <c r="P12" s="69" t="s">
        <v>379</v>
      </c>
      <c r="Q12" s="70">
        <v>72.840299999999999</v>
      </c>
    </row>
    <row r="13" spans="1:17">
      <c r="A13" s="68"/>
      <c r="B13" s="68"/>
      <c r="C13" s="69" t="s">
        <v>2</v>
      </c>
      <c r="D13" s="69"/>
      <c r="E13" s="71" t="s">
        <v>23</v>
      </c>
      <c r="F13" s="71" t="s">
        <v>178</v>
      </c>
      <c r="G13" s="69" t="s">
        <v>20</v>
      </c>
      <c r="H13" s="70">
        <v>70.09859999999999</v>
      </c>
      <c r="J13" s="68"/>
      <c r="K13" s="68"/>
      <c r="L13" s="69" t="s">
        <v>2</v>
      </c>
      <c r="M13" s="69"/>
      <c r="N13" s="71" t="s">
        <v>23</v>
      </c>
      <c r="O13" s="71" t="s">
        <v>178</v>
      </c>
      <c r="P13" s="69" t="s">
        <v>379</v>
      </c>
      <c r="Q13" s="70">
        <v>70.09859999999999</v>
      </c>
    </row>
    <row r="14" spans="1:17">
      <c r="A14" s="68"/>
      <c r="B14" s="68"/>
      <c r="C14" s="69" t="s">
        <v>2</v>
      </c>
      <c r="D14" s="69"/>
      <c r="E14" s="71" t="s">
        <v>21</v>
      </c>
      <c r="F14" s="71" t="s">
        <v>160</v>
      </c>
      <c r="G14" s="69" t="s">
        <v>20</v>
      </c>
      <c r="H14" s="70">
        <v>6.72</v>
      </c>
      <c r="J14" s="68"/>
      <c r="K14" s="68"/>
      <c r="L14" s="69" t="s">
        <v>2</v>
      </c>
      <c r="M14" s="69"/>
      <c r="N14" s="71" t="s">
        <v>21</v>
      </c>
      <c r="O14" s="71" t="s">
        <v>160</v>
      </c>
      <c r="P14" s="69" t="s">
        <v>379</v>
      </c>
      <c r="Q14" s="70">
        <v>6.72</v>
      </c>
    </row>
    <row r="15" spans="1:17">
      <c r="A15" s="68"/>
      <c r="B15" s="68"/>
      <c r="C15" s="69" t="s">
        <v>2</v>
      </c>
      <c r="D15" s="69"/>
      <c r="E15" s="71" t="s">
        <v>21</v>
      </c>
      <c r="F15" s="71" t="s">
        <v>161</v>
      </c>
      <c r="G15" s="69" t="s">
        <v>20</v>
      </c>
      <c r="H15" s="70">
        <v>6.72</v>
      </c>
      <c r="J15" s="68"/>
      <c r="K15" s="68"/>
      <c r="L15" s="69" t="s">
        <v>2</v>
      </c>
      <c r="M15" s="69"/>
      <c r="N15" s="71" t="s">
        <v>21</v>
      </c>
      <c r="O15" s="71" t="s">
        <v>161</v>
      </c>
      <c r="P15" s="69" t="s">
        <v>379</v>
      </c>
      <c r="Q15" s="70">
        <v>6.72</v>
      </c>
    </row>
    <row r="16" spans="1:17">
      <c r="A16" s="68"/>
      <c r="B16" s="68"/>
      <c r="C16" s="69" t="s">
        <v>2</v>
      </c>
      <c r="D16" s="69"/>
      <c r="E16" s="71" t="s">
        <v>21</v>
      </c>
      <c r="F16" s="71" t="s">
        <v>162</v>
      </c>
      <c r="G16" s="69" t="s">
        <v>20</v>
      </c>
      <c r="H16" s="70">
        <v>6.72</v>
      </c>
      <c r="J16" s="68"/>
      <c r="K16" s="68"/>
      <c r="L16" s="69" t="s">
        <v>2</v>
      </c>
      <c r="M16" s="69"/>
      <c r="N16" s="71" t="s">
        <v>21</v>
      </c>
      <c r="O16" s="71" t="s">
        <v>162</v>
      </c>
      <c r="P16" s="69" t="s">
        <v>379</v>
      </c>
      <c r="Q16" s="70">
        <v>6.72</v>
      </c>
    </row>
    <row r="17" spans="1:17">
      <c r="A17" s="68"/>
      <c r="B17" s="68"/>
      <c r="C17" s="69" t="s">
        <v>2</v>
      </c>
      <c r="D17" s="69"/>
      <c r="E17" s="71" t="s">
        <v>21</v>
      </c>
      <c r="F17" s="72" t="s">
        <v>163</v>
      </c>
      <c r="G17" s="69" t="s">
        <v>20</v>
      </c>
      <c r="H17" s="70">
        <v>6.72</v>
      </c>
      <c r="J17" s="68"/>
      <c r="K17" s="68"/>
      <c r="L17" s="69" t="s">
        <v>2</v>
      </c>
      <c r="M17" s="69"/>
      <c r="N17" s="71" t="s">
        <v>21</v>
      </c>
      <c r="O17" s="72" t="s">
        <v>163</v>
      </c>
      <c r="P17" s="69" t="s">
        <v>379</v>
      </c>
      <c r="Q17" s="70">
        <v>6.72</v>
      </c>
    </row>
    <row r="18" spans="1:17">
      <c r="A18" s="68"/>
      <c r="B18" s="68"/>
      <c r="C18" s="69" t="s">
        <v>2</v>
      </c>
      <c r="D18" s="69"/>
      <c r="E18" s="71" t="s">
        <v>21</v>
      </c>
      <c r="F18" s="71" t="s">
        <v>164</v>
      </c>
      <c r="G18" s="71" t="s">
        <v>20</v>
      </c>
      <c r="H18" s="71">
        <v>6.72</v>
      </c>
      <c r="J18" s="68"/>
      <c r="K18" s="68"/>
      <c r="L18" s="69" t="s">
        <v>2</v>
      </c>
      <c r="M18" s="69"/>
      <c r="N18" s="71" t="s">
        <v>21</v>
      </c>
      <c r="O18" s="71" t="s">
        <v>164</v>
      </c>
      <c r="P18" s="71" t="s">
        <v>379</v>
      </c>
      <c r="Q18" s="71">
        <v>6.72</v>
      </c>
    </row>
    <row r="19" spans="1:17">
      <c r="A19" s="68"/>
      <c r="B19" s="68"/>
      <c r="C19" s="69" t="s">
        <v>2</v>
      </c>
      <c r="D19" s="69"/>
      <c r="E19" s="71" t="s">
        <v>25</v>
      </c>
      <c r="F19" s="71" t="s">
        <v>164</v>
      </c>
      <c r="G19" s="71" t="s">
        <v>20</v>
      </c>
      <c r="H19" s="71">
        <v>9.2880000000000003</v>
      </c>
      <c r="J19" s="68"/>
      <c r="K19" s="68"/>
      <c r="L19" s="69" t="s">
        <v>2</v>
      </c>
      <c r="M19" s="69"/>
      <c r="N19" s="71" t="s">
        <v>25</v>
      </c>
      <c r="O19" s="71" t="s">
        <v>164</v>
      </c>
      <c r="P19" s="71" t="s">
        <v>379</v>
      </c>
      <c r="Q19" s="71">
        <v>9.2880000000000003</v>
      </c>
    </row>
    <row r="20" spans="1:17">
      <c r="A20" s="68"/>
      <c r="B20" s="68"/>
      <c r="C20" s="69" t="s">
        <v>2</v>
      </c>
      <c r="D20" s="69"/>
      <c r="E20" s="71" t="s">
        <v>21</v>
      </c>
      <c r="F20" s="71" t="s">
        <v>165</v>
      </c>
      <c r="G20" s="71" t="s">
        <v>20</v>
      </c>
      <c r="H20" s="71">
        <v>6.72</v>
      </c>
      <c r="J20" s="68"/>
      <c r="K20" s="68"/>
      <c r="L20" s="69" t="s">
        <v>2</v>
      </c>
      <c r="M20" s="69"/>
      <c r="N20" s="71" t="s">
        <v>21</v>
      </c>
      <c r="O20" s="71" t="s">
        <v>165</v>
      </c>
      <c r="P20" s="71" t="s">
        <v>379</v>
      </c>
      <c r="Q20" s="71">
        <v>6.72</v>
      </c>
    </row>
    <row r="21" spans="1:17">
      <c r="A21" s="68"/>
      <c r="B21" s="68"/>
      <c r="C21" s="69" t="s">
        <v>2</v>
      </c>
      <c r="D21" s="69"/>
      <c r="E21" s="71" t="s">
        <v>25</v>
      </c>
      <c r="F21" s="71" t="s">
        <v>165</v>
      </c>
      <c r="G21" s="71" t="s">
        <v>20</v>
      </c>
      <c r="H21" s="71">
        <v>9.2880000000000003</v>
      </c>
      <c r="J21" s="68"/>
      <c r="K21" s="68"/>
      <c r="L21" s="69" t="s">
        <v>2</v>
      </c>
      <c r="M21" s="69"/>
      <c r="N21" s="71" t="s">
        <v>25</v>
      </c>
      <c r="O21" s="71" t="s">
        <v>165</v>
      </c>
      <c r="P21" s="71" t="s">
        <v>379</v>
      </c>
      <c r="Q21" s="71">
        <v>9.2880000000000003</v>
      </c>
    </row>
    <row r="22" spans="1:17">
      <c r="A22" s="75"/>
      <c r="B22" s="75"/>
      <c r="C22" s="76" t="s">
        <v>27</v>
      </c>
      <c r="D22" s="76"/>
      <c r="E22" s="76"/>
      <c r="F22" s="77" t="s">
        <v>28</v>
      </c>
      <c r="G22" s="76" t="s">
        <v>29</v>
      </c>
      <c r="H22" s="78">
        <v>77</v>
      </c>
      <c r="J22" s="68"/>
      <c r="K22" s="68"/>
      <c r="L22" s="69" t="s">
        <v>27</v>
      </c>
      <c r="M22" s="69"/>
      <c r="N22" s="69"/>
      <c r="O22" s="72" t="s">
        <v>28</v>
      </c>
      <c r="P22" s="69" t="s">
        <v>379</v>
      </c>
      <c r="Q22" s="70">
        <v>77</v>
      </c>
    </row>
    <row r="23" spans="1:17">
      <c r="A23" s="75"/>
      <c r="B23" s="75"/>
      <c r="C23" s="76" t="s">
        <v>27</v>
      </c>
      <c r="D23" s="76"/>
      <c r="E23" s="76"/>
      <c r="F23" s="77" t="s">
        <v>30</v>
      </c>
      <c r="G23" s="76" t="s">
        <v>29</v>
      </c>
      <c r="H23" s="78">
        <v>150</v>
      </c>
      <c r="J23" s="68"/>
      <c r="K23" s="68"/>
      <c r="L23" s="69" t="s">
        <v>27</v>
      </c>
      <c r="M23" s="69"/>
      <c r="N23" s="69"/>
      <c r="O23" s="72" t="s">
        <v>30</v>
      </c>
      <c r="P23" s="69" t="s">
        <v>379</v>
      </c>
      <c r="Q23" s="70">
        <v>150</v>
      </c>
    </row>
    <row r="24" spans="1:17">
      <c r="A24" s="75"/>
      <c r="B24" s="75"/>
      <c r="C24" s="76" t="s">
        <v>27</v>
      </c>
      <c r="D24" s="76"/>
      <c r="E24" s="76"/>
      <c r="F24" s="77" t="s">
        <v>31</v>
      </c>
      <c r="G24" s="76" t="s">
        <v>29</v>
      </c>
      <c r="H24" s="78">
        <v>77</v>
      </c>
      <c r="J24" s="68"/>
      <c r="K24" s="68"/>
      <c r="L24" s="69" t="s">
        <v>27</v>
      </c>
      <c r="M24" s="69"/>
      <c r="N24" s="69"/>
      <c r="O24" s="72" t="s">
        <v>31</v>
      </c>
      <c r="P24" s="69" t="s">
        <v>379</v>
      </c>
      <c r="Q24" s="70">
        <v>77</v>
      </c>
    </row>
    <row r="25" spans="1:17">
      <c r="A25" s="75"/>
      <c r="B25" s="75"/>
      <c r="C25" s="76" t="s">
        <v>27</v>
      </c>
      <c r="D25" s="76"/>
      <c r="E25" s="76"/>
      <c r="F25" s="77" t="s">
        <v>32</v>
      </c>
      <c r="G25" s="76" t="s">
        <v>29</v>
      </c>
      <c r="H25" s="78">
        <v>77</v>
      </c>
      <c r="J25" s="68"/>
      <c r="K25" s="68"/>
      <c r="L25" s="69" t="s">
        <v>27</v>
      </c>
      <c r="M25" s="69"/>
      <c r="N25" s="69"/>
      <c r="O25" s="72" t="s">
        <v>32</v>
      </c>
      <c r="P25" s="69" t="s">
        <v>379</v>
      </c>
      <c r="Q25" s="70">
        <v>77</v>
      </c>
    </row>
    <row r="26" spans="1:17">
      <c r="A26" s="75"/>
      <c r="B26" s="75"/>
      <c r="C26" s="76" t="s">
        <v>27</v>
      </c>
      <c r="D26" s="76"/>
      <c r="E26" s="76"/>
      <c r="F26" s="79" t="s">
        <v>33</v>
      </c>
      <c r="G26" s="75" t="s">
        <v>29</v>
      </c>
      <c r="H26" s="80">
        <v>10000</v>
      </c>
      <c r="J26" s="68"/>
      <c r="K26" s="68"/>
      <c r="L26" s="69" t="s">
        <v>27</v>
      </c>
      <c r="M26" s="69"/>
      <c r="N26" s="69"/>
      <c r="O26" s="73" t="s">
        <v>33</v>
      </c>
      <c r="P26" s="68" t="s">
        <v>379</v>
      </c>
      <c r="Q26" s="74">
        <v>10000</v>
      </c>
    </row>
    <row r="27" spans="1:17">
      <c r="A27" s="75"/>
      <c r="B27" s="75"/>
      <c r="C27" s="76" t="s">
        <v>27</v>
      </c>
      <c r="D27" s="76"/>
      <c r="E27" s="76"/>
      <c r="F27" s="79" t="s">
        <v>35</v>
      </c>
      <c r="G27" s="75" t="s">
        <v>29</v>
      </c>
      <c r="H27" s="80">
        <v>1000</v>
      </c>
      <c r="J27" s="68"/>
      <c r="K27" s="68"/>
      <c r="L27" s="69" t="s">
        <v>27</v>
      </c>
      <c r="M27" s="69"/>
      <c r="N27" s="69"/>
      <c r="O27" s="73" t="s">
        <v>35</v>
      </c>
      <c r="P27" s="68" t="s">
        <v>379</v>
      </c>
      <c r="Q27" s="74">
        <v>1000</v>
      </c>
    </row>
    <row r="28" spans="1:17">
      <c r="A28" s="75"/>
      <c r="B28" s="75"/>
      <c r="C28" s="76" t="s">
        <v>27</v>
      </c>
      <c r="D28" s="76"/>
      <c r="E28" s="76"/>
      <c r="F28" s="79" t="s">
        <v>36</v>
      </c>
      <c r="G28" s="75" t="s">
        <v>29</v>
      </c>
      <c r="H28" s="78">
        <v>510</v>
      </c>
      <c r="J28" s="68"/>
      <c r="K28" s="68"/>
      <c r="L28" s="69" t="s">
        <v>27</v>
      </c>
      <c r="M28" s="69"/>
      <c r="N28" s="69"/>
      <c r="O28" s="73" t="s">
        <v>36</v>
      </c>
      <c r="P28" s="68" t="s">
        <v>379</v>
      </c>
      <c r="Q28" s="70">
        <v>510</v>
      </c>
    </row>
    <row r="29" spans="1:17">
      <c r="A29" s="75"/>
      <c r="B29" s="75"/>
      <c r="C29" s="76" t="s">
        <v>27</v>
      </c>
      <c r="D29" s="76"/>
      <c r="E29" s="76"/>
      <c r="F29" s="79" t="s">
        <v>37</v>
      </c>
      <c r="G29" s="75" t="s">
        <v>29</v>
      </c>
      <c r="H29" s="78">
        <v>510</v>
      </c>
      <c r="J29" s="68"/>
      <c r="K29" s="68"/>
      <c r="L29" s="69" t="s">
        <v>27</v>
      </c>
      <c r="M29" s="69"/>
      <c r="N29" s="69"/>
      <c r="O29" s="73" t="s">
        <v>37</v>
      </c>
      <c r="P29" s="68" t="s">
        <v>379</v>
      </c>
      <c r="Q29" s="70">
        <v>510</v>
      </c>
    </row>
    <row r="30" spans="1:17">
      <c r="A30" s="75"/>
      <c r="B30" s="75"/>
      <c r="C30" s="76" t="s">
        <v>27</v>
      </c>
      <c r="D30" s="76"/>
      <c r="E30" s="76"/>
      <c r="F30" s="75" t="s">
        <v>38</v>
      </c>
      <c r="G30" s="75" t="s">
        <v>29</v>
      </c>
      <c r="H30" s="80">
        <v>1000</v>
      </c>
      <c r="J30" s="68"/>
      <c r="K30" s="68"/>
      <c r="L30" s="69" t="s">
        <v>27</v>
      </c>
      <c r="M30" s="69"/>
      <c r="N30" s="69"/>
      <c r="O30" s="68" t="s">
        <v>38</v>
      </c>
      <c r="P30" s="68" t="s">
        <v>379</v>
      </c>
      <c r="Q30" s="74">
        <v>1000</v>
      </c>
    </row>
    <row r="31" spans="1:17">
      <c r="A31" s="75"/>
      <c r="B31" s="75"/>
      <c r="C31" s="76" t="s">
        <v>27</v>
      </c>
      <c r="D31" s="76"/>
      <c r="E31" s="76"/>
      <c r="F31" s="75" t="s">
        <v>39</v>
      </c>
      <c r="G31" s="75" t="s">
        <v>29</v>
      </c>
      <c r="H31" s="80">
        <v>10000</v>
      </c>
      <c r="J31" s="68"/>
      <c r="K31" s="68"/>
      <c r="L31" s="69" t="s">
        <v>27</v>
      </c>
      <c r="M31" s="69"/>
      <c r="N31" s="69"/>
      <c r="O31" s="68" t="s">
        <v>39</v>
      </c>
      <c r="P31" s="68" t="s">
        <v>379</v>
      </c>
      <c r="Q31" s="74">
        <v>10000</v>
      </c>
    </row>
    <row r="32" spans="1:17">
      <c r="A32" s="75"/>
      <c r="B32" s="75"/>
      <c r="C32" s="76" t="s">
        <v>27</v>
      </c>
      <c r="D32" s="76"/>
      <c r="E32" s="76"/>
      <c r="F32" s="75" t="s">
        <v>40</v>
      </c>
      <c r="G32" s="75" t="s">
        <v>29</v>
      </c>
      <c r="H32" s="80">
        <v>7500</v>
      </c>
      <c r="J32" s="68"/>
      <c r="K32" s="68"/>
      <c r="L32" s="69" t="s">
        <v>27</v>
      </c>
      <c r="M32" s="69"/>
      <c r="N32" s="69"/>
      <c r="O32" s="68" t="s">
        <v>40</v>
      </c>
      <c r="P32" s="68" t="s">
        <v>379</v>
      </c>
      <c r="Q32" s="74">
        <v>7500</v>
      </c>
    </row>
    <row r="33" spans="1:17">
      <c r="A33" s="75"/>
      <c r="B33" s="75"/>
      <c r="C33" s="76" t="s">
        <v>27</v>
      </c>
      <c r="D33" s="76"/>
      <c r="E33" s="76"/>
      <c r="F33" s="75" t="s">
        <v>41</v>
      </c>
      <c r="G33" s="75" t="s">
        <v>29</v>
      </c>
      <c r="H33" s="80">
        <v>7500</v>
      </c>
      <c r="J33" s="68"/>
      <c r="K33" s="68"/>
      <c r="L33" s="69" t="s">
        <v>27</v>
      </c>
      <c r="M33" s="69"/>
      <c r="N33" s="69"/>
      <c r="O33" s="68" t="s">
        <v>41</v>
      </c>
      <c r="P33" s="68" t="s">
        <v>379</v>
      </c>
      <c r="Q33" s="74">
        <v>7500</v>
      </c>
    </row>
    <row r="34" spans="1:17">
      <c r="A34" s="75"/>
      <c r="B34" s="75"/>
      <c r="C34" s="76" t="s">
        <v>27</v>
      </c>
      <c r="D34" s="76"/>
      <c r="E34" s="76"/>
      <c r="F34" s="75" t="s">
        <v>47</v>
      </c>
      <c r="G34" s="75" t="s">
        <v>29</v>
      </c>
      <c r="H34" s="78">
        <v>510</v>
      </c>
      <c r="J34" s="68"/>
      <c r="K34" s="68"/>
      <c r="L34" s="69" t="s">
        <v>27</v>
      </c>
      <c r="M34" s="69"/>
      <c r="N34" s="69"/>
      <c r="O34" s="68" t="s">
        <v>47</v>
      </c>
      <c r="P34" s="68" t="s">
        <v>379</v>
      </c>
      <c r="Q34" s="70">
        <v>510</v>
      </c>
    </row>
    <row r="35" spans="1:17">
      <c r="A35" s="75"/>
      <c r="B35" s="75"/>
      <c r="C35" s="76" t="s">
        <v>27</v>
      </c>
      <c r="D35" s="76"/>
      <c r="E35" s="76"/>
      <c r="F35" s="75" t="s">
        <v>26</v>
      </c>
      <c r="G35" s="75" t="s">
        <v>29</v>
      </c>
      <c r="H35" s="78">
        <v>32.505217391304299</v>
      </c>
      <c r="J35" s="68"/>
      <c r="K35" s="68"/>
      <c r="L35" s="69" t="s">
        <v>27</v>
      </c>
      <c r="M35" s="69"/>
      <c r="N35" s="69"/>
      <c r="O35" s="68" t="s">
        <v>26</v>
      </c>
      <c r="P35" s="68" t="s">
        <v>379</v>
      </c>
      <c r="Q35" s="70">
        <v>32.505217391304299</v>
      </c>
    </row>
    <row r="36" spans="1:17">
      <c r="A36" s="75"/>
      <c r="B36" s="75"/>
      <c r="C36" s="76" t="s">
        <v>27</v>
      </c>
      <c r="D36" s="76"/>
      <c r="E36" s="76"/>
      <c r="F36" s="75" t="s">
        <v>48</v>
      </c>
      <c r="G36" s="75" t="s">
        <v>29</v>
      </c>
      <c r="H36" s="78">
        <v>510</v>
      </c>
      <c r="J36" s="68"/>
      <c r="K36" s="68"/>
      <c r="L36" s="69" t="s">
        <v>27</v>
      </c>
      <c r="M36" s="69"/>
      <c r="N36" s="69"/>
      <c r="O36" s="68" t="s">
        <v>48</v>
      </c>
      <c r="P36" s="68" t="s">
        <v>379</v>
      </c>
      <c r="Q36" s="70">
        <v>510</v>
      </c>
    </row>
    <row r="37" spans="1:17">
      <c r="A37" s="75"/>
      <c r="B37" s="75"/>
      <c r="C37" s="76" t="s">
        <v>27</v>
      </c>
      <c r="D37" s="76"/>
      <c r="E37" s="76"/>
      <c r="F37" s="75" t="s">
        <v>49</v>
      </c>
      <c r="G37" s="75" t="s">
        <v>29</v>
      </c>
      <c r="H37" s="78">
        <v>210</v>
      </c>
      <c r="J37" s="68"/>
      <c r="K37" s="68"/>
      <c r="L37" s="69" t="s">
        <v>27</v>
      </c>
      <c r="M37" s="69"/>
      <c r="N37" s="69"/>
      <c r="O37" s="68" t="s">
        <v>49</v>
      </c>
      <c r="P37" s="68" t="s">
        <v>379</v>
      </c>
      <c r="Q37" s="70">
        <v>210</v>
      </c>
    </row>
    <row r="38" spans="1:17">
      <c r="A38" s="75"/>
      <c r="B38" s="75"/>
      <c r="C38" s="76" t="s">
        <v>27</v>
      </c>
      <c r="D38" s="76"/>
      <c r="E38" s="76"/>
      <c r="F38" s="75" t="s">
        <v>50</v>
      </c>
      <c r="G38" s="75" t="s">
        <v>29</v>
      </c>
      <c r="H38" s="78">
        <v>210</v>
      </c>
      <c r="J38" s="68"/>
      <c r="K38" s="68"/>
      <c r="L38" s="69" t="s">
        <v>27</v>
      </c>
      <c r="M38" s="69"/>
      <c r="N38" s="69"/>
      <c r="O38" s="68" t="s">
        <v>50</v>
      </c>
      <c r="P38" s="68" t="s">
        <v>379</v>
      </c>
      <c r="Q38" s="70">
        <v>210</v>
      </c>
    </row>
    <row r="39" spans="1:17">
      <c r="A39" s="75"/>
      <c r="B39" s="75"/>
      <c r="C39" s="76" t="s">
        <v>27</v>
      </c>
      <c r="D39" s="76"/>
      <c r="E39" s="76"/>
      <c r="F39" s="75" t="s">
        <v>51</v>
      </c>
      <c r="G39" s="75" t="s">
        <v>29</v>
      </c>
      <c r="H39" s="78">
        <v>786</v>
      </c>
      <c r="J39" s="68"/>
      <c r="K39" s="68"/>
      <c r="L39" s="69" t="s">
        <v>27</v>
      </c>
      <c r="M39" s="69"/>
      <c r="N39" s="69"/>
      <c r="O39" s="68" t="s">
        <v>51</v>
      </c>
      <c r="P39" s="68" t="s">
        <v>379</v>
      </c>
      <c r="Q39" s="70">
        <v>786</v>
      </c>
    </row>
    <row r="40" spans="1:17">
      <c r="A40" s="68"/>
      <c r="B40" s="68"/>
      <c r="C40" s="69" t="s">
        <v>27</v>
      </c>
      <c r="D40" s="69"/>
      <c r="E40" s="69"/>
      <c r="F40" s="73" t="s">
        <v>33</v>
      </c>
      <c r="G40" s="68" t="s">
        <v>34</v>
      </c>
      <c r="H40" s="74">
        <v>1.25</v>
      </c>
    </row>
    <row r="41" spans="1:17">
      <c r="A41" s="68"/>
      <c r="B41" s="68"/>
      <c r="C41" s="69" t="s">
        <v>27</v>
      </c>
      <c r="D41" s="69"/>
      <c r="E41" s="69"/>
      <c r="F41" s="73" t="s">
        <v>35</v>
      </c>
      <c r="G41" s="68" t="s">
        <v>34</v>
      </c>
      <c r="H41" s="74">
        <v>0.125</v>
      </c>
    </row>
    <row r="42" spans="1:17">
      <c r="A42" s="68"/>
      <c r="B42" s="68"/>
      <c r="C42" s="69" t="s">
        <v>27</v>
      </c>
      <c r="D42" s="69"/>
      <c r="E42" s="69"/>
      <c r="F42" s="68" t="s">
        <v>38</v>
      </c>
      <c r="G42" s="68" t="s">
        <v>34</v>
      </c>
      <c r="H42" s="74">
        <v>0.125</v>
      </c>
    </row>
    <row r="43" spans="1:17">
      <c r="A43" s="68"/>
      <c r="B43" s="68"/>
      <c r="C43" s="69" t="s">
        <v>27</v>
      </c>
      <c r="D43" s="69"/>
      <c r="E43" s="69"/>
      <c r="F43" s="68" t="s">
        <v>39</v>
      </c>
      <c r="G43" s="68" t="s">
        <v>34</v>
      </c>
      <c r="H43" s="74">
        <v>1.25</v>
      </c>
    </row>
    <row r="44" spans="1:17">
      <c r="A44" s="68"/>
      <c r="B44" s="68"/>
      <c r="C44" s="69" t="s">
        <v>27</v>
      </c>
      <c r="D44" s="69"/>
      <c r="E44" s="69"/>
      <c r="F44" s="68" t="s">
        <v>40</v>
      </c>
      <c r="G44" s="68" t="s">
        <v>34</v>
      </c>
      <c r="H44" s="74">
        <v>1.25</v>
      </c>
    </row>
    <row r="45" spans="1:17">
      <c r="A45" s="68"/>
      <c r="B45" s="68"/>
      <c r="C45" s="69" t="s">
        <v>27</v>
      </c>
      <c r="D45" s="69"/>
      <c r="E45" s="69"/>
      <c r="F45" s="68" t="s">
        <v>41</v>
      </c>
      <c r="G45" s="68" t="s">
        <v>34</v>
      </c>
      <c r="H45" s="74">
        <v>1.25</v>
      </c>
      <c r="O45" s="22"/>
    </row>
    <row r="46" spans="1:17">
      <c r="A46" s="68"/>
      <c r="B46" s="68"/>
      <c r="C46" s="69" t="s">
        <v>27</v>
      </c>
      <c r="D46" s="69"/>
      <c r="E46" s="69"/>
      <c r="F46" s="68" t="s">
        <v>42</v>
      </c>
      <c r="G46" s="68" t="s">
        <v>34</v>
      </c>
      <c r="H46" s="70">
        <v>1.25</v>
      </c>
      <c r="O46" s="22"/>
    </row>
    <row r="47" spans="1:17">
      <c r="A47" s="68"/>
      <c r="B47" s="68"/>
      <c r="C47" s="69" t="s">
        <v>27</v>
      </c>
      <c r="D47" s="69"/>
      <c r="E47" s="69"/>
      <c r="F47" s="68" t="s">
        <v>43</v>
      </c>
      <c r="G47" s="68" t="s">
        <v>34</v>
      </c>
      <c r="H47" s="70">
        <v>1.25</v>
      </c>
    </row>
    <row r="48" spans="1:17">
      <c r="A48" s="68"/>
      <c r="B48" s="68"/>
      <c r="C48" s="69" t="s">
        <v>27</v>
      </c>
      <c r="D48" s="69"/>
      <c r="E48" s="69"/>
      <c r="F48" s="68" t="s">
        <v>44</v>
      </c>
      <c r="G48" s="68" t="s">
        <v>34</v>
      </c>
      <c r="H48" s="70">
        <v>0.125</v>
      </c>
    </row>
    <row r="49" spans="1:15">
      <c r="A49" s="68"/>
      <c r="B49" s="68"/>
      <c r="C49" s="69" t="s">
        <v>27</v>
      </c>
      <c r="D49" s="69"/>
      <c r="E49" s="69"/>
      <c r="F49" s="68" t="s">
        <v>45</v>
      </c>
      <c r="G49" s="68" t="s">
        <v>34</v>
      </c>
      <c r="H49" s="70">
        <v>0.125</v>
      </c>
    </row>
    <row r="50" spans="1:15">
      <c r="A50" s="75"/>
      <c r="B50" s="75"/>
      <c r="C50" s="76" t="s">
        <v>2</v>
      </c>
      <c r="D50" s="76"/>
      <c r="E50" s="76" t="s">
        <v>21</v>
      </c>
      <c r="F50" s="76" t="s">
        <v>22</v>
      </c>
      <c r="G50" s="76" t="s">
        <v>385</v>
      </c>
      <c r="H50" s="78">
        <v>49.28</v>
      </c>
    </row>
    <row r="51" spans="1:15">
      <c r="A51" s="75"/>
      <c r="B51" s="75"/>
      <c r="C51" s="76" t="s">
        <v>2</v>
      </c>
      <c r="D51" s="76"/>
      <c r="E51" s="76" t="s">
        <v>21</v>
      </c>
      <c r="F51" s="76" t="s">
        <v>26</v>
      </c>
      <c r="G51" s="76" t="s">
        <v>385</v>
      </c>
      <c r="H51" s="78">
        <v>49.28</v>
      </c>
    </row>
    <row r="52" spans="1:15">
      <c r="A52" s="75"/>
      <c r="B52" s="75"/>
      <c r="C52" s="76" t="s">
        <v>2</v>
      </c>
      <c r="D52" s="76"/>
      <c r="E52" s="76" t="s">
        <v>24</v>
      </c>
      <c r="F52" s="76" t="s">
        <v>26</v>
      </c>
      <c r="G52" s="76" t="s">
        <v>385</v>
      </c>
      <c r="H52" s="78">
        <v>86.504000000000005</v>
      </c>
    </row>
    <row r="53" spans="1:15">
      <c r="A53" s="75"/>
      <c r="B53" s="75"/>
      <c r="C53" s="76" t="s">
        <v>2</v>
      </c>
      <c r="D53" s="76"/>
      <c r="E53" s="81" t="s">
        <v>21</v>
      </c>
      <c r="F53" s="81" t="s">
        <v>175</v>
      </c>
      <c r="G53" s="76" t="s">
        <v>385</v>
      </c>
      <c r="H53" s="78">
        <v>38.136000000000003</v>
      </c>
      <c r="O53" s="22"/>
    </row>
    <row r="54" spans="1:15">
      <c r="A54" s="75"/>
      <c r="B54" s="75"/>
      <c r="C54" s="76" t="s">
        <v>2</v>
      </c>
      <c r="D54" s="76"/>
      <c r="E54" s="81" t="s">
        <v>23</v>
      </c>
      <c r="F54" s="81" t="s">
        <v>176</v>
      </c>
      <c r="G54" s="76" t="s">
        <v>385</v>
      </c>
      <c r="H54" s="78">
        <v>70.09859999999999</v>
      </c>
    </row>
    <row r="55" spans="1:15">
      <c r="A55" s="75"/>
      <c r="B55" s="75"/>
      <c r="C55" s="76" t="s">
        <v>2</v>
      </c>
      <c r="D55" s="76"/>
      <c r="E55" s="81" t="s">
        <v>24</v>
      </c>
      <c r="F55" s="81" t="s">
        <v>176</v>
      </c>
      <c r="G55" s="76" t="s">
        <v>385</v>
      </c>
      <c r="H55" s="78">
        <v>72.840299999999999</v>
      </c>
    </row>
    <row r="56" spans="1:15">
      <c r="A56" s="75"/>
      <c r="B56" s="75"/>
      <c r="C56" s="76" t="s">
        <v>2</v>
      </c>
      <c r="D56" s="76"/>
      <c r="E56" s="81" t="s">
        <v>23</v>
      </c>
      <c r="F56" s="81" t="s">
        <v>177</v>
      </c>
      <c r="G56" s="76" t="s">
        <v>385</v>
      </c>
      <c r="H56" s="78">
        <v>47.3</v>
      </c>
      <c r="O56" s="22"/>
    </row>
    <row r="57" spans="1:15">
      <c r="A57" s="75"/>
      <c r="B57" s="75"/>
      <c r="C57" s="76" t="s">
        <v>2</v>
      </c>
      <c r="D57" s="76"/>
      <c r="E57" s="81" t="s">
        <v>24</v>
      </c>
      <c r="F57" s="81" t="s">
        <v>177</v>
      </c>
      <c r="G57" s="76" t="s">
        <v>385</v>
      </c>
      <c r="H57" s="78">
        <v>49.15</v>
      </c>
      <c r="O57" s="22"/>
    </row>
    <row r="58" spans="1:15">
      <c r="A58" s="75"/>
      <c r="B58" s="75"/>
      <c r="C58" s="76" t="s">
        <v>2</v>
      </c>
      <c r="D58" s="76"/>
      <c r="E58" s="81" t="s">
        <v>24</v>
      </c>
      <c r="F58" s="81" t="s">
        <v>178</v>
      </c>
      <c r="G58" s="76" t="s">
        <v>385</v>
      </c>
      <c r="H58" s="78">
        <v>25.459700000000002</v>
      </c>
    </row>
    <row r="59" spans="1:15">
      <c r="A59" s="75"/>
      <c r="B59" s="75"/>
      <c r="C59" s="76" t="s">
        <v>2</v>
      </c>
      <c r="D59" s="76"/>
      <c r="E59" s="81" t="s">
        <v>23</v>
      </c>
      <c r="F59" s="81" t="s">
        <v>178</v>
      </c>
      <c r="G59" s="76" t="s">
        <v>385</v>
      </c>
      <c r="H59" s="78">
        <v>24.5014</v>
      </c>
    </row>
    <row r="60" spans="1:15">
      <c r="A60" s="68"/>
      <c r="B60" s="68"/>
      <c r="C60" s="69" t="s">
        <v>2</v>
      </c>
      <c r="D60" s="69"/>
      <c r="E60" s="71" t="s">
        <v>21</v>
      </c>
      <c r="F60" s="71" t="s">
        <v>160</v>
      </c>
      <c r="G60" s="69" t="s">
        <v>385</v>
      </c>
      <c r="H60" s="70">
        <v>49.28</v>
      </c>
      <c r="N60" s="22"/>
      <c r="O60" s="22"/>
    </row>
    <row r="61" spans="1:15">
      <c r="A61" s="68"/>
      <c r="B61" s="68"/>
      <c r="C61" s="69" t="s">
        <v>2</v>
      </c>
      <c r="D61" s="69"/>
      <c r="E61" s="71" t="s">
        <v>21</v>
      </c>
      <c r="F61" s="71" t="s">
        <v>161</v>
      </c>
      <c r="G61" s="69" t="s">
        <v>385</v>
      </c>
      <c r="H61" s="70">
        <v>49.28</v>
      </c>
      <c r="N61" s="22"/>
      <c r="O61" s="22"/>
    </row>
    <row r="62" spans="1:15">
      <c r="A62" s="68"/>
      <c r="B62" s="68"/>
      <c r="C62" s="69" t="s">
        <v>2</v>
      </c>
      <c r="D62" s="69"/>
      <c r="E62" s="71" t="s">
        <v>21</v>
      </c>
      <c r="F62" s="71" t="s">
        <v>162</v>
      </c>
      <c r="G62" s="69" t="s">
        <v>385</v>
      </c>
      <c r="H62" s="70">
        <v>49.28</v>
      </c>
    </row>
    <row r="63" spans="1:15">
      <c r="A63" s="68"/>
      <c r="B63" s="68"/>
      <c r="C63" s="69" t="s">
        <v>2</v>
      </c>
      <c r="D63" s="69"/>
      <c r="E63" s="71" t="s">
        <v>21</v>
      </c>
      <c r="F63" s="72" t="s">
        <v>163</v>
      </c>
      <c r="G63" s="69" t="s">
        <v>385</v>
      </c>
      <c r="H63" s="70">
        <v>49.28</v>
      </c>
    </row>
    <row r="64" spans="1:15">
      <c r="A64" s="68"/>
      <c r="B64" s="68"/>
      <c r="C64" s="69" t="s">
        <v>2</v>
      </c>
      <c r="D64" s="69"/>
      <c r="E64" s="71" t="s">
        <v>21</v>
      </c>
      <c r="F64" s="71" t="s">
        <v>164</v>
      </c>
      <c r="G64" s="71" t="s">
        <v>385</v>
      </c>
      <c r="H64" s="71">
        <v>49.28</v>
      </c>
    </row>
    <row r="65" spans="1:14">
      <c r="A65" s="68"/>
      <c r="B65" s="68"/>
      <c r="C65" s="69" t="s">
        <v>2</v>
      </c>
      <c r="D65" s="69"/>
      <c r="E65" s="71" t="s">
        <v>25</v>
      </c>
      <c r="F65" s="71" t="s">
        <v>164</v>
      </c>
      <c r="G65" s="71" t="s">
        <v>385</v>
      </c>
      <c r="H65" s="71">
        <v>68.112000000000009</v>
      </c>
    </row>
    <row r="66" spans="1:14">
      <c r="A66" s="68"/>
      <c r="B66" s="68"/>
      <c r="C66" s="69" t="s">
        <v>2</v>
      </c>
      <c r="D66" s="69"/>
      <c r="E66" s="71" t="s">
        <v>21</v>
      </c>
      <c r="F66" s="71" t="s">
        <v>165</v>
      </c>
      <c r="G66" s="71" t="s">
        <v>385</v>
      </c>
      <c r="H66" s="71">
        <v>49.28</v>
      </c>
    </row>
    <row r="67" spans="1:14">
      <c r="A67" s="68"/>
      <c r="B67" s="68"/>
      <c r="C67" s="69" t="s">
        <v>2</v>
      </c>
      <c r="D67" s="69"/>
      <c r="E67" s="71" t="s">
        <v>25</v>
      </c>
      <c r="F67" s="71" t="s">
        <v>165</v>
      </c>
      <c r="G67" s="71" t="s">
        <v>385</v>
      </c>
      <c r="H67" s="71">
        <v>68.112000000000009</v>
      </c>
    </row>
    <row r="68" spans="1:14">
      <c r="A68" s="75"/>
      <c r="B68" s="75"/>
      <c r="C68" s="76" t="s">
        <v>27</v>
      </c>
      <c r="D68" s="76"/>
      <c r="E68" s="76"/>
      <c r="F68" s="77" t="s">
        <v>22</v>
      </c>
      <c r="G68" s="75" t="s">
        <v>385</v>
      </c>
      <c r="H68" s="82" t="s">
        <v>46</v>
      </c>
    </row>
    <row r="69" spans="1:14">
      <c r="A69" s="75"/>
      <c r="B69" s="75"/>
      <c r="C69" s="76" t="s">
        <v>27</v>
      </c>
      <c r="D69" s="76"/>
      <c r="E69" s="76"/>
      <c r="F69" s="75" t="s">
        <v>26</v>
      </c>
      <c r="G69" s="75" t="s">
        <v>385</v>
      </c>
      <c r="H69" s="78">
        <v>477.49478260869569</v>
      </c>
      <c r="I69" s="4"/>
      <c r="J69" s="4"/>
      <c r="K69" s="4"/>
      <c r="L69" s="4"/>
      <c r="M69" s="4"/>
      <c r="N69" s="4"/>
    </row>
    <row r="70" spans="1:14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2" spans="1:14">
      <c r="A72" t="s">
        <v>1</v>
      </c>
    </row>
    <row r="73" spans="1:14" ht="13.8" thickBot="1">
      <c r="A73" s="6" t="s">
        <v>54</v>
      </c>
      <c r="B73" s="6" t="s">
        <v>55</v>
      </c>
      <c r="C73" s="6" t="s">
        <v>56</v>
      </c>
      <c r="D73" s="6" t="s">
        <v>57</v>
      </c>
      <c r="E73" s="6" t="s">
        <v>0</v>
      </c>
      <c r="F73" s="6" t="s">
        <v>147</v>
      </c>
      <c r="G73" s="6" t="s">
        <v>58</v>
      </c>
      <c r="H73" s="6" t="s">
        <v>59</v>
      </c>
      <c r="I73" s="6" t="s">
        <v>60</v>
      </c>
      <c r="J73" s="7" t="s">
        <v>61</v>
      </c>
    </row>
    <row r="74" spans="1:14">
      <c r="A74" s="68"/>
      <c r="B74" s="68"/>
      <c r="C74" s="68" t="s">
        <v>2</v>
      </c>
      <c r="D74" s="69">
        <v>2005</v>
      </c>
      <c r="E74" s="68" t="s">
        <v>166</v>
      </c>
      <c r="F74" s="68" t="s">
        <v>166</v>
      </c>
      <c r="G74" s="68" t="s">
        <v>171</v>
      </c>
      <c r="H74" s="68"/>
      <c r="I74" s="68" t="s">
        <v>20</v>
      </c>
      <c r="J74" s="68">
        <v>-286</v>
      </c>
      <c r="L74" t="s">
        <v>172</v>
      </c>
    </row>
    <row r="75" spans="1:14">
      <c r="A75" s="68"/>
      <c r="B75" s="68"/>
      <c r="C75" s="68" t="s">
        <v>2</v>
      </c>
      <c r="D75" s="69">
        <v>2005</v>
      </c>
      <c r="E75" s="68" t="s">
        <v>169</v>
      </c>
      <c r="F75" s="68" t="s">
        <v>169</v>
      </c>
      <c r="G75" s="68" t="s">
        <v>171</v>
      </c>
      <c r="H75" s="68"/>
      <c r="I75" s="68" t="s">
        <v>20</v>
      </c>
      <c r="J75" s="68">
        <v>-195</v>
      </c>
    </row>
    <row r="76" spans="1:14">
      <c r="A76" s="68"/>
      <c r="B76" s="68"/>
      <c r="C76" s="68" t="s">
        <v>2</v>
      </c>
      <c r="D76" s="69">
        <v>2005</v>
      </c>
      <c r="E76" s="68" t="s">
        <v>167</v>
      </c>
      <c r="F76" s="68" t="s">
        <v>167</v>
      </c>
      <c r="G76" s="68" t="s">
        <v>171</v>
      </c>
      <c r="H76" s="68"/>
      <c r="I76" s="68" t="s">
        <v>20</v>
      </c>
      <c r="J76" s="68">
        <v>-894</v>
      </c>
    </row>
    <row r="77" spans="1:14">
      <c r="A77" s="68"/>
      <c r="B77" s="68"/>
      <c r="C77" s="68" t="s">
        <v>2</v>
      </c>
      <c r="D77" s="69">
        <v>2005</v>
      </c>
      <c r="E77" s="68" t="s">
        <v>170</v>
      </c>
      <c r="F77" s="68" t="s">
        <v>170</v>
      </c>
      <c r="G77" s="68" t="s">
        <v>171</v>
      </c>
      <c r="H77" s="68"/>
      <c r="I77" s="68" t="s">
        <v>20</v>
      </c>
      <c r="J77" s="68">
        <v>-122</v>
      </c>
    </row>
    <row r="78" spans="1:14">
      <c r="A78" s="75"/>
      <c r="B78" s="75"/>
      <c r="C78" s="75" t="s">
        <v>2</v>
      </c>
      <c r="D78" s="75">
        <v>2005</v>
      </c>
      <c r="E78" s="75" t="s">
        <v>166</v>
      </c>
      <c r="F78" s="75" t="s">
        <v>166</v>
      </c>
      <c r="G78" s="75" t="s">
        <v>171</v>
      </c>
      <c r="H78" s="75"/>
      <c r="I78" s="75" t="s">
        <v>379</v>
      </c>
      <c r="J78" s="75">
        <v>-286</v>
      </c>
    </row>
    <row r="79" spans="1:14">
      <c r="A79" s="75"/>
      <c r="B79" s="75"/>
      <c r="C79" s="75" t="s">
        <v>2</v>
      </c>
      <c r="D79" s="75">
        <v>2005</v>
      </c>
      <c r="E79" s="75" t="s">
        <v>169</v>
      </c>
      <c r="F79" s="75" t="s">
        <v>169</v>
      </c>
      <c r="G79" s="75" t="s">
        <v>171</v>
      </c>
      <c r="H79" s="75"/>
      <c r="I79" s="75" t="s">
        <v>379</v>
      </c>
      <c r="J79" s="75">
        <v>-195</v>
      </c>
    </row>
    <row r="80" spans="1:14">
      <c r="A80" s="75"/>
      <c r="B80" s="75"/>
      <c r="C80" s="75" t="s">
        <v>2</v>
      </c>
      <c r="D80" s="75">
        <v>2005</v>
      </c>
      <c r="E80" s="75" t="s">
        <v>167</v>
      </c>
      <c r="F80" s="75" t="s">
        <v>167</v>
      </c>
      <c r="G80" s="75" t="s">
        <v>171</v>
      </c>
      <c r="H80" s="75"/>
      <c r="I80" s="75" t="s">
        <v>379</v>
      </c>
      <c r="J80" s="75">
        <v>-894</v>
      </c>
      <c r="L80" s="22"/>
      <c r="M80" s="22"/>
      <c r="N80" s="22"/>
    </row>
    <row r="81" spans="1:14">
      <c r="A81" s="75"/>
      <c r="B81" s="75"/>
      <c r="C81" s="75" t="s">
        <v>2</v>
      </c>
      <c r="D81" s="75">
        <v>2005</v>
      </c>
      <c r="E81" s="75" t="s">
        <v>170</v>
      </c>
      <c r="F81" s="75" t="s">
        <v>170</v>
      </c>
      <c r="G81" s="75" t="s">
        <v>171</v>
      </c>
      <c r="H81" s="75"/>
      <c r="I81" s="75" t="s">
        <v>379</v>
      </c>
      <c r="J81" s="75">
        <v>-122</v>
      </c>
      <c r="K81" s="22"/>
      <c r="L81" s="22"/>
      <c r="M81" s="22"/>
      <c r="N81" s="22"/>
    </row>
    <row r="82" spans="1:14">
      <c r="K82" s="22"/>
      <c r="L82" s="22"/>
      <c r="M82" s="22"/>
      <c r="N82" s="22"/>
    </row>
    <row r="83" spans="1:14" ht="14.4">
      <c r="K83" s="9"/>
      <c r="L83" s="22"/>
      <c r="M83" s="9"/>
      <c r="N83" s="9"/>
    </row>
    <row r="84" spans="1:14">
      <c r="K84" s="22"/>
      <c r="L84" s="22"/>
      <c r="M84" s="22"/>
      <c r="N84" s="22"/>
    </row>
    <row r="85" spans="1:14">
      <c r="C85" s="4"/>
      <c r="D85" s="4"/>
      <c r="K85" s="22"/>
      <c r="L85" s="22"/>
      <c r="M85" s="22"/>
      <c r="N85" s="22"/>
    </row>
    <row r="86" spans="1:14">
      <c r="C86" s="4"/>
      <c r="D86" s="4"/>
    </row>
    <row r="87" spans="1:14">
      <c r="C87" s="4"/>
      <c r="D87" s="4"/>
      <c r="E87" s="4"/>
      <c r="F87" s="4"/>
      <c r="G87" s="4"/>
      <c r="H87" s="4"/>
    </row>
    <row r="88" spans="1:14">
      <c r="C88" s="4"/>
      <c r="D88" s="4"/>
      <c r="E88" s="4"/>
      <c r="F88" s="4"/>
      <c r="G88" s="4"/>
      <c r="H88" s="4"/>
    </row>
    <row r="89" spans="1:14">
      <c r="C89" s="4"/>
      <c r="D89" s="4"/>
      <c r="E89" s="4"/>
      <c r="F89" s="4"/>
      <c r="G89" s="4"/>
      <c r="H89" s="4"/>
    </row>
    <row r="90" spans="1:14">
      <c r="C90" s="4"/>
      <c r="D90" s="4"/>
      <c r="E90" s="4"/>
      <c r="F90" s="4"/>
      <c r="G90" s="4"/>
      <c r="H90" s="4"/>
    </row>
    <row r="91" spans="1:14">
      <c r="C91" s="4"/>
      <c r="D91" s="4"/>
      <c r="E91" s="4"/>
      <c r="F91" s="4"/>
      <c r="G91" s="4"/>
      <c r="H91" s="4"/>
    </row>
    <row r="92" spans="1:14">
      <c r="C92" s="4"/>
      <c r="D92" s="4"/>
      <c r="E92" s="4"/>
      <c r="F92" s="4"/>
      <c r="G92" s="4"/>
      <c r="H92" s="4"/>
    </row>
    <row r="93" spans="1:14">
      <c r="C93" s="4"/>
      <c r="D93" s="4"/>
      <c r="E93" s="4"/>
      <c r="F93" s="4"/>
      <c r="G93" s="4"/>
      <c r="H93" s="4"/>
    </row>
    <row r="94" spans="1:14">
      <c r="C94" s="4"/>
      <c r="D94" s="4"/>
      <c r="E94" s="4"/>
      <c r="F94" s="4"/>
      <c r="G94" s="4"/>
      <c r="H94" s="4"/>
    </row>
    <row r="95" spans="1:14">
      <c r="C95" s="4"/>
      <c r="D95" s="4"/>
      <c r="E95" s="4"/>
      <c r="F95" s="4"/>
      <c r="G95" s="4"/>
      <c r="H95" s="4"/>
    </row>
    <row r="96" spans="1:14">
      <c r="C96" s="4"/>
      <c r="D96" s="4"/>
      <c r="E96" s="4"/>
      <c r="F96" s="4"/>
      <c r="G96" s="4"/>
      <c r="H96" s="4"/>
    </row>
    <row r="97" spans="3:8">
      <c r="C97" s="4"/>
      <c r="D97" s="4"/>
      <c r="E97" s="4"/>
      <c r="F97" s="4"/>
      <c r="G97" s="4"/>
      <c r="H97" s="4"/>
    </row>
    <row r="98" spans="3:8">
      <c r="C98" s="4"/>
      <c r="D98" s="4"/>
      <c r="E98" s="4"/>
      <c r="F98" s="4"/>
      <c r="G98" s="4"/>
      <c r="H98" s="4"/>
    </row>
    <row r="99" spans="3:8">
      <c r="C99" s="4"/>
      <c r="D99" s="4"/>
      <c r="E99" s="4"/>
      <c r="F99" s="4"/>
      <c r="G99" s="4"/>
      <c r="H99" s="4"/>
    </row>
    <row r="100" spans="3:8">
      <c r="C100" s="4"/>
      <c r="D100" s="4"/>
      <c r="E100" s="4"/>
      <c r="F100" s="4"/>
      <c r="G100" s="4"/>
      <c r="H100" s="4"/>
    </row>
    <row r="101" spans="3:8">
      <c r="C101" s="4"/>
      <c r="D101" s="4"/>
      <c r="E101" s="4"/>
      <c r="F101" s="4"/>
      <c r="G101" s="4"/>
      <c r="H101" s="4"/>
    </row>
    <row r="102" spans="3:8">
      <c r="C102" s="4"/>
      <c r="D102" s="4"/>
      <c r="E102" s="4"/>
      <c r="F102" s="4"/>
      <c r="G102" s="4"/>
      <c r="H102" s="4"/>
    </row>
    <row r="103" spans="3:8">
      <c r="C103" s="4"/>
      <c r="D103" s="4"/>
      <c r="E103" s="4"/>
      <c r="F103" s="4"/>
      <c r="G103" s="4"/>
      <c r="H103" s="4"/>
    </row>
    <row r="104" spans="3:8">
      <c r="C104" s="4"/>
      <c r="D104" s="4"/>
      <c r="E104" s="4"/>
      <c r="F104" s="4"/>
      <c r="G104" s="4"/>
      <c r="H104" s="4"/>
    </row>
  </sheetData>
  <phoneticPr fontId="6" type="noConversion"/>
  <pageMargins left="0.75" right="0.75" top="1" bottom="1" header="0.5" footer="0.5"/>
  <pageSetup orientation="portrait" verticalDpi="1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workbookViewId="0">
      <selection activeCell="K22" sqref="K22"/>
    </sheetView>
  </sheetViews>
  <sheetFormatPr defaultColWidth="9.109375" defaultRowHeight="13.8"/>
  <cols>
    <col min="1" max="1" width="10.44140625" style="52" customWidth="1"/>
    <col min="2" max="2" width="9.109375" style="52"/>
    <col min="3" max="3" width="9.6640625" style="52" bestFit="1" customWidth="1"/>
    <col min="4" max="4" width="13.109375" style="52" bestFit="1" customWidth="1"/>
    <col min="5" max="5" width="13.33203125" style="52" bestFit="1" customWidth="1"/>
    <col min="6" max="6" width="9.88671875" style="52" bestFit="1" customWidth="1"/>
    <col min="7" max="8" width="9.109375" style="52"/>
    <col min="9" max="9" width="11.33203125" style="52" bestFit="1" customWidth="1"/>
    <col min="10" max="10" width="12.88671875" style="52" bestFit="1" customWidth="1"/>
    <col min="11" max="11" width="13.109375" style="52" bestFit="1" customWidth="1"/>
    <col min="12" max="12" width="9.88671875" style="52" bestFit="1" customWidth="1"/>
    <col min="13" max="15" width="9.109375" style="52"/>
    <col min="16" max="16" width="11.5546875" style="52" customWidth="1"/>
    <col min="17" max="17" width="13.5546875" style="52" customWidth="1"/>
    <col min="18" max="16384" width="9.109375" style="52"/>
  </cols>
  <sheetData>
    <row r="1" spans="1:12" ht="18">
      <c r="A1" s="57" t="s">
        <v>349</v>
      </c>
      <c r="I1" s="57" t="s">
        <v>348</v>
      </c>
    </row>
    <row r="2" spans="1:12" ht="14.4">
      <c r="A2" s="49" t="s">
        <v>1</v>
      </c>
      <c r="I2" s="49" t="s">
        <v>1</v>
      </c>
    </row>
    <row r="3" spans="1:12" ht="15" thickBot="1">
      <c r="A3" s="50" t="s">
        <v>56</v>
      </c>
      <c r="B3" s="50" t="s">
        <v>346</v>
      </c>
      <c r="C3" s="50" t="s">
        <v>147</v>
      </c>
      <c r="D3" s="50" t="s">
        <v>0</v>
      </c>
      <c r="E3" s="50" t="s">
        <v>345</v>
      </c>
      <c r="F3" s="50" t="s">
        <v>61</v>
      </c>
      <c r="I3" s="50" t="s">
        <v>56</v>
      </c>
      <c r="J3" s="50" t="s">
        <v>345</v>
      </c>
      <c r="K3" s="50" t="s">
        <v>0</v>
      </c>
      <c r="L3" s="50" t="s">
        <v>61</v>
      </c>
    </row>
    <row r="4" spans="1:12" s="56" customFormat="1" ht="14.4">
      <c r="A4" s="56" t="s">
        <v>2</v>
      </c>
      <c r="B4" s="56" t="s">
        <v>328</v>
      </c>
      <c r="C4" s="56" t="str">
        <f t="shared" ref="C4:C25" si="0">D4</f>
        <v>COAHAR</v>
      </c>
      <c r="D4" s="56" t="s">
        <v>62</v>
      </c>
      <c r="E4" s="56" t="s">
        <v>327</v>
      </c>
      <c r="F4" s="56">
        <v>95</v>
      </c>
      <c r="I4" s="66" t="s">
        <v>324</v>
      </c>
      <c r="J4" s="66" t="s">
        <v>24</v>
      </c>
      <c r="K4" s="66" t="s">
        <v>20</v>
      </c>
      <c r="L4" s="66">
        <v>95</v>
      </c>
    </row>
    <row r="5" spans="1:12" s="56" customFormat="1" ht="14.4">
      <c r="A5" s="56" t="s">
        <v>2</v>
      </c>
      <c r="B5" s="56" t="s">
        <v>328</v>
      </c>
      <c r="C5" s="56" t="str">
        <f t="shared" si="0"/>
        <v>COACOK</v>
      </c>
      <c r="D5" s="56" t="s">
        <v>344</v>
      </c>
      <c r="E5" s="56" t="s">
        <v>327</v>
      </c>
      <c r="F5" s="56">
        <v>105</v>
      </c>
      <c r="I5" s="66" t="s">
        <v>324</v>
      </c>
      <c r="J5" s="66" t="s">
        <v>117</v>
      </c>
      <c r="K5" s="66" t="s">
        <v>20</v>
      </c>
      <c r="L5" s="66">
        <v>105</v>
      </c>
    </row>
    <row r="6" spans="1:12" s="56" customFormat="1" ht="14.4">
      <c r="A6" s="56" t="s">
        <v>2</v>
      </c>
      <c r="B6" s="56" t="s">
        <v>328</v>
      </c>
      <c r="C6" s="56" t="str">
        <f t="shared" si="0"/>
        <v>COALIG</v>
      </c>
      <c r="D6" s="56" t="s">
        <v>343</v>
      </c>
      <c r="E6" s="56" t="s">
        <v>327</v>
      </c>
      <c r="F6" s="56">
        <v>110.6</v>
      </c>
      <c r="I6" s="66" t="s">
        <v>324</v>
      </c>
      <c r="J6" s="66" t="s">
        <v>119</v>
      </c>
      <c r="K6" s="66" t="s">
        <v>20</v>
      </c>
      <c r="L6" s="66">
        <v>110.6</v>
      </c>
    </row>
    <row r="7" spans="1:12" s="56" customFormat="1" ht="14.4">
      <c r="A7" s="56" t="s">
        <v>2</v>
      </c>
      <c r="B7" s="56" t="s">
        <v>328</v>
      </c>
      <c r="C7" s="56" t="str">
        <f t="shared" si="0"/>
        <v>COABRO</v>
      </c>
      <c r="D7" s="56" t="s">
        <v>342</v>
      </c>
      <c r="E7" s="56" t="s">
        <v>327</v>
      </c>
      <c r="F7" s="56">
        <v>110.6</v>
      </c>
      <c r="I7" s="66" t="s">
        <v>324</v>
      </c>
      <c r="J7" s="66" t="s">
        <v>23</v>
      </c>
      <c r="K7" s="66" t="s">
        <v>20</v>
      </c>
      <c r="L7" s="66">
        <v>110.6</v>
      </c>
    </row>
    <row r="8" spans="1:12" s="56" customFormat="1" ht="14.4">
      <c r="A8" s="56" t="s">
        <v>2</v>
      </c>
      <c r="B8" s="56" t="s">
        <v>328</v>
      </c>
      <c r="C8" s="56" t="str">
        <f t="shared" si="0"/>
        <v>OILRFG</v>
      </c>
      <c r="D8" s="56" t="s">
        <v>341</v>
      </c>
      <c r="E8" s="56" t="s">
        <v>327</v>
      </c>
      <c r="F8" s="56">
        <v>60</v>
      </c>
      <c r="I8" s="66" t="s">
        <v>324</v>
      </c>
      <c r="J8" s="66" t="s">
        <v>110</v>
      </c>
      <c r="K8" s="66" t="s">
        <v>20</v>
      </c>
      <c r="L8" s="66">
        <v>60</v>
      </c>
    </row>
    <row r="9" spans="1:12" s="56" customFormat="1" ht="14.4">
      <c r="A9" s="56" t="s">
        <v>2</v>
      </c>
      <c r="B9" s="56" t="s">
        <v>328</v>
      </c>
      <c r="C9" s="56" t="str">
        <f t="shared" si="0"/>
        <v>OILLPG</v>
      </c>
      <c r="D9" s="56" t="s">
        <v>319</v>
      </c>
      <c r="E9" s="56" t="s">
        <v>327</v>
      </c>
      <c r="F9" s="56">
        <v>65</v>
      </c>
      <c r="I9" s="66" t="s">
        <v>324</v>
      </c>
      <c r="J9" s="66" t="s">
        <v>114</v>
      </c>
      <c r="K9" s="66" t="s">
        <v>20</v>
      </c>
      <c r="L9" s="66">
        <v>65</v>
      </c>
    </row>
    <row r="10" spans="1:12" s="56" customFormat="1" ht="14.4">
      <c r="A10" s="56" t="s">
        <v>2</v>
      </c>
      <c r="B10" s="56" t="s">
        <v>328</v>
      </c>
      <c r="C10" s="56" t="str">
        <f t="shared" si="0"/>
        <v>OILGSL</v>
      </c>
      <c r="D10" s="56" t="s">
        <v>318</v>
      </c>
      <c r="E10" s="56" t="s">
        <v>327</v>
      </c>
      <c r="F10" s="56">
        <v>72</v>
      </c>
      <c r="I10" s="66" t="s">
        <v>324</v>
      </c>
      <c r="J10" s="66" t="s">
        <v>115</v>
      </c>
      <c r="K10" s="66" t="s">
        <v>20</v>
      </c>
      <c r="L10" s="66">
        <v>74</v>
      </c>
    </row>
    <row r="11" spans="1:12" s="56" customFormat="1" ht="14.4">
      <c r="A11" s="56" t="s">
        <v>2</v>
      </c>
      <c r="B11" s="56" t="s">
        <v>328</v>
      </c>
      <c r="C11" s="56" t="str">
        <f t="shared" si="0"/>
        <v>OILKER</v>
      </c>
      <c r="D11" s="56" t="s">
        <v>317</v>
      </c>
      <c r="E11" s="56" t="s">
        <v>327</v>
      </c>
      <c r="F11" s="56">
        <v>74</v>
      </c>
      <c r="I11" s="66" t="s">
        <v>324</v>
      </c>
      <c r="J11" s="66" t="s">
        <v>112</v>
      </c>
      <c r="K11" s="66" t="s">
        <v>20</v>
      </c>
      <c r="L11" s="66">
        <v>73.3</v>
      </c>
    </row>
    <row r="12" spans="1:12" s="56" customFormat="1" ht="14.4">
      <c r="A12" s="56" t="s">
        <v>2</v>
      </c>
      <c r="B12" s="56" t="s">
        <v>328</v>
      </c>
      <c r="C12" s="56" t="str">
        <f t="shared" si="0"/>
        <v>OILNAP</v>
      </c>
      <c r="D12" s="56" t="s">
        <v>339</v>
      </c>
      <c r="E12" s="56" t="s">
        <v>327</v>
      </c>
      <c r="F12" s="56">
        <v>73.3</v>
      </c>
      <c r="I12" s="66" t="s">
        <v>324</v>
      </c>
      <c r="J12" s="66" t="s">
        <v>25</v>
      </c>
      <c r="K12" s="66" t="s">
        <v>20</v>
      </c>
      <c r="L12" s="66">
        <v>78</v>
      </c>
    </row>
    <row r="13" spans="1:12" s="56" customFormat="1" ht="14.4">
      <c r="A13" s="56" t="s">
        <v>2</v>
      </c>
      <c r="B13" s="56" t="s">
        <v>328</v>
      </c>
      <c r="C13" s="56" t="str">
        <f t="shared" si="0"/>
        <v>OILDST</v>
      </c>
      <c r="D13" s="56" t="s">
        <v>315</v>
      </c>
      <c r="E13" s="56" t="s">
        <v>327</v>
      </c>
      <c r="F13" s="56">
        <v>74</v>
      </c>
      <c r="I13" s="66" t="s">
        <v>324</v>
      </c>
      <c r="J13" s="66" t="s">
        <v>111</v>
      </c>
      <c r="K13" s="66" t="s">
        <v>20</v>
      </c>
      <c r="L13" s="66">
        <v>0</v>
      </c>
    </row>
    <row r="14" spans="1:12" s="56" customFormat="1" ht="14.4">
      <c r="A14" s="56" t="s">
        <v>2</v>
      </c>
      <c r="B14" s="56" t="s">
        <v>328</v>
      </c>
      <c r="C14" s="56" t="str">
        <f t="shared" si="0"/>
        <v>OILHFO</v>
      </c>
      <c r="D14" s="56" t="s">
        <v>71</v>
      </c>
      <c r="E14" s="56" t="s">
        <v>327</v>
      </c>
      <c r="F14" s="56">
        <v>78</v>
      </c>
      <c r="I14" s="66" t="s">
        <v>324</v>
      </c>
      <c r="J14" s="66" t="s">
        <v>21</v>
      </c>
      <c r="K14" s="66" t="s">
        <v>20</v>
      </c>
      <c r="L14" s="66">
        <v>56</v>
      </c>
    </row>
    <row r="15" spans="1:12" s="56" customFormat="1" ht="14.4">
      <c r="A15" s="56" t="s">
        <v>2</v>
      </c>
      <c r="B15" s="56" t="s">
        <v>328</v>
      </c>
      <c r="C15" s="56" t="str">
        <f t="shared" si="0"/>
        <v>OILNEU</v>
      </c>
      <c r="D15" s="56" t="s">
        <v>321</v>
      </c>
      <c r="E15" s="56" t="s">
        <v>327</v>
      </c>
      <c r="F15" s="56">
        <v>0</v>
      </c>
      <c r="I15" s="66" t="s">
        <v>324</v>
      </c>
      <c r="J15" s="66" t="s">
        <v>118</v>
      </c>
      <c r="K15" s="66" t="s">
        <v>20</v>
      </c>
      <c r="L15" s="66">
        <v>108.2</v>
      </c>
    </row>
    <row r="16" spans="1:12" s="56" customFormat="1" ht="14.4">
      <c r="A16" s="56" t="s">
        <v>2</v>
      </c>
      <c r="B16" s="56" t="s">
        <v>328</v>
      </c>
      <c r="C16" s="56" t="str">
        <f t="shared" si="0"/>
        <v>OILOTH</v>
      </c>
      <c r="D16" s="56" t="s">
        <v>338</v>
      </c>
      <c r="E16" s="56" t="s">
        <v>327</v>
      </c>
      <c r="F16" s="56">
        <v>80</v>
      </c>
      <c r="I16" s="66" t="s">
        <v>324</v>
      </c>
      <c r="J16" s="66" t="s">
        <v>121</v>
      </c>
      <c r="K16" s="66" t="s">
        <v>20</v>
      </c>
      <c r="L16" s="66">
        <v>286</v>
      </c>
    </row>
    <row r="17" spans="1:12" s="56" customFormat="1" ht="14.4">
      <c r="A17" s="56" t="s">
        <v>2</v>
      </c>
      <c r="B17" s="56" t="s">
        <v>328</v>
      </c>
      <c r="C17" s="56" t="str">
        <f t="shared" si="0"/>
        <v>GASNAT</v>
      </c>
      <c r="D17" s="56" t="s">
        <v>63</v>
      </c>
      <c r="E17" s="56" t="s">
        <v>327</v>
      </c>
      <c r="F17" s="56">
        <v>56</v>
      </c>
      <c r="I17" s="66" t="s">
        <v>324</v>
      </c>
      <c r="J17" s="66" t="s">
        <v>120</v>
      </c>
      <c r="K17" s="66" t="s">
        <v>20</v>
      </c>
      <c r="L17" s="66">
        <v>0</v>
      </c>
    </row>
    <row r="18" spans="1:12" s="56" customFormat="1" ht="14.4">
      <c r="A18" s="56" t="s">
        <v>2</v>
      </c>
      <c r="B18" s="56" t="s">
        <v>328</v>
      </c>
      <c r="C18" s="56" t="str">
        <f t="shared" si="0"/>
        <v>GASCOG</v>
      </c>
      <c r="D18" s="56" t="s">
        <v>337</v>
      </c>
      <c r="E18" s="56" t="s">
        <v>327</v>
      </c>
      <c r="F18" s="56">
        <v>108.2</v>
      </c>
      <c r="I18" s="66" t="s">
        <v>324</v>
      </c>
      <c r="J18" s="66" t="s">
        <v>113</v>
      </c>
      <c r="K18" s="66" t="s">
        <v>20</v>
      </c>
      <c r="L18" s="66">
        <v>45</v>
      </c>
    </row>
    <row r="19" spans="1:12" s="56" customFormat="1" ht="14.4">
      <c r="A19" s="56" t="s">
        <v>2</v>
      </c>
      <c r="B19" s="56" t="s">
        <v>328</v>
      </c>
      <c r="C19" s="56" t="str">
        <f t="shared" si="0"/>
        <v>GASBFG</v>
      </c>
      <c r="D19" s="56" t="s">
        <v>336</v>
      </c>
      <c r="E19" s="56" t="s">
        <v>327</v>
      </c>
      <c r="F19" s="56">
        <v>286</v>
      </c>
      <c r="I19" s="66" t="s">
        <v>324</v>
      </c>
      <c r="J19" s="66" t="s">
        <v>109</v>
      </c>
      <c r="K19" s="66" t="s">
        <v>20</v>
      </c>
      <c r="L19" s="66">
        <v>45</v>
      </c>
    </row>
    <row r="20" spans="1:12" s="56" customFormat="1" ht="14.4">
      <c r="A20" s="56" t="s">
        <v>316</v>
      </c>
      <c r="B20" s="56" t="s">
        <v>328</v>
      </c>
      <c r="C20" s="56" t="str">
        <f t="shared" si="0"/>
        <v>GASGWG</v>
      </c>
      <c r="D20" s="56" t="s">
        <v>335</v>
      </c>
      <c r="E20" s="56" t="s">
        <v>327</v>
      </c>
      <c r="F20" s="56">
        <v>46.5</v>
      </c>
      <c r="I20" s="66" t="s">
        <v>324</v>
      </c>
      <c r="J20" s="66" t="s">
        <v>24</v>
      </c>
      <c r="K20" s="66" t="s">
        <v>379</v>
      </c>
      <c r="L20" s="66">
        <v>95</v>
      </c>
    </row>
    <row r="21" spans="1:12" s="56" customFormat="1" ht="14.4">
      <c r="A21" s="56" t="s">
        <v>2</v>
      </c>
      <c r="B21" s="56" t="s">
        <v>328</v>
      </c>
      <c r="C21" s="56" t="str">
        <f t="shared" si="0"/>
        <v>BIOWOO</v>
      </c>
      <c r="D21" s="56" t="s">
        <v>203</v>
      </c>
      <c r="E21" s="56" t="s">
        <v>327</v>
      </c>
      <c r="F21" s="56">
        <v>0</v>
      </c>
      <c r="I21" s="66" t="s">
        <v>324</v>
      </c>
      <c r="J21" s="66" t="s">
        <v>117</v>
      </c>
      <c r="K21" s="66" t="s">
        <v>379</v>
      </c>
      <c r="L21" s="66">
        <v>105</v>
      </c>
    </row>
    <row r="22" spans="1:12" s="56" customFormat="1" ht="14.4">
      <c r="A22" s="56" t="s">
        <v>2</v>
      </c>
      <c r="B22" s="56" t="s">
        <v>328</v>
      </c>
      <c r="C22" s="56" t="str">
        <f t="shared" si="0"/>
        <v>BIOGAS</v>
      </c>
      <c r="D22" s="56" t="s">
        <v>333</v>
      </c>
      <c r="E22" s="56" t="s">
        <v>327</v>
      </c>
      <c r="F22" s="56">
        <v>0</v>
      </c>
      <c r="I22" s="66" t="s">
        <v>324</v>
      </c>
      <c r="J22" s="66" t="s">
        <v>119</v>
      </c>
      <c r="K22" s="66" t="s">
        <v>379</v>
      </c>
      <c r="L22" s="66">
        <v>110.6</v>
      </c>
    </row>
    <row r="23" spans="1:12" s="56" customFormat="1" ht="14.4">
      <c r="A23" s="56" t="s">
        <v>2</v>
      </c>
      <c r="B23" s="56" t="s">
        <v>328</v>
      </c>
      <c r="C23" s="56" t="str">
        <f t="shared" si="0"/>
        <v>BIOMUN</v>
      </c>
      <c r="D23" s="56" t="s">
        <v>331</v>
      </c>
      <c r="E23" s="56" t="s">
        <v>327</v>
      </c>
      <c r="F23" s="56">
        <v>45</v>
      </c>
      <c r="I23" s="66" t="s">
        <v>324</v>
      </c>
      <c r="J23" s="66" t="s">
        <v>23</v>
      </c>
      <c r="K23" s="66" t="s">
        <v>379</v>
      </c>
      <c r="L23" s="66">
        <v>110.6</v>
      </c>
    </row>
    <row r="24" spans="1:12" s="56" customFormat="1" ht="14.4">
      <c r="A24" s="56" t="s">
        <v>2</v>
      </c>
      <c r="B24" s="56" t="s">
        <v>328</v>
      </c>
      <c r="C24" s="56" t="str">
        <f t="shared" si="0"/>
        <v>BIOSLU</v>
      </c>
      <c r="D24" s="56" t="s">
        <v>234</v>
      </c>
      <c r="E24" s="56" t="s">
        <v>327</v>
      </c>
      <c r="F24" s="56">
        <v>45</v>
      </c>
      <c r="I24" s="66" t="s">
        <v>324</v>
      </c>
      <c r="J24" s="66" t="s">
        <v>110</v>
      </c>
      <c r="K24" s="66" t="s">
        <v>379</v>
      </c>
      <c r="L24" s="66">
        <v>60</v>
      </c>
    </row>
    <row r="25" spans="1:12" s="56" customFormat="1" ht="14.4">
      <c r="A25" s="56" t="s">
        <v>2</v>
      </c>
      <c r="B25" s="56" t="s">
        <v>328</v>
      </c>
      <c r="C25" s="56" t="str">
        <f t="shared" si="0"/>
        <v>BIOLIQ</v>
      </c>
      <c r="D25" s="56" t="s">
        <v>320</v>
      </c>
      <c r="E25" s="56" t="s">
        <v>327</v>
      </c>
      <c r="F25" s="56">
        <v>0</v>
      </c>
      <c r="I25" s="66" t="s">
        <v>324</v>
      </c>
      <c r="J25" s="66" t="s">
        <v>114</v>
      </c>
      <c r="K25" s="66" t="s">
        <v>379</v>
      </c>
      <c r="L25" s="66">
        <v>65</v>
      </c>
    </row>
    <row r="26" spans="1:12" s="56" customFormat="1" ht="14.4">
      <c r="I26" s="66" t="s">
        <v>324</v>
      </c>
      <c r="J26" s="66" t="s">
        <v>115</v>
      </c>
      <c r="K26" s="66" t="s">
        <v>379</v>
      </c>
      <c r="L26" s="66">
        <v>74</v>
      </c>
    </row>
    <row r="27" spans="1:12" s="56" customFormat="1" ht="14.4">
      <c r="I27" s="66" t="s">
        <v>324</v>
      </c>
      <c r="J27" s="66" t="s">
        <v>112</v>
      </c>
      <c r="K27" s="66" t="s">
        <v>379</v>
      </c>
      <c r="L27" s="66">
        <v>73.3</v>
      </c>
    </row>
    <row r="28" spans="1:12">
      <c r="I28" s="67" t="s">
        <v>324</v>
      </c>
      <c r="J28" s="67" t="s">
        <v>25</v>
      </c>
      <c r="K28" s="67" t="s">
        <v>379</v>
      </c>
      <c r="L28" s="67">
        <v>78</v>
      </c>
    </row>
    <row r="29" spans="1:12">
      <c r="I29" s="67" t="s">
        <v>324</v>
      </c>
      <c r="J29" s="67" t="s">
        <v>111</v>
      </c>
      <c r="K29" s="67" t="s">
        <v>379</v>
      </c>
      <c r="L29" s="67">
        <v>0</v>
      </c>
    </row>
    <row r="30" spans="1:12">
      <c r="I30" s="67" t="s">
        <v>324</v>
      </c>
      <c r="J30" s="67" t="s">
        <v>21</v>
      </c>
      <c r="K30" s="67" t="s">
        <v>379</v>
      </c>
      <c r="L30" s="67">
        <v>56</v>
      </c>
    </row>
    <row r="31" spans="1:12">
      <c r="I31" s="67" t="s">
        <v>324</v>
      </c>
      <c r="J31" s="67" t="s">
        <v>118</v>
      </c>
      <c r="K31" s="67" t="s">
        <v>379</v>
      </c>
      <c r="L31" s="67">
        <v>108.2</v>
      </c>
    </row>
    <row r="32" spans="1:12">
      <c r="I32" s="67" t="s">
        <v>324</v>
      </c>
      <c r="J32" s="67" t="s">
        <v>121</v>
      </c>
      <c r="K32" s="67" t="s">
        <v>379</v>
      </c>
      <c r="L32" s="67">
        <v>286</v>
      </c>
    </row>
    <row r="33" spans="9:12">
      <c r="I33" s="67" t="s">
        <v>324</v>
      </c>
      <c r="J33" s="67" t="s">
        <v>120</v>
      </c>
      <c r="K33" s="67" t="s">
        <v>379</v>
      </c>
      <c r="L33" s="67">
        <v>0</v>
      </c>
    </row>
    <row r="34" spans="9:12">
      <c r="I34" s="67" t="s">
        <v>324</v>
      </c>
      <c r="J34" s="67" t="s">
        <v>113</v>
      </c>
      <c r="K34" s="67" t="s">
        <v>379</v>
      </c>
      <c r="L34" s="67">
        <v>45</v>
      </c>
    </row>
    <row r="35" spans="9:12">
      <c r="I35" s="67" t="s">
        <v>324</v>
      </c>
      <c r="J35" s="67" t="s">
        <v>109</v>
      </c>
      <c r="K35" s="67" t="s">
        <v>379</v>
      </c>
      <c r="L35" s="67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9"/>
  <sheetViews>
    <sheetView topLeftCell="A6" workbookViewId="0">
      <selection activeCell="D24" sqref="D24"/>
    </sheetView>
  </sheetViews>
  <sheetFormatPr defaultColWidth="9.109375" defaultRowHeight="13.8"/>
  <cols>
    <col min="1" max="1" width="16.109375" style="52" customWidth="1"/>
    <col min="2" max="2" width="24.6640625" style="52" customWidth="1"/>
    <col min="3" max="5" width="16.109375" style="52" customWidth="1"/>
    <col min="6" max="6" width="25.88671875" style="52" customWidth="1"/>
    <col min="7" max="7" width="16.109375" style="52" customWidth="1"/>
    <col min="8" max="8" width="9.109375" style="52"/>
    <col min="9" max="9" width="11.33203125" style="52" bestFit="1" customWidth="1"/>
    <col min="10" max="10" width="12.88671875" style="52" bestFit="1" customWidth="1"/>
    <col min="11" max="11" width="13.109375" style="52" bestFit="1" customWidth="1"/>
    <col min="12" max="12" width="9.88671875" style="52" bestFit="1" customWidth="1"/>
    <col min="13" max="15" width="9.109375" style="52"/>
    <col min="16" max="16" width="11.5546875" style="52" customWidth="1"/>
    <col min="17" max="17" width="13.5546875" style="52" customWidth="1"/>
    <col min="18" max="16384" width="9.109375" style="52"/>
  </cols>
  <sheetData>
    <row r="1" spans="1:18" ht="18">
      <c r="A1" s="57" t="s">
        <v>340</v>
      </c>
    </row>
    <row r="2" spans="1:18">
      <c r="A2" s="59" t="s">
        <v>1</v>
      </c>
      <c r="B2" s="60"/>
      <c r="C2" s="60"/>
      <c r="D2" s="60"/>
      <c r="N2" s="48"/>
      <c r="O2" s="48"/>
      <c r="P2" s="48"/>
      <c r="Q2" s="48"/>
      <c r="R2" s="48"/>
    </row>
    <row r="3" spans="1:18" ht="14.4" thickBot="1">
      <c r="A3" s="61" t="s">
        <v>56</v>
      </c>
      <c r="B3" s="61" t="s">
        <v>345</v>
      </c>
      <c r="C3" s="61" t="s">
        <v>0</v>
      </c>
      <c r="D3" s="61" t="s">
        <v>61</v>
      </c>
    </row>
    <row r="4" spans="1:18">
      <c r="A4" s="62" t="s">
        <v>324</v>
      </c>
      <c r="B4" s="62" t="s">
        <v>334</v>
      </c>
      <c r="C4" s="62" t="s">
        <v>322</v>
      </c>
      <c r="D4" s="63">
        <f>C17</f>
        <v>63.1</v>
      </c>
    </row>
    <row r="5" spans="1:18">
      <c r="A5" s="62" t="s">
        <v>324</v>
      </c>
      <c r="B5" s="62" t="s">
        <v>332</v>
      </c>
      <c r="C5" s="62" t="s">
        <v>322</v>
      </c>
      <c r="D5" s="63">
        <f>C48</f>
        <v>71.900000000000006</v>
      </c>
    </row>
    <row r="6" spans="1:18">
      <c r="A6" s="62" t="s">
        <v>324</v>
      </c>
      <c r="B6" s="62" t="s">
        <v>330</v>
      </c>
      <c r="C6" s="62" t="s">
        <v>322</v>
      </c>
      <c r="D6" s="63">
        <f>C49</f>
        <v>74.099999999999994</v>
      </c>
    </row>
    <row r="7" spans="1:18">
      <c r="A7" s="62" t="s">
        <v>324</v>
      </c>
      <c r="B7" s="62" t="s">
        <v>354</v>
      </c>
      <c r="C7" s="62" t="s">
        <v>322</v>
      </c>
      <c r="D7" s="63">
        <f>D6</f>
        <v>74.099999999999994</v>
      </c>
    </row>
    <row r="8" spans="1:18">
      <c r="A8" s="62" t="s">
        <v>324</v>
      </c>
      <c r="B8" s="62" t="s">
        <v>329</v>
      </c>
      <c r="C8" s="62" t="s">
        <v>322</v>
      </c>
      <c r="D8" s="63">
        <v>77.400000000000006</v>
      </c>
    </row>
    <row r="9" spans="1:18">
      <c r="A9" s="62" t="s">
        <v>324</v>
      </c>
      <c r="B9" s="62" t="s">
        <v>326</v>
      </c>
      <c r="C9" s="62" t="s">
        <v>322</v>
      </c>
      <c r="D9" s="63">
        <f>C24</f>
        <v>74.099999999999994</v>
      </c>
    </row>
    <row r="10" spans="1:18">
      <c r="A10" s="62" t="s">
        <v>324</v>
      </c>
      <c r="B10" s="62" t="s">
        <v>325</v>
      </c>
      <c r="C10" s="62" t="s">
        <v>322</v>
      </c>
      <c r="D10" s="63">
        <v>73.38</v>
      </c>
    </row>
    <row r="11" spans="1:18">
      <c r="A11" s="62" t="s">
        <v>324</v>
      </c>
      <c r="B11" s="62" t="s">
        <v>323</v>
      </c>
      <c r="C11" s="62" t="s">
        <v>322</v>
      </c>
      <c r="D11" s="63">
        <v>71.38</v>
      </c>
    </row>
    <row r="14" spans="1:18" ht="18">
      <c r="A14" s="57" t="s">
        <v>347</v>
      </c>
    </row>
    <row r="15" spans="1:18">
      <c r="A15" s="59" t="s">
        <v>1</v>
      </c>
      <c r="B15" s="64"/>
      <c r="C15" s="64"/>
      <c r="D15" s="64"/>
      <c r="E15" s="64"/>
      <c r="F15" s="64"/>
      <c r="G15" s="64"/>
      <c r="H15" s="54"/>
      <c r="I15" s="55"/>
      <c r="J15" s="55"/>
      <c r="K15" s="55"/>
      <c r="L15" s="55"/>
      <c r="M15" s="55"/>
      <c r="N15" s="55"/>
      <c r="O15" s="55"/>
    </row>
    <row r="16" spans="1:18" ht="14.4" thickBot="1">
      <c r="A16" s="61" t="s">
        <v>56</v>
      </c>
      <c r="B16" s="61" t="s">
        <v>0</v>
      </c>
      <c r="C16" s="61" t="s">
        <v>61</v>
      </c>
      <c r="D16" s="61" t="s">
        <v>58</v>
      </c>
      <c r="E16" s="61" t="s">
        <v>59</v>
      </c>
      <c r="F16" s="61" t="s">
        <v>129</v>
      </c>
      <c r="G16" s="61" t="s">
        <v>60</v>
      </c>
    </row>
    <row r="17" spans="1:12" ht="14.4">
      <c r="A17" s="65" t="s">
        <v>2</v>
      </c>
      <c r="B17" s="65" t="s">
        <v>319</v>
      </c>
      <c r="C17" s="65">
        <v>63.1</v>
      </c>
      <c r="D17" s="65" t="s">
        <v>396</v>
      </c>
      <c r="E17" s="65"/>
      <c r="F17" s="65" t="s">
        <v>319</v>
      </c>
      <c r="G17" s="65" t="s">
        <v>313</v>
      </c>
      <c r="L17" s="53"/>
    </row>
    <row r="18" spans="1:12" ht="14.4">
      <c r="A18" s="65" t="s">
        <v>2</v>
      </c>
      <c r="B18" s="65" t="s">
        <v>71</v>
      </c>
      <c r="C18" s="65">
        <v>77.400000000000006</v>
      </c>
      <c r="D18" s="65" t="s">
        <v>397</v>
      </c>
      <c r="E18" s="65"/>
      <c r="F18" s="65" t="str">
        <f t="shared" ref="F18" si="0">B18</f>
        <v>OILHFO</v>
      </c>
      <c r="G18" s="65" t="s">
        <v>313</v>
      </c>
      <c r="L18" s="53"/>
    </row>
    <row r="19" spans="1:12" ht="14.4">
      <c r="A19" s="65" t="s">
        <v>2</v>
      </c>
      <c r="B19" s="62" t="s">
        <v>63</v>
      </c>
      <c r="C19" s="65">
        <v>56.1</v>
      </c>
      <c r="D19" s="62" t="s">
        <v>388</v>
      </c>
      <c r="E19" s="62"/>
      <c r="F19" s="62" t="str">
        <f t="shared" ref="F19:F27" si="1">B19</f>
        <v>GASNAT</v>
      </c>
      <c r="G19" s="65" t="s">
        <v>313</v>
      </c>
      <c r="L19" s="53"/>
    </row>
    <row r="20" spans="1:12" ht="14.4">
      <c r="A20" s="65" t="s">
        <v>2</v>
      </c>
      <c r="B20" s="62" t="s">
        <v>317</v>
      </c>
      <c r="C20" s="63">
        <v>71.900000000000006</v>
      </c>
      <c r="D20" s="62" t="s">
        <v>357</v>
      </c>
      <c r="E20" s="62"/>
      <c r="F20" s="62" t="str">
        <f t="shared" si="1"/>
        <v>OILKER</v>
      </c>
      <c r="G20" s="65" t="s">
        <v>313</v>
      </c>
      <c r="L20" s="53"/>
    </row>
    <row r="21" spans="1:12" ht="14.4">
      <c r="A21" s="65" t="s">
        <v>2</v>
      </c>
      <c r="B21" s="62" t="s">
        <v>315</v>
      </c>
      <c r="C21" s="63">
        <v>74.099999999999994</v>
      </c>
      <c r="D21" s="62" t="s">
        <v>398</v>
      </c>
      <c r="E21" s="62"/>
      <c r="F21" s="62" t="str">
        <f t="shared" si="1"/>
        <v>OILDST</v>
      </c>
      <c r="G21" s="65" t="s">
        <v>313</v>
      </c>
      <c r="L21" s="53"/>
    </row>
    <row r="22" spans="1:12" ht="14.4">
      <c r="A22" s="65" t="s">
        <v>2</v>
      </c>
      <c r="B22" s="65" t="s">
        <v>318</v>
      </c>
      <c r="C22" s="63">
        <v>73.38</v>
      </c>
      <c r="D22" s="65" t="s">
        <v>394</v>
      </c>
      <c r="E22" s="65"/>
      <c r="F22" s="65" t="str">
        <f t="shared" si="1"/>
        <v>OILGSL</v>
      </c>
      <c r="G22" s="65" t="s">
        <v>313</v>
      </c>
      <c r="L22" s="53"/>
    </row>
    <row r="23" spans="1:12" ht="14.4">
      <c r="A23" s="65" t="s">
        <v>2</v>
      </c>
      <c r="B23" s="65" t="s">
        <v>386</v>
      </c>
      <c r="C23" s="63">
        <v>73.38</v>
      </c>
      <c r="D23" s="65" t="s">
        <v>395</v>
      </c>
      <c r="E23" s="65"/>
      <c r="F23" s="65" t="str">
        <f t="shared" si="1"/>
        <v>P2LGSL_FOS</v>
      </c>
      <c r="G23" s="65" t="s">
        <v>313</v>
      </c>
      <c r="L23" s="53"/>
    </row>
    <row r="24" spans="1:12" ht="14.4">
      <c r="A24" s="65" t="s">
        <v>2</v>
      </c>
      <c r="B24" s="65" t="s">
        <v>387</v>
      </c>
      <c r="C24" s="63">
        <v>74.099999999999994</v>
      </c>
      <c r="D24" s="62" t="s">
        <v>399</v>
      </c>
      <c r="E24" s="65"/>
      <c r="F24" s="65" t="str">
        <f t="shared" si="1"/>
        <v>P2LDST_FOS,SYNDST</v>
      </c>
      <c r="G24" s="65" t="s">
        <v>313</v>
      </c>
      <c r="L24" s="53"/>
    </row>
    <row r="25" spans="1:12" ht="14.4">
      <c r="A25" s="65" t="s">
        <v>2</v>
      </c>
      <c r="B25" s="62" t="s">
        <v>393</v>
      </c>
      <c r="C25" s="63">
        <v>71.900000000000006</v>
      </c>
      <c r="D25" s="62" t="s">
        <v>392</v>
      </c>
      <c r="E25" s="62"/>
      <c r="F25" s="62" t="str">
        <f t="shared" si="1"/>
        <v>P2LKER_FOS,SYNKER</v>
      </c>
      <c r="G25" s="65" t="s">
        <v>313</v>
      </c>
      <c r="L25" s="53"/>
    </row>
    <row r="26" spans="1:12">
      <c r="A26" s="65" t="s">
        <v>2</v>
      </c>
      <c r="B26" s="65" t="s">
        <v>387</v>
      </c>
      <c r="C26" s="65">
        <v>74.099999999999994</v>
      </c>
      <c r="D26" s="65" t="s">
        <v>390</v>
      </c>
      <c r="E26" s="65"/>
      <c r="F26" s="65" t="str">
        <f t="shared" si="1"/>
        <v>P2LDST_FOS,SYNDST</v>
      </c>
      <c r="G26" s="65" t="s">
        <v>313</v>
      </c>
    </row>
    <row r="27" spans="1:12" ht="14.4">
      <c r="A27" s="121" t="s">
        <v>2</v>
      </c>
      <c r="B27" s="122" t="s">
        <v>391</v>
      </c>
      <c r="C27" s="121">
        <v>56.1</v>
      </c>
      <c r="D27" s="122" t="s">
        <v>389</v>
      </c>
      <c r="E27" s="122"/>
      <c r="F27" s="122" t="str">
        <f t="shared" si="1"/>
        <v>GASP2G_FOS</v>
      </c>
      <c r="G27" s="121" t="s">
        <v>313</v>
      </c>
      <c r="L27" s="53"/>
    </row>
    <row r="28" spans="1:12" ht="13.2" customHeight="1">
      <c r="A28" s="65" t="str">
        <f>A17</f>
        <v>FLO_EMIS</v>
      </c>
      <c r="B28" s="65" t="str">
        <f t="shared" ref="B28:F28" si="2">B17</f>
        <v>OILLPG</v>
      </c>
      <c r="C28" s="65">
        <f t="shared" si="2"/>
        <v>63.1</v>
      </c>
      <c r="D28" s="65" t="str">
        <f t="shared" si="2"/>
        <v>TRALPG*</v>
      </c>
      <c r="E28" s="65"/>
      <c r="F28" s="65" t="str">
        <f t="shared" si="2"/>
        <v>OILLPG</v>
      </c>
      <c r="G28" s="65" t="s">
        <v>379</v>
      </c>
    </row>
    <row r="29" spans="1:12" ht="13.2" customHeight="1">
      <c r="A29" s="65" t="str">
        <f t="shared" ref="A29:F38" si="3">A18</f>
        <v>FLO_EMIS</v>
      </c>
      <c r="B29" s="65" t="str">
        <f t="shared" si="3"/>
        <v>OILHFO</v>
      </c>
      <c r="C29" s="65">
        <f t="shared" si="3"/>
        <v>77.400000000000006</v>
      </c>
      <c r="D29" s="65" t="str">
        <f t="shared" si="3"/>
        <v>TRAHFO*</v>
      </c>
      <c r="E29" s="65"/>
      <c r="F29" s="65" t="str">
        <f t="shared" si="3"/>
        <v>OILHFO</v>
      </c>
      <c r="G29" s="65" t="s">
        <v>379</v>
      </c>
    </row>
    <row r="30" spans="1:12" ht="13.2" customHeight="1">
      <c r="A30" s="65" t="str">
        <f t="shared" si="3"/>
        <v>FLO_EMIS</v>
      </c>
      <c r="B30" s="65" t="str">
        <f t="shared" si="3"/>
        <v>GASNAT</v>
      </c>
      <c r="C30" s="65">
        <f t="shared" si="3"/>
        <v>56.1</v>
      </c>
      <c r="D30" s="65" t="str">
        <f t="shared" si="3"/>
        <v>TRAGAS*</v>
      </c>
      <c r="E30" s="65"/>
      <c r="F30" s="65" t="str">
        <f t="shared" si="3"/>
        <v>GASNAT</v>
      </c>
      <c r="G30" s="65" t="s">
        <v>379</v>
      </c>
    </row>
    <row r="31" spans="1:12" ht="13.2" customHeight="1">
      <c r="A31" s="65" t="str">
        <f t="shared" si="3"/>
        <v>FLO_EMIS</v>
      </c>
      <c r="B31" s="65" t="str">
        <f t="shared" si="3"/>
        <v>OILKER</v>
      </c>
      <c r="C31" s="65">
        <f t="shared" si="3"/>
        <v>71.900000000000006</v>
      </c>
      <c r="D31" s="65" t="str">
        <f t="shared" si="3"/>
        <v>BLDJET</v>
      </c>
      <c r="E31" s="65"/>
      <c r="F31" s="65" t="str">
        <f t="shared" si="3"/>
        <v>OILKER</v>
      </c>
      <c r="G31" s="65" t="s">
        <v>379</v>
      </c>
    </row>
    <row r="32" spans="1:12" ht="13.2" customHeight="1">
      <c r="A32" s="65" t="str">
        <f t="shared" si="3"/>
        <v>FLO_EMIS</v>
      </c>
      <c r="B32" s="65" t="str">
        <f t="shared" si="3"/>
        <v>OILDST</v>
      </c>
      <c r="C32" s="65">
        <f t="shared" si="3"/>
        <v>74.099999999999994</v>
      </c>
      <c r="D32" s="65" t="str">
        <f t="shared" si="3"/>
        <v>BLDDSL*</v>
      </c>
      <c r="E32" s="65"/>
      <c r="F32" s="65" t="str">
        <f t="shared" si="3"/>
        <v>OILDST</v>
      </c>
      <c r="G32" s="65" t="s">
        <v>379</v>
      </c>
    </row>
    <row r="33" spans="1:7">
      <c r="A33" s="65" t="str">
        <f t="shared" si="3"/>
        <v>FLO_EMIS</v>
      </c>
      <c r="B33" s="65" t="str">
        <f t="shared" si="3"/>
        <v>OILGSL</v>
      </c>
      <c r="C33" s="65">
        <f t="shared" si="3"/>
        <v>73.38</v>
      </c>
      <c r="D33" s="65" t="str">
        <f t="shared" si="3"/>
        <v>BLDGSL*</v>
      </c>
      <c r="E33" s="65"/>
      <c r="F33" s="65" t="str">
        <f t="shared" si="3"/>
        <v>OILGSL</v>
      </c>
      <c r="G33" s="65" t="s">
        <v>379</v>
      </c>
    </row>
    <row r="34" spans="1:7">
      <c r="A34" s="65" t="str">
        <f t="shared" si="3"/>
        <v>FLO_EMIS</v>
      </c>
      <c r="B34" s="65" t="str">
        <f t="shared" si="3"/>
        <v>P2LGSL_FOS</v>
      </c>
      <c r="C34" s="65">
        <f t="shared" si="3"/>
        <v>73.38</v>
      </c>
      <c r="D34" s="65" t="str">
        <f t="shared" si="3"/>
        <v>BLD_RFNBO_GSL</v>
      </c>
      <c r="E34" s="65"/>
      <c r="F34" s="65" t="str">
        <f t="shared" si="3"/>
        <v>P2LGSL_FOS</v>
      </c>
      <c r="G34" s="65" t="s">
        <v>379</v>
      </c>
    </row>
    <row r="35" spans="1:7">
      <c r="A35" s="65" t="str">
        <f t="shared" si="3"/>
        <v>FLO_EMIS</v>
      </c>
      <c r="B35" s="65" t="str">
        <f t="shared" si="3"/>
        <v>P2LDST_FOS,SYNDST</v>
      </c>
      <c r="C35" s="65">
        <f t="shared" si="3"/>
        <v>74.099999999999994</v>
      </c>
      <c r="D35" s="65" t="str">
        <f t="shared" si="3"/>
        <v>BLD_RFNBO_RAI,BLD_RFNBO_DSL</v>
      </c>
      <c r="E35" s="65"/>
      <c r="F35" s="65" t="str">
        <f t="shared" si="3"/>
        <v>P2LDST_FOS,SYNDST</v>
      </c>
      <c r="G35" s="65" t="s">
        <v>379</v>
      </c>
    </row>
    <row r="36" spans="1:7">
      <c r="A36" s="65" t="str">
        <f t="shared" si="3"/>
        <v>FLO_EMIS</v>
      </c>
      <c r="B36" s="65" t="str">
        <f t="shared" si="3"/>
        <v>P2LKER_FOS,SYNKER</v>
      </c>
      <c r="C36" s="65">
        <f t="shared" si="3"/>
        <v>71.900000000000006</v>
      </c>
      <c r="D36" s="65" t="str">
        <f t="shared" si="3"/>
        <v>BLD_RFNBO_JET</v>
      </c>
      <c r="E36" s="65"/>
      <c r="F36" s="65" t="str">
        <f t="shared" si="3"/>
        <v>P2LKER_FOS,SYNKER</v>
      </c>
      <c r="G36" s="65" t="s">
        <v>379</v>
      </c>
    </row>
    <row r="37" spans="1:7">
      <c r="A37" s="65" t="str">
        <f t="shared" si="3"/>
        <v>FLO_EMIS</v>
      </c>
      <c r="B37" s="65" t="str">
        <f t="shared" si="3"/>
        <v>P2LDST_FOS,SYNDST</v>
      </c>
      <c r="C37" s="65">
        <f t="shared" si="3"/>
        <v>74.099999999999994</v>
      </c>
      <c r="D37" s="65" t="str">
        <f t="shared" si="3"/>
        <v>BLD_RFNBO_NAV</v>
      </c>
      <c r="E37" s="65"/>
      <c r="F37" s="65" t="str">
        <f t="shared" si="3"/>
        <v>P2LDST_FOS,SYNDST</v>
      </c>
      <c r="G37" s="65" t="s">
        <v>379</v>
      </c>
    </row>
    <row r="38" spans="1:7">
      <c r="A38" s="65" t="str">
        <f t="shared" si="3"/>
        <v>FLO_EMIS</v>
      </c>
      <c r="B38" s="65" t="str">
        <f t="shared" si="3"/>
        <v>GASP2G_FOS</v>
      </c>
      <c r="C38" s="65">
        <f t="shared" si="3"/>
        <v>56.1</v>
      </c>
      <c r="D38" s="65" t="str">
        <f t="shared" si="3"/>
        <v>BLD_RFNBO_GAS</v>
      </c>
      <c r="E38" s="65"/>
      <c r="F38" s="65" t="str">
        <f t="shared" si="3"/>
        <v>GASP2G_FOS</v>
      </c>
      <c r="G38" s="65" t="s">
        <v>379</v>
      </c>
    </row>
    <row r="39" spans="1:7">
      <c r="A39" s="64"/>
      <c r="B39" s="64"/>
      <c r="C39" s="64"/>
      <c r="D39" s="64"/>
      <c r="E39" s="64"/>
      <c r="F39" s="64"/>
      <c r="G39" s="64"/>
    </row>
    <row r="40" spans="1:7">
      <c r="A40" s="64"/>
      <c r="B40" s="64"/>
      <c r="C40" s="64"/>
      <c r="D40" s="64"/>
      <c r="E40" s="64"/>
      <c r="F40" s="64"/>
      <c r="G40" s="64"/>
    </row>
    <row r="41" spans="1:7">
      <c r="A41" s="64"/>
      <c r="B41" s="64"/>
      <c r="C41" s="64"/>
      <c r="D41" s="64"/>
      <c r="E41" s="64"/>
      <c r="F41" s="64"/>
      <c r="G41" s="64"/>
    </row>
    <row r="42" spans="1:7">
      <c r="C42" s="52">
        <v>77.400000000000006</v>
      </c>
      <c r="D42" s="52" t="s">
        <v>380</v>
      </c>
    </row>
    <row r="43" spans="1:7">
      <c r="C43" s="52">
        <v>339.12880000000001</v>
      </c>
      <c r="D43" s="52" t="s">
        <v>311</v>
      </c>
      <c r="E43" s="52">
        <f>C42*C43</f>
        <v>26248.569120000004</v>
      </c>
      <c r="F43" s="52" t="s">
        <v>382</v>
      </c>
    </row>
    <row r="44" spans="1:7">
      <c r="C44" s="52">
        <f>C43*25</f>
        <v>8478.2200000000012</v>
      </c>
      <c r="D44" s="52" t="s">
        <v>381</v>
      </c>
      <c r="E44" s="83">
        <f>E43/C44</f>
        <v>3.0960000000000001</v>
      </c>
      <c r="F44" s="52" t="s">
        <v>383</v>
      </c>
    </row>
    <row r="45" spans="1:7">
      <c r="A45" s="60"/>
      <c r="B45" s="60"/>
      <c r="C45" s="60"/>
      <c r="D45" s="60"/>
      <c r="E45" s="60"/>
      <c r="F45" s="60"/>
      <c r="G45" s="60"/>
    </row>
    <row r="46" spans="1:7">
      <c r="A46" s="60"/>
      <c r="B46" s="60"/>
      <c r="C46" s="60"/>
      <c r="D46" s="60"/>
      <c r="E46" s="60"/>
      <c r="F46" s="60"/>
      <c r="G46" s="60"/>
    </row>
    <row r="47" spans="1:7">
      <c r="A47" s="64" t="s">
        <v>316</v>
      </c>
      <c r="B47" s="64" t="s">
        <v>318</v>
      </c>
      <c r="C47" s="64">
        <v>74</v>
      </c>
      <c r="D47" s="64" t="s">
        <v>314</v>
      </c>
      <c r="E47" s="64"/>
      <c r="F47" s="64" t="s">
        <v>318</v>
      </c>
      <c r="G47" s="64" t="s">
        <v>313</v>
      </c>
    </row>
    <row r="48" spans="1:7">
      <c r="A48" s="64" t="s">
        <v>316</v>
      </c>
      <c r="B48" s="64" t="s">
        <v>317</v>
      </c>
      <c r="C48" s="64">
        <v>71.900000000000006</v>
      </c>
      <c r="D48" s="64" t="s">
        <v>314</v>
      </c>
      <c r="E48" s="64"/>
      <c r="F48" s="64" t="s">
        <v>317</v>
      </c>
      <c r="G48" s="64" t="s">
        <v>313</v>
      </c>
    </row>
    <row r="49" spans="1:7">
      <c r="A49" s="64" t="s">
        <v>316</v>
      </c>
      <c r="B49" s="64" t="s">
        <v>315</v>
      </c>
      <c r="C49" s="64">
        <v>74.099999999999994</v>
      </c>
      <c r="D49" s="64" t="s">
        <v>314</v>
      </c>
      <c r="E49" s="64"/>
      <c r="F49" s="64" t="s">
        <v>315</v>
      </c>
      <c r="G49" s="64" t="s">
        <v>313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3"/>
  <sheetViews>
    <sheetView topLeftCell="A3" workbookViewId="0">
      <selection activeCell="B4" sqref="B4"/>
    </sheetView>
  </sheetViews>
  <sheetFormatPr defaultColWidth="9.109375" defaultRowHeight="13.8"/>
  <cols>
    <col min="1" max="1" width="16.109375" style="52" customWidth="1"/>
    <col min="2" max="2" width="24.6640625" style="52" customWidth="1"/>
    <col min="3" max="5" width="16.109375" style="52" customWidth="1"/>
    <col min="6" max="6" width="25.88671875" style="52" customWidth="1"/>
    <col min="7" max="7" width="16.109375" style="52" customWidth="1"/>
    <col min="8" max="8" width="9.109375" style="52"/>
    <col min="9" max="9" width="11.33203125" style="52" bestFit="1" customWidth="1"/>
    <col min="10" max="10" width="12.88671875" style="52" bestFit="1" customWidth="1"/>
    <col min="11" max="11" width="13.109375" style="52" bestFit="1" customWidth="1"/>
    <col min="12" max="12" width="9.88671875" style="52" bestFit="1" customWidth="1"/>
    <col min="13" max="15" width="9.109375" style="52"/>
    <col min="16" max="16" width="11.5546875" style="52" customWidth="1"/>
    <col min="17" max="17" width="13.5546875" style="52" customWidth="1"/>
    <col min="18" max="16384" width="9.109375" style="52"/>
  </cols>
  <sheetData>
    <row r="1" spans="1:15" ht="18">
      <c r="A1" s="57" t="s">
        <v>366</v>
      </c>
    </row>
    <row r="2" spans="1:15">
      <c r="A2" s="59" t="s">
        <v>1</v>
      </c>
      <c r="B2" s="64"/>
      <c r="C2" s="64"/>
      <c r="D2" s="64"/>
      <c r="E2" s="64"/>
      <c r="F2" s="64"/>
      <c r="G2" s="64"/>
      <c r="H2" s="54"/>
      <c r="I2" s="55"/>
      <c r="J2" s="55"/>
      <c r="K2" s="55"/>
      <c r="L2" s="55"/>
      <c r="M2" s="55"/>
      <c r="N2" s="55"/>
      <c r="O2" s="55"/>
    </row>
    <row r="3" spans="1:15" ht="14.4" thickBot="1">
      <c r="A3" s="61" t="s">
        <v>56</v>
      </c>
      <c r="B3" s="61" t="s">
        <v>0</v>
      </c>
      <c r="C3" s="61" t="s">
        <v>61</v>
      </c>
      <c r="D3" s="61" t="s">
        <v>58</v>
      </c>
      <c r="E3" s="61" t="s">
        <v>59</v>
      </c>
      <c r="F3" s="61" t="s">
        <v>129</v>
      </c>
      <c r="G3" s="61" t="s">
        <v>60</v>
      </c>
    </row>
    <row r="4" spans="1:15" ht="14.4">
      <c r="A4" s="65" t="s">
        <v>2</v>
      </c>
      <c r="B4" s="65" t="s">
        <v>62</v>
      </c>
      <c r="C4" s="65">
        <v>95</v>
      </c>
      <c r="D4" s="65" t="s">
        <v>362</v>
      </c>
      <c r="E4" s="65"/>
      <c r="F4" s="65" t="str">
        <f>B4</f>
        <v>COAHAR</v>
      </c>
      <c r="G4" s="65" t="s">
        <v>358</v>
      </c>
      <c r="L4" s="53"/>
    </row>
    <row r="5" spans="1:15" ht="14.4">
      <c r="A5" s="65" t="s">
        <v>2</v>
      </c>
      <c r="B5" s="65" t="s">
        <v>319</v>
      </c>
      <c r="C5" s="65">
        <v>65</v>
      </c>
      <c r="D5" s="65" t="s">
        <v>361</v>
      </c>
      <c r="E5" s="65"/>
      <c r="F5" s="65" t="s">
        <v>319</v>
      </c>
      <c r="G5" s="65" t="s">
        <v>358</v>
      </c>
      <c r="L5" s="53"/>
    </row>
    <row r="6" spans="1:15" ht="14.4">
      <c r="A6" s="65" t="s">
        <v>2</v>
      </c>
      <c r="B6" s="65" t="s">
        <v>71</v>
      </c>
      <c r="C6" s="65">
        <v>78</v>
      </c>
      <c r="D6" s="65" t="s">
        <v>360</v>
      </c>
      <c r="E6" s="65"/>
      <c r="F6" s="65" t="str">
        <f>B6</f>
        <v>OILHFO</v>
      </c>
      <c r="G6" s="65" t="s">
        <v>358</v>
      </c>
      <c r="L6" s="53"/>
    </row>
    <row r="7" spans="1:15" ht="14.4">
      <c r="A7" s="65" t="s">
        <v>2</v>
      </c>
      <c r="B7" s="65" t="s">
        <v>63</v>
      </c>
      <c r="C7" s="65">
        <v>56</v>
      </c>
      <c r="D7" s="65" t="s">
        <v>359</v>
      </c>
      <c r="E7" s="65"/>
      <c r="F7" s="65" t="str">
        <f>B7</f>
        <v>GASNAT</v>
      </c>
      <c r="G7" s="65" t="s">
        <v>358</v>
      </c>
      <c r="L7" s="53"/>
    </row>
    <row r="8" spans="1:15" ht="14.4">
      <c r="A8" s="65" t="s">
        <v>2</v>
      </c>
      <c r="B8" s="65" t="s">
        <v>315</v>
      </c>
      <c r="C8" s="65">
        <v>74</v>
      </c>
      <c r="D8" s="65" t="s">
        <v>364</v>
      </c>
      <c r="E8" s="65"/>
      <c r="F8" s="65" t="str">
        <f>B8</f>
        <v>OILDST</v>
      </c>
      <c r="G8" s="65" t="s">
        <v>358</v>
      </c>
      <c r="L8" s="53"/>
    </row>
    <row r="9" spans="1:15" ht="14.4">
      <c r="A9" s="65" t="str">
        <f t="shared" ref="A9:D13" si="0">A4</f>
        <v>FLO_EMIS</v>
      </c>
      <c r="B9" s="65" t="str">
        <f t="shared" si="0"/>
        <v>COAHAR</v>
      </c>
      <c r="C9" s="65">
        <f t="shared" si="0"/>
        <v>95</v>
      </c>
      <c r="D9" s="65" t="str">
        <f t="shared" si="0"/>
        <v>AGRCOA*</v>
      </c>
      <c r="E9" s="65"/>
      <c r="F9" s="65" t="str">
        <f>F4</f>
        <v>COAHAR</v>
      </c>
      <c r="G9" s="65" t="s">
        <v>379</v>
      </c>
      <c r="L9" s="53"/>
    </row>
    <row r="10" spans="1:15" ht="14.4">
      <c r="A10" s="65" t="str">
        <f t="shared" si="0"/>
        <v>FLO_EMIS</v>
      </c>
      <c r="B10" s="65" t="str">
        <f t="shared" si="0"/>
        <v>OILLPG</v>
      </c>
      <c r="C10" s="65">
        <f t="shared" si="0"/>
        <v>65</v>
      </c>
      <c r="D10" s="65" t="str">
        <f t="shared" si="0"/>
        <v>AGRLPG*</v>
      </c>
      <c r="E10" s="65"/>
      <c r="F10" s="65" t="str">
        <f>F5</f>
        <v>OILLPG</v>
      </c>
      <c r="G10" s="65" t="s">
        <v>379</v>
      </c>
      <c r="L10" s="53"/>
    </row>
    <row r="11" spans="1:15" ht="14.4">
      <c r="A11" s="65" t="str">
        <f t="shared" si="0"/>
        <v>FLO_EMIS</v>
      </c>
      <c r="B11" s="65" t="str">
        <f t="shared" si="0"/>
        <v>OILHFO</v>
      </c>
      <c r="C11" s="65">
        <f t="shared" si="0"/>
        <v>78</v>
      </c>
      <c r="D11" s="65" t="str">
        <f t="shared" si="0"/>
        <v>AGROIL*</v>
      </c>
      <c r="E11" s="65"/>
      <c r="F11" s="65" t="str">
        <f>F6</f>
        <v>OILHFO</v>
      </c>
      <c r="G11" s="65" t="s">
        <v>379</v>
      </c>
      <c r="L11" s="53"/>
    </row>
    <row r="12" spans="1:15" ht="14.4">
      <c r="A12" s="65" t="str">
        <f t="shared" si="0"/>
        <v>FLO_EMIS</v>
      </c>
      <c r="B12" s="65" t="str">
        <f t="shared" si="0"/>
        <v>GASNAT</v>
      </c>
      <c r="C12" s="65">
        <f t="shared" si="0"/>
        <v>56</v>
      </c>
      <c r="D12" s="65" t="str">
        <f t="shared" si="0"/>
        <v>AGRGAS*</v>
      </c>
      <c r="E12" s="65"/>
      <c r="F12" s="65" t="str">
        <f>F7</f>
        <v>GASNAT</v>
      </c>
      <c r="G12" s="65" t="s">
        <v>379</v>
      </c>
      <c r="L12" s="53"/>
    </row>
    <row r="13" spans="1:15" ht="14.4">
      <c r="A13" s="65" t="str">
        <f t="shared" si="0"/>
        <v>FLO_EMIS</v>
      </c>
      <c r="B13" s="65" t="str">
        <f t="shared" si="0"/>
        <v>OILDST</v>
      </c>
      <c r="C13" s="65">
        <f t="shared" si="0"/>
        <v>74</v>
      </c>
      <c r="D13" s="65" t="str">
        <f t="shared" si="0"/>
        <v>AGRDST*</v>
      </c>
      <c r="E13" s="65"/>
      <c r="F13" s="65" t="str">
        <f>F8</f>
        <v>OILDST</v>
      </c>
      <c r="G13" s="65" t="s">
        <v>379</v>
      </c>
      <c r="L13" s="53"/>
    </row>
    <row r="14" spans="1:15" ht="14.4">
      <c r="L14" s="53"/>
    </row>
    <row r="15" spans="1:15" ht="18">
      <c r="A15" s="57" t="s">
        <v>367</v>
      </c>
      <c r="L15" s="53"/>
    </row>
    <row r="16" spans="1:15">
      <c r="A16" s="59" t="s">
        <v>1</v>
      </c>
      <c r="B16" s="64"/>
      <c r="C16" s="64"/>
      <c r="D16" s="64"/>
      <c r="E16" s="64"/>
      <c r="F16" s="64"/>
      <c r="G16" s="64"/>
    </row>
    <row r="17" spans="1:7" ht="14.4" thickBot="1">
      <c r="A17" s="61" t="s">
        <v>56</v>
      </c>
      <c r="B17" s="61" t="s">
        <v>0</v>
      </c>
      <c r="C17" s="61" t="s">
        <v>61</v>
      </c>
      <c r="D17" s="61" t="s">
        <v>58</v>
      </c>
      <c r="E17" s="61" t="s">
        <v>59</v>
      </c>
      <c r="F17" s="61" t="s">
        <v>129</v>
      </c>
      <c r="G17" s="61" t="s">
        <v>60</v>
      </c>
    </row>
    <row r="18" spans="1:7">
      <c r="A18" s="65" t="s">
        <v>2</v>
      </c>
      <c r="B18" s="65" t="s">
        <v>62</v>
      </c>
      <c r="C18" s="65">
        <v>95</v>
      </c>
      <c r="D18" s="65" t="s">
        <v>368</v>
      </c>
      <c r="E18" s="65"/>
      <c r="F18" s="65" t="str">
        <f>B18</f>
        <v>COAHAR</v>
      </c>
      <c r="G18" s="65" t="s">
        <v>369</v>
      </c>
    </row>
    <row r="19" spans="1:7">
      <c r="A19" s="65" t="s">
        <v>2</v>
      </c>
      <c r="B19" s="65" t="s">
        <v>344</v>
      </c>
      <c r="C19" s="65">
        <v>105</v>
      </c>
      <c r="D19" s="65" t="s">
        <v>368</v>
      </c>
      <c r="E19" s="65"/>
      <c r="F19" s="65" t="str">
        <f t="shared" ref="F19:F21" si="1">B19</f>
        <v>COACOK</v>
      </c>
      <c r="G19" s="65" t="s">
        <v>369</v>
      </c>
    </row>
    <row r="20" spans="1:7">
      <c r="A20" s="65" t="s">
        <v>2</v>
      </c>
      <c r="B20" s="65" t="s">
        <v>343</v>
      </c>
      <c r="C20" s="65">
        <v>110.6</v>
      </c>
      <c r="D20" s="65" t="s">
        <v>368</v>
      </c>
      <c r="E20" s="65"/>
      <c r="F20" s="65" t="str">
        <f t="shared" si="1"/>
        <v>COALIG</v>
      </c>
      <c r="G20" s="65" t="s">
        <v>369</v>
      </c>
    </row>
    <row r="21" spans="1:7">
      <c r="A21" s="65" t="s">
        <v>2</v>
      </c>
      <c r="B21" s="65" t="s">
        <v>342</v>
      </c>
      <c r="C21" s="65">
        <v>110.6</v>
      </c>
      <c r="D21" s="65" t="s">
        <v>368</v>
      </c>
      <c r="E21" s="65"/>
      <c r="F21" s="65" t="str">
        <f t="shared" si="1"/>
        <v>COABRO</v>
      </c>
      <c r="G21" s="65" t="s">
        <v>369</v>
      </c>
    </row>
    <row r="22" spans="1:7">
      <c r="A22" s="65" t="s">
        <v>2</v>
      </c>
      <c r="B22" s="65" t="s">
        <v>319</v>
      </c>
      <c r="C22" s="65">
        <v>65</v>
      </c>
      <c r="D22" s="65" t="s">
        <v>370</v>
      </c>
      <c r="E22" s="65"/>
      <c r="F22" s="65" t="s">
        <v>319</v>
      </c>
      <c r="G22" s="65" t="s">
        <v>369</v>
      </c>
    </row>
    <row r="23" spans="1:7">
      <c r="A23" s="65" t="s">
        <v>2</v>
      </c>
      <c r="B23" s="65" t="s">
        <v>71</v>
      </c>
      <c r="C23" s="65">
        <v>78</v>
      </c>
      <c r="D23" s="65" t="s">
        <v>371</v>
      </c>
      <c r="E23" s="65"/>
      <c r="F23" s="65" t="str">
        <f>B23</f>
        <v>OILHFO</v>
      </c>
      <c r="G23" s="65" t="s">
        <v>369</v>
      </c>
    </row>
    <row r="24" spans="1:7">
      <c r="A24" s="65" t="s">
        <v>2</v>
      </c>
      <c r="B24" s="65" t="s">
        <v>365</v>
      </c>
      <c r="C24" s="65">
        <v>74</v>
      </c>
      <c r="D24" s="65" t="s">
        <v>371</v>
      </c>
      <c r="E24" s="65"/>
      <c r="F24" s="65" t="str">
        <f>B24</f>
        <v>OILDST,P2LDST,SYNDST</v>
      </c>
      <c r="G24" s="65" t="s">
        <v>369</v>
      </c>
    </row>
    <row r="25" spans="1:7">
      <c r="A25" s="65" t="s">
        <v>2</v>
      </c>
      <c r="B25" s="65" t="s">
        <v>363</v>
      </c>
      <c r="C25" s="65">
        <v>56</v>
      </c>
      <c r="D25" s="65" t="s">
        <v>372</v>
      </c>
      <c r="E25" s="65"/>
      <c r="F25" s="65" t="str">
        <f>B25</f>
        <v>GASNAT,GASP2G</v>
      </c>
      <c r="G25" s="65" t="s">
        <v>369</v>
      </c>
    </row>
    <row r="26" spans="1:7">
      <c r="A26" s="65" t="str">
        <f>A18</f>
        <v>FLO_EMIS</v>
      </c>
      <c r="B26" s="65" t="str">
        <f t="shared" ref="B26:F26" si="2">B18</f>
        <v>COAHAR</v>
      </c>
      <c r="C26" s="65">
        <f t="shared" si="2"/>
        <v>95</v>
      </c>
      <c r="D26" s="65" t="str">
        <f t="shared" si="2"/>
        <v>COMCOA*</v>
      </c>
      <c r="E26" s="65"/>
      <c r="F26" s="65" t="str">
        <f t="shared" si="2"/>
        <v>COAHAR</v>
      </c>
      <c r="G26" s="65" t="s">
        <v>379</v>
      </c>
    </row>
    <row r="27" spans="1:7">
      <c r="A27" s="65" t="str">
        <f t="shared" ref="A27:F33" si="3">A19</f>
        <v>FLO_EMIS</v>
      </c>
      <c r="B27" s="65" t="str">
        <f t="shared" si="3"/>
        <v>COACOK</v>
      </c>
      <c r="C27" s="65">
        <f t="shared" si="3"/>
        <v>105</v>
      </c>
      <c r="D27" s="65" t="str">
        <f t="shared" si="3"/>
        <v>COMCOA*</v>
      </c>
      <c r="E27" s="65"/>
      <c r="F27" s="65" t="str">
        <f t="shared" si="3"/>
        <v>COACOK</v>
      </c>
      <c r="G27" s="65" t="s">
        <v>379</v>
      </c>
    </row>
    <row r="28" spans="1:7">
      <c r="A28" s="65" t="str">
        <f t="shared" si="3"/>
        <v>FLO_EMIS</v>
      </c>
      <c r="B28" s="65" t="str">
        <f t="shared" si="3"/>
        <v>COALIG</v>
      </c>
      <c r="C28" s="65">
        <f t="shared" si="3"/>
        <v>110.6</v>
      </c>
      <c r="D28" s="65" t="str">
        <f t="shared" si="3"/>
        <v>COMCOA*</v>
      </c>
      <c r="E28" s="65"/>
      <c r="F28" s="65" t="str">
        <f t="shared" si="3"/>
        <v>COALIG</v>
      </c>
      <c r="G28" s="65" t="s">
        <v>379</v>
      </c>
    </row>
    <row r="29" spans="1:7">
      <c r="A29" s="65" t="str">
        <f t="shared" si="3"/>
        <v>FLO_EMIS</v>
      </c>
      <c r="B29" s="65" t="str">
        <f t="shared" si="3"/>
        <v>COABRO</v>
      </c>
      <c r="C29" s="65">
        <f t="shared" si="3"/>
        <v>110.6</v>
      </c>
      <c r="D29" s="65" t="str">
        <f t="shared" si="3"/>
        <v>COMCOA*</v>
      </c>
      <c r="E29" s="65"/>
      <c r="F29" s="65" t="str">
        <f t="shared" si="3"/>
        <v>COABRO</v>
      </c>
      <c r="G29" s="65" t="s">
        <v>379</v>
      </c>
    </row>
    <row r="30" spans="1:7">
      <c r="A30" s="65" t="str">
        <f t="shared" si="3"/>
        <v>FLO_EMIS</v>
      </c>
      <c r="B30" s="65" t="str">
        <f t="shared" si="3"/>
        <v>OILLPG</v>
      </c>
      <c r="C30" s="65">
        <f t="shared" si="3"/>
        <v>65</v>
      </c>
      <c r="D30" s="65" t="str">
        <f t="shared" si="3"/>
        <v>COMLPG*</v>
      </c>
      <c r="E30" s="65"/>
      <c r="F30" s="65" t="str">
        <f t="shared" si="3"/>
        <v>OILLPG</v>
      </c>
      <c r="G30" s="65" t="s">
        <v>379</v>
      </c>
    </row>
    <row r="31" spans="1:7">
      <c r="A31" s="65" t="str">
        <f t="shared" si="3"/>
        <v>FLO_EMIS</v>
      </c>
      <c r="B31" s="65" t="str">
        <f t="shared" si="3"/>
        <v>OILHFO</v>
      </c>
      <c r="C31" s="65">
        <f t="shared" si="3"/>
        <v>78</v>
      </c>
      <c r="D31" s="65" t="str">
        <f t="shared" si="3"/>
        <v>COMOIL*</v>
      </c>
      <c r="E31" s="65"/>
      <c r="F31" s="65" t="str">
        <f t="shared" si="3"/>
        <v>OILHFO</v>
      </c>
      <c r="G31" s="65" t="s">
        <v>379</v>
      </c>
    </row>
    <row r="32" spans="1:7">
      <c r="A32" s="65" t="str">
        <f t="shared" si="3"/>
        <v>FLO_EMIS</v>
      </c>
      <c r="B32" s="65" t="str">
        <f t="shared" si="3"/>
        <v>OILDST,P2LDST,SYNDST</v>
      </c>
      <c r="C32" s="65">
        <f t="shared" si="3"/>
        <v>74</v>
      </c>
      <c r="D32" s="65" t="str">
        <f t="shared" si="3"/>
        <v>COMOIL*</v>
      </c>
      <c r="E32" s="65"/>
      <c r="F32" s="65" t="str">
        <f t="shared" si="3"/>
        <v>OILDST,P2LDST,SYNDST</v>
      </c>
      <c r="G32" s="65" t="s">
        <v>379</v>
      </c>
    </row>
    <row r="33" spans="1:7">
      <c r="A33" s="65" t="str">
        <f t="shared" si="3"/>
        <v>FLO_EMIS</v>
      </c>
      <c r="B33" s="65" t="str">
        <f t="shared" si="3"/>
        <v>GASNAT,GASP2G</v>
      </c>
      <c r="C33" s="65">
        <f t="shared" si="3"/>
        <v>56</v>
      </c>
      <c r="D33" s="65" t="str">
        <f t="shared" si="3"/>
        <v>COMGAS*</v>
      </c>
      <c r="E33" s="65"/>
      <c r="F33" s="65" t="str">
        <f t="shared" si="3"/>
        <v>GASNAT,GASP2G</v>
      </c>
      <c r="G33" s="65" t="s">
        <v>379</v>
      </c>
    </row>
    <row r="34" spans="1:7">
      <c r="A34" s="60"/>
      <c r="B34" s="60"/>
      <c r="C34" s="60"/>
      <c r="D34" s="60"/>
      <c r="E34" s="60"/>
      <c r="F34" s="60"/>
      <c r="G34" s="60"/>
    </row>
    <row r="35" spans="1:7" ht="18">
      <c r="A35" s="57" t="s">
        <v>373</v>
      </c>
    </row>
    <row r="36" spans="1:7">
      <c r="A36" s="59" t="s">
        <v>1</v>
      </c>
      <c r="B36" s="64"/>
      <c r="C36" s="64"/>
      <c r="D36" s="64"/>
      <c r="E36" s="64"/>
      <c r="F36" s="64"/>
      <c r="G36" s="64"/>
    </row>
    <row r="37" spans="1:7" ht="14.4" thickBot="1">
      <c r="A37" s="61" t="s">
        <v>56</v>
      </c>
      <c r="B37" s="61" t="s">
        <v>0</v>
      </c>
      <c r="C37" s="61" t="s">
        <v>61</v>
      </c>
      <c r="D37" s="61" t="s">
        <v>58</v>
      </c>
      <c r="E37" s="61" t="s">
        <v>59</v>
      </c>
      <c r="F37" s="61" t="s">
        <v>129</v>
      </c>
      <c r="G37" s="61" t="s">
        <v>60</v>
      </c>
    </row>
    <row r="38" spans="1:7">
      <c r="A38" s="65" t="s">
        <v>2</v>
      </c>
      <c r="B38" s="65" t="s">
        <v>62</v>
      </c>
      <c r="C38" s="65">
        <v>95</v>
      </c>
      <c r="D38" s="65" t="s">
        <v>374</v>
      </c>
      <c r="E38" s="65"/>
      <c r="F38" s="65" t="str">
        <f>B38</f>
        <v>COAHAR</v>
      </c>
      <c r="G38" s="65" t="s">
        <v>378</v>
      </c>
    </row>
    <row r="39" spans="1:7">
      <c r="A39" s="65" t="s">
        <v>2</v>
      </c>
      <c r="B39" s="65" t="s">
        <v>344</v>
      </c>
      <c r="C39" s="65">
        <v>105</v>
      </c>
      <c r="D39" s="65" t="s">
        <v>374</v>
      </c>
      <c r="E39" s="65"/>
      <c r="F39" s="65" t="str">
        <f t="shared" ref="F39:F41" si="4">B39</f>
        <v>COACOK</v>
      </c>
      <c r="G39" s="65" t="s">
        <v>378</v>
      </c>
    </row>
    <row r="40" spans="1:7">
      <c r="A40" s="65" t="s">
        <v>2</v>
      </c>
      <c r="B40" s="65" t="s">
        <v>343</v>
      </c>
      <c r="C40" s="65">
        <v>110.6</v>
      </c>
      <c r="D40" s="65" t="s">
        <v>374</v>
      </c>
      <c r="E40" s="65"/>
      <c r="F40" s="65" t="str">
        <f t="shared" si="4"/>
        <v>COALIG</v>
      </c>
      <c r="G40" s="65" t="s">
        <v>378</v>
      </c>
    </row>
    <row r="41" spans="1:7">
      <c r="A41" s="65" t="s">
        <v>2</v>
      </c>
      <c r="B41" s="65" t="s">
        <v>342</v>
      </c>
      <c r="C41" s="65">
        <v>110.6</v>
      </c>
      <c r="D41" s="65" t="s">
        <v>374</v>
      </c>
      <c r="E41" s="65"/>
      <c r="F41" s="65" t="str">
        <f t="shared" si="4"/>
        <v>COABRO</v>
      </c>
      <c r="G41" s="65" t="s">
        <v>378</v>
      </c>
    </row>
    <row r="42" spans="1:7">
      <c r="A42" s="65" t="s">
        <v>2</v>
      </c>
      <c r="B42" s="65" t="s">
        <v>319</v>
      </c>
      <c r="C42" s="65">
        <v>65</v>
      </c>
      <c r="D42" s="65" t="s">
        <v>375</v>
      </c>
      <c r="E42" s="65"/>
      <c r="F42" s="65" t="s">
        <v>319</v>
      </c>
      <c r="G42" s="65" t="s">
        <v>378</v>
      </c>
    </row>
    <row r="43" spans="1:7">
      <c r="A43" s="65" t="s">
        <v>2</v>
      </c>
      <c r="B43" s="65" t="s">
        <v>71</v>
      </c>
      <c r="C43" s="65">
        <v>78</v>
      </c>
      <c r="D43" s="65" t="s">
        <v>376</v>
      </c>
      <c r="E43" s="65"/>
      <c r="F43" s="65" t="str">
        <f>B43</f>
        <v>OILHFO</v>
      </c>
      <c r="G43" s="65" t="s">
        <v>378</v>
      </c>
    </row>
    <row r="44" spans="1:7">
      <c r="A44" s="65" t="s">
        <v>2</v>
      </c>
      <c r="B44" s="65" t="s">
        <v>365</v>
      </c>
      <c r="C44" s="65">
        <v>74</v>
      </c>
      <c r="D44" s="65" t="s">
        <v>376</v>
      </c>
      <c r="E44" s="65"/>
      <c r="F44" s="65" t="str">
        <f>B44</f>
        <v>OILDST,P2LDST,SYNDST</v>
      </c>
      <c r="G44" s="65" t="s">
        <v>378</v>
      </c>
    </row>
    <row r="45" spans="1:7">
      <c r="A45" s="65" t="s">
        <v>2</v>
      </c>
      <c r="B45" s="65" t="s">
        <v>363</v>
      </c>
      <c r="C45" s="65">
        <v>56</v>
      </c>
      <c r="D45" s="65" t="s">
        <v>377</v>
      </c>
      <c r="E45" s="65"/>
      <c r="F45" s="65" t="str">
        <f>B45</f>
        <v>GASNAT,GASP2G</v>
      </c>
      <c r="G45" s="65" t="s">
        <v>378</v>
      </c>
    </row>
    <row r="46" spans="1:7">
      <c r="A46" s="65" t="str">
        <f>A38</f>
        <v>FLO_EMIS</v>
      </c>
      <c r="B46" s="65" t="str">
        <f t="shared" ref="B46:F46" si="5">B38</f>
        <v>COAHAR</v>
      </c>
      <c r="C46" s="65">
        <f t="shared" si="5"/>
        <v>95</v>
      </c>
      <c r="D46" s="65" t="str">
        <f t="shared" si="5"/>
        <v>RSDCOA*</v>
      </c>
      <c r="E46" s="65"/>
      <c r="F46" s="65" t="str">
        <f t="shared" si="5"/>
        <v>COAHAR</v>
      </c>
      <c r="G46" s="65" t="s">
        <v>379</v>
      </c>
    </row>
    <row r="47" spans="1:7">
      <c r="A47" s="65" t="str">
        <f t="shared" ref="A47:F53" si="6">A39</f>
        <v>FLO_EMIS</v>
      </c>
      <c r="B47" s="65" t="str">
        <f t="shared" si="6"/>
        <v>COACOK</v>
      </c>
      <c r="C47" s="65">
        <f t="shared" si="6"/>
        <v>105</v>
      </c>
      <c r="D47" s="65" t="str">
        <f t="shared" si="6"/>
        <v>RSDCOA*</v>
      </c>
      <c r="E47" s="65"/>
      <c r="F47" s="65" t="str">
        <f t="shared" si="6"/>
        <v>COACOK</v>
      </c>
      <c r="G47" s="65" t="s">
        <v>379</v>
      </c>
    </row>
    <row r="48" spans="1:7">
      <c r="A48" s="65" t="str">
        <f t="shared" si="6"/>
        <v>FLO_EMIS</v>
      </c>
      <c r="B48" s="65" t="str">
        <f t="shared" si="6"/>
        <v>COALIG</v>
      </c>
      <c r="C48" s="65">
        <f t="shared" si="6"/>
        <v>110.6</v>
      </c>
      <c r="D48" s="65" t="str">
        <f t="shared" si="6"/>
        <v>RSDCOA*</v>
      </c>
      <c r="E48" s="65"/>
      <c r="F48" s="65" t="str">
        <f t="shared" si="6"/>
        <v>COALIG</v>
      </c>
      <c r="G48" s="65" t="s">
        <v>379</v>
      </c>
    </row>
    <row r="49" spans="1:7">
      <c r="A49" s="65" t="str">
        <f t="shared" si="6"/>
        <v>FLO_EMIS</v>
      </c>
      <c r="B49" s="65" t="str">
        <f t="shared" si="6"/>
        <v>COABRO</v>
      </c>
      <c r="C49" s="65">
        <f t="shared" si="6"/>
        <v>110.6</v>
      </c>
      <c r="D49" s="65" t="str">
        <f t="shared" si="6"/>
        <v>RSDCOA*</v>
      </c>
      <c r="E49" s="65"/>
      <c r="F49" s="65" t="str">
        <f t="shared" si="6"/>
        <v>COABRO</v>
      </c>
      <c r="G49" s="65" t="s">
        <v>379</v>
      </c>
    </row>
    <row r="50" spans="1:7">
      <c r="A50" s="65" t="str">
        <f t="shared" si="6"/>
        <v>FLO_EMIS</v>
      </c>
      <c r="B50" s="65" t="str">
        <f t="shared" si="6"/>
        <v>OILLPG</v>
      </c>
      <c r="C50" s="65">
        <f t="shared" si="6"/>
        <v>65</v>
      </c>
      <c r="D50" s="65" t="str">
        <f t="shared" si="6"/>
        <v>RSDLPG*</v>
      </c>
      <c r="E50" s="65"/>
      <c r="F50" s="65" t="str">
        <f t="shared" si="6"/>
        <v>OILLPG</v>
      </c>
      <c r="G50" s="65" t="s">
        <v>379</v>
      </c>
    </row>
    <row r="51" spans="1:7">
      <c r="A51" s="65" t="str">
        <f t="shared" si="6"/>
        <v>FLO_EMIS</v>
      </c>
      <c r="B51" s="65" t="str">
        <f t="shared" si="6"/>
        <v>OILHFO</v>
      </c>
      <c r="C51" s="65">
        <f t="shared" si="6"/>
        <v>78</v>
      </c>
      <c r="D51" s="65" t="str">
        <f t="shared" si="6"/>
        <v>RSDOIL*</v>
      </c>
      <c r="E51" s="65"/>
      <c r="F51" s="65" t="str">
        <f t="shared" si="6"/>
        <v>OILHFO</v>
      </c>
      <c r="G51" s="65" t="s">
        <v>379</v>
      </c>
    </row>
    <row r="52" spans="1:7">
      <c r="A52" s="65" t="str">
        <f t="shared" si="6"/>
        <v>FLO_EMIS</v>
      </c>
      <c r="B52" s="65" t="str">
        <f t="shared" si="6"/>
        <v>OILDST,P2LDST,SYNDST</v>
      </c>
      <c r="C52" s="65">
        <f t="shared" si="6"/>
        <v>74</v>
      </c>
      <c r="D52" s="65" t="str">
        <f t="shared" si="6"/>
        <v>RSDOIL*</v>
      </c>
      <c r="E52" s="65"/>
      <c r="F52" s="65" t="str">
        <f t="shared" si="6"/>
        <v>OILDST,P2LDST,SYNDST</v>
      </c>
      <c r="G52" s="65" t="s">
        <v>379</v>
      </c>
    </row>
    <row r="53" spans="1:7">
      <c r="A53" s="65" t="str">
        <f t="shared" si="6"/>
        <v>FLO_EMIS</v>
      </c>
      <c r="B53" s="65" t="str">
        <f t="shared" si="6"/>
        <v>GASNAT,GASP2G</v>
      </c>
      <c r="C53" s="65">
        <f t="shared" si="6"/>
        <v>56</v>
      </c>
      <c r="D53" s="65" t="str">
        <f t="shared" si="6"/>
        <v>RSDGAS*</v>
      </c>
      <c r="E53" s="65"/>
      <c r="F53" s="65" t="str">
        <f t="shared" si="6"/>
        <v>GASNAT,GASP2G</v>
      </c>
      <c r="G53" s="65" t="s">
        <v>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H164"/>
  <sheetViews>
    <sheetView zoomScale="80" zoomScaleNormal="80" workbookViewId="0">
      <pane xSplit="5" ySplit="4" topLeftCell="AF37" activePane="bottomRight" state="frozen"/>
      <selection pane="topRight" activeCell="F1" sqref="F1"/>
      <selection pane="bottomLeft" activeCell="A5" sqref="A5"/>
      <selection pane="bottomRight" activeCell="F28" sqref="F28"/>
    </sheetView>
  </sheetViews>
  <sheetFormatPr defaultColWidth="9.109375" defaultRowHeight="14.4"/>
  <cols>
    <col min="1" max="1" width="9.6640625" style="9" bestFit="1" customWidth="1"/>
    <col min="2" max="2" width="22.6640625" style="9" bestFit="1" customWidth="1"/>
    <col min="3" max="3" width="9.109375" style="9"/>
    <col min="4" max="4" width="15.44140625" style="9" bestFit="1" customWidth="1"/>
    <col min="5" max="5" width="14.33203125" style="9" bestFit="1" customWidth="1"/>
    <col min="6" max="6" width="14.33203125" style="9" customWidth="1"/>
    <col min="7" max="43" width="9.109375" style="9" customWidth="1"/>
    <col min="44" max="44" width="9.109375" style="9"/>
    <col min="45" max="45" width="11.109375" style="9" bestFit="1" customWidth="1"/>
    <col min="46" max="49" width="9.109375" style="9"/>
    <col min="50" max="58" width="0" style="9" hidden="1" customWidth="1"/>
    <col min="59" max="16384" width="9.109375" style="9"/>
  </cols>
  <sheetData>
    <row r="2" spans="1:58">
      <c r="B2" s="11" t="s">
        <v>145</v>
      </c>
    </row>
    <row r="3" spans="1:58">
      <c r="A3" s="9" t="s">
        <v>1</v>
      </c>
    </row>
    <row r="4" spans="1:58" ht="15" thickBot="1">
      <c r="A4" s="14" t="s">
        <v>54</v>
      </c>
      <c r="B4" s="14" t="s">
        <v>55</v>
      </c>
      <c r="C4" s="14" t="s">
        <v>56</v>
      </c>
      <c r="D4" s="14" t="s">
        <v>57</v>
      </c>
      <c r="E4" s="14" t="s">
        <v>0</v>
      </c>
      <c r="F4" s="6" t="s">
        <v>61</v>
      </c>
      <c r="G4" s="15" t="str">
        <f>'ETS Emissions'!C87</f>
        <v>AT</v>
      </c>
      <c r="H4" s="15" t="str">
        <f>'ETS Emissions'!D87</f>
        <v>BE</v>
      </c>
      <c r="I4" s="15" t="str">
        <f>'ETS Emissions'!E87</f>
        <v>BG</v>
      </c>
      <c r="J4" s="15" t="str">
        <f>'ETS Emissions'!F87</f>
        <v>CH</v>
      </c>
      <c r="K4" s="15" t="str">
        <f>'ETS Emissions'!G87</f>
        <v>CY</v>
      </c>
      <c r="L4" s="15" t="str">
        <f>'ETS Emissions'!H87</f>
        <v>CZ</v>
      </c>
      <c r="M4" s="15" t="str">
        <f>'ETS Emissions'!I87</f>
        <v>DE</v>
      </c>
      <c r="N4" s="15" t="str">
        <f>'ETS Emissions'!J87</f>
        <v>DK</v>
      </c>
      <c r="O4" s="15" t="str">
        <f>'ETS Emissions'!K87</f>
        <v>EE</v>
      </c>
      <c r="P4" s="15" t="str">
        <f>'ETS Emissions'!L87</f>
        <v>ES</v>
      </c>
      <c r="Q4" s="15" t="str">
        <f>'ETS Emissions'!M87</f>
        <v>FI</v>
      </c>
      <c r="R4" s="15" t="str">
        <f>'ETS Emissions'!N87</f>
        <v>FR</v>
      </c>
      <c r="S4" s="15" t="s">
        <v>312</v>
      </c>
      <c r="T4" s="15" t="str">
        <f>'ETS Emissions'!P87</f>
        <v>HU</v>
      </c>
      <c r="U4" s="15" t="str">
        <f>'ETS Emissions'!Q87</f>
        <v>IE</v>
      </c>
      <c r="V4" s="15" t="str">
        <f>'ETS Emissions'!R87</f>
        <v>IS</v>
      </c>
      <c r="W4" s="15" t="str">
        <f>'ETS Emissions'!S87</f>
        <v>IT</v>
      </c>
      <c r="X4" s="15" t="str">
        <f>'ETS Emissions'!T87</f>
        <v>LT</v>
      </c>
      <c r="Y4" s="15" t="str">
        <f>'ETS Emissions'!U87</f>
        <v>LU</v>
      </c>
      <c r="Z4" s="15" t="str">
        <f>'ETS Emissions'!V87</f>
        <v>LV</v>
      </c>
      <c r="AA4" s="15" t="str">
        <f>'ETS Emissions'!W87</f>
        <v>MT</v>
      </c>
      <c r="AB4" s="15" t="str">
        <f>'ETS Emissions'!X87</f>
        <v>NL</v>
      </c>
      <c r="AC4" s="15" t="str">
        <f>'ETS Emissions'!Y87</f>
        <v>NO</v>
      </c>
      <c r="AD4" s="15" t="str">
        <f>'ETS Emissions'!Z87</f>
        <v>PL</v>
      </c>
      <c r="AE4" s="15" t="str">
        <f>'ETS Emissions'!AA87</f>
        <v>PT</v>
      </c>
      <c r="AF4" s="15" t="str">
        <f>'ETS Emissions'!AB87</f>
        <v>RO</v>
      </c>
      <c r="AG4" s="15" t="str">
        <f>'ETS Emissions'!AC87</f>
        <v>SE</v>
      </c>
      <c r="AH4" s="15" t="str">
        <f>'ETS Emissions'!AD87</f>
        <v>SI</v>
      </c>
      <c r="AI4" s="15" t="str">
        <f>'ETS Emissions'!AE87</f>
        <v>SK</v>
      </c>
      <c r="AJ4" s="15" t="str">
        <f>'ETS Emissions'!AF87</f>
        <v>UK</v>
      </c>
      <c r="AK4" s="18" t="s">
        <v>152</v>
      </c>
      <c r="AL4" s="18" t="s">
        <v>153</v>
      </c>
      <c r="AM4" s="18" t="s">
        <v>154</v>
      </c>
      <c r="AN4" s="18" t="s">
        <v>155</v>
      </c>
      <c r="AO4" s="18" t="s">
        <v>156</v>
      </c>
      <c r="AP4" s="18" t="s">
        <v>157</v>
      </c>
      <c r="AQ4" s="18" t="s">
        <v>158</v>
      </c>
      <c r="AR4" s="14" t="s">
        <v>131</v>
      </c>
      <c r="AS4" s="14" t="s">
        <v>58</v>
      </c>
      <c r="AT4" s="14" t="s">
        <v>59</v>
      </c>
      <c r="AU4" s="14" t="s">
        <v>130</v>
      </c>
      <c r="AV4" s="14" t="s">
        <v>129</v>
      </c>
      <c r="AW4" s="14" t="s">
        <v>60</v>
      </c>
      <c r="AX4" s="14" t="s">
        <v>144</v>
      </c>
      <c r="AY4" s="14" t="s">
        <v>143</v>
      </c>
      <c r="AZ4" s="14" t="s">
        <v>142</v>
      </c>
      <c r="BA4" s="14" t="s">
        <v>141</v>
      </c>
      <c r="BB4" s="14" t="s">
        <v>140</v>
      </c>
      <c r="BC4" s="14" t="s">
        <v>139</v>
      </c>
      <c r="BD4" s="14" t="s">
        <v>138</v>
      </c>
      <c r="BE4" s="14" t="s">
        <v>137</v>
      </c>
      <c r="BF4" s="14" t="s">
        <v>136</v>
      </c>
    </row>
    <row r="5" spans="1:58">
      <c r="C5" s="9" t="s">
        <v>2</v>
      </c>
      <c r="E5" s="9" t="str">
        <f>'ETS Emissions'!B88</f>
        <v>ELCBGS</v>
      </c>
      <c r="F5" s="21">
        <f>AVERAGE(AD5,AH5,AI5)</f>
        <v>0</v>
      </c>
      <c r="G5" s="13">
        <f>'ETS Emissions'!C88</f>
        <v>0</v>
      </c>
      <c r="H5" s="13">
        <f>'ETS Emissions'!D88</f>
        <v>0</v>
      </c>
      <c r="I5" s="13">
        <f>'ETS Emissions'!E88</f>
        <v>0</v>
      </c>
      <c r="J5" s="13">
        <f>'ETS Emissions'!F88</f>
        <v>0</v>
      </c>
      <c r="K5" s="13">
        <f>'ETS Emissions'!G88</f>
        <v>0</v>
      </c>
      <c r="L5" s="13">
        <f>'ETS Emissions'!H88</f>
        <v>0</v>
      </c>
      <c r="M5" s="13">
        <f>'ETS Emissions'!I88</f>
        <v>0</v>
      </c>
      <c r="N5" s="13">
        <f>'ETS Emissions'!J88</f>
        <v>0</v>
      </c>
      <c r="O5" s="13">
        <f>'ETS Emissions'!K88</f>
        <v>0</v>
      </c>
      <c r="P5" s="13">
        <f>'ETS Emissions'!L88</f>
        <v>0</v>
      </c>
      <c r="Q5" s="13">
        <f>'ETS Emissions'!M88</f>
        <v>0</v>
      </c>
      <c r="R5" s="13">
        <f>'ETS Emissions'!N88</f>
        <v>0</v>
      </c>
      <c r="S5" s="13">
        <f>'ETS Emissions'!O88</f>
        <v>0</v>
      </c>
      <c r="T5" s="13">
        <f>'ETS Emissions'!P88</f>
        <v>0</v>
      </c>
      <c r="U5" s="13">
        <f>'ETS Emissions'!Q88</f>
        <v>0</v>
      </c>
      <c r="V5" s="13">
        <f>'ETS Emissions'!R88</f>
        <v>0</v>
      </c>
      <c r="W5" s="13">
        <f>'ETS Emissions'!S88</f>
        <v>0</v>
      </c>
      <c r="X5" s="13">
        <f>'ETS Emissions'!T88</f>
        <v>0</v>
      </c>
      <c r="Y5" s="13">
        <f>'ETS Emissions'!U88</f>
        <v>0</v>
      </c>
      <c r="Z5" s="13">
        <f>'ETS Emissions'!V88</f>
        <v>0</v>
      </c>
      <c r="AA5" s="13">
        <f>'ETS Emissions'!W88</f>
        <v>0</v>
      </c>
      <c r="AB5" s="13">
        <f>'ETS Emissions'!X88</f>
        <v>0</v>
      </c>
      <c r="AC5" s="13">
        <f>'ETS Emissions'!Y88</f>
        <v>0</v>
      </c>
      <c r="AD5" s="13">
        <f>'ETS Emissions'!Z88</f>
        <v>0</v>
      </c>
      <c r="AE5" s="13">
        <f>'ETS Emissions'!AA88</f>
        <v>0</v>
      </c>
      <c r="AF5" s="13">
        <f>'ETS Emissions'!AB88</f>
        <v>0</v>
      </c>
      <c r="AG5" s="13">
        <f>'ETS Emissions'!AC88</f>
        <v>0</v>
      </c>
      <c r="AH5" s="13">
        <f>'ETS Emissions'!AD88</f>
        <v>0</v>
      </c>
      <c r="AI5" s="13">
        <f>'ETS Emissions'!AE88</f>
        <v>0</v>
      </c>
      <c r="AJ5" s="13">
        <f>'ETS Emissions'!AF88</f>
        <v>0</v>
      </c>
      <c r="AK5" s="13">
        <f>'ETS Emissions'!AG88</f>
        <v>0</v>
      </c>
      <c r="AL5" s="13">
        <f>'ETS Emissions'!AH88</f>
        <v>0</v>
      </c>
      <c r="AM5" s="13">
        <f>'ETS Emissions'!AI88</f>
        <v>0</v>
      </c>
      <c r="AN5" s="13">
        <f>'ETS Emissions'!AJ88</f>
        <v>0</v>
      </c>
      <c r="AO5" s="13">
        <f>'ETS Emissions'!AK88</f>
        <v>0</v>
      </c>
      <c r="AP5" s="13">
        <f>'ETS Emissions'!AL88</f>
        <v>0</v>
      </c>
      <c r="AQ5" s="13">
        <f>'ETS Emissions'!AM88</f>
        <v>0</v>
      </c>
      <c r="AV5" s="9" t="str">
        <f t="shared" ref="AV5:AV18" si="0">E5</f>
        <v>ELCBGS</v>
      </c>
      <c r="AW5" s="9" t="s">
        <v>133</v>
      </c>
    </row>
    <row r="6" spans="1:58">
      <c r="C6" s="9" t="s">
        <v>2</v>
      </c>
      <c r="E6" s="9" t="str">
        <f>'ETS Emissions'!B89</f>
        <v>ELCCOH</v>
      </c>
      <c r="F6" s="21">
        <f>AVERAGE(AD6,AH6,AI6)</f>
        <v>96.100000000000009</v>
      </c>
      <c r="G6" s="13">
        <f>'ETS Emissions'!C89</f>
        <v>95</v>
      </c>
      <c r="H6" s="13">
        <f>'ETS Emissions'!D89</f>
        <v>98.3</v>
      </c>
      <c r="I6" s="13">
        <f>'ETS Emissions'!E89</f>
        <v>98.3</v>
      </c>
      <c r="J6" s="13">
        <f>'ETS Emissions'!F89</f>
        <v>98.3</v>
      </c>
      <c r="K6" s="13">
        <f>'ETS Emissions'!G89</f>
        <v>98.3</v>
      </c>
      <c r="L6" s="13">
        <f>'ETS Emissions'!H89</f>
        <v>95</v>
      </c>
      <c r="M6" s="13">
        <f>'ETS Emissions'!I89</f>
        <v>98.3</v>
      </c>
      <c r="N6" s="13">
        <f>'ETS Emissions'!J89</f>
        <v>98.3</v>
      </c>
      <c r="O6" s="13">
        <f>'ETS Emissions'!K89</f>
        <v>98.3</v>
      </c>
      <c r="P6" s="13">
        <f>'ETS Emissions'!L89</f>
        <v>98.3</v>
      </c>
      <c r="Q6" s="13">
        <f>'ETS Emissions'!M89</f>
        <v>98.3</v>
      </c>
      <c r="R6" s="13">
        <f>'ETS Emissions'!N89</f>
        <v>98.3</v>
      </c>
      <c r="S6" s="13">
        <f>'ETS Emissions'!O89</f>
        <v>98.3</v>
      </c>
      <c r="T6" s="13">
        <f>'ETS Emissions'!P89</f>
        <v>95</v>
      </c>
      <c r="U6" s="13">
        <f>'ETS Emissions'!Q89</f>
        <v>98.3</v>
      </c>
      <c r="V6" s="13">
        <f>'ETS Emissions'!R89</f>
        <v>98.3</v>
      </c>
      <c r="W6" s="13">
        <f>'ETS Emissions'!S89</f>
        <v>98.3</v>
      </c>
      <c r="X6" s="13">
        <f>'ETS Emissions'!T89</f>
        <v>98.3</v>
      </c>
      <c r="Y6" s="13">
        <f>'ETS Emissions'!U89</f>
        <v>98.3</v>
      </c>
      <c r="Z6" s="13">
        <f>'ETS Emissions'!V89</f>
        <v>98.3</v>
      </c>
      <c r="AA6" s="13">
        <f>'ETS Emissions'!W89</f>
        <v>98.3</v>
      </c>
      <c r="AB6" s="13">
        <f>'ETS Emissions'!X89</f>
        <v>98.3</v>
      </c>
      <c r="AC6" s="13">
        <f>'ETS Emissions'!Y89</f>
        <v>98.3</v>
      </c>
      <c r="AD6" s="13">
        <f>'ETS Emissions'!Z89</f>
        <v>95</v>
      </c>
      <c r="AE6" s="13">
        <f>'ETS Emissions'!AA89</f>
        <v>98.3</v>
      </c>
      <c r="AF6" s="13">
        <f>'ETS Emissions'!AB89</f>
        <v>98.3</v>
      </c>
      <c r="AG6" s="13">
        <f>'ETS Emissions'!AC89</f>
        <v>98.3</v>
      </c>
      <c r="AH6" s="13">
        <f>'ETS Emissions'!AD89</f>
        <v>98.3</v>
      </c>
      <c r="AI6" s="13">
        <f>'ETS Emissions'!AE89</f>
        <v>95</v>
      </c>
      <c r="AJ6" s="13">
        <f>'ETS Emissions'!AF89</f>
        <v>98.3</v>
      </c>
      <c r="AK6" s="13">
        <f>'ETS Emissions'!AG89</f>
        <v>98.3</v>
      </c>
      <c r="AL6" s="13">
        <f>'ETS Emissions'!AH89</f>
        <v>98.3</v>
      </c>
      <c r="AM6" s="13">
        <f>'ETS Emissions'!AI89</f>
        <v>98.3</v>
      </c>
      <c r="AN6" s="13">
        <f>'ETS Emissions'!AJ89</f>
        <v>98.3</v>
      </c>
      <c r="AO6" s="13">
        <f>'ETS Emissions'!AK89</f>
        <v>98.3</v>
      </c>
      <c r="AP6" s="13">
        <f>'ETS Emissions'!AL89</f>
        <v>98.3</v>
      </c>
      <c r="AQ6" s="13">
        <f>'ETS Emissions'!AM89</f>
        <v>98.3</v>
      </c>
      <c r="AV6" s="9" t="str">
        <f t="shared" si="0"/>
        <v>ELCCOH</v>
      </c>
      <c r="AW6" s="9" t="s">
        <v>133</v>
      </c>
    </row>
    <row r="7" spans="1:58">
      <c r="C7" s="9" t="s">
        <v>2</v>
      </c>
      <c r="E7" s="9" t="str">
        <f>'ETS Emissions'!B90</f>
        <v>ELCCOL</v>
      </c>
      <c r="F7" s="21">
        <f t="shared" ref="F7:F18" si="1">AVERAGE(AD7,AH7,AI7)</f>
        <v>107.46666666666665</v>
      </c>
      <c r="G7" s="13">
        <f>'ETS Emissions'!C90</f>
        <v>110.6</v>
      </c>
      <c r="H7" s="13">
        <f>'ETS Emissions'!D90</f>
        <v>101.2</v>
      </c>
      <c r="I7" s="13">
        <f>'ETS Emissions'!E90</f>
        <v>101.2</v>
      </c>
      <c r="J7" s="13">
        <f>'ETS Emissions'!F90</f>
        <v>101.2</v>
      </c>
      <c r="K7" s="13">
        <f>'ETS Emissions'!G90</f>
        <v>101.2</v>
      </c>
      <c r="L7" s="13">
        <f>'ETS Emissions'!H90</f>
        <v>110.6</v>
      </c>
      <c r="M7" s="13">
        <f>'ETS Emissions'!I90</f>
        <v>101.2</v>
      </c>
      <c r="N7" s="13">
        <f>'ETS Emissions'!J90</f>
        <v>101.2</v>
      </c>
      <c r="O7" s="13">
        <f>'ETS Emissions'!K90</f>
        <v>101.2</v>
      </c>
      <c r="P7" s="13">
        <f>'ETS Emissions'!L90</f>
        <v>101.2</v>
      </c>
      <c r="Q7" s="13">
        <f>'ETS Emissions'!M90</f>
        <v>101.2</v>
      </c>
      <c r="R7" s="13">
        <f>'ETS Emissions'!N90</f>
        <v>101.2</v>
      </c>
      <c r="S7" s="13">
        <f>'ETS Emissions'!O90</f>
        <v>101.2</v>
      </c>
      <c r="T7" s="13">
        <f>'ETS Emissions'!P90</f>
        <v>110.6</v>
      </c>
      <c r="U7" s="13">
        <f>'ETS Emissions'!Q90</f>
        <v>101.2</v>
      </c>
      <c r="V7" s="13">
        <f>'ETS Emissions'!R90</f>
        <v>101.2</v>
      </c>
      <c r="W7" s="13">
        <f>'ETS Emissions'!S90</f>
        <v>101.2</v>
      </c>
      <c r="X7" s="13">
        <f>'ETS Emissions'!T90</f>
        <v>101.2</v>
      </c>
      <c r="Y7" s="13">
        <f>'ETS Emissions'!U90</f>
        <v>101.2</v>
      </c>
      <c r="Z7" s="13">
        <f>'ETS Emissions'!V90</f>
        <v>101.2</v>
      </c>
      <c r="AA7" s="13">
        <f>'ETS Emissions'!W90</f>
        <v>101.2</v>
      </c>
      <c r="AB7" s="13">
        <f>'ETS Emissions'!X90</f>
        <v>101.2</v>
      </c>
      <c r="AC7" s="13">
        <f>'ETS Emissions'!Y90</f>
        <v>101.2</v>
      </c>
      <c r="AD7" s="13">
        <f>'ETS Emissions'!Z90</f>
        <v>110.6</v>
      </c>
      <c r="AE7" s="13">
        <f>'ETS Emissions'!AA90</f>
        <v>101.2</v>
      </c>
      <c r="AF7" s="13">
        <f>'ETS Emissions'!AB90</f>
        <v>101.2</v>
      </c>
      <c r="AG7" s="13">
        <f>'ETS Emissions'!AC90</f>
        <v>101.2</v>
      </c>
      <c r="AH7" s="13">
        <f>'ETS Emissions'!AD90</f>
        <v>101.2</v>
      </c>
      <c r="AI7" s="13">
        <f>'ETS Emissions'!AE90</f>
        <v>110.6</v>
      </c>
      <c r="AJ7" s="13">
        <f>'ETS Emissions'!AF90</f>
        <v>101.2</v>
      </c>
      <c r="AK7" s="13">
        <f>'ETS Emissions'!AG90</f>
        <v>101.2</v>
      </c>
      <c r="AL7" s="13">
        <f>'ETS Emissions'!AH90</f>
        <v>101.2</v>
      </c>
      <c r="AM7" s="13">
        <f>'ETS Emissions'!AI90</f>
        <v>101.2</v>
      </c>
      <c r="AN7" s="13">
        <f>'ETS Emissions'!AJ90</f>
        <v>101.2</v>
      </c>
      <c r="AO7" s="13">
        <f>'ETS Emissions'!AK90</f>
        <v>101.2</v>
      </c>
      <c r="AP7" s="13">
        <f>'ETS Emissions'!AL90</f>
        <v>101.2</v>
      </c>
      <c r="AQ7" s="13">
        <f>'ETS Emissions'!AM90</f>
        <v>101.2</v>
      </c>
      <c r="AV7" s="9" t="str">
        <f t="shared" si="0"/>
        <v>ELCCOL</v>
      </c>
      <c r="AW7" s="9" t="s">
        <v>133</v>
      </c>
    </row>
    <row r="8" spans="1:58">
      <c r="C8" s="9" t="s">
        <v>2</v>
      </c>
      <c r="E8" s="9" t="s">
        <v>168</v>
      </c>
      <c r="F8" s="21">
        <f>'Final Coeffs_ELC'!J46</f>
        <v>39.6</v>
      </c>
      <c r="G8" s="13">
        <f>F8</f>
        <v>39.6</v>
      </c>
      <c r="H8" s="13">
        <f t="shared" ref="H8:AQ8" si="2">G8</f>
        <v>39.6</v>
      </c>
      <c r="I8" s="13">
        <f t="shared" si="2"/>
        <v>39.6</v>
      </c>
      <c r="J8" s="13">
        <f t="shared" si="2"/>
        <v>39.6</v>
      </c>
      <c r="K8" s="13">
        <f t="shared" si="2"/>
        <v>39.6</v>
      </c>
      <c r="L8" s="13">
        <f t="shared" si="2"/>
        <v>39.6</v>
      </c>
      <c r="M8" s="13">
        <f t="shared" si="2"/>
        <v>39.6</v>
      </c>
      <c r="N8" s="13">
        <f t="shared" si="2"/>
        <v>39.6</v>
      </c>
      <c r="O8" s="13">
        <f t="shared" si="2"/>
        <v>39.6</v>
      </c>
      <c r="P8" s="13">
        <f t="shared" si="2"/>
        <v>39.6</v>
      </c>
      <c r="Q8" s="13">
        <f t="shared" si="2"/>
        <v>39.6</v>
      </c>
      <c r="R8" s="13">
        <f t="shared" si="2"/>
        <v>39.6</v>
      </c>
      <c r="S8" s="13">
        <f t="shared" si="2"/>
        <v>39.6</v>
      </c>
      <c r="T8" s="13">
        <f t="shared" si="2"/>
        <v>39.6</v>
      </c>
      <c r="U8" s="13">
        <f t="shared" si="2"/>
        <v>39.6</v>
      </c>
      <c r="V8" s="13">
        <f t="shared" si="2"/>
        <v>39.6</v>
      </c>
      <c r="W8" s="13">
        <f t="shared" si="2"/>
        <v>39.6</v>
      </c>
      <c r="X8" s="13">
        <f t="shared" si="2"/>
        <v>39.6</v>
      </c>
      <c r="Y8" s="13">
        <f t="shared" si="2"/>
        <v>39.6</v>
      </c>
      <c r="Z8" s="13">
        <f t="shared" si="2"/>
        <v>39.6</v>
      </c>
      <c r="AA8" s="13">
        <f t="shared" si="2"/>
        <v>39.6</v>
      </c>
      <c r="AB8" s="13">
        <f t="shared" si="2"/>
        <v>39.6</v>
      </c>
      <c r="AC8" s="13">
        <f t="shared" si="2"/>
        <v>39.6</v>
      </c>
      <c r="AD8" s="13">
        <f t="shared" si="2"/>
        <v>39.6</v>
      </c>
      <c r="AE8" s="13">
        <f t="shared" si="2"/>
        <v>39.6</v>
      </c>
      <c r="AF8" s="13">
        <f t="shared" si="2"/>
        <v>39.6</v>
      </c>
      <c r="AG8" s="13">
        <f t="shared" si="2"/>
        <v>39.6</v>
      </c>
      <c r="AH8" s="13">
        <f t="shared" si="2"/>
        <v>39.6</v>
      </c>
      <c r="AI8" s="13">
        <f t="shared" si="2"/>
        <v>39.6</v>
      </c>
      <c r="AJ8" s="13">
        <f t="shared" si="2"/>
        <v>39.6</v>
      </c>
      <c r="AK8" s="13">
        <f t="shared" si="2"/>
        <v>39.6</v>
      </c>
      <c r="AL8" s="13">
        <f t="shared" si="2"/>
        <v>39.6</v>
      </c>
      <c r="AM8" s="13">
        <f t="shared" si="2"/>
        <v>39.6</v>
      </c>
      <c r="AN8" s="13">
        <f t="shared" si="2"/>
        <v>39.6</v>
      </c>
      <c r="AO8" s="13">
        <f t="shared" si="2"/>
        <v>39.6</v>
      </c>
      <c r="AP8" s="13">
        <f t="shared" si="2"/>
        <v>39.6</v>
      </c>
      <c r="AQ8" s="13">
        <f t="shared" si="2"/>
        <v>39.6</v>
      </c>
      <c r="AV8" s="9" t="str">
        <f>E8</f>
        <v>ELCCOG</v>
      </c>
      <c r="AW8" s="9" t="s">
        <v>133</v>
      </c>
    </row>
    <row r="9" spans="1:58">
      <c r="C9" s="9" t="s">
        <v>2</v>
      </c>
      <c r="E9" s="9" t="str">
        <f>'ETS Emissions'!B91</f>
        <v>ELCDGS</v>
      </c>
      <c r="F9" s="21">
        <f t="shared" si="1"/>
        <v>108.2</v>
      </c>
      <c r="G9" s="13">
        <f>'ETS Emissions'!C91</f>
        <v>108.2</v>
      </c>
      <c r="H9" s="13">
        <f>'ETS Emissions'!D91</f>
        <v>108.2</v>
      </c>
      <c r="I9" s="13">
        <f>'ETS Emissions'!E91</f>
        <v>108.2</v>
      </c>
      <c r="J9" s="13">
        <f>'ETS Emissions'!F91</f>
        <v>108.2</v>
      </c>
      <c r="K9" s="13">
        <f>'ETS Emissions'!G91</f>
        <v>108.2</v>
      </c>
      <c r="L9" s="13">
        <f>'ETS Emissions'!H91</f>
        <v>108.2</v>
      </c>
      <c r="M9" s="13">
        <f>'ETS Emissions'!I91</f>
        <v>108.2</v>
      </c>
      <c r="N9" s="13">
        <f>'ETS Emissions'!J91</f>
        <v>108.2</v>
      </c>
      <c r="O9" s="13">
        <f>'ETS Emissions'!K91</f>
        <v>108.2</v>
      </c>
      <c r="P9" s="13">
        <f>'ETS Emissions'!L91</f>
        <v>108.2</v>
      </c>
      <c r="Q9" s="13">
        <f>'ETS Emissions'!M91</f>
        <v>108.2</v>
      </c>
      <c r="R9" s="13">
        <f>'ETS Emissions'!N91</f>
        <v>108.2</v>
      </c>
      <c r="S9" s="13">
        <f>'ETS Emissions'!O91</f>
        <v>108.2</v>
      </c>
      <c r="T9" s="13">
        <f>'ETS Emissions'!P91</f>
        <v>108.2</v>
      </c>
      <c r="U9" s="13">
        <f>'ETS Emissions'!Q91</f>
        <v>108.2</v>
      </c>
      <c r="V9" s="13">
        <f>'ETS Emissions'!R91</f>
        <v>108.2</v>
      </c>
      <c r="W9" s="13">
        <f>'ETS Emissions'!S91</f>
        <v>108.2</v>
      </c>
      <c r="X9" s="13">
        <f>'ETS Emissions'!T91</f>
        <v>108.2</v>
      </c>
      <c r="Y9" s="13">
        <f>'ETS Emissions'!U91</f>
        <v>108.2</v>
      </c>
      <c r="Z9" s="13">
        <f>'ETS Emissions'!V91</f>
        <v>108.2</v>
      </c>
      <c r="AA9" s="13">
        <f>'ETS Emissions'!W91</f>
        <v>108.2</v>
      </c>
      <c r="AB9" s="13">
        <f>'ETS Emissions'!X91</f>
        <v>108.2</v>
      </c>
      <c r="AC9" s="13">
        <f>'ETS Emissions'!Y91</f>
        <v>108.2</v>
      </c>
      <c r="AD9" s="13">
        <f>'ETS Emissions'!Z91</f>
        <v>108.2</v>
      </c>
      <c r="AE9" s="13">
        <f>'ETS Emissions'!AA91</f>
        <v>108.2</v>
      </c>
      <c r="AF9" s="13">
        <f>'ETS Emissions'!AB91</f>
        <v>108.2</v>
      </c>
      <c r="AG9" s="13">
        <f>'ETS Emissions'!AC91</f>
        <v>108.2</v>
      </c>
      <c r="AH9" s="13">
        <f>'ETS Emissions'!AD91</f>
        <v>108.2</v>
      </c>
      <c r="AI9" s="13">
        <f>'ETS Emissions'!AE91</f>
        <v>108.2</v>
      </c>
      <c r="AJ9" s="13">
        <f>'ETS Emissions'!AF91</f>
        <v>108.2</v>
      </c>
      <c r="AK9" s="13">
        <f>'ETS Emissions'!AG91</f>
        <v>108.2</v>
      </c>
      <c r="AL9" s="13">
        <f>'ETS Emissions'!AH91</f>
        <v>108.2</v>
      </c>
      <c r="AM9" s="13">
        <f>'ETS Emissions'!AI91</f>
        <v>108.2</v>
      </c>
      <c r="AN9" s="13">
        <f>'ETS Emissions'!AJ91</f>
        <v>108.2</v>
      </c>
      <c r="AO9" s="13">
        <f>'ETS Emissions'!AK91</f>
        <v>108.2</v>
      </c>
      <c r="AP9" s="13">
        <f>'ETS Emissions'!AL91</f>
        <v>108.2</v>
      </c>
      <c r="AQ9" s="13">
        <f>'ETS Emissions'!AM91</f>
        <v>108.2</v>
      </c>
      <c r="AV9" s="9" t="str">
        <f t="shared" si="0"/>
        <v>ELCDGS</v>
      </c>
      <c r="AW9" s="9" t="s">
        <v>133</v>
      </c>
    </row>
    <row r="10" spans="1:58">
      <c r="C10" s="9" t="s">
        <v>2</v>
      </c>
      <c r="E10" s="9" t="str">
        <f>'ETS Emissions'!B92</f>
        <v>ELCDME</v>
      </c>
      <c r="F10" s="21">
        <f t="shared" si="1"/>
        <v>66.4201388888889</v>
      </c>
      <c r="G10" s="13">
        <f>'ETS Emissions'!C92</f>
        <v>66.4201388888889</v>
      </c>
      <c r="H10" s="13">
        <f>'ETS Emissions'!D92</f>
        <v>66.4201388888889</v>
      </c>
      <c r="I10" s="13">
        <f>'ETS Emissions'!E92</f>
        <v>66.4201388888889</v>
      </c>
      <c r="J10" s="13">
        <f>'ETS Emissions'!F92</f>
        <v>66.4201388888889</v>
      </c>
      <c r="K10" s="13">
        <f>'ETS Emissions'!G92</f>
        <v>66.4201388888889</v>
      </c>
      <c r="L10" s="13">
        <f>'ETS Emissions'!H92</f>
        <v>66.4201388888889</v>
      </c>
      <c r="M10" s="13">
        <f>'ETS Emissions'!I92</f>
        <v>66.4201388888889</v>
      </c>
      <c r="N10" s="13">
        <f>'ETS Emissions'!J92</f>
        <v>66.4201388888889</v>
      </c>
      <c r="O10" s="13">
        <f>'ETS Emissions'!K92</f>
        <v>66.4201388888889</v>
      </c>
      <c r="P10" s="13">
        <f>'ETS Emissions'!L92</f>
        <v>66.4201388888889</v>
      </c>
      <c r="Q10" s="13">
        <f>'ETS Emissions'!M92</f>
        <v>66.4201388888889</v>
      </c>
      <c r="R10" s="13">
        <f>'ETS Emissions'!N92</f>
        <v>66.4201388888889</v>
      </c>
      <c r="S10" s="13">
        <f>'ETS Emissions'!O92</f>
        <v>66.4201388888889</v>
      </c>
      <c r="T10" s="13">
        <f>'ETS Emissions'!P92</f>
        <v>66.4201388888889</v>
      </c>
      <c r="U10" s="13">
        <f>'ETS Emissions'!Q92</f>
        <v>66.4201388888889</v>
      </c>
      <c r="V10" s="13">
        <f>'ETS Emissions'!R92</f>
        <v>66.4201388888889</v>
      </c>
      <c r="W10" s="13">
        <f>'ETS Emissions'!S92</f>
        <v>66.4201388888889</v>
      </c>
      <c r="X10" s="13">
        <f>'ETS Emissions'!T92</f>
        <v>66.4201388888889</v>
      </c>
      <c r="Y10" s="13">
        <f>'ETS Emissions'!U92</f>
        <v>66.4201388888889</v>
      </c>
      <c r="Z10" s="13">
        <f>'ETS Emissions'!V92</f>
        <v>66.4201388888889</v>
      </c>
      <c r="AA10" s="13">
        <f>'ETS Emissions'!W92</f>
        <v>66.4201388888889</v>
      </c>
      <c r="AB10" s="13">
        <f>'ETS Emissions'!X92</f>
        <v>66.4201388888889</v>
      </c>
      <c r="AC10" s="13">
        <f>'ETS Emissions'!Y92</f>
        <v>66.4201388888889</v>
      </c>
      <c r="AD10" s="13">
        <f>'ETS Emissions'!Z92</f>
        <v>66.4201388888889</v>
      </c>
      <c r="AE10" s="13">
        <f>'ETS Emissions'!AA92</f>
        <v>66.4201388888889</v>
      </c>
      <c r="AF10" s="13">
        <f>'ETS Emissions'!AB92</f>
        <v>66.4201388888889</v>
      </c>
      <c r="AG10" s="13">
        <f>'ETS Emissions'!AC92</f>
        <v>66.4201388888889</v>
      </c>
      <c r="AH10" s="13">
        <f>'ETS Emissions'!AD92</f>
        <v>66.4201388888889</v>
      </c>
      <c r="AI10" s="13">
        <f>'ETS Emissions'!AE92</f>
        <v>66.4201388888889</v>
      </c>
      <c r="AJ10" s="13">
        <f>'ETS Emissions'!AF92</f>
        <v>66.4201388888889</v>
      </c>
      <c r="AK10" s="13">
        <f>'ETS Emissions'!AG92</f>
        <v>66.4201388888889</v>
      </c>
      <c r="AL10" s="13">
        <f>'ETS Emissions'!AH92</f>
        <v>66.4201388888889</v>
      </c>
      <c r="AM10" s="13">
        <f>'ETS Emissions'!AI92</f>
        <v>66.4201388888889</v>
      </c>
      <c r="AN10" s="13">
        <f>'ETS Emissions'!AJ92</f>
        <v>66.4201388888889</v>
      </c>
      <c r="AO10" s="13">
        <f>'ETS Emissions'!AK92</f>
        <v>66.4201388888889</v>
      </c>
      <c r="AP10" s="13">
        <f>'ETS Emissions'!AL92</f>
        <v>66.4201388888889</v>
      </c>
      <c r="AQ10" s="13">
        <f>'ETS Emissions'!AM92</f>
        <v>66.4201388888889</v>
      </c>
      <c r="AV10" s="9" t="str">
        <f t="shared" si="0"/>
        <v>ELCDME</v>
      </c>
      <c r="AW10" s="9" t="s">
        <v>133</v>
      </c>
    </row>
    <row r="11" spans="1:58">
      <c r="C11" s="9" t="s">
        <v>2</v>
      </c>
      <c r="E11" s="9" t="str">
        <f>'ETS Emissions'!B93</f>
        <v>ELCDST</v>
      </c>
      <c r="F11" s="21">
        <f t="shared" si="1"/>
        <v>50.166666666666664</v>
      </c>
      <c r="G11" s="13">
        <f>'ETS Emissions'!C93</f>
        <v>74</v>
      </c>
      <c r="H11" s="13">
        <f>'ETS Emissions'!D93</f>
        <v>74.099999999999994</v>
      </c>
      <c r="I11" s="13">
        <f>'ETS Emissions'!E93</f>
        <v>74.099999999999994</v>
      </c>
      <c r="J11" s="13">
        <f>'ETS Emissions'!F93</f>
        <v>74.099999999999994</v>
      </c>
      <c r="K11" s="13">
        <f>'ETS Emissions'!G93</f>
        <v>74.099999999999994</v>
      </c>
      <c r="L11" s="13">
        <f>'ETS Emissions'!H93</f>
        <v>79.652173913043498</v>
      </c>
      <c r="M11" s="13">
        <f>'ETS Emissions'!I93</f>
        <v>73.714285714285694</v>
      </c>
      <c r="N11" s="13">
        <f>'ETS Emissions'!J93</f>
        <v>73.935294117647004</v>
      </c>
      <c r="O11" s="13">
        <f>'ETS Emissions'!K93</f>
        <v>73.3</v>
      </c>
      <c r="P11" s="13">
        <f>'ETS Emissions'!L93</f>
        <v>73.3</v>
      </c>
      <c r="Q11" s="13">
        <f>'ETS Emissions'!M93</f>
        <v>74.099999999999994</v>
      </c>
      <c r="R11" s="13">
        <f>'ETS Emissions'!N93</f>
        <v>74.099999999999994</v>
      </c>
      <c r="S11" s="13">
        <f>'ETS Emissions'!O93</f>
        <v>74.099999999999994</v>
      </c>
      <c r="T11" s="13">
        <f>'ETS Emissions'!P93</f>
        <v>74</v>
      </c>
      <c r="U11" s="13">
        <f>'ETS Emissions'!Q93</f>
        <v>74.099999999999994</v>
      </c>
      <c r="V11" s="13">
        <f>'ETS Emissions'!R93</f>
        <v>74.099999999999994</v>
      </c>
      <c r="W11" s="13">
        <f>'ETS Emissions'!S93</f>
        <v>73.698009950248704</v>
      </c>
      <c r="X11" s="13">
        <f>'ETS Emissions'!T93</f>
        <v>74.099999999999994</v>
      </c>
      <c r="Y11" s="13">
        <f>'ETS Emissions'!U93</f>
        <v>73.3</v>
      </c>
      <c r="Z11" s="13">
        <f>'ETS Emissions'!V93</f>
        <v>73.7</v>
      </c>
      <c r="AA11" s="13">
        <f>'ETS Emissions'!W93</f>
        <v>74.099999999999994</v>
      </c>
      <c r="AB11" s="13">
        <f>'ETS Emissions'!X93</f>
        <v>73.8</v>
      </c>
      <c r="AC11" s="13">
        <f>'ETS Emissions'!Y93</f>
        <v>74.099999999999994</v>
      </c>
      <c r="AD11" s="13">
        <f>'ETS Emissions'!Z93</f>
        <v>74</v>
      </c>
      <c r="AE11" s="13">
        <f>'ETS Emissions'!AA93</f>
        <v>74.099999999999994</v>
      </c>
      <c r="AF11" s="13">
        <f>'ETS Emissions'!AB93</f>
        <v>74.047826086956505</v>
      </c>
      <c r="AG11" s="13">
        <f>'ETS Emissions'!AC93</f>
        <v>74.099999999999994</v>
      </c>
      <c r="AH11" s="13">
        <f>'ETS Emissions'!AD93</f>
        <v>74.099999999999994</v>
      </c>
      <c r="AI11" s="13">
        <f>'ETS Emissions'!AE93</f>
        <v>2.4</v>
      </c>
      <c r="AJ11" s="13">
        <f>'ETS Emissions'!AF93</f>
        <v>74.099999999999994</v>
      </c>
      <c r="AK11" s="13">
        <f>'ETS Emissions'!AG93</f>
        <v>74.099999999999994</v>
      </c>
      <c r="AL11" s="13">
        <f>'ETS Emissions'!AH93</f>
        <v>74.099999999999994</v>
      </c>
      <c r="AM11" s="13">
        <f>'ETS Emissions'!AI93</f>
        <v>74.099999999999994</v>
      </c>
      <c r="AN11" s="13">
        <f>'ETS Emissions'!AJ93</f>
        <v>74.099999999999994</v>
      </c>
      <c r="AO11" s="13">
        <f>'ETS Emissions'!AK93</f>
        <v>74.099999999999994</v>
      </c>
      <c r="AP11" s="13">
        <f>'ETS Emissions'!AL93</f>
        <v>74.099999999999994</v>
      </c>
      <c r="AQ11" s="13">
        <f>'ETS Emissions'!AM93</f>
        <v>74.099999999999994</v>
      </c>
      <c r="AV11" s="9" t="str">
        <f t="shared" si="0"/>
        <v>ELCDST</v>
      </c>
      <c r="AW11" s="9" t="s">
        <v>133</v>
      </c>
    </row>
    <row r="12" spans="1:58">
      <c r="C12" s="9" t="s">
        <v>2</v>
      </c>
      <c r="E12" s="9" t="str">
        <f>'ETS Emissions'!B94</f>
        <v>ELCGAS</v>
      </c>
      <c r="F12" s="21">
        <f t="shared" si="1"/>
        <v>56.033333333333331</v>
      </c>
      <c r="G12" s="13">
        <f>'ETS Emissions'!C94</f>
        <v>56</v>
      </c>
      <c r="H12" s="13">
        <f>'ETS Emissions'!D94</f>
        <v>56.1</v>
      </c>
      <c r="I12" s="13">
        <f>'ETS Emissions'!E94</f>
        <v>56.1</v>
      </c>
      <c r="J12" s="13">
        <f>'ETS Emissions'!F94</f>
        <v>56.1</v>
      </c>
      <c r="K12" s="13">
        <f>'ETS Emissions'!G94</f>
        <v>56.1</v>
      </c>
      <c r="L12" s="13">
        <f>'ETS Emissions'!H94</f>
        <v>56</v>
      </c>
      <c r="M12" s="13">
        <f>'ETS Emissions'!I94</f>
        <v>56.1</v>
      </c>
      <c r="N12" s="13">
        <f>'ETS Emissions'!J94</f>
        <v>56.1</v>
      </c>
      <c r="O12" s="13">
        <f>'ETS Emissions'!K94</f>
        <v>56.1</v>
      </c>
      <c r="P12" s="13">
        <f>'ETS Emissions'!L94</f>
        <v>56.1</v>
      </c>
      <c r="Q12" s="13">
        <f>'ETS Emissions'!M94</f>
        <v>56.1</v>
      </c>
      <c r="R12" s="13">
        <f>'ETS Emissions'!N94</f>
        <v>56.1</v>
      </c>
      <c r="S12" s="13">
        <f>'ETS Emissions'!O94</f>
        <v>56.1</v>
      </c>
      <c r="T12" s="13">
        <f>'ETS Emissions'!P94</f>
        <v>56</v>
      </c>
      <c r="U12" s="13">
        <f>'ETS Emissions'!Q94</f>
        <v>56.1</v>
      </c>
      <c r="V12" s="13">
        <f>'ETS Emissions'!R94</f>
        <v>56.1</v>
      </c>
      <c r="W12" s="13">
        <f>'ETS Emissions'!S94</f>
        <v>56.1</v>
      </c>
      <c r="X12" s="13">
        <f>'ETS Emissions'!T94</f>
        <v>56.1</v>
      </c>
      <c r="Y12" s="13">
        <f>'ETS Emissions'!U94</f>
        <v>56.1</v>
      </c>
      <c r="Z12" s="13">
        <f>'ETS Emissions'!V94</f>
        <v>56.1</v>
      </c>
      <c r="AA12" s="13">
        <f>'ETS Emissions'!W94</f>
        <v>56.1</v>
      </c>
      <c r="AB12" s="13">
        <f>'ETS Emissions'!X94</f>
        <v>56.1</v>
      </c>
      <c r="AC12" s="13">
        <f>'ETS Emissions'!Y94</f>
        <v>56.1</v>
      </c>
      <c r="AD12" s="13">
        <f>'ETS Emissions'!Z94</f>
        <v>56</v>
      </c>
      <c r="AE12" s="13">
        <f>'ETS Emissions'!AA94</f>
        <v>56.1</v>
      </c>
      <c r="AF12" s="13">
        <f>'ETS Emissions'!AB94</f>
        <v>56.1</v>
      </c>
      <c r="AG12" s="13">
        <f>'ETS Emissions'!AC94</f>
        <v>56.1</v>
      </c>
      <c r="AH12" s="13">
        <f>'ETS Emissions'!AD94</f>
        <v>56.1</v>
      </c>
      <c r="AI12" s="13">
        <f>'ETS Emissions'!AE94</f>
        <v>56</v>
      </c>
      <c r="AJ12" s="13">
        <f>'ETS Emissions'!AF94</f>
        <v>56.1</v>
      </c>
      <c r="AK12" s="13">
        <f>'ETS Emissions'!AG94</f>
        <v>56.1</v>
      </c>
      <c r="AL12" s="13">
        <f>'ETS Emissions'!AH94</f>
        <v>56.1</v>
      </c>
      <c r="AM12" s="13">
        <f>'ETS Emissions'!AI94</f>
        <v>56.1</v>
      </c>
      <c r="AN12" s="13">
        <f>'ETS Emissions'!AJ94</f>
        <v>56.1</v>
      </c>
      <c r="AO12" s="13">
        <f>'ETS Emissions'!AK94</f>
        <v>56.1</v>
      </c>
      <c r="AP12" s="13">
        <f>'ETS Emissions'!AL94</f>
        <v>56.1</v>
      </c>
      <c r="AQ12" s="13">
        <f>'ETS Emissions'!AM94</f>
        <v>56.1</v>
      </c>
      <c r="AV12" s="9" t="str">
        <f t="shared" si="0"/>
        <v>ELCGAS</v>
      </c>
      <c r="AW12" s="9" t="s">
        <v>133</v>
      </c>
    </row>
    <row r="13" spans="1:58">
      <c r="C13" s="9" t="s">
        <v>2</v>
      </c>
      <c r="E13" s="9" t="str">
        <f>'ETS Emissions'!B95</f>
        <v>ELCHFO</v>
      </c>
      <c r="F13" s="21">
        <f t="shared" si="1"/>
        <v>77.8</v>
      </c>
      <c r="G13" s="13">
        <f>'ETS Emissions'!C95</f>
        <v>78</v>
      </c>
      <c r="H13" s="13">
        <f>'ETS Emissions'!D95</f>
        <v>77.400000000000006</v>
      </c>
      <c r="I13" s="13">
        <f>'ETS Emissions'!E95</f>
        <v>77.400000000000006</v>
      </c>
      <c r="J13" s="13">
        <f>'ETS Emissions'!F95</f>
        <v>77.400000000000006</v>
      </c>
      <c r="K13" s="13">
        <f>'ETS Emissions'!G95</f>
        <v>77.400000000000006</v>
      </c>
      <c r="L13" s="13">
        <f>'ETS Emissions'!H95</f>
        <v>78</v>
      </c>
      <c r="M13" s="13">
        <f>'ETS Emissions'!I95</f>
        <v>77.400000000000006</v>
      </c>
      <c r="N13" s="13">
        <f>'ETS Emissions'!J95</f>
        <v>77.400000000000006</v>
      </c>
      <c r="O13" s="13">
        <f>'ETS Emissions'!K95</f>
        <v>77.400000000000006</v>
      </c>
      <c r="P13" s="13">
        <f>'ETS Emissions'!L95</f>
        <v>77.400000000000006</v>
      </c>
      <c r="Q13" s="13">
        <f>'ETS Emissions'!M95</f>
        <v>77.400000000000006</v>
      </c>
      <c r="R13" s="13">
        <f>'ETS Emissions'!N95</f>
        <v>77.400000000000006</v>
      </c>
      <c r="S13" s="13">
        <f>'ETS Emissions'!O95</f>
        <v>77.400000000000006</v>
      </c>
      <c r="T13" s="13">
        <f>'ETS Emissions'!P95</f>
        <v>78</v>
      </c>
      <c r="U13" s="13">
        <f>'ETS Emissions'!Q95</f>
        <v>77.400000000000006</v>
      </c>
      <c r="V13" s="13">
        <f>'ETS Emissions'!R95</f>
        <v>77.400000000000006</v>
      </c>
      <c r="W13" s="13">
        <f>'ETS Emissions'!S95</f>
        <v>77.400000000000006</v>
      </c>
      <c r="X13" s="13">
        <f>'ETS Emissions'!T95</f>
        <v>77.400000000000006</v>
      </c>
      <c r="Y13" s="13">
        <f>'ETS Emissions'!U95</f>
        <v>77.400000000000006</v>
      </c>
      <c r="Z13" s="13">
        <f>'ETS Emissions'!V95</f>
        <v>77.400000000000006</v>
      </c>
      <c r="AA13" s="13">
        <f>'ETS Emissions'!W95</f>
        <v>77.400000000000006</v>
      </c>
      <c r="AB13" s="13">
        <f>'ETS Emissions'!X95</f>
        <v>77.400000000000006</v>
      </c>
      <c r="AC13" s="13">
        <f>'ETS Emissions'!Y95</f>
        <v>77.400000000000006</v>
      </c>
      <c r="AD13" s="13">
        <f>'ETS Emissions'!Z95</f>
        <v>78</v>
      </c>
      <c r="AE13" s="13">
        <f>'ETS Emissions'!AA95</f>
        <v>77.400000000000006</v>
      </c>
      <c r="AF13" s="13">
        <f>'ETS Emissions'!AB95</f>
        <v>77.400000000000006</v>
      </c>
      <c r="AG13" s="13">
        <f>'ETS Emissions'!AC95</f>
        <v>77.400000000000006</v>
      </c>
      <c r="AH13" s="13">
        <f>'ETS Emissions'!AD95</f>
        <v>77.400000000000006</v>
      </c>
      <c r="AI13" s="13">
        <f>'ETS Emissions'!AE95</f>
        <v>78</v>
      </c>
      <c r="AJ13" s="13">
        <f>'ETS Emissions'!AF95</f>
        <v>77.400000000000006</v>
      </c>
      <c r="AK13" s="13">
        <f>'ETS Emissions'!AG95</f>
        <v>77.400000000000006</v>
      </c>
      <c r="AL13" s="13">
        <f>'ETS Emissions'!AH95</f>
        <v>77.400000000000006</v>
      </c>
      <c r="AM13" s="13">
        <f>'ETS Emissions'!AI95</f>
        <v>77.400000000000006</v>
      </c>
      <c r="AN13" s="13">
        <f>'ETS Emissions'!AJ95</f>
        <v>77.400000000000006</v>
      </c>
      <c r="AO13" s="13">
        <f>'ETS Emissions'!AK95</f>
        <v>77.400000000000006</v>
      </c>
      <c r="AP13" s="13">
        <f>'ETS Emissions'!AL95</f>
        <v>77.400000000000006</v>
      </c>
      <c r="AQ13" s="13">
        <f>'ETS Emissions'!AM95</f>
        <v>77.400000000000006</v>
      </c>
      <c r="AV13" s="9" t="str">
        <f t="shared" si="0"/>
        <v>ELCHFO</v>
      </c>
      <c r="AW13" s="9" t="s">
        <v>133</v>
      </c>
    </row>
    <row r="14" spans="1:58">
      <c r="C14" s="9" t="s">
        <v>2</v>
      </c>
      <c r="E14" s="9" t="str">
        <f>'ETS Emissions'!B96</f>
        <v>ELCMUN</v>
      </c>
      <c r="F14" s="21">
        <f t="shared" si="1"/>
        <v>58.616666666666667</v>
      </c>
      <c r="G14" s="13">
        <f>'ETS Emissions'!C96</f>
        <v>45</v>
      </c>
      <c r="H14" s="13">
        <f>'ETS Emissions'!D96</f>
        <v>85.85</v>
      </c>
      <c r="I14" s="13">
        <f>'ETS Emissions'!E96</f>
        <v>85.85</v>
      </c>
      <c r="J14" s="13">
        <f>'ETS Emissions'!F96</f>
        <v>85.85</v>
      </c>
      <c r="K14" s="13">
        <f>'ETS Emissions'!G96</f>
        <v>85.85</v>
      </c>
      <c r="L14" s="13">
        <f>'ETS Emissions'!H96</f>
        <v>45</v>
      </c>
      <c r="M14" s="13">
        <f>'ETS Emissions'!I96</f>
        <v>85.85</v>
      </c>
      <c r="N14" s="13">
        <f>'ETS Emissions'!J96</f>
        <v>85.85</v>
      </c>
      <c r="O14" s="13">
        <f>'ETS Emissions'!K96</f>
        <v>85.85</v>
      </c>
      <c r="P14" s="13">
        <f>'ETS Emissions'!L96</f>
        <v>85.85</v>
      </c>
      <c r="Q14" s="13">
        <f>'ETS Emissions'!M96</f>
        <v>85.85</v>
      </c>
      <c r="R14" s="13">
        <f>'ETS Emissions'!N96</f>
        <v>85.85</v>
      </c>
      <c r="S14" s="13">
        <f>'ETS Emissions'!O96</f>
        <v>85.85</v>
      </c>
      <c r="T14" s="13">
        <f>'ETS Emissions'!P96</f>
        <v>45</v>
      </c>
      <c r="U14" s="13">
        <f>'ETS Emissions'!Q96</f>
        <v>85.85</v>
      </c>
      <c r="V14" s="13">
        <f>'ETS Emissions'!R96</f>
        <v>85.85</v>
      </c>
      <c r="W14" s="13">
        <f>'ETS Emissions'!S96</f>
        <v>85.85</v>
      </c>
      <c r="X14" s="13">
        <f>'ETS Emissions'!T96</f>
        <v>85.85</v>
      </c>
      <c r="Y14" s="13">
        <f>'ETS Emissions'!U96</f>
        <v>85.85</v>
      </c>
      <c r="Z14" s="13">
        <f>'ETS Emissions'!V96</f>
        <v>85.85</v>
      </c>
      <c r="AA14" s="13">
        <f>'ETS Emissions'!W96</f>
        <v>85.85</v>
      </c>
      <c r="AB14" s="13">
        <f>'ETS Emissions'!X96</f>
        <v>85.85</v>
      </c>
      <c r="AC14" s="13">
        <f>'ETS Emissions'!Y96</f>
        <v>85.85</v>
      </c>
      <c r="AD14" s="13">
        <f>'ETS Emissions'!Z96</f>
        <v>45</v>
      </c>
      <c r="AE14" s="13">
        <f>'ETS Emissions'!AA96</f>
        <v>85.85</v>
      </c>
      <c r="AF14" s="13">
        <f>'ETS Emissions'!AB96</f>
        <v>85.85</v>
      </c>
      <c r="AG14" s="13">
        <f>'ETS Emissions'!AC96</f>
        <v>85.85</v>
      </c>
      <c r="AH14" s="13">
        <f>'ETS Emissions'!AD96</f>
        <v>85.85</v>
      </c>
      <c r="AI14" s="13">
        <f>'ETS Emissions'!AE96</f>
        <v>45</v>
      </c>
      <c r="AJ14" s="13">
        <f>'ETS Emissions'!AF96</f>
        <v>85.85</v>
      </c>
      <c r="AK14" s="13">
        <f>'ETS Emissions'!AG96</f>
        <v>85.85</v>
      </c>
      <c r="AL14" s="13">
        <f>'ETS Emissions'!AH96</f>
        <v>85.85</v>
      </c>
      <c r="AM14" s="13">
        <f>'ETS Emissions'!AI96</f>
        <v>85.85</v>
      </c>
      <c r="AN14" s="13">
        <f>'ETS Emissions'!AJ96</f>
        <v>85.85</v>
      </c>
      <c r="AO14" s="13">
        <f>'ETS Emissions'!AK96</f>
        <v>85.85</v>
      </c>
      <c r="AP14" s="13">
        <f>'ETS Emissions'!AL96</f>
        <v>85.85</v>
      </c>
      <c r="AQ14" s="13">
        <f>'ETS Emissions'!AM96</f>
        <v>85.85</v>
      </c>
      <c r="AV14" s="9" t="str">
        <f t="shared" si="0"/>
        <v>ELCMUN</v>
      </c>
      <c r="AW14" s="9" t="s">
        <v>133</v>
      </c>
    </row>
    <row r="15" spans="1:58">
      <c r="C15" s="9" t="s">
        <v>2</v>
      </c>
      <c r="E15" s="9" t="str">
        <f>'ETS Emissions'!B97</f>
        <v>ELCOIL</v>
      </c>
      <c r="F15" s="21">
        <f t="shared" si="1"/>
        <v>76.948547008546996</v>
      </c>
      <c r="G15" s="13">
        <f>'ETS Emissions'!C97</f>
        <v>77.937888198757804</v>
      </c>
      <c r="H15" s="13">
        <f>'ETS Emissions'!D97</f>
        <v>77.135036496350395</v>
      </c>
      <c r="I15" s="13">
        <f>'ETS Emissions'!E97</f>
        <v>77.350746268656707</v>
      </c>
      <c r="J15" s="13">
        <f>'ETS Emissions'!F97</f>
        <v>74.099999999999994</v>
      </c>
      <c r="K15" s="13">
        <f>'ETS Emissions'!G97</f>
        <v>77.350700280111994</v>
      </c>
      <c r="L15" s="13">
        <f>'ETS Emissions'!H97</f>
        <v>77.396226415094304</v>
      </c>
      <c r="M15" s="13">
        <f>'ETS Emissions'!I97</f>
        <v>75.655468749999997</v>
      </c>
      <c r="N15" s="13">
        <f>'ETS Emissions'!J97</f>
        <v>77.121562499999996</v>
      </c>
      <c r="O15" s="13">
        <f>'ETS Emissions'!K97</f>
        <v>77.400000000000006</v>
      </c>
      <c r="P15" s="13">
        <f>'ETS Emissions'!L97</f>
        <v>77.400000000000006</v>
      </c>
      <c r="Q15" s="13">
        <f>'ETS Emissions'!M97</f>
        <v>77.057142857142907</v>
      </c>
      <c r="R15" s="13">
        <f>'ETS Emissions'!N97</f>
        <v>77.163499999999999</v>
      </c>
      <c r="S15" s="13">
        <f>'ETS Emissions'!O97</f>
        <v>76.664609892911798</v>
      </c>
      <c r="T15" s="13">
        <f>'ETS Emissions'!P97</f>
        <v>77.709923664122101</v>
      </c>
      <c r="U15" s="13">
        <f>'ETS Emissions'!Q97</f>
        <v>77.111357702349906</v>
      </c>
      <c r="V15" s="13">
        <f>'ETS Emissions'!R97</f>
        <v>74.099999999999994</v>
      </c>
      <c r="W15" s="13">
        <f>'ETS Emissions'!S97</f>
        <v>77.097260075384199</v>
      </c>
      <c r="X15" s="13">
        <f>'ETS Emissions'!T97</f>
        <v>77.155555555555594</v>
      </c>
      <c r="Y15" s="13">
        <f>'ETS Emissions'!U97</f>
        <v>77.400000000000006</v>
      </c>
      <c r="Z15" s="13">
        <f>'ETS Emissions'!V97</f>
        <v>77.334000000000003</v>
      </c>
      <c r="AA15" s="13">
        <f>'ETS Emissions'!W97</f>
        <v>77.049152542372894</v>
      </c>
      <c r="AB15" s="13">
        <f>'ETS Emissions'!X97</f>
        <v>58.780165289256203</v>
      </c>
      <c r="AC15" s="13">
        <f>'ETS Emissions'!Y97</f>
        <v>73.253846153846098</v>
      </c>
      <c r="AD15" s="13">
        <f>'ETS Emissions'!Z97</f>
        <v>77.425641025640999</v>
      </c>
      <c r="AE15" s="13">
        <f>'ETS Emissions'!AA97</f>
        <v>88.963858837894705</v>
      </c>
      <c r="AF15" s="13">
        <f>'ETS Emissions'!AB97</f>
        <v>77.029770992366394</v>
      </c>
      <c r="AG15" s="13">
        <f>'ETS Emissions'!AC97</f>
        <v>76.044324324324293</v>
      </c>
      <c r="AH15" s="13">
        <f>'ETS Emissions'!AD97</f>
        <v>75.42</v>
      </c>
      <c r="AI15" s="13">
        <f>'ETS Emissions'!AE97</f>
        <v>78</v>
      </c>
      <c r="AJ15" s="13">
        <f>'ETS Emissions'!AF97</f>
        <v>77.16</v>
      </c>
      <c r="AK15" s="13">
        <f>'ETS Emissions'!AG97</f>
        <v>74.099999999999994</v>
      </c>
      <c r="AL15" s="13">
        <f>'ETS Emissions'!AH97</f>
        <v>74.099999999999994</v>
      </c>
      <c r="AM15" s="13">
        <f>'ETS Emissions'!AI97</f>
        <v>77.315308121139097</v>
      </c>
      <c r="AN15" s="13">
        <f>'ETS Emissions'!AJ97</f>
        <v>75.473101635313299</v>
      </c>
      <c r="AO15" s="13">
        <f>'ETS Emissions'!AK97</f>
        <v>74.099999999999994</v>
      </c>
      <c r="AP15" s="13">
        <f>'ETS Emissions'!AL97</f>
        <v>76.833766233766198</v>
      </c>
      <c r="AQ15" s="13">
        <f>'ETS Emissions'!AM97</f>
        <v>74.099999999999994</v>
      </c>
      <c r="AV15" s="9" t="str">
        <f t="shared" si="0"/>
        <v>ELCOIL</v>
      </c>
      <c r="AW15" s="9" t="s">
        <v>133</v>
      </c>
    </row>
    <row r="16" spans="1:58">
      <c r="C16" s="9" t="s">
        <v>2</v>
      </c>
      <c r="E16" s="9" t="str">
        <f>'ETS Emissions'!B98</f>
        <v>ELCRFG</v>
      </c>
      <c r="F16" s="21">
        <f t="shared" si="1"/>
        <v>58.699999999999996</v>
      </c>
      <c r="G16" s="13">
        <f>'ETS Emissions'!C98</f>
        <v>60</v>
      </c>
      <c r="H16" s="13">
        <f>'ETS Emissions'!D98</f>
        <v>56.1</v>
      </c>
      <c r="I16" s="13">
        <f>'ETS Emissions'!E98</f>
        <v>56.1</v>
      </c>
      <c r="J16" s="13">
        <f>'ETS Emissions'!F98</f>
        <v>56.1</v>
      </c>
      <c r="K16" s="13">
        <f>'ETS Emissions'!G98</f>
        <v>56.1</v>
      </c>
      <c r="L16" s="13">
        <f>'ETS Emissions'!H98</f>
        <v>60</v>
      </c>
      <c r="M16" s="13">
        <f>'ETS Emissions'!I98</f>
        <v>56.1</v>
      </c>
      <c r="N16" s="13">
        <f>'ETS Emissions'!J98</f>
        <v>56.1</v>
      </c>
      <c r="O16" s="13">
        <f>'ETS Emissions'!K98</f>
        <v>56.1</v>
      </c>
      <c r="P16" s="13">
        <f>'ETS Emissions'!L98</f>
        <v>56.1</v>
      </c>
      <c r="Q16" s="13">
        <f>'ETS Emissions'!M98</f>
        <v>56.1</v>
      </c>
      <c r="R16" s="13">
        <f>'ETS Emissions'!N98</f>
        <v>56.1</v>
      </c>
      <c r="S16" s="13">
        <f>'ETS Emissions'!O98</f>
        <v>56.1</v>
      </c>
      <c r="T16" s="13">
        <f>'ETS Emissions'!P98</f>
        <v>60</v>
      </c>
      <c r="U16" s="13">
        <f>'ETS Emissions'!Q98</f>
        <v>56.1</v>
      </c>
      <c r="V16" s="13">
        <f>'ETS Emissions'!R98</f>
        <v>56.1</v>
      </c>
      <c r="W16" s="13">
        <f>'ETS Emissions'!S98</f>
        <v>56.1</v>
      </c>
      <c r="X16" s="13">
        <f>'ETS Emissions'!T98</f>
        <v>56.1</v>
      </c>
      <c r="Y16" s="13">
        <f>'ETS Emissions'!U98</f>
        <v>56.1</v>
      </c>
      <c r="Z16" s="13">
        <f>'ETS Emissions'!V98</f>
        <v>56.1</v>
      </c>
      <c r="AA16" s="13">
        <f>'ETS Emissions'!W98</f>
        <v>56.1</v>
      </c>
      <c r="AB16" s="13">
        <f>'ETS Emissions'!X98</f>
        <v>56.1</v>
      </c>
      <c r="AC16" s="13">
        <f>'ETS Emissions'!Y98</f>
        <v>56.1</v>
      </c>
      <c r="AD16" s="13">
        <f>'ETS Emissions'!Z98</f>
        <v>60</v>
      </c>
      <c r="AE16" s="13">
        <f>'ETS Emissions'!AA98</f>
        <v>56.1</v>
      </c>
      <c r="AF16" s="13">
        <f>'ETS Emissions'!AB98</f>
        <v>56.1</v>
      </c>
      <c r="AG16" s="13">
        <f>'ETS Emissions'!AC98</f>
        <v>56.1</v>
      </c>
      <c r="AH16" s="13">
        <f>'ETS Emissions'!AD98</f>
        <v>56.1</v>
      </c>
      <c r="AI16" s="13">
        <f>'ETS Emissions'!AE98</f>
        <v>60</v>
      </c>
      <c r="AJ16" s="13">
        <f>'ETS Emissions'!AF98</f>
        <v>56.1</v>
      </c>
      <c r="AK16" s="13">
        <f>'ETS Emissions'!AG98</f>
        <v>56.1</v>
      </c>
      <c r="AL16" s="13">
        <f>'ETS Emissions'!AH98</f>
        <v>56.1</v>
      </c>
      <c r="AM16" s="13">
        <f>'ETS Emissions'!AI98</f>
        <v>56.1</v>
      </c>
      <c r="AN16" s="13">
        <f>'ETS Emissions'!AJ98</f>
        <v>56.1</v>
      </c>
      <c r="AO16" s="13">
        <f>'ETS Emissions'!AK98</f>
        <v>56.1</v>
      </c>
      <c r="AP16" s="13">
        <f>'ETS Emissions'!AL98</f>
        <v>56.1</v>
      </c>
      <c r="AQ16" s="13">
        <f>'ETS Emissions'!AM98</f>
        <v>56.1</v>
      </c>
      <c r="AV16" s="9" t="str">
        <f t="shared" si="0"/>
        <v>ELCRFG</v>
      </c>
      <c r="AW16" s="9" t="s">
        <v>133</v>
      </c>
    </row>
    <row r="17" spans="3:49">
      <c r="C17" s="9" t="s">
        <v>2</v>
      </c>
      <c r="E17" s="9" t="str">
        <f>'ETS Emissions'!B99</f>
        <v>ELCSLU</v>
      </c>
      <c r="F17" s="21">
        <f t="shared" si="1"/>
        <v>58.616666666666667</v>
      </c>
      <c r="G17" s="13">
        <f>'ETS Emissions'!C99</f>
        <v>45</v>
      </c>
      <c r="H17" s="13">
        <f>'ETS Emissions'!D99</f>
        <v>85.85</v>
      </c>
      <c r="I17" s="13">
        <f>'ETS Emissions'!E99</f>
        <v>85.85</v>
      </c>
      <c r="J17" s="13">
        <f>'ETS Emissions'!F99</f>
        <v>85.85</v>
      </c>
      <c r="K17" s="13">
        <f>'ETS Emissions'!G99</f>
        <v>85.85</v>
      </c>
      <c r="L17" s="13">
        <f>'ETS Emissions'!H99</f>
        <v>45</v>
      </c>
      <c r="M17" s="13">
        <f>'ETS Emissions'!I99</f>
        <v>85.85</v>
      </c>
      <c r="N17" s="13">
        <f>'ETS Emissions'!J99</f>
        <v>85.85</v>
      </c>
      <c r="O17" s="13">
        <f>'ETS Emissions'!K99</f>
        <v>85.85</v>
      </c>
      <c r="P17" s="13">
        <f>'ETS Emissions'!L99</f>
        <v>85.85</v>
      </c>
      <c r="Q17" s="13">
        <f>'ETS Emissions'!M99</f>
        <v>85.85</v>
      </c>
      <c r="R17" s="13">
        <f>'ETS Emissions'!N99</f>
        <v>85.85</v>
      </c>
      <c r="S17" s="13">
        <f>'ETS Emissions'!O99</f>
        <v>85.85</v>
      </c>
      <c r="T17" s="13">
        <f>'ETS Emissions'!P99</f>
        <v>45</v>
      </c>
      <c r="U17" s="13">
        <f>'ETS Emissions'!Q99</f>
        <v>85.85</v>
      </c>
      <c r="V17" s="13">
        <f>'ETS Emissions'!R99</f>
        <v>85.85</v>
      </c>
      <c r="W17" s="13">
        <f>'ETS Emissions'!S99</f>
        <v>85.85</v>
      </c>
      <c r="X17" s="13">
        <f>'ETS Emissions'!T99</f>
        <v>85.85</v>
      </c>
      <c r="Y17" s="13">
        <f>'ETS Emissions'!U99</f>
        <v>85.85</v>
      </c>
      <c r="Z17" s="13">
        <f>'ETS Emissions'!V99</f>
        <v>85.85</v>
      </c>
      <c r="AA17" s="13">
        <f>'ETS Emissions'!W99</f>
        <v>85.85</v>
      </c>
      <c r="AB17" s="13">
        <f>'ETS Emissions'!X99</f>
        <v>85.85</v>
      </c>
      <c r="AC17" s="13">
        <f>'ETS Emissions'!Y99</f>
        <v>85.85</v>
      </c>
      <c r="AD17" s="13">
        <f>'ETS Emissions'!Z99</f>
        <v>45</v>
      </c>
      <c r="AE17" s="13">
        <f>'ETS Emissions'!AA99</f>
        <v>85.85</v>
      </c>
      <c r="AF17" s="13">
        <f>'ETS Emissions'!AB99</f>
        <v>85.85</v>
      </c>
      <c r="AG17" s="13">
        <f>'ETS Emissions'!AC99</f>
        <v>85.85</v>
      </c>
      <c r="AH17" s="13">
        <f>'ETS Emissions'!AD99</f>
        <v>85.85</v>
      </c>
      <c r="AI17" s="13">
        <f>'ETS Emissions'!AE99</f>
        <v>45</v>
      </c>
      <c r="AJ17" s="13">
        <f>'ETS Emissions'!AF99</f>
        <v>85.85</v>
      </c>
      <c r="AK17" s="13">
        <f>'ETS Emissions'!AG99</f>
        <v>85.85</v>
      </c>
      <c r="AL17" s="13">
        <f>'ETS Emissions'!AH99</f>
        <v>85.85</v>
      </c>
      <c r="AM17" s="13">
        <f>'ETS Emissions'!AI99</f>
        <v>85.85</v>
      </c>
      <c r="AN17" s="13">
        <f>'ETS Emissions'!AJ99</f>
        <v>85.85</v>
      </c>
      <c r="AO17" s="13">
        <f>'ETS Emissions'!AK99</f>
        <v>85.85</v>
      </c>
      <c r="AP17" s="13">
        <f>'ETS Emissions'!AL99</f>
        <v>85.85</v>
      </c>
      <c r="AQ17" s="13">
        <f>'ETS Emissions'!AM99</f>
        <v>85.85</v>
      </c>
      <c r="AV17" s="9" t="str">
        <f t="shared" si="0"/>
        <v>ELCSLU</v>
      </c>
      <c r="AW17" s="9" t="s">
        <v>133</v>
      </c>
    </row>
    <row r="18" spans="3:49">
      <c r="C18" s="9" t="s">
        <v>2</v>
      </c>
      <c r="E18" s="9" t="str">
        <f>'ETS Emissions'!B100</f>
        <v>ELCWOO</v>
      </c>
      <c r="F18" s="21">
        <f t="shared" si="1"/>
        <v>0</v>
      </c>
      <c r="G18" s="13">
        <f>'ETS Emissions'!C100</f>
        <v>0</v>
      </c>
      <c r="H18" s="13">
        <f>'ETS Emissions'!D100</f>
        <v>0</v>
      </c>
      <c r="I18" s="13">
        <f>'ETS Emissions'!E100</f>
        <v>0</v>
      </c>
      <c r="J18" s="13">
        <f>'ETS Emissions'!F100</f>
        <v>0</v>
      </c>
      <c r="K18" s="13">
        <f>'ETS Emissions'!G100</f>
        <v>0</v>
      </c>
      <c r="L18" s="13">
        <f>'ETS Emissions'!H100</f>
        <v>0</v>
      </c>
      <c r="M18" s="13">
        <f>'ETS Emissions'!I100</f>
        <v>0</v>
      </c>
      <c r="N18" s="13">
        <f>'ETS Emissions'!J100</f>
        <v>0</v>
      </c>
      <c r="O18" s="13">
        <f>'ETS Emissions'!K100</f>
        <v>0</v>
      </c>
      <c r="P18" s="13">
        <f>'ETS Emissions'!L100</f>
        <v>0</v>
      </c>
      <c r="Q18" s="13">
        <f>'ETS Emissions'!M100</f>
        <v>0</v>
      </c>
      <c r="R18" s="13">
        <f>'ETS Emissions'!N100</f>
        <v>0</v>
      </c>
      <c r="S18" s="13">
        <f>'ETS Emissions'!O100</f>
        <v>0</v>
      </c>
      <c r="T18" s="13">
        <f>'ETS Emissions'!P100</f>
        <v>0</v>
      </c>
      <c r="U18" s="13">
        <f>'ETS Emissions'!Q100</f>
        <v>0</v>
      </c>
      <c r="V18" s="13">
        <f>'ETS Emissions'!R100</f>
        <v>0</v>
      </c>
      <c r="W18" s="13">
        <f>'ETS Emissions'!S100</f>
        <v>0</v>
      </c>
      <c r="X18" s="13">
        <f>'ETS Emissions'!T100</f>
        <v>0</v>
      </c>
      <c r="Y18" s="13">
        <f>'ETS Emissions'!U100</f>
        <v>0</v>
      </c>
      <c r="Z18" s="13">
        <f>'ETS Emissions'!V100</f>
        <v>0</v>
      </c>
      <c r="AA18" s="13">
        <f>'ETS Emissions'!W100</f>
        <v>0</v>
      </c>
      <c r="AB18" s="13">
        <f>'ETS Emissions'!X100</f>
        <v>0</v>
      </c>
      <c r="AC18" s="13">
        <f>'ETS Emissions'!Y100</f>
        <v>0</v>
      </c>
      <c r="AD18" s="13">
        <f>'ETS Emissions'!Z100</f>
        <v>0</v>
      </c>
      <c r="AE18" s="13">
        <f>'ETS Emissions'!AA100</f>
        <v>0</v>
      </c>
      <c r="AF18" s="13">
        <f>'ETS Emissions'!AB100</f>
        <v>0</v>
      </c>
      <c r="AG18" s="13">
        <f>'ETS Emissions'!AC100</f>
        <v>0</v>
      </c>
      <c r="AH18" s="13">
        <f>'ETS Emissions'!AD100</f>
        <v>0</v>
      </c>
      <c r="AI18" s="13">
        <f>'ETS Emissions'!AE100</f>
        <v>0</v>
      </c>
      <c r="AJ18" s="13">
        <f>'ETS Emissions'!AF100</f>
        <v>0</v>
      </c>
      <c r="AK18" s="13">
        <f>'ETS Emissions'!AG100</f>
        <v>0</v>
      </c>
      <c r="AL18" s="13">
        <f>'ETS Emissions'!AH100</f>
        <v>0</v>
      </c>
      <c r="AM18" s="13">
        <f>'ETS Emissions'!AI100</f>
        <v>0</v>
      </c>
      <c r="AN18" s="13">
        <f>'ETS Emissions'!AJ100</f>
        <v>0</v>
      </c>
      <c r="AO18" s="13">
        <f>'ETS Emissions'!AK100</f>
        <v>0</v>
      </c>
      <c r="AP18" s="13">
        <f>'ETS Emissions'!AL100</f>
        <v>0</v>
      </c>
      <c r="AQ18" s="13">
        <f>'ETS Emissions'!AM100</f>
        <v>0</v>
      </c>
      <c r="AV18" s="9" t="str">
        <f t="shared" si="0"/>
        <v>ELCWOO</v>
      </c>
      <c r="AW18" s="9" t="s">
        <v>133</v>
      </c>
    </row>
    <row r="19" spans="3:49">
      <c r="C19" s="9" t="s">
        <v>127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 spans="3:49">
      <c r="C20" s="9" t="s">
        <v>2</v>
      </c>
      <c r="E20" s="9" t="str">
        <f>'ETS Emissions'!B101</f>
        <v>INDBFG</v>
      </c>
      <c r="F20" s="21">
        <f t="shared" ref="F20:F36" si="3">AVERAGE(AD20,AH20,AI20)</f>
        <v>108.2</v>
      </c>
      <c r="G20" s="13">
        <f>'ETS Emissions'!C101</f>
        <v>108.2</v>
      </c>
      <c r="H20" s="13">
        <f>'ETS Emissions'!D101</f>
        <v>108.2</v>
      </c>
      <c r="I20" s="13">
        <f>'ETS Emissions'!E101</f>
        <v>108.2</v>
      </c>
      <c r="J20" s="13">
        <f>'ETS Emissions'!F101</f>
        <v>108.2</v>
      </c>
      <c r="K20" s="13">
        <f>'ETS Emissions'!G101</f>
        <v>108.2</v>
      </c>
      <c r="L20" s="13">
        <f>'ETS Emissions'!H101</f>
        <v>108.2</v>
      </c>
      <c r="M20" s="13">
        <f>'ETS Emissions'!I101</f>
        <v>108.2</v>
      </c>
      <c r="N20" s="13">
        <f>'ETS Emissions'!J101</f>
        <v>108.2</v>
      </c>
      <c r="O20" s="13">
        <f>'ETS Emissions'!K101</f>
        <v>108.2</v>
      </c>
      <c r="P20" s="13">
        <f>'ETS Emissions'!L101</f>
        <v>108.2</v>
      </c>
      <c r="Q20" s="13">
        <f>'ETS Emissions'!M101</f>
        <v>107.65900000000001</v>
      </c>
      <c r="R20" s="13">
        <f>'ETS Emissions'!N101</f>
        <v>108.2</v>
      </c>
      <c r="S20" s="13">
        <f>'ETS Emissions'!O101</f>
        <v>108.2</v>
      </c>
      <c r="T20" s="13">
        <f>'ETS Emissions'!P101</f>
        <v>108.2</v>
      </c>
      <c r="U20" s="13">
        <f>'ETS Emissions'!Q101</f>
        <v>108.2</v>
      </c>
      <c r="V20" s="13">
        <f>'ETS Emissions'!R101</f>
        <v>108.2</v>
      </c>
      <c r="W20" s="13">
        <f>'ETS Emissions'!S101</f>
        <v>108.2</v>
      </c>
      <c r="X20" s="13">
        <f>'ETS Emissions'!T101</f>
        <v>108.2</v>
      </c>
      <c r="Y20" s="13">
        <f>'ETS Emissions'!U101</f>
        <v>108.2</v>
      </c>
      <c r="Z20" s="13">
        <f>'ETS Emissions'!V101</f>
        <v>108.2</v>
      </c>
      <c r="AA20" s="13">
        <f>'ETS Emissions'!W101</f>
        <v>108.2</v>
      </c>
      <c r="AB20" s="13">
        <f>'ETS Emissions'!X101</f>
        <v>108.2</v>
      </c>
      <c r="AC20" s="13">
        <f>'ETS Emissions'!Y101</f>
        <v>108.2</v>
      </c>
      <c r="AD20" s="13">
        <f>'ETS Emissions'!Z101</f>
        <v>108.2</v>
      </c>
      <c r="AE20" s="13">
        <f>'ETS Emissions'!AA101</f>
        <v>108.2</v>
      </c>
      <c r="AF20" s="13">
        <f>'ETS Emissions'!AB101</f>
        <v>108.2</v>
      </c>
      <c r="AG20" s="13">
        <f>'ETS Emissions'!AC101</f>
        <v>108.2</v>
      </c>
      <c r="AH20" s="13">
        <f>'ETS Emissions'!AD101</f>
        <v>108.2</v>
      </c>
      <c r="AI20" s="13">
        <f>'ETS Emissions'!AE101</f>
        <v>108.2</v>
      </c>
      <c r="AJ20" s="13">
        <f>'ETS Emissions'!AF101</f>
        <v>108.2</v>
      </c>
      <c r="AK20" s="13">
        <f>'ETS Emissions'!AG101</f>
        <v>108.2</v>
      </c>
      <c r="AL20" s="13">
        <f>'ETS Emissions'!AH101</f>
        <v>108.2</v>
      </c>
      <c r="AM20" s="13">
        <f>'ETS Emissions'!AI101</f>
        <v>108.2</v>
      </c>
      <c r="AN20" s="13">
        <f>'ETS Emissions'!AJ101</f>
        <v>108.2</v>
      </c>
      <c r="AO20" s="13">
        <f>'ETS Emissions'!AK101</f>
        <v>108.2</v>
      </c>
      <c r="AP20" s="13">
        <f>'ETS Emissions'!AL101</f>
        <v>108.2</v>
      </c>
      <c r="AQ20" s="13">
        <f>'ETS Emissions'!AM101</f>
        <v>108.2</v>
      </c>
      <c r="AS20" s="9" t="s">
        <v>135</v>
      </c>
      <c r="AV20" s="9" t="str">
        <f t="shared" ref="AV20:AV36" si="4">E20</f>
        <v>INDBFG</v>
      </c>
      <c r="AW20" s="9" t="s">
        <v>133</v>
      </c>
    </row>
    <row r="21" spans="3:49">
      <c r="C21" s="9" t="s">
        <v>2</v>
      </c>
      <c r="E21" s="9" t="str">
        <f>'ETS Emissions'!B102</f>
        <v>INDBIO</v>
      </c>
      <c r="F21" s="21">
        <f t="shared" si="3"/>
        <v>0</v>
      </c>
      <c r="G21" s="13">
        <f>'ETS Emissions'!C102</f>
        <v>0</v>
      </c>
      <c r="H21" s="13">
        <f>'ETS Emissions'!D102</f>
        <v>0</v>
      </c>
      <c r="I21" s="13">
        <f>'ETS Emissions'!E102</f>
        <v>0</v>
      </c>
      <c r="J21" s="13">
        <f>'ETS Emissions'!F102</f>
        <v>0</v>
      </c>
      <c r="K21" s="13">
        <f>'ETS Emissions'!G102</f>
        <v>0</v>
      </c>
      <c r="L21" s="13">
        <f>'ETS Emissions'!H102</f>
        <v>0</v>
      </c>
      <c r="M21" s="13">
        <f>'ETS Emissions'!I102</f>
        <v>0</v>
      </c>
      <c r="N21" s="13">
        <f>'ETS Emissions'!J102</f>
        <v>0</v>
      </c>
      <c r="O21" s="13">
        <f>'ETS Emissions'!K102</f>
        <v>0</v>
      </c>
      <c r="P21" s="13">
        <f>'ETS Emissions'!L102</f>
        <v>0</v>
      </c>
      <c r="Q21" s="13">
        <f>'ETS Emissions'!M102</f>
        <v>0</v>
      </c>
      <c r="R21" s="13">
        <f>'ETS Emissions'!N102</f>
        <v>0</v>
      </c>
      <c r="S21" s="13">
        <f>'ETS Emissions'!O102</f>
        <v>0</v>
      </c>
      <c r="T21" s="13">
        <f>'ETS Emissions'!P102</f>
        <v>0</v>
      </c>
      <c r="U21" s="13">
        <f>'ETS Emissions'!Q102</f>
        <v>0</v>
      </c>
      <c r="V21" s="13">
        <f>'ETS Emissions'!R102</f>
        <v>0</v>
      </c>
      <c r="W21" s="13">
        <f>'ETS Emissions'!S102</f>
        <v>0</v>
      </c>
      <c r="X21" s="13">
        <f>'ETS Emissions'!T102</f>
        <v>0</v>
      </c>
      <c r="Y21" s="13">
        <f>'ETS Emissions'!U102</f>
        <v>0</v>
      </c>
      <c r="Z21" s="13">
        <f>'ETS Emissions'!V102</f>
        <v>0</v>
      </c>
      <c r="AA21" s="13">
        <f>'ETS Emissions'!W102</f>
        <v>0</v>
      </c>
      <c r="AB21" s="13">
        <f>'ETS Emissions'!X102</f>
        <v>0</v>
      </c>
      <c r="AC21" s="13">
        <f>'ETS Emissions'!Y102</f>
        <v>0</v>
      </c>
      <c r="AD21" s="13">
        <f>'ETS Emissions'!Z102</f>
        <v>0</v>
      </c>
      <c r="AE21" s="13">
        <f>'ETS Emissions'!AA102</f>
        <v>0</v>
      </c>
      <c r="AF21" s="13">
        <f>'ETS Emissions'!AB102</f>
        <v>0</v>
      </c>
      <c r="AG21" s="13">
        <f>'ETS Emissions'!AC102</f>
        <v>0</v>
      </c>
      <c r="AH21" s="13">
        <f>'ETS Emissions'!AD102</f>
        <v>0</v>
      </c>
      <c r="AI21" s="13">
        <f>'ETS Emissions'!AE102</f>
        <v>0</v>
      </c>
      <c r="AJ21" s="13">
        <f>'ETS Emissions'!AF102</f>
        <v>0</v>
      </c>
      <c r="AK21" s="13">
        <f>'ETS Emissions'!AG102</f>
        <v>0</v>
      </c>
      <c r="AL21" s="13">
        <f>'ETS Emissions'!AH102</f>
        <v>0</v>
      </c>
      <c r="AM21" s="13">
        <f>'ETS Emissions'!AI102</f>
        <v>0</v>
      </c>
      <c r="AN21" s="13">
        <f>'ETS Emissions'!AJ102</f>
        <v>0</v>
      </c>
      <c r="AO21" s="13">
        <f>'ETS Emissions'!AK102</f>
        <v>0</v>
      </c>
      <c r="AP21" s="13">
        <f>'ETS Emissions'!AL102</f>
        <v>0</v>
      </c>
      <c r="AQ21" s="13">
        <f>'ETS Emissions'!AM102</f>
        <v>0</v>
      </c>
      <c r="AS21" s="9" t="s">
        <v>135</v>
      </c>
      <c r="AV21" s="9" t="str">
        <f t="shared" si="4"/>
        <v>INDBIO</v>
      </c>
      <c r="AW21" s="9" t="s">
        <v>133</v>
      </c>
    </row>
    <row r="22" spans="3:49">
      <c r="C22" s="9" t="s">
        <v>2</v>
      </c>
      <c r="E22" s="9" t="str">
        <f>'ETS Emissions'!B103</f>
        <v>INDCOA</v>
      </c>
      <c r="F22" s="21">
        <f t="shared" si="3"/>
        <v>96.100000000000009</v>
      </c>
      <c r="G22" s="13">
        <f>'ETS Emissions'!C103</f>
        <v>95</v>
      </c>
      <c r="H22" s="13">
        <f>'ETS Emissions'!D103</f>
        <v>98.3</v>
      </c>
      <c r="I22" s="13">
        <f>'ETS Emissions'!E103</f>
        <v>95</v>
      </c>
      <c r="J22" s="13">
        <f>'ETS Emissions'!F103</f>
        <v>98.3</v>
      </c>
      <c r="K22" s="13">
        <f>'ETS Emissions'!G103</f>
        <v>98.3</v>
      </c>
      <c r="L22" s="13">
        <f>'ETS Emissions'!H103</f>
        <v>95</v>
      </c>
      <c r="M22" s="13">
        <f>'ETS Emissions'!I103</f>
        <v>95</v>
      </c>
      <c r="N22" s="13">
        <f>'ETS Emissions'!J103</f>
        <v>98.3</v>
      </c>
      <c r="O22" s="13">
        <f>'ETS Emissions'!K103</f>
        <v>98.3</v>
      </c>
      <c r="P22" s="13">
        <f>'ETS Emissions'!L103</f>
        <v>98.3</v>
      </c>
      <c r="Q22" s="13">
        <f>'ETS Emissions'!M103</f>
        <v>92.707999999999998</v>
      </c>
      <c r="R22" s="13">
        <f>'ETS Emissions'!N103</f>
        <v>98.3</v>
      </c>
      <c r="S22" s="13">
        <f>'ETS Emissions'!O103</f>
        <v>98.3</v>
      </c>
      <c r="T22" s="13">
        <f>'ETS Emissions'!P103</f>
        <v>95</v>
      </c>
      <c r="U22" s="13">
        <f>'ETS Emissions'!Q103</f>
        <v>98.3</v>
      </c>
      <c r="V22" s="13">
        <f>'ETS Emissions'!R103</f>
        <v>98.3</v>
      </c>
      <c r="W22" s="13">
        <f>'ETS Emissions'!S103</f>
        <v>98.3</v>
      </c>
      <c r="X22" s="13">
        <f>'ETS Emissions'!T103</f>
        <v>98.3</v>
      </c>
      <c r="Y22" s="13">
        <f>'ETS Emissions'!U103</f>
        <v>98.3</v>
      </c>
      <c r="Z22" s="13">
        <f>'ETS Emissions'!V103</f>
        <v>98.3</v>
      </c>
      <c r="AA22" s="13">
        <f>'ETS Emissions'!W103</f>
        <v>98.3</v>
      </c>
      <c r="AB22" s="13">
        <f>'ETS Emissions'!X103</f>
        <v>98.3</v>
      </c>
      <c r="AC22" s="13">
        <f>'ETS Emissions'!Y103</f>
        <v>98.3</v>
      </c>
      <c r="AD22" s="13">
        <f>'ETS Emissions'!Z103</f>
        <v>95</v>
      </c>
      <c r="AE22" s="13">
        <f>'ETS Emissions'!AA103</f>
        <v>98.3</v>
      </c>
      <c r="AF22" s="13">
        <f>'ETS Emissions'!AB103</f>
        <v>98.3</v>
      </c>
      <c r="AG22" s="13">
        <f>'ETS Emissions'!AC103</f>
        <v>98.3</v>
      </c>
      <c r="AH22" s="13">
        <f>'ETS Emissions'!AD103</f>
        <v>98.3</v>
      </c>
      <c r="AI22" s="13">
        <f>'ETS Emissions'!AE103</f>
        <v>95</v>
      </c>
      <c r="AJ22" s="13">
        <f>'ETS Emissions'!AF103</f>
        <v>98.3</v>
      </c>
      <c r="AK22" s="13">
        <f>'ETS Emissions'!AG103</f>
        <v>95</v>
      </c>
      <c r="AL22" s="13">
        <f>'ETS Emissions'!AH103</f>
        <v>95</v>
      </c>
      <c r="AM22" s="13">
        <f>'ETS Emissions'!AI103</f>
        <v>95</v>
      </c>
      <c r="AN22" s="13">
        <f>'ETS Emissions'!AJ103</f>
        <v>95</v>
      </c>
      <c r="AO22" s="13">
        <f>'ETS Emissions'!AK103</f>
        <v>95</v>
      </c>
      <c r="AP22" s="13">
        <f>'ETS Emissions'!AL103</f>
        <v>95</v>
      </c>
      <c r="AQ22" s="13">
        <f>'ETS Emissions'!AM103</f>
        <v>95</v>
      </c>
      <c r="AS22" s="9" t="s">
        <v>135</v>
      </c>
      <c r="AV22" s="9" t="str">
        <f t="shared" si="4"/>
        <v>INDCOA</v>
      </c>
      <c r="AW22" s="9" t="s">
        <v>133</v>
      </c>
    </row>
    <row r="23" spans="3:49">
      <c r="C23" s="9" t="s">
        <v>2</v>
      </c>
      <c r="E23" s="9" t="str">
        <f>'ETS Emissions'!B104</f>
        <v>INDCOB</v>
      </c>
      <c r="F23" s="21">
        <f t="shared" si="3"/>
        <v>107.46666666666665</v>
      </c>
      <c r="G23" s="13">
        <f>'ETS Emissions'!C104</f>
        <v>110.6</v>
      </c>
      <c r="H23" s="13">
        <f>'ETS Emissions'!D104</f>
        <v>101.2</v>
      </c>
      <c r="I23" s="13">
        <f>'ETS Emissions'!E104</f>
        <v>110.6</v>
      </c>
      <c r="J23" s="13">
        <f>'ETS Emissions'!F104</f>
        <v>101.2</v>
      </c>
      <c r="K23" s="13">
        <f>'ETS Emissions'!G104</f>
        <v>101.2</v>
      </c>
      <c r="L23" s="13">
        <f>'ETS Emissions'!H104</f>
        <v>110.6</v>
      </c>
      <c r="M23" s="13">
        <f>'ETS Emissions'!I104</f>
        <v>110.6</v>
      </c>
      <c r="N23" s="13">
        <f>'ETS Emissions'!J104</f>
        <v>101.2</v>
      </c>
      <c r="O23" s="13">
        <f>'ETS Emissions'!K104</f>
        <v>101.2</v>
      </c>
      <c r="P23" s="13">
        <f>'ETS Emissions'!L104</f>
        <v>101.2</v>
      </c>
      <c r="Q23" s="13">
        <f>'ETS Emissions'!M104</f>
        <v>104.544</v>
      </c>
      <c r="R23" s="13">
        <f>'ETS Emissions'!N104</f>
        <v>101.2</v>
      </c>
      <c r="S23" s="13">
        <f>'ETS Emissions'!O104</f>
        <v>101.2</v>
      </c>
      <c r="T23" s="13">
        <f>'ETS Emissions'!P104</f>
        <v>110.6</v>
      </c>
      <c r="U23" s="13">
        <f>'ETS Emissions'!Q104</f>
        <v>101.2</v>
      </c>
      <c r="V23" s="13">
        <f>'ETS Emissions'!R104</f>
        <v>101.2</v>
      </c>
      <c r="W23" s="13">
        <f>'ETS Emissions'!S104</f>
        <v>101.2</v>
      </c>
      <c r="X23" s="13">
        <f>'ETS Emissions'!T104</f>
        <v>101.2</v>
      </c>
      <c r="Y23" s="13">
        <f>'ETS Emissions'!U104</f>
        <v>101.2</v>
      </c>
      <c r="Z23" s="13">
        <f>'ETS Emissions'!V104</f>
        <v>101.2</v>
      </c>
      <c r="AA23" s="13">
        <f>'ETS Emissions'!W104</f>
        <v>101.2</v>
      </c>
      <c r="AB23" s="13">
        <f>'ETS Emissions'!X104</f>
        <v>101.2</v>
      </c>
      <c r="AC23" s="13">
        <f>'ETS Emissions'!Y104</f>
        <v>101.2</v>
      </c>
      <c r="AD23" s="13">
        <f>'ETS Emissions'!Z104</f>
        <v>110.6</v>
      </c>
      <c r="AE23" s="13">
        <f>'ETS Emissions'!AA104</f>
        <v>101.2</v>
      </c>
      <c r="AF23" s="13">
        <f>'ETS Emissions'!AB104</f>
        <v>101.2</v>
      </c>
      <c r="AG23" s="13">
        <f>'ETS Emissions'!AC104</f>
        <v>101.2</v>
      </c>
      <c r="AH23" s="13">
        <f>'ETS Emissions'!AD104</f>
        <v>101.2</v>
      </c>
      <c r="AI23" s="13">
        <f>'ETS Emissions'!AE104</f>
        <v>110.6</v>
      </c>
      <c r="AJ23" s="13">
        <f>'ETS Emissions'!AF104</f>
        <v>101.2</v>
      </c>
      <c r="AK23" s="13">
        <f>'ETS Emissions'!AG104</f>
        <v>110.6</v>
      </c>
      <c r="AL23" s="13">
        <f>'ETS Emissions'!AH104</f>
        <v>110.6</v>
      </c>
      <c r="AM23" s="13">
        <f>'ETS Emissions'!AI104</f>
        <v>110.6</v>
      </c>
      <c r="AN23" s="13">
        <f>'ETS Emissions'!AJ104</f>
        <v>110.6</v>
      </c>
      <c r="AO23" s="13">
        <f>'ETS Emissions'!AK104</f>
        <v>110.6</v>
      </c>
      <c r="AP23" s="13">
        <f>'ETS Emissions'!AL104</f>
        <v>110.6</v>
      </c>
      <c r="AQ23" s="13">
        <f>'ETS Emissions'!AM104</f>
        <v>110.6</v>
      </c>
      <c r="AS23" s="9" t="s">
        <v>135</v>
      </c>
      <c r="AV23" s="9" t="str">
        <f t="shared" si="4"/>
        <v>INDCOB</v>
      </c>
      <c r="AW23" s="9" t="s">
        <v>133</v>
      </c>
    </row>
    <row r="24" spans="3:49">
      <c r="C24" s="9" t="s">
        <v>2</v>
      </c>
      <c r="E24" s="9" t="str">
        <f>'ETS Emissions'!B105</f>
        <v>INDCOG</v>
      </c>
      <c r="F24" s="21">
        <f t="shared" si="3"/>
        <v>108.2</v>
      </c>
      <c r="G24" s="13">
        <f>'ETS Emissions'!C105</f>
        <v>108.2</v>
      </c>
      <c r="H24" s="13">
        <f>'ETS Emissions'!D105</f>
        <v>108.2</v>
      </c>
      <c r="I24" s="13">
        <f>'ETS Emissions'!E105</f>
        <v>108.2</v>
      </c>
      <c r="J24" s="13">
        <f>'ETS Emissions'!F105</f>
        <v>108.2</v>
      </c>
      <c r="K24" s="13">
        <f>'ETS Emissions'!G105</f>
        <v>108.2</v>
      </c>
      <c r="L24" s="13">
        <f>'ETS Emissions'!H105</f>
        <v>108.2</v>
      </c>
      <c r="M24" s="13">
        <f>'ETS Emissions'!I105</f>
        <v>108.2</v>
      </c>
      <c r="N24" s="13">
        <f>'ETS Emissions'!J105</f>
        <v>108.2</v>
      </c>
      <c r="O24" s="13">
        <f>'ETS Emissions'!K105</f>
        <v>108.2</v>
      </c>
      <c r="P24" s="13">
        <f>'ETS Emissions'!L105</f>
        <v>108.2</v>
      </c>
      <c r="Q24" s="13">
        <f>'ETS Emissions'!M105</f>
        <v>107.65900000000001</v>
      </c>
      <c r="R24" s="13">
        <f>'ETS Emissions'!N105</f>
        <v>108.2</v>
      </c>
      <c r="S24" s="13">
        <f>'ETS Emissions'!O105</f>
        <v>108.2</v>
      </c>
      <c r="T24" s="13">
        <f>'ETS Emissions'!P105</f>
        <v>108.2</v>
      </c>
      <c r="U24" s="13">
        <f>'ETS Emissions'!Q105</f>
        <v>108.2</v>
      </c>
      <c r="V24" s="13">
        <f>'ETS Emissions'!R105</f>
        <v>108.2</v>
      </c>
      <c r="W24" s="13">
        <f>'ETS Emissions'!S105</f>
        <v>108.2</v>
      </c>
      <c r="X24" s="13">
        <f>'ETS Emissions'!T105</f>
        <v>108.2</v>
      </c>
      <c r="Y24" s="13">
        <f>'ETS Emissions'!U105</f>
        <v>108.2</v>
      </c>
      <c r="Z24" s="13">
        <f>'ETS Emissions'!V105</f>
        <v>108.2</v>
      </c>
      <c r="AA24" s="13">
        <f>'ETS Emissions'!W105</f>
        <v>108.2</v>
      </c>
      <c r="AB24" s="13">
        <f>'ETS Emissions'!X105</f>
        <v>108.2</v>
      </c>
      <c r="AC24" s="13">
        <f>'ETS Emissions'!Y105</f>
        <v>108.2</v>
      </c>
      <c r="AD24" s="13">
        <f>'ETS Emissions'!Z105</f>
        <v>108.2</v>
      </c>
      <c r="AE24" s="13">
        <f>'ETS Emissions'!AA105</f>
        <v>108.2</v>
      </c>
      <c r="AF24" s="13">
        <f>'ETS Emissions'!AB105</f>
        <v>108.2</v>
      </c>
      <c r="AG24" s="13">
        <f>'ETS Emissions'!AC105</f>
        <v>108.2</v>
      </c>
      <c r="AH24" s="13">
        <f>'ETS Emissions'!AD105</f>
        <v>108.2</v>
      </c>
      <c r="AI24" s="13">
        <f>'ETS Emissions'!AE105</f>
        <v>108.2</v>
      </c>
      <c r="AJ24" s="13">
        <f>'ETS Emissions'!AF105</f>
        <v>108.2</v>
      </c>
      <c r="AK24" s="13">
        <f>'ETS Emissions'!AG105</f>
        <v>108.2</v>
      </c>
      <c r="AL24" s="13">
        <f>'ETS Emissions'!AH105</f>
        <v>108.2</v>
      </c>
      <c r="AM24" s="13">
        <f>'ETS Emissions'!AI105</f>
        <v>108.2</v>
      </c>
      <c r="AN24" s="13">
        <f>'ETS Emissions'!AJ105</f>
        <v>108.2</v>
      </c>
      <c r="AO24" s="13">
        <f>'ETS Emissions'!AK105</f>
        <v>108.2</v>
      </c>
      <c r="AP24" s="13">
        <f>'ETS Emissions'!AL105</f>
        <v>108.2</v>
      </c>
      <c r="AQ24" s="13">
        <f>'ETS Emissions'!AM105</f>
        <v>108.2</v>
      </c>
      <c r="AS24" s="9" t="s">
        <v>135</v>
      </c>
      <c r="AV24" s="9" t="str">
        <f t="shared" si="4"/>
        <v>INDCOG</v>
      </c>
      <c r="AW24" s="9" t="s">
        <v>133</v>
      </c>
    </row>
    <row r="25" spans="3:49">
      <c r="C25" s="9" t="s">
        <v>2</v>
      </c>
      <c r="E25" s="9" t="str">
        <f>'ETS Emissions'!B106</f>
        <v>INDCOK</v>
      </c>
      <c r="F25" s="21">
        <f t="shared" si="3"/>
        <v>107.46666666666665</v>
      </c>
      <c r="G25" s="13">
        <f>'ETS Emissions'!C106</f>
        <v>110.6</v>
      </c>
      <c r="H25" s="13">
        <f>'ETS Emissions'!D106</f>
        <v>101.2</v>
      </c>
      <c r="I25" s="13">
        <f>'ETS Emissions'!E106</f>
        <v>110.6</v>
      </c>
      <c r="J25" s="13">
        <f>'ETS Emissions'!F106</f>
        <v>101.2</v>
      </c>
      <c r="K25" s="13">
        <f>'ETS Emissions'!G106</f>
        <v>101.2</v>
      </c>
      <c r="L25" s="13">
        <f>'ETS Emissions'!H106</f>
        <v>110.6</v>
      </c>
      <c r="M25" s="13">
        <f>'ETS Emissions'!I106</f>
        <v>110.6</v>
      </c>
      <c r="N25" s="13">
        <f>'ETS Emissions'!J106</f>
        <v>101.2</v>
      </c>
      <c r="O25" s="13">
        <f>'ETS Emissions'!K106</f>
        <v>101.2</v>
      </c>
      <c r="P25" s="13">
        <f>'ETS Emissions'!L106</f>
        <v>101.2</v>
      </c>
      <c r="Q25" s="13">
        <f>'ETS Emissions'!M106</f>
        <v>99.176000000000002</v>
      </c>
      <c r="R25" s="13">
        <f>'ETS Emissions'!N106</f>
        <v>101.2</v>
      </c>
      <c r="S25" s="13">
        <f>'ETS Emissions'!O106</f>
        <v>101.2</v>
      </c>
      <c r="T25" s="13">
        <f>'ETS Emissions'!P106</f>
        <v>110.6</v>
      </c>
      <c r="U25" s="13">
        <f>'ETS Emissions'!Q106</f>
        <v>101.2</v>
      </c>
      <c r="V25" s="13">
        <f>'ETS Emissions'!R106</f>
        <v>101.2</v>
      </c>
      <c r="W25" s="13">
        <f>'ETS Emissions'!S106</f>
        <v>101.2</v>
      </c>
      <c r="X25" s="13">
        <f>'ETS Emissions'!T106</f>
        <v>101.2</v>
      </c>
      <c r="Y25" s="13">
        <f>'ETS Emissions'!U106</f>
        <v>101.2</v>
      </c>
      <c r="Z25" s="13">
        <f>'ETS Emissions'!V106</f>
        <v>101.2</v>
      </c>
      <c r="AA25" s="13">
        <f>'ETS Emissions'!W106</f>
        <v>101.2</v>
      </c>
      <c r="AB25" s="13">
        <f>'ETS Emissions'!X106</f>
        <v>101.2</v>
      </c>
      <c r="AC25" s="13">
        <f>'ETS Emissions'!Y106</f>
        <v>101.2</v>
      </c>
      <c r="AD25" s="13">
        <f>'ETS Emissions'!Z106</f>
        <v>110.6</v>
      </c>
      <c r="AE25" s="13">
        <f>'ETS Emissions'!AA106</f>
        <v>101.2</v>
      </c>
      <c r="AF25" s="13">
        <f>'ETS Emissions'!AB106</f>
        <v>101.2</v>
      </c>
      <c r="AG25" s="13">
        <f>'ETS Emissions'!AC106</f>
        <v>101.2</v>
      </c>
      <c r="AH25" s="13">
        <f>'ETS Emissions'!AD106</f>
        <v>101.2</v>
      </c>
      <c r="AI25" s="13">
        <f>'ETS Emissions'!AE106</f>
        <v>110.6</v>
      </c>
      <c r="AJ25" s="13">
        <f>'ETS Emissions'!AF106</f>
        <v>101.2</v>
      </c>
      <c r="AK25" s="13">
        <f>'ETS Emissions'!AG106</f>
        <v>110.6</v>
      </c>
      <c r="AL25" s="13">
        <f>'ETS Emissions'!AH106</f>
        <v>110.6</v>
      </c>
      <c r="AM25" s="13">
        <f>'ETS Emissions'!AI106</f>
        <v>110.6</v>
      </c>
      <c r="AN25" s="13">
        <f>'ETS Emissions'!AJ106</f>
        <v>110.6</v>
      </c>
      <c r="AO25" s="13">
        <f>'ETS Emissions'!AK106</f>
        <v>110.6</v>
      </c>
      <c r="AP25" s="13">
        <f>'ETS Emissions'!AL106</f>
        <v>110.6</v>
      </c>
      <c r="AQ25" s="13">
        <f>'ETS Emissions'!AM106</f>
        <v>110.6</v>
      </c>
      <c r="AS25" s="9" t="s">
        <v>135</v>
      </c>
      <c r="AV25" s="9" t="str">
        <f t="shared" si="4"/>
        <v>INDCOK</v>
      </c>
      <c r="AW25" s="9" t="s">
        <v>133</v>
      </c>
    </row>
    <row r="26" spans="3:49">
      <c r="C26" s="9" t="s">
        <v>2</v>
      </c>
      <c r="E26" s="9" t="str">
        <f>'ETS Emissions'!B107</f>
        <v>INDCOL</v>
      </c>
      <c r="F26" s="21">
        <f t="shared" si="3"/>
        <v>101.53333333333335</v>
      </c>
      <c r="G26" s="13">
        <f>'ETS Emissions'!C107</f>
        <v>105</v>
      </c>
      <c r="H26" s="13">
        <f>'ETS Emissions'!D107</f>
        <v>94.6</v>
      </c>
      <c r="I26" s="13">
        <f>'ETS Emissions'!E107</f>
        <v>105</v>
      </c>
      <c r="J26" s="13">
        <f>'ETS Emissions'!F107</f>
        <v>94.6</v>
      </c>
      <c r="K26" s="13">
        <f>'ETS Emissions'!G107</f>
        <v>94.6</v>
      </c>
      <c r="L26" s="13">
        <f>'ETS Emissions'!H107</f>
        <v>105</v>
      </c>
      <c r="M26" s="13">
        <f>'ETS Emissions'!I107</f>
        <v>105</v>
      </c>
      <c r="N26" s="13">
        <f>'ETS Emissions'!J107</f>
        <v>94.6</v>
      </c>
      <c r="O26" s="13">
        <f>'ETS Emissions'!K107</f>
        <v>94.6</v>
      </c>
      <c r="P26" s="13">
        <f>'ETS Emissions'!L107</f>
        <v>94.6</v>
      </c>
      <c r="Q26" s="13">
        <f>'ETS Emissions'!M107</f>
        <v>105.84</v>
      </c>
      <c r="R26" s="13">
        <f>'ETS Emissions'!N107</f>
        <v>94.6</v>
      </c>
      <c r="S26" s="13">
        <f>'ETS Emissions'!O107</f>
        <v>94.6</v>
      </c>
      <c r="T26" s="13">
        <f>'ETS Emissions'!P107</f>
        <v>105</v>
      </c>
      <c r="U26" s="13">
        <f>'ETS Emissions'!Q107</f>
        <v>94.6</v>
      </c>
      <c r="V26" s="13">
        <f>'ETS Emissions'!R107</f>
        <v>94.6</v>
      </c>
      <c r="W26" s="13">
        <f>'ETS Emissions'!S107</f>
        <v>94.6</v>
      </c>
      <c r="X26" s="13">
        <f>'ETS Emissions'!T107</f>
        <v>94.6</v>
      </c>
      <c r="Y26" s="13">
        <f>'ETS Emissions'!U107</f>
        <v>94.6</v>
      </c>
      <c r="Z26" s="13">
        <f>'ETS Emissions'!V107</f>
        <v>94.6</v>
      </c>
      <c r="AA26" s="13">
        <f>'ETS Emissions'!W107</f>
        <v>94.6</v>
      </c>
      <c r="AB26" s="13">
        <f>'ETS Emissions'!X107</f>
        <v>94.6</v>
      </c>
      <c r="AC26" s="13">
        <f>'ETS Emissions'!Y107</f>
        <v>94.6</v>
      </c>
      <c r="AD26" s="13">
        <f>'ETS Emissions'!Z107</f>
        <v>105</v>
      </c>
      <c r="AE26" s="13">
        <f>'ETS Emissions'!AA107</f>
        <v>94.6</v>
      </c>
      <c r="AF26" s="13">
        <f>'ETS Emissions'!AB107</f>
        <v>94.6</v>
      </c>
      <c r="AG26" s="13">
        <f>'ETS Emissions'!AC107</f>
        <v>94.6</v>
      </c>
      <c r="AH26" s="13">
        <f>'ETS Emissions'!AD107</f>
        <v>94.6</v>
      </c>
      <c r="AI26" s="13">
        <f>'ETS Emissions'!AE107</f>
        <v>105</v>
      </c>
      <c r="AJ26" s="13">
        <f>'ETS Emissions'!AF107</f>
        <v>94.6</v>
      </c>
      <c r="AK26" s="13">
        <f>'ETS Emissions'!AG107</f>
        <v>105</v>
      </c>
      <c r="AL26" s="13">
        <f>'ETS Emissions'!AH107</f>
        <v>105</v>
      </c>
      <c r="AM26" s="13">
        <f>'ETS Emissions'!AI107</f>
        <v>105</v>
      </c>
      <c r="AN26" s="13">
        <f>'ETS Emissions'!AJ107</f>
        <v>105</v>
      </c>
      <c r="AO26" s="13">
        <f>'ETS Emissions'!AK107</f>
        <v>105</v>
      </c>
      <c r="AP26" s="13">
        <f>'ETS Emissions'!AL107</f>
        <v>105</v>
      </c>
      <c r="AQ26" s="13">
        <f>'ETS Emissions'!AM107</f>
        <v>105</v>
      </c>
      <c r="AS26" s="9" t="s">
        <v>135</v>
      </c>
      <c r="AV26" s="9" t="str">
        <f t="shared" si="4"/>
        <v>INDCOL</v>
      </c>
      <c r="AW26" s="9" t="s">
        <v>133</v>
      </c>
    </row>
    <row r="27" spans="3:49">
      <c r="C27" s="9" t="s">
        <v>2</v>
      </c>
      <c r="E27" s="9" t="str">
        <f>'ETS Emissions'!B108</f>
        <v>INDDME</v>
      </c>
      <c r="F27" s="21">
        <f t="shared" si="3"/>
        <v>66.4201388888889</v>
      </c>
      <c r="G27" s="13">
        <f>'ETS Emissions'!C108</f>
        <v>66.4201388888889</v>
      </c>
      <c r="H27" s="13">
        <f>'ETS Emissions'!D108</f>
        <v>66.4201388888889</v>
      </c>
      <c r="I27" s="13">
        <f>'ETS Emissions'!E108</f>
        <v>66.4201388888889</v>
      </c>
      <c r="J27" s="13">
        <f>'ETS Emissions'!F108</f>
        <v>66.4201388888889</v>
      </c>
      <c r="K27" s="13">
        <f>'ETS Emissions'!G108</f>
        <v>66.4201388888889</v>
      </c>
      <c r="L27" s="13">
        <f>'ETS Emissions'!H108</f>
        <v>66.4201388888889</v>
      </c>
      <c r="M27" s="13">
        <f>'ETS Emissions'!I108</f>
        <v>66.4201388888889</v>
      </c>
      <c r="N27" s="13">
        <f>'ETS Emissions'!J108</f>
        <v>66.4201388888889</v>
      </c>
      <c r="O27" s="13">
        <f>'ETS Emissions'!K108</f>
        <v>66.4201388888889</v>
      </c>
      <c r="P27" s="13">
        <f>'ETS Emissions'!L108</f>
        <v>66.4201388888889</v>
      </c>
      <c r="Q27" s="13">
        <f>'ETS Emissions'!M108</f>
        <v>66.4201388888889</v>
      </c>
      <c r="R27" s="13">
        <f>'ETS Emissions'!N108</f>
        <v>66.4201388888889</v>
      </c>
      <c r="S27" s="13">
        <f>'ETS Emissions'!O108</f>
        <v>66.4201388888889</v>
      </c>
      <c r="T27" s="13">
        <f>'ETS Emissions'!P108</f>
        <v>66.4201388888889</v>
      </c>
      <c r="U27" s="13">
        <f>'ETS Emissions'!Q108</f>
        <v>66.4201388888889</v>
      </c>
      <c r="V27" s="13">
        <f>'ETS Emissions'!R108</f>
        <v>66.4201388888889</v>
      </c>
      <c r="W27" s="13">
        <f>'ETS Emissions'!S108</f>
        <v>66.4201388888889</v>
      </c>
      <c r="X27" s="13">
        <f>'ETS Emissions'!T108</f>
        <v>66.4201388888889</v>
      </c>
      <c r="Y27" s="13">
        <f>'ETS Emissions'!U108</f>
        <v>66.4201388888889</v>
      </c>
      <c r="Z27" s="13">
        <f>'ETS Emissions'!V108</f>
        <v>66.4201388888889</v>
      </c>
      <c r="AA27" s="13">
        <f>'ETS Emissions'!W108</f>
        <v>66.4201388888889</v>
      </c>
      <c r="AB27" s="13">
        <f>'ETS Emissions'!X108</f>
        <v>66.4201388888889</v>
      </c>
      <c r="AC27" s="13">
        <f>'ETS Emissions'!Y108</f>
        <v>66.4201388888889</v>
      </c>
      <c r="AD27" s="13">
        <f>'ETS Emissions'!Z108</f>
        <v>66.4201388888889</v>
      </c>
      <c r="AE27" s="13">
        <f>'ETS Emissions'!AA108</f>
        <v>66.4201388888889</v>
      </c>
      <c r="AF27" s="13">
        <f>'ETS Emissions'!AB108</f>
        <v>66.4201388888889</v>
      </c>
      <c r="AG27" s="13">
        <f>'ETS Emissions'!AC108</f>
        <v>66.4201388888889</v>
      </c>
      <c r="AH27" s="13">
        <f>'ETS Emissions'!AD108</f>
        <v>66.4201388888889</v>
      </c>
      <c r="AI27" s="13">
        <f>'ETS Emissions'!AE108</f>
        <v>66.4201388888889</v>
      </c>
      <c r="AJ27" s="13">
        <f>'ETS Emissions'!AF108</f>
        <v>66.4201388888889</v>
      </c>
      <c r="AK27" s="13">
        <f>'ETS Emissions'!AG108</f>
        <v>66.4201388888889</v>
      </c>
      <c r="AL27" s="13">
        <f>'ETS Emissions'!AH108</f>
        <v>66.4201388888889</v>
      </c>
      <c r="AM27" s="13">
        <f>'ETS Emissions'!AI108</f>
        <v>66.4201388888889</v>
      </c>
      <c r="AN27" s="13">
        <f>'ETS Emissions'!AJ108</f>
        <v>66.4201388888889</v>
      </c>
      <c r="AO27" s="13">
        <f>'ETS Emissions'!AK108</f>
        <v>66.4201388888889</v>
      </c>
      <c r="AP27" s="13">
        <f>'ETS Emissions'!AL108</f>
        <v>66.4201388888889</v>
      </c>
      <c r="AQ27" s="13">
        <f>'ETS Emissions'!AM108</f>
        <v>66.4201388888889</v>
      </c>
      <c r="AS27" s="9" t="s">
        <v>135</v>
      </c>
      <c r="AV27" s="9" t="str">
        <f t="shared" si="4"/>
        <v>INDDME</v>
      </c>
      <c r="AW27" s="9" t="s">
        <v>133</v>
      </c>
    </row>
    <row r="28" spans="3:49">
      <c r="C28" s="9" t="s">
        <v>2</v>
      </c>
      <c r="E28" s="9" t="str">
        <f>'ETS Emissions'!B109</f>
        <v>INDGAS</v>
      </c>
      <c r="F28" s="21">
        <f t="shared" si="3"/>
        <v>63.720668270896773</v>
      </c>
      <c r="G28" s="13">
        <f>'ETS Emissions'!C109</f>
        <v>73.478546344529207</v>
      </c>
      <c r="H28" s="13">
        <f>'ETS Emissions'!D109</f>
        <v>57.348071843512798</v>
      </c>
      <c r="I28" s="13">
        <f>'ETS Emissions'!E109</f>
        <v>63.9046688911479</v>
      </c>
      <c r="J28" s="13">
        <f>'ETS Emissions'!F109</f>
        <v>133.14205863394301</v>
      </c>
      <c r="K28" s="13">
        <f>'ETS Emissions'!G109</f>
        <v>56.1</v>
      </c>
      <c r="L28" s="13">
        <f>'ETS Emissions'!H109</f>
        <v>55.2315718684183</v>
      </c>
      <c r="M28" s="13">
        <f>'ETS Emissions'!I109</f>
        <v>63.259422826545901</v>
      </c>
      <c r="N28" s="13">
        <f>'ETS Emissions'!J109</f>
        <v>68.2891212743708</v>
      </c>
      <c r="O28" s="13">
        <f>'ETS Emissions'!K109</f>
        <v>68.3683986236462</v>
      </c>
      <c r="P28" s="13">
        <f>'ETS Emissions'!L109</f>
        <v>75.775532806496997</v>
      </c>
      <c r="Q28" s="13">
        <f>'ETS Emissions'!M109</f>
        <v>131.55750247903899</v>
      </c>
      <c r="R28" s="13">
        <f>'ETS Emissions'!N109</f>
        <v>66.940073004355597</v>
      </c>
      <c r="S28" s="13">
        <f>'ETS Emissions'!O109</f>
        <v>100.034232735044</v>
      </c>
      <c r="T28" s="13">
        <f>'ETS Emissions'!P109</f>
        <v>61.4533917619544</v>
      </c>
      <c r="U28" s="13">
        <f>'ETS Emissions'!Q109</f>
        <v>67.946505935485803</v>
      </c>
      <c r="V28" s="13">
        <f>'ETS Emissions'!R109</f>
        <v>56.1</v>
      </c>
      <c r="W28" s="13">
        <f>'ETS Emissions'!S109</f>
        <v>56.554346079130397</v>
      </c>
      <c r="X28" s="13">
        <f>'ETS Emissions'!T109</f>
        <v>157.72995399112099</v>
      </c>
      <c r="Y28" s="13">
        <f>'ETS Emissions'!U109</f>
        <v>56.1</v>
      </c>
      <c r="Z28" s="13">
        <f>'ETS Emissions'!V109</f>
        <v>61.101263349550401</v>
      </c>
      <c r="AA28" s="13">
        <f>'ETS Emissions'!W109</f>
        <v>56.1</v>
      </c>
      <c r="AB28" s="13">
        <f>'ETS Emissions'!X109</f>
        <v>78.981245273013101</v>
      </c>
      <c r="AC28" s="13">
        <f>'ETS Emissions'!Y109</f>
        <v>56.1</v>
      </c>
      <c r="AD28" s="13">
        <f>'ETS Emissions'!Z109</f>
        <v>64.358738147814904</v>
      </c>
      <c r="AE28" s="13">
        <f>'ETS Emissions'!AA109</f>
        <v>67.641429509207498</v>
      </c>
      <c r="AF28" s="13">
        <f>'ETS Emissions'!AB109</f>
        <v>56.362479631629</v>
      </c>
      <c r="AG28" s="13">
        <f>'ETS Emissions'!AC109</f>
        <v>57.669473546351902</v>
      </c>
      <c r="AH28" s="13">
        <f>'ETS Emissions'!AD109</f>
        <v>66.638983456753806</v>
      </c>
      <c r="AI28" s="13">
        <f>'ETS Emissions'!AE109</f>
        <v>60.164283208121603</v>
      </c>
      <c r="AJ28" s="13">
        <f>'ETS Emissions'!AF109</f>
        <v>65.548599058856297</v>
      </c>
      <c r="AK28" s="13">
        <f>'ETS Emissions'!AG109</f>
        <v>56</v>
      </c>
      <c r="AL28" s="13">
        <f>'ETS Emissions'!AH109</f>
        <v>56</v>
      </c>
      <c r="AM28" s="13">
        <f>'ETS Emissions'!AI109</f>
        <v>55.965553651830902</v>
      </c>
      <c r="AN28" s="13">
        <f>'ETS Emissions'!AJ109</f>
        <v>56</v>
      </c>
      <c r="AO28" s="13">
        <f>'ETS Emissions'!AK109</f>
        <v>56</v>
      </c>
      <c r="AP28" s="13">
        <f>'ETS Emissions'!AL109</f>
        <v>56</v>
      </c>
      <c r="AQ28" s="13">
        <f>'ETS Emissions'!AM109</f>
        <v>56</v>
      </c>
      <c r="AS28" s="9" t="s">
        <v>135</v>
      </c>
      <c r="AV28" s="9" t="str">
        <f t="shared" si="4"/>
        <v>INDGAS</v>
      </c>
      <c r="AW28" s="9" t="s">
        <v>133</v>
      </c>
    </row>
    <row r="29" spans="3:49">
      <c r="C29" s="9" t="s">
        <v>2</v>
      </c>
      <c r="E29" s="9" t="str">
        <f>'ETS Emissions'!B110</f>
        <v>INDHFO</v>
      </c>
      <c r="F29" s="21">
        <f t="shared" si="3"/>
        <v>77.8</v>
      </c>
      <c r="G29" s="13">
        <f>'ETS Emissions'!C110</f>
        <v>78</v>
      </c>
      <c r="H29" s="13">
        <f>'ETS Emissions'!D110</f>
        <v>77.400000000000006</v>
      </c>
      <c r="I29" s="13">
        <f>'ETS Emissions'!E110</f>
        <v>78</v>
      </c>
      <c r="J29" s="13">
        <f>'ETS Emissions'!F110</f>
        <v>77.400000000000006</v>
      </c>
      <c r="K29" s="13">
        <f>'ETS Emissions'!G110</f>
        <v>77.400000000000006</v>
      </c>
      <c r="L29" s="13">
        <f>'ETS Emissions'!H110</f>
        <v>78</v>
      </c>
      <c r="M29" s="13">
        <f>'ETS Emissions'!I110</f>
        <v>78</v>
      </c>
      <c r="N29" s="13">
        <f>'ETS Emissions'!J110</f>
        <v>77.400000000000006</v>
      </c>
      <c r="O29" s="13">
        <f>'ETS Emissions'!K110</f>
        <v>77.400000000000006</v>
      </c>
      <c r="P29" s="13">
        <f>'ETS Emissions'!L110</f>
        <v>77.400000000000006</v>
      </c>
      <c r="Q29" s="13">
        <f>'ETS Emissions'!M110</f>
        <v>76.626000000000005</v>
      </c>
      <c r="R29" s="13">
        <f>'ETS Emissions'!N110</f>
        <v>77.400000000000006</v>
      </c>
      <c r="S29" s="13">
        <f>'ETS Emissions'!O110</f>
        <v>77.400000000000006</v>
      </c>
      <c r="T29" s="13">
        <f>'ETS Emissions'!P110</f>
        <v>78</v>
      </c>
      <c r="U29" s="13">
        <f>'ETS Emissions'!Q110</f>
        <v>77.400000000000006</v>
      </c>
      <c r="V29" s="13">
        <f>'ETS Emissions'!R110</f>
        <v>77.400000000000006</v>
      </c>
      <c r="W29" s="13">
        <f>'ETS Emissions'!S110</f>
        <v>75.829108045349003</v>
      </c>
      <c r="X29" s="13">
        <f>'ETS Emissions'!T110</f>
        <v>77.400000000000006</v>
      </c>
      <c r="Y29" s="13">
        <f>'ETS Emissions'!U110</f>
        <v>77.400000000000006</v>
      </c>
      <c r="Z29" s="13">
        <f>'ETS Emissions'!V110</f>
        <v>77.400000000000006</v>
      </c>
      <c r="AA29" s="13">
        <f>'ETS Emissions'!W110</f>
        <v>77.400000000000006</v>
      </c>
      <c r="AB29" s="13">
        <f>'ETS Emissions'!X110</f>
        <v>77.400000000000006</v>
      </c>
      <c r="AC29" s="13">
        <f>'ETS Emissions'!Y110</f>
        <v>77.400000000000006</v>
      </c>
      <c r="AD29" s="13">
        <f>'ETS Emissions'!Z110</f>
        <v>78</v>
      </c>
      <c r="AE29" s="13">
        <f>'ETS Emissions'!AA110</f>
        <v>77.400000000000006</v>
      </c>
      <c r="AF29" s="13">
        <f>'ETS Emissions'!AB110</f>
        <v>77.400000000000006</v>
      </c>
      <c r="AG29" s="13">
        <f>'ETS Emissions'!AC110</f>
        <v>77.400000000000006</v>
      </c>
      <c r="AH29" s="13">
        <f>'ETS Emissions'!AD110</f>
        <v>77.400000000000006</v>
      </c>
      <c r="AI29" s="13">
        <f>'ETS Emissions'!AE110</f>
        <v>78</v>
      </c>
      <c r="AJ29" s="13">
        <f>'ETS Emissions'!AF110</f>
        <v>77.400000000000006</v>
      </c>
      <c r="AK29" s="13">
        <f>'ETS Emissions'!AG110</f>
        <v>78</v>
      </c>
      <c r="AL29" s="13">
        <f>'ETS Emissions'!AH110</f>
        <v>78</v>
      </c>
      <c r="AM29" s="13">
        <f>'ETS Emissions'!AI110</f>
        <v>78</v>
      </c>
      <c r="AN29" s="13">
        <f>'ETS Emissions'!AJ110</f>
        <v>78</v>
      </c>
      <c r="AO29" s="13">
        <f>'ETS Emissions'!AK110</f>
        <v>78</v>
      </c>
      <c r="AP29" s="13">
        <f>'ETS Emissions'!AL110</f>
        <v>78</v>
      </c>
      <c r="AQ29" s="13">
        <f>'ETS Emissions'!AM110</f>
        <v>78</v>
      </c>
      <c r="AS29" s="9" t="s">
        <v>135</v>
      </c>
      <c r="AV29" s="9" t="str">
        <f t="shared" si="4"/>
        <v>INDHFO</v>
      </c>
      <c r="AW29" s="9" t="s">
        <v>133</v>
      </c>
    </row>
    <row r="30" spans="3:49">
      <c r="C30" s="9" t="s">
        <v>2</v>
      </c>
      <c r="E30" s="9" t="str">
        <f>'ETS Emissions'!B111</f>
        <v>INDLFO</v>
      </c>
      <c r="F30" s="21">
        <f t="shared" si="3"/>
        <v>74.027149041434768</v>
      </c>
      <c r="G30" s="13">
        <f>'ETS Emissions'!C111</f>
        <v>74</v>
      </c>
      <c r="H30" s="13">
        <f>'ETS Emissions'!D111</f>
        <v>74.062199312714796</v>
      </c>
      <c r="I30" s="13">
        <f>'ETS Emissions'!E111</f>
        <v>74</v>
      </c>
      <c r="J30" s="13">
        <f>'ETS Emissions'!F111</f>
        <v>74.093573585712207</v>
      </c>
      <c r="K30" s="13">
        <f>'ETS Emissions'!G111</f>
        <v>74.099999999999994</v>
      </c>
      <c r="L30" s="13">
        <f>'ETS Emissions'!H111</f>
        <v>74</v>
      </c>
      <c r="M30" s="13">
        <f>'ETS Emissions'!I111</f>
        <v>74</v>
      </c>
      <c r="N30" s="13">
        <f>'ETS Emissions'!J111</f>
        <v>74.087723785166204</v>
      </c>
      <c r="O30" s="13">
        <f>'ETS Emissions'!K111</f>
        <v>74</v>
      </c>
      <c r="P30" s="13">
        <f>'ETS Emissions'!L111</f>
        <v>74.099999999999994</v>
      </c>
      <c r="Q30" s="13">
        <f>'ETS Emissions'!M111</f>
        <v>73.358999999999995</v>
      </c>
      <c r="R30" s="13">
        <f>'ETS Emissions'!N111</f>
        <v>74.099999999999994</v>
      </c>
      <c r="S30" s="13">
        <f>'ETS Emissions'!O111</f>
        <v>74.080444444444396</v>
      </c>
      <c r="T30" s="13">
        <f>'ETS Emissions'!P111</f>
        <v>74</v>
      </c>
      <c r="U30" s="13">
        <f>'ETS Emissions'!Q111</f>
        <v>73.241290322580596</v>
      </c>
      <c r="V30" s="13">
        <f>'ETS Emissions'!R111</f>
        <v>74.099999999999994</v>
      </c>
      <c r="W30" s="13">
        <f>'ETS Emissions'!S111</f>
        <v>72.6643129770992</v>
      </c>
      <c r="X30" s="13">
        <f>'ETS Emissions'!T111</f>
        <v>73.739999999999995</v>
      </c>
      <c r="Y30" s="13">
        <f>'ETS Emissions'!U111</f>
        <v>74.025000000000006</v>
      </c>
      <c r="Z30" s="13">
        <f>'ETS Emissions'!V111</f>
        <v>73.825714285714298</v>
      </c>
      <c r="AA30" s="13">
        <f>'ETS Emissions'!W111</f>
        <v>74.099999999999994</v>
      </c>
      <c r="AB30" s="13">
        <f>'ETS Emissions'!X111</f>
        <v>73.984864863810699</v>
      </c>
      <c r="AC30" s="13">
        <f>'ETS Emissions'!Y111</f>
        <v>74.099999999999994</v>
      </c>
      <c r="AD30" s="13">
        <f>'ETS Emissions'!Z111</f>
        <v>73.981447124304296</v>
      </c>
      <c r="AE30" s="13">
        <f>'ETS Emissions'!AA111</f>
        <v>74.063003832655596</v>
      </c>
      <c r="AF30" s="13">
        <f>'ETS Emissions'!AB111</f>
        <v>73.458767772511806</v>
      </c>
      <c r="AG30" s="13">
        <f>'ETS Emissions'!AC111</f>
        <v>74.099999999999994</v>
      </c>
      <c r="AH30" s="13">
        <f>'ETS Emissions'!AD111</f>
        <v>74.099999999999994</v>
      </c>
      <c r="AI30" s="13">
        <f>'ETS Emissions'!AE111</f>
        <v>74</v>
      </c>
      <c r="AJ30" s="13">
        <f>'ETS Emissions'!AF111</f>
        <v>73.422578109648299</v>
      </c>
      <c r="AK30" s="13">
        <f>'ETS Emissions'!AG111</f>
        <v>74</v>
      </c>
      <c r="AL30" s="13">
        <f>'ETS Emissions'!AH111</f>
        <v>74</v>
      </c>
      <c r="AM30" s="13">
        <f>'ETS Emissions'!AI111</f>
        <v>73.915081334436195</v>
      </c>
      <c r="AN30" s="13">
        <f>'ETS Emissions'!AJ111</f>
        <v>74</v>
      </c>
      <c r="AO30" s="13">
        <f>'ETS Emissions'!AK111</f>
        <v>74</v>
      </c>
      <c r="AP30" s="13">
        <f>'ETS Emissions'!AL111</f>
        <v>74</v>
      </c>
      <c r="AQ30" s="13">
        <f>'ETS Emissions'!AM111</f>
        <v>74</v>
      </c>
      <c r="AS30" s="9" t="s">
        <v>135</v>
      </c>
      <c r="AV30" s="9" t="str">
        <f t="shared" si="4"/>
        <v>INDLFO</v>
      </c>
      <c r="AW30" s="9" t="s">
        <v>133</v>
      </c>
    </row>
    <row r="31" spans="3:49">
      <c r="C31" s="9" t="s">
        <v>2</v>
      </c>
      <c r="E31" s="9" t="str">
        <f>'ETS Emissions'!B112</f>
        <v>INDLPG</v>
      </c>
      <c r="F31" s="21">
        <f t="shared" si="3"/>
        <v>64.36666666666666</v>
      </c>
      <c r="G31" s="13">
        <f>'ETS Emissions'!C112</f>
        <v>65</v>
      </c>
      <c r="H31" s="13">
        <f>'ETS Emissions'!D112</f>
        <v>63.1</v>
      </c>
      <c r="I31" s="13">
        <f>'ETS Emissions'!E112</f>
        <v>65</v>
      </c>
      <c r="J31" s="13">
        <f>'ETS Emissions'!F112</f>
        <v>63.1</v>
      </c>
      <c r="K31" s="13">
        <f>'ETS Emissions'!G112</f>
        <v>63.1</v>
      </c>
      <c r="L31" s="13">
        <f>'ETS Emissions'!H112</f>
        <v>65</v>
      </c>
      <c r="M31" s="13">
        <f>'ETS Emissions'!I112</f>
        <v>65</v>
      </c>
      <c r="N31" s="13">
        <f>'ETS Emissions'!J112</f>
        <v>63.1</v>
      </c>
      <c r="O31" s="13">
        <f>'ETS Emissions'!K112</f>
        <v>63.1</v>
      </c>
      <c r="P31" s="13">
        <f>'ETS Emissions'!L112</f>
        <v>63.1</v>
      </c>
      <c r="Q31" s="13">
        <f>'ETS Emissions'!M112</f>
        <v>62.469000000000001</v>
      </c>
      <c r="R31" s="13">
        <f>'ETS Emissions'!N112</f>
        <v>63.1</v>
      </c>
      <c r="S31" s="13">
        <f>'ETS Emissions'!O112</f>
        <v>63.1</v>
      </c>
      <c r="T31" s="13">
        <f>'ETS Emissions'!P112</f>
        <v>65</v>
      </c>
      <c r="U31" s="13">
        <f>'ETS Emissions'!Q112</f>
        <v>63.1</v>
      </c>
      <c r="V31" s="13">
        <f>'ETS Emissions'!R112</f>
        <v>63.1</v>
      </c>
      <c r="W31" s="13">
        <f>'ETS Emissions'!S112</f>
        <v>63.1</v>
      </c>
      <c r="X31" s="13">
        <f>'ETS Emissions'!T112</f>
        <v>63.1</v>
      </c>
      <c r="Y31" s="13">
        <f>'ETS Emissions'!U112</f>
        <v>63.1</v>
      </c>
      <c r="Z31" s="13">
        <f>'ETS Emissions'!V112</f>
        <v>63.1</v>
      </c>
      <c r="AA31" s="13">
        <f>'ETS Emissions'!W112</f>
        <v>63.1</v>
      </c>
      <c r="AB31" s="13">
        <f>'ETS Emissions'!X112</f>
        <v>63.1</v>
      </c>
      <c r="AC31" s="13">
        <f>'ETS Emissions'!Y112</f>
        <v>63.1</v>
      </c>
      <c r="AD31" s="13">
        <f>'ETS Emissions'!Z112</f>
        <v>65</v>
      </c>
      <c r="AE31" s="13">
        <f>'ETS Emissions'!AA112</f>
        <v>63.1</v>
      </c>
      <c r="AF31" s="13">
        <f>'ETS Emissions'!AB112</f>
        <v>63.1</v>
      </c>
      <c r="AG31" s="13">
        <f>'ETS Emissions'!AC112</f>
        <v>63.1</v>
      </c>
      <c r="AH31" s="13">
        <f>'ETS Emissions'!AD112</f>
        <v>63.1</v>
      </c>
      <c r="AI31" s="13">
        <f>'ETS Emissions'!AE112</f>
        <v>65</v>
      </c>
      <c r="AJ31" s="13">
        <f>'ETS Emissions'!AF112</f>
        <v>63.1</v>
      </c>
      <c r="AK31" s="13">
        <f>'ETS Emissions'!AG112</f>
        <v>65</v>
      </c>
      <c r="AL31" s="13">
        <f>'ETS Emissions'!AH112</f>
        <v>65</v>
      </c>
      <c r="AM31" s="13">
        <f>'ETS Emissions'!AI112</f>
        <v>65</v>
      </c>
      <c r="AN31" s="13">
        <f>'ETS Emissions'!AJ112</f>
        <v>65</v>
      </c>
      <c r="AO31" s="13">
        <f>'ETS Emissions'!AK112</f>
        <v>65</v>
      </c>
      <c r="AP31" s="13">
        <f>'ETS Emissions'!AL112</f>
        <v>65</v>
      </c>
      <c r="AQ31" s="13">
        <f>'ETS Emissions'!AM112</f>
        <v>65</v>
      </c>
      <c r="AS31" s="9" t="s">
        <v>135</v>
      </c>
      <c r="AV31" s="9" t="str">
        <f t="shared" si="4"/>
        <v>INDLPG</v>
      </c>
      <c r="AW31" s="9" t="s">
        <v>133</v>
      </c>
    </row>
    <row r="32" spans="3:49">
      <c r="C32" s="9" t="s">
        <v>2</v>
      </c>
      <c r="E32" s="9" t="str">
        <f>'ETS Emissions'!B113</f>
        <v>INDMUN</v>
      </c>
      <c r="F32" s="21">
        <f t="shared" si="3"/>
        <v>58.616666666666667</v>
      </c>
      <c r="G32" s="13">
        <f>'ETS Emissions'!C113</f>
        <v>45</v>
      </c>
      <c r="H32" s="13">
        <f>'ETS Emissions'!D113</f>
        <v>85.85</v>
      </c>
      <c r="I32" s="13">
        <f>'ETS Emissions'!E113</f>
        <v>45</v>
      </c>
      <c r="J32" s="13">
        <f>'ETS Emissions'!F113</f>
        <v>85.85</v>
      </c>
      <c r="K32" s="13">
        <f>'ETS Emissions'!G113</f>
        <v>85.85</v>
      </c>
      <c r="L32" s="13">
        <f>'ETS Emissions'!H113</f>
        <v>45</v>
      </c>
      <c r="M32" s="13">
        <f>'ETS Emissions'!I113</f>
        <v>45</v>
      </c>
      <c r="N32" s="13">
        <f>'ETS Emissions'!J113</f>
        <v>85.85</v>
      </c>
      <c r="O32" s="13">
        <f>'ETS Emissions'!K113</f>
        <v>85.85</v>
      </c>
      <c r="P32" s="13">
        <f>'ETS Emissions'!L113</f>
        <v>85.85</v>
      </c>
      <c r="Q32" s="13">
        <f>'ETS Emissions'!M113</f>
        <v>31.481999999999999</v>
      </c>
      <c r="R32" s="13">
        <f>'ETS Emissions'!N113</f>
        <v>85.85</v>
      </c>
      <c r="S32" s="13">
        <f>'ETS Emissions'!O113</f>
        <v>85.85</v>
      </c>
      <c r="T32" s="13">
        <f>'ETS Emissions'!P113</f>
        <v>45</v>
      </c>
      <c r="U32" s="13">
        <f>'ETS Emissions'!Q113</f>
        <v>85.85</v>
      </c>
      <c r="V32" s="13">
        <f>'ETS Emissions'!R113</f>
        <v>85.85</v>
      </c>
      <c r="W32" s="13">
        <f>'ETS Emissions'!S113</f>
        <v>85.85</v>
      </c>
      <c r="X32" s="13">
        <f>'ETS Emissions'!T113</f>
        <v>85.85</v>
      </c>
      <c r="Y32" s="13">
        <f>'ETS Emissions'!U113</f>
        <v>85.85</v>
      </c>
      <c r="Z32" s="13">
        <f>'ETS Emissions'!V113</f>
        <v>85.85</v>
      </c>
      <c r="AA32" s="13">
        <f>'ETS Emissions'!W113</f>
        <v>85.85</v>
      </c>
      <c r="AB32" s="13">
        <f>'ETS Emissions'!X113</f>
        <v>85.85</v>
      </c>
      <c r="AC32" s="13">
        <f>'ETS Emissions'!Y113</f>
        <v>85.85</v>
      </c>
      <c r="AD32" s="13">
        <f>'ETS Emissions'!Z113</f>
        <v>45</v>
      </c>
      <c r="AE32" s="13">
        <f>'ETS Emissions'!AA113</f>
        <v>85.85</v>
      </c>
      <c r="AF32" s="13">
        <f>'ETS Emissions'!AB113</f>
        <v>85.85</v>
      </c>
      <c r="AG32" s="13">
        <f>'ETS Emissions'!AC113</f>
        <v>85.85</v>
      </c>
      <c r="AH32" s="13">
        <f>'ETS Emissions'!AD113</f>
        <v>85.85</v>
      </c>
      <c r="AI32" s="13">
        <f>'ETS Emissions'!AE113</f>
        <v>45</v>
      </c>
      <c r="AJ32" s="13">
        <f>'ETS Emissions'!AF113</f>
        <v>85.85</v>
      </c>
      <c r="AK32" s="13">
        <f>'ETS Emissions'!AG113</f>
        <v>45</v>
      </c>
      <c r="AL32" s="13">
        <f>'ETS Emissions'!AH113</f>
        <v>45</v>
      </c>
      <c r="AM32" s="13">
        <f>'ETS Emissions'!AI113</f>
        <v>45</v>
      </c>
      <c r="AN32" s="13">
        <f>'ETS Emissions'!AJ113</f>
        <v>45</v>
      </c>
      <c r="AO32" s="13">
        <f>'ETS Emissions'!AK113</f>
        <v>45</v>
      </c>
      <c r="AP32" s="13">
        <f>'ETS Emissions'!AL113</f>
        <v>45</v>
      </c>
      <c r="AQ32" s="13">
        <f>'ETS Emissions'!AM113</f>
        <v>45</v>
      </c>
      <c r="AS32" s="9" t="s">
        <v>135</v>
      </c>
      <c r="AV32" s="9" t="str">
        <f t="shared" si="4"/>
        <v>INDMUN</v>
      </c>
      <c r="AW32" s="9" t="s">
        <v>133</v>
      </c>
    </row>
    <row r="33" spans="1:49">
      <c r="C33" s="9" t="s">
        <v>2</v>
      </c>
      <c r="E33" s="9" t="str">
        <f>'ETS Emissions'!B114</f>
        <v>INDNAP</v>
      </c>
      <c r="F33" s="21">
        <f t="shared" si="3"/>
        <v>73.3</v>
      </c>
      <c r="G33" s="13">
        <f>'ETS Emissions'!C114</f>
        <v>73.3</v>
      </c>
      <c r="H33" s="13">
        <f>'ETS Emissions'!D114</f>
        <v>73.3</v>
      </c>
      <c r="I33" s="13">
        <f>'ETS Emissions'!E114</f>
        <v>73.3</v>
      </c>
      <c r="J33" s="13">
        <f>'ETS Emissions'!F114</f>
        <v>73.3</v>
      </c>
      <c r="K33" s="13">
        <f>'ETS Emissions'!G114</f>
        <v>73.3</v>
      </c>
      <c r="L33" s="13">
        <f>'ETS Emissions'!H114</f>
        <v>73.3</v>
      </c>
      <c r="M33" s="13">
        <f>'ETS Emissions'!I114</f>
        <v>73.3</v>
      </c>
      <c r="N33" s="13">
        <f>'ETS Emissions'!J114</f>
        <v>73.3</v>
      </c>
      <c r="O33" s="13">
        <f>'ETS Emissions'!K114</f>
        <v>73.3</v>
      </c>
      <c r="P33" s="13">
        <f>'ETS Emissions'!L114</f>
        <v>73.3</v>
      </c>
      <c r="Q33" s="13">
        <f>'ETS Emissions'!M114</f>
        <v>72.566999999999993</v>
      </c>
      <c r="R33" s="13">
        <f>'ETS Emissions'!N114</f>
        <v>73.3</v>
      </c>
      <c r="S33" s="13">
        <f>'ETS Emissions'!O114</f>
        <v>73.3</v>
      </c>
      <c r="T33" s="13">
        <f>'ETS Emissions'!P114</f>
        <v>73.3</v>
      </c>
      <c r="U33" s="13">
        <f>'ETS Emissions'!Q114</f>
        <v>73.3</v>
      </c>
      <c r="V33" s="13">
        <f>'ETS Emissions'!R114</f>
        <v>73.3</v>
      </c>
      <c r="W33" s="13">
        <f>'ETS Emissions'!S114</f>
        <v>73.3</v>
      </c>
      <c r="X33" s="13">
        <f>'ETS Emissions'!T114</f>
        <v>73.3</v>
      </c>
      <c r="Y33" s="13">
        <f>'ETS Emissions'!U114</f>
        <v>73.3</v>
      </c>
      <c r="Z33" s="13">
        <f>'ETS Emissions'!V114</f>
        <v>73.3</v>
      </c>
      <c r="AA33" s="13">
        <f>'ETS Emissions'!W114</f>
        <v>73.3</v>
      </c>
      <c r="AB33" s="13">
        <f>'ETS Emissions'!X114</f>
        <v>73.3</v>
      </c>
      <c r="AC33" s="13">
        <f>'ETS Emissions'!Y114</f>
        <v>73.3</v>
      </c>
      <c r="AD33" s="13">
        <f>'ETS Emissions'!Z114</f>
        <v>73.3</v>
      </c>
      <c r="AE33" s="13">
        <f>'ETS Emissions'!AA114</f>
        <v>73.3</v>
      </c>
      <c r="AF33" s="13">
        <f>'ETS Emissions'!AB114</f>
        <v>73.3</v>
      </c>
      <c r="AG33" s="13">
        <f>'ETS Emissions'!AC114</f>
        <v>73.3</v>
      </c>
      <c r="AH33" s="13">
        <f>'ETS Emissions'!AD114</f>
        <v>73.3</v>
      </c>
      <c r="AI33" s="13">
        <f>'ETS Emissions'!AE114</f>
        <v>73.3</v>
      </c>
      <c r="AJ33" s="13">
        <f>'ETS Emissions'!AF114</f>
        <v>73.3</v>
      </c>
      <c r="AK33" s="13">
        <f>'ETS Emissions'!AG114</f>
        <v>73.3</v>
      </c>
      <c r="AL33" s="13">
        <f>'ETS Emissions'!AH114</f>
        <v>73.3</v>
      </c>
      <c r="AM33" s="13">
        <f>'ETS Emissions'!AI114</f>
        <v>73.3</v>
      </c>
      <c r="AN33" s="13">
        <f>'ETS Emissions'!AJ114</f>
        <v>73.3</v>
      </c>
      <c r="AO33" s="13">
        <f>'ETS Emissions'!AK114</f>
        <v>73.3</v>
      </c>
      <c r="AP33" s="13">
        <f>'ETS Emissions'!AL114</f>
        <v>73.3</v>
      </c>
      <c r="AQ33" s="13">
        <f>'ETS Emissions'!AM114</f>
        <v>73.3</v>
      </c>
      <c r="AS33" s="9" t="s">
        <v>135</v>
      </c>
      <c r="AV33" s="9" t="str">
        <f t="shared" si="4"/>
        <v>INDNAP</v>
      </c>
      <c r="AW33" s="9" t="s">
        <v>133</v>
      </c>
    </row>
    <row r="34" spans="1:49">
      <c r="C34" s="9" t="s">
        <v>2</v>
      </c>
      <c r="E34" s="9" t="str">
        <f>'ETS Emissions'!B115</f>
        <v>INDNEU</v>
      </c>
      <c r="F34" s="21">
        <f t="shared" si="3"/>
        <v>0</v>
      </c>
      <c r="G34" s="13">
        <f>'ETS Emissions'!C115</f>
        <v>0</v>
      </c>
      <c r="H34" s="13">
        <f>'ETS Emissions'!D115</f>
        <v>0</v>
      </c>
      <c r="I34" s="13">
        <f>'ETS Emissions'!E115</f>
        <v>0</v>
      </c>
      <c r="J34" s="13">
        <f>'ETS Emissions'!F115</f>
        <v>0</v>
      </c>
      <c r="K34" s="13">
        <f>'ETS Emissions'!G115</f>
        <v>0</v>
      </c>
      <c r="L34" s="13">
        <f>'ETS Emissions'!H115</f>
        <v>0</v>
      </c>
      <c r="M34" s="13">
        <f>'ETS Emissions'!I115</f>
        <v>0</v>
      </c>
      <c r="N34" s="13">
        <f>'ETS Emissions'!J115</f>
        <v>0</v>
      </c>
      <c r="O34" s="13">
        <f>'ETS Emissions'!K115</f>
        <v>0</v>
      </c>
      <c r="P34" s="13">
        <f>'ETS Emissions'!L115</f>
        <v>0</v>
      </c>
      <c r="Q34" s="13">
        <f>'ETS Emissions'!M115</f>
        <v>0</v>
      </c>
      <c r="R34" s="13">
        <f>'ETS Emissions'!N115</f>
        <v>0</v>
      </c>
      <c r="S34" s="13">
        <f>'ETS Emissions'!O115</f>
        <v>0</v>
      </c>
      <c r="T34" s="13">
        <f>'ETS Emissions'!P115</f>
        <v>0</v>
      </c>
      <c r="U34" s="13">
        <f>'ETS Emissions'!Q115</f>
        <v>0</v>
      </c>
      <c r="V34" s="13">
        <f>'ETS Emissions'!R115</f>
        <v>0</v>
      </c>
      <c r="W34" s="13">
        <f>'ETS Emissions'!S115</f>
        <v>0</v>
      </c>
      <c r="X34" s="13">
        <f>'ETS Emissions'!T115</f>
        <v>0</v>
      </c>
      <c r="Y34" s="13">
        <f>'ETS Emissions'!U115</f>
        <v>0</v>
      </c>
      <c r="Z34" s="13">
        <f>'ETS Emissions'!V115</f>
        <v>0</v>
      </c>
      <c r="AA34" s="13">
        <f>'ETS Emissions'!W115</f>
        <v>0</v>
      </c>
      <c r="AB34" s="13">
        <f>'ETS Emissions'!X115</f>
        <v>0</v>
      </c>
      <c r="AC34" s="13">
        <f>'ETS Emissions'!Y115</f>
        <v>0</v>
      </c>
      <c r="AD34" s="13">
        <f>'ETS Emissions'!Z115</f>
        <v>0</v>
      </c>
      <c r="AE34" s="13">
        <f>'ETS Emissions'!AA115</f>
        <v>0</v>
      </c>
      <c r="AF34" s="13">
        <f>'ETS Emissions'!AB115</f>
        <v>0</v>
      </c>
      <c r="AG34" s="13">
        <f>'ETS Emissions'!AC115</f>
        <v>0</v>
      </c>
      <c r="AH34" s="13">
        <f>'ETS Emissions'!AD115</f>
        <v>0</v>
      </c>
      <c r="AI34" s="13">
        <f>'ETS Emissions'!AE115</f>
        <v>0</v>
      </c>
      <c r="AJ34" s="13">
        <f>'ETS Emissions'!AF115</f>
        <v>0</v>
      </c>
      <c r="AK34" s="13">
        <f>'ETS Emissions'!AG115</f>
        <v>0</v>
      </c>
      <c r="AL34" s="13">
        <f>'ETS Emissions'!AH115</f>
        <v>0</v>
      </c>
      <c r="AM34" s="13">
        <f>'ETS Emissions'!AI115</f>
        <v>0</v>
      </c>
      <c r="AN34" s="13">
        <f>'ETS Emissions'!AJ115</f>
        <v>0</v>
      </c>
      <c r="AO34" s="13">
        <f>'ETS Emissions'!AK115</f>
        <v>0</v>
      </c>
      <c r="AP34" s="13">
        <f>'ETS Emissions'!AL115</f>
        <v>0</v>
      </c>
      <c r="AQ34" s="13">
        <f>'ETS Emissions'!AM115</f>
        <v>0</v>
      </c>
      <c r="AS34" s="9" t="s">
        <v>135</v>
      </c>
      <c r="AV34" s="9" t="str">
        <f t="shared" si="4"/>
        <v>INDNEU</v>
      </c>
      <c r="AW34" s="9" t="s">
        <v>133</v>
      </c>
    </row>
    <row r="35" spans="1:49">
      <c r="C35" s="9" t="s">
        <v>2</v>
      </c>
      <c r="E35" s="9" t="str">
        <f>'ETS Emissions'!B116</f>
        <v>INDRFG</v>
      </c>
      <c r="F35" s="21">
        <f t="shared" si="3"/>
        <v>58.699999999999996</v>
      </c>
      <c r="G35" s="13">
        <f>'ETS Emissions'!C116</f>
        <v>60</v>
      </c>
      <c r="H35" s="13">
        <f>'ETS Emissions'!D116</f>
        <v>56.1</v>
      </c>
      <c r="I35" s="13">
        <f>'ETS Emissions'!E116</f>
        <v>60</v>
      </c>
      <c r="J35" s="13">
        <f>'ETS Emissions'!F116</f>
        <v>56.1</v>
      </c>
      <c r="K35" s="13">
        <f>'ETS Emissions'!G116</f>
        <v>56.1</v>
      </c>
      <c r="L35" s="13">
        <f>'ETS Emissions'!H116</f>
        <v>60</v>
      </c>
      <c r="M35" s="13">
        <f>'ETS Emissions'!I116</f>
        <v>60</v>
      </c>
      <c r="N35" s="13">
        <f>'ETS Emissions'!J116</f>
        <v>56.1</v>
      </c>
      <c r="O35" s="13">
        <f>'ETS Emissions'!K116</f>
        <v>56.1</v>
      </c>
      <c r="P35" s="13">
        <f>'ETS Emissions'!L116</f>
        <v>56.1</v>
      </c>
      <c r="Q35" s="13">
        <f>'ETS Emissions'!M116</f>
        <v>55.539000000000001</v>
      </c>
      <c r="R35" s="13">
        <f>'ETS Emissions'!N116</f>
        <v>56.1</v>
      </c>
      <c r="S35" s="13">
        <f>'ETS Emissions'!O116</f>
        <v>56.1</v>
      </c>
      <c r="T35" s="13">
        <f>'ETS Emissions'!P116</f>
        <v>60</v>
      </c>
      <c r="U35" s="13">
        <f>'ETS Emissions'!Q116</f>
        <v>56.1</v>
      </c>
      <c r="V35" s="13">
        <f>'ETS Emissions'!R116</f>
        <v>56.1</v>
      </c>
      <c r="W35" s="13">
        <f>'ETS Emissions'!S116</f>
        <v>56.1</v>
      </c>
      <c r="X35" s="13">
        <f>'ETS Emissions'!T116</f>
        <v>56.1</v>
      </c>
      <c r="Y35" s="13">
        <f>'ETS Emissions'!U116</f>
        <v>56.1</v>
      </c>
      <c r="Z35" s="13">
        <f>'ETS Emissions'!V116</f>
        <v>56.1</v>
      </c>
      <c r="AA35" s="13">
        <f>'ETS Emissions'!W116</f>
        <v>56.1</v>
      </c>
      <c r="AB35" s="13">
        <f>'ETS Emissions'!X116</f>
        <v>56.1</v>
      </c>
      <c r="AC35" s="13">
        <f>'ETS Emissions'!Y116</f>
        <v>56.1</v>
      </c>
      <c r="AD35" s="13">
        <f>'ETS Emissions'!Z116</f>
        <v>60</v>
      </c>
      <c r="AE35" s="13">
        <f>'ETS Emissions'!AA116</f>
        <v>56.1</v>
      </c>
      <c r="AF35" s="13">
        <f>'ETS Emissions'!AB116</f>
        <v>56.1</v>
      </c>
      <c r="AG35" s="13">
        <f>'ETS Emissions'!AC116</f>
        <v>56.1</v>
      </c>
      <c r="AH35" s="13">
        <f>'ETS Emissions'!AD116</f>
        <v>56.1</v>
      </c>
      <c r="AI35" s="13">
        <f>'ETS Emissions'!AE116</f>
        <v>60</v>
      </c>
      <c r="AJ35" s="13">
        <f>'ETS Emissions'!AF116</f>
        <v>56.1</v>
      </c>
      <c r="AK35" s="13">
        <f>'ETS Emissions'!AG116</f>
        <v>60</v>
      </c>
      <c r="AL35" s="13">
        <f>'ETS Emissions'!AH116</f>
        <v>60</v>
      </c>
      <c r="AM35" s="13">
        <f>'ETS Emissions'!AI116</f>
        <v>60</v>
      </c>
      <c r="AN35" s="13">
        <f>'ETS Emissions'!AJ116</f>
        <v>60</v>
      </c>
      <c r="AO35" s="13">
        <f>'ETS Emissions'!AK116</f>
        <v>60</v>
      </c>
      <c r="AP35" s="13">
        <f>'ETS Emissions'!AL116</f>
        <v>60</v>
      </c>
      <c r="AQ35" s="13">
        <f>'ETS Emissions'!AM116</f>
        <v>60</v>
      </c>
      <c r="AS35" s="9" t="s">
        <v>135</v>
      </c>
      <c r="AV35" s="9" t="str">
        <f t="shared" si="4"/>
        <v>INDRFG</v>
      </c>
      <c r="AW35" s="9" t="s">
        <v>133</v>
      </c>
    </row>
    <row r="36" spans="1:49">
      <c r="C36" s="9" t="s">
        <v>2</v>
      </c>
      <c r="E36" s="9" t="str">
        <f>'ETS Emissions'!B117</f>
        <v>INDSLU</v>
      </c>
      <c r="F36" s="21">
        <f t="shared" si="3"/>
        <v>58.616666666666667</v>
      </c>
      <c r="G36" s="13">
        <f>'ETS Emissions'!C117</f>
        <v>45</v>
      </c>
      <c r="H36" s="13">
        <f>'ETS Emissions'!D117</f>
        <v>85.85</v>
      </c>
      <c r="I36" s="13">
        <f>'ETS Emissions'!E117</f>
        <v>45</v>
      </c>
      <c r="J36" s="13">
        <f>'ETS Emissions'!F117</f>
        <v>85.85</v>
      </c>
      <c r="K36" s="13">
        <f>'ETS Emissions'!G117</f>
        <v>85.85</v>
      </c>
      <c r="L36" s="13">
        <f>'ETS Emissions'!H117</f>
        <v>45</v>
      </c>
      <c r="M36" s="13">
        <f>'ETS Emissions'!I117</f>
        <v>45</v>
      </c>
      <c r="N36" s="13">
        <f>'ETS Emissions'!J117</f>
        <v>85.85</v>
      </c>
      <c r="O36" s="13">
        <f>'ETS Emissions'!K117</f>
        <v>85.85</v>
      </c>
      <c r="P36" s="13">
        <f>'ETS Emissions'!L117</f>
        <v>85.85</v>
      </c>
      <c r="Q36" s="13">
        <f>'ETS Emissions'!M117</f>
        <v>74.25</v>
      </c>
      <c r="R36" s="13">
        <f>'ETS Emissions'!N117</f>
        <v>85.85</v>
      </c>
      <c r="S36" s="13">
        <f>'ETS Emissions'!O117</f>
        <v>85.85</v>
      </c>
      <c r="T36" s="13">
        <f>'ETS Emissions'!P117</f>
        <v>45</v>
      </c>
      <c r="U36" s="13">
        <f>'ETS Emissions'!Q117</f>
        <v>85.85</v>
      </c>
      <c r="V36" s="13">
        <f>'ETS Emissions'!R117</f>
        <v>85.85</v>
      </c>
      <c r="W36" s="13">
        <f>'ETS Emissions'!S117</f>
        <v>85.85</v>
      </c>
      <c r="X36" s="13">
        <f>'ETS Emissions'!T117</f>
        <v>85.85</v>
      </c>
      <c r="Y36" s="13">
        <f>'ETS Emissions'!U117</f>
        <v>85.85</v>
      </c>
      <c r="Z36" s="13">
        <f>'ETS Emissions'!V117</f>
        <v>85.85</v>
      </c>
      <c r="AA36" s="13">
        <f>'ETS Emissions'!W117</f>
        <v>85.85</v>
      </c>
      <c r="AB36" s="13">
        <f>'ETS Emissions'!X117</f>
        <v>85.85</v>
      </c>
      <c r="AC36" s="13">
        <f>'ETS Emissions'!Y117</f>
        <v>85.85</v>
      </c>
      <c r="AD36" s="13">
        <f>'ETS Emissions'!Z117</f>
        <v>45</v>
      </c>
      <c r="AE36" s="13">
        <f>'ETS Emissions'!AA117</f>
        <v>85.85</v>
      </c>
      <c r="AF36" s="13">
        <f>'ETS Emissions'!AB117</f>
        <v>85.85</v>
      </c>
      <c r="AG36" s="13">
        <f>'ETS Emissions'!AC117</f>
        <v>85.85</v>
      </c>
      <c r="AH36" s="13">
        <f>'ETS Emissions'!AD117</f>
        <v>85.85</v>
      </c>
      <c r="AI36" s="13">
        <f>'ETS Emissions'!AE117</f>
        <v>45</v>
      </c>
      <c r="AJ36" s="13">
        <f>'ETS Emissions'!AF117</f>
        <v>85.85</v>
      </c>
      <c r="AK36" s="13">
        <f>'ETS Emissions'!AG117</f>
        <v>45</v>
      </c>
      <c r="AL36" s="13">
        <f>'ETS Emissions'!AH117</f>
        <v>45</v>
      </c>
      <c r="AM36" s="13">
        <f>'ETS Emissions'!AI117</f>
        <v>45</v>
      </c>
      <c r="AN36" s="13">
        <f>'ETS Emissions'!AJ117</f>
        <v>45</v>
      </c>
      <c r="AO36" s="13">
        <f>'ETS Emissions'!AK117</f>
        <v>45</v>
      </c>
      <c r="AP36" s="13">
        <f>'ETS Emissions'!AL117</f>
        <v>45</v>
      </c>
      <c r="AQ36" s="13">
        <f>'ETS Emissions'!AM117</f>
        <v>45</v>
      </c>
      <c r="AS36" s="9" t="s">
        <v>135</v>
      </c>
      <c r="AV36" s="9" t="str">
        <f t="shared" si="4"/>
        <v>INDSLU</v>
      </c>
      <c r="AW36" s="9" t="s">
        <v>133</v>
      </c>
    </row>
    <row r="37" spans="1:49">
      <c r="C37" s="9" t="s">
        <v>127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</row>
    <row r="38" spans="1:49">
      <c r="B38" s="123"/>
      <c r="C38" s="9" t="s">
        <v>2</v>
      </c>
      <c r="E38" s="9" t="str">
        <f>'ETS Emissions'!B118</f>
        <v>SUPBIO</v>
      </c>
      <c r="F38" s="21">
        <f t="shared" ref="F38:F42" si="5">AVERAGE(AD38,AH38,AI38)</f>
        <v>15</v>
      </c>
      <c r="G38" s="13">
        <f>'ETS Emissions'!C118</f>
        <v>0</v>
      </c>
      <c r="H38" s="13">
        <f>'ETS Emissions'!D118</f>
        <v>0</v>
      </c>
      <c r="I38" s="13">
        <f>'ETS Emissions'!E118</f>
        <v>0</v>
      </c>
      <c r="J38" s="13">
        <f>'ETS Emissions'!F118</f>
        <v>0</v>
      </c>
      <c r="K38" s="13">
        <f>'ETS Emissions'!G118</f>
        <v>0</v>
      </c>
      <c r="L38" s="13">
        <f>'ETS Emissions'!H118</f>
        <v>0</v>
      </c>
      <c r="M38" s="13">
        <f>'ETS Emissions'!I118</f>
        <v>0</v>
      </c>
      <c r="N38" s="13">
        <f>'ETS Emissions'!J118</f>
        <v>0</v>
      </c>
      <c r="O38" s="13">
        <f>'ETS Emissions'!K118</f>
        <v>0</v>
      </c>
      <c r="P38" s="13">
        <f>'ETS Emissions'!L118</f>
        <v>0</v>
      </c>
      <c r="Q38" s="13">
        <f>'ETS Emissions'!M118</f>
        <v>0</v>
      </c>
      <c r="R38" s="13">
        <f>'ETS Emissions'!N118</f>
        <v>0</v>
      </c>
      <c r="S38" s="13">
        <f>'ETS Emissions'!O118</f>
        <v>0</v>
      </c>
      <c r="T38" s="13">
        <f>'ETS Emissions'!P118</f>
        <v>0</v>
      </c>
      <c r="U38" s="13">
        <f>'ETS Emissions'!Q118</f>
        <v>0</v>
      </c>
      <c r="V38" s="13">
        <f>'ETS Emissions'!R118</f>
        <v>0</v>
      </c>
      <c r="W38" s="13">
        <f>'ETS Emissions'!S118</f>
        <v>0</v>
      </c>
      <c r="X38" s="13">
        <f>'ETS Emissions'!T118</f>
        <v>0</v>
      </c>
      <c r="Y38" s="13">
        <f>'ETS Emissions'!U118</f>
        <v>0</v>
      </c>
      <c r="Z38" s="13">
        <f>'ETS Emissions'!V118</f>
        <v>0</v>
      </c>
      <c r="AA38" s="13">
        <f>'ETS Emissions'!W118</f>
        <v>0</v>
      </c>
      <c r="AB38" s="13">
        <f>'ETS Emissions'!X118</f>
        <v>0</v>
      </c>
      <c r="AC38" s="13">
        <f>'ETS Emissions'!Y118</f>
        <v>0</v>
      </c>
      <c r="AD38" s="13">
        <f>'ETS Emissions'!Z118</f>
        <v>45</v>
      </c>
      <c r="AE38" s="13">
        <f>'ETS Emissions'!AA118</f>
        <v>0</v>
      </c>
      <c r="AF38" s="13">
        <f>'ETS Emissions'!AB118</f>
        <v>85.85</v>
      </c>
      <c r="AG38" s="13">
        <f>'ETS Emissions'!AC118</f>
        <v>0</v>
      </c>
      <c r="AH38" s="13">
        <f>'ETS Emissions'!AD118</f>
        <v>0</v>
      </c>
      <c r="AI38" s="13">
        <f>'ETS Emissions'!AE118</f>
        <v>0</v>
      </c>
      <c r="AJ38" s="13">
        <f>'ETS Emissions'!AF118</f>
        <v>0</v>
      </c>
      <c r="AK38" s="13">
        <f>'ETS Emissions'!AG118</f>
        <v>0</v>
      </c>
      <c r="AL38" s="13">
        <f>'ETS Emissions'!AH118</f>
        <v>0</v>
      </c>
      <c r="AM38" s="13">
        <f>'ETS Emissions'!AI118</f>
        <v>0</v>
      </c>
      <c r="AN38" s="13">
        <f>'ETS Emissions'!AJ118</f>
        <v>0</v>
      </c>
      <c r="AO38" s="13">
        <f>'ETS Emissions'!AK118</f>
        <v>0</v>
      </c>
      <c r="AP38" s="13">
        <f>'ETS Emissions'!AL118</f>
        <v>0</v>
      </c>
      <c r="AQ38" s="13">
        <f>'ETS Emissions'!AM118</f>
        <v>0</v>
      </c>
      <c r="AS38" s="9" t="s">
        <v>134</v>
      </c>
      <c r="AV38" s="9" t="str">
        <f t="shared" ref="AV38:AV42" si="6">E38</f>
        <v>SUPBIO</v>
      </c>
      <c r="AW38" s="9" t="s">
        <v>133</v>
      </c>
    </row>
    <row r="39" spans="1:49">
      <c r="C39" s="9" t="s">
        <v>2</v>
      </c>
      <c r="E39" s="9" t="str">
        <f>'ETS Emissions'!B119</f>
        <v>SUPCOA</v>
      </c>
      <c r="F39" s="21">
        <f t="shared" si="5"/>
        <v>103.73923472677266</v>
      </c>
      <c r="G39" s="13">
        <f>'ETS Emissions'!C119</f>
        <v>108.2</v>
      </c>
      <c r="H39" s="13">
        <f>'ETS Emissions'!D119</f>
        <v>98.3</v>
      </c>
      <c r="I39" s="13">
        <f>'ETS Emissions'!E119</f>
        <v>108.32</v>
      </c>
      <c r="J39" s="13">
        <f>'ETS Emissions'!F119</f>
        <v>98.3</v>
      </c>
      <c r="K39" s="13">
        <f>'ETS Emissions'!G119</f>
        <v>98.3</v>
      </c>
      <c r="L39" s="13">
        <f>'ETS Emissions'!H119</f>
        <v>108.26315789473701</v>
      </c>
      <c r="M39" s="13">
        <f>'ETS Emissions'!I119</f>
        <v>108.7113243762</v>
      </c>
      <c r="N39" s="13">
        <f>'ETS Emissions'!J119</f>
        <v>98.3</v>
      </c>
      <c r="O39" s="13">
        <f>'ETS Emissions'!K119</f>
        <v>101.2</v>
      </c>
      <c r="P39" s="13">
        <f>'ETS Emissions'!L119</f>
        <v>106.99</v>
      </c>
      <c r="Q39" s="13">
        <f>'ETS Emissions'!M119</f>
        <v>98.3</v>
      </c>
      <c r="R39" s="13">
        <f>'ETS Emissions'!N119</f>
        <v>107.542417582418</v>
      </c>
      <c r="S39" s="13">
        <f>'ETS Emissions'!O119</f>
        <v>98.3</v>
      </c>
      <c r="T39" s="13">
        <f>'ETS Emissions'!P119</f>
        <v>108.317073170732</v>
      </c>
      <c r="U39" s="13">
        <f>'ETS Emissions'!Q119</f>
        <v>101.2</v>
      </c>
      <c r="V39" s="13">
        <f>'ETS Emissions'!R119</f>
        <v>98.3</v>
      </c>
      <c r="W39" s="13">
        <f>'ETS Emissions'!S119</f>
        <v>98.704832713754598</v>
      </c>
      <c r="X39" s="13">
        <f>'ETS Emissions'!T119</f>
        <v>98.3</v>
      </c>
      <c r="Y39" s="13">
        <f>'ETS Emissions'!U119</f>
        <v>98.3</v>
      </c>
      <c r="Z39" s="13">
        <f>'ETS Emissions'!V119</f>
        <v>98.3</v>
      </c>
      <c r="AA39" s="13">
        <f>'ETS Emissions'!W119</f>
        <v>98.3</v>
      </c>
      <c r="AB39" s="13">
        <f>'ETS Emissions'!X119</f>
        <v>108.2</v>
      </c>
      <c r="AC39" s="13">
        <f>'ETS Emissions'!Y119</f>
        <v>98.3</v>
      </c>
      <c r="AD39" s="13">
        <f>'ETS Emissions'!Z119</f>
        <v>104.679406307978</v>
      </c>
      <c r="AE39" s="13">
        <f>'ETS Emissions'!AA119</f>
        <v>98.3</v>
      </c>
      <c r="AF39" s="13">
        <f>'ETS Emissions'!AB119</f>
        <v>107.905494505495</v>
      </c>
      <c r="AG39" s="13">
        <f>'ETS Emissions'!AC119</f>
        <v>108.2</v>
      </c>
      <c r="AH39" s="13">
        <f>'ETS Emissions'!AD119</f>
        <v>98.3</v>
      </c>
      <c r="AI39" s="13">
        <f>'ETS Emissions'!AE119</f>
        <v>108.23829787234</v>
      </c>
      <c r="AJ39" s="13">
        <f>'ETS Emissions'!AF119</f>
        <v>108.09060773480699</v>
      </c>
      <c r="AK39" s="13">
        <f>'ETS Emissions'!AG119</f>
        <v>95</v>
      </c>
      <c r="AL39" s="13">
        <f>'ETS Emissions'!AH119</f>
        <v>95</v>
      </c>
      <c r="AM39" s="13">
        <f>'ETS Emissions'!AI119</f>
        <v>95</v>
      </c>
      <c r="AN39" s="13">
        <f>'ETS Emissions'!AJ119</f>
        <v>95</v>
      </c>
      <c r="AO39" s="13">
        <f>'ETS Emissions'!AK119</f>
        <v>95</v>
      </c>
      <c r="AP39" s="13">
        <f>'ETS Emissions'!AL119</f>
        <v>95</v>
      </c>
      <c r="AQ39" s="13">
        <f>'ETS Emissions'!AM119</f>
        <v>95</v>
      </c>
      <c r="AS39" s="9" t="s">
        <v>134</v>
      </c>
      <c r="AV39" s="9" t="str">
        <f t="shared" si="6"/>
        <v>SUPCOA</v>
      </c>
      <c r="AW39" s="9" t="s">
        <v>133</v>
      </c>
    </row>
    <row r="40" spans="1:49">
      <c r="C40" s="9" t="s">
        <v>2</v>
      </c>
      <c r="E40" s="9" t="str">
        <f>'ETS Emissions'!B121</f>
        <v>SUPGAS</v>
      </c>
      <c r="F40" s="21">
        <f t="shared" si="5"/>
        <v>0</v>
      </c>
      <c r="G40" s="13">
        <f>'ETS Emissions'!C121</f>
        <v>0</v>
      </c>
      <c r="H40" s="13">
        <f>'ETS Emissions'!D121</f>
        <v>0</v>
      </c>
      <c r="I40" s="13">
        <f>'ETS Emissions'!E121</f>
        <v>0</v>
      </c>
      <c r="J40" s="13">
        <f>'ETS Emissions'!F121</f>
        <v>0</v>
      </c>
      <c r="K40" s="13">
        <f>'ETS Emissions'!G121</f>
        <v>0</v>
      </c>
      <c r="L40" s="13">
        <f>'ETS Emissions'!H121</f>
        <v>3.4874999999999998</v>
      </c>
      <c r="M40" s="13">
        <f>'ETS Emissions'!I121</f>
        <v>0</v>
      </c>
      <c r="N40" s="13">
        <f>'ETS Emissions'!J121</f>
        <v>0</v>
      </c>
      <c r="O40" s="13">
        <f>'ETS Emissions'!K121</f>
        <v>0</v>
      </c>
      <c r="P40" s="13">
        <f>'ETS Emissions'!L121</f>
        <v>0</v>
      </c>
      <c r="Q40" s="13">
        <f>'ETS Emissions'!M121</f>
        <v>0</v>
      </c>
      <c r="R40" s="13">
        <f>'ETS Emissions'!N121</f>
        <v>0</v>
      </c>
      <c r="S40" s="13">
        <f>'ETS Emissions'!O121</f>
        <v>0</v>
      </c>
      <c r="T40" s="13">
        <f>'ETS Emissions'!P121</f>
        <v>0</v>
      </c>
      <c r="U40" s="13">
        <f>'ETS Emissions'!Q121</f>
        <v>0</v>
      </c>
      <c r="V40" s="13">
        <f>'ETS Emissions'!R121</f>
        <v>0</v>
      </c>
      <c r="W40" s="13">
        <f>'ETS Emissions'!S121</f>
        <v>0</v>
      </c>
      <c r="X40" s="13">
        <f>'ETS Emissions'!T121</f>
        <v>0</v>
      </c>
      <c r="Y40" s="13">
        <f>'ETS Emissions'!U121</f>
        <v>0</v>
      </c>
      <c r="Z40" s="13">
        <f>'ETS Emissions'!V121</f>
        <v>0</v>
      </c>
      <c r="AA40" s="13">
        <f>'ETS Emissions'!W121</f>
        <v>0</v>
      </c>
      <c r="AB40" s="13">
        <f>'ETS Emissions'!X121</f>
        <v>0</v>
      </c>
      <c r="AC40" s="13">
        <f>'ETS Emissions'!Y121</f>
        <v>0</v>
      </c>
      <c r="AD40" s="13">
        <f>'ETS Emissions'!Z121</f>
        <v>0</v>
      </c>
      <c r="AE40" s="13">
        <f>'ETS Emissions'!AA121</f>
        <v>0</v>
      </c>
      <c r="AF40" s="13">
        <f>'ETS Emissions'!AB121</f>
        <v>0</v>
      </c>
      <c r="AG40" s="13">
        <f>'ETS Emissions'!AC121</f>
        <v>37.4</v>
      </c>
      <c r="AH40" s="13">
        <f>'ETS Emissions'!AD121</f>
        <v>0</v>
      </c>
      <c r="AI40" s="13">
        <f>'ETS Emissions'!AE121</f>
        <v>0</v>
      </c>
      <c r="AJ40" s="13">
        <f>'ETS Emissions'!AF121</f>
        <v>0</v>
      </c>
      <c r="AK40" s="13">
        <f>'ETS Emissions'!AG121</f>
        <v>0</v>
      </c>
      <c r="AL40" s="13">
        <f>'ETS Emissions'!AH121</f>
        <v>0</v>
      </c>
      <c r="AM40" s="13">
        <f>'ETS Emissions'!AI121</f>
        <v>0</v>
      </c>
      <c r="AN40" s="13">
        <f>'ETS Emissions'!AJ121</f>
        <v>0</v>
      </c>
      <c r="AO40" s="13">
        <f>'ETS Emissions'!AK121</f>
        <v>0</v>
      </c>
      <c r="AP40" s="13">
        <f>'ETS Emissions'!AL121</f>
        <v>0</v>
      </c>
      <c r="AQ40" s="13">
        <f>'ETS Emissions'!AM121</f>
        <v>0</v>
      </c>
      <c r="AS40" s="9" t="s">
        <v>134</v>
      </c>
      <c r="AV40" s="9" t="str">
        <f t="shared" si="6"/>
        <v>SUPGAS</v>
      </c>
      <c r="AW40" s="9" t="s">
        <v>133</v>
      </c>
    </row>
    <row r="41" spans="1:49">
      <c r="C41" s="9" t="s">
        <v>2</v>
      </c>
      <c r="E41" s="9" t="str">
        <f>'ETS Emissions'!B122</f>
        <v>SUPRPG</v>
      </c>
      <c r="F41" s="21">
        <f t="shared" si="5"/>
        <v>59.053429505781729</v>
      </c>
      <c r="G41" s="13">
        <f>'ETS Emissions'!C122</f>
        <v>60.590809628008799</v>
      </c>
      <c r="H41" s="13">
        <f>'ETS Emissions'!D122</f>
        <v>56.420987654321003</v>
      </c>
      <c r="I41" s="13">
        <f>'ETS Emissions'!E122</f>
        <v>65.064686346727598</v>
      </c>
      <c r="J41" s="13">
        <f>'ETS Emissions'!F122</f>
        <v>70.986937173770997</v>
      </c>
      <c r="K41" s="13">
        <f>'ETS Emissions'!G122</f>
        <v>56.1</v>
      </c>
      <c r="L41" s="13">
        <f>'ETS Emissions'!H122</f>
        <v>60</v>
      </c>
      <c r="M41" s="13">
        <f>'ETS Emissions'!I122</f>
        <v>60.541943131050701</v>
      </c>
      <c r="N41" s="13">
        <f>'ETS Emissions'!J122</f>
        <v>57.5200245996595</v>
      </c>
      <c r="O41" s="13">
        <f>'ETS Emissions'!K122</f>
        <v>56.1</v>
      </c>
      <c r="P41" s="13">
        <f>'ETS Emissions'!L122</f>
        <v>56.1</v>
      </c>
      <c r="Q41" s="13">
        <f>'ETS Emissions'!M122</f>
        <v>56.1</v>
      </c>
      <c r="R41" s="13">
        <f>'ETS Emissions'!N122</f>
        <v>56.4709727632778</v>
      </c>
      <c r="S41" s="13">
        <f>'ETS Emissions'!O122</f>
        <v>56.772082717872998</v>
      </c>
      <c r="T41" s="13">
        <f>'ETS Emissions'!P122</f>
        <v>60</v>
      </c>
      <c r="U41" s="13">
        <f>'ETS Emissions'!Q122</f>
        <v>56.582758620689702</v>
      </c>
      <c r="V41" s="13">
        <f>'ETS Emissions'!R122</f>
        <v>56.1</v>
      </c>
      <c r="W41" s="13">
        <f>'ETS Emissions'!S122</f>
        <v>56.8468682967167</v>
      </c>
      <c r="X41" s="13">
        <f>'ETS Emissions'!T122</f>
        <v>56.1</v>
      </c>
      <c r="Y41" s="13">
        <f>'ETS Emissions'!U122</f>
        <v>56.1</v>
      </c>
      <c r="Z41" s="13">
        <f>'ETS Emissions'!V122</f>
        <v>56.1</v>
      </c>
      <c r="AA41" s="13">
        <f>'ETS Emissions'!W122</f>
        <v>56.1</v>
      </c>
      <c r="AB41" s="13">
        <f>'ETS Emissions'!X122</f>
        <v>69.417060754821094</v>
      </c>
      <c r="AC41" s="13">
        <f>'ETS Emissions'!Y122</f>
        <v>56.269014084506999</v>
      </c>
      <c r="AD41" s="13">
        <f>'ETS Emissions'!Z122</f>
        <v>60</v>
      </c>
      <c r="AE41" s="13">
        <f>'ETS Emissions'!AA122</f>
        <v>63.1</v>
      </c>
      <c r="AF41" s="13">
        <f>'ETS Emissions'!AB122</f>
        <v>56.301040512691102</v>
      </c>
      <c r="AG41" s="13">
        <f>'ETS Emissions'!AC122</f>
        <v>56.1</v>
      </c>
      <c r="AH41" s="13">
        <f>'ETS Emissions'!AD122</f>
        <v>56.1</v>
      </c>
      <c r="AI41" s="13">
        <f>'ETS Emissions'!AE122</f>
        <v>61.060288517345199</v>
      </c>
      <c r="AJ41" s="13">
        <f>'ETS Emissions'!AF122</f>
        <v>56.189090909090901</v>
      </c>
      <c r="AK41" s="13">
        <f>'ETS Emissions'!AG122</f>
        <v>60</v>
      </c>
      <c r="AL41" s="13">
        <f>'ETS Emissions'!AH122</f>
        <v>60</v>
      </c>
      <c r="AM41" s="13">
        <f>'ETS Emissions'!AI122</f>
        <v>60.167692806221702</v>
      </c>
      <c r="AN41" s="13">
        <f>'ETS Emissions'!AJ122</f>
        <v>60</v>
      </c>
      <c r="AO41" s="13">
        <f>'ETS Emissions'!AK122</f>
        <v>60</v>
      </c>
      <c r="AP41" s="13">
        <f>'ETS Emissions'!AL122</f>
        <v>60</v>
      </c>
      <c r="AQ41" s="13">
        <f>'ETS Emissions'!AM122</f>
        <v>60</v>
      </c>
      <c r="AS41" s="9" t="s">
        <v>134</v>
      </c>
      <c r="AV41" s="9" t="str">
        <f t="shared" si="6"/>
        <v>SUPRPG</v>
      </c>
      <c r="AW41" s="9" t="s">
        <v>133</v>
      </c>
    </row>
    <row r="42" spans="1:49">
      <c r="C42" s="9" t="s">
        <v>2</v>
      </c>
      <c r="E42" s="9" t="str">
        <f>'ETS Emissions'!B123</f>
        <v>SUPRPP</v>
      </c>
      <c r="F42" s="21">
        <f t="shared" si="5"/>
        <v>172.20319204400502</v>
      </c>
      <c r="G42" s="13">
        <f>'ETS Emissions'!C123</f>
        <v>85.122384570224497</v>
      </c>
      <c r="H42" s="13">
        <f>'ETS Emissions'!D123</f>
        <v>89.602608746831294</v>
      </c>
      <c r="I42" s="13">
        <f>'ETS Emissions'!E123</f>
        <v>78</v>
      </c>
      <c r="J42" s="13">
        <f>'ETS Emissions'!F123</f>
        <v>111.147661417953</v>
      </c>
      <c r="K42" s="13">
        <f>'ETS Emissions'!G123</f>
        <v>77.400000000000006</v>
      </c>
      <c r="L42" s="13">
        <f>'ETS Emissions'!H123</f>
        <v>119.43410312994899</v>
      </c>
      <c r="M42" s="13">
        <f>'ETS Emissions'!I123</f>
        <v>88.399165449363807</v>
      </c>
      <c r="N42" s="13">
        <f>'ETS Emissions'!J123</f>
        <v>105.46933590413801</v>
      </c>
      <c r="O42" s="13">
        <f>'ETS Emissions'!K123</f>
        <v>74.512500000000003</v>
      </c>
      <c r="P42" s="13">
        <f>'ETS Emissions'!L123</f>
        <v>76.193411964837907</v>
      </c>
      <c r="Q42" s="13">
        <f>'ETS Emissions'!M123</f>
        <v>273.60941439263399</v>
      </c>
      <c r="R42" s="13">
        <f>'ETS Emissions'!N123</f>
        <v>80.498436314051901</v>
      </c>
      <c r="S42" s="13">
        <f>'ETS Emissions'!O123</f>
        <v>94.644898043641106</v>
      </c>
      <c r="T42" s="13">
        <f>'ETS Emissions'!P123</f>
        <v>85.558701610646906</v>
      </c>
      <c r="U42" s="13">
        <f>'ETS Emissions'!Q123</f>
        <v>76.834285714285699</v>
      </c>
      <c r="V42" s="13">
        <f>'ETS Emissions'!R123</f>
        <v>77.400000000000006</v>
      </c>
      <c r="W42" s="13">
        <f>'ETS Emissions'!S123</f>
        <v>78.024480038737593</v>
      </c>
      <c r="X42" s="13">
        <f>'ETS Emissions'!T123</f>
        <v>118.82317834285701</v>
      </c>
      <c r="Y42" s="13">
        <f>'ETS Emissions'!U123</f>
        <v>77.400000000000006</v>
      </c>
      <c r="Z42" s="13">
        <f>'ETS Emissions'!V123</f>
        <v>77.400000000000006</v>
      </c>
      <c r="AA42" s="13">
        <f>'ETS Emissions'!W123</f>
        <v>77.400000000000006</v>
      </c>
      <c r="AB42" s="13">
        <f>'ETS Emissions'!X123</f>
        <v>102.699962201227</v>
      </c>
      <c r="AC42" s="13">
        <f>'ETS Emissions'!Y123</f>
        <v>74.099999999999994</v>
      </c>
      <c r="AD42" s="13">
        <f>'ETS Emissions'!Z123</f>
        <v>197.80864152838001</v>
      </c>
      <c r="AE42" s="13">
        <f>'ETS Emissions'!AA123</f>
        <v>75.500668151447698</v>
      </c>
      <c r="AF42" s="13">
        <f>'ETS Emissions'!AB123</f>
        <v>76.806475247149194</v>
      </c>
      <c r="AG42" s="13">
        <f>'ETS Emissions'!AC123</f>
        <v>173.83887312687301</v>
      </c>
      <c r="AH42" s="13">
        <f>'ETS Emissions'!AD123</f>
        <v>77.400000000000006</v>
      </c>
      <c r="AI42" s="13">
        <f>'ETS Emissions'!AE123</f>
        <v>241.40093460363499</v>
      </c>
      <c r="AJ42" s="13">
        <f>'ETS Emissions'!AF123</f>
        <v>80.323204755784005</v>
      </c>
      <c r="AK42" s="13">
        <f>'ETS Emissions'!AG123</f>
        <v>78</v>
      </c>
      <c r="AL42" s="13">
        <f>'ETS Emissions'!AH123</f>
        <v>74</v>
      </c>
      <c r="AM42" s="13">
        <f>'ETS Emissions'!AI123</f>
        <v>78.291973111901896</v>
      </c>
      <c r="AN42" s="13">
        <f>'ETS Emissions'!AJ123</f>
        <v>78</v>
      </c>
      <c r="AO42" s="13">
        <f>'ETS Emissions'!AK123</f>
        <v>78</v>
      </c>
      <c r="AP42" s="13">
        <f>'ETS Emissions'!AL123</f>
        <v>78</v>
      </c>
      <c r="AQ42" s="13">
        <f>'ETS Emissions'!AM123</f>
        <v>78</v>
      </c>
      <c r="AS42" s="9" t="s">
        <v>134</v>
      </c>
      <c r="AV42" s="9" t="str">
        <f t="shared" si="6"/>
        <v>SUPRPP</v>
      </c>
      <c r="AW42" s="9" t="s">
        <v>133</v>
      </c>
    </row>
    <row r="45" spans="1:49">
      <c r="A45" s="124"/>
      <c r="B45" s="124"/>
      <c r="C45" s="124" t="s">
        <v>2</v>
      </c>
      <c r="D45" s="124"/>
      <c r="E45" s="124" t="str">
        <f t="shared" ref="E45:E51" si="7">AV45</f>
        <v>P2LDST_FOS</v>
      </c>
      <c r="F45" s="125">
        <v>74.099999999999994</v>
      </c>
      <c r="G45" s="125">
        <f t="shared" ref="G45:P46" si="8">$F45</f>
        <v>74.099999999999994</v>
      </c>
      <c r="H45" s="125">
        <f t="shared" si="8"/>
        <v>74.099999999999994</v>
      </c>
      <c r="I45" s="125">
        <f t="shared" si="8"/>
        <v>74.099999999999994</v>
      </c>
      <c r="J45" s="125">
        <f t="shared" si="8"/>
        <v>74.099999999999994</v>
      </c>
      <c r="K45" s="125">
        <f t="shared" si="8"/>
        <v>74.099999999999994</v>
      </c>
      <c r="L45" s="125">
        <f t="shared" si="8"/>
        <v>74.099999999999994</v>
      </c>
      <c r="M45" s="125">
        <f t="shared" si="8"/>
        <v>74.099999999999994</v>
      </c>
      <c r="N45" s="125">
        <f t="shared" si="8"/>
        <v>74.099999999999994</v>
      </c>
      <c r="O45" s="125">
        <f t="shared" si="8"/>
        <v>74.099999999999994</v>
      </c>
      <c r="P45" s="125">
        <f t="shared" si="8"/>
        <v>74.099999999999994</v>
      </c>
      <c r="Q45" s="125">
        <f t="shared" ref="Q45:Z46" si="9">$F45</f>
        <v>74.099999999999994</v>
      </c>
      <c r="R45" s="125">
        <f t="shared" si="9"/>
        <v>74.099999999999994</v>
      </c>
      <c r="S45" s="125">
        <f t="shared" si="9"/>
        <v>74.099999999999994</v>
      </c>
      <c r="T45" s="125">
        <f t="shared" si="9"/>
        <v>74.099999999999994</v>
      </c>
      <c r="U45" s="125">
        <f t="shared" si="9"/>
        <v>74.099999999999994</v>
      </c>
      <c r="V45" s="125">
        <f t="shared" si="9"/>
        <v>74.099999999999994</v>
      </c>
      <c r="W45" s="125">
        <f t="shared" si="9"/>
        <v>74.099999999999994</v>
      </c>
      <c r="X45" s="125">
        <f t="shared" si="9"/>
        <v>74.099999999999994</v>
      </c>
      <c r="Y45" s="125">
        <f t="shared" si="9"/>
        <v>74.099999999999994</v>
      </c>
      <c r="Z45" s="125">
        <f t="shared" si="9"/>
        <v>74.099999999999994</v>
      </c>
      <c r="AA45" s="125">
        <f t="shared" ref="AA45:AJ46" si="10">$F45</f>
        <v>74.099999999999994</v>
      </c>
      <c r="AB45" s="125">
        <f t="shared" si="10"/>
        <v>74.099999999999994</v>
      </c>
      <c r="AC45" s="125">
        <f t="shared" si="10"/>
        <v>74.099999999999994</v>
      </c>
      <c r="AD45" s="125">
        <f t="shared" si="10"/>
        <v>74.099999999999994</v>
      </c>
      <c r="AE45" s="125">
        <f t="shared" si="10"/>
        <v>74.099999999999994</v>
      </c>
      <c r="AF45" s="125">
        <f t="shared" si="10"/>
        <v>74.099999999999994</v>
      </c>
      <c r="AG45" s="125">
        <f t="shared" si="10"/>
        <v>74.099999999999994</v>
      </c>
      <c r="AH45" s="125">
        <f t="shared" si="10"/>
        <v>74.099999999999994</v>
      </c>
      <c r="AI45" s="125">
        <f t="shared" si="10"/>
        <v>74.099999999999994</v>
      </c>
      <c r="AJ45" s="125">
        <f t="shared" si="10"/>
        <v>74.099999999999994</v>
      </c>
      <c r="AK45" s="125">
        <f t="shared" ref="AK45:AQ46" si="11">$F45</f>
        <v>74.099999999999994</v>
      </c>
      <c r="AL45" s="125">
        <f t="shared" si="11"/>
        <v>74.099999999999994</v>
      </c>
      <c r="AM45" s="125">
        <f t="shared" si="11"/>
        <v>74.099999999999994</v>
      </c>
      <c r="AN45" s="125">
        <f t="shared" si="11"/>
        <v>74.099999999999994</v>
      </c>
      <c r="AO45" s="125">
        <f t="shared" si="11"/>
        <v>74.099999999999994</v>
      </c>
      <c r="AP45" s="125">
        <f t="shared" si="11"/>
        <v>74.099999999999994</v>
      </c>
      <c r="AQ45" s="125">
        <f t="shared" si="11"/>
        <v>74.099999999999994</v>
      </c>
      <c r="AR45" s="124"/>
      <c r="AS45" s="127" t="s">
        <v>390</v>
      </c>
      <c r="AT45" s="124"/>
      <c r="AU45" s="124"/>
      <c r="AV45" s="127" t="s">
        <v>401</v>
      </c>
      <c r="AW45" s="126" t="s">
        <v>133</v>
      </c>
    </row>
    <row r="46" spans="1:49">
      <c r="A46" s="124"/>
      <c r="B46" s="124"/>
      <c r="C46" s="124" t="s">
        <v>2</v>
      </c>
      <c r="D46" s="124"/>
      <c r="E46" s="124" t="str">
        <f t="shared" si="7"/>
        <v>SYNDST</v>
      </c>
      <c r="F46" s="125">
        <v>74.099999999999994</v>
      </c>
      <c r="G46" s="125">
        <f t="shared" si="8"/>
        <v>74.099999999999994</v>
      </c>
      <c r="H46" s="125">
        <f t="shared" si="8"/>
        <v>74.099999999999994</v>
      </c>
      <c r="I46" s="125">
        <f t="shared" si="8"/>
        <v>74.099999999999994</v>
      </c>
      <c r="J46" s="125">
        <f t="shared" si="8"/>
        <v>74.099999999999994</v>
      </c>
      <c r="K46" s="125">
        <f t="shared" si="8"/>
        <v>74.099999999999994</v>
      </c>
      <c r="L46" s="125">
        <f t="shared" si="8"/>
        <v>74.099999999999994</v>
      </c>
      <c r="M46" s="125">
        <f t="shared" si="8"/>
        <v>74.099999999999994</v>
      </c>
      <c r="N46" s="125">
        <f t="shared" si="8"/>
        <v>74.099999999999994</v>
      </c>
      <c r="O46" s="125">
        <f t="shared" si="8"/>
        <v>74.099999999999994</v>
      </c>
      <c r="P46" s="125">
        <f t="shared" si="8"/>
        <v>74.099999999999994</v>
      </c>
      <c r="Q46" s="125">
        <f t="shared" si="9"/>
        <v>74.099999999999994</v>
      </c>
      <c r="R46" s="125">
        <f t="shared" si="9"/>
        <v>74.099999999999994</v>
      </c>
      <c r="S46" s="125">
        <f t="shared" si="9"/>
        <v>74.099999999999994</v>
      </c>
      <c r="T46" s="125">
        <f t="shared" si="9"/>
        <v>74.099999999999994</v>
      </c>
      <c r="U46" s="125">
        <f t="shared" si="9"/>
        <v>74.099999999999994</v>
      </c>
      <c r="V46" s="125">
        <f t="shared" si="9"/>
        <v>74.099999999999994</v>
      </c>
      <c r="W46" s="125">
        <f t="shared" si="9"/>
        <v>74.099999999999994</v>
      </c>
      <c r="X46" s="125">
        <f t="shared" si="9"/>
        <v>74.099999999999994</v>
      </c>
      <c r="Y46" s="125">
        <f t="shared" si="9"/>
        <v>74.099999999999994</v>
      </c>
      <c r="Z46" s="125">
        <f t="shared" si="9"/>
        <v>74.099999999999994</v>
      </c>
      <c r="AA46" s="125">
        <f t="shared" si="10"/>
        <v>74.099999999999994</v>
      </c>
      <c r="AB46" s="125">
        <f t="shared" si="10"/>
        <v>74.099999999999994</v>
      </c>
      <c r="AC46" s="125">
        <f t="shared" si="10"/>
        <v>74.099999999999994</v>
      </c>
      <c r="AD46" s="125">
        <f t="shared" si="10"/>
        <v>74.099999999999994</v>
      </c>
      <c r="AE46" s="125">
        <f t="shared" si="10"/>
        <v>74.099999999999994</v>
      </c>
      <c r="AF46" s="125">
        <f t="shared" si="10"/>
        <v>74.099999999999994</v>
      </c>
      <c r="AG46" s="125">
        <f t="shared" si="10"/>
        <v>74.099999999999994</v>
      </c>
      <c r="AH46" s="125">
        <f t="shared" si="10"/>
        <v>74.099999999999994</v>
      </c>
      <c r="AI46" s="125">
        <f t="shared" si="10"/>
        <v>74.099999999999994</v>
      </c>
      <c r="AJ46" s="125">
        <f t="shared" si="10"/>
        <v>74.099999999999994</v>
      </c>
      <c r="AK46" s="125">
        <f t="shared" si="11"/>
        <v>74.099999999999994</v>
      </c>
      <c r="AL46" s="125">
        <f t="shared" si="11"/>
        <v>74.099999999999994</v>
      </c>
      <c r="AM46" s="125">
        <f t="shared" si="11"/>
        <v>74.099999999999994</v>
      </c>
      <c r="AN46" s="125">
        <f t="shared" si="11"/>
        <v>74.099999999999994</v>
      </c>
      <c r="AO46" s="125">
        <f t="shared" si="11"/>
        <v>74.099999999999994</v>
      </c>
      <c r="AP46" s="125">
        <f t="shared" si="11"/>
        <v>74.099999999999994</v>
      </c>
      <c r="AQ46" s="125">
        <f t="shared" si="11"/>
        <v>74.099999999999994</v>
      </c>
      <c r="AR46" s="124"/>
      <c r="AS46" s="127" t="s">
        <v>390</v>
      </c>
      <c r="AT46" s="124"/>
      <c r="AU46" s="124"/>
      <c r="AV46" s="127" t="s">
        <v>402</v>
      </c>
      <c r="AW46" s="126" t="s">
        <v>133</v>
      </c>
    </row>
    <row r="47" spans="1:49">
      <c r="A47" s="124"/>
      <c r="B47" s="124"/>
      <c r="C47" s="124" t="s">
        <v>2</v>
      </c>
      <c r="D47" s="124"/>
      <c r="E47" s="124" t="str">
        <f t="shared" si="7"/>
        <v>BIONAV</v>
      </c>
      <c r="F47" s="125">
        <v>0</v>
      </c>
      <c r="G47" s="125">
        <f>$F47</f>
        <v>0</v>
      </c>
      <c r="H47" s="125">
        <v>0</v>
      </c>
      <c r="I47" s="125">
        <f>$F47</f>
        <v>0</v>
      </c>
      <c r="J47" s="125">
        <v>0</v>
      </c>
      <c r="K47" s="125">
        <f>$F47</f>
        <v>0</v>
      </c>
      <c r="L47" s="125">
        <v>0</v>
      </c>
      <c r="M47" s="125">
        <f>$F47</f>
        <v>0</v>
      </c>
      <c r="N47" s="125">
        <v>0</v>
      </c>
      <c r="O47" s="125">
        <f>$F47</f>
        <v>0</v>
      </c>
      <c r="P47" s="125">
        <v>0</v>
      </c>
      <c r="Q47" s="125">
        <f>$F47</f>
        <v>0</v>
      </c>
      <c r="R47" s="125">
        <v>0</v>
      </c>
      <c r="S47" s="125">
        <f>$F47</f>
        <v>0</v>
      </c>
      <c r="T47" s="125">
        <v>0</v>
      </c>
      <c r="U47" s="125">
        <f>$F47</f>
        <v>0</v>
      </c>
      <c r="V47" s="125">
        <v>0</v>
      </c>
      <c r="W47" s="125">
        <f>$F47</f>
        <v>0</v>
      </c>
      <c r="X47" s="125">
        <v>0</v>
      </c>
      <c r="Y47" s="125">
        <f>$F47</f>
        <v>0</v>
      </c>
      <c r="Z47" s="125">
        <v>0</v>
      </c>
      <c r="AA47" s="125">
        <f>$F47</f>
        <v>0</v>
      </c>
      <c r="AB47" s="125">
        <v>0</v>
      </c>
      <c r="AC47" s="125">
        <f>$F47</f>
        <v>0</v>
      </c>
      <c r="AD47" s="125">
        <v>0</v>
      </c>
      <c r="AE47" s="125">
        <f>$F47</f>
        <v>0</v>
      </c>
      <c r="AF47" s="125">
        <v>0</v>
      </c>
      <c r="AG47" s="125">
        <f>$F47</f>
        <v>0</v>
      </c>
      <c r="AH47" s="125">
        <v>0</v>
      </c>
      <c r="AI47" s="125">
        <f>$F47</f>
        <v>0</v>
      </c>
      <c r="AJ47" s="125">
        <v>0</v>
      </c>
      <c r="AK47" s="125">
        <f>$F47</f>
        <v>0</v>
      </c>
      <c r="AL47" s="125">
        <v>0</v>
      </c>
      <c r="AM47" s="125">
        <f>$F47</f>
        <v>0</v>
      </c>
      <c r="AN47" s="125">
        <v>0</v>
      </c>
      <c r="AO47" s="125">
        <f>$F47</f>
        <v>0</v>
      </c>
      <c r="AP47" s="125">
        <v>0</v>
      </c>
      <c r="AQ47" s="125">
        <f>$F47</f>
        <v>0</v>
      </c>
      <c r="AR47" s="124"/>
      <c r="AS47" s="126" t="s">
        <v>356</v>
      </c>
      <c r="AT47" s="124"/>
      <c r="AU47" s="124"/>
      <c r="AV47" s="127" t="s">
        <v>400</v>
      </c>
      <c r="AW47" s="126" t="s">
        <v>133</v>
      </c>
    </row>
    <row r="48" spans="1:49">
      <c r="A48" s="124"/>
      <c r="B48" s="124"/>
      <c r="C48" s="124" t="s">
        <v>2</v>
      </c>
      <c r="D48" s="124"/>
      <c r="E48" s="124" t="str">
        <f t="shared" si="7"/>
        <v>OILDST</v>
      </c>
      <c r="F48" s="105">
        <f t="shared" ref="F48" si="12">AVERAGE(AD48,AH48,AI48)</f>
        <v>74.027149041434768</v>
      </c>
      <c r="G48" s="128">
        <f t="shared" ref="G48:AQ48" si="13">G30</f>
        <v>74</v>
      </c>
      <c r="H48" s="128">
        <f t="shared" si="13"/>
        <v>74.062199312714796</v>
      </c>
      <c r="I48" s="128">
        <f t="shared" si="13"/>
        <v>74</v>
      </c>
      <c r="J48" s="128">
        <f t="shared" si="13"/>
        <v>74.093573585712207</v>
      </c>
      <c r="K48" s="128">
        <f t="shared" si="13"/>
        <v>74.099999999999994</v>
      </c>
      <c r="L48" s="128">
        <f t="shared" si="13"/>
        <v>74</v>
      </c>
      <c r="M48" s="128">
        <f t="shared" si="13"/>
        <v>74</v>
      </c>
      <c r="N48" s="128">
        <f t="shared" si="13"/>
        <v>74.087723785166204</v>
      </c>
      <c r="O48" s="128">
        <f t="shared" si="13"/>
        <v>74</v>
      </c>
      <c r="P48" s="128">
        <f t="shared" si="13"/>
        <v>74.099999999999994</v>
      </c>
      <c r="Q48" s="128">
        <f t="shared" si="13"/>
        <v>73.358999999999995</v>
      </c>
      <c r="R48" s="128">
        <f t="shared" si="13"/>
        <v>74.099999999999994</v>
      </c>
      <c r="S48" s="128">
        <f t="shared" si="13"/>
        <v>74.080444444444396</v>
      </c>
      <c r="T48" s="128">
        <f t="shared" si="13"/>
        <v>74</v>
      </c>
      <c r="U48" s="128">
        <f t="shared" si="13"/>
        <v>73.241290322580596</v>
      </c>
      <c r="V48" s="128">
        <f t="shared" si="13"/>
        <v>74.099999999999994</v>
      </c>
      <c r="W48" s="128">
        <f t="shared" si="13"/>
        <v>72.6643129770992</v>
      </c>
      <c r="X48" s="128">
        <f t="shared" si="13"/>
        <v>73.739999999999995</v>
      </c>
      <c r="Y48" s="128">
        <f t="shared" si="13"/>
        <v>74.025000000000006</v>
      </c>
      <c r="Z48" s="128">
        <f t="shared" si="13"/>
        <v>73.825714285714298</v>
      </c>
      <c r="AA48" s="128">
        <f t="shared" si="13"/>
        <v>74.099999999999994</v>
      </c>
      <c r="AB48" s="128">
        <f t="shared" si="13"/>
        <v>73.984864863810699</v>
      </c>
      <c r="AC48" s="128">
        <f t="shared" si="13"/>
        <v>74.099999999999994</v>
      </c>
      <c r="AD48" s="128">
        <f t="shared" si="13"/>
        <v>73.981447124304296</v>
      </c>
      <c r="AE48" s="128">
        <f t="shared" si="13"/>
        <v>74.063003832655596</v>
      </c>
      <c r="AF48" s="128">
        <f t="shared" si="13"/>
        <v>73.458767772511806</v>
      </c>
      <c r="AG48" s="128">
        <f t="shared" si="13"/>
        <v>74.099999999999994</v>
      </c>
      <c r="AH48" s="128">
        <f t="shared" si="13"/>
        <v>74.099999999999994</v>
      </c>
      <c r="AI48" s="128">
        <f t="shared" si="13"/>
        <v>74</v>
      </c>
      <c r="AJ48" s="128">
        <f t="shared" si="13"/>
        <v>73.422578109648299</v>
      </c>
      <c r="AK48" s="128">
        <f t="shared" si="13"/>
        <v>74</v>
      </c>
      <c r="AL48" s="128">
        <f t="shared" si="13"/>
        <v>74</v>
      </c>
      <c r="AM48" s="128">
        <f t="shared" si="13"/>
        <v>73.915081334436195</v>
      </c>
      <c r="AN48" s="128">
        <f t="shared" si="13"/>
        <v>74</v>
      </c>
      <c r="AO48" s="128">
        <f t="shared" si="13"/>
        <v>74</v>
      </c>
      <c r="AP48" s="128">
        <f t="shared" si="13"/>
        <v>74</v>
      </c>
      <c r="AQ48" s="128">
        <f t="shared" si="13"/>
        <v>74</v>
      </c>
      <c r="AR48" s="124"/>
      <c r="AS48" s="126" t="s">
        <v>356</v>
      </c>
      <c r="AT48" s="124"/>
      <c r="AU48" s="124"/>
      <c r="AV48" s="127" t="s">
        <v>315</v>
      </c>
      <c r="AW48" s="126" t="s">
        <v>133</v>
      </c>
    </row>
    <row r="49" spans="1:60">
      <c r="A49" s="124"/>
      <c r="B49" s="124"/>
      <c r="C49" s="129" t="s">
        <v>2</v>
      </c>
      <c r="D49" s="124"/>
      <c r="E49" s="124" t="str">
        <f t="shared" si="7"/>
        <v>BIOJET</v>
      </c>
      <c r="F49" s="128">
        <v>0</v>
      </c>
      <c r="G49" s="128">
        <f t="shared" ref="G49:P52" si="14">$F49</f>
        <v>0</v>
      </c>
      <c r="H49" s="128">
        <f t="shared" si="14"/>
        <v>0</v>
      </c>
      <c r="I49" s="128">
        <f t="shared" si="14"/>
        <v>0</v>
      </c>
      <c r="J49" s="128">
        <f t="shared" si="14"/>
        <v>0</v>
      </c>
      <c r="K49" s="128">
        <f t="shared" si="14"/>
        <v>0</v>
      </c>
      <c r="L49" s="128">
        <f t="shared" si="14"/>
        <v>0</v>
      </c>
      <c r="M49" s="128">
        <f t="shared" si="14"/>
        <v>0</v>
      </c>
      <c r="N49" s="128">
        <f t="shared" si="14"/>
        <v>0</v>
      </c>
      <c r="O49" s="128">
        <f t="shared" si="14"/>
        <v>0</v>
      </c>
      <c r="P49" s="128">
        <f t="shared" si="14"/>
        <v>0</v>
      </c>
      <c r="Q49" s="128">
        <f t="shared" ref="Q49:Z52" si="15">$F49</f>
        <v>0</v>
      </c>
      <c r="R49" s="128">
        <f t="shared" si="15"/>
        <v>0</v>
      </c>
      <c r="S49" s="128">
        <f t="shared" si="15"/>
        <v>0</v>
      </c>
      <c r="T49" s="128">
        <f t="shared" si="15"/>
        <v>0</v>
      </c>
      <c r="U49" s="128">
        <f t="shared" si="15"/>
        <v>0</v>
      </c>
      <c r="V49" s="128">
        <f t="shared" si="15"/>
        <v>0</v>
      </c>
      <c r="W49" s="128">
        <f t="shared" si="15"/>
        <v>0</v>
      </c>
      <c r="X49" s="128">
        <f t="shared" si="15"/>
        <v>0</v>
      </c>
      <c r="Y49" s="128">
        <f t="shared" si="15"/>
        <v>0</v>
      </c>
      <c r="Z49" s="128">
        <f t="shared" si="15"/>
        <v>0</v>
      </c>
      <c r="AA49" s="128">
        <f t="shared" ref="AA49:AJ52" si="16">$F49</f>
        <v>0</v>
      </c>
      <c r="AB49" s="128">
        <f t="shared" si="16"/>
        <v>0</v>
      </c>
      <c r="AC49" s="128">
        <f t="shared" si="16"/>
        <v>0</v>
      </c>
      <c r="AD49" s="128">
        <f t="shared" si="16"/>
        <v>0</v>
      </c>
      <c r="AE49" s="128">
        <f t="shared" si="16"/>
        <v>0</v>
      </c>
      <c r="AF49" s="128">
        <f t="shared" si="16"/>
        <v>0</v>
      </c>
      <c r="AG49" s="128">
        <f t="shared" si="16"/>
        <v>0</v>
      </c>
      <c r="AH49" s="128">
        <f t="shared" si="16"/>
        <v>0</v>
      </c>
      <c r="AI49" s="128">
        <f t="shared" si="16"/>
        <v>0</v>
      </c>
      <c r="AJ49" s="128">
        <f t="shared" si="16"/>
        <v>0</v>
      </c>
      <c r="AK49" s="128">
        <f t="shared" ref="AK49:AQ52" si="17">$F49</f>
        <v>0</v>
      </c>
      <c r="AL49" s="128">
        <f t="shared" si="17"/>
        <v>0</v>
      </c>
      <c r="AM49" s="128">
        <f t="shared" si="17"/>
        <v>0</v>
      </c>
      <c r="AN49" s="128">
        <f t="shared" si="17"/>
        <v>0</v>
      </c>
      <c r="AO49" s="128">
        <f t="shared" si="17"/>
        <v>0</v>
      </c>
      <c r="AP49" s="128">
        <f t="shared" si="17"/>
        <v>0</v>
      </c>
      <c r="AQ49" s="128">
        <f t="shared" si="17"/>
        <v>0</v>
      </c>
      <c r="AR49" s="124"/>
      <c r="AS49" s="126" t="s">
        <v>357</v>
      </c>
      <c r="AT49" s="124"/>
      <c r="AU49" s="124"/>
      <c r="AV49" s="127" t="s">
        <v>404</v>
      </c>
      <c r="AW49" s="126" t="s">
        <v>133</v>
      </c>
    </row>
    <row r="50" spans="1:60">
      <c r="A50" s="124"/>
      <c r="B50" s="124"/>
      <c r="C50" s="124" t="s">
        <v>2</v>
      </c>
      <c r="D50" s="124"/>
      <c r="E50" s="124" t="str">
        <f t="shared" si="7"/>
        <v>OILKER</v>
      </c>
      <c r="F50" s="128">
        <v>71.900000000000006</v>
      </c>
      <c r="G50" s="128">
        <f t="shared" si="14"/>
        <v>71.900000000000006</v>
      </c>
      <c r="H50" s="128">
        <f t="shared" si="14"/>
        <v>71.900000000000006</v>
      </c>
      <c r="I50" s="128">
        <f t="shared" si="14"/>
        <v>71.900000000000006</v>
      </c>
      <c r="J50" s="128">
        <f t="shared" si="14"/>
        <v>71.900000000000006</v>
      </c>
      <c r="K50" s="128">
        <f t="shared" si="14"/>
        <v>71.900000000000006</v>
      </c>
      <c r="L50" s="128">
        <f t="shared" si="14"/>
        <v>71.900000000000006</v>
      </c>
      <c r="M50" s="128">
        <f t="shared" si="14"/>
        <v>71.900000000000006</v>
      </c>
      <c r="N50" s="128">
        <f t="shared" si="14"/>
        <v>71.900000000000006</v>
      </c>
      <c r="O50" s="128">
        <f t="shared" si="14"/>
        <v>71.900000000000006</v>
      </c>
      <c r="P50" s="128">
        <f t="shared" si="14"/>
        <v>71.900000000000006</v>
      </c>
      <c r="Q50" s="128">
        <f t="shared" si="15"/>
        <v>71.900000000000006</v>
      </c>
      <c r="R50" s="128">
        <f t="shared" si="15"/>
        <v>71.900000000000006</v>
      </c>
      <c r="S50" s="128">
        <f t="shared" si="15"/>
        <v>71.900000000000006</v>
      </c>
      <c r="T50" s="128">
        <f t="shared" si="15"/>
        <v>71.900000000000006</v>
      </c>
      <c r="U50" s="128">
        <f t="shared" si="15"/>
        <v>71.900000000000006</v>
      </c>
      <c r="V50" s="128">
        <f t="shared" si="15"/>
        <v>71.900000000000006</v>
      </c>
      <c r="W50" s="128">
        <f t="shared" si="15"/>
        <v>71.900000000000006</v>
      </c>
      <c r="X50" s="128">
        <f t="shared" si="15"/>
        <v>71.900000000000006</v>
      </c>
      <c r="Y50" s="128">
        <f t="shared" si="15"/>
        <v>71.900000000000006</v>
      </c>
      <c r="Z50" s="128">
        <f t="shared" si="15"/>
        <v>71.900000000000006</v>
      </c>
      <c r="AA50" s="128">
        <f t="shared" si="16"/>
        <v>71.900000000000006</v>
      </c>
      <c r="AB50" s="128">
        <f t="shared" si="16"/>
        <v>71.900000000000006</v>
      </c>
      <c r="AC50" s="128">
        <f t="shared" si="16"/>
        <v>71.900000000000006</v>
      </c>
      <c r="AD50" s="128">
        <f t="shared" si="16"/>
        <v>71.900000000000006</v>
      </c>
      <c r="AE50" s="128">
        <f t="shared" si="16"/>
        <v>71.900000000000006</v>
      </c>
      <c r="AF50" s="128">
        <f t="shared" si="16"/>
        <v>71.900000000000006</v>
      </c>
      <c r="AG50" s="128">
        <f t="shared" si="16"/>
        <v>71.900000000000006</v>
      </c>
      <c r="AH50" s="128">
        <f t="shared" si="16"/>
        <v>71.900000000000006</v>
      </c>
      <c r="AI50" s="128">
        <f t="shared" si="16"/>
        <v>71.900000000000006</v>
      </c>
      <c r="AJ50" s="128">
        <f t="shared" si="16"/>
        <v>71.900000000000006</v>
      </c>
      <c r="AK50" s="128">
        <f t="shared" si="17"/>
        <v>71.900000000000006</v>
      </c>
      <c r="AL50" s="128">
        <f t="shared" si="17"/>
        <v>71.900000000000006</v>
      </c>
      <c r="AM50" s="128">
        <f t="shared" si="17"/>
        <v>71.900000000000006</v>
      </c>
      <c r="AN50" s="128">
        <f t="shared" si="17"/>
        <v>71.900000000000006</v>
      </c>
      <c r="AO50" s="128">
        <f t="shared" si="17"/>
        <v>71.900000000000006</v>
      </c>
      <c r="AP50" s="128">
        <f t="shared" si="17"/>
        <v>71.900000000000006</v>
      </c>
      <c r="AQ50" s="128">
        <f t="shared" si="17"/>
        <v>71.900000000000006</v>
      </c>
      <c r="AR50" s="124"/>
      <c r="AS50" s="126" t="s">
        <v>357</v>
      </c>
      <c r="AT50" s="124"/>
      <c r="AU50" s="124"/>
      <c r="AV50" s="127" t="s">
        <v>317</v>
      </c>
      <c r="AW50" s="126" t="s">
        <v>133</v>
      </c>
    </row>
    <row r="51" spans="1:60">
      <c r="A51" s="124"/>
      <c r="B51" s="124"/>
      <c r="C51" s="124" t="s">
        <v>2</v>
      </c>
      <c r="D51" s="124"/>
      <c r="E51" s="124" t="str">
        <f t="shared" si="7"/>
        <v>P2LKER_FOS</v>
      </c>
      <c r="F51" s="128">
        <v>71.900000000000006</v>
      </c>
      <c r="G51" s="128">
        <f t="shared" si="14"/>
        <v>71.900000000000006</v>
      </c>
      <c r="H51" s="128">
        <f t="shared" si="14"/>
        <v>71.900000000000006</v>
      </c>
      <c r="I51" s="128">
        <f t="shared" si="14"/>
        <v>71.900000000000006</v>
      </c>
      <c r="J51" s="128">
        <f t="shared" si="14"/>
        <v>71.900000000000006</v>
      </c>
      <c r="K51" s="128">
        <f t="shared" si="14"/>
        <v>71.900000000000006</v>
      </c>
      <c r="L51" s="128">
        <f t="shared" si="14"/>
        <v>71.900000000000006</v>
      </c>
      <c r="M51" s="128">
        <f t="shared" si="14"/>
        <v>71.900000000000006</v>
      </c>
      <c r="N51" s="128">
        <f t="shared" si="14"/>
        <v>71.900000000000006</v>
      </c>
      <c r="O51" s="128">
        <f t="shared" si="14"/>
        <v>71.900000000000006</v>
      </c>
      <c r="P51" s="128">
        <f t="shared" si="14"/>
        <v>71.900000000000006</v>
      </c>
      <c r="Q51" s="128">
        <f t="shared" si="15"/>
        <v>71.900000000000006</v>
      </c>
      <c r="R51" s="128">
        <f t="shared" si="15"/>
        <v>71.900000000000006</v>
      </c>
      <c r="S51" s="128">
        <f t="shared" si="15"/>
        <v>71.900000000000006</v>
      </c>
      <c r="T51" s="128">
        <f t="shared" si="15"/>
        <v>71.900000000000006</v>
      </c>
      <c r="U51" s="128">
        <f t="shared" si="15"/>
        <v>71.900000000000006</v>
      </c>
      <c r="V51" s="128">
        <f t="shared" si="15"/>
        <v>71.900000000000006</v>
      </c>
      <c r="W51" s="128">
        <f t="shared" si="15"/>
        <v>71.900000000000006</v>
      </c>
      <c r="X51" s="128">
        <f t="shared" si="15"/>
        <v>71.900000000000006</v>
      </c>
      <c r="Y51" s="128">
        <f t="shared" si="15"/>
        <v>71.900000000000006</v>
      </c>
      <c r="Z51" s="128">
        <f t="shared" si="15"/>
        <v>71.900000000000006</v>
      </c>
      <c r="AA51" s="128">
        <f t="shared" si="16"/>
        <v>71.900000000000006</v>
      </c>
      <c r="AB51" s="128">
        <f t="shared" si="16"/>
        <v>71.900000000000006</v>
      </c>
      <c r="AC51" s="128">
        <f t="shared" si="16"/>
        <v>71.900000000000006</v>
      </c>
      <c r="AD51" s="128">
        <f t="shared" si="16"/>
        <v>71.900000000000006</v>
      </c>
      <c r="AE51" s="128">
        <f t="shared" si="16"/>
        <v>71.900000000000006</v>
      </c>
      <c r="AF51" s="128">
        <f t="shared" si="16"/>
        <v>71.900000000000006</v>
      </c>
      <c r="AG51" s="128">
        <f t="shared" si="16"/>
        <v>71.900000000000006</v>
      </c>
      <c r="AH51" s="128">
        <f t="shared" si="16"/>
        <v>71.900000000000006</v>
      </c>
      <c r="AI51" s="128">
        <f t="shared" si="16"/>
        <v>71.900000000000006</v>
      </c>
      <c r="AJ51" s="128">
        <f t="shared" si="16"/>
        <v>71.900000000000006</v>
      </c>
      <c r="AK51" s="128">
        <f t="shared" si="17"/>
        <v>71.900000000000006</v>
      </c>
      <c r="AL51" s="128">
        <f t="shared" si="17"/>
        <v>71.900000000000006</v>
      </c>
      <c r="AM51" s="128">
        <f t="shared" si="17"/>
        <v>71.900000000000006</v>
      </c>
      <c r="AN51" s="128">
        <f t="shared" si="17"/>
        <v>71.900000000000006</v>
      </c>
      <c r="AO51" s="128">
        <f t="shared" si="17"/>
        <v>71.900000000000006</v>
      </c>
      <c r="AP51" s="128">
        <f t="shared" si="17"/>
        <v>71.900000000000006</v>
      </c>
      <c r="AQ51" s="128">
        <f t="shared" si="17"/>
        <v>71.900000000000006</v>
      </c>
      <c r="AR51" s="124"/>
      <c r="AS51" s="127" t="s">
        <v>392</v>
      </c>
      <c r="AT51" s="124"/>
      <c r="AU51" s="124"/>
      <c r="AV51" s="127" t="s">
        <v>405</v>
      </c>
      <c r="AW51" s="126" t="s">
        <v>133</v>
      </c>
    </row>
    <row r="52" spans="1:60">
      <c r="A52" s="124"/>
      <c r="B52" s="124"/>
      <c r="C52" s="124" t="s">
        <v>2</v>
      </c>
      <c r="D52" s="124"/>
      <c r="E52" s="124" t="str">
        <f t="shared" ref="E52" si="18">AV52</f>
        <v>SYNKER</v>
      </c>
      <c r="F52" s="128">
        <v>71.900000000000006</v>
      </c>
      <c r="G52" s="128">
        <f t="shared" si="14"/>
        <v>71.900000000000006</v>
      </c>
      <c r="H52" s="128">
        <f t="shared" si="14"/>
        <v>71.900000000000006</v>
      </c>
      <c r="I52" s="128">
        <f t="shared" si="14"/>
        <v>71.900000000000006</v>
      </c>
      <c r="J52" s="128">
        <f t="shared" si="14"/>
        <v>71.900000000000006</v>
      </c>
      <c r="K52" s="128">
        <f t="shared" si="14"/>
        <v>71.900000000000006</v>
      </c>
      <c r="L52" s="128">
        <f t="shared" si="14"/>
        <v>71.900000000000006</v>
      </c>
      <c r="M52" s="128">
        <f t="shared" si="14"/>
        <v>71.900000000000006</v>
      </c>
      <c r="N52" s="128">
        <f t="shared" si="14"/>
        <v>71.900000000000006</v>
      </c>
      <c r="O52" s="128">
        <f t="shared" si="14"/>
        <v>71.900000000000006</v>
      </c>
      <c r="P52" s="128">
        <f t="shared" si="14"/>
        <v>71.900000000000006</v>
      </c>
      <c r="Q52" s="128">
        <f t="shared" si="15"/>
        <v>71.900000000000006</v>
      </c>
      <c r="R52" s="128">
        <f t="shared" si="15"/>
        <v>71.900000000000006</v>
      </c>
      <c r="S52" s="128">
        <f t="shared" si="15"/>
        <v>71.900000000000006</v>
      </c>
      <c r="T52" s="128">
        <f t="shared" si="15"/>
        <v>71.900000000000006</v>
      </c>
      <c r="U52" s="128">
        <f t="shared" si="15"/>
        <v>71.900000000000006</v>
      </c>
      <c r="V52" s="128">
        <f t="shared" si="15"/>
        <v>71.900000000000006</v>
      </c>
      <c r="W52" s="128">
        <f t="shared" si="15"/>
        <v>71.900000000000006</v>
      </c>
      <c r="X52" s="128">
        <f t="shared" si="15"/>
        <v>71.900000000000006</v>
      </c>
      <c r="Y52" s="128">
        <f t="shared" si="15"/>
        <v>71.900000000000006</v>
      </c>
      <c r="Z52" s="128">
        <f t="shared" si="15"/>
        <v>71.900000000000006</v>
      </c>
      <c r="AA52" s="128">
        <f t="shared" si="16"/>
        <v>71.900000000000006</v>
      </c>
      <c r="AB52" s="128">
        <f t="shared" si="16"/>
        <v>71.900000000000006</v>
      </c>
      <c r="AC52" s="128">
        <f t="shared" si="16"/>
        <v>71.900000000000006</v>
      </c>
      <c r="AD52" s="128">
        <f t="shared" si="16"/>
        <v>71.900000000000006</v>
      </c>
      <c r="AE52" s="128">
        <f t="shared" si="16"/>
        <v>71.900000000000006</v>
      </c>
      <c r="AF52" s="128">
        <f t="shared" si="16"/>
        <v>71.900000000000006</v>
      </c>
      <c r="AG52" s="128">
        <f t="shared" si="16"/>
        <v>71.900000000000006</v>
      </c>
      <c r="AH52" s="128">
        <f t="shared" si="16"/>
        <v>71.900000000000006</v>
      </c>
      <c r="AI52" s="128">
        <f t="shared" si="16"/>
        <v>71.900000000000006</v>
      </c>
      <c r="AJ52" s="128">
        <f t="shared" si="16"/>
        <v>71.900000000000006</v>
      </c>
      <c r="AK52" s="128">
        <f t="shared" si="17"/>
        <v>71.900000000000006</v>
      </c>
      <c r="AL52" s="128">
        <f t="shared" si="17"/>
        <v>71.900000000000006</v>
      </c>
      <c r="AM52" s="128">
        <f t="shared" si="17"/>
        <v>71.900000000000006</v>
      </c>
      <c r="AN52" s="128">
        <f t="shared" si="17"/>
        <v>71.900000000000006</v>
      </c>
      <c r="AO52" s="128">
        <f t="shared" si="17"/>
        <v>71.900000000000006</v>
      </c>
      <c r="AP52" s="128">
        <f t="shared" si="17"/>
        <v>71.900000000000006</v>
      </c>
      <c r="AQ52" s="128">
        <f t="shared" si="17"/>
        <v>71.900000000000006</v>
      </c>
      <c r="AR52" s="124"/>
      <c r="AS52" s="127" t="s">
        <v>392</v>
      </c>
      <c r="AT52" s="124"/>
      <c r="AU52" s="124"/>
      <c r="AV52" s="127" t="s">
        <v>406</v>
      </c>
      <c r="AW52" s="126" t="s">
        <v>133</v>
      </c>
    </row>
    <row r="53" spans="1:60">
      <c r="A53" s="124"/>
      <c r="B53" s="124"/>
      <c r="C53" s="124" t="s">
        <v>2</v>
      </c>
      <c r="D53" s="124"/>
      <c r="E53" s="124" t="str">
        <f>AV53</f>
        <v>OILHFO</v>
      </c>
      <c r="F53" s="105">
        <v>77.400000000000006</v>
      </c>
      <c r="G53" s="125">
        <f>$F53</f>
        <v>77.400000000000006</v>
      </c>
      <c r="H53" s="105">
        <v>77.400000000000006</v>
      </c>
      <c r="I53" s="125">
        <f>$F53</f>
        <v>77.400000000000006</v>
      </c>
      <c r="J53" s="105">
        <v>77.400000000000006</v>
      </c>
      <c r="K53" s="125">
        <f>$F53</f>
        <v>77.400000000000006</v>
      </c>
      <c r="L53" s="105">
        <v>77.400000000000006</v>
      </c>
      <c r="M53" s="125">
        <f>$F53</f>
        <v>77.400000000000006</v>
      </c>
      <c r="N53" s="105">
        <v>77.400000000000006</v>
      </c>
      <c r="O53" s="125">
        <f>$F53</f>
        <v>77.400000000000006</v>
      </c>
      <c r="P53" s="105">
        <v>77.400000000000006</v>
      </c>
      <c r="Q53" s="125">
        <f>$F53</f>
        <v>77.400000000000006</v>
      </c>
      <c r="R53" s="105">
        <v>77.400000000000006</v>
      </c>
      <c r="S53" s="125">
        <f>$F53</f>
        <v>77.400000000000006</v>
      </c>
      <c r="T53" s="105">
        <v>77.400000000000006</v>
      </c>
      <c r="U53" s="125">
        <f>$F53</f>
        <v>77.400000000000006</v>
      </c>
      <c r="V53" s="105">
        <v>77.400000000000006</v>
      </c>
      <c r="W53" s="125">
        <f>$F53</f>
        <v>77.400000000000006</v>
      </c>
      <c r="X53" s="105">
        <v>77.400000000000006</v>
      </c>
      <c r="Y53" s="125">
        <f>$F53</f>
        <v>77.400000000000006</v>
      </c>
      <c r="Z53" s="105">
        <v>77.400000000000006</v>
      </c>
      <c r="AA53" s="125">
        <f>$F53</f>
        <v>77.400000000000006</v>
      </c>
      <c r="AB53" s="105">
        <v>77.400000000000006</v>
      </c>
      <c r="AC53" s="125">
        <f>$F53</f>
        <v>77.400000000000006</v>
      </c>
      <c r="AD53" s="105">
        <v>77.400000000000006</v>
      </c>
      <c r="AE53" s="125">
        <f>$F53</f>
        <v>77.400000000000006</v>
      </c>
      <c r="AF53" s="105">
        <v>77.400000000000006</v>
      </c>
      <c r="AG53" s="125">
        <f>$F53</f>
        <v>77.400000000000006</v>
      </c>
      <c r="AH53" s="105">
        <v>77.400000000000006</v>
      </c>
      <c r="AI53" s="125">
        <f>$F53</f>
        <v>77.400000000000006</v>
      </c>
      <c r="AJ53" s="105">
        <v>77.400000000000006</v>
      </c>
      <c r="AK53" s="125">
        <f>$F53</f>
        <v>77.400000000000006</v>
      </c>
      <c r="AL53" s="105">
        <v>77.400000000000006</v>
      </c>
      <c r="AM53" s="125">
        <f>$F53</f>
        <v>77.400000000000006</v>
      </c>
      <c r="AN53" s="105">
        <v>77.400000000000006</v>
      </c>
      <c r="AO53" s="125">
        <f>$F53</f>
        <v>77.400000000000006</v>
      </c>
      <c r="AP53" s="105">
        <v>77.400000000000006</v>
      </c>
      <c r="AQ53" s="125">
        <f>$F53</f>
        <v>77.400000000000006</v>
      </c>
      <c r="AR53" s="124"/>
      <c r="AS53" s="126" t="s">
        <v>355</v>
      </c>
      <c r="AT53" s="124"/>
      <c r="AU53" s="124"/>
      <c r="AV53" s="126" t="s">
        <v>71</v>
      </c>
      <c r="AW53" s="126" t="s">
        <v>133</v>
      </c>
      <c r="BH53" s="123" t="s">
        <v>403</v>
      </c>
    </row>
    <row r="54" spans="1:60">
      <c r="A54" s="124"/>
      <c r="B54" s="124"/>
      <c r="C54" s="124" t="s">
        <v>2</v>
      </c>
      <c r="D54" s="124"/>
      <c r="E54" s="124" t="str">
        <f>AV54</f>
        <v>BIONAV</v>
      </c>
      <c r="F54" s="125">
        <v>0</v>
      </c>
      <c r="G54" s="125">
        <f>$F54</f>
        <v>0</v>
      </c>
      <c r="H54" s="125">
        <v>0</v>
      </c>
      <c r="I54" s="125">
        <f>$F54</f>
        <v>0</v>
      </c>
      <c r="J54" s="125">
        <v>0</v>
      </c>
      <c r="K54" s="125">
        <f>$F54</f>
        <v>0</v>
      </c>
      <c r="L54" s="125">
        <v>0</v>
      </c>
      <c r="M54" s="125">
        <f>$F54</f>
        <v>0</v>
      </c>
      <c r="N54" s="125">
        <v>0</v>
      </c>
      <c r="O54" s="125">
        <f>$F54</f>
        <v>0</v>
      </c>
      <c r="P54" s="125">
        <v>0</v>
      </c>
      <c r="Q54" s="125">
        <f>$F54</f>
        <v>0</v>
      </c>
      <c r="R54" s="125">
        <v>0</v>
      </c>
      <c r="S54" s="125">
        <f>$F54</f>
        <v>0</v>
      </c>
      <c r="T54" s="125">
        <v>0</v>
      </c>
      <c r="U54" s="125">
        <f>$F54</f>
        <v>0</v>
      </c>
      <c r="V54" s="125">
        <v>0</v>
      </c>
      <c r="W54" s="125">
        <f>$F54</f>
        <v>0</v>
      </c>
      <c r="X54" s="125">
        <v>0</v>
      </c>
      <c r="Y54" s="125">
        <f>$F54</f>
        <v>0</v>
      </c>
      <c r="Z54" s="125">
        <v>0</v>
      </c>
      <c r="AA54" s="125">
        <f>$F54</f>
        <v>0</v>
      </c>
      <c r="AB54" s="125">
        <v>0</v>
      </c>
      <c r="AC54" s="125">
        <f>$F54</f>
        <v>0</v>
      </c>
      <c r="AD54" s="125">
        <v>0</v>
      </c>
      <c r="AE54" s="125">
        <f>$F54</f>
        <v>0</v>
      </c>
      <c r="AF54" s="125">
        <v>0</v>
      </c>
      <c r="AG54" s="125">
        <f>$F54</f>
        <v>0</v>
      </c>
      <c r="AH54" s="125">
        <v>0</v>
      </c>
      <c r="AI54" s="125">
        <f>$F54</f>
        <v>0</v>
      </c>
      <c r="AJ54" s="125">
        <v>0</v>
      </c>
      <c r="AK54" s="125">
        <f>$F54</f>
        <v>0</v>
      </c>
      <c r="AL54" s="125">
        <v>0</v>
      </c>
      <c r="AM54" s="125">
        <f>$F54</f>
        <v>0</v>
      </c>
      <c r="AN54" s="125">
        <v>0</v>
      </c>
      <c r="AO54" s="125">
        <f>$F54</f>
        <v>0</v>
      </c>
      <c r="AP54" s="125">
        <v>0</v>
      </c>
      <c r="AQ54" s="125">
        <f>$F54</f>
        <v>0</v>
      </c>
      <c r="AR54" s="124"/>
      <c r="AS54" s="126" t="s">
        <v>355</v>
      </c>
      <c r="AT54" s="124"/>
      <c r="AU54" s="124"/>
      <c r="AV54" s="127" t="s">
        <v>400</v>
      </c>
      <c r="AW54" s="126" t="s">
        <v>133</v>
      </c>
    </row>
    <row r="55" spans="1:60"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S55" s="58"/>
      <c r="AV55" s="123"/>
      <c r="AW55" s="58"/>
    </row>
    <row r="56" spans="1:60">
      <c r="B56" s="11" t="s">
        <v>132</v>
      </c>
    </row>
    <row r="57" spans="1:60">
      <c r="A57" s="9" t="s">
        <v>1</v>
      </c>
    </row>
    <row r="58" spans="1:60" ht="15" thickBot="1">
      <c r="A58" s="14" t="s">
        <v>54</v>
      </c>
      <c r="B58" s="14" t="s">
        <v>55</v>
      </c>
      <c r="C58" s="14" t="s">
        <v>56</v>
      </c>
      <c r="D58" s="14" t="s">
        <v>57</v>
      </c>
      <c r="E58" s="14" t="s">
        <v>0</v>
      </c>
      <c r="F58" s="6" t="s">
        <v>61</v>
      </c>
      <c r="G58" s="15" t="str">
        <f t="shared" ref="G58:AJ58" si="19">G4</f>
        <v>AT</v>
      </c>
      <c r="H58" s="15" t="str">
        <f t="shared" si="19"/>
        <v>BE</v>
      </c>
      <c r="I58" s="15" t="str">
        <f t="shared" si="19"/>
        <v>BG</v>
      </c>
      <c r="J58" s="15" t="str">
        <f t="shared" si="19"/>
        <v>CH</v>
      </c>
      <c r="K58" s="15" t="str">
        <f t="shared" si="19"/>
        <v>CY</v>
      </c>
      <c r="L58" s="15" t="str">
        <f t="shared" si="19"/>
        <v>CZ</v>
      </c>
      <c r="M58" s="15" t="str">
        <f t="shared" si="19"/>
        <v>DE</v>
      </c>
      <c r="N58" s="15" t="str">
        <f t="shared" si="19"/>
        <v>DK</v>
      </c>
      <c r="O58" s="15" t="str">
        <f t="shared" si="19"/>
        <v>EE</v>
      </c>
      <c r="P58" s="15" t="str">
        <f t="shared" si="19"/>
        <v>ES</v>
      </c>
      <c r="Q58" s="15" t="str">
        <f t="shared" si="19"/>
        <v>FI</v>
      </c>
      <c r="R58" s="15" t="str">
        <f t="shared" si="19"/>
        <v>FR</v>
      </c>
      <c r="S58" s="15" t="str">
        <f t="shared" si="19"/>
        <v>EL</v>
      </c>
      <c r="T58" s="15" t="str">
        <f t="shared" si="19"/>
        <v>HU</v>
      </c>
      <c r="U58" s="15" t="str">
        <f t="shared" si="19"/>
        <v>IE</v>
      </c>
      <c r="V58" s="15" t="str">
        <f t="shared" si="19"/>
        <v>IS</v>
      </c>
      <c r="W58" s="15" t="str">
        <f t="shared" si="19"/>
        <v>IT</v>
      </c>
      <c r="X58" s="15" t="str">
        <f t="shared" si="19"/>
        <v>LT</v>
      </c>
      <c r="Y58" s="15" t="str">
        <f t="shared" si="19"/>
        <v>LU</v>
      </c>
      <c r="Z58" s="15" t="str">
        <f t="shared" si="19"/>
        <v>LV</v>
      </c>
      <c r="AA58" s="15" t="str">
        <f t="shared" si="19"/>
        <v>MT</v>
      </c>
      <c r="AB58" s="15" t="str">
        <f t="shared" si="19"/>
        <v>NL</v>
      </c>
      <c r="AC58" s="15" t="str">
        <f t="shared" si="19"/>
        <v>NO</v>
      </c>
      <c r="AD58" s="15" t="str">
        <f t="shared" si="19"/>
        <v>PL</v>
      </c>
      <c r="AE58" s="15" t="str">
        <f t="shared" si="19"/>
        <v>PT</v>
      </c>
      <c r="AF58" s="15" t="str">
        <f t="shared" si="19"/>
        <v>RO</v>
      </c>
      <c r="AG58" s="15" t="str">
        <f t="shared" si="19"/>
        <v>SE</v>
      </c>
      <c r="AH58" s="15" t="str">
        <f t="shared" si="19"/>
        <v>SI</v>
      </c>
      <c r="AI58" s="15" t="str">
        <f t="shared" si="19"/>
        <v>SK</v>
      </c>
      <c r="AJ58" s="15" t="str">
        <f t="shared" si="19"/>
        <v>UK</v>
      </c>
      <c r="AK58" s="18" t="s">
        <v>152</v>
      </c>
      <c r="AL58" s="18" t="s">
        <v>153</v>
      </c>
      <c r="AM58" s="18" t="s">
        <v>154</v>
      </c>
      <c r="AN58" s="18" t="s">
        <v>155</v>
      </c>
      <c r="AO58" s="18" t="s">
        <v>156</v>
      </c>
      <c r="AP58" s="18" t="s">
        <v>157</v>
      </c>
      <c r="AQ58" s="18" t="s">
        <v>158</v>
      </c>
      <c r="AR58" s="14" t="s">
        <v>131</v>
      </c>
      <c r="AS58" s="14" t="s">
        <v>58</v>
      </c>
      <c r="AT58" s="14" t="s">
        <v>59</v>
      </c>
      <c r="AU58" s="14" t="s">
        <v>130</v>
      </c>
      <c r="AV58" s="14" t="s">
        <v>129</v>
      </c>
      <c r="AW58" s="14" t="s">
        <v>60</v>
      </c>
    </row>
    <row r="59" spans="1:60">
      <c r="C59" s="9" t="s">
        <v>2</v>
      </c>
      <c r="E59" s="9" t="str">
        <f>'ETS Emissions'!B101</f>
        <v>INDBFG</v>
      </c>
      <c r="F59" s="21">
        <f>AVERAGE(AD59,AH59,AI59)</f>
        <v>108.2</v>
      </c>
      <c r="G59" s="13">
        <f>'ETS Emissions'!C101</f>
        <v>108.2</v>
      </c>
      <c r="H59" s="13">
        <f>'ETS Emissions'!D101</f>
        <v>108.2</v>
      </c>
      <c r="I59" s="13">
        <f>'ETS Emissions'!E101</f>
        <v>108.2</v>
      </c>
      <c r="J59" s="13">
        <f>'ETS Emissions'!F101</f>
        <v>108.2</v>
      </c>
      <c r="K59" s="13">
        <f>'ETS Emissions'!G101</f>
        <v>108.2</v>
      </c>
      <c r="L59" s="13">
        <f>'ETS Emissions'!H101</f>
        <v>108.2</v>
      </c>
      <c r="M59" s="13">
        <f>'ETS Emissions'!I101</f>
        <v>108.2</v>
      </c>
      <c r="N59" s="13">
        <f>'ETS Emissions'!J101</f>
        <v>108.2</v>
      </c>
      <c r="O59" s="13">
        <f>'ETS Emissions'!K101</f>
        <v>108.2</v>
      </c>
      <c r="P59" s="13">
        <f>'ETS Emissions'!L101</f>
        <v>108.2</v>
      </c>
      <c r="Q59" s="13">
        <f>'ETS Emissions'!M101</f>
        <v>107.65900000000001</v>
      </c>
      <c r="R59" s="13">
        <f>'ETS Emissions'!N101</f>
        <v>108.2</v>
      </c>
      <c r="S59" s="13">
        <f>'ETS Emissions'!O101</f>
        <v>108.2</v>
      </c>
      <c r="T59" s="13">
        <f>'ETS Emissions'!P101</f>
        <v>108.2</v>
      </c>
      <c r="U59" s="13">
        <f>'ETS Emissions'!Q101</f>
        <v>108.2</v>
      </c>
      <c r="V59" s="13">
        <f>'ETS Emissions'!R101</f>
        <v>108.2</v>
      </c>
      <c r="W59" s="13">
        <f>'ETS Emissions'!S101</f>
        <v>108.2</v>
      </c>
      <c r="X59" s="13">
        <f>'ETS Emissions'!T101</f>
        <v>108.2</v>
      </c>
      <c r="Y59" s="13">
        <f>'ETS Emissions'!U101</f>
        <v>108.2</v>
      </c>
      <c r="Z59" s="13">
        <f>'ETS Emissions'!V101</f>
        <v>108.2</v>
      </c>
      <c r="AA59" s="13">
        <f>'ETS Emissions'!W101</f>
        <v>108.2</v>
      </c>
      <c r="AB59" s="13">
        <f>'ETS Emissions'!X101</f>
        <v>108.2</v>
      </c>
      <c r="AC59" s="13">
        <f>'ETS Emissions'!Y101</f>
        <v>108.2</v>
      </c>
      <c r="AD59" s="13">
        <f>'ETS Emissions'!Z101</f>
        <v>108.2</v>
      </c>
      <c r="AE59" s="13">
        <f>'ETS Emissions'!AA101</f>
        <v>108.2</v>
      </c>
      <c r="AF59" s="13">
        <f>'ETS Emissions'!AB101</f>
        <v>108.2</v>
      </c>
      <c r="AG59" s="13">
        <f>'ETS Emissions'!AC101</f>
        <v>108.2</v>
      </c>
      <c r="AH59" s="13">
        <f>'ETS Emissions'!AD101</f>
        <v>108.2</v>
      </c>
      <c r="AI59" s="13">
        <f>'ETS Emissions'!AE101</f>
        <v>108.2</v>
      </c>
      <c r="AJ59" s="13">
        <f>'ETS Emissions'!AF101</f>
        <v>108.2</v>
      </c>
      <c r="AK59" s="13">
        <f>'ETS Emissions'!AG101</f>
        <v>108.2</v>
      </c>
      <c r="AL59" s="13">
        <f>'ETS Emissions'!AH101</f>
        <v>108.2</v>
      </c>
      <c r="AM59" s="13">
        <f>'ETS Emissions'!AI101</f>
        <v>108.2</v>
      </c>
      <c r="AN59" s="13">
        <f>'ETS Emissions'!AJ101</f>
        <v>108.2</v>
      </c>
      <c r="AO59" s="13">
        <f>'ETS Emissions'!AK101</f>
        <v>108.2</v>
      </c>
      <c r="AP59" s="13">
        <f>'ETS Emissions'!AL101</f>
        <v>108.2</v>
      </c>
      <c r="AQ59" s="13">
        <f>'ETS Emissions'!AM101</f>
        <v>108.2</v>
      </c>
      <c r="AS59" s="12" t="s">
        <v>128</v>
      </c>
      <c r="AV59" s="9" t="str">
        <f t="shared" ref="AV59:AV75" si="20">E59</f>
        <v>INDBFG</v>
      </c>
      <c r="AW59" s="9" t="s">
        <v>125</v>
      </c>
    </row>
    <row r="60" spans="1:60">
      <c r="C60" s="9" t="s">
        <v>2</v>
      </c>
      <c r="E60" s="9" t="str">
        <f>'ETS Emissions'!B102</f>
        <v>INDBIO</v>
      </c>
      <c r="F60" s="21">
        <f t="shared" ref="F60:F81" si="21">AVERAGE(AD60,AH60,AI60)</f>
        <v>0</v>
      </c>
      <c r="G60" s="13">
        <f>'ETS Emissions'!C102</f>
        <v>0</v>
      </c>
      <c r="H60" s="13">
        <f>'ETS Emissions'!D102</f>
        <v>0</v>
      </c>
      <c r="I60" s="13">
        <f>'ETS Emissions'!E102</f>
        <v>0</v>
      </c>
      <c r="J60" s="13">
        <f>'ETS Emissions'!F102</f>
        <v>0</v>
      </c>
      <c r="K60" s="13">
        <f>'ETS Emissions'!G102</f>
        <v>0</v>
      </c>
      <c r="L60" s="13">
        <f>'ETS Emissions'!H102</f>
        <v>0</v>
      </c>
      <c r="M60" s="13">
        <f>'ETS Emissions'!I102</f>
        <v>0</v>
      </c>
      <c r="N60" s="13">
        <f>'ETS Emissions'!J102</f>
        <v>0</v>
      </c>
      <c r="O60" s="13">
        <f>'ETS Emissions'!K102</f>
        <v>0</v>
      </c>
      <c r="P60" s="13">
        <f>'ETS Emissions'!L102</f>
        <v>0</v>
      </c>
      <c r="Q60" s="13">
        <f>'ETS Emissions'!M102</f>
        <v>0</v>
      </c>
      <c r="R60" s="13">
        <f>'ETS Emissions'!N102</f>
        <v>0</v>
      </c>
      <c r="S60" s="13">
        <f>'ETS Emissions'!O102</f>
        <v>0</v>
      </c>
      <c r="T60" s="13">
        <f>'ETS Emissions'!P102</f>
        <v>0</v>
      </c>
      <c r="U60" s="13">
        <f>'ETS Emissions'!Q102</f>
        <v>0</v>
      </c>
      <c r="V60" s="13">
        <f>'ETS Emissions'!R102</f>
        <v>0</v>
      </c>
      <c r="W60" s="13">
        <f>'ETS Emissions'!S102</f>
        <v>0</v>
      </c>
      <c r="X60" s="13">
        <f>'ETS Emissions'!T102</f>
        <v>0</v>
      </c>
      <c r="Y60" s="13">
        <f>'ETS Emissions'!U102</f>
        <v>0</v>
      </c>
      <c r="Z60" s="13">
        <f>'ETS Emissions'!V102</f>
        <v>0</v>
      </c>
      <c r="AA60" s="13">
        <f>'ETS Emissions'!W102</f>
        <v>0</v>
      </c>
      <c r="AB60" s="13">
        <f>'ETS Emissions'!X102</f>
        <v>0</v>
      </c>
      <c r="AC60" s="13">
        <f>'ETS Emissions'!Y102</f>
        <v>0</v>
      </c>
      <c r="AD60" s="13">
        <f>'ETS Emissions'!Z102</f>
        <v>0</v>
      </c>
      <c r="AE60" s="13">
        <f>'ETS Emissions'!AA102</f>
        <v>0</v>
      </c>
      <c r="AF60" s="13">
        <f>'ETS Emissions'!AB102</f>
        <v>0</v>
      </c>
      <c r="AG60" s="13">
        <f>'ETS Emissions'!AC102</f>
        <v>0</v>
      </c>
      <c r="AH60" s="13">
        <f>'ETS Emissions'!AD102</f>
        <v>0</v>
      </c>
      <c r="AI60" s="13">
        <f>'ETS Emissions'!AE102</f>
        <v>0</v>
      </c>
      <c r="AJ60" s="13">
        <f>'ETS Emissions'!AF102</f>
        <v>0</v>
      </c>
      <c r="AK60" s="13">
        <f>'ETS Emissions'!AG102</f>
        <v>0</v>
      </c>
      <c r="AL60" s="13">
        <f>'ETS Emissions'!AH102</f>
        <v>0</v>
      </c>
      <c r="AM60" s="13">
        <f>'ETS Emissions'!AI102</f>
        <v>0</v>
      </c>
      <c r="AN60" s="13">
        <f>'ETS Emissions'!AJ102</f>
        <v>0</v>
      </c>
      <c r="AO60" s="13">
        <f>'ETS Emissions'!AK102</f>
        <v>0</v>
      </c>
      <c r="AP60" s="13">
        <f>'ETS Emissions'!AL102</f>
        <v>0</v>
      </c>
      <c r="AQ60" s="13">
        <f>'ETS Emissions'!AM102</f>
        <v>0</v>
      </c>
      <c r="AS60" s="12" t="s">
        <v>128</v>
      </c>
      <c r="AV60" s="9" t="str">
        <f t="shared" si="20"/>
        <v>INDBIO</v>
      </c>
      <c r="AW60" s="9" t="s">
        <v>125</v>
      </c>
    </row>
    <row r="61" spans="1:60">
      <c r="C61" s="9" t="s">
        <v>2</v>
      </c>
      <c r="E61" s="9" t="str">
        <f>'ETS Emissions'!B103</f>
        <v>INDCOA</v>
      </c>
      <c r="F61" s="21">
        <f t="shared" si="21"/>
        <v>96.100000000000009</v>
      </c>
      <c r="G61" s="13">
        <f>'ETS Emissions'!C103</f>
        <v>95</v>
      </c>
      <c r="H61" s="13">
        <f>'ETS Emissions'!D103</f>
        <v>98.3</v>
      </c>
      <c r="I61" s="13">
        <f>'ETS Emissions'!E103</f>
        <v>95</v>
      </c>
      <c r="J61" s="13">
        <f>'ETS Emissions'!F103</f>
        <v>98.3</v>
      </c>
      <c r="K61" s="13">
        <f>'ETS Emissions'!G103</f>
        <v>98.3</v>
      </c>
      <c r="L61" s="13">
        <f>'ETS Emissions'!H103</f>
        <v>95</v>
      </c>
      <c r="M61" s="13">
        <f>'ETS Emissions'!I103</f>
        <v>95</v>
      </c>
      <c r="N61" s="13">
        <f>'ETS Emissions'!J103</f>
        <v>98.3</v>
      </c>
      <c r="O61" s="13">
        <f>'ETS Emissions'!K103</f>
        <v>98.3</v>
      </c>
      <c r="P61" s="13">
        <f>'ETS Emissions'!L103</f>
        <v>98.3</v>
      </c>
      <c r="Q61" s="13">
        <f>'ETS Emissions'!M103</f>
        <v>92.707999999999998</v>
      </c>
      <c r="R61" s="13">
        <f>'ETS Emissions'!N103</f>
        <v>98.3</v>
      </c>
      <c r="S61" s="13">
        <f>'ETS Emissions'!O103</f>
        <v>98.3</v>
      </c>
      <c r="T61" s="13">
        <f>'ETS Emissions'!P103</f>
        <v>95</v>
      </c>
      <c r="U61" s="13">
        <f>'ETS Emissions'!Q103</f>
        <v>98.3</v>
      </c>
      <c r="V61" s="13">
        <f>'ETS Emissions'!R103</f>
        <v>98.3</v>
      </c>
      <c r="W61" s="13">
        <f>'ETS Emissions'!S103</f>
        <v>98.3</v>
      </c>
      <c r="X61" s="13">
        <f>'ETS Emissions'!T103</f>
        <v>98.3</v>
      </c>
      <c r="Y61" s="13">
        <f>'ETS Emissions'!U103</f>
        <v>98.3</v>
      </c>
      <c r="Z61" s="13">
        <f>'ETS Emissions'!V103</f>
        <v>98.3</v>
      </c>
      <c r="AA61" s="13">
        <f>'ETS Emissions'!W103</f>
        <v>98.3</v>
      </c>
      <c r="AB61" s="13">
        <f>'ETS Emissions'!X103</f>
        <v>98.3</v>
      </c>
      <c r="AC61" s="13">
        <f>'ETS Emissions'!Y103</f>
        <v>98.3</v>
      </c>
      <c r="AD61" s="13">
        <f>'ETS Emissions'!Z103</f>
        <v>95</v>
      </c>
      <c r="AE61" s="13">
        <f>'ETS Emissions'!AA103</f>
        <v>98.3</v>
      </c>
      <c r="AF61" s="13">
        <f>'ETS Emissions'!AB103</f>
        <v>98.3</v>
      </c>
      <c r="AG61" s="13">
        <f>'ETS Emissions'!AC103</f>
        <v>98.3</v>
      </c>
      <c r="AH61" s="13">
        <f>'ETS Emissions'!AD103</f>
        <v>98.3</v>
      </c>
      <c r="AI61" s="13">
        <f>'ETS Emissions'!AE103</f>
        <v>95</v>
      </c>
      <c r="AJ61" s="13">
        <f>'ETS Emissions'!AF103</f>
        <v>98.3</v>
      </c>
      <c r="AK61" s="13">
        <f>'ETS Emissions'!AG103</f>
        <v>95</v>
      </c>
      <c r="AL61" s="13">
        <f>'ETS Emissions'!AH103</f>
        <v>95</v>
      </c>
      <c r="AM61" s="13">
        <f>'ETS Emissions'!AI103</f>
        <v>95</v>
      </c>
      <c r="AN61" s="13">
        <f>'ETS Emissions'!AJ103</f>
        <v>95</v>
      </c>
      <c r="AO61" s="13">
        <f>'ETS Emissions'!AK103</f>
        <v>95</v>
      </c>
      <c r="AP61" s="13">
        <f>'ETS Emissions'!AL103</f>
        <v>95</v>
      </c>
      <c r="AQ61" s="13">
        <f>'ETS Emissions'!AM103</f>
        <v>95</v>
      </c>
      <c r="AS61" s="12" t="s">
        <v>128</v>
      </c>
      <c r="AV61" s="9" t="str">
        <f t="shared" si="20"/>
        <v>INDCOA</v>
      </c>
      <c r="AW61" s="9" t="s">
        <v>125</v>
      </c>
    </row>
    <row r="62" spans="1:60">
      <c r="C62" s="9" t="s">
        <v>2</v>
      </c>
      <c r="E62" s="9" t="str">
        <f>'ETS Emissions'!B104</f>
        <v>INDCOB</v>
      </c>
      <c r="F62" s="21">
        <f t="shared" si="21"/>
        <v>107.46666666666665</v>
      </c>
      <c r="G62" s="13">
        <f>'ETS Emissions'!C104</f>
        <v>110.6</v>
      </c>
      <c r="H62" s="13">
        <f>'ETS Emissions'!D104</f>
        <v>101.2</v>
      </c>
      <c r="I62" s="13">
        <f>'ETS Emissions'!E104</f>
        <v>110.6</v>
      </c>
      <c r="J62" s="13">
        <f>'ETS Emissions'!F104</f>
        <v>101.2</v>
      </c>
      <c r="K62" s="13">
        <f>'ETS Emissions'!G104</f>
        <v>101.2</v>
      </c>
      <c r="L62" s="13">
        <f>'ETS Emissions'!H104</f>
        <v>110.6</v>
      </c>
      <c r="M62" s="13">
        <f>'ETS Emissions'!I104</f>
        <v>110.6</v>
      </c>
      <c r="N62" s="13">
        <f>'ETS Emissions'!J104</f>
        <v>101.2</v>
      </c>
      <c r="O62" s="13">
        <f>'ETS Emissions'!K104</f>
        <v>101.2</v>
      </c>
      <c r="P62" s="13">
        <f>'ETS Emissions'!L104</f>
        <v>101.2</v>
      </c>
      <c r="Q62" s="13">
        <f>'ETS Emissions'!M104</f>
        <v>104.544</v>
      </c>
      <c r="R62" s="13">
        <f>'ETS Emissions'!N104</f>
        <v>101.2</v>
      </c>
      <c r="S62" s="13">
        <f>'ETS Emissions'!O104</f>
        <v>101.2</v>
      </c>
      <c r="T62" s="13">
        <f>'ETS Emissions'!P104</f>
        <v>110.6</v>
      </c>
      <c r="U62" s="13">
        <f>'ETS Emissions'!Q104</f>
        <v>101.2</v>
      </c>
      <c r="V62" s="13">
        <f>'ETS Emissions'!R104</f>
        <v>101.2</v>
      </c>
      <c r="W62" s="13">
        <f>'ETS Emissions'!S104</f>
        <v>101.2</v>
      </c>
      <c r="X62" s="13">
        <f>'ETS Emissions'!T104</f>
        <v>101.2</v>
      </c>
      <c r="Y62" s="13">
        <f>'ETS Emissions'!U104</f>
        <v>101.2</v>
      </c>
      <c r="Z62" s="13">
        <f>'ETS Emissions'!V104</f>
        <v>101.2</v>
      </c>
      <c r="AA62" s="13">
        <f>'ETS Emissions'!W104</f>
        <v>101.2</v>
      </c>
      <c r="AB62" s="13">
        <f>'ETS Emissions'!X104</f>
        <v>101.2</v>
      </c>
      <c r="AC62" s="13">
        <f>'ETS Emissions'!Y104</f>
        <v>101.2</v>
      </c>
      <c r="AD62" s="13">
        <f>'ETS Emissions'!Z104</f>
        <v>110.6</v>
      </c>
      <c r="AE62" s="13">
        <f>'ETS Emissions'!AA104</f>
        <v>101.2</v>
      </c>
      <c r="AF62" s="13">
        <f>'ETS Emissions'!AB104</f>
        <v>101.2</v>
      </c>
      <c r="AG62" s="13">
        <f>'ETS Emissions'!AC104</f>
        <v>101.2</v>
      </c>
      <c r="AH62" s="13">
        <f>'ETS Emissions'!AD104</f>
        <v>101.2</v>
      </c>
      <c r="AI62" s="13">
        <f>'ETS Emissions'!AE104</f>
        <v>110.6</v>
      </c>
      <c r="AJ62" s="13">
        <f>'ETS Emissions'!AF104</f>
        <v>101.2</v>
      </c>
      <c r="AK62" s="13">
        <f>'ETS Emissions'!AG104</f>
        <v>110.6</v>
      </c>
      <c r="AL62" s="13">
        <f>'ETS Emissions'!AH104</f>
        <v>110.6</v>
      </c>
      <c r="AM62" s="13">
        <f>'ETS Emissions'!AI104</f>
        <v>110.6</v>
      </c>
      <c r="AN62" s="13">
        <f>'ETS Emissions'!AJ104</f>
        <v>110.6</v>
      </c>
      <c r="AO62" s="13">
        <f>'ETS Emissions'!AK104</f>
        <v>110.6</v>
      </c>
      <c r="AP62" s="13">
        <f>'ETS Emissions'!AL104</f>
        <v>110.6</v>
      </c>
      <c r="AQ62" s="13">
        <f>'ETS Emissions'!AM104</f>
        <v>110.6</v>
      </c>
      <c r="AS62" s="12" t="s">
        <v>128</v>
      </c>
      <c r="AV62" s="9" t="str">
        <f t="shared" si="20"/>
        <v>INDCOB</v>
      </c>
      <c r="AW62" s="9" t="s">
        <v>125</v>
      </c>
    </row>
    <row r="63" spans="1:60">
      <c r="C63" s="9" t="s">
        <v>2</v>
      </c>
      <c r="E63" s="9" t="str">
        <f>'ETS Emissions'!B105</f>
        <v>INDCOG</v>
      </c>
      <c r="F63" s="21">
        <f t="shared" si="21"/>
        <v>108.2</v>
      </c>
      <c r="G63" s="13">
        <f>'ETS Emissions'!C105</f>
        <v>108.2</v>
      </c>
      <c r="H63" s="13">
        <f>'ETS Emissions'!D105</f>
        <v>108.2</v>
      </c>
      <c r="I63" s="13">
        <f>'ETS Emissions'!E105</f>
        <v>108.2</v>
      </c>
      <c r="J63" s="13">
        <f>'ETS Emissions'!F105</f>
        <v>108.2</v>
      </c>
      <c r="K63" s="13">
        <f>'ETS Emissions'!G105</f>
        <v>108.2</v>
      </c>
      <c r="L63" s="13">
        <f>'ETS Emissions'!H105</f>
        <v>108.2</v>
      </c>
      <c r="M63" s="13">
        <f>'ETS Emissions'!I105</f>
        <v>108.2</v>
      </c>
      <c r="N63" s="13">
        <f>'ETS Emissions'!J105</f>
        <v>108.2</v>
      </c>
      <c r="O63" s="13">
        <f>'ETS Emissions'!K105</f>
        <v>108.2</v>
      </c>
      <c r="P63" s="13">
        <f>'ETS Emissions'!L105</f>
        <v>108.2</v>
      </c>
      <c r="Q63" s="13">
        <f>'ETS Emissions'!M105</f>
        <v>107.65900000000001</v>
      </c>
      <c r="R63" s="13">
        <f>'ETS Emissions'!N105</f>
        <v>108.2</v>
      </c>
      <c r="S63" s="13">
        <f>'ETS Emissions'!O105</f>
        <v>108.2</v>
      </c>
      <c r="T63" s="13">
        <f>'ETS Emissions'!P105</f>
        <v>108.2</v>
      </c>
      <c r="U63" s="13">
        <f>'ETS Emissions'!Q105</f>
        <v>108.2</v>
      </c>
      <c r="V63" s="13">
        <f>'ETS Emissions'!R105</f>
        <v>108.2</v>
      </c>
      <c r="W63" s="13">
        <f>'ETS Emissions'!S105</f>
        <v>108.2</v>
      </c>
      <c r="X63" s="13">
        <f>'ETS Emissions'!T105</f>
        <v>108.2</v>
      </c>
      <c r="Y63" s="13">
        <f>'ETS Emissions'!U105</f>
        <v>108.2</v>
      </c>
      <c r="Z63" s="13">
        <f>'ETS Emissions'!V105</f>
        <v>108.2</v>
      </c>
      <c r="AA63" s="13">
        <f>'ETS Emissions'!W105</f>
        <v>108.2</v>
      </c>
      <c r="AB63" s="13">
        <f>'ETS Emissions'!X105</f>
        <v>108.2</v>
      </c>
      <c r="AC63" s="13">
        <f>'ETS Emissions'!Y105</f>
        <v>108.2</v>
      </c>
      <c r="AD63" s="13">
        <f>'ETS Emissions'!Z105</f>
        <v>108.2</v>
      </c>
      <c r="AE63" s="13">
        <f>'ETS Emissions'!AA105</f>
        <v>108.2</v>
      </c>
      <c r="AF63" s="13">
        <f>'ETS Emissions'!AB105</f>
        <v>108.2</v>
      </c>
      <c r="AG63" s="13">
        <f>'ETS Emissions'!AC105</f>
        <v>108.2</v>
      </c>
      <c r="AH63" s="13">
        <f>'ETS Emissions'!AD105</f>
        <v>108.2</v>
      </c>
      <c r="AI63" s="13">
        <f>'ETS Emissions'!AE105</f>
        <v>108.2</v>
      </c>
      <c r="AJ63" s="13">
        <f>'ETS Emissions'!AF105</f>
        <v>108.2</v>
      </c>
      <c r="AK63" s="13">
        <f>'ETS Emissions'!AG105</f>
        <v>108.2</v>
      </c>
      <c r="AL63" s="13">
        <f>'ETS Emissions'!AH105</f>
        <v>108.2</v>
      </c>
      <c r="AM63" s="13">
        <f>'ETS Emissions'!AI105</f>
        <v>108.2</v>
      </c>
      <c r="AN63" s="13">
        <f>'ETS Emissions'!AJ105</f>
        <v>108.2</v>
      </c>
      <c r="AO63" s="13">
        <f>'ETS Emissions'!AK105</f>
        <v>108.2</v>
      </c>
      <c r="AP63" s="13">
        <f>'ETS Emissions'!AL105</f>
        <v>108.2</v>
      </c>
      <c r="AQ63" s="13">
        <f>'ETS Emissions'!AM105</f>
        <v>108.2</v>
      </c>
      <c r="AS63" s="12" t="s">
        <v>128</v>
      </c>
      <c r="AV63" s="9" t="str">
        <f t="shared" si="20"/>
        <v>INDCOG</v>
      </c>
      <c r="AW63" s="9" t="s">
        <v>125</v>
      </c>
    </row>
    <row r="64" spans="1:60">
      <c r="C64" s="9" t="s">
        <v>2</v>
      </c>
      <c r="E64" s="9" t="str">
        <f>'ETS Emissions'!B106</f>
        <v>INDCOK</v>
      </c>
      <c r="F64" s="21">
        <f t="shared" si="21"/>
        <v>107.46666666666665</v>
      </c>
      <c r="G64" s="13">
        <f>'ETS Emissions'!C106</f>
        <v>110.6</v>
      </c>
      <c r="H64" s="13">
        <f>'ETS Emissions'!D106</f>
        <v>101.2</v>
      </c>
      <c r="I64" s="13">
        <f>'ETS Emissions'!E106</f>
        <v>110.6</v>
      </c>
      <c r="J64" s="13">
        <f>'ETS Emissions'!F106</f>
        <v>101.2</v>
      </c>
      <c r="K64" s="13">
        <f>'ETS Emissions'!G106</f>
        <v>101.2</v>
      </c>
      <c r="L64" s="13">
        <f>'ETS Emissions'!H106</f>
        <v>110.6</v>
      </c>
      <c r="M64" s="13">
        <f>'ETS Emissions'!I106</f>
        <v>110.6</v>
      </c>
      <c r="N64" s="13">
        <f>'ETS Emissions'!J106</f>
        <v>101.2</v>
      </c>
      <c r="O64" s="13">
        <f>'ETS Emissions'!K106</f>
        <v>101.2</v>
      </c>
      <c r="P64" s="13">
        <f>'ETS Emissions'!L106</f>
        <v>101.2</v>
      </c>
      <c r="Q64" s="13">
        <f>'ETS Emissions'!M106</f>
        <v>99.176000000000002</v>
      </c>
      <c r="R64" s="13">
        <f>'ETS Emissions'!N106</f>
        <v>101.2</v>
      </c>
      <c r="S64" s="13">
        <f>'ETS Emissions'!O106</f>
        <v>101.2</v>
      </c>
      <c r="T64" s="13">
        <f>'ETS Emissions'!P106</f>
        <v>110.6</v>
      </c>
      <c r="U64" s="13">
        <f>'ETS Emissions'!Q106</f>
        <v>101.2</v>
      </c>
      <c r="V64" s="13">
        <f>'ETS Emissions'!R106</f>
        <v>101.2</v>
      </c>
      <c r="W64" s="13">
        <f>'ETS Emissions'!S106</f>
        <v>101.2</v>
      </c>
      <c r="X64" s="13">
        <f>'ETS Emissions'!T106</f>
        <v>101.2</v>
      </c>
      <c r="Y64" s="13">
        <f>'ETS Emissions'!U106</f>
        <v>101.2</v>
      </c>
      <c r="Z64" s="13">
        <f>'ETS Emissions'!V106</f>
        <v>101.2</v>
      </c>
      <c r="AA64" s="13">
        <f>'ETS Emissions'!W106</f>
        <v>101.2</v>
      </c>
      <c r="AB64" s="13">
        <f>'ETS Emissions'!X106</f>
        <v>101.2</v>
      </c>
      <c r="AC64" s="13">
        <f>'ETS Emissions'!Y106</f>
        <v>101.2</v>
      </c>
      <c r="AD64" s="13">
        <f>'ETS Emissions'!Z106</f>
        <v>110.6</v>
      </c>
      <c r="AE64" s="13">
        <f>'ETS Emissions'!AA106</f>
        <v>101.2</v>
      </c>
      <c r="AF64" s="13">
        <f>'ETS Emissions'!AB106</f>
        <v>101.2</v>
      </c>
      <c r="AG64" s="13">
        <f>'ETS Emissions'!AC106</f>
        <v>101.2</v>
      </c>
      <c r="AH64" s="13">
        <f>'ETS Emissions'!AD106</f>
        <v>101.2</v>
      </c>
      <c r="AI64" s="13">
        <f>'ETS Emissions'!AE106</f>
        <v>110.6</v>
      </c>
      <c r="AJ64" s="13">
        <f>'ETS Emissions'!AF106</f>
        <v>101.2</v>
      </c>
      <c r="AK64" s="13">
        <f>'ETS Emissions'!AG106</f>
        <v>110.6</v>
      </c>
      <c r="AL64" s="13">
        <f>'ETS Emissions'!AH106</f>
        <v>110.6</v>
      </c>
      <c r="AM64" s="13">
        <f>'ETS Emissions'!AI106</f>
        <v>110.6</v>
      </c>
      <c r="AN64" s="13">
        <f>'ETS Emissions'!AJ106</f>
        <v>110.6</v>
      </c>
      <c r="AO64" s="13">
        <f>'ETS Emissions'!AK106</f>
        <v>110.6</v>
      </c>
      <c r="AP64" s="13">
        <f>'ETS Emissions'!AL106</f>
        <v>110.6</v>
      </c>
      <c r="AQ64" s="13">
        <f>'ETS Emissions'!AM106</f>
        <v>110.6</v>
      </c>
      <c r="AS64" s="12" t="s">
        <v>128</v>
      </c>
      <c r="AV64" s="9" t="str">
        <f t="shared" si="20"/>
        <v>INDCOK</v>
      </c>
      <c r="AW64" s="9" t="s">
        <v>125</v>
      </c>
    </row>
    <row r="65" spans="3:49">
      <c r="C65" s="9" t="s">
        <v>2</v>
      </c>
      <c r="E65" s="9" t="str">
        <f>'ETS Emissions'!B107</f>
        <v>INDCOL</v>
      </c>
      <c r="F65" s="21">
        <f t="shared" si="21"/>
        <v>101.53333333333335</v>
      </c>
      <c r="G65" s="13">
        <f>'ETS Emissions'!C107</f>
        <v>105</v>
      </c>
      <c r="H65" s="13">
        <f>'ETS Emissions'!D107</f>
        <v>94.6</v>
      </c>
      <c r="I65" s="13">
        <f>'ETS Emissions'!E107</f>
        <v>105</v>
      </c>
      <c r="J65" s="13">
        <f>'ETS Emissions'!F107</f>
        <v>94.6</v>
      </c>
      <c r="K65" s="13">
        <f>'ETS Emissions'!G107</f>
        <v>94.6</v>
      </c>
      <c r="L65" s="13">
        <f>'ETS Emissions'!H107</f>
        <v>105</v>
      </c>
      <c r="M65" s="13">
        <f>'ETS Emissions'!I107</f>
        <v>105</v>
      </c>
      <c r="N65" s="13">
        <f>'ETS Emissions'!J107</f>
        <v>94.6</v>
      </c>
      <c r="O65" s="13">
        <f>'ETS Emissions'!K107</f>
        <v>94.6</v>
      </c>
      <c r="P65" s="13">
        <f>'ETS Emissions'!L107</f>
        <v>94.6</v>
      </c>
      <c r="Q65" s="13">
        <f>'ETS Emissions'!M107</f>
        <v>105.84</v>
      </c>
      <c r="R65" s="13">
        <f>'ETS Emissions'!N107</f>
        <v>94.6</v>
      </c>
      <c r="S65" s="13">
        <f>'ETS Emissions'!O107</f>
        <v>94.6</v>
      </c>
      <c r="T65" s="13">
        <f>'ETS Emissions'!P107</f>
        <v>105</v>
      </c>
      <c r="U65" s="13">
        <f>'ETS Emissions'!Q107</f>
        <v>94.6</v>
      </c>
      <c r="V65" s="13">
        <f>'ETS Emissions'!R107</f>
        <v>94.6</v>
      </c>
      <c r="W65" s="13">
        <f>'ETS Emissions'!S107</f>
        <v>94.6</v>
      </c>
      <c r="X65" s="13">
        <f>'ETS Emissions'!T107</f>
        <v>94.6</v>
      </c>
      <c r="Y65" s="13">
        <f>'ETS Emissions'!U107</f>
        <v>94.6</v>
      </c>
      <c r="Z65" s="13">
        <f>'ETS Emissions'!V107</f>
        <v>94.6</v>
      </c>
      <c r="AA65" s="13">
        <f>'ETS Emissions'!W107</f>
        <v>94.6</v>
      </c>
      <c r="AB65" s="13">
        <f>'ETS Emissions'!X107</f>
        <v>94.6</v>
      </c>
      <c r="AC65" s="13">
        <f>'ETS Emissions'!Y107</f>
        <v>94.6</v>
      </c>
      <c r="AD65" s="13">
        <f>'ETS Emissions'!Z107</f>
        <v>105</v>
      </c>
      <c r="AE65" s="13">
        <f>'ETS Emissions'!AA107</f>
        <v>94.6</v>
      </c>
      <c r="AF65" s="13">
        <f>'ETS Emissions'!AB107</f>
        <v>94.6</v>
      </c>
      <c r="AG65" s="13">
        <f>'ETS Emissions'!AC107</f>
        <v>94.6</v>
      </c>
      <c r="AH65" s="13">
        <f>'ETS Emissions'!AD107</f>
        <v>94.6</v>
      </c>
      <c r="AI65" s="13">
        <f>'ETS Emissions'!AE107</f>
        <v>105</v>
      </c>
      <c r="AJ65" s="13">
        <f>'ETS Emissions'!AF107</f>
        <v>94.6</v>
      </c>
      <c r="AK65" s="13">
        <f>'ETS Emissions'!AG107</f>
        <v>105</v>
      </c>
      <c r="AL65" s="13">
        <f>'ETS Emissions'!AH107</f>
        <v>105</v>
      </c>
      <c r="AM65" s="13">
        <f>'ETS Emissions'!AI107</f>
        <v>105</v>
      </c>
      <c r="AN65" s="13">
        <f>'ETS Emissions'!AJ107</f>
        <v>105</v>
      </c>
      <c r="AO65" s="13">
        <f>'ETS Emissions'!AK107</f>
        <v>105</v>
      </c>
      <c r="AP65" s="13">
        <f>'ETS Emissions'!AL107</f>
        <v>105</v>
      </c>
      <c r="AQ65" s="13">
        <f>'ETS Emissions'!AM107</f>
        <v>105</v>
      </c>
      <c r="AS65" s="12" t="s">
        <v>128</v>
      </c>
      <c r="AV65" s="9" t="str">
        <f t="shared" si="20"/>
        <v>INDCOL</v>
      </c>
      <c r="AW65" s="9" t="s">
        <v>125</v>
      </c>
    </row>
    <row r="66" spans="3:49">
      <c r="C66" s="9" t="s">
        <v>2</v>
      </c>
      <c r="E66" s="9" t="str">
        <f>'ETS Emissions'!B108</f>
        <v>INDDME</v>
      </c>
      <c r="F66" s="21">
        <f t="shared" si="21"/>
        <v>66.4201388888889</v>
      </c>
      <c r="G66" s="13">
        <f>'ETS Emissions'!C108</f>
        <v>66.4201388888889</v>
      </c>
      <c r="H66" s="13">
        <f>'ETS Emissions'!D108</f>
        <v>66.4201388888889</v>
      </c>
      <c r="I66" s="13">
        <f>'ETS Emissions'!E108</f>
        <v>66.4201388888889</v>
      </c>
      <c r="J66" s="13">
        <f>'ETS Emissions'!F108</f>
        <v>66.4201388888889</v>
      </c>
      <c r="K66" s="13">
        <f>'ETS Emissions'!G108</f>
        <v>66.4201388888889</v>
      </c>
      <c r="L66" s="13">
        <f>'ETS Emissions'!H108</f>
        <v>66.4201388888889</v>
      </c>
      <c r="M66" s="13">
        <f>'ETS Emissions'!I108</f>
        <v>66.4201388888889</v>
      </c>
      <c r="N66" s="13">
        <f>'ETS Emissions'!J108</f>
        <v>66.4201388888889</v>
      </c>
      <c r="O66" s="13">
        <f>'ETS Emissions'!K108</f>
        <v>66.4201388888889</v>
      </c>
      <c r="P66" s="13">
        <f>'ETS Emissions'!L108</f>
        <v>66.4201388888889</v>
      </c>
      <c r="Q66" s="13">
        <f>'ETS Emissions'!M108</f>
        <v>66.4201388888889</v>
      </c>
      <c r="R66" s="13">
        <f>'ETS Emissions'!N108</f>
        <v>66.4201388888889</v>
      </c>
      <c r="S66" s="13">
        <f>'ETS Emissions'!O108</f>
        <v>66.4201388888889</v>
      </c>
      <c r="T66" s="13">
        <f>'ETS Emissions'!P108</f>
        <v>66.4201388888889</v>
      </c>
      <c r="U66" s="13">
        <f>'ETS Emissions'!Q108</f>
        <v>66.4201388888889</v>
      </c>
      <c r="V66" s="13">
        <f>'ETS Emissions'!R108</f>
        <v>66.4201388888889</v>
      </c>
      <c r="W66" s="13">
        <f>'ETS Emissions'!S108</f>
        <v>66.4201388888889</v>
      </c>
      <c r="X66" s="13">
        <f>'ETS Emissions'!T108</f>
        <v>66.4201388888889</v>
      </c>
      <c r="Y66" s="13">
        <f>'ETS Emissions'!U108</f>
        <v>66.4201388888889</v>
      </c>
      <c r="Z66" s="13">
        <f>'ETS Emissions'!V108</f>
        <v>66.4201388888889</v>
      </c>
      <c r="AA66" s="13">
        <f>'ETS Emissions'!W108</f>
        <v>66.4201388888889</v>
      </c>
      <c r="AB66" s="13">
        <f>'ETS Emissions'!X108</f>
        <v>66.4201388888889</v>
      </c>
      <c r="AC66" s="13">
        <f>'ETS Emissions'!Y108</f>
        <v>66.4201388888889</v>
      </c>
      <c r="AD66" s="13">
        <f>'ETS Emissions'!Z108</f>
        <v>66.4201388888889</v>
      </c>
      <c r="AE66" s="13">
        <f>'ETS Emissions'!AA108</f>
        <v>66.4201388888889</v>
      </c>
      <c r="AF66" s="13">
        <f>'ETS Emissions'!AB108</f>
        <v>66.4201388888889</v>
      </c>
      <c r="AG66" s="13">
        <f>'ETS Emissions'!AC108</f>
        <v>66.4201388888889</v>
      </c>
      <c r="AH66" s="13">
        <f>'ETS Emissions'!AD108</f>
        <v>66.4201388888889</v>
      </c>
      <c r="AI66" s="13">
        <f>'ETS Emissions'!AE108</f>
        <v>66.4201388888889</v>
      </c>
      <c r="AJ66" s="13">
        <f>'ETS Emissions'!AF108</f>
        <v>66.4201388888889</v>
      </c>
      <c r="AK66" s="13">
        <f>'ETS Emissions'!AG108</f>
        <v>66.4201388888889</v>
      </c>
      <c r="AL66" s="13">
        <f>'ETS Emissions'!AH108</f>
        <v>66.4201388888889</v>
      </c>
      <c r="AM66" s="13">
        <f>'ETS Emissions'!AI108</f>
        <v>66.4201388888889</v>
      </c>
      <c r="AN66" s="13">
        <f>'ETS Emissions'!AJ108</f>
        <v>66.4201388888889</v>
      </c>
      <c r="AO66" s="13">
        <f>'ETS Emissions'!AK108</f>
        <v>66.4201388888889</v>
      </c>
      <c r="AP66" s="13">
        <f>'ETS Emissions'!AL108</f>
        <v>66.4201388888889</v>
      </c>
      <c r="AQ66" s="13">
        <f>'ETS Emissions'!AM108</f>
        <v>66.4201388888889</v>
      </c>
      <c r="AS66" s="12" t="s">
        <v>128</v>
      </c>
      <c r="AV66" s="9" t="str">
        <f t="shared" si="20"/>
        <v>INDDME</v>
      </c>
      <c r="AW66" s="9" t="s">
        <v>125</v>
      </c>
    </row>
    <row r="67" spans="3:49">
      <c r="C67" s="9" t="s">
        <v>2</v>
      </c>
      <c r="E67" s="9" t="str">
        <f>'ETS Emissions'!B109</f>
        <v>INDGAS</v>
      </c>
      <c r="F67" s="21">
        <f t="shared" si="21"/>
        <v>63.720668270896773</v>
      </c>
      <c r="G67" s="13">
        <f>'ETS Emissions'!C109</f>
        <v>73.478546344529207</v>
      </c>
      <c r="H67" s="13">
        <f>'ETS Emissions'!D109</f>
        <v>57.348071843512798</v>
      </c>
      <c r="I67" s="13">
        <f>'ETS Emissions'!E109</f>
        <v>63.9046688911479</v>
      </c>
      <c r="J67" s="13">
        <f>'ETS Emissions'!F109</f>
        <v>133.14205863394301</v>
      </c>
      <c r="K67" s="13">
        <f>'ETS Emissions'!G109</f>
        <v>56.1</v>
      </c>
      <c r="L67" s="13">
        <f>'ETS Emissions'!H109</f>
        <v>55.2315718684183</v>
      </c>
      <c r="M67" s="13">
        <f>'ETS Emissions'!I109</f>
        <v>63.259422826545901</v>
      </c>
      <c r="N67" s="13">
        <f>'ETS Emissions'!J109</f>
        <v>68.2891212743708</v>
      </c>
      <c r="O67" s="13">
        <f>'ETS Emissions'!K109</f>
        <v>68.3683986236462</v>
      </c>
      <c r="P67" s="13">
        <f>'ETS Emissions'!L109</f>
        <v>75.775532806496997</v>
      </c>
      <c r="Q67" s="13">
        <f>'ETS Emissions'!M109</f>
        <v>131.55750247903899</v>
      </c>
      <c r="R67" s="13">
        <f>'ETS Emissions'!N109</f>
        <v>66.940073004355597</v>
      </c>
      <c r="S67" s="13">
        <f>'ETS Emissions'!O109</f>
        <v>100.034232735044</v>
      </c>
      <c r="T67" s="13">
        <f>'ETS Emissions'!P109</f>
        <v>61.4533917619544</v>
      </c>
      <c r="U67" s="13">
        <f>'ETS Emissions'!Q109</f>
        <v>67.946505935485803</v>
      </c>
      <c r="V67" s="13">
        <f>'ETS Emissions'!R109</f>
        <v>56.1</v>
      </c>
      <c r="W67" s="13">
        <f>'ETS Emissions'!S109</f>
        <v>56.554346079130397</v>
      </c>
      <c r="X67" s="13">
        <f>'ETS Emissions'!T109</f>
        <v>157.72995399112099</v>
      </c>
      <c r="Y67" s="13">
        <f>'ETS Emissions'!U109</f>
        <v>56.1</v>
      </c>
      <c r="Z67" s="13">
        <f>'ETS Emissions'!V109</f>
        <v>61.101263349550401</v>
      </c>
      <c r="AA67" s="13">
        <f>'ETS Emissions'!W109</f>
        <v>56.1</v>
      </c>
      <c r="AB67" s="13">
        <f>'ETS Emissions'!X109</f>
        <v>78.981245273013101</v>
      </c>
      <c r="AC67" s="13">
        <f>'ETS Emissions'!Y109</f>
        <v>56.1</v>
      </c>
      <c r="AD67" s="13">
        <f>'ETS Emissions'!Z109</f>
        <v>64.358738147814904</v>
      </c>
      <c r="AE67" s="13">
        <f>'ETS Emissions'!AA109</f>
        <v>67.641429509207498</v>
      </c>
      <c r="AF67" s="13">
        <f>'ETS Emissions'!AB109</f>
        <v>56.362479631629</v>
      </c>
      <c r="AG67" s="13">
        <f>'ETS Emissions'!AC109</f>
        <v>57.669473546351902</v>
      </c>
      <c r="AH67" s="13">
        <f>'ETS Emissions'!AD109</f>
        <v>66.638983456753806</v>
      </c>
      <c r="AI67" s="13">
        <f>'ETS Emissions'!AE109</f>
        <v>60.164283208121603</v>
      </c>
      <c r="AJ67" s="13">
        <f>'ETS Emissions'!AF109</f>
        <v>65.548599058856297</v>
      </c>
      <c r="AK67" s="13">
        <f>'ETS Emissions'!AG109</f>
        <v>56</v>
      </c>
      <c r="AL67" s="13">
        <f>'ETS Emissions'!AH109</f>
        <v>56</v>
      </c>
      <c r="AM67" s="13">
        <f>'ETS Emissions'!AI109</f>
        <v>55.965553651830902</v>
      </c>
      <c r="AN67" s="13">
        <f>'ETS Emissions'!AJ109</f>
        <v>56</v>
      </c>
      <c r="AO67" s="13">
        <f>'ETS Emissions'!AK109</f>
        <v>56</v>
      </c>
      <c r="AP67" s="13">
        <f>'ETS Emissions'!AL109</f>
        <v>56</v>
      </c>
      <c r="AQ67" s="13">
        <f>'ETS Emissions'!AM109</f>
        <v>56</v>
      </c>
      <c r="AS67" s="12" t="s">
        <v>128</v>
      </c>
      <c r="AV67" s="9" t="str">
        <f t="shared" si="20"/>
        <v>INDGAS</v>
      </c>
      <c r="AW67" s="9" t="s">
        <v>125</v>
      </c>
    </row>
    <row r="68" spans="3:49">
      <c r="C68" s="9" t="s">
        <v>2</v>
      </c>
      <c r="E68" s="9" t="str">
        <f>'ETS Emissions'!B110</f>
        <v>INDHFO</v>
      </c>
      <c r="F68" s="21">
        <f t="shared" si="21"/>
        <v>77.8</v>
      </c>
      <c r="G68" s="13">
        <f>'ETS Emissions'!C110</f>
        <v>78</v>
      </c>
      <c r="H68" s="13">
        <f>'ETS Emissions'!D110</f>
        <v>77.400000000000006</v>
      </c>
      <c r="I68" s="13">
        <f>'ETS Emissions'!E110</f>
        <v>78</v>
      </c>
      <c r="J68" s="13">
        <f>'ETS Emissions'!F110</f>
        <v>77.400000000000006</v>
      </c>
      <c r="K68" s="13">
        <f>'ETS Emissions'!G110</f>
        <v>77.400000000000006</v>
      </c>
      <c r="L68" s="13">
        <f>'ETS Emissions'!H110</f>
        <v>78</v>
      </c>
      <c r="M68" s="13">
        <f>'ETS Emissions'!I110</f>
        <v>78</v>
      </c>
      <c r="N68" s="13">
        <f>'ETS Emissions'!J110</f>
        <v>77.400000000000006</v>
      </c>
      <c r="O68" s="13">
        <f>'ETS Emissions'!K110</f>
        <v>77.400000000000006</v>
      </c>
      <c r="P68" s="13">
        <f>'ETS Emissions'!L110</f>
        <v>77.400000000000006</v>
      </c>
      <c r="Q68" s="13">
        <f>'ETS Emissions'!M110</f>
        <v>76.626000000000005</v>
      </c>
      <c r="R68" s="13">
        <f>'ETS Emissions'!N110</f>
        <v>77.400000000000006</v>
      </c>
      <c r="S68" s="13">
        <f>'ETS Emissions'!O110</f>
        <v>77.400000000000006</v>
      </c>
      <c r="T68" s="13">
        <f>'ETS Emissions'!P110</f>
        <v>78</v>
      </c>
      <c r="U68" s="13">
        <f>'ETS Emissions'!Q110</f>
        <v>77.400000000000006</v>
      </c>
      <c r="V68" s="13">
        <f>'ETS Emissions'!R110</f>
        <v>77.400000000000006</v>
      </c>
      <c r="W68" s="13">
        <f>'ETS Emissions'!S110</f>
        <v>75.829108045349003</v>
      </c>
      <c r="X68" s="13">
        <f>'ETS Emissions'!T110</f>
        <v>77.400000000000006</v>
      </c>
      <c r="Y68" s="13">
        <f>'ETS Emissions'!U110</f>
        <v>77.400000000000006</v>
      </c>
      <c r="Z68" s="13">
        <f>'ETS Emissions'!V110</f>
        <v>77.400000000000006</v>
      </c>
      <c r="AA68" s="13">
        <f>'ETS Emissions'!W110</f>
        <v>77.400000000000006</v>
      </c>
      <c r="AB68" s="13">
        <f>'ETS Emissions'!X110</f>
        <v>77.400000000000006</v>
      </c>
      <c r="AC68" s="13">
        <f>'ETS Emissions'!Y110</f>
        <v>77.400000000000006</v>
      </c>
      <c r="AD68" s="13">
        <f>'ETS Emissions'!Z110</f>
        <v>78</v>
      </c>
      <c r="AE68" s="13">
        <f>'ETS Emissions'!AA110</f>
        <v>77.400000000000006</v>
      </c>
      <c r="AF68" s="13">
        <f>'ETS Emissions'!AB110</f>
        <v>77.400000000000006</v>
      </c>
      <c r="AG68" s="13">
        <f>'ETS Emissions'!AC110</f>
        <v>77.400000000000006</v>
      </c>
      <c r="AH68" s="13">
        <f>'ETS Emissions'!AD110</f>
        <v>77.400000000000006</v>
      </c>
      <c r="AI68" s="13">
        <f>'ETS Emissions'!AE110</f>
        <v>78</v>
      </c>
      <c r="AJ68" s="13">
        <f>'ETS Emissions'!AF110</f>
        <v>77.400000000000006</v>
      </c>
      <c r="AK68" s="13">
        <f>'ETS Emissions'!AG110</f>
        <v>78</v>
      </c>
      <c r="AL68" s="13">
        <f>'ETS Emissions'!AH110</f>
        <v>78</v>
      </c>
      <c r="AM68" s="13">
        <f>'ETS Emissions'!AI110</f>
        <v>78</v>
      </c>
      <c r="AN68" s="13">
        <f>'ETS Emissions'!AJ110</f>
        <v>78</v>
      </c>
      <c r="AO68" s="13">
        <f>'ETS Emissions'!AK110</f>
        <v>78</v>
      </c>
      <c r="AP68" s="13">
        <f>'ETS Emissions'!AL110</f>
        <v>78</v>
      </c>
      <c r="AQ68" s="13">
        <f>'ETS Emissions'!AM110</f>
        <v>78</v>
      </c>
      <c r="AS68" s="12" t="s">
        <v>128</v>
      </c>
      <c r="AV68" s="9" t="str">
        <f t="shared" si="20"/>
        <v>INDHFO</v>
      </c>
      <c r="AW68" s="9" t="s">
        <v>125</v>
      </c>
    </row>
    <row r="69" spans="3:49">
      <c r="C69" s="9" t="s">
        <v>2</v>
      </c>
      <c r="E69" s="9" t="str">
        <f>'ETS Emissions'!B111</f>
        <v>INDLFO</v>
      </c>
      <c r="F69" s="21">
        <f t="shared" si="21"/>
        <v>74.027149041434768</v>
      </c>
      <c r="G69" s="13">
        <f>'ETS Emissions'!C111</f>
        <v>74</v>
      </c>
      <c r="H69" s="13">
        <f>'ETS Emissions'!D111</f>
        <v>74.062199312714796</v>
      </c>
      <c r="I69" s="13">
        <f>'ETS Emissions'!E111</f>
        <v>74</v>
      </c>
      <c r="J69" s="13">
        <f>'ETS Emissions'!F111</f>
        <v>74.093573585712207</v>
      </c>
      <c r="K69" s="13">
        <f>'ETS Emissions'!G111</f>
        <v>74.099999999999994</v>
      </c>
      <c r="L69" s="13">
        <f>'ETS Emissions'!H111</f>
        <v>74</v>
      </c>
      <c r="M69" s="13">
        <f>'ETS Emissions'!I111</f>
        <v>74</v>
      </c>
      <c r="N69" s="13">
        <f>'ETS Emissions'!J111</f>
        <v>74.087723785166204</v>
      </c>
      <c r="O69" s="13">
        <f>'ETS Emissions'!K111</f>
        <v>74</v>
      </c>
      <c r="P69" s="13">
        <f>'ETS Emissions'!L111</f>
        <v>74.099999999999994</v>
      </c>
      <c r="Q69" s="13">
        <f>'ETS Emissions'!M111</f>
        <v>73.358999999999995</v>
      </c>
      <c r="R69" s="13">
        <f>'ETS Emissions'!N111</f>
        <v>74.099999999999994</v>
      </c>
      <c r="S69" s="13">
        <f>'ETS Emissions'!O111</f>
        <v>74.080444444444396</v>
      </c>
      <c r="T69" s="13">
        <f>'ETS Emissions'!P111</f>
        <v>74</v>
      </c>
      <c r="U69" s="13">
        <f>'ETS Emissions'!Q111</f>
        <v>73.241290322580596</v>
      </c>
      <c r="V69" s="13">
        <f>'ETS Emissions'!R111</f>
        <v>74.099999999999994</v>
      </c>
      <c r="W69" s="13">
        <f>'ETS Emissions'!S111</f>
        <v>72.6643129770992</v>
      </c>
      <c r="X69" s="13">
        <f>'ETS Emissions'!T111</f>
        <v>73.739999999999995</v>
      </c>
      <c r="Y69" s="13">
        <f>'ETS Emissions'!U111</f>
        <v>74.025000000000006</v>
      </c>
      <c r="Z69" s="13">
        <f>'ETS Emissions'!V111</f>
        <v>73.825714285714298</v>
      </c>
      <c r="AA69" s="13">
        <f>'ETS Emissions'!W111</f>
        <v>74.099999999999994</v>
      </c>
      <c r="AB69" s="13">
        <f>'ETS Emissions'!X111</f>
        <v>73.984864863810699</v>
      </c>
      <c r="AC69" s="13">
        <f>'ETS Emissions'!Y111</f>
        <v>74.099999999999994</v>
      </c>
      <c r="AD69" s="13">
        <f>'ETS Emissions'!Z111</f>
        <v>73.981447124304296</v>
      </c>
      <c r="AE69" s="13">
        <f>'ETS Emissions'!AA111</f>
        <v>74.063003832655596</v>
      </c>
      <c r="AF69" s="13">
        <f>'ETS Emissions'!AB111</f>
        <v>73.458767772511806</v>
      </c>
      <c r="AG69" s="13">
        <f>'ETS Emissions'!AC111</f>
        <v>74.099999999999994</v>
      </c>
      <c r="AH69" s="13">
        <f>'ETS Emissions'!AD111</f>
        <v>74.099999999999994</v>
      </c>
      <c r="AI69" s="13">
        <f>'ETS Emissions'!AE111</f>
        <v>74</v>
      </c>
      <c r="AJ69" s="13">
        <f>'ETS Emissions'!AF111</f>
        <v>73.422578109648299</v>
      </c>
      <c r="AK69" s="13">
        <f>'ETS Emissions'!AG111</f>
        <v>74</v>
      </c>
      <c r="AL69" s="13">
        <f>'ETS Emissions'!AH111</f>
        <v>74</v>
      </c>
      <c r="AM69" s="13">
        <f>'ETS Emissions'!AI111</f>
        <v>73.915081334436195</v>
      </c>
      <c r="AN69" s="13">
        <f>'ETS Emissions'!AJ111</f>
        <v>74</v>
      </c>
      <c r="AO69" s="13">
        <f>'ETS Emissions'!AK111</f>
        <v>74</v>
      </c>
      <c r="AP69" s="13">
        <f>'ETS Emissions'!AL111</f>
        <v>74</v>
      </c>
      <c r="AQ69" s="13">
        <f>'ETS Emissions'!AM111</f>
        <v>74</v>
      </c>
      <c r="AS69" s="12" t="s">
        <v>128</v>
      </c>
      <c r="AV69" s="9" t="str">
        <f t="shared" si="20"/>
        <v>INDLFO</v>
      </c>
      <c r="AW69" s="9" t="s">
        <v>125</v>
      </c>
    </row>
    <row r="70" spans="3:49">
      <c r="C70" s="9" t="s">
        <v>2</v>
      </c>
      <c r="E70" s="9" t="str">
        <f>'ETS Emissions'!B112</f>
        <v>INDLPG</v>
      </c>
      <c r="F70" s="21">
        <f t="shared" si="21"/>
        <v>64.36666666666666</v>
      </c>
      <c r="G70" s="13">
        <f>'ETS Emissions'!C112</f>
        <v>65</v>
      </c>
      <c r="H70" s="13">
        <f>'ETS Emissions'!D112</f>
        <v>63.1</v>
      </c>
      <c r="I70" s="13">
        <f>'ETS Emissions'!E112</f>
        <v>65</v>
      </c>
      <c r="J70" s="13">
        <f>'ETS Emissions'!F112</f>
        <v>63.1</v>
      </c>
      <c r="K70" s="13">
        <f>'ETS Emissions'!G112</f>
        <v>63.1</v>
      </c>
      <c r="L70" s="13">
        <f>'ETS Emissions'!H112</f>
        <v>65</v>
      </c>
      <c r="M70" s="13">
        <f>'ETS Emissions'!I112</f>
        <v>65</v>
      </c>
      <c r="N70" s="13">
        <f>'ETS Emissions'!J112</f>
        <v>63.1</v>
      </c>
      <c r="O70" s="13">
        <f>'ETS Emissions'!K112</f>
        <v>63.1</v>
      </c>
      <c r="P70" s="13">
        <f>'ETS Emissions'!L112</f>
        <v>63.1</v>
      </c>
      <c r="Q70" s="13">
        <f>'ETS Emissions'!M112</f>
        <v>62.469000000000001</v>
      </c>
      <c r="R70" s="13">
        <f>'ETS Emissions'!N112</f>
        <v>63.1</v>
      </c>
      <c r="S70" s="13">
        <f>'ETS Emissions'!O112</f>
        <v>63.1</v>
      </c>
      <c r="T70" s="13">
        <f>'ETS Emissions'!P112</f>
        <v>65</v>
      </c>
      <c r="U70" s="13">
        <f>'ETS Emissions'!Q112</f>
        <v>63.1</v>
      </c>
      <c r="V70" s="13">
        <f>'ETS Emissions'!R112</f>
        <v>63.1</v>
      </c>
      <c r="W70" s="13">
        <f>'ETS Emissions'!S112</f>
        <v>63.1</v>
      </c>
      <c r="X70" s="13">
        <f>'ETS Emissions'!T112</f>
        <v>63.1</v>
      </c>
      <c r="Y70" s="13">
        <f>'ETS Emissions'!U112</f>
        <v>63.1</v>
      </c>
      <c r="Z70" s="13">
        <f>'ETS Emissions'!V112</f>
        <v>63.1</v>
      </c>
      <c r="AA70" s="13">
        <f>'ETS Emissions'!W112</f>
        <v>63.1</v>
      </c>
      <c r="AB70" s="13">
        <f>'ETS Emissions'!X112</f>
        <v>63.1</v>
      </c>
      <c r="AC70" s="13">
        <f>'ETS Emissions'!Y112</f>
        <v>63.1</v>
      </c>
      <c r="AD70" s="13">
        <f>'ETS Emissions'!Z112</f>
        <v>65</v>
      </c>
      <c r="AE70" s="13">
        <f>'ETS Emissions'!AA112</f>
        <v>63.1</v>
      </c>
      <c r="AF70" s="13">
        <f>'ETS Emissions'!AB112</f>
        <v>63.1</v>
      </c>
      <c r="AG70" s="13">
        <f>'ETS Emissions'!AC112</f>
        <v>63.1</v>
      </c>
      <c r="AH70" s="13">
        <f>'ETS Emissions'!AD112</f>
        <v>63.1</v>
      </c>
      <c r="AI70" s="13">
        <f>'ETS Emissions'!AE112</f>
        <v>65</v>
      </c>
      <c r="AJ70" s="13">
        <f>'ETS Emissions'!AF112</f>
        <v>63.1</v>
      </c>
      <c r="AK70" s="13">
        <f>'ETS Emissions'!AG112</f>
        <v>65</v>
      </c>
      <c r="AL70" s="13">
        <f>'ETS Emissions'!AH112</f>
        <v>65</v>
      </c>
      <c r="AM70" s="13">
        <f>'ETS Emissions'!AI112</f>
        <v>65</v>
      </c>
      <c r="AN70" s="13">
        <f>'ETS Emissions'!AJ112</f>
        <v>65</v>
      </c>
      <c r="AO70" s="13">
        <f>'ETS Emissions'!AK112</f>
        <v>65</v>
      </c>
      <c r="AP70" s="13">
        <f>'ETS Emissions'!AL112</f>
        <v>65</v>
      </c>
      <c r="AQ70" s="13">
        <f>'ETS Emissions'!AM112</f>
        <v>65</v>
      </c>
      <c r="AS70" s="12" t="s">
        <v>128</v>
      </c>
      <c r="AV70" s="9" t="str">
        <f t="shared" si="20"/>
        <v>INDLPG</v>
      </c>
      <c r="AW70" s="9" t="s">
        <v>125</v>
      </c>
    </row>
    <row r="71" spans="3:49">
      <c r="C71" s="9" t="s">
        <v>2</v>
      </c>
      <c r="E71" s="9" t="str">
        <f>'ETS Emissions'!B113</f>
        <v>INDMUN</v>
      </c>
      <c r="F71" s="21">
        <f t="shared" si="21"/>
        <v>58.616666666666667</v>
      </c>
      <c r="G71" s="13">
        <f>'ETS Emissions'!C113</f>
        <v>45</v>
      </c>
      <c r="H71" s="13">
        <f>'ETS Emissions'!D113</f>
        <v>85.85</v>
      </c>
      <c r="I71" s="13">
        <f>'ETS Emissions'!E113</f>
        <v>45</v>
      </c>
      <c r="J71" s="13">
        <f>'ETS Emissions'!F113</f>
        <v>85.85</v>
      </c>
      <c r="K71" s="13">
        <f>'ETS Emissions'!G113</f>
        <v>85.85</v>
      </c>
      <c r="L71" s="13">
        <f>'ETS Emissions'!H113</f>
        <v>45</v>
      </c>
      <c r="M71" s="13">
        <f>'ETS Emissions'!I113</f>
        <v>45</v>
      </c>
      <c r="N71" s="13">
        <f>'ETS Emissions'!J113</f>
        <v>85.85</v>
      </c>
      <c r="O71" s="13">
        <f>'ETS Emissions'!K113</f>
        <v>85.85</v>
      </c>
      <c r="P71" s="13">
        <f>'ETS Emissions'!L113</f>
        <v>85.85</v>
      </c>
      <c r="Q71" s="13">
        <f>'ETS Emissions'!M113</f>
        <v>31.481999999999999</v>
      </c>
      <c r="R71" s="13">
        <f>'ETS Emissions'!N113</f>
        <v>85.85</v>
      </c>
      <c r="S71" s="13">
        <f>'ETS Emissions'!O113</f>
        <v>85.85</v>
      </c>
      <c r="T71" s="13">
        <f>'ETS Emissions'!P113</f>
        <v>45</v>
      </c>
      <c r="U71" s="13">
        <f>'ETS Emissions'!Q113</f>
        <v>85.85</v>
      </c>
      <c r="V71" s="13">
        <f>'ETS Emissions'!R113</f>
        <v>85.85</v>
      </c>
      <c r="W71" s="13">
        <f>'ETS Emissions'!S113</f>
        <v>85.85</v>
      </c>
      <c r="X71" s="13">
        <f>'ETS Emissions'!T113</f>
        <v>85.85</v>
      </c>
      <c r="Y71" s="13">
        <f>'ETS Emissions'!U113</f>
        <v>85.85</v>
      </c>
      <c r="Z71" s="13">
        <f>'ETS Emissions'!V113</f>
        <v>85.85</v>
      </c>
      <c r="AA71" s="13">
        <f>'ETS Emissions'!W113</f>
        <v>85.85</v>
      </c>
      <c r="AB71" s="13">
        <f>'ETS Emissions'!X113</f>
        <v>85.85</v>
      </c>
      <c r="AC71" s="13">
        <f>'ETS Emissions'!Y113</f>
        <v>85.85</v>
      </c>
      <c r="AD71" s="13">
        <f>'ETS Emissions'!Z113</f>
        <v>45</v>
      </c>
      <c r="AE71" s="13">
        <f>'ETS Emissions'!AA113</f>
        <v>85.85</v>
      </c>
      <c r="AF71" s="13">
        <f>'ETS Emissions'!AB113</f>
        <v>85.85</v>
      </c>
      <c r="AG71" s="13">
        <f>'ETS Emissions'!AC113</f>
        <v>85.85</v>
      </c>
      <c r="AH71" s="13">
        <f>'ETS Emissions'!AD113</f>
        <v>85.85</v>
      </c>
      <c r="AI71" s="13">
        <f>'ETS Emissions'!AE113</f>
        <v>45</v>
      </c>
      <c r="AJ71" s="13">
        <f>'ETS Emissions'!AF113</f>
        <v>85.85</v>
      </c>
      <c r="AK71" s="13">
        <f>'ETS Emissions'!AG113</f>
        <v>45</v>
      </c>
      <c r="AL71" s="13">
        <f>'ETS Emissions'!AH113</f>
        <v>45</v>
      </c>
      <c r="AM71" s="13">
        <f>'ETS Emissions'!AI113</f>
        <v>45</v>
      </c>
      <c r="AN71" s="13">
        <f>'ETS Emissions'!AJ113</f>
        <v>45</v>
      </c>
      <c r="AO71" s="13">
        <f>'ETS Emissions'!AK113</f>
        <v>45</v>
      </c>
      <c r="AP71" s="13">
        <f>'ETS Emissions'!AL113</f>
        <v>45</v>
      </c>
      <c r="AQ71" s="13">
        <f>'ETS Emissions'!AM113</f>
        <v>45</v>
      </c>
      <c r="AS71" s="12" t="s">
        <v>128</v>
      </c>
      <c r="AV71" s="9" t="str">
        <f t="shared" si="20"/>
        <v>INDMUN</v>
      </c>
      <c r="AW71" s="9" t="s">
        <v>125</v>
      </c>
    </row>
    <row r="72" spans="3:49">
      <c r="C72" s="9" t="s">
        <v>2</v>
      </c>
      <c r="E72" s="9" t="str">
        <f>'ETS Emissions'!B114</f>
        <v>INDNAP</v>
      </c>
      <c r="F72" s="21">
        <f t="shared" si="21"/>
        <v>73.3</v>
      </c>
      <c r="G72" s="13">
        <f>'ETS Emissions'!C114</f>
        <v>73.3</v>
      </c>
      <c r="H72" s="13">
        <f>'ETS Emissions'!D114</f>
        <v>73.3</v>
      </c>
      <c r="I72" s="13">
        <f>'ETS Emissions'!E114</f>
        <v>73.3</v>
      </c>
      <c r="J72" s="13">
        <f>'ETS Emissions'!F114</f>
        <v>73.3</v>
      </c>
      <c r="K72" s="13">
        <f>'ETS Emissions'!G114</f>
        <v>73.3</v>
      </c>
      <c r="L72" s="13">
        <f>'ETS Emissions'!H114</f>
        <v>73.3</v>
      </c>
      <c r="M72" s="13">
        <f>'ETS Emissions'!I114</f>
        <v>73.3</v>
      </c>
      <c r="N72" s="13">
        <f>'ETS Emissions'!J114</f>
        <v>73.3</v>
      </c>
      <c r="O72" s="13">
        <f>'ETS Emissions'!K114</f>
        <v>73.3</v>
      </c>
      <c r="P72" s="13">
        <f>'ETS Emissions'!L114</f>
        <v>73.3</v>
      </c>
      <c r="Q72" s="13">
        <f>'ETS Emissions'!M114</f>
        <v>72.566999999999993</v>
      </c>
      <c r="R72" s="13">
        <f>'ETS Emissions'!N114</f>
        <v>73.3</v>
      </c>
      <c r="S72" s="13">
        <f>'ETS Emissions'!O114</f>
        <v>73.3</v>
      </c>
      <c r="T72" s="13">
        <f>'ETS Emissions'!P114</f>
        <v>73.3</v>
      </c>
      <c r="U72" s="13">
        <f>'ETS Emissions'!Q114</f>
        <v>73.3</v>
      </c>
      <c r="V72" s="13">
        <f>'ETS Emissions'!R114</f>
        <v>73.3</v>
      </c>
      <c r="W72" s="13">
        <f>'ETS Emissions'!S114</f>
        <v>73.3</v>
      </c>
      <c r="X72" s="13">
        <f>'ETS Emissions'!T114</f>
        <v>73.3</v>
      </c>
      <c r="Y72" s="13">
        <f>'ETS Emissions'!U114</f>
        <v>73.3</v>
      </c>
      <c r="Z72" s="13">
        <f>'ETS Emissions'!V114</f>
        <v>73.3</v>
      </c>
      <c r="AA72" s="13">
        <f>'ETS Emissions'!W114</f>
        <v>73.3</v>
      </c>
      <c r="AB72" s="13">
        <f>'ETS Emissions'!X114</f>
        <v>73.3</v>
      </c>
      <c r="AC72" s="13">
        <f>'ETS Emissions'!Y114</f>
        <v>73.3</v>
      </c>
      <c r="AD72" s="13">
        <f>'ETS Emissions'!Z114</f>
        <v>73.3</v>
      </c>
      <c r="AE72" s="13">
        <f>'ETS Emissions'!AA114</f>
        <v>73.3</v>
      </c>
      <c r="AF72" s="13">
        <f>'ETS Emissions'!AB114</f>
        <v>73.3</v>
      </c>
      <c r="AG72" s="13">
        <f>'ETS Emissions'!AC114</f>
        <v>73.3</v>
      </c>
      <c r="AH72" s="13">
        <f>'ETS Emissions'!AD114</f>
        <v>73.3</v>
      </c>
      <c r="AI72" s="13">
        <f>'ETS Emissions'!AE114</f>
        <v>73.3</v>
      </c>
      <c r="AJ72" s="13">
        <f>'ETS Emissions'!AF114</f>
        <v>73.3</v>
      </c>
      <c r="AK72" s="13">
        <f>'ETS Emissions'!AG114</f>
        <v>73.3</v>
      </c>
      <c r="AL72" s="13">
        <f>'ETS Emissions'!AH114</f>
        <v>73.3</v>
      </c>
      <c r="AM72" s="13">
        <f>'ETS Emissions'!AI114</f>
        <v>73.3</v>
      </c>
      <c r="AN72" s="13">
        <f>'ETS Emissions'!AJ114</f>
        <v>73.3</v>
      </c>
      <c r="AO72" s="13">
        <f>'ETS Emissions'!AK114</f>
        <v>73.3</v>
      </c>
      <c r="AP72" s="13">
        <f>'ETS Emissions'!AL114</f>
        <v>73.3</v>
      </c>
      <c r="AQ72" s="13">
        <f>'ETS Emissions'!AM114</f>
        <v>73.3</v>
      </c>
      <c r="AS72" s="12" t="s">
        <v>128</v>
      </c>
      <c r="AV72" s="9" t="str">
        <f t="shared" si="20"/>
        <v>INDNAP</v>
      </c>
      <c r="AW72" s="9" t="s">
        <v>125</v>
      </c>
    </row>
    <row r="73" spans="3:49">
      <c r="C73" s="9" t="s">
        <v>2</v>
      </c>
      <c r="E73" s="9" t="str">
        <f>'ETS Emissions'!B115</f>
        <v>INDNEU</v>
      </c>
      <c r="F73" s="21">
        <f t="shared" si="21"/>
        <v>0</v>
      </c>
      <c r="G73" s="13">
        <f>'ETS Emissions'!C115</f>
        <v>0</v>
      </c>
      <c r="H73" s="13">
        <f>'ETS Emissions'!D115</f>
        <v>0</v>
      </c>
      <c r="I73" s="13">
        <f>'ETS Emissions'!E115</f>
        <v>0</v>
      </c>
      <c r="J73" s="13">
        <f>'ETS Emissions'!F115</f>
        <v>0</v>
      </c>
      <c r="K73" s="13">
        <f>'ETS Emissions'!G115</f>
        <v>0</v>
      </c>
      <c r="L73" s="13">
        <f>'ETS Emissions'!H115</f>
        <v>0</v>
      </c>
      <c r="M73" s="13">
        <f>'ETS Emissions'!I115</f>
        <v>0</v>
      </c>
      <c r="N73" s="13">
        <f>'ETS Emissions'!J115</f>
        <v>0</v>
      </c>
      <c r="O73" s="13">
        <f>'ETS Emissions'!K115</f>
        <v>0</v>
      </c>
      <c r="P73" s="13">
        <f>'ETS Emissions'!L115</f>
        <v>0</v>
      </c>
      <c r="Q73" s="13">
        <f>'ETS Emissions'!M115</f>
        <v>0</v>
      </c>
      <c r="R73" s="13">
        <f>'ETS Emissions'!N115</f>
        <v>0</v>
      </c>
      <c r="S73" s="13">
        <f>'ETS Emissions'!O115</f>
        <v>0</v>
      </c>
      <c r="T73" s="13">
        <f>'ETS Emissions'!P115</f>
        <v>0</v>
      </c>
      <c r="U73" s="13">
        <f>'ETS Emissions'!Q115</f>
        <v>0</v>
      </c>
      <c r="V73" s="13">
        <f>'ETS Emissions'!R115</f>
        <v>0</v>
      </c>
      <c r="W73" s="13">
        <f>'ETS Emissions'!S115</f>
        <v>0</v>
      </c>
      <c r="X73" s="13">
        <f>'ETS Emissions'!T115</f>
        <v>0</v>
      </c>
      <c r="Y73" s="13">
        <f>'ETS Emissions'!U115</f>
        <v>0</v>
      </c>
      <c r="Z73" s="13">
        <f>'ETS Emissions'!V115</f>
        <v>0</v>
      </c>
      <c r="AA73" s="13">
        <f>'ETS Emissions'!W115</f>
        <v>0</v>
      </c>
      <c r="AB73" s="13">
        <f>'ETS Emissions'!X115</f>
        <v>0</v>
      </c>
      <c r="AC73" s="13">
        <f>'ETS Emissions'!Y115</f>
        <v>0</v>
      </c>
      <c r="AD73" s="13">
        <f>'ETS Emissions'!Z115</f>
        <v>0</v>
      </c>
      <c r="AE73" s="13">
        <f>'ETS Emissions'!AA115</f>
        <v>0</v>
      </c>
      <c r="AF73" s="13">
        <f>'ETS Emissions'!AB115</f>
        <v>0</v>
      </c>
      <c r="AG73" s="13">
        <f>'ETS Emissions'!AC115</f>
        <v>0</v>
      </c>
      <c r="AH73" s="13">
        <f>'ETS Emissions'!AD115</f>
        <v>0</v>
      </c>
      <c r="AI73" s="13">
        <f>'ETS Emissions'!AE115</f>
        <v>0</v>
      </c>
      <c r="AJ73" s="13">
        <f>'ETS Emissions'!AF115</f>
        <v>0</v>
      </c>
      <c r="AK73" s="13">
        <f>'ETS Emissions'!AG115</f>
        <v>0</v>
      </c>
      <c r="AL73" s="13">
        <f>'ETS Emissions'!AH115</f>
        <v>0</v>
      </c>
      <c r="AM73" s="13">
        <f>'ETS Emissions'!AI115</f>
        <v>0</v>
      </c>
      <c r="AN73" s="13">
        <f>'ETS Emissions'!AJ115</f>
        <v>0</v>
      </c>
      <c r="AO73" s="13">
        <f>'ETS Emissions'!AK115</f>
        <v>0</v>
      </c>
      <c r="AP73" s="13">
        <f>'ETS Emissions'!AL115</f>
        <v>0</v>
      </c>
      <c r="AQ73" s="13">
        <f>'ETS Emissions'!AM115</f>
        <v>0</v>
      </c>
      <c r="AS73" s="12" t="s">
        <v>128</v>
      </c>
      <c r="AV73" s="9" t="str">
        <f t="shared" si="20"/>
        <v>INDNEU</v>
      </c>
      <c r="AW73" s="9" t="s">
        <v>125</v>
      </c>
    </row>
    <row r="74" spans="3:49">
      <c r="C74" s="9" t="s">
        <v>2</v>
      </c>
      <c r="E74" s="9" t="str">
        <f>'ETS Emissions'!B116</f>
        <v>INDRFG</v>
      </c>
      <c r="F74" s="21">
        <f t="shared" si="21"/>
        <v>58.699999999999996</v>
      </c>
      <c r="G74" s="13">
        <f>'ETS Emissions'!C116</f>
        <v>60</v>
      </c>
      <c r="H74" s="13">
        <f>'ETS Emissions'!D116</f>
        <v>56.1</v>
      </c>
      <c r="I74" s="13">
        <f>'ETS Emissions'!E116</f>
        <v>60</v>
      </c>
      <c r="J74" s="13">
        <f>'ETS Emissions'!F116</f>
        <v>56.1</v>
      </c>
      <c r="K74" s="13">
        <f>'ETS Emissions'!G116</f>
        <v>56.1</v>
      </c>
      <c r="L74" s="13">
        <f>'ETS Emissions'!H116</f>
        <v>60</v>
      </c>
      <c r="M74" s="13">
        <f>'ETS Emissions'!I116</f>
        <v>60</v>
      </c>
      <c r="N74" s="13">
        <f>'ETS Emissions'!J116</f>
        <v>56.1</v>
      </c>
      <c r="O74" s="13">
        <f>'ETS Emissions'!K116</f>
        <v>56.1</v>
      </c>
      <c r="P74" s="13">
        <f>'ETS Emissions'!L116</f>
        <v>56.1</v>
      </c>
      <c r="Q74" s="13">
        <f>'ETS Emissions'!M116</f>
        <v>55.539000000000001</v>
      </c>
      <c r="R74" s="13">
        <f>'ETS Emissions'!N116</f>
        <v>56.1</v>
      </c>
      <c r="S74" s="13">
        <f>'ETS Emissions'!O116</f>
        <v>56.1</v>
      </c>
      <c r="T74" s="13">
        <f>'ETS Emissions'!P116</f>
        <v>60</v>
      </c>
      <c r="U74" s="13">
        <f>'ETS Emissions'!Q116</f>
        <v>56.1</v>
      </c>
      <c r="V74" s="13">
        <f>'ETS Emissions'!R116</f>
        <v>56.1</v>
      </c>
      <c r="W74" s="13">
        <f>'ETS Emissions'!S116</f>
        <v>56.1</v>
      </c>
      <c r="X74" s="13">
        <f>'ETS Emissions'!T116</f>
        <v>56.1</v>
      </c>
      <c r="Y74" s="13">
        <f>'ETS Emissions'!U116</f>
        <v>56.1</v>
      </c>
      <c r="Z74" s="13">
        <f>'ETS Emissions'!V116</f>
        <v>56.1</v>
      </c>
      <c r="AA74" s="13">
        <f>'ETS Emissions'!W116</f>
        <v>56.1</v>
      </c>
      <c r="AB74" s="13">
        <f>'ETS Emissions'!X116</f>
        <v>56.1</v>
      </c>
      <c r="AC74" s="13">
        <f>'ETS Emissions'!Y116</f>
        <v>56.1</v>
      </c>
      <c r="AD74" s="13">
        <f>'ETS Emissions'!Z116</f>
        <v>60</v>
      </c>
      <c r="AE74" s="13">
        <f>'ETS Emissions'!AA116</f>
        <v>56.1</v>
      </c>
      <c r="AF74" s="13">
        <f>'ETS Emissions'!AB116</f>
        <v>56.1</v>
      </c>
      <c r="AG74" s="13">
        <f>'ETS Emissions'!AC116</f>
        <v>56.1</v>
      </c>
      <c r="AH74" s="13">
        <f>'ETS Emissions'!AD116</f>
        <v>56.1</v>
      </c>
      <c r="AI74" s="13">
        <f>'ETS Emissions'!AE116</f>
        <v>60</v>
      </c>
      <c r="AJ74" s="13">
        <f>'ETS Emissions'!AF116</f>
        <v>56.1</v>
      </c>
      <c r="AK74" s="13">
        <f>'ETS Emissions'!AG116</f>
        <v>60</v>
      </c>
      <c r="AL74" s="13">
        <f>'ETS Emissions'!AH116</f>
        <v>60</v>
      </c>
      <c r="AM74" s="13">
        <f>'ETS Emissions'!AI116</f>
        <v>60</v>
      </c>
      <c r="AN74" s="13">
        <f>'ETS Emissions'!AJ116</f>
        <v>60</v>
      </c>
      <c r="AO74" s="13">
        <f>'ETS Emissions'!AK116</f>
        <v>60</v>
      </c>
      <c r="AP74" s="13">
        <f>'ETS Emissions'!AL116</f>
        <v>60</v>
      </c>
      <c r="AQ74" s="13">
        <f>'ETS Emissions'!AM116</f>
        <v>60</v>
      </c>
      <c r="AS74" s="12" t="s">
        <v>128</v>
      </c>
      <c r="AV74" s="9" t="str">
        <f t="shared" si="20"/>
        <v>INDRFG</v>
      </c>
      <c r="AW74" s="9" t="s">
        <v>125</v>
      </c>
    </row>
    <row r="75" spans="3:49">
      <c r="C75" s="9" t="s">
        <v>2</v>
      </c>
      <c r="E75" s="9" t="str">
        <f>'ETS Emissions'!B117</f>
        <v>INDSLU</v>
      </c>
      <c r="F75" s="21">
        <f t="shared" si="21"/>
        <v>58.616666666666667</v>
      </c>
      <c r="G75" s="13">
        <f>'ETS Emissions'!C117</f>
        <v>45</v>
      </c>
      <c r="H75" s="13">
        <f>'ETS Emissions'!D117</f>
        <v>85.85</v>
      </c>
      <c r="I75" s="13">
        <f>'ETS Emissions'!E117</f>
        <v>45</v>
      </c>
      <c r="J75" s="13">
        <f>'ETS Emissions'!F117</f>
        <v>85.85</v>
      </c>
      <c r="K75" s="13">
        <f>'ETS Emissions'!G117</f>
        <v>85.85</v>
      </c>
      <c r="L75" s="13">
        <f>'ETS Emissions'!H117</f>
        <v>45</v>
      </c>
      <c r="M75" s="13">
        <f>'ETS Emissions'!I117</f>
        <v>45</v>
      </c>
      <c r="N75" s="13">
        <f>'ETS Emissions'!J117</f>
        <v>85.85</v>
      </c>
      <c r="O75" s="13">
        <f>'ETS Emissions'!K117</f>
        <v>85.85</v>
      </c>
      <c r="P75" s="13">
        <f>'ETS Emissions'!L117</f>
        <v>85.85</v>
      </c>
      <c r="Q75" s="13">
        <f>'ETS Emissions'!M117</f>
        <v>74.25</v>
      </c>
      <c r="R75" s="13">
        <f>'ETS Emissions'!N117</f>
        <v>85.85</v>
      </c>
      <c r="S75" s="13">
        <f>'ETS Emissions'!O117</f>
        <v>85.85</v>
      </c>
      <c r="T75" s="13">
        <f>'ETS Emissions'!P117</f>
        <v>45</v>
      </c>
      <c r="U75" s="13">
        <f>'ETS Emissions'!Q117</f>
        <v>85.85</v>
      </c>
      <c r="V75" s="13">
        <f>'ETS Emissions'!R117</f>
        <v>85.85</v>
      </c>
      <c r="W75" s="13">
        <f>'ETS Emissions'!S117</f>
        <v>85.85</v>
      </c>
      <c r="X75" s="13">
        <f>'ETS Emissions'!T117</f>
        <v>85.85</v>
      </c>
      <c r="Y75" s="13">
        <f>'ETS Emissions'!U117</f>
        <v>85.85</v>
      </c>
      <c r="Z75" s="13">
        <f>'ETS Emissions'!V117</f>
        <v>85.85</v>
      </c>
      <c r="AA75" s="13">
        <f>'ETS Emissions'!W117</f>
        <v>85.85</v>
      </c>
      <c r="AB75" s="13">
        <f>'ETS Emissions'!X117</f>
        <v>85.85</v>
      </c>
      <c r="AC75" s="13">
        <f>'ETS Emissions'!Y117</f>
        <v>85.85</v>
      </c>
      <c r="AD75" s="13">
        <f>'ETS Emissions'!Z117</f>
        <v>45</v>
      </c>
      <c r="AE75" s="13">
        <f>'ETS Emissions'!AA117</f>
        <v>85.85</v>
      </c>
      <c r="AF75" s="13">
        <f>'ETS Emissions'!AB117</f>
        <v>85.85</v>
      </c>
      <c r="AG75" s="13">
        <f>'ETS Emissions'!AC117</f>
        <v>85.85</v>
      </c>
      <c r="AH75" s="13">
        <f>'ETS Emissions'!AD117</f>
        <v>85.85</v>
      </c>
      <c r="AI75" s="13">
        <f>'ETS Emissions'!AE117</f>
        <v>45</v>
      </c>
      <c r="AJ75" s="13">
        <f>'ETS Emissions'!AF117</f>
        <v>85.85</v>
      </c>
      <c r="AK75" s="13">
        <f>'ETS Emissions'!AG117</f>
        <v>45</v>
      </c>
      <c r="AL75" s="13">
        <f>'ETS Emissions'!AH117</f>
        <v>45</v>
      </c>
      <c r="AM75" s="13">
        <f>'ETS Emissions'!AI117</f>
        <v>45</v>
      </c>
      <c r="AN75" s="13">
        <f>'ETS Emissions'!AJ117</f>
        <v>45</v>
      </c>
      <c r="AO75" s="13">
        <f>'ETS Emissions'!AK117</f>
        <v>45</v>
      </c>
      <c r="AP75" s="13">
        <f>'ETS Emissions'!AL117</f>
        <v>45</v>
      </c>
      <c r="AQ75" s="13">
        <f>'ETS Emissions'!AM117</f>
        <v>45</v>
      </c>
      <c r="AS75" s="12" t="s">
        <v>128</v>
      </c>
      <c r="AV75" s="9" t="str">
        <f t="shared" si="20"/>
        <v>INDSLU</v>
      </c>
      <c r="AW75" s="9" t="s">
        <v>125</v>
      </c>
    </row>
    <row r="76" spans="3:49">
      <c r="C76" s="9" t="s">
        <v>127</v>
      </c>
      <c r="F76" s="21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S76" s="12"/>
    </row>
    <row r="77" spans="3:49">
      <c r="C77" s="9" t="s">
        <v>2</v>
      </c>
      <c r="E77" s="9" t="str">
        <f>'ETS Emissions'!B118</f>
        <v>SUPBIO</v>
      </c>
      <c r="F77" s="21">
        <f t="shared" si="21"/>
        <v>15</v>
      </c>
      <c r="G77" s="13">
        <f>'ETS Emissions'!C118</f>
        <v>0</v>
      </c>
      <c r="H77" s="13">
        <f>'ETS Emissions'!D118</f>
        <v>0</v>
      </c>
      <c r="I77" s="13">
        <f>'ETS Emissions'!E118</f>
        <v>0</v>
      </c>
      <c r="J77" s="13">
        <f>'ETS Emissions'!F118</f>
        <v>0</v>
      </c>
      <c r="K77" s="13">
        <f>'ETS Emissions'!G118</f>
        <v>0</v>
      </c>
      <c r="L77" s="13">
        <f>'ETS Emissions'!H118</f>
        <v>0</v>
      </c>
      <c r="M77" s="13">
        <f>'ETS Emissions'!I118</f>
        <v>0</v>
      </c>
      <c r="N77" s="13">
        <f>'ETS Emissions'!J118</f>
        <v>0</v>
      </c>
      <c r="O77" s="13">
        <f>'ETS Emissions'!K118</f>
        <v>0</v>
      </c>
      <c r="P77" s="13">
        <f>'ETS Emissions'!L118</f>
        <v>0</v>
      </c>
      <c r="Q77" s="13">
        <f>'ETS Emissions'!M118</f>
        <v>0</v>
      </c>
      <c r="R77" s="13">
        <f>'ETS Emissions'!N118</f>
        <v>0</v>
      </c>
      <c r="S77" s="13">
        <f>'ETS Emissions'!O118</f>
        <v>0</v>
      </c>
      <c r="T77" s="13">
        <f>'ETS Emissions'!P118</f>
        <v>0</v>
      </c>
      <c r="U77" s="13">
        <f>'ETS Emissions'!Q118</f>
        <v>0</v>
      </c>
      <c r="V77" s="13">
        <f>'ETS Emissions'!R118</f>
        <v>0</v>
      </c>
      <c r="W77" s="13">
        <f>'ETS Emissions'!S118</f>
        <v>0</v>
      </c>
      <c r="X77" s="13">
        <f>'ETS Emissions'!T118</f>
        <v>0</v>
      </c>
      <c r="Y77" s="13">
        <f>'ETS Emissions'!U118</f>
        <v>0</v>
      </c>
      <c r="Z77" s="13">
        <f>'ETS Emissions'!V118</f>
        <v>0</v>
      </c>
      <c r="AA77" s="13">
        <f>'ETS Emissions'!W118</f>
        <v>0</v>
      </c>
      <c r="AB77" s="13">
        <f>'ETS Emissions'!X118</f>
        <v>0</v>
      </c>
      <c r="AC77" s="13">
        <f>'ETS Emissions'!Y118</f>
        <v>0</v>
      </c>
      <c r="AD77" s="13">
        <f>'ETS Emissions'!Z118</f>
        <v>45</v>
      </c>
      <c r="AE77" s="13">
        <f>'ETS Emissions'!AA118</f>
        <v>0</v>
      </c>
      <c r="AF77" s="13">
        <f>'ETS Emissions'!AB118</f>
        <v>85.85</v>
      </c>
      <c r="AG77" s="13">
        <f>'ETS Emissions'!AC118</f>
        <v>0</v>
      </c>
      <c r="AH77" s="13">
        <f>'ETS Emissions'!AD118</f>
        <v>0</v>
      </c>
      <c r="AI77" s="13">
        <f>'ETS Emissions'!AE118</f>
        <v>0</v>
      </c>
      <c r="AJ77" s="13">
        <f>'ETS Emissions'!AF118</f>
        <v>0</v>
      </c>
      <c r="AK77" s="13">
        <f>'ETS Emissions'!AG118</f>
        <v>0</v>
      </c>
      <c r="AL77" s="13">
        <f>'ETS Emissions'!AH118</f>
        <v>0</v>
      </c>
      <c r="AM77" s="13">
        <f>'ETS Emissions'!AI118</f>
        <v>0</v>
      </c>
      <c r="AN77" s="13">
        <f>'ETS Emissions'!AJ118</f>
        <v>0</v>
      </c>
      <c r="AO77" s="13">
        <f>'ETS Emissions'!AK118</f>
        <v>0</v>
      </c>
      <c r="AP77" s="13">
        <f>'ETS Emissions'!AL118</f>
        <v>0</v>
      </c>
      <c r="AQ77" s="13">
        <f>'ETS Emissions'!AM118</f>
        <v>0</v>
      </c>
      <c r="AS77" s="12" t="s">
        <v>126</v>
      </c>
      <c r="AV77" s="9" t="str">
        <f t="shared" ref="AV77:AV81" si="22">E77</f>
        <v>SUPBIO</v>
      </c>
      <c r="AW77" s="9" t="s">
        <v>125</v>
      </c>
    </row>
    <row r="78" spans="3:49">
      <c r="C78" s="9" t="s">
        <v>2</v>
      </c>
      <c r="E78" s="9" t="str">
        <f>'ETS Emissions'!B119</f>
        <v>SUPCOA</v>
      </c>
      <c r="F78" s="21">
        <f t="shared" si="21"/>
        <v>103.73923472677266</v>
      </c>
      <c r="G78" s="13">
        <f>'ETS Emissions'!C119</f>
        <v>108.2</v>
      </c>
      <c r="H78" s="13">
        <f>'ETS Emissions'!D119</f>
        <v>98.3</v>
      </c>
      <c r="I78" s="13">
        <f>'ETS Emissions'!E119</f>
        <v>108.32</v>
      </c>
      <c r="J78" s="13">
        <f>'ETS Emissions'!F119</f>
        <v>98.3</v>
      </c>
      <c r="K78" s="13">
        <f>'ETS Emissions'!G119</f>
        <v>98.3</v>
      </c>
      <c r="L78" s="13">
        <f>'ETS Emissions'!H119</f>
        <v>108.26315789473701</v>
      </c>
      <c r="M78" s="13">
        <f>'ETS Emissions'!I119</f>
        <v>108.7113243762</v>
      </c>
      <c r="N78" s="13">
        <f>'ETS Emissions'!J119</f>
        <v>98.3</v>
      </c>
      <c r="O78" s="13">
        <f>'ETS Emissions'!K119</f>
        <v>101.2</v>
      </c>
      <c r="P78" s="13">
        <f>'ETS Emissions'!L119</f>
        <v>106.99</v>
      </c>
      <c r="Q78" s="13">
        <f>'ETS Emissions'!M119</f>
        <v>98.3</v>
      </c>
      <c r="R78" s="13">
        <f>'ETS Emissions'!N119</f>
        <v>107.542417582418</v>
      </c>
      <c r="S78" s="13">
        <f>'ETS Emissions'!O119</f>
        <v>98.3</v>
      </c>
      <c r="T78" s="13">
        <f>'ETS Emissions'!P119</f>
        <v>108.317073170732</v>
      </c>
      <c r="U78" s="13">
        <f>'ETS Emissions'!Q119</f>
        <v>101.2</v>
      </c>
      <c r="V78" s="13">
        <f>'ETS Emissions'!R119</f>
        <v>98.3</v>
      </c>
      <c r="W78" s="13">
        <f>'ETS Emissions'!S119</f>
        <v>98.704832713754598</v>
      </c>
      <c r="X78" s="13">
        <f>'ETS Emissions'!T119</f>
        <v>98.3</v>
      </c>
      <c r="Y78" s="13">
        <f>'ETS Emissions'!U119</f>
        <v>98.3</v>
      </c>
      <c r="Z78" s="13">
        <f>'ETS Emissions'!V119</f>
        <v>98.3</v>
      </c>
      <c r="AA78" s="13">
        <f>'ETS Emissions'!W119</f>
        <v>98.3</v>
      </c>
      <c r="AB78" s="13">
        <f>'ETS Emissions'!X119</f>
        <v>108.2</v>
      </c>
      <c r="AC78" s="13">
        <f>'ETS Emissions'!Y119</f>
        <v>98.3</v>
      </c>
      <c r="AD78" s="13">
        <f>'ETS Emissions'!Z119</f>
        <v>104.679406307978</v>
      </c>
      <c r="AE78" s="13">
        <f>'ETS Emissions'!AA119</f>
        <v>98.3</v>
      </c>
      <c r="AF78" s="13">
        <f>'ETS Emissions'!AB119</f>
        <v>107.905494505495</v>
      </c>
      <c r="AG78" s="13">
        <f>'ETS Emissions'!AC119</f>
        <v>108.2</v>
      </c>
      <c r="AH78" s="13">
        <f>'ETS Emissions'!AD119</f>
        <v>98.3</v>
      </c>
      <c r="AI78" s="13">
        <f>'ETS Emissions'!AE119</f>
        <v>108.23829787234</v>
      </c>
      <c r="AJ78" s="13">
        <f>'ETS Emissions'!AF119</f>
        <v>108.09060773480699</v>
      </c>
      <c r="AK78" s="13">
        <f>'ETS Emissions'!AG119</f>
        <v>95</v>
      </c>
      <c r="AL78" s="13">
        <f>'ETS Emissions'!AH119</f>
        <v>95</v>
      </c>
      <c r="AM78" s="13">
        <f>'ETS Emissions'!AI119</f>
        <v>95</v>
      </c>
      <c r="AN78" s="13">
        <f>'ETS Emissions'!AJ119</f>
        <v>95</v>
      </c>
      <c r="AO78" s="13">
        <f>'ETS Emissions'!AK119</f>
        <v>95</v>
      </c>
      <c r="AP78" s="13">
        <f>'ETS Emissions'!AL119</f>
        <v>95</v>
      </c>
      <c r="AQ78" s="13">
        <f>'ETS Emissions'!AM119</f>
        <v>95</v>
      </c>
      <c r="AS78" s="12" t="s">
        <v>126</v>
      </c>
      <c r="AV78" s="9" t="str">
        <f t="shared" si="22"/>
        <v>SUPCOA</v>
      </c>
      <c r="AW78" s="9" t="s">
        <v>125</v>
      </c>
    </row>
    <row r="79" spans="3:49">
      <c r="C79" s="9" t="s">
        <v>2</v>
      </c>
      <c r="E79" s="9" t="str">
        <f>'ETS Emissions'!B121</f>
        <v>SUPGAS</v>
      </c>
      <c r="F79" s="21">
        <f t="shared" si="21"/>
        <v>0</v>
      </c>
      <c r="G79" s="13">
        <f>'ETS Emissions'!C121</f>
        <v>0</v>
      </c>
      <c r="H79" s="13">
        <f>'ETS Emissions'!D121</f>
        <v>0</v>
      </c>
      <c r="I79" s="13">
        <f>'ETS Emissions'!E121</f>
        <v>0</v>
      </c>
      <c r="J79" s="13">
        <f>'ETS Emissions'!F121</f>
        <v>0</v>
      </c>
      <c r="K79" s="13">
        <f>'ETS Emissions'!G121</f>
        <v>0</v>
      </c>
      <c r="L79" s="13">
        <f>'ETS Emissions'!H121</f>
        <v>3.4874999999999998</v>
      </c>
      <c r="M79" s="13">
        <f>'ETS Emissions'!I121</f>
        <v>0</v>
      </c>
      <c r="N79" s="13">
        <f>'ETS Emissions'!J121</f>
        <v>0</v>
      </c>
      <c r="O79" s="13">
        <f>'ETS Emissions'!K121</f>
        <v>0</v>
      </c>
      <c r="P79" s="13">
        <f>'ETS Emissions'!L121</f>
        <v>0</v>
      </c>
      <c r="Q79" s="13">
        <f>'ETS Emissions'!M121</f>
        <v>0</v>
      </c>
      <c r="R79" s="13">
        <f>'ETS Emissions'!N121</f>
        <v>0</v>
      </c>
      <c r="S79" s="13">
        <f>'ETS Emissions'!O121</f>
        <v>0</v>
      </c>
      <c r="T79" s="13">
        <f>'ETS Emissions'!P121</f>
        <v>0</v>
      </c>
      <c r="U79" s="13">
        <f>'ETS Emissions'!Q121</f>
        <v>0</v>
      </c>
      <c r="V79" s="13">
        <f>'ETS Emissions'!R121</f>
        <v>0</v>
      </c>
      <c r="W79" s="13">
        <f>'ETS Emissions'!S121</f>
        <v>0</v>
      </c>
      <c r="X79" s="13">
        <f>'ETS Emissions'!T121</f>
        <v>0</v>
      </c>
      <c r="Y79" s="13">
        <f>'ETS Emissions'!U121</f>
        <v>0</v>
      </c>
      <c r="Z79" s="13">
        <f>'ETS Emissions'!V121</f>
        <v>0</v>
      </c>
      <c r="AA79" s="13">
        <f>'ETS Emissions'!W121</f>
        <v>0</v>
      </c>
      <c r="AB79" s="13">
        <f>'ETS Emissions'!X121</f>
        <v>0</v>
      </c>
      <c r="AC79" s="13">
        <f>'ETS Emissions'!Y121</f>
        <v>0</v>
      </c>
      <c r="AD79" s="13">
        <f>'ETS Emissions'!Z121</f>
        <v>0</v>
      </c>
      <c r="AE79" s="13">
        <f>'ETS Emissions'!AA121</f>
        <v>0</v>
      </c>
      <c r="AF79" s="13">
        <f>'ETS Emissions'!AB121</f>
        <v>0</v>
      </c>
      <c r="AG79" s="13">
        <f>'ETS Emissions'!AC121</f>
        <v>37.4</v>
      </c>
      <c r="AH79" s="13">
        <f>'ETS Emissions'!AD121</f>
        <v>0</v>
      </c>
      <c r="AI79" s="13">
        <f>'ETS Emissions'!AE121</f>
        <v>0</v>
      </c>
      <c r="AJ79" s="13">
        <f>'ETS Emissions'!AF121</f>
        <v>0</v>
      </c>
      <c r="AK79" s="13">
        <f>'ETS Emissions'!AG121</f>
        <v>0</v>
      </c>
      <c r="AL79" s="13">
        <f>'ETS Emissions'!AH121</f>
        <v>0</v>
      </c>
      <c r="AM79" s="13">
        <f>'ETS Emissions'!AI121</f>
        <v>0</v>
      </c>
      <c r="AN79" s="13">
        <f>'ETS Emissions'!AJ121</f>
        <v>0</v>
      </c>
      <c r="AO79" s="13">
        <f>'ETS Emissions'!AK121</f>
        <v>0</v>
      </c>
      <c r="AP79" s="13">
        <f>'ETS Emissions'!AL121</f>
        <v>0</v>
      </c>
      <c r="AQ79" s="13">
        <f>'ETS Emissions'!AM121</f>
        <v>0</v>
      </c>
      <c r="AS79" s="12" t="s">
        <v>126</v>
      </c>
      <c r="AV79" s="9" t="str">
        <f t="shared" si="22"/>
        <v>SUPGAS</v>
      </c>
      <c r="AW79" s="9" t="s">
        <v>125</v>
      </c>
    </row>
    <row r="80" spans="3:49">
      <c r="C80" s="9" t="s">
        <v>2</v>
      </c>
      <c r="E80" s="9" t="str">
        <f>'ETS Emissions'!B122</f>
        <v>SUPRPG</v>
      </c>
      <c r="F80" s="21">
        <f t="shared" si="21"/>
        <v>59.053429505781729</v>
      </c>
      <c r="G80" s="13">
        <f>'ETS Emissions'!C122</f>
        <v>60.590809628008799</v>
      </c>
      <c r="H80" s="13">
        <f>'ETS Emissions'!D122</f>
        <v>56.420987654321003</v>
      </c>
      <c r="I80" s="13">
        <f>'ETS Emissions'!E122</f>
        <v>65.064686346727598</v>
      </c>
      <c r="J80" s="13">
        <f>'ETS Emissions'!F122</f>
        <v>70.986937173770997</v>
      </c>
      <c r="K80" s="13">
        <f>'ETS Emissions'!G122</f>
        <v>56.1</v>
      </c>
      <c r="L80" s="13">
        <f>'ETS Emissions'!H122</f>
        <v>60</v>
      </c>
      <c r="M80" s="13">
        <f>'ETS Emissions'!I122</f>
        <v>60.541943131050701</v>
      </c>
      <c r="N80" s="13">
        <f>'ETS Emissions'!J122</f>
        <v>57.5200245996595</v>
      </c>
      <c r="O80" s="13">
        <f>'ETS Emissions'!K122</f>
        <v>56.1</v>
      </c>
      <c r="P80" s="13">
        <f>'ETS Emissions'!L122</f>
        <v>56.1</v>
      </c>
      <c r="Q80" s="13">
        <f>'ETS Emissions'!M122</f>
        <v>56.1</v>
      </c>
      <c r="R80" s="13">
        <f>'ETS Emissions'!N122</f>
        <v>56.4709727632778</v>
      </c>
      <c r="S80" s="13">
        <f>'ETS Emissions'!O122</f>
        <v>56.772082717872998</v>
      </c>
      <c r="T80" s="13">
        <f>'ETS Emissions'!P122</f>
        <v>60</v>
      </c>
      <c r="U80" s="13">
        <f>'ETS Emissions'!Q122</f>
        <v>56.582758620689702</v>
      </c>
      <c r="V80" s="13">
        <f>'ETS Emissions'!R122</f>
        <v>56.1</v>
      </c>
      <c r="W80" s="13">
        <f>'ETS Emissions'!S122</f>
        <v>56.8468682967167</v>
      </c>
      <c r="X80" s="13">
        <f>'ETS Emissions'!T122</f>
        <v>56.1</v>
      </c>
      <c r="Y80" s="13">
        <f>'ETS Emissions'!U122</f>
        <v>56.1</v>
      </c>
      <c r="Z80" s="13">
        <f>'ETS Emissions'!V122</f>
        <v>56.1</v>
      </c>
      <c r="AA80" s="13">
        <f>'ETS Emissions'!W122</f>
        <v>56.1</v>
      </c>
      <c r="AB80" s="13">
        <f>'ETS Emissions'!X122</f>
        <v>69.417060754821094</v>
      </c>
      <c r="AC80" s="13">
        <f>'ETS Emissions'!Y122</f>
        <v>56.269014084506999</v>
      </c>
      <c r="AD80" s="13">
        <f>'ETS Emissions'!Z122</f>
        <v>60</v>
      </c>
      <c r="AE80" s="13">
        <f>'ETS Emissions'!AA122</f>
        <v>63.1</v>
      </c>
      <c r="AF80" s="13">
        <f>'ETS Emissions'!AB122</f>
        <v>56.301040512691102</v>
      </c>
      <c r="AG80" s="13">
        <f>'ETS Emissions'!AC122</f>
        <v>56.1</v>
      </c>
      <c r="AH80" s="13">
        <f>'ETS Emissions'!AD122</f>
        <v>56.1</v>
      </c>
      <c r="AI80" s="13">
        <f>'ETS Emissions'!AE122</f>
        <v>61.060288517345199</v>
      </c>
      <c r="AJ80" s="13">
        <f>'ETS Emissions'!AF122</f>
        <v>56.189090909090901</v>
      </c>
      <c r="AK80" s="13">
        <f>'ETS Emissions'!AG122</f>
        <v>60</v>
      </c>
      <c r="AL80" s="13">
        <f>'ETS Emissions'!AH122</f>
        <v>60</v>
      </c>
      <c r="AM80" s="13">
        <f>'ETS Emissions'!AI122</f>
        <v>60.167692806221702</v>
      </c>
      <c r="AN80" s="13">
        <f>'ETS Emissions'!AJ122</f>
        <v>60</v>
      </c>
      <c r="AO80" s="13">
        <f>'ETS Emissions'!AK122</f>
        <v>60</v>
      </c>
      <c r="AP80" s="13">
        <f>'ETS Emissions'!AL122</f>
        <v>60</v>
      </c>
      <c r="AQ80" s="13">
        <f>'ETS Emissions'!AM122</f>
        <v>60</v>
      </c>
      <c r="AS80" s="12" t="s">
        <v>126</v>
      </c>
      <c r="AV80" s="9" t="str">
        <f t="shared" si="22"/>
        <v>SUPRPG</v>
      </c>
      <c r="AW80" s="9" t="s">
        <v>125</v>
      </c>
    </row>
    <row r="81" spans="2:49">
      <c r="C81" s="9" t="s">
        <v>2</v>
      </c>
      <c r="E81" s="9" t="str">
        <f>'ETS Emissions'!B123</f>
        <v>SUPRPP</v>
      </c>
      <c r="F81" s="21">
        <f t="shared" si="21"/>
        <v>172.20319204400502</v>
      </c>
      <c r="G81" s="13">
        <f>'ETS Emissions'!C123</f>
        <v>85.122384570224497</v>
      </c>
      <c r="H81" s="13">
        <f>'ETS Emissions'!D123</f>
        <v>89.602608746831294</v>
      </c>
      <c r="I81" s="13">
        <f>'ETS Emissions'!E123</f>
        <v>78</v>
      </c>
      <c r="J81" s="13">
        <f>'ETS Emissions'!F123</f>
        <v>111.147661417953</v>
      </c>
      <c r="K81" s="13">
        <f>'ETS Emissions'!G123</f>
        <v>77.400000000000006</v>
      </c>
      <c r="L81" s="13">
        <f>'ETS Emissions'!H123</f>
        <v>119.43410312994899</v>
      </c>
      <c r="M81" s="13">
        <f>'ETS Emissions'!I123</f>
        <v>88.399165449363807</v>
      </c>
      <c r="N81" s="13">
        <f>'ETS Emissions'!J123</f>
        <v>105.46933590413801</v>
      </c>
      <c r="O81" s="13">
        <f>'ETS Emissions'!K123</f>
        <v>74.512500000000003</v>
      </c>
      <c r="P81" s="13">
        <f>'ETS Emissions'!L123</f>
        <v>76.193411964837907</v>
      </c>
      <c r="Q81" s="13">
        <f>'ETS Emissions'!M123</f>
        <v>273.60941439263399</v>
      </c>
      <c r="R81" s="13">
        <f>'ETS Emissions'!N123</f>
        <v>80.498436314051901</v>
      </c>
      <c r="S81" s="13">
        <f>'ETS Emissions'!O123</f>
        <v>94.644898043641106</v>
      </c>
      <c r="T81" s="13">
        <f>'ETS Emissions'!P123</f>
        <v>85.558701610646906</v>
      </c>
      <c r="U81" s="13">
        <f>'ETS Emissions'!Q123</f>
        <v>76.834285714285699</v>
      </c>
      <c r="V81" s="13">
        <f>'ETS Emissions'!R123</f>
        <v>77.400000000000006</v>
      </c>
      <c r="W81" s="13">
        <f>'ETS Emissions'!S123</f>
        <v>78.024480038737593</v>
      </c>
      <c r="X81" s="13">
        <f>'ETS Emissions'!T123</f>
        <v>118.82317834285701</v>
      </c>
      <c r="Y81" s="13">
        <f>'ETS Emissions'!U123</f>
        <v>77.400000000000006</v>
      </c>
      <c r="Z81" s="13">
        <f>'ETS Emissions'!V123</f>
        <v>77.400000000000006</v>
      </c>
      <c r="AA81" s="13">
        <f>'ETS Emissions'!W123</f>
        <v>77.400000000000006</v>
      </c>
      <c r="AB81" s="13">
        <f>'ETS Emissions'!X123</f>
        <v>102.699962201227</v>
      </c>
      <c r="AC81" s="13">
        <f>'ETS Emissions'!Y123</f>
        <v>74.099999999999994</v>
      </c>
      <c r="AD81" s="13">
        <f>'ETS Emissions'!Z123</f>
        <v>197.80864152838001</v>
      </c>
      <c r="AE81" s="13">
        <f>'ETS Emissions'!AA123</f>
        <v>75.500668151447698</v>
      </c>
      <c r="AF81" s="13">
        <f>'ETS Emissions'!AB123</f>
        <v>76.806475247149194</v>
      </c>
      <c r="AG81" s="13">
        <f>'ETS Emissions'!AC123</f>
        <v>173.83887312687301</v>
      </c>
      <c r="AH81" s="13">
        <f>'ETS Emissions'!AD123</f>
        <v>77.400000000000006</v>
      </c>
      <c r="AI81" s="13">
        <f>'ETS Emissions'!AE123</f>
        <v>241.40093460363499</v>
      </c>
      <c r="AJ81" s="13">
        <f>'ETS Emissions'!AF123</f>
        <v>80.323204755784005</v>
      </c>
      <c r="AK81" s="13">
        <f>'ETS Emissions'!AG123</f>
        <v>78</v>
      </c>
      <c r="AL81" s="13">
        <f>'ETS Emissions'!AH123</f>
        <v>74</v>
      </c>
      <c r="AM81" s="13">
        <f>'ETS Emissions'!AI123</f>
        <v>78.291973111901896</v>
      </c>
      <c r="AN81" s="13">
        <f>'ETS Emissions'!AJ123</f>
        <v>78</v>
      </c>
      <c r="AO81" s="13">
        <f>'ETS Emissions'!AK123</f>
        <v>78</v>
      </c>
      <c r="AP81" s="13">
        <f>'ETS Emissions'!AL123</f>
        <v>78</v>
      </c>
      <c r="AQ81" s="13">
        <f>'ETS Emissions'!AM123</f>
        <v>78</v>
      </c>
      <c r="AS81" s="12" t="s">
        <v>126</v>
      </c>
      <c r="AV81" s="9" t="str">
        <f t="shared" si="22"/>
        <v>SUPRPP</v>
      </c>
      <c r="AW81" s="9" t="s">
        <v>125</v>
      </c>
    </row>
    <row r="83" spans="2:49">
      <c r="C83" s="9" t="s">
        <v>146</v>
      </c>
    </row>
    <row r="86" spans="2:49">
      <c r="B86" s="11" t="s">
        <v>124</v>
      </c>
    </row>
    <row r="87" spans="2:49" ht="15" thickBot="1">
      <c r="B87" s="9" t="s">
        <v>123</v>
      </c>
      <c r="C87" s="9" t="s">
        <v>102</v>
      </c>
      <c r="D87" s="9" t="s">
        <v>101</v>
      </c>
      <c r="E87" s="9" t="s">
        <v>100</v>
      </c>
      <c r="F87" s="9" t="s">
        <v>99</v>
      </c>
      <c r="G87" s="9" t="s">
        <v>98</v>
      </c>
      <c r="H87" s="9" t="s">
        <v>97</v>
      </c>
      <c r="I87" s="9" t="s">
        <v>96</v>
      </c>
      <c r="J87" s="9" t="s">
        <v>95</v>
      </c>
      <c r="K87" s="9" t="s">
        <v>94</v>
      </c>
      <c r="L87" s="9" t="s">
        <v>93</v>
      </c>
      <c r="M87" s="9" t="s">
        <v>92</v>
      </c>
      <c r="N87" s="9" t="s">
        <v>91</v>
      </c>
      <c r="O87" s="9" t="s">
        <v>312</v>
      </c>
      <c r="P87" s="9" t="s">
        <v>90</v>
      </c>
      <c r="Q87" s="9" t="s">
        <v>89</v>
      </c>
      <c r="R87" s="9" t="s">
        <v>88</v>
      </c>
      <c r="S87" s="9" t="s">
        <v>87</v>
      </c>
      <c r="T87" s="9" t="s">
        <v>86</v>
      </c>
      <c r="U87" s="9" t="s">
        <v>85</v>
      </c>
      <c r="V87" s="9" t="s">
        <v>84</v>
      </c>
      <c r="W87" s="9" t="s">
        <v>83</v>
      </c>
      <c r="X87" s="9" t="s">
        <v>82</v>
      </c>
      <c r="Y87" s="9" t="s">
        <v>81</v>
      </c>
      <c r="Z87" s="9" t="s">
        <v>80</v>
      </c>
      <c r="AA87" s="9" t="s">
        <v>79</v>
      </c>
      <c r="AB87" s="9" t="s">
        <v>78</v>
      </c>
      <c r="AC87" s="9" t="s">
        <v>77</v>
      </c>
      <c r="AD87" s="9" t="s">
        <v>76</v>
      </c>
      <c r="AE87" s="9" t="s">
        <v>75</v>
      </c>
      <c r="AF87" s="9" t="s">
        <v>74</v>
      </c>
      <c r="AG87" s="18" t="s">
        <v>152</v>
      </c>
      <c r="AH87" s="18" t="s">
        <v>153</v>
      </c>
      <c r="AI87" s="18" t="s">
        <v>154</v>
      </c>
      <c r="AJ87" s="18" t="s">
        <v>155</v>
      </c>
      <c r="AK87" s="18" t="s">
        <v>156</v>
      </c>
      <c r="AL87" s="18" t="s">
        <v>157</v>
      </c>
      <c r="AM87" s="18" t="s">
        <v>158</v>
      </c>
    </row>
    <row r="88" spans="2:49">
      <c r="B88" s="9" t="s">
        <v>14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</row>
    <row r="89" spans="2:49">
      <c r="B89" s="9" t="s">
        <v>4</v>
      </c>
      <c r="C89" s="10">
        <v>95</v>
      </c>
      <c r="D89" s="10">
        <v>98.3</v>
      </c>
      <c r="E89" s="10">
        <v>98.3</v>
      </c>
      <c r="F89" s="10">
        <v>98.3</v>
      </c>
      <c r="G89" s="10">
        <v>98.3</v>
      </c>
      <c r="H89" s="10">
        <v>95</v>
      </c>
      <c r="I89" s="10">
        <v>98.3</v>
      </c>
      <c r="J89" s="10">
        <v>98.3</v>
      </c>
      <c r="K89" s="10">
        <v>98.3</v>
      </c>
      <c r="L89" s="10">
        <v>98.3</v>
      </c>
      <c r="M89" s="10">
        <v>98.3</v>
      </c>
      <c r="N89" s="10">
        <v>98.3</v>
      </c>
      <c r="O89" s="10">
        <v>98.3</v>
      </c>
      <c r="P89" s="10">
        <v>95</v>
      </c>
      <c r="Q89" s="10">
        <v>98.3</v>
      </c>
      <c r="R89" s="10">
        <v>98.3</v>
      </c>
      <c r="S89" s="10">
        <v>98.3</v>
      </c>
      <c r="T89" s="10">
        <v>98.3</v>
      </c>
      <c r="U89" s="10">
        <v>98.3</v>
      </c>
      <c r="V89" s="10">
        <v>98.3</v>
      </c>
      <c r="W89" s="10">
        <v>98.3</v>
      </c>
      <c r="X89" s="10">
        <v>98.3</v>
      </c>
      <c r="Y89" s="10">
        <v>98.3</v>
      </c>
      <c r="Z89" s="10">
        <v>95</v>
      </c>
      <c r="AA89" s="10">
        <v>98.3</v>
      </c>
      <c r="AB89" s="10">
        <v>98.3</v>
      </c>
      <c r="AC89" s="10">
        <v>98.3</v>
      </c>
      <c r="AD89" s="10">
        <v>98.3</v>
      </c>
      <c r="AE89" s="10">
        <v>95</v>
      </c>
      <c r="AF89" s="10">
        <v>98.3</v>
      </c>
      <c r="AG89" s="10">
        <v>98.3</v>
      </c>
      <c r="AH89" s="10">
        <v>98.3</v>
      </c>
      <c r="AI89" s="10">
        <v>98.3</v>
      </c>
      <c r="AJ89" s="10">
        <v>98.3</v>
      </c>
      <c r="AK89" s="10">
        <v>98.3</v>
      </c>
      <c r="AL89" s="10">
        <v>98.3</v>
      </c>
      <c r="AM89" s="10">
        <v>98.3</v>
      </c>
    </row>
    <row r="90" spans="2:49">
      <c r="B90" s="9" t="s">
        <v>5</v>
      </c>
      <c r="C90" s="10">
        <v>110.6</v>
      </c>
      <c r="D90" s="10">
        <v>101.2</v>
      </c>
      <c r="E90" s="10">
        <v>101.2</v>
      </c>
      <c r="F90" s="10">
        <v>101.2</v>
      </c>
      <c r="G90" s="10">
        <v>101.2</v>
      </c>
      <c r="H90" s="10">
        <v>110.6</v>
      </c>
      <c r="I90" s="10">
        <v>101.2</v>
      </c>
      <c r="J90" s="10">
        <v>101.2</v>
      </c>
      <c r="K90" s="10">
        <v>101.2</v>
      </c>
      <c r="L90" s="10">
        <v>101.2</v>
      </c>
      <c r="M90" s="10">
        <v>101.2</v>
      </c>
      <c r="N90" s="10">
        <v>101.2</v>
      </c>
      <c r="O90" s="10">
        <v>101.2</v>
      </c>
      <c r="P90" s="10">
        <v>110.6</v>
      </c>
      <c r="Q90" s="10">
        <v>101.2</v>
      </c>
      <c r="R90" s="10">
        <v>101.2</v>
      </c>
      <c r="S90" s="10">
        <v>101.2</v>
      </c>
      <c r="T90" s="10">
        <v>101.2</v>
      </c>
      <c r="U90" s="10">
        <v>101.2</v>
      </c>
      <c r="V90" s="10">
        <v>101.2</v>
      </c>
      <c r="W90" s="10">
        <v>101.2</v>
      </c>
      <c r="X90" s="10">
        <v>101.2</v>
      </c>
      <c r="Y90" s="10">
        <v>101.2</v>
      </c>
      <c r="Z90" s="10">
        <v>110.6</v>
      </c>
      <c r="AA90" s="10">
        <v>101.2</v>
      </c>
      <c r="AB90" s="10">
        <v>101.2</v>
      </c>
      <c r="AC90" s="10">
        <v>101.2</v>
      </c>
      <c r="AD90" s="10">
        <v>101.2</v>
      </c>
      <c r="AE90" s="10">
        <v>110.6</v>
      </c>
      <c r="AF90" s="10">
        <v>101.2</v>
      </c>
      <c r="AG90" s="10">
        <v>101.2</v>
      </c>
      <c r="AH90" s="10">
        <v>101.2</v>
      </c>
      <c r="AI90" s="10">
        <v>101.2</v>
      </c>
      <c r="AJ90" s="10">
        <v>101.2</v>
      </c>
      <c r="AK90" s="10">
        <v>101.2</v>
      </c>
      <c r="AL90" s="10">
        <v>101.2</v>
      </c>
      <c r="AM90" s="10">
        <v>101.2</v>
      </c>
    </row>
    <row r="91" spans="2:49">
      <c r="B91" s="9" t="s">
        <v>12</v>
      </c>
      <c r="C91" s="10">
        <v>108.2</v>
      </c>
      <c r="D91" s="10">
        <v>108.2</v>
      </c>
      <c r="E91" s="10">
        <v>108.2</v>
      </c>
      <c r="F91" s="10">
        <v>108.2</v>
      </c>
      <c r="G91" s="10">
        <v>108.2</v>
      </c>
      <c r="H91" s="10">
        <v>108.2</v>
      </c>
      <c r="I91" s="10">
        <v>108.2</v>
      </c>
      <c r="J91" s="10">
        <v>108.2</v>
      </c>
      <c r="K91" s="10">
        <v>108.2</v>
      </c>
      <c r="L91" s="10">
        <v>108.2</v>
      </c>
      <c r="M91" s="10">
        <v>108.2</v>
      </c>
      <c r="N91" s="10">
        <v>108.2</v>
      </c>
      <c r="O91" s="10">
        <v>108.2</v>
      </c>
      <c r="P91" s="10">
        <v>108.2</v>
      </c>
      <c r="Q91" s="10">
        <v>108.2</v>
      </c>
      <c r="R91" s="10">
        <v>108.2</v>
      </c>
      <c r="S91" s="10">
        <v>108.2</v>
      </c>
      <c r="T91" s="10">
        <v>108.2</v>
      </c>
      <c r="U91" s="10">
        <v>108.2</v>
      </c>
      <c r="V91" s="10">
        <v>108.2</v>
      </c>
      <c r="W91" s="10">
        <v>108.2</v>
      </c>
      <c r="X91" s="10">
        <v>108.2</v>
      </c>
      <c r="Y91" s="10">
        <v>108.2</v>
      </c>
      <c r="Z91" s="10">
        <v>108.2</v>
      </c>
      <c r="AA91" s="10">
        <v>108.2</v>
      </c>
      <c r="AB91" s="10">
        <v>108.2</v>
      </c>
      <c r="AC91" s="10">
        <v>108.2</v>
      </c>
      <c r="AD91" s="10">
        <v>108.2</v>
      </c>
      <c r="AE91" s="10">
        <v>108.2</v>
      </c>
      <c r="AF91" s="10">
        <v>108.2</v>
      </c>
      <c r="AG91" s="10">
        <v>108.2</v>
      </c>
      <c r="AH91" s="10">
        <v>108.2</v>
      </c>
      <c r="AI91" s="10">
        <v>108.2</v>
      </c>
      <c r="AJ91" s="10">
        <v>108.2</v>
      </c>
      <c r="AK91" s="10">
        <v>108.2</v>
      </c>
      <c r="AL91" s="10">
        <v>108.2</v>
      </c>
      <c r="AM91" s="10">
        <v>108.2</v>
      </c>
    </row>
    <row r="92" spans="2:49">
      <c r="B92" s="9" t="s">
        <v>122</v>
      </c>
      <c r="C92" s="10">
        <v>66.4201388888889</v>
      </c>
      <c r="D92" s="10">
        <v>66.4201388888889</v>
      </c>
      <c r="E92" s="10">
        <v>66.4201388888889</v>
      </c>
      <c r="F92" s="10">
        <v>66.4201388888889</v>
      </c>
      <c r="G92" s="10">
        <v>66.4201388888889</v>
      </c>
      <c r="H92" s="10">
        <v>66.4201388888889</v>
      </c>
      <c r="I92" s="10">
        <v>66.4201388888889</v>
      </c>
      <c r="J92" s="10">
        <v>66.4201388888889</v>
      </c>
      <c r="K92" s="10">
        <v>66.4201388888889</v>
      </c>
      <c r="L92" s="10">
        <v>66.4201388888889</v>
      </c>
      <c r="M92" s="10">
        <v>66.4201388888889</v>
      </c>
      <c r="N92" s="10">
        <v>66.4201388888889</v>
      </c>
      <c r="O92" s="10">
        <v>66.4201388888889</v>
      </c>
      <c r="P92" s="10">
        <v>66.4201388888889</v>
      </c>
      <c r="Q92" s="10">
        <v>66.4201388888889</v>
      </c>
      <c r="R92" s="10">
        <v>66.4201388888889</v>
      </c>
      <c r="S92" s="10">
        <v>66.4201388888889</v>
      </c>
      <c r="T92" s="10">
        <v>66.4201388888889</v>
      </c>
      <c r="U92" s="10">
        <v>66.4201388888889</v>
      </c>
      <c r="V92" s="10">
        <v>66.4201388888889</v>
      </c>
      <c r="W92" s="10">
        <v>66.4201388888889</v>
      </c>
      <c r="X92" s="10">
        <v>66.4201388888889</v>
      </c>
      <c r="Y92" s="10">
        <v>66.4201388888889</v>
      </c>
      <c r="Z92" s="10">
        <v>66.4201388888889</v>
      </c>
      <c r="AA92" s="10">
        <v>66.4201388888889</v>
      </c>
      <c r="AB92" s="10">
        <v>66.4201388888889</v>
      </c>
      <c r="AC92" s="10">
        <v>66.4201388888889</v>
      </c>
      <c r="AD92" s="10">
        <v>66.4201388888889</v>
      </c>
      <c r="AE92" s="10">
        <v>66.4201388888889</v>
      </c>
      <c r="AF92" s="10">
        <v>66.4201388888889</v>
      </c>
      <c r="AG92" s="10">
        <v>66.4201388888889</v>
      </c>
      <c r="AH92" s="10">
        <v>66.4201388888889</v>
      </c>
      <c r="AI92" s="10">
        <v>66.4201388888889</v>
      </c>
      <c r="AJ92" s="10">
        <v>66.4201388888889</v>
      </c>
      <c r="AK92" s="10">
        <v>66.4201388888889</v>
      </c>
      <c r="AL92" s="10">
        <v>66.4201388888889</v>
      </c>
      <c r="AM92" s="10">
        <v>66.4201388888889</v>
      </c>
    </row>
    <row r="93" spans="2:49">
      <c r="B93" s="9" t="s">
        <v>9</v>
      </c>
      <c r="C93" s="10">
        <v>74</v>
      </c>
      <c r="D93" s="10">
        <v>74.099999999999994</v>
      </c>
      <c r="E93" s="10">
        <v>74.099999999999994</v>
      </c>
      <c r="F93" s="10">
        <v>74.099999999999994</v>
      </c>
      <c r="G93" s="10">
        <v>74.099999999999994</v>
      </c>
      <c r="H93" s="10">
        <v>79.652173913043498</v>
      </c>
      <c r="I93" s="10">
        <v>73.714285714285694</v>
      </c>
      <c r="J93" s="10">
        <v>73.935294117647004</v>
      </c>
      <c r="K93" s="10">
        <v>73.3</v>
      </c>
      <c r="L93" s="10">
        <v>73.3</v>
      </c>
      <c r="M93" s="10">
        <v>74.099999999999994</v>
      </c>
      <c r="N93" s="10">
        <v>74.099999999999994</v>
      </c>
      <c r="O93" s="10">
        <v>74.099999999999994</v>
      </c>
      <c r="P93" s="10">
        <v>74</v>
      </c>
      <c r="Q93" s="10">
        <v>74.099999999999994</v>
      </c>
      <c r="R93" s="10">
        <v>74.099999999999994</v>
      </c>
      <c r="S93" s="10">
        <v>73.698009950248704</v>
      </c>
      <c r="T93" s="10">
        <v>74.099999999999994</v>
      </c>
      <c r="U93" s="10">
        <v>73.3</v>
      </c>
      <c r="V93" s="10">
        <v>73.7</v>
      </c>
      <c r="W93" s="10">
        <v>74.099999999999994</v>
      </c>
      <c r="X93" s="10">
        <v>73.8</v>
      </c>
      <c r="Y93" s="10">
        <v>74.099999999999994</v>
      </c>
      <c r="Z93" s="10">
        <v>74</v>
      </c>
      <c r="AA93" s="10">
        <v>74.099999999999994</v>
      </c>
      <c r="AB93" s="10">
        <v>74.047826086956505</v>
      </c>
      <c r="AC93" s="10">
        <v>74.099999999999994</v>
      </c>
      <c r="AD93" s="10">
        <v>74.099999999999994</v>
      </c>
      <c r="AE93" s="10">
        <v>2.4</v>
      </c>
      <c r="AF93" s="10">
        <v>74.099999999999994</v>
      </c>
      <c r="AG93" s="10">
        <v>74.099999999999994</v>
      </c>
      <c r="AH93" s="10">
        <v>74.099999999999994</v>
      </c>
      <c r="AI93" s="10">
        <v>74.099999999999994</v>
      </c>
      <c r="AJ93" s="10">
        <v>74.099999999999994</v>
      </c>
      <c r="AK93" s="10">
        <v>74.099999999999994</v>
      </c>
      <c r="AL93" s="10">
        <v>74.099999999999994</v>
      </c>
      <c r="AM93" s="10">
        <v>74.099999999999994</v>
      </c>
    </row>
    <row r="94" spans="2:49">
      <c r="B94" s="9" t="s">
        <v>11</v>
      </c>
      <c r="C94" s="10">
        <v>56</v>
      </c>
      <c r="D94" s="10">
        <v>56.1</v>
      </c>
      <c r="E94" s="10">
        <v>56.1</v>
      </c>
      <c r="F94" s="10">
        <v>56.1</v>
      </c>
      <c r="G94" s="10">
        <v>56.1</v>
      </c>
      <c r="H94" s="10">
        <v>56</v>
      </c>
      <c r="I94" s="10">
        <v>56.1</v>
      </c>
      <c r="J94" s="10">
        <v>56.1</v>
      </c>
      <c r="K94" s="10">
        <v>56.1</v>
      </c>
      <c r="L94" s="10">
        <v>56.1</v>
      </c>
      <c r="M94" s="10">
        <v>56.1</v>
      </c>
      <c r="N94" s="10">
        <v>56.1</v>
      </c>
      <c r="O94" s="10">
        <v>56.1</v>
      </c>
      <c r="P94" s="10">
        <v>56</v>
      </c>
      <c r="Q94" s="10">
        <v>56.1</v>
      </c>
      <c r="R94" s="10">
        <v>56.1</v>
      </c>
      <c r="S94" s="10">
        <v>56.1</v>
      </c>
      <c r="T94" s="10">
        <v>56.1</v>
      </c>
      <c r="U94" s="10">
        <v>56.1</v>
      </c>
      <c r="V94" s="10">
        <v>56.1</v>
      </c>
      <c r="W94" s="10">
        <v>56.1</v>
      </c>
      <c r="X94" s="10">
        <v>56.1</v>
      </c>
      <c r="Y94" s="10">
        <v>56.1</v>
      </c>
      <c r="Z94" s="10">
        <v>56</v>
      </c>
      <c r="AA94" s="10">
        <v>56.1</v>
      </c>
      <c r="AB94" s="10">
        <v>56.1</v>
      </c>
      <c r="AC94" s="10">
        <v>56.1</v>
      </c>
      <c r="AD94" s="10">
        <v>56.1</v>
      </c>
      <c r="AE94" s="10">
        <v>56</v>
      </c>
      <c r="AF94" s="10">
        <v>56.1</v>
      </c>
      <c r="AG94" s="10">
        <v>56.1</v>
      </c>
      <c r="AH94" s="10">
        <v>56.1</v>
      </c>
      <c r="AI94" s="10">
        <v>56.1</v>
      </c>
      <c r="AJ94" s="10">
        <v>56.1</v>
      </c>
      <c r="AK94" s="10">
        <v>56.1</v>
      </c>
      <c r="AL94" s="10">
        <v>56.1</v>
      </c>
      <c r="AM94" s="10">
        <v>56.1</v>
      </c>
    </row>
    <row r="95" spans="2:49">
      <c r="B95" s="9" t="s">
        <v>10</v>
      </c>
      <c r="C95" s="10">
        <v>78</v>
      </c>
      <c r="D95" s="10">
        <v>77.400000000000006</v>
      </c>
      <c r="E95" s="10">
        <v>77.400000000000006</v>
      </c>
      <c r="F95" s="10">
        <v>77.400000000000006</v>
      </c>
      <c r="G95" s="10">
        <v>77.400000000000006</v>
      </c>
      <c r="H95" s="10">
        <v>78</v>
      </c>
      <c r="I95" s="10">
        <v>77.400000000000006</v>
      </c>
      <c r="J95" s="10">
        <v>77.400000000000006</v>
      </c>
      <c r="K95" s="10">
        <v>77.400000000000006</v>
      </c>
      <c r="L95" s="10">
        <v>77.400000000000006</v>
      </c>
      <c r="M95" s="10">
        <v>77.400000000000006</v>
      </c>
      <c r="N95" s="10">
        <v>77.400000000000006</v>
      </c>
      <c r="O95" s="10">
        <v>77.400000000000006</v>
      </c>
      <c r="P95" s="10">
        <v>78</v>
      </c>
      <c r="Q95" s="10">
        <v>77.400000000000006</v>
      </c>
      <c r="R95" s="10">
        <v>77.400000000000006</v>
      </c>
      <c r="S95" s="10">
        <v>77.400000000000006</v>
      </c>
      <c r="T95" s="10">
        <v>77.400000000000006</v>
      </c>
      <c r="U95" s="10">
        <v>77.400000000000006</v>
      </c>
      <c r="V95" s="10">
        <v>77.400000000000006</v>
      </c>
      <c r="W95" s="10">
        <v>77.400000000000006</v>
      </c>
      <c r="X95" s="10">
        <v>77.400000000000006</v>
      </c>
      <c r="Y95" s="10">
        <v>77.400000000000006</v>
      </c>
      <c r="Z95" s="10">
        <v>78</v>
      </c>
      <c r="AA95" s="10">
        <v>77.400000000000006</v>
      </c>
      <c r="AB95" s="10">
        <v>77.400000000000006</v>
      </c>
      <c r="AC95" s="10">
        <v>77.400000000000006</v>
      </c>
      <c r="AD95" s="10">
        <v>77.400000000000006</v>
      </c>
      <c r="AE95" s="10">
        <v>78</v>
      </c>
      <c r="AF95" s="10">
        <v>77.400000000000006</v>
      </c>
      <c r="AG95" s="10">
        <v>77.400000000000006</v>
      </c>
      <c r="AH95" s="10">
        <v>77.400000000000006</v>
      </c>
      <c r="AI95" s="10">
        <v>77.400000000000006</v>
      </c>
      <c r="AJ95" s="10">
        <v>77.400000000000006</v>
      </c>
      <c r="AK95" s="10">
        <v>77.400000000000006</v>
      </c>
      <c r="AL95" s="10">
        <v>77.400000000000006</v>
      </c>
      <c r="AM95" s="10">
        <v>77.400000000000006</v>
      </c>
    </row>
    <row r="96" spans="2:49">
      <c r="B96" s="9" t="s">
        <v>15</v>
      </c>
      <c r="C96" s="10">
        <v>45</v>
      </c>
      <c r="D96" s="10">
        <v>85.85</v>
      </c>
      <c r="E96" s="10">
        <v>85.85</v>
      </c>
      <c r="F96" s="10">
        <v>85.85</v>
      </c>
      <c r="G96" s="10">
        <v>85.85</v>
      </c>
      <c r="H96" s="10">
        <v>45</v>
      </c>
      <c r="I96" s="10">
        <v>85.85</v>
      </c>
      <c r="J96" s="10">
        <v>85.85</v>
      </c>
      <c r="K96" s="10">
        <v>85.85</v>
      </c>
      <c r="L96" s="10">
        <v>85.85</v>
      </c>
      <c r="M96" s="10">
        <v>85.85</v>
      </c>
      <c r="N96" s="10">
        <v>85.85</v>
      </c>
      <c r="O96" s="10">
        <v>85.85</v>
      </c>
      <c r="P96" s="10">
        <v>45</v>
      </c>
      <c r="Q96" s="10">
        <v>85.85</v>
      </c>
      <c r="R96" s="10">
        <v>85.85</v>
      </c>
      <c r="S96" s="10">
        <v>85.85</v>
      </c>
      <c r="T96" s="10">
        <v>85.85</v>
      </c>
      <c r="U96" s="10">
        <v>85.85</v>
      </c>
      <c r="V96" s="10">
        <v>85.85</v>
      </c>
      <c r="W96" s="10">
        <v>85.85</v>
      </c>
      <c r="X96" s="10">
        <v>85.85</v>
      </c>
      <c r="Y96" s="10">
        <v>85.85</v>
      </c>
      <c r="Z96" s="10">
        <v>45</v>
      </c>
      <c r="AA96" s="10">
        <v>85.85</v>
      </c>
      <c r="AB96" s="10">
        <v>85.85</v>
      </c>
      <c r="AC96" s="10">
        <v>85.85</v>
      </c>
      <c r="AD96" s="10">
        <v>85.85</v>
      </c>
      <c r="AE96" s="10">
        <v>45</v>
      </c>
      <c r="AF96" s="10">
        <v>85.85</v>
      </c>
      <c r="AG96" s="10">
        <v>85.85</v>
      </c>
      <c r="AH96" s="10">
        <v>85.85</v>
      </c>
      <c r="AI96" s="10">
        <v>85.85</v>
      </c>
      <c r="AJ96" s="10">
        <v>85.85</v>
      </c>
      <c r="AK96" s="10">
        <v>85.85</v>
      </c>
      <c r="AL96" s="10">
        <v>85.85</v>
      </c>
      <c r="AM96" s="10">
        <v>85.85</v>
      </c>
    </row>
    <row r="97" spans="2:39">
      <c r="B97" s="9" t="s">
        <v>6</v>
      </c>
      <c r="C97" s="10">
        <v>77.937888198757804</v>
      </c>
      <c r="D97" s="10">
        <v>77.135036496350395</v>
      </c>
      <c r="E97" s="10">
        <v>77.350746268656707</v>
      </c>
      <c r="F97" s="10">
        <v>74.099999999999994</v>
      </c>
      <c r="G97" s="10">
        <v>77.350700280111994</v>
      </c>
      <c r="H97" s="10">
        <v>77.396226415094304</v>
      </c>
      <c r="I97" s="10">
        <v>75.655468749999997</v>
      </c>
      <c r="J97" s="10">
        <v>77.121562499999996</v>
      </c>
      <c r="K97" s="10">
        <v>77.400000000000006</v>
      </c>
      <c r="L97" s="10">
        <v>77.400000000000006</v>
      </c>
      <c r="M97" s="10">
        <v>77.057142857142907</v>
      </c>
      <c r="N97" s="10">
        <v>77.163499999999999</v>
      </c>
      <c r="O97" s="10">
        <v>76.664609892911798</v>
      </c>
      <c r="P97" s="10">
        <v>77.709923664122101</v>
      </c>
      <c r="Q97" s="10">
        <v>77.111357702349906</v>
      </c>
      <c r="R97" s="10">
        <v>74.099999999999994</v>
      </c>
      <c r="S97" s="10">
        <v>77.097260075384199</v>
      </c>
      <c r="T97" s="10">
        <v>77.155555555555594</v>
      </c>
      <c r="U97" s="10">
        <v>77.400000000000006</v>
      </c>
      <c r="V97" s="10">
        <v>77.334000000000003</v>
      </c>
      <c r="W97" s="10">
        <v>77.049152542372894</v>
      </c>
      <c r="X97" s="10">
        <v>58.780165289256203</v>
      </c>
      <c r="Y97" s="10">
        <v>73.253846153846098</v>
      </c>
      <c r="Z97" s="10">
        <v>77.425641025640999</v>
      </c>
      <c r="AA97" s="10">
        <v>88.963858837894705</v>
      </c>
      <c r="AB97" s="10">
        <v>77.029770992366394</v>
      </c>
      <c r="AC97" s="10">
        <v>76.044324324324293</v>
      </c>
      <c r="AD97" s="10">
        <v>75.42</v>
      </c>
      <c r="AE97" s="10">
        <v>78</v>
      </c>
      <c r="AF97" s="10">
        <v>77.16</v>
      </c>
      <c r="AG97" s="10">
        <v>74.099999999999994</v>
      </c>
      <c r="AH97" s="10">
        <v>74.099999999999994</v>
      </c>
      <c r="AI97" s="10">
        <v>77.315308121139097</v>
      </c>
      <c r="AJ97" s="10">
        <v>75.473101635313299</v>
      </c>
      <c r="AK97" s="10">
        <v>74.099999999999994</v>
      </c>
      <c r="AL97" s="10">
        <v>76.833766233766198</v>
      </c>
      <c r="AM97" s="10">
        <v>74.099999999999994</v>
      </c>
    </row>
    <row r="98" spans="2:39">
      <c r="B98" s="9" t="s">
        <v>8</v>
      </c>
      <c r="C98" s="10">
        <v>60</v>
      </c>
      <c r="D98" s="10">
        <v>56.1</v>
      </c>
      <c r="E98" s="10">
        <v>56.1</v>
      </c>
      <c r="F98" s="10">
        <v>56.1</v>
      </c>
      <c r="G98" s="10">
        <v>56.1</v>
      </c>
      <c r="H98" s="10">
        <v>60</v>
      </c>
      <c r="I98" s="10">
        <v>56.1</v>
      </c>
      <c r="J98" s="10">
        <v>56.1</v>
      </c>
      <c r="K98" s="10">
        <v>56.1</v>
      </c>
      <c r="L98" s="10">
        <v>56.1</v>
      </c>
      <c r="M98" s="10">
        <v>56.1</v>
      </c>
      <c r="N98" s="10">
        <v>56.1</v>
      </c>
      <c r="O98" s="10">
        <v>56.1</v>
      </c>
      <c r="P98" s="10">
        <v>60</v>
      </c>
      <c r="Q98" s="10">
        <v>56.1</v>
      </c>
      <c r="R98" s="10">
        <v>56.1</v>
      </c>
      <c r="S98" s="10">
        <v>56.1</v>
      </c>
      <c r="T98" s="10">
        <v>56.1</v>
      </c>
      <c r="U98" s="10">
        <v>56.1</v>
      </c>
      <c r="V98" s="10">
        <v>56.1</v>
      </c>
      <c r="W98" s="10">
        <v>56.1</v>
      </c>
      <c r="X98" s="10">
        <v>56.1</v>
      </c>
      <c r="Y98" s="10">
        <v>56.1</v>
      </c>
      <c r="Z98" s="10">
        <v>60</v>
      </c>
      <c r="AA98" s="10">
        <v>56.1</v>
      </c>
      <c r="AB98" s="10">
        <v>56.1</v>
      </c>
      <c r="AC98" s="10">
        <v>56.1</v>
      </c>
      <c r="AD98" s="10">
        <v>56.1</v>
      </c>
      <c r="AE98" s="10">
        <v>60</v>
      </c>
      <c r="AF98" s="10">
        <v>56.1</v>
      </c>
      <c r="AG98" s="10">
        <v>56.1</v>
      </c>
      <c r="AH98" s="10">
        <v>56.1</v>
      </c>
      <c r="AI98" s="10">
        <v>56.1</v>
      </c>
      <c r="AJ98" s="10">
        <v>56.1</v>
      </c>
      <c r="AK98" s="10">
        <v>56.1</v>
      </c>
      <c r="AL98" s="10">
        <v>56.1</v>
      </c>
      <c r="AM98" s="10">
        <v>56.1</v>
      </c>
    </row>
    <row r="99" spans="2:39">
      <c r="B99" s="9" t="s">
        <v>16</v>
      </c>
      <c r="C99" s="10">
        <v>45</v>
      </c>
      <c r="D99" s="10">
        <v>85.85</v>
      </c>
      <c r="E99" s="10">
        <v>85.85</v>
      </c>
      <c r="F99" s="10">
        <v>85.85</v>
      </c>
      <c r="G99" s="10">
        <v>85.85</v>
      </c>
      <c r="H99" s="10">
        <v>45</v>
      </c>
      <c r="I99" s="10">
        <v>85.85</v>
      </c>
      <c r="J99" s="10">
        <v>85.85</v>
      </c>
      <c r="K99" s="10">
        <v>85.85</v>
      </c>
      <c r="L99" s="10">
        <v>85.85</v>
      </c>
      <c r="M99" s="10">
        <v>85.85</v>
      </c>
      <c r="N99" s="10">
        <v>85.85</v>
      </c>
      <c r="O99" s="10">
        <v>85.85</v>
      </c>
      <c r="P99" s="10">
        <v>45</v>
      </c>
      <c r="Q99" s="10">
        <v>85.85</v>
      </c>
      <c r="R99" s="10">
        <v>85.85</v>
      </c>
      <c r="S99" s="10">
        <v>85.85</v>
      </c>
      <c r="T99" s="10">
        <v>85.85</v>
      </c>
      <c r="U99" s="10">
        <v>85.85</v>
      </c>
      <c r="V99" s="10">
        <v>85.85</v>
      </c>
      <c r="W99" s="10">
        <v>85.85</v>
      </c>
      <c r="X99" s="10">
        <v>85.85</v>
      </c>
      <c r="Y99" s="10">
        <v>85.85</v>
      </c>
      <c r="Z99" s="10">
        <v>45</v>
      </c>
      <c r="AA99" s="10">
        <v>85.85</v>
      </c>
      <c r="AB99" s="10">
        <v>85.85</v>
      </c>
      <c r="AC99" s="10">
        <v>85.85</v>
      </c>
      <c r="AD99" s="10">
        <v>85.85</v>
      </c>
      <c r="AE99" s="10">
        <v>45</v>
      </c>
      <c r="AF99" s="10">
        <v>85.85</v>
      </c>
      <c r="AG99" s="10">
        <v>85.85</v>
      </c>
      <c r="AH99" s="10">
        <v>85.85</v>
      </c>
      <c r="AI99" s="10">
        <v>85.85</v>
      </c>
      <c r="AJ99" s="10">
        <v>85.85</v>
      </c>
      <c r="AK99" s="10">
        <v>85.85</v>
      </c>
      <c r="AL99" s="10">
        <v>85.85</v>
      </c>
      <c r="AM99" s="10">
        <v>85.85</v>
      </c>
    </row>
    <row r="100" spans="2:39">
      <c r="B100" s="9" t="s">
        <v>13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</row>
    <row r="101" spans="2:39">
      <c r="B101" s="9" t="s">
        <v>121</v>
      </c>
      <c r="C101" s="10">
        <v>108.2</v>
      </c>
      <c r="D101" s="10">
        <v>108.2</v>
      </c>
      <c r="E101" s="10">
        <v>108.2</v>
      </c>
      <c r="F101" s="10">
        <v>108.2</v>
      </c>
      <c r="G101" s="10">
        <v>108.2</v>
      </c>
      <c r="H101" s="10">
        <v>108.2</v>
      </c>
      <c r="I101" s="10">
        <v>108.2</v>
      </c>
      <c r="J101" s="10">
        <v>108.2</v>
      </c>
      <c r="K101" s="10">
        <v>108.2</v>
      </c>
      <c r="L101" s="10">
        <v>108.2</v>
      </c>
      <c r="M101" s="10">
        <v>107.65900000000001</v>
      </c>
      <c r="N101" s="10">
        <v>108.2</v>
      </c>
      <c r="O101" s="10">
        <v>108.2</v>
      </c>
      <c r="P101" s="10">
        <v>108.2</v>
      </c>
      <c r="Q101" s="10">
        <v>108.2</v>
      </c>
      <c r="R101" s="10">
        <v>108.2</v>
      </c>
      <c r="S101" s="10">
        <v>108.2</v>
      </c>
      <c r="T101" s="10">
        <v>108.2</v>
      </c>
      <c r="U101" s="10">
        <v>108.2</v>
      </c>
      <c r="V101" s="10">
        <v>108.2</v>
      </c>
      <c r="W101" s="10">
        <v>108.2</v>
      </c>
      <c r="X101" s="10">
        <v>108.2</v>
      </c>
      <c r="Y101" s="10">
        <v>108.2</v>
      </c>
      <c r="Z101" s="10">
        <v>108.2</v>
      </c>
      <c r="AA101" s="10">
        <v>108.2</v>
      </c>
      <c r="AB101" s="10">
        <v>108.2</v>
      </c>
      <c r="AC101" s="10">
        <v>108.2</v>
      </c>
      <c r="AD101" s="10">
        <v>108.2</v>
      </c>
      <c r="AE101" s="10">
        <v>108.2</v>
      </c>
      <c r="AF101" s="10">
        <v>108.2</v>
      </c>
      <c r="AG101" s="10">
        <v>108.2</v>
      </c>
      <c r="AH101" s="10">
        <v>108.2</v>
      </c>
      <c r="AI101" s="10">
        <v>108.2</v>
      </c>
      <c r="AJ101" s="10">
        <v>108.2</v>
      </c>
      <c r="AK101" s="10">
        <v>108.2</v>
      </c>
      <c r="AL101" s="10">
        <v>108.2</v>
      </c>
      <c r="AM101" s="10">
        <v>108.2</v>
      </c>
    </row>
    <row r="102" spans="2:39">
      <c r="B102" s="9" t="s">
        <v>120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</row>
    <row r="103" spans="2:39">
      <c r="B103" s="9" t="s">
        <v>24</v>
      </c>
      <c r="C103" s="10">
        <v>95</v>
      </c>
      <c r="D103" s="10">
        <v>98.3</v>
      </c>
      <c r="E103" s="10">
        <v>95</v>
      </c>
      <c r="F103" s="10">
        <v>98.3</v>
      </c>
      <c r="G103" s="10">
        <v>98.3</v>
      </c>
      <c r="H103" s="10">
        <v>95</v>
      </c>
      <c r="I103" s="10">
        <v>95</v>
      </c>
      <c r="J103" s="10">
        <v>98.3</v>
      </c>
      <c r="K103" s="10">
        <v>98.3</v>
      </c>
      <c r="L103" s="10">
        <v>98.3</v>
      </c>
      <c r="M103" s="10">
        <v>92.707999999999998</v>
      </c>
      <c r="N103" s="10">
        <v>98.3</v>
      </c>
      <c r="O103" s="10">
        <v>98.3</v>
      </c>
      <c r="P103" s="10">
        <v>95</v>
      </c>
      <c r="Q103" s="10">
        <v>98.3</v>
      </c>
      <c r="R103" s="10">
        <v>98.3</v>
      </c>
      <c r="S103" s="10">
        <v>98.3</v>
      </c>
      <c r="T103" s="10">
        <v>98.3</v>
      </c>
      <c r="U103" s="10">
        <v>98.3</v>
      </c>
      <c r="V103" s="10">
        <v>98.3</v>
      </c>
      <c r="W103" s="10">
        <v>98.3</v>
      </c>
      <c r="X103" s="10">
        <v>98.3</v>
      </c>
      <c r="Y103" s="10">
        <v>98.3</v>
      </c>
      <c r="Z103" s="10">
        <v>95</v>
      </c>
      <c r="AA103" s="10">
        <v>98.3</v>
      </c>
      <c r="AB103" s="10">
        <v>98.3</v>
      </c>
      <c r="AC103" s="10">
        <v>98.3</v>
      </c>
      <c r="AD103" s="10">
        <v>98.3</v>
      </c>
      <c r="AE103" s="10">
        <v>95</v>
      </c>
      <c r="AF103" s="10">
        <v>98.3</v>
      </c>
      <c r="AG103" s="10">
        <v>95</v>
      </c>
      <c r="AH103" s="10">
        <v>95</v>
      </c>
      <c r="AI103" s="10">
        <v>95</v>
      </c>
      <c r="AJ103" s="10">
        <v>95</v>
      </c>
      <c r="AK103" s="10">
        <v>95</v>
      </c>
      <c r="AL103" s="10">
        <v>95</v>
      </c>
      <c r="AM103" s="10">
        <v>95</v>
      </c>
    </row>
    <row r="104" spans="2:39">
      <c r="B104" s="9" t="s">
        <v>119</v>
      </c>
      <c r="C104" s="10">
        <v>110.6</v>
      </c>
      <c r="D104" s="10">
        <v>101.2</v>
      </c>
      <c r="E104" s="10">
        <v>110.6</v>
      </c>
      <c r="F104" s="10">
        <v>101.2</v>
      </c>
      <c r="G104" s="10">
        <v>101.2</v>
      </c>
      <c r="H104" s="10">
        <v>110.6</v>
      </c>
      <c r="I104" s="10">
        <v>110.6</v>
      </c>
      <c r="J104" s="10">
        <v>101.2</v>
      </c>
      <c r="K104" s="10">
        <v>101.2</v>
      </c>
      <c r="L104" s="10">
        <v>101.2</v>
      </c>
      <c r="M104" s="10">
        <v>104.544</v>
      </c>
      <c r="N104" s="10">
        <v>101.2</v>
      </c>
      <c r="O104" s="10">
        <v>101.2</v>
      </c>
      <c r="P104" s="10">
        <v>110.6</v>
      </c>
      <c r="Q104" s="10">
        <v>101.2</v>
      </c>
      <c r="R104" s="10">
        <v>101.2</v>
      </c>
      <c r="S104" s="10">
        <v>101.2</v>
      </c>
      <c r="T104" s="10">
        <v>101.2</v>
      </c>
      <c r="U104" s="10">
        <v>101.2</v>
      </c>
      <c r="V104" s="10">
        <v>101.2</v>
      </c>
      <c r="W104" s="10">
        <v>101.2</v>
      </c>
      <c r="X104" s="10">
        <v>101.2</v>
      </c>
      <c r="Y104" s="10">
        <v>101.2</v>
      </c>
      <c r="Z104" s="10">
        <v>110.6</v>
      </c>
      <c r="AA104" s="10">
        <v>101.2</v>
      </c>
      <c r="AB104" s="10">
        <v>101.2</v>
      </c>
      <c r="AC104" s="10">
        <v>101.2</v>
      </c>
      <c r="AD104" s="10">
        <v>101.2</v>
      </c>
      <c r="AE104" s="10">
        <v>110.6</v>
      </c>
      <c r="AF104" s="10">
        <v>101.2</v>
      </c>
      <c r="AG104" s="10">
        <v>110.6</v>
      </c>
      <c r="AH104" s="10">
        <v>110.6</v>
      </c>
      <c r="AI104" s="10">
        <v>110.6</v>
      </c>
      <c r="AJ104" s="10">
        <v>110.6</v>
      </c>
      <c r="AK104" s="10">
        <v>110.6</v>
      </c>
      <c r="AL104" s="10">
        <v>110.6</v>
      </c>
      <c r="AM104" s="10">
        <v>110.6</v>
      </c>
    </row>
    <row r="105" spans="2:39">
      <c r="B105" s="9" t="s">
        <v>118</v>
      </c>
      <c r="C105" s="10">
        <v>108.2</v>
      </c>
      <c r="D105" s="10">
        <v>108.2</v>
      </c>
      <c r="E105" s="10">
        <v>108.2</v>
      </c>
      <c r="F105" s="10">
        <v>108.2</v>
      </c>
      <c r="G105" s="10">
        <v>108.2</v>
      </c>
      <c r="H105" s="10">
        <v>108.2</v>
      </c>
      <c r="I105" s="10">
        <v>108.2</v>
      </c>
      <c r="J105" s="10">
        <v>108.2</v>
      </c>
      <c r="K105" s="10">
        <v>108.2</v>
      </c>
      <c r="L105" s="10">
        <v>108.2</v>
      </c>
      <c r="M105" s="10">
        <v>107.65900000000001</v>
      </c>
      <c r="N105" s="10">
        <v>108.2</v>
      </c>
      <c r="O105" s="10">
        <v>108.2</v>
      </c>
      <c r="P105" s="10">
        <v>108.2</v>
      </c>
      <c r="Q105" s="10">
        <v>108.2</v>
      </c>
      <c r="R105" s="10">
        <v>108.2</v>
      </c>
      <c r="S105" s="10">
        <v>108.2</v>
      </c>
      <c r="T105" s="10">
        <v>108.2</v>
      </c>
      <c r="U105" s="10">
        <v>108.2</v>
      </c>
      <c r="V105" s="10">
        <v>108.2</v>
      </c>
      <c r="W105" s="10">
        <v>108.2</v>
      </c>
      <c r="X105" s="10">
        <v>108.2</v>
      </c>
      <c r="Y105" s="10">
        <v>108.2</v>
      </c>
      <c r="Z105" s="10">
        <v>108.2</v>
      </c>
      <c r="AA105" s="10">
        <v>108.2</v>
      </c>
      <c r="AB105" s="10">
        <v>108.2</v>
      </c>
      <c r="AC105" s="10">
        <v>108.2</v>
      </c>
      <c r="AD105" s="10">
        <v>108.2</v>
      </c>
      <c r="AE105" s="10">
        <v>108.2</v>
      </c>
      <c r="AF105" s="10">
        <v>108.2</v>
      </c>
      <c r="AG105" s="10">
        <v>108.2</v>
      </c>
      <c r="AH105" s="10">
        <v>108.2</v>
      </c>
      <c r="AI105" s="10">
        <v>108.2</v>
      </c>
      <c r="AJ105" s="10">
        <v>108.2</v>
      </c>
      <c r="AK105" s="10">
        <v>108.2</v>
      </c>
      <c r="AL105" s="10">
        <v>108.2</v>
      </c>
      <c r="AM105" s="10">
        <v>108.2</v>
      </c>
    </row>
    <row r="106" spans="2:39">
      <c r="B106" s="9" t="s">
        <v>23</v>
      </c>
      <c r="C106" s="10">
        <v>110.6</v>
      </c>
      <c r="D106" s="10">
        <v>101.2</v>
      </c>
      <c r="E106" s="10">
        <v>110.6</v>
      </c>
      <c r="F106" s="10">
        <v>101.2</v>
      </c>
      <c r="G106" s="10">
        <v>101.2</v>
      </c>
      <c r="H106" s="10">
        <v>110.6</v>
      </c>
      <c r="I106" s="10">
        <v>110.6</v>
      </c>
      <c r="J106" s="10">
        <v>101.2</v>
      </c>
      <c r="K106" s="10">
        <v>101.2</v>
      </c>
      <c r="L106" s="10">
        <v>101.2</v>
      </c>
      <c r="M106" s="10">
        <v>99.176000000000002</v>
      </c>
      <c r="N106" s="10">
        <v>101.2</v>
      </c>
      <c r="O106" s="10">
        <v>101.2</v>
      </c>
      <c r="P106" s="10">
        <v>110.6</v>
      </c>
      <c r="Q106" s="10">
        <v>101.2</v>
      </c>
      <c r="R106" s="10">
        <v>101.2</v>
      </c>
      <c r="S106" s="10">
        <v>101.2</v>
      </c>
      <c r="T106" s="10">
        <v>101.2</v>
      </c>
      <c r="U106" s="10">
        <v>101.2</v>
      </c>
      <c r="V106" s="10">
        <v>101.2</v>
      </c>
      <c r="W106" s="10">
        <v>101.2</v>
      </c>
      <c r="X106" s="10">
        <v>101.2</v>
      </c>
      <c r="Y106" s="10">
        <v>101.2</v>
      </c>
      <c r="Z106" s="10">
        <v>110.6</v>
      </c>
      <c r="AA106" s="10">
        <v>101.2</v>
      </c>
      <c r="AB106" s="10">
        <v>101.2</v>
      </c>
      <c r="AC106" s="10">
        <v>101.2</v>
      </c>
      <c r="AD106" s="10">
        <v>101.2</v>
      </c>
      <c r="AE106" s="10">
        <v>110.6</v>
      </c>
      <c r="AF106" s="10">
        <v>101.2</v>
      </c>
      <c r="AG106" s="10">
        <v>110.6</v>
      </c>
      <c r="AH106" s="10">
        <v>110.6</v>
      </c>
      <c r="AI106" s="10">
        <v>110.6</v>
      </c>
      <c r="AJ106" s="10">
        <v>110.6</v>
      </c>
      <c r="AK106" s="10">
        <v>110.6</v>
      </c>
      <c r="AL106" s="10">
        <v>110.6</v>
      </c>
      <c r="AM106" s="10">
        <v>110.6</v>
      </c>
    </row>
    <row r="107" spans="2:39">
      <c r="B107" s="9" t="s">
        <v>117</v>
      </c>
      <c r="C107" s="10">
        <v>105</v>
      </c>
      <c r="D107" s="10">
        <v>94.6</v>
      </c>
      <c r="E107" s="10">
        <v>105</v>
      </c>
      <c r="F107" s="10">
        <v>94.6</v>
      </c>
      <c r="G107" s="10">
        <v>94.6</v>
      </c>
      <c r="H107" s="10">
        <v>105</v>
      </c>
      <c r="I107" s="10">
        <v>105</v>
      </c>
      <c r="J107" s="10">
        <v>94.6</v>
      </c>
      <c r="K107" s="10">
        <v>94.6</v>
      </c>
      <c r="L107" s="10">
        <v>94.6</v>
      </c>
      <c r="M107" s="10">
        <v>105.84</v>
      </c>
      <c r="N107" s="10">
        <v>94.6</v>
      </c>
      <c r="O107" s="10">
        <v>94.6</v>
      </c>
      <c r="P107" s="10">
        <v>105</v>
      </c>
      <c r="Q107" s="10">
        <v>94.6</v>
      </c>
      <c r="R107" s="10">
        <v>94.6</v>
      </c>
      <c r="S107" s="10">
        <v>94.6</v>
      </c>
      <c r="T107" s="10">
        <v>94.6</v>
      </c>
      <c r="U107" s="10">
        <v>94.6</v>
      </c>
      <c r="V107" s="10">
        <v>94.6</v>
      </c>
      <c r="W107" s="10">
        <v>94.6</v>
      </c>
      <c r="X107" s="10">
        <v>94.6</v>
      </c>
      <c r="Y107" s="10">
        <v>94.6</v>
      </c>
      <c r="Z107" s="10">
        <v>105</v>
      </c>
      <c r="AA107" s="10">
        <v>94.6</v>
      </c>
      <c r="AB107" s="10">
        <v>94.6</v>
      </c>
      <c r="AC107" s="10">
        <v>94.6</v>
      </c>
      <c r="AD107" s="10">
        <v>94.6</v>
      </c>
      <c r="AE107" s="10">
        <v>105</v>
      </c>
      <c r="AF107" s="10">
        <v>94.6</v>
      </c>
      <c r="AG107" s="10">
        <v>105</v>
      </c>
      <c r="AH107" s="10">
        <v>105</v>
      </c>
      <c r="AI107" s="10">
        <v>105</v>
      </c>
      <c r="AJ107" s="10">
        <v>105</v>
      </c>
      <c r="AK107" s="10">
        <v>105</v>
      </c>
      <c r="AL107" s="10">
        <v>105</v>
      </c>
      <c r="AM107" s="10">
        <v>105</v>
      </c>
    </row>
    <row r="108" spans="2:39">
      <c r="B108" s="9" t="s">
        <v>116</v>
      </c>
      <c r="C108" s="10">
        <v>66.4201388888889</v>
      </c>
      <c r="D108" s="10">
        <v>66.4201388888889</v>
      </c>
      <c r="E108" s="10">
        <v>66.4201388888889</v>
      </c>
      <c r="F108" s="10">
        <v>66.4201388888889</v>
      </c>
      <c r="G108" s="10">
        <v>66.4201388888889</v>
      </c>
      <c r="H108" s="10">
        <v>66.4201388888889</v>
      </c>
      <c r="I108" s="10">
        <v>66.4201388888889</v>
      </c>
      <c r="J108" s="10">
        <v>66.4201388888889</v>
      </c>
      <c r="K108" s="10">
        <v>66.4201388888889</v>
      </c>
      <c r="L108" s="10">
        <v>66.4201388888889</v>
      </c>
      <c r="M108" s="10">
        <v>66.4201388888889</v>
      </c>
      <c r="N108" s="10">
        <v>66.4201388888889</v>
      </c>
      <c r="O108" s="10">
        <v>66.4201388888889</v>
      </c>
      <c r="P108" s="10">
        <v>66.4201388888889</v>
      </c>
      <c r="Q108" s="10">
        <v>66.4201388888889</v>
      </c>
      <c r="R108" s="10">
        <v>66.4201388888889</v>
      </c>
      <c r="S108" s="10">
        <v>66.4201388888889</v>
      </c>
      <c r="T108" s="10">
        <v>66.4201388888889</v>
      </c>
      <c r="U108" s="10">
        <v>66.4201388888889</v>
      </c>
      <c r="V108" s="10">
        <v>66.4201388888889</v>
      </c>
      <c r="W108" s="10">
        <v>66.4201388888889</v>
      </c>
      <c r="X108" s="10">
        <v>66.4201388888889</v>
      </c>
      <c r="Y108" s="10">
        <v>66.4201388888889</v>
      </c>
      <c r="Z108" s="10">
        <v>66.4201388888889</v>
      </c>
      <c r="AA108" s="10">
        <v>66.4201388888889</v>
      </c>
      <c r="AB108" s="10">
        <v>66.4201388888889</v>
      </c>
      <c r="AC108" s="10">
        <v>66.4201388888889</v>
      </c>
      <c r="AD108" s="10">
        <v>66.4201388888889</v>
      </c>
      <c r="AE108" s="10">
        <v>66.4201388888889</v>
      </c>
      <c r="AF108" s="10">
        <v>66.4201388888889</v>
      </c>
      <c r="AG108" s="10">
        <v>66.4201388888889</v>
      </c>
      <c r="AH108" s="10">
        <v>66.4201388888889</v>
      </c>
      <c r="AI108" s="10">
        <v>66.4201388888889</v>
      </c>
      <c r="AJ108" s="10">
        <v>66.4201388888889</v>
      </c>
      <c r="AK108" s="10">
        <v>66.4201388888889</v>
      </c>
      <c r="AL108" s="10">
        <v>66.4201388888889</v>
      </c>
      <c r="AM108" s="10">
        <v>66.4201388888889</v>
      </c>
    </row>
    <row r="109" spans="2:39">
      <c r="B109" s="9" t="s">
        <v>21</v>
      </c>
      <c r="C109" s="10">
        <v>73.478546344529207</v>
      </c>
      <c r="D109" s="10">
        <v>57.348071843512798</v>
      </c>
      <c r="E109" s="10">
        <v>63.9046688911479</v>
      </c>
      <c r="F109" s="10">
        <v>133.14205863394301</v>
      </c>
      <c r="G109" s="10">
        <v>56.1</v>
      </c>
      <c r="H109" s="10">
        <v>55.2315718684183</v>
      </c>
      <c r="I109" s="10">
        <v>63.259422826545901</v>
      </c>
      <c r="J109" s="10">
        <v>68.2891212743708</v>
      </c>
      <c r="K109" s="10">
        <v>68.3683986236462</v>
      </c>
      <c r="L109" s="10">
        <v>75.775532806496997</v>
      </c>
      <c r="M109" s="10">
        <v>131.55750247903899</v>
      </c>
      <c r="N109" s="10">
        <v>66.940073004355597</v>
      </c>
      <c r="O109" s="10">
        <v>100.034232735044</v>
      </c>
      <c r="P109" s="10">
        <v>61.4533917619544</v>
      </c>
      <c r="Q109" s="10">
        <v>67.946505935485803</v>
      </c>
      <c r="R109" s="10">
        <v>56.1</v>
      </c>
      <c r="S109" s="10">
        <v>56.554346079130397</v>
      </c>
      <c r="T109" s="10">
        <v>157.72995399112099</v>
      </c>
      <c r="U109" s="10">
        <v>56.1</v>
      </c>
      <c r="V109" s="10">
        <v>61.101263349550401</v>
      </c>
      <c r="W109" s="10">
        <v>56.1</v>
      </c>
      <c r="X109" s="10">
        <v>78.981245273013101</v>
      </c>
      <c r="Y109" s="10">
        <v>56.1</v>
      </c>
      <c r="Z109" s="10">
        <v>64.358738147814904</v>
      </c>
      <c r="AA109" s="10">
        <v>67.641429509207498</v>
      </c>
      <c r="AB109" s="10">
        <v>56.362479631629</v>
      </c>
      <c r="AC109" s="10">
        <v>57.669473546351902</v>
      </c>
      <c r="AD109" s="10">
        <v>66.638983456753806</v>
      </c>
      <c r="AE109" s="10">
        <v>60.164283208121603</v>
      </c>
      <c r="AF109" s="10">
        <v>65.548599058856297</v>
      </c>
      <c r="AG109" s="10">
        <v>56</v>
      </c>
      <c r="AH109" s="10">
        <v>56</v>
      </c>
      <c r="AI109" s="10">
        <v>55.965553651830902</v>
      </c>
      <c r="AJ109" s="10">
        <v>56</v>
      </c>
      <c r="AK109" s="10">
        <v>56</v>
      </c>
      <c r="AL109" s="10">
        <v>56</v>
      </c>
      <c r="AM109" s="10">
        <v>56</v>
      </c>
    </row>
    <row r="110" spans="2:39">
      <c r="B110" s="9" t="s">
        <v>25</v>
      </c>
      <c r="C110" s="10">
        <v>78</v>
      </c>
      <c r="D110" s="10">
        <v>77.400000000000006</v>
      </c>
      <c r="E110" s="10">
        <v>78</v>
      </c>
      <c r="F110" s="10">
        <v>77.400000000000006</v>
      </c>
      <c r="G110" s="10">
        <v>77.400000000000006</v>
      </c>
      <c r="H110" s="10">
        <v>78</v>
      </c>
      <c r="I110" s="10">
        <v>78</v>
      </c>
      <c r="J110" s="10">
        <v>77.400000000000006</v>
      </c>
      <c r="K110" s="10">
        <v>77.400000000000006</v>
      </c>
      <c r="L110" s="10">
        <v>77.400000000000006</v>
      </c>
      <c r="M110" s="10">
        <v>76.626000000000005</v>
      </c>
      <c r="N110" s="10">
        <v>77.400000000000006</v>
      </c>
      <c r="O110" s="10">
        <v>77.400000000000006</v>
      </c>
      <c r="P110" s="10">
        <v>78</v>
      </c>
      <c r="Q110" s="10">
        <v>77.400000000000006</v>
      </c>
      <c r="R110" s="10">
        <v>77.400000000000006</v>
      </c>
      <c r="S110" s="10">
        <v>75.829108045349003</v>
      </c>
      <c r="T110" s="10">
        <v>77.400000000000006</v>
      </c>
      <c r="U110" s="10">
        <v>77.400000000000006</v>
      </c>
      <c r="V110" s="10">
        <v>77.400000000000006</v>
      </c>
      <c r="W110" s="10">
        <v>77.400000000000006</v>
      </c>
      <c r="X110" s="10">
        <v>77.400000000000006</v>
      </c>
      <c r="Y110" s="10">
        <v>77.400000000000006</v>
      </c>
      <c r="Z110" s="10">
        <v>78</v>
      </c>
      <c r="AA110" s="10">
        <v>77.400000000000006</v>
      </c>
      <c r="AB110" s="10">
        <v>77.400000000000006</v>
      </c>
      <c r="AC110" s="10">
        <v>77.400000000000006</v>
      </c>
      <c r="AD110" s="10">
        <v>77.400000000000006</v>
      </c>
      <c r="AE110" s="10">
        <v>78</v>
      </c>
      <c r="AF110" s="10">
        <v>77.400000000000006</v>
      </c>
      <c r="AG110" s="10">
        <v>78</v>
      </c>
      <c r="AH110" s="10">
        <v>78</v>
      </c>
      <c r="AI110" s="10">
        <v>78</v>
      </c>
      <c r="AJ110" s="10">
        <v>78</v>
      </c>
      <c r="AK110" s="10">
        <v>78</v>
      </c>
      <c r="AL110" s="10">
        <v>78</v>
      </c>
      <c r="AM110" s="10">
        <v>78</v>
      </c>
    </row>
    <row r="111" spans="2:39">
      <c r="B111" s="9" t="s">
        <v>115</v>
      </c>
      <c r="C111" s="10">
        <v>74</v>
      </c>
      <c r="D111" s="10">
        <v>74.062199312714796</v>
      </c>
      <c r="E111" s="10">
        <v>74</v>
      </c>
      <c r="F111" s="10">
        <v>74.093573585712207</v>
      </c>
      <c r="G111" s="10">
        <v>74.099999999999994</v>
      </c>
      <c r="H111" s="10">
        <v>74</v>
      </c>
      <c r="I111" s="10">
        <v>74</v>
      </c>
      <c r="J111" s="10">
        <v>74.087723785166204</v>
      </c>
      <c r="K111" s="10">
        <v>74</v>
      </c>
      <c r="L111" s="10">
        <v>74.099999999999994</v>
      </c>
      <c r="M111" s="10">
        <v>73.358999999999995</v>
      </c>
      <c r="N111" s="10">
        <v>74.099999999999994</v>
      </c>
      <c r="O111" s="10">
        <v>74.080444444444396</v>
      </c>
      <c r="P111" s="10">
        <v>74</v>
      </c>
      <c r="Q111" s="10">
        <v>73.241290322580596</v>
      </c>
      <c r="R111" s="10">
        <v>74.099999999999994</v>
      </c>
      <c r="S111" s="10">
        <v>72.6643129770992</v>
      </c>
      <c r="T111" s="10">
        <v>73.739999999999995</v>
      </c>
      <c r="U111" s="10">
        <v>74.025000000000006</v>
      </c>
      <c r="V111" s="10">
        <v>73.825714285714298</v>
      </c>
      <c r="W111" s="10">
        <v>74.099999999999994</v>
      </c>
      <c r="X111" s="10">
        <v>73.984864863810699</v>
      </c>
      <c r="Y111" s="10">
        <v>74.099999999999994</v>
      </c>
      <c r="Z111" s="10">
        <v>73.981447124304296</v>
      </c>
      <c r="AA111" s="10">
        <v>74.063003832655596</v>
      </c>
      <c r="AB111" s="10">
        <v>73.458767772511806</v>
      </c>
      <c r="AC111" s="10">
        <v>74.099999999999994</v>
      </c>
      <c r="AD111" s="10">
        <v>74.099999999999994</v>
      </c>
      <c r="AE111" s="10">
        <v>74</v>
      </c>
      <c r="AF111" s="10">
        <v>73.422578109648299</v>
      </c>
      <c r="AG111" s="10">
        <v>74</v>
      </c>
      <c r="AH111" s="10">
        <v>74</v>
      </c>
      <c r="AI111" s="10">
        <v>73.915081334436195</v>
      </c>
      <c r="AJ111" s="10">
        <v>74</v>
      </c>
      <c r="AK111" s="10">
        <v>74</v>
      </c>
      <c r="AL111" s="10">
        <v>74</v>
      </c>
      <c r="AM111" s="10">
        <v>74</v>
      </c>
    </row>
    <row r="112" spans="2:39">
      <c r="B112" s="9" t="s">
        <v>114</v>
      </c>
      <c r="C112" s="10">
        <v>65</v>
      </c>
      <c r="D112" s="10">
        <v>63.1</v>
      </c>
      <c r="E112" s="10">
        <v>65</v>
      </c>
      <c r="F112" s="10">
        <v>63.1</v>
      </c>
      <c r="G112" s="10">
        <v>63.1</v>
      </c>
      <c r="H112" s="10">
        <v>65</v>
      </c>
      <c r="I112" s="10">
        <v>65</v>
      </c>
      <c r="J112" s="10">
        <v>63.1</v>
      </c>
      <c r="K112" s="10">
        <v>63.1</v>
      </c>
      <c r="L112" s="10">
        <v>63.1</v>
      </c>
      <c r="M112" s="10">
        <v>62.469000000000001</v>
      </c>
      <c r="N112" s="10">
        <v>63.1</v>
      </c>
      <c r="O112" s="10">
        <v>63.1</v>
      </c>
      <c r="P112" s="10">
        <v>65</v>
      </c>
      <c r="Q112" s="10">
        <v>63.1</v>
      </c>
      <c r="R112" s="10">
        <v>63.1</v>
      </c>
      <c r="S112" s="10">
        <v>63.1</v>
      </c>
      <c r="T112" s="10">
        <v>63.1</v>
      </c>
      <c r="U112" s="10">
        <v>63.1</v>
      </c>
      <c r="V112" s="10">
        <v>63.1</v>
      </c>
      <c r="W112" s="10">
        <v>63.1</v>
      </c>
      <c r="X112" s="10">
        <v>63.1</v>
      </c>
      <c r="Y112" s="10">
        <v>63.1</v>
      </c>
      <c r="Z112" s="10">
        <v>65</v>
      </c>
      <c r="AA112" s="10">
        <v>63.1</v>
      </c>
      <c r="AB112" s="10">
        <v>63.1</v>
      </c>
      <c r="AC112" s="10">
        <v>63.1</v>
      </c>
      <c r="AD112" s="10">
        <v>63.1</v>
      </c>
      <c r="AE112" s="10">
        <v>65</v>
      </c>
      <c r="AF112" s="10">
        <v>63.1</v>
      </c>
      <c r="AG112" s="10">
        <v>65</v>
      </c>
      <c r="AH112" s="10">
        <v>65</v>
      </c>
      <c r="AI112" s="10">
        <v>65</v>
      </c>
      <c r="AJ112" s="10">
        <v>65</v>
      </c>
      <c r="AK112" s="10">
        <v>65</v>
      </c>
      <c r="AL112" s="10">
        <v>65</v>
      </c>
      <c r="AM112" s="10">
        <v>65</v>
      </c>
    </row>
    <row r="113" spans="2:39">
      <c r="B113" s="9" t="s">
        <v>113</v>
      </c>
      <c r="C113" s="10">
        <v>45</v>
      </c>
      <c r="D113" s="10">
        <v>85.85</v>
      </c>
      <c r="E113" s="10">
        <v>45</v>
      </c>
      <c r="F113" s="10">
        <v>85.85</v>
      </c>
      <c r="G113" s="10">
        <v>85.85</v>
      </c>
      <c r="H113" s="10">
        <v>45</v>
      </c>
      <c r="I113" s="10">
        <v>45</v>
      </c>
      <c r="J113" s="10">
        <v>85.85</v>
      </c>
      <c r="K113" s="10">
        <v>85.85</v>
      </c>
      <c r="L113" s="10">
        <v>85.85</v>
      </c>
      <c r="M113" s="10">
        <v>31.481999999999999</v>
      </c>
      <c r="N113" s="10">
        <v>85.85</v>
      </c>
      <c r="O113" s="10">
        <v>85.85</v>
      </c>
      <c r="P113" s="10">
        <v>45</v>
      </c>
      <c r="Q113" s="10">
        <v>85.85</v>
      </c>
      <c r="R113" s="10">
        <v>85.85</v>
      </c>
      <c r="S113" s="10">
        <v>85.85</v>
      </c>
      <c r="T113" s="10">
        <v>85.85</v>
      </c>
      <c r="U113" s="10">
        <v>85.85</v>
      </c>
      <c r="V113" s="10">
        <v>85.85</v>
      </c>
      <c r="W113" s="10">
        <v>85.85</v>
      </c>
      <c r="X113" s="10">
        <v>85.85</v>
      </c>
      <c r="Y113" s="10">
        <v>85.85</v>
      </c>
      <c r="Z113" s="10">
        <v>45</v>
      </c>
      <c r="AA113" s="10">
        <v>85.85</v>
      </c>
      <c r="AB113" s="10">
        <v>85.85</v>
      </c>
      <c r="AC113" s="10">
        <v>85.85</v>
      </c>
      <c r="AD113" s="10">
        <v>85.85</v>
      </c>
      <c r="AE113" s="10">
        <v>45</v>
      </c>
      <c r="AF113" s="10">
        <v>85.85</v>
      </c>
      <c r="AG113" s="10">
        <v>45</v>
      </c>
      <c r="AH113" s="10">
        <v>45</v>
      </c>
      <c r="AI113" s="10">
        <v>45</v>
      </c>
      <c r="AJ113" s="10">
        <v>45</v>
      </c>
      <c r="AK113" s="10">
        <v>45</v>
      </c>
      <c r="AL113" s="10">
        <v>45</v>
      </c>
      <c r="AM113" s="10">
        <v>45</v>
      </c>
    </row>
    <row r="114" spans="2:39">
      <c r="B114" s="9" t="s">
        <v>112</v>
      </c>
      <c r="C114" s="10">
        <v>73.3</v>
      </c>
      <c r="D114" s="10">
        <v>73.3</v>
      </c>
      <c r="E114" s="10">
        <v>73.3</v>
      </c>
      <c r="F114" s="10">
        <v>73.3</v>
      </c>
      <c r="G114" s="10">
        <v>73.3</v>
      </c>
      <c r="H114" s="10">
        <v>73.3</v>
      </c>
      <c r="I114" s="10">
        <v>73.3</v>
      </c>
      <c r="J114" s="10">
        <v>73.3</v>
      </c>
      <c r="K114" s="10">
        <v>73.3</v>
      </c>
      <c r="L114" s="10">
        <v>73.3</v>
      </c>
      <c r="M114" s="10">
        <v>72.566999999999993</v>
      </c>
      <c r="N114" s="10">
        <v>73.3</v>
      </c>
      <c r="O114" s="10">
        <v>73.3</v>
      </c>
      <c r="P114" s="10">
        <v>73.3</v>
      </c>
      <c r="Q114" s="10">
        <v>73.3</v>
      </c>
      <c r="R114" s="10">
        <v>73.3</v>
      </c>
      <c r="S114" s="10">
        <v>73.3</v>
      </c>
      <c r="T114" s="10">
        <v>73.3</v>
      </c>
      <c r="U114" s="10">
        <v>73.3</v>
      </c>
      <c r="V114" s="10">
        <v>73.3</v>
      </c>
      <c r="W114" s="10">
        <v>73.3</v>
      </c>
      <c r="X114" s="10">
        <v>73.3</v>
      </c>
      <c r="Y114" s="10">
        <v>73.3</v>
      </c>
      <c r="Z114" s="10">
        <v>73.3</v>
      </c>
      <c r="AA114" s="10">
        <v>73.3</v>
      </c>
      <c r="AB114" s="10">
        <v>73.3</v>
      </c>
      <c r="AC114" s="10">
        <v>73.3</v>
      </c>
      <c r="AD114" s="10">
        <v>73.3</v>
      </c>
      <c r="AE114" s="10">
        <v>73.3</v>
      </c>
      <c r="AF114" s="10">
        <v>73.3</v>
      </c>
      <c r="AG114" s="10">
        <v>73.3</v>
      </c>
      <c r="AH114" s="10">
        <v>73.3</v>
      </c>
      <c r="AI114" s="10">
        <v>73.3</v>
      </c>
      <c r="AJ114" s="10">
        <v>73.3</v>
      </c>
      <c r="AK114" s="10">
        <v>73.3</v>
      </c>
      <c r="AL114" s="10">
        <v>73.3</v>
      </c>
      <c r="AM114" s="10">
        <v>73.3</v>
      </c>
    </row>
    <row r="115" spans="2:39">
      <c r="B115" s="9" t="s">
        <v>111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</row>
    <row r="116" spans="2:39">
      <c r="B116" s="9" t="s">
        <v>110</v>
      </c>
      <c r="C116" s="10">
        <v>60</v>
      </c>
      <c r="D116" s="10">
        <v>56.1</v>
      </c>
      <c r="E116" s="10">
        <v>60</v>
      </c>
      <c r="F116" s="10">
        <v>56.1</v>
      </c>
      <c r="G116" s="10">
        <v>56.1</v>
      </c>
      <c r="H116" s="10">
        <v>60</v>
      </c>
      <c r="I116" s="10">
        <v>60</v>
      </c>
      <c r="J116" s="10">
        <v>56.1</v>
      </c>
      <c r="K116" s="10">
        <v>56.1</v>
      </c>
      <c r="L116" s="10">
        <v>56.1</v>
      </c>
      <c r="M116" s="10">
        <v>55.539000000000001</v>
      </c>
      <c r="N116" s="10">
        <v>56.1</v>
      </c>
      <c r="O116" s="10">
        <v>56.1</v>
      </c>
      <c r="P116" s="10">
        <v>60</v>
      </c>
      <c r="Q116" s="10">
        <v>56.1</v>
      </c>
      <c r="R116" s="10">
        <v>56.1</v>
      </c>
      <c r="S116" s="10">
        <v>56.1</v>
      </c>
      <c r="T116" s="10">
        <v>56.1</v>
      </c>
      <c r="U116" s="10">
        <v>56.1</v>
      </c>
      <c r="V116" s="10">
        <v>56.1</v>
      </c>
      <c r="W116" s="10">
        <v>56.1</v>
      </c>
      <c r="X116" s="10">
        <v>56.1</v>
      </c>
      <c r="Y116" s="10">
        <v>56.1</v>
      </c>
      <c r="Z116" s="10">
        <v>60</v>
      </c>
      <c r="AA116" s="10">
        <v>56.1</v>
      </c>
      <c r="AB116" s="10">
        <v>56.1</v>
      </c>
      <c r="AC116" s="10">
        <v>56.1</v>
      </c>
      <c r="AD116" s="10">
        <v>56.1</v>
      </c>
      <c r="AE116" s="10">
        <v>60</v>
      </c>
      <c r="AF116" s="10">
        <v>56.1</v>
      </c>
      <c r="AG116" s="10">
        <v>60</v>
      </c>
      <c r="AH116" s="10">
        <v>60</v>
      </c>
      <c r="AI116" s="10">
        <v>60</v>
      </c>
      <c r="AJ116" s="10">
        <v>60</v>
      </c>
      <c r="AK116" s="10">
        <v>60</v>
      </c>
      <c r="AL116" s="10">
        <v>60</v>
      </c>
      <c r="AM116" s="10">
        <v>60</v>
      </c>
    </row>
    <row r="117" spans="2:39">
      <c r="B117" s="9" t="s">
        <v>109</v>
      </c>
      <c r="C117" s="10">
        <v>45</v>
      </c>
      <c r="D117" s="10">
        <v>85.85</v>
      </c>
      <c r="E117" s="10">
        <v>45</v>
      </c>
      <c r="F117" s="10">
        <v>85.85</v>
      </c>
      <c r="G117" s="10">
        <v>85.85</v>
      </c>
      <c r="H117" s="10">
        <v>45</v>
      </c>
      <c r="I117" s="10">
        <v>45</v>
      </c>
      <c r="J117" s="10">
        <v>85.85</v>
      </c>
      <c r="K117" s="10">
        <v>85.85</v>
      </c>
      <c r="L117" s="10">
        <v>85.85</v>
      </c>
      <c r="M117" s="10">
        <v>74.25</v>
      </c>
      <c r="N117" s="10">
        <v>85.85</v>
      </c>
      <c r="O117" s="10">
        <v>85.85</v>
      </c>
      <c r="P117" s="10">
        <v>45</v>
      </c>
      <c r="Q117" s="10">
        <v>85.85</v>
      </c>
      <c r="R117" s="10">
        <v>85.85</v>
      </c>
      <c r="S117" s="10">
        <v>85.85</v>
      </c>
      <c r="T117" s="10">
        <v>85.85</v>
      </c>
      <c r="U117" s="10">
        <v>85.85</v>
      </c>
      <c r="V117" s="10">
        <v>85.85</v>
      </c>
      <c r="W117" s="10">
        <v>85.85</v>
      </c>
      <c r="X117" s="10">
        <v>85.85</v>
      </c>
      <c r="Y117" s="10">
        <v>85.85</v>
      </c>
      <c r="Z117" s="10">
        <v>45</v>
      </c>
      <c r="AA117" s="10">
        <v>85.85</v>
      </c>
      <c r="AB117" s="10">
        <v>85.85</v>
      </c>
      <c r="AC117" s="10">
        <v>85.85</v>
      </c>
      <c r="AD117" s="10">
        <v>85.85</v>
      </c>
      <c r="AE117" s="10">
        <v>45</v>
      </c>
      <c r="AF117" s="10">
        <v>85.85</v>
      </c>
      <c r="AG117" s="10">
        <v>45</v>
      </c>
      <c r="AH117" s="10">
        <v>45</v>
      </c>
      <c r="AI117" s="10">
        <v>45</v>
      </c>
      <c r="AJ117" s="10">
        <v>45</v>
      </c>
      <c r="AK117" s="10">
        <v>45</v>
      </c>
      <c r="AL117" s="10">
        <v>45</v>
      </c>
      <c r="AM117" s="10">
        <v>45</v>
      </c>
    </row>
    <row r="118" spans="2:39">
      <c r="B118" s="9" t="s">
        <v>108</v>
      </c>
      <c r="C118" s="10">
        <v>0</v>
      </c>
      <c r="D118" s="10"/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45</v>
      </c>
      <c r="AA118" s="10">
        <v>0</v>
      </c>
      <c r="AB118" s="10">
        <v>85.85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</row>
    <row r="119" spans="2:39">
      <c r="B119" s="9" t="s">
        <v>107</v>
      </c>
      <c r="C119" s="10">
        <v>108.2</v>
      </c>
      <c r="D119" s="10">
        <v>98.3</v>
      </c>
      <c r="E119" s="10">
        <v>108.32</v>
      </c>
      <c r="F119" s="10">
        <v>98.3</v>
      </c>
      <c r="G119" s="10">
        <v>98.3</v>
      </c>
      <c r="H119" s="10">
        <v>108.26315789473701</v>
      </c>
      <c r="I119" s="10">
        <v>108.7113243762</v>
      </c>
      <c r="J119" s="10">
        <v>98.3</v>
      </c>
      <c r="K119" s="10">
        <v>101.2</v>
      </c>
      <c r="L119" s="10">
        <v>106.99</v>
      </c>
      <c r="M119" s="10">
        <v>98.3</v>
      </c>
      <c r="N119" s="10">
        <v>107.542417582418</v>
      </c>
      <c r="O119" s="10">
        <v>98.3</v>
      </c>
      <c r="P119" s="10">
        <v>108.317073170732</v>
      </c>
      <c r="Q119" s="10">
        <v>101.2</v>
      </c>
      <c r="R119" s="10">
        <v>98.3</v>
      </c>
      <c r="S119" s="10">
        <v>98.704832713754598</v>
      </c>
      <c r="T119" s="10">
        <v>98.3</v>
      </c>
      <c r="U119" s="10">
        <v>98.3</v>
      </c>
      <c r="V119" s="10">
        <v>98.3</v>
      </c>
      <c r="W119" s="10">
        <v>98.3</v>
      </c>
      <c r="X119" s="10">
        <v>108.2</v>
      </c>
      <c r="Y119" s="10">
        <v>98.3</v>
      </c>
      <c r="Z119" s="10">
        <v>104.679406307978</v>
      </c>
      <c r="AA119" s="10">
        <v>98.3</v>
      </c>
      <c r="AB119" s="10">
        <v>107.905494505495</v>
      </c>
      <c r="AC119" s="10">
        <v>108.2</v>
      </c>
      <c r="AD119" s="10">
        <v>98.3</v>
      </c>
      <c r="AE119" s="10">
        <v>108.23829787234</v>
      </c>
      <c r="AF119" s="10">
        <v>108.09060773480699</v>
      </c>
      <c r="AG119" s="10">
        <v>95</v>
      </c>
      <c r="AH119" s="10">
        <v>95</v>
      </c>
      <c r="AI119" s="10">
        <v>95</v>
      </c>
      <c r="AJ119" s="10">
        <v>95</v>
      </c>
      <c r="AK119" s="10">
        <v>95</v>
      </c>
      <c r="AL119" s="10">
        <v>95</v>
      </c>
      <c r="AM119" s="10">
        <v>95</v>
      </c>
    </row>
    <row r="120" spans="2:39">
      <c r="B120" s="9" t="s">
        <v>106</v>
      </c>
      <c r="C120" s="10">
        <v>80</v>
      </c>
      <c r="D120" s="10">
        <v>73.3</v>
      </c>
      <c r="E120" s="10">
        <v>80</v>
      </c>
      <c r="F120" s="10">
        <v>73.3</v>
      </c>
      <c r="G120" s="10">
        <v>73.3</v>
      </c>
      <c r="H120" s="10">
        <v>80</v>
      </c>
      <c r="I120" s="10">
        <v>80</v>
      </c>
      <c r="J120" s="10">
        <v>73.3</v>
      </c>
      <c r="K120" s="10">
        <v>73.3</v>
      </c>
      <c r="L120" s="10">
        <v>73.3</v>
      </c>
      <c r="M120" s="10">
        <v>73.3</v>
      </c>
      <c r="N120" s="10">
        <v>73.3</v>
      </c>
      <c r="O120" s="10">
        <v>73.3</v>
      </c>
      <c r="P120" s="10">
        <v>80</v>
      </c>
      <c r="Q120" s="10">
        <v>73.3</v>
      </c>
      <c r="R120" s="10">
        <v>73.3</v>
      </c>
      <c r="S120" s="10">
        <v>73.3</v>
      </c>
      <c r="T120" s="10">
        <v>73.3</v>
      </c>
      <c r="U120" s="10">
        <v>73.3</v>
      </c>
      <c r="V120" s="10">
        <v>73.3</v>
      </c>
      <c r="W120" s="10">
        <v>73.3</v>
      </c>
      <c r="X120" s="10">
        <v>73.3</v>
      </c>
      <c r="Y120" s="10">
        <v>73.3</v>
      </c>
      <c r="Z120" s="10">
        <v>80</v>
      </c>
      <c r="AA120" s="10">
        <v>73.3</v>
      </c>
      <c r="AB120" s="10">
        <v>73.3</v>
      </c>
      <c r="AC120" s="10">
        <v>73.3</v>
      </c>
      <c r="AD120" s="10">
        <v>73.3</v>
      </c>
      <c r="AE120" s="10">
        <v>80</v>
      </c>
      <c r="AF120" s="10">
        <v>73.3</v>
      </c>
      <c r="AG120" s="10">
        <v>80</v>
      </c>
      <c r="AH120" s="10">
        <v>80</v>
      </c>
      <c r="AI120" s="10">
        <v>80</v>
      </c>
      <c r="AJ120" s="10">
        <v>80</v>
      </c>
      <c r="AK120" s="10">
        <v>80</v>
      </c>
      <c r="AL120" s="10">
        <v>80</v>
      </c>
      <c r="AM120" s="10">
        <v>80</v>
      </c>
    </row>
    <row r="121" spans="2:39">
      <c r="B121" s="9" t="s">
        <v>105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3.4874999999999998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37.4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</row>
    <row r="122" spans="2:39">
      <c r="B122" s="9" t="s">
        <v>104</v>
      </c>
      <c r="C122" s="10">
        <v>60.590809628008799</v>
      </c>
      <c r="D122" s="10">
        <v>56.420987654321003</v>
      </c>
      <c r="E122" s="10">
        <v>65.064686346727598</v>
      </c>
      <c r="F122" s="10">
        <v>70.986937173770997</v>
      </c>
      <c r="G122" s="10">
        <v>56.1</v>
      </c>
      <c r="H122" s="10">
        <v>60</v>
      </c>
      <c r="I122" s="10">
        <v>60.541943131050701</v>
      </c>
      <c r="J122" s="10">
        <v>57.5200245996595</v>
      </c>
      <c r="K122" s="10">
        <v>56.1</v>
      </c>
      <c r="L122" s="10">
        <v>56.1</v>
      </c>
      <c r="M122" s="10">
        <v>56.1</v>
      </c>
      <c r="N122" s="10">
        <v>56.4709727632778</v>
      </c>
      <c r="O122" s="10">
        <v>56.772082717872998</v>
      </c>
      <c r="P122" s="10">
        <v>60</v>
      </c>
      <c r="Q122" s="10">
        <v>56.582758620689702</v>
      </c>
      <c r="R122" s="10">
        <v>56.1</v>
      </c>
      <c r="S122" s="10">
        <v>56.8468682967167</v>
      </c>
      <c r="T122" s="10">
        <v>56.1</v>
      </c>
      <c r="U122" s="10">
        <v>56.1</v>
      </c>
      <c r="V122" s="10">
        <v>56.1</v>
      </c>
      <c r="W122" s="10">
        <v>56.1</v>
      </c>
      <c r="X122" s="10">
        <v>69.417060754821094</v>
      </c>
      <c r="Y122" s="10">
        <v>56.269014084506999</v>
      </c>
      <c r="Z122" s="10">
        <v>60</v>
      </c>
      <c r="AA122" s="10">
        <v>63.1</v>
      </c>
      <c r="AB122" s="10">
        <v>56.301040512691102</v>
      </c>
      <c r="AC122" s="10">
        <v>56.1</v>
      </c>
      <c r="AD122" s="10">
        <v>56.1</v>
      </c>
      <c r="AE122" s="10">
        <v>61.060288517345199</v>
      </c>
      <c r="AF122" s="10">
        <v>56.189090909090901</v>
      </c>
      <c r="AG122" s="10">
        <v>60</v>
      </c>
      <c r="AH122" s="10">
        <v>60</v>
      </c>
      <c r="AI122" s="10">
        <v>60.167692806221702</v>
      </c>
      <c r="AJ122" s="10">
        <v>60</v>
      </c>
      <c r="AK122" s="10">
        <v>60</v>
      </c>
      <c r="AL122" s="10">
        <v>60</v>
      </c>
      <c r="AM122" s="10">
        <v>60</v>
      </c>
    </row>
    <row r="123" spans="2:39">
      <c r="B123" s="9" t="s">
        <v>103</v>
      </c>
      <c r="C123" s="10">
        <v>85.122384570224497</v>
      </c>
      <c r="D123" s="10">
        <v>89.602608746831294</v>
      </c>
      <c r="E123" s="10">
        <v>78</v>
      </c>
      <c r="F123" s="10">
        <v>111.147661417953</v>
      </c>
      <c r="G123" s="10">
        <v>77.400000000000006</v>
      </c>
      <c r="H123" s="10">
        <v>119.43410312994899</v>
      </c>
      <c r="I123" s="10">
        <v>88.399165449363807</v>
      </c>
      <c r="J123" s="10">
        <v>105.46933590413801</v>
      </c>
      <c r="K123" s="10">
        <v>74.512500000000003</v>
      </c>
      <c r="L123" s="10">
        <v>76.193411964837907</v>
      </c>
      <c r="M123" s="10">
        <v>273.60941439263399</v>
      </c>
      <c r="N123" s="10">
        <v>80.498436314051901</v>
      </c>
      <c r="O123" s="10">
        <v>94.644898043641106</v>
      </c>
      <c r="P123" s="10">
        <v>85.558701610646906</v>
      </c>
      <c r="Q123" s="10">
        <v>76.834285714285699</v>
      </c>
      <c r="R123" s="10">
        <v>77.400000000000006</v>
      </c>
      <c r="S123" s="10">
        <v>78.024480038737593</v>
      </c>
      <c r="T123" s="10">
        <v>118.82317834285701</v>
      </c>
      <c r="U123" s="10">
        <v>77.400000000000006</v>
      </c>
      <c r="V123" s="10">
        <v>77.400000000000006</v>
      </c>
      <c r="W123" s="10">
        <v>77.400000000000006</v>
      </c>
      <c r="X123" s="10">
        <v>102.699962201227</v>
      </c>
      <c r="Y123" s="10">
        <v>74.099999999999994</v>
      </c>
      <c r="Z123" s="10">
        <v>197.80864152838001</v>
      </c>
      <c r="AA123" s="10">
        <v>75.500668151447698</v>
      </c>
      <c r="AB123" s="10">
        <v>76.806475247149194</v>
      </c>
      <c r="AC123" s="10">
        <v>173.83887312687301</v>
      </c>
      <c r="AD123" s="10">
        <v>77.400000000000006</v>
      </c>
      <c r="AE123" s="10">
        <v>241.40093460363499</v>
      </c>
      <c r="AF123" s="10">
        <v>80.323204755784005</v>
      </c>
      <c r="AG123" s="10">
        <v>78</v>
      </c>
      <c r="AH123" s="10">
        <v>74</v>
      </c>
      <c r="AI123" s="10">
        <v>78.291973111901896</v>
      </c>
      <c r="AJ123" s="10">
        <v>78</v>
      </c>
      <c r="AK123" s="10">
        <v>78</v>
      </c>
      <c r="AL123" s="10">
        <v>78</v>
      </c>
      <c r="AM123" s="10">
        <v>78</v>
      </c>
    </row>
    <row r="131" spans="3:39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 spans="3:39"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 spans="3:39"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 spans="3:39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 spans="3:39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 spans="3:39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 spans="3:39"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 spans="3:39"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 spans="3:39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spans="3:39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 spans="3:39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 spans="3:39"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 spans="3:39"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 spans="3:39"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 spans="3:39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 spans="3:39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 spans="3:39"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 spans="3:39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 spans="3:39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 spans="3:39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 spans="3:39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 spans="3:39"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 spans="3:39"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 spans="3:39"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 spans="3:39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 spans="3:39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 spans="3:39"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 spans="3:39"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 spans="3:39"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 spans="3:39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 spans="3:39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 spans="3:39"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 spans="3:39"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 spans="3:39"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0"/>
  <sheetViews>
    <sheetView workbookViewId="0">
      <selection activeCell="O25" sqref="O25"/>
    </sheetView>
  </sheetViews>
  <sheetFormatPr defaultRowHeight="13.2"/>
  <cols>
    <col min="2" max="2" width="14.5546875" bestFit="1" customWidth="1"/>
  </cols>
  <sheetData>
    <row r="1" spans="2:12">
      <c r="L1" t="s">
        <v>310</v>
      </c>
    </row>
    <row r="2" spans="2:12" ht="14.4">
      <c r="B2" s="45"/>
      <c r="C2" s="45"/>
      <c r="D2" s="45"/>
      <c r="E2" s="45"/>
      <c r="F2" s="45" t="s">
        <v>299</v>
      </c>
      <c r="G2" s="45" t="s">
        <v>311</v>
      </c>
      <c r="H2" s="45" t="s">
        <v>300</v>
      </c>
      <c r="I2" s="45" t="s">
        <v>301</v>
      </c>
      <c r="J2" s="45" t="s">
        <v>308</v>
      </c>
      <c r="L2" s="45" t="s">
        <v>309</v>
      </c>
    </row>
    <row r="3" spans="2:12" ht="14.4">
      <c r="B3" s="45" t="s">
        <v>302</v>
      </c>
      <c r="C3" s="45" t="s">
        <v>303</v>
      </c>
      <c r="D3">
        <v>4.3</v>
      </c>
      <c r="E3" t="s">
        <v>304</v>
      </c>
      <c r="F3">
        <v>18</v>
      </c>
      <c r="G3">
        <f>D3*F3/1000</f>
        <v>7.7399999999999997E-2</v>
      </c>
      <c r="H3" s="44">
        <f>D3*0.5</f>
        <v>2.15</v>
      </c>
      <c r="I3" s="44">
        <f>H3*44/12</f>
        <v>7.8833333333333329</v>
      </c>
      <c r="J3" s="44">
        <f>I3-I4</f>
        <v>5.9805333333333328</v>
      </c>
      <c r="L3" s="19">
        <f>I3/G3</f>
        <v>101.85185185185185</v>
      </c>
    </row>
    <row r="4" spans="2:12" ht="14.4">
      <c r="B4" s="45"/>
      <c r="C4" s="45" t="s">
        <v>305</v>
      </c>
      <c r="D4">
        <v>1</v>
      </c>
      <c r="E4" t="s">
        <v>304</v>
      </c>
      <c r="F4">
        <v>26.8</v>
      </c>
      <c r="G4">
        <f>D4*F4/1000</f>
        <v>2.6800000000000001E-2</v>
      </c>
      <c r="H4" s="27">
        <f>I4/(44/12)</f>
        <v>0.5189454545454546</v>
      </c>
      <c r="I4" s="47">
        <f>71*G4</f>
        <v>1.9028</v>
      </c>
      <c r="L4" s="19">
        <f>I4/G4</f>
        <v>71</v>
      </c>
    </row>
    <row r="5" spans="2:12" ht="14.4">
      <c r="B5" s="45"/>
      <c r="C5" s="45"/>
      <c r="D5" s="46">
        <f>D4/D3</f>
        <v>0.23255813953488372</v>
      </c>
      <c r="F5" s="46"/>
      <c r="G5" s="46">
        <f>G4/G3</f>
        <v>0.34625322997416025</v>
      </c>
      <c r="H5" s="46"/>
      <c r="I5" s="46">
        <f>I4/I3</f>
        <v>0.24136997885835096</v>
      </c>
      <c r="L5" s="19"/>
    </row>
    <row r="6" spans="2:12" ht="14.4">
      <c r="B6" s="45"/>
      <c r="C6" s="45"/>
      <c r="D6" s="46"/>
      <c r="F6" s="46"/>
      <c r="G6" s="46"/>
      <c r="I6" s="44"/>
      <c r="L6" s="19"/>
    </row>
    <row r="7" spans="2:12" ht="14.4">
      <c r="B7" s="45"/>
      <c r="C7" s="45"/>
      <c r="D7" s="45"/>
      <c r="F7" s="45" t="s">
        <v>299</v>
      </c>
      <c r="G7" s="45" t="s">
        <v>311</v>
      </c>
      <c r="H7" s="45" t="s">
        <v>300</v>
      </c>
      <c r="I7" s="45" t="s">
        <v>301</v>
      </c>
      <c r="J7" s="45" t="s">
        <v>308</v>
      </c>
      <c r="L7" s="19"/>
    </row>
    <row r="8" spans="2:12" ht="14.4">
      <c r="B8" s="45" t="s">
        <v>306</v>
      </c>
      <c r="C8" s="45" t="s">
        <v>303</v>
      </c>
      <c r="D8">
        <v>5</v>
      </c>
      <c r="E8" t="s">
        <v>304</v>
      </c>
      <c r="F8">
        <v>18</v>
      </c>
      <c r="G8">
        <f>D8*F8/1000</f>
        <v>0.09</v>
      </c>
      <c r="H8" s="44">
        <f>D8*0.5</f>
        <v>2.5</v>
      </c>
      <c r="I8" s="44">
        <f>H8*44/12</f>
        <v>9.1666666666666661</v>
      </c>
      <c r="J8" s="44">
        <f>I8-I9</f>
        <v>6.3320266666666658</v>
      </c>
      <c r="L8" s="19">
        <f>I8/G8</f>
        <v>101.85185185185185</v>
      </c>
    </row>
    <row r="9" spans="2:12" ht="14.4">
      <c r="B9" s="45"/>
      <c r="C9" s="45" t="s">
        <v>307</v>
      </c>
      <c r="D9">
        <v>1</v>
      </c>
      <c r="E9" t="s">
        <v>304</v>
      </c>
      <c r="F9">
        <v>37.200000000000003</v>
      </c>
      <c r="G9">
        <f>D9*F9/1000</f>
        <v>3.7200000000000004E-2</v>
      </c>
      <c r="H9" s="27">
        <f>I9/(44/12)</f>
        <v>0.77308363636363642</v>
      </c>
      <c r="I9" s="47">
        <f>76.2*G9</f>
        <v>2.8346400000000003</v>
      </c>
      <c r="L9" s="44">
        <f>I9/G9</f>
        <v>76.2</v>
      </c>
    </row>
    <row r="10" spans="2:12" ht="14.4">
      <c r="B10" s="45"/>
      <c r="C10" s="45"/>
      <c r="D10" s="46">
        <f>D9/D8</f>
        <v>0.2</v>
      </c>
      <c r="E10" s="46"/>
      <c r="F10" s="46"/>
      <c r="G10" s="46">
        <f>G9/G8</f>
        <v>0.41333333333333339</v>
      </c>
      <c r="H10" s="46"/>
      <c r="I10" s="46">
        <f>I9/I8</f>
        <v>0.30923345454545459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5:K8"/>
  <sheetViews>
    <sheetView workbookViewId="0">
      <selection activeCell="K7" sqref="K7"/>
    </sheetView>
  </sheetViews>
  <sheetFormatPr defaultRowHeight="13.2"/>
  <cols>
    <col min="4" max="4" width="9.88671875" bestFit="1" customWidth="1"/>
    <col min="5" max="5" width="8" bestFit="1" customWidth="1"/>
    <col min="6" max="6" width="13.88671875" bestFit="1" customWidth="1"/>
    <col min="7" max="7" width="5.88671875" customWidth="1"/>
    <col min="8" max="8" width="10.6640625" bestFit="1" customWidth="1"/>
    <col min="9" max="9" width="8.6640625" bestFit="1" customWidth="1"/>
    <col min="10" max="10" width="8.44140625" bestFit="1" customWidth="1"/>
    <col min="11" max="11" width="26.88671875" bestFit="1" customWidth="1"/>
  </cols>
  <sheetData>
    <row r="5" spans="4:11" ht="14.4">
      <c r="D5" s="49" t="s">
        <v>1</v>
      </c>
    </row>
    <row r="6" spans="4:11" ht="15" thickBot="1">
      <c r="D6" s="50" t="s">
        <v>54</v>
      </c>
      <c r="E6" s="50" t="s">
        <v>55</v>
      </c>
      <c r="F6" s="50" t="s">
        <v>56</v>
      </c>
      <c r="G6" s="50" t="s">
        <v>57</v>
      </c>
      <c r="H6" s="50" t="s">
        <v>61</v>
      </c>
      <c r="I6" s="50" t="s">
        <v>131</v>
      </c>
      <c r="J6" s="50" t="s">
        <v>58</v>
      </c>
      <c r="K6" s="50" t="s">
        <v>60</v>
      </c>
    </row>
    <row r="7" spans="4:11">
      <c r="D7" t="s">
        <v>353</v>
      </c>
      <c r="E7" s="34" t="s">
        <v>352</v>
      </c>
      <c r="F7" t="s">
        <v>350</v>
      </c>
      <c r="G7" s="34">
        <v>0</v>
      </c>
      <c r="H7" s="34">
        <v>-1</v>
      </c>
      <c r="K7" s="20" t="s">
        <v>351</v>
      </c>
    </row>
    <row r="8" spans="4:11">
      <c r="H8" s="51"/>
      <c r="K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Coeffs_ELC</vt:lpstr>
      <vt:lpstr>Final Coeffs_SUP</vt:lpstr>
      <vt:lpstr>Final Coeffs_IND</vt:lpstr>
      <vt:lpstr>EmiFactors_IND</vt:lpstr>
      <vt:lpstr>EmiFactors_TRA</vt:lpstr>
      <vt:lpstr>EmiFactors_AGR_COM_RSD</vt:lpstr>
      <vt:lpstr>ETS Emissions</vt:lpstr>
      <vt:lpstr>Biofuel 2nd with CCS</vt:lpstr>
      <vt:lpstr>Negative Emissions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Johanna Markkanen</cp:lastModifiedBy>
  <cp:lastPrinted>2006-08-03T13:15:24Z</cp:lastPrinted>
  <dcterms:created xsi:type="dcterms:W3CDTF">2006-04-24T12:33:08Z</dcterms:created>
  <dcterms:modified xsi:type="dcterms:W3CDTF">2025-11-04T13:04:31Z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459406793117523</vt:r8>
  </property>
</Properties>
</file>