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080579DF-1E2F-4EDE-93E0-21C2B172DC3C}" xr6:coauthVersionLast="47" xr6:coauthVersionMax="47" xr10:uidLastSave="{00000000-0000-0000-0000-000000000000}"/>
  <bookViews>
    <workbookView xWindow="-108" yWindow="-108" windowWidth="30936" windowHeight="16896" xr2:uid="{CB54C06F-5284-49AE-87F6-892DD5B5B09E}"/>
  </bookViews>
  <sheets>
    <sheet name="REN" sheetId="4" r:id="rId1"/>
    <sheet name="FOS" sheetId="5" r:id="rId2"/>
    <sheet name="LPG" sheetId="1" r:id="rId3"/>
    <sheet name="TRA" sheetId="2" r:id="rId4"/>
    <sheet name="HDD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5" l="1"/>
  <c r="H75" i="5"/>
  <c r="F75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H42" i="5"/>
  <c r="G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42" i="5"/>
  <c r="S74" i="5"/>
  <c r="T74" i="5"/>
  <c r="U74" i="5"/>
  <c r="V74" i="5"/>
  <c r="W74" i="5"/>
  <c r="X74" i="5"/>
  <c r="Y74" i="5"/>
  <c r="Z74" i="5"/>
  <c r="R74" i="5"/>
  <c r="Z73" i="5"/>
  <c r="S73" i="5"/>
  <c r="T73" i="5"/>
  <c r="U73" i="5"/>
  <c r="V73" i="5"/>
  <c r="W73" i="5"/>
  <c r="X73" i="5"/>
  <c r="Y73" i="5"/>
  <c r="R73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4" i="5"/>
  <c r="G36" i="5"/>
  <c r="J36" i="5"/>
  <c r="F36" i="5"/>
  <c r="U32" i="4"/>
  <c r="V32" i="4"/>
  <c r="W32" i="4"/>
  <c r="I32" i="4"/>
  <c r="J32" i="4"/>
  <c r="K32" i="4"/>
  <c r="L32" i="4"/>
  <c r="M32" i="4"/>
  <c r="N32" i="4"/>
  <c r="O32" i="4"/>
  <c r="Q32" i="4"/>
  <c r="R32" i="4"/>
  <c r="S32" i="4"/>
  <c r="T32" i="4"/>
  <c r="H32" i="4"/>
  <c r="I6" i="4"/>
  <c r="I7" i="4" s="1"/>
  <c r="J6" i="4"/>
  <c r="J7" i="4" s="1"/>
  <c r="J9" i="4" s="1"/>
  <c r="J8" i="4" s="1"/>
  <c r="K6" i="4"/>
  <c r="K7" i="4" s="1"/>
  <c r="L6" i="4"/>
  <c r="L7" i="4" s="1"/>
  <c r="M6" i="4"/>
  <c r="M7" i="4" s="1"/>
  <c r="M9" i="4" s="1"/>
  <c r="M8" i="4" s="1"/>
  <c r="N6" i="4"/>
  <c r="N7" i="4" s="1"/>
  <c r="O6" i="4"/>
  <c r="O7" i="4" s="1"/>
  <c r="O9" i="4" s="1"/>
  <c r="P6" i="4"/>
  <c r="P7" i="4" s="1"/>
  <c r="P9" i="4" s="1"/>
  <c r="P8" i="4" s="1"/>
  <c r="Q6" i="4"/>
  <c r="Q7" i="4" s="1"/>
  <c r="Q9" i="4" s="1"/>
  <c r="Q8" i="4" s="1"/>
  <c r="R6" i="4"/>
  <c r="R7" i="4" s="1"/>
  <c r="R9" i="4" s="1"/>
  <c r="R8" i="4" s="1"/>
  <c r="S6" i="4"/>
  <c r="S7" i="4" s="1"/>
  <c r="S9" i="4" s="1"/>
  <c r="S8" i="4" s="1"/>
  <c r="T6" i="4"/>
  <c r="T7" i="4" s="1"/>
  <c r="T9" i="4" s="1"/>
  <c r="T8" i="4" s="1"/>
  <c r="U6" i="4"/>
  <c r="U7" i="4" s="1"/>
  <c r="U9" i="4" s="1"/>
  <c r="U8" i="4" s="1"/>
  <c r="V6" i="4"/>
  <c r="V7" i="4" s="1"/>
  <c r="V9" i="4" s="1"/>
  <c r="V8" i="4" s="1"/>
  <c r="W6" i="4"/>
  <c r="W7" i="4" s="1"/>
  <c r="W9" i="4" s="1"/>
  <c r="W8" i="4" s="1"/>
  <c r="X6" i="4"/>
  <c r="X7" i="4" s="1"/>
  <c r="X9" i="4" s="1"/>
  <c r="X8" i="4" s="1"/>
  <c r="Y6" i="4"/>
  <c r="Y7" i="4" s="1"/>
  <c r="Y9" i="4" s="1"/>
  <c r="Y8" i="4" s="1"/>
  <c r="Z6" i="4"/>
  <c r="Z7" i="4" s="1"/>
  <c r="Z9" i="4" s="1"/>
  <c r="Z8" i="4" s="1"/>
  <c r="AA6" i="4"/>
  <c r="AA7" i="4" s="1"/>
  <c r="AB6" i="4"/>
  <c r="AB7" i="4" s="1"/>
  <c r="AB9" i="4" s="1"/>
  <c r="AC6" i="4"/>
  <c r="AC7" i="4" s="1"/>
  <c r="AD6" i="4"/>
  <c r="AD7" i="4" s="1"/>
  <c r="AE6" i="4"/>
  <c r="AE7" i="4" s="1"/>
  <c r="AF6" i="4"/>
  <c r="AF7" i="4" s="1"/>
  <c r="AG6" i="4"/>
  <c r="AG7" i="4" s="1"/>
  <c r="AH6" i="4"/>
  <c r="AH7" i="4" s="1"/>
  <c r="AH9" i="4" s="1"/>
  <c r="AH8" i="4" s="1"/>
  <c r="AI6" i="4"/>
  <c r="AI7" i="4" s="1"/>
  <c r="AI9" i="4" s="1"/>
  <c r="AI8" i="4" s="1"/>
  <c r="H6" i="4"/>
  <c r="H7" i="4" s="1"/>
  <c r="H9" i="4" s="1"/>
  <c r="A5" i="4"/>
  <c r="H36" i="5" l="1"/>
  <c r="I36" i="5"/>
  <c r="A6" i="4"/>
  <c r="K9" i="4"/>
  <c r="K8" i="4" s="1"/>
  <c r="H8" i="4"/>
  <c r="AB8" i="4"/>
  <c r="AG9" i="4"/>
  <c r="AG8" i="4" s="1"/>
  <c r="I9" i="4"/>
  <c r="I8" i="4" s="1"/>
  <c r="AF9" i="4"/>
  <c r="AF8" i="4" s="1"/>
  <c r="N9" i="4"/>
  <c r="N8" i="4" s="1"/>
  <c r="AD9" i="4"/>
  <c r="AD8" i="4" s="1"/>
  <c r="A7" i="4"/>
  <c r="L9" i="4"/>
  <c r="L8" i="4" s="1"/>
  <c r="O8" i="4"/>
  <c r="AE9" i="4"/>
  <c r="AE8" i="4" s="1"/>
  <c r="AC9" i="4"/>
  <c r="AC8" i="4" s="1"/>
  <c r="AA9" i="4"/>
  <c r="AA8" i="4" s="1"/>
  <c r="A9" i="4" l="1"/>
  <c r="A8" i="4"/>
  <c r="F20" i="2" l="1"/>
  <c r="G32" i="2"/>
  <c r="H32" i="2"/>
  <c r="I32" i="2"/>
  <c r="F32" i="2"/>
  <c r="G10" i="2" l="1"/>
  <c r="H10" i="2"/>
  <c r="I10" i="2"/>
  <c r="F10" i="2"/>
  <c r="H30" i="2" l="1"/>
  <c r="G30" i="2"/>
  <c r="F30" i="2"/>
  <c r="H28" i="2"/>
  <c r="G28" i="2"/>
  <c r="F28" i="2"/>
  <c r="G24" i="2"/>
  <c r="H24" i="2"/>
  <c r="I24" i="2"/>
  <c r="F24" i="2"/>
  <c r="G22" i="2"/>
  <c r="H22" i="2"/>
  <c r="I22" i="2"/>
  <c r="F22" i="2"/>
  <c r="G20" i="2"/>
  <c r="H20" i="2"/>
  <c r="I20" i="2"/>
  <c r="G18" i="2"/>
  <c r="H18" i="2"/>
  <c r="I18" i="2"/>
  <c r="F18" i="2"/>
  <c r="G16" i="2"/>
  <c r="H16" i="2"/>
  <c r="I16" i="2"/>
  <c r="F16" i="2"/>
  <c r="I11" i="2"/>
  <c r="H11" i="2"/>
  <c r="G11" i="2"/>
  <c r="F11" i="2"/>
  <c r="W16" i="2"/>
  <c r="X16" i="2"/>
  <c r="Y16" i="2"/>
  <c r="V16" i="2"/>
  <c r="Q8" i="2"/>
  <c r="R8" i="2" s="1"/>
  <c r="I9" i="2" s="1"/>
  <c r="Q7" i="2"/>
  <c r="R7" i="2" s="1"/>
  <c r="H8" i="2" s="1"/>
  <c r="Q6" i="2"/>
  <c r="R6" i="2" s="1"/>
  <c r="G8" i="2" s="1"/>
  <c r="Q5" i="2"/>
  <c r="R5" i="2" s="1"/>
  <c r="F9" i="2" s="1"/>
  <c r="G9" i="2" l="1"/>
  <c r="I8" i="2"/>
  <c r="H9" i="2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C10" authorId="0" shapeId="0" xr:uid="{A9E45A21-7B70-43A4-8284-24C107C963E5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includes peat, as peat is not a separate energy source in the model</t>
        </r>
      </text>
    </comment>
  </commentList>
</comments>
</file>

<file path=xl/sharedStrings.xml><?xml version="1.0" encoding="utf-8"?>
<sst xmlns="http://schemas.openxmlformats.org/spreadsheetml/2006/main" count="798" uniqueCount="168">
  <si>
    <t>~TFM_INS-TS</t>
  </si>
  <si>
    <t>Region</t>
  </si>
  <si>
    <t>Cset_CN</t>
  </si>
  <si>
    <t>Attribute</t>
  </si>
  <si>
    <t>LimType</t>
  </si>
  <si>
    <t>FI</t>
  </si>
  <si>
    <t>COM_BNDPRD</t>
  </si>
  <si>
    <t>LO</t>
  </si>
  <si>
    <t>UP</t>
  </si>
  <si>
    <t>BE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</si>
  <si>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</si>
  <si>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</si>
  <si>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</si>
  <si>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</si>
  <si>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</si>
  <si>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</si>
  <si>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</si>
  <si>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</si>
  <si>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</si>
  <si>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</si>
  <si>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</si>
  <si>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</si>
  <si>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</si>
  <si>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</si>
  <si>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</si>
  <si>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</si>
  <si>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</si>
  <si>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</si>
  <si>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</si>
  <si>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</si>
  <si>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</si>
  <si>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</si>
  <si>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</si>
  <si>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SE</t>
  </si>
  <si>
    <t>NO</t>
  </si>
  <si>
    <t>UK</t>
  </si>
  <si>
    <t>*</t>
  </si>
  <si>
    <t>RSDLPG</t>
  </si>
  <si>
    <t>TRALPG</t>
  </si>
  <si>
    <t>SNKCB1</t>
  </si>
  <si>
    <t>SNKEOR</t>
  </si>
  <si>
    <t>INDELC</t>
  </si>
  <si>
    <t>Sähkön kokonaiskäyttö (GWh)</t>
  </si>
  <si>
    <t>Twh</t>
  </si>
  <si>
    <t>PJ</t>
  </si>
  <si>
    <t>Statistics Finland</t>
  </si>
  <si>
    <t>COAHAR</t>
  </si>
  <si>
    <t>Energian kokonaiskulutus energialähteittäin (kaikki luokat) muuttujina Tiedot, Energialähde ja Vuosi</t>
  </si>
  <si>
    <t>2024*</t>
  </si>
  <si>
    <t>Määrä (TJ)</t>
  </si>
  <si>
    <t>SSS ENERGIAN KOKONAISKULUTUS</t>
  </si>
  <si>
    <t>1 Uusiutuva energia</t>
  </si>
  <si>
    <t>1.1 Vesivoima</t>
  </si>
  <si>
    <t>1.2 Tuulivoima</t>
  </si>
  <si>
    <t>1.3 Puupolttoaineet</t>
  </si>
  <si>
    <t>1.3.1 Mustalipeä</t>
  </si>
  <si>
    <t>1.3.2 Teollisuuden ja energiantuotannon puupolttoaineet</t>
  </si>
  <si>
    <t>1.3.3 Puun pienkäyttö</t>
  </si>
  <si>
    <t>1.4 Muu uusiutuva energia</t>
  </si>
  <si>
    <t>1.4.1 Aurinkoenergia</t>
  </si>
  <si>
    <t>.</t>
  </si>
  <si>
    <t>1.4.2 Biokaasu</t>
  </si>
  <si>
    <t>1.4.3 Lämpöpumput</t>
  </si>
  <si>
    <t>1.4.4 Moottoribensiini (bio-osuus)</t>
  </si>
  <si>
    <t>1.4.5 Dieselöljy (bio-osuus)</t>
  </si>
  <si>
    <t>1.4.6 Kevyt polttoöljy (bio-osuus)</t>
  </si>
  <si>
    <t>-</t>
  </si>
  <si>
    <t>1.4.7 Kierrätyspolttoaine (bio-osuus)</t>
  </si>
  <si>
    <t>1.4.8 Purkupuu (bio-osuus)</t>
  </si>
  <si>
    <t>1.4.9 Muu uusiutuva energia</t>
  </si>
  <si>
    <t>2 Fossiiliset polttoaineet ja turve</t>
  </si>
  <si>
    <t>2.1 Öljy (fossiilinen osuus)</t>
  </si>
  <si>
    <t>2.1.1 Moottoribensiini (fossiilinen osuus)</t>
  </si>
  <si>
    <t>2.1.2 Dieselöljy (fossiilinen osuus)</t>
  </si>
  <si>
    <t>2.1.3 Moottoripetroli</t>
  </si>
  <si>
    <t>2.1.4 Lentopetroli</t>
  </si>
  <si>
    <t>2.1.5 Lentobensiini</t>
  </si>
  <si>
    <t>2.1.6 Kevyt polttoöljy (fossiilinen osuus)</t>
  </si>
  <si>
    <t>2.1.7 Raskas polttoöljy</t>
  </si>
  <si>
    <t>2.1.8 Nestekaasut</t>
  </si>
  <si>
    <t>2.1.9 Valopetroli</t>
  </si>
  <si>
    <t>2.1.10 Teollisuusbensiini</t>
  </si>
  <si>
    <t>2.1.11 Kierrätysöljy</t>
  </si>
  <si>
    <t>2.1.12 Jalostamokaasu ja muut öljykaasut</t>
  </si>
  <si>
    <t>2.1.13 Muut öljyt</t>
  </si>
  <si>
    <t>2.2 Hiili</t>
  </si>
  <si>
    <t>2.2.1 Kivihiili</t>
  </si>
  <si>
    <t>2.2.2 Koksi</t>
  </si>
  <si>
    <t>2.2.3 Masuuni- ja koksikaasu</t>
  </si>
  <si>
    <t>2.2.4 Kaupunkikaasu</t>
  </si>
  <si>
    <t>2.3 Maakaasu</t>
  </si>
  <si>
    <t>2.3.1 Maakaasu</t>
  </si>
  <si>
    <t>2.4 Turve</t>
  </si>
  <si>
    <t>2.5 Muut fossiiliset polttoaineet</t>
  </si>
  <si>
    <t>2.5.1 Kierrätyspolttoaine (fossiilinen osuus)</t>
  </si>
  <si>
    <t>2.5.2 Jätepolttoaineet</t>
  </si>
  <si>
    <t>2.5.3 Purkupuu (fossiilinen osuus)</t>
  </si>
  <si>
    <t>3 Ydinenergia</t>
  </si>
  <si>
    <t>4 Sähkön nettotuonti</t>
  </si>
  <si>
    <t>5 Muu energia</t>
  </si>
  <si>
    <t>5.1 Teollisuuden reaktiolämpö</t>
  </si>
  <si>
    <t>5.2 Vety</t>
  </si>
  <si>
    <t>5.3 Muut polttoaineet</t>
  </si>
  <si>
    <t>Määrä (GWh)</t>
  </si>
  <si>
    <t>1.5 Kivihiili</t>
  </si>
  <si>
    <t>1.8 Turve</t>
  </si>
  <si>
    <t>Sähkön hankinta energialähteittäin muuttujina Tiedot, Sähkön hankinnan energialähde ja Vuosi</t>
  </si>
  <si>
    <t>COMCOA</t>
  </si>
  <si>
    <t>AGRCOA</t>
  </si>
  <si>
    <t>~TFM_INS</t>
  </si>
  <si>
    <t>CSET_CN</t>
  </si>
  <si>
    <t>PSET_PN</t>
  </si>
  <si>
    <t>Year</t>
  </si>
  <si>
    <t>CH</t>
  </si>
  <si>
    <t>IS</t>
  </si>
  <si>
    <t>SK</t>
  </si>
  <si>
    <t>AL</t>
  </si>
  <si>
    <t>BA</t>
  </si>
  <si>
    <t>KS</t>
  </si>
  <si>
    <t>ME</t>
  </si>
  <si>
    <t>MK</t>
  </si>
  <si>
    <t>RS</t>
  </si>
  <si>
    <t>EFF</t>
  </si>
  <si>
    <t>ADJ*</t>
  </si>
  <si>
    <t>Remove HDD from use by setting EFF = 1. The calculation would need to be renewed, if used now, it creates distorion in heating consumption for the entire time period</t>
  </si>
  <si>
    <t>AllRegions</t>
  </si>
  <si>
    <t>TRAGSLSP95</t>
  </si>
  <si>
    <t>TRAGSLE85</t>
  </si>
  <si>
    <t>TRAGSLSP95E10</t>
  </si>
  <si>
    <t>TRADST</t>
  </si>
  <si>
    <t>TRAELC_EV</t>
  </si>
  <si>
    <t>TRAGAS</t>
  </si>
  <si>
    <t>TRAGH2</t>
  </si>
  <si>
    <t>TRALH2</t>
  </si>
  <si>
    <t>TRAHFO</t>
  </si>
  <si>
    <t>TRALFO</t>
  </si>
  <si>
    <t>TRADST_RAI</t>
  </si>
  <si>
    <t>TimeSlice</t>
  </si>
  <si>
    <t>Pset_PN</t>
  </si>
  <si>
    <t>ANNUAL</t>
  </si>
  <si>
    <t>ACT_BND</t>
  </si>
  <si>
    <t>MINRENHYD*</t>
  </si>
  <si>
    <t>EU31 sum</t>
  </si>
  <si>
    <t>Hydropower</t>
  </si>
  <si>
    <t>max growth by 2050</t>
  </si>
  <si>
    <t>https://www.icis.com/explore/resources/news/2024/02/15/10971774/eu-may-have-wide-hydropower-potential-for-power-balancing/#:~:text=Hydropower%20capacity%20across%20Europe%20could,to%20the%20ICIS%20Analytics%20forecast.</t>
  </si>
  <si>
    <t>EUGEOF01</t>
  </si>
  <si>
    <t>EUGEOORC01</t>
  </si>
  <si>
    <t>EUGEOEGS01</t>
  </si>
  <si>
    <t>Geothermal</t>
  </si>
  <si>
    <t>CAP_BND</t>
  </si>
  <si>
    <t>EUWINONH01</t>
  </si>
  <si>
    <t>Wind</t>
  </si>
  <si>
    <t>PO</t>
  </si>
  <si>
    <t>Constrain the model not to decarbonise too rapidly in 2025-2030</t>
  </si>
  <si>
    <t>region</t>
  </si>
  <si>
    <t>commodity</t>
  </si>
  <si>
    <t>ELCCO2N</t>
  </si>
  <si>
    <t>NA</t>
  </si>
  <si>
    <t>EU31</t>
  </si>
  <si>
    <t>MtCO2</t>
  </si>
  <si>
    <t>EU27</t>
  </si>
  <si>
    <t>COM_BNDNET</t>
  </si>
  <si>
    <t>FX</t>
  </si>
  <si>
    <t>factor from 2015</t>
  </si>
  <si>
    <t>approximation to adjust the emissions</t>
  </si>
  <si>
    <t>EUPVSOLL101</t>
  </si>
  <si>
    <t>EUPVSOLL102,EUPVSOLS101,EUPVSOLS201,EUPVSOLHC01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</si>
</sst>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-* #,##0\ _€_-;\-* #,##0\ _€_-;_-* &quot;-&quot;??\ _€_-;_-@_-"/>
    <numFmt numFmtId="166" formatCode="_ * #,##0_ ;_ * \-#,##0_ ;_ * &quot;-&quot;_ ;_ @_ "/>
    <numFmt numFmtId="167" formatCode="_ * #,##0.00_ ;_ * \-#,##0.00_ ;_ * &quot;-&quot;??_ ;_ @_ "/>
    <numFmt numFmtId="168" formatCode="_-* #,##0.00\ _€_-;\-* #,##0.00\ _€_-;_-* &quot;-&quot;??\ _€_-;_-@_-"/>
    <numFmt numFmtId="169" formatCode="_([$€]* #,##0.00_);_([$€]* \(#,##0.00\);_([$€]* &quot;-&quot;??_);_(@_)"/>
    <numFmt numFmtId="170" formatCode="_ &quot;kr&quot;\ * #,##0_ ;_ &quot;kr&quot;\ * \-#,##0_ ;_ &quot;kr&quot;\ * &quot;-&quot;_ ;_ @_ "/>
    <numFmt numFmtId="171" formatCode="_ &quot;kr&quot;\ * #,##0.00_ ;_ &quot;kr&quot;\ * \-#,##0.00_ ;_ &quot;kr&quot;\ * &quot;-&quot;??_ ;_ @_ "/>
    <numFmt numFmtId="172" formatCode="#,##0.0000"/>
  </numFmts>
  <fonts count="5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b/>
      <sz val="8"/>
      <color rgb="FF1A3061"/>
      <name val="Arial"/>
      <family val="2"/>
    </font>
    <font>
      <sz val="8"/>
      <color rgb="FF333333"/>
      <name val="Arial"/>
      <family val="2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ptos Narrow"/>
      <family val="2"/>
      <scheme val="minor"/>
    </font>
    <font>
      <b/>
      <sz val="7"/>
      <color rgb="FFFFFFFF"/>
      <name val="Segoe UI"/>
      <family val="2"/>
    </font>
    <font>
      <sz val="7"/>
      <color theme="1"/>
      <name val="Segoe UI"/>
      <family val="2"/>
    </font>
    <font>
      <i/>
      <sz val="7"/>
      <color rgb="FFB0B0B0"/>
      <name val="Segoe UI"/>
      <family val="2"/>
    </font>
    <font>
      <b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</fonts>
  <fills count="4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E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CC99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4E5C6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2">
    <xf numFmtId="0" fontId="0" fillId="0" borderId="0"/>
    <xf numFmtId="0" fontId="1" fillId="0" borderId="0"/>
    <xf numFmtId="0" fontId="4" fillId="0" borderId="0">
      <alignment wrapText="1"/>
    </xf>
    <xf numFmtId="0" fontId="1" fillId="0" borderId="0"/>
    <xf numFmtId="0" fontId="1" fillId="0" borderId="0"/>
    <xf numFmtId="0" fontId="18" fillId="0" borderId="0"/>
    <xf numFmtId="0" fontId="18" fillId="0" borderId="0"/>
    <xf numFmtId="164" fontId="4" fillId="0" borderId="0" applyFont="0" applyFill="0" applyBorder="0" applyAlignment="0" applyProtection="0"/>
    <xf numFmtId="0" fontId="4" fillId="0" borderId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2"/>
    </xf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29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0" fontId="50" fillId="31" borderId="0" applyBorder="0" applyAlignment="0"/>
    <xf numFmtId="4" fontId="50" fillId="31" borderId="0" applyBorder="0" applyAlignment="0"/>
    <xf numFmtId="0" fontId="48" fillId="31" borderId="0" applyBorder="0">
      <alignment horizontal="right" vertical="center"/>
    </xf>
    <xf numFmtId="4" fontId="48" fillId="31" borderId="0" applyBorder="0">
      <alignment horizontal="right" vertical="center"/>
    </xf>
    <xf numFmtId="0" fontId="48" fillId="31" borderId="8">
      <alignment horizontal="right" vertical="center"/>
    </xf>
    <xf numFmtId="4" fontId="48" fillId="32" borderId="0" applyBorder="0">
      <alignment horizontal="right" vertical="center"/>
    </xf>
    <xf numFmtId="4" fontId="48" fillId="32" borderId="0" applyBorder="0">
      <alignment horizontal="right" vertical="center"/>
    </xf>
    <xf numFmtId="0" fontId="49" fillId="32" borderId="8">
      <alignment horizontal="right" vertical="center"/>
    </xf>
    <xf numFmtId="4" fontId="49" fillId="32" borderId="8">
      <alignment horizontal="right" vertical="center"/>
    </xf>
    <xf numFmtId="0" fontId="49" fillId="32" borderId="9">
      <alignment horizontal="right" vertical="center"/>
    </xf>
    <xf numFmtId="0" fontId="51" fillId="32" borderId="8">
      <alignment horizontal="right" vertical="center"/>
    </xf>
    <xf numFmtId="4" fontId="51" fillId="32" borderId="8">
      <alignment horizontal="right" vertical="center"/>
    </xf>
    <xf numFmtId="0" fontId="49" fillId="33" borderId="8">
      <alignment horizontal="right" vertical="center"/>
    </xf>
    <xf numFmtId="4" fontId="49" fillId="33" borderId="8">
      <alignment horizontal="right" vertical="center"/>
    </xf>
    <xf numFmtId="0" fontId="49" fillId="33" borderId="9">
      <alignment horizontal="right" vertical="center"/>
    </xf>
    <xf numFmtId="0" fontId="49" fillId="33" borderId="8">
      <alignment horizontal="right" vertical="center"/>
    </xf>
    <xf numFmtId="4" fontId="49" fillId="33" borderId="8">
      <alignment horizontal="right" vertical="center"/>
    </xf>
    <xf numFmtId="0" fontId="49" fillId="33" borderId="10">
      <alignment horizontal="right" vertical="center"/>
    </xf>
    <xf numFmtId="0" fontId="49" fillId="33" borderId="11">
      <alignment horizontal="right" vertical="center"/>
    </xf>
    <xf numFmtId="4" fontId="49" fillId="33" borderId="11">
      <alignment horizontal="right" vertical="center"/>
    </xf>
    <xf numFmtId="0" fontId="49" fillId="33" borderId="12">
      <alignment horizontal="right" vertical="center"/>
    </xf>
    <xf numFmtId="4" fontId="49" fillId="33" borderId="12">
      <alignment horizontal="right" vertical="center"/>
    </xf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4" fontId="50" fillId="0" borderId="13" applyFill="0" applyBorder="0" applyProtection="0">
      <alignment horizontal="right" vertical="center"/>
    </xf>
    <xf numFmtId="0" fontId="30" fillId="34" borderId="14" applyNumberFormat="0" applyAlignment="0" applyProtection="0"/>
    <xf numFmtId="0" fontId="30" fillId="34" borderId="14" applyNumberFormat="0" applyAlignment="0" applyProtection="0"/>
    <xf numFmtId="0" fontId="31" fillId="35" borderId="15" applyNumberFormat="0" applyAlignment="0" applyProtection="0"/>
    <xf numFmtId="0" fontId="31" fillId="35" borderId="15" applyNumberFormat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9" fillId="0" borderId="0" applyNumberFormat="0">
      <alignment horizontal="right"/>
    </xf>
    <xf numFmtId="0" fontId="48" fillId="33" borderId="16">
      <alignment horizontal="left" vertical="center" wrapText="1" indent="2"/>
    </xf>
    <xf numFmtId="0" fontId="48" fillId="0" borderId="16">
      <alignment horizontal="left" vertical="center" wrapText="1" indent="2"/>
    </xf>
    <xf numFmtId="0" fontId="48" fillId="32" borderId="11">
      <alignment horizontal="left" vertical="center"/>
    </xf>
    <xf numFmtId="0" fontId="49" fillId="0" borderId="17">
      <alignment horizontal="left" vertical="top" wrapText="1"/>
    </xf>
    <xf numFmtId="0" fontId="4" fillId="0" borderId="18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7" fillId="18" borderId="14" applyNumberFormat="0" applyAlignment="0" applyProtection="0"/>
    <xf numFmtId="0" fontId="37" fillId="18" borderId="14" applyNumberFormat="0" applyAlignment="0" applyProtection="0"/>
    <xf numFmtId="4" fontId="48" fillId="0" borderId="0" applyBorder="0">
      <alignment horizontal="right" vertical="center"/>
    </xf>
    <xf numFmtId="0" fontId="48" fillId="0" borderId="8">
      <alignment horizontal="right" vertical="center"/>
    </xf>
    <xf numFmtId="4" fontId="48" fillId="0" borderId="8">
      <alignment horizontal="right" vertical="center"/>
    </xf>
    <xf numFmtId="0" fontId="48" fillId="0" borderId="9">
      <alignment horizontal="right" vertical="center"/>
    </xf>
    <xf numFmtId="1" fontId="52" fillId="32" borderId="0" applyBorder="0">
      <alignment horizontal="right" vertical="center"/>
    </xf>
    <xf numFmtId="0" fontId="4" fillId="36" borderId="8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4" fillId="0" borderId="0"/>
    <xf numFmtId="0" fontId="1" fillId="0" borderId="0"/>
    <xf numFmtId="0" fontId="18" fillId="0" borderId="0"/>
    <xf numFmtId="0" fontId="4" fillId="0" borderId="0"/>
    <xf numFmtId="0" fontId="4" fillId="0" borderId="0"/>
    <xf numFmtId="0" fontId="4" fillId="0" borderId="0"/>
    <xf numFmtId="4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8" fillId="0" borderId="0" applyFill="0" applyBorder="0" applyProtection="0">
      <alignment horizontal="right" vertical="center"/>
    </xf>
    <xf numFmtId="0" fontId="50" fillId="0" borderId="0" applyNumberFormat="0" applyFill="0" applyBorder="0" applyProtection="0">
      <alignment horizontal="left" vertical="center"/>
    </xf>
    <xf numFmtId="0" fontId="48" fillId="0" borderId="8" applyNumberFormat="0" applyFill="0" applyAlignment="0" applyProtection="0"/>
    <xf numFmtId="0" fontId="4" fillId="38" borderId="0" applyNumberFormat="0" applyFont="0" applyBorder="0" applyAlignment="0" applyProtection="0"/>
    <xf numFmtId="4" fontId="4" fillId="38" borderId="0" applyNumberFormat="0" applyFont="0" applyBorder="0" applyAlignment="0" applyProtection="0"/>
    <xf numFmtId="0" fontId="53" fillId="0" borderId="0"/>
    <xf numFmtId="0" fontId="43" fillId="0" borderId="0"/>
    <xf numFmtId="0" fontId="18" fillId="39" borderId="23" applyNumberFormat="0" applyFont="0" applyAlignment="0" applyProtection="0"/>
    <xf numFmtId="0" fontId="18" fillId="39" borderId="23" applyNumberFormat="0" applyFont="0" applyAlignment="0" applyProtection="0"/>
    <xf numFmtId="0" fontId="40" fillId="34" borderId="24" applyNumberFormat="0" applyAlignment="0" applyProtection="0"/>
    <xf numFmtId="0" fontId="40" fillId="34" borderId="24" applyNumberFormat="0" applyAlignment="0" applyProtection="0"/>
    <xf numFmtId="172" fontId="48" fillId="40" borderId="8" applyNumberFormat="0" applyFont="0" applyBorder="0" applyAlignment="0" applyProtection="0">
      <alignment horizontal="right" vertical="center"/>
    </xf>
    <xf numFmtId="9" fontId="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70" fontId="44" fillId="0" borderId="0" applyFont="0" applyFill="0" applyBorder="0" applyAlignment="0" applyProtection="0"/>
    <xf numFmtId="0" fontId="48" fillId="38" borderId="8"/>
    <xf numFmtId="0" fontId="4" fillId="0" borderId="0"/>
    <xf numFmtId="0" fontId="4" fillId="0" borderId="8" applyNumberFormat="0" applyFill="0" applyProtection="0">
      <alignment horizontal="right"/>
    </xf>
    <xf numFmtId="0" fontId="4" fillId="0" borderId="8" applyNumberFormat="0" applyFill="0" applyProtection="0">
      <alignment horizontal="right"/>
    </xf>
    <xf numFmtId="0" fontId="4" fillId="0" borderId="8" applyNumberFormat="0" applyFill="0" applyProtection="0">
      <alignment horizontal="right"/>
    </xf>
    <xf numFmtId="0" fontId="4" fillId="0" borderId="8" applyNumberFormat="0" applyFill="0" applyProtection="0">
      <alignment horizontal="right"/>
    </xf>
    <xf numFmtId="0" fontId="27" fillId="41" borderId="8" applyNumberFormat="0" applyProtection="0">
      <alignment horizontal="right"/>
    </xf>
    <xf numFmtId="0" fontId="45" fillId="41" borderId="0" applyNumberFormat="0" applyBorder="0" applyProtection="0">
      <alignment horizontal="left"/>
    </xf>
    <xf numFmtId="0" fontId="27" fillId="41" borderId="8" applyNumberFormat="0" applyProtection="0">
      <alignment horizontal="left"/>
    </xf>
    <xf numFmtId="0" fontId="4" fillId="0" borderId="8" applyNumberFormat="0" applyFill="0" applyProtection="0">
      <alignment horizontal="right"/>
    </xf>
    <xf numFmtId="0" fontId="4" fillId="0" borderId="8" applyNumberFormat="0" applyFill="0" applyProtection="0">
      <alignment horizontal="right"/>
    </xf>
    <xf numFmtId="0" fontId="4" fillId="0" borderId="8" applyNumberFormat="0" applyFill="0" applyProtection="0">
      <alignment horizontal="right"/>
    </xf>
    <xf numFmtId="0" fontId="4" fillId="0" borderId="8" applyNumberFormat="0" applyFill="0" applyProtection="0">
      <alignment horizontal="right"/>
    </xf>
    <xf numFmtId="0" fontId="46" fillId="42" borderId="0" applyNumberFormat="0" applyBorder="0" applyProtection="0">
      <alignment horizontal="left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0" fillId="0" borderId="25" applyNumberFormat="0" applyFill="0" applyAlignment="0" applyProtection="0"/>
    <xf numFmtId="0" fontId="20" fillId="0" borderId="25" applyNumberFormat="0" applyFill="0" applyAlignment="0" applyProtection="0"/>
    <xf numFmtId="171" fontId="4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8" fillId="0" borderId="0"/>
  </cellStyleXfs>
  <cellXfs count="99">
    <xf numFmtId="0" fontId="0" fillId="0" borderId="0" xfId="0"/>
    <xf numFmtId="0" fontId="2" fillId="0" borderId="0" xfId="1" applyFont="1"/>
    <xf numFmtId="0" fontId="3" fillId="0" borderId="0" xfId="1" applyFont="1" applyAlignment="1">
      <alignment wrapText="1"/>
    </xf>
    <xf numFmtId="0" fontId="2" fillId="0" borderId="0" xfId="2" applyFont="1">
      <alignment wrapText="1"/>
    </xf>
    <xf numFmtId="0" fontId="5" fillId="0" borderId="0" xfId="3" applyFont="1"/>
    <xf numFmtId="0" fontId="3" fillId="0" borderId="0" xfId="3" applyFont="1"/>
    <xf numFmtId="0" fontId="6" fillId="0" borderId="0" xfId="3" applyFont="1" applyAlignment="1">
      <alignment horizontal="center"/>
    </xf>
    <xf numFmtId="0" fontId="6" fillId="2" borderId="1" xfId="3" applyFont="1" applyFill="1" applyBorder="1"/>
    <xf numFmtId="0" fontId="2" fillId="2" borderId="1" xfId="3" applyFont="1" applyFill="1" applyBorder="1"/>
    <xf numFmtId="0" fontId="6" fillId="2" borderId="2" xfId="3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 wrapText="1"/>
    </xf>
    <xf numFmtId="0" fontId="6" fillId="2" borderId="0" xfId="1" applyFont="1" applyFill="1" applyAlignment="1">
      <alignment horizontal="center" wrapText="1"/>
    </xf>
    <xf numFmtId="0" fontId="3" fillId="3" borderId="0" xfId="1" applyFont="1" applyFill="1" applyAlignment="1">
      <alignment wrapText="1"/>
    </xf>
    <xf numFmtId="0" fontId="3" fillId="3" borderId="0" xfId="3" applyFont="1" applyFill="1"/>
    <xf numFmtId="2" fontId="3" fillId="3" borderId="0" xfId="0" applyNumberFormat="1" applyFont="1" applyFill="1"/>
    <xf numFmtId="1" fontId="3" fillId="3" borderId="0" xfId="0" applyNumberFormat="1" applyFont="1" applyFill="1"/>
    <xf numFmtId="0" fontId="3" fillId="4" borderId="0" xfId="1" applyFont="1" applyFill="1" applyAlignment="1">
      <alignment wrapText="1"/>
    </xf>
    <xf numFmtId="0" fontId="3" fillId="4" borderId="0" xfId="3" applyFont="1" applyFill="1"/>
    <xf numFmtId="2" fontId="3" fillId="4" borderId="0" xfId="0" applyNumberFormat="1" applyFont="1" applyFill="1"/>
    <xf numFmtId="2" fontId="3" fillId="0" borderId="0" xfId="0" applyNumberFormat="1" applyFont="1"/>
    <xf numFmtId="0" fontId="3" fillId="0" borderId="0" xfId="4" applyFont="1"/>
    <xf numFmtId="0" fontId="3" fillId="0" borderId="0" xfId="4" applyFont="1" applyAlignment="1">
      <alignment wrapText="1"/>
    </xf>
    <xf numFmtId="0" fontId="3" fillId="3" borderId="0" xfId="4" applyFont="1" applyFill="1" applyAlignment="1">
      <alignment wrapText="1"/>
    </xf>
    <xf numFmtId="0" fontId="2" fillId="3" borderId="0" xfId="2" applyFont="1" applyFill="1">
      <alignment wrapText="1"/>
    </xf>
    <xf numFmtId="0" fontId="6" fillId="5" borderId="2" xfId="3" applyFont="1" applyFill="1" applyBorder="1" applyAlignment="1">
      <alignment horizontal="right" vertical="center"/>
    </xf>
    <xf numFmtId="0" fontId="6" fillId="5" borderId="2" xfId="4" applyFont="1" applyFill="1" applyBorder="1" applyAlignment="1">
      <alignment horizontal="right" vertical="center" wrapText="1"/>
    </xf>
    <xf numFmtId="0" fontId="6" fillId="8" borderId="2" xfId="3" applyFont="1" applyFill="1" applyBorder="1" applyAlignment="1">
      <alignment horizontal="center" vertical="center"/>
    </xf>
    <xf numFmtId="0" fontId="7" fillId="0" borderId="0" xfId="0" applyFont="1" applyBorder="1"/>
    <xf numFmtId="0" fontId="8" fillId="6" borderId="0" xfId="0" applyFont="1" applyFill="1" applyBorder="1" applyAlignment="1">
      <alignment horizontal="right" vertical="center" wrapText="1"/>
    </xf>
    <xf numFmtId="0" fontId="9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 wrapText="1" indent="1"/>
    </xf>
    <xf numFmtId="3" fontId="10" fillId="7" borderId="0" xfId="0" applyNumberFormat="1" applyFont="1" applyFill="1" applyBorder="1" applyAlignment="1">
      <alignment horizontal="right" vertical="center"/>
    </xf>
    <xf numFmtId="0" fontId="8" fillId="6" borderId="0" xfId="0" applyFont="1" applyFill="1" applyBorder="1" applyAlignment="1">
      <alignment horizontal="right" vertical="center"/>
    </xf>
    <xf numFmtId="0" fontId="12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/>
    </xf>
    <xf numFmtId="0" fontId="10" fillId="7" borderId="0" xfId="0" applyFont="1" applyFill="1" applyBorder="1" applyAlignment="1">
      <alignment horizontal="right" vertical="center"/>
    </xf>
    <xf numFmtId="0" fontId="11" fillId="7" borderId="0" xfId="0" applyFont="1" applyFill="1" applyBorder="1" applyAlignment="1">
      <alignment vertical="center"/>
    </xf>
    <xf numFmtId="0" fontId="13" fillId="0" borderId="0" xfId="0" applyFont="1"/>
    <xf numFmtId="2" fontId="14" fillId="0" borderId="0" xfId="0" applyNumberFormat="1" applyFont="1"/>
    <xf numFmtId="0" fontId="3" fillId="3" borderId="0" xfId="0" applyFont="1" applyFill="1"/>
    <xf numFmtId="0" fontId="17" fillId="9" borderId="4" xfId="0" applyFont="1" applyFill="1" applyBorder="1" applyAlignment="1">
      <alignment horizontal="left" vertical="center" wrapText="1"/>
    </xf>
    <xf numFmtId="2" fontId="0" fillId="0" borderId="0" xfId="0" applyNumberFormat="1"/>
    <xf numFmtId="0" fontId="0" fillId="3" borderId="0" xfId="0" applyFill="1"/>
    <xf numFmtId="1" fontId="3" fillId="0" borderId="0" xfId="0" applyNumberFormat="1" applyFont="1" applyFill="1"/>
    <xf numFmtId="0" fontId="18" fillId="0" borderId="0" xfId="5" applyFill="1" applyBorder="1"/>
    <xf numFmtId="0" fontId="19" fillId="0" borderId="0" xfId="0" applyFont="1" applyFill="1" applyBorder="1"/>
    <xf numFmtId="0" fontId="20" fillId="0" borderId="0" xfId="6" applyFont="1" applyFill="1" applyBorder="1"/>
    <xf numFmtId="0" fontId="21" fillId="0" borderId="0" xfId="5" applyFont="1" applyFill="1" applyBorder="1"/>
    <xf numFmtId="0" fontId="6" fillId="0" borderId="0" xfId="5" applyFont="1" applyFill="1" applyBorder="1"/>
    <xf numFmtId="0" fontId="22" fillId="0" borderId="0" xfId="5" applyFont="1" applyFill="1" applyBorder="1"/>
    <xf numFmtId="0" fontId="2" fillId="0" borderId="0" xfId="5" applyFont="1" applyFill="1" applyBorder="1"/>
    <xf numFmtId="0" fontId="4" fillId="0" borderId="0" xfId="0" applyFont="1" applyFill="1" applyBorder="1"/>
    <xf numFmtId="165" fontId="2" fillId="0" borderId="0" xfId="7" applyNumberFormat="1" applyFont="1" applyFill="1" applyBorder="1"/>
    <xf numFmtId="0" fontId="22" fillId="0" borderId="0" xfId="5" applyFont="1" applyFill="1" applyBorder="1" applyAlignment="1">
      <alignment horizontal="center"/>
    </xf>
    <xf numFmtId="0" fontId="0" fillId="0" borderId="0" xfId="0" applyFill="1" applyBorder="1"/>
    <xf numFmtId="0" fontId="5" fillId="0" borderId="0" xfId="5" applyFont="1" applyFill="1" applyBorder="1"/>
    <xf numFmtId="0" fontId="6" fillId="10" borderId="1" xfId="5" applyFont="1" applyFill="1" applyBorder="1"/>
    <xf numFmtId="0" fontId="6" fillId="10" borderId="1" xfId="5" applyFont="1" applyFill="1" applyBorder="1" applyAlignment="1">
      <alignment horizontal="center"/>
    </xf>
    <xf numFmtId="0" fontId="2" fillId="4" borderId="0" xfId="5" applyFont="1" applyFill="1"/>
    <xf numFmtId="0" fontId="2" fillId="4" borderId="0" xfId="5" applyFont="1" applyFill="1" applyAlignment="1">
      <alignment horizontal="center"/>
    </xf>
    <xf numFmtId="1" fontId="2" fillId="3" borderId="0" xfId="5" applyNumberFormat="1" applyFont="1" applyFill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3" fillId="0" borderId="0" xfId="0" applyFont="1"/>
    <xf numFmtId="3" fontId="0" fillId="0" borderId="0" xfId="0" applyNumberFormat="1"/>
    <xf numFmtId="0" fontId="2" fillId="3" borderId="0" xfId="5" applyFont="1" applyFill="1"/>
    <xf numFmtId="1" fontId="2" fillId="3" borderId="0" xfId="5" applyNumberFormat="1" applyFont="1" applyFill="1"/>
    <xf numFmtId="3" fontId="2" fillId="3" borderId="0" xfId="5" applyNumberFormat="1" applyFont="1" applyFill="1" applyAlignment="1">
      <alignment horizontal="right"/>
    </xf>
    <xf numFmtId="0" fontId="5" fillId="0" borderId="0" xfId="8" applyFont="1" applyAlignment="1">
      <alignment wrapText="1"/>
    </xf>
    <xf numFmtId="0" fontId="2" fillId="0" borderId="0" xfId="2" applyFont="1" applyAlignment="1">
      <alignment wrapText="1"/>
    </xf>
    <xf numFmtId="0" fontId="2" fillId="4" borderId="0" xfId="1" applyFont="1" applyFill="1" applyAlignment="1">
      <alignment wrapText="1"/>
    </xf>
    <xf numFmtId="0" fontId="2" fillId="4" borderId="0" xfId="2" applyFont="1" applyFill="1" applyAlignment="1">
      <alignment wrapText="1"/>
    </xf>
    <xf numFmtId="0" fontId="6" fillId="11" borderId="0" xfId="8" applyFont="1" applyFill="1" applyBorder="1" applyAlignment="1">
      <alignment horizontal="center" wrapText="1"/>
    </xf>
    <xf numFmtId="0" fontId="6" fillId="11" borderId="0" xfId="8" applyFont="1" applyFill="1" applyBorder="1" applyAlignment="1">
      <alignment horizontal="right" wrapText="1"/>
    </xf>
    <xf numFmtId="0" fontId="3" fillId="0" borderId="0" xfId="1" applyFont="1" applyFill="1" applyAlignment="1">
      <alignment wrapText="1"/>
    </xf>
    <xf numFmtId="0" fontId="2" fillId="0" borderId="0" xfId="1" applyFont="1" applyFill="1" applyAlignment="1">
      <alignment wrapText="1"/>
    </xf>
    <xf numFmtId="0" fontId="2" fillId="0" borderId="0" xfId="2" applyFont="1" applyFill="1" applyAlignment="1">
      <alignment wrapText="1"/>
    </xf>
    <xf numFmtId="0" fontId="2" fillId="3" borderId="0" xfId="1" applyFont="1" applyFill="1" applyAlignment="1">
      <alignment wrapText="1"/>
    </xf>
    <xf numFmtId="0" fontId="2" fillId="3" borderId="0" xfId="2" applyFont="1" applyFill="1" applyAlignment="1">
      <alignment wrapText="1"/>
    </xf>
    <xf numFmtId="1" fontId="0" fillId="0" borderId="0" xfId="0" applyNumberFormat="1"/>
    <xf numFmtId="1" fontId="0" fillId="3" borderId="0" xfId="0" applyNumberFormat="1" applyFill="1"/>
    <xf numFmtId="0" fontId="6" fillId="2" borderId="2" xfId="3" applyFont="1" applyFill="1" applyBorder="1"/>
    <xf numFmtId="0" fontId="2" fillId="2" borderId="2" xfId="3" applyFont="1" applyFill="1" applyBorder="1"/>
    <xf numFmtId="0" fontId="25" fillId="0" borderId="5" xfId="0" applyFont="1" applyBorder="1" applyAlignment="1">
      <alignment vertical="center"/>
    </xf>
    <xf numFmtId="0" fontId="25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right" vertical="center"/>
    </xf>
    <xf numFmtId="0" fontId="24" fillId="12" borderId="7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vertical="center"/>
    </xf>
    <xf numFmtId="0" fontId="5" fillId="0" borderId="0" xfId="8" applyFont="1" applyAlignment="1"/>
    <xf numFmtId="0" fontId="3" fillId="0" borderId="0" xfId="1" applyFont="1" applyAlignment="1"/>
    <xf numFmtId="0" fontId="2" fillId="0" borderId="0" xfId="2" applyFont="1" applyAlignment="1"/>
    <xf numFmtId="0" fontId="6" fillId="11" borderId="0" xfId="8" applyFont="1" applyFill="1" applyBorder="1" applyAlignment="1">
      <alignment horizontal="center"/>
    </xf>
    <xf numFmtId="0" fontId="3" fillId="4" borderId="0" xfId="1" applyFont="1" applyFill="1" applyAlignment="1"/>
    <xf numFmtId="0" fontId="2" fillId="4" borderId="0" xfId="1" applyFont="1" applyFill="1" applyAlignment="1"/>
    <xf numFmtId="0" fontId="6" fillId="0" borderId="0" xfId="8" applyFont="1" applyFill="1" applyBorder="1" applyAlignment="1">
      <alignment horizontal="right"/>
    </xf>
    <xf numFmtId="0" fontId="3" fillId="0" borderId="0" xfId="1" applyFont="1" applyFill="1" applyAlignment="1"/>
    <xf numFmtId="0" fontId="0" fillId="0" borderId="0" xfId="0" applyFill="1"/>
    <xf numFmtId="1" fontId="2" fillId="3" borderId="0" xfId="2" applyNumberFormat="1" applyFont="1" applyFill="1" applyAlignment="1">
      <alignment wrapText="1"/>
    </xf>
    <xf numFmtId="0" fontId="6" fillId="0" borderId="0" xfId="8" applyFont="1" applyFill="1" applyBorder="1" applyAlignment="1">
      <alignment horizontal="center" wrapText="1"/>
    </xf>
    <xf numFmtId="0" fontId="6" fillId="0" borderId="0" xfId="8" applyFont="1" applyFill="1" applyBorder="1" applyAlignment="1">
      <alignment horizontal="right" wrapText="1"/>
    </xf>
  </cellXfs>
  <cellStyles count="202">
    <cellStyle name="20% - Accent1 2" xfId="9" xr:uid="{6B5C8177-6FB8-44F8-8357-86E321B91CE9}"/>
    <cellStyle name="20% - Accent1 2 2" xfId="10" xr:uid="{D389EBAA-7080-46F8-9137-D08E77EC978E}"/>
    <cellStyle name="20% - Accent2 2" xfId="11" xr:uid="{205086C5-DA53-494E-9129-B0A909956A1B}"/>
    <cellStyle name="20% - Accent2 2 2" xfId="12" xr:uid="{AA8E5300-1DD6-4B07-BBCE-635D075B33F8}"/>
    <cellStyle name="20% - Accent3 2" xfId="13" xr:uid="{9BBC5227-F6E1-49E7-A4C0-5E4C4EFED90C}"/>
    <cellStyle name="20% - Accent3 2 2" xfId="14" xr:uid="{53D948EA-AFD2-46DB-A89C-F57577D3DAB6}"/>
    <cellStyle name="20% - Accent4 2" xfId="15" xr:uid="{FFC633F9-80C7-44BC-898C-76AD47630D14}"/>
    <cellStyle name="20% - Accent4 2 2" xfId="16" xr:uid="{3AD7A7E4-579E-4C81-AD70-4058143B0310}"/>
    <cellStyle name="20% - Accent5 2" xfId="17" xr:uid="{C96A3731-9691-485E-8218-EB8B07AD64E4}"/>
    <cellStyle name="20% - Accent5 2 2" xfId="18" xr:uid="{8981C422-0ED4-41E8-AE02-AD2B6B39B499}"/>
    <cellStyle name="20% - Accent6 2" xfId="19" xr:uid="{AFD58AAF-27CA-462A-8356-4BA84EC3DC8E}"/>
    <cellStyle name="20% - Accent6 2 2" xfId="20" xr:uid="{663C8CB2-21A4-412A-AE05-C68DF6D70EAB}"/>
    <cellStyle name="2x indented GHG Textfiels" xfId="21" xr:uid="{2994B2AB-6375-40AF-8B50-4895F39A6E0E}"/>
    <cellStyle name="40% - Accent1 2" xfId="22" xr:uid="{90C4371E-C4A3-4C8D-8D44-1DA07935F869}"/>
    <cellStyle name="40% - Accent1 2 2" xfId="23" xr:uid="{AD763B97-A6B8-4256-9D89-AA4C05B2240F}"/>
    <cellStyle name="40% - Accent2 2" xfId="24" xr:uid="{BD6540AB-1AC8-465B-B5BB-6E0157E73BCB}"/>
    <cellStyle name="40% - Accent2 2 2" xfId="25" xr:uid="{094E791F-DB2A-4CDB-B4A1-A8036316011B}"/>
    <cellStyle name="40% - Accent3 2" xfId="26" xr:uid="{3F3AD521-4603-44BB-BB85-8BCF02ACF46D}"/>
    <cellStyle name="40% - Accent3 2 2" xfId="27" xr:uid="{5F7A6E46-B4CF-4F7A-822A-7718EBC43133}"/>
    <cellStyle name="40% - Accent4 2" xfId="28" xr:uid="{BD54730E-8AAC-46C2-9295-D4BE65ACD220}"/>
    <cellStyle name="40% - Accent4 2 2" xfId="29" xr:uid="{08364C98-14A4-4070-A013-16D625E17A09}"/>
    <cellStyle name="40% - Accent5 2" xfId="30" xr:uid="{2517E326-3D4C-4C41-B599-E2529F8D597F}"/>
    <cellStyle name="40% - Accent5 2 2" xfId="31" xr:uid="{D90E651A-3FD8-492C-85E1-38B06B428BE4}"/>
    <cellStyle name="40% - Accent6 2" xfId="32" xr:uid="{00C1506D-0C36-4352-BCF1-CFFB067F0319}"/>
    <cellStyle name="40% - Accent6 2 2" xfId="33" xr:uid="{4E291550-9DF4-404F-ABA8-7E412BADBF7A}"/>
    <cellStyle name="5x indented GHG Textfiels" xfId="34" xr:uid="{D7F9EA07-34F6-4370-A16E-1B5250FCE8E1}"/>
    <cellStyle name="60% - Accent1 2" xfId="35" xr:uid="{AE482BE4-92D3-4C7D-8987-5DE88CF7ED79}"/>
    <cellStyle name="60% - Accent1 2 2" xfId="36" xr:uid="{AA6D340A-8145-474C-81D1-B80CFD2E8E6A}"/>
    <cellStyle name="60% - Accent2 2" xfId="37" xr:uid="{ECF7B4EE-8FBB-444D-A98B-B88411C09587}"/>
    <cellStyle name="60% - Accent2 2 2" xfId="38" xr:uid="{28516937-3137-4B80-8F81-7880B4A30C1D}"/>
    <cellStyle name="60% - Accent3 2" xfId="39" xr:uid="{64D95976-AD69-43E2-BDE2-A5A0C58D2BCD}"/>
    <cellStyle name="60% - Accent3 2 2" xfId="40" xr:uid="{8BB78ABD-0D6F-412A-8B1D-CC6818DF6805}"/>
    <cellStyle name="60% - Accent4 2" xfId="41" xr:uid="{7958A1F6-4842-48E6-9AA0-FCEDCC2127D4}"/>
    <cellStyle name="60% - Accent4 2 2" xfId="42" xr:uid="{196D8582-DC2B-4F12-8D66-82BD3651170E}"/>
    <cellStyle name="60% - Accent5 2" xfId="43" xr:uid="{2766D7FA-D8B1-4F95-AF8E-D747F8C118C1}"/>
    <cellStyle name="60% - Accent5 2 2" xfId="44" xr:uid="{02499A9C-F2EA-4EEA-BAFB-71EAC58087B7}"/>
    <cellStyle name="60% - Accent6 2" xfId="45" xr:uid="{A6CD22BC-E659-4E42-A41C-9F501F77FDB8}"/>
    <cellStyle name="60% - Accent6 2 2" xfId="46" xr:uid="{3CA0E9D6-0346-4671-8D56-50026DF19FC9}"/>
    <cellStyle name="Accent1 2" xfId="47" xr:uid="{BAF220C2-5ACF-4EDC-A11D-1CEF7DD7F3F1}"/>
    <cellStyle name="Accent1 2 2" xfId="48" xr:uid="{F9970B73-90DE-4194-9E35-DB37E37EFD13}"/>
    <cellStyle name="Accent2 2" xfId="49" xr:uid="{FD492502-12B1-48DC-8ABC-D0D0A098AA28}"/>
    <cellStyle name="Accent2 2 2" xfId="50" xr:uid="{E555B352-111B-4406-8C2F-4678A75356AF}"/>
    <cellStyle name="Accent3 2" xfId="51" xr:uid="{014DA34C-513E-4DDB-8F07-D6C163CBE131}"/>
    <cellStyle name="Accent3 2 2" xfId="52" xr:uid="{0B84F032-6C07-431C-B630-3FBE108DAF51}"/>
    <cellStyle name="Accent4 2" xfId="53" xr:uid="{75976AEE-E1D7-480B-97A5-C58680CE2DC3}"/>
    <cellStyle name="Accent4 2 2" xfId="54" xr:uid="{AA264FCF-D139-436F-8905-A930A7A8C41F}"/>
    <cellStyle name="Accent5 2" xfId="55" xr:uid="{3FF392CC-D4D4-45BD-834E-A3D55CA2AAD3}"/>
    <cellStyle name="Accent5 2 2" xfId="56" xr:uid="{918CE0EE-057E-48CF-B988-FE4206BCC3F9}"/>
    <cellStyle name="Accent6 2" xfId="57" xr:uid="{9FDDCFC3-261A-4C6B-926D-87D9BD9D8D43}"/>
    <cellStyle name="Accent6 2 2" xfId="58" xr:uid="{1D25079F-594B-4D72-BA1C-4E6B4A6B6391}"/>
    <cellStyle name="AggblueBoldCels" xfId="59" xr:uid="{90F69466-BDD1-4002-A82B-AB0EACCBD7DD}"/>
    <cellStyle name="AggblueBoldCels 2" xfId="60" xr:uid="{396CAF4C-FDA1-498B-A5DD-D65AEF232EDF}"/>
    <cellStyle name="AggblueCels" xfId="61" xr:uid="{C5F5F840-EE4C-4366-88E3-EBAD9C98040B}"/>
    <cellStyle name="AggblueCels 2" xfId="62" xr:uid="{BE4FE119-F74F-4362-9F65-220B3BBFF400}"/>
    <cellStyle name="AggblueCels_1x" xfId="63" xr:uid="{ACE9041A-4C33-4648-AB42-FFE654E49E52}"/>
    <cellStyle name="AggBoldCells" xfId="64" xr:uid="{1B9B1212-20A0-4B54-8F23-9DB6149E1B97}"/>
    <cellStyle name="AggCels" xfId="65" xr:uid="{0C2CFE22-DB9F-440A-93ED-1D4F4458541B}"/>
    <cellStyle name="AggGreen" xfId="66" xr:uid="{4DCDFF72-DD45-42A9-BB10-78ECB3E40F3D}"/>
    <cellStyle name="AggGreen 2" xfId="67" xr:uid="{AFDBA782-CF81-441A-84E5-F15D6F11563A}"/>
    <cellStyle name="AggGreen_Bbdr" xfId="68" xr:uid="{175B75B9-4E91-450E-9FFF-C2FA88A991E0}"/>
    <cellStyle name="AggGreen12" xfId="69" xr:uid="{3C8634E8-1E1C-4757-86FE-FF3293C53F41}"/>
    <cellStyle name="AggGreen12 2" xfId="70" xr:uid="{5244DB07-7BC2-46EE-8BE1-BE3DC5D95A66}"/>
    <cellStyle name="AggOrange" xfId="71" xr:uid="{D3D42C8E-F960-4C67-AB43-7A64B4BC8504}"/>
    <cellStyle name="AggOrange 2" xfId="72" xr:uid="{0CC366E8-09EC-49F2-BE60-3D55ED66A53C}"/>
    <cellStyle name="AggOrange_B_border" xfId="73" xr:uid="{2E81D200-65EF-4273-9ABB-DE115C6439A9}"/>
    <cellStyle name="AggOrange9" xfId="74" xr:uid="{37ABB8C9-CE45-4091-9532-8CFDF82B2A1B}"/>
    <cellStyle name="AggOrange9 2" xfId="75" xr:uid="{D1044A7A-BE82-43A6-8209-DA897EDB8560}"/>
    <cellStyle name="AggOrangeLB_2x" xfId="76" xr:uid="{D5994F38-E39A-496A-9BA1-E153DE8CE4F6}"/>
    <cellStyle name="AggOrangeLBorder" xfId="77" xr:uid="{583AEAA3-9151-4C9B-B3EB-8C93FC317DFD}"/>
    <cellStyle name="AggOrangeLBorder 2" xfId="78" xr:uid="{8E701947-AB4F-4BEE-90B6-155D4D167C59}"/>
    <cellStyle name="AggOrangeRBorder" xfId="79" xr:uid="{FB6A0E9A-A902-4A30-A942-7757EA732EA1}"/>
    <cellStyle name="AggOrangeRBorder 2" xfId="80" xr:uid="{D08BBF6B-3925-4701-9353-578016655BD4}"/>
    <cellStyle name="Bad 2" xfId="81" xr:uid="{BC90E750-FBBC-400A-9ED4-38FAB8003391}"/>
    <cellStyle name="Bad 2 2" xfId="82" xr:uid="{F0A6420E-9A4A-4308-BA2B-202442643F6C}"/>
    <cellStyle name="Bold GHG Numbers (0.00)" xfId="83" xr:uid="{C314B81D-0A89-4E31-BF98-6FC0CEEF0CF6}"/>
    <cellStyle name="Calculation 2" xfId="84" xr:uid="{428748C1-A613-44B5-96DB-A340B6ABC6DC}"/>
    <cellStyle name="Calculation 2 2" xfId="85" xr:uid="{3CC79461-B0C6-4186-8396-805B00C31B30}"/>
    <cellStyle name="Check Cell 2" xfId="86" xr:uid="{D950A662-E535-44E8-98A1-725561089207}"/>
    <cellStyle name="Check Cell 2 2" xfId="87" xr:uid="{D2358058-4ABC-4972-8589-446042636901}"/>
    <cellStyle name="Comma 2" xfId="7" xr:uid="{4D5F3A5C-3533-459C-8CB0-36535D4A6CB7}"/>
    <cellStyle name="Comma 2 2" xfId="90" xr:uid="{83AF9888-CE99-4EDC-BD45-7A82FCBF4E6D}"/>
    <cellStyle name="Comma 2 3" xfId="89" xr:uid="{E917D6D0-C62D-414B-83CD-F4E0DA8EBA02}"/>
    <cellStyle name="Comma 3" xfId="91" xr:uid="{19DEF566-9BC4-4830-A656-4B4A72A11A38}"/>
    <cellStyle name="Comma 4" xfId="88" xr:uid="{1F1F0B9A-4529-4077-818E-3286D6A5244F}"/>
    <cellStyle name="Constants" xfId="92" xr:uid="{CC7F5C46-660A-478B-A933-0A90AF4BF934}"/>
    <cellStyle name="CustomCellsOrange" xfId="93" xr:uid="{2332D16B-B852-4EA3-A132-FDC571CF0B7E}"/>
    <cellStyle name="CustomizationCells" xfId="94" xr:uid="{AC458E5E-822B-42DC-9C39-753D5563EEEC}"/>
    <cellStyle name="CustomizationGreenCells" xfId="95" xr:uid="{9407B0E7-5943-4BF2-ACA6-781F9E75B145}"/>
    <cellStyle name="DocBox_EmptyRow" xfId="96" xr:uid="{8932BAB6-C232-41CA-893A-ECE7D6EED03B}"/>
    <cellStyle name="Empty_B_border" xfId="97" xr:uid="{0F75055C-E14B-40CA-902A-85081838CD02}"/>
    <cellStyle name="Euro" xfId="98" xr:uid="{D14EF95F-9E84-4C1D-BD55-1F207DE386C0}"/>
    <cellStyle name="Euro 2" xfId="99" xr:uid="{91334860-DCFB-4996-AD93-7565EA4E1DCE}"/>
    <cellStyle name="Explanatory Text 2" xfId="100" xr:uid="{7A494735-ADBF-450B-8894-F82E9934B217}"/>
    <cellStyle name="Explanatory Text 2 2" xfId="101" xr:uid="{F51BFC94-CA7A-475D-9AA4-28EA01ABA141}"/>
    <cellStyle name="Float" xfId="102" xr:uid="{26BD96E5-D9A4-4F2C-8B07-79FC0CE58D12}"/>
    <cellStyle name="Float 2" xfId="103" xr:uid="{9945A7F3-FA48-4262-8B70-7946221A8B8F}"/>
    <cellStyle name="Float 2 2" xfId="104" xr:uid="{0335E3AC-0672-4991-A332-0F0CD329CE88}"/>
    <cellStyle name="Float 3" xfId="105" xr:uid="{F2BCA249-BF1D-45F1-AF6B-05EA87836FDC}"/>
    <cellStyle name="Good 2" xfId="106" xr:uid="{DE4F7787-EA63-4E65-AAE5-4C6378A93331}"/>
    <cellStyle name="Good 2 2" xfId="107" xr:uid="{6626A897-6364-4AE5-8F13-71F04FBA37A0}"/>
    <cellStyle name="Heading 1 2" xfId="108" xr:uid="{C90EC600-30EF-4AD8-BF75-F6195C10C5D3}"/>
    <cellStyle name="Heading 1 2 2" xfId="109" xr:uid="{9DFAB41B-BB93-4E14-81B0-221F55E92EA5}"/>
    <cellStyle name="Heading 2 2" xfId="110" xr:uid="{B88338C8-641D-432B-9BB0-6F8F9AD5431B}"/>
    <cellStyle name="Heading 2 2 2" xfId="111" xr:uid="{5C50DEE0-10A6-4BF3-A33C-EBCAC136D302}"/>
    <cellStyle name="Heading 3 2" xfId="112" xr:uid="{6358672C-D33B-4FF2-A49A-E3376BBA34AD}"/>
    <cellStyle name="Heading 3 2 2" xfId="113" xr:uid="{5DC6B52C-5D63-48E3-B376-5AD241E6EB39}"/>
    <cellStyle name="Heading 4 2" xfId="114" xr:uid="{BD02B5E4-6659-443E-ADCA-C85B9088467E}"/>
    <cellStyle name="Heading 4 2 2" xfId="115" xr:uid="{61E00528-728E-4A9E-8455-93C3D8DB43C5}"/>
    <cellStyle name="Headline" xfId="116" xr:uid="{9DA878C3-2A13-44F9-84B7-6547178B48FE}"/>
    <cellStyle name="Input 2" xfId="117" xr:uid="{7161E084-1B82-45BF-AFFA-417B5E9F358B}"/>
    <cellStyle name="Input 2 2" xfId="118" xr:uid="{7B74D4FD-777D-4C16-A388-BF006021508E}"/>
    <cellStyle name="InputCells" xfId="119" xr:uid="{633A0AFA-A152-40BE-A72B-E901008A0769}"/>
    <cellStyle name="InputCells12" xfId="120" xr:uid="{191DDE8C-7D50-4065-82E6-9FC7F5304BC8}"/>
    <cellStyle name="InputCells12 2" xfId="121" xr:uid="{63A70690-6F26-48D0-90BF-DC3174956746}"/>
    <cellStyle name="InputCells12_BBorder" xfId="122" xr:uid="{391C916C-8BC8-46D1-9015-139356645DD5}"/>
    <cellStyle name="IntCells" xfId="123" xr:uid="{1C97A6A7-D26D-4545-A4A5-54591B2FD8C5}"/>
    <cellStyle name="KP_thin_border_dark_grey" xfId="124" xr:uid="{E170B33F-C29D-454A-8303-24CB58341F65}"/>
    <cellStyle name="Linked Cell 2" xfId="125" xr:uid="{4FFF236F-3376-4487-94AD-3ABEE640CF14}"/>
    <cellStyle name="Linked Cell 2 2" xfId="126" xr:uid="{DBF9D5BE-CD3D-4814-8582-AC4E99CC40BD}"/>
    <cellStyle name="Neutral 2" xfId="127" xr:uid="{5B2479C2-7618-4AA3-9421-72D8E40C53C4}"/>
    <cellStyle name="Neutral 2 2" xfId="128" xr:uid="{01EAD013-F7B3-4F85-8CCD-E41003654D27}"/>
    <cellStyle name="Normal" xfId="0" builtinId="0"/>
    <cellStyle name="Normal 10" xfId="129" xr:uid="{D1D23392-41C3-4373-8F0F-B2135EEB49DF}"/>
    <cellStyle name="Normal 11" xfId="130" xr:uid="{7C6C5B90-1D5C-470B-8E94-4C50EFFCFF39}"/>
    <cellStyle name="Normal 11 2 2 3" xfId="3" xr:uid="{5E37CA04-B051-48BF-A090-9C1CDBD712F3}"/>
    <cellStyle name="Normal 19 3" xfId="8" xr:uid="{C9449E92-F196-4ED3-85B6-98B3F96C4B8C}"/>
    <cellStyle name="Normal 2" xfId="5" xr:uid="{5E7E1396-DB1B-4343-9A18-93363641A39A}"/>
    <cellStyle name="Normal 2 2" xfId="131" xr:uid="{087D7E12-C0D7-4A2B-9D90-E0A2B92FD551}"/>
    <cellStyle name="Normal 2 3" xfId="132" xr:uid="{B7CC8B56-F75D-41FE-96D2-53EA527535CA}"/>
    <cellStyle name="Normal 2 3 2" xfId="133" xr:uid="{7D546625-5085-4410-8000-586AB62FE726}"/>
    <cellStyle name="Normal 2 4" xfId="134" xr:uid="{6B61759C-DC19-467E-9663-B654E45FAA6C}"/>
    <cellStyle name="Normal 2 5" xfId="135" xr:uid="{B002BCA3-A55F-4B3C-A13A-EBC8DC5408BB}"/>
    <cellStyle name="Normal 2_bound" xfId="136" xr:uid="{6C0F2F49-8860-43F4-B8C0-69E7DEF6B3BA}"/>
    <cellStyle name="Normal 3" xfId="2" xr:uid="{EBC7A0D7-DA5F-4D21-B73D-C8953F6940C7}"/>
    <cellStyle name="Normal 3 2" xfId="1" xr:uid="{CE8B7078-BE2F-4988-B26A-90F3FBAC1EB6}"/>
    <cellStyle name="Normal 3 2 2" xfId="138" xr:uid="{7FC2CB22-1E08-4512-9877-A2A71A9A5B7C}"/>
    <cellStyle name="Normal 3 3" xfId="139" xr:uid="{C2698AB5-F702-4522-9657-BC0C99FEAD7B}"/>
    <cellStyle name="Normal 3 3 2" xfId="140" xr:uid="{B1380F50-06AD-4799-B84F-62AF802CA317}"/>
    <cellStyle name="Normal 3 4" xfId="137" xr:uid="{2DB4A81D-7857-4CCD-87A7-1D9C4519B7C5}"/>
    <cellStyle name="Normal 3_Heating-COM" xfId="141" xr:uid="{807A4E35-AADE-445C-A8B5-5B568F252C24}"/>
    <cellStyle name="Normal 30" xfId="4" xr:uid="{3CD36083-FBAA-4AAF-9617-D38CAF124195}"/>
    <cellStyle name="Normal 4" xfId="142" xr:uid="{C01A041F-1893-4FD3-B59A-A7F91564A405}"/>
    <cellStyle name="Normal 4 13 2" xfId="143" xr:uid="{2E7D3806-93D9-49FA-8293-7FDAF469DE37}"/>
    <cellStyle name="Normal 4 13 2 2" xfId="144" xr:uid="{2E882BB9-7775-4DA7-949C-69CB29040D5E}"/>
    <cellStyle name="Normal 4 2" xfId="145" xr:uid="{A8D69208-C257-4D12-9386-6B0C613703E7}"/>
    <cellStyle name="Normal 5" xfId="146" xr:uid="{943717D8-56FD-4A2C-9C7D-6AFB2B013851}"/>
    <cellStyle name="Normal 6" xfId="147" xr:uid="{F45A443A-0DCF-4B2B-A445-9CF20C0A7D13}"/>
    <cellStyle name="Normal 6 2" xfId="148" xr:uid="{E835EC84-9878-44ED-B203-EB9625BF1730}"/>
    <cellStyle name="Normal 7" xfId="149" xr:uid="{AFB66676-7858-4C78-B744-EBC2E8281ACF}"/>
    <cellStyle name="Normal 7 2" xfId="150" xr:uid="{AA2C96C7-8BFC-42FE-A062-660F4479B62C}"/>
    <cellStyle name="Normal 7 2 2" xfId="151" xr:uid="{3B0F6CA4-EBD5-4419-B5CB-0BC981486E3D}"/>
    <cellStyle name="Normal 7 3" xfId="152" xr:uid="{3DB94526-D7EE-4A0E-9752-83E6CF5EAF96}"/>
    <cellStyle name="Normal 8" xfId="153" xr:uid="{C9838FDD-A40D-49EC-B81D-3917AD062657}"/>
    <cellStyle name="Normal 8 2" xfId="154" xr:uid="{DF7B8D89-64D0-403A-A39D-F4348F1091CC}"/>
    <cellStyle name="Normal 8 2 2" xfId="155" xr:uid="{AF9B88C0-1F33-4218-AF0A-F56F5F5748A8}"/>
    <cellStyle name="Normal 8 3" xfId="156" xr:uid="{52FB691C-1658-44FC-BE2E-2115596444CD}"/>
    <cellStyle name="Normal 9" xfId="157" xr:uid="{F418EA02-7C2A-42C5-A6B5-02704DD3AB94}"/>
    <cellStyle name="Normal GHG Numbers (0.00)" xfId="158" xr:uid="{84821012-8208-48F0-AAD7-10122BCC4E5C}"/>
    <cellStyle name="Normal GHG Textfiels Bold" xfId="159" xr:uid="{60D5173B-3BB6-43E8-8673-5B50956CA8D6}"/>
    <cellStyle name="Normal GHG whole table" xfId="160" xr:uid="{4AFF15EB-29A6-464A-B250-A834B6D9D60A}"/>
    <cellStyle name="Normal GHG-Shade" xfId="161" xr:uid="{31395AAA-839F-4AC6-B2FD-09D29225DDA3}"/>
    <cellStyle name="Normal GHG-Shade 2" xfId="162" xr:uid="{F4E49C54-0E60-4673-9FDC-DE4435331439}"/>
    <cellStyle name="Normál_Munka1" xfId="163" xr:uid="{CAFE1116-6747-492D-B8ED-5493CCBBFD92}"/>
    <cellStyle name="Normale_B2020" xfId="164" xr:uid="{3D16CC15-8357-4A8F-ADF8-BC33C4C7E5B2}"/>
    <cellStyle name="Normale_Scen_UC_IND-StrucConst" xfId="6" xr:uid="{A995373A-7D41-438F-BA9E-F14CD6E6C164}"/>
    <cellStyle name="Note 2" xfId="165" xr:uid="{42F90E5F-E15A-4DFA-8D22-98D4CC0F1DA1}"/>
    <cellStyle name="Note 2 2" xfId="166" xr:uid="{9762515F-8F52-4B51-826F-0041A257C313}"/>
    <cellStyle name="Output 2" xfId="167" xr:uid="{AA190512-AFB8-4BEF-AD46-78B332801B44}"/>
    <cellStyle name="Output 2 2" xfId="168" xr:uid="{740063A2-460C-4F22-A9E4-4FC80423BE7C}"/>
    <cellStyle name="Pattern" xfId="169" xr:uid="{BFFF5DF2-5DB4-4D76-A2D6-04F756FE14D0}"/>
    <cellStyle name="Percent 2" xfId="170" xr:uid="{36E74EB8-D287-4A71-89A3-0A99B4E5EB55}"/>
    <cellStyle name="Percent 2 2" xfId="171" xr:uid="{B1EA68C7-DFE8-46D9-B75A-263C94B9D35E}"/>
    <cellStyle name="Percent 2 2 2" xfId="172" xr:uid="{50EF7EAF-0CAF-4DBC-8C9E-6A041D6E09BE}"/>
    <cellStyle name="Percent 3" xfId="173" xr:uid="{34DD58E8-EC85-48AB-9ACF-97D4585FD9A8}"/>
    <cellStyle name="Percent 3 2" xfId="174" xr:uid="{49ECF1EE-697F-4C54-9EC5-4EFEE0CA26F1}"/>
    <cellStyle name="Percent 3 3" xfId="175" xr:uid="{4359D4B5-EAB0-43E2-9664-4EB28EFCC0A8}"/>
    <cellStyle name="Pilkku_Layo9704" xfId="176" xr:uid="{140D764E-CCE7-4419-9958-4CE74E0BE774}"/>
    <cellStyle name="Pyör. luku_Layo9704" xfId="177" xr:uid="{1863BBAA-3DF2-4EEE-A90C-BF2FE4C5E342}"/>
    <cellStyle name="Pyör. valuutta_Layo9704" xfId="178" xr:uid="{442D3132-939E-4B13-B46D-5B402A3A4953}"/>
    <cellStyle name="Shade" xfId="179" xr:uid="{A135A5ED-445E-4732-8742-331362225C78}"/>
    <cellStyle name="Standard 2" xfId="180" xr:uid="{8A739756-27BE-4BDC-B16B-E84639717581}"/>
    <cellStyle name="Style 21" xfId="181" xr:uid="{4D919379-7063-4392-AB64-39B3FFBC0749}"/>
    <cellStyle name="Style 21 2" xfId="182" xr:uid="{E1AAC777-651F-46EE-BDEA-6C4975222F2B}"/>
    <cellStyle name="Style 21 2 2" xfId="183" xr:uid="{143C7B83-DB68-47CD-802F-3F96DA0C0464}"/>
    <cellStyle name="Style 21 3" xfId="184" xr:uid="{FA48DD95-11E1-452B-833B-5E8E7EDB8CD3}"/>
    <cellStyle name="Style 22" xfId="185" xr:uid="{BAE39157-5104-46C5-95FF-2BC160C53548}"/>
    <cellStyle name="Style 23" xfId="186" xr:uid="{B3CC3EC6-89C9-425D-9F64-A0269712A160}"/>
    <cellStyle name="Style 24" xfId="187" xr:uid="{400C4805-AD34-453C-B811-B81D4D86C92D}"/>
    <cellStyle name="Style 25" xfId="188" xr:uid="{FCD3A23D-57F7-4E19-B845-B2A95FE0D8DC}"/>
    <cellStyle name="Style 25 2" xfId="189" xr:uid="{AAADC91E-0C1E-4881-A707-F1665C06DA5F}"/>
    <cellStyle name="Style 25 2 2" xfId="190" xr:uid="{0D122034-B335-4C28-B91E-1309CE222771}"/>
    <cellStyle name="Style 25 3" xfId="191" xr:uid="{A53F4E56-CBD8-4586-8A3B-34EE89B2FC21}"/>
    <cellStyle name="Style 26" xfId="192" xr:uid="{7AE74DE0-9EC0-4334-A923-ACA11CF51E0F}"/>
    <cellStyle name="Title 2" xfId="193" xr:uid="{7622E31F-BB83-461A-AC4A-EDEB3BDCD23D}"/>
    <cellStyle name="Title 2 2" xfId="194" xr:uid="{E3B79312-A454-4691-A33E-5468849CADC4}"/>
    <cellStyle name="Total 2" xfId="195" xr:uid="{95AA80DE-88F8-4B54-BDD3-9B8430451A43}"/>
    <cellStyle name="Total 2 2" xfId="196" xr:uid="{1C37A92D-B46C-4506-966E-53EB80A32103}"/>
    <cellStyle name="Valuutta_Layo9704" xfId="197" xr:uid="{731618D7-C18B-4496-AA9B-F336885DB84B}"/>
    <cellStyle name="Warning Text 2" xfId="198" xr:uid="{3A4425FF-9AD7-4CAA-B6EE-51378CE20F3E}"/>
    <cellStyle name="Warning Text 2 2" xfId="199" xr:uid="{19F1E373-2CCA-45AC-8FD1-54AC47FEC4D2}"/>
    <cellStyle name="Гиперссылка" xfId="200" xr:uid="{98718762-EF80-4CA5-93EC-E4FAE7AC8FBD}"/>
    <cellStyle name="Обычный_2++" xfId="201" xr:uid="{0480CF94-C55D-44BE-88E2-9BE098E11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model run 23.7.2025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FOS!$P$42:$Q$42</c:f>
              <c:strCache>
                <c:ptCount val="2"/>
                <c:pt idx="0">
                  <c:v>AT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FOS!$R$42:$Z$42</c:f>
              <c:numCache>
                <c:formatCode>General</c:formatCode>
                <c:ptCount val="9"/>
                <c:pt idx="0">
                  <c:v>11519.90885</c:v>
                </c:pt>
                <c:pt idx="1">
                  <c:v>11333.35536</c:v>
                </c:pt>
                <c:pt idx="2">
                  <c:v>11758.062099999999</c:v>
                </c:pt>
                <c:pt idx="3">
                  <c:v>2246.1579999999999</c:v>
                </c:pt>
                <c:pt idx="4">
                  <c:v>3642.8695294099998</c:v>
                </c:pt>
                <c:pt idx="5">
                  <c:v>3361.3141039819998</c:v>
                </c:pt>
                <c:pt idx="6">
                  <c:v>1812.9165064179999</c:v>
                </c:pt>
                <c:pt idx="7">
                  <c:v>-1.6945894E-2</c:v>
                </c:pt>
                <c:pt idx="8">
                  <c:v>18.243462092000001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A-4E17-B3E0-C701FBD11932}"/>
            </c:ext>
          </c:extLst>
        </c:ser>
        <c:ser>
          <c:idx val="2"/>
          <c:order val="2"/>
          <c:tx>
            <c:strRef>
              <c:f>FOS!$P$43:$Q$43</c:f>
              <c:strCache>
                <c:ptCount val="2"/>
                <c:pt idx="0">
                  <c:v>BE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FOS!$R$43:$Z$43</c:f>
              <c:numCache>
                <c:formatCode>General</c:formatCode>
                <c:ptCount val="9"/>
                <c:pt idx="0">
                  <c:v>18240.451059999999</c:v>
                </c:pt>
                <c:pt idx="1">
                  <c:v>19332.75734</c:v>
                </c:pt>
                <c:pt idx="2">
                  <c:v>20082.42902</c:v>
                </c:pt>
                <c:pt idx="3">
                  <c:v>3743.0213060000001</c:v>
                </c:pt>
                <c:pt idx="4">
                  <c:v>3042.746830517</c:v>
                </c:pt>
                <c:pt idx="5">
                  <c:v>1215.287595106</c:v>
                </c:pt>
                <c:pt idx="6">
                  <c:v>70.938354351000001</c:v>
                </c:pt>
                <c:pt idx="7">
                  <c:v>722.30956700700006</c:v>
                </c:pt>
                <c:pt idx="8">
                  <c:v>869.16686154399997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AA-4E17-B3E0-C701FBD11932}"/>
            </c:ext>
          </c:extLst>
        </c:ser>
        <c:ser>
          <c:idx val="3"/>
          <c:order val="3"/>
          <c:tx>
            <c:strRef>
              <c:f>FOS!$P$44:$Q$44</c:f>
              <c:strCache>
                <c:ptCount val="2"/>
                <c:pt idx="0">
                  <c:v>BG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FOS!$R$44:$Z$44</c:f>
              <c:numCache>
                <c:formatCode>General</c:formatCode>
                <c:ptCount val="9"/>
                <c:pt idx="0">
                  <c:v>34197.345150000001</c:v>
                </c:pt>
                <c:pt idx="1">
                  <c:v>35617.832999999999</c:v>
                </c:pt>
                <c:pt idx="2">
                  <c:v>37228.076959999999</c:v>
                </c:pt>
                <c:pt idx="3">
                  <c:v>3150.2533239999998</c:v>
                </c:pt>
                <c:pt idx="4">
                  <c:v>2864.1438129210001</c:v>
                </c:pt>
                <c:pt idx="5">
                  <c:v>2977.3751461289999</c:v>
                </c:pt>
                <c:pt idx="6">
                  <c:v>2550.8194748410001</c:v>
                </c:pt>
                <c:pt idx="7">
                  <c:v>980.24904666899999</c:v>
                </c:pt>
                <c:pt idx="8">
                  <c:v>1015.5024871540001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AA-4E17-B3E0-C701FBD11932}"/>
            </c:ext>
          </c:extLst>
        </c:ser>
        <c:ser>
          <c:idx val="4"/>
          <c:order val="4"/>
          <c:tx>
            <c:strRef>
              <c:f>FOS!$P$45:$Q$45</c:f>
              <c:strCache>
                <c:ptCount val="2"/>
                <c:pt idx="0">
                  <c:v>CH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FOS!$R$45:$Z$45</c:f>
              <c:numCache>
                <c:formatCode>General</c:formatCode>
                <c:ptCount val="9"/>
                <c:pt idx="0">
                  <c:v>64.902720000000002</c:v>
                </c:pt>
                <c:pt idx="1">
                  <c:v>64.90316</c:v>
                </c:pt>
                <c:pt idx="2">
                  <c:v>0</c:v>
                </c:pt>
                <c:pt idx="3">
                  <c:v>1.7032579999999999</c:v>
                </c:pt>
                <c:pt idx="4">
                  <c:v>1.3431382E-2</c:v>
                </c:pt>
                <c:pt idx="5">
                  <c:v>1.3400983999999999E-2</c:v>
                </c:pt>
                <c:pt idx="6">
                  <c:v>7.1858529999999999E-3</c:v>
                </c:pt>
                <c:pt idx="7">
                  <c:v>9.4858249999999998E-3</c:v>
                </c:pt>
                <c:pt idx="8">
                  <c:v>7.5720279999999997E-3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AA-4E17-B3E0-C701FBD11932}"/>
            </c:ext>
          </c:extLst>
        </c:ser>
        <c:ser>
          <c:idx val="5"/>
          <c:order val="5"/>
          <c:tx>
            <c:strRef>
              <c:f>FOS!$P$46:$Q$46</c:f>
              <c:strCache>
                <c:ptCount val="2"/>
                <c:pt idx="0">
                  <c:v>CY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FOS!$R$46:$Z$46</c:f>
              <c:numCache>
                <c:formatCode>General</c:formatCode>
                <c:ptCount val="9"/>
                <c:pt idx="0">
                  <c:v>3740.0013399999998</c:v>
                </c:pt>
                <c:pt idx="1">
                  <c:v>4717.5417900000002</c:v>
                </c:pt>
                <c:pt idx="2">
                  <c:v>5445.8534399999999</c:v>
                </c:pt>
                <c:pt idx="3">
                  <c:v>222.150432</c:v>
                </c:pt>
                <c:pt idx="4">
                  <c:v>89.274012216000003</c:v>
                </c:pt>
                <c:pt idx="5">
                  <c:v>48.077819701999999</c:v>
                </c:pt>
                <c:pt idx="6">
                  <c:v>18.181284604999998</c:v>
                </c:pt>
                <c:pt idx="7">
                  <c:v>-8.2750879999999999E-3</c:v>
                </c:pt>
                <c:pt idx="8">
                  <c:v>-9.0725189999999994E-3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AA-4E17-B3E0-C701FBD11932}"/>
            </c:ext>
          </c:extLst>
        </c:ser>
        <c:ser>
          <c:idx val="6"/>
          <c:order val="6"/>
          <c:tx>
            <c:strRef>
              <c:f>FOS!$P$47:$Q$47</c:f>
              <c:strCache>
                <c:ptCount val="2"/>
                <c:pt idx="0">
                  <c:v>CZ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FOS!$R$47:$Z$47</c:f>
              <c:numCache>
                <c:formatCode>General</c:formatCode>
                <c:ptCount val="9"/>
                <c:pt idx="0">
                  <c:v>67344.711370000005</c:v>
                </c:pt>
                <c:pt idx="1">
                  <c:v>69609.741970000003</c:v>
                </c:pt>
                <c:pt idx="2">
                  <c:v>72580.876829999994</c:v>
                </c:pt>
                <c:pt idx="3">
                  <c:v>24105.916963</c:v>
                </c:pt>
                <c:pt idx="4">
                  <c:v>7761.0339420540004</c:v>
                </c:pt>
                <c:pt idx="5">
                  <c:v>6389.2451848049996</c:v>
                </c:pt>
                <c:pt idx="6">
                  <c:v>4649.974660885</c:v>
                </c:pt>
                <c:pt idx="7">
                  <c:v>-1.9833344999999999E-2</c:v>
                </c:pt>
                <c:pt idx="8">
                  <c:v>-2.0343440000000001E-2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AA-4E17-B3E0-C701FBD11932}"/>
            </c:ext>
          </c:extLst>
        </c:ser>
        <c:ser>
          <c:idx val="7"/>
          <c:order val="7"/>
          <c:tx>
            <c:strRef>
              <c:f>FOS!$P$48:$Q$48</c:f>
              <c:strCache>
                <c:ptCount val="2"/>
                <c:pt idx="0">
                  <c:v>DE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FOS!$R$48:$Z$48</c:f>
              <c:numCache>
                <c:formatCode>General</c:formatCode>
                <c:ptCount val="9"/>
                <c:pt idx="0">
                  <c:v>265124.30138999998</c:v>
                </c:pt>
                <c:pt idx="1">
                  <c:v>179052.24161999999</c:v>
                </c:pt>
                <c:pt idx="2">
                  <c:v>109726.46823</c:v>
                </c:pt>
                <c:pt idx="3">
                  <c:v>32314.336895</c:v>
                </c:pt>
                <c:pt idx="4">
                  <c:v>24146.130194697002</c:v>
                </c:pt>
                <c:pt idx="5">
                  <c:v>17950.191448385998</c:v>
                </c:pt>
                <c:pt idx="6">
                  <c:v>13742.932624122999</c:v>
                </c:pt>
                <c:pt idx="7">
                  <c:v>18044.264373709</c:v>
                </c:pt>
                <c:pt idx="8">
                  <c:v>18044.266622933999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AA-4E17-B3E0-C701FBD11932}"/>
            </c:ext>
          </c:extLst>
        </c:ser>
        <c:ser>
          <c:idx val="8"/>
          <c:order val="8"/>
          <c:tx>
            <c:strRef>
              <c:f>FOS!$P$49:$Q$49</c:f>
              <c:strCache>
                <c:ptCount val="2"/>
                <c:pt idx="0">
                  <c:v>DK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FOS!$R$49:$Z$49</c:f>
              <c:numCache>
                <c:formatCode>General</c:formatCode>
                <c:ptCount val="9"/>
                <c:pt idx="0">
                  <c:v>27918.70638</c:v>
                </c:pt>
                <c:pt idx="1">
                  <c:v>27536.855200000002</c:v>
                </c:pt>
                <c:pt idx="2">
                  <c:v>27077.034080000001</c:v>
                </c:pt>
                <c:pt idx="3">
                  <c:v>2613.056767</c:v>
                </c:pt>
                <c:pt idx="4">
                  <c:v>2963.9792063710001</c:v>
                </c:pt>
                <c:pt idx="5">
                  <c:v>2799.9904154659998</c:v>
                </c:pt>
                <c:pt idx="6">
                  <c:v>1596.81679859</c:v>
                </c:pt>
                <c:pt idx="7">
                  <c:v>-2.0251796999999998E-2</c:v>
                </c:pt>
                <c:pt idx="8">
                  <c:v>-1.4861770999999999E-2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AA-4E17-B3E0-C701FBD11932}"/>
            </c:ext>
          </c:extLst>
        </c:ser>
        <c:ser>
          <c:idx val="9"/>
          <c:order val="9"/>
          <c:tx>
            <c:strRef>
              <c:f>FOS!$P$50:$Q$50</c:f>
              <c:strCache>
                <c:ptCount val="2"/>
                <c:pt idx="0">
                  <c:v>EE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FOS!$R$50:$Z$50</c:f>
              <c:numCache>
                <c:formatCode>General</c:formatCode>
                <c:ptCount val="9"/>
                <c:pt idx="0">
                  <c:v>4004.2019399999999</c:v>
                </c:pt>
                <c:pt idx="1">
                  <c:v>921.10861</c:v>
                </c:pt>
                <c:pt idx="2">
                  <c:v>921.71306000000004</c:v>
                </c:pt>
                <c:pt idx="3">
                  <c:v>804.29801099999997</c:v>
                </c:pt>
                <c:pt idx="4">
                  <c:v>80.567813387000001</c:v>
                </c:pt>
                <c:pt idx="5">
                  <c:v>-6.7318150000000004E-3</c:v>
                </c:pt>
                <c:pt idx="6">
                  <c:v>-9.5627260000000006E-3</c:v>
                </c:pt>
                <c:pt idx="7">
                  <c:v>-6.3963470000000001E-3</c:v>
                </c:pt>
                <c:pt idx="8">
                  <c:v>-8.4119239999999994E-3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AA-4E17-B3E0-C701FBD11932}"/>
            </c:ext>
          </c:extLst>
        </c:ser>
        <c:ser>
          <c:idx val="10"/>
          <c:order val="10"/>
          <c:tx>
            <c:strRef>
              <c:f>FOS!$P$51:$Q$51</c:f>
              <c:strCache>
                <c:ptCount val="2"/>
                <c:pt idx="0">
                  <c:v>EL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FOS!$R$51:$Z$51</c:f>
              <c:numCache>
                <c:formatCode>General</c:formatCode>
                <c:ptCount val="9"/>
                <c:pt idx="0">
                  <c:v>44783.17712</c:v>
                </c:pt>
                <c:pt idx="1">
                  <c:v>47207.596769999996</c:v>
                </c:pt>
                <c:pt idx="2">
                  <c:v>48670.471109999999</c:v>
                </c:pt>
                <c:pt idx="3">
                  <c:v>177.447565</c:v>
                </c:pt>
                <c:pt idx="4">
                  <c:v>105.076832744</c:v>
                </c:pt>
                <c:pt idx="5">
                  <c:v>30.809335734000001</c:v>
                </c:pt>
                <c:pt idx="6">
                  <c:v>97.201166504</c:v>
                </c:pt>
                <c:pt idx="7">
                  <c:v>172.097876031</c:v>
                </c:pt>
                <c:pt idx="8">
                  <c:v>172.07567520800001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AA-4E17-B3E0-C701FBD11932}"/>
            </c:ext>
          </c:extLst>
        </c:ser>
        <c:ser>
          <c:idx val="11"/>
          <c:order val="11"/>
          <c:tx>
            <c:strRef>
              <c:f>FOS!$P$52:$Q$52</c:f>
              <c:strCache>
                <c:ptCount val="2"/>
                <c:pt idx="0">
                  <c:v>ES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FOS!$R$52:$Z$52</c:f>
              <c:numCache>
                <c:formatCode>General</c:formatCode>
                <c:ptCount val="9"/>
                <c:pt idx="0">
                  <c:v>89748.234410000005</c:v>
                </c:pt>
                <c:pt idx="1">
                  <c:v>88918.39675</c:v>
                </c:pt>
                <c:pt idx="2">
                  <c:v>89099.331030000001</c:v>
                </c:pt>
                <c:pt idx="3">
                  <c:v>1476.8802410000001</c:v>
                </c:pt>
                <c:pt idx="4">
                  <c:v>1455.9533386149999</c:v>
                </c:pt>
                <c:pt idx="5">
                  <c:v>1394.442071403</c:v>
                </c:pt>
                <c:pt idx="6">
                  <c:v>1463.8122016110001</c:v>
                </c:pt>
                <c:pt idx="7">
                  <c:v>1735.7281454480001</c:v>
                </c:pt>
                <c:pt idx="8">
                  <c:v>357.56192143999999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AA-4E17-B3E0-C701FBD11932}"/>
            </c:ext>
          </c:extLst>
        </c:ser>
        <c:ser>
          <c:idx val="12"/>
          <c:order val="12"/>
          <c:tx>
            <c:strRef>
              <c:f>FOS!$P$53:$Q$53</c:f>
              <c:strCache>
                <c:ptCount val="2"/>
                <c:pt idx="0">
                  <c:v>FI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FOS!$R$53:$Z$53</c:f>
              <c:numCache>
                <c:formatCode>General</c:formatCode>
                <c:ptCount val="9"/>
                <c:pt idx="0">
                  <c:v>20076.373780000002</c:v>
                </c:pt>
                <c:pt idx="1">
                  <c:v>16801.515579999999</c:v>
                </c:pt>
                <c:pt idx="2">
                  <c:v>15441.58941</c:v>
                </c:pt>
                <c:pt idx="3">
                  <c:v>4219.9105900000004</c:v>
                </c:pt>
                <c:pt idx="4">
                  <c:v>689.33239372000003</c:v>
                </c:pt>
                <c:pt idx="5">
                  <c:v>469.86565982399998</c:v>
                </c:pt>
                <c:pt idx="6">
                  <c:v>267.03065886299999</c:v>
                </c:pt>
                <c:pt idx="7">
                  <c:v>267.04626303600003</c:v>
                </c:pt>
                <c:pt idx="8">
                  <c:v>267.08770164499998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AA-4E17-B3E0-C701FBD11932}"/>
            </c:ext>
          </c:extLst>
        </c:ser>
        <c:ser>
          <c:idx val="13"/>
          <c:order val="13"/>
          <c:tx>
            <c:strRef>
              <c:f>FOS!$P$54:$Q$54</c:f>
              <c:strCache>
                <c:ptCount val="2"/>
                <c:pt idx="0">
                  <c:v>FR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FOS!$R$54:$Z$54</c:f>
              <c:numCache>
                <c:formatCode>General</c:formatCode>
                <c:ptCount val="9"/>
                <c:pt idx="0">
                  <c:v>23170.082849999999</c:v>
                </c:pt>
                <c:pt idx="1">
                  <c:v>23675.214510000002</c:v>
                </c:pt>
                <c:pt idx="2">
                  <c:v>24530.634290000002</c:v>
                </c:pt>
                <c:pt idx="3">
                  <c:v>2709.6470960000001</c:v>
                </c:pt>
                <c:pt idx="4">
                  <c:v>2421.5053726179999</c:v>
                </c:pt>
                <c:pt idx="5">
                  <c:v>2262.2766203629999</c:v>
                </c:pt>
                <c:pt idx="6">
                  <c:v>2862.0898379569999</c:v>
                </c:pt>
                <c:pt idx="7">
                  <c:v>-2.7905466E-2</c:v>
                </c:pt>
                <c:pt idx="8">
                  <c:v>-2.6219045E-2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2AA-4E17-B3E0-C701FBD11932}"/>
            </c:ext>
          </c:extLst>
        </c:ser>
        <c:ser>
          <c:idx val="14"/>
          <c:order val="14"/>
          <c:tx>
            <c:strRef>
              <c:f>FOS!$P$55:$Q$55</c:f>
              <c:strCache>
                <c:ptCount val="2"/>
                <c:pt idx="0">
                  <c:v>HR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FOS!$R$55:$Z$55</c:f>
              <c:numCache>
                <c:formatCode>General</c:formatCode>
                <c:ptCount val="9"/>
                <c:pt idx="0">
                  <c:v>4618.1027899999999</c:v>
                </c:pt>
                <c:pt idx="1">
                  <c:v>4637.1502200000004</c:v>
                </c:pt>
                <c:pt idx="2">
                  <c:v>4812.0324499999997</c:v>
                </c:pt>
                <c:pt idx="3">
                  <c:v>635.66484500000001</c:v>
                </c:pt>
                <c:pt idx="4">
                  <c:v>635.76799788599999</c:v>
                </c:pt>
                <c:pt idx="5">
                  <c:v>438.26228051099997</c:v>
                </c:pt>
                <c:pt idx="6">
                  <c:v>196.91635763299999</c:v>
                </c:pt>
                <c:pt idx="7">
                  <c:v>229.23735427</c:v>
                </c:pt>
                <c:pt idx="8">
                  <c:v>238.43879343899999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AA-4E17-B3E0-C701FBD11932}"/>
            </c:ext>
          </c:extLst>
        </c:ser>
        <c:ser>
          <c:idx val="15"/>
          <c:order val="15"/>
          <c:tx>
            <c:strRef>
              <c:f>FOS!$P$56:$Q$56</c:f>
              <c:strCache>
                <c:ptCount val="2"/>
                <c:pt idx="0">
                  <c:v>HU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FOS!$R$56:$Z$56</c:f>
              <c:numCache>
                <c:formatCode>General</c:formatCode>
                <c:ptCount val="9"/>
                <c:pt idx="0">
                  <c:v>17408.194350000002</c:v>
                </c:pt>
                <c:pt idx="1">
                  <c:v>17294.74814</c:v>
                </c:pt>
                <c:pt idx="2">
                  <c:v>18043.540679999998</c:v>
                </c:pt>
                <c:pt idx="3">
                  <c:v>1068.6436670000001</c:v>
                </c:pt>
                <c:pt idx="4">
                  <c:v>719.52028780399996</c:v>
                </c:pt>
                <c:pt idx="5">
                  <c:v>0</c:v>
                </c:pt>
                <c:pt idx="6">
                  <c:v>-2.0683416E-2</c:v>
                </c:pt>
                <c:pt idx="7">
                  <c:v>-2.1658673999999999E-2</c:v>
                </c:pt>
                <c:pt idx="8">
                  <c:v>-1.3516768E-2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2AA-4E17-B3E0-C701FBD11932}"/>
            </c:ext>
          </c:extLst>
        </c:ser>
        <c:ser>
          <c:idx val="16"/>
          <c:order val="16"/>
          <c:tx>
            <c:strRef>
              <c:f>FOS!$P$57:$Q$57</c:f>
              <c:strCache>
                <c:ptCount val="2"/>
                <c:pt idx="0">
                  <c:v>IE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FOS!$R$57:$Z$57</c:f>
              <c:numCache>
                <c:formatCode>General</c:formatCode>
                <c:ptCount val="9"/>
                <c:pt idx="0">
                  <c:v>14220.37988</c:v>
                </c:pt>
                <c:pt idx="1">
                  <c:v>10570.943579999999</c:v>
                </c:pt>
                <c:pt idx="2">
                  <c:v>11244.744650000001</c:v>
                </c:pt>
                <c:pt idx="3">
                  <c:v>302.73811499999999</c:v>
                </c:pt>
                <c:pt idx="4">
                  <c:v>228.16233997399999</c:v>
                </c:pt>
                <c:pt idx="5">
                  <c:v>185.42188385599999</c:v>
                </c:pt>
                <c:pt idx="6">
                  <c:v>186.212566536</c:v>
                </c:pt>
                <c:pt idx="7">
                  <c:v>139.46637009</c:v>
                </c:pt>
                <c:pt idx="8">
                  <c:v>100.712249605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2AA-4E17-B3E0-C701FBD11932}"/>
            </c:ext>
          </c:extLst>
        </c:ser>
        <c:ser>
          <c:idx val="17"/>
          <c:order val="17"/>
          <c:tx>
            <c:strRef>
              <c:f>FOS!$P$58:$Q$58</c:f>
              <c:strCache>
                <c:ptCount val="2"/>
                <c:pt idx="0">
                  <c:v>IS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FOS!$R$58:$Z$58</c:f>
              <c:numCache>
                <c:formatCode>General</c:formatCode>
                <c:ptCount val="9"/>
                <c:pt idx="0">
                  <c:v>61.926049999999996</c:v>
                </c:pt>
                <c:pt idx="1">
                  <c:v>159.86619999999999</c:v>
                </c:pt>
                <c:pt idx="2">
                  <c:v>40.825760000000002</c:v>
                </c:pt>
                <c:pt idx="3">
                  <c:v>40.989072</c:v>
                </c:pt>
                <c:pt idx="4">
                  <c:v>37.627830060000001</c:v>
                </c:pt>
                <c:pt idx="5">
                  <c:v>38.152029089999999</c:v>
                </c:pt>
                <c:pt idx="6">
                  <c:v>295.54311343400002</c:v>
                </c:pt>
                <c:pt idx="7">
                  <c:v>366.21244186199999</c:v>
                </c:pt>
                <c:pt idx="8">
                  <c:v>400.90863775000003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2AA-4E17-B3E0-C701FBD11932}"/>
            </c:ext>
          </c:extLst>
        </c:ser>
        <c:ser>
          <c:idx val="18"/>
          <c:order val="18"/>
          <c:tx>
            <c:strRef>
              <c:f>FOS!$P$59:$Q$59</c:f>
              <c:strCache>
                <c:ptCount val="2"/>
                <c:pt idx="0">
                  <c:v>IT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FOS!$R$59:$Z$59</c:f>
              <c:numCache>
                <c:formatCode>General</c:formatCode>
                <c:ptCount val="9"/>
                <c:pt idx="0">
                  <c:v>120540.63623</c:v>
                </c:pt>
                <c:pt idx="1">
                  <c:v>110694.17874</c:v>
                </c:pt>
                <c:pt idx="2">
                  <c:v>111654.44235</c:v>
                </c:pt>
                <c:pt idx="3">
                  <c:v>7788.1293240000005</c:v>
                </c:pt>
                <c:pt idx="4">
                  <c:v>3247.115933905</c:v>
                </c:pt>
                <c:pt idx="5">
                  <c:v>3557.2389478959999</c:v>
                </c:pt>
                <c:pt idx="6">
                  <c:v>5808.8549420259997</c:v>
                </c:pt>
                <c:pt idx="7">
                  <c:v>4495.1662850840003</c:v>
                </c:pt>
                <c:pt idx="8">
                  <c:v>4546.9345544199996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2AA-4E17-B3E0-C701FBD11932}"/>
            </c:ext>
          </c:extLst>
        </c:ser>
        <c:ser>
          <c:idx val="19"/>
          <c:order val="19"/>
          <c:tx>
            <c:strRef>
              <c:f>FOS!$P$60:$Q$60</c:f>
              <c:strCache>
                <c:ptCount val="2"/>
                <c:pt idx="0">
                  <c:v>LT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FOS!$R$60:$Z$60</c:f>
              <c:numCache>
                <c:formatCode>General</c:formatCode>
                <c:ptCount val="9"/>
                <c:pt idx="0">
                  <c:v>4236.0328799999997</c:v>
                </c:pt>
                <c:pt idx="1">
                  <c:v>4008.0291000000002</c:v>
                </c:pt>
                <c:pt idx="2">
                  <c:v>4418.4519600000003</c:v>
                </c:pt>
                <c:pt idx="3">
                  <c:v>1078.0785020000001</c:v>
                </c:pt>
                <c:pt idx="4">
                  <c:v>270.32423498200001</c:v>
                </c:pt>
                <c:pt idx="5">
                  <c:v>272.23032586400001</c:v>
                </c:pt>
                <c:pt idx="6">
                  <c:v>97.020088927000003</c:v>
                </c:pt>
                <c:pt idx="7">
                  <c:v>-7.1821840000000003E-3</c:v>
                </c:pt>
                <c:pt idx="8">
                  <c:v>-1.0039953000000001E-2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2AA-4E17-B3E0-C701FBD11932}"/>
            </c:ext>
          </c:extLst>
        </c:ser>
        <c:ser>
          <c:idx val="20"/>
          <c:order val="20"/>
          <c:tx>
            <c:strRef>
              <c:f>FOS!$P$61:$Q$61</c:f>
              <c:strCache>
                <c:ptCount val="2"/>
                <c:pt idx="0">
                  <c:v>LU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FOS!$R$61:$Z$61</c:f>
              <c:numCache>
                <c:formatCode>General</c:formatCode>
                <c:ptCount val="9"/>
                <c:pt idx="0">
                  <c:v>1194.2037600000001</c:v>
                </c:pt>
                <c:pt idx="1">
                  <c:v>1192.9110000000001</c:v>
                </c:pt>
                <c:pt idx="2">
                  <c:v>1145.1739500000001</c:v>
                </c:pt>
                <c:pt idx="3">
                  <c:v>449.49504000000002</c:v>
                </c:pt>
                <c:pt idx="4">
                  <c:v>81.018818654</c:v>
                </c:pt>
                <c:pt idx="5">
                  <c:v>84.891353219999999</c:v>
                </c:pt>
                <c:pt idx="6">
                  <c:v>62.149986445000003</c:v>
                </c:pt>
                <c:pt idx="7">
                  <c:v>54.419210343000003</c:v>
                </c:pt>
                <c:pt idx="8">
                  <c:v>49.141172838000003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2AA-4E17-B3E0-C701FBD11932}"/>
            </c:ext>
          </c:extLst>
        </c:ser>
        <c:ser>
          <c:idx val="21"/>
          <c:order val="21"/>
          <c:tx>
            <c:strRef>
              <c:f>FOS!$P$62:$Q$62</c:f>
              <c:strCache>
                <c:ptCount val="2"/>
                <c:pt idx="0">
                  <c:v>LV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FOS!$R$62:$Z$62</c:f>
              <c:numCache>
                <c:formatCode>General</c:formatCode>
                <c:ptCount val="9"/>
                <c:pt idx="0">
                  <c:v>3439.8273300000001</c:v>
                </c:pt>
                <c:pt idx="1">
                  <c:v>3011.11267</c:v>
                </c:pt>
                <c:pt idx="2">
                  <c:v>2916.8206300000002</c:v>
                </c:pt>
                <c:pt idx="3">
                  <c:v>602.38006099999996</c:v>
                </c:pt>
                <c:pt idx="4">
                  <c:v>21.399561840000001</c:v>
                </c:pt>
                <c:pt idx="5">
                  <c:v>-7.9076930000000004E-3</c:v>
                </c:pt>
                <c:pt idx="6">
                  <c:v>-7.7704230000000003E-3</c:v>
                </c:pt>
                <c:pt idx="7">
                  <c:v>-1.0920688E-2</c:v>
                </c:pt>
                <c:pt idx="8">
                  <c:v>-9.8661860000000007E-3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2AA-4E17-B3E0-C701FBD11932}"/>
            </c:ext>
          </c:extLst>
        </c:ser>
        <c:ser>
          <c:idx val="22"/>
          <c:order val="22"/>
          <c:tx>
            <c:strRef>
              <c:f>FOS!$P$63:$Q$63</c:f>
              <c:strCache>
                <c:ptCount val="2"/>
                <c:pt idx="0">
                  <c:v>MT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FOS!$R$63:$Z$63</c:f>
              <c:numCache>
                <c:formatCode>General</c:formatCode>
                <c:ptCount val="9"/>
                <c:pt idx="0">
                  <c:v>1536.9656500000001</c:v>
                </c:pt>
                <c:pt idx="1">
                  <c:v>1808.2927</c:v>
                </c:pt>
                <c:pt idx="2">
                  <c:v>2004.98884</c:v>
                </c:pt>
                <c:pt idx="3">
                  <c:v>11.880903</c:v>
                </c:pt>
                <c:pt idx="4">
                  <c:v>11.891287187</c:v>
                </c:pt>
                <c:pt idx="5">
                  <c:v>11.98724636</c:v>
                </c:pt>
                <c:pt idx="6">
                  <c:v>11.778591795000001</c:v>
                </c:pt>
                <c:pt idx="7">
                  <c:v>11.361782041</c:v>
                </c:pt>
                <c:pt idx="8">
                  <c:v>11.483883941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2AA-4E17-B3E0-C701FBD11932}"/>
            </c:ext>
          </c:extLst>
        </c:ser>
        <c:ser>
          <c:idx val="23"/>
          <c:order val="23"/>
          <c:tx>
            <c:strRef>
              <c:f>FOS!$P$64:$Q$64</c:f>
              <c:strCache>
                <c:ptCount val="2"/>
                <c:pt idx="0">
                  <c:v>NL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FOS!$R$64:$Z$64</c:f>
              <c:numCache>
                <c:formatCode>General</c:formatCode>
                <c:ptCount val="9"/>
                <c:pt idx="0">
                  <c:v>41005.954890000001</c:v>
                </c:pt>
                <c:pt idx="1">
                  <c:v>42476.90713</c:v>
                </c:pt>
                <c:pt idx="2">
                  <c:v>48295.539940000002</c:v>
                </c:pt>
                <c:pt idx="3">
                  <c:v>15239.116711999999</c:v>
                </c:pt>
                <c:pt idx="4">
                  <c:v>17233.983985027</c:v>
                </c:pt>
                <c:pt idx="5">
                  <c:v>17735.441290134</c:v>
                </c:pt>
                <c:pt idx="6">
                  <c:v>7898.9858743029999</c:v>
                </c:pt>
                <c:pt idx="7">
                  <c:v>4137.1063090480002</c:v>
                </c:pt>
                <c:pt idx="8">
                  <c:v>4347.9321156799997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2AA-4E17-B3E0-C701FBD11932}"/>
            </c:ext>
          </c:extLst>
        </c:ser>
        <c:ser>
          <c:idx val="24"/>
          <c:order val="24"/>
          <c:tx>
            <c:strRef>
              <c:f>FOS!$P$65:$Q$65</c:f>
              <c:strCache>
                <c:ptCount val="2"/>
                <c:pt idx="0">
                  <c:v>NO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FOS!$R$65:$Z$65</c:f>
              <c:numCache>
                <c:formatCode>General</c:formatCode>
                <c:ptCount val="9"/>
                <c:pt idx="0">
                  <c:v>904.85762999999997</c:v>
                </c:pt>
                <c:pt idx="1">
                  <c:v>642.01877999999999</c:v>
                </c:pt>
                <c:pt idx="2">
                  <c:v>363.57436999999999</c:v>
                </c:pt>
                <c:pt idx="3">
                  <c:v>253.947474</c:v>
                </c:pt>
                <c:pt idx="4">
                  <c:v>399.46414263399998</c:v>
                </c:pt>
                <c:pt idx="5">
                  <c:v>2142.0975452419998</c:v>
                </c:pt>
                <c:pt idx="6">
                  <c:v>1993.272299432</c:v>
                </c:pt>
                <c:pt idx="7">
                  <c:v>1549.901181061</c:v>
                </c:pt>
                <c:pt idx="8">
                  <c:v>466.855676899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2AA-4E17-B3E0-C701FBD11932}"/>
            </c:ext>
          </c:extLst>
        </c:ser>
        <c:ser>
          <c:idx val="25"/>
          <c:order val="25"/>
          <c:tx>
            <c:strRef>
              <c:f>FOS!$P$66:$Q$66</c:f>
              <c:strCache>
                <c:ptCount val="2"/>
                <c:pt idx="0">
                  <c:v>PL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FOS!$R$66:$Z$66</c:f>
              <c:numCache>
                <c:formatCode>General</c:formatCode>
                <c:ptCount val="9"/>
                <c:pt idx="0">
                  <c:v>192099.86444</c:v>
                </c:pt>
                <c:pt idx="1">
                  <c:v>187798.28090000001</c:v>
                </c:pt>
                <c:pt idx="2">
                  <c:v>189764.23131999999</c:v>
                </c:pt>
                <c:pt idx="3">
                  <c:v>36692.816575999997</c:v>
                </c:pt>
                <c:pt idx="4">
                  <c:v>24552.171794933001</c:v>
                </c:pt>
                <c:pt idx="5">
                  <c:v>23266.253055131001</c:v>
                </c:pt>
                <c:pt idx="6">
                  <c:v>8038.2425461120001</c:v>
                </c:pt>
                <c:pt idx="7">
                  <c:v>190.86198819000001</c:v>
                </c:pt>
                <c:pt idx="8">
                  <c:v>-9.9936209999999994E-3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2AA-4E17-B3E0-C701FBD11932}"/>
            </c:ext>
          </c:extLst>
        </c:ser>
        <c:ser>
          <c:idx val="26"/>
          <c:order val="26"/>
          <c:tx>
            <c:strRef>
              <c:f>FOS!$P$67:$Q$67</c:f>
              <c:strCache>
                <c:ptCount val="2"/>
                <c:pt idx="0">
                  <c:v>PT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FOS!$R$67:$Z$67</c:f>
              <c:numCache>
                <c:formatCode>General</c:formatCode>
                <c:ptCount val="9"/>
                <c:pt idx="0">
                  <c:v>9184.1734799999995</c:v>
                </c:pt>
                <c:pt idx="1">
                  <c:v>9448.7705000000005</c:v>
                </c:pt>
                <c:pt idx="2">
                  <c:v>9633.1080099999999</c:v>
                </c:pt>
                <c:pt idx="3">
                  <c:v>62.027002000000003</c:v>
                </c:pt>
                <c:pt idx="4">
                  <c:v>62.705984999999998</c:v>
                </c:pt>
                <c:pt idx="5">
                  <c:v>61.766061731999997</c:v>
                </c:pt>
                <c:pt idx="6">
                  <c:v>604.337984807</c:v>
                </c:pt>
                <c:pt idx="7">
                  <c:v>542.96863404700002</c:v>
                </c:pt>
                <c:pt idx="8">
                  <c:v>542.96862465799995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2AA-4E17-B3E0-C701FBD11932}"/>
            </c:ext>
          </c:extLst>
        </c:ser>
        <c:ser>
          <c:idx val="27"/>
          <c:order val="27"/>
          <c:tx>
            <c:strRef>
              <c:f>FOS!$P$68:$Q$68</c:f>
              <c:strCache>
                <c:ptCount val="2"/>
                <c:pt idx="0">
                  <c:v>RO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FOS!$R$68:$Z$68</c:f>
              <c:numCache>
                <c:formatCode>General</c:formatCode>
                <c:ptCount val="9"/>
                <c:pt idx="0">
                  <c:v>32647.010699999999</c:v>
                </c:pt>
                <c:pt idx="1">
                  <c:v>32239.70464</c:v>
                </c:pt>
                <c:pt idx="2">
                  <c:v>32887.230109999997</c:v>
                </c:pt>
                <c:pt idx="3">
                  <c:v>5152.3462820000004</c:v>
                </c:pt>
                <c:pt idx="4">
                  <c:v>4980.8438476390002</c:v>
                </c:pt>
                <c:pt idx="5">
                  <c:v>4318.4134806700004</c:v>
                </c:pt>
                <c:pt idx="6">
                  <c:v>139.98120234699999</c:v>
                </c:pt>
                <c:pt idx="7">
                  <c:v>-2.0981610000000001E-2</c:v>
                </c:pt>
                <c:pt idx="8">
                  <c:v>-1.9475480999999999E-2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2AA-4E17-B3E0-C701FBD11932}"/>
            </c:ext>
          </c:extLst>
        </c:ser>
        <c:ser>
          <c:idx val="28"/>
          <c:order val="28"/>
          <c:tx>
            <c:strRef>
              <c:f>FOS!$P$69:$Q$69</c:f>
              <c:strCache>
                <c:ptCount val="2"/>
                <c:pt idx="0">
                  <c:v>SE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FOS!$R$69:$Z$69</c:f>
              <c:numCache>
                <c:formatCode>General</c:formatCode>
                <c:ptCount val="9"/>
                <c:pt idx="0">
                  <c:v>6198.27412</c:v>
                </c:pt>
                <c:pt idx="1">
                  <c:v>4355.0764900000004</c:v>
                </c:pt>
                <c:pt idx="2">
                  <c:v>4366.2508500000004</c:v>
                </c:pt>
                <c:pt idx="3">
                  <c:v>883.44147299999997</c:v>
                </c:pt>
                <c:pt idx="4">
                  <c:v>686.54116612600001</c:v>
                </c:pt>
                <c:pt idx="5">
                  <c:v>688.65549169099995</c:v>
                </c:pt>
                <c:pt idx="6">
                  <c:v>2056.7492763619998</c:v>
                </c:pt>
                <c:pt idx="7">
                  <c:v>-1.4389648E-2</c:v>
                </c:pt>
                <c:pt idx="8">
                  <c:v>165.428468256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2AA-4E17-B3E0-C701FBD11932}"/>
            </c:ext>
          </c:extLst>
        </c:ser>
        <c:ser>
          <c:idx val="29"/>
          <c:order val="29"/>
          <c:tx>
            <c:strRef>
              <c:f>FOS!$P$70:$Q$70</c:f>
              <c:strCache>
                <c:ptCount val="2"/>
                <c:pt idx="0">
                  <c:v>SI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FOS!$R$70:$Z$70</c:f>
              <c:numCache>
                <c:formatCode>General</c:formatCode>
                <c:ptCount val="9"/>
                <c:pt idx="0">
                  <c:v>7168.2622600000004</c:v>
                </c:pt>
                <c:pt idx="1">
                  <c:v>7122.7871699999996</c:v>
                </c:pt>
                <c:pt idx="2">
                  <c:v>7110.8354099999997</c:v>
                </c:pt>
                <c:pt idx="3">
                  <c:v>1985.2954560000001</c:v>
                </c:pt>
                <c:pt idx="4">
                  <c:v>437.58532287600002</c:v>
                </c:pt>
                <c:pt idx="5">
                  <c:v>430.11953817300002</c:v>
                </c:pt>
                <c:pt idx="6">
                  <c:v>598.14843690600003</c:v>
                </c:pt>
                <c:pt idx="7">
                  <c:v>472.65280261300001</c:v>
                </c:pt>
                <c:pt idx="8">
                  <c:v>472.04963909600002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2AA-4E17-B3E0-C701FBD11932}"/>
            </c:ext>
          </c:extLst>
        </c:ser>
        <c:ser>
          <c:idx val="30"/>
          <c:order val="30"/>
          <c:tx>
            <c:strRef>
              <c:f>FOS!$P$71:$Q$71</c:f>
              <c:strCache>
                <c:ptCount val="2"/>
                <c:pt idx="0">
                  <c:v>SK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FOS!$R$71:$Z$71</c:f>
              <c:numCache>
                <c:formatCode>General</c:formatCode>
                <c:ptCount val="9"/>
                <c:pt idx="0">
                  <c:v>4927.9142599999996</c:v>
                </c:pt>
                <c:pt idx="1">
                  <c:v>3588.33275</c:v>
                </c:pt>
                <c:pt idx="2">
                  <c:v>2312.2954599999998</c:v>
                </c:pt>
                <c:pt idx="3">
                  <c:v>746.27583600000003</c:v>
                </c:pt>
                <c:pt idx="4">
                  <c:v>563.53656390000003</c:v>
                </c:pt>
                <c:pt idx="5">
                  <c:v>1333.6780269379999</c:v>
                </c:pt>
                <c:pt idx="6">
                  <c:v>610.06863348100001</c:v>
                </c:pt>
                <c:pt idx="7">
                  <c:v>-1.2679688E-2</c:v>
                </c:pt>
                <c:pt idx="8">
                  <c:v>67.774431010000001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2AA-4E17-B3E0-C701FBD11932}"/>
            </c:ext>
          </c:extLst>
        </c:ser>
        <c:ser>
          <c:idx val="31"/>
          <c:order val="31"/>
          <c:tx>
            <c:strRef>
              <c:f>FOS!$P$72:$Q$72</c:f>
              <c:strCache>
                <c:ptCount val="2"/>
                <c:pt idx="0">
                  <c:v>UK</c:v>
                </c:pt>
                <c:pt idx="1">
                  <c:v>ELCCO2N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FOS!$R$41:$Z$41</c:f>
              <c:numCache>
                <c:formatCode>General</c:formatCode>
                <c:ptCount val="9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  <c:pt idx="7">
                  <c:v>2045</c:v>
                </c:pt>
                <c:pt idx="8">
                  <c:v>2050</c:v>
                </c:pt>
              </c:numCache>
            </c:numRef>
          </c:cat>
          <c:val>
            <c:numRef>
              <c:f>FOS!$R$72:$Z$72</c:f>
              <c:numCache>
                <c:formatCode>General</c:formatCode>
                <c:ptCount val="9"/>
                <c:pt idx="0">
                  <c:v>105874.39146</c:v>
                </c:pt>
                <c:pt idx="1">
                  <c:v>93645.632530000003</c:v>
                </c:pt>
                <c:pt idx="2">
                  <c:v>90399.287100000001</c:v>
                </c:pt>
                <c:pt idx="3">
                  <c:v>7487.6611389999998</c:v>
                </c:pt>
                <c:pt idx="4">
                  <c:v>6824.8022642220003</c:v>
                </c:pt>
                <c:pt idx="5">
                  <c:v>6738.329774494</c:v>
                </c:pt>
                <c:pt idx="6">
                  <c:v>6834.6404801549998</c:v>
                </c:pt>
                <c:pt idx="7">
                  <c:v>3016.5611440030002</c:v>
                </c:pt>
                <c:pt idx="8">
                  <c:v>3082.316001312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2AA-4E17-B3E0-C701FBD11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4728335"/>
        <c:axId val="11447297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FOS!$P$41:$Q$41</c15:sqref>
                        </c15:formulaRef>
                      </c:ext>
                    </c:extLst>
                    <c:strCache>
                      <c:ptCount val="2"/>
                      <c:pt idx="0">
                        <c:v>region</c:v>
                      </c:pt>
                      <c:pt idx="1">
                        <c:v>commodity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FOS!$R$41:$Z$41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2010</c:v>
                      </c:pt>
                      <c:pt idx="1">
                        <c:v>2015</c:v>
                      </c:pt>
                      <c:pt idx="2">
                        <c:v>2020</c:v>
                      </c:pt>
                      <c:pt idx="3">
                        <c:v>2025</c:v>
                      </c:pt>
                      <c:pt idx="4">
                        <c:v>2030</c:v>
                      </c:pt>
                      <c:pt idx="5">
                        <c:v>2035</c:v>
                      </c:pt>
                      <c:pt idx="6">
                        <c:v>2040</c:v>
                      </c:pt>
                      <c:pt idx="7">
                        <c:v>2045</c:v>
                      </c:pt>
                      <c:pt idx="8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FOS!$R$41:$Z$41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2010</c:v>
                      </c:pt>
                      <c:pt idx="1">
                        <c:v>2015</c:v>
                      </c:pt>
                      <c:pt idx="2">
                        <c:v>2020</c:v>
                      </c:pt>
                      <c:pt idx="3">
                        <c:v>2025</c:v>
                      </c:pt>
                      <c:pt idx="4">
                        <c:v>2030</c:v>
                      </c:pt>
                      <c:pt idx="5">
                        <c:v>2035</c:v>
                      </c:pt>
                      <c:pt idx="6">
                        <c:v>2040</c:v>
                      </c:pt>
                      <c:pt idx="7">
                        <c:v>2045</c:v>
                      </c:pt>
                      <c:pt idx="8">
                        <c:v>2050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2AA-4E17-B3E0-C701FBD11932}"/>
                  </c:ext>
                </c:extLst>
              </c15:ser>
            </c15:filteredLineSeries>
          </c:ext>
        </c:extLst>
      </c:lineChart>
      <c:catAx>
        <c:axId val="114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44729775"/>
        <c:crosses val="autoZero"/>
        <c:auto val="1"/>
        <c:lblAlgn val="ctr"/>
        <c:lblOffset val="100"/>
        <c:noMultiLvlLbl val="0"/>
      </c:catAx>
      <c:valAx>
        <c:axId val="11447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447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243840</xdr:colOff>
      <xdr:row>39</xdr:row>
      <xdr:rowOff>83820</xdr:rowOff>
    </xdr:from>
    <xdr:to>
      <xdr:col>39</xdr:col>
      <xdr:colOff>525780</xdr:colOff>
      <xdr:row>73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32C0E-2FA6-DD81-FA05-72914225D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548640</xdr:colOff>
      <xdr:row>22</xdr:row>
      <xdr:rowOff>10464</xdr:rowOff>
    </xdr:from>
    <xdr:to>
      <xdr:col>22</xdr:col>
      <xdr:colOff>119682</xdr:colOff>
      <xdr:row>37</xdr:row>
      <xdr:rowOff>57855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FC1D0B-ED6B-9601-5DEC-B363C8DC3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3020" y="4033824"/>
          <a:ext cx="5209842" cy="27905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E612-6155-473C-B1E4-EA860B803200}">
  <dimension ref="A1:AI40"/>
  <sheetViews>
    <sheetView tabSelected="1" topLeftCell="B1" workbookViewId="0">
      <selection activeCell="G15" sqref="G15"/>
    </sheetView>
  </sheetViews>
  <sheetFormatPr defaultRowHeight="14.4" x14ac:dyDescent="0.3"/>
  <cols>
    <col min="2" max="2" width="11.44140625" customWidth="1"/>
    <col min="3" max="3" width="14.109375" customWidth="1"/>
    <col min="4" max="4" width="11.33203125" customWidth="1"/>
    <col min="7" max="7" width="11.109375" customWidth="1"/>
    <col min="11" max="11" width="19" customWidth="1"/>
    <col min="17" max="17" width="8.88671875" customWidth="1"/>
  </cols>
  <sheetData>
    <row r="1" spans="1:35" x14ac:dyDescent="0.3">
      <c r="A1" s="62" t="s">
        <v>143</v>
      </c>
      <c r="E1">
        <v>1.07</v>
      </c>
      <c r="F1" t="s">
        <v>144</v>
      </c>
      <c r="H1" t="s">
        <v>145</v>
      </c>
    </row>
    <row r="2" spans="1:35" x14ac:dyDescent="0.3">
      <c r="A2" s="62"/>
    </row>
    <row r="3" spans="1:35" x14ac:dyDescent="0.3">
      <c r="C3" s="62" t="s">
        <v>109</v>
      </c>
    </row>
    <row r="4" spans="1:35" ht="15" thickBot="1" x14ac:dyDescent="0.35">
      <c r="A4" t="s">
        <v>142</v>
      </c>
      <c r="C4" s="56" t="s">
        <v>137</v>
      </c>
      <c r="D4" s="56" t="s">
        <v>138</v>
      </c>
      <c r="E4" s="56" t="s">
        <v>4</v>
      </c>
      <c r="F4" s="56" t="s">
        <v>3</v>
      </c>
      <c r="G4" s="56" t="s">
        <v>112</v>
      </c>
      <c r="H4" s="57" t="s">
        <v>28</v>
      </c>
      <c r="I4" s="57" t="s">
        <v>9</v>
      </c>
      <c r="J4" s="57" t="s">
        <v>10</v>
      </c>
      <c r="K4" s="57" t="s">
        <v>113</v>
      </c>
      <c r="L4" s="57" t="s">
        <v>11</v>
      </c>
      <c r="M4" s="57" t="s">
        <v>13</v>
      </c>
      <c r="N4" s="57" t="s">
        <v>12</v>
      </c>
      <c r="O4" s="57" t="s">
        <v>14</v>
      </c>
      <c r="P4" s="57" t="s">
        <v>16</v>
      </c>
      <c r="Q4" s="57" t="s">
        <v>17</v>
      </c>
      <c r="R4" s="57" t="s">
        <v>5</v>
      </c>
      <c r="S4" s="57" t="s">
        <v>18</v>
      </c>
      <c r="T4" s="57" t="s">
        <v>19</v>
      </c>
      <c r="U4" s="57" t="s">
        <v>25</v>
      </c>
      <c r="V4" s="57" t="s">
        <v>15</v>
      </c>
      <c r="W4" s="57" t="s">
        <v>114</v>
      </c>
      <c r="X4" s="57" t="s">
        <v>20</v>
      </c>
      <c r="Y4" s="57" t="s">
        <v>23</v>
      </c>
      <c r="Z4" s="57" t="s">
        <v>24</v>
      </c>
      <c r="AA4" s="57" t="s">
        <v>22</v>
      </c>
      <c r="AB4" s="57" t="s">
        <v>34</v>
      </c>
      <c r="AC4" s="57" t="s">
        <v>29</v>
      </c>
      <c r="AD4" s="57" t="s">
        <v>30</v>
      </c>
      <c r="AE4" s="57" t="s">
        <v>31</v>
      </c>
      <c r="AF4" s="57" t="s">
        <v>33</v>
      </c>
      <c r="AG4" s="57" t="s">
        <v>32</v>
      </c>
      <c r="AH4" s="57" t="s">
        <v>115</v>
      </c>
      <c r="AI4" s="57" t="s">
        <v>35</v>
      </c>
    </row>
    <row r="5" spans="1:35" x14ac:dyDescent="0.3">
      <c r="A5" s="63">
        <f>SUM(H5:AI5)</f>
        <v>1924.5224885140999</v>
      </c>
      <c r="C5" s="58" t="s">
        <v>139</v>
      </c>
      <c r="D5" s="58" t="s">
        <v>141</v>
      </c>
      <c r="E5" s="59" t="s">
        <v>8</v>
      </c>
      <c r="F5" s="58" t="s">
        <v>140</v>
      </c>
      <c r="G5" s="58">
        <v>2010</v>
      </c>
      <c r="H5" s="66">
        <v>141.24203600000001</v>
      </c>
      <c r="I5" s="61">
        <v>1.0371649600000001</v>
      </c>
      <c r="J5" s="61">
        <v>17.923035800000001</v>
      </c>
      <c r="K5" s="61">
        <v>126.86933200000001</v>
      </c>
      <c r="L5" s="61">
        <v>9.8553355800000002</v>
      </c>
      <c r="M5" s="61">
        <v>48.688110500000001</v>
      </c>
      <c r="N5" s="61">
        <v>7.6764615699999997E-2</v>
      </c>
      <c r="O5" s="61">
        <v>4.8074525400000005E-2</v>
      </c>
      <c r="P5" s="61">
        <v>24.541444599999998</v>
      </c>
      <c r="Q5" s="61">
        <v>111.22089699999999</v>
      </c>
      <c r="R5" s="61">
        <v>46.177230300000005</v>
      </c>
      <c r="S5" s="61">
        <v>180.60506900000001</v>
      </c>
      <c r="T5" s="61">
        <v>28.379080999999999</v>
      </c>
      <c r="U5" s="61">
        <v>0.632069514</v>
      </c>
      <c r="V5" s="61">
        <v>2.12453096</v>
      </c>
      <c r="W5" s="61">
        <v>28.711532600000002</v>
      </c>
      <c r="X5" s="61">
        <v>141.92469499999999</v>
      </c>
      <c r="Y5" s="61">
        <v>1.94876369</v>
      </c>
      <c r="Z5" s="61">
        <v>0.38473616900000002</v>
      </c>
      <c r="AA5" s="61">
        <v>12.471651699999999</v>
      </c>
      <c r="AB5" s="61">
        <v>577.93654399999991</v>
      </c>
      <c r="AC5" s="61">
        <v>13.0086485</v>
      </c>
      <c r="AD5" s="61">
        <v>54.7328191</v>
      </c>
      <c r="AE5" s="61">
        <v>71.153671799999998</v>
      </c>
      <c r="AF5" s="61">
        <v>237.021851</v>
      </c>
      <c r="AG5" s="61">
        <v>14.971876399999999</v>
      </c>
      <c r="AH5" s="61">
        <v>19.024349900000001</v>
      </c>
      <c r="AI5" s="61">
        <v>11.811172299999999</v>
      </c>
    </row>
    <row r="6" spans="1:35" x14ac:dyDescent="0.3">
      <c r="A6" s="63">
        <f t="shared" ref="A6:A9" si="0">SUM(H6:AI6)</f>
        <v>1924.5224885140999</v>
      </c>
      <c r="C6" s="58" t="s">
        <v>139</v>
      </c>
      <c r="D6" s="58" t="s">
        <v>141</v>
      </c>
      <c r="E6" s="59" t="s">
        <v>8</v>
      </c>
      <c r="F6" s="58" t="s">
        <v>140</v>
      </c>
      <c r="G6" s="58">
        <v>2020</v>
      </c>
      <c r="H6" s="65">
        <f>H5</f>
        <v>141.24203600000001</v>
      </c>
      <c r="I6" s="60">
        <f t="shared" ref="I6:AI7" si="1">I5</f>
        <v>1.0371649600000001</v>
      </c>
      <c r="J6" s="60">
        <f t="shared" si="1"/>
        <v>17.923035800000001</v>
      </c>
      <c r="K6" s="60">
        <f t="shared" si="1"/>
        <v>126.86933200000001</v>
      </c>
      <c r="L6" s="60">
        <f t="shared" si="1"/>
        <v>9.8553355800000002</v>
      </c>
      <c r="M6" s="60">
        <f t="shared" si="1"/>
        <v>48.688110500000001</v>
      </c>
      <c r="N6" s="60">
        <f t="shared" si="1"/>
        <v>7.6764615699999997E-2</v>
      </c>
      <c r="O6" s="60">
        <f t="shared" si="1"/>
        <v>4.8074525400000005E-2</v>
      </c>
      <c r="P6" s="60">
        <f t="shared" si="1"/>
        <v>24.541444599999998</v>
      </c>
      <c r="Q6" s="60">
        <f t="shared" si="1"/>
        <v>111.22089699999999</v>
      </c>
      <c r="R6" s="60">
        <f t="shared" si="1"/>
        <v>46.177230300000005</v>
      </c>
      <c r="S6" s="60">
        <f t="shared" si="1"/>
        <v>180.60506900000001</v>
      </c>
      <c r="T6" s="60">
        <f t="shared" si="1"/>
        <v>28.379080999999999</v>
      </c>
      <c r="U6" s="60">
        <f t="shared" si="1"/>
        <v>0.632069514</v>
      </c>
      <c r="V6" s="60">
        <f t="shared" si="1"/>
        <v>2.12453096</v>
      </c>
      <c r="W6" s="60">
        <f t="shared" si="1"/>
        <v>28.711532600000002</v>
      </c>
      <c r="X6" s="60">
        <f t="shared" si="1"/>
        <v>141.92469499999999</v>
      </c>
      <c r="Y6" s="60">
        <f t="shared" si="1"/>
        <v>1.94876369</v>
      </c>
      <c r="Z6" s="60">
        <f t="shared" si="1"/>
        <v>0.38473616900000002</v>
      </c>
      <c r="AA6" s="60">
        <f t="shared" si="1"/>
        <v>12.471651699999999</v>
      </c>
      <c r="AB6" s="60">
        <f t="shared" si="1"/>
        <v>577.93654399999991</v>
      </c>
      <c r="AC6" s="60">
        <f t="shared" si="1"/>
        <v>13.0086485</v>
      </c>
      <c r="AD6" s="60">
        <f t="shared" si="1"/>
        <v>54.7328191</v>
      </c>
      <c r="AE6" s="60">
        <f t="shared" si="1"/>
        <v>71.153671799999998</v>
      </c>
      <c r="AF6" s="60">
        <f t="shared" si="1"/>
        <v>237.021851</v>
      </c>
      <c r="AG6" s="60">
        <f t="shared" si="1"/>
        <v>14.971876399999999</v>
      </c>
      <c r="AH6" s="60">
        <f t="shared" si="1"/>
        <v>19.024349900000001</v>
      </c>
      <c r="AI6" s="60">
        <f t="shared" si="1"/>
        <v>11.811172299999999</v>
      </c>
    </row>
    <row r="7" spans="1:35" x14ac:dyDescent="0.3">
      <c r="A7" s="63">
        <f t="shared" si="0"/>
        <v>1924.5224885140999</v>
      </c>
      <c r="C7" s="58" t="s">
        <v>139</v>
      </c>
      <c r="D7" s="58" t="s">
        <v>141</v>
      </c>
      <c r="E7" s="59" t="s">
        <v>8</v>
      </c>
      <c r="F7" s="58" t="s">
        <v>140</v>
      </c>
      <c r="G7" s="58">
        <v>2030</v>
      </c>
      <c r="H7" s="65">
        <f>H6</f>
        <v>141.24203600000001</v>
      </c>
      <c r="I7" s="60">
        <f t="shared" si="1"/>
        <v>1.0371649600000001</v>
      </c>
      <c r="J7" s="60">
        <f t="shared" si="1"/>
        <v>17.923035800000001</v>
      </c>
      <c r="K7" s="60">
        <f t="shared" si="1"/>
        <v>126.86933200000001</v>
      </c>
      <c r="L7" s="60">
        <f t="shared" si="1"/>
        <v>9.8553355800000002</v>
      </c>
      <c r="M7" s="60">
        <f t="shared" si="1"/>
        <v>48.688110500000001</v>
      </c>
      <c r="N7" s="60">
        <f t="shared" si="1"/>
        <v>7.6764615699999997E-2</v>
      </c>
      <c r="O7" s="60">
        <f t="shared" si="1"/>
        <v>4.8074525400000005E-2</v>
      </c>
      <c r="P7" s="60">
        <f t="shared" si="1"/>
        <v>24.541444599999998</v>
      </c>
      <c r="Q7" s="60">
        <f t="shared" si="1"/>
        <v>111.22089699999999</v>
      </c>
      <c r="R7" s="60">
        <f t="shared" si="1"/>
        <v>46.177230300000005</v>
      </c>
      <c r="S7" s="60">
        <f t="shared" si="1"/>
        <v>180.60506900000001</v>
      </c>
      <c r="T7" s="60">
        <f t="shared" si="1"/>
        <v>28.379080999999999</v>
      </c>
      <c r="U7" s="60">
        <f t="shared" si="1"/>
        <v>0.632069514</v>
      </c>
      <c r="V7" s="60">
        <f t="shared" si="1"/>
        <v>2.12453096</v>
      </c>
      <c r="W7" s="60">
        <f t="shared" si="1"/>
        <v>28.711532600000002</v>
      </c>
      <c r="X7" s="60">
        <f t="shared" si="1"/>
        <v>141.92469499999999</v>
      </c>
      <c r="Y7" s="60">
        <f t="shared" si="1"/>
        <v>1.94876369</v>
      </c>
      <c r="Z7" s="60">
        <f t="shared" si="1"/>
        <v>0.38473616900000002</v>
      </c>
      <c r="AA7" s="60">
        <f t="shared" si="1"/>
        <v>12.471651699999999</v>
      </c>
      <c r="AB7" s="60">
        <f t="shared" si="1"/>
        <v>577.93654399999991</v>
      </c>
      <c r="AC7" s="60">
        <f t="shared" si="1"/>
        <v>13.0086485</v>
      </c>
      <c r="AD7" s="60">
        <f t="shared" si="1"/>
        <v>54.7328191</v>
      </c>
      <c r="AE7" s="60">
        <f t="shared" si="1"/>
        <v>71.153671799999998</v>
      </c>
      <c r="AF7" s="60">
        <f t="shared" si="1"/>
        <v>237.021851</v>
      </c>
      <c r="AG7" s="60">
        <f t="shared" si="1"/>
        <v>14.971876399999999</v>
      </c>
      <c r="AH7" s="60">
        <f t="shared" si="1"/>
        <v>19.024349900000001</v>
      </c>
      <c r="AI7" s="60">
        <f t="shared" si="1"/>
        <v>11.811172299999999</v>
      </c>
    </row>
    <row r="8" spans="1:35" x14ac:dyDescent="0.3">
      <c r="A8" s="63">
        <f t="shared" si="0"/>
        <v>1991.8807756120934</v>
      </c>
      <c r="C8" s="58" t="s">
        <v>139</v>
      </c>
      <c r="D8" s="58" t="s">
        <v>141</v>
      </c>
      <c r="E8" s="59" t="s">
        <v>8</v>
      </c>
      <c r="F8" s="58" t="s">
        <v>140</v>
      </c>
      <c r="G8" s="58">
        <v>2040</v>
      </c>
      <c r="H8" s="65">
        <f>AVERAGE(H7,H9)</f>
        <v>146.18550726000001</v>
      </c>
      <c r="I8" s="60">
        <f t="shared" ref="I8:AI8" si="2">AVERAGE(I7,I9)</f>
        <v>1.0734657336000002</v>
      </c>
      <c r="J8" s="60">
        <f t="shared" si="2"/>
        <v>18.550342053000001</v>
      </c>
      <c r="K8" s="60">
        <f t="shared" si="2"/>
        <v>131.30975862000003</v>
      </c>
      <c r="L8" s="60">
        <f t="shared" si="2"/>
        <v>10.2002723253</v>
      </c>
      <c r="M8" s="60">
        <f t="shared" si="2"/>
        <v>50.392194367500004</v>
      </c>
      <c r="N8" s="60">
        <f t="shared" si="2"/>
        <v>7.9451377249499994E-2</v>
      </c>
      <c r="O8" s="60">
        <f t="shared" si="2"/>
        <v>4.9757133789000006E-2</v>
      </c>
      <c r="P8" s="60">
        <f t="shared" si="2"/>
        <v>25.400395160999999</v>
      </c>
      <c r="Q8" s="60">
        <f t="shared" si="2"/>
        <v>115.11362839500001</v>
      </c>
      <c r="R8" s="60">
        <f t="shared" si="2"/>
        <v>47.793433360500003</v>
      </c>
      <c r="S8" s="60">
        <f t="shared" si="2"/>
        <v>186.92624641500004</v>
      </c>
      <c r="T8" s="60">
        <f t="shared" si="2"/>
        <v>29.372348835</v>
      </c>
      <c r="U8" s="60">
        <f t="shared" si="2"/>
        <v>0.65419194698999994</v>
      </c>
      <c r="V8" s="60">
        <f t="shared" si="2"/>
        <v>2.1988895436</v>
      </c>
      <c r="W8" s="60">
        <f t="shared" si="2"/>
        <v>29.716436241000004</v>
      </c>
      <c r="X8" s="60">
        <f t="shared" si="2"/>
        <v>146.89205932499999</v>
      </c>
      <c r="Y8" s="60">
        <f t="shared" si="2"/>
        <v>2.0169704191500002</v>
      </c>
      <c r="Z8" s="60">
        <f t="shared" si="2"/>
        <v>0.398201934915</v>
      </c>
      <c r="AA8" s="60">
        <f t="shared" si="2"/>
        <v>12.908159509499999</v>
      </c>
      <c r="AB8" s="60">
        <f t="shared" si="2"/>
        <v>598.16432304</v>
      </c>
      <c r="AC8" s="60">
        <f t="shared" si="2"/>
        <v>13.4639511975</v>
      </c>
      <c r="AD8" s="60">
        <f t="shared" si="2"/>
        <v>56.648467768499998</v>
      </c>
      <c r="AE8" s="60">
        <f t="shared" si="2"/>
        <v>73.644050313000008</v>
      </c>
      <c r="AF8" s="60">
        <f t="shared" si="2"/>
        <v>245.31761578499999</v>
      </c>
      <c r="AG8" s="60">
        <f t="shared" si="2"/>
        <v>15.495892074</v>
      </c>
      <c r="AH8" s="60">
        <f t="shared" si="2"/>
        <v>19.690202146499999</v>
      </c>
      <c r="AI8" s="60">
        <f t="shared" si="2"/>
        <v>12.224563330500001</v>
      </c>
    </row>
    <row r="9" spans="1:35" x14ac:dyDescent="0.3">
      <c r="A9" s="63">
        <f t="shared" si="0"/>
        <v>2059.2390627100872</v>
      </c>
      <c r="C9" s="58" t="s">
        <v>139</v>
      </c>
      <c r="D9" s="58" t="s">
        <v>141</v>
      </c>
      <c r="E9" s="59" t="s">
        <v>8</v>
      </c>
      <c r="F9" s="58" t="s">
        <v>140</v>
      </c>
      <c r="G9" s="58">
        <v>2050</v>
      </c>
      <c r="H9" s="65">
        <f>H7*$E$1</f>
        <v>151.12897852000003</v>
      </c>
      <c r="I9" s="60">
        <f t="shared" ref="I9:AI9" si="3">I7*$E$1</f>
        <v>1.1097665072000003</v>
      </c>
      <c r="J9" s="60">
        <f t="shared" si="3"/>
        <v>19.177648306000002</v>
      </c>
      <c r="K9" s="60">
        <f t="shared" si="3"/>
        <v>135.75018524000004</v>
      </c>
      <c r="L9" s="60">
        <f t="shared" si="3"/>
        <v>10.5452090706</v>
      </c>
      <c r="M9" s="60">
        <f t="shared" si="3"/>
        <v>52.096278235000007</v>
      </c>
      <c r="N9" s="60">
        <f t="shared" si="3"/>
        <v>8.2138138799000004E-2</v>
      </c>
      <c r="O9" s="60">
        <f t="shared" si="3"/>
        <v>5.1439742178000007E-2</v>
      </c>
      <c r="P9" s="60">
        <f t="shared" si="3"/>
        <v>26.259345721999999</v>
      </c>
      <c r="Q9" s="60">
        <f t="shared" si="3"/>
        <v>119.00635979</v>
      </c>
      <c r="R9" s="60">
        <f t="shared" si="3"/>
        <v>49.409636421000009</v>
      </c>
      <c r="S9" s="60">
        <f t="shared" si="3"/>
        <v>193.24742383000003</v>
      </c>
      <c r="T9" s="60">
        <f t="shared" si="3"/>
        <v>30.365616670000001</v>
      </c>
      <c r="U9" s="60">
        <f t="shared" si="3"/>
        <v>0.67631437997999999</v>
      </c>
      <c r="V9" s="60">
        <f t="shared" si="3"/>
        <v>2.2732481272</v>
      </c>
      <c r="W9" s="60">
        <f t="shared" si="3"/>
        <v>30.721339882000002</v>
      </c>
      <c r="X9" s="60">
        <f t="shared" si="3"/>
        <v>151.85942365</v>
      </c>
      <c r="Y9" s="60">
        <f t="shared" si="3"/>
        <v>2.0851771483000001</v>
      </c>
      <c r="Z9" s="60">
        <f t="shared" si="3"/>
        <v>0.41166770083000004</v>
      </c>
      <c r="AA9" s="60">
        <f t="shared" si="3"/>
        <v>13.344667318999999</v>
      </c>
      <c r="AB9" s="60">
        <f t="shared" si="3"/>
        <v>618.39210207999997</v>
      </c>
      <c r="AC9" s="60">
        <f t="shared" si="3"/>
        <v>13.919253895000001</v>
      </c>
      <c r="AD9" s="60">
        <f t="shared" si="3"/>
        <v>58.564116437000003</v>
      </c>
      <c r="AE9" s="60">
        <f t="shared" si="3"/>
        <v>76.134428826000004</v>
      </c>
      <c r="AF9" s="60">
        <f t="shared" si="3"/>
        <v>253.61338057</v>
      </c>
      <c r="AG9" s="60">
        <f t="shared" si="3"/>
        <v>16.019907748000001</v>
      </c>
      <c r="AH9" s="60">
        <f t="shared" si="3"/>
        <v>20.356054393000001</v>
      </c>
      <c r="AI9" s="60">
        <f t="shared" si="3"/>
        <v>12.637954361</v>
      </c>
    </row>
    <row r="10" spans="1:35" x14ac:dyDescent="0.3">
      <c r="C10" s="58" t="s">
        <v>139</v>
      </c>
      <c r="D10" s="58" t="s">
        <v>141</v>
      </c>
      <c r="E10" s="59" t="s">
        <v>8</v>
      </c>
      <c r="F10" s="58" t="s">
        <v>140</v>
      </c>
      <c r="G10" s="58">
        <v>0</v>
      </c>
      <c r="H10" s="64">
        <v>5</v>
      </c>
      <c r="I10" s="61">
        <v>5</v>
      </c>
      <c r="J10" s="61">
        <v>5</v>
      </c>
      <c r="K10" s="61">
        <v>5</v>
      </c>
      <c r="L10" s="61">
        <v>5</v>
      </c>
      <c r="M10" s="61">
        <v>5</v>
      </c>
      <c r="N10" s="61">
        <v>5</v>
      </c>
      <c r="O10" s="61">
        <v>5</v>
      </c>
      <c r="P10" s="61">
        <v>5</v>
      </c>
      <c r="Q10" s="61">
        <v>5</v>
      </c>
      <c r="R10" s="61">
        <v>5</v>
      </c>
      <c r="S10" s="61">
        <v>5</v>
      </c>
      <c r="T10" s="61">
        <v>5</v>
      </c>
      <c r="U10" s="61">
        <v>5</v>
      </c>
      <c r="V10" s="61">
        <v>5</v>
      </c>
      <c r="W10" s="61">
        <v>5</v>
      </c>
      <c r="X10" s="61">
        <v>5</v>
      </c>
      <c r="Y10" s="61">
        <v>5</v>
      </c>
      <c r="Z10" s="61">
        <v>5</v>
      </c>
      <c r="AA10" s="61">
        <v>5</v>
      </c>
      <c r="AB10" s="61">
        <v>5</v>
      </c>
      <c r="AC10" s="61">
        <v>5</v>
      </c>
      <c r="AD10" s="61">
        <v>5</v>
      </c>
      <c r="AE10" s="61">
        <v>5</v>
      </c>
      <c r="AF10" s="61">
        <v>5</v>
      </c>
      <c r="AG10" s="61">
        <v>5</v>
      </c>
      <c r="AH10" s="61">
        <v>5</v>
      </c>
      <c r="AI10" s="61">
        <v>5</v>
      </c>
    </row>
    <row r="12" spans="1:35" x14ac:dyDescent="0.3">
      <c r="K12" s="87" t="s">
        <v>109</v>
      </c>
      <c r="L12" s="88"/>
      <c r="M12" s="88"/>
      <c r="N12" s="88"/>
      <c r="O12" s="88"/>
    </row>
    <row r="13" spans="1:35" x14ac:dyDescent="0.3">
      <c r="A13" s="62" t="s">
        <v>149</v>
      </c>
      <c r="K13" s="90" t="s">
        <v>111</v>
      </c>
      <c r="L13" s="90" t="s">
        <v>3</v>
      </c>
      <c r="M13" s="90" t="s">
        <v>4</v>
      </c>
      <c r="N13" s="90" t="s">
        <v>112</v>
      </c>
      <c r="O13" s="90" t="s">
        <v>5</v>
      </c>
    </row>
    <row r="14" spans="1:35" x14ac:dyDescent="0.3">
      <c r="C14" s="67" t="s">
        <v>109</v>
      </c>
      <c r="D14" s="2"/>
      <c r="E14" s="2"/>
      <c r="F14" s="2"/>
      <c r="G14" s="2"/>
      <c r="H14" s="68"/>
      <c r="K14" s="91" t="s">
        <v>166</v>
      </c>
      <c r="L14" s="92" t="s">
        <v>150</v>
      </c>
      <c r="M14" s="91" t="s">
        <v>163</v>
      </c>
      <c r="N14" s="91">
        <v>2015</v>
      </c>
      <c r="O14" s="91">
        <v>0</v>
      </c>
      <c r="P14" s="89"/>
    </row>
    <row r="15" spans="1:35" x14ac:dyDescent="0.3">
      <c r="C15" s="71" t="s">
        <v>111</v>
      </c>
      <c r="D15" s="71" t="s">
        <v>3</v>
      </c>
      <c r="E15" s="71" t="s">
        <v>4</v>
      </c>
      <c r="F15" s="71" t="s">
        <v>112</v>
      </c>
      <c r="G15" s="71" t="s">
        <v>125</v>
      </c>
      <c r="H15" s="72"/>
      <c r="K15" s="91" t="s">
        <v>166</v>
      </c>
      <c r="L15" s="92" t="s">
        <v>150</v>
      </c>
      <c r="M15" s="91" t="s">
        <v>163</v>
      </c>
      <c r="N15" s="91">
        <v>2020</v>
      </c>
      <c r="O15" s="91">
        <v>0.1</v>
      </c>
      <c r="P15" s="93"/>
    </row>
    <row r="16" spans="1:35" x14ac:dyDescent="0.3">
      <c r="C16" s="16" t="s">
        <v>146</v>
      </c>
      <c r="D16" s="69" t="s">
        <v>150</v>
      </c>
      <c r="E16" s="16" t="s">
        <v>8</v>
      </c>
      <c r="F16" s="16">
        <v>2010</v>
      </c>
      <c r="G16" s="16">
        <v>1E-3</v>
      </c>
      <c r="H16" s="16"/>
      <c r="K16" s="91" t="s">
        <v>166</v>
      </c>
      <c r="L16" s="92" t="s">
        <v>150</v>
      </c>
      <c r="M16" s="91" t="s">
        <v>163</v>
      </c>
      <c r="N16" s="91">
        <v>2025</v>
      </c>
      <c r="O16" s="91">
        <v>1</v>
      </c>
      <c r="P16" s="94"/>
    </row>
    <row r="17" spans="1:23" x14ac:dyDescent="0.3">
      <c r="C17" s="16" t="s">
        <v>146</v>
      </c>
      <c r="D17" s="69" t="s">
        <v>150</v>
      </c>
      <c r="E17" s="16" t="s">
        <v>8</v>
      </c>
      <c r="F17" s="70">
        <v>2050</v>
      </c>
      <c r="G17" s="16">
        <v>1E-3</v>
      </c>
      <c r="H17" s="70"/>
      <c r="K17" s="91" t="s">
        <v>166</v>
      </c>
      <c r="L17" s="92" t="s">
        <v>150</v>
      </c>
      <c r="M17" s="91" t="s">
        <v>163</v>
      </c>
      <c r="N17" s="91">
        <v>0</v>
      </c>
      <c r="O17" s="91">
        <v>1</v>
      </c>
      <c r="P17" s="94"/>
    </row>
    <row r="18" spans="1:23" x14ac:dyDescent="0.3">
      <c r="C18" s="16" t="s">
        <v>146</v>
      </c>
      <c r="D18" s="69" t="s">
        <v>150</v>
      </c>
      <c r="E18" s="16" t="s">
        <v>8</v>
      </c>
      <c r="F18" s="70">
        <v>0</v>
      </c>
      <c r="G18" s="70">
        <v>5</v>
      </c>
      <c r="H18" s="70"/>
      <c r="K18" s="91" t="s">
        <v>166</v>
      </c>
      <c r="L18" s="92" t="s">
        <v>150</v>
      </c>
      <c r="M18" s="91" t="s">
        <v>7</v>
      </c>
      <c r="N18" s="91">
        <v>2030</v>
      </c>
      <c r="O18" s="91">
        <v>3</v>
      </c>
      <c r="P18" s="94"/>
    </row>
    <row r="19" spans="1:23" x14ac:dyDescent="0.3">
      <c r="C19" s="16" t="s">
        <v>147</v>
      </c>
      <c r="D19" s="69" t="s">
        <v>150</v>
      </c>
      <c r="E19" s="16" t="s">
        <v>8</v>
      </c>
      <c r="F19" s="16">
        <v>2010</v>
      </c>
      <c r="G19" s="16">
        <v>1E-3</v>
      </c>
      <c r="H19" s="16"/>
      <c r="K19" s="91" t="s">
        <v>166</v>
      </c>
      <c r="L19" s="92" t="s">
        <v>150</v>
      </c>
      <c r="M19" s="91" t="s">
        <v>7</v>
      </c>
      <c r="N19" s="91">
        <v>2040</v>
      </c>
      <c r="O19" s="91">
        <v>5</v>
      </c>
      <c r="P19" s="94"/>
    </row>
    <row r="20" spans="1:23" x14ac:dyDescent="0.3">
      <c r="C20" s="16" t="s">
        <v>147</v>
      </c>
      <c r="D20" s="69" t="s">
        <v>150</v>
      </c>
      <c r="E20" s="16" t="s">
        <v>8</v>
      </c>
      <c r="F20" s="70">
        <v>2050</v>
      </c>
      <c r="G20" s="16">
        <v>1E-3</v>
      </c>
      <c r="H20" s="70"/>
      <c r="K20" s="91" t="s">
        <v>166</v>
      </c>
      <c r="L20" s="92" t="s">
        <v>150</v>
      </c>
      <c r="M20" s="91" t="s">
        <v>7</v>
      </c>
      <c r="N20" s="91">
        <v>0</v>
      </c>
      <c r="O20" s="91">
        <v>5</v>
      </c>
      <c r="P20" s="94"/>
    </row>
    <row r="21" spans="1:23" x14ac:dyDescent="0.3">
      <c r="C21" s="16" t="s">
        <v>147</v>
      </c>
      <c r="D21" s="69" t="s">
        <v>150</v>
      </c>
      <c r="E21" s="16" t="s">
        <v>8</v>
      </c>
      <c r="F21" s="70">
        <v>0</v>
      </c>
      <c r="G21" s="70">
        <v>5</v>
      </c>
      <c r="H21" s="70"/>
      <c r="K21" s="91" t="s">
        <v>166</v>
      </c>
      <c r="L21" s="92" t="s">
        <v>150</v>
      </c>
      <c r="M21" s="91" t="s">
        <v>8</v>
      </c>
      <c r="N21" s="91">
        <v>2030</v>
      </c>
      <c r="O21" s="91">
        <v>5</v>
      </c>
      <c r="P21" s="94"/>
    </row>
    <row r="22" spans="1:23" x14ac:dyDescent="0.3">
      <c r="C22" s="16" t="s">
        <v>148</v>
      </c>
      <c r="D22" s="69" t="s">
        <v>150</v>
      </c>
      <c r="E22" s="16" t="s">
        <v>8</v>
      </c>
      <c r="F22" s="16">
        <v>2010</v>
      </c>
      <c r="G22" s="16">
        <v>1E-3</v>
      </c>
      <c r="H22" s="16"/>
      <c r="K22" s="91" t="s">
        <v>166</v>
      </c>
      <c r="L22" s="92" t="s">
        <v>150</v>
      </c>
      <c r="M22" s="91" t="s">
        <v>8</v>
      </c>
      <c r="N22" s="91">
        <v>2040</v>
      </c>
      <c r="O22" s="91">
        <v>15</v>
      </c>
      <c r="P22" s="94"/>
    </row>
    <row r="23" spans="1:23" x14ac:dyDescent="0.3">
      <c r="C23" s="16" t="s">
        <v>148</v>
      </c>
      <c r="D23" s="69" t="s">
        <v>150</v>
      </c>
      <c r="E23" s="16" t="s">
        <v>8</v>
      </c>
      <c r="F23" s="70">
        <v>2050</v>
      </c>
      <c r="G23" s="16">
        <v>1E-3</v>
      </c>
      <c r="H23" s="70"/>
      <c r="K23" s="91" t="s">
        <v>166</v>
      </c>
      <c r="L23" s="92" t="s">
        <v>150</v>
      </c>
      <c r="M23" s="91" t="s">
        <v>8</v>
      </c>
      <c r="N23" s="91">
        <v>2050</v>
      </c>
      <c r="O23" s="91">
        <v>20</v>
      </c>
      <c r="P23" s="94"/>
    </row>
    <row r="24" spans="1:23" x14ac:dyDescent="0.3">
      <c r="C24" s="16" t="s">
        <v>148</v>
      </c>
      <c r="D24" s="69" t="s">
        <v>150</v>
      </c>
      <c r="E24" s="16" t="s">
        <v>8</v>
      </c>
      <c r="F24" s="70">
        <v>0</v>
      </c>
      <c r="G24" s="70">
        <v>5</v>
      </c>
      <c r="H24" s="70"/>
      <c r="K24" s="91" t="s">
        <v>166</v>
      </c>
      <c r="L24" s="92" t="s">
        <v>150</v>
      </c>
      <c r="M24" s="91" t="s">
        <v>8</v>
      </c>
      <c r="N24" s="91">
        <v>0</v>
      </c>
      <c r="O24" s="91">
        <v>5</v>
      </c>
      <c r="P24" s="95"/>
    </row>
    <row r="25" spans="1:23" x14ac:dyDescent="0.3">
      <c r="K25" s="91" t="s">
        <v>167</v>
      </c>
      <c r="L25" s="92" t="s">
        <v>150</v>
      </c>
      <c r="M25" s="91" t="s">
        <v>8</v>
      </c>
      <c r="N25" s="91">
        <v>2010</v>
      </c>
      <c r="O25" s="91">
        <v>0</v>
      </c>
      <c r="P25" s="95"/>
    </row>
    <row r="26" spans="1:23" x14ac:dyDescent="0.3">
      <c r="K26" s="91" t="s">
        <v>167</v>
      </c>
      <c r="L26" s="92" t="s">
        <v>150</v>
      </c>
      <c r="M26" s="91" t="s">
        <v>8</v>
      </c>
      <c r="N26" s="91">
        <v>2050</v>
      </c>
      <c r="O26" s="91">
        <v>0</v>
      </c>
      <c r="P26" s="95"/>
    </row>
    <row r="27" spans="1:23" x14ac:dyDescent="0.3">
      <c r="K27" s="91" t="s">
        <v>167</v>
      </c>
      <c r="L27" s="92" t="s">
        <v>150</v>
      </c>
      <c r="M27" s="91" t="s">
        <v>8</v>
      </c>
      <c r="N27" s="91">
        <v>0</v>
      </c>
      <c r="O27" s="91">
        <v>5</v>
      </c>
    </row>
    <row r="28" spans="1:23" x14ac:dyDescent="0.3">
      <c r="A28" s="62" t="s">
        <v>152</v>
      </c>
    </row>
    <row r="29" spans="1:23" x14ac:dyDescent="0.3">
      <c r="C29" s="67" t="s">
        <v>109</v>
      </c>
      <c r="D29" s="2"/>
      <c r="E29" s="2"/>
      <c r="F29" s="2"/>
      <c r="G29" s="2"/>
      <c r="H29" s="68"/>
    </row>
    <row r="30" spans="1:23" x14ac:dyDescent="0.3">
      <c r="C30" s="71" t="s">
        <v>111</v>
      </c>
      <c r="D30" s="71" t="s">
        <v>3</v>
      </c>
      <c r="E30" s="71" t="s">
        <v>4</v>
      </c>
      <c r="F30" s="71" t="s">
        <v>112</v>
      </c>
      <c r="G30" s="71" t="s">
        <v>125</v>
      </c>
      <c r="H30" s="72" t="s">
        <v>13</v>
      </c>
      <c r="I30" s="71" t="s">
        <v>35</v>
      </c>
      <c r="J30" s="71" t="s">
        <v>17</v>
      </c>
      <c r="K30" s="71" t="s">
        <v>18</v>
      </c>
      <c r="L30" s="71" t="s">
        <v>33</v>
      </c>
      <c r="M30" s="71" t="s">
        <v>20</v>
      </c>
      <c r="N30" s="71" t="s">
        <v>27</v>
      </c>
      <c r="O30" s="71" t="s">
        <v>153</v>
      </c>
      <c r="P30" s="71" t="s">
        <v>5</v>
      </c>
      <c r="Q30" s="71" t="s">
        <v>12</v>
      </c>
      <c r="R30" s="71" t="s">
        <v>30</v>
      </c>
      <c r="S30" s="71" t="s">
        <v>9</v>
      </c>
      <c r="T30" s="71" t="s">
        <v>16</v>
      </c>
      <c r="U30" s="71" t="s">
        <v>15</v>
      </c>
      <c r="V30" s="71" t="s">
        <v>28</v>
      </c>
      <c r="W30" s="71" t="s">
        <v>31</v>
      </c>
    </row>
    <row r="31" spans="1:23" x14ac:dyDescent="0.3">
      <c r="C31" s="12" t="s">
        <v>151</v>
      </c>
      <c r="D31" s="76" t="s">
        <v>150</v>
      </c>
      <c r="E31" s="12" t="s">
        <v>7</v>
      </c>
      <c r="F31" s="12">
        <v>2025</v>
      </c>
      <c r="G31" s="12"/>
      <c r="H31" s="12">
        <v>64</v>
      </c>
      <c r="I31" s="42">
        <v>16</v>
      </c>
      <c r="J31" s="12">
        <v>31</v>
      </c>
      <c r="K31" s="12">
        <v>23</v>
      </c>
      <c r="L31" s="12">
        <v>17</v>
      </c>
      <c r="M31" s="12">
        <v>13</v>
      </c>
      <c r="N31" s="12">
        <v>7</v>
      </c>
      <c r="O31" s="12">
        <v>10</v>
      </c>
      <c r="P31" s="12">
        <v>8</v>
      </c>
      <c r="Q31" s="12">
        <v>5</v>
      </c>
      <c r="R31" s="12">
        <v>6</v>
      </c>
      <c r="S31" s="12">
        <v>3</v>
      </c>
      <c r="T31" s="12">
        <v>5</v>
      </c>
      <c r="U31" s="12">
        <v>4.9000000000000004</v>
      </c>
      <c r="V31" s="12">
        <v>4</v>
      </c>
      <c r="W31" s="12">
        <v>3.2</v>
      </c>
    </row>
    <row r="32" spans="1:23" x14ac:dyDescent="0.3">
      <c r="A32">
        <v>1.2</v>
      </c>
      <c r="C32" s="12" t="s">
        <v>151</v>
      </c>
      <c r="D32" s="76" t="s">
        <v>150</v>
      </c>
      <c r="E32" s="12" t="s">
        <v>7</v>
      </c>
      <c r="F32" s="77">
        <v>2030</v>
      </c>
      <c r="G32" s="12"/>
      <c r="H32" s="77">
        <f>H31*$A$32</f>
        <v>76.8</v>
      </c>
      <c r="I32" s="77">
        <f t="shared" ref="I32:T32" si="4">I31*$A$32</f>
        <v>19.2</v>
      </c>
      <c r="J32" s="77">
        <f t="shared" si="4"/>
        <v>37.199999999999996</v>
      </c>
      <c r="K32" s="77">
        <f t="shared" si="4"/>
        <v>27.599999999999998</v>
      </c>
      <c r="L32" s="77">
        <f t="shared" si="4"/>
        <v>20.399999999999999</v>
      </c>
      <c r="M32" s="77">
        <f t="shared" si="4"/>
        <v>15.6</v>
      </c>
      <c r="N32" s="77">
        <f t="shared" si="4"/>
        <v>8.4</v>
      </c>
      <c r="O32" s="77">
        <f t="shared" si="4"/>
        <v>12</v>
      </c>
      <c r="P32" s="96">
        <v>10.824</v>
      </c>
      <c r="Q32" s="77">
        <f t="shared" si="4"/>
        <v>6</v>
      </c>
      <c r="R32" s="77">
        <f t="shared" si="4"/>
        <v>7.1999999999999993</v>
      </c>
      <c r="S32" s="77">
        <f t="shared" si="4"/>
        <v>3.5999999999999996</v>
      </c>
      <c r="T32" s="77">
        <f t="shared" si="4"/>
        <v>6</v>
      </c>
      <c r="U32" s="77">
        <f t="shared" ref="U32" si="5">U31*$A$32</f>
        <v>5.88</v>
      </c>
      <c r="V32" s="77">
        <f t="shared" ref="V32" si="6">V31*$A$32</f>
        <v>4.8</v>
      </c>
      <c r="W32" s="77">
        <f t="shared" ref="W32" si="7">W31*$A$32</f>
        <v>3.84</v>
      </c>
    </row>
    <row r="33" spans="3:23" x14ac:dyDescent="0.3">
      <c r="C33" s="12" t="s">
        <v>151</v>
      </c>
      <c r="D33" s="76" t="s">
        <v>150</v>
      </c>
      <c r="E33" s="12" t="s">
        <v>7</v>
      </c>
      <c r="F33" s="77">
        <v>0</v>
      </c>
      <c r="G33" s="77">
        <v>5</v>
      </c>
      <c r="H33" s="77">
        <v>5</v>
      </c>
      <c r="I33" s="77">
        <v>5</v>
      </c>
      <c r="J33" s="77">
        <v>5</v>
      </c>
      <c r="K33" s="77">
        <v>5</v>
      </c>
      <c r="L33" s="77">
        <v>5</v>
      </c>
      <c r="M33" s="77">
        <v>5</v>
      </c>
      <c r="N33" s="77">
        <v>5</v>
      </c>
      <c r="O33" s="77">
        <v>5</v>
      </c>
      <c r="P33" s="77">
        <v>5</v>
      </c>
      <c r="Q33" s="77">
        <v>5</v>
      </c>
      <c r="R33" s="77">
        <v>5</v>
      </c>
      <c r="S33" s="77">
        <v>5</v>
      </c>
      <c r="T33" s="77">
        <v>5</v>
      </c>
      <c r="U33" s="77">
        <v>5</v>
      </c>
      <c r="V33" s="77">
        <v>5</v>
      </c>
      <c r="W33" s="77">
        <v>5</v>
      </c>
    </row>
    <row r="35" spans="3:23" x14ac:dyDescent="0.3">
      <c r="C35" s="73"/>
      <c r="D35" s="74"/>
      <c r="E35" s="73"/>
      <c r="F35" s="75"/>
      <c r="G35" s="75"/>
      <c r="H35" s="75"/>
    </row>
    <row r="37" spans="3:23" x14ac:dyDescent="0.3">
      <c r="C37" s="67"/>
      <c r="D37" s="2"/>
      <c r="E37" s="2"/>
      <c r="F37" s="2"/>
      <c r="G37" s="2"/>
      <c r="H37" s="68"/>
    </row>
    <row r="38" spans="3:23" x14ac:dyDescent="0.3">
      <c r="C38" s="97"/>
      <c r="D38" s="97"/>
      <c r="E38" s="97"/>
      <c r="F38" s="97"/>
      <c r="G38" s="97"/>
      <c r="H38" s="98"/>
    </row>
    <row r="39" spans="3:23" x14ac:dyDescent="0.3">
      <c r="C39" s="95"/>
      <c r="D39" s="74"/>
      <c r="E39" s="73"/>
      <c r="F39" s="73"/>
      <c r="G39" s="73"/>
      <c r="H39" s="73"/>
    </row>
    <row r="40" spans="3:23" x14ac:dyDescent="0.3">
      <c r="C40" s="95"/>
      <c r="D40" s="74"/>
      <c r="E40" s="73"/>
      <c r="F40" s="95"/>
      <c r="G40" s="95"/>
      <c r="H40" s="9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5E7D-EFEB-4719-85E4-5FB1C374FF39}">
  <dimension ref="A1:Z75"/>
  <sheetViews>
    <sheetView workbookViewId="0">
      <selection activeCell="N5" sqref="N5"/>
    </sheetView>
  </sheetViews>
  <sheetFormatPr defaultRowHeight="14.4" x14ac:dyDescent="0.3"/>
  <cols>
    <col min="4" max="4" width="15.44140625" customWidth="1"/>
    <col min="18" max="20" width="9.5546875" bestFit="1" customWidth="1"/>
    <col min="21" max="26" width="9" bestFit="1" customWidth="1"/>
  </cols>
  <sheetData>
    <row r="1" spans="2:11" x14ac:dyDescent="0.3">
      <c r="H1">
        <v>0.7</v>
      </c>
      <c r="I1">
        <v>0.3</v>
      </c>
    </row>
    <row r="2" spans="2:11" x14ac:dyDescent="0.3">
      <c r="B2" s="4" t="s">
        <v>0</v>
      </c>
      <c r="C2" s="5"/>
      <c r="D2" s="5"/>
      <c r="E2" s="5"/>
      <c r="F2" s="5"/>
      <c r="G2" s="6"/>
      <c r="H2" s="2"/>
      <c r="I2" s="2"/>
      <c r="J2" s="2"/>
      <c r="K2" s="2"/>
    </row>
    <row r="3" spans="2:11" x14ac:dyDescent="0.3">
      <c r="B3" s="80" t="s">
        <v>1</v>
      </c>
      <c r="C3" s="81" t="s">
        <v>2</v>
      </c>
      <c r="D3" s="80" t="s">
        <v>3</v>
      </c>
      <c r="E3" s="80" t="s">
        <v>4</v>
      </c>
      <c r="F3" s="9">
        <v>2010</v>
      </c>
      <c r="G3" s="9">
        <v>2015</v>
      </c>
      <c r="H3" s="10">
        <v>2020</v>
      </c>
      <c r="I3" s="10">
        <v>2030</v>
      </c>
      <c r="J3" s="10">
        <v>2050</v>
      </c>
      <c r="K3" s="10">
        <v>0</v>
      </c>
    </row>
    <row r="4" spans="2:11" x14ac:dyDescent="0.3">
      <c r="B4" s="42" t="s">
        <v>28</v>
      </c>
      <c r="C4" s="13" t="s">
        <v>46</v>
      </c>
      <c r="D4" s="13" t="s">
        <v>6</v>
      </c>
      <c r="E4" s="13" t="s">
        <v>8</v>
      </c>
      <c r="F4" s="79">
        <v>105.63099544101</v>
      </c>
      <c r="G4" s="79">
        <v>30.89278344805</v>
      </c>
      <c r="H4" s="79">
        <f>G4*H$1</f>
        <v>21.624948413635</v>
      </c>
      <c r="I4" s="79">
        <f>G4*I$1</f>
        <v>9.2678350344150005</v>
      </c>
      <c r="J4" s="12">
        <v>0</v>
      </c>
      <c r="K4" s="12">
        <v>5</v>
      </c>
    </row>
    <row r="5" spans="2:11" x14ac:dyDescent="0.3">
      <c r="B5" s="42" t="s">
        <v>9</v>
      </c>
      <c r="C5" s="13" t="s">
        <v>46</v>
      </c>
      <c r="D5" s="13" t="s">
        <v>6</v>
      </c>
      <c r="E5" s="13" t="s">
        <v>8</v>
      </c>
      <c r="F5" s="79">
        <v>66.380219595989999</v>
      </c>
      <c r="G5" s="79">
        <v>14.55294703753</v>
      </c>
      <c r="H5" s="79">
        <f t="shared" ref="H5" si="0">G5*H$1</f>
        <v>10.187062926270999</v>
      </c>
      <c r="I5" s="79">
        <f t="shared" ref="I5:I34" si="1">G5*I$1</f>
        <v>4.3658841112589997</v>
      </c>
      <c r="J5" s="12">
        <v>0</v>
      </c>
      <c r="K5" s="12">
        <v>5</v>
      </c>
    </row>
    <row r="6" spans="2:11" x14ac:dyDescent="0.3">
      <c r="B6" s="42" t="s">
        <v>10</v>
      </c>
      <c r="C6" s="13" t="s">
        <v>46</v>
      </c>
      <c r="D6" s="13" t="s">
        <v>6</v>
      </c>
      <c r="E6" s="13" t="s">
        <v>8</v>
      </c>
      <c r="F6" s="79">
        <v>62.15955761955</v>
      </c>
      <c r="G6" s="79">
        <v>60.37005840858</v>
      </c>
      <c r="H6" s="79">
        <f t="shared" ref="H6" si="2">G6*H$1</f>
        <v>42.259040886005998</v>
      </c>
      <c r="I6" s="79">
        <f t="shared" si="1"/>
        <v>18.111017522573999</v>
      </c>
      <c r="J6" s="12">
        <v>0</v>
      </c>
      <c r="K6" s="12">
        <v>5</v>
      </c>
    </row>
    <row r="7" spans="2:11" x14ac:dyDescent="0.3">
      <c r="B7" s="42" t="s">
        <v>113</v>
      </c>
      <c r="C7" s="13" t="s">
        <v>46</v>
      </c>
      <c r="D7" s="13" t="s">
        <v>6</v>
      </c>
      <c r="E7" s="13" t="s">
        <v>8</v>
      </c>
      <c r="F7" s="79">
        <v>44.989591250529998</v>
      </c>
      <c r="G7" s="79">
        <v>46.439587245519995</v>
      </c>
      <c r="H7" s="79">
        <f t="shared" ref="H7" si="3">G7*H$1</f>
        <v>32.507711071863994</v>
      </c>
      <c r="I7" s="79">
        <f t="shared" si="1"/>
        <v>13.931876173655999</v>
      </c>
      <c r="J7" s="12">
        <v>0</v>
      </c>
      <c r="K7" s="12">
        <v>5</v>
      </c>
    </row>
    <row r="8" spans="2:11" x14ac:dyDescent="0.3">
      <c r="B8" s="42" t="s">
        <v>21</v>
      </c>
      <c r="C8" s="13" t="s">
        <v>46</v>
      </c>
      <c r="D8" s="13" t="s">
        <v>6</v>
      </c>
      <c r="E8" s="13" t="s">
        <v>8</v>
      </c>
      <c r="F8" s="79">
        <v>0.89361161777999998</v>
      </c>
      <c r="G8" s="79">
        <v>0.16743575172</v>
      </c>
      <c r="H8" s="79">
        <f t="shared" ref="H8" si="4">G8*H$1</f>
        <v>0.11720502620399999</v>
      </c>
      <c r="I8" s="79">
        <f t="shared" si="1"/>
        <v>5.0230725515999997E-2</v>
      </c>
      <c r="J8" s="12">
        <v>0</v>
      </c>
      <c r="K8" s="12">
        <v>5</v>
      </c>
    </row>
    <row r="9" spans="2:11" x14ac:dyDescent="0.3">
      <c r="B9" s="42" t="s">
        <v>11</v>
      </c>
      <c r="C9" s="13" t="s">
        <v>46</v>
      </c>
      <c r="D9" s="13" t="s">
        <v>6</v>
      </c>
      <c r="E9" s="13" t="s">
        <v>8</v>
      </c>
      <c r="F9" s="79">
        <v>286.90068542478997</v>
      </c>
      <c r="G9" s="79">
        <v>237.4250619375</v>
      </c>
      <c r="H9" s="79">
        <f t="shared" ref="H9" si="5">G9*H$1</f>
        <v>166.19754335624998</v>
      </c>
      <c r="I9" s="79">
        <f t="shared" si="1"/>
        <v>71.227518581249996</v>
      </c>
      <c r="J9" s="12">
        <v>0</v>
      </c>
      <c r="K9" s="12">
        <v>5</v>
      </c>
    </row>
    <row r="10" spans="2:11" x14ac:dyDescent="0.3">
      <c r="B10" s="42" t="s">
        <v>13</v>
      </c>
      <c r="C10" s="13" t="s">
        <v>46</v>
      </c>
      <c r="D10" s="13" t="s">
        <v>6</v>
      </c>
      <c r="E10" s="13" t="s">
        <v>8</v>
      </c>
      <c r="F10" s="79">
        <v>1076.5606118519299</v>
      </c>
      <c r="G10" s="79">
        <v>370.50011350247001</v>
      </c>
      <c r="H10" s="79">
        <f t="shared" ref="H10" si="6">G10*H$1</f>
        <v>259.35007945172902</v>
      </c>
      <c r="I10" s="79">
        <f t="shared" si="1"/>
        <v>111.150034050741</v>
      </c>
      <c r="J10" s="12">
        <v>0</v>
      </c>
      <c r="K10" s="12">
        <v>5</v>
      </c>
    </row>
    <row r="11" spans="2:11" x14ac:dyDescent="0.3">
      <c r="B11" s="42" t="s">
        <v>12</v>
      </c>
      <c r="C11" s="13" t="s">
        <v>46</v>
      </c>
      <c r="D11" s="13" t="s">
        <v>6</v>
      </c>
      <c r="E11" s="13" t="s">
        <v>8</v>
      </c>
      <c r="F11" s="79">
        <v>248.40196912993</v>
      </c>
      <c r="G11" s="79">
        <v>250.75902717732001</v>
      </c>
      <c r="H11" s="79">
        <f t="shared" ref="H11" si="7">G11*H$1</f>
        <v>175.531319024124</v>
      </c>
      <c r="I11" s="79">
        <f t="shared" si="1"/>
        <v>75.227708153196005</v>
      </c>
      <c r="J11" s="12">
        <v>0</v>
      </c>
      <c r="K11" s="12">
        <v>5</v>
      </c>
    </row>
    <row r="12" spans="2:11" x14ac:dyDescent="0.3">
      <c r="B12" s="42" t="s">
        <v>14</v>
      </c>
      <c r="C12" s="13" t="s">
        <v>46</v>
      </c>
      <c r="D12" s="13" t="s">
        <v>6</v>
      </c>
      <c r="E12" s="13" t="s">
        <v>8</v>
      </c>
      <c r="F12" s="79">
        <v>2.4762823156900002</v>
      </c>
      <c r="G12" s="79">
        <v>0.75179827325999993</v>
      </c>
      <c r="H12" s="79">
        <f t="shared" ref="H12" si="8">G12*H$1</f>
        <v>0.52625879128199993</v>
      </c>
      <c r="I12" s="79">
        <f t="shared" si="1"/>
        <v>0.22553948197799997</v>
      </c>
      <c r="J12" s="12">
        <v>0</v>
      </c>
      <c r="K12" s="12">
        <v>5</v>
      </c>
    </row>
    <row r="13" spans="2:11" x14ac:dyDescent="0.3">
      <c r="B13" s="42" t="s">
        <v>16</v>
      </c>
      <c r="C13" s="13" t="s">
        <v>46</v>
      </c>
      <c r="D13" s="13" t="s">
        <v>6</v>
      </c>
      <c r="E13" s="13" t="s">
        <v>8</v>
      </c>
      <c r="F13" s="79">
        <v>18.01995319517</v>
      </c>
      <c r="G13" s="79">
        <v>11.49520071547</v>
      </c>
      <c r="H13" s="79">
        <f t="shared" ref="H13" si="9">G13*H$1</f>
        <v>8.0466405008289996</v>
      </c>
      <c r="I13" s="79">
        <f t="shared" si="1"/>
        <v>3.4485602146410002</v>
      </c>
      <c r="J13" s="12">
        <v>0</v>
      </c>
      <c r="K13" s="12">
        <v>5</v>
      </c>
    </row>
    <row r="14" spans="2:11" x14ac:dyDescent="0.3">
      <c r="B14" s="42" t="s">
        <v>17</v>
      </c>
      <c r="C14" s="13" t="s">
        <v>46</v>
      </c>
      <c r="D14" s="13" t="s">
        <v>6</v>
      </c>
      <c r="E14" s="13" t="s">
        <v>8</v>
      </c>
      <c r="F14" s="79">
        <v>390.27631164952004</v>
      </c>
      <c r="G14" s="79">
        <v>321.87183748004003</v>
      </c>
      <c r="H14" s="79">
        <f t="shared" ref="H14" si="10">G14*H$1</f>
        <v>225.31028623602799</v>
      </c>
      <c r="I14" s="79">
        <f t="shared" si="1"/>
        <v>96.561551244012009</v>
      </c>
      <c r="J14" s="12">
        <v>0</v>
      </c>
      <c r="K14" s="12">
        <v>5</v>
      </c>
    </row>
    <row r="15" spans="2:11" x14ac:dyDescent="0.3">
      <c r="B15" s="42" t="s">
        <v>5</v>
      </c>
      <c r="C15" s="13" t="s">
        <v>46</v>
      </c>
      <c r="D15" s="13" t="s">
        <v>6</v>
      </c>
      <c r="E15" s="13" t="s">
        <v>8</v>
      </c>
      <c r="F15" s="79">
        <v>229.57703996060999</v>
      </c>
      <c r="G15" s="79">
        <v>129.13779255348001</v>
      </c>
      <c r="H15" s="79">
        <f t="shared" ref="H15" si="11">G15*H$1</f>
        <v>90.396454787435999</v>
      </c>
      <c r="I15" s="79">
        <f t="shared" si="1"/>
        <v>38.741337766044005</v>
      </c>
      <c r="J15" s="12">
        <v>0</v>
      </c>
      <c r="K15" s="12">
        <v>5</v>
      </c>
    </row>
    <row r="16" spans="2:11" x14ac:dyDescent="0.3">
      <c r="B16" s="42" t="s">
        <v>18</v>
      </c>
      <c r="C16" s="13" t="s">
        <v>46</v>
      </c>
      <c r="D16" s="13" t="s">
        <v>6</v>
      </c>
      <c r="E16" s="13" t="s">
        <v>8</v>
      </c>
      <c r="F16" s="79">
        <v>136.03823177388</v>
      </c>
      <c r="G16" s="79">
        <v>66.797829309630004</v>
      </c>
      <c r="H16" s="79">
        <f t="shared" ref="H16" si="12">G16*H$1</f>
        <v>46.758480516741002</v>
      </c>
      <c r="I16" s="79">
        <f t="shared" si="1"/>
        <v>20.039348792889001</v>
      </c>
      <c r="J16" s="12">
        <v>0</v>
      </c>
      <c r="K16" s="12">
        <v>5</v>
      </c>
    </row>
    <row r="17" spans="2:11" x14ac:dyDescent="0.3">
      <c r="B17" s="42" t="s">
        <v>19</v>
      </c>
      <c r="C17" s="13" t="s">
        <v>46</v>
      </c>
      <c r="D17" s="13" t="s">
        <v>6</v>
      </c>
      <c r="E17" s="13" t="s">
        <v>8</v>
      </c>
      <c r="F17" s="79">
        <v>34.570999454309998</v>
      </c>
      <c r="G17" s="79">
        <v>28.296544833230001</v>
      </c>
      <c r="H17" s="79">
        <f t="shared" ref="H17" si="13">G17*H$1</f>
        <v>19.807581383260999</v>
      </c>
      <c r="I17" s="79">
        <f t="shared" si="1"/>
        <v>8.4889634499690008</v>
      </c>
      <c r="J17" s="12">
        <v>0</v>
      </c>
      <c r="K17" s="12">
        <v>5</v>
      </c>
    </row>
    <row r="18" spans="2:11" x14ac:dyDescent="0.3">
      <c r="B18" s="42" t="s">
        <v>25</v>
      </c>
      <c r="C18" s="13" t="s">
        <v>46</v>
      </c>
      <c r="D18" s="13" t="s">
        <v>6</v>
      </c>
      <c r="E18" s="13" t="s">
        <v>8</v>
      </c>
      <c r="F18" s="79">
        <v>10.32114886876</v>
      </c>
      <c r="G18" s="79">
        <v>5.9671636875900003</v>
      </c>
      <c r="H18" s="79">
        <f t="shared" ref="H18" si="14">G18*H$1</f>
        <v>4.1770145813130002</v>
      </c>
      <c r="I18" s="79">
        <f t="shared" si="1"/>
        <v>1.7901491062770001</v>
      </c>
      <c r="J18" s="12">
        <v>0</v>
      </c>
      <c r="K18" s="12">
        <v>5</v>
      </c>
    </row>
    <row r="19" spans="2:11" x14ac:dyDescent="0.3">
      <c r="B19" s="42" t="s">
        <v>15</v>
      </c>
      <c r="C19" s="13" t="s">
        <v>46</v>
      </c>
      <c r="D19" s="13" t="s">
        <v>6</v>
      </c>
      <c r="E19" s="13" t="s">
        <v>8</v>
      </c>
      <c r="F19" s="79">
        <v>39.411283186619997</v>
      </c>
      <c r="G19" s="79">
        <v>5.1297091313200003</v>
      </c>
      <c r="H19" s="79">
        <f t="shared" ref="H19" si="15">G19*H$1</f>
        <v>3.590796391924</v>
      </c>
      <c r="I19" s="79">
        <f t="shared" si="1"/>
        <v>1.538912739396</v>
      </c>
      <c r="J19" s="12">
        <v>0</v>
      </c>
      <c r="K19" s="12">
        <v>5</v>
      </c>
    </row>
    <row r="20" spans="2:11" x14ac:dyDescent="0.3">
      <c r="B20" s="42" t="s">
        <v>114</v>
      </c>
      <c r="C20" s="13" t="s">
        <v>46</v>
      </c>
      <c r="D20" s="13" t="s">
        <v>6</v>
      </c>
      <c r="E20" s="13" t="s">
        <v>8</v>
      </c>
      <c r="F20" s="79">
        <v>6.1038505074399998</v>
      </c>
      <c r="G20" s="79">
        <v>5.34477175523</v>
      </c>
      <c r="H20" s="79">
        <f t="shared" ref="H20" si="16">G20*H$1</f>
        <v>3.7413402286609996</v>
      </c>
      <c r="I20" s="79">
        <f t="shared" si="1"/>
        <v>1.603431526569</v>
      </c>
      <c r="J20" s="12">
        <v>0</v>
      </c>
      <c r="K20" s="12">
        <v>5</v>
      </c>
    </row>
    <row r="21" spans="2:11" x14ac:dyDescent="0.3">
      <c r="B21" s="42" t="s">
        <v>20</v>
      </c>
      <c r="C21" s="13" t="s">
        <v>46</v>
      </c>
      <c r="D21" s="13" t="s">
        <v>6</v>
      </c>
      <c r="E21" s="13" t="s">
        <v>8</v>
      </c>
      <c r="F21" s="79">
        <v>276.36285607877005</v>
      </c>
      <c r="G21" s="79">
        <v>23.712768988979999</v>
      </c>
      <c r="H21" s="79">
        <f t="shared" ref="H21" si="17">G21*H$1</f>
        <v>16.598938292285997</v>
      </c>
      <c r="I21" s="79">
        <f t="shared" si="1"/>
        <v>7.1138306966939995</v>
      </c>
      <c r="J21" s="12">
        <v>0</v>
      </c>
      <c r="K21" s="12">
        <v>5</v>
      </c>
    </row>
    <row r="22" spans="2:11" x14ac:dyDescent="0.3">
      <c r="B22" s="42" t="s">
        <v>23</v>
      </c>
      <c r="C22" s="13" t="s">
        <v>46</v>
      </c>
      <c r="D22" s="13" t="s">
        <v>6</v>
      </c>
      <c r="E22" s="13" t="s">
        <v>8</v>
      </c>
      <c r="F22" s="79">
        <v>6.2585919903300002</v>
      </c>
      <c r="G22" s="79">
        <v>5.1089328162300003</v>
      </c>
      <c r="H22" s="79">
        <f t="shared" ref="H22" si="18">G22*H$1</f>
        <v>3.5762529713609998</v>
      </c>
      <c r="I22" s="79">
        <f t="shared" si="1"/>
        <v>1.532679844869</v>
      </c>
      <c r="J22" s="12">
        <v>0</v>
      </c>
      <c r="K22" s="12">
        <v>5</v>
      </c>
    </row>
    <row r="23" spans="2:11" x14ac:dyDescent="0.3">
      <c r="B23" s="42" t="s">
        <v>24</v>
      </c>
      <c r="C23" s="13" t="s">
        <v>46</v>
      </c>
      <c r="D23" s="13" t="s">
        <v>6</v>
      </c>
      <c r="E23" s="13" t="s">
        <v>8</v>
      </c>
      <c r="F23" s="79">
        <v>6.8035651976600002</v>
      </c>
      <c r="G23" s="79">
        <v>4.91668771337</v>
      </c>
      <c r="H23" s="79">
        <f t="shared" ref="H23" si="19">G23*H$1</f>
        <v>3.4416813993589996</v>
      </c>
      <c r="I23" s="79">
        <f t="shared" si="1"/>
        <v>1.4750063140109999</v>
      </c>
      <c r="J23" s="12">
        <v>0</v>
      </c>
      <c r="K23" s="12">
        <v>5</v>
      </c>
    </row>
    <row r="24" spans="2:11" x14ac:dyDescent="0.3">
      <c r="B24" s="42" t="s">
        <v>22</v>
      </c>
      <c r="C24" s="13" t="s">
        <v>46</v>
      </c>
      <c r="D24" s="13" t="s">
        <v>6</v>
      </c>
      <c r="E24" s="13" t="s">
        <v>8</v>
      </c>
      <c r="F24" s="79">
        <v>4.3788791177900004</v>
      </c>
      <c r="G24" s="79">
        <v>1.5277829730900001</v>
      </c>
      <c r="H24" s="79">
        <f t="shared" ref="H24" si="20">G24*H$1</f>
        <v>1.0694480811630001</v>
      </c>
      <c r="I24" s="79">
        <f t="shared" si="1"/>
        <v>0.458334891927</v>
      </c>
      <c r="J24" s="12">
        <v>0</v>
      </c>
      <c r="K24" s="12">
        <v>5</v>
      </c>
    </row>
    <row r="25" spans="2:11" x14ac:dyDescent="0.3">
      <c r="B25" s="42" t="s">
        <v>26</v>
      </c>
      <c r="C25" s="13" t="s">
        <v>46</v>
      </c>
      <c r="D25" s="13" t="s">
        <v>6</v>
      </c>
      <c r="E25" s="13" t="s">
        <v>8</v>
      </c>
      <c r="F25" s="79">
        <v>2.8809229899999997E-3</v>
      </c>
      <c r="G25" s="79">
        <v>3.9992232700000003E-3</v>
      </c>
      <c r="H25" s="79">
        <f t="shared" ref="H25" si="21">G25*H$1</f>
        <v>2.7994562890000002E-3</v>
      </c>
      <c r="I25" s="79">
        <f t="shared" si="1"/>
        <v>1.1997669810000001E-3</v>
      </c>
      <c r="J25" s="12">
        <v>0</v>
      </c>
      <c r="K25" s="12">
        <v>5</v>
      </c>
    </row>
    <row r="26" spans="2:11" x14ac:dyDescent="0.3">
      <c r="B26" s="42" t="s">
        <v>27</v>
      </c>
      <c r="C26" s="13" t="s">
        <v>46</v>
      </c>
      <c r="D26" s="13" t="s">
        <v>6</v>
      </c>
      <c r="E26" s="13" t="s">
        <v>8</v>
      </c>
      <c r="F26" s="79">
        <v>40.378702551170001</v>
      </c>
      <c r="G26" s="79">
        <v>13.36242270086</v>
      </c>
      <c r="H26" s="79">
        <f t="shared" ref="H26" si="22">G26*H$1</f>
        <v>9.3536958906019994</v>
      </c>
      <c r="I26" s="79">
        <f t="shared" si="1"/>
        <v>4.0087268102579996</v>
      </c>
      <c r="J26" s="12">
        <v>0</v>
      </c>
      <c r="K26" s="12">
        <v>5</v>
      </c>
    </row>
    <row r="27" spans="2:11" x14ac:dyDescent="0.3">
      <c r="B27" s="42" t="s">
        <v>34</v>
      </c>
      <c r="C27" s="13" t="s">
        <v>46</v>
      </c>
      <c r="D27" s="13" t="s">
        <v>6</v>
      </c>
      <c r="E27" s="13" t="s">
        <v>8</v>
      </c>
      <c r="F27" s="79">
        <v>54.917739352590004</v>
      </c>
      <c r="G27" s="79">
        <v>21.61218662277</v>
      </c>
      <c r="H27" s="79">
        <f t="shared" ref="H27" si="23">G27*H$1</f>
        <v>15.128530635938999</v>
      </c>
      <c r="I27" s="79">
        <f t="shared" si="1"/>
        <v>6.4836559868309998</v>
      </c>
      <c r="J27" s="12">
        <v>0</v>
      </c>
      <c r="K27" s="12">
        <v>5</v>
      </c>
    </row>
    <row r="28" spans="2:11" x14ac:dyDescent="0.3">
      <c r="B28" s="42" t="s">
        <v>29</v>
      </c>
      <c r="C28" s="13" t="s">
        <v>46</v>
      </c>
      <c r="D28" s="13" t="s">
        <v>6</v>
      </c>
      <c r="E28" s="13" t="s">
        <v>8</v>
      </c>
      <c r="F28" s="79">
        <v>1840.22909</v>
      </c>
      <c r="G28" s="79">
        <v>1747.8708204375</v>
      </c>
      <c r="H28" s="79">
        <f t="shared" ref="H28" si="24">G28*H$1</f>
        <v>1223.50957430625</v>
      </c>
      <c r="I28" s="79">
        <f t="shared" si="1"/>
        <v>524.36124613125003</v>
      </c>
      <c r="J28" s="12">
        <v>0</v>
      </c>
      <c r="K28" s="12">
        <v>5</v>
      </c>
    </row>
    <row r="29" spans="2:11" x14ac:dyDescent="0.3">
      <c r="B29" s="42" t="s">
        <v>30</v>
      </c>
      <c r="C29" s="13" t="s">
        <v>46</v>
      </c>
      <c r="D29" s="13" t="s">
        <v>6</v>
      </c>
      <c r="E29" s="13" t="s">
        <v>8</v>
      </c>
      <c r="F29" s="79">
        <v>3.08964018589</v>
      </c>
      <c r="G29" s="79">
        <v>0.53767633203999998</v>
      </c>
      <c r="H29" s="79">
        <f t="shared" ref="H29" si="25">G29*H$1</f>
        <v>0.37637343242799998</v>
      </c>
      <c r="I29" s="79">
        <f t="shared" si="1"/>
        <v>0.16130289961199998</v>
      </c>
      <c r="J29" s="12">
        <v>0</v>
      </c>
      <c r="K29" s="12">
        <v>5</v>
      </c>
    </row>
    <row r="30" spans="2:11" x14ac:dyDescent="0.3">
      <c r="B30" s="42" t="s">
        <v>31</v>
      </c>
      <c r="C30" s="13" t="s">
        <v>46</v>
      </c>
      <c r="D30" s="13" t="s">
        <v>6</v>
      </c>
      <c r="E30" s="13" t="s">
        <v>8</v>
      </c>
      <c r="F30" s="79">
        <v>62.670818959010006</v>
      </c>
      <c r="G30" s="79">
        <v>33.20844996228</v>
      </c>
      <c r="H30" s="79">
        <f t="shared" ref="H30" si="26">G30*H$1</f>
        <v>23.245914973595998</v>
      </c>
      <c r="I30" s="79">
        <f t="shared" si="1"/>
        <v>9.9625349886840002</v>
      </c>
      <c r="J30" s="12">
        <v>0</v>
      </c>
      <c r="K30" s="12">
        <v>5</v>
      </c>
    </row>
    <row r="31" spans="2:11" x14ac:dyDescent="0.3">
      <c r="B31" s="42" t="s">
        <v>33</v>
      </c>
      <c r="C31" s="13" t="s">
        <v>46</v>
      </c>
      <c r="D31" s="13" t="s">
        <v>6</v>
      </c>
      <c r="E31" s="13" t="s">
        <v>8</v>
      </c>
      <c r="F31" s="79">
        <v>94.397561066490013</v>
      </c>
      <c r="G31" s="79">
        <v>5.8367645904200005</v>
      </c>
      <c r="H31" s="79">
        <f t="shared" ref="H31" si="27">G31*H$1</f>
        <v>4.0857352132939999</v>
      </c>
      <c r="I31" s="79">
        <f t="shared" si="1"/>
        <v>1.7510293771260002</v>
      </c>
      <c r="J31" s="12">
        <v>0</v>
      </c>
      <c r="K31" s="12">
        <v>5</v>
      </c>
    </row>
    <row r="32" spans="2:11" x14ac:dyDescent="0.3">
      <c r="B32" s="42" t="s">
        <v>32</v>
      </c>
      <c r="C32" s="13" t="s">
        <v>46</v>
      </c>
      <c r="D32" s="13" t="s">
        <v>6</v>
      </c>
      <c r="E32" s="13" t="s">
        <v>8</v>
      </c>
      <c r="F32" s="79">
        <v>9.4786051052999998</v>
      </c>
      <c r="G32" s="79">
        <v>9.0083568570499999</v>
      </c>
      <c r="H32" s="79">
        <f t="shared" ref="H32" si="28">G32*H$1</f>
        <v>6.3058497999349994</v>
      </c>
      <c r="I32" s="79">
        <f t="shared" si="1"/>
        <v>2.7025070571150001</v>
      </c>
      <c r="J32" s="12">
        <v>0</v>
      </c>
      <c r="K32" s="12">
        <v>5</v>
      </c>
    </row>
    <row r="33" spans="1:26" x14ac:dyDescent="0.3">
      <c r="B33" s="42" t="s">
        <v>115</v>
      </c>
      <c r="C33" s="13" t="s">
        <v>46</v>
      </c>
      <c r="D33" s="13" t="s">
        <v>6</v>
      </c>
      <c r="E33" s="13" t="s">
        <v>8</v>
      </c>
      <c r="F33" s="79">
        <v>34.93945766137</v>
      </c>
      <c r="G33" s="79">
        <v>17.738933921119997</v>
      </c>
      <c r="H33" s="79">
        <f t="shared" ref="H33" si="29">G33*H$1</f>
        <v>12.417253744783997</v>
      </c>
      <c r="I33" s="79">
        <f t="shared" si="1"/>
        <v>5.3216801763359989</v>
      </c>
      <c r="J33" s="12">
        <v>0</v>
      </c>
      <c r="K33" s="12">
        <v>5</v>
      </c>
    </row>
    <row r="34" spans="1:26" x14ac:dyDescent="0.3">
      <c r="B34" s="42" t="s">
        <v>35</v>
      </c>
      <c r="C34" s="13" t="s">
        <v>46</v>
      </c>
      <c r="D34" s="13" t="s">
        <v>6</v>
      </c>
      <c r="E34" s="13" t="s">
        <v>8</v>
      </c>
      <c r="F34" s="79">
        <v>439.85904000000005</v>
      </c>
      <c r="G34" s="79">
        <v>288.13961118750001</v>
      </c>
      <c r="H34" s="79">
        <f t="shared" ref="H34" si="30">G34*H$1</f>
        <v>201.69772783125001</v>
      </c>
      <c r="I34" s="79">
        <f t="shared" si="1"/>
        <v>86.441883356250003</v>
      </c>
      <c r="J34" s="12">
        <v>0</v>
      </c>
      <c r="K34" s="12">
        <v>5</v>
      </c>
    </row>
    <row r="36" spans="1:26" x14ac:dyDescent="0.3">
      <c r="F36" s="78">
        <f>SUM(F4:F34)</f>
        <v>5632.4797710328703</v>
      </c>
      <c r="G36" s="78">
        <f t="shared" ref="G36:J36" si="31">SUM(G4:G34)</f>
        <v>3758.4850565744205</v>
      </c>
      <c r="H36" s="78">
        <f t="shared" si="31"/>
        <v>2630.9395396020936</v>
      </c>
      <c r="I36" s="78">
        <f t="shared" si="31"/>
        <v>1127.5455169723261</v>
      </c>
      <c r="J36" s="78">
        <f t="shared" si="31"/>
        <v>0</v>
      </c>
    </row>
    <row r="37" spans="1:26" x14ac:dyDescent="0.3">
      <c r="F37" s="78"/>
      <c r="G37" s="78"/>
      <c r="H37" s="78"/>
      <c r="I37" s="78"/>
      <c r="J37" s="78"/>
    </row>
    <row r="38" spans="1:26" x14ac:dyDescent="0.3">
      <c r="A38" t="s">
        <v>154</v>
      </c>
    </row>
    <row r="39" spans="1:26" x14ac:dyDescent="0.3">
      <c r="T39" t="s">
        <v>165</v>
      </c>
    </row>
    <row r="40" spans="1:26" x14ac:dyDescent="0.3">
      <c r="B40" s="4" t="s">
        <v>0</v>
      </c>
      <c r="C40" s="5"/>
      <c r="D40" s="5"/>
      <c r="E40" s="5"/>
      <c r="F40" s="5"/>
      <c r="G40" s="6"/>
      <c r="H40" s="2"/>
      <c r="I40" s="2"/>
      <c r="J40" s="2"/>
      <c r="K40" s="2"/>
      <c r="S40" t="s">
        <v>164</v>
      </c>
      <c r="T40">
        <v>0.8</v>
      </c>
      <c r="U40">
        <v>0.6</v>
      </c>
    </row>
    <row r="41" spans="1:26" x14ac:dyDescent="0.3">
      <c r="B41" s="80" t="s">
        <v>1</v>
      </c>
      <c r="C41" s="81" t="s">
        <v>2</v>
      </c>
      <c r="D41" s="80" t="s">
        <v>3</v>
      </c>
      <c r="E41" s="80" t="s">
        <v>4</v>
      </c>
      <c r="F41" s="9">
        <v>2015</v>
      </c>
      <c r="G41" s="10">
        <v>2020</v>
      </c>
      <c r="H41" s="10">
        <v>2025</v>
      </c>
      <c r="I41" s="10">
        <v>0</v>
      </c>
      <c r="P41" s="85" t="s">
        <v>155</v>
      </c>
      <c r="Q41" s="85" t="s">
        <v>156</v>
      </c>
      <c r="R41" s="85">
        <v>2010</v>
      </c>
      <c r="S41" s="85">
        <v>2015</v>
      </c>
      <c r="T41" s="85">
        <v>2020</v>
      </c>
      <c r="U41" s="85">
        <v>2025</v>
      </c>
      <c r="V41" s="85">
        <v>2030</v>
      </c>
      <c r="W41" s="85">
        <v>2035</v>
      </c>
      <c r="X41" s="85">
        <v>2040</v>
      </c>
      <c r="Y41" s="85">
        <v>2045</v>
      </c>
      <c r="Z41" s="85">
        <v>2050</v>
      </c>
    </row>
    <row r="42" spans="1:26" ht="15" thickBot="1" x14ac:dyDescent="0.35">
      <c r="B42" s="42" t="s">
        <v>28</v>
      </c>
      <c r="C42" s="13" t="s">
        <v>157</v>
      </c>
      <c r="D42" s="13" t="s">
        <v>162</v>
      </c>
      <c r="E42" s="13" t="s">
        <v>163</v>
      </c>
      <c r="F42" s="79">
        <f>S42</f>
        <v>11333.35536</v>
      </c>
      <c r="G42" s="79">
        <f>F42*$T$40</f>
        <v>9066.6842880000004</v>
      </c>
      <c r="H42" s="79">
        <f>F42*$U$40</f>
        <v>6800.0132159999994</v>
      </c>
      <c r="I42" s="12">
        <v>1</v>
      </c>
      <c r="P42" s="82" t="s">
        <v>28</v>
      </c>
      <c r="Q42" s="82" t="s">
        <v>157</v>
      </c>
      <c r="R42" s="83">
        <v>11519.90885</v>
      </c>
      <c r="S42" s="83">
        <v>11333.35536</v>
      </c>
      <c r="T42" s="83">
        <v>11758.062099999999</v>
      </c>
      <c r="U42" s="83">
        <v>2246.1579999999999</v>
      </c>
      <c r="V42" s="83">
        <v>3642.8695294099998</v>
      </c>
      <c r="W42" s="83">
        <v>3361.3141039819998</v>
      </c>
      <c r="X42" s="83">
        <v>1812.9165064179999</v>
      </c>
      <c r="Y42" s="83">
        <v>-1.6945894E-2</v>
      </c>
      <c r="Z42" s="83">
        <v>18.243462092000001</v>
      </c>
    </row>
    <row r="43" spans="1:26" ht="15" thickBot="1" x14ac:dyDescent="0.35">
      <c r="B43" s="42" t="s">
        <v>9</v>
      </c>
      <c r="C43" s="13" t="s">
        <v>157</v>
      </c>
      <c r="D43" s="13" t="s">
        <v>162</v>
      </c>
      <c r="E43" s="13" t="s">
        <v>163</v>
      </c>
      <c r="F43" s="79">
        <f t="shared" ref="F43:F72" si="32">S43</f>
        <v>19332.75734</v>
      </c>
      <c r="G43" s="79">
        <f t="shared" ref="G43:G72" si="33">F43*$T$40</f>
        <v>15466.205872</v>
      </c>
      <c r="H43" s="79">
        <f t="shared" ref="H43:H72" si="34">F43*$U$40</f>
        <v>11599.654403999999</v>
      </c>
      <c r="I43" s="12">
        <v>1</v>
      </c>
      <c r="P43" s="82" t="s">
        <v>9</v>
      </c>
      <c r="Q43" s="82" t="s">
        <v>157</v>
      </c>
      <c r="R43" s="83">
        <v>18240.451059999999</v>
      </c>
      <c r="S43" s="83">
        <v>19332.75734</v>
      </c>
      <c r="T43" s="83">
        <v>20082.42902</v>
      </c>
      <c r="U43" s="83">
        <v>3743.0213060000001</v>
      </c>
      <c r="V43" s="83">
        <v>3042.746830517</v>
      </c>
      <c r="W43" s="83">
        <v>1215.287595106</v>
      </c>
      <c r="X43" s="83">
        <v>70.938354351000001</v>
      </c>
      <c r="Y43" s="83">
        <v>722.30956700700006</v>
      </c>
      <c r="Z43" s="83">
        <v>869.16686154399997</v>
      </c>
    </row>
    <row r="44" spans="1:26" ht="15" thickBot="1" x14ac:dyDescent="0.35">
      <c r="B44" s="42" t="s">
        <v>10</v>
      </c>
      <c r="C44" s="13" t="s">
        <v>157</v>
      </c>
      <c r="D44" s="13" t="s">
        <v>162</v>
      </c>
      <c r="E44" s="13" t="s">
        <v>163</v>
      </c>
      <c r="F44" s="79">
        <f t="shared" si="32"/>
        <v>35617.832999999999</v>
      </c>
      <c r="G44" s="79">
        <f t="shared" si="33"/>
        <v>28494.2664</v>
      </c>
      <c r="H44" s="79">
        <f t="shared" si="34"/>
        <v>21370.699799999999</v>
      </c>
      <c r="I44" s="12">
        <v>1</v>
      </c>
      <c r="P44" s="82" t="s">
        <v>10</v>
      </c>
      <c r="Q44" s="82" t="s">
        <v>157</v>
      </c>
      <c r="R44" s="83">
        <v>34197.345150000001</v>
      </c>
      <c r="S44" s="83">
        <v>35617.832999999999</v>
      </c>
      <c r="T44" s="83">
        <v>37228.076959999999</v>
      </c>
      <c r="U44" s="83">
        <v>3150.2533239999998</v>
      </c>
      <c r="V44" s="83">
        <v>2864.1438129210001</v>
      </c>
      <c r="W44" s="83">
        <v>2977.3751461289999</v>
      </c>
      <c r="X44" s="83">
        <v>2550.8194748410001</v>
      </c>
      <c r="Y44" s="83">
        <v>980.24904666899999</v>
      </c>
      <c r="Z44" s="83">
        <v>1015.5024871540001</v>
      </c>
    </row>
    <row r="45" spans="1:26" ht="15" thickBot="1" x14ac:dyDescent="0.35">
      <c r="B45" s="42" t="s">
        <v>113</v>
      </c>
      <c r="C45" s="13" t="s">
        <v>157</v>
      </c>
      <c r="D45" s="13" t="s">
        <v>162</v>
      </c>
      <c r="E45" s="13" t="s">
        <v>163</v>
      </c>
      <c r="F45" s="79">
        <f t="shared" si="32"/>
        <v>64.90316</v>
      </c>
      <c r="G45" s="79">
        <f t="shared" si="33"/>
        <v>51.922528</v>
      </c>
      <c r="H45" s="79">
        <f t="shared" si="34"/>
        <v>38.941896</v>
      </c>
      <c r="I45" s="12">
        <v>1</v>
      </c>
      <c r="P45" s="82" t="s">
        <v>113</v>
      </c>
      <c r="Q45" s="82" t="s">
        <v>157</v>
      </c>
      <c r="R45" s="83">
        <v>64.902720000000002</v>
      </c>
      <c r="S45" s="83">
        <v>64.90316</v>
      </c>
      <c r="T45" s="84">
        <v>0</v>
      </c>
      <c r="U45" s="83">
        <v>1.7032579999999999</v>
      </c>
      <c r="V45" s="83">
        <v>1.3431382E-2</v>
      </c>
      <c r="W45" s="83">
        <v>1.3400983999999999E-2</v>
      </c>
      <c r="X45" s="83">
        <v>7.1858529999999999E-3</v>
      </c>
      <c r="Y45" s="83">
        <v>9.4858249999999998E-3</v>
      </c>
      <c r="Z45" s="83">
        <v>7.5720279999999997E-3</v>
      </c>
    </row>
    <row r="46" spans="1:26" ht="15" thickBot="1" x14ac:dyDescent="0.35">
      <c r="B46" s="42" t="s">
        <v>21</v>
      </c>
      <c r="C46" s="13" t="s">
        <v>157</v>
      </c>
      <c r="D46" s="13" t="s">
        <v>162</v>
      </c>
      <c r="E46" s="13" t="s">
        <v>163</v>
      </c>
      <c r="F46" s="79">
        <f t="shared" si="32"/>
        <v>4717.5417900000002</v>
      </c>
      <c r="G46" s="79">
        <f t="shared" si="33"/>
        <v>3774.0334320000002</v>
      </c>
      <c r="H46" s="79">
        <f t="shared" si="34"/>
        <v>2830.5250740000001</v>
      </c>
      <c r="I46" s="12">
        <v>1</v>
      </c>
      <c r="P46" s="82" t="s">
        <v>21</v>
      </c>
      <c r="Q46" s="82" t="s">
        <v>157</v>
      </c>
      <c r="R46" s="83">
        <v>3740.0013399999998</v>
      </c>
      <c r="S46" s="83">
        <v>4717.5417900000002</v>
      </c>
      <c r="T46" s="83">
        <v>5445.8534399999999</v>
      </c>
      <c r="U46" s="83">
        <v>222.150432</v>
      </c>
      <c r="V46" s="83">
        <v>89.274012216000003</v>
      </c>
      <c r="W46" s="83">
        <v>48.077819701999999</v>
      </c>
      <c r="X46" s="83">
        <v>18.181284604999998</v>
      </c>
      <c r="Y46" s="83">
        <v>-8.2750879999999999E-3</v>
      </c>
      <c r="Z46" s="83">
        <v>-9.0725189999999994E-3</v>
      </c>
    </row>
    <row r="47" spans="1:26" ht="15" thickBot="1" x14ac:dyDescent="0.35">
      <c r="B47" s="42" t="s">
        <v>11</v>
      </c>
      <c r="C47" s="13" t="s">
        <v>157</v>
      </c>
      <c r="D47" s="13" t="s">
        <v>162</v>
      </c>
      <c r="E47" s="13" t="s">
        <v>163</v>
      </c>
      <c r="F47" s="79">
        <f t="shared" si="32"/>
        <v>69609.741970000003</v>
      </c>
      <c r="G47" s="79">
        <f t="shared" si="33"/>
        <v>55687.793576000004</v>
      </c>
      <c r="H47" s="79">
        <f t="shared" si="34"/>
        <v>41765.845181999997</v>
      </c>
      <c r="I47" s="12">
        <v>1</v>
      </c>
      <c r="P47" s="82" t="s">
        <v>11</v>
      </c>
      <c r="Q47" s="82" t="s">
        <v>157</v>
      </c>
      <c r="R47" s="83">
        <v>67344.711370000005</v>
      </c>
      <c r="S47" s="83">
        <v>69609.741970000003</v>
      </c>
      <c r="T47" s="83">
        <v>72580.876829999994</v>
      </c>
      <c r="U47" s="83">
        <v>24105.916963</v>
      </c>
      <c r="V47" s="83">
        <v>7761.0339420540004</v>
      </c>
      <c r="W47" s="83">
        <v>6389.2451848049996</v>
      </c>
      <c r="X47" s="83">
        <v>4649.974660885</v>
      </c>
      <c r="Y47" s="83">
        <v>-1.9833344999999999E-2</v>
      </c>
      <c r="Z47" s="83">
        <v>-2.0343440000000001E-2</v>
      </c>
    </row>
    <row r="48" spans="1:26" ht="15" thickBot="1" x14ac:dyDescent="0.35">
      <c r="B48" s="42" t="s">
        <v>13</v>
      </c>
      <c r="C48" s="13" t="s">
        <v>157</v>
      </c>
      <c r="D48" s="13" t="s">
        <v>162</v>
      </c>
      <c r="E48" s="13" t="s">
        <v>163</v>
      </c>
      <c r="F48" s="79">
        <f t="shared" si="32"/>
        <v>179052.24161999999</v>
      </c>
      <c r="G48" s="79">
        <f t="shared" si="33"/>
        <v>143241.79329599999</v>
      </c>
      <c r="H48" s="79">
        <f t="shared" si="34"/>
        <v>107431.34497199999</v>
      </c>
      <c r="I48" s="12">
        <v>1</v>
      </c>
      <c r="P48" s="82" t="s">
        <v>13</v>
      </c>
      <c r="Q48" s="82" t="s">
        <v>157</v>
      </c>
      <c r="R48" s="83">
        <v>265124.30138999998</v>
      </c>
      <c r="S48" s="83">
        <v>179052.24161999999</v>
      </c>
      <c r="T48" s="83">
        <v>109726.46823</v>
      </c>
      <c r="U48" s="83">
        <v>32314.336895</v>
      </c>
      <c r="V48" s="83">
        <v>24146.130194697002</v>
      </c>
      <c r="W48" s="83">
        <v>17950.191448385998</v>
      </c>
      <c r="X48" s="83">
        <v>13742.932624122999</v>
      </c>
      <c r="Y48" s="83">
        <v>18044.264373709</v>
      </c>
      <c r="Z48" s="83">
        <v>18044.266622933999</v>
      </c>
    </row>
    <row r="49" spans="2:26" ht="15" thickBot="1" x14ac:dyDescent="0.35">
      <c r="B49" s="42" t="s">
        <v>12</v>
      </c>
      <c r="C49" s="13" t="s">
        <v>157</v>
      </c>
      <c r="D49" s="13" t="s">
        <v>162</v>
      </c>
      <c r="E49" s="13" t="s">
        <v>163</v>
      </c>
      <c r="F49" s="79">
        <f t="shared" si="32"/>
        <v>27536.855200000002</v>
      </c>
      <c r="G49" s="79">
        <f t="shared" si="33"/>
        <v>22029.484160000004</v>
      </c>
      <c r="H49" s="79">
        <f t="shared" si="34"/>
        <v>16522.113120000002</v>
      </c>
      <c r="I49" s="12">
        <v>1</v>
      </c>
      <c r="P49" s="82" t="s">
        <v>12</v>
      </c>
      <c r="Q49" s="82" t="s">
        <v>157</v>
      </c>
      <c r="R49" s="83">
        <v>27918.70638</v>
      </c>
      <c r="S49" s="83">
        <v>27536.855200000002</v>
      </c>
      <c r="T49" s="83">
        <v>27077.034080000001</v>
      </c>
      <c r="U49" s="83">
        <v>2613.056767</v>
      </c>
      <c r="V49" s="83">
        <v>2963.9792063710001</v>
      </c>
      <c r="W49" s="83">
        <v>2799.9904154659998</v>
      </c>
      <c r="X49" s="83">
        <v>1596.81679859</v>
      </c>
      <c r="Y49" s="83">
        <v>-2.0251796999999998E-2</v>
      </c>
      <c r="Z49" s="83">
        <v>-1.4861770999999999E-2</v>
      </c>
    </row>
    <row r="50" spans="2:26" ht="15" thickBot="1" x14ac:dyDescent="0.35">
      <c r="B50" s="42" t="s">
        <v>14</v>
      </c>
      <c r="C50" s="13" t="s">
        <v>157</v>
      </c>
      <c r="D50" s="13" t="s">
        <v>162</v>
      </c>
      <c r="E50" s="13" t="s">
        <v>163</v>
      </c>
      <c r="F50" s="79">
        <f t="shared" si="32"/>
        <v>921.10861</v>
      </c>
      <c r="G50" s="79">
        <f t="shared" si="33"/>
        <v>736.886888</v>
      </c>
      <c r="H50" s="79">
        <f t="shared" si="34"/>
        <v>552.665166</v>
      </c>
      <c r="I50" s="12">
        <v>1</v>
      </c>
      <c r="P50" s="82" t="s">
        <v>14</v>
      </c>
      <c r="Q50" s="82" t="s">
        <v>157</v>
      </c>
      <c r="R50" s="83">
        <v>4004.2019399999999</v>
      </c>
      <c r="S50" s="83">
        <v>921.10861</v>
      </c>
      <c r="T50" s="83">
        <v>921.71306000000004</v>
      </c>
      <c r="U50" s="83">
        <v>804.29801099999997</v>
      </c>
      <c r="V50" s="83">
        <v>80.567813387000001</v>
      </c>
      <c r="W50" s="83">
        <v>-6.7318150000000004E-3</v>
      </c>
      <c r="X50" s="83">
        <v>-9.5627260000000006E-3</v>
      </c>
      <c r="Y50" s="83">
        <v>-6.3963470000000001E-3</v>
      </c>
      <c r="Z50" s="83">
        <v>-8.4119239999999994E-3</v>
      </c>
    </row>
    <row r="51" spans="2:26" ht="15" thickBot="1" x14ac:dyDescent="0.35">
      <c r="B51" s="42" t="s">
        <v>16</v>
      </c>
      <c r="C51" s="13" t="s">
        <v>157</v>
      </c>
      <c r="D51" s="13" t="s">
        <v>162</v>
      </c>
      <c r="E51" s="13" t="s">
        <v>163</v>
      </c>
      <c r="F51" s="79">
        <f t="shared" si="32"/>
        <v>47207.596769999996</v>
      </c>
      <c r="G51" s="79">
        <f t="shared" si="33"/>
        <v>37766.077416</v>
      </c>
      <c r="H51" s="79">
        <f t="shared" si="34"/>
        <v>28324.558061999996</v>
      </c>
      <c r="I51" s="12">
        <v>1</v>
      </c>
      <c r="P51" s="82" t="s">
        <v>16</v>
      </c>
      <c r="Q51" s="82" t="s">
        <v>157</v>
      </c>
      <c r="R51" s="83">
        <v>44783.17712</v>
      </c>
      <c r="S51" s="83">
        <v>47207.596769999996</v>
      </c>
      <c r="T51" s="83">
        <v>48670.471109999999</v>
      </c>
      <c r="U51" s="83">
        <v>177.447565</v>
      </c>
      <c r="V51" s="83">
        <v>105.076832744</v>
      </c>
      <c r="W51" s="83">
        <v>30.809335734000001</v>
      </c>
      <c r="X51" s="83">
        <v>97.201166504</v>
      </c>
      <c r="Y51" s="83">
        <v>172.097876031</v>
      </c>
      <c r="Z51" s="83">
        <v>172.07567520800001</v>
      </c>
    </row>
    <row r="52" spans="2:26" ht="15" thickBot="1" x14ac:dyDescent="0.35">
      <c r="B52" s="42" t="s">
        <v>17</v>
      </c>
      <c r="C52" s="13" t="s">
        <v>157</v>
      </c>
      <c r="D52" s="13" t="s">
        <v>162</v>
      </c>
      <c r="E52" s="13" t="s">
        <v>163</v>
      </c>
      <c r="F52" s="79">
        <f t="shared" si="32"/>
        <v>88918.39675</v>
      </c>
      <c r="G52" s="79">
        <f t="shared" si="33"/>
        <v>71134.717400000009</v>
      </c>
      <c r="H52" s="79">
        <f t="shared" si="34"/>
        <v>53351.038049999996</v>
      </c>
      <c r="I52" s="12">
        <v>1</v>
      </c>
      <c r="P52" s="82" t="s">
        <v>17</v>
      </c>
      <c r="Q52" s="82" t="s">
        <v>157</v>
      </c>
      <c r="R52" s="83">
        <v>89748.234410000005</v>
      </c>
      <c r="S52" s="83">
        <v>88918.39675</v>
      </c>
      <c r="T52" s="83">
        <v>89099.331030000001</v>
      </c>
      <c r="U52" s="83">
        <v>1476.8802410000001</v>
      </c>
      <c r="V52" s="83">
        <v>1455.9533386149999</v>
      </c>
      <c r="W52" s="83">
        <v>1394.442071403</v>
      </c>
      <c r="X52" s="83">
        <v>1463.8122016110001</v>
      </c>
      <c r="Y52" s="83">
        <v>1735.7281454480001</v>
      </c>
      <c r="Z52" s="83">
        <v>357.56192143999999</v>
      </c>
    </row>
    <row r="53" spans="2:26" ht="15" thickBot="1" x14ac:dyDescent="0.35">
      <c r="B53" s="42" t="s">
        <v>5</v>
      </c>
      <c r="C53" s="13" t="s">
        <v>157</v>
      </c>
      <c r="D53" s="13" t="s">
        <v>162</v>
      </c>
      <c r="E53" s="13" t="s">
        <v>163</v>
      </c>
      <c r="F53" s="79">
        <f t="shared" si="32"/>
        <v>16801.515579999999</v>
      </c>
      <c r="G53" s="79">
        <f t="shared" si="33"/>
        <v>13441.212464</v>
      </c>
      <c r="H53" s="79">
        <f t="shared" si="34"/>
        <v>10080.909347999999</v>
      </c>
      <c r="I53" s="12">
        <v>1</v>
      </c>
      <c r="P53" s="82" t="s">
        <v>5</v>
      </c>
      <c r="Q53" s="82" t="s">
        <v>157</v>
      </c>
      <c r="R53" s="83">
        <v>20076.373780000002</v>
      </c>
      <c r="S53" s="83">
        <v>16801.515579999999</v>
      </c>
      <c r="T53" s="83">
        <v>15441.58941</v>
      </c>
      <c r="U53" s="83">
        <v>4219.9105900000004</v>
      </c>
      <c r="V53" s="83">
        <v>689.33239372000003</v>
      </c>
      <c r="W53" s="83">
        <v>469.86565982399998</v>
      </c>
      <c r="X53" s="83">
        <v>267.03065886299999</v>
      </c>
      <c r="Y53" s="83">
        <v>267.04626303600003</v>
      </c>
      <c r="Z53" s="83">
        <v>267.08770164499998</v>
      </c>
    </row>
    <row r="54" spans="2:26" ht="15" thickBot="1" x14ac:dyDescent="0.35">
      <c r="B54" s="42" t="s">
        <v>18</v>
      </c>
      <c r="C54" s="13" t="s">
        <v>157</v>
      </c>
      <c r="D54" s="13" t="s">
        <v>162</v>
      </c>
      <c r="E54" s="13" t="s">
        <v>163</v>
      </c>
      <c r="F54" s="79">
        <f t="shared" si="32"/>
        <v>23675.214510000002</v>
      </c>
      <c r="G54" s="79">
        <f t="shared" si="33"/>
        <v>18940.171608000001</v>
      </c>
      <c r="H54" s="79">
        <f t="shared" si="34"/>
        <v>14205.128706000001</v>
      </c>
      <c r="I54" s="12">
        <v>1</v>
      </c>
      <c r="P54" s="82" t="s">
        <v>18</v>
      </c>
      <c r="Q54" s="82" t="s">
        <v>157</v>
      </c>
      <c r="R54" s="83">
        <v>23170.082849999999</v>
      </c>
      <c r="S54" s="83">
        <v>23675.214510000002</v>
      </c>
      <c r="T54" s="83">
        <v>24530.634290000002</v>
      </c>
      <c r="U54" s="83">
        <v>2709.6470960000001</v>
      </c>
      <c r="V54" s="83">
        <v>2421.5053726179999</v>
      </c>
      <c r="W54" s="83">
        <v>2262.2766203629999</v>
      </c>
      <c r="X54" s="83">
        <v>2862.0898379569999</v>
      </c>
      <c r="Y54" s="83">
        <v>-2.7905466E-2</v>
      </c>
      <c r="Z54" s="83">
        <v>-2.6219045E-2</v>
      </c>
    </row>
    <row r="55" spans="2:26" ht="15" thickBot="1" x14ac:dyDescent="0.35">
      <c r="B55" s="42" t="s">
        <v>19</v>
      </c>
      <c r="C55" s="13" t="s">
        <v>157</v>
      </c>
      <c r="D55" s="13" t="s">
        <v>162</v>
      </c>
      <c r="E55" s="13" t="s">
        <v>163</v>
      </c>
      <c r="F55" s="79">
        <f t="shared" si="32"/>
        <v>4637.1502200000004</v>
      </c>
      <c r="G55" s="79">
        <f t="shared" si="33"/>
        <v>3709.7201760000007</v>
      </c>
      <c r="H55" s="79">
        <f t="shared" si="34"/>
        <v>2782.2901320000001</v>
      </c>
      <c r="I55" s="12">
        <v>1</v>
      </c>
      <c r="P55" s="82" t="s">
        <v>19</v>
      </c>
      <c r="Q55" s="82" t="s">
        <v>157</v>
      </c>
      <c r="R55" s="83">
        <v>4618.1027899999999</v>
      </c>
      <c r="S55" s="83">
        <v>4637.1502200000004</v>
      </c>
      <c r="T55" s="83">
        <v>4812.0324499999997</v>
      </c>
      <c r="U55" s="83">
        <v>635.66484500000001</v>
      </c>
      <c r="V55" s="83">
        <v>635.76799788599999</v>
      </c>
      <c r="W55" s="83">
        <v>438.26228051099997</v>
      </c>
      <c r="X55" s="83">
        <v>196.91635763299999</v>
      </c>
      <c r="Y55" s="83">
        <v>229.23735427</v>
      </c>
      <c r="Z55" s="83">
        <v>238.43879343899999</v>
      </c>
    </row>
    <row r="56" spans="2:26" ht="15" thickBot="1" x14ac:dyDescent="0.35">
      <c r="B56" s="42" t="s">
        <v>25</v>
      </c>
      <c r="C56" s="13" t="s">
        <v>157</v>
      </c>
      <c r="D56" s="13" t="s">
        <v>162</v>
      </c>
      <c r="E56" s="13" t="s">
        <v>163</v>
      </c>
      <c r="F56" s="79">
        <f t="shared" si="32"/>
        <v>17294.74814</v>
      </c>
      <c r="G56" s="79">
        <f t="shared" si="33"/>
        <v>13835.798512000001</v>
      </c>
      <c r="H56" s="79">
        <f t="shared" si="34"/>
        <v>10376.848883999999</v>
      </c>
      <c r="I56" s="12">
        <v>1</v>
      </c>
      <c r="P56" s="82" t="s">
        <v>25</v>
      </c>
      <c r="Q56" s="82" t="s">
        <v>157</v>
      </c>
      <c r="R56" s="83">
        <v>17408.194350000002</v>
      </c>
      <c r="S56" s="83">
        <v>17294.74814</v>
      </c>
      <c r="T56" s="83">
        <v>18043.540679999998</v>
      </c>
      <c r="U56" s="83">
        <v>1068.6436670000001</v>
      </c>
      <c r="V56" s="83">
        <v>719.52028780399996</v>
      </c>
      <c r="W56" s="84" t="s">
        <v>158</v>
      </c>
      <c r="X56" s="83">
        <v>-2.0683416E-2</v>
      </c>
      <c r="Y56" s="83">
        <v>-2.1658673999999999E-2</v>
      </c>
      <c r="Z56" s="83">
        <v>-1.3516768E-2</v>
      </c>
    </row>
    <row r="57" spans="2:26" ht="15" thickBot="1" x14ac:dyDescent="0.35">
      <c r="B57" s="42" t="s">
        <v>15</v>
      </c>
      <c r="C57" s="13" t="s">
        <v>157</v>
      </c>
      <c r="D57" s="13" t="s">
        <v>162</v>
      </c>
      <c r="E57" s="13" t="s">
        <v>163</v>
      </c>
      <c r="F57" s="79">
        <f t="shared" si="32"/>
        <v>10570.943579999999</v>
      </c>
      <c r="G57" s="79">
        <f t="shared" si="33"/>
        <v>8456.7548640000005</v>
      </c>
      <c r="H57" s="79">
        <f t="shared" si="34"/>
        <v>6342.566147999999</v>
      </c>
      <c r="I57" s="12">
        <v>1</v>
      </c>
      <c r="P57" s="82" t="s">
        <v>15</v>
      </c>
      <c r="Q57" s="82" t="s">
        <v>157</v>
      </c>
      <c r="R57" s="83">
        <v>14220.37988</v>
      </c>
      <c r="S57" s="83">
        <v>10570.943579999999</v>
      </c>
      <c r="T57" s="83">
        <v>11244.744650000001</v>
      </c>
      <c r="U57" s="83">
        <v>302.73811499999999</v>
      </c>
      <c r="V57" s="83">
        <v>228.16233997399999</v>
      </c>
      <c r="W57" s="83">
        <v>185.42188385599999</v>
      </c>
      <c r="X57" s="83">
        <v>186.212566536</v>
      </c>
      <c r="Y57" s="83">
        <v>139.46637009</v>
      </c>
      <c r="Z57" s="83">
        <v>100.712249605</v>
      </c>
    </row>
    <row r="58" spans="2:26" ht="15" thickBot="1" x14ac:dyDescent="0.35">
      <c r="B58" s="42" t="s">
        <v>114</v>
      </c>
      <c r="C58" s="13" t="s">
        <v>157</v>
      </c>
      <c r="D58" s="13" t="s">
        <v>162</v>
      </c>
      <c r="E58" s="13" t="s">
        <v>163</v>
      </c>
      <c r="F58" s="79">
        <f t="shared" si="32"/>
        <v>159.86619999999999</v>
      </c>
      <c r="G58" s="79">
        <f t="shared" si="33"/>
        <v>127.89296</v>
      </c>
      <c r="H58" s="79">
        <f t="shared" si="34"/>
        <v>95.919719999999998</v>
      </c>
      <c r="I58" s="12">
        <v>1</v>
      </c>
      <c r="P58" s="82" t="s">
        <v>114</v>
      </c>
      <c r="Q58" s="82" t="s">
        <v>157</v>
      </c>
      <c r="R58" s="83">
        <v>61.926049999999996</v>
      </c>
      <c r="S58" s="83">
        <v>159.86619999999999</v>
      </c>
      <c r="T58" s="83">
        <v>40.825760000000002</v>
      </c>
      <c r="U58" s="83">
        <v>40.989072</v>
      </c>
      <c r="V58" s="83">
        <v>37.627830060000001</v>
      </c>
      <c r="W58" s="83">
        <v>38.152029089999999</v>
      </c>
      <c r="X58" s="83">
        <v>295.54311343400002</v>
      </c>
      <c r="Y58" s="83">
        <v>366.21244186199999</v>
      </c>
      <c r="Z58" s="83">
        <v>400.90863775000003</v>
      </c>
    </row>
    <row r="59" spans="2:26" ht="15" thickBot="1" x14ac:dyDescent="0.35">
      <c r="B59" s="42" t="s">
        <v>20</v>
      </c>
      <c r="C59" s="13" t="s">
        <v>157</v>
      </c>
      <c r="D59" s="13" t="s">
        <v>162</v>
      </c>
      <c r="E59" s="13" t="s">
        <v>163</v>
      </c>
      <c r="F59" s="79">
        <f t="shared" si="32"/>
        <v>110694.17874</v>
      </c>
      <c r="G59" s="79">
        <f t="shared" si="33"/>
        <v>88555.342992000005</v>
      </c>
      <c r="H59" s="79">
        <f t="shared" si="34"/>
        <v>66416.507243999993</v>
      </c>
      <c r="I59" s="12">
        <v>1</v>
      </c>
      <c r="P59" s="82" t="s">
        <v>20</v>
      </c>
      <c r="Q59" s="82" t="s">
        <v>157</v>
      </c>
      <c r="R59" s="83">
        <v>120540.63623</v>
      </c>
      <c r="S59" s="83">
        <v>110694.17874</v>
      </c>
      <c r="T59" s="83">
        <v>111654.44235</v>
      </c>
      <c r="U59" s="83">
        <v>7788.1293240000005</v>
      </c>
      <c r="V59" s="83">
        <v>3247.115933905</v>
      </c>
      <c r="W59" s="83">
        <v>3557.2389478959999</v>
      </c>
      <c r="X59" s="83">
        <v>5808.8549420259997</v>
      </c>
      <c r="Y59" s="83">
        <v>4495.1662850840003</v>
      </c>
      <c r="Z59" s="83">
        <v>4546.9345544199996</v>
      </c>
    </row>
    <row r="60" spans="2:26" ht="15" thickBot="1" x14ac:dyDescent="0.35">
      <c r="B60" s="42" t="s">
        <v>23</v>
      </c>
      <c r="C60" s="13" t="s">
        <v>157</v>
      </c>
      <c r="D60" s="13" t="s">
        <v>162</v>
      </c>
      <c r="E60" s="13" t="s">
        <v>163</v>
      </c>
      <c r="F60" s="79">
        <f t="shared" si="32"/>
        <v>4008.0291000000002</v>
      </c>
      <c r="G60" s="79">
        <f t="shared" si="33"/>
        <v>3206.4232800000004</v>
      </c>
      <c r="H60" s="79">
        <f t="shared" si="34"/>
        <v>2404.8174600000002</v>
      </c>
      <c r="I60" s="12">
        <v>1</v>
      </c>
      <c r="P60" s="82" t="s">
        <v>23</v>
      </c>
      <c r="Q60" s="82" t="s">
        <v>157</v>
      </c>
      <c r="R60" s="83">
        <v>4236.0328799999997</v>
      </c>
      <c r="S60" s="83">
        <v>4008.0291000000002</v>
      </c>
      <c r="T60" s="83">
        <v>4418.4519600000003</v>
      </c>
      <c r="U60" s="83">
        <v>1078.0785020000001</v>
      </c>
      <c r="V60" s="83">
        <v>270.32423498200001</v>
      </c>
      <c r="W60" s="83">
        <v>272.23032586400001</v>
      </c>
      <c r="X60" s="83">
        <v>97.020088927000003</v>
      </c>
      <c r="Y60" s="83">
        <v>-7.1821840000000003E-3</v>
      </c>
      <c r="Z60" s="83">
        <v>-1.0039953000000001E-2</v>
      </c>
    </row>
    <row r="61" spans="2:26" ht="15" thickBot="1" x14ac:dyDescent="0.35">
      <c r="B61" s="42" t="s">
        <v>24</v>
      </c>
      <c r="C61" s="13" t="s">
        <v>157</v>
      </c>
      <c r="D61" s="13" t="s">
        <v>162</v>
      </c>
      <c r="E61" s="13" t="s">
        <v>163</v>
      </c>
      <c r="F61" s="79">
        <f t="shared" si="32"/>
        <v>1192.9110000000001</v>
      </c>
      <c r="G61" s="79">
        <f t="shared" si="33"/>
        <v>954.32880000000011</v>
      </c>
      <c r="H61" s="79">
        <f t="shared" si="34"/>
        <v>715.74660000000006</v>
      </c>
      <c r="I61" s="12">
        <v>1</v>
      </c>
      <c r="P61" s="82" t="s">
        <v>24</v>
      </c>
      <c r="Q61" s="82" t="s">
        <v>157</v>
      </c>
      <c r="R61" s="83">
        <v>1194.2037600000001</v>
      </c>
      <c r="S61" s="83">
        <v>1192.9110000000001</v>
      </c>
      <c r="T61" s="83">
        <v>1145.1739500000001</v>
      </c>
      <c r="U61" s="83">
        <v>449.49504000000002</v>
      </c>
      <c r="V61" s="83">
        <v>81.018818654</v>
      </c>
      <c r="W61" s="83">
        <v>84.891353219999999</v>
      </c>
      <c r="X61" s="83">
        <v>62.149986445000003</v>
      </c>
      <c r="Y61" s="83">
        <v>54.419210343000003</v>
      </c>
      <c r="Z61" s="83">
        <v>49.141172838000003</v>
      </c>
    </row>
    <row r="62" spans="2:26" ht="15" thickBot="1" x14ac:dyDescent="0.35">
      <c r="B62" s="42" t="s">
        <v>22</v>
      </c>
      <c r="C62" s="13" t="s">
        <v>157</v>
      </c>
      <c r="D62" s="13" t="s">
        <v>162</v>
      </c>
      <c r="E62" s="13" t="s">
        <v>163</v>
      </c>
      <c r="F62" s="79">
        <f t="shared" si="32"/>
        <v>3011.11267</v>
      </c>
      <c r="G62" s="79">
        <f t="shared" si="33"/>
        <v>2408.890136</v>
      </c>
      <c r="H62" s="79">
        <f t="shared" si="34"/>
        <v>1806.667602</v>
      </c>
      <c r="I62" s="12">
        <v>1</v>
      </c>
      <c r="P62" s="82" t="s">
        <v>22</v>
      </c>
      <c r="Q62" s="82" t="s">
        <v>157</v>
      </c>
      <c r="R62" s="83">
        <v>3439.8273300000001</v>
      </c>
      <c r="S62" s="83">
        <v>3011.11267</v>
      </c>
      <c r="T62" s="83">
        <v>2916.8206300000002</v>
      </c>
      <c r="U62" s="83">
        <v>602.38006099999996</v>
      </c>
      <c r="V62" s="83">
        <v>21.399561840000001</v>
      </c>
      <c r="W62" s="83">
        <v>-7.9076930000000004E-3</v>
      </c>
      <c r="X62" s="83">
        <v>-7.7704230000000003E-3</v>
      </c>
      <c r="Y62" s="83">
        <v>-1.0920688E-2</v>
      </c>
      <c r="Z62" s="83">
        <v>-9.8661860000000007E-3</v>
      </c>
    </row>
    <row r="63" spans="2:26" ht="15" thickBot="1" x14ac:dyDescent="0.35">
      <c r="B63" s="42" t="s">
        <v>26</v>
      </c>
      <c r="C63" s="13" t="s">
        <v>157</v>
      </c>
      <c r="D63" s="13" t="s">
        <v>162</v>
      </c>
      <c r="E63" s="13" t="s">
        <v>163</v>
      </c>
      <c r="F63" s="79">
        <f t="shared" si="32"/>
        <v>1808.2927</v>
      </c>
      <c r="G63" s="79">
        <f t="shared" si="33"/>
        <v>1446.6341600000001</v>
      </c>
      <c r="H63" s="79">
        <f t="shared" si="34"/>
        <v>1084.9756199999999</v>
      </c>
      <c r="I63" s="12">
        <v>1</v>
      </c>
      <c r="P63" s="82" t="s">
        <v>26</v>
      </c>
      <c r="Q63" s="82" t="s">
        <v>157</v>
      </c>
      <c r="R63" s="83">
        <v>1536.9656500000001</v>
      </c>
      <c r="S63" s="83">
        <v>1808.2927</v>
      </c>
      <c r="T63" s="83">
        <v>2004.98884</v>
      </c>
      <c r="U63" s="83">
        <v>11.880903</v>
      </c>
      <c r="V63" s="83">
        <v>11.891287187</v>
      </c>
      <c r="W63" s="83">
        <v>11.98724636</v>
      </c>
      <c r="X63" s="83">
        <v>11.778591795000001</v>
      </c>
      <c r="Y63" s="83">
        <v>11.361782041</v>
      </c>
      <c r="Z63" s="83">
        <v>11.483883941</v>
      </c>
    </row>
    <row r="64" spans="2:26" ht="15" thickBot="1" x14ac:dyDescent="0.35">
      <c r="B64" s="42" t="s">
        <v>27</v>
      </c>
      <c r="C64" s="13" t="s">
        <v>157</v>
      </c>
      <c r="D64" s="13" t="s">
        <v>162</v>
      </c>
      <c r="E64" s="13" t="s">
        <v>163</v>
      </c>
      <c r="F64" s="79">
        <f t="shared" si="32"/>
        <v>42476.90713</v>
      </c>
      <c r="G64" s="79">
        <f t="shared" si="33"/>
        <v>33981.525704</v>
      </c>
      <c r="H64" s="79">
        <f t="shared" si="34"/>
        <v>25486.144278</v>
      </c>
      <c r="I64" s="12">
        <v>1</v>
      </c>
      <c r="P64" s="82" t="s">
        <v>27</v>
      </c>
      <c r="Q64" s="82" t="s">
        <v>157</v>
      </c>
      <c r="R64" s="83">
        <v>41005.954890000001</v>
      </c>
      <c r="S64" s="83">
        <v>42476.90713</v>
      </c>
      <c r="T64" s="83">
        <v>48295.539940000002</v>
      </c>
      <c r="U64" s="83">
        <v>15239.116711999999</v>
      </c>
      <c r="V64" s="83">
        <v>17233.983985027</v>
      </c>
      <c r="W64" s="83">
        <v>17735.441290134</v>
      </c>
      <c r="X64" s="83">
        <v>7898.9858743029999</v>
      </c>
      <c r="Y64" s="83">
        <v>4137.1063090480002</v>
      </c>
      <c r="Z64" s="83">
        <v>4347.9321156799997</v>
      </c>
    </row>
    <row r="65" spans="2:26" ht="15" thickBot="1" x14ac:dyDescent="0.35">
      <c r="B65" s="42" t="s">
        <v>34</v>
      </c>
      <c r="C65" s="13" t="s">
        <v>157</v>
      </c>
      <c r="D65" s="13" t="s">
        <v>162</v>
      </c>
      <c r="E65" s="13" t="s">
        <v>163</v>
      </c>
      <c r="F65" s="79">
        <f t="shared" si="32"/>
        <v>642.01877999999999</v>
      </c>
      <c r="G65" s="79">
        <f t="shared" si="33"/>
        <v>513.61502400000006</v>
      </c>
      <c r="H65" s="79">
        <f t="shared" si="34"/>
        <v>385.21126799999996</v>
      </c>
      <c r="I65" s="12">
        <v>1</v>
      </c>
      <c r="P65" s="82" t="s">
        <v>34</v>
      </c>
      <c r="Q65" s="82" t="s">
        <v>157</v>
      </c>
      <c r="R65" s="83">
        <v>904.85762999999997</v>
      </c>
      <c r="S65" s="83">
        <v>642.01877999999999</v>
      </c>
      <c r="T65" s="83">
        <v>363.57436999999999</v>
      </c>
      <c r="U65" s="83">
        <v>253.947474</v>
      </c>
      <c r="V65" s="83">
        <v>399.46414263399998</v>
      </c>
      <c r="W65" s="83">
        <v>2142.0975452419998</v>
      </c>
      <c r="X65" s="83">
        <v>1993.272299432</v>
      </c>
      <c r="Y65" s="83">
        <v>1549.901181061</v>
      </c>
      <c r="Z65" s="83">
        <v>466.855676899</v>
      </c>
    </row>
    <row r="66" spans="2:26" ht="15" thickBot="1" x14ac:dyDescent="0.35">
      <c r="B66" s="42" t="s">
        <v>29</v>
      </c>
      <c r="C66" s="13" t="s">
        <v>157</v>
      </c>
      <c r="D66" s="13" t="s">
        <v>162</v>
      </c>
      <c r="E66" s="13" t="s">
        <v>163</v>
      </c>
      <c r="F66" s="79">
        <f t="shared" si="32"/>
        <v>187798.28090000001</v>
      </c>
      <c r="G66" s="79">
        <f t="shared" si="33"/>
        <v>150238.62472000002</v>
      </c>
      <c r="H66" s="79">
        <f t="shared" si="34"/>
        <v>112678.96854</v>
      </c>
      <c r="I66" s="12">
        <v>1</v>
      </c>
      <c r="P66" s="82" t="s">
        <v>29</v>
      </c>
      <c r="Q66" s="82" t="s">
        <v>157</v>
      </c>
      <c r="R66" s="83">
        <v>192099.86444</v>
      </c>
      <c r="S66" s="83">
        <v>187798.28090000001</v>
      </c>
      <c r="T66" s="83">
        <v>189764.23131999999</v>
      </c>
      <c r="U66" s="83">
        <v>36692.816575999997</v>
      </c>
      <c r="V66" s="83">
        <v>24552.171794933001</v>
      </c>
      <c r="W66" s="83">
        <v>23266.253055131001</v>
      </c>
      <c r="X66" s="83">
        <v>8038.2425461120001</v>
      </c>
      <c r="Y66" s="83">
        <v>190.86198819000001</v>
      </c>
      <c r="Z66" s="83">
        <v>-9.9936209999999994E-3</v>
      </c>
    </row>
    <row r="67" spans="2:26" ht="15" thickBot="1" x14ac:dyDescent="0.35">
      <c r="B67" s="42" t="s">
        <v>30</v>
      </c>
      <c r="C67" s="13" t="s">
        <v>157</v>
      </c>
      <c r="D67" s="13" t="s">
        <v>162</v>
      </c>
      <c r="E67" s="13" t="s">
        <v>163</v>
      </c>
      <c r="F67" s="79">
        <f t="shared" si="32"/>
        <v>9448.7705000000005</v>
      </c>
      <c r="G67" s="79">
        <f t="shared" si="33"/>
        <v>7559.0164000000004</v>
      </c>
      <c r="H67" s="79">
        <f t="shared" si="34"/>
        <v>5669.2623000000003</v>
      </c>
      <c r="I67" s="12">
        <v>1</v>
      </c>
      <c r="P67" s="82" t="s">
        <v>30</v>
      </c>
      <c r="Q67" s="82" t="s">
        <v>157</v>
      </c>
      <c r="R67" s="83">
        <v>9184.1734799999995</v>
      </c>
      <c r="S67" s="83">
        <v>9448.7705000000005</v>
      </c>
      <c r="T67" s="83">
        <v>9633.1080099999999</v>
      </c>
      <c r="U67" s="83">
        <v>62.027002000000003</v>
      </c>
      <c r="V67" s="83">
        <v>62.705984999999998</v>
      </c>
      <c r="W67" s="83">
        <v>61.766061731999997</v>
      </c>
      <c r="X67" s="83">
        <v>604.337984807</v>
      </c>
      <c r="Y67" s="83">
        <v>542.96863404700002</v>
      </c>
      <c r="Z67" s="83">
        <v>542.96862465799995</v>
      </c>
    </row>
    <row r="68" spans="2:26" ht="15" thickBot="1" x14ac:dyDescent="0.35">
      <c r="B68" s="42" t="s">
        <v>31</v>
      </c>
      <c r="C68" s="13" t="s">
        <v>157</v>
      </c>
      <c r="D68" s="13" t="s">
        <v>162</v>
      </c>
      <c r="E68" s="13" t="s">
        <v>163</v>
      </c>
      <c r="F68" s="79">
        <f t="shared" si="32"/>
        <v>32239.70464</v>
      </c>
      <c r="G68" s="79">
        <f t="shared" si="33"/>
        <v>25791.763712</v>
      </c>
      <c r="H68" s="79">
        <f t="shared" si="34"/>
        <v>19343.822784</v>
      </c>
      <c r="I68" s="12">
        <v>1</v>
      </c>
      <c r="P68" s="82" t="s">
        <v>31</v>
      </c>
      <c r="Q68" s="82" t="s">
        <v>157</v>
      </c>
      <c r="R68" s="83">
        <v>32647.010699999999</v>
      </c>
      <c r="S68" s="83">
        <v>32239.70464</v>
      </c>
      <c r="T68" s="83">
        <v>32887.230109999997</v>
      </c>
      <c r="U68" s="83">
        <v>5152.3462820000004</v>
      </c>
      <c r="V68" s="83">
        <v>4980.8438476390002</v>
      </c>
      <c r="W68" s="83">
        <v>4318.4134806700004</v>
      </c>
      <c r="X68" s="83">
        <v>139.98120234699999</v>
      </c>
      <c r="Y68" s="83">
        <v>-2.0981610000000001E-2</v>
      </c>
      <c r="Z68" s="83">
        <v>-1.9475480999999999E-2</v>
      </c>
    </row>
    <row r="69" spans="2:26" ht="15" thickBot="1" x14ac:dyDescent="0.35">
      <c r="B69" s="42" t="s">
        <v>33</v>
      </c>
      <c r="C69" s="13" t="s">
        <v>157</v>
      </c>
      <c r="D69" s="13" t="s">
        <v>162</v>
      </c>
      <c r="E69" s="13" t="s">
        <v>163</v>
      </c>
      <c r="F69" s="79">
        <f t="shared" si="32"/>
        <v>4355.0764900000004</v>
      </c>
      <c r="G69" s="79">
        <f t="shared" si="33"/>
        <v>3484.0611920000006</v>
      </c>
      <c r="H69" s="79">
        <f t="shared" si="34"/>
        <v>2613.0458940000003</v>
      </c>
      <c r="I69" s="12">
        <v>1</v>
      </c>
      <c r="P69" s="82" t="s">
        <v>33</v>
      </c>
      <c r="Q69" s="82" t="s">
        <v>157</v>
      </c>
      <c r="R69" s="83">
        <v>6198.27412</v>
      </c>
      <c r="S69" s="83">
        <v>4355.0764900000004</v>
      </c>
      <c r="T69" s="83">
        <v>4366.2508500000004</v>
      </c>
      <c r="U69" s="83">
        <v>883.44147299999997</v>
      </c>
      <c r="V69" s="83">
        <v>686.54116612600001</v>
      </c>
      <c r="W69" s="83">
        <v>688.65549169099995</v>
      </c>
      <c r="X69" s="83">
        <v>2056.7492763619998</v>
      </c>
      <c r="Y69" s="83">
        <v>-1.4389648E-2</v>
      </c>
      <c r="Z69" s="83">
        <v>165.428468256</v>
      </c>
    </row>
    <row r="70" spans="2:26" ht="15" thickBot="1" x14ac:dyDescent="0.35">
      <c r="B70" s="42" t="s">
        <v>32</v>
      </c>
      <c r="C70" s="13" t="s">
        <v>157</v>
      </c>
      <c r="D70" s="13" t="s">
        <v>162</v>
      </c>
      <c r="E70" s="13" t="s">
        <v>163</v>
      </c>
      <c r="F70" s="79">
        <f t="shared" si="32"/>
        <v>7122.7871699999996</v>
      </c>
      <c r="G70" s="79">
        <f t="shared" si="33"/>
        <v>5698.2297360000002</v>
      </c>
      <c r="H70" s="79">
        <f t="shared" si="34"/>
        <v>4273.6723019999999</v>
      </c>
      <c r="I70" s="12">
        <v>1</v>
      </c>
      <c r="P70" s="82" t="s">
        <v>32</v>
      </c>
      <c r="Q70" s="82" t="s">
        <v>157</v>
      </c>
      <c r="R70" s="83">
        <v>7168.2622600000004</v>
      </c>
      <c r="S70" s="83">
        <v>7122.7871699999996</v>
      </c>
      <c r="T70" s="83">
        <v>7110.8354099999997</v>
      </c>
      <c r="U70" s="83">
        <v>1985.2954560000001</v>
      </c>
      <c r="V70" s="83">
        <v>437.58532287600002</v>
      </c>
      <c r="W70" s="83">
        <v>430.11953817300002</v>
      </c>
      <c r="X70" s="83">
        <v>598.14843690600003</v>
      </c>
      <c r="Y70" s="83">
        <v>472.65280261300001</v>
      </c>
      <c r="Z70" s="83">
        <v>472.04963909600002</v>
      </c>
    </row>
    <row r="71" spans="2:26" ht="15" thickBot="1" x14ac:dyDescent="0.35">
      <c r="B71" s="42" t="s">
        <v>115</v>
      </c>
      <c r="C71" s="13" t="s">
        <v>157</v>
      </c>
      <c r="D71" s="13" t="s">
        <v>162</v>
      </c>
      <c r="E71" s="13" t="s">
        <v>163</v>
      </c>
      <c r="F71" s="79">
        <f t="shared" si="32"/>
        <v>3588.33275</v>
      </c>
      <c r="G71" s="79">
        <f t="shared" si="33"/>
        <v>2870.6662000000001</v>
      </c>
      <c r="H71" s="79">
        <f t="shared" si="34"/>
        <v>2152.9996499999997</v>
      </c>
      <c r="I71" s="12">
        <v>1</v>
      </c>
      <c r="P71" s="82" t="s">
        <v>115</v>
      </c>
      <c r="Q71" s="82" t="s">
        <v>157</v>
      </c>
      <c r="R71" s="83">
        <v>4927.9142599999996</v>
      </c>
      <c r="S71" s="83">
        <v>3588.33275</v>
      </c>
      <c r="T71" s="83">
        <v>2312.2954599999998</v>
      </c>
      <c r="U71" s="83">
        <v>746.27583600000003</v>
      </c>
      <c r="V71" s="83">
        <v>563.53656390000003</v>
      </c>
      <c r="W71" s="83">
        <v>1333.6780269379999</v>
      </c>
      <c r="X71" s="83">
        <v>610.06863348100001</v>
      </c>
      <c r="Y71" s="83">
        <v>-1.2679688E-2</v>
      </c>
      <c r="Z71" s="83">
        <v>67.774431010000001</v>
      </c>
    </row>
    <row r="72" spans="2:26" ht="15" thickBot="1" x14ac:dyDescent="0.35">
      <c r="B72" s="42" t="s">
        <v>35</v>
      </c>
      <c r="C72" s="13" t="s">
        <v>157</v>
      </c>
      <c r="D72" s="13" t="s">
        <v>162</v>
      </c>
      <c r="E72" s="13" t="s">
        <v>163</v>
      </c>
      <c r="F72" s="79">
        <f t="shared" si="32"/>
        <v>93645.632530000003</v>
      </c>
      <c r="G72" s="79">
        <f t="shared" si="33"/>
        <v>74916.506024000002</v>
      </c>
      <c r="H72" s="79">
        <f t="shared" si="34"/>
        <v>56187.379518000002</v>
      </c>
      <c r="I72" s="12">
        <v>1</v>
      </c>
      <c r="P72" s="82" t="s">
        <v>35</v>
      </c>
      <c r="Q72" s="82" t="s">
        <v>157</v>
      </c>
      <c r="R72" s="83">
        <v>105874.39146</v>
      </c>
      <c r="S72" s="83">
        <v>93645.632530000003</v>
      </c>
      <c r="T72" s="83">
        <v>90399.287100000001</v>
      </c>
      <c r="U72" s="83">
        <v>7487.6611389999998</v>
      </c>
      <c r="V72" s="83">
        <v>6824.8022642220003</v>
      </c>
      <c r="W72" s="83">
        <v>6738.329774494</v>
      </c>
      <c r="X72" s="83">
        <v>6834.6404801549998</v>
      </c>
      <c r="Y72" s="83">
        <v>3016.5611440030002</v>
      </c>
      <c r="Z72" s="83">
        <v>3082.316001312</v>
      </c>
    </row>
    <row r="73" spans="2:26" x14ac:dyDescent="0.3">
      <c r="P73" s="86" t="s">
        <v>159</v>
      </c>
      <c r="Q73" s="86" t="s">
        <v>160</v>
      </c>
      <c r="R73" s="78">
        <f>SUM(R42:R72)/1000</f>
        <v>1177.19937052</v>
      </c>
      <c r="S73" s="78">
        <f t="shared" ref="S73:Y73" si="35">SUM(S42:S72)/1000</f>
        <v>1059.4838048999998</v>
      </c>
      <c r="T73" s="78">
        <f t="shared" si="35"/>
        <v>1003.9759134</v>
      </c>
      <c r="U73" s="78">
        <f t="shared" si="35"/>
        <v>158.26570792700002</v>
      </c>
      <c r="V73" s="78">
        <f t="shared" si="35"/>
        <v>110.25709007530098</v>
      </c>
      <c r="W73" s="78">
        <f t="shared" si="35"/>
        <v>100.201812493378</v>
      </c>
      <c r="X73" s="78">
        <f t="shared" si="35"/>
        <v>64.565585118737005</v>
      </c>
      <c r="Y73" s="78">
        <f t="shared" si="35"/>
        <v>37.127432839948007</v>
      </c>
      <c r="Z73" s="78">
        <f>SUM(Z42:Z72)/1000</f>
        <v>35.236714752240999</v>
      </c>
    </row>
    <row r="74" spans="2:26" x14ac:dyDescent="0.3">
      <c r="P74" s="86" t="s">
        <v>161</v>
      </c>
      <c r="Q74" s="86" t="s">
        <v>160</v>
      </c>
      <c r="R74" s="78">
        <f>(SUM(R42:R71)-R65-R58-R45)/1000</f>
        <v>1070.2932926600004</v>
      </c>
      <c r="S74" s="78">
        <f t="shared" ref="S74:Z74" si="36">(SUM(S42:S71)-S65-S58-S45)/1000</f>
        <v>964.9713842299999</v>
      </c>
      <c r="T74" s="78">
        <f t="shared" si="36"/>
        <v>913.17222616999993</v>
      </c>
      <c r="U74" s="78">
        <f t="shared" si="36"/>
        <v>150.48140698400002</v>
      </c>
      <c r="V74" s="78">
        <f t="shared" si="36"/>
        <v>102.99518240700299</v>
      </c>
      <c r="W74" s="78">
        <f t="shared" si="36"/>
        <v>91.283219743568011</v>
      </c>
      <c r="X74" s="78">
        <f t="shared" si="36"/>
        <v>55.442122039862994</v>
      </c>
      <c r="Y74" s="78">
        <f t="shared" si="36"/>
        <v>32.194748587197012</v>
      </c>
      <c r="Z74" s="78">
        <f t="shared" si="36"/>
        <v>31.286626864252</v>
      </c>
    </row>
    <row r="75" spans="2:26" x14ac:dyDescent="0.3">
      <c r="F75" s="78">
        <f>SUM(F42:F72)/1000</f>
        <v>1059.4838048999998</v>
      </c>
      <c r="G75" s="78">
        <f t="shared" ref="G75:H75" si="37">SUM(G42:G72)/1000</f>
        <v>847.58704392000004</v>
      </c>
      <c r="H75" s="78">
        <f t="shared" si="37"/>
        <v>635.69028293999986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2ED5-2DB8-436E-8D39-FFF72C724C48}">
  <dimension ref="A1:K10"/>
  <sheetViews>
    <sheetView workbookViewId="0">
      <selection activeCell="D27" sqref="D27"/>
    </sheetView>
  </sheetViews>
  <sheetFormatPr defaultRowHeight="14.4" x14ac:dyDescent="0.3"/>
  <cols>
    <col min="3" max="3" width="12.44140625" customWidth="1"/>
    <col min="4" max="4" width="15.6640625" customWidth="1"/>
  </cols>
  <sheetData>
    <row r="1" spans="1:11" x14ac:dyDescent="0.3">
      <c r="A1" s="1"/>
      <c r="B1" s="2"/>
      <c r="C1" s="2"/>
      <c r="D1" s="1"/>
      <c r="E1" s="2"/>
      <c r="F1" s="2"/>
      <c r="G1" s="2"/>
      <c r="H1" s="2"/>
      <c r="I1" s="3"/>
      <c r="J1" s="2"/>
      <c r="K1" s="2"/>
    </row>
    <row r="2" spans="1:11" x14ac:dyDescent="0.3">
      <c r="A2" s="1"/>
      <c r="B2" s="4" t="s">
        <v>0</v>
      </c>
      <c r="C2" s="5"/>
      <c r="D2" s="5"/>
      <c r="E2" s="5"/>
      <c r="F2" s="5"/>
      <c r="G2" s="6"/>
      <c r="H2" s="2"/>
      <c r="I2" s="2"/>
      <c r="J2" s="2"/>
      <c r="K2" s="2"/>
    </row>
    <row r="3" spans="1:11" ht="15" thickBot="1" x14ac:dyDescent="0.35">
      <c r="A3" s="2"/>
      <c r="B3" s="7" t="s">
        <v>1</v>
      </c>
      <c r="C3" s="8" t="s">
        <v>2</v>
      </c>
      <c r="D3" s="7" t="s">
        <v>3</v>
      </c>
      <c r="E3" s="7" t="s">
        <v>4</v>
      </c>
      <c r="F3" s="9">
        <v>2010</v>
      </c>
      <c r="G3" s="9">
        <v>2015</v>
      </c>
      <c r="H3" s="10">
        <v>2020</v>
      </c>
      <c r="I3" s="10">
        <v>2025</v>
      </c>
      <c r="J3" s="10">
        <v>2030</v>
      </c>
      <c r="K3" s="11">
        <v>0</v>
      </c>
    </row>
    <row r="4" spans="1:11" x14ac:dyDescent="0.3">
      <c r="A4" s="2"/>
      <c r="B4" s="16" t="s">
        <v>36</v>
      </c>
      <c r="C4" s="17" t="s">
        <v>38</v>
      </c>
      <c r="D4" s="17" t="s">
        <v>6</v>
      </c>
      <c r="E4" s="17" t="s">
        <v>8</v>
      </c>
      <c r="F4" s="16"/>
      <c r="G4" s="18"/>
      <c r="H4" s="18"/>
      <c r="I4" s="16">
        <v>0</v>
      </c>
      <c r="J4" s="16">
        <v>0</v>
      </c>
      <c r="K4" s="16">
        <v>5</v>
      </c>
    </row>
    <row r="5" spans="1:11" x14ac:dyDescent="0.3">
      <c r="A5" s="2"/>
      <c r="B5" s="16" t="s">
        <v>36</v>
      </c>
      <c r="C5" s="17" t="s">
        <v>37</v>
      </c>
      <c r="D5" s="17" t="s">
        <v>6</v>
      </c>
      <c r="E5" s="17" t="s">
        <v>8</v>
      </c>
      <c r="F5" s="16"/>
      <c r="G5" s="18"/>
      <c r="H5" s="18"/>
      <c r="I5" s="16"/>
      <c r="J5" s="16">
        <v>1</v>
      </c>
      <c r="K5" s="16">
        <v>5</v>
      </c>
    </row>
    <row r="6" spans="1:11" x14ac:dyDescent="0.3">
      <c r="A6" s="2"/>
    </row>
    <row r="7" spans="1:11" x14ac:dyDescent="0.3">
      <c r="A7" s="2"/>
    </row>
    <row r="8" spans="1:11" x14ac:dyDescent="0.3">
      <c r="A8" s="2"/>
    </row>
    <row r="9" spans="1:11" x14ac:dyDescent="0.3">
      <c r="A9" s="2"/>
      <c r="B9" s="2"/>
      <c r="C9" s="5"/>
      <c r="D9" s="5"/>
      <c r="E9" s="5"/>
      <c r="F9" s="2"/>
      <c r="G9" s="19"/>
      <c r="H9" s="19"/>
      <c r="I9" s="2"/>
      <c r="J9" s="2"/>
      <c r="K9" s="2"/>
    </row>
    <row r="10" spans="1:11" x14ac:dyDescent="0.3">
      <c r="A10" s="2"/>
      <c r="B10" s="2"/>
      <c r="C10" s="5"/>
      <c r="D10" s="5"/>
      <c r="E10" s="5"/>
      <c r="F10" s="2"/>
      <c r="G10" s="19"/>
      <c r="H10" s="19"/>
      <c r="I10" s="2"/>
      <c r="J10" s="2"/>
      <c r="K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8FDF-DFBC-4C9D-A8B0-66175A497983}">
  <dimension ref="A1:Y64"/>
  <sheetViews>
    <sheetView workbookViewId="0">
      <selection activeCell="D20" sqref="D20"/>
    </sheetView>
  </sheetViews>
  <sheetFormatPr defaultRowHeight="14.4" x14ac:dyDescent="0.3"/>
  <cols>
    <col min="2" max="2" width="13.33203125" customWidth="1"/>
    <col min="3" max="3" width="14.6640625" customWidth="1"/>
    <col min="4" max="4" width="20" customWidth="1"/>
    <col min="8" max="8" width="12.6640625" customWidth="1"/>
    <col min="9" max="9" width="10.33203125" customWidth="1"/>
    <col min="15" max="15" width="23.33203125" customWidth="1"/>
    <col min="16" max="19" width="9.88671875" bestFit="1" customWidth="1"/>
  </cols>
  <sheetData>
    <row r="1" spans="1:25" x14ac:dyDescent="0.3">
      <c r="A1" s="20"/>
      <c r="B1" s="20"/>
      <c r="C1" s="20"/>
      <c r="D1" s="20"/>
      <c r="E1" s="20"/>
      <c r="F1" s="20"/>
      <c r="G1" s="20"/>
      <c r="H1" s="3"/>
      <c r="I1" s="3"/>
      <c r="J1" s="20"/>
      <c r="K1" s="2"/>
      <c r="L1" s="2"/>
    </row>
    <row r="2" spans="1:25" x14ac:dyDescent="0.3">
      <c r="A2" s="2"/>
      <c r="B2" s="20"/>
      <c r="C2" s="2"/>
      <c r="D2" s="2"/>
      <c r="E2" s="2"/>
      <c r="F2" s="2"/>
      <c r="G2" s="2"/>
      <c r="J2" s="2"/>
      <c r="K2" s="2"/>
      <c r="L2" s="2"/>
    </row>
    <row r="3" spans="1: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O3" s="27" t="s">
        <v>45</v>
      </c>
      <c r="P3" s="27"/>
      <c r="Q3" s="27"/>
      <c r="R3" s="27"/>
      <c r="S3" s="27"/>
    </row>
    <row r="4" spans="1:25" x14ac:dyDescent="0.3">
      <c r="A4" s="20"/>
      <c r="B4" s="4" t="s">
        <v>0</v>
      </c>
      <c r="C4" s="5"/>
      <c r="D4" s="5"/>
      <c r="E4" s="5"/>
      <c r="F4" s="5"/>
      <c r="G4" s="21"/>
      <c r="H4" s="21"/>
      <c r="I4" s="21"/>
      <c r="J4" s="21"/>
      <c r="K4" s="2"/>
      <c r="L4" s="2"/>
      <c r="O4" s="28"/>
      <c r="P4" s="29" t="s">
        <v>42</v>
      </c>
      <c r="Q4" s="27" t="s">
        <v>43</v>
      </c>
      <c r="R4" s="27" t="s">
        <v>44</v>
      </c>
      <c r="S4" s="27"/>
    </row>
    <row r="5" spans="1:25" x14ac:dyDescent="0.3">
      <c r="A5" s="20"/>
      <c r="B5" s="26" t="s">
        <v>1</v>
      </c>
      <c r="C5" s="26" t="s">
        <v>2</v>
      </c>
      <c r="D5" s="26" t="s">
        <v>3</v>
      </c>
      <c r="E5" s="26" t="s">
        <v>4</v>
      </c>
      <c r="F5" s="24">
        <v>2010</v>
      </c>
      <c r="G5" s="24">
        <v>2015</v>
      </c>
      <c r="H5" s="25">
        <v>2020</v>
      </c>
      <c r="I5" s="24">
        <v>2025</v>
      </c>
      <c r="J5" s="25">
        <v>2030</v>
      </c>
      <c r="K5" s="25">
        <v>2040</v>
      </c>
      <c r="L5" s="25">
        <v>2050</v>
      </c>
      <c r="M5" s="25">
        <v>0</v>
      </c>
      <c r="O5" s="30">
        <v>2010</v>
      </c>
      <c r="P5" s="31">
        <v>41786</v>
      </c>
      <c r="Q5" s="27">
        <f>P5/1000</f>
        <v>41.786000000000001</v>
      </c>
      <c r="R5" s="27">
        <f>Q5*3.6</f>
        <v>150.42960000000002</v>
      </c>
      <c r="S5" s="27"/>
    </row>
    <row r="6" spans="1:25" x14ac:dyDescent="0.3">
      <c r="A6" s="20"/>
      <c r="B6" s="22" t="s">
        <v>5</v>
      </c>
      <c r="C6" s="23" t="s">
        <v>39</v>
      </c>
      <c r="D6" s="13" t="s">
        <v>6</v>
      </c>
      <c r="E6" s="23" t="s">
        <v>8</v>
      </c>
      <c r="F6" s="23">
        <v>0</v>
      </c>
      <c r="G6" s="39"/>
      <c r="H6" s="23">
        <v>0</v>
      </c>
      <c r="I6" s="23"/>
      <c r="J6" s="23">
        <v>0</v>
      </c>
      <c r="K6" s="23">
        <v>0</v>
      </c>
      <c r="L6" s="23">
        <v>0</v>
      </c>
      <c r="M6" s="12">
        <v>5</v>
      </c>
      <c r="O6" s="30">
        <v>2015</v>
      </c>
      <c r="P6" s="31">
        <v>38507</v>
      </c>
      <c r="Q6" s="27">
        <f t="shared" ref="Q6:Q8" si="0">P6/1000</f>
        <v>38.506999999999998</v>
      </c>
      <c r="R6" s="27">
        <f t="shared" ref="R6:R8" si="1">Q6*3.6</f>
        <v>138.62520000000001</v>
      </c>
      <c r="S6" s="27"/>
    </row>
    <row r="7" spans="1:25" x14ac:dyDescent="0.3">
      <c r="A7" s="3"/>
      <c r="B7" s="22" t="s">
        <v>5</v>
      </c>
      <c r="C7" s="23" t="s">
        <v>40</v>
      </c>
      <c r="D7" s="13" t="s">
        <v>6</v>
      </c>
      <c r="E7" s="23" t="s">
        <v>8</v>
      </c>
      <c r="F7" s="23">
        <v>0</v>
      </c>
      <c r="G7" s="39"/>
      <c r="H7" s="23">
        <v>0</v>
      </c>
      <c r="I7" s="23"/>
      <c r="J7" s="23">
        <v>0</v>
      </c>
      <c r="K7" s="23">
        <v>0</v>
      </c>
      <c r="L7" s="23">
        <v>0</v>
      </c>
      <c r="M7" s="12">
        <v>5</v>
      </c>
      <c r="O7" s="30">
        <v>2019</v>
      </c>
      <c r="P7" s="31">
        <v>38850</v>
      </c>
      <c r="Q7" s="27">
        <f t="shared" si="0"/>
        <v>38.85</v>
      </c>
      <c r="R7" s="27">
        <f t="shared" si="1"/>
        <v>139.86000000000001</v>
      </c>
      <c r="S7" s="27"/>
    </row>
    <row r="8" spans="1:25" x14ac:dyDescent="0.3">
      <c r="A8" s="3"/>
      <c r="B8" s="22" t="s">
        <v>5</v>
      </c>
      <c r="C8" s="39" t="s">
        <v>41</v>
      </c>
      <c r="D8" s="13" t="s">
        <v>6</v>
      </c>
      <c r="E8" s="39" t="s">
        <v>7</v>
      </c>
      <c r="F8" s="15">
        <f>R5*0.99</f>
        <v>148.92530400000001</v>
      </c>
      <c r="G8" s="15">
        <f>R6*0.99</f>
        <v>137.23894799999999</v>
      </c>
      <c r="H8" s="15">
        <f>R7*0.99</f>
        <v>138.46140000000003</v>
      </c>
      <c r="I8" s="15">
        <f>R8*0.99</f>
        <v>117.46587600000001</v>
      </c>
      <c r="J8" s="39"/>
      <c r="K8" s="39"/>
      <c r="L8" s="39"/>
      <c r="M8" s="12">
        <v>1</v>
      </c>
      <c r="O8" s="30">
        <v>2023</v>
      </c>
      <c r="P8" s="31">
        <v>32959</v>
      </c>
      <c r="Q8" s="27">
        <f t="shared" si="0"/>
        <v>32.959000000000003</v>
      </c>
      <c r="R8" s="27">
        <f t="shared" si="1"/>
        <v>118.65240000000001</v>
      </c>
      <c r="S8" s="27"/>
    </row>
    <row r="9" spans="1:25" x14ac:dyDescent="0.3">
      <c r="B9" s="22" t="s">
        <v>5</v>
      </c>
      <c r="C9" s="39" t="s">
        <v>41</v>
      </c>
      <c r="D9" s="13" t="s">
        <v>6</v>
      </c>
      <c r="E9" s="39" t="s">
        <v>8</v>
      </c>
      <c r="F9" s="15">
        <f>R5*1.01</f>
        <v>151.93389600000003</v>
      </c>
      <c r="G9" s="15">
        <f>R6*1.01</f>
        <v>140.01145200000002</v>
      </c>
      <c r="H9" s="15">
        <f>R7*1.01</f>
        <v>141.2586</v>
      </c>
      <c r="I9" s="15">
        <f>R8*1.01</f>
        <v>119.83892400000002</v>
      </c>
      <c r="J9" s="39"/>
      <c r="K9" s="39"/>
      <c r="L9" s="39"/>
      <c r="M9" s="12">
        <v>1</v>
      </c>
      <c r="O9" s="27"/>
      <c r="P9" s="27"/>
      <c r="Q9" s="27"/>
      <c r="R9" s="27"/>
      <c r="S9" s="27"/>
    </row>
    <row r="10" spans="1:25" x14ac:dyDescent="0.3">
      <c r="B10" s="22" t="s">
        <v>5</v>
      </c>
      <c r="C10" s="39" t="s">
        <v>46</v>
      </c>
      <c r="D10" s="13" t="s">
        <v>6</v>
      </c>
      <c r="E10" s="39" t="s">
        <v>7</v>
      </c>
      <c r="F10" s="15">
        <f>(P$47+P$54)/1000*0.8</f>
        <v>227.304</v>
      </c>
      <c r="G10" s="15">
        <f t="shared" ref="G10:I10" si="2">(Q$47+Q$54)/1000*0.8</f>
        <v>127.85920000000002</v>
      </c>
      <c r="H10" s="15">
        <f t="shared" si="2"/>
        <v>118.104</v>
      </c>
      <c r="I10" s="15">
        <f t="shared" si="2"/>
        <v>58.676800000000007</v>
      </c>
      <c r="J10" s="39"/>
      <c r="K10" s="39"/>
      <c r="L10" s="39"/>
      <c r="M10" s="12">
        <v>1</v>
      </c>
      <c r="O10" s="27"/>
      <c r="P10" s="27"/>
      <c r="Q10" s="27"/>
      <c r="R10" s="27"/>
      <c r="S10" s="27"/>
    </row>
    <row r="11" spans="1:25" ht="13.95" customHeight="1" x14ac:dyDescent="0.3">
      <c r="B11" s="22" t="s">
        <v>5</v>
      </c>
      <c r="C11" s="39" t="s">
        <v>46</v>
      </c>
      <c r="D11" s="13" t="s">
        <v>6</v>
      </c>
      <c r="E11" s="39" t="s">
        <v>8</v>
      </c>
      <c r="F11" s="15">
        <f>(P$47+P$54)/1000*1</f>
        <v>284.13</v>
      </c>
      <c r="G11" s="15">
        <f>(Q$47+Q$54)/1000*1</f>
        <v>159.82400000000001</v>
      </c>
      <c r="H11" s="15">
        <f>(R$47+R$54)/1000*1</f>
        <v>147.63</v>
      </c>
      <c r="I11" s="15">
        <f>(S$47+S$54)/1000*1</f>
        <v>73.346000000000004</v>
      </c>
      <c r="J11" s="39">
        <v>10</v>
      </c>
      <c r="K11" s="39">
        <v>0</v>
      </c>
      <c r="L11" s="39">
        <v>0</v>
      </c>
      <c r="M11" s="12">
        <v>1</v>
      </c>
      <c r="O11" s="36" t="s">
        <v>47</v>
      </c>
      <c r="P11" s="36"/>
      <c r="Q11" s="36"/>
      <c r="R11" s="36"/>
      <c r="S11" s="36"/>
      <c r="U11" s="37" t="s">
        <v>106</v>
      </c>
    </row>
    <row r="12" spans="1:25" x14ac:dyDescent="0.3">
      <c r="B12" s="22" t="s">
        <v>5</v>
      </c>
      <c r="C12" s="39" t="s">
        <v>107</v>
      </c>
      <c r="D12" s="13" t="s">
        <v>6</v>
      </c>
      <c r="E12" s="39" t="s">
        <v>7</v>
      </c>
      <c r="F12" s="15">
        <v>0</v>
      </c>
      <c r="G12" s="15"/>
      <c r="H12" s="15"/>
      <c r="I12" s="15"/>
      <c r="J12" s="39"/>
      <c r="K12" s="39"/>
      <c r="L12" s="39">
        <v>0</v>
      </c>
      <c r="M12" s="12">
        <v>5</v>
      </c>
      <c r="O12" s="32"/>
      <c r="P12" s="33">
        <v>2010</v>
      </c>
      <c r="Q12" s="33">
        <v>2015</v>
      </c>
      <c r="R12" s="33">
        <v>2019</v>
      </c>
      <c r="S12" s="33" t="s">
        <v>48</v>
      </c>
      <c r="U12" s="32"/>
      <c r="V12" s="33">
        <v>2010</v>
      </c>
      <c r="W12" s="33">
        <v>2015</v>
      </c>
      <c r="X12" s="33">
        <v>2019</v>
      </c>
      <c r="Y12" s="33" t="s">
        <v>48</v>
      </c>
    </row>
    <row r="13" spans="1:25" x14ac:dyDescent="0.3">
      <c r="B13" s="22" t="s">
        <v>5</v>
      </c>
      <c r="C13" s="39" t="s">
        <v>107</v>
      </c>
      <c r="D13" s="13" t="s">
        <v>6</v>
      </c>
      <c r="E13" s="39" t="s">
        <v>8</v>
      </c>
      <c r="F13" s="15">
        <v>0</v>
      </c>
      <c r="G13" s="15"/>
      <c r="H13" s="15"/>
      <c r="I13" s="15"/>
      <c r="J13" s="39"/>
      <c r="K13" s="39"/>
      <c r="L13" s="39">
        <v>0</v>
      </c>
      <c r="M13" s="12">
        <v>5</v>
      </c>
      <c r="O13" s="34" t="s">
        <v>49</v>
      </c>
      <c r="P13" s="35"/>
      <c r="Q13" s="35"/>
      <c r="R13" s="35"/>
      <c r="S13" s="35"/>
      <c r="U13" s="34" t="s">
        <v>103</v>
      </c>
      <c r="V13" s="35"/>
      <c r="W13" s="35"/>
      <c r="X13" s="35"/>
      <c r="Y13" s="35"/>
    </row>
    <row r="14" spans="1:25" x14ac:dyDescent="0.3">
      <c r="B14" s="22" t="s">
        <v>5</v>
      </c>
      <c r="C14" s="39" t="s">
        <v>108</v>
      </c>
      <c r="D14" s="13" t="s">
        <v>6</v>
      </c>
      <c r="E14" s="39" t="s">
        <v>8</v>
      </c>
      <c r="F14" s="15">
        <v>1</v>
      </c>
      <c r="G14" s="15"/>
      <c r="H14" s="15"/>
      <c r="I14" s="15"/>
      <c r="J14" s="39"/>
      <c r="K14" s="39"/>
      <c r="L14" s="39">
        <v>0</v>
      </c>
      <c r="M14" s="12">
        <v>5</v>
      </c>
      <c r="O14" s="34" t="s">
        <v>50</v>
      </c>
      <c r="P14" s="31">
        <v>1469896</v>
      </c>
      <c r="Q14" s="31">
        <v>1312127</v>
      </c>
      <c r="R14" s="31">
        <v>1361068</v>
      </c>
      <c r="S14" s="31">
        <v>1292670</v>
      </c>
      <c r="U14" s="34" t="s">
        <v>104</v>
      </c>
      <c r="V14" s="31">
        <v>13573</v>
      </c>
      <c r="W14" s="31">
        <v>4821</v>
      </c>
      <c r="X14" s="31">
        <v>4115</v>
      </c>
      <c r="Y14" s="31">
        <v>716</v>
      </c>
    </row>
    <row r="15" spans="1:25" x14ac:dyDescent="0.3">
      <c r="B15" s="22" t="s">
        <v>5</v>
      </c>
      <c r="C15" s="39" t="s">
        <v>126</v>
      </c>
      <c r="D15" s="13" t="s">
        <v>6</v>
      </c>
      <c r="E15" s="39" t="s">
        <v>8</v>
      </c>
      <c r="F15" s="15">
        <v>0.1</v>
      </c>
      <c r="G15" s="15">
        <v>0.1</v>
      </c>
      <c r="H15" s="15">
        <v>0.1</v>
      </c>
      <c r="I15" s="15">
        <v>0.1</v>
      </c>
      <c r="J15" s="42"/>
      <c r="K15" s="42"/>
      <c r="L15" s="42"/>
      <c r="M15" s="12">
        <v>5</v>
      </c>
      <c r="O15" s="34" t="s">
        <v>51</v>
      </c>
      <c r="P15" s="31">
        <v>395816</v>
      </c>
      <c r="Q15" s="31">
        <v>454640</v>
      </c>
      <c r="R15" s="31">
        <v>511004</v>
      </c>
      <c r="S15" s="31">
        <v>561799</v>
      </c>
      <c r="U15" s="34" t="s">
        <v>105</v>
      </c>
      <c r="V15" s="31">
        <v>5858</v>
      </c>
      <c r="W15" s="31">
        <v>2895</v>
      </c>
      <c r="X15" s="31">
        <v>2821</v>
      </c>
      <c r="Y15" s="31">
        <v>915</v>
      </c>
    </row>
    <row r="16" spans="1:25" x14ac:dyDescent="0.3">
      <c r="B16" s="22" t="s">
        <v>5</v>
      </c>
      <c r="C16" s="39" t="s">
        <v>127</v>
      </c>
      <c r="D16" s="13" t="s">
        <v>6</v>
      </c>
      <c r="E16" s="39" t="s">
        <v>7</v>
      </c>
      <c r="F16" s="15">
        <f>F17*0.9</f>
        <v>2.7</v>
      </c>
      <c r="G16" s="15">
        <f>G17*0.9</f>
        <v>2.7</v>
      </c>
      <c r="H16" s="15">
        <f>H17*0.9</f>
        <v>3.6</v>
      </c>
      <c r="I16" s="15">
        <f>I17*0.9</f>
        <v>4.5</v>
      </c>
      <c r="J16" s="42"/>
      <c r="K16" s="42"/>
      <c r="L16" s="42"/>
      <c r="M16" s="12">
        <v>1</v>
      </c>
      <c r="O16" s="34" t="s">
        <v>52</v>
      </c>
      <c r="P16" s="31">
        <v>45875</v>
      </c>
      <c r="Q16" s="31">
        <v>59703</v>
      </c>
      <c r="R16" s="31">
        <v>44087</v>
      </c>
      <c r="S16" s="31">
        <v>50928</v>
      </c>
      <c r="U16" s="34" t="s">
        <v>44</v>
      </c>
      <c r="V16" s="38">
        <f>(V14+V15)/1000*3.6</f>
        <v>69.951599999999999</v>
      </c>
      <c r="W16" s="38">
        <f t="shared" ref="W16:Y16" si="3">(W14+W15)/1000*3.6</f>
        <v>27.7776</v>
      </c>
      <c r="X16" s="38">
        <f t="shared" si="3"/>
        <v>24.9696</v>
      </c>
      <c r="Y16" s="38">
        <f t="shared" si="3"/>
        <v>5.8715999999999999</v>
      </c>
    </row>
    <row r="17" spans="2:19" x14ac:dyDescent="0.3">
      <c r="B17" s="22" t="s">
        <v>5</v>
      </c>
      <c r="C17" s="39" t="s">
        <v>127</v>
      </c>
      <c r="D17" s="13" t="s">
        <v>6</v>
      </c>
      <c r="E17" s="39" t="s">
        <v>8</v>
      </c>
      <c r="F17" s="15">
        <v>3</v>
      </c>
      <c r="G17" s="42">
        <v>3</v>
      </c>
      <c r="H17" s="42">
        <v>4</v>
      </c>
      <c r="I17" s="42">
        <v>5</v>
      </c>
      <c r="J17" s="42"/>
      <c r="K17" s="42"/>
      <c r="L17" s="42"/>
      <c r="M17" s="12">
        <v>1</v>
      </c>
      <c r="O17" s="34" t="s">
        <v>53</v>
      </c>
      <c r="P17" s="31">
        <v>1060</v>
      </c>
      <c r="Q17" s="31">
        <v>8378</v>
      </c>
      <c r="R17" s="31">
        <v>21689</v>
      </c>
      <c r="S17" s="31">
        <v>71490</v>
      </c>
    </row>
    <row r="18" spans="2:19" x14ac:dyDescent="0.3">
      <c r="B18" s="22" t="s">
        <v>5</v>
      </c>
      <c r="C18" s="39" t="s">
        <v>128</v>
      </c>
      <c r="D18" s="13" t="s">
        <v>6</v>
      </c>
      <c r="E18" s="39" t="s">
        <v>7</v>
      </c>
      <c r="F18" s="15">
        <f>F19*0.9</f>
        <v>61.2</v>
      </c>
      <c r="G18" s="15">
        <f t="shared" ref="G18:I18" si="4">G19*0.9</f>
        <v>54</v>
      </c>
      <c r="H18" s="15">
        <f t="shared" si="4"/>
        <v>50.4</v>
      </c>
      <c r="I18" s="15">
        <f t="shared" si="4"/>
        <v>47.7</v>
      </c>
      <c r="J18" s="15"/>
      <c r="K18" s="15"/>
      <c r="L18" s="15"/>
      <c r="M18" s="15">
        <v>1</v>
      </c>
      <c r="O18" s="34" t="s">
        <v>54</v>
      </c>
      <c r="P18" s="31">
        <v>321238</v>
      </c>
      <c r="Q18" s="31">
        <v>330939</v>
      </c>
      <c r="R18" s="31">
        <v>380002</v>
      </c>
      <c r="S18" s="31">
        <v>358343</v>
      </c>
    </row>
    <row r="19" spans="2:19" x14ac:dyDescent="0.3">
      <c r="B19" s="22" t="s">
        <v>5</v>
      </c>
      <c r="C19" s="39" t="s">
        <v>128</v>
      </c>
      <c r="D19" s="13" t="s">
        <v>6</v>
      </c>
      <c r="E19" s="39" t="s">
        <v>8</v>
      </c>
      <c r="F19" s="15">
        <v>68</v>
      </c>
      <c r="G19" s="15">
        <v>60</v>
      </c>
      <c r="H19" s="15">
        <v>56</v>
      </c>
      <c r="I19" s="15">
        <v>53</v>
      </c>
      <c r="J19" s="15"/>
      <c r="K19" s="15"/>
      <c r="L19" s="15"/>
      <c r="M19" s="15">
        <v>1</v>
      </c>
      <c r="O19" s="34" t="s">
        <v>55</v>
      </c>
      <c r="P19" s="31">
        <v>135682</v>
      </c>
      <c r="Q19" s="31">
        <v>142056</v>
      </c>
      <c r="R19" s="31">
        <v>169744</v>
      </c>
      <c r="S19" s="31">
        <v>141360</v>
      </c>
    </row>
    <row r="20" spans="2:19" x14ac:dyDescent="0.3">
      <c r="B20" s="39" t="s">
        <v>5</v>
      </c>
      <c r="C20" s="39" t="s">
        <v>129</v>
      </c>
      <c r="D20" s="13" t="s">
        <v>6</v>
      </c>
      <c r="E20" s="39" t="s">
        <v>7</v>
      </c>
      <c r="F20" s="15">
        <f>0.95*F21</f>
        <v>96.899999999999991</v>
      </c>
      <c r="G20" s="15">
        <f t="shared" ref="G20:I20" si="5">0.95*G21</f>
        <v>97.85</v>
      </c>
      <c r="H20" s="15">
        <f t="shared" si="5"/>
        <v>102.6</v>
      </c>
      <c r="I20" s="15">
        <f t="shared" si="5"/>
        <v>88.35</v>
      </c>
      <c r="J20" s="15"/>
      <c r="K20" s="15"/>
      <c r="L20" s="15"/>
      <c r="M20" s="15">
        <v>1</v>
      </c>
      <c r="O20" s="34" t="s">
        <v>56</v>
      </c>
      <c r="P20" s="31">
        <v>116381</v>
      </c>
      <c r="Q20" s="31">
        <v>130452</v>
      </c>
      <c r="R20" s="31">
        <v>149815</v>
      </c>
      <c r="S20" s="31">
        <v>161575</v>
      </c>
    </row>
    <row r="21" spans="2:19" x14ac:dyDescent="0.3">
      <c r="B21" s="39" t="s">
        <v>5</v>
      </c>
      <c r="C21" s="39" t="s">
        <v>129</v>
      </c>
      <c r="D21" s="13" t="s">
        <v>6</v>
      </c>
      <c r="E21" s="39" t="s">
        <v>8</v>
      </c>
      <c r="F21" s="15">
        <v>102</v>
      </c>
      <c r="G21" s="15">
        <v>103</v>
      </c>
      <c r="H21" s="15">
        <v>108</v>
      </c>
      <c r="I21" s="15">
        <v>93</v>
      </c>
      <c r="J21" s="15"/>
      <c r="K21" s="15"/>
      <c r="L21" s="15"/>
      <c r="M21" s="15">
        <v>1</v>
      </c>
      <c r="O21" s="34" t="s">
        <v>57</v>
      </c>
      <c r="P21" s="31">
        <v>69175</v>
      </c>
      <c r="Q21" s="31">
        <v>58431</v>
      </c>
      <c r="R21" s="31">
        <v>60443</v>
      </c>
      <c r="S21" s="31">
        <v>55408</v>
      </c>
    </row>
    <row r="22" spans="2:19" x14ac:dyDescent="0.3">
      <c r="B22" s="39" t="s">
        <v>5</v>
      </c>
      <c r="C22" s="39" t="s">
        <v>130</v>
      </c>
      <c r="D22" s="13" t="s">
        <v>6</v>
      </c>
      <c r="E22" s="39" t="s">
        <v>7</v>
      </c>
      <c r="F22" s="15">
        <f>F23*0.99</f>
        <v>0</v>
      </c>
      <c r="G22" s="15">
        <f t="shared" ref="G22:I22" si="6">G23*0.99</f>
        <v>1.9800000000000002E-2</v>
      </c>
      <c r="H22" s="15">
        <f t="shared" si="6"/>
        <v>0.25839000000000001</v>
      </c>
      <c r="I22" s="15">
        <f t="shared" si="6"/>
        <v>5.9399999999999995</v>
      </c>
      <c r="J22" s="15"/>
      <c r="K22" s="15"/>
      <c r="L22" s="15"/>
      <c r="M22" s="15">
        <v>1</v>
      </c>
      <c r="O22" s="34" t="s">
        <v>58</v>
      </c>
      <c r="P22" s="31">
        <v>27644</v>
      </c>
      <c r="Q22" s="31">
        <v>55619</v>
      </c>
      <c r="R22" s="31">
        <v>65225</v>
      </c>
      <c r="S22" s="31">
        <v>81038</v>
      </c>
    </row>
    <row r="23" spans="2:19" x14ac:dyDescent="0.3">
      <c r="B23" s="39" t="s">
        <v>5</v>
      </c>
      <c r="C23" s="39" t="s">
        <v>130</v>
      </c>
      <c r="D23" s="13" t="s">
        <v>6</v>
      </c>
      <c r="E23" s="39" t="s">
        <v>8</v>
      </c>
      <c r="F23" s="15">
        <v>0</v>
      </c>
      <c r="G23" s="15">
        <v>0.02</v>
      </c>
      <c r="H23" s="15">
        <v>0.26100000000000001</v>
      </c>
      <c r="I23" s="15">
        <v>6</v>
      </c>
      <c r="J23" s="15"/>
      <c r="K23" s="15"/>
      <c r="L23" s="15"/>
      <c r="M23" s="15">
        <v>1</v>
      </c>
      <c r="O23" s="34" t="s">
        <v>59</v>
      </c>
      <c r="P23" s="35">
        <v>56</v>
      </c>
      <c r="Q23" s="35">
        <v>103</v>
      </c>
      <c r="R23" s="35">
        <v>621</v>
      </c>
      <c r="S23" s="35" t="s">
        <v>60</v>
      </c>
    </row>
    <row r="24" spans="2:19" x14ac:dyDescent="0.3">
      <c r="B24" s="39" t="s">
        <v>5</v>
      </c>
      <c r="C24" s="39" t="s">
        <v>131</v>
      </c>
      <c r="D24" s="13" t="s">
        <v>6</v>
      </c>
      <c r="E24" s="39" t="s">
        <v>7</v>
      </c>
      <c r="F24" s="15">
        <f>F25*0.95</f>
        <v>0.19</v>
      </c>
      <c r="G24" s="15">
        <f t="shared" ref="G24:I24" si="7">G25*0.95</f>
        <v>0.14629999999999999</v>
      </c>
      <c r="H24" s="15">
        <f t="shared" si="7"/>
        <v>0.49685000000000001</v>
      </c>
      <c r="I24" s="15">
        <f t="shared" si="7"/>
        <v>1.4430499999999999</v>
      </c>
      <c r="J24" s="15"/>
      <c r="K24" s="15"/>
      <c r="L24" s="15"/>
      <c r="M24" s="15">
        <v>1</v>
      </c>
      <c r="O24" s="34" t="s">
        <v>61</v>
      </c>
      <c r="P24" s="31">
        <v>1692</v>
      </c>
      <c r="Q24" s="31">
        <v>2655</v>
      </c>
      <c r="R24" s="31">
        <v>2667</v>
      </c>
      <c r="S24" s="35" t="s">
        <v>60</v>
      </c>
    </row>
    <row r="25" spans="2:19" x14ac:dyDescent="0.3">
      <c r="B25" s="39" t="s">
        <v>5</v>
      </c>
      <c r="C25" s="39" t="s">
        <v>131</v>
      </c>
      <c r="D25" s="13" t="s">
        <v>6</v>
      </c>
      <c r="E25" s="39" t="s">
        <v>8</v>
      </c>
      <c r="F25" s="15">
        <v>0.2</v>
      </c>
      <c r="G25" s="15">
        <v>0.154</v>
      </c>
      <c r="H25" s="15">
        <v>0.52300000000000002</v>
      </c>
      <c r="I25" s="15">
        <v>1.5189999999999999</v>
      </c>
      <c r="J25" s="15"/>
      <c r="K25" s="15"/>
      <c r="L25" s="15"/>
      <c r="M25" s="15">
        <v>1</v>
      </c>
      <c r="O25" s="34" t="s">
        <v>62</v>
      </c>
      <c r="P25" s="31">
        <v>10352</v>
      </c>
      <c r="Q25" s="31">
        <v>17286</v>
      </c>
      <c r="R25" s="31">
        <v>25087</v>
      </c>
      <c r="S25" s="35" t="s">
        <v>60</v>
      </c>
    </row>
    <row r="26" spans="2:19" x14ac:dyDescent="0.3">
      <c r="B26" s="39" t="s">
        <v>5</v>
      </c>
      <c r="C26" s="39" t="s">
        <v>132</v>
      </c>
      <c r="D26" s="13" t="s">
        <v>6</v>
      </c>
      <c r="E26" s="39" t="s">
        <v>8</v>
      </c>
      <c r="F26" s="15">
        <v>0</v>
      </c>
      <c r="G26" s="15">
        <v>0</v>
      </c>
      <c r="H26" s="15">
        <v>0</v>
      </c>
      <c r="I26" s="15">
        <v>0</v>
      </c>
      <c r="J26" s="15"/>
      <c r="K26" s="15"/>
      <c r="L26" s="15"/>
      <c r="M26" s="15">
        <v>1</v>
      </c>
      <c r="O26" s="34" t="s">
        <v>63</v>
      </c>
      <c r="P26" s="31">
        <v>3040</v>
      </c>
      <c r="Q26" s="31">
        <v>2899</v>
      </c>
      <c r="R26" s="31">
        <v>3918</v>
      </c>
      <c r="S26" s="35" t="s">
        <v>60</v>
      </c>
    </row>
    <row r="27" spans="2:19" x14ac:dyDescent="0.3">
      <c r="B27" s="39" t="s">
        <v>5</v>
      </c>
      <c r="C27" s="39" t="s">
        <v>133</v>
      </c>
      <c r="D27" s="13" t="s">
        <v>6</v>
      </c>
      <c r="E27" s="39" t="s">
        <v>8</v>
      </c>
      <c r="F27" s="15">
        <v>0</v>
      </c>
      <c r="G27" s="15">
        <v>0</v>
      </c>
      <c r="H27" s="15">
        <v>0</v>
      </c>
      <c r="I27" s="15">
        <v>0</v>
      </c>
      <c r="J27" s="15"/>
      <c r="K27" s="15"/>
      <c r="L27" s="15"/>
      <c r="M27" s="15">
        <v>1</v>
      </c>
      <c r="O27" s="34" t="s">
        <v>64</v>
      </c>
      <c r="P27" s="31">
        <v>2605</v>
      </c>
      <c r="Q27" s="31">
        <v>18027</v>
      </c>
      <c r="R27" s="31">
        <v>14178</v>
      </c>
      <c r="S27" s="35" t="s">
        <v>60</v>
      </c>
    </row>
    <row r="28" spans="2:19" x14ac:dyDescent="0.3">
      <c r="B28" s="39" t="s">
        <v>5</v>
      </c>
      <c r="C28" s="39" t="s">
        <v>134</v>
      </c>
      <c r="D28" s="13" t="s">
        <v>6</v>
      </c>
      <c r="E28" s="39" t="s">
        <v>8</v>
      </c>
      <c r="F28" s="15">
        <f>F29*0.95</f>
        <v>7.6</v>
      </c>
      <c r="G28" s="15">
        <f t="shared" ref="G28" si="8">G29*0.95</f>
        <v>10.45</v>
      </c>
      <c r="H28" s="15">
        <f t="shared" ref="H28" si="9">H29*0.95</f>
        <v>11.399999999999999</v>
      </c>
      <c r="I28" s="15"/>
      <c r="J28" s="15"/>
      <c r="K28" s="15"/>
      <c r="L28" s="15"/>
      <c r="M28" s="15">
        <v>1</v>
      </c>
      <c r="O28" s="34" t="s">
        <v>65</v>
      </c>
      <c r="P28" s="31">
        <v>1590</v>
      </c>
      <c r="Q28" s="35" t="s">
        <v>66</v>
      </c>
      <c r="R28" s="35" t="s">
        <v>66</v>
      </c>
      <c r="S28" s="35" t="s">
        <v>60</v>
      </c>
    </row>
    <row r="29" spans="2:19" x14ac:dyDescent="0.3">
      <c r="B29" s="39" t="s">
        <v>5</v>
      </c>
      <c r="C29" s="39" t="s">
        <v>134</v>
      </c>
      <c r="D29" s="13" t="s">
        <v>6</v>
      </c>
      <c r="E29" s="39" t="s">
        <v>8</v>
      </c>
      <c r="F29" s="15">
        <v>8</v>
      </c>
      <c r="G29" s="15">
        <v>11</v>
      </c>
      <c r="H29" s="15">
        <v>12</v>
      </c>
      <c r="I29" s="15"/>
      <c r="J29" s="15"/>
      <c r="K29" s="15"/>
      <c r="L29" s="15"/>
      <c r="M29" s="15">
        <v>1</v>
      </c>
      <c r="O29" s="34" t="s">
        <v>67</v>
      </c>
      <c r="P29" s="31">
        <v>4665</v>
      </c>
      <c r="Q29" s="31">
        <v>9582</v>
      </c>
      <c r="R29" s="31">
        <v>12057</v>
      </c>
      <c r="S29" s="35" t="s">
        <v>60</v>
      </c>
    </row>
    <row r="30" spans="2:19" x14ac:dyDescent="0.3">
      <c r="B30" s="39" t="s">
        <v>5</v>
      </c>
      <c r="C30" s="39" t="s">
        <v>135</v>
      </c>
      <c r="D30" s="13" t="s">
        <v>6</v>
      </c>
      <c r="E30" s="39" t="s">
        <v>8</v>
      </c>
      <c r="F30" s="15">
        <f>F31*0.95</f>
        <v>7.6</v>
      </c>
      <c r="G30" s="15">
        <f t="shared" ref="G30" si="10">G31*0.95</f>
        <v>6.6499999999999995</v>
      </c>
      <c r="H30" s="15">
        <f t="shared" ref="H30" si="11">H31*0.95</f>
        <v>8.0749999999999993</v>
      </c>
      <c r="I30" s="15"/>
      <c r="J30" s="15"/>
      <c r="K30" s="15"/>
      <c r="L30" s="15"/>
      <c r="M30" s="15">
        <v>1</v>
      </c>
      <c r="O30" s="34" t="s">
        <v>68</v>
      </c>
      <c r="P30" s="31">
        <v>1424</v>
      </c>
      <c r="Q30" s="31">
        <v>1898</v>
      </c>
      <c r="R30" s="31">
        <v>2587</v>
      </c>
      <c r="S30" s="35" t="s">
        <v>60</v>
      </c>
    </row>
    <row r="31" spans="2:19" x14ac:dyDescent="0.3">
      <c r="B31" s="39" t="s">
        <v>5</v>
      </c>
      <c r="C31" s="39" t="s">
        <v>135</v>
      </c>
      <c r="D31" s="13" t="s">
        <v>6</v>
      </c>
      <c r="E31" s="39" t="s">
        <v>8</v>
      </c>
      <c r="F31" s="15">
        <v>8</v>
      </c>
      <c r="G31" s="15">
        <v>7</v>
      </c>
      <c r="H31" s="15">
        <v>8.5</v>
      </c>
      <c r="I31" s="15"/>
      <c r="J31" s="15"/>
      <c r="K31" s="15"/>
      <c r="L31" s="15"/>
      <c r="M31" s="15">
        <v>1</v>
      </c>
      <c r="O31" s="34" t="s">
        <v>69</v>
      </c>
      <c r="P31" s="31">
        <v>2219</v>
      </c>
      <c r="Q31" s="31">
        <v>3169</v>
      </c>
      <c r="R31" s="31">
        <v>4110</v>
      </c>
      <c r="S31" s="35" t="s">
        <v>60</v>
      </c>
    </row>
    <row r="32" spans="2:19" x14ac:dyDescent="0.3">
      <c r="B32" s="39" t="s">
        <v>5</v>
      </c>
      <c r="C32" s="39" t="s">
        <v>136</v>
      </c>
      <c r="D32" s="13" t="s">
        <v>6</v>
      </c>
      <c r="E32" s="39" t="s">
        <v>7</v>
      </c>
      <c r="F32" s="14">
        <f>F33*0.99</f>
        <v>1.3523400000000001</v>
      </c>
      <c r="G32" s="14">
        <f t="shared" ref="G32:I32" si="12">G33*0.99</f>
        <v>0.93257999999999996</v>
      </c>
      <c r="H32" s="14">
        <f t="shared" si="12"/>
        <v>0.93950999999999996</v>
      </c>
      <c r="I32" s="14">
        <f t="shared" si="12"/>
        <v>0.64844999999999997</v>
      </c>
      <c r="O32" s="34" t="s">
        <v>70</v>
      </c>
      <c r="P32" s="31">
        <v>788983</v>
      </c>
      <c r="Q32" s="31">
        <v>546854</v>
      </c>
      <c r="R32" s="31">
        <v>519705</v>
      </c>
      <c r="S32" s="31">
        <v>372011</v>
      </c>
    </row>
    <row r="33" spans="2:19" x14ac:dyDescent="0.3">
      <c r="B33" s="39" t="s">
        <v>5</v>
      </c>
      <c r="C33" s="39" t="s">
        <v>136</v>
      </c>
      <c r="D33" s="13" t="s">
        <v>6</v>
      </c>
      <c r="E33" s="39" t="s">
        <v>8</v>
      </c>
      <c r="F33" s="14">
        <v>1.3660000000000001</v>
      </c>
      <c r="G33" s="14">
        <v>0.94199999999999995</v>
      </c>
      <c r="H33" s="14">
        <v>0.94899999999999995</v>
      </c>
      <c r="I33" s="14">
        <v>0.65500000000000003</v>
      </c>
      <c r="O33" s="34" t="s">
        <v>71</v>
      </c>
      <c r="P33" s="31">
        <v>349816</v>
      </c>
      <c r="Q33" s="31">
        <v>294646</v>
      </c>
      <c r="R33" s="31">
        <v>286436</v>
      </c>
      <c r="S33" s="31">
        <v>240566</v>
      </c>
    </row>
    <row r="34" spans="2:19" x14ac:dyDescent="0.3">
      <c r="O34" s="34" t="s">
        <v>72</v>
      </c>
      <c r="P34" s="31">
        <v>67544</v>
      </c>
      <c r="Q34" s="31">
        <v>60318</v>
      </c>
      <c r="R34" s="31">
        <v>55372</v>
      </c>
      <c r="S34" s="35" t="s">
        <v>60</v>
      </c>
    </row>
    <row r="35" spans="2:19" x14ac:dyDescent="0.3">
      <c r="O35" s="34" t="s">
        <v>73</v>
      </c>
      <c r="P35" s="31">
        <v>97572</v>
      </c>
      <c r="Q35" s="31">
        <v>84113</v>
      </c>
      <c r="R35" s="31">
        <v>92758</v>
      </c>
      <c r="S35" s="35" t="s">
        <v>60</v>
      </c>
    </row>
    <row r="36" spans="2:19" x14ac:dyDescent="0.3">
      <c r="O36" s="34" t="s">
        <v>74</v>
      </c>
      <c r="P36" s="35" t="s">
        <v>66</v>
      </c>
      <c r="Q36" s="35" t="s">
        <v>66</v>
      </c>
      <c r="R36" s="35" t="s">
        <v>66</v>
      </c>
      <c r="S36" s="35" t="s">
        <v>60</v>
      </c>
    </row>
    <row r="37" spans="2:19" x14ac:dyDescent="0.3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O37" s="34" t="s">
        <v>75</v>
      </c>
      <c r="P37" s="31">
        <v>5828</v>
      </c>
      <c r="Q37" s="31">
        <v>4096</v>
      </c>
      <c r="R37" s="31">
        <v>5165</v>
      </c>
      <c r="S37" s="35" t="s">
        <v>60</v>
      </c>
    </row>
    <row r="38" spans="2:19" x14ac:dyDescent="0.3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O38" s="34" t="s">
        <v>76</v>
      </c>
      <c r="P38" s="35">
        <v>83</v>
      </c>
      <c r="Q38" s="35">
        <v>41</v>
      </c>
      <c r="R38" s="35">
        <v>36</v>
      </c>
      <c r="S38" s="35" t="s">
        <v>60</v>
      </c>
    </row>
    <row r="39" spans="2:19" x14ac:dyDescent="0.3">
      <c r="O39" s="34" t="s">
        <v>77</v>
      </c>
      <c r="P39" s="31">
        <v>79002</v>
      </c>
      <c r="Q39" s="31">
        <v>69999</v>
      </c>
      <c r="R39" s="31">
        <v>67646</v>
      </c>
      <c r="S39" s="35" t="s">
        <v>60</v>
      </c>
    </row>
    <row r="40" spans="2:19" x14ac:dyDescent="0.3">
      <c r="O40" s="34" t="s">
        <v>78</v>
      </c>
      <c r="P40" s="31">
        <v>45301</v>
      </c>
      <c r="Q40" s="31">
        <v>24389</v>
      </c>
      <c r="R40" s="31">
        <v>10398</v>
      </c>
      <c r="S40" s="35" t="s">
        <v>60</v>
      </c>
    </row>
    <row r="41" spans="2:19" x14ac:dyDescent="0.3">
      <c r="B41" s="47"/>
      <c r="C41" s="48"/>
      <c r="D41" s="47"/>
      <c r="E41" s="47"/>
      <c r="F41" s="47"/>
      <c r="G41" s="47"/>
      <c r="H41" s="47"/>
      <c r="I41" s="47"/>
      <c r="J41" s="43"/>
      <c r="K41" s="43"/>
      <c r="L41" s="43"/>
      <c r="M41" s="43"/>
      <c r="O41" s="34" t="s">
        <v>79</v>
      </c>
      <c r="P41" s="31">
        <v>12856</v>
      </c>
      <c r="Q41" s="31">
        <v>12045</v>
      </c>
      <c r="R41" s="31">
        <v>7835</v>
      </c>
      <c r="S41" s="35" t="s">
        <v>60</v>
      </c>
    </row>
    <row r="42" spans="2:19" x14ac:dyDescent="0.3">
      <c r="B42" s="47"/>
      <c r="C42" s="49"/>
      <c r="D42" s="50"/>
      <c r="E42" s="49"/>
      <c r="F42" s="51"/>
      <c r="G42" s="49"/>
      <c r="H42" s="52"/>
      <c r="I42" s="49"/>
      <c r="J42" s="43"/>
      <c r="K42" s="43"/>
      <c r="L42" s="43"/>
      <c r="M42" s="43"/>
      <c r="O42" s="34" t="s">
        <v>80</v>
      </c>
      <c r="P42" s="35" t="s">
        <v>66</v>
      </c>
      <c r="Q42" s="35" t="s">
        <v>66</v>
      </c>
      <c r="R42" s="35" t="s">
        <v>66</v>
      </c>
      <c r="S42" s="35" t="s">
        <v>60</v>
      </c>
    </row>
    <row r="43" spans="2:19" x14ac:dyDescent="0.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O43" s="34" t="s">
        <v>81</v>
      </c>
      <c r="P43" s="35" t="s">
        <v>66</v>
      </c>
      <c r="Q43" s="35" t="s">
        <v>66</v>
      </c>
      <c r="R43" s="35" t="s">
        <v>66</v>
      </c>
      <c r="S43" s="35" t="s">
        <v>60</v>
      </c>
    </row>
    <row r="44" spans="2:19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O44" s="34" t="s">
        <v>82</v>
      </c>
      <c r="P44" s="35">
        <v>744</v>
      </c>
      <c r="Q44" s="35">
        <v>424</v>
      </c>
      <c r="R44" s="35">
        <v>396</v>
      </c>
      <c r="S44" s="35" t="s">
        <v>60</v>
      </c>
    </row>
    <row r="45" spans="2:19" x14ac:dyDescent="0.3">
      <c r="B45" s="49"/>
      <c r="C45" s="49"/>
      <c r="D45" s="50"/>
      <c r="E45" s="49"/>
      <c r="F45" s="51"/>
      <c r="G45" s="49"/>
      <c r="H45" s="52"/>
      <c r="I45" s="49"/>
      <c r="O45" s="34" t="s">
        <v>83</v>
      </c>
      <c r="P45" s="31">
        <v>31346</v>
      </c>
      <c r="Q45" s="31">
        <v>29647</v>
      </c>
      <c r="R45" s="31">
        <v>36982</v>
      </c>
      <c r="S45" s="35" t="s">
        <v>60</v>
      </c>
    </row>
    <row r="46" spans="2:19" x14ac:dyDescent="0.3">
      <c r="B46" s="54"/>
      <c r="C46" s="54"/>
      <c r="D46" s="54"/>
      <c r="E46" s="54"/>
      <c r="F46" s="54"/>
      <c r="G46" s="54"/>
      <c r="H46" s="54"/>
      <c r="I46" s="54"/>
      <c r="O46" s="34" t="s">
        <v>84</v>
      </c>
      <c r="P46" s="31">
        <v>9539</v>
      </c>
      <c r="Q46" s="31">
        <v>9574</v>
      </c>
      <c r="R46" s="31">
        <v>9849</v>
      </c>
      <c r="S46" s="35" t="s">
        <v>60</v>
      </c>
    </row>
    <row r="47" spans="2:19" x14ac:dyDescent="0.3">
      <c r="B47" s="54"/>
      <c r="C47" s="54"/>
      <c r="D47" s="54"/>
      <c r="E47" s="54"/>
      <c r="F47" s="54"/>
      <c r="G47" s="54"/>
      <c r="H47" s="54"/>
      <c r="I47" s="54"/>
      <c r="O47" s="34" t="s">
        <v>85</v>
      </c>
      <c r="P47" s="31">
        <v>186304</v>
      </c>
      <c r="Q47" s="31">
        <v>101837</v>
      </c>
      <c r="R47" s="31">
        <v>90978</v>
      </c>
      <c r="S47" s="31">
        <v>53476</v>
      </c>
    </row>
    <row r="48" spans="2:19" x14ac:dyDescent="0.3">
      <c r="B48" s="54"/>
      <c r="C48" s="54"/>
      <c r="D48" s="54"/>
      <c r="E48" s="54"/>
      <c r="F48" s="54"/>
      <c r="G48" s="54"/>
      <c r="H48" s="54"/>
      <c r="I48" s="54"/>
      <c r="O48" s="34" t="s">
        <v>86</v>
      </c>
      <c r="P48" s="31">
        <v>144829</v>
      </c>
      <c r="Q48" s="31">
        <v>63837</v>
      </c>
      <c r="R48" s="31">
        <v>60652</v>
      </c>
      <c r="S48" s="35" t="s">
        <v>60</v>
      </c>
    </row>
    <row r="49" spans="2:19" ht="15.6" x14ac:dyDescent="0.3">
      <c r="B49" s="55"/>
      <c r="C49" s="44"/>
      <c r="D49" s="44"/>
      <c r="E49" s="44"/>
      <c r="F49" s="44"/>
      <c r="G49" s="44"/>
      <c r="H49" s="44"/>
      <c r="I49" s="45"/>
      <c r="O49" s="34" t="s">
        <v>87</v>
      </c>
      <c r="P49" s="31">
        <v>21383</v>
      </c>
      <c r="Q49" s="31">
        <v>16699</v>
      </c>
      <c r="R49" s="31">
        <v>11420</v>
      </c>
      <c r="S49" s="35" t="s">
        <v>60</v>
      </c>
    </row>
    <row r="50" spans="2:19" ht="15.6" x14ac:dyDescent="0.3">
      <c r="B50" s="44"/>
      <c r="C50" s="44"/>
      <c r="D50" s="44"/>
      <c r="E50" s="44"/>
      <c r="F50" s="44"/>
      <c r="G50" s="44"/>
      <c r="H50" s="44"/>
      <c r="I50" s="45"/>
      <c r="O50" s="34" t="s">
        <v>88</v>
      </c>
      <c r="P50" s="31">
        <v>20092</v>
      </c>
      <c r="Q50" s="31">
        <v>21301</v>
      </c>
      <c r="R50" s="31">
        <v>18905</v>
      </c>
      <c r="S50" s="35" t="s">
        <v>60</v>
      </c>
    </row>
    <row r="51" spans="2:19" ht="15.6" x14ac:dyDescent="0.3">
      <c r="B51" s="44"/>
      <c r="C51" s="44"/>
      <c r="D51" s="44"/>
      <c r="E51" s="46"/>
      <c r="F51" s="44"/>
      <c r="G51" s="44"/>
      <c r="H51" s="44"/>
      <c r="I51" s="45"/>
      <c r="O51" s="34" t="s">
        <v>89</v>
      </c>
      <c r="P51" s="35" t="s">
        <v>66</v>
      </c>
      <c r="Q51" s="35" t="s">
        <v>66</v>
      </c>
      <c r="R51" s="35" t="s">
        <v>66</v>
      </c>
      <c r="S51" s="35" t="s">
        <v>60</v>
      </c>
    </row>
    <row r="52" spans="2:19" x14ac:dyDescent="0.3">
      <c r="B52" s="47"/>
      <c r="C52" s="48"/>
      <c r="D52" s="47"/>
      <c r="E52" s="47"/>
      <c r="F52" s="47"/>
      <c r="G52" s="47"/>
      <c r="H52" s="47"/>
      <c r="I52" s="47"/>
      <c r="O52" s="34" t="s">
        <v>90</v>
      </c>
      <c r="P52" s="31">
        <v>148680</v>
      </c>
      <c r="Q52" s="31">
        <v>82363</v>
      </c>
      <c r="R52" s="31">
        <v>73253</v>
      </c>
      <c r="S52" s="31">
        <v>45586</v>
      </c>
    </row>
    <row r="53" spans="2:19" x14ac:dyDescent="0.3">
      <c r="B53" s="47"/>
      <c r="C53" s="49"/>
      <c r="D53" s="50"/>
      <c r="E53" s="49"/>
      <c r="F53" s="51"/>
      <c r="G53" s="49"/>
      <c r="H53" s="52"/>
      <c r="I53" s="49"/>
      <c r="O53" s="34" t="s">
        <v>91</v>
      </c>
      <c r="P53" s="31">
        <v>148680</v>
      </c>
      <c r="Q53" s="31">
        <v>82363</v>
      </c>
      <c r="R53" s="31">
        <v>73253</v>
      </c>
      <c r="S53" s="35" t="s">
        <v>60</v>
      </c>
    </row>
    <row r="54" spans="2:19" x14ac:dyDescent="0.3">
      <c r="B54" s="49"/>
      <c r="C54" s="49"/>
      <c r="D54" s="50"/>
      <c r="E54" s="49"/>
      <c r="F54" s="51"/>
      <c r="G54" s="49"/>
      <c r="H54" s="52"/>
      <c r="I54" s="53"/>
      <c r="O54" s="34" t="s">
        <v>92</v>
      </c>
      <c r="P54" s="31">
        <v>97826</v>
      </c>
      <c r="Q54" s="31">
        <v>57987</v>
      </c>
      <c r="R54" s="31">
        <v>56652</v>
      </c>
      <c r="S54" s="31">
        <v>19870</v>
      </c>
    </row>
    <row r="55" spans="2:19" x14ac:dyDescent="0.3">
      <c r="B55" s="49"/>
      <c r="C55" s="49"/>
      <c r="D55" s="50"/>
      <c r="E55" s="49"/>
      <c r="F55" s="51"/>
      <c r="G55" s="49"/>
      <c r="H55" s="52"/>
      <c r="I55" s="53"/>
      <c r="O55" s="34" t="s">
        <v>93</v>
      </c>
      <c r="P55" s="31">
        <v>6357</v>
      </c>
      <c r="Q55" s="31">
        <v>10020</v>
      </c>
      <c r="R55" s="31">
        <v>12387</v>
      </c>
      <c r="S55" s="31">
        <v>12512</v>
      </c>
    </row>
    <row r="56" spans="2:19" x14ac:dyDescent="0.3">
      <c r="B56" s="49"/>
      <c r="C56" s="49"/>
      <c r="D56" s="50"/>
      <c r="E56" s="49"/>
      <c r="F56" s="51"/>
      <c r="G56" s="49"/>
      <c r="H56" s="52"/>
      <c r="I56" s="49"/>
      <c r="O56" s="34" t="s">
        <v>94</v>
      </c>
      <c r="P56" s="31">
        <v>4177</v>
      </c>
      <c r="Q56" s="31">
        <v>8051</v>
      </c>
      <c r="R56" s="31">
        <v>10282</v>
      </c>
      <c r="S56" s="35" t="s">
        <v>60</v>
      </c>
    </row>
    <row r="57" spans="2:19" x14ac:dyDescent="0.3">
      <c r="B57" s="54"/>
      <c r="C57" s="54"/>
      <c r="D57" s="54"/>
      <c r="E57" s="54"/>
      <c r="F57" s="54"/>
      <c r="G57" s="54"/>
      <c r="H57" s="54"/>
      <c r="I57" s="54"/>
      <c r="O57" s="34" t="s">
        <v>95</v>
      </c>
      <c r="P57" s="31">
        <v>2022</v>
      </c>
      <c r="Q57" s="31">
        <v>1759</v>
      </c>
      <c r="R57" s="31">
        <v>1818</v>
      </c>
      <c r="S57" s="35" t="s">
        <v>60</v>
      </c>
    </row>
    <row r="58" spans="2:19" x14ac:dyDescent="0.3">
      <c r="O58" s="34" t="s">
        <v>96</v>
      </c>
      <c r="P58" s="35">
        <v>158</v>
      </c>
      <c r="Q58" s="35">
        <v>211</v>
      </c>
      <c r="R58" s="35">
        <v>287</v>
      </c>
      <c r="S58" s="35" t="s">
        <v>60</v>
      </c>
    </row>
    <row r="59" spans="2:19" x14ac:dyDescent="0.3">
      <c r="O59" s="34" t="s">
        <v>97</v>
      </c>
      <c r="P59" s="31">
        <v>238789</v>
      </c>
      <c r="Q59" s="31">
        <v>243556</v>
      </c>
      <c r="R59" s="31">
        <v>249981</v>
      </c>
      <c r="S59" s="31">
        <v>339628</v>
      </c>
    </row>
    <row r="60" spans="2:19" x14ac:dyDescent="0.3">
      <c r="O60" s="34" t="s">
        <v>98</v>
      </c>
      <c r="P60" s="31">
        <v>37802</v>
      </c>
      <c r="Q60" s="31">
        <v>58813</v>
      </c>
      <c r="R60" s="31">
        <v>72151</v>
      </c>
      <c r="S60" s="31">
        <v>11452</v>
      </c>
    </row>
    <row r="61" spans="2:19" x14ac:dyDescent="0.3">
      <c r="O61" s="34" t="s">
        <v>99</v>
      </c>
      <c r="P61" s="31">
        <v>8506</v>
      </c>
      <c r="Q61" s="31">
        <v>8264</v>
      </c>
      <c r="R61" s="31">
        <v>8227</v>
      </c>
      <c r="S61" s="31">
        <v>7781</v>
      </c>
    </row>
    <row r="62" spans="2:19" x14ac:dyDescent="0.3">
      <c r="O62" s="34" t="s">
        <v>100</v>
      </c>
      <c r="P62" s="31">
        <v>7260</v>
      </c>
      <c r="Q62" s="31">
        <v>7290</v>
      </c>
      <c r="R62" s="31">
        <v>7130</v>
      </c>
      <c r="S62" s="35" t="s">
        <v>60</v>
      </c>
    </row>
    <row r="63" spans="2:19" x14ac:dyDescent="0.3">
      <c r="O63" s="34" t="s">
        <v>101</v>
      </c>
      <c r="P63" s="31">
        <v>1246</v>
      </c>
      <c r="Q63" s="35">
        <v>974</v>
      </c>
      <c r="R63" s="31">
        <v>1097</v>
      </c>
      <c r="S63" s="35" t="s">
        <v>60</v>
      </c>
    </row>
    <row r="64" spans="2:19" x14ac:dyDescent="0.3">
      <c r="O64" s="34" t="s">
        <v>102</v>
      </c>
      <c r="P64" s="35" t="s">
        <v>60</v>
      </c>
      <c r="Q64" s="35" t="s">
        <v>60</v>
      </c>
      <c r="R64" s="35" t="s">
        <v>60</v>
      </c>
      <c r="S64" s="35" t="s">
        <v>60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459D-0FCB-4132-B501-29F469791E19}">
  <dimension ref="A1:AP6"/>
  <sheetViews>
    <sheetView workbookViewId="0"/>
  </sheetViews>
  <sheetFormatPr defaultRowHeight="14.4" x14ac:dyDescent="0.3"/>
  <cols>
    <col min="5" max="5" width="10.33203125" customWidth="1"/>
  </cols>
  <sheetData>
    <row r="1" spans="1:42" x14ac:dyDescent="0.3">
      <c r="A1" t="s">
        <v>124</v>
      </c>
    </row>
    <row r="3" spans="1:42" x14ac:dyDescent="0.3">
      <c r="A3" t="s">
        <v>109</v>
      </c>
    </row>
    <row r="4" spans="1:42" x14ac:dyDescent="0.3">
      <c r="A4" s="40" t="s">
        <v>3</v>
      </c>
      <c r="B4" s="40" t="s">
        <v>110</v>
      </c>
      <c r="C4" s="40" t="s">
        <v>111</v>
      </c>
      <c r="D4" s="40" t="s">
        <v>112</v>
      </c>
      <c r="E4" s="40" t="s">
        <v>125</v>
      </c>
      <c r="F4" s="40" t="s">
        <v>28</v>
      </c>
      <c r="G4" s="40" t="s">
        <v>9</v>
      </c>
      <c r="H4" s="40" t="s">
        <v>10</v>
      </c>
      <c r="I4" s="40" t="s">
        <v>113</v>
      </c>
      <c r="J4" s="40" t="s">
        <v>21</v>
      </c>
      <c r="K4" s="40" t="s">
        <v>11</v>
      </c>
      <c r="L4" s="40" t="s">
        <v>13</v>
      </c>
      <c r="M4" s="40" t="s">
        <v>12</v>
      </c>
      <c r="N4" s="40" t="s">
        <v>14</v>
      </c>
      <c r="O4" s="40" t="s">
        <v>17</v>
      </c>
      <c r="P4" s="40" t="s">
        <v>5</v>
      </c>
      <c r="Q4" s="40" t="s">
        <v>18</v>
      </c>
      <c r="R4" s="40" t="s">
        <v>16</v>
      </c>
      <c r="S4" s="40" t="s">
        <v>19</v>
      </c>
      <c r="T4" s="40" t="s">
        <v>25</v>
      </c>
      <c r="U4" s="40" t="s">
        <v>15</v>
      </c>
      <c r="V4" s="40" t="s">
        <v>114</v>
      </c>
      <c r="W4" s="40" t="s">
        <v>20</v>
      </c>
      <c r="X4" s="40" t="s">
        <v>23</v>
      </c>
      <c r="Y4" s="40" t="s">
        <v>24</v>
      </c>
      <c r="Z4" s="40" t="s">
        <v>22</v>
      </c>
      <c r="AA4" s="40" t="s">
        <v>26</v>
      </c>
      <c r="AB4" s="40" t="s">
        <v>27</v>
      </c>
      <c r="AC4" s="40" t="s">
        <v>34</v>
      </c>
      <c r="AD4" s="40" t="s">
        <v>29</v>
      </c>
      <c r="AE4" s="40" t="s">
        <v>30</v>
      </c>
      <c r="AF4" s="40" t="s">
        <v>31</v>
      </c>
      <c r="AG4" s="40" t="s">
        <v>33</v>
      </c>
      <c r="AH4" s="40" t="s">
        <v>32</v>
      </c>
      <c r="AI4" s="40" t="s">
        <v>115</v>
      </c>
      <c r="AJ4" s="40" t="s">
        <v>35</v>
      </c>
      <c r="AK4" s="40" t="s">
        <v>116</v>
      </c>
      <c r="AL4" s="40" t="s">
        <v>117</v>
      </c>
      <c r="AM4" s="40" t="s">
        <v>118</v>
      </c>
      <c r="AN4" s="40" t="s">
        <v>119</v>
      </c>
      <c r="AO4" s="40" t="s">
        <v>120</v>
      </c>
      <c r="AP4" s="40" t="s">
        <v>121</v>
      </c>
    </row>
    <row r="5" spans="1:42" x14ac:dyDescent="0.3">
      <c r="A5" t="s">
        <v>122</v>
      </c>
      <c r="C5" t="s">
        <v>123</v>
      </c>
      <c r="D5">
        <v>2010</v>
      </c>
      <c r="E5">
        <v>1</v>
      </c>
      <c r="F5" s="41">
        <v>1</v>
      </c>
      <c r="G5" s="41">
        <v>1</v>
      </c>
      <c r="H5" s="41">
        <v>1</v>
      </c>
      <c r="I5" s="41">
        <v>1</v>
      </c>
      <c r="J5" s="41">
        <v>1</v>
      </c>
      <c r="K5" s="41">
        <v>1</v>
      </c>
      <c r="L5" s="41">
        <v>1</v>
      </c>
      <c r="M5" s="41">
        <v>1</v>
      </c>
      <c r="N5" s="41">
        <v>1</v>
      </c>
      <c r="O5" s="41">
        <v>1</v>
      </c>
      <c r="P5" s="41">
        <v>1</v>
      </c>
      <c r="Q5" s="41">
        <v>1</v>
      </c>
      <c r="R5" s="41">
        <v>1</v>
      </c>
      <c r="S5" s="41">
        <v>1</v>
      </c>
      <c r="T5" s="41">
        <v>1</v>
      </c>
      <c r="U5" s="41">
        <v>1</v>
      </c>
      <c r="V5" s="41">
        <v>1</v>
      </c>
      <c r="W5" s="41">
        <v>1</v>
      </c>
      <c r="X5" s="41">
        <v>1</v>
      </c>
      <c r="Y5" s="41">
        <v>1</v>
      </c>
      <c r="Z5" s="41">
        <v>1</v>
      </c>
      <c r="AA5" s="41">
        <v>1</v>
      </c>
      <c r="AB5" s="41">
        <v>1</v>
      </c>
      <c r="AC5" s="41">
        <v>1</v>
      </c>
      <c r="AD5" s="41">
        <v>1</v>
      </c>
      <c r="AE5" s="41">
        <v>1</v>
      </c>
      <c r="AF5" s="41">
        <v>1</v>
      </c>
      <c r="AG5" s="41">
        <v>1</v>
      </c>
      <c r="AH5" s="41">
        <v>1</v>
      </c>
      <c r="AI5" s="41">
        <v>1</v>
      </c>
      <c r="AJ5" s="41">
        <v>1</v>
      </c>
      <c r="AK5" s="41">
        <v>1</v>
      </c>
      <c r="AL5" s="41">
        <v>1</v>
      </c>
      <c r="AM5" s="41">
        <v>1</v>
      </c>
      <c r="AN5" s="41">
        <v>1</v>
      </c>
      <c r="AO5" s="41">
        <v>1</v>
      </c>
      <c r="AP5" s="41">
        <v>1</v>
      </c>
    </row>
    <row r="6" spans="1:42" x14ac:dyDescent="0.3">
      <c r="A6" t="s">
        <v>122</v>
      </c>
      <c r="C6" t="s">
        <v>123</v>
      </c>
      <c r="D6">
        <v>0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</vt:lpstr>
      <vt:lpstr>FOS</vt:lpstr>
      <vt:lpstr>LPG</vt:lpstr>
      <vt:lpstr>TRA</vt:lpstr>
      <vt:lpstr>HDD</vt:lpstr>
    </vt:vector>
  </TitlesOfParts>
  <Company>VTT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Markkanen</dc:creator>
  <cp:lastModifiedBy>Johanna Markkanen</cp:lastModifiedBy>
  <dcterms:created xsi:type="dcterms:W3CDTF">2025-07-11T07:34:48Z</dcterms:created>
  <dcterms:modified xsi:type="dcterms:W3CDTF">2025-09-09T12:28:46Z</dcterms:modified>
</cp:coreProperties>
</file>