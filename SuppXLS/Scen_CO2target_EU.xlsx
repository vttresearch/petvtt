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Veda\Veda_models\JRCEU\SuppXLS\"/>
    </mc:Choice>
  </mc:AlternateContent>
  <xr:revisionPtr revIDLastSave="0" documentId="13_ncr:1_{87F1076D-6B4E-41F5-89AB-C4E15880B2C3}" xr6:coauthVersionLast="47" xr6:coauthVersionMax="47" xr10:uidLastSave="{00000000-0000-0000-0000-000000000000}"/>
  <bookViews>
    <workbookView xWindow="0" yWindow="0" windowWidth="15360" windowHeight="16680" xr2:uid="{00000000-000D-0000-FFFF-FFFF00000000}"/>
  </bookViews>
  <sheets>
    <sheet name="POLICY" sheetId="18" r:id="rId1"/>
    <sheet name="historicalGHG" sheetId="19" r:id="rId2"/>
    <sheet name="scenassumptions" sheetId="20" r:id="rId3"/>
  </sheets>
  <externalReferences>
    <externalReference r:id="rId4"/>
  </externalReferences>
  <definedNames>
    <definedName name="_xlnm._FilterDatabase" localSheetId="1" hidden="1">historicalGHG!$A$1:$AH$286</definedName>
    <definedName name="BE" localSheetId="0">#REF!</definedName>
    <definedName name="BE">#REF!</definedName>
    <definedName name="bel" localSheetId="0">#REF!</definedName>
    <definedName name="bel">#REF!</definedName>
    <definedName name="dsg" localSheetId="0">#REF!</definedName>
    <definedName name="dsg">#REF!</definedName>
    <definedName name="Scenario" localSheetId="0">[1]BioCrops!$G$1</definedName>
    <definedName name="Scenario">#REF!</definedName>
    <definedName name="Summer" localSheetId="0">#REF!</definedName>
    <definedName name="Summer">#REF!</definedName>
    <definedName name="Summer1" localSheetId="0">#REF!</definedName>
    <definedName name="Summer1">#REF!</definedName>
    <definedName name="ToeTJ" localSheetId="0">#REF!</definedName>
    <definedName name="ToeTJ">#REF!</definedName>
    <definedName name="TSeg" localSheetId="0">#REF!</definedName>
    <definedName name="TSeg">#REF!</definedName>
    <definedName name="TSEG1" localSheetId="0">#REF!</definedName>
    <definedName name="TSEG1">#REF!</definedName>
    <definedName name="TSEG2" localSheetId="0">#REF!</definedName>
    <definedName name="TSEG2">#REF!</definedName>
    <definedName name="TSEG3" localSheetId="0">#REF!</definedName>
    <definedName name="TSEG3">#REF!</definedName>
    <definedName name="TSEG4" localSheetId="0">#REF!</definedName>
    <definedName name="TSEG4">#REF!</definedName>
    <definedName name="TSEG5" localSheetId="0">#REF!</definedName>
    <definedName name="TSEG5">#REF!</definedName>
    <definedName name="Winter" localSheetId="0">#REF!</definedName>
    <definedName name="Winter">#REF!</definedName>
    <definedName name="XLSIMSIM" hidden="1">{"Sim",1,"normal","'Costs'!$Q$8","1","2","100","0"}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43" i="18" l="1"/>
  <c r="AQ43" i="18" s="1"/>
  <c r="L43" i="18"/>
  <c r="M43" i="18"/>
  <c r="N43" i="18"/>
  <c r="O43" i="18"/>
  <c r="P43" i="18"/>
  <c r="Q43" i="18"/>
  <c r="R43" i="18"/>
  <c r="S43" i="18"/>
  <c r="T43" i="18"/>
  <c r="U43" i="18"/>
  <c r="V43" i="18"/>
  <c r="W43" i="18"/>
  <c r="X43" i="18"/>
  <c r="Y43" i="18"/>
  <c r="Z43" i="18"/>
  <c r="AA43" i="18"/>
  <c r="AB43" i="18"/>
  <c r="AC43" i="18"/>
  <c r="AD43" i="18"/>
  <c r="AE43" i="18"/>
  <c r="AF43" i="18"/>
  <c r="AG43" i="18"/>
  <c r="AH43" i="18"/>
  <c r="AI43" i="18"/>
  <c r="AJ43" i="18"/>
  <c r="AK43" i="18"/>
  <c r="AL43" i="18"/>
  <c r="AM43" i="18"/>
  <c r="AN43" i="18"/>
  <c r="K43" i="18"/>
  <c r="L28" i="18"/>
  <c r="M28" i="18"/>
  <c r="N28" i="18"/>
  <c r="O28" i="18"/>
  <c r="P28" i="18"/>
  <c r="Q28" i="18"/>
  <c r="R28" i="18"/>
  <c r="S28" i="18"/>
  <c r="T28" i="18"/>
  <c r="U28" i="18"/>
  <c r="V28" i="18"/>
  <c r="W28" i="18"/>
  <c r="X28" i="18"/>
  <c r="Y28" i="18"/>
  <c r="Z28" i="18"/>
  <c r="AA28" i="18"/>
  <c r="AB28" i="18"/>
  <c r="AC28" i="18"/>
  <c r="AD28" i="18"/>
  <c r="AE28" i="18"/>
  <c r="AF28" i="18"/>
  <c r="AG28" i="18"/>
  <c r="AH28" i="18"/>
  <c r="AI28" i="18"/>
  <c r="AJ28" i="18"/>
  <c r="AK28" i="18"/>
  <c r="AL28" i="18"/>
  <c r="AM28" i="18"/>
  <c r="AN28" i="18"/>
  <c r="K28" i="18"/>
  <c r="J11" i="20"/>
  <c r="J12" i="20"/>
  <c r="J13" i="20"/>
  <c r="J14" i="20"/>
  <c r="J10" i="20"/>
  <c r="AH31" i="18"/>
  <c r="AH33" i="18"/>
  <c r="N31" i="18"/>
  <c r="AR32" i="18"/>
  <c r="AR31" i="18"/>
  <c r="AO31" i="18" s="1"/>
  <c r="I11" i="20"/>
  <c r="I12" i="20"/>
  <c r="I13" i="20"/>
  <c r="I14" i="20"/>
  <c r="I10" i="20"/>
  <c r="I2" i="20"/>
  <c r="O10" i="20" l="1"/>
  <c r="O11" i="20"/>
  <c r="O12" i="20"/>
  <c r="O13" i="20"/>
  <c r="O14" i="20"/>
  <c r="O9" i="20"/>
  <c r="L10" i="20"/>
  <c r="L11" i="20"/>
  <c r="L12" i="20"/>
  <c r="L13" i="20"/>
  <c r="L14" i="20"/>
  <c r="L9" i="20"/>
  <c r="AB294" i="19" l="1"/>
  <c r="AB293" i="19"/>
  <c r="AB292" i="19"/>
  <c r="AB291" i="19"/>
  <c r="AB290" i="19"/>
  <c r="U294" i="19"/>
  <c r="U293" i="19"/>
  <c r="U292" i="19"/>
  <c r="U291" i="19"/>
  <c r="U290" i="19"/>
  <c r="H291" i="19"/>
  <c r="H292" i="19"/>
  <c r="H293" i="19"/>
  <c r="H294" i="19"/>
  <c r="H290" i="19"/>
  <c r="E12" i="20" l="1"/>
  <c r="E14" i="20"/>
  <c r="C12" i="20"/>
  <c r="C14" i="20"/>
  <c r="F12" i="20"/>
  <c r="F14" i="20"/>
  <c r="F10" i="20"/>
  <c r="E10" i="20"/>
  <c r="C10" i="20"/>
  <c r="Y14" i="20"/>
  <c r="Y12" i="20"/>
  <c r="Y13" i="20" s="1"/>
  <c r="W14" i="20"/>
  <c r="W12" i="20"/>
  <c r="W13" i="20" s="1"/>
  <c r="D12" i="20"/>
  <c r="D14" i="20"/>
  <c r="D10" i="20"/>
  <c r="O28" i="20" l="1"/>
  <c r="O27" i="20"/>
  <c r="O24" i="20"/>
  <c r="P24" i="20" s="1"/>
  <c r="M24" i="20"/>
  <c r="L25" i="20"/>
  <c r="N25" i="20" s="1"/>
  <c r="N26" i="20"/>
  <c r="O26" i="20" s="1"/>
  <c r="L26" i="20"/>
  <c r="X10" i="20" s="1"/>
  <c r="A13" i="20"/>
  <c r="A11" i="20"/>
  <c r="E5" i="20"/>
  <c r="AI3" i="19"/>
  <c r="AI4" i="19"/>
  <c r="AI5" i="19"/>
  <c r="AI6" i="19"/>
  <c r="AI7" i="19"/>
  <c r="AI8" i="19"/>
  <c r="AI9" i="19"/>
  <c r="AI10" i="19"/>
  <c r="AI11" i="19"/>
  <c r="AI12" i="19"/>
  <c r="AI13" i="19"/>
  <c r="AI14" i="19"/>
  <c r="AI15" i="19"/>
  <c r="AI16" i="19"/>
  <c r="AI17" i="19"/>
  <c r="AI18" i="19"/>
  <c r="AI19" i="19"/>
  <c r="AI20" i="19"/>
  <c r="AI21" i="19"/>
  <c r="AI22" i="19"/>
  <c r="Z5" i="20" s="1"/>
  <c r="AI23" i="19"/>
  <c r="Z6" i="20" s="1"/>
  <c r="AI24" i="19"/>
  <c r="Z7" i="20" s="1"/>
  <c r="AI25" i="19"/>
  <c r="Z8" i="20" s="1"/>
  <c r="AI26" i="19"/>
  <c r="AI27" i="19"/>
  <c r="AI28" i="19"/>
  <c r="AI29" i="19"/>
  <c r="AI30" i="19"/>
  <c r="AI31" i="19"/>
  <c r="AI32" i="19"/>
  <c r="AI33" i="19"/>
  <c r="AI34" i="19"/>
  <c r="AI35" i="19"/>
  <c r="AI36" i="19"/>
  <c r="AI37" i="19"/>
  <c r="AA5" i="20" s="1"/>
  <c r="AI38" i="19"/>
  <c r="AA6" i="20" s="1"/>
  <c r="AI39" i="19"/>
  <c r="AA7" i="20" s="1"/>
  <c r="AI40" i="19"/>
  <c r="AA8" i="20" s="1"/>
  <c r="AA9" i="20" s="1"/>
  <c r="AA10" i="20" s="1"/>
  <c r="AA11" i="20" s="1"/>
  <c r="AA12" i="20" s="1"/>
  <c r="AA13" i="20" s="1"/>
  <c r="AA14" i="20" s="1"/>
  <c r="AI41" i="19"/>
  <c r="AI42" i="19"/>
  <c r="AI43" i="19"/>
  <c r="AI44" i="19"/>
  <c r="AI45" i="19"/>
  <c r="AI46" i="19"/>
  <c r="AI47" i="19"/>
  <c r="AI48" i="19"/>
  <c r="AI49" i="19"/>
  <c r="AI50" i="19"/>
  <c r="AI51" i="19"/>
  <c r="AI52" i="19"/>
  <c r="AI53" i="19"/>
  <c r="AI54" i="19"/>
  <c r="AI55" i="19"/>
  <c r="AI56" i="19"/>
  <c r="AI57" i="19"/>
  <c r="AI58" i="19"/>
  <c r="AI59" i="19"/>
  <c r="AI60" i="19"/>
  <c r="AI61" i="19"/>
  <c r="AI62" i="19"/>
  <c r="AI63" i="19"/>
  <c r="AI64" i="19"/>
  <c r="AI65" i="19"/>
  <c r="AI66" i="19"/>
  <c r="AI67" i="19"/>
  <c r="AI68" i="19"/>
  <c r="AI69" i="19"/>
  <c r="AI70" i="19"/>
  <c r="AI71" i="19"/>
  <c r="AI72" i="19"/>
  <c r="AI73" i="19"/>
  <c r="AI74" i="19"/>
  <c r="AI75" i="19"/>
  <c r="AI76" i="19"/>
  <c r="AI77" i="19"/>
  <c r="AI78" i="19"/>
  <c r="AI79" i="19"/>
  <c r="AI80" i="19"/>
  <c r="AI81" i="19"/>
  <c r="AI82" i="19"/>
  <c r="AI83" i="19"/>
  <c r="AI84" i="19"/>
  <c r="AI85" i="19"/>
  <c r="AI86" i="19"/>
  <c r="AI87" i="19"/>
  <c r="AI88" i="19"/>
  <c r="AI89" i="19"/>
  <c r="AI90" i="19"/>
  <c r="AI91" i="19"/>
  <c r="AI92" i="19"/>
  <c r="AI93" i="19"/>
  <c r="AI94" i="19"/>
  <c r="AI95" i="19"/>
  <c r="AI96" i="19"/>
  <c r="AI97" i="19"/>
  <c r="AI98" i="19"/>
  <c r="AI99" i="19"/>
  <c r="AI100" i="19"/>
  <c r="AI101" i="19"/>
  <c r="AI102" i="19"/>
  <c r="AI103" i="19"/>
  <c r="AI104" i="19"/>
  <c r="AI105" i="19"/>
  <c r="AI106" i="19"/>
  <c r="AI107" i="19"/>
  <c r="AI108" i="19"/>
  <c r="AI109" i="19"/>
  <c r="AI110" i="19"/>
  <c r="AI111" i="19"/>
  <c r="AI112" i="19"/>
  <c r="AI113" i="19"/>
  <c r="AI114" i="19"/>
  <c r="AI115" i="19"/>
  <c r="AI116" i="19"/>
  <c r="AI117" i="19"/>
  <c r="AI118" i="19"/>
  <c r="AI119" i="19"/>
  <c r="AI120" i="19"/>
  <c r="AI121" i="19"/>
  <c r="AI122" i="19"/>
  <c r="AI123" i="19"/>
  <c r="AI124" i="19"/>
  <c r="AI125" i="19"/>
  <c r="AI126" i="19"/>
  <c r="AI127" i="19"/>
  <c r="AB5" i="20" s="1"/>
  <c r="AI128" i="19"/>
  <c r="AB6" i="20" s="1"/>
  <c r="AI129" i="19"/>
  <c r="AB7" i="20" s="1"/>
  <c r="AB12" i="20" s="1"/>
  <c r="AB13" i="20" s="1"/>
  <c r="AI130" i="19"/>
  <c r="AB8" i="20" s="1"/>
  <c r="AI131" i="19"/>
  <c r="AI132" i="19"/>
  <c r="AI133" i="19"/>
  <c r="AI134" i="19"/>
  <c r="AI135" i="19"/>
  <c r="AI136" i="19"/>
  <c r="AI137" i="19"/>
  <c r="AI138" i="19"/>
  <c r="AI139" i="19"/>
  <c r="AI140" i="19"/>
  <c r="AI141" i="19"/>
  <c r="AI142" i="19"/>
  <c r="AI143" i="19"/>
  <c r="AI144" i="19"/>
  <c r="AI145" i="19"/>
  <c r="AI146" i="19"/>
  <c r="AI147" i="19"/>
  <c r="AI148" i="19"/>
  <c r="AI149" i="19"/>
  <c r="AI150" i="19"/>
  <c r="AI151" i="19"/>
  <c r="AI152" i="19"/>
  <c r="AI153" i="19"/>
  <c r="AI154" i="19"/>
  <c r="AI155" i="19"/>
  <c r="AI156" i="19"/>
  <c r="AI157" i="19"/>
  <c r="AC5" i="20" s="1"/>
  <c r="AI158" i="19"/>
  <c r="AC6" i="20" s="1"/>
  <c r="AI159" i="19"/>
  <c r="AC7" i="20" s="1"/>
  <c r="AI160" i="19"/>
  <c r="AC8" i="20" s="1"/>
  <c r="AC9" i="20" s="1"/>
  <c r="AC10" i="20" s="1"/>
  <c r="AC11" i="20" s="1"/>
  <c r="AC12" i="20" s="1"/>
  <c r="AC13" i="20" s="1"/>
  <c r="AC14" i="20" s="1"/>
  <c r="AI161" i="19"/>
  <c r="AI162" i="19"/>
  <c r="AI163" i="19"/>
  <c r="AI164" i="19"/>
  <c r="AI165" i="19"/>
  <c r="AI166" i="19"/>
  <c r="AI167" i="19"/>
  <c r="AI168" i="19"/>
  <c r="AI169" i="19"/>
  <c r="AI170" i="19"/>
  <c r="AI171" i="19"/>
  <c r="AI172" i="19"/>
  <c r="W5" i="20" s="1"/>
  <c r="AI173" i="19"/>
  <c r="W6" i="20" s="1"/>
  <c r="AI174" i="19"/>
  <c r="W7" i="20" s="1"/>
  <c r="AI175" i="19"/>
  <c r="W8" i="20" s="1"/>
  <c r="W9" i="20" s="1"/>
  <c r="W10" i="20" s="1"/>
  <c r="W11" i="20" s="1"/>
  <c r="AI176" i="19"/>
  <c r="AI177" i="19"/>
  <c r="AI178" i="19"/>
  <c r="AI179" i="19"/>
  <c r="AI180" i="19"/>
  <c r="AI181" i="19"/>
  <c r="AI182" i="19"/>
  <c r="AI183" i="19"/>
  <c r="AI184" i="19"/>
  <c r="AI185" i="19"/>
  <c r="AI186" i="19"/>
  <c r="AI187" i="19"/>
  <c r="X5" i="20" s="1"/>
  <c r="AI188" i="19"/>
  <c r="X6" i="20" s="1"/>
  <c r="AI189" i="19"/>
  <c r="X7" i="20" s="1"/>
  <c r="AI190" i="19"/>
  <c r="X8" i="20" s="1"/>
  <c r="AI191" i="19"/>
  <c r="AI192" i="19"/>
  <c r="AI193" i="19"/>
  <c r="AI194" i="19"/>
  <c r="AI195" i="19"/>
  <c r="AI196" i="19"/>
  <c r="AI197" i="19"/>
  <c r="AI198" i="19"/>
  <c r="AI199" i="19"/>
  <c r="AI200" i="19"/>
  <c r="AI201" i="19"/>
  <c r="AI202" i="19"/>
  <c r="Y5" i="20" s="1"/>
  <c r="AI203" i="19"/>
  <c r="Y6" i="20" s="1"/>
  <c r="AI204" i="19"/>
  <c r="Y7" i="20" s="1"/>
  <c r="AI205" i="19"/>
  <c r="Y8" i="20" s="1"/>
  <c r="Y9" i="20" s="1"/>
  <c r="Y10" i="20" s="1"/>
  <c r="Y11" i="20" s="1"/>
  <c r="AI206" i="19"/>
  <c r="AI207" i="19"/>
  <c r="AI208" i="19"/>
  <c r="AI209" i="19"/>
  <c r="AI210" i="19"/>
  <c r="AI211" i="19"/>
  <c r="AI212" i="19"/>
  <c r="L5" i="20" s="1"/>
  <c r="AI213" i="19"/>
  <c r="L6" i="20" s="1"/>
  <c r="AI214" i="19"/>
  <c r="L7" i="20" s="1"/>
  <c r="AI215" i="19"/>
  <c r="L8" i="20" s="1"/>
  <c r="AI216" i="19"/>
  <c r="AI217" i="19"/>
  <c r="AI218" i="19"/>
  <c r="AI219" i="19"/>
  <c r="AI220" i="19"/>
  <c r="AI221" i="19"/>
  <c r="AI222" i="19"/>
  <c r="AI223" i="19"/>
  <c r="AI224" i="19"/>
  <c r="AI225" i="19"/>
  <c r="AI226" i="19"/>
  <c r="AI227" i="19"/>
  <c r="O5" i="20" s="1"/>
  <c r="AI228" i="19"/>
  <c r="O6" i="20" s="1"/>
  <c r="AI229" i="19"/>
  <c r="O7" i="20" s="1"/>
  <c r="AI230" i="19"/>
  <c r="O8" i="20" s="1"/>
  <c r="AI231" i="19"/>
  <c r="AI232" i="19"/>
  <c r="AI233" i="19"/>
  <c r="AI234" i="19"/>
  <c r="AI235" i="19"/>
  <c r="AI236" i="19"/>
  <c r="AI237" i="19"/>
  <c r="AI238" i="19"/>
  <c r="AI239" i="19"/>
  <c r="AI240" i="19"/>
  <c r="AI241" i="19"/>
  <c r="AI242" i="19"/>
  <c r="AI243" i="19"/>
  <c r="AI244" i="19"/>
  <c r="AI245" i="19"/>
  <c r="AI246" i="19"/>
  <c r="AI247" i="19"/>
  <c r="J5" i="20" s="1"/>
  <c r="AI248" i="19"/>
  <c r="J6" i="20" s="1"/>
  <c r="AI249" i="19"/>
  <c r="J7" i="20" s="1"/>
  <c r="AI250" i="19"/>
  <c r="J8" i="20" s="1"/>
  <c r="AI251" i="19"/>
  <c r="AI252" i="19"/>
  <c r="AI253" i="19"/>
  <c r="AI254" i="19"/>
  <c r="AI255" i="19"/>
  <c r="AI256" i="19"/>
  <c r="AI257" i="19"/>
  <c r="K5" i="20" s="1"/>
  <c r="I5" i="20" s="1"/>
  <c r="AI258" i="19"/>
  <c r="K6" i="20" s="1"/>
  <c r="I6" i="20" s="1"/>
  <c r="F7" i="18" s="1"/>
  <c r="AI259" i="19"/>
  <c r="K7" i="20" s="1"/>
  <c r="I7" i="20" s="1"/>
  <c r="F8" i="18" s="1"/>
  <c r="AI260" i="19"/>
  <c r="K8" i="20" s="1"/>
  <c r="I8" i="20" s="1"/>
  <c r="F9" i="18" s="1"/>
  <c r="AI261" i="19"/>
  <c r="AI262" i="19"/>
  <c r="AI263" i="19"/>
  <c r="AI264" i="19"/>
  <c r="AI265" i="19"/>
  <c r="AI266" i="19"/>
  <c r="AI267" i="19"/>
  <c r="V5" i="20" s="1"/>
  <c r="AI268" i="19"/>
  <c r="V6" i="20" s="1"/>
  <c r="AI269" i="19"/>
  <c r="V7" i="20" s="1"/>
  <c r="AI270" i="19"/>
  <c r="V8" i="20" s="1"/>
  <c r="AI271" i="19"/>
  <c r="AI272" i="19"/>
  <c r="AI273" i="19"/>
  <c r="AI274" i="19"/>
  <c r="AI275" i="19"/>
  <c r="AI276" i="19"/>
  <c r="AI277" i="19"/>
  <c r="AI278" i="19"/>
  <c r="AI279" i="19"/>
  <c r="AI280" i="19"/>
  <c r="AI281" i="19"/>
  <c r="AI282" i="19"/>
  <c r="AI283" i="19"/>
  <c r="AI284" i="19"/>
  <c r="AI285" i="19"/>
  <c r="AI286" i="19"/>
  <c r="AI2" i="19"/>
  <c r="E291" i="19"/>
  <c r="E292" i="19"/>
  <c r="E293" i="19"/>
  <c r="E294" i="19"/>
  <c r="E290" i="19"/>
  <c r="D291" i="19"/>
  <c r="D292" i="19"/>
  <c r="D293" i="19"/>
  <c r="D294" i="19"/>
  <c r="D290" i="19"/>
  <c r="P20" i="18"/>
  <c r="N20" i="18"/>
  <c r="AA27" i="18" s="1"/>
  <c r="AL42" i="18" l="1"/>
  <c r="W40" i="18"/>
  <c r="X12" i="20"/>
  <c r="X14" i="20" s="1"/>
  <c r="X11" i="20"/>
  <c r="P26" i="20"/>
  <c r="T6" i="20"/>
  <c r="S6" i="20"/>
  <c r="T7" i="20"/>
  <c r="S7" i="20"/>
  <c r="T5" i="20"/>
  <c r="S5" i="20"/>
  <c r="P25" i="20"/>
  <c r="O25" i="20"/>
  <c r="T14" i="20"/>
  <c r="S14" i="20"/>
  <c r="E11" i="20"/>
  <c r="D11" i="20"/>
  <c r="C11" i="20"/>
  <c r="F11" i="20"/>
  <c r="S8" i="20"/>
  <c r="T8" i="20"/>
  <c r="E13" i="20"/>
  <c r="D13" i="20"/>
  <c r="C13" i="20"/>
  <c r="F13" i="20"/>
  <c r="M25" i="20"/>
  <c r="F290" i="19"/>
  <c r="F293" i="19"/>
  <c r="F292" i="19"/>
  <c r="AE27" i="18"/>
  <c r="AD27" i="18"/>
  <c r="AC27" i="18"/>
  <c r="N26" i="18"/>
  <c r="AB29" i="18"/>
  <c r="M26" i="18"/>
  <c r="K41" i="18"/>
  <c r="AI27" i="18"/>
  <c r="AB27" i="18"/>
  <c r="AN42" i="18"/>
  <c r="AM42" i="18"/>
  <c r="AG41" i="18"/>
  <c r="AA40" i="18"/>
  <c r="Z40" i="18"/>
  <c r="V40" i="18"/>
  <c r="U40" i="18"/>
  <c r="T40" i="18"/>
  <c r="U5" i="20"/>
  <c r="Z27" i="18"/>
  <c r="AD41" i="18"/>
  <c r="Y27" i="18"/>
  <c r="AC41" i="18"/>
  <c r="Z42" i="18"/>
  <c r="AL26" i="18"/>
  <c r="AB41" i="18"/>
  <c r="AK26" i="18"/>
  <c r="AA41" i="18"/>
  <c r="AJ26" i="18"/>
  <c r="Z41" i="18"/>
  <c r="AF40" i="18"/>
  <c r="AI26" i="18"/>
  <c r="Y41" i="18"/>
  <c r="AH26" i="18"/>
  <c r="X41" i="18"/>
  <c r="K26" i="18"/>
  <c r="AG26" i="18"/>
  <c r="W41" i="18"/>
  <c r="AK29" i="18"/>
  <c r="AF26" i="18"/>
  <c r="V41" i="18"/>
  <c r="AJ29" i="18"/>
  <c r="AE26" i="18"/>
  <c r="U41" i="18"/>
  <c r="AI29" i="18"/>
  <c r="AD26" i="18"/>
  <c r="AE40" i="18"/>
  <c r="AE29" i="18"/>
  <c r="AC26" i="18"/>
  <c r="AD40" i="18"/>
  <c r="AD29" i="18"/>
  <c r="AB26" i="18"/>
  <c r="AC40" i="18"/>
  <c r="AC29" i="18"/>
  <c r="AA26" i="18"/>
  <c r="AB40" i="18"/>
  <c r="AH27" i="18"/>
  <c r="L26" i="18"/>
  <c r="Y40" i="18"/>
  <c r="AG27" i="18"/>
  <c r="K40" i="18"/>
  <c r="X40" i="18"/>
  <c r="AF27" i="18"/>
  <c r="K42" i="18"/>
  <c r="U7" i="20"/>
  <c r="V9" i="20"/>
  <c r="U8" i="20"/>
  <c r="U14" i="20"/>
  <c r="U6" i="20"/>
  <c r="AG8" i="20"/>
  <c r="AG7" i="20"/>
  <c r="AG6" i="20"/>
  <c r="AG5" i="20"/>
  <c r="AB9" i="20"/>
  <c r="AB10" i="20" s="1"/>
  <c r="AB11" i="20" s="1"/>
  <c r="X13" i="20"/>
  <c r="X9" i="20"/>
  <c r="Z9" i="20"/>
  <c r="Z10" i="20" s="1"/>
  <c r="Z11" i="20" s="1"/>
  <c r="Z12" i="20" s="1"/>
  <c r="Z13" i="20" s="1"/>
  <c r="Z29" i="18"/>
  <c r="Z26" i="18"/>
  <c r="U42" i="18"/>
  <c r="T42" i="18"/>
  <c r="S42" i="18"/>
  <c r="AM40" i="18"/>
  <c r="M29" i="18"/>
  <c r="P27" i="18"/>
  <c r="U26" i="18"/>
  <c r="Q42" i="18"/>
  <c r="AL40" i="18"/>
  <c r="N40" i="18"/>
  <c r="AA29" i="18"/>
  <c r="X27" i="18"/>
  <c r="V42" i="18"/>
  <c r="R41" i="18"/>
  <c r="Q40" i="18"/>
  <c r="T29" i="18"/>
  <c r="L29" i="18"/>
  <c r="O27" i="18"/>
  <c r="T26" i="18"/>
  <c r="P42" i="18"/>
  <c r="AK40" i="18"/>
  <c r="M40" i="18"/>
  <c r="W42" i="18"/>
  <c r="S41" i="18"/>
  <c r="R40" i="18"/>
  <c r="U29" i="18"/>
  <c r="Q27" i="18"/>
  <c r="N27" i="18"/>
  <c r="S26" i="18"/>
  <c r="O42" i="18"/>
  <c r="AJ40" i="18"/>
  <c r="L40" i="18"/>
  <c r="X42" i="18"/>
  <c r="T41" i="18"/>
  <c r="S40" i="18"/>
  <c r="V29" i="18"/>
  <c r="R27" i="18"/>
  <c r="R42" i="18"/>
  <c r="AM27" i="18"/>
  <c r="M27" i="18"/>
  <c r="R26" i="18"/>
  <c r="N42" i="18"/>
  <c r="AI40" i="18"/>
  <c r="Y42" i="18"/>
  <c r="W29" i="18"/>
  <c r="S27" i="18"/>
  <c r="W26" i="18"/>
  <c r="V26" i="18"/>
  <c r="AL27" i="18"/>
  <c r="L27" i="18"/>
  <c r="Q26" i="18"/>
  <c r="AJ41" i="18"/>
  <c r="AH40" i="18"/>
  <c r="Y29" i="18"/>
  <c r="W27" i="18"/>
  <c r="Y26" i="18"/>
  <c r="X26" i="18"/>
  <c r="AN40" i="18"/>
  <c r="AN27" i="18"/>
  <c r="AK27" i="18"/>
  <c r="AN26" i="18"/>
  <c r="P26" i="18"/>
  <c r="AI41" i="18"/>
  <c r="AG40" i="18"/>
  <c r="X29" i="18"/>
  <c r="T27" i="18"/>
  <c r="Q41" i="18"/>
  <c r="P40" i="18"/>
  <c r="O40" i="18"/>
  <c r="F291" i="19"/>
  <c r="AJ27" i="18"/>
  <c r="AM26" i="18"/>
  <c r="O26" i="18"/>
  <c r="AH41" i="18"/>
  <c r="S29" i="18"/>
  <c r="K29" i="18"/>
  <c r="AJ42" i="18"/>
  <c r="K27" i="18"/>
  <c r="Q29" i="18"/>
  <c r="V27" i="18"/>
  <c r="AI42" i="18"/>
  <c r="AN41" i="18"/>
  <c r="P41" i="18"/>
  <c r="AK42" i="18"/>
  <c r="R29" i="18"/>
  <c r="L42" i="18"/>
  <c r="AN29" i="18"/>
  <c r="P29" i="18"/>
  <c r="U27" i="18"/>
  <c r="AH42" i="18"/>
  <c r="AM41" i="18"/>
  <c r="O41" i="18"/>
  <c r="M42" i="18"/>
  <c r="AM29" i="18"/>
  <c r="O29" i="18"/>
  <c r="AG42" i="18"/>
  <c r="AL41" i="18"/>
  <c r="N41" i="18"/>
  <c r="AL29" i="18"/>
  <c r="N29" i="18"/>
  <c r="AF42" i="18"/>
  <c r="AK41" i="18"/>
  <c r="M41" i="18"/>
  <c r="AE42" i="18"/>
  <c r="L41" i="18"/>
  <c r="AD42" i="18"/>
  <c r="AC42" i="18"/>
  <c r="AB42" i="18"/>
  <c r="F294" i="19"/>
  <c r="AG29" i="18"/>
  <c r="AA42" i="18"/>
  <c r="AF41" i="18"/>
  <c r="AH29" i="18"/>
  <c r="AF29" i="18"/>
  <c r="AE41" i="18"/>
  <c r="S9" i="20" l="1"/>
  <c r="T9" i="20"/>
  <c r="F14" i="18"/>
  <c r="AR41" i="18"/>
  <c r="AQ41" i="18" s="1"/>
  <c r="V10" i="20"/>
  <c r="U9" i="20"/>
  <c r="AR26" i="18"/>
  <c r="AQ26" i="18" s="1"/>
  <c r="AR40" i="18"/>
  <c r="AQ40" i="18" s="1"/>
  <c r="AR29" i="18"/>
  <c r="AQ29" i="18" s="1"/>
  <c r="AR27" i="18"/>
  <c r="AQ27" i="18" s="1"/>
  <c r="AR42" i="18"/>
  <c r="AQ42" i="18" s="1"/>
  <c r="S10" i="20" l="1"/>
  <c r="T10" i="20"/>
  <c r="V11" i="20"/>
  <c r="U10" i="20"/>
  <c r="S11" i="20" l="1"/>
  <c r="T11" i="20"/>
  <c r="F10" i="18"/>
  <c r="V12" i="20"/>
  <c r="U11" i="20"/>
  <c r="S12" i="20" l="1"/>
  <c r="T12" i="20"/>
  <c r="F11" i="18"/>
  <c r="V13" i="20"/>
  <c r="U12" i="20"/>
  <c r="U13" i="20" l="1"/>
  <c r="S13" i="20"/>
  <c r="T13" i="20"/>
  <c r="F13" i="18" s="1"/>
  <c r="F12" i="18"/>
  <c r="F15" i="18" s="1"/>
  <c r="AM101" i="18"/>
  <c r="AM100" i="18"/>
  <c r="AJ102" i="18" l="1"/>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AJ92" i="18"/>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G92" i="18"/>
  <c r="F58" i="18"/>
  <c r="F70" i="18" s="1"/>
  <c r="F56" i="18" l="1"/>
  <c r="F57" i="18" s="1"/>
  <c r="AM102" i="18"/>
  <c r="AM92" i="18"/>
  <c r="F71" i="18"/>
  <c r="F68" i="18"/>
  <c r="F59" i="18"/>
  <c r="F55" i="18" l="1"/>
  <c r="F67" i="18"/>
  <c r="F6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Johanna Markkanen</author>
  </authors>
  <commentList>
    <comment ref="B3" authorId="0" shapeId="0" xr:uid="{00000000-0006-0000-0000-000001000000}">
      <text>
        <r>
          <rPr>
            <sz val="8"/>
            <color indexed="81"/>
            <rFont val="Tahoma"/>
            <family val="2"/>
          </rPr>
          <t xml:space="preserve"> "R_S" to sum across regions</t>
        </r>
      </text>
    </comment>
    <comment ref="AA25" authorId="1" shapeId="0" xr:uid="{9BA0FBD9-62D8-4B34-9612-21F33ED3F144}">
      <text>
        <r>
          <rPr>
            <b/>
            <sz val="9"/>
            <color indexed="81"/>
            <rFont val="Tahoma"/>
            <family val="2"/>
          </rPr>
          <t>Johanna Markkanen:</t>
        </r>
        <r>
          <rPr>
            <sz val="9"/>
            <color indexed="81"/>
            <rFont val="Tahoma"/>
            <family val="2"/>
          </rPr>
          <t xml:space="preserve">
Iceland’s emissions profile is in many ways unusual. Almost all heating and electricity generation is provided for by renewables; hydro- and geothermal energy. The
biggest source of emissions (not counting LULUCF) is industrial processes, mainly
from aluminium and ferrosilicon production, that fall under the EU ETS. In 2019 38%
of Iceland’s emissions, without LULUCF, fell under the EU EST. Other sectors with
the highest share of emissions were road transport, agriculture, fisheries and waste
management</t>
        </r>
      </text>
    </comment>
    <comment ref="AH25" authorId="1" shapeId="0" xr:uid="{CA53A6F3-863D-4274-BB0F-2980559DB90E}">
      <text>
        <r>
          <rPr>
            <b/>
            <sz val="9"/>
            <color indexed="81"/>
            <rFont val="Tahoma"/>
            <family val="2"/>
          </rPr>
          <t>Johanna Markkanen:</t>
        </r>
        <r>
          <rPr>
            <sz val="9"/>
            <color indexed="81"/>
            <rFont val="Tahoma"/>
            <family val="2"/>
          </rPr>
          <t xml:space="preserve">
https://www.sdg16.plus/policies/climate-change-act-and-its-policies-norway/</t>
        </r>
      </text>
    </comment>
    <comment ref="AO27" authorId="1" shapeId="0" xr:uid="{1205B061-DDB5-4399-A05C-40274392F3F4}">
      <text>
        <r>
          <rPr>
            <b/>
            <sz val="9"/>
            <color indexed="81"/>
            <rFont val="Tahoma"/>
            <family val="2"/>
          </rPr>
          <t>Johanna Markkanen:</t>
        </r>
        <r>
          <rPr>
            <sz val="9"/>
            <color indexed="81"/>
            <rFont val="Tahoma"/>
            <family val="2"/>
          </rPr>
          <t xml:space="preserve">
https://www.gov.uk/government/statistics/final-uk-greenhouse-gas-emissions-national-statistics-1990-2015</t>
        </r>
      </text>
    </comment>
    <comment ref="N31" authorId="1" shapeId="0" xr:uid="{16A25BCA-F11A-4D70-BE4C-A6C145BAD4E3}">
      <text>
        <r>
          <rPr>
            <b/>
            <sz val="9"/>
            <color indexed="81"/>
            <rFont val="Tahoma"/>
            <family val="2"/>
          </rPr>
          <t>Johanna Markkanen:</t>
        </r>
        <r>
          <rPr>
            <sz val="9"/>
            <color indexed="81"/>
            <rFont val="Tahoma"/>
            <family val="2"/>
          </rPr>
          <t xml:space="preserve">
“By 2035, Switzerland should reduce its greenhouse gas emissions (GHG) by at least 65% compared to 1990 levels, and by 59% on average between 2031 and 2035,” the government announced on Wednesday. Switzerland had previously committed to cutting GHG emissions by 50% by 2030 from 1990 levels</t>
        </r>
      </text>
    </comment>
    <comment ref="AO31" authorId="1" shapeId="0" xr:uid="{3E9DB7FF-512D-4513-91AF-59FD648EFFDE}">
      <text>
        <r>
          <rPr>
            <b/>
            <sz val="9"/>
            <color indexed="81"/>
            <rFont val="Tahoma"/>
            <family val="2"/>
          </rPr>
          <t>Johanna Markkanen:</t>
        </r>
        <r>
          <rPr>
            <sz val="9"/>
            <color indexed="81"/>
            <rFont val="Tahoma"/>
            <family val="2"/>
          </rPr>
          <t xml:space="preserve">
The UK’s NDC target for 2030 was set in December 2020 and updated in
September 2022. In its NDC, the UK commits to reducing economy wide
greenhouse gas emissions by at least 68% by 2030, compared to a 1990
baseline.</t>
        </r>
      </text>
    </comment>
    <comment ref="B51" authorId="0" shapeId="0" xr:uid="{00000000-0006-0000-0000-000002000000}">
      <text>
        <r>
          <rPr>
            <b/>
            <sz val="8"/>
            <color indexed="81"/>
            <rFont val="Tahoma"/>
            <family val="2"/>
          </rPr>
          <t>Amit Kanudia:</t>
        </r>
        <r>
          <rPr>
            <sz val="8"/>
            <color indexed="81"/>
            <rFont val="Tahoma"/>
            <family val="2"/>
          </rPr>
          <t xml:space="preserve">
note the "R_S" to sum across regions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Johanna Markkanen</author>
  </authors>
  <commentList>
    <comment ref="X3" authorId="0" shapeId="0" xr:uid="{00000000-0006-0000-0200-000001000000}">
      <text>
        <r>
          <rPr>
            <b/>
            <sz val="9"/>
            <color indexed="81"/>
            <rFont val="Tahoma"/>
            <family val="2"/>
          </rPr>
          <t>Johanna Markkanen:</t>
        </r>
        <r>
          <rPr>
            <sz val="9"/>
            <color indexed="81"/>
            <rFont val="Tahoma"/>
            <family val="2"/>
          </rPr>
          <t xml:space="preserve">
LULUCF net removals are driven by the evolution of bioenergy demand in the scenario. </t>
        </r>
      </text>
    </comment>
    <comment ref="K4" authorId="0" shapeId="0" xr:uid="{00000000-0006-0000-0200-000002000000}">
      <text>
        <r>
          <rPr>
            <b/>
            <sz val="9"/>
            <color indexed="81"/>
            <rFont val="Tahoma"/>
            <family val="2"/>
          </rPr>
          <t>Johanna Markkanen:</t>
        </r>
        <r>
          <rPr>
            <sz val="9"/>
            <color indexed="81"/>
            <rFont val="Tahoma"/>
            <family val="2"/>
          </rPr>
          <t xml:space="preserve">
note! this is a sum class and includes bunk avi and navi.</t>
        </r>
      </text>
    </comment>
    <comment ref="L4" authorId="0" shapeId="0" xr:uid="{00000000-0006-0000-0200-000003000000}">
      <text>
        <r>
          <rPr>
            <b/>
            <sz val="9"/>
            <color indexed="81"/>
            <rFont val="Tahoma"/>
            <family val="2"/>
          </rPr>
          <t>Johanna Markkanen:</t>
        </r>
        <r>
          <rPr>
            <sz val="9"/>
            <color indexed="81"/>
            <rFont val="Tahoma"/>
            <family val="2"/>
          </rPr>
          <t xml:space="preserve">
in the model: Extra-EU aviation + Intra-EU aviation</t>
        </r>
      </text>
    </comment>
    <comment ref="Q4" authorId="0" shapeId="0" xr:uid="{00000000-0006-0000-0200-000004000000}">
      <text>
        <r>
          <rPr>
            <b/>
            <sz val="9"/>
            <color indexed="81"/>
            <rFont val="Tahoma"/>
            <family val="2"/>
          </rPr>
          <t>Johanna Markkanen:</t>
        </r>
        <r>
          <rPr>
            <sz val="9"/>
            <color indexed="81"/>
            <rFont val="Tahoma"/>
            <family val="2"/>
          </rPr>
          <t xml:space="preserve">
50 % accounted for in EU 2040 IA</t>
        </r>
      </text>
    </comment>
    <comment ref="X4" authorId="0" shapeId="0" xr:uid="{00000000-0006-0000-0200-000005000000}">
      <text>
        <r>
          <rPr>
            <b/>
            <sz val="9"/>
            <color indexed="81"/>
            <rFont val="Tahoma"/>
            <family val="2"/>
          </rPr>
          <t>Johanna Markkanen:</t>
        </r>
        <r>
          <rPr>
            <sz val="9"/>
            <color indexed="81"/>
            <rFont val="Tahoma"/>
            <family val="2"/>
          </rPr>
          <t xml:space="preserve">
LULUCF net removals have experienced rapid changes of the past years, and the future
evolution of this sector is uncertain. The level can vary depending on the effect of
policies or climate change impacts </t>
        </r>
      </text>
    </comment>
    <comment ref="AG5" authorId="0" shapeId="0" xr:uid="{00000000-0006-0000-0200-000006000000}">
      <text>
        <r>
          <rPr>
            <b/>
            <sz val="9"/>
            <color indexed="81"/>
            <rFont val="Tahoma"/>
            <family val="2"/>
          </rPr>
          <t>Johanna Markkanen:</t>
        </r>
        <r>
          <rPr>
            <sz val="9"/>
            <color indexed="81"/>
            <rFont val="Tahoma"/>
            <family val="2"/>
          </rPr>
          <t xml:space="preserve">
small error??</t>
        </r>
      </text>
    </comment>
    <comment ref="C9" authorId="0" shapeId="0" xr:uid="{00000000-0006-0000-0200-000007000000}">
      <text>
        <r>
          <rPr>
            <b/>
            <sz val="9"/>
            <color indexed="81"/>
            <rFont val="Tahoma"/>
            <family val="2"/>
          </rPr>
          <t>Johanna Markkanen:</t>
        </r>
        <r>
          <rPr>
            <sz val="9"/>
            <color indexed="81"/>
            <rFont val="Tahoma"/>
            <family val="2"/>
          </rPr>
          <t xml:space="preserve">
value for 2022, assume highest level for 2025
</t>
        </r>
      </text>
    </comment>
    <comment ref="M9" authorId="0" shapeId="0" xr:uid="{00000000-0006-0000-0200-000008000000}">
      <text>
        <r>
          <rPr>
            <b/>
            <sz val="9"/>
            <color indexed="81"/>
            <rFont val="Tahoma"/>
            <family val="2"/>
          </rPr>
          <t>Johanna Markkanen:</t>
        </r>
        <r>
          <rPr>
            <sz val="9"/>
            <color indexed="81"/>
            <rFont val="Tahoma"/>
            <family val="2"/>
          </rPr>
          <t xml:space="preserve">
from: REP-BAU 25.2.2025</t>
        </r>
      </text>
    </comment>
    <comment ref="P9" authorId="0" shapeId="0" xr:uid="{00000000-0006-0000-0200-000009000000}">
      <text>
        <r>
          <rPr>
            <b/>
            <sz val="9"/>
            <color indexed="81"/>
            <rFont val="Tahoma"/>
            <family val="2"/>
          </rPr>
          <t>Johanna Markkanen:</t>
        </r>
        <r>
          <rPr>
            <sz val="9"/>
            <color indexed="81"/>
            <rFont val="Tahoma"/>
            <family val="2"/>
          </rPr>
          <t xml:space="preserve">
Assumption: TRA_Bunk + LFO</t>
        </r>
      </text>
    </comment>
    <comment ref="Q9" authorId="0" shapeId="0" xr:uid="{00000000-0006-0000-0200-00000A000000}">
      <text>
        <r>
          <rPr>
            <b/>
            <sz val="9"/>
            <color indexed="81"/>
            <rFont val="Tahoma"/>
            <family val="2"/>
          </rPr>
          <t>Johanna Markkanen:</t>
        </r>
        <r>
          <rPr>
            <sz val="9"/>
            <color indexed="81"/>
            <rFont val="Tahoma"/>
            <family val="2"/>
          </rPr>
          <t xml:space="preserve">
Assumption: TRA_Bunk + HFO</t>
        </r>
      </text>
    </comment>
    <comment ref="X10" authorId="0" shapeId="0" xr:uid="{00000000-0006-0000-0200-00000B000000}">
      <text>
        <r>
          <rPr>
            <b/>
            <sz val="9"/>
            <color indexed="81"/>
            <rFont val="Tahoma"/>
            <family val="2"/>
          </rPr>
          <t>Johanna Markkanen:</t>
        </r>
        <r>
          <rPr>
            <sz val="9"/>
            <color indexed="81"/>
            <rFont val="Tahoma"/>
            <family val="2"/>
          </rPr>
          <t xml:space="preserve">
The EU has agreed on a new target to achieve 310 MtCO2 of net removals in 2030 according
to the amended LULUCF regulation (
141). There is no specific post-2030 policy framework
related to LULUCF emissions. </t>
        </r>
      </text>
    </comment>
    <comment ref="W12" authorId="0" shapeId="0" xr:uid="{00000000-0006-0000-0200-00000C000000}">
      <text>
        <r>
          <rPr>
            <b/>
            <sz val="9"/>
            <color indexed="81"/>
            <rFont val="Tahoma"/>
            <family val="2"/>
          </rPr>
          <t>Johanna Markkanen:</t>
        </r>
        <r>
          <rPr>
            <sz val="9"/>
            <color indexed="81"/>
            <rFont val="Tahoma"/>
            <family val="2"/>
          </rPr>
          <t xml:space="preserve">
S1-scenario in EU impact assessment 2040</t>
        </r>
      </text>
    </comment>
    <comment ref="Y12" authorId="0" shapeId="0" xr:uid="{00000000-0006-0000-0200-00000D000000}">
      <text>
        <r>
          <rPr>
            <b/>
            <sz val="9"/>
            <color indexed="81"/>
            <rFont val="Tahoma"/>
            <family val="2"/>
          </rPr>
          <t>Johanna Markkanen:</t>
        </r>
        <r>
          <rPr>
            <sz val="9"/>
            <color indexed="81"/>
            <rFont val="Tahoma"/>
            <family val="2"/>
          </rPr>
          <t xml:space="preserve">
(driven by the implementation
of existing legislation on landfilling and additional legislative proposals, such as the
proposal on a revised Urban Wastewater Treatment Directive, see Section 1.6.1 and
Annex 6)</t>
        </r>
      </text>
    </comment>
    <comment ref="AB12" authorId="0" shapeId="0" xr:uid="{00000000-0006-0000-0200-00000E000000}">
      <text>
        <r>
          <rPr>
            <b/>
            <sz val="9"/>
            <color indexed="81"/>
            <rFont val="Tahoma"/>
            <family val="2"/>
          </rPr>
          <t>Johanna Markkanen:</t>
        </r>
        <r>
          <rPr>
            <sz val="9"/>
            <color indexed="81"/>
            <rFont val="Tahoma"/>
            <family val="2"/>
          </rPr>
          <t xml:space="preserve">
Looking at the
disaggregation per gas, total N2O emissions across all sectors decrease by 14% between
2015 and 2040, CH4 emissions decline by 32% over the same period, and F-gas
emissions decrease by more than 90%, (s1 scenario)</t>
        </r>
      </text>
    </comment>
    <comment ref="O23" authorId="0" shapeId="0" xr:uid="{00000000-0006-0000-0200-00000F000000}">
      <text>
        <r>
          <rPr>
            <b/>
            <sz val="9"/>
            <color indexed="81"/>
            <rFont val="Tahoma"/>
            <family val="2"/>
          </rPr>
          <t>Johanna Markkanen:</t>
        </r>
        <r>
          <rPr>
            <sz val="9"/>
            <color indexed="81"/>
            <rFont val="Tahoma"/>
            <family val="2"/>
          </rPr>
          <t xml:space="preserve">
simulating a higher demand of 20 Mtoe of woody biomass, to showcase the worst
possible impact on the LULUCF net removals.</t>
        </r>
      </text>
    </comment>
    <comment ref="P23" authorId="0" shapeId="0" xr:uid="{00000000-0006-0000-0200-000010000000}">
      <text>
        <r>
          <rPr>
            <b/>
            <sz val="9"/>
            <color indexed="81"/>
            <rFont val="Tahoma"/>
            <family val="2"/>
          </rPr>
          <t>Johanna Markkanen:</t>
        </r>
        <r>
          <rPr>
            <sz val="9"/>
            <color indexed="81"/>
            <rFont val="Tahoma"/>
            <family val="2"/>
          </rPr>
          <t xml:space="preserve">
LIFE produces a higher LULUCF net removal, because agricultural land is converted
into high-diversity landscape elements covered with buffer stripes, hedges and other
landscape elements or provided for carbon farming activity (afforestation) which allows
for a considerable increase in the forest sink (30 MtCO2-eq) and decreases net emissions
on agricultural land (15 MtCO2-eq). The net effect for the LULUCF net removal in LIFE
is approximately -45 MtCO2-eq</t>
        </r>
      </text>
    </comment>
    <comment ref="K27" authorId="0" shapeId="0" xr:uid="{00000000-0006-0000-0200-000011000000}">
      <text>
        <r>
          <rPr>
            <b/>
            <sz val="9"/>
            <color indexed="81"/>
            <rFont val="Tahoma"/>
            <family val="2"/>
          </rPr>
          <t>Johanna Markkanen:</t>
        </r>
        <r>
          <rPr>
            <sz val="9"/>
            <color indexed="81"/>
            <rFont val="Tahoma"/>
            <family val="2"/>
          </rPr>
          <t xml:space="preserve">
less naturebased removals from cropland, grassland, and forest land</t>
        </r>
      </text>
    </comment>
    <comment ref="L27" authorId="0" shapeId="0" xr:uid="{00000000-0006-0000-0200-000012000000}">
      <text>
        <r>
          <rPr>
            <b/>
            <sz val="9"/>
            <color indexed="81"/>
            <rFont val="Tahoma"/>
            <family val="2"/>
          </rPr>
          <t>Johanna Markkanen:</t>
        </r>
        <r>
          <rPr>
            <sz val="9"/>
            <color indexed="81"/>
            <rFont val="Tahoma"/>
            <family val="2"/>
          </rPr>
          <t xml:space="preserve">
S2 and S3 show
higher removals from cropland due to more plantation of lignocellulosic crops in 2040</t>
        </r>
      </text>
    </comment>
    <comment ref="N27" authorId="0" shapeId="0" xr:uid="{00000000-0006-0000-0200-000013000000}">
      <text>
        <r>
          <rPr>
            <b/>
            <sz val="9"/>
            <color indexed="81"/>
            <rFont val="Tahoma"/>
            <family val="2"/>
          </rPr>
          <t>Johanna Markkanen:</t>
        </r>
        <r>
          <rPr>
            <sz val="9"/>
            <color indexed="81"/>
            <rFont val="Tahoma"/>
            <family val="2"/>
          </rPr>
          <t xml:space="preserve">
Lignocellulosic crops create a singular short-term sink effect, when being planted the first time. This
growing carbon stock is resulting in carbon removals in cropland starting by 2035 is fading out by
2050 when the carbon pool through these crops has been saturated and no additional carbon removal is
achieved. This temporary sink is therefore not a reliable source for the LULUCF sink in the long term.
S1 uses less lignocellulosic crops for biofuels compared to S2 and S3.</t>
        </r>
      </text>
    </comment>
    <comment ref="O27" authorId="0" shapeId="0" xr:uid="{00000000-0006-0000-0200-000014000000}">
      <text>
        <r>
          <rPr>
            <b/>
            <sz val="9"/>
            <color indexed="81"/>
            <rFont val="Tahoma"/>
            <family val="2"/>
          </rPr>
          <t>Johanna Markkanen:</t>
        </r>
        <r>
          <rPr>
            <sz val="9"/>
            <color indexed="81"/>
            <rFont val="Tahoma"/>
            <family val="2"/>
          </rPr>
          <t xml:space="preserve">
if additional biomass would originate from other
sources such as secondary residues, used wood products, lignocellulosic crops, or other
waste, the impact on the sink would be much more limited</t>
        </r>
      </text>
    </comment>
    <comment ref="K28" authorId="0" shapeId="0" xr:uid="{00000000-0006-0000-0200-000015000000}">
      <text>
        <r>
          <rPr>
            <b/>
            <sz val="9"/>
            <color indexed="81"/>
            <rFont val="Tahoma"/>
            <family val="2"/>
          </rPr>
          <t>Johanna Markkanen:</t>
        </r>
        <r>
          <rPr>
            <sz val="9"/>
            <color indexed="81"/>
            <rFont val="Tahoma"/>
            <family val="2"/>
          </rPr>
          <t xml:space="preserve">
the net removal depends considerably
on the capacity of policies to safeguard the net removal to fall below the 2030 target </t>
        </r>
      </text>
    </comment>
  </commentList>
</comments>
</file>

<file path=xl/sharedStrings.xml><?xml version="1.0" encoding="utf-8"?>
<sst xmlns="http://schemas.openxmlformats.org/spreadsheetml/2006/main" count="1284" uniqueCount="192">
  <si>
    <t>FI</t>
  </si>
  <si>
    <t>Year</t>
  </si>
  <si>
    <t>LimType</t>
  </si>
  <si>
    <t>Attribute</t>
  </si>
  <si>
    <t>Pset_PN</t>
  </si>
  <si>
    <t>AT</t>
  </si>
  <si>
    <t>BE</t>
  </si>
  <si>
    <t>BG</t>
  </si>
  <si>
    <t>CH</t>
  </si>
  <si>
    <t>CY</t>
  </si>
  <si>
    <t>CZ</t>
  </si>
  <si>
    <t>DE</t>
  </si>
  <si>
    <t>DK</t>
  </si>
  <si>
    <t>EE</t>
  </si>
  <si>
    <t>ES</t>
  </si>
  <si>
    <t>FR</t>
  </si>
  <si>
    <t>EL</t>
  </si>
  <si>
    <t>HR</t>
  </si>
  <si>
    <t>HU</t>
  </si>
  <si>
    <t>IE</t>
  </si>
  <si>
    <t>IS</t>
  </si>
  <si>
    <t>IT</t>
  </si>
  <si>
    <t>LT</t>
  </si>
  <si>
    <t>LU</t>
  </si>
  <si>
    <t>LV</t>
  </si>
  <si>
    <t>NL</t>
  </si>
  <si>
    <t>NO</t>
  </si>
  <si>
    <t>PL</t>
  </si>
  <si>
    <t>PT</t>
  </si>
  <si>
    <t>RO</t>
  </si>
  <si>
    <t>SE</t>
  </si>
  <si>
    <t>SI</t>
  </si>
  <si>
    <t>SK</t>
  </si>
  <si>
    <t>UK</t>
  </si>
  <si>
    <t>UP</t>
  </si>
  <si>
    <t>Cset_CN</t>
  </si>
  <si>
    <t>UC_N</t>
  </si>
  <si>
    <t>UC_ACT</t>
  </si>
  <si>
    <t>LO</t>
  </si>
  <si>
    <t>Scenario</t>
  </si>
  <si>
    <t>TimeSlice</t>
  </si>
  <si>
    <t>ANNUAL</t>
  </si>
  <si>
    <t>~UC_SETS: R_S: AT,BE,BG,CY,CZ,DE,DK,EE,ES,FI,FR,EL,HU,IE,IT,LT,LU,LV,MT,NL,PL,PT,RO,SE,SI,SK,HR</t>
  </si>
  <si>
    <t>~UC_T: UP</t>
  </si>
  <si>
    <t>UC_COMNET</t>
  </si>
  <si>
    <t>UC_RHSTS</t>
  </si>
  <si>
    <t>TOTCO2</t>
  </si>
  <si>
    <t>~UC_SETS: R_S: AT,BE,BG,CY,CZ,DE,DK,EE,ES,FI,FR,EL,HU,IE,IT,LT,LU,LV,MT,NL,PL,PT,RO,SE,SI,SK,UK,CH,IS,NO,HR</t>
  </si>
  <si>
    <t>CO2_Max_Stor_EU</t>
  </si>
  <si>
    <t>MINSNK*,-MINSNKAF*</t>
  </si>
  <si>
    <t>MINSNKAF*</t>
  </si>
  <si>
    <t>~UC_SETS: R_E: AT,BE,BG,CY,CZ,DE,DK,EE,ES,FI,FR,EL,HU,IE,IT,LT,LU,LV,MT,NL,PL,PT,RO,SE,SI,SK,UK,CH,IS,NO,HR</t>
  </si>
  <si>
    <t>UC_RHSRTS</t>
  </si>
  <si>
    <t>CO2_Max_Stor_MS</t>
  </si>
  <si>
    <t>Negative limit</t>
  </si>
  <si>
    <t>Mt</t>
  </si>
  <si>
    <t>COM_BNDNET</t>
  </si>
  <si>
    <t>Emission limit</t>
  </si>
  <si>
    <t>Table Name: T_251020_214010</t>
  </si>
  <si>
    <t xml:space="preserve">Active Unit:  </t>
  </si>
  <si>
    <t>Period</t>
  </si>
  <si>
    <t>Attribute\Region</t>
  </si>
  <si>
    <t>02_Zero_Carbon</t>
  </si>
  <si>
    <t>'2010</t>
  </si>
  <si>
    <t>VAR_Comnet</t>
  </si>
  <si>
    <t>ALL</t>
  </si>
  <si>
    <t>update upper and lower bounds FI</t>
  </si>
  <si>
    <t>FI is declared in REP_NEGA and REP_S0</t>
  </si>
  <si>
    <t>***TFM_INS</t>
  </si>
  <si>
    <t>EU Climate Targets</t>
  </si>
  <si>
    <t>CO2TargetEU27</t>
  </si>
  <si>
    <t>EU27</t>
  </si>
  <si>
    <t>Target</t>
  </si>
  <si>
    <t>Total CO2 emissions (UNFCCC) (kt CO2)</t>
  </si>
  <si>
    <t>Total GHG emissions (UNFCCC) (ktCO2eq)</t>
  </si>
  <si>
    <t>Total net GHG emissions (UNFCCC) (kt CO2eq)</t>
  </si>
  <si>
    <t>Total net CO2 emissions (UNFCCC) (kt CO2)</t>
  </si>
  <si>
    <t>LULUCF</t>
  </si>
  <si>
    <t>nfr_code</t>
  </si>
  <si>
    <t>nfr_category</t>
  </si>
  <si>
    <t>period</t>
  </si>
  <si>
    <t>emission</t>
  </si>
  <si>
    <t>MT</t>
  </si>
  <si>
    <t>1A</t>
  </si>
  <si>
    <t>fuel combustion</t>
  </si>
  <si>
    <t>co2</t>
  </si>
  <si>
    <t>ghg</t>
  </si>
  <si>
    <t>nonco2</t>
  </si>
  <si>
    <t>1B</t>
  </si>
  <si>
    <t>fugitive emissions</t>
  </si>
  <si>
    <t>1C</t>
  </si>
  <si>
    <t>CO2 transport, storage</t>
  </si>
  <si>
    <t>2A</t>
  </si>
  <si>
    <t>mineral industry</t>
  </si>
  <si>
    <t>2B</t>
  </si>
  <si>
    <t>chemical industry</t>
  </si>
  <si>
    <t>2C</t>
  </si>
  <si>
    <t>metal industry</t>
  </si>
  <si>
    <t>2D</t>
  </si>
  <si>
    <t>non-energy, solvents</t>
  </si>
  <si>
    <t>2E</t>
  </si>
  <si>
    <t>electronic industry</t>
  </si>
  <si>
    <t>2F</t>
  </si>
  <si>
    <t>f-gases</t>
  </si>
  <si>
    <t>2G</t>
  </si>
  <si>
    <t>other industrial procs</t>
  </si>
  <si>
    <t>2H</t>
  </si>
  <si>
    <t>other</t>
  </si>
  <si>
    <t>3</t>
  </si>
  <si>
    <t>agriculture</t>
  </si>
  <si>
    <t>4</t>
  </si>
  <si>
    <t>5</t>
  </si>
  <si>
    <t>waste</t>
  </si>
  <si>
    <t>bunk_avi</t>
  </si>
  <si>
    <t>international aviation</t>
  </si>
  <si>
    <t>bunk_nav</t>
  </si>
  <si>
    <t>international navigation</t>
  </si>
  <si>
    <t>total (1,2,3,4,5)</t>
  </si>
  <si>
    <t>national total net GHG</t>
  </si>
  <si>
    <t>total (1A,2A,2B,2C,2D,2E,2G,bunk)</t>
  </si>
  <si>
    <t>modelled sectors</t>
  </si>
  <si>
    <t>total (1B,1C,2F,2H,3,4,5)</t>
  </si>
  <si>
    <t>nonmodelled sectors</t>
  </si>
  <si>
    <t>~UC_Sets: R_E: AllRegions</t>
  </si>
  <si>
    <t>~UC_Sets: T_E:</t>
  </si>
  <si>
    <t>~UC_T: UC_RHSRT~UP</t>
  </si>
  <si>
    <t>UC_Desc</t>
  </si>
  <si>
    <t>Pset_Set</t>
  </si>
  <si>
    <t>UC_RHSRT~UP~0</t>
  </si>
  <si>
    <t>CO2TargetRegionsUp</t>
  </si>
  <si>
    <t>CO2TargetRegionalUpper</t>
  </si>
  <si>
    <t>Regional modelled CO2 bounds</t>
  </si>
  <si>
    <t>CO2TargetRegionsLo</t>
  </si>
  <si>
    <t>CO2TargetRegionalLower</t>
  </si>
  <si>
    <t>~UC_T: UC_RHSRT~LO</t>
  </si>
  <si>
    <t>UC_RHSRT~LO~0</t>
  </si>
  <si>
    <t>flexibility for the model</t>
  </si>
  <si>
    <t>up</t>
  </si>
  <si>
    <t>low</t>
  </si>
  <si>
    <t>EU31</t>
  </si>
  <si>
    <t>Scope of EU Climate Law</t>
  </si>
  <si>
    <t>share of non-co2 from modelled sectors</t>
  </si>
  <si>
    <t>assume this approaches zero as the use of fossil fuels decreases</t>
  </si>
  <si>
    <t>creates a margin of error of 0-2 % to the TOTCO2 estimations</t>
  </si>
  <si>
    <t>this part will be modelled</t>
  </si>
  <si>
    <t>Nonmodelled GHGs</t>
  </si>
  <si>
    <t>assumption</t>
  </si>
  <si>
    <t>sum check</t>
  </si>
  <si>
    <t>Modelled</t>
  </si>
  <si>
    <t>from EU 2040 Impact assessment</t>
  </si>
  <si>
    <t>GLOBIOM-model</t>
  </si>
  <si>
    <t>Model</t>
  </si>
  <si>
    <t xml:space="preserve">CO2-price </t>
  </si>
  <si>
    <t xml:space="preserve"> €(2020)/tCO2eq</t>
  </si>
  <si>
    <t>S1</t>
  </si>
  <si>
    <t>S2</t>
  </si>
  <si>
    <t>S3</t>
  </si>
  <si>
    <t>LULUCF net sink estimates (Mt CO2eq)</t>
  </si>
  <si>
    <t>LIFE</t>
  </si>
  <si>
    <t>FSCM-model</t>
  </si>
  <si>
    <t>S3*BIO+</t>
  </si>
  <si>
    <t>Climate change impacts on net LULUCF sink have not been considered. See fig below</t>
  </si>
  <si>
    <t xml:space="preserve">Stays at 2030 levels </t>
  </si>
  <si>
    <t>S1-scenario EU 2040 IA</t>
  </si>
  <si>
    <t>"pessimistic"</t>
  </si>
  <si>
    <t>"rather optimistic"</t>
  </si>
  <si>
    <t>"highly uncertain"</t>
  </si>
  <si>
    <t>S1 scenario considers mitigation due to current policies (but no more),</t>
  </si>
  <si>
    <t>should we assume something here?</t>
  </si>
  <si>
    <t xml:space="preserve">co2 </t>
  </si>
  <si>
    <t>target for the model</t>
  </si>
  <si>
    <t>factor</t>
  </si>
  <si>
    <t>domestic + intra-EU aviation</t>
  </si>
  <si>
    <t>extra-EU-aviation</t>
  </si>
  <si>
    <t>intra-EU-maritime</t>
  </si>
  <si>
    <t>extra-eu-maritime</t>
  </si>
  <si>
    <t>excluded</t>
  </si>
  <si>
    <t>50% excluded</t>
  </si>
  <si>
    <t>included</t>
  </si>
  <si>
    <t>sum column</t>
  </si>
  <si>
    <t>LULUCF (old version)</t>
  </si>
  <si>
    <t>v3 all non-modelled</t>
  </si>
  <si>
    <t>v2 only fossil non-modelled</t>
  </si>
  <si>
    <t>v1 all but LULUCF non-modelled</t>
  </si>
  <si>
    <t>ok</t>
  </si>
  <si>
    <t>v0 no non-modelled in scope</t>
  </si>
  <si>
    <t>bunkers</t>
  </si>
  <si>
    <t>Do the same for swiss, uk and is. They have now no country targets..</t>
  </si>
  <si>
    <t>UK 1990 total</t>
  </si>
  <si>
    <t>ktCO2eq</t>
  </si>
  <si>
    <t>share of CO2s</t>
  </si>
  <si>
    <t>Climate targets for CH, IS, NO and UK are set in the table below as regional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</si>
</sst>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0.0"/>
    <numFmt numFmtId="165" formatCode="###0.00_)"/>
    <numFmt numFmtId="166" formatCode="#,##0_)"/>
    <numFmt numFmtId="167" formatCode="???,???.00"/>
    <numFmt numFmtId="168" formatCode="#,##0.0000"/>
    <numFmt numFmtId="169" formatCode="0.0%"/>
    <numFmt numFmtId="170" formatCode="_-&quot;$&quot;* #,##0.00_-;\-&quot;$&quot;* #,##0.00_-;_-&quot;$&quot;* &quot;-&quot;??_-;_-@_-"/>
    <numFmt numFmtId="171" formatCode="_-[$€-2]\ * #,##0.00_-;\-[$€-2]\ * #,##0.00_-;_-[$€-2]\ * &quot;-&quot;??_-"/>
    <numFmt numFmtId="172" formatCode="_([$€-2]* #,##0.00_);_([$€-2]* \(#,##0.00\);_([$€-2]* &quot;-&quot;??_)"/>
    <numFmt numFmtId="173" formatCode="_-&quot;€&quot;\ * #,##0.00_-;\-&quot;€&quot;\ * #,##0.00_-;_-&quot;€&quot;\ * &quot;-&quot;??_-;_-@_-"/>
    <numFmt numFmtId="174" formatCode="_([$€]* #,##0.00_);_([$€]* \(#,##0.00\);_([$€]* &quot;-&quot;??_);_(@_)"/>
    <numFmt numFmtId="175" formatCode="_-* #,##0.00\ _€_-;\-* #,##0.00\ _€_-;_-* &quot;-&quot;??\ _€_-;_-@_-"/>
    <numFmt numFmtId="176" formatCode="&quot;$&quot;#,##0_);\(&quot;$&quot;#,##0\)"/>
    <numFmt numFmtId="177" formatCode="General_)"/>
    <numFmt numFmtId="178" formatCode="#,##0;\-\ #,##0;_-\ &quot;- &quot;"/>
    <numFmt numFmtId="179" formatCode="_ &quot;kr&quot;\ * #,##0_ ;_ &quot;kr&quot;\ * \-#,##0_ ;_ &quot;kr&quot;\ * &quot;-&quot;_ ;_ @_ "/>
    <numFmt numFmtId="180" formatCode="_ &quot;kr&quot;\ * #,##0.00_ ;_ &quot;kr&quot;\ * \-#,##0.00_ ;_ &quot;kr&quot;\ * &quot;-&quot;??_ ;_ @_ "/>
  </numFmts>
  <fonts count="112">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8"/>
      <color indexed="81"/>
      <name val="Tahoma"/>
      <family val="2"/>
    </font>
    <font>
      <b/>
      <sz val="9"/>
      <color indexed="81"/>
      <name val="Tahoma"/>
      <family val="2"/>
    </font>
    <font>
      <sz val="9"/>
      <color indexed="81"/>
      <name val="Tahoma"/>
      <family val="2"/>
    </font>
    <font>
      <sz val="8"/>
      <name val="Arial"/>
      <family val="2"/>
    </font>
    <font>
      <b/>
      <sz val="12"/>
      <name val="Arial"/>
      <family val="2"/>
    </font>
    <font>
      <sz val="9"/>
      <name val="Arial"/>
      <family val="2"/>
    </font>
    <font>
      <sz val="11"/>
      <color indexed="8"/>
      <name val="Calibri"/>
      <family val="2"/>
    </font>
    <font>
      <b/>
      <sz val="11"/>
      <color indexed="8"/>
      <name val="Calibri"/>
      <family val="2"/>
    </font>
    <font>
      <sz val="11"/>
      <color indexed="60"/>
      <name val="Calibri"/>
      <family val="2"/>
    </font>
    <font>
      <b/>
      <sz val="9"/>
      <name val="Arial"/>
      <family val="2"/>
    </font>
    <font>
      <sz val="10"/>
      <color indexed="8"/>
      <name val="Arial"/>
      <family val="2"/>
    </font>
    <font>
      <sz val="11"/>
      <color rgb="FFFF000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8"/>
      <name val="Arial"/>
      <family val="2"/>
    </font>
    <font>
      <sz val="8"/>
      <color indexed="81"/>
      <name val="Tahoma"/>
      <family val="2"/>
    </font>
    <font>
      <sz val="9"/>
      <name val="Times New Roman"/>
      <family val="1"/>
    </font>
    <font>
      <b/>
      <sz val="9"/>
      <name val="Times New Roman"/>
      <family val="1"/>
    </font>
    <font>
      <sz val="12"/>
      <name val="Helv"/>
    </font>
    <font>
      <sz val="8"/>
      <name val="Arial"/>
      <family val="2"/>
      <charset val="161"/>
    </font>
    <font>
      <b/>
      <sz val="12"/>
      <name val="Helv"/>
    </font>
    <font>
      <sz val="10"/>
      <name val="Helv"/>
    </font>
    <font>
      <sz val="9"/>
      <name val="Helv"/>
    </font>
    <font>
      <vertAlign val="superscript"/>
      <sz val="12"/>
      <name val="Helv"/>
    </font>
    <font>
      <b/>
      <sz val="12"/>
      <name val="Times New Roman"/>
      <family val="1"/>
    </font>
    <font>
      <b/>
      <sz val="10"/>
      <name val="Helv"/>
    </font>
    <font>
      <b/>
      <sz val="9"/>
      <name val="Helv"/>
    </font>
    <font>
      <sz val="8.5"/>
      <name val="Helv"/>
    </font>
    <font>
      <sz val="10"/>
      <name val="Arial"/>
      <family val="2"/>
      <charset val="161"/>
    </font>
    <font>
      <sz val="8"/>
      <name val="Helvetica"/>
    </font>
    <font>
      <sz val="8"/>
      <name val="Helv"/>
    </font>
    <font>
      <b/>
      <sz val="14"/>
      <name val="Helv"/>
    </font>
    <font>
      <b/>
      <sz val="10"/>
      <color indexed="18"/>
      <name val="Arial"/>
      <family val="2"/>
    </font>
    <font>
      <b/>
      <sz val="10"/>
      <color indexed="8"/>
      <name val="Arial"/>
      <family val="2"/>
    </font>
    <font>
      <b/>
      <sz val="12"/>
      <color indexed="10"/>
      <name val="Arial"/>
      <family val="2"/>
    </font>
    <font>
      <sz val="10"/>
      <color theme="0"/>
      <name val="Arial"/>
      <family val="2"/>
    </font>
    <font>
      <sz val="11"/>
      <color indexed="9"/>
      <name val="Calibri"/>
      <family val="2"/>
    </font>
    <font>
      <sz val="9"/>
      <color indexed="8"/>
      <name val="Times New Roman"/>
      <family val="1"/>
    </font>
    <font>
      <sz val="11"/>
      <color indexed="20"/>
      <name val="Calibri"/>
      <family val="2"/>
    </font>
    <font>
      <b/>
      <sz val="11"/>
      <color indexed="52"/>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u/>
      <sz val="12"/>
      <color indexed="30"/>
      <name val="Arial"/>
      <family val="2"/>
    </font>
    <font>
      <sz val="11"/>
      <color indexed="62"/>
      <name val="Calibri"/>
      <family val="2"/>
    </font>
    <font>
      <sz val="11"/>
      <color indexed="52"/>
      <name val="Calibri"/>
      <family val="2"/>
    </font>
    <font>
      <sz val="11"/>
      <color indexed="10"/>
      <name val="Calibri"/>
      <family val="2"/>
    </font>
    <font>
      <sz val="11"/>
      <color indexed="19"/>
      <name val="Calibri"/>
      <family val="2"/>
    </font>
    <font>
      <sz val="11"/>
      <color indexed="8"/>
      <name val="Arial"/>
      <family val="2"/>
    </font>
    <font>
      <sz val="12"/>
      <color indexed="8"/>
      <name val="Arial"/>
      <family val="2"/>
    </font>
    <font>
      <sz val="10"/>
      <name val="Courier"/>
      <family val="3"/>
    </font>
    <font>
      <b/>
      <sz val="11"/>
      <color indexed="63"/>
      <name val="Calibri"/>
      <family val="2"/>
    </font>
    <font>
      <sz val="10"/>
      <name val="Helvetica"/>
    </font>
    <font>
      <sz val="8"/>
      <color indexed="9"/>
      <name val="Arial"/>
      <family val="2"/>
    </font>
    <font>
      <b/>
      <sz val="18"/>
      <color indexed="56"/>
      <name val="Cambria"/>
      <family val="2"/>
    </font>
    <font>
      <b/>
      <sz val="18"/>
      <color indexed="62"/>
      <name val="Cambria"/>
      <family val="2"/>
    </font>
    <font>
      <u/>
      <sz val="12"/>
      <color indexed="20"/>
      <name val="宋体"/>
      <charset val="134"/>
    </font>
    <font>
      <sz val="1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8"/>
      <color rgb="FFFF0000"/>
      <name val="Arial"/>
      <family val="2"/>
    </font>
    <font>
      <b/>
      <sz val="10"/>
      <color rgb="FFFF0000"/>
      <name val="Arial"/>
      <family val="2"/>
    </font>
    <font>
      <b/>
      <sz val="14"/>
      <name val="Arial"/>
      <family val="2"/>
    </font>
    <font>
      <sz val="14"/>
      <name val="Arial"/>
      <family val="2"/>
    </font>
    <font>
      <b/>
      <sz val="9"/>
      <color indexed="12"/>
      <name val="Arial"/>
      <family val="2"/>
    </font>
    <font>
      <sz val="10"/>
      <name val="Arial"/>
      <family val="2"/>
    </font>
    <font>
      <b/>
      <sz val="9"/>
      <color indexed="8"/>
      <name val="Arial"/>
      <family val="2"/>
    </font>
    <font>
      <sz val="9"/>
      <color indexed="8"/>
      <name val="Arial"/>
      <family val="2"/>
    </font>
    <font>
      <b/>
      <sz val="11"/>
      <name val="Arial"/>
      <family val="2"/>
    </font>
    <font>
      <b/>
      <sz val="9"/>
      <color theme="1"/>
      <name val="Arial"/>
      <family val="2"/>
    </font>
    <font>
      <sz val="11"/>
      <color theme="1"/>
      <name val="Arial"/>
      <family val="2"/>
    </font>
    <font>
      <sz val="10"/>
      <color theme="1"/>
      <name val="Arial"/>
      <family val="2"/>
    </font>
    <font>
      <b/>
      <sz val="8"/>
      <color theme="1"/>
      <name val="Arial"/>
      <family val="2"/>
    </font>
    <font>
      <sz val="8"/>
      <color theme="1"/>
      <name val="Arial"/>
      <family val="2"/>
    </font>
    <font>
      <sz val="8"/>
      <color rgb="FFFF66FF"/>
      <name val="Arial"/>
      <family val="2"/>
    </font>
    <font>
      <sz val="8"/>
      <color theme="9"/>
      <name val="Arial"/>
      <family val="2"/>
    </font>
    <font>
      <sz val="8"/>
      <color theme="2" tint="-0.499984740745262"/>
      <name val="Arial"/>
      <family val="2"/>
    </font>
    <font>
      <i/>
      <sz val="8"/>
      <color rgb="FFFF0000"/>
      <name val="Arial"/>
      <family val="2"/>
    </font>
  </fonts>
  <fills count="83">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indexed="44"/>
        <bgColor indexed="64"/>
      </patternFill>
    </fill>
    <fill>
      <patternFill patternType="solid">
        <fgColor theme="0" tint="-0.14999847407452621"/>
        <bgColor indexed="64"/>
      </patternFill>
    </fill>
    <fill>
      <patternFill patternType="solid">
        <fgColor indexed="43"/>
      </patternFill>
    </fill>
    <fill>
      <patternFill patternType="solid">
        <fgColor rgb="FFFFCCFF"/>
        <bgColor indexed="64"/>
      </patternFill>
    </fill>
    <fill>
      <patternFill patternType="solid">
        <fgColor indexed="13"/>
        <bgColor indexed="64"/>
      </patternFill>
    </fill>
    <fill>
      <patternFill patternType="solid">
        <fgColor theme="8"/>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15"/>
      </patternFill>
    </fill>
    <fill>
      <patternFill patternType="solid">
        <fgColor indexed="22"/>
        <bgColor indexed="9"/>
      </patternFill>
    </fill>
    <fill>
      <patternFill patternType="solid">
        <fgColor indexed="22"/>
        <bgColor indexed="64"/>
      </patternFill>
    </fill>
    <fill>
      <patternFill patternType="darkTrellis"/>
    </fill>
    <fill>
      <patternFill patternType="solid">
        <fgColor indexed="22"/>
        <bgColor indexed="55"/>
      </patternFill>
    </fill>
    <fill>
      <patternFill patternType="lightGray">
        <fgColor indexed="9"/>
      </patternFill>
    </fill>
    <fill>
      <patternFill patternType="gray0625">
        <fgColor indexed="9"/>
      </patternFill>
    </fill>
    <fill>
      <patternFill patternType="solid">
        <fgColor theme="6" tint="0.79998168889431442"/>
        <bgColor indexed="64"/>
      </patternFill>
    </fill>
    <fill>
      <patternFill patternType="solid">
        <fgColor indexed="4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47"/>
        <bgColor indexed="64"/>
      </patternFill>
    </fill>
    <fill>
      <patternFill patternType="solid">
        <fgColor indexed="55"/>
      </patternFill>
    </fill>
    <fill>
      <patternFill patternType="solid">
        <fgColor indexed="63"/>
        <bgColor indexed="64"/>
      </patternFill>
    </fill>
    <fill>
      <patternFill patternType="solid">
        <fgColor indexed="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indexed="51"/>
        <bgColor indexed="64"/>
      </patternFill>
    </fill>
    <fill>
      <patternFill patternType="solid">
        <fgColor rgb="FFCCCCF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theme="7" tint="0.59999389629810485"/>
        <bgColor indexed="64"/>
      </patternFill>
    </fill>
    <fill>
      <patternFill patternType="solid">
        <fgColor theme="5" tint="0.59999389629810485"/>
        <bgColor indexed="64"/>
      </patternFill>
    </fill>
  </fills>
  <borders count="39">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22"/>
      </bottom>
      <diagonal/>
    </border>
    <border>
      <left/>
      <right/>
      <top/>
      <bottom style="hair">
        <color indexed="64"/>
      </bottom>
      <diagonal/>
    </border>
    <border>
      <left style="thin">
        <color indexed="22"/>
      </left>
      <right style="thin">
        <color indexed="22"/>
      </right>
      <top style="thin">
        <color indexed="22"/>
      </top>
      <bottom style="thin">
        <color indexed="22"/>
      </bottom>
      <diagonal/>
    </border>
    <border>
      <left/>
      <right/>
      <top/>
      <bottom style="hair">
        <color indexed="8"/>
      </bottom>
      <diagonal/>
    </border>
    <border>
      <left style="double">
        <color indexed="64"/>
      </left>
      <right/>
      <top style="double">
        <color indexed="64"/>
      </top>
      <bottom style="double">
        <color indexed="64"/>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3738">
    <xf numFmtId="0" fontId="0" fillId="0" borderId="0">
      <alignment wrapText="1"/>
    </xf>
    <xf numFmtId="0" fontId="17" fillId="0" borderId="0"/>
    <xf numFmtId="0" fontId="20" fillId="0" borderId="0"/>
    <xf numFmtId="0" fontId="22" fillId="6" borderId="0" applyNumberFormat="0" applyBorder="0" applyAlignment="0" applyProtection="0"/>
    <xf numFmtId="43" fontId="17" fillId="0" borderId="0" applyFont="0" applyFill="0" applyBorder="0" applyAlignment="0" applyProtection="0"/>
    <xf numFmtId="0" fontId="11" fillId="0" borderId="0"/>
    <xf numFmtId="0" fontId="12" fillId="0" borderId="0"/>
    <xf numFmtId="0" fontId="10" fillId="0" borderId="0"/>
    <xf numFmtId="0" fontId="12" fillId="0" borderId="0"/>
    <xf numFmtId="0" fontId="9" fillId="0" borderId="0"/>
    <xf numFmtId="0" fontId="8" fillId="0" borderId="0"/>
    <xf numFmtId="0" fontId="7" fillId="0" borderId="0"/>
    <xf numFmtId="0" fontId="20" fillId="10"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49" fontId="31" fillId="0" borderId="7" applyNumberFormat="0" applyFont="0" applyFill="0" applyBorder="0" applyProtection="0">
      <alignment horizontal="left" vertical="center" indent="5"/>
    </xf>
    <xf numFmtId="4" fontId="32" fillId="0" borderId="6" applyFill="0" applyBorder="0" applyProtection="0">
      <alignment horizontal="right" vertical="center"/>
    </xf>
    <xf numFmtId="0" fontId="33" fillId="0" borderId="0">
      <alignment horizontal="center" vertical="center" wrapText="1"/>
    </xf>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1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0" fontId="35" fillId="0" borderId="0">
      <alignment horizontal="left" vertical="center" wrapText="1"/>
    </xf>
    <xf numFmtId="165" fontId="36" fillId="0" borderId="8" applyNumberFormat="0" applyFill="0">
      <alignment horizontal="right"/>
    </xf>
    <xf numFmtId="166" fontId="37" fillId="0" borderId="8">
      <alignment horizontal="right" vertical="center"/>
    </xf>
    <xf numFmtId="49" fontId="38" fillId="0" borderId="8">
      <alignment horizontal="left" vertical="center"/>
    </xf>
    <xf numFmtId="165" fontId="36" fillId="0" borderId="8" applyNumberFormat="0" applyFill="0">
      <alignment horizontal="right"/>
    </xf>
    <xf numFmtId="0" fontId="39" fillId="0" borderId="0" applyNumberFormat="0" applyFill="0" applyBorder="0" applyAlignment="0" applyProtection="0"/>
    <xf numFmtId="0" fontId="40" fillId="0" borderId="8">
      <alignment horizontal="left"/>
    </xf>
    <xf numFmtId="0" fontId="41" fillId="0" borderId="9">
      <alignment horizontal="right" vertical="center"/>
    </xf>
    <xf numFmtId="0" fontId="42" fillId="0" borderId="8">
      <alignment horizontal="left" vertical="center"/>
    </xf>
    <xf numFmtId="0" fontId="36" fillId="0" borderId="8">
      <alignment horizontal="left" vertical="center"/>
    </xf>
    <xf numFmtId="0" fontId="40" fillId="0" borderId="8">
      <alignment horizontal="left"/>
    </xf>
    <xf numFmtId="0" fontId="40" fillId="17" borderId="0">
      <alignment horizontal="centerContinuous" wrapText="1"/>
    </xf>
    <xf numFmtId="49" fontId="40" fillId="17" borderId="2">
      <alignment horizontal="left" vertical="center"/>
    </xf>
    <xf numFmtId="0" fontId="40" fillId="17" borderId="0">
      <alignment horizontal="centerContinuous" vertical="center" wrapText="1"/>
    </xf>
    <xf numFmtId="0" fontId="12" fillId="0" borderId="0"/>
    <xf numFmtId="0" fontId="12" fillId="0" borderId="0"/>
    <xf numFmtId="0" fontId="17" fillId="0" borderId="0"/>
    <xf numFmtId="0" fontId="6" fillId="0" borderId="0"/>
    <xf numFmtId="0" fontId="6" fillId="0" borderId="0"/>
    <xf numFmtId="0" fontId="6" fillId="0" borderId="0"/>
    <xf numFmtId="167" fontId="19" fillId="0" borderId="0" applyNumberFormat="0" applyProtection="0">
      <alignment horizontal="center" vertical="center"/>
    </xf>
    <xf numFmtId="0" fontId="34" fillId="0" borderId="0"/>
    <xf numFmtId="0" fontId="12" fillId="0" borderId="0"/>
    <xf numFmtId="0" fontId="43" fillId="0" borderId="0"/>
    <xf numFmtId="4" fontId="31" fillId="0" borderId="5" applyFill="0" applyBorder="0" applyProtection="0">
      <alignment horizontal="right" vertical="center"/>
    </xf>
    <xf numFmtId="0" fontId="31" fillId="0" borderId="5" applyNumberFormat="0" applyFill="0" applyAlignment="0" applyProtection="0"/>
    <xf numFmtId="0" fontId="44" fillId="18" borderId="0" applyNumberFormat="0" applyFont="0" applyBorder="0" applyAlignment="0" applyProtection="0"/>
    <xf numFmtId="0" fontId="20" fillId="12" borderId="10" applyNumberFormat="0" applyFont="0" applyAlignment="0" applyProtection="0"/>
    <xf numFmtId="0" fontId="20" fillId="12" borderId="10" applyNumberFormat="0" applyFont="0" applyAlignment="0" applyProtection="0"/>
    <xf numFmtId="0" fontId="20" fillId="12" borderId="10" applyNumberFormat="0" applyFont="0" applyAlignment="0" applyProtection="0"/>
    <xf numFmtId="168" fontId="31" fillId="19" borderId="5" applyNumberFormat="0" applyFont="0" applyBorder="0" applyAlignment="0" applyProtection="0">
      <alignment horizontal="right" vertical="center"/>
    </xf>
    <xf numFmtId="9" fontId="12" fillId="0" borderId="0" applyFont="0" applyFill="0" applyBorder="0" applyAlignment="0" applyProtection="0"/>
    <xf numFmtId="9" fontId="28" fillId="0" borderId="0" applyFont="0" applyFill="0" applyBorder="0" applyAlignment="0" applyProtection="0"/>
    <xf numFmtId="3" fontId="37" fillId="0" borderId="0">
      <alignment horizontal="left" vertical="center"/>
    </xf>
    <xf numFmtId="0" fontId="33" fillId="0" borderId="0">
      <alignment horizontal="left" vertical="center"/>
    </xf>
    <xf numFmtId="0" fontId="45" fillId="0" borderId="0">
      <alignment horizontal="right"/>
    </xf>
    <xf numFmtId="49" fontId="45" fillId="0" borderId="0">
      <alignment horizontal="center"/>
    </xf>
    <xf numFmtId="0" fontId="38" fillId="0" borderId="0">
      <alignment horizontal="right"/>
    </xf>
    <xf numFmtId="0" fontId="45" fillId="0" borderId="0">
      <alignment horizontal="left"/>
    </xf>
    <xf numFmtId="0" fontId="17" fillId="0" borderId="0"/>
    <xf numFmtId="49" fontId="37" fillId="0" borderId="0">
      <alignment horizontal="left" vertical="center"/>
    </xf>
    <xf numFmtId="49" fontId="38" fillId="0" borderId="8">
      <alignment horizontal="left"/>
    </xf>
    <xf numFmtId="165" fontId="37" fillId="0" borderId="0" applyNumberFormat="0">
      <alignment horizontal="right"/>
    </xf>
    <xf numFmtId="0" fontId="41" fillId="20" borderId="0">
      <alignment horizontal="centerContinuous" vertical="center" wrapText="1"/>
    </xf>
    <xf numFmtId="0" fontId="41" fillId="0" borderId="11">
      <alignment horizontal="left" vertical="center"/>
    </xf>
    <xf numFmtId="0" fontId="46" fillId="0" borderId="0">
      <alignment horizontal="left" vertical="top"/>
    </xf>
    <xf numFmtId="0" fontId="40" fillId="0" borderId="0">
      <alignment horizontal="left"/>
    </xf>
    <xf numFmtId="0" fontId="35" fillId="0" borderId="0">
      <alignment horizontal="left"/>
    </xf>
    <xf numFmtId="0" fontId="36" fillId="0" borderId="0">
      <alignment horizontal="left"/>
    </xf>
    <xf numFmtId="0" fontId="46" fillId="0" borderId="0">
      <alignment horizontal="left" vertical="top"/>
    </xf>
    <xf numFmtId="0" fontId="35" fillId="0" borderId="0">
      <alignment horizontal="left"/>
    </xf>
    <xf numFmtId="0" fontId="36" fillId="0" borderId="0">
      <alignment horizontal="left"/>
    </xf>
    <xf numFmtId="0" fontId="47" fillId="21" borderId="0" applyNumberFormat="0" applyBorder="0">
      <protection locked="0"/>
    </xf>
    <xf numFmtId="0" fontId="48" fillId="22" borderId="0" applyNumberFormat="0" applyBorder="0">
      <protection locked="0"/>
    </xf>
    <xf numFmtId="49" fontId="37" fillId="0" borderId="8">
      <alignment horizontal="left"/>
    </xf>
    <xf numFmtId="0" fontId="41" fillId="0" borderId="9">
      <alignment horizontal="left"/>
    </xf>
    <xf numFmtId="0" fontId="40" fillId="0" borderId="0">
      <alignment horizontal="left" vertical="center"/>
    </xf>
    <xf numFmtId="49" fontId="45" fillId="0" borderId="8">
      <alignment horizontal="left"/>
    </xf>
    <xf numFmtId="0" fontId="49" fillId="0" borderId="12">
      <alignment horizontal="center"/>
      <protection hidden="1"/>
    </xf>
    <xf numFmtId="43" fontId="34" fillId="0" borderId="0" applyFont="0" applyFill="0" applyBorder="0" applyAlignment="0" applyProtection="0"/>
    <xf numFmtId="0" fontId="6" fillId="0" borderId="0"/>
    <xf numFmtId="0" fontId="12" fillId="0" borderId="13"/>
    <xf numFmtId="43" fontId="17" fillId="0" borderId="0" applyFont="0" applyFill="0" applyBorder="0" applyAlignment="0" applyProtection="0"/>
    <xf numFmtId="0" fontId="6" fillId="0" borderId="0"/>
    <xf numFmtId="0" fontId="12" fillId="0" borderId="0"/>
    <xf numFmtId="0" fontId="12" fillId="0" borderId="0"/>
    <xf numFmtId="0" fontId="12" fillId="0" borderId="0"/>
    <xf numFmtId="0" fontId="50" fillId="9"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26"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27"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28"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24"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29"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8"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24"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30"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51" fillId="31"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5"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29"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3"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26" borderId="0" applyNumberFormat="0" applyBorder="0" applyAlignment="0" applyProtection="0"/>
    <xf numFmtId="0" fontId="51" fillId="34"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13" borderId="0" applyNumberFormat="0" applyBorder="0" applyAlignment="0" applyProtection="0"/>
    <xf numFmtId="0" fontId="51" fillId="3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15" borderId="0" applyNumberFormat="0" applyBorder="0" applyAlignment="0" applyProtection="0"/>
    <xf numFmtId="0" fontId="51" fillId="36"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7" borderId="0" applyNumberFormat="0" applyBorder="0" applyAlignment="0" applyProtection="0"/>
    <xf numFmtId="0" fontId="51" fillId="38"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2" borderId="0" applyNumberFormat="0" applyBorder="0" applyAlignment="0" applyProtection="0"/>
    <xf numFmtId="0" fontId="51" fillId="39"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0" borderId="0" applyNumberFormat="0" applyBorder="0" applyAlignment="0" applyProtection="0"/>
    <xf numFmtId="0" fontId="51" fillId="33"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40"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4" borderId="0" applyNumberFormat="0" applyBorder="0" applyAlignment="0" applyProtection="0"/>
    <xf numFmtId="0" fontId="51" fillId="32"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0" fontId="51" fillId="38" borderId="0" applyNumberFormat="0" applyBorder="0" applyAlignment="0" applyProtection="0"/>
    <xf numFmtId="4" fontId="52" fillId="41" borderId="5">
      <alignment horizontal="right" vertical="center"/>
    </xf>
    <xf numFmtId="4" fontId="52" fillId="41" borderId="5">
      <alignment horizontal="right" vertical="center"/>
    </xf>
    <xf numFmtId="0" fontId="53" fillId="26"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3" fillId="28" borderId="0" applyNumberFormat="0" applyBorder="0" applyAlignment="0" applyProtection="0"/>
    <xf numFmtId="0" fontId="54" fillId="14" borderId="14" applyNumberFormat="0" applyAlignment="0" applyProtection="0"/>
    <xf numFmtId="0" fontId="55" fillId="10" borderId="14" applyNumberFormat="0" applyAlignment="0" applyProtection="0"/>
    <xf numFmtId="0" fontId="55" fillId="10" borderId="14" applyNumberFormat="0" applyAlignment="0" applyProtection="0"/>
    <xf numFmtId="0" fontId="55" fillId="10" borderId="14" applyNumberFormat="0" applyAlignment="0" applyProtection="0"/>
    <xf numFmtId="0" fontId="55" fillId="10" borderId="14" applyNumberFormat="0" applyAlignment="0" applyProtection="0"/>
    <xf numFmtId="0" fontId="55" fillId="10" borderId="14" applyNumberFormat="0" applyAlignment="0" applyProtection="0"/>
    <xf numFmtId="0" fontId="55" fillId="10" borderId="14" applyNumberFormat="0" applyAlignment="0" applyProtection="0"/>
    <xf numFmtId="0" fontId="55" fillId="10" borderId="14" applyNumberFormat="0" applyAlignment="0" applyProtection="0"/>
    <xf numFmtId="0" fontId="55" fillId="10" borderId="14" applyNumberFormat="0" applyAlignment="0" applyProtection="0"/>
    <xf numFmtId="0" fontId="55" fillId="10" borderId="14" applyNumberFormat="0" applyAlignment="0" applyProtection="0"/>
    <xf numFmtId="0" fontId="54" fillId="14" borderId="14" applyNumberFormat="0" applyAlignment="0" applyProtection="0"/>
    <xf numFmtId="0" fontId="55" fillId="10" borderId="14"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0" fontId="56" fillId="42" borderId="15" applyNumberFormat="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9" fontId="12" fillId="0" borderId="0" applyFont="0" applyFill="0" applyBorder="0" applyAlignment="0" applyProtection="0"/>
    <xf numFmtId="43"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169"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0" fontId="5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0" fontId="5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2" fillId="0" borderId="0" applyFont="0" applyFill="0" applyBorder="0" applyAlignment="0" applyProtection="0"/>
    <xf numFmtId="0" fontId="31" fillId="0" borderId="16">
      <alignment horizontal="left" vertical="center" wrapText="1" indent="2"/>
    </xf>
    <xf numFmtId="171"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3" fontId="12" fillId="0" borderId="0" applyFont="0" applyFill="0" applyBorder="0" applyAlignment="0" applyProtection="0"/>
    <xf numFmtId="174" fontId="12" fillId="0" borderId="0" applyFont="0" applyFill="0" applyBorder="0" applyAlignment="0" applyProtection="0"/>
    <xf numFmtId="174"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4"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1" fontId="12" fillId="0" borderId="0" applyFont="0" applyFill="0" applyBorder="0" applyAlignment="0" applyProtection="0"/>
    <xf numFmtId="11" fontId="12" fillId="0" borderId="0" applyFont="0" applyFill="0" applyBorder="0" applyAlignment="0" applyProtection="0"/>
    <xf numFmtId="11" fontId="12" fillId="0" borderId="0" applyFont="0" applyFill="0" applyBorder="0" applyAlignment="0" applyProtection="0"/>
    <xf numFmtId="11" fontId="12" fillId="0" borderId="0" applyFont="0" applyFill="0" applyBorder="0" applyAlignment="0" applyProtection="0"/>
    <xf numFmtId="0" fontId="59" fillId="27"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59" fillId="13" borderId="0" applyNumberFormat="0" applyBorder="0" applyAlignment="0" applyProtection="0"/>
    <xf numFmtId="0" fontId="60" fillId="0" borderId="17"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0" fillId="0" borderId="17" applyNumberFormat="0" applyFill="0" applyAlignment="0" applyProtection="0"/>
    <xf numFmtId="0" fontId="61" fillId="0" borderId="18" applyNumberFormat="0" applyFill="0" applyAlignment="0" applyProtection="0"/>
    <xf numFmtId="0" fontId="62" fillId="0" borderId="19"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3" fillId="0" borderId="20" applyNumberFormat="0" applyFill="0" applyAlignment="0" applyProtection="0"/>
    <xf numFmtId="0" fontId="64" fillId="0" borderId="21"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7" fillId="11" borderId="14" applyNumberFormat="0" applyAlignment="0" applyProtection="0"/>
    <xf numFmtId="0" fontId="67" fillId="6" borderId="14" applyNumberFormat="0" applyAlignment="0" applyProtection="0"/>
    <xf numFmtId="0" fontId="67" fillId="6" borderId="14" applyNumberFormat="0" applyAlignment="0" applyProtection="0"/>
    <xf numFmtId="0" fontId="67" fillId="6" borderId="14" applyNumberFormat="0" applyAlignment="0" applyProtection="0"/>
    <xf numFmtId="0" fontId="67" fillId="6" borderId="14" applyNumberFormat="0" applyAlignment="0" applyProtection="0"/>
    <xf numFmtId="0" fontId="67" fillId="6" borderId="14" applyNumberFormat="0" applyAlignment="0" applyProtection="0"/>
    <xf numFmtId="0" fontId="67" fillId="6" borderId="14" applyNumberFormat="0" applyAlignment="0" applyProtection="0"/>
    <xf numFmtId="0" fontId="67" fillId="6" borderId="14" applyNumberFormat="0" applyAlignment="0" applyProtection="0"/>
    <xf numFmtId="0" fontId="67" fillId="6" borderId="14" applyNumberFormat="0" applyAlignment="0" applyProtection="0"/>
    <xf numFmtId="0" fontId="67" fillId="6" borderId="14" applyNumberFormat="0" applyAlignment="0" applyProtection="0"/>
    <xf numFmtId="0" fontId="67" fillId="11" borderId="14" applyNumberFormat="0" applyAlignment="0" applyProtection="0"/>
    <xf numFmtId="0" fontId="67" fillId="6" borderId="14" applyNumberFormat="0" applyAlignment="0" applyProtection="0"/>
    <xf numFmtId="4" fontId="31" fillId="0" borderId="0" applyBorder="0">
      <alignment horizontal="right" vertical="center"/>
    </xf>
    <xf numFmtId="0" fontId="68" fillId="0" borderId="23"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9" fillId="0" borderId="24" applyNumberFormat="0" applyFill="0" applyAlignment="0" applyProtection="0"/>
    <xf numFmtId="0" fontId="68" fillId="0" borderId="23" applyNumberFormat="0" applyFill="0" applyAlignment="0" applyProtection="0"/>
    <xf numFmtId="0" fontId="69" fillId="0" borderId="24" applyNumberFormat="0" applyFill="0" applyAlignment="0" applyProtection="0"/>
    <xf numFmtId="175" fontId="12" fillId="0" borderId="0" applyFont="0" applyFill="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70" fillId="6"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20" fillId="0" borderId="0"/>
    <xf numFmtId="176" fontId="45" fillId="0" borderId="0">
      <alignment vertical="center"/>
    </xf>
    <xf numFmtId="0" fontId="20" fillId="0" borderId="0"/>
    <xf numFmtId="0" fontId="20" fillId="0" borderId="0"/>
    <xf numFmtId="0" fontId="20" fillId="0" borderId="0"/>
    <xf numFmtId="0" fontId="20" fillId="0" borderId="0"/>
    <xf numFmtId="176" fontId="45" fillId="0" borderId="0">
      <alignment vertical="center"/>
    </xf>
    <xf numFmtId="176" fontId="45" fillId="0" borderId="0">
      <alignment vertical="center"/>
    </xf>
    <xf numFmtId="176" fontId="45" fillId="0" borderId="0">
      <alignment vertical="center"/>
    </xf>
    <xf numFmtId="176" fontId="45"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6" fontId="45" fillId="0" borderId="0">
      <alignment vertical="center"/>
    </xf>
    <xf numFmtId="176" fontId="45" fillId="0" borderId="0">
      <alignment vertical="center"/>
    </xf>
    <xf numFmtId="176" fontId="45"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176" fontId="45" fillId="0" borderId="0">
      <alignment vertical="center"/>
    </xf>
    <xf numFmtId="176" fontId="45" fillId="0" borderId="0">
      <alignment vertical="center"/>
    </xf>
    <xf numFmtId="176" fontId="45" fillId="0" borderId="0">
      <alignment vertical="center"/>
    </xf>
    <xf numFmtId="176" fontId="45" fillId="0" borderId="0">
      <alignment vertical="center"/>
    </xf>
    <xf numFmtId="0" fontId="20" fillId="0" borderId="0"/>
    <xf numFmtId="169" fontId="45"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20" fillId="0" borderId="0"/>
    <xf numFmtId="0" fontId="12" fillId="0" borderId="0"/>
    <xf numFmtId="0" fontId="12" fillId="0" borderId="0"/>
    <xf numFmtId="0" fontId="12" fillId="0" borderId="0"/>
    <xf numFmtId="0" fontId="12" fillId="0" borderId="0"/>
    <xf numFmtId="169" fontId="45" fillId="0" borderId="0">
      <alignment vertical="center"/>
    </xf>
    <xf numFmtId="0" fontId="12" fillId="0" borderId="0"/>
    <xf numFmtId="0" fontId="12" fillId="0" borderId="0"/>
    <xf numFmtId="0" fontId="12" fillId="0" borderId="0"/>
    <xf numFmtId="0" fontId="12" fillId="0" borderId="0"/>
    <xf numFmtId="0" fontId="12" fillId="0" borderId="0"/>
    <xf numFmtId="0" fontId="20" fillId="0" borderId="0"/>
    <xf numFmtId="0" fontId="12" fillId="0" borderId="0"/>
    <xf numFmtId="0" fontId="12" fillId="0" borderId="0"/>
    <xf numFmtId="0" fontId="12" fillId="0" borderId="0"/>
    <xf numFmtId="0" fontId="12" fillId="0" borderId="0"/>
    <xf numFmtId="0" fontId="12"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12" fillId="0" borderId="0"/>
    <xf numFmtId="0" fontId="20" fillId="0" borderId="0"/>
    <xf numFmtId="0" fontId="20" fillId="0" borderId="0"/>
    <xf numFmtId="0" fontId="20" fillId="0" borderId="0"/>
    <xf numFmtId="0" fontId="20" fillId="0" borderId="0"/>
    <xf numFmtId="0" fontId="1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4" fillId="0" borderId="0"/>
    <xf numFmtId="0" fontId="20" fillId="0" borderId="0"/>
    <xf numFmtId="0" fontId="20" fillId="0" borderId="0"/>
    <xf numFmtId="0" fontId="20" fillId="0" borderId="0"/>
    <xf numFmtId="0" fontId="20" fillId="0" borderId="0"/>
    <xf numFmtId="0" fontId="1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71" fillId="0" borderId="0"/>
    <xf numFmtId="177" fontId="45"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2" fillId="0" borderId="0"/>
    <xf numFmtId="0" fontId="12" fillId="0" borderId="0"/>
    <xf numFmtId="0" fontId="12" fillId="0" borderId="0"/>
    <xf numFmtId="0" fontId="12" fillId="0" borderId="0"/>
    <xf numFmtId="0" fontId="12" fillId="0" borderId="0"/>
    <xf numFmtId="0" fontId="20" fillId="0" borderId="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2" fillId="0" borderId="0" applyNumberFormat="0" applyFill="0" applyBorder="0" applyProtection="0">
      <alignment horizontal="left" vertical="center"/>
    </xf>
    <xf numFmtId="0" fontId="73" fillId="0" borderId="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20"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0" fontId="12" fillId="12" borderId="10" applyNumberFormat="0" applyFont="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178" fontId="12" fillId="0" borderId="0" applyFont="0" applyFill="0" applyBorder="0" applyAlignment="0" applyProtection="0"/>
    <xf numFmtId="0" fontId="74" fillId="14"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0" borderId="25" applyNumberFormat="0" applyAlignment="0" applyProtection="0"/>
    <xf numFmtId="0" fontId="74" fillId="14" borderId="25" applyNumberFormat="0" applyAlignment="0" applyProtection="0"/>
    <xf numFmtId="0" fontId="74" fillId="10" borderId="25"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57"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57"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75" fillId="0" borderId="0" applyFont="0" applyFill="0" applyBorder="0" applyAlignment="0" applyProtection="0"/>
    <xf numFmtId="41" fontId="75" fillId="0" borderId="0" applyFont="0" applyFill="0" applyBorder="0" applyAlignment="0" applyProtection="0"/>
    <xf numFmtId="179" fontId="75" fillId="0" borderId="0" applyFont="0" applyFill="0" applyBorder="0" applyAlignment="0" applyProtection="0"/>
    <xf numFmtId="0" fontId="12" fillId="0" borderId="5" applyNumberFormat="0" applyFill="0" applyProtection="0">
      <alignment horizontal="right"/>
    </xf>
    <xf numFmtId="0" fontId="12" fillId="0" borderId="5" applyNumberFormat="0" applyFill="0" applyProtection="0">
      <alignment horizontal="right"/>
    </xf>
    <xf numFmtId="0" fontId="12" fillId="0" borderId="5" applyNumberFormat="0" applyFill="0" applyProtection="0">
      <alignment horizontal="right"/>
    </xf>
    <xf numFmtId="0" fontId="12" fillId="0" borderId="5" applyNumberFormat="0" applyFill="0" applyProtection="0">
      <alignment horizontal="right"/>
    </xf>
    <xf numFmtId="0" fontId="13" fillId="43" borderId="5" applyNumberFormat="0" applyProtection="0">
      <alignment horizontal="right"/>
    </xf>
    <xf numFmtId="0" fontId="18" fillId="43" borderId="0" applyNumberFormat="0" applyBorder="0" applyProtection="0">
      <alignment horizontal="left"/>
    </xf>
    <xf numFmtId="0" fontId="13" fillId="43" borderId="5" applyNumberFormat="0" applyProtection="0">
      <alignment horizontal="left"/>
    </xf>
    <xf numFmtId="0" fontId="12" fillId="0" borderId="5" applyNumberFormat="0" applyFill="0" applyProtection="0">
      <alignment horizontal="right"/>
    </xf>
    <xf numFmtId="0" fontId="12" fillId="0" borderId="5" applyNumberFormat="0" applyFill="0" applyProtection="0">
      <alignment horizontal="right"/>
    </xf>
    <xf numFmtId="0" fontId="12" fillId="0" borderId="5" applyNumberFormat="0" applyFill="0" applyProtection="0">
      <alignment horizontal="right"/>
    </xf>
    <xf numFmtId="0" fontId="12" fillId="0" borderId="5" applyNumberFormat="0" applyFill="0" applyProtection="0">
      <alignment horizontal="right"/>
    </xf>
    <xf numFmtId="0" fontId="76" fillId="44" borderId="0" applyNumberFormat="0" applyBorder="0" applyProtection="0">
      <alignment horizontal="left"/>
    </xf>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21" fillId="0" borderId="26"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7" applyNumberFormat="0" applyFill="0" applyAlignment="0" applyProtection="0"/>
    <xf numFmtId="0" fontId="21" fillId="0" borderId="26" applyNumberFormat="0" applyFill="0" applyAlignment="0" applyProtection="0"/>
    <xf numFmtId="0" fontId="21" fillId="0" borderId="27" applyNumberFormat="0" applyFill="0" applyAlignment="0" applyProtection="0"/>
    <xf numFmtId="180" fontId="75" fillId="0" borderId="0" applyFon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4" fontId="31" fillId="0" borderId="0"/>
    <xf numFmtId="0" fontId="79" fillId="0" borderId="0" applyNumberFormat="0" applyFill="0" applyBorder="0" applyAlignment="0" applyProtection="0">
      <alignment vertical="center"/>
    </xf>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5" fillId="0" borderId="0"/>
    <xf numFmtId="0" fontId="5" fillId="0" borderId="0"/>
    <xf numFmtId="0" fontId="81" fillId="0" borderId="0" applyNumberFormat="0" applyFill="0" applyBorder="0" applyAlignment="0" applyProtection="0"/>
    <xf numFmtId="0" fontId="82" fillId="0" borderId="28" applyNumberFormat="0" applyFill="0" applyAlignment="0" applyProtection="0"/>
    <xf numFmtId="0" fontId="83" fillId="0" borderId="29" applyNumberFormat="0" applyFill="0" applyAlignment="0" applyProtection="0"/>
    <xf numFmtId="0" fontId="84" fillId="0" borderId="30" applyNumberFormat="0" applyFill="0" applyAlignment="0" applyProtection="0"/>
    <xf numFmtId="0" fontId="84" fillId="0" borderId="0" applyNumberFormat="0" applyFill="0" applyBorder="0" applyAlignment="0" applyProtection="0"/>
    <xf numFmtId="0" fontId="85" fillId="45" borderId="0" applyNumberFormat="0" applyBorder="0" applyAlignment="0" applyProtection="0"/>
    <xf numFmtId="0" fontId="86" fillId="46" borderId="0" applyNumberFormat="0" applyBorder="0" applyAlignment="0" applyProtection="0"/>
    <xf numFmtId="0" fontId="87" fillId="47" borderId="0" applyNumberFormat="0" applyBorder="0" applyAlignment="0" applyProtection="0"/>
    <xf numFmtId="0" fontId="88" fillId="48" borderId="31" applyNumberFormat="0" applyAlignment="0" applyProtection="0"/>
    <xf numFmtId="0" fontId="89" fillId="49" borderId="32" applyNumberFormat="0" applyAlignment="0" applyProtection="0"/>
    <xf numFmtId="0" fontId="90" fillId="49" borderId="31" applyNumberFormat="0" applyAlignment="0" applyProtection="0"/>
    <xf numFmtId="0" fontId="91" fillId="0" borderId="33" applyNumberFormat="0" applyFill="0" applyAlignment="0" applyProtection="0"/>
    <xf numFmtId="0" fontId="92" fillId="50" borderId="34" applyNumberFormat="0" applyAlignment="0" applyProtection="0"/>
    <xf numFmtId="0" fontId="25" fillId="0" borderId="0" applyNumberFormat="0" applyFill="0" applyBorder="0" applyAlignment="0" applyProtection="0"/>
    <xf numFmtId="0" fontId="93" fillId="0" borderId="0" applyNumberFormat="0" applyFill="0" applyBorder="0" applyAlignment="0" applyProtection="0"/>
    <xf numFmtId="0" fontId="26" fillId="0" borderId="36" applyNumberFormat="0" applyFill="0" applyAlignment="0" applyProtection="0"/>
    <xf numFmtId="0" fontId="27"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0" fontId="4" fillId="61" borderId="0" applyNumberFormat="0" applyBorder="0" applyAlignment="0" applyProtection="0"/>
    <xf numFmtId="0" fontId="4" fillId="62" borderId="0" applyNumberFormat="0" applyBorder="0" applyAlignment="0" applyProtection="0"/>
    <xf numFmtId="0" fontId="27" fillId="63" borderId="0" applyNumberFormat="0" applyBorder="0" applyAlignment="0" applyProtection="0"/>
    <xf numFmtId="0" fontId="27" fillId="64" borderId="0" applyNumberFormat="0" applyBorder="0" applyAlignment="0" applyProtection="0"/>
    <xf numFmtId="0" fontId="4" fillId="65" borderId="0" applyNumberFormat="0" applyBorder="0" applyAlignment="0" applyProtection="0"/>
    <xf numFmtId="0" fontId="4" fillId="66" borderId="0" applyNumberFormat="0" applyBorder="0" applyAlignment="0" applyProtection="0"/>
    <xf numFmtId="0" fontId="27" fillId="67" borderId="0" applyNumberFormat="0" applyBorder="0" applyAlignment="0" applyProtection="0"/>
    <xf numFmtId="0" fontId="27" fillId="9" borderId="0" applyNumberFormat="0" applyBorder="0" applyAlignment="0" applyProtection="0"/>
    <xf numFmtId="0" fontId="4" fillId="68" borderId="0" applyNumberFormat="0" applyBorder="0" applyAlignment="0" applyProtection="0"/>
    <xf numFmtId="0" fontId="4" fillId="69" borderId="0" applyNumberFormat="0" applyBorder="0" applyAlignment="0" applyProtection="0"/>
    <xf numFmtId="0" fontId="27" fillId="70" borderId="0" applyNumberFormat="0" applyBorder="0" applyAlignment="0" applyProtection="0"/>
    <xf numFmtId="0" fontId="27" fillId="71" borderId="0" applyNumberFormat="0" applyBorder="0" applyAlignment="0" applyProtection="0"/>
    <xf numFmtId="0" fontId="4" fillId="72" borderId="0" applyNumberFormat="0" applyBorder="0" applyAlignment="0" applyProtection="0"/>
    <xf numFmtId="0" fontId="4" fillId="73" borderId="0" applyNumberFormat="0" applyBorder="0" applyAlignment="0" applyProtection="0"/>
    <xf numFmtId="0" fontId="27" fillId="74" borderId="0" applyNumberFormat="0" applyBorder="0" applyAlignment="0" applyProtection="0"/>
    <xf numFmtId="0" fontId="4" fillId="0" borderId="0"/>
    <xf numFmtId="0" fontId="4" fillId="51" borderId="35" applyNumberFormat="0" applyFont="0" applyAlignment="0" applyProtection="0"/>
    <xf numFmtId="0" fontId="80" fillId="0" borderId="0">
      <alignment wrapText="1"/>
    </xf>
    <xf numFmtId="43" fontId="1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0" fontId="4" fillId="0" borderId="0"/>
    <xf numFmtId="0" fontId="4" fillId="0" borderId="0"/>
    <xf numFmtId="0" fontId="4" fillId="0" borderId="0"/>
    <xf numFmtId="43" fontId="34" fillId="0" borderId="0" applyFont="0" applyFill="0" applyBorder="0" applyAlignment="0" applyProtection="0"/>
    <xf numFmtId="0" fontId="4" fillId="0" borderId="0"/>
    <xf numFmtId="43" fontId="17" fillId="0" borderId="0" applyFont="0" applyFill="0" applyBorder="0" applyAlignment="0" applyProtection="0"/>
    <xf numFmtId="0" fontId="4" fillId="0" borderId="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4" fillId="0" borderId="0"/>
    <xf numFmtId="0" fontId="4" fillId="0" borderId="0"/>
    <xf numFmtId="0" fontId="80" fillId="0" borderId="0">
      <alignment wrapText="1"/>
    </xf>
    <xf numFmtId="0" fontId="3" fillId="0" borderId="0"/>
    <xf numFmtId="0" fontId="3" fillId="0" borderId="0"/>
    <xf numFmtId="0" fontId="12" fillId="0" borderId="0">
      <alignment wrapText="1"/>
    </xf>
    <xf numFmtId="0" fontId="3" fillId="0" borderId="0"/>
    <xf numFmtId="0" fontId="3" fillId="0" borderId="0"/>
    <xf numFmtId="0" fontId="17" fillId="0" borderId="0"/>
    <xf numFmtId="43" fontId="17" fillId="0" borderId="0" applyFont="0" applyFill="0" applyBorder="0" applyAlignment="0" applyProtection="0"/>
    <xf numFmtId="0" fontId="3" fillId="0" borderId="0"/>
    <xf numFmtId="0" fontId="12" fillId="0" borderId="0">
      <alignment wrapText="1"/>
    </xf>
    <xf numFmtId="0" fontId="3" fillId="0" borderId="0"/>
    <xf numFmtId="0" fontId="3" fillId="53" borderId="0" applyNumberFormat="0" applyBorder="0" applyAlignment="0" applyProtection="0"/>
    <xf numFmtId="0" fontId="3" fillId="54"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61" borderId="0" applyNumberFormat="0" applyBorder="0" applyAlignment="0" applyProtection="0"/>
    <xf numFmtId="0" fontId="3" fillId="62" borderId="0" applyNumberFormat="0" applyBorder="0" applyAlignment="0" applyProtection="0"/>
    <xf numFmtId="0" fontId="3" fillId="65" borderId="0" applyNumberFormat="0" applyBorder="0" applyAlignment="0" applyProtection="0"/>
    <xf numFmtId="0" fontId="3" fillId="66" borderId="0" applyNumberFormat="0" applyBorder="0" applyAlignment="0" applyProtection="0"/>
    <xf numFmtId="0" fontId="3" fillId="68" borderId="0" applyNumberFormat="0" applyBorder="0" applyAlignment="0" applyProtection="0"/>
    <xf numFmtId="0" fontId="3" fillId="69" borderId="0" applyNumberFormat="0" applyBorder="0" applyAlignment="0" applyProtection="0"/>
    <xf numFmtId="0" fontId="3" fillId="72" borderId="0" applyNumberFormat="0" applyBorder="0" applyAlignment="0" applyProtection="0"/>
    <xf numFmtId="0" fontId="3" fillId="73" borderId="0" applyNumberFormat="0" applyBorder="0" applyAlignment="0" applyProtection="0"/>
    <xf numFmtId="0" fontId="12" fillId="0" borderId="0">
      <alignment wrapText="1"/>
    </xf>
    <xf numFmtId="43" fontId="17"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0" fontId="12" fillId="0" borderId="0"/>
    <xf numFmtId="0" fontId="3" fillId="0" borderId="0"/>
    <xf numFmtId="0" fontId="3" fillId="0" borderId="0"/>
    <xf numFmtId="0" fontId="3" fillId="0" borderId="0"/>
    <xf numFmtId="0" fontId="34" fillId="0" borderId="0"/>
    <xf numFmtId="43" fontId="34" fillId="0" borderId="0" applyFont="0" applyFill="0" applyBorder="0" applyAlignment="0" applyProtection="0"/>
    <xf numFmtId="43" fontId="17" fillId="0" borderId="0" applyFont="0" applyFill="0" applyBorder="0" applyAlignment="0" applyProtection="0"/>
    <xf numFmtId="0" fontId="3" fillId="0" borderId="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12" fillId="0" borderId="0" applyNumberForma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3" fillId="0" borderId="0"/>
    <xf numFmtId="0" fontId="3" fillId="0" borderId="0"/>
    <xf numFmtId="0" fontId="3" fillId="51" borderId="35" applyNumberFormat="0" applyFont="0" applyAlignment="0" applyProtection="0"/>
    <xf numFmtId="0" fontId="12" fillId="0" borderId="0">
      <alignment wrapText="1"/>
    </xf>
    <xf numFmtId="43" fontId="1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4" fillId="0" borderId="0" applyFont="0" applyFill="0" applyBorder="0" applyAlignment="0" applyProtection="0"/>
    <xf numFmtId="43" fontId="17" fillId="0" borderId="0" applyFont="0" applyFill="0" applyBorder="0" applyAlignment="0" applyProtection="0"/>
    <xf numFmtId="0" fontId="3" fillId="0" borderId="0"/>
    <xf numFmtId="0" fontId="3" fillId="0" borderId="0"/>
    <xf numFmtId="0" fontId="3" fillId="0" borderId="0"/>
    <xf numFmtId="43" fontId="34" fillId="0" borderId="0" applyFont="0" applyFill="0" applyBorder="0" applyAlignment="0" applyProtection="0"/>
    <xf numFmtId="0" fontId="3" fillId="0" borderId="0"/>
    <xf numFmtId="43" fontId="17" fillId="0" borderId="0" applyFont="0" applyFill="0" applyBorder="0" applyAlignment="0" applyProtection="0"/>
    <xf numFmtId="0" fontId="3" fillId="0" borderId="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3" fillId="0" borderId="0"/>
    <xf numFmtId="0" fontId="3" fillId="0" borderId="0"/>
    <xf numFmtId="0" fontId="12" fillId="0" borderId="0">
      <alignment wrapText="1"/>
    </xf>
    <xf numFmtId="0" fontId="3" fillId="0" borderId="0"/>
    <xf numFmtId="0" fontId="2" fillId="0" borderId="0"/>
    <xf numFmtId="9" fontId="99" fillId="0" borderId="0" applyFont="0" applyFill="0" applyBorder="0" applyAlignment="0" applyProtection="0"/>
    <xf numFmtId="0" fontId="1" fillId="0" borderId="0"/>
  </cellStyleXfs>
  <cellXfs count="138">
    <xf numFmtId="0" fontId="0" fillId="0" borderId="0" xfId="0">
      <alignment wrapText="1"/>
    </xf>
    <xf numFmtId="0" fontId="29" fillId="3" borderId="3" xfId="1" applyFont="1" applyFill="1" applyBorder="1"/>
    <xf numFmtId="0" fontId="29" fillId="3" borderId="4" xfId="1" applyFont="1" applyFill="1" applyBorder="1" applyAlignment="1">
      <alignment horizontal="right"/>
    </xf>
    <xf numFmtId="9" fontId="29" fillId="3" borderId="5" xfId="1" applyNumberFormat="1" applyFont="1" applyFill="1" applyBorder="1" applyAlignment="1">
      <alignment horizontal="center"/>
    </xf>
    <xf numFmtId="0" fontId="13" fillId="0" borderId="0" xfId="11" applyFont="1" applyAlignment="1">
      <alignment horizontal="center"/>
    </xf>
    <xf numFmtId="0" fontId="13" fillId="2" borderId="1" xfId="11" applyFont="1" applyFill="1" applyBorder="1"/>
    <xf numFmtId="0" fontId="13" fillId="2" borderId="1" xfId="11" applyFont="1" applyFill="1" applyBorder="1" applyAlignment="1">
      <alignment horizontal="center"/>
    </xf>
    <xf numFmtId="0" fontId="12" fillId="2" borderId="1" xfId="11" applyFont="1" applyFill="1" applyBorder="1"/>
    <xf numFmtId="0" fontId="13" fillId="4" borderId="1" xfId="11" applyFont="1" applyFill="1" applyBorder="1" applyAlignment="1">
      <alignment horizontal="right"/>
    </xf>
    <xf numFmtId="0" fontId="13" fillId="4" borderId="0" xfId="11" applyFont="1" applyFill="1" applyBorder="1" applyAlignment="1">
      <alignment horizontal="right"/>
    </xf>
    <xf numFmtId="0" fontId="29" fillId="0" borderId="0" xfId="1" applyFont="1" applyAlignment="1">
      <alignment horizontal="center"/>
    </xf>
    <xf numFmtId="0" fontId="94" fillId="0" borderId="0" xfId="1" applyFont="1"/>
    <xf numFmtId="0" fontId="95" fillId="0" borderId="0" xfId="11" applyFont="1"/>
    <xf numFmtId="0" fontId="23" fillId="7" borderId="0" xfId="1" applyFont="1" applyFill="1"/>
    <xf numFmtId="0" fontId="19" fillId="7" borderId="0" xfId="1" applyFont="1" applyFill="1"/>
    <xf numFmtId="0" fontId="96" fillId="7" borderId="0" xfId="1" applyFont="1" applyFill="1"/>
    <xf numFmtId="0" fontId="97" fillId="7" borderId="0" xfId="1" applyFont="1" applyFill="1"/>
    <xf numFmtId="0" fontId="19" fillId="0" borderId="0" xfId="1" applyFont="1"/>
    <xf numFmtId="0" fontId="19" fillId="0" borderId="0" xfId="1" applyFont="1" applyAlignment="1">
      <alignment horizontal="center"/>
    </xf>
    <xf numFmtId="0" fontId="19" fillId="0" borderId="0" xfId="1" applyFont="1" applyFill="1"/>
    <xf numFmtId="0" fontId="98" fillId="8" borderId="0" xfId="1" applyFont="1" applyFill="1"/>
    <xf numFmtId="0" fontId="19" fillId="3" borderId="3" xfId="1" applyFont="1" applyFill="1" applyBorder="1"/>
    <xf numFmtId="0" fontId="1" fillId="0" borderId="0" xfId="3737"/>
    <xf numFmtId="0" fontId="26" fillId="3" borderId="2" xfId="3737" applyFont="1" applyFill="1" applyBorder="1"/>
    <xf numFmtId="0" fontId="23" fillId="18" borderId="2" xfId="1276" applyFont="1" applyFill="1" applyBorder="1"/>
    <xf numFmtId="0" fontId="23" fillId="18" borderId="2" xfId="0" applyFont="1" applyFill="1" applyBorder="1" applyAlignment="1"/>
    <xf numFmtId="0" fontId="23" fillId="76" borderId="2" xfId="1276" applyFont="1" applyFill="1" applyBorder="1"/>
    <xf numFmtId="0" fontId="23" fillId="8" borderId="2" xfId="1276" applyFont="1" applyFill="1" applyBorder="1"/>
    <xf numFmtId="0" fontId="23" fillId="8" borderId="2" xfId="1276" applyFont="1" applyFill="1" applyBorder="1" applyAlignment="1">
      <alignment horizontal="center"/>
    </xf>
    <xf numFmtId="0" fontId="23" fillId="3" borderId="2" xfId="1276" applyFont="1" applyFill="1" applyBorder="1" applyAlignment="1">
      <alignment horizontal="right"/>
    </xf>
    <xf numFmtId="0" fontId="23" fillId="3" borderId="2" xfId="1276" applyFont="1" applyFill="1" applyBorder="1"/>
    <xf numFmtId="0" fontId="23" fillId="2" borderId="3" xfId="6" applyFont="1" applyFill="1" applyBorder="1" applyAlignment="1">
      <alignment horizontal="center"/>
    </xf>
    <xf numFmtId="0" fontId="100" fillId="75" borderId="0" xfId="1276" applyFont="1" applyFill="1"/>
    <xf numFmtId="0" fontId="19" fillId="75" borderId="0" xfId="0" applyFont="1" applyFill="1" applyAlignment="1"/>
    <xf numFmtId="0" fontId="101" fillId="75" borderId="0" xfId="1276" applyFont="1" applyFill="1"/>
    <xf numFmtId="0" fontId="101" fillId="75" borderId="0" xfId="1276" quotePrefix="1" applyFont="1" applyFill="1"/>
    <xf numFmtId="0" fontId="101" fillId="75" borderId="0" xfId="1276" applyFont="1" applyFill="1" applyAlignment="1">
      <alignment horizontal="center"/>
    </xf>
    <xf numFmtId="3" fontId="101" fillId="75" borderId="0" xfId="1276" applyNumberFormat="1" applyFont="1" applyFill="1"/>
    <xf numFmtId="0" fontId="100" fillId="0" borderId="0" xfId="2" applyFont="1"/>
    <xf numFmtId="0" fontId="101" fillId="0" borderId="0" xfId="1276" applyFont="1"/>
    <xf numFmtId="0" fontId="19" fillId="77" borderId="0" xfId="1" applyFont="1" applyFill="1"/>
    <xf numFmtId="0" fontId="102" fillId="77" borderId="0" xfId="1" applyFont="1" applyFill="1"/>
    <xf numFmtId="0" fontId="103" fillId="0" borderId="0" xfId="1276" applyFont="1"/>
    <xf numFmtId="0" fontId="103" fillId="0" borderId="0" xfId="2" applyFont="1"/>
    <xf numFmtId="0" fontId="17" fillId="0" borderId="0" xfId="1" applyFont="1"/>
    <xf numFmtId="0" fontId="100" fillId="8" borderId="0" xfId="2" applyFont="1" applyFill="1"/>
    <xf numFmtId="0" fontId="17" fillId="75" borderId="0" xfId="1" applyFont="1" applyFill="1"/>
    <xf numFmtId="0" fontId="103" fillId="6" borderId="3" xfId="3" applyFont="1" applyBorder="1" applyAlignment="1">
      <alignment horizontal="left"/>
    </xf>
    <xf numFmtId="3" fontId="17" fillId="75" borderId="0" xfId="1" applyNumberFormat="1" applyFont="1" applyFill="1"/>
    <xf numFmtId="9" fontId="17" fillId="75" borderId="0" xfId="1" applyNumberFormat="1" applyFont="1" applyFill="1"/>
    <xf numFmtId="3" fontId="17" fillId="0" borderId="0" xfId="1" applyNumberFormat="1" applyFont="1"/>
    <xf numFmtId="0" fontId="17" fillId="77" borderId="0" xfId="1" applyFont="1" applyFill="1"/>
    <xf numFmtId="0" fontId="17" fillId="0" borderId="0" xfId="1" applyFont="1" applyAlignment="1">
      <alignment horizontal="center"/>
    </xf>
    <xf numFmtId="2" fontId="17" fillId="0" borderId="0" xfId="1" applyNumberFormat="1" applyFont="1"/>
    <xf numFmtId="0" fontId="17" fillId="0" borderId="0" xfId="1" applyFont="1" applyFill="1" applyBorder="1"/>
    <xf numFmtId="2" fontId="17" fillId="0" borderId="0" xfId="1" applyNumberFormat="1" applyFont="1" applyFill="1"/>
    <xf numFmtId="0" fontId="17" fillId="0" borderId="0" xfId="1" applyFont="1" applyFill="1"/>
    <xf numFmtId="9" fontId="17" fillId="7" borderId="5" xfId="1" applyNumberFormat="1" applyFont="1" applyFill="1" applyBorder="1" applyAlignment="1">
      <alignment horizontal="left"/>
    </xf>
    <xf numFmtId="0" fontId="104" fillId="0" borderId="0" xfId="11" applyFont="1"/>
    <xf numFmtId="0" fontId="104" fillId="0" borderId="0" xfId="11" applyFont="1" applyAlignment="1">
      <alignment horizontal="center"/>
    </xf>
    <xf numFmtId="1" fontId="105" fillId="0" borderId="0" xfId="11" applyNumberFormat="1" applyFont="1"/>
    <xf numFmtId="9" fontId="17" fillId="0" borderId="0" xfId="1" applyNumberFormat="1" applyFont="1"/>
    <xf numFmtId="0" fontId="105" fillId="23" borderId="0" xfId="110" applyFont="1" applyFill="1"/>
    <xf numFmtId="0" fontId="105" fillId="23" borderId="0" xfId="110" applyFont="1" applyFill="1" applyAlignment="1">
      <alignment horizontal="left"/>
    </xf>
    <xf numFmtId="0" fontId="105" fillId="23" borderId="0" xfId="110" applyFont="1" applyFill="1" applyAlignment="1">
      <alignment horizontal="center"/>
    </xf>
    <xf numFmtId="1" fontId="105" fillId="23" borderId="0" xfId="110" applyNumberFormat="1" applyFont="1" applyFill="1"/>
    <xf numFmtId="1" fontId="104" fillId="0" borderId="0" xfId="11" applyNumberFormat="1" applyFont="1"/>
    <xf numFmtId="0" fontId="104" fillId="5" borderId="0" xfId="11" applyFont="1" applyFill="1"/>
    <xf numFmtId="0" fontId="103" fillId="2" borderId="3" xfId="6" applyFont="1" applyFill="1" applyBorder="1" applyAlignment="1">
      <alignment horizontal="center"/>
    </xf>
    <xf numFmtId="0" fontId="100" fillId="0" borderId="0" xfId="1276" applyFont="1" applyFill="1"/>
    <xf numFmtId="0" fontId="19" fillId="0" borderId="0" xfId="0" applyFont="1" applyFill="1" applyAlignment="1"/>
    <xf numFmtId="0" fontId="101" fillId="0" borderId="0" xfId="1276" applyFont="1" applyFill="1"/>
    <xf numFmtId="0" fontId="101" fillId="0" borderId="0" xfId="1276" quotePrefix="1" applyFont="1" applyFill="1"/>
    <xf numFmtId="0" fontId="101" fillId="0" borderId="0" xfId="1276" applyFont="1" applyFill="1" applyAlignment="1">
      <alignment horizontal="center"/>
    </xf>
    <xf numFmtId="3" fontId="101" fillId="0" borderId="0" xfId="1276" applyNumberFormat="1" applyFont="1" applyFill="1"/>
    <xf numFmtId="0" fontId="1" fillId="0" borderId="0" xfId="3737" applyFill="1"/>
    <xf numFmtId="0" fontId="1" fillId="7" borderId="0" xfId="3737" applyFill="1"/>
    <xf numFmtId="3" fontId="17" fillId="75" borderId="38" xfId="1" applyNumberFormat="1" applyFont="1" applyFill="1" applyBorder="1"/>
    <xf numFmtId="9" fontId="1" fillId="0" borderId="0" xfId="3736" applyFont="1"/>
    <xf numFmtId="9" fontId="17" fillId="0" borderId="0" xfId="3736" applyFont="1"/>
    <xf numFmtId="3" fontId="107" fillId="79" borderId="0" xfId="1" applyNumberFormat="1" applyFont="1" applyFill="1"/>
    <xf numFmtId="3" fontId="17" fillId="78" borderId="0" xfId="1" applyNumberFormat="1" applyFont="1" applyFill="1"/>
    <xf numFmtId="0" fontId="17" fillId="78" borderId="0" xfId="1" applyFont="1" applyFill="1"/>
    <xf numFmtId="1" fontId="17" fillId="0" borderId="0" xfId="1" applyNumberFormat="1" applyFont="1" applyAlignment="1">
      <alignment horizontal="right"/>
    </xf>
    <xf numFmtId="3" fontId="1" fillId="0" borderId="0" xfId="3737" applyNumberFormat="1"/>
    <xf numFmtId="3" fontId="1" fillId="7" borderId="0" xfId="3737" applyNumberFormat="1" applyFill="1"/>
    <xf numFmtId="0" fontId="1" fillId="81" borderId="0" xfId="3737" applyFill="1"/>
    <xf numFmtId="3" fontId="1" fillId="81" borderId="0" xfId="3737" applyNumberFormat="1" applyFill="1"/>
    <xf numFmtId="3" fontId="1" fillId="0" borderId="0" xfId="3737" applyNumberFormat="1" applyFill="1"/>
    <xf numFmtId="0" fontId="1" fillId="82" borderId="0" xfId="3737" applyFill="1"/>
    <xf numFmtId="3" fontId="1" fillId="82" borderId="0" xfId="3737" applyNumberFormat="1" applyFill="1"/>
    <xf numFmtId="0" fontId="29" fillId="75" borderId="0" xfId="1" applyFont="1" applyFill="1" applyAlignment="1">
      <alignment wrapText="1"/>
    </xf>
    <xf numFmtId="0" fontId="29" fillId="75" borderId="37" xfId="1" applyFont="1" applyFill="1" applyBorder="1" applyAlignment="1">
      <alignment wrapText="1"/>
    </xf>
    <xf numFmtId="0" fontId="29" fillId="0" borderId="0" xfId="1" applyFont="1" applyAlignment="1">
      <alignment wrapText="1"/>
    </xf>
    <xf numFmtId="0" fontId="17" fillId="0" borderId="0" xfId="1" applyFont="1" applyAlignment="1">
      <alignment wrapText="1"/>
    </xf>
    <xf numFmtId="0" fontId="0" fillId="0" borderId="0" xfId="0" applyAlignment="1">
      <alignment wrapText="1"/>
    </xf>
    <xf numFmtId="0" fontId="29" fillId="78" borderId="0" xfId="1" applyFont="1" applyFill="1" applyAlignment="1">
      <alignment vertical="top" wrapText="1"/>
    </xf>
    <xf numFmtId="0" fontId="106" fillId="79" borderId="0" xfId="1" applyFont="1" applyFill="1" applyAlignment="1">
      <alignment vertical="top" wrapText="1"/>
    </xf>
    <xf numFmtId="0" fontId="29" fillId="79" borderId="0" xfId="1" applyFont="1" applyFill="1" applyAlignment="1">
      <alignment vertical="top" wrapText="1"/>
    </xf>
    <xf numFmtId="0" fontId="29" fillId="75" borderId="0" xfId="1" applyFont="1" applyFill="1" applyAlignment="1">
      <alignment vertical="top" wrapText="1"/>
    </xf>
    <xf numFmtId="0" fontId="17" fillId="0" borderId="0" xfId="0" applyFont="1" applyAlignment="1"/>
    <xf numFmtId="0" fontId="17" fillId="0" borderId="0" xfId="0" applyFont="1">
      <alignment wrapText="1"/>
    </xf>
    <xf numFmtId="0" fontId="29" fillId="0" borderId="0" xfId="1" applyFont="1" applyFill="1" applyBorder="1"/>
    <xf numFmtId="0" fontId="106" fillId="0" borderId="0" xfId="1" applyFont="1" applyFill="1" applyBorder="1"/>
    <xf numFmtId="3" fontId="17" fillId="0" borderId="0" xfId="1" applyNumberFormat="1" applyFont="1" applyFill="1" applyBorder="1"/>
    <xf numFmtId="1" fontId="17" fillId="0" borderId="0" xfId="1" applyNumberFormat="1" applyFont="1" applyFill="1" applyBorder="1" applyAlignment="1">
      <alignment horizontal="right"/>
    </xf>
    <xf numFmtId="3" fontId="107" fillId="0" borderId="0" xfId="1" applyNumberFormat="1" applyFont="1" applyFill="1" applyBorder="1"/>
    <xf numFmtId="9" fontId="17" fillId="0" borderId="0" xfId="3736" applyFont="1" applyFill="1" applyBorder="1"/>
    <xf numFmtId="3" fontId="108" fillId="0" borderId="0" xfId="1" applyNumberFormat="1" applyFont="1" applyFill="1" applyBorder="1"/>
    <xf numFmtId="9" fontId="17" fillId="0" borderId="0" xfId="1" applyNumberFormat="1" applyFont="1" applyFill="1" applyBorder="1"/>
    <xf numFmtId="0" fontId="108" fillId="0" borderId="0" xfId="1" applyFont="1" applyFill="1" applyBorder="1"/>
    <xf numFmtId="0" fontId="107" fillId="0" borderId="0" xfId="1" applyFont="1" applyFill="1" applyBorder="1" applyAlignment="1">
      <alignment vertical="center" wrapText="1"/>
    </xf>
    <xf numFmtId="0" fontId="0" fillId="0" borderId="0" xfId="0" applyAlignment="1"/>
    <xf numFmtId="1" fontId="17" fillId="80" borderId="0" xfId="1" applyNumberFormat="1" applyFont="1" applyFill="1" applyAlignment="1">
      <alignment horizontal="right"/>
    </xf>
    <xf numFmtId="0" fontId="29" fillId="80" borderId="0" xfId="1" applyFont="1" applyFill="1"/>
    <xf numFmtId="0" fontId="29" fillId="80" borderId="0" xfId="1" applyFont="1" applyFill="1" applyAlignment="1">
      <alignment wrapText="1"/>
    </xf>
    <xf numFmtId="3" fontId="17" fillId="80" borderId="0" xfId="1" applyNumberFormat="1" applyFont="1" applyFill="1" applyAlignment="1">
      <alignment horizontal="right"/>
    </xf>
    <xf numFmtId="0" fontId="29" fillId="0" borderId="0" xfId="1" applyFont="1" applyAlignment="1">
      <alignment horizontal="center"/>
    </xf>
    <xf numFmtId="0" fontId="29" fillId="75" borderId="0" xfId="1" applyFont="1" applyFill="1"/>
    <xf numFmtId="0" fontId="17" fillId="75" borderId="0" xfId="1" applyFont="1" applyFill="1" applyAlignment="1">
      <alignment horizontal="right"/>
    </xf>
    <xf numFmtId="0" fontId="17" fillId="75" borderId="0" xfId="1" applyFont="1" applyFill="1" applyAlignment="1">
      <alignment horizontal="center"/>
    </xf>
    <xf numFmtId="0" fontId="19" fillId="0" borderId="0" xfId="1" applyFont="1" applyAlignment="1">
      <alignment horizontal="center" vertical="center"/>
    </xf>
    <xf numFmtId="3" fontId="94" fillId="79" borderId="0" xfId="1" applyNumberFormat="1" applyFont="1" applyFill="1" applyAlignment="1">
      <alignment vertical="center" wrapText="1"/>
    </xf>
    <xf numFmtId="3" fontId="109" fillId="79" borderId="0" xfId="1" applyNumberFormat="1" applyFont="1" applyFill="1" applyAlignment="1">
      <alignment vertical="center" wrapText="1"/>
    </xf>
    <xf numFmtId="3" fontId="110" fillId="79" borderId="0" xfId="1" applyNumberFormat="1" applyFont="1" applyFill="1" applyAlignment="1">
      <alignment vertical="center" wrapText="1"/>
    </xf>
    <xf numFmtId="3" fontId="109" fillId="75" borderId="0" xfId="1" applyNumberFormat="1" applyFont="1" applyFill="1"/>
    <xf numFmtId="0" fontId="109" fillId="75" borderId="0" xfId="1" applyFont="1" applyFill="1"/>
    <xf numFmtId="0" fontId="29" fillId="0" borderId="0" xfId="1" applyFont="1" applyAlignment="1">
      <alignment horizontal="center"/>
    </xf>
    <xf numFmtId="0" fontId="29" fillId="5" borderId="0" xfId="1" applyFont="1" applyFill="1" applyAlignment="1">
      <alignment vertical="top" wrapText="1"/>
    </xf>
    <xf numFmtId="0" fontId="29" fillId="5" borderId="0" xfId="0" applyFont="1" applyFill="1">
      <alignment wrapText="1"/>
    </xf>
    <xf numFmtId="0" fontId="17" fillId="5" borderId="0" xfId="0" applyFont="1" applyFill="1" applyAlignment="1">
      <alignment vertical="top" wrapText="1"/>
    </xf>
    <xf numFmtId="3" fontId="107" fillId="5" borderId="0" xfId="1" applyNumberFormat="1" applyFont="1" applyFill="1"/>
    <xf numFmtId="3" fontId="17" fillId="5" borderId="0" xfId="0" applyNumberFormat="1" applyFont="1" applyFill="1">
      <alignment wrapText="1"/>
    </xf>
    <xf numFmtId="0" fontId="29" fillId="0" borderId="0" xfId="1" applyFont="1" applyAlignment="1">
      <alignment horizontal="center"/>
    </xf>
    <xf numFmtId="0" fontId="111" fillId="0" borderId="0" xfId="1" applyFont="1"/>
    <xf numFmtId="0" fontId="29" fillId="0" borderId="0" xfId="1" applyFont="1" applyAlignment="1">
      <alignment horizontal="center"/>
    </xf>
    <xf numFmtId="0" fontId="29" fillId="0" borderId="0" xfId="1" applyFont="1" applyAlignment="1">
      <alignment horizontal="center" wrapText="1"/>
    </xf>
    <xf numFmtId="0" fontId="107" fillId="79" borderId="0" xfId="1" applyFont="1" applyFill="1" applyAlignment="1">
      <alignment horizontal="center" vertical="center" wrapText="1"/>
    </xf>
  </cellXfs>
  <cellStyles count="3738">
    <cellStyle name="20% - Accent1" xfId="2152" builtinId="30" customBuiltin="1"/>
    <cellStyle name="20% - Accent1 2" xfId="12" xr:uid="{00000000-0005-0000-0000-000001000000}"/>
    <cellStyle name="20% - Accent1 2 10" xfId="118" xr:uid="{00000000-0005-0000-0000-000002000000}"/>
    <cellStyle name="20% - Accent1 2 11" xfId="119" xr:uid="{00000000-0005-0000-0000-000003000000}"/>
    <cellStyle name="20% - Accent1 2 12" xfId="120" xr:uid="{00000000-0005-0000-0000-000004000000}"/>
    <cellStyle name="20% - Accent1 2 13" xfId="121" xr:uid="{00000000-0005-0000-0000-000005000000}"/>
    <cellStyle name="20% - Accent1 2 14" xfId="122" xr:uid="{00000000-0005-0000-0000-000006000000}"/>
    <cellStyle name="20% - Accent1 2 15" xfId="123" xr:uid="{00000000-0005-0000-0000-000007000000}"/>
    <cellStyle name="20% - Accent1 2 2" xfId="124" xr:uid="{00000000-0005-0000-0000-000008000000}"/>
    <cellStyle name="20% - Accent1 2 3" xfId="125" xr:uid="{00000000-0005-0000-0000-000009000000}"/>
    <cellStyle name="20% - Accent1 2 4" xfId="126" xr:uid="{00000000-0005-0000-0000-00000A000000}"/>
    <cellStyle name="20% - Accent1 2 5" xfId="127" xr:uid="{00000000-0005-0000-0000-00000B000000}"/>
    <cellStyle name="20% - Accent1 2 6" xfId="128" xr:uid="{00000000-0005-0000-0000-00000C000000}"/>
    <cellStyle name="20% - Accent1 2 7" xfId="129" xr:uid="{00000000-0005-0000-0000-00000D000000}"/>
    <cellStyle name="20% - Accent1 2 8" xfId="130" xr:uid="{00000000-0005-0000-0000-00000E000000}"/>
    <cellStyle name="20% - Accent1 2 9" xfId="131" xr:uid="{00000000-0005-0000-0000-00000F000000}"/>
    <cellStyle name="20% - Accent1 2_AREFOR" xfId="132" xr:uid="{00000000-0005-0000-0000-000010000000}"/>
    <cellStyle name="20% - Accent1 3" xfId="13" xr:uid="{00000000-0005-0000-0000-000011000000}"/>
    <cellStyle name="20% - Accent1 4" xfId="133" xr:uid="{00000000-0005-0000-0000-000012000000}"/>
    <cellStyle name="20% - Accent1 5" xfId="134" xr:uid="{00000000-0005-0000-0000-000013000000}"/>
    <cellStyle name="20% - Accent1 6" xfId="135" xr:uid="{00000000-0005-0000-0000-000014000000}"/>
    <cellStyle name="20% - Accent1 7" xfId="136" xr:uid="{00000000-0005-0000-0000-000015000000}"/>
    <cellStyle name="20% - Accent1 8" xfId="137" xr:uid="{00000000-0005-0000-0000-000016000000}"/>
    <cellStyle name="20% - Accent1 9" xfId="2699" xr:uid="{00000000-0005-0000-0000-000017000000}"/>
    <cellStyle name="20% - Accent2" xfId="2156" builtinId="34" customBuiltin="1"/>
    <cellStyle name="20% - Accent2 2" xfId="14" xr:uid="{00000000-0005-0000-0000-000019000000}"/>
    <cellStyle name="20% - Accent2 2 10" xfId="138" xr:uid="{00000000-0005-0000-0000-00001A000000}"/>
    <cellStyle name="20% - Accent2 2 11" xfId="139" xr:uid="{00000000-0005-0000-0000-00001B000000}"/>
    <cellStyle name="20% - Accent2 2 12" xfId="140" xr:uid="{00000000-0005-0000-0000-00001C000000}"/>
    <cellStyle name="20% - Accent2 2 13" xfId="141" xr:uid="{00000000-0005-0000-0000-00001D000000}"/>
    <cellStyle name="20% - Accent2 2 14" xfId="142" xr:uid="{00000000-0005-0000-0000-00001E000000}"/>
    <cellStyle name="20% - Accent2 2 15" xfId="143" xr:uid="{00000000-0005-0000-0000-00001F000000}"/>
    <cellStyle name="20% - Accent2 2 2" xfId="144" xr:uid="{00000000-0005-0000-0000-000020000000}"/>
    <cellStyle name="20% - Accent2 2 3" xfId="145" xr:uid="{00000000-0005-0000-0000-000021000000}"/>
    <cellStyle name="20% - Accent2 2 4" xfId="146" xr:uid="{00000000-0005-0000-0000-000022000000}"/>
    <cellStyle name="20% - Accent2 2 5" xfId="147" xr:uid="{00000000-0005-0000-0000-000023000000}"/>
    <cellStyle name="20% - Accent2 2 6" xfId="148" xr:uid="{00000000-0005-0000-0000-000024000000}"/>
    <cellStyle name="20% - Accent2 2 7" xfId="149" xr:uid="{00000000-0005-0000-0000-000025000000}"/>
    <cellStyle name="20% - Accent2 2 8" xfId="150" xr:uid="{00000000-0005-0000-0000-000026000000}"/>
    <cellStyle name="20% - Accent2 2 9" xfId="151" xr:uid="{00000000-0005-0000-0000-000027000000}"/>
    <cellStyle name="20% - Accent2 2_AREFOR" xfId="152" xr:uid="{00000000-0005-0000-0000-000028000000}"/>
    <cellStyle name="20% - Accent2 3" xfId="15" xr:uid="{00000000-0005-0000-0000-000029000000}"/>
    <cellStyle name="20% - Accent2 4" xfId="153" xr:uid="{00000000-0005-0000-0000-00002A000000}"/>
    <cellStyle name="20% - Accent2 5" xfId="154" xr:uid="{00000000-0005-0000-0000-00002B000000}"/>
    <cellStyle name="20% - Accent2 6" xfId="155" xr:uid="{00000000-0005-0000-0000-00002C000000}"/>
    <cellStyle name="20% - Accent2 7" xfId="156" xr:uid="{00000000-0005-0000-0000-00002D000000}"/>
    <cellStyle name="20% - Accent2 8" xfId="157" xr:uid="{00000000-0005-0000-0000-00002E000000}"/>
    <cellStyle name="20% - Accent2 9" xfId="2701" xr:uid="{00000000-0005-0000-0000-00002F000000}"/>
    <cellStyle name="20% - Accent3" xfId="2160" builtinId="38" customBuiltin="1"/>
    <cellStyle name="20% - Accent3 2" xfId="16" xr:uid="{00000000-0005-0000-0000-000031000000}"/>
    <cellStyle name="20% - Accent3 2 10" xfId="158" xr:uid="{00000000-0005-0000-0000-000032000000}"/>
    <cellStyle name="20% - Accent3 2 11" xfId="159" xr:uid="{00000000-0005-0000-0000-000033000000}"/>
    <cellStyle name="20% - Accent3 2 12" xfId="160" xr:uid="{00000000-0005-0000-0000-000034000000}"/>
    <cellStyle name="20% - Accent3 2 13" xfId="161" xr:uid="{00000000-0005-0000-0000-000035000000}"/>
    <cellStyle name="20% - Accent3 2 14" xfId="162" xr:uid="{00000000-0005-0000-0000-000036000000}"/>
    <cellStyle name="20% - Accent3 2 15" xfId="163" xr:uid="{00000000-0005-0000-0000-000037000000}"/>
    <cellStyle name="20% - Accent3 2 2" xfId="164" xr:uid="{00000000-0005-0000-0000-000038000000}"/>
    <cellStyle name="20% - Accent3 2 3" xfId="165" xr:uid="{00000000-0005-0000-0000-000039000000}"/>
    <cellStyle name="20% - Accent3 2 4" xfId="166" xr:uid="{00000000-0005-0000-0000-00003A000000}"/>
    <cellStyle name="20% - Accent3 2 5" xfId="167" xr:uid="{00000000-0005-0000-0000-00003B000000}"/>
    <cellStyle name="20% - Accent3 2 6" xfId="168" xr:uid="{00000000-0005-0000-0000-00003C000000}"/>
    <cellStyle name="20% - Accent3 2 7" xfId="169" xr:uid="{00000000-0005-0000-0000-00003D000000}"/>
    <cellStyle name="20% - Accent3 2 8" xfId="170" xr:uid="{00000000-0005-0000-0000-00003E000000}"/>
    <cellStyle name="20% - Accent3 2 9" xfId="171" xr:uid="{00000000-0005-0000-0000-00003F000000}"/>
    <cellStyle name="20% - Accent3 2_AREFOR" xfId="172" xr:uid="{00000000-0005-0000-0000-000040000000}"/>
    <cellStyle name="20% - Accent3 3" xfId="17" xr:uid="{00000000-0005-0000-0000-000041000000}"/>
    <cellStyle name="20% - Accent3 4" xfId="173" xr:uid="{00000000-0005-0000-0000-000042000000}"/>
    <cellStyle name="20% - Accent3 5" xfId="174" xr:uid="{00000000-0005-0000-0000-000043000000}"/>
    <cellStyle name="20% - Accent3 6" xfId="175" xr:uid="{00000000-0005-0000-0000-000044000000}"/>
    <cellStyle name="20% - Accent3 7" xfId="176" xr:uid="{00000000-0005-0000-0000-000045000000}"/>
    <cellStyle name="20% - Accent3 8" xfId="177" xr:uid="{00000000-0005-0000-0000-000046000000}"/>
    <cellStyle name="20% - Accent3 9" xfId="2703" xr:uid="{00000000-0005-0000-0000-000047000000}"/>
    <cellStyle name="20% - Accent4" xfId="2164" builtinId="42" customBuiltin="1"/>
    <cellStyle name="20% - Accent4 2" xfId="18" xr:uid="{00000000-0005-0000-0000-000049000000}"/>
    <cellStyle name="20% - Accent4 2 10" xfId="178" xr:uid="{00000000-0005-0000-0000-00004A000000}"/>
    <cellStyle name="20% - Accent4 2 11" xfId="179" xr:uid="{00000000-0005-0000-0000-00004B000000}"/>
    <cellStyle name="20% - Accent4 2 12" xfId="180" xr:uid="{00000000-0005-0000-0000-00004C000000}"/>
    <cellStyle name="20% - Accent4 2 13" xfId="181" xr:uid="{00000000-0005-0000-0000-00004D000000}"/>
    <cellStyle name="20% - Accent4 2 14" xfId="182" xr:uid="{00000000-0005-0000-0000-00004E000000}"/>
    <cellStyle name="20% - Accent4 2 15" xfId="183" xr:uid="{00000000-0005-0000-0000-00004F000000}"/>
    <cellStyle name="20% - Accent4 2 2" xfId="184" xr:uid="{00000000-0005-0000-0000-000050000000}"/>
    <cellStyle name="20% - Accent4 2 3" xfId="185" xr:uid="{00000000-0005-0000-0000-000051000000}"/>
    <cellStyle name="20% - Accent4 2 4" xfId="186" xr:uid="{00000000-0005-0000-0000-000052000000}"/>
    <cellStyle name="20% - Accent4 2 5" xfId="187" xr:uid="{00000000-0005-0000-0000-000053000000}"/>
    <cellStyle name="20% - Accent4 2 6" xfId="188" xr:uid="{00000000-0005-0000-0000-000054000000}"/>
    <cellStyle name="20% - Accent4 2 7" xfId="189" xr:uid="{00000000-0005-0000-0000-000055000000}"/>
    <cellStyle name="20% - Accent4 2 8" xfId="190" xr:uid="{00000000-0005-0000-0000-000056000000}"/>
    <cellStyle name="20% - Accent4 2 9" xfId="191" xr:uid="{00000000-0005-0000-0000-000057000000}"/>
    <cellStyle name="20% - Accent4 2_AREFOR" xfId="192" xr:uid="{00000000-0005-0000-0000-000058000000}"/>
    <cellStyle name="20% - Accent4 3" xfId="19" xr:uid="{00000000-0005-0000-0000-000059000000}"/>
    <cellStyle name="20% - Accent4 4" xfId="193" xr:uid="{00000000-0005-0000-0000-00005A000000}"/>
    <cellStyle name="20% - Accent4 5" xfId="194" xr:uid="{00000000-0005-0000-0000-00005B000000}"/>
    <cellStyle name="20% - Accent4 6" xfId="195" xr:uid="{00000000-0005-0000-0000-00005C000000}"/>
    <cellStyle name="20% - Accent4 7" xfId="196" xr:uid="{00000000-0005-0000-0000-00005D000000}"/>
    <cellStyle name="20% - Accent4 8" xfId="197" xr:uid="{00000000-0005-0000-0000-00005E000000}"/>
    <cellStyle name="20% - Accent4 9" xfId="2705" xr:uid="{00000000-0005-0000-0000-00005F000000}"/>
    <cellStyle name="20% - Accent5" xfId="2168" builtinId="46" customBuiltin="1"/>
    <cellStyle name="20% - Accent5 2" xfId="20" xr:uid="{00000000-0005-0000-0000-000061000000}"/>
    <cellStyle name="20% - Accent5 2 10" xfId="198" xr:uid="{00000000-0005-0000-0000-000062000000}"/>
    <cellStyle name="20% - Accent5 2 11" xfId="199" xr:uid="{00000000-0005-0000-0000-000063000000}"/>
    <cellStyle name="20% - Accent5 2 12" xfId="200" xr:uid="{00000000-0005-0000-0000-000064000000}"/>
    <cellStyle name="20% - Accent5 2 13" xfId="201" xr:uid="{00000000-0005-0000-0000-000065000000}"/>
    <cellStyle name="20% - Accent5 2 14" xfId="202" xr:uid="{00000000-0005-0000-0000-000066000000}"/>
    <cellStyle name="20% - Accent5 2 15" xfId="203" xr:uid="{00000000-0005-0000-0000-000067000000}"/>
    <cellStyle name="20% - Accent5 2 2" xfId="204" xr:uid="{00000000-0005-0000-0000-000068000000}"/>
    <cellStyle name="20% - Accent5 2 3" xfId="205" xr:uid="{00000000-0005-0000-0000-000069000000}"/>
    <cellStyle name="20% - Accent5 2 4" xfId="206" xr:uid="{00000000-0005-0000-0000-00006A000000}"/>
    <cellStyle name="20% - Accent5 2 5" xfId="207" xr:uid="{00000000-0005-0000-0000-00006B000000}"/>
    <cellStyle name="20% - Accent5 2 6" xfId="208" xr:uid="{00000000-0005-0000-0000-00006C000000}"/>
    <cellStyle name="20% - Accent5 2 7" xfId="209" xr:uid="{00000000-0005-0000-0000-00006D000000}"/>
    <cellStyle name="20% - Accent5 2 8" xfId="210" xr:uid="{00000000-0005-0000-0000-00006E000000}"/>
    <cellStyle name="20% - Accent5 2 9" xfId="211" xr:uid="{00000000-0005-0000-0000-00006F000000}"/>
    <cellStyle name="20% - Accent5 3" xfId="21" xr:uid="{00000000-0005-0000-0000-000070000000}"/>
    <cellStyle name="20% - Accent5 4" xfId="212" xr:uid="{00000000-0005-0000-0000-000071000000}"/>
    <cellStyle name="20% - Accent5 5" xfId="213" xr:uid="{00000000-0005-0000-0000-000072000000}"/>
    <cellStyle name="20% - Accent5 6" xfId="214" xr:uid="{00000000-0005-0000-0000-000073000000}"/>
    <cellStyle name="20% - Accent5 7" xfId="215" xr:uid="{00000000-0005-0000-0000-000074000000}"/>
    <cellStyle name="20% - Accent5 8" xfId="216" xr:uid="{00000000-0005-0000-0000-000075000000}"/>
    <cellStyle name="20% - Accent5 9" xfId="2707" xr:uid="{00000000-0005-0000-0000-000076000000}"/>
    <cellStyle name="20% - Accent6" xfId="2172" builtinId="50" customBuiltin="1"/>
    <cellStyle name="20% - Accent6 2" xfId="22" xr:uid="{00000000-0005-0000-0000-000078000000}"/>
    <cellStyle name="20% - Accent6 2 10" xfId="217" xr:uid="{00000000-0005-0000-0000-000079000000}"/>
    <cellStyle name="20% - Accent6 2 11" xfId="218" xr:uid="{00000000-0005-0000-0000-00007A000000}"/>
    <cellStyle name="20% - Accent6 2 12" xfId="219" xr:uid="{00000000-0005-0000-0000-00007B000000}"/>
    <cellStyle name="20% - Accent6 2 13" xfId="220" xr:uid="{00000000-0005-0000-0000-00007C000000}"/>
    <cellStyle name="20% - Accent6 2 14" xfId="221" xr:uid="{00000000-0005-0000-0000-00007D000000}"/>
    <cellStyle name="20% - Accent6 2 15" xfId="222" xr:uid="{00000000-0005-0000-0000-00007E000000}"/>
    <cellStyle name="20% - Accent6 2 2" xfId="223" xr:uid="{00000000-0005-0000-0000-00007F000000}"/>
    <cellStyle name="20% - Accent6 2 3" xfId="224" xr:uid="{00000000-0005-0000-0000-000080000000}"/>
    <cellStyle name="20% - Accent6 2 4" xfId="225" xr:uid="{00000000-0005-0000-0000-000081000000}"/>
    <cellStyle name="20% - Accent6 2 5" xfId="226" xr:uid="{00000000-0005-0000-0000-000082000000}"/>
    <cellStyle name="20% - Accent6 2 6" xfId="227" xr:uid="{00000000-0005-0000-0000-000083000000}"/>
    <cellStyle name="20% - Accent6 2 7" xfId="228" xr:uid="{00000000-0005-0000-0000-000084000000}"/>
    <cellStyle name="20% - Accent6 2 8" xfId="229" xr:uid="{00000000-0005-0000-0000-000085000000}"/>
    <cellStyle name="20% - Accent6 2 9" xfId="230" xr:uid="{00000000-0005-0000-0000-000086000000}"/>
    <cellStyle name="20% - Accent6 3" xfId="23" xr:uid="{00000000-0005-0000-0000-000087000000}"/>
    <cellStyle name="20% - Accent6 4" xfId="231" xr:uid="{00000000-0005-0000-0000-000088000000}"/>
    <cellStyle name="20% - Accent6 5" xfId="232" xr:uid="{00000000-0005-0000-0000-000089000000}"/>
    <cellStyle name="20% - Accent6 6" xfId="233" xr:uid="{00000000-0005-0000-0000-00008A000000}"/>
    <cellStyle name="20% - Accent6 7" xfId="234" xr:uid="{00000000-0005-0000-0000-00008B000000}"/>
    <cellStyle name="20% - Accent6 8" xfId="235" xr:uid="{00000000-0005-0000-0000-00008C000000}"/>
    <cellStyle name="20% - Accent6 9" xfId="2709" xr:uid="{00000000-0005-0000-0000-00008D000000}"/>
    <cellStyle name="40% - Accent1" xfId="2153" builtinId="31" customBuiltin="1"/>
    <cellStyle name="40% - Accent1 2" xfId="24" xr:uid="{00000000-0005-0000-0000-00008F000000}"/>
    <cellStyle name="40% - Accent1 2 10" xfId="236" xr:uid="{00000000-0005-0000-0000-000090000000}"/>
    <cellStyle name="40% - Accent1 2 11" xfId="237" xr:uid="{00000000-0005-0000-0000-000091000000}"/>
    <cellStyle name="40% - Accent1 2 12" xfId="238" xr:uid="{00000000-0005-0000-0000-000092000000}"/>
    <cellStyle name="40% - Accent1 2 13" xfId="239" xr:uid="{00000000-0005-0000-0000-000093000000}"/>
    <cellStyle name="40% - Accent1 2 14" xfId="240" xr:uid="{00000000-0005-0000-0000-000094000000}"/>
    <cellStyle name="40% - Accent1 2 15" xfId="241" xr:uid="{00000000-0005-0000-0000-000095000000}"/>
    <cellStyle name="40% - Accent1 2 2" xfId="242" xr:uid="{00000000-0005-0000-0000-000096000000}"/>
    <cellStyle name="40% - Accent1 2 3" xfId="243" xr:uid="{00000000-0005-0000-0000-000097000000}"/>
    <cellStyle name="40% - Accent1 2 4" xfId="244" xr:uid="{00000000-0005-0000-0000-000098000000}"/>
    <cellStyle name="40% - Accent1 2 5" xfId="245" xr:uid="{00000000-0005-0000-0000-000099000000}"/>
    <cellStyle name="40% - Accent1 2 6" xfId="246" xr:uid="{00000000-0005-0000-0000-00009A000000}"/>
    <cellStyle name="40% - Accent1 2 7" xfId="247" xr:uid="{00000000-0005-0000-0000-00009B000000}"/>
    <cellStyle name="40% - Accent1 2 8" xfId="248" xr:uid="{00000000-0005-0000-0000-00009C000000}"/>
    <cellStyle name="40% - Accent1 2 9" xfId="249" xr:uid="{00000000-0005-0000-0000-00009D000000}"/>
    <cellStyle name="40% - Accent1 2_AREFOR" xfId="250" xr:uid="{00000000-0005-0000-0000-00009E000000}"/>
    <cellStyle name="40% - Accent1 3" xfId="25" xr:uid="{00000000-0005-0000-0000-00009F000000}"/>
    <cellStyle name="40% - Accent1 4" xfId="251" xr:uid="{00000000-0005-0000-0000-0000A0000000}"/>
    <cellStyle name="40% - Accent1 5" xfId="252" xr:uid="{00000000-0005-0000-0000-0000A1000000}"/>
    <cellStyle name="40% - Accent1 6" xfId="253" xr:uid="{00000000-0005-0000-0000-0000A2000000}"/>
    <cellStyle name="40% - Accent1 7" xfId="254" xr:uid="{00000000-0005-0000-0000-0000A3000000}"/>
    <cellStyle name="40% - Accent1 8" xfId="255" xr:uid="{00000000-0005-0000-0000-0000A4000000}"/>
    <cellStyle name="40% - Accent1 9" xfId="2700" xr:uid="{00000000-0005-0000-0000-0000A5000000}"/>
    <cellStyle name="40% - Accent2" xfId="2157" builtinId="35" customBuiltin="1"/>
    <cellStyle name="40% - Accent2 2" xfId="26" xr:uid="{00000000-0005-0000-0000-0000A7000000}"/>
    <cellStyle name="40% - Accent2 2 10" xfId="256" xr:uid="{00000000-0005-0000-0000-0000A8000000}"/>
    <cellStyle name="40% - Accent2 2 11" xfId="257" xr:uid="{00000000-0005-0000-0000-0000A9000000}"/>
    <cellStyle name="40% - Accent2 2 12" xfId="258" xr:uid="{00000000-0005-0000-0000-0000AA000000}"/>
    <cellStyle name="40% - Accent2 2 13" xfId="259" xr:uid="{00000000-0005-0000-0000-0000AB000000}"/>
    <cellStyle name="40% - Accent2 2 14" xfId="260" xr:uid="{00000000-0005-0000-0000-0000AC000000}"/>
    <cellStyle name="40% - Accent2 2 15" xfId="261" xr:uid="{00000000-0005-0000-0000-0000AD000000}"/>
    <cellStyle name="40% - Accent2 2 2" xfId="262" xr:uid="{00000000-0005-0000-0000-0000AE000000}"/>
    <cellStyle name="40% - Accent2 2 3" xfId="263" xr:uid="{00000000-0005-0000-0000-0000AF000000}"/>
    <cellStyle name="40% - Accent2 2 4" xfId="264" xr:uid="{00000000-0005-0000-0000-0000B0000000}"/>
    <cellStyle name="40% - Accent2 2 5" xfId="265" xr:uid="{00000000-0005-0000-0000-0000B1000000}"/>
    <cellStyle name="40% - Accent2 2 6" xfId="266" xr:uid="{00000000-0005-0000-0000-0000B2000000}"/>
    <cellStyle name="40% - Accent2 2 7" xfId="267" xr:uid="{00000000-0005-0000-0000-0000B3000000}"/>
    <cellStyle name="40% - Accent2 2 8" xfId="268" xr:uid="{00000000-0005-0000-0000-0000B4000000}"/>
    <cellStyle name="40% - Accent2 2 9" xfId="269" xr:uid="{00000000-0005-0000-0000-0000B5000000}"/>
    <cellStyle name="40% - Accent2 3" xfId="27" xr:uid="{00000000-0005-0000-0000-0000B6000000}"/>
    <cellStyle name="40% - Accent2 4" xfId="270" xr:uid="{00000000-0005-0000-0000-0000B7000000}"/>
    <cellStyle name="40% - Accent2 5" xfId="271" xr:uid="{00000000-0005-0000-0000-0000B8000000}"/>
    <cellStyle name="40% - Accent2 6" xfId="272" xr:uid="{00000000-0005-0000-0000-0000B9000000}"/>
    <cellStyle name="40% - Accent2 7" xfId="273" xr:uid="{00000000-0005-0000-0000-0000BA000000}"/>
    <cellStyle name="40% - Accent2 8" xfId="274" xr:uid="{00000000-0005-0000-0000-0000BB000000}"/>
    <cellStyle name="40% - Accent2 9" xfId="2702" xr:uid="{00000000-0005-0000-0000-0000BC000000}"/>
    <cellStyle name="40% - Accent3" xfId="2161" builtinId="39" customBuiltin="1"/>
    <cellStyle name="40% - Accent3 2" xfId="28" xr:uid="{00000000-0005-0000-0000-0000BE000000}"/>
    <cellStyle name="40% - Accent3 2 10" xfId="275" xr:uid="{00000000-0005-0000-0000-0000BF000000}"/>
    <cellStyle name="40% - Accent3 2 11" xfId="276" xr:uid="{00000000-0005-0000-0000-0000C0000000}"/>
    <cellStyle name="40% - Accent3 2 12" xfId="277" xr:uid="{00000000-0005-0000-0000-0000C1000000}"/>
    <cellStyle name="40% - Accent3 2 13" xfId="278" xr:uid="{00000000-0005-0000-0000-0000C2000000}"/>
    <cellStyle name="40% - Accent3 2 14" xfId="279" xr:uid="{00000000-0005-0000-0000-0000C3000000}"/>
    <cellStyle name="40% - Accent3 2 15" xfId="280" xr:uid="{00000000-0005-0000-0000-0000C4000000}"/>
    <cellStyle name="40% - Accent3 2 2" xfId="281" xr:uid="{00000000-0005-0000-0000-0000C5000000}"/>
    <cellStyle name="40% - Accent3 2 3" xfId="282" xr:uid="{00000000-0005-0000-0000-0000C6000000}"/>
    <cellStyle name="40% - Accent3 2 4" xfId="283" xr:uid="{00000000-0005-0000-0000-0000C7000000}"/>
    <cellStyle name="40% - Accent3 2 5" xfId="284" xr:uid="{00000000-0005-0000-0000-0000C8000000}"/>
    <cellStyle name="40% - Accent3 2 6" xfId="285" xr:uid="{00000000-0005-0000-0000-0000C9000000}"/>
    <cellStyle name="40% - Accent3 2 7" xfId="286" xr:uid="{00000000-0005-0000-0000-0000CA000000}"/>
    <cellStyle name="40% - Accent3 2 8" xfId="287" xr:uid="{00000000-0005-0000-0000-0000CB000000}"/>
    <cellStyle name="40% - Accent3 2 9" xfId="288" xr:uid="{00000000-0005-0000-0000-0000CC000000}"/>
    <cellStyle name="40% - Accent3 2_AREFOR" xfId="289" xr:uid="{00000000-0005-0000-0000-0000CD000000}"/>
    <cellStyle name="40% - Accent3 3" xfId="29" xr:uid="{00000000-0005-0000-0000-0000CE000000}"/>
    <cellStyle name="40% - Accent3 4" xfId="290" xr:uid="{00000000-0005-0000-0000-0000CF000000}"/>
    <cellStyle name="40% - Accent3 5" xfId="291" xr:uid="{00000000-0005-0000-0000-0000D0000000}"/>
    <cellStyle name="40% - Accent3 6" xfId="292" xr:uid="{00000000-0005-0000-0000-0000D1000000}"/>
    <cellStyle name="40% - Accent3 7" xfId="293" xr:uid="{00000000-0005-0000-0000-0000D2000000}"/>
    <cellStyle name="40% - Accent3 8" xfId="294" xr:uid="{00000000-0005-0000-0000-0000D3000000}"/>
    <cellStyle name="40% - Accent3 9" xfId="2704" xr:uid="{00000000-0005-0000-0000-0000D4000000}"/>
    <cellStyle name="40% - Accent4" xfId="2165" builtinId="43" customBuiltin="1"/>
    <cellStyle name="40% - Accent4 2" xfId="30" xr:uid="{00000000-0005-0000-0000-0000D6000000}"/>
    <cellStyle name="40% - Accent4 2 10" xfId="295" xr:uid="{00000000-0005-0000-0000-0000D7000000}"/>
    <cellStyle name="40% - Accent4 2 11" xfId="296" xr:uid="{00000000-0005-0000-0000-0000D8000000}"/>
    <cellStyle name="40% - Accent4 2 12" xfId="297" xr:uid="{00000000-0005-0000-0000-0000D9000000}"/>
    <cellStyle name="40% - Accent4 2 13" xfId="298" xr:uid="{00000000-0005-0000-0000-0000DA000000}"/>
    <cellStyle name="40% - Accent4 2 14" xfId="299" xr:uid="{00000000-0005-0000-0000-0000DB000000}"/>
    <cellStyle name="40% - Accent4 2 15" xfId="300" xr:uid="{00000000-0005-0000-0000-0000DC000000}"/>
    <cellStyle name="40% - Accent4 2 2" xfId="301" xr:uid="{00000000-0005-0000-0000-0000DD000000}"/>
    <cellStyle name="40% - Accent4 2 3" xfId="302" xr:uid="{00000000-0005-0000-0000-0000DE000000}"/>
    <cellStyle name="40% - Accent4 2 4" xfId="303" xr:uid="{00000000-0005-0000-0000-0000DF000000}"/>
    <cellStyle name="40% - Accent4 2 5" xfId="304" xr:uid="{00000000-0005-0000-0000-0000E0000000}"/>
    <cellStyle name="40% - Accent4 2 6" xfId="305" xr:uid="{00000000-0005-0000-0000-0000E1000000}"/>
    <cellStyle name="40% - Accent4 2 7" xfId="306" xr:uid="{00000000-0005-0000-0000-0000E2000000}"/>
    <cellStyle name="40% - Accent4 2 8" xfId="307" xr:uid="{00000000-0005-0000-0000-0000E3000000}"/>
    <cellStyle name="40% - Accent4 2 9" xfId="308" xr:uid="{00000000-0005-0000-0000-0000E4000000}"/>
    <cellStyle name="40% - Accent4 2_AREFOR" xfId="309" xr:uid="{00000000-0005-0000-0000-0000E5000000}"/>
    <cellStyle name="40% - Accent4 3" xfId="31" xr:uid="{00000000-0005-0000-0000-0000E6000000}"/>
    <cellStyle name="40% - Accent4 4" xfId="310" xr:uid="{00000000-0005-0000-0000-0000E7000000}"/>
    <cellStyle name="40% - Accent4 5" xfId="311" xr:uid="{00000000-0005-0000-0000-0000E8000000}"/>
    <cellStyle name="40% - Accent4 6" xfId="312" xr:uid="{00000000-0005-0000-0000-0000E9000000}"/>
    <cellStyle name="40% - Accent4 7" xfId="313" xr:uid="{00000000-0005-0000-0000-0000EA000000}"/>
    <cellStyle name="40% - Accent4 8" xfId="314" xr:uid="{00000000-0005-0000-0000-0000EB000000}"/>
    <cellStyle name="40% - Accent4 9" xfId="2706" xr:uid="{00000000-0005-0000-0000-0000EC000000}"/>
    <cellStyle name="40% - Accent5" xfId="2169" builtinId="47" customBuiltin="1"/>
    <cellStyle name="40% - Accent5 2" xfId="32" xr:uid="{00000000-0005-0000-0000-0000EE000000}"/>
    <cellStyle name="40% - Accent5 2 10" xfId="315" xr:uid="{00000000-0005-0000-0000-0000EF000000}"/>
    <cellStyle name="40% - Accent5 2 11" xfId="316" xr:uid="{00000000-0005-0000-0000-0000F0000000}"/>
    <cellStyle name="40% - Accent5 2 12" xfId="317" xr:uid="{00000000-0005-0000-0000-0000F1000000}"/>
    <cellStyle name="40% - Accent5 2 13" xfId="318" xr:uid="{00000000-0005-0000-0000-0000F2000000}"/>
    <cellStyle name="40% - Accent5 2 14" xfId="319" xr:uid="{00000000-0005-0000-0000-0000F3000000}"/>
    <cellStyle name="40% - Accent5 2 15" xfId="320" xr:uid="{00000000-0005-0000-0000-0000F4000000}"/>
    <cellStyle name="40% - Accent5 2 2" xfId="321" xr:uid="{00000000-0005-0000-0000-0000F5000000}"/>
    <cellStyle name="40% - Accent5 2 3" xfId="322" xr:uid="{00000000-0005-0000-0000-0000F6000000}"/>
    <cellStyle name="40% - Accent5 2 4" xfId="323" xr:uid="{00000000-0005-0000-0000-0000F7000000}"/>
    <cellStyle name="40% - Accent5 2 5" xfId="324" xr:uid="{00000000-0005-0000-0000-0000F8000000}"/>
    <cellStyle name="40% - Accent5 2 6" xfId="325" xr:uid="{00000000-0005-0000-0000-0000F9000000}"/>
    <cellStyle name="40% - Accent5 2 7" xfId="326" xr:uid="{00000000-0005-0000-0000-0000FA000000}"/>
    <cellStyle name="40% - Accent5 2 8" xfId="327" xr:uid="{00000000-0005-0000-0000-0000FB000000}"/>
    <cellStyle name="40% - Accent5 2 9" xfId="328" xr:uid="{00000000-0005-0000-0000-0000FC000000}"/>
    <cellStyle name="40% - Accent5 2_AREFOR" xfId="329" xr:uid="{00000000-0005-0000-0000-0000FD000000}"/>
    <cellStyle name="40% - Accent5 3" xfId="33" xr:uid="{00000000-0005-0000-0000-0000FE000000}"/>
    <cellStyle name="40% - Accent5 4" xfId="330" xr:uid="{00000000-0005-0000-0000-0000FF000000}"/>
    <cellStyle name="40% - Accent5 5" xfId="331" xr:uid="{00000000-0005-0000-0000-000000010000}"/>
    <cellStyle name="40% - Accent5 6" xfId="332" xr:uid="{00000000-0005-0000-0000-000001010000}"/>
    <cellStyle name="40% - Accent5 7" xfId="333" xr:uid="{00000000-0005-0000-0000-000002010000}"/>
    <cellStyle name="40% - Accent5 8" xfId="334" xr:uid="{00000000-0005-0000-0000-000003010000}"/>
    <cellStyle name="40% - Accent5 9" xfId="2708" xr:uid="{00000000-0005-0000-0000-000004010000}"/>
    <cellStyle name="40% - Accent6" xfId="2173" builtinId="51" customBuiltin="1"/>
    <cellStyle name="40% - Accent6 2" xfId="34" xr:uid="{00000000-0005-0000-0000-000006010000}"/>
    <cellStyle name="40% - Accent6 2 10" xfId="335" xr:uid="{00000000-0005-0000-0000-000007010000}"/>
    <cellStyle name="40% - Accent6 2 11" xfId="336" xr:uid="{00000000-0005-0000-0000-000008010000}"/>
    <cellStyle name="40% - Accent6 2 12" xfId="337" xr:uid="{00000000-0005-0000-0000-000009010000}"/>
    <cellStyle name="40% - Accent6 2 13" xfId="338" xr:uid="{00000000-0005-0000-0000-00000A010000}"/>
    <cellStyle name="40% - Accent6 2 14" xfId="339" xr:uid="{00000000-0005-0000-0000-00000B010000}"/>
    <cellStyle name="40% - Accent6 2 15" xfId="340" xr:uid="{00000000-0005-0000-0000-00000C010000}"/>
    <cellStyle name="40% - Accent6 2 2" xfId="341" xr:uid="{00000000-0005-0000-0000-00000D010000}"/>
    <cellStyle name="40% - Accent6 2 3" xfId="342" xr:uid="{00000000-0005-0000-0000-00000E010000}"/>
    <cellStyle name="40% - Accent6 2 4" xfId="343" xr:uid="{00000000-0005-0000-0000-00000F010000}"/>
    <cellStyle name="40% - Accent6 2 5" xfId="344" xr:uid="{00000000-0005-0000-0000-000010010000}"/>
    <cellStyle name="40% - Accent6 2 6" xfId="345" xr:uid="{00000000-0005-0000-0000-000011010000}"/>
    <cellStyle name="40% - Accent6 2 7" xfId="346" xr:uid="{00000000-0005-0000-0000-000012010000}"/>
    <cellStyle name="40% - Accent6 2 8" xfId="347" xr:uid="{00000000-0005-0000-0000-000013010000}"/>
    <cellStyle name="40% - Accent6 2 9" xfId="348" xr:uid="{00000000-0005-0000-0000-000014010000}"/>
    <cellStyle name="40% - Accent6 2_AREFOR" xfId="349" xr:uid="{00000000-0005-0000-0000-000015010000}"/>
    <cellStyle name="40% - Accent6 3" xfId="35" xr:uid="{00000000-0005-0000-0000-000016010000}"/>
    <cellStyle name="40% - Accent6 4" xfId="350" xr:uid="{00000000-0005-0000-0000-000017010000}"/>
    <cellStyle name="40% - Accent6 5" xfId="351" xr:uid="{00000000-0005-0000-0000-000018010000}"/>
    <cellStyle name="40% - Accent6 6" xfId="352" xr:uid="{00000000-0005-0000-0000-000019010000}"/>
    <cellStyle name="40% - Accent6 7" xfId="353" xr:uid="{00000000-0005-0000-0000-00001A010000}"/>
    <cellStyle name="40% - Accent6 8" xfId="354" xr:uid="{00000000-0005-0000-0000-00001B010000}"/>
    <cellStyle name="40% - Accent6 9" xfId="2710" xr:uid="{00000000-0005-0000-0000-00001C010000}"/>
    <cellStyle name="5x indented GHG Textfiels" xfId="36" xr:uid="{00000000-0005-0000-0000-00001D010000}"/>
    <cellStyle name="60% - Accent1" xfId="2154" builtinId="32" customBuiltin="1"/>
    <cellStyle name="60% - Accent1 2" xfId="355" xr:uid="{00000000-0005-0000-0000-00001F010000}"/>
    <cellStyle name="60% - Accent1 2 10" xfId="356" xr:uid="{00000000-0005-0000-0000-000020010000}"/>
    <cellStyle name="60% - Accent1 2 2" xfId="357" xr:uid="{00000000-0005-0000-0000-000021010000}"/>
    <cellStyle name="60% - Accent1 2 3" xfId="358" xr:uid="{00000000-0005-0000-0000-000022010000}"/>
    <cellStyle name="60% - Accent1 2 4" xfId="359" xr:uid="{00000000-0005-0000-0000-000023010000}"/>
    <cellStyle name="60% - Accent1 2 5" xfId="360" xr:uid="{00000000-0005-0000-0000-000024010000}"/>
    <cellStyle name="60% - Accent1 2 6" xfId="361" xr:uid="{00000000-0005-0000-0000-000025010000}"/>
    <cellStyle name="60% - Accent1 2 7" xfId="362" xr:uid="{00000000-0005-0000-0000-000026010000}"/>
    <cellStyle name="60% - Accent1 2 8" xfId="363" xr:uid="{00000000-0005-0000-0000-000027010000}"/>
    <cellStyle name="60% - Accent1 2 9" xfId="364" xr:uid="{00000000-0005-0000-0000-000028010000}"/>
    <cellStyle name="60% - Accent1 3" xfId="365" xr:uid="{00000000-0005-0000-0000-000029010000}"/>
    <cellStyle name="60% - Accent2" xfId="2158" builtinId="36" customBuiltin="1"/>
    <cellStyle name="60% - Accent2 2" xfId="366" xr:uid="{00000000-0005-0000-0000-00002B010000}"/>
    <cellStyle name="60% - Accent2 2 10" xfId="367" xr:uid="{00000000-0005-0000-0000-00002C010000}"/>
    <cellStyle name="60% - Accent2 2 2" xfId="368" xr:uid="{00000000-0005-0000-0000-00002D010000}"/>
    <cellStyle name="60% - Accent2 2 3" xfId="369" xr:uid="{00000000-0005-0000-0000-00002E010000}"/>
    <cellStyle name="60% - Accent2 2 4" xfId="370" xr:uid="{00000000-0005-0000-0000-00002F010000}"/>
    <cellStyle name="60% - Accent2 2 5" xfId="371" xr:uid="{00000000-0005-0000-0000-000030010000}"/>
    <cellStyle name="60% - Accent2 2 6" xfId="372" xr:uid="{00000000-0005-0000-0000-000031010000}"/>
    <cellStyle name="60% - Accent2 2 7" xfId="373" xr:uid="{00000000-0005-0000-0000-000032010000}"/>
    <cellStyle name="60% - Accent2 2 8" xfId="374" xr:uid="{00000000-0005-0000-0000-000033010000}"/>
    <cellStyle name="60% - Accent2 2 9" xfId="375" xr:uid="{00000000-0005-0000-0000-000034010000}"/>
    <cellStyle name="60% - Accent2 3" xfId="376" xr:uid="{00000000-0005-0000-0000-000035010000}"/>
    <cellStyle name="60% - Accent3" xfId="2162" builtinId="40" customBuiltin="1"/>
    <cellStyle name="60% - Accent3 2" xfId="377" xr:uid="{00000000-0005-0000-0000-000037010000}"/>
    <cellStyle name="60% - Accent3 2 10" xfId="378" xr:uid="{00000000-0005-0000-0000-000038010000}"/>
    <cellStyle name="60% - Accent3 2 2" xfId="379" xr:uid="{00000000-0005-0000-0000-000039010000}"/>
    <cellStyle name="60% - Accent3 2 3" xfId="380" xr:uid="{00000000-0005-0000-0000-00003A010000}"/>
    <cellStyle name="60% - Accent3 2 4" xfId="381" xr:uid="{00000000-0005-0000-0000-00003B010000}"/>
    <cellStyle name="60% - Accent3 2 5" xfId="382" xr:uid="{00000000-0005-0000-0000-00003C010000}"/>
    <cellStyle name="60% - Accent3 2 6" xfId="383" xr:uid="{00000000-0005-0000-0000-00003D010000}"/>
    <cellStyle name="60% - Accent3 2 7" xfId="384" xr:uid="{00000000-0005-0000-0000-00003E010000}"/>
    <cellStyle name="60% - Accent3 2 8" xfId="385" xr:uid="{00000000-0005-0000-0000-00003F010000}"/>
    <cellStyle name="60% - Accent3 2 9" xfId="386" xr:uid="{00000000-0005-0000-0000-000040010000}"/>
    <cellStyle name="60% - Accent3 3" xfId="387" xr:uid="{00000000-0005-0000-0000-000041010000}"/>
    <cellStyle name="60% - Accent4" xfId="2166" builtinId="44" customBuiltin="1"/>
    <cellStyle name="60% - Accent4 2" xfId="388" xr:uid="{00000000-0005-0000-0000-000043010000}"/>
    <cellStyle name="60% - Accent4 2 10" xfId="389" xr:uid="{00000000-0005-0000-0000-000044010000}"/>
    <cellStyle name="60% - Accent4 2 2" xfId="390" xr:uid="{00000000-0005-0000-0000-000045010000}"/>
    <cellStyle name="60% - Accent4 2 3" xfId="391" xr:uid="{00000000-0005-0000-0000-000046010000}"/>
    <cellStyle name="60% - Accent4 2 4" xfId="392" xr:uid="{00000000-0005-0000-0000-000047010000}"/>
    <cellStyle name="60% - Accent4 2 5" xfId="393" xr:uid="{00000000-0005-0000-0000-000048010000}"/>
    <cellStyle name="60% - Accent4 2 6" xfId="394" xr:uid="{00000000-0005-0000-0000-000049010000}"/>
    <cellStyle name="60% - Accent4 2 7" xfId="395" xr:uid="{00000000-0005-0000-0000-00004A010000}"/>
    <cellStyle name="60% - Accent4 2 8" xfId="396" xr:uid="{00000000-0005-0000-0000-00004B010000}"/>
    <cellStyle name="60% - Accent4 2 9" xfId="397" xr:uid="{00000000-0005-0000-0000-00004C010000}"/>
    <cellStyle name="60% - Accent4 3" xfId="398" xr:uid="{00000000-0005-0000-0000-00004D010000}"/>
    <cellStyle name="60% - Accent5" xfId="2170" builtinId="48" customBuiltin="1"/>
    <cellStyle name="60% - Accent5 2" xfId="399" xr:uid="{00000000-0005-0000-0000-00004F010000}"/>
    <cellStyle name="60% - Accent5 2 10" xfId="400" xr:uid="{00000000-0005-0000-0000-000050010000}"/>
    <cellStyle name="60% - Accent5 2 2" xfId="401" xr:uid="{00000000-0005-0000-0000-000051010000}"/>
    <cellStyle name="60% - Accent5 2 3" xfId="402" xr:uid="{00000000-0005-0000-0000-000052010000}"/>
    <cellStyle name="60% - Accent5 2 4" xfId="403" xr:uid="{00000000-0005-0000-0000-000053010000}"/>
    <cellStyle name="60% - Accent5 2 5" xfId="404" xr:uid="{00000000-0005-0000-0000-000054010000}"/>
    <cellStyle name="60% - Accent5 2 6" xfId="405" xr:uid="{00000000-0005-0000-0000-000055010000}"/>
    <cellStyle name="60% - Accent5 2 7" xfId="406" xr:uid="{00000000-0005-0000-0000-000056010000}"/>
    <cellStyle name="60% - Accent5 2 8" xfId="407" xr:uid="{00000000-0005-0000-0000-000057010000}"/>
    <cellStyle name="60% - Accent5 2 9" xfId="408" xr:uid="{00000000-0005-0000-0000-000058010000}"/>
    <cellStyle name="60% - Accent5 3" xfId="409" xr:uid="{00000000-0005-0000-0000-000059010000}"/>
    <cellStyle name="60% - Accent6" xfId="2174" builtinId="52" customBuiltin="1"/>
    <cellStyle name="60% - Accent6 2" xfId="410" xr:uid="{00000000-0005-0000-0000-00005B010000}"/>
    <cellStyle name="60% - Accent6 2 10" xfId="411" xr:uid="{00000000-0005-0000-0000-00005C010000}"/>
    <cellStyle name="60% - Accent6 2 2" xfId="412" xr:uid="{00000000-0005-0000-0000-00005D010000}"/>
    <cellStyle name="60% - Accent6 2 3" xfId="413" xr:uid="{00000000-0005-0000-0000-00005E010000}"/>
    <cellStyle name="60% - Accent6 2 4" xfId="414" xr:uid="{00000000-0005-0000-0000-00005F010000}"/>
    <cellStyle name="60% - Accent6 2 5" xfId="415" xr:uid="{00000000-0005-0000-0000-000060010000}"/>
    <cellStyle name="60% - Accent6 2 6" xfId="416" xr:uid="{00000000-0005-0000-0000-000061010000}"/>
    <cellStyle name="60% - Accent6 2 7" xfId="417" xr:uid="{00000000-0005-0000-0000-000062010000}"/>
    <cellStyle name="60% - Accent6 2 8" xfId="418" xr:uid="{00000000-0005-0000-0000-000063010000}"/>
    <cellStyle name="60% - Accent6 2 9" xfId="419" xr:uid="{00000000-0005-0000-0000-000064010000}"/>
    <cellStyle name="60% - Accent6 3" xfId="420" xr:uid="{00000000-0005-0000-0000-000065010000}"/>
    <cellStyle name="Accent1" xfId="2151" builtinId="29" customBuiltin="1"/>
    <cellStyle name="Accent1 2" xfId="421" xr:uid="{00000000-0005-0000-0000-000067010000}"/>
    <cellStyle name="Accent1 2 10" xfId="422" xr:uid="{00000000-0005-0000-0000-000068010000}"/>
    <cellStyle name="Accent1 2 2" xfId="423" xr:uid="{00000000-0005-0000-0000-000069010000}"/>
    <cellStyle name="Accent1 2 3" xfId="424" xr:uid="{00000000-0005-0000-0000-00006A010000}"/>
    <cellStyle name="Accent1 2 4" xfId="425" xr:uid="{00000000-0005-0000-0000-00006B010000}"/>
    <cellStyle name="Accent1 2 5" xfId="426" xr:uid="{00000000-0005-0000-0000-00006C010000}"/>
    <cellStyle name="Accent1 2 6" xfId="427" xr:uid="{00000000-0005-0000-0000-00006D010000}"/>
    <cellStyle name="Accent1 2 7" xfId="428" xr:uid="{00000000-0005-0000-0000-00006E010000}"/>
    <cellStyle name="Accent1 2 8" xfId="429" xr:uid="{00000000-0005-0000-0000-00006F010000}"/>
    <cellStyle name="Accent1 2 9" xfId="430" xr:uid="{00000000-0005-0000-0000-000070010000}"/>
    <cellStyle name="Accent1 3" xfId="431" xr:uid="{00000000-0005-0000-0000-000071010000}"/>
    <cellStyle name="Accent2" xfId="2155" builtinId="33" customBuiltin="1"/>
    <cellStyle name="Accent2 2" xfId="432" xr:uid="{00000000-0005-0000-0000-000073010000}"/>
    <cellStyle name="Accent2 2 10" xfId="433" xr:uid="{00000000-0005-0000-0000-000074010000}"/>
    <cellStyle name="Accent2 2 2" xfId="434" xr:uid="{00000000-0005-0000-0000-000075010000}"/>
    <cellStyle name="Accent2 2 3" xfId="435" xr:uid="{00000000-0005-0000-0000-000076010000}"/>
    <cellStyle name="Accent2 2 4" xfId="436" xr:uid="{00000000-0005-0000-0000-000077010000}"/>
    <cellStyle name="Accent2 2 5" xfId="437" xr:uid="{00000000-0005-0000-0000-000078010000}"/>
    <cellStyle name="Accent2 2 6" xfId="438" xr:uid="{00000000-0005-0000-0000-000079010000}"/>
    <cellStyle name="Accent2 2 7" xfId="439" xr:uid="{00000000-0005-0000-0000-00007A010000}"/>
    <cellStyle name="Accent2 2 8" xfId="440" xr:uid="{00000000-0005-0000-0000-00007B010000}"/>
    <cellStyle name="Accent2 2 9" xfId="441" xr:uid="{00000000-0005-0000-0000-00007C010000}"/>
    <cellStyle name="Accent2 3" xfId="442" xr:uid="{00000000-0005-0000-0000-00007D010000}"/>
    <cellStyle name="Accent3" xfId="2159" builtinId="37" customBuiltin="1"/>
    <cellStyle name="Accent3 2" xfId="443" xr:uid="{00000000-0005-0000-0000-00007F010000}"/>
    <cellStyle name="Accent3 2 10" xfId="444" xr:uid="{00000000-0005-0000-0000-000080010000}"/>
    <cellStyle name="Accent3 2 2" xfId="445" xr:uid="{00000000-0005-0000-0000-000081010000}"/>
    <cellStyle name="Accent3 2 3" xfId="446" xr:uid="{00000000-0005-0000-0000-000082010000}"/>
    <cellStyle name="Accent3 2 4" xfId="447" xr:uid="{00000000-0005-0000-0000-000083010000}"/>
    <cellStyle name="Accent3 2 5" xfId="448" xr:uid="{00000000-0005-0000-0000-000084010000}"/>
    <cellStyle name="Accent3 2 6" xfId="449" xr:uid="{00000000-0005-0000-0000-000085010000}"/>
    <cellStyle name="Accent3 2 7" xfId="450" xr:uid="{00000000-0005-0000-0000-000086010000}"/>
    <cellStyle name="Accent3 2 8" xfId="451" xr:uid="{00000000-0005-0000-0000-000087010000}"/>
    <cellStyle name="Accent3 2 9" xfId="452" xr:uid="{00000000-0005-0000-0000-000088010000}"/>
    <cellStyle name="Accent3 3" xfId="453" xr:uid="{00000000-0005-0000-0000-000089010000}"/>
    <cellStyle name="Accent4" xfId="2163" builtinId="41" customBuiltin="1"/>
    <cellStyle name="Accent4 2" xfId="454" xr:uid="{00000000-0005-0000-0000-00008B010000}"/>
    <cellStyle name="Accent4 2 10" xfId="455" xr:uid="{00000000-0005-0000-0000-00008C010000}"/>
    <cellStyle name="Accent4 2 2" xfId="456" xr:uid="{00000000-0005-0000-0000-00008D010000}"/>
    <cellStyle name="Accent4 2 3" xfId="457" xr:uid="{00000000-0005-0000-0000-00008E010000}"/>
    <cellStyle name="Accent4 2 4" xfId="458" xr:uid="{00000000-0005-0000-0000-00008F010000}"/>
    <cellStyle name="Accent4 2 5" xfId="459" xr:uid="{00000000-0005-0000-0000-000090010000}"/>
    <cellStyle name="Accent4 2 6" xfId="460" xr:uid="{00000000-0005-0000-0000-000091010000}"/>
    <cellStyle name="Accent4 2 7" xfId="461" xr:uid="{00000000-0005-0000-0000-000092010000}"/>
    <cellStyle name="Accent4 2 8" xfId="462" xr:uid="{00000000-0005-0000-0000-000093010000}"/>
    <cellStyle name="Accent4 2 9" xfId="463" xr:uid="{00000000-0005-0000-0000-000094010000}"/>
    <cellStyle name="Accent4 3" xfId="464" xr:uid="{00000000-0005-0000-0000-000095010000}"/>
    <cellStyle name="Accent5" xfId="2167" builtinId="45" customBuiltin="1"/>
    <cellStyle name="Accent5 2" xfId="465" xr:uid="{00000000-0005-0000-0000-000097010000}"/>
    <cellStyle name="Accent5 2 10" xfId="466" xr:uid="{00000000-0005-0000-0000-000098010000}"/>
    <cellStyle name="Accent5 2 2" xfId="467" xr:uid="{00000000-0005-0000-0000-000099010000}"/>
    <cellStyle name="Accent5 2 3" xfId="468" xr:uid="{00000000-0005-0000-0000-00009A010000}"/>
    <cellStyle name="Accent5 2 4" xfId="469" xr:uid="{00000000-0005-0000-0000-00009B010000}"/>
    <cellStyle name="Accent5 2 5" xfId="470" xr:uid="{00000000-0005-0000-0000-00009C010000}"/>
    <cellStyle name="Accent5 2 6" xfId="471" xr:uid="{00000000-0005-0000-0000-00009D010000}"/>
    <cellStyle name="Accent5 2 7" xfId="472" xr:uid="{00000000-0005-0000-0000-00009E010000}"/>
    <cellStyle name="Accent5 2 8" xfId="473" xr:uid="{00000000-0005-0000-0000-00009F010000}"/>
    <cellStyle name="Accent5 2 9" xfId="474" xr:uid="{00000000-0005-0000-0000-0000A0010000}"/>
    <cellStyle name="Accent5 3" xfId="475" xr:uid="{00000000-0005-0000-0000-0000A1010000}"/>
    <cellStyle name="Accent5 4" xfId="117" xr:uid="{00000000-0005-0000-0000-0000A2010000}"/>
    <cellStyle name="Accent6" xfId="2171" builtinId="49" customBuiltin="1"/>
    <cellStyle name="Accent6 2" xfId="476" xr:uid="{00000000-0005-0000-0000-0000A4010000}"/>
    <cellStyle name="Accent6 2 10" xfId="477" xr:uid="{00000000-0005-0000-0000-0000A5010000}"/>
    <cellStyle name="Accent6 2 2" xfId="478" xr:uid="{00000000-0005-0000-0000-0000A6010000}"/>
    <cellStyle name="Accent6 2 3" xfId="479" xr:uid="{00000000-0005-0000-0000-0000A7010000}"/>
    <cellStyle name="Accent6 2 4" xfId="480" xr:uid="{00000000-0005-0000-0000-0000A8010000}"/>
    <cellStyle name="Accent6 2 5" xfId="481" xr:uid="{00000000-0005-0000-0000-0000A9010000}"/>
    <cellStyle name="Accent6 2 6" xfId="482" xr:uid="{00000000-0005-0000-0000-0000AA010000}"/>
    <cellStyle name="Accent6 2 7" xfId="483" xr:uid="{00000000-0005-0000-0000-0000AB010000}"/>
    <cellStyle name="Accent6 2 8" xfId="484" xr:uid="{00000000-0005-0000-0000-0000AC010000}"/>
    <cellStyle name="Accent6 2 9" xfId="485" xr:uid="{00000000-0005-0000-0000-0000AD010000}"/>
    <cellStyle name="Accent6 3" xfId="486" xr:uid="{00000000-0005-0000-0000-0000AE010000}"/>
    <cellStyle name="AggOrange_CRFReport-template" xfId="487" xr:uid="{00000000-0005-0000-0000-0000AF010000}"/>
    <cellStyle name="AggOrange9_CRFReport-template" xfId="488" xr:uid="{00000000-0005-0000-0000-0000B0010000}"/>
    <cellStyle name="Bad" xfId="2141" builtinId="27" customBuiltin="1"/>
    <cellStyle name="Bad 2" xfId="489" xr:uid="{00000000-0005-0000-0000-0000B2010000}"/>
    <cellStyle name="Bad 2 10" xfId="490" xr:uid="{00000000-0005-0000-0000-0000B3010000}"/>
    <cellStyle name="Bad 2 2" xfId="491" xr:uid="{00000000-0005-0000-0000-0000B4010000}"/>
    <cellStyle name="Bad 2 3" xfId="492" xr:uid="{00000000-0005-0000-0000-0000B5010000}"/>
    <cellStyle name="Bad 2 4" xfId="493" xr:uid="{00000000-0005-0000-0000-0000B6010000}"/>
    <cellStyle name="Bad 2 5" xfId="494" xr:uid="{00000000-0005-0000-0000-0000B7010000}"/>
    <cellStyle name="Bad 2 6" xfId="495" xr:uid="{00000000-0005-0000-0000-0000B8010000}"/>
    <cellStyle name="Bad 2 7" xfId="496" xr:uid="{00000000-0005-0000-0000-0000B9010000}"/>
    <cellStyle name="Bad 2 8" xfId="497" xr:uid="{00000000-0005-0000-0000-0000BA010000}"/>
    <cellStyle name="Bad 2 9" xfId="498" xr:uid="{00000000-0005-0000-0000-0000BB010000}"/>
    <cellStyle name="Bad 3" xfId="499" xr:uid="{00000000-0005-0000-0000-0000BC010000}"/>
    <cellStyle name="Bold GHG Numbers (0.00)" xfId="37" xr:uid="{00000000-0005-0000-0000-0000BD010000}"/>
    <cellStyle name="Calculation" xfId="2145" builtinId="22" customBuiltin="1"/>
    <cellStyle name="Calculation 2" xfId="500" xr:uid="{00000000-0005-0000-0000-0000BF010000}"/>
    <cellStyle name="Calculation 2 10" xfId="501" xr:uid="{00000000-0005-0000-0000-0000C0010000}"/>
    <cellStyle name="Calculation 2 2" xfId="502" xr:uid="{00000000-0005-0000-0000-0000C1010000}"/>
    <cellStyle name="Calculation 2 3" xfId="503" xr:uid="{00000000-0005-0000-0000-0000C2010000}"/>
    <cellStyle name="Calculation 2 4" xfId="504" xr:uid="{00000000-0005-0000-0000-0000C3010000}"/>
    <cellStyle name="Calculation 2 5" xfId="505" xr:uid="{00000000-0005-0000-0000-0000C4010000}"/>
    <cellStyle name="Calculation 2 6" xfId="506" xr:uid="{00000000-0005-0000-0000-0000C5010000}"/>
    <cellStyle name="Calculation 2 7" xfId="507" xr:uid="{00000000-0005-0000-0000-0000C6010000}"/>
    <cellStyle name="Calculation 2 8" xfId="508" xr:uid="{00000000-0005-0000-0000-0000C7010000}"/>
    <cellStyle name="Calculation 2 9" xfId="509" xr:uid="{00000000-0005-0000-0000-0000C8010000}"/>
    <cellStyle name="Calculation 2_PotsLow" xfId="510" xr:uid="{00000000-0005-0000-0000-0000C9010000}"/>
    <cellStyle name="Calculation 3" xfId="511" xr:uid="{00000000-0005-0000-0000-0000CA010000}"/>
    <cellStyle name="Check Cell" xfId="2147" builtinId="23" customBuiltin="1"/>
    <cellStyle name="Check Cell 2" xfId="512" xr:uid="{00000000-0005-0000-0000-0000CC010000}"/>
    <cellStyle name="Check Cell 2 10" xfId="513" xr:uid="{00000000-0005-0000-0000-0000CD010000}"/>
    <cellStyle name="Check Cell 2 2" xfId="514" xr:uid="{00000000-0005-0000-0000-0000CE010000}"/>
    <cellStyle name="Check Cell 2 3" xfId="515" xr:uid="{00000000-0005-0000-0000-0000CF010000}"/>
    <cellStyle name="Check Cell 2 4" xfId="516" xr:uid="{00000000-0005-0000-0000-0000D0010000}"/>
    <cellStyle name="Check Cell 2 5" xfId="517" xr:uid="{00000000-0005-0000-0000-0000D1010000}"/>
    <cellStyle name="Check Cell 2 6" xfId="518" xr:uid="{00000000-0005-0000-0000-0000D2010000}"/>
    <cellStyle name="Check Cell 2 7" xfId="519" xr:uid="{00000000-0005-0000-0000-0000D3010000}"/>
    <cellStyle name="Check Cell 2 8" xfId="520" xr:uid="{00000000-0005-0000-0000-0000D4010000}"/>
    <cellStyle name="Check Cell 2 9" xfId="521" xr:uid="{00000000-0005-0000-0000-0000D5010000}"/>
    <cellStyle name="Check Cell 2_PotsLow" xfId="522" xr:uid="{00000000-0005-0000-0000-0000D6010000}"/>
    <cellStyle name="Check Cell 3" xfId="523" xr:uid="{00000000-0005-0000-0000-0000D7010000}"/>
    <cellStyle name="Column heading" xfId="38" xr:uid="{00000000-0005-0000-0000-0000D8010000}"/>
    <cellStyle name="Comma [0] 2 10" xfId="524" xr:uid="{00000000-0005-0000-0000-0000D9010000}"/>
    <cellStyle name="Comma [0] 2 10 2" xfId="525" xr:uid="{00000000-0005-0000-0000-0000DA010000}"/>
    <cellStyle name="Comma [0] 2 10 2 2" xfId="2202" xr:uid="{00000000-0005-0000-0000-0000DB010000}"/>
    <cellStyle name="Comma [0] 2 10 2 2 2" xfId="3247" xr:uid="{00000000-0005-0000-0000-0000DC010000}"/>
    <cellStyle name="Comma [0] 2 10 2 3" xfId="2734" xr:uid="{00000000-0005-0000-0000-0000DD010000}"/>
    <cellStyle name="Comma [0] 2 10 3" xfId="2201" xr:uid="{00000000-0005-0000-0000-0000DE010000}"/>
    <cellStyle name="Comma [0] 2 10 3 2" xfId="3246" xr:uid="{00000000-0005-0000-0000-0000DF010000}"/>
    <cellStyle name="Comma [0] 2 10 4" xfId="2733" xr:uid="{00000000-0005-0000-0000-0000E0010000}"/>
    <cellStyle name="Comma [0] 2 2" xfId="526" xr:uid="{00000000-0005-0000-0000-0000E1010000}"/>
    <cellStyle name="Comma [0] 2 2 2" xfId="527" xr:uid="{00000000-0005-0000-0000-0000E2010000}"/>
    <cellStyle name="Comma [0] 2 2 2 2" xfId="2204" xr:uid="{00000000-0005-0000-0000-0000E3010000}"/>
    <cellStyle name="Comma [0] 2 2 2 2 2" xfId="3249" xr:uid="{00000000-0005-0000-0000-0000E4010000}"/>
    <cellStyle name="Comma [0] 2 2 2 3" xfId="2736" xr:uid="{00000000-0005-0000-0000-0000E5010000}"/>
    <cellStyle name="Comma [0] 2 2 3" xfId="2203" xr:uid="{00000000-0005-0000-0000-0000E6010000}"/>
    <cellStyle name="Comma [0] 2 2 3 2" xfId="3248" xr:uid="{00000000-0005-0000-0000-0000E7010000}"/>
    <cellStyle name="Comma [0] 2 2 4" xfId="2735" xr:uid="{00000000-0005-0000-0000-0000E8010000}"/>
    <cellStyle name="Comma [0] 2 3" xfId="528" xr:uid="{00000000-0005-0000-0000-0000E9010000}"/>
    <cellStyle name="Comma [0] 2 3 2" xfId="529" xr:uid="{00000000-0005-0000-0000-0000EA010000}"/>
    <cellStyle name="Comma [0] 2 3 2 2" xfId="2206" xr:uid="{00000000-0005-0000-0000-0000EB010000}"/>
    <cellStyle name="Comma [0] 2 3 2 2 2" xfId="3251" xr:uid="{00000000-0005-0000-0000-0000EC010000}"/>
    <cellStyle name="Comma [0] 2 3 2 3" xfId="2738" xr:uid="{00000000-0005-0000-0000-0000ED010000}"/>
    <cellStyle name="Comma [0] 2 3 3" xfId="2205" xr:uid="{00000000-0005-0000-0000-0000EE010000}"/>
    <cellStyle name="Comma [0] 2 3 3 2" xfId="3250" xr:uid="{00000000-0005-0000-0000-0000EF010000}"/>
    <cellStyle name="Comma [0] 2 3 4" xfId="2737" xr:uid="{00000000-0005-0000-0000-0000F0010000}"/>
    <cellStyle name="Comma [0] 2 4" xfId="530" xr:uid="{00000000-0005-0000-0000-0000F1010000}"/>
    <cellStyle name="Comma [0] 2 4 2" xfId="531" xr:uid="{00000000-0005-0000-0000-0000F2010000}"/>
    <cellStyle name="Comma [0] 2 4 2 2" xfId="2208" xr:uid="{00000000-0005-0000-0000-0000F3010000}"/>
    <cellStyle name="Comma [0] 2 4 2 2 2" xfId="3253" xr:uid="{00000000-0005-0000-0000-0000F4010000}"/>
    <cellStyle name="Comma [0] 2 4 2 3" xfId="2740" xr:uid="{00000000-0005-0000-0000-0000F5010000}"/>
    <cellStyle name="Comma [0] 2 4 3" xfId="2207" xr:uid="{00000000-0005-0000-0000-0000F6010000}"/>
    <cellStyle name="Comma [0] 2 4 3 2" xfId="3252" xr:uid="{00000000-0005-0000-0000-0000F7010000}"/>
    <cellStyle name="Comma [0] 2 4 4" xfId="2739" xr:uid="{00000000-0005-0000-0000-0000F8010000}"/>
    <cellStyle name="Comma [0] 2 5" xfId="532" xr:uid="{00000000-0005-0000-0000-0000F9010000}"/>
    <cellStyle name="Comma [0] 2 5 2" xfId="533" xr:uid="{00000000-0005-0000-0000-0000FA010000}"/>
    <cellStyle name="Comma [0] 2 5 2 2" xfId="2210" xr:uid="{00000000-0005-0000-0000-0000FB010000}"/>
    <cellStyle name="Comma [0] 2 5 2 2 2" xfId="3255" xr:uid="{00000000-0005-0000-0000-0000FC010000}"/>
    <cellStyle name="Comma [0] 2 5 2 3" xfId="2742" xr:uid="{00000000-0005-0000-0000-0000FD010000}"/>
    <cellStyle name="Comma [0] 2 5 3" xfId="2209" xr:uid="{00000000-0005-0000-0000-0000FE010000}"/>
    <cellStyle name="Comma [0] 2 5 3 2" xfId="3254" xr:uid="{00000000-0005-0000-0000-0000FF010000}"/>
    <cellStyle name="Comma [0] 2 5 4" xfId="2741" xr:uid="{00000000-0005-0000-0000-000000020000}"/>
    <cellStyle name="Comma [0] 2 6" xfId="534" xr:uid="{00000000-0005-0000-0000-000001020000}"/>
    <cellStyle name="Comma [0] 2 6 2" xfId="535" xr:uid="{00000000-0005-0000-0000-000002020000}"/>
    <cellStyle name="Comma [0] 2 6 2 2" xfId="2212" xr:uid="{00000000-0005-0000-0000-000003020000}"/>
    <cellStyle name="Comma [0] 2 6 2 2 2" xfId="3257" xr:uid="{00000000-0005-0000-0000-000004020000}"/>
    <cellStyle name="Comma [0] 2 6 2 3" xfId="2744" xr:uid="{00000000-0005-0000-0000-000005020000}"/>
    <cellStyle name="Comma [0] 2 6 3" xfId="2211" xr:uid="{00000000-0005-0000-0000-000006020000}"/>
    <cellStyle name="Comma [0] 2 6 3 2" xfId="3256" xr:uid="{00000000-0005-0000-0000-000007020000}"/>
    <cellStyle name="Comma [0] 2 6 4" xfId="2743" xr:uid="{00000000-0005-0000-0000-000008020000}"/>
    <cellStyle name="Comma [0] 2 7" xfId="536" xr:uid="{00000000-0005-0000-0000-000009020000}"/>
    <cellStyle name="Comma [0] 2 7 2" xfId="537" xr:uid="{00000000-0005-0000-0000-00000A020000}"/>
    <cellStyle name="Comma [0] 2 7 2 2" xfId="2214" xr:uid="{00000000-0005-0000-0000-00000B020000}"/>
    <cellStyle name="Comma [0] 2 7 2 2 2" xfId="3259" xr:uid="{00000000-0005-0000-0000-00000C020000}"/>
    <cellStyle name="Comma [0] 2 7 2 3" xfId="2746" xr:uid="{00000000-0005-0000-0000-00000D020000}"/>
    <cellStyle name="Comma [0] 2 7 3" xfId="2213" xr:uid="{00000000-0005-0000-0000-00000E020000}"/>
    <cellStyle name="Comma [0] 2 7 3 2" xfId="3258" xr:uid="{00000000-0005-0000-0000-00000F020000}"/>
    <cellStyle name="Comma [0] 2 7 4" xfId="2745" xr:uid="{00000000-0005-0000-0000-000010020000}"/>
    <cellStyle name="Comma [0] 2 8" xfId="538" xr:uid="{00000000-0005-0000-0000-000011020000}"/>
    <cellStyle name="Comma [0] 2 8 2" xfId="539" xr:uid="{00000000-0005-0000-0000-000012020000}"/>
    <cellStyle name="Comma [0] 2 8 2 2" xfId="2216" xr:uid="{00000000-0005-0000-0000-000013020000}"/>
    <cellStyle name="Comma [0] 2 8 2 2 2" xfId="3261" xr:uid="{00000000-0005-0000-0000-000014020000}"/>
    <cellStyle name="Comma [0] 2 8 2 3" xfId="2748" xr:uid="{00000000-0005-0000-0000-000015020000}"/>
    <cellStyle name="Comma [0] 2 8 3" xfId="2215" xr:uid="{00000000-0005-0000-0000-000016020000}"/>
    <cellStyle name="Comma [0] 2 8 3 2" xfId="3260" xr:uid="{00000000-0005-0000-0000-000017020000}"/>
    <cellStyle name="Comma [0] 2 8 4" xfId="2747" xr:uid="{00000000-0005-0000-0000-000018020000}"/>
    <cellStyle name="Comma [0] 2 9" xfId="540" xr:uid="{00000000-0005-0000-0000-000019020000}"/>
    <cellStyle name="Comma [0] 2 9 2" xfId="541" xr:uid="{00000000-0005-0000-0000-00001A020000}"/>
    <cellStyle name="Comma [0] 2 9 2 2" xfId="2218" xr:uid="{00000000-0005-0000-0000-00001B020000}"/>
    <cellStyle name="Comma [0] 2 9 2 2 2" xfId="3263" xr:uid="{00000000-0005-0000-0000-00001C020000}"/>
    <cellStyle name="Comma [0] 2 9 2 3" xfId="2750" xr:uid="{00000000-0005-0000-0000-00001D020000}"/>
    <cellStyle name="Comma [0] 2 9 3" xfId="2217" xr:uid="{00000000-0005-0000-0000-00001E020000}"/>
    <cellStyle name="Comma [0] 2 9 3 2" xfId="3262" xr:uid="{00000000-0005-0000-0000-00001F020000}"/>
    <cellStyle name="Comma [0] 2 9 4" xfId="2749" xr:uid="{00000000-0005-0000-0000-000020020000}"/>
    <cellStyle name="Comma 10" xfId="542" xr:uid="{00000000-0005-0000-0000-000021020000}"/>
    <cellStyle name="Comma 10 10" xfId="2751" xr:uid="{00000000-0005-0000-0000-000022020000}"/>
    <cellStyle name="Comma 10 2" xfId="543" xr:uid="{00000000-0005-0000-0000-000023020000}"/>
    <cellStyle name="Comma 10 2 10" xfId="544" xr:uid="{00000000-0005-0000-0000-000024020000}"/>
    <cellStyle name="Comma 10 2 10 2" xfId="545" xr:uid="{00000000-0005-0000-0000-000025020000}"/>
    <cellStyle name="Comma 10 2 10 2 2" xfId="2222" xr:uid="{00000000-0005-0000-0000-000026020000}"/>
    <cellStyle name="Comma 10 2 10 2 2 2" xfId="3267" xr:uid="{00000000-0005-0000-0000-000027020000}"/>
    <cellStyle name="Comma 10 2 10 2 3" xfId="2754" xr:uid="{00000000-0005-0000-0000-000028020000}"/>
    <cellStyle name="Comma 10 2 10 3" xfId="2221" xr:uid="{00000000-0005-0000-0000-000029020000}"/>
    <cellStyle name="Comma 10 2 10 3 2" xfId="3266" xr:uid="{00000000-0005-0000-0000-00002A020000}"/>
    <cellStyle name="Comma 10 2 10 4" xfId="2753" xr:uid="{00000000-0005-0000-0000-00002B020000}"/>
    <cellStyle name="Comma 10 2 11" xfId="546" xr:uid="{00000000-0005-0000-0000-00002C020000}"/>
    <cellStyle name="Comma 10 2 11 2" xfId="547" xr:uid="{00000000-0005-0000-0000-00002D020000}"/>
    <cellStyle name="Comma 10 2 11 2 2" xfId="2224" xr:uid="{00000000-0005-0000-0000-00002E020000}"/>
    <cellStyle name="Comma 10 2 11 2 2 2" xfId="3269" xr:uid="{00000000-0005-0000-0000-00002F020000}"/>
    <cellStyle name="Comma 10 2 11 2 3" xfId="2756" xr:uid="{00000000-0005-0000-0000-000030020000}"/>
    <cellStyle name="Comma 10 2 11 3" xfId="2223" xr:uid="{00000000-0005-0000-0000-000031020000}"/>
    <cellStyle name="Comma 10 2 11 3 2" xfId="3268" xr:uid="{00000000-0005-0000-0000-000032020000}"/>
    <cellStyle name="Comma 10 2 11 4" xfId="2755" xr:uid="{00000000-0005-0000-0000-000033020000}"/>
    <cellStyle name="Comma 10 2 12" xfId="548" xr:uid="{00000000-0005-0000-0000-000034020000}"/>
    <cellStyle name="Comma 10 2 12 2" xfId="549" xr:uid="{00000000-0005-0000-0000-000035020000}"/>
    <cellStyle name="Comma 10 2 12 2 2" xfId="2226" xr:uid="{00000000-0005-0000-0000-000036020000}"/>
    <cellStyle name="Comma 10 2 12 2 2 2" xfId="3271" xr:uid="{00000000-0005-0000-0000-000037020000}"/>
    <cellStyle name="Comma 10 2 12 2 3" xfId="2758" xr:uid="{00000000-0005-0000-0000-000038020000}"/>
    <cellStyle name="Comma 10 2 12 3" xfId="2225" xr:uid="{00000000-0005-0000-0000-000039020000}"/>
    <cellStyle name="Comma 10 2 12 3 2" xfId="3270" xr:uid="{00000000-0005-0000-0000-00003A020000}"/>
    <cellStyle name="Comma 10 2 12 4" xfId="2757" xr:uid="{00000000-0005-0000-0000-00003B020000}"/>
    <cellStyle name="Comma 10 2 13" xfId="550" xr:uid="{00000000-0005-0000-0000-00003C020000}"/>
    <cellStyle name="Comma 10 2 13 2" xfId="551" xr:uid="{00000000-0005-0000-0000-00003D020000}"/>
    <cellStyle name="Comma 10 2 13 2 2" xfId="2228" xr:uid="{00000000-0005-0000-0000-00003E020000}"/>
    <cellStyle name="Comma 10 2 13 2 2 2" xfId="3273" xr:uid="{00000000-0005-0000-0000-00003F020000}"/>
    <cellStyle name="Comma 10 2 13 2 3" xfId="2760" xr:uid="{00000000-0005-0000-0000-000040020000}"/>
    <cellStyle name="Comma 10 2 13 3" xfId="2227" xr:uid="{00000000-0005-0000-0000-000041020000}"/>
    <cellStyle name="Comma 10 2 13 3 2" xfId="3272" xr:uid="{00000000-0005-0000-0000-000042020000}"/>
    <cellStyle name="Comma 10 2 13 4" xfId="2759" xr:uid="{00000000-0005-0000-0000-000043020000}"/>
    <cellStyle name="Comma 10 2 14" xfId="552" xr:uid="{00000000-0005-0000-0000-000044020000}"/>
    <cellStyle name="Comma 10 2 14 2" xfId="553" xr:uid="{00000000-0005-0000-0000-000045020000}"/>
    <cellStyle name="Comma 10 2 14 2 2" xfId="2230" xr:uid="{00000000-0005-0000-0000-000046020000}"/>
    <cellStyle name="Comma 10 2 14 2 2 2" xfId="3275" xr:uid="{00000000-0005-0000-0000-000047020000}"/>
    <cellStyle name="Comma 10 2 14 2 3" xfId="2762" xr:uid="{00000000-0005-0000-0000-000048020000}"/>
    <cellStyle name="Comma 10 2 14 3" xfId="2229" xr:uid="{00000000-0005-0000-0000-000049020000}"/>
    <cellStyle name="Comma 10 2 14 3 2" xfId="3274" xr:uid="{00000000-0005-0000-0000-00004A020000}"/>
    <cellStyle name="Comma 10 2 14 4" xfId="2761" xr:uid="{00000000-0005-0000-0000-00004B020000}"/>
    <cellStyle name="Comma 10 2 15" xfId="554" xr:uid="{00000000-0005-0000-0000-00004C020000}"/>
    <cellStyle name="Comma 10 2 15 2" xfId="555" xr:uid="{00000000-0005-0000-0000-00004D020000}"/>
    <cellStyle name="Comma 10 2 15 2 2" xfId="2232" xr:uid="{00000000-0005-0000-0000-00004E020000}"/>
    <cellStyle name="Comma 10 2 15 2 2 2" xfId="3277" xr:uid="{00000000-0005-0000-0000-00004F020000}"/>
    <cellStyle name="Comma 10 2 15 2 3" xfId="2764" xr:uid="{00000000-0005-0000-0000-000050020000}"/>
    <cellStyle name="Comma 10 2 15 3" xfId="2231" xr:uid="{00000000-0005-0000-0000-000051020000}"/>
    <cellStyle name="Comma 10 2 15 3 2" xfId="3276" xr:uid="{00000000-0005-0000-0000-000052020000}"/>
    <cellStyle name="Comma 10 2 15 4" xfId="2763" xr:uid="{00000000-0005-0000-0000-000053020000}"/>
    <cellStyle name="Comma 10 2 16" xfId="556" xr:uid="{00000000-0005-0000-0000-000054020000}"/>
    <cellStyle name="Comma 10 2 16 2" xfId="557" xr:uid="{00000000-0005-0000-0000-000055020000}"/>
    <cellStyle name="Comma 10 2 16 2 2" xfId="2234" xr:uid="{00000000-0005-0000-0000-000056020000}"/>
    <cellStyle name="Comma 10 2 16 2 2 2" xfId="3279" xr:uid="{00000000-0005-0000-0000-000057020000}"/>
    <cellStyle name="Comma 10 2 16 2 3" xfId="2766" xr:uid="{00000000-0005-0000-0000-000058020000}"/>
    <cellStyle name="Comma 10 2 16 3" xfId="2233" xr:uid="{00000000-0005-0000-0000-000059020000}"/>
    <cellStyle name="Comma 10 2 16 3 2" xfId="3278" xr:uid="{00000000-0005-0000-0000-00005A020000}"/>
    <cellStyle name="Comma 10 2 16 4" xfId="2765" xr:uid="{00000000-0005-0000-0000-00005B020000}"/>
    <cellStyle name="Comma 10 2 17" xfId="558" xr:uid="{00000000-0005-0000-0000-00005C020000}"/>
    <cellStyle name="Comma 10 2 17 2" xfId="559" xr:uid="{00000000-0005-0000-0000-00005D020000}"/>
    <cellStyle name="Comma 10 2 17 2 2" xfId="2236" xr:uid="{00000000-0005-0000-0000-00005E020000}"/>
    <cellStyle name="Comma 10 2 17 2 2 2" xfId="3281" xr:uid="{00000000-0005-0000-0000-00005F020000}"/>
    <cellStyle name="Comma 10 2 17 2 3" xfId="2768" xr:uid="{00000000-0005-0000-0000-000060020000}"/>
    <cellStyle name="Comma 10 2 17 3" xfId="2235" xr:uid="{00000000-0005-0000-0000-000061020000}"/>
    <cellStyle name="Comma 10 2 17 3 2" xfId="3280" xr:uid="{00000000-0005-0000-0000-000062020000}"/>
    <cellStyle name="Comma 10 2 17 4" xfId="2767" xr:uid="{00000000-0005-0000-0000-000063020000}"/>
    <cellStyle name="Comma 10 2 18" xfId="560" xr:uid="{00000000-0005-0000-0000-000064020000}"/>
    <cellStyle name="Comma 10 2 18 2" xfId="2237" xr:uid="{00000000-0005-0000-0000-000065020000}"/>
    <cellStyle name="Comma 10 2 18 2 2" xfId="3282" xr:uid="{00000000-0005-0000-0000-000066020000}"/>
    <cellStyle name="Comma 10 2 18 3" xfId="2769" xr:uid="{00000000-0005-0000-0000-000067020000}"/>
    <cellStyle name="Comma 10 2 19" xfId="2220" xr:uid="{00000000-0005-0000-0000-000068020000}"/>
    <cellStyle name="Comma 10 2 19 2" xfId="3265" xr:uid="{00000000-0005-0000-0000-000069020000}"/>
    <cellStyle name="Comma 10 2 2" xfId="561" xr:uid="{00000000-0005-0000-0000-00006A020000}"/>
    <cellStyle name="Comma 10 2 2 2" xfId="562" xr:uid="{00000000-0005-0000-0000-00006B020000}"/>
    <cellStyle name="Comma 10 2 2 2 2" xfId="2239" xr:uid="{00000000-0005-0000-0000-00006C020000}"/>
    <cellStyle name="Comma 10 2 2 2 2 2" xfId="3284" xr:uid="{00000000-0005-0000-0000-00006D020000}"/>
    <cellStyle name="Comma 10 2 2 2 3" xfId="2771" xr:uid="{00000000-0005-0000-0000-00006E020000}"/>
    <cellStyle name="Comma 10 2 2 3" xfId="2238" xr:uid="{00000000-0005-0000-0000-00006F020000}"/>
    <cellStyle name="Comma 10 2 2 3 2" xfId="3283" xr:uid="{00000000-0005-0000-0000-000070020000}"/>
    <cellStyle name="Comma 10 2 2 4" xfId="2770" xr:uid="{00000000-0005-0000-0000-000071020000}"/>
    <cellStyle name="Comma 10 2 20" xfId="2752" xr:uid="{00000000-0005-0000-0000-000072020000}"/>
    <cellStyle name="Comma 10 2 3" xfId="563" xr:uid="{00000000-0005-0000-0000-000073020000}"/>
    <cellStyle name="Comma 10 2 3 2" xfId="564" xr:uid="{00000000-0005-0000-0000-000074020000}"/>
    <cellStyle name="Comma 10 2 3 2 2" xfId="2241" xr:uid="{00000000-0005-0000-0000-000075020000}"/>
    <cellStyle name="Comma 10 2 3 2 2 2" xfId="3286" xr:uid="{00000000-0005-0000-0000-000076020000}"/>
    <cellStyle name="Comma 10 2 3 2 3" xfId="2773" xr:uid="{00000000-0005-0000-0000-000077020000}"/>
    <cellStyle name="Comma 10 2 3 3" xfId="2240" xr:uid="{00000000-0005-0000-0000-000078020000}"/>
    <cellStyle name="Comma 10 2 3 3 2" xfId="3285" xr:uid="{00000000-0005-0000-0000-000079020000}"/>
    <cellStyle name="Comma 10 2 3 4" xfId="2772" xr:uid="{00000000-0005-0000-0000-00007A020000}"/>
    <cellStyle name="Comma 10 2 4" xfId="565" xr:uid="{00000000-0005-0000-0000-00007B020000}"/>
    <cellStyle name="Comma 10 2 4 2" xfId="566" xr:uid="{00000000-0005-0000-0000-00007C020000}"/>
    <cellStyle name="Comma 10 2 4 2 2" xfId="2243" xr:uid="{00000000-0005-0000-0000-00007D020000}"/>
    <cellStyle name="Comma 10 2 4 2 2 2" xfId="3288" xr:uid="{00000000-0005-0000-0000-00007E020000}"/>
    <cellStyle name="Comma 10 2 4 2 3" xfId="2775" xr:uid="{00000000-0005-0000-0000-00007F020000}"/>
    <cellStyle name="Comma 10 2 4 3" xfId="2242" xr:uid="{00000000-0005-0000-0000-000080020000}"/>
    <cellStyle name="Comma 10 2 4 3 2" xfId="3287" xr:uid="{00000000-0005-0000-0000-000081020000}"/>
    <cellStyle name="Comma 10 2 4 4" xfId="2774" xr:uid="{00000000-0005-0000-0000-000082020000}"/>
    <cellStyle name="Comma 10 2 5" xfId="567" xr:uid="{00000000-0005-0000-0000-000083020000}"/>
    <cellStyle name="Comma 10 2 5 2" xfId="568" xr:uid="{00000000-0005-0000-0000-000084020000}"/>
    <cellStyle name="Comma 10 2 5 2 2" xfId="2245" xr:uid="{00000000-0005-0000-0000-000085020000}"/>
    <cellStyle name="Comma 10 2 5 2 2 2" xfId="3290" xr:uid="{00000000-0005-0000-0000-000086020000}"/>
    <cellStyle name="Comma 10 2 5 2 3" xfId="2777" xr:uid="{00000000-0005-0000-0000-000087020000}"/>
    <cellStyle name="Comma 10 2 5 3" xfId="2244" xr:uid="{00000000-0005-0000-0000-000088020000}"/>
    <cellStyle name="Comma 10 2 5 3 2" xfId="3289" xr:uid="{00000000-0005-0000-0000-000089020000}"/>
    <cellStyle name="Comma 10 2 5 4" xfId="2776" xr:uid="{00000000-0005-0000-0000-00008A020000}"/>
    <cellStyle name="Comma 10 2 6" xfId="569" xr:uid="{00000000-0005-0000-0000-00008B020000}"/>
    <cellStyle name="Comma 10 2 6 2" xfId="570" xr:uid="{00000000-0005-0000-0000-00008C020000}"/>
    <cellStyle name="Comma 10 2 6 2 2" xfId="2247" xr:uid="{00000000-0005-0000-0000-00008D020000}"/>
    <cellStyle name="Comma 10 2 6 2 2 2" xfId="3292" xr:uid="{00000000-0005-0000-0000-00008E020000}"/>
    <cellStyle name="Comma 10 2 6 2 3" xfId="2779" xr:uid="{00000000-0005-0000-0000-00008F020000}"/>
    <cellStyle name="Comma 10 2 6 3" xfId="2246" xr:uid="{00000000-0005-0000-0000-000090020000}"/>
    <cellStyle name="Comma 10 2 6 3 2" xfId="3291" xr:uid="{00000000-0005-0000-0000-000091020000}"/>
    <cellStyle name="Comma 10 2 6 4" xfId="2778" xr:uid="{00000000-0005-0000-0000-000092020000}"/>
    <cellStyle name="Comma 10 2 7" xfId="571" xr:uid="{00000000-0005-0000-0000-000093020000}"/>
    <cellStyle name="Comma 10 2 7 2" xfId="572" xr:uid="{00000000-0005-0000-0000-000094020000}"/>
    <cellStyle name="Comma 10 2 7 2 2" xfId="2249" xr:uid="{00000000-0005-0000-0000-000095020000}"/>
    <cellStyle name="Comma 10 2 7 2 2 2" xfId="3294" xr:uid="{00000000-0005-0000-0000-000096020000}"/>
    <cellStyle name="Comma 10 2 7 2 3" xfId="2781" xr:uid="{00000000-0005-0000-0000-000097020000}"/>
    <cellStyle name="Comma 10 2 7 3" xfId="2248" xr:uid="{00000000-0005-0000-0000-000098020000}"/>
    <cellStyle name="Comma 10 2 7 3 2" xfId="3293" xr:uid="{00000000-0005-0000-0000-000099020000}"/>
    <cellStyle name="Comma 10 2 7 4" xfId="2780" xr:uid="{00000000-0005-0000-0000-00009A020000}"/>
    <cellStyle name="Comma 10 2 8" xfId="573" xr:uid="{00000000-0005-0000-0000-00009B020000}"/>
    <cellStyle name="Comma 10 2 8 2" xfId="574" xr:uid="{00000000-0005-0000-0000-00009C020000}"/>
    <cellStyle name="Comma 10 2 8 2 2" xfId="2251" xr:uid="{00000000-0005-0000-0000-00009D020000}"/>
    <cellStyle name="Comma 10 2 8 2 2 2" xfId="3296" xr:uid="{00000000-0005-0000-0000-00009E020000}"/>
    <cellStyle name="Comma 10 2 8 2 3" xfId="2783" xr:uid="{00000000-0005-0000-0000-00009F020000}"/>
    <cellStyle name="Comma 10 2 8 3" xfId="2250" xr:uid="{00000000-0005-0000-0000-0000A0020000}"/>
    <cellStyle name="Comma 10 2 8 3 2" xfId="3295" xr:uid="{00000000-0005-0000-0000-0000A1020000}"/>
    <cellStyle name="Comma 10 2 8 4" xfId="2782" xr:uid="{00000000-0005-0000-0000-0000A2020000}"/>
    <cellStyle name="Comma 10 2 9" xfId="575" xr:uid="{00000000-0005-0000-0000-0000A3020000}"/>
    <cellStyle name="Comma 10 2 9 2" xfId="576" xr:uid="{00000000-0005-0000-0000-0000A4020000}"/>
    <cellStyle name="Comma 10 2 9 2 2" xfId="2253" xr:uid="{00000000-0005-0000-0000-0000A5020000}"/>
    <cellStyle name="Comma 10 2 9 2 2 2" xfId="3298" xr:uid="{00000000-0005-0000-0000-0000A6020000}"/>
    <cellStyle name="Comma 10 2 9 2 3" xfId="2785" xr:uid="{00000000-0005-0000-0000-0000A7020000}"/>
    <cellStyle name="Comma 10 2 9 3" xfId="2252" xr:uid="{00000000-0005-0000-0000-0000A8020000}"/>
    <cellStyle name="Comma 10 2 9 3 2" xfId="3297" xr:uid="{00000000-0005-0000-0000-0000A9020000}"/>
    <cellStyle name="Comma 10 2 9 4" xfId="2784" xr:uid="{00000000-0005-0000-0000-0000AA020000}"/>
    <cellStyle name="Comma 10 3" xfId="577" xr:uid="{00000000-0005-0000-0000-0000AB020000}"/>
    <cellStyle name="Comma 10 3 10" xfId="578" xr:uid="{00000000-0005-0000-0000-0000AC020000}"/>
    <cellStyle name="Comma 10 3 10 2" xfId="579" xr:uid="{00000000-0005-0000-0000-0000AD020000}"/>
    <cellStyle name="Comma 10 3 10 2 2" xfId="2256" xr:uid="{00000000-0005-0000-0000-0000AE020000}"/>
    <cellStyle name="Comma 10 3 10 2 2 2" xfId="3301" xr:uid="{00000000-0005-0000-0000-0000AF020000}"/>
    <cellStyle name="Comma 10 3 10 2 3" xfId="2788" xr:uid="{00000000-0005-0000-0000-0000B0020000}"/>
    <cellStyle name="Comma 10 3 10 3" xfId="2255" xr:uid="{00000000-0005-0000-0000-0000B1020000}"/>
    <cellStyle name="Comma 10 3 10 3 2" xfId="3300" xr:uid="{00000000-0005-0000-0000-0000B2020000}"/>
    <cellStyle name="Comma 10 3 10 4" xfId="2787" xr:uid="{00000000-0005-0000-0000-0000B3020000}"/>
    <cellStyle name="Comma 10 3 11" xfId="580" xr:uid="{00000000-0005-0000-0000-0000B4020000}"/>
    <cellStyle name="Comma 10 3 11 2" xfId="581" xr:uid="{00000000-0005-0000-0000-0000B5020000}"/>
    <cellStyle name="Comma 10 3 11 2 2" xfId="2258" xr:uid="{00000000-0005-0000-0000-0000B6020000}"/>
    <cellStyle name="Comma 10 3 11 2 2 2" xfId="3303" xr:uid="{00000000-0005-0000-0000-0000B7020000}"/>
    <cellStyle name="Comma 10 3 11 2 3" xfId="2790" xr:uid="{00000000-0005-0000-0000-0000B8020000}"/>
    <cellStyle name="Comma 10 3 11 3" xfId="2257" xr:uid="{00000000-0005-0000-0000-0000B9020000}"/>
    <cellStyle name="Comma 10 3 11 3 2" xfId="3302" xr:uid="{00000000-0005-0000-0000-0000BA020000}"/>
    <cellStyle name="Comma 10 3 11 4" xfId="2789" xr:uid="{00000000-0005-0000-0000-0000BB020000}"/>
    <cellStyle name="Comma 10 3 12" xfId="582" xr:uid="{00000000-0005-0000-0000-0000BC020000}"/>
    <cellStyle name="Comma 10 3 12 2" xfId="583" xr:uid="{00000000-0005-0000-0000-0000BD020000}"/>
    <cellStyle name="Comma 10 3 12 2 2" xfId="2260" xr:uid="{00000000-0005-0000-0000-0000BE020000}"/>
    <cellStyle name="Comma 10 3 12 2 2 2" xfId="3305" xr:uid="{00000000-0005-0000-0000-0000BF020000}"/>
    <cellStyle name="Comma 10 3 12 2 3" xfId="2792" xr:uid="{00000000-0005-0000-0000-0000C0020000}"/>
    <cellStyle name="Comma 10 3 12 3" xfId="2259" xr:uid="{00000000-0005-0000-0000-0000C1020000}"/>
    <cellStyle name="Comma 10 3 12 3 2" xfId="3304" xr:uid="{00000000-0005-0000-0000-0000C2020000}"/>
    <cellStyle name="Comma 10 3 12 4" xfId="2791" xr:uid="{00000000-0005-0000-0000-0000C3020000}"/>
    <cellStyle name="Comma 10 3 13" xfId="584" xr:uid="{00000000-0005-0000-0000-0000C4020000}"/>
    <cellStyle name="Comma 10 3 13 2" xfId="585" xr:uid="{00000000-0005-0000-0000-0000C5020000}"/>
    <cellStyle name="Comma 10 3 13 2 2" xfId="2262" xr:uid="{00000000-0005-0000-0000-0000C6020000}"/>
    <cellStyle name="Comma 10 3 13 2 2 2" xfId="3307" xr:uid="{00000000-0005-0000-0000-0000C7020000}"/>
    <cellStyle name="Comma 10 3 13 2 3" xfId="2794" xr:uid="{00000000-0005-0000-0000-0000C8020000}"/>
    <cellStyle name="Comma 10 3 13 3" xfId="2261" xr:uid="{00000000-0005-0000-0000-0000C9020000}"/>
    <cellStyle name="Comma 10 3 13 3 2" xfId="3306" xr:uid="{00000000-0005-0000-0000-0000CA020000}"/>
    <cellStyle name="Comma 10 3 13 4" xfId="2793" xr:uid="{00000000-0005-0000-0000-0000CB020000}"/>
    <cellStyle name="Comma 10 3 14" xfId="586" xr:uid="{00000000-0005-0000-0000-0000CC020000}"/>
    <cellStyle name="Comma 10 3 14 2" xfId="587" xr:uid="{00000000-0005-0000-0000-0000CD020000}"/>
    <cellStyle name="Comma 10 3 14 2 2" xfId="2264" xr:uid="{00000000-0005-0000-0000-0000CE020000}"/>
    <cellStyle name="Comma 10 3 14 2 2 2" xfId="3309" xr:uid="{00000000-0005-0000-0000-0000CF020000}"/>
    <cellStyle name="Comma 10 3 14 2 3" xfId="2796" xr:uid="{00000000-0005-0000-0000-0000D0020000}"/>
    <cellStyle name="Comma 10 3 14 3" xfId="2263" xr:uid="{00000000-0005-0000-0000-0000D1020000}"/>
    <cellStyle name="Comma 10 3 14 3 2" xfId="3308" xr:uid="{00000000-0005-0000-0000-0000D2020000}"/>
    <cellStyle name="Comma 10 3 14 4" xfId="2795" xr:uid="{00000000-0005-0000-0000-0000D3020000}"/>
    <cellStyle name="Comma 10 3 15" xfId="588" xr:uid="{00000000-0005-0000-0000-0000D4020000}"/>
    <cellStyle name="Comma 10 3 15 2" xfId="589" xr:uid="{00000000-0005-0000-0000-0000D5020000}"/>
    <cellStyle name="Comma 10 3 15 2 2" xfId="2266" xr:uid="{00000000-0005-0000-0000-0000D6020000}"/>
    <cellStyle name="Comma 10 3 15 2 2 2" xfId="3311" xr:uid="{00000000-0005-0000-0000-0000D7020000}"/>
    <cellStyle name="Comma 10 3 15 2 3" xfId="2798" xr:uid="{00000000-0005-0000-0000-0000D8020000}"/>
    <cellStyle name="Comma 10 3 15 3" xfId="2265" xr:uid="{00000000-0005-0000-0000-0000D9020000}"/>
    <cellStyle name="Comma 10 3 15 3 2" xfId="3310" xr:uid="{00000000-0005-0000-0000-0000DA020000}"/>
    <cellStyle name="Comma 10 3 15 4" xfId="2797" xr:uid="{00000000-0005-0000-0000-0000DB020000}"/>
    <cellStyle name="Comma 10 3 16" xfId="590" xr:uid="{00000000-0005-0000-0000-0000DC020000}"/>
    <cellStyle name="Comma 10 3 16 2" xfId="591" xr:uid="{00000000-0005-0000-0000-0000DD020000}"/>
    <cellStyle name="Comma 10 3 16 2 2" xfId="2268" xr:uid="{00000000-0005-0000-0000-0000DE020000}"/>
    <cellStyle name="Comma 10 3 16 2 2 2" xfId="3313" xr:uid="{00000000-0005-0000-0000-0000DF020000}"/>
    <cellStyle name="Comma 10 3 16 2 3" xfId="2800" xr:uid="{00000000-0005-0000-0000-0000E0020000}"/>
    <cellStyle name="Comma 10 3 16 3" xfId="2267" xr:uid="{00000000-0005-0000-0000-0000E1020000}"/>
    <cellStyle name="Comma 10 3 16 3 2" xfId="3312" xr:uid="{00000000-0005-0000-0000-0000E2020000}"/>
    <cellStyle name="Comma 10 3 16 4" xfId="2799" xr:uid="{00000000-0005-0000-0000-0000E3020000}"/>
    <cellStyle name="Comma 10 3 17" xfId="592" xr:uid="{00000000-0005-0000-0000-0000E4020000}"/>
    <cellStyle name="Comma 10 3 17 2" xfId="593" xr:uid="{00000000-0005-0000-0000-0000E5020000}"/>
    <cellStyle name="Comma 10 3 17 2 2" xfId="2270" xr:uid="{00000000-0005-0000-0000-0000E6020000}"/>
    <cellStyle name="Comma 10 3 17 2 2 2" xfId="3315" xr:uid="{00000000-0005-0000-0000-0000E7020000}"/>
    <cellStyle name="Comma 10 3 17 2 3" xfId="2802" xr:uid="{00000000-0005-0000-0000-0000E8020000}"/>
    <cellStyle name="Comma 10 3 17 3" xfId="2269" xr:uid="{00000000-0005-0000-0000-0000E9020000}"/>
    <cellStyle name="Comma 10 3 17 3 2" xfId="3314" xr:uid="{00000000-0005-0000-0000-0000EA020000}"/>
    <cellStyle name="Comma 10 3 17 4" xfId="2801" xr:uid="{00000000-0005-0000-0000-0000EB020000}"/>
    <cellStyle name="Comma 10 3 18" xfId="594" xr:uid="{00000000-0005-0000-0000-0000EC020000}"/>
    <cellStyle name="Comma 10 3 18 2" xfId="2271" xr:uid="{00000000-0005-0000-0000-0000ED020000}"/>
    <cellStyle name="Comma 10 3 18 2 2" xfId="3316" xr:uid="{00000000-0005-0000-0000-0000EE020000}"/>
    <cellStyle name="Comma 10 3 18 3" xfId="2803" xr:uid="{00000000-0005-0000-0000-0000EF020000}"/>
    <cellStyle name="Comma 10 3 19" xfId="2254" xr:uid="{00000000-0005-0000-0000-0000F0020000}"/>
    <cellStyle name="Comma 10 3 19 2" xfId="3299" xr:uid="{00000000-0005-0000-0000-0000F1020000}"/>
    <cellStyle name="Comma 10 3 2" xfId="595" xr:uid="{00000000-0005-0000-0000-0000F2020000}"/>
    <cellStyle name="Comma 10 3 2 2" xfId="596" xr:uid="{00000000-0005-0000-0000-0000F3020000}"/>
    <cellStyle name="Comma 10 3 2 2 2" xfId="2273" xr:uid="{00000000-0005-0000-0000-0000F4020000}"/>
    <cellStyle name="Comma 10 3 2 2 2 2" xfId="3318" xr:uid="{00000000-0005-0000-0000-0000F5020000}"/>
    <cellStyle name="Comma 10 3 2 2 3" xfId="2805" xr:uid="{00000000-0005-0000-0000-0000F6020000}"/>
    <cellStyle name="Comma 10 3 2 3" xfId="2272" xr:uid="{00000000-0005-0000-0000-0000F7020000}"/>
    <cellStyle name="Comma 10 3 2 3 2" xfId="3317" xr:uid="{00000000-0005-0000-0000-0000F8020000}"/>
    <cellStyle name="Comma 10 3 2 4" xfId="2804" xr:uid="{00000000-0005-0000-0000-0000F9020000}"/>
    <cellStyle name="Comma 10 3 20" xfId="2786" xr:uid="{00000000-0005-0000-0000-0000FA020000}"/>
    <cellStyle name="Comma 10 3 3" xfId="597" xr:uid="{00000000-0005-0000-0000-0000FB020000}"/>
    <cellStyle name="Comma 10 3 3 2" xfId="598" xr:uid="{00000000-0005-0000-0000-0000FC020000}"/>
    <cellStyle name="Comma 10 3 3 2 2" xfId="2275" xr:uid="{00000000-0005-0000-0000-0000FD020000}"/>
    <cellStyle name="Comma 10 3 3 2 2 2" xfId="3320" xr:uid="{00000000-0005-0000-0000-0000FE020000}"/>
    <cellStyle name="Comma 10 3 3 2 3" xfId="2807" xr:uid="{00000000-0005-0000-0000-0000FF020000}"/>
    <cellStyle name="Comma 10 3 3 3" xfId="2274" xr:uid="{00000000-0005-0000-0000-000000030000}"/>
    <cellStyle name="Comma 10 3 3 3 2" xfId="3319" xr:uid="{00000000-0005-0000-0000-000001030000}"/>
    <cellStyle name="Comma 10 3 3 4" xfId="2806" xr:uid="{00000000-0005-0000-0000-000002030000}"/>
    <cellStyle name="Comma 10 3 4" xfId="599" xr:uid="{00000000-0005-0000-0000-000003030000}"/>
    <cellStyle name="Comma 10 3 4 2" xfId="600" xr:uid="{00000000-0005-0000-0000-000004030000}"/>
    <cellStyle name="Comma 10 3 4 2 2" xfId="2277" xr:uid="{00000000-0005-0000-0000-000005030000}"/>
    <cellStyle name="Comma 10 3 4 2 2 2" xfId="3322" xr:uid="{00000000-0005-0000-0000-000006030000}"/>
    <cellStyle name="Comma 10 3 4 2 3" xfId="2809" xr:uid="{00000000-0005-0000-0000-000007030000}"/>
    <cellStyle name="Comma 10 3 4 3" xfId="2276" xr:uid="{00000000-0005-0000-0000-000008030000}"/>
    <cellStyle name="Comma 10 3 4 3 2" xfId="3321" xr:uid="{00000000-0005-0000-0000-000009030000}"/>
    <cellStyle name="Comma 10 3 4 4" xfId="2808" xr:uid="{00000000-0005-0000-0000-00000A030000}"/>
    <cellStyle name="Comma 10 3 5" xfId="601" xr:uid="{00000000-0005-0000-0000-00000B030000}"/>
    <cellStyle name="Comma 10 3 5 2" xfId="602" xr:uid="{00000000-0005-0000-0000-00000C030000}"/>
    <cellStyle name="Comma 10 3 5 2 2" xfId="2279" xr:uid="{00000000-0005-0000-0000-00000D030000}"/>
    <cellStyle name="Comma 10 3 5 2 2 2" xfId="3324" xr:uid="{00000000-0005-0000-0000-00000E030000}"/>
    <cellStyle name="Comma 10 3 5 2 3" xfId="2811" xr:uid="{00000000-0005-0000-0000-00000F030000}"/>
    <cellStyle name="Comma 10 3 5 3" xfId="2278" xr:uid="{00000000-0005-0000-0000-000010030000}"/>
    <cellStyle name="Comma 10 3 5 3 2" xfId="3323" xr:uid="{00000000-0005-0000-0000-000011030000}"/>
    <cellStyle name="Comma 10 3 5 4" xfId="2810" xr:uid="{00000000-0005-0000-0000-000012030000}"/>
    <cellStyle name="Comma 10 3 6" xfId="603" xr:uid="{00000000-0005-0000-0000-000013030000}"/>
    <cellStyle name="Comma 10 3 6 2" xfId="604" xr:uid="{00000000-0005-0000-0000-000014030000}"/>
    <cellStyle name="Comma 10 3 6 2 2" xfId="2281" xr:uid="{00000000-0005-0000-0000-000015030000}"/>
    <cellStyle name="Comma 10 3 6 2 2 2" xfId="3326" xr:uid="{00000000-0005-0000-0000-000016030000}"/>
    <cellStyle name="Comma 10 3 6 2 3" xfId="2813" xr:uid="{00000000-0005-0000-0000-000017030000}"/>
    <cellStyle name="Comma 10 3 6 3" xfId="2280" xr:uid="{00000000-0005-0000-0000-000018030000}"/>
    <cellStyle name="Comma 10 3 6 3 2" xfId="3325" xr:uid="{00000000-0005-0000-0000-000019030000}"/>
    <cellStyle name="Comma 10 3 6 4" xfId="2812" xr:uid="{00000000-0005-0000-0000-00001A030000}"/>
    <cellStyle name="Comma 10 3 7" xfId="605" xr:uid="{00000000-0005-0000-0000-00001B030000}"/>
    <cellStyle name="Comma 10 3 7 2" xfId="606" xr:uid="{00000000-0005-0000-0000-00001C030000}"/>
    <cellStyle name="Comma 10 3 7 2 2" xfId="2283" xr:uid="{00000000-0005-0000-0000-00001D030000}"/>
    <cellStyle name="Comma 10 3 7 2 2 2" xfId="3328" xr:uid="{00000000-0005-0000-0000-00001E030000}"/>
    <cellStyle name="Comma 10 3 7 2 3" xfId="2815" xr:uid="{00000000-0005-0000-0000-00001F030000}"/>
    <cellStyle name="Comma 10 3 7 3" xfId="2282" xr:uid="{00000000-0005-0000-0000-000020030000}"/>
    <cellStyle name="Comma 10 3 7 3 2" xfId="3327" xr:uid="{00000000-0005-0000-0000-000021030000}"/>
    <cellStyle name="Comma 10 3 7 4" xfId="2814" xr:uid="{00000000-0005-0000-0000-000022030000}"/>
    <cellStyle name="Comma 10 3 8" xfId="607" xr:uid="{00000000-0005-0000-0000-000023030000}"/>
    <cellStyle name="Comma 10 3 8 2" xfId="608" xr:uid="{00000000-0005-0000-0000-000024030000}"/>
    <cellStyle name="Comma 10 3 8 2 2" xfId="2285" xr:uid="{00000000-0005-0000-0000-000025030000}"/>
    <cellStyle name="Comma 10 3 8 2 2 2" xfId="3330" xr:uid="{00000000-0005-0000-0000-000026030000}"/>
    <cellStyle name="Comma 10 3 8 2 3" xfId="2817" xr:uid="{00000000-0005-0000-0000-000027030000}"/>
    <cellStyle name="Comma 10 3 8 3" xfId="2284" xr:uid="{00000000-0005-0000-0000-000028030000}"/>
    <cellStyle name="Comma 10 3 8 3 2" xfId="3329" xr:uid="{00000000-0005-0000-0000-000029030000}"/>
    <cellStyle name="Comma 10 3 8 4" xfId="2816" xr:uid="{00000000-0005-0000-0000-00002A030000}"/>
    <cellStyle name="Comma 10 3 9" xfId="609" xr:uid="{00000000-0005-0000-0000-00002B030000}"/>
    <cellStyle name="Comma 10 3 9 2" xfId="610" xr:uid="{00000000-0005-0000-0000-00002C030000}"/>
    <cellStyle name="Comma 10 3 9 2 2" xfId="2287" xr:uid="{00000000-0005-0000-0000-00002D030000}"/>
    <cellStyle name="Comma 10 3 9 2 2 2" xfId="3332" xr:uid="{00000000-0005-0000-0000-00002E030000}"/>
    <cellStyle name="Comma 10 3 9 2 3" xfId="2819" xr:uid="{00000000-0005-0000-0000-00002F030000}"/>
    <cellStyle name="Comma 10 3 9 3" xfId="2286" xr:uid="{00000000-0005-0000-0000-000030030000}"/>
    <cellStyle name="Comma 10 3 9 3 2" xfId="3331" xr:uid="{00000000-0005-0000-0000-000031030000}"/>
    <cellStyle name="Comma 10 3 9 4" xfId="2818" xr:uid="{00000000-0005-0000-0000-000032030000}"/>
    <cellStyle name="Comma 10 4" xfId="611" xr:uid="{00000000-0005-0000-0000-000033030000}"/>
    <cellStyle name="Comma 10 4 10" xfId="612" xr:uid="{00000000-0005-0000-0000-000034030000}"/>
    <cellStyle name="Comma 10 4 10 2" xfId="613" xr:uid="{00000000-0005-0000-0000-000035030000}"/>
    <cellStyle name="Comma 10 4 10 2 2" xfId="2290" xr:uid="{00000000-0005-0000-0000-000036030000}"/>
    <cellStyle name="Comma 10 4 10 2 2 2" xfId="3335" xr:uid="{00000000-0005-0000-0000-000037030000}"/>
    <cellStyle name="Comma 10 4 10 2 3" xfId="2822" xr:uid="{00000000-0005-0000-0000-000038030000}"/>
    <cellStyle name="Comma 10 4 10 3" xfId="2289" xr:uid="{00000000-0005-0000-0000-000039030000}"/>
    <cellStyle name="Comma 10 4 10 3 2" xfId="3334" xr:uid="{00000000-0005-0000-0000-00003A030000}"/>
    <cellStyle name="Comma 10 4 10 4" xfId="2821" xr:uid="{00000000-0005-0000-0000-00003B030000}"/>
    <cellStyle name="Comma 10 4 11" xfId="614" xr:uid="{00000000-0005-0000-0000-00003C030000}"/>
    <cellStyle name="Comma 10 4 11 2" xfId="615" xr:uid="{00000000-0005-0000-0000-00003D030000}"/>
    <cellStyle name="Comma 10 4 11 2 2" xfId="2292" xr:uid="{00000000-0005-0000-0000-00003E030000}"/>
    <cellStyle name="Comma 10 4 11 2 2 2" xfId="3337" xr:uid="{00000000-0005-0000-0000-00003F030000}"/>
    <cellStyle name="Comma 10 4 11 2 3" xfId="2824" xr:uid="{00000000-0005-0000-0000-000040030000}"/>
    <cellStyle name="Comma 10 4 11 3" xfId="2291" xr:uid="{00000000-0005-0000-0000-000041030000}"/>
    <cellStyle name="Comma 10 4 11 3 2" xfId="3336" xr:uid="{00000000-0005-0000-0000-000042030000}"/>
    <cellStyle name="Comma 10 4 11 4" xfId="2823" xr:uid="{00000000-0005-0000-0000-000043030000}"/>
    <cellStyle name="Comma 10 4 12" xfId="616" xr:uid="{00000000-0005-0000-0000-000044030000}"/>
    <cellStyle name="Comma 10 4 12 2" xfId="617" xr:uid="{00000000-0005-0000-0000-000045030000}"/>
    <cellStyle name="Comma 10 4 12 2 2" xfId="2294" xr:uid="{00000000-0005-0000-0000-000046030000}"/>
    <cellStyle name="Comma 10 4 12 2 2 2" xfId="3339" xr:uid="{00000000-0005-0000-0000-000047030000}"/>
    <cellStyle name="Comma 10 4 12 2 3" xfId="2826" xr:uid="{00000000-0005-0000-0000-000048030000}"/>
    <cellStyle name="Comma 10 4 12 3" xfId="2293" xr:uid="{00000000-0005-0000-0000-000049030000}"/>
    <cellStyle name="Comma 10 4 12 3 2" xfId="3338" xr:uid="{00000000-0005-0000-0000-00004A030000}"/>
    <cellStyle name="Comma 10 4 12 4" xfId="2825" xr:uid="{00000000-0005-0000-0000-00004B030000}"/>
    <cellStyle name="Comma 10 4 13" xfId="618" xr:uid="{00000000-0005-0000-0000-00004C030000}"/>
    <cellStyle name="Comma 10 4 13 2" xfId="619" xr:uid="{00000000-0005-0000-0000-00004D030000}"/>
    <cellStyle name="Comma 10 4 13 2 2" xfId="2296" xr:uid="{00000000-0005-0000-0000-00004E030000}"/>
    <cellStyle name="Comma 10 4 13 2 2 2" xfId="3341" xr:uid="{00000000-0005-0000-0000-00004F030000}"/>
    <cellStyle name="Comma 10 4 13 2 3" xfId="2828" xr:uid="{00000000-0005-0000-0000-000050030000}"/>
    <cellStyle name="Comma 10 4 13 3" xfId="2295" xr:uid="{00000000-0005-0000-0000-000051030000}"/>
    <cellStyle name="Comma 10 4 13 3 2" xfId="3340" xr:uid="{00000000-0005-0000-0000-000052030000}"/>
    <cellStyle name="Comma 10 4 13 4" xfId="2827" xr:uid="{00000000-0005-0000-0000-000053030000}"/>
    <cellStyle name="Comma 10 4 14" xfId="620" xr:uid="{00000000-0005-0000-0000-000054030000}"/>
    <cellStyle name="Comma 10 4 14 2" xfId="621" xr:uid="{00000000-0005-0000-0000-000055030000}"/>
    <cellStyle name="Comma 10 4 14 2 2" xfId="2298" xr:uid="{00000000-0005-0000-0000-000056030000}"/>
    <cellStyle name="Comma 10 4 14 2 2 2" xfId="3343" xr:uid="{00000000-0005-0000-0000-000057030000}"/>
    <cellStyle name="Comma 10 4 14 2 3" xfId="2830" xr:uid="{00000000-0005-0000-0000-000058030000}"/>
    <cellStyle name="Comma 10 4 14 3" xfId="2297" xr:uid="{00000000-0005-0000-0000-000059030000}"/>
    <cellStyle name="Comma 10 4 14 3 2" xfId="3342" xr:uid="{00000000-0005-0000-0000-00005A030000}"/>
    <cellStyle name="Comma 10 4 14 4" xfId="2829" xr:uid="{00000000-0005-0000-0000-00005B030000}"/>
    <cellStyle name="Comma 10 4 15" xfId="622" xr:uid="{00000000-0005-0000-0000-00005C030000}"/>
    <cellStyle name="Comma 10 4 15 2" xfId="623" xr:uid="{00000000-0005-0000-0000-00005D030000}"/>
    <cellStyle name="Comma 10 4 15 2 2" xfId="2300" xr:uid="{00000000-0005-0000-0000-00005E030000}"/>
    <cellStyle name="Comma 10 4 15 2 2 2" xfId="3345" xr:uid="{00000000-0005-0000-0000-00005F030000}"/>
    <cellStyle name="Comma 10 4 15 2 3" xfId="2832" xr:uid="{00000000-0005-0000-0000-000060030000}"/>
    <cellStyle name="Comma 10 4 15 3" xfId="2299" xr:uid="{00000000-0005-0000-0000-000061030000}"/>
    <cellStyle name="Comma 10 4 15 3 2" xfId="3344" xr:uid="{00000000-0005-0000-0000-000062030000}"/>
    <cellStyle name="Comma 10 4 15 4" xfId="2831" xr:uid="{00000000-0005-0000-0000-000063030000}"/>
    <cellStyle name="Comma 10 4 16" xfId="624" xr:uid="{00000000-0005-0000-0000-000064030000}"/>
    <cellStyle name="Comma 10 4 16 2" xfId="625" xr:uid="{00000000-0005-0000-0000-000065030000}"/>
    <cellStyle name="Comma 10 4 16 2 2" xfId="2302" xr:uid="{00000000-0005-0000-0000-000066030000}"/>
    <cellStyle name="Comma 10 4 16 2 2 2" xfId="3347" xr:uid="{00000000-0005-0000-0000-000067030000}"/>
    <cellStyle name="Comma 10 4 16 2 3" xfId="2834" xr:uid="{00000000-0005-0000-0000-000068030000}"/>
    <cellStyle name="Comma 10 4 16 3" xfId="2301" xr:uid="{00000000-0005-0000-0000-000069030000}"/>
    <cellStyle name="Comma 10 4 16 3 2" xfId="3346" xr:uid="{00000000-0005-0000-0000-00006A030000}"/>
    <cellStyle name="Comma 10 4 16 4" xfId="2833" xr:uid="{00000000-0005-0000-0000-00006B030000}"/>
    <cellStyle name="Comma 10 4 17" xfId="626" xr:uid="{00000000-0005-0000-0000-00006C030000}"/>
    <cellStyle name="Comma 10 4 17 2" xfId="627" xr:uid="{00000000-0005-0000-0000-00006D030000}"/>
    <cellStyle name="Comma 10 4 17 2 2" xfId="2304" xr:uid="{00000000-0005-0000-0000-00006E030000}"/>
    <cellStyle name="Comma 10 4 17 2 2 2" xfId="3349" xr:uid="{00000000-0005-0000-0000-00006F030000}"/>
    <cellStyle name="Comma 10 4 17 2 3" xfId="2836" xr:uid="{00000000-0005-0000-0000-000070030000}"/>
    <cellStyle name="Comma 10 4 17 3" xfId="2303" xr:uid="{00000000-0005-0000-0000-000071030000}"/>
    <cellStyle name="Comma 10 4 17 3 2" xfId="3348" xr:uid="{00000000-0005-0000-0000-000072030000}"/>
    <cellStyle name="Comma 10 4 17 4" xfId="2835" xr:uid="{00000000-0005-0000-0000-000073030000}"/>
    <cellStyle name="Comma 10 4 18" xfId="628" xr:uid="{00000000-0005-0000-0000-000074030000}"/>
    <cellStyle name="Comma 10 4 18 2" xfId="2305" xr:uid="{00000000-0005-0000-0000-000075030000}"/>
    <cellStyle name="Comma 10 4 18 2 2" xfId="3350" xr:uid="{00000000-0005-0000-0000-000076030000}"/>
    <cellStyle name="Comma 10 4 18 3" xfId="2837" xr:uid="{00000000-0005-0000-0000-000077030000}"/>
    <cellStyle name="Comma 10 4 19" xfId="2288" xr:uid="{00000000-0005-0000-0000-000078030000}"/>
    <cellStyle name="Comma 10 4 19 2" xfId="3333" xr:uid="{00000000-0005-0000-0000-000079030000}"/>
    <cellStyle name="Comma 10 4 2" xfId="629" xr:uid="{00000000-0005-0000-0000-00007A030000}"/>
    <cellStyle name="Comma 10 4 2 2" xfId="630" xr:uid="{00000000-0005-0000-0000-00007B030000}"/>
    <cellStyle name="Comma 10 4 2 2 2" xfId="2307" xr:uid="{00000000-0005-0000-0000-00007C030000}"/>
    <cellStyle name="Comma 10 4 2 2 2 2" xfId="3352" xr:uid="{00000000-0005-0000-0000-00007D030000}"/>
    <cellStyle name="Comma 10 4 2 2 3" xfId="2839" xr:uid="{00000000-0005-0000-0000-00007E030000}"/>
    <cellStyle name="Comma 10 4 2 3" xfId="2306" xr:uid="{00000000-0005-0000-0000-00007F030000}"/>
    <cellStyle name="Comma 10 4 2 3 2" xfId="3351" xr:uid="{00000000-0005-0000-0000-000080030000}"/>
    <cellStyle name="Comma 10 4 2 4" xfId="2838" xr:uid="{00000000-0005-0000-0000-000081030000}"/>
    <cellStyle name="Comma 10 4 20" xfId="2820" xr:uid="{00000000-0005-0000-0000-000082030000}"/>
    <cellStyle name="Comma 10 4 3" xfId="631" xr:uid="{00000000-0005-0000-0000-000083030000}"/>
    <cellStyle name="Comma 10 4 3 2" xfId="632" xr:uid="{00000000-0005-0000-0000-000084030000}"/>
    <cellStyle name="Comma 10 4 3 2 2" xfId="2309" xr:uid="{00000000-0005-0000-0000-000085030000}"/>
    <cellStyle name="Comma 10 4 3 2 2 2" xfId="3354" xr:uid="{00000000-0005-0000-0000-000086030000}"/>
    <cellStyle name="Comma 10 4 3 2 3" xfId="2841" xr:uid="{00000000-0005-0000-0000-000087030000}"/>
    <cellStyle name="Comma 10 4 3 3" xfId="2308" xr:uid="{00000000-0005-0000-0000-000088030000}"/>
    <cellStyle name="Comma 10 4 3 3 2" xfId="3353" xr:uid="{00000000-0005-0000-0000-000089030000}"/>
    <cellStyle name="Comma 10 4 3 4" xfId="2840" xr:uid="{00000000-0005-0000-0000-00008A030000}"/>
    <cellStyle name="Comma 10 4 4" xfId="633" xr:uid="{00000000-0005-0000-0000-00008B030000}"/>
    <cellStyle name="Comma 10 4 4 2" xfId="634" xr:uid="{00000000-0005-0000-0000-00008C030000}"/>
    <cellStyle name="Comma 10 4 4 2 2" xfId="2311" xr:uid="{00000000-0005-0000-0000-00008D030000}"/>
    <cellStyle name="Comma 10 4 4 2 2 2" xfId="3356" xr:uid="{00000000-0005-0000-0000-00008E030000}"/>
    <cellStyle name="Comma 10 4 4 2 3" xfId="2843" xr:uid="{00000000-0005-0000-0000-00008F030000}"/>
    <cellStyle name="Comma 10 4 4 3" xfId="2310" xr:uid="{00000000-0005-0000-0000-000090030000}"/>
    <cellStyle name="Comma 10 4 4 3 2" xfId="3355" xr:uid="{00000000-0005-0000-0000-000091030000}"/>
    <cellStyle name="Comma 10 4 4 4" xfId="2842" xr:uid="{00000000-0005-0000-0000-000092030000}"/>
    <cellStyle name="Comma 10 4 5" xfId="635" xr:uid="{00000000-0005-0000-0000-000093030000}"/>
    <cellStyle name="Comma 10 4 5 2" xfId="636" xr:uid="{00000000-0005-0000-0000-000094030000}"/>
    <cellStyle name="Comma 10 4 5 2 2" xfId="2313" xr:uid="{00000000-0005-0000-0000-000095030000}"/>
    <cellStyle name="Comma 10 4 5 2 2 2" xfId="3358" xr:uid="{00000000-0005-0000-0000-000096030000}"/>
    <cellStyle name="Comma 10 4 5 2 3" xfId="2845" xr:uid="{00000000-0005-0000-0000-000097030000}"/>
    <cellStyle name="Comma 10 4 5 3" xfId="2312" xr:uid="{00000000-0005-0000-0000-000098030000}"/>
    <cellStyle name="Comma 10 4 5 3 2" xfId="3357" xr:uid="{00000000-0005-0000-0000-000099030000}"/>
    <cellStyle name="Comma 10 4 5 4" xfId="2844" xr:uid="{00000000-0005-0000-0000-00009A030000}"/>
    <cellStyle name="Comma 10 4 6" xfId="637" xr:uid="{00000000-0005-0000-0000-00009B030000}"/>
    <cellStyle name="Comma 10 4 6 2" xfId="638" xr:uid="{00000000-0005-0000-0000-00009C030000}"/>
    <cellStyle name="Comma 10 4 6 2 2" xfId="2315" xr:uid="{00000000-0005-0000-0000-00009D030000}"/>
    <cellStyle name="Comma 10 4 6 2 2 2" xfId="3360" xr:uid="{00000000-0005-0000-0000-00009E030000}"/>
    <cellStyle name="Comma 10 4 6 2 3" xfId="2847" xr:uid="{00000000-0005-0000-0000-00009F030000}"/>
    <cellStyle name="Comma 10 4 6 3" xfId="2314" xr:uid="{00000000-0005-0000-0000-0000A0030000}"/>
    <cellStyle name="Comma 10 4 6 3 2" xfId="3359" xr:uid="{00000000-0005-0000-0000-0000A1030000}"/>
    <cellStyle name="Comma 10 4 6 4" xfId="2846" xr:uid="{00000000-0005-0000-0000-0000A2030000}"/>
    <cellStyle name="Comma 10 4 7" xfId="639" xr:uid="{00000000-0005-0000-0000-0000A3030000}"/>
    <cellStyle name="Comma 10 4 7 2" xfId="640" xr:uid="{00000000-0005-0000-0000-0000A4030000}"/>
    <cellStyle name="Comma 10 4 7 2 2" xfId="2317" xr:uid="{00000000-0005-0000-0000-0000A5030000}"/>
    <cellStyle name="Comma 10 4 7 2 2 2" xfId="3362" xr:uid="{00000000-0005-0000-0000-0000A6030000}"/>
    <cellStyle name="Comma 10 4 7 2 3" xfId="2849" xr:uid="{00000000-0005-0000-0000-0000A7030000}"/>
    <cellStyle name="Comma 10 4 7 3" xfId="2316" xr:uid="{00000000-0005-0000-0000-0000A8030000}"/>
    <cellStyle name="Comma 10 4 7 3 2" xfId="3361" xr:uid="{00000000-0005-0000-0000-0000A9030000}"/>
    <cellStyle name="Comma 10 4 7 4" xfId="2848" xr:uid="{00000000-0005-0000-0000-0000AA030000}"/>
    <cellStyle name="Comma 10 4 8" xfId="641" xr:uid="{00000000-0005-0000-0000-0000AB030000}"/>
    <cellStyle name="Comma 10 4 8 2" xfId="642" xr:uid="{00000000-0005-0000-0000-0000AC030000}"/>
    <cellStyle name="Comma 10 4 8 2 2" xfId="2319" xr:uid="{00000000-0005-0000-0000-0000AD030000}"/>
    <cellStyle name="Comma 10 4 8 2 2 2" xfId="3364" xr:uid="{00000000-0005-0000-0000-0000AE030000}"/>
    <cellStyle name="Comma 10 4 8 2 3" xfId="2851" xr:uid="{00000000-0005-0000-0000-0000AF030000}"/>
    <cellStyle name="Comma 10 4 8 3" xfId="2318" xr:uid="{00000000-0005-0000-0000-0000B0030000}"/>
    <cellStyle name="Comma 10 4 8 3 2" xfId="3363" xr:uid="{00000000-0005-0000-0000-0000B1030000}"/>
    <cellStyle name="Comma 10 4 8 4" xfId="2850" xr:uid="{00000000-0005-0000-0000-0000B2030000}"/>
    <cellStyle name="Comma 10 4 9" xfId="643" xr:uid="{00000000-0005-0000-0000-0000B3030000}"/>
    <cellStyle name="Comma 10 4 9 2" xfId="644" xr:uid="{00000000-0005-0000-0000-0000B4030000}"/>
    <cellStyle name="Comma 10 4 9 2 2" xfId="2321" xr:uid="{00000000-0005-0000-0000-0000B5030000}"/>
    <cellStyle name="Comma 10 4 9 2 2 2" xfId="3366" xr:uid="{00000000-0005-0000-0000-0000B6030000}"/>
    <cellStyle name="Comma 10 4 9 2 3" xfId="2853" xr:uid="{00000000-0005-0000-0000-0000B7030000}"/>
    <cellStyle name="Comma 10 4 9 3" xfId="2320" xr:uid="{00000000-0005-0000-0000-0000B8030000}"/>
    <cellStyle name="Comma 10 4 9 3 2" xfId="3365" xr:uid="{00000000-0005-0000-0000-0000B9030000}"/>
    <cellStyle name="Comma 10 4 9 4" xfId="2852" xr:uid="{00000000-0005-0000-0000-0000BA030000}"/>
    <cellStyle name="Comma 10 5" xfId="645" xr:uid="{00000000-0005-0000-0000-0000BB030000}"/>
    <cellStyle name="Comma 10 5 10" xfId="646" xr:uid="{00000000-0005-0000-0000-0000BC030000}"/>
    <cellStyle name="Comma 10 5 10 2" xfId="647" xr:uid="{00000000-0005-0000-0000-0000BD030000}"/>
    <cellStyle name="Comma 10 5 10 2 2" xfId="2324" xr:uid="{00000000-0005-0000-0000-0000BE030000}"/>
    <cellStyle name="Comma 10 5 10 2 2 2" xfId="3369" xr:uid="{00000000-0005-0000-0000-0000BF030000}"/>
    <cellStyle name="Comma 10 5 10 2 3" xfId="2856" xr:uid="{00000000-0005-0000-0000-0000C0030000}"/>
    <cellStyle name="Comma 10 5 10 3" xfId="2323" xr:uid="{00000000-0005-0000-0000-0000C1030000}"/>
    <cellStyle name="Comma 10 5 10 3 2" xfId="3368" xr:uid="{00000000-0005-0000-0000-0000C2030000}"/>
    <cellStyle name="Comma 10 5 10 4" xfId="2855" xr:uid="{00000000-0005-0000-0000-0000C3030000}"/>
    <cellStyle name="Comma 10 5 11" xfId="648" xr:uid="{00000000-0005-0000-0000-0000C4030000}"/>
    <cellStyle name="Comma 10 5 11 2" xfId="649" xr:uid="{00000000-0005-0000-0000-0000C5030000}"/>
    <cellStyle name="Comma 10 5 11 2 2" xfId="2326" xr:uid="{00000000-0005-0000-0000-0000C6030000}"/>
    <cellStyle name="Comma 10 5 11 2 2 2" xfId="3371" xr:uid="{00000000-0005-0000-0000-0000C7030000}"/>
    <cellStyle name="Comma 10 5 11 2 3" xfId="2858" xr:uid="{00000000-0005-0000-0000-0000C8030000}"/>
    <cellStyle name="Comma 10 5 11 3" xfId="2325" xr:uid="{00000000-0005-0000-0000-0000C9030000}"/>
    <cellStyle name="Comma 10 5 11 3 2" xfId="3370" xr:uid="{00000000-0005-0000-0000-0000CA030000}"/>
    <cellStyle name="Comma 10 5 11 4" xfId="2857" xr:uid="{00000000-0005-0000-0000-0000CB030000}"/>
    <cellStyle name="Comma 10 5 12" xfId="650" xr:uid="{00000000-0005-0000-0000-0000CC030000}"/>
    <cellStyle name="Comma 10 5 12 2" xfId="651" xr:uid="{00000000-0005-0000-0000-0000CD030000}"/>
    <cellStyle name="Comma 10 5 12 2 2" xfId="2328" xr:uid="{00000000-0005-0000-0000-0000CE030000}"/>
    <cellStyle name="Comma 10 5 12 2 2 2" xfId="3373" xr:uid="{00000000-0005-0000-0000-0000CF030000}"/>
    <cellStyle name="Comma 10 5 12 2 3" xfId="2860" xr:uid="{00000000-0005-0000-0000-0000D0030000}"/>
    <cellStyle name="Comma 10 5 12 3" xfId="2327" xr:uid="{00000000-0005-0000-0000-0000D1030000}"/>
    <cellStyle name="Comma 10 5 12 3 2" xfId="3372" xr:uid="{00000000-0005-0000-0000-0000D2030000}"/>
    <cellStyle name="Comma 10 5 12 4" xfId="2859" xr:uid="{00000000-0005-0000-0000-0000D3030000}"/>
    <cellStyle name="Comma 10 5 13" xfId="652" xr:uid="{00000000-0005-0000-0000-0000D4030000}"/>
    <cellStyle name="Comma 10 5 13 2" xfId="653" xr:uid="{00000000-0005-0000-0000-0000D5030000}"/>
    <cellStyle name="Comma 10 5 13 2 2" xfId="2330" xr:uid="{00000000-0005-0000-0000-0000D6030000}"/>
    <cellStyle name="Comma 10 5 13 2 2 2" xfId="3375" xr:uid="{00000000-0005-0000-0000-0000D7030000}"/>
    <cellStyle name="Comma 10 5 13 2 3" xfId="2862" xr:uid="{00000000-0005-0000-0000-0000D8030000}"/>
    <cellStyle name="Comma 10 5 13 3" xfId="2329" xr:uid="{00000000-0005-0000-0000-0000D9030000}"/>
    <cellStyle name="Comma 10 5 13 3 2" xfId="3374" xr:uid="{00000000-0005-0000-0000-0000DA030000}"/>
    <cellStyle name="Comma 10 5 13 4" xfId="2861" xr:uid="{00000000-0005-0000-0000-0000DB030000}"/>
    <cellStyle name="Comma 10 5 14" xfId="654" xr:uid="{00000000-0005-0000-0000-0000DC030000}"/>
    <cellStyle name="Comma 10 5 14 2" xfId="655" xr:uid="{00000000-0005-0000-0000-0000DD030000}"/>
    <cellStyle name="Comma 10 5 14 2 2" xfId="2332" xr:uid="{00000000-0005-0000-0000-0000DE030000}"/>
    <cellStyle name="Comma 10 5 14 2 2 2" xfId="3377" xr:uid="{00000000-0005-0000-0000-0000DF030000}"/>
    <cellStyle name="Comma 10 5 14 2 3" xfId="2864" xr:uid="{00000000-0005-0000-0000-0000E0030000}"/>
    <cellStyle name="Comma 10 5 14 3" xfId="2331" xr:uid="{00000000-0005-0000-0000-0000E1030000}"/>
    <cellStyle name="Comma 10 5 14 3 2" xfId="3376" xr:uid="{00000000-0005-0000-0000-0000E2030000}"/>
    <cellStyle name="Comma 10 5 14 4" xfId="2863" xr:uid="{00000000-0005-0000-0000-0000E3030000}"/>
    <cellStyle name="Comma 10 5 15" xfId="656" xr:uid="{00000000-0005-0000-0000-0000E4030000}"/>
    <cellStyle name="Comma 10 5 15 2" xfId="657" xr:uid="{00000000-0005-0000-0000-0000E5030000}"/>
    <cellStyle name="Comma 10 5 15 2 2" xfId="2334" xr:uid="{00000000-0005-0000-0000-0000E6030000}"/>
    <cellStyle name="Comma 10 5 15 2 2 2" xfId="3379" xr:uid="{00000000-0005-0000-0000-0000E7030000}"/>
    <cellStyle name="Comma 10 5 15 2 3" xfId="2866" xr:uid="{00000000-0005-0000-0000-0000E8030000}"/>
    <cellStyle name="Comma 10 5 15 3" xfId="2333" xr:uid="{00000000-0005-0000-0000-0000E9030000}"/>
    <cellStyle name="Comma 10 5 15 3 2" xfId="3378" xr:uid="{00000000-0005-0000-0000-0000EA030000}"/>
    <cellStyle name="Comma 10 5 15 4" xfId="2865" xr:uid="{00000000-0005-0000-0000-0000EB030000}"/>
    <cellStyle name="Comma 10 5 16" xfId="658" xr:uid="{00000000-0005-0000-0000-0000EC030000}"/>
    <cellStyle name="Comma 10 5 16 2" xfId="659" xr:uid="{00000000-0005-0000-0000-0000ED030000}"/>
    <cellStyle name="Comma 10 5 16 2 2" xfId="2336" xr:uid="{00000000-0005-0000-0000-0000EE030000}"/>
    <cellStyle name="Comma 10 5 16 2 2 2" xfId="3381" xr:uid="{00000000-0005-0000-0000-0000EF030000}"/>
    <cellStyle name="Comma 10 5 16 2 3" xfId="2868" xr:uid="{00000000-0005-0000-0000-0000F0030000}"/>
    <cellStyle name="Comma 10 5 16 3" xfId="2335" xr:uid="{00000000-0005-0000-0000-0000F1030000}"/>
    <cellStyle name="Comma 10 5 16 3 2" xfId="3380" xr:uid="{00000000-0005-0000-0000-0000F2030000}"/>
    <cellStyle name="Comma 10 5 16 4" xfId="2867" xr:uid="{00000000-0005-0000-0000-0000F3030000}"/>
    <cellStyle name="Comma 10 5 17" xfId="660" xr:uid="{00000000-0005-0000-0000-0000F4030000}"/>
    <cellStyle name="Comma 10 5 17 2" xfId="661" xr:uid="{00000000-0005-0000-0000-0000F5030000}"/>
    <cellStyle name="Comma 10 5 17 2 2" xfId="2338" xr:uid="{00000000-0005-0000-0000-0000F6030000}"/>
    <cellStyle name="Comma 10 5 17 2 2 2" xfId="3383" xr:uid="{00000000-0005-0000-0000-0000F7030000}"/>
    <cellStyle name="Comma 10 5 17 2 3" xfId="2870" xr:uid="{00000000-0005-0000-0000-0000F8030000}"/>
    <cellStyle name="Comma 10 5 17 3" xfId="2337" xr:uid="{00000000-0005-0000-0000-0000F9030000}"/>
    <cellStyle name="Comma 10 5 17 3 2" xfId="3382" xr:uid="{00000000-0005-0000-0000-0000FA030000}"/>
    <cellStyle name="Comma 10 5 17 4" xfId="2869" xr:uid="{00000000-0005-0000-0000-0000FB030000}"/>
    <cellStyle name="Comma 10 5 18" xfId="662" xr:uid="{00000000-0005-0000-0000-0000FC030000}"/>
    <cellStyle name="Comma 10 5 18 2" xfId="2339" xr:uid="{00000000-0005-0000-0000-0000FD030000}"/>
    <cellStyle name="Comma 10 5 18 2 2" xfId="3384" xr:uid="{00000000-0005-0000-0000-0000FE030000}"/>
    <cellStyle name="Comma 10 5 18 3" xfId="2871" xr:uid="{00000000-0005-0000-0000-0000FF030000}"/>
    <cellStyle name="Comma 10 5 19" xfId="2322" xr:uid="{00000000-0005-0000-0000-000000040000}"/>
    <cellStyle name="Comma 10 5 19 2" xfId="3367" xr:uid="{00000000-0005-0000-0000-000001040000}"/>
    <cellStyle name="Comma 10 5 2" xfId="663" xr:uid="{00000000-0005-0000-0000-000002040000}"/>
    <cellStyle name="Comma 10 5 2 2" xfId="664" xr:uid="{00000000-0005-0000-0000-000003040000}"/>
    <cellStyle name="Comma 10 5 2 2 2" xfId="2341" xr:uid="{00000000-0005-0000-0000-000004040000}"/>
    <cellStyle name="Comma 10 5 2 2 2 2" xfId="3386" xr:uid="{00000000-0005-0000-0000-000005040000}"/>
    <cellStyle name="Comma 10 5 2 2 3" xfId="2873" xr:uid="{00000000-0005-0000-0000-000006040000}"/>
    <cellStyle name="Comma 10 5 2 3" xfId="2340" xr:uid="{00000000-0005-0000-0000-000007040000}"/>
    <cellStyle name="Comma 10 5 2 3 2" xfId="3385" xr:uid="{00000000-0005-0000-0000-000008040000}"/>
    <cellStyle name="Comma 10 5 2 4" xfId="2872" xr:uid="{00000000-0005-0000-0000-000009040000}"/>
    <cellStyle name="Comma 10 5 20" xfId="2854" xr:uid="{00000000-0005-0000-0000-00000A040000}"/>
    <cellStyle name="Comma 10 5 3" xfId="665" xr:uid="{00000000-0005-0000-0000-00000B040000}"/>
    <cellStyle name="Comma 10 5 3 2" xfId="666" xr:uid="{00000000-0005-0000-0000-00000C040000}"/>
    <cellStyle name="Comma 10 5 3 2 2" xfId="2343" xr:uid="{00000000-0005-0000-0000-00000D040000}"/>
    <cellStyle name="Comma 10 5 3 2 2 2" xfId="3388" xr:uid="{00000000-0005-0000-0000-00000E040000}"/>
    <cellStyle name="Comma 10 5 3 2 3" xfId="2875" xr:uid="{00000000-0005-0000-0000-00000F040000}"/>
    <cellStyle name="Comma 10 5 3 3" xfId="2342" xr:uid="{00000000-0005-0000-0000-000010040000}"/>
    <cellStyle name="Comma 10 5 3 3 2" xfId="3387" xr:uid="{00000000-0005-0000-0000-000011040000}"/>
    <cellStyle name="Comma 10 5 3 4" xfId="2874" xr:uid="{00000000-0005-0000-0000-000012040000}"/>
    <cellStyle name="Comma 10 5 4" xfId="667" xr:uid="{00000000-0005-0000-0000-000013040000}"/>
    <cellStyle name="Comma 10 5 4 2" xfId="668" xr:uid="{00000000-0005-0000-0000-000014040000}"/>
    <cellStyle name="Comma 10 5 4 2 2" xfId="2345" xr:uid="{00000000-0005-0000-0000-000015040000}"/>
    <cellStyle name="Comma 10 5 4 2 2 2" xfId="3390" xr:uid="{00000000-0005-0000-0000-000016040000}"/>
    <cellStyle name="Comma 10 5 4 2 3" xfId="2877" xr:uid="{00000000-0005-0000-0000-000017040000}"/>
    <cellStyle name="Comma 10 5 4 3" xfId="2344" xr:uid="{00000000-0005-0000-0000-000018040000}"/>
    <cellStyle name="Comma 10 5 4 3 2" xfId="3389" xr:uid="{00000000-0005-0000-0000-000019040000}"/>
    <cellStyle name="Comma 10 5 4 4" xfId="2876" xr:uid="{00000000-0005-0000-0000-00001A040000}"/>
    <cellStyle name="Comma 10 5 5" xfId="669" xr:uid="{00000000-0005-0000-0000-00001B040000}"/>
    <cellStyle name="Comma 10 5 5 2" xfId="670" xr:uid="{00000000-0005-0000-0000-00001C040000}"/>
    <cellStyle name="Comma 10 5 5 2 2" xfId="2347" xr:uid="{00000000-0005-0000-0000-00001D040000}"/>
    <cellStyle name="Comma 10 5 5 2 2 2" xfId="3392" xr:uid="{00000000-0005-0000-0000-00001E040000}"/>
    <cellStyle name="Comma 10 5 5 2 3" xfId="2879" xr:uid="{00000000-0005-0000-0000-00001F040000}"/>
    <cellStyle name="Comma 10 5 5 3" xfId="2346" xr:uid="{00000000-0005-0000-0000-000020040000}"/>
    <cellStyle name="Comma 10 5 5 3 2" xfId="3391" xr:uid="{00000000-0005-0000-0000-000021040000}"/>
    <cellStyle name="Comma 10 5 5 4" xfId="2878" xr:uid="{00000000-0005-0000-0000-000022040000}"/>
    <cellStyle name="Comma 10 5 6" xfId="671" xr:uid="{00000000-0005-0000-0000-000023040000}"/>
    <cellStyle name="Comma 10 5 6 2" xfId="672" xr:uid="{00000000-0005-0000-0000-000024040000}"/>
    <cellStyle name="Comma 10 5 6 2 2" xfId="2349" xr:uid="{00000000-0005-0000-0000-000025040000}"/>
    <cellStyle name="Comma 10 5 6 2 2 2" xfId="3394" xr:uid="{00000000-0005-0000-0000-000026040000}"/>
    <cellStyle name="Comma 10 5 6 2 3" xfId="2881" xr:uid="{00000000-0005-0000-0000-000027040000}"/>
    <cellStyle name="Comma 10 5 6 3" xfId="2348" xr:uid="{00000000-0005-0000-0000-000028040000}"/>
    <cellStyle name="Comma 10 5 6 3 2" xfId="3393" xr:uid="{00000000-0005-0000-0000-000029040000}"/>
    <cellStyle name="Comma 10 5 6 4" xfId="2880" xr:uid="{00000000-0005-0000-0000-00002A040000}"/>
    <cellStyle name="Comma 10 5 7" xfId="673" xr:uid="{00000000-0005-0000-0000-00002B040000}"/>
    <cellStyle name="Comma 10 5 7 2" xfId="674" xr:uid="{00000000-0005-0000-0000-00002C040000}"/>
    <cellStyle name="Comma 10 5 7 2 2" xfId="2351" xr:uid="{00000000-0005-0000-0000-00002D040000}"/>
    <cellStyle name="Comma 10 5 7 2 2 2" xfId="3396" xr:uid="{00000000-0005-0000-0000-00002E040000}"/>
    <cellStyle name="Comma 10 5 7 2 3" xfId="2883" xr:uid="{00000000-0005-0000-0000-00002F040000}"/>
    <cellStyle name="Comma 10 5 7 3" xfId="2350" xr:uid="{00000000-0005-0000-0000-000030040000}"/>
    <cellStyle name="Comma 10 5 7 3 2" xfId="3395" xr:uid="{00000000-0005-0000-0000-000031040000}"/>
    <cellStyle name="Comma 10 5 7 4" xfId="2882" xr:uid="{00000000-0005-0000-0000-000032040000}"/>
    <cellStyle name="Comma 10 5 8" xfId="675" xr:uid="{00000000-0005-0000-0000-000033040000}"/>
    <cellStyle name="Comma 10 5 8 2" xfId="676" xr:uid="{00000000-0005-0000-0000-000034040000}"/>
    <cellStyle name="Comma 10 5 8 2 2" xfId="2353" xr:uid="{00000000-0005-0000-0000-000035040000}"/>
    <cellStyle name="Comma 10 5 8 2 2 2" xfId="3398" xr:uid="{00000000-0005-0000-0000-000036040000}"/>
    <cellStyle name="Comma 10 5 8 2 3" xfId="2885" xr:uid="{00000000-0005-0000-0000-000037040000}"/>
    <cellStyle name="Comma 10 5 8 3" xfId="2352" xr:uid="{00000000-0005-0000-0000-000038040000}"/>
    <cellStyle name="Comma 10 5 8 3 2" xfId="3397" xr:uid="{00000000-0005-0000-0000-000039040000}"/>
    <cellStyle name="Comma 10 5 8 4" xfId="2884" xr:uid="{00000000-0005-0000-0000-00003A040000}"/>
    <cellStyle name="Comma 10 5 9" xfId="677" xr:uid="{00000000-0005-0000-0000-00003B040000}"/>
    <cellStyle name="Comma 10 5 9 2" xfId="678" xr:uid="{00000000-0005-0000-0000-00003C040000}"/>
    <cellStyle name="Comma 10 5 9 2 2" xfId="2355" xr:uid="{00000000-0005-0000-0000-00003D040000}"/>
    <cellStyle name="Comma 10 5 9 2 2 2" xfId="3400" xr:uid="{00000000-0005-0000-0000-00003E040000}"/>
    <cellStyle name="Comma 10 5 9 2 3" xfId="2887" xr:uid="{00000000-0005-0000-0000-00003F040000}"/>
    <cellStyle name="Comma 10 5 9 3" xfId="2354" xr:uid="{00000000-0005-0000-0000-000040040000}"/>
    <cellStyle name="Comma 10 5 9 3 2" xfId="3399" xr:uid="{00000000-0005-0000-0000-000041040000}"/>
    <cellStyle name="Comma 10 5 9 4" xfId="2886" xr:uid="{00000000-0005-0000-0000-000042040000}"/>
    <cellStyle name="Comma 10 6" xfId="679" xr:uid="{00000000-0005-0000-0000-000043040000}"/>
    <cellStyle name="Comma 10 6 10" xfId="680" xr:uid="{00000000-0005-0000-0000-000044040000}"/>
    <cellStyle name="Comma 10 6 10 2" xfId="681" xr:uid="{00000000-0005-0000-0000-000045040000}"/>
    <cellStyle name="Comma 10 6 10 2 2" xfId="2358" xr:uid="{00000000-0005-0000-0000-000046040000}"/>
    <cellStyle name="Comma 10 6 10 2 2 2" xfId="3403" xr:uid="{00000000-0005-0000-0000-000047040000}"/>
    <cellStyle name="Comma 10 6 10 2 3" xfId="2890" xr:uid="{00000000-0005-0000-0000-000048040000}"/>
    <cellStyle name="Comma 10 6 10 3" xfId="2357" xr:uid="{00000000-0005-0000-0000-000049040000}"/>
    <cellStyle name="Comma 10 6 10 3 2" xfId="3402" xr:uid="{00000000-0005-0000-0000-00004A040000}"/>
    <cellStyle name="Comma 10 6 10 4" xfId="2889" xr:uid="{00000000-0005-0000-0000-00004B040000}"/>
    <cellStyle name="Comma 10 6 11" xfId="682" xr:uid="{00000000-0005-0000-0000-00004C040000}"/>
    <cellStyle name="Comma 10 6 11 2" xfId="683" xr:uid="{00000000-0005-0000-0000-00004D040000}"/>
    <cellStyle name="Comma 10 6 11 2 2" xfId="2360" xr:uid="{00000000-0005-0000-0000-00004E040000}"/>
    <cellStyle name="Comma 10 6 11 2 2 2" xfId="3405" xr:uid="{00000000-0005-0000-0000-00004F040000}"/>
    <cellStyle name="Comma 10 6 11 2 3" xfId="2892" xr:uid="{00000000-0005-0000-0000-000050040000}"/>
    <cellStyle name="Comma 10 6 11 3" xfId="2359" xr:uid="{00000000-0005-0000-0000-000051040000}"/>
    <cellStyle name="Comma 10 6 11 3 2" xfId="3404" xr:uid="{00000000-0005-0000-0000-000052040000}"/>
    <cellStyle name="Comma 10 6 11 4" xfId="2891" xr:uid="{00000000-0005-0000-0000-000053040000}"/>
    <cellStyle name="Comma 10 6 12" xfId="684" xr:uid="{00000000-0005-0000-0000-000054040000}"/>
    <cellStyle name="Comma 10 6 12 2" xfId="685" xr:uid="{00000000-0005-0000-0000-000055040000}"/>
    <cellStyle name="Comma 10 6 12 2 2" xfId="2362" xr:uid="{00000000-0005-0000-0000-000056040000}"/>
    <cellStyle name="Comma 10 6 12 2 2 2" xfId="3407" xr:uid="{00000000-0005-0000-0000-000057040000}"/>
    <cellStyle name="Comma 10 6 12 2 3" xfId="2894" xr:uid="{00000000-0005-0000-0000-000058040000}"/>
    <cellStyle name="Comma 10 6 12 3" xfId="2361" xr:uid="{00000000-0005-0000-0000-000059040000}"/>
    <cellStyle name="Comma 10 6 12 3 2" xfId="3406" xr:uid="{00000000-0005-0000-0000-00005A040000}"/>
    <cellStyle name="Comma 10 6 12 4" xfId="2893" xr:uid="{00000000-0005-0000-0000-00005B040000}"/>
    <cellStyle name="Comma 10 6 13" xfId="686" xr:uid="{00000000-0005-0000-0000-00005C040000}"/>
    <cellStyle name="Comma 10 6 13 2" xfId="687" xr:uid="{00000000-0005-0000-0000-00005D040000}"/>
    <cellStyle name="Comma 10 6 13 2 2" xfId="2364" xr:uid="{00000000-0005-0000-0000-00005E040000}"/>
    <cellStyle name="Comma 10 6 13 2 2 2" xfId="3409" xr:uid="{00000000-0005-0000-0000-00005F040000}"/>
    <cellStyle name="Comma 10 6 13 2 3" xfId="2896" xr:uid="{00000000-0005-0000-0000-000060040000}"/>
    <cellStyle name="Comma 10 6 13 3" xfId="2363" xr:uid="{00000000-0005-0000-0000-000061040000}"/>
    <cellStyle name="Comma 10 6 13 3 2" xfId="3408" xr:uid="{00000000-0005-0000-0000-000062040000}"/>
    <cellStyle name="Comma 10 6 13 4" xfId="2895" xr:uid="{00000000-0005-0000-0000-000063040000}"/>
    <cellStyle name="Comma 10 6 14" xfId="688" xr:uid="{00000000-0005-0000-0000-000064040000}"/>
    <cellStyle name="Comma 10 6 14 2" xfId="689" xr:uid="{00000000-0005-0000-0000-000065040000}"/>
    <cellStyle name="Comma 10 6 14 2 2" xfId="2366" xr:uid="{00000000-0005-0000-0000-000066040000}"/>
    <cellStyle name="Comma 10 6 14 2 2 2" xfId="3411" xr:uid="{00000000-0005-0000-0000-000067040000}"/>
    <cellStyle name="Comma 10 6 14 2 3" xfId="2898" xr:uid="{00000000-0005-0000-0000-000068040000}"/>
    <cellStyle name="Comma 10 6 14 3" xfId="2365" xr:uid="{00000000-0005-0000-0000-000069040000}"/>
    <cellStyle name="Comma 10 6 14 3 2" xfId="3410" xr:uid="{00000000-0005-0000-0000-00006A040000}"/>
    <cellStyle name="Comma 10 6 14 4" xfId="2897" xr:uid="{00000000-0005-0000-0000-00006B040000}"/>
    <cellStyle name="Comma 10 6 15" xfId="690" xr:uid="{00000000-0005-0000-0000-00006C040000}"/>
    <cellStyle name="Comma 10 6 15 2" xfId="691" xr:uid="{00000000-0005-0000-0000-00006D040000}"/>
    <cellStyle name="Comma 10 6 15 2 2" xfId="2368" xr:uid="{00000000-0005-0000-0000-00006E040000}"/>
    <cellStyle name="Comma 10 6 15 2 2 2" xfId="3413" xr:uid="{00000000-0005-0000-0000-00006F040000}"/>
    <cellStyle name="Comma 10 6 15 2 3" xfId="2900" xr:uid="{00000000-0005-0000-0000-000070040000}"/>
    <cellStyle name="Comma 10 6 15 3" xfId="2367" xr:uid="{00000000-0005-0000-0000-000071040000}"/>
    <cellStyle name="Comma 10 6 15 3 2" xfId="3412" xr:uid="{00000000-0005-0000-0000-000072040000}"/>
    <cellStyle name="Comma 10 6 15 4" xfId="2899" xr:uid="{00000000-0005-0000-0000-000073040000}"/>
    <cellStyle name="Comma 10 6 16" xfId="692" xr:uid="{00000000-0005-0000-0000-000074040000}"/>
    <cellStyle name="Comma 10 6 16 2" xfId="693" xr:uid="{00000000-0005-0000-0000-000075040000}"/>
    <cellStyle name="Comma 10 6 16 2 2" xfId="2370" xr:uid="{00000000-0005-0000-0000-000076040000}"/>
    <cellStyle name="Comma 10 6 16 2 2 2" xfId="3415" xr:uid="{00000000-0005-0000-0000-000077040000}"/>
    <cellStyle name="Comma 10 6 16 2 3" xfId="2902" xr:uid="{00000000-0005-0000-0000-000078040000}"/>
    <cellStyle name="Comma 10 6 16 3" xfId="2369" xr:uid="{00000000-0005-0000-0000-000079040000}"/>
    <cellStyle name="Comma 10 6 16 3 2" xfId="3414" xr:uid="{00000000-0005-0000-0000-00007A040000}"/>
    <cellStyle name="Comma 10 6 16 4" xfId="2901" xr:uid="{00000000-0005-0000-0000-00007B040000}"/>
    <cellStyle name="Comma 10 6 17" xfId="694" xr:uid="{00000000-0005-0000-0000-00007C040000}"/>
    <cellStyle name="Comma 10 6 17 2" xfId="695" xr:uid="{00000000-0005-0000-0000-00007D040000}"/>
    <cellStyle name="Comma 10 6 17 2 2" xfId="2372" xr:uid="{00000000-0005-0000-0000-00007E040000}"/>
    <cellStyle name="Comma 10 6 17 2 2 2" xfId="3417" xr:uid="{00000000-0005-0000-0000-00007F040000}"/>
    <cellStyle name="Comma 10 6 17 2 3" xfId="2904" xr:uid="{00000000-0005-0000-0000-000080040000}"/>
    <cellStyle name="Comma 10 6 17 3" xfId="2371" xr:uid="{00000000-0005-0000-0000-000081040000}"/>
    <cellStyle name="Comma 10 6 17 3 2" xfId="3416" xr:uid="{00000000-0005-0000-0000-000082040000}"/>
    <cellStyle name="Comma 10 6 17 4" xfId="2903" xr:uid="{00000000-0005-0000-0000-000083040000}"/>
    <cellStyle name="Comma 10 6 18" xfId="696" xr:uid="{00000000-0005-0000-0000-000084040000}"/>
    <cellStyle name="Comma 10 6 18 2" xfId="2373" xr:uid="{00000000-0005-0000-0000-000085040000}"/>
    <cellStyle name="Comma 10 6 18 2 2" xfId="3418" xr:uid="{00000000-0005-0000-0000-000086040000}"/>
    <cellStyle name="Comma 10 6 18 3" xfId="2905" xr:uid="{00000000-0005-0000-0000-000087040000}"/>
    <cellStyle name="Comma 10 6 19" xfId="2356" xr:uid="{00000000-0005-0000-0000-000088040000}"/>
    <cellStyle name="Comma 10 6 19 2" xfId="3401" xr:uid="{00000000-0005-0000-0000-000089040000}"/>
    <cellStyle name="Comma 10 6 2" xfId="697" xr:uid="{00000000-0005-0000-0000-00008A040000}"/>
    <cellStyle name="Comma 10 6 2 2" xfId="698" xr:uid="{00000000-0005-0000-0000-00008B040000}"/>
    <cellStyle name="Comma 10 6 2 2 2" xfId="2375" xr:uid="{00000000-0005-0000-0000-00008C040000}"/>
    <cellStyle name="Comma 10 6 2 2 2 2" xfId="3420" xr:uid="{00000000-0005-0000-0000-00008D040000}"/>
    <cellStyle name="Comma 10 6 2 2 3" xfId="2907" xr:uid="{00000000-0005-0000-0000-00008E040000}"/>
    <cellStyle name="Comma 10 6 2 3" xfId="2374" xr:uid="{00000000-0005-0000-0000-00008F040000}"/>
    <cellStyle name="Comma 10 6 2 3 2" xfId="3419" xr:uid="{00000000-0005-0000-0000-000090040000}"/>
    <cellStyle name="Comma 10 6 2 4" xfId="2906" xr:uid="{00000000-0005-0000-0000-000091040000}"/>
    <cellStyle name="Comma 10 6 20" xfId="2888" xr:uid="{00000000-0005-0000-0000-000092040000}"/>
    <cellStyle name="Comma 10 6 3" xfId="699" xr:uid="{00000000-0005-0000-0000-000093040000}"/>
    <cellStyle name="Comma 10 6 3 2" xfId="700" xr:uid="{00000000-0005-0000-0000-000094040000}"/>
    <cellStyle name="Comma 10 6 3 2 2" xfId="2377" xr:uid="{00000000-0005-0000-0000-000095040000}"/>
    <cellStyle name="Comma 10 6 3 2 2 2" xfId="3422" xr:uid="{00000000-0005-0000-0000-000096040000}"/>
    <cellStyle name="Comma 10 6 3 2 3" xfId="2909" xr:uid="{00000000-0005-0000-0000-000097040000}"/>
    <cellStyle name="Comma 10 6 3 3" xfId="2376" xr:uid="{00000000-0005-0000-0000-000098040000}"/>
    <cellStyle name="Comma 10 6 3 3 2" xfId="3421" xr:uid="{00000000-0005-0000-0000-000099040000}"/>
    <cellStyle name="Comma 10 6 3 4" xfId="2908" xr:uid="{00000000-0005-0000-0000-00009A040000}"/>
    <cellStyle name="Comma 10 6 4" xfId="701" xr:uid="{00000000-0005-0000-0000-00009B040000}"/>
    <cellStyle name="Comma 10 6 4 2" xfId="702" xr:uid="{00000000-0005-0000-0000-00009C040000}"/>
    <cellStyle name="Comma 10 6 4 2 2" xfId="2379" xr:uid="{00000000-0005-0000-0000-00009D040000}"/>
    <cellStyle name="Comma 10 6 4 2 2 2" xfId="3424" xr:uid="{00000000-0005-0000-0000-00009E040000}"/>
    <cellStyle name="Comma 10 6 4 2 3" xfId="2911" xr:uid="{00000000-0005-0000-0000-00009F040000}"/>
    <cellStyle name="Comma 10 6 4 3" xfId="2378" xr:uid="{00000000-0005-0000-0000-0000A0040000}"/>
    <cellStyle name="Comma 10 6 4 3 2" xfId="3423" xr:uid="{00000000-0005-0000-0000-0000A1040000}"/>
    <cellStyle name="Comma 10 6 4 4" xfId="2910" xr:uid="{00000000-0005-0000-0000-0000A2040000}"/>
    <cellStyle name="Comma 10 6 5" xfId="703" xr:uid="{00000000-0005-0000-0000-0000A3040000}"/>
    <cellStyle name="Comma 10 6 5 2" xfId="704" xr:uid="{00000000-0005-0000-0000-0000A4040000}"/>
    <cellStyle name="Comma 10 6 5 2 2" xfId="2381" xr:uid="{00000000-0005-0000-0000-0000A5040000}"/>
    <cellStyle name="Comma 10 6 5 2 2 2" xfId="3426" xr:uid="{00000000-0005-0000-0000-0000A6040000}"/>
    <cellStyle name="Comma 10 6 5 2 3" xfId="2913" xr:uid="{00000000-0005-0000-0000-0000A7040000}"/>
    <cellStyle name="Comma 10 6 5 3" xfId="2380" xr:uid="{00000000-0005-0000-0000-0000A8040000}"/>
    <cellStyle name="Comma 10 6 5 3 2" xfId="3425" xr:uid="{00000000-0005-0000-0000-0000A9040000}"/>
    <cellStyle name="Comma 10 6 5 4" xfId="2912" xr:uid="{00000000-0005-0000-0000-0000AA040000}"/>
    <cellStyle name="Comma 10 6 6" xfId="705" xr:uid="{00000000-0005-0000-0000-0000AB040000}"/>
    <cellStyle name="Comma 10 6 6 2" xfId="706" xr:uid="{00000000-0005-0000-0000-0000AC040000}"/>
    <cellStyle name="Comma 10 6 6 2 2" xfId="2383" xr:uid="{00000000-0005-0000-0000-0000AD040000}"/>
    <cellStyle name="Comma 10 6 6 2 2 2" xfId="3428" xr:uid="{00000000-0005-0000-0000-0000AE040000}"/>
    <cellStyle name="Comma 10 6 6 2 3" xfId="2915" xr:uid="{00000000-0005-0000-0000-0000AF040000}"/>
    <cellStyle name="Comma 10 6 6 3" xfId="2382" xr:uid="{00000000-0005-0000-0000-0000B0040000}"/>
    <cellStyle name="Comma 10 6 6 3 2" xfId="3427" xr:uid="{00000000-0005-0000-0000-0000B1040000}"/>
    <cellStyle name="Comma 10 6 6 4" xfId="2914" xr:uid="{00000000-0005-0000-0000-0000B2040000}"/>
    <cellStyle name="Comma 10 6 7" xfId="707" xr:uid="{00000000-0005-0000-0000-0000B3040000}"/>
    <cellStyle name="Comma 10 6 7 2" xfId="708" xr:uid="{00000000-0005-0000-0000-0000B4040000}"/>
    <cellStyle name="Comma 10 6 7 2 2" xfId="2385" xr:uid="{00000000-0005-0000-0000-0000B5040000}"/>
    <cellStyle name="Comma 10 6 7 2 2 2" xfId="3430" xr:uid="{00000000-0005-0000-0000-0000B6040000}"/>
    <cellStyle name="Comma 10 6 7 2 3" xfId="2917" xr:uid="{00000000-0005-0000-0000-0000B7040000}"/>
    <cellStyle name="Comma 10 6 7 3" xfId="2384" xr:uid="{00000000-0005-0000-0000-0000B8040000}"/>
    <cellStyle name="Comma 10 6 7 3 2" xfId="3429" xr:uid="{00000000-0005-0000-0000-0000B9040000}"/>
    <cellStyle name="Comma 10 6 7 4" xfId="2916" xr:uid="{00000000-0005-0000-0000-0000BA040000}"/>
    <cellStyle name="Comma 10 6 8" xfId="709" xr:uid="{00000000-0005-0000-0000-0000BB040000}"/>
    <cellStyle name="Comma 10 6 8 2" xfId="710" xr:uid="{00000000-0005-0000-0000-0000BC040000}"/>
    <cellStyle name="Comma 10 6 8 2 2" xfId="2387" xr:uid="{00000000-0005-0000-0000-0000BD040000}"/>
    <cellStyle name="Comma 10 6 8 2 2 2" xfId="3432" xr:uid="{00000000-0005-0000-0000-0000BE040000}"/>
    <cellStyle name="Comma 10 6 8 2 3" xfId="2919" xr:uid="{00000000-0005-0000-0000-0000BF040000}"/>
    <cellStyle name="Comma 10 6 8 3" xfId="2386" xr:uid="{00000000-0005-0000-0000-0000C0040000}"/>
    <cellStyle name="Comma 10 6 8 3 2" xfId="3431" xr:uid="{00000000-0005-0000-0000-0000C1040000}"/>
    <cellStyle name="Comma 10 6 8 4" xfId="2918" xr:uid="{00000000-0005-0000-0000-0000C2040000}"/>
    <cellStyle name="Comma 10 6 9" xfId="711" xr:uid="{00000000-0005-0000-0000-0000C3040000}"/>
    <cellStyle name="Comma 10 6 9 2" xfId="712" xr:uid="{00000000-0005-0000-0000-0000C4040000}"/>
    <cellStyle name="Comma 10 6 9 2 2" xfId="2389" xr:uid="{00000000-0005-0000-0000-0000C5040000}"/>
    <cellStyle name="Comma 10 6 9 2 2 2" xfId="3434" xr:uid="{00000000-0005-0000-0000-0000C6040000}"/>
    <cellStyle name="Comma 10 6 9 2 3" xfId="2921" xr:uid="{00000000-0005-0000-0000-0000C7040000}"/>
    <cellStyle name="Comma 10 6 9 3" xfId="2388" xr:uid="{00000000-0005-0000-0000-0000C8040000}"/>
    <cellStyle name="Comma 10 6 9 3 2" xfId="3433" xr:uid="{00000000-0005-0000-0000-0000C9040000}"/>
    <cellStyle name="Comma 10 6 9 4" xfId="2920" xr:uid="{00000000-0005-0000-0000-0000CA040000}"/>
    <cellStyle name="Comma 10 7" xfId="713" xr:uid="{00000000-0005-0000-0000-0000CB040000}"/>
    <cellStyle name="Comma 10 7 10" xfId="714" xr:uid="{00000000-0005-0000-0000-0000CC040000}"/>
    <cellStyle name="Comma 10 7 10 2" xfId="715" xr:uid="{00000000-0005-0000-0000-0000CD040000}"/>
    <cellStyle name="Comma 10 7 10 2 2" xfId="2392" xr:uid="{00000000-0005-0000-0000-0000CE040000}"/>
    <cellStyle name="Comma 10 7 10 2 2 2" xfId="3437" xr:uid="{00000000-0005-0000-0000-0000CF040000}"/>
    <cellStyle name="Comma 10 7 10 2 3" xfId="2924" xr:uid="{00000000-0005-0000-0000-0000D0040000}"/>
    <cellStyle name="Comma 10 7 10 3" xfId="2391" xr:uid="{00000000-0005-0000-0000-0000D1040000}"/>
    <cellStyle name="Comma 10 7 10 3 2" xfId="3436" xr:uid="{00000000-0005-0000-0000-0000D2040000}"/>
    <cellStyle name="Comma 10 7 10 4" xfId="2923" xr:uid="{00000000-0005-0000-0000-0000D3040000}"/>
    <cellStyle name="Comma 10 7 11" xfId="716" xr:uid="{00000000-0005-0000-0000-0000D4040000}"/>
    <cellStyle name="Comma 10 7 11 2" xfId="717" xr:uid="{00000000-0005-0000-0000-0000D5040000}"/>
    <cellStyle name="Comma 10 7 11 2 2" xfId="2394" xr:uid="{00000000-0005-0000-0000-0000D6040000}"/>
    <cellStyle name="Comma 10 7 11 2 2 2" xfId="3439" xr:uid="{00000000-0005-0000-0000-0000D7040000}"/>
    <cellStyle name="Comma 10 7 11 2 3" xfId="2926" xr:uid="{00000000-0005-0000-0000-0000D8040000}"/>
    <cellStyle name="Comma 10 7 11 3" xfId="2393" xr:uid="{00000000-0005-0000-0000-0000D9040000}"/>
    <cellStyle name="Comma 10 7 11 3 2" xfId="3438" xr:uid="{00000000-0005-0000-0000-0000DA040000}"/>
    <cellStyle name="Comma 10 7 11 4" xfId="2925" xr:uid="{00000000-0005-0000-0000-0000DB040000}"/>
    <cellStyle name="Comma 10 7 12" xfId="718" xr:uid="{00000000-0005-0000-0000-0000DC040000}"/>
    <cellStyle name="Comma 10 7 12 2" xfId="719" xr:uid="{00000000-0005-0000-0000-0000DD040000}"/>
    <cellStyle name="Comma 10 7 12 2 2" xfId="2396" xr:uid="{00000000-0005-0000-0000-0000DE040000}"/>
    <cellStyle name="Comma 10 7 12 2 2 2" xfId="3441" xr:uid="{00000000-0005-0000-0000-0000DF040000}"/>
    <cellStyle name="Comma 10 7 12 2 3" xfId="2928" xr:uid="{00000000-0005-0000-0000-0000E0040000}"/>
    <cellStyle name="Comma 10 7 12 3" xfId="2395" xr:uid="{00000000-0005-0000-0000-0000E1040000}"/>
    <cellStyle name="Comma 10 7 12 3 2" xfId="3440" xr:uid="{00000000-0005-0000-0000-0000E2040000}"/>
    <cellStyle name="Comma 10 7 12 4" xfId="2927" xr:uid="{00000000-0005-0000-0000-0000E3040000}"/>
    <cellStyle name="Comma 10 7 13" xfId="720" xr:uid="{00000000-0005-0000-0000-0000E4040000}"/>
    <cellStyle name="Comma 10 7 13 2" xfId="721" xr:uid="{00000000-0005-0000-0000-0000E5040000}"/>
    <cellStyle name="Comma 10 7 13 2 2" xfId="2398" xr:uid="{00000000-0005-0000-0000-0000E6040000}"/>
    <cellStyle name="Comma 10 7 13 2 2 2" xfId="3443" xr:uid="{00000000-0005-0000-0000-0000E7040000}"/>
    <cellStyle name="Comma 10 7 13 2 3" xfId="2930" xr:uid="{00000000-0005-0000-0000-0000E8040000}"/>
    <cellStyle name="Comma 10 7 13 3" xfId="2397" xr:uid="{00000000-0005-0000-0000-0000E9040000}"/>
    <cellStyle name="Comma 10 7 13 3 2" xfId="3442" xr:uid="{00000000-0005-0000-0000-0000EA040000}"/>
    <cellStyle name="Comma 10 7 13 4" xfId="2929" xr:uid="{00000000-0005-0000-0000-0000EB040000}"/>
    <cellStyle name="Comma 10 7 14" xfId="722" xr:uid="{00000000-0005-0000-0000-0000EC040000}"/>
    <cellStyle name="Comma 10 7 14 2" xfId="723" xr:uid="{00000000-0005-0000-0000-0000ED040000}"/>
    <cellStyle name="Comma 10 7 14 2 2" xfId="2400" xr:uid="{00000000-0005-0000-0000-0000EE040000}"/>
    <cellStyle name="Comma 10 7 14 2 2 2" xfId="3445" xr:uid="{00000000-0005-0000-0000-0000EF040000}"/>
    <cellStyle name="Comma 10 7 14 2 3" xfId="2932" xr:uid="{00000000-0005-0000-0000-0000F0040000}"/>
    <cellStyle name="Comma 10 7 14 3" xfId="2399" xr:uid="{00000000-0005-0000-0000-0000F1040000}"/>
    <cellStyle name="Comma 10 7 14 3 2" xfId="3444" xr:uid="{00000000-0005-0000-0000-0000F2040000}"/>
    <cellStyle name="Comma 10 7 14 4" xfId="2931" xr:uid="{00000000-0005-0000-0000-0000F3040000}"/>
    <cellStyle name="Comma 10 7 15" xfId="724" xr:uid="{00000000-0005-0000-0000-0000F4040000}"/>
    <cellStyle name="Comma 10 7 15 2" xfId="725" xr:uid="{00000000-0005-0000-0000-0000F5040000}"/>
    <cellStyle name="Comma 10 7 15 2 2" xfId="2402" xr:uid="{00000000-0005-0000-0000-0000F6040000}"/>
    <cellStyle name="Comma 10 7 15 2 2 2" xfId="3447" xr:uid="{00000000-0005-0000-0000-0000F7040000}"/>
    <cellStyle name="Comma 10 7 15 2 3" xfId="2934" xr:uid="{00000000-0005-0000-0000-0000F8040000}"/>
    <cellStyle name="Comma 10 7 15 3" xfId="2401" xr:uid="{00000000-0005-0000-0000-0000F9040000}"/>
    <cellStyle name="Comma 10 7 15 3 2" xfId="3446" xr:uid="{00000000-0005-0000-0000-0000FA040000}"/>
    <cellStyle name="Comma 10 7 15 4" xfId="2933" xr:uid="{00000000-0005-0000-0000-0000FB040000}"/>
    <cellStyle name="Comma 10 7 16" xfId="726" xr:uid="{00000000-0005-0000-0000-0000FC040000}"/>
    <cellStyle name="Comma 10 7 16 2" xfId="727" xr:uid="{00000000-0005-0000-0000-0000FD040000}"/>
    <cellStyle name="Comma 10 7 16 2 2" xfId="2404" xr:uid="{00000000-0005-0000-0000-0000FE040000}"/>
    <cellStyle name="Comma 10 7 16 2 2 2" xfId="3449" xr:uid="{00000000-0005-0000-0000-0000FF040000}"/>
    <cellStyle name="Comma 10 7 16 2 3" xfId="2936" xr:uid="{00000000-0005-0000-0000-000000050000}"/>
    <cellStyle name="Comma 10 7 16 3" xfId="2403" xr:uid="{00000000-0005-0000-0000-000001050000}"/>
    <cellStyle name="Comma 10 7 16 3 2" xfId="3448" xr:uid="{00000000-0005-0000-0000-000002050000}"/>
    <cellStyle name="Comma 10 7 16 4" xfId="2935" xr:uid="{00000000-0005-0000-0000-000003050000}"/>
    <cellStyle name="Comma 10 7 17" xfId="728" xr:uid="{00000000-0005-0000-0000-000004050000}"/>
    <cellStyle name="Comma 10 7 17 2" xfId="729" xr:uid="{00000000-0005-0000-0000-000005050000}"/>
    <cellStyle name="Comma 10 7 17 2 2" xfId="2406" xr:uid="{00000000-0005-0000-0000-000006050000}"/>
    <cellStyle name="Comma 10 7 17 2 2 2" xfId="3451" xr:uid="{00000000-0005-0000-0000-000007050000}"/>
    <cellStyle name="Comma 10 7 17 2 3" xfId="2938" xr:uid="{00000000-0005-0000-0000-000008050000}"/>
    <cellStyle name="Comma 10 7 17 3" xfId="2405" xr:uid="{00000000-0005-0000-0000-000009050000}"/>
    <cellStyle name="Comma 10 7 17 3 2" xfId="3450" xr:uid="{00000000-0005-0000-0000-00000A050000}"/>
    <cellStyle name="Comma 10 7 17 4" xfId="2937" xr:uid="{00000000-0005-0000-0000-00000B050000}"/>
    <cellStyle name="Comma 10 7 18" xfId="730" xr:uid="{00000000-0005-0000-0000-00000C050000}"/>
    <cellStyle name="Comma 10 7 18 2" xfId="2407" xr:uid="{00000000-0005-0000-0000-00000D050000}"/>
    <cellStyle name="Comma 10 7 18 2 2" xfId="3452" xr:uid="{00000000-0005-0000-0000-00000E050000}"/>
    <cellStyle name="Comma 10 7 18 3" xfId="2939" xr:uid="{00000000-0005-0000-0000-00000F050000}"/>
    <cellStyle name="Comma 10 7 19" xfId="2390" xr:uid="{00000000-0005-0000-0000-000010050000}"/>
    <cellStyle name="Comma 10 7 19 2" xfId="3435" xr:uid="{00000000-0005-0000-0000-000011050000}"/>
    <cellStyle name="Comma 10 7 2" xfId="731" xr:uid="{00000000-0005-0000-0000-000012050000}"/>
    <cellStyle name="Comma 10 7 2 2" xfId="732" xr:uid="{00000000-0005-0000-0000-000013050000}"/>
    <cellStyle name="Comma 10 7 2 2 2" xfId="2409" xr:uid="{00000000-0005-0000-0000-000014050000}"/>
    <cellStyle name="Comma 10 7 2 2 2 2" xfId="3454" xr:uid="{00000000-0005-0000-0000-000015050000}"/>
    <cellStyle name="Comma 10 7 2 2 3" xfId="2941" xr:uid="{00000000-0005-0000-0000-000016050000}"/>
    <cellStyle name="Comma 10 7 2 3" xfId="2408" xr:uid="{00000000-0005-0000-0000-000017050000}"/>
    <cellStyle name="Comma 10 7 2 3 2" xfId="3453" xr:uid="{00000000-0005-0000-0000-000018050000}"/>
    <cellStyle name="Comma 10 7 2 4" xfId="2940" xr:uid="{00000000-0005-0000-0000-000019050000}"/>
    <cellStyle name="Comma 10 7 20" xfId="2922" xr:uid="{00000000-0005-0000-0000-00001A050000}"/>
    <cellStyle name="Comma 10 7 3" xfId="733" xr:uid="{00000000-0005-0000-0000-00001B050000}"/>
    <cellStyle name="Comma 10 7 3 2" xfId="734" xr:uid="{00000000-0005-0000-0000-00001C050000}"/>
    <cellStyle name="Comma 10 7 3 2 2" xfId="2411" xr:uid="{00000000-0005-0000-0000-00001D050000}"/>
    <cellStyle name="Comma 10 7 3 2 2 2" xfId="3456" xr:uid="{00000000-0005-0000-0000-00001E050000}"/>
    <cellStyle name="Comma 10 7 3 2 3" xfId="2943" xr:uid="{00000000-0005-0000-0000-00001F050000}"/>
    <cellStyle name="Comma 10 7 3 3" xfId="2410" xr:uid="{00000000-0005-0000-0000-000020050000}"/>
    <cellStyle name="Comma 10 7 3 3 2" xfId="3455" xr:uid="{00000000-0005-0000-0000-000021050000}"/>
    <cellStyle name="Comma 10 7 3 4" xfId="2942" xr:uid="{00000000-0005-0000-0000-000022050000}"/>
    <cellStyle name="Comma 10 7 4" xfId="735" xr:uid="{00000000-0005-0000-0000-000023050000}"/>
    <cellStyle name="Comma 10 7 4 2" xfId="736" xr:uid="{00000000-0005-0000-0000-000024050000}"/>
    <cellStyle name="Comma 10 7 4 2 2" xfId="2413" xr:uid="{00000000-0005-0000-0000-000025050000}"/>
    <cellStyle name="Comma 10 7 4 2 2 2" xfId="3458" xr:uid="{00000000-0005-0000-0000-000026050000}"/>
    <cellStyle name="Comma 10 7 4 2 3" xfId="2945" xr:uid="{00000000-0005-0000-0000-000027050000}"/>
    <cellStyle name="Comma 10 7 4 3" xfId="2412" xr:uid="{00000000-0005-0000-0000-000028050000}"/>
    <cellStyle name="Comma 10 7 4 3 2" xfId="3457" xr:uid="{00000000-0005-0000-0000-000029050000}"/>
    <cellStyle name="Comma 10 7 4 4" xfId="2944" xr:uid="{00000000-0005-0000-0000-00002A050000}"/>
    <cellStyle name="Comma 10 7 5" xfId="737" xr:uid="{00000000-0005-0000-0000-00002B050000}"/>
    <cellStyle name="Comma 10 7 5 2" xfId="738" xr:uid="{00000000-0005-0000-0000-00002C050000}"/>
    <cellStyle name="Comma 10 7 5 2 2" xfId="2415" xr:uid="{00000000-0005-0000-0000-00002D050000}"/>
    <cellStyle name="Comma 10 7 5 2 2 2" xfId="3460" xr:uid="{00000000-0005-0000-0000-00002E050000}"/>
    <cellStyle name="Comma 10 7 5 2 3" xfId="2947" xr:uid="{00000000-0005-0000-0000-00002F050000}"/>
    <cellStyle name="Comma 10 7 5 3" xfId="2414" xr:uid="{00000000-0005-0000-0000-000030050000}"/>
    <cellStyle name="Comma 10 7 5 3 2" xfId="3459" xr:uid="{00000000-0005-0000-0000-000031050000}"/>
    <cellStyle name="Comma 10 7 5 4" xfId="2946" xr:uid="{00000000-0005-0000-0000-000032050000}"/>
    <cellStyle name="Comma 10 7 6" xfId="739" xr:uid="{00000000-0005-0000-0000-000033050000}"/>
    <cellStyle name="Comma 10 7 6 2" xfId="740" xr:uid="{00000000-0005-0000-0000-000034050000}"/>
    <cellStyle name="Comma 10 7 6 2 2" xfId="2417" xr:uid="{00000000-0005-0000-0000-000035050000}"/>
    <cellStyle name="Comma 10 7 6 2 2 2" xfId="3462" xr:uid="{00000000-0005-0000-0000-000036050000}"/>
    <cellStyle name="Comma 10 7 6 2 3" xfId="2949" xr:uid="{00000000-0005-0000-0000-000037050000}"/>
    <cellStyle name="Comma 10 7 6 3" xfId="2416" xr:uid="{00000000-0005-0000-0000-000038050000}"/>
    <cellStyle name="Comma 10 7 6 3 2" xfId="3461" xr:uid="{00000000-0005-0000-0000-000039050000}"/>
    <cellStyle name="Comma 10 7 6 4" xfId="2948" xr:uid="{00000000-0005-0000-0000-00003A050000}"/>
    <cellStyle name="Comma 10 7 7" xfId="741" xr:uid="{00000000-0005-0000-0000-00003B050000}"/>
    <cellStyle name="Comma 10 7 7 2" xfId="742" xr:uid="{00000000-0005-0000-0000-00003C050000}"/>
    <cellStyle name="Comma 10 7 7 2 2" xfId="2419" xr:uid="{00000000-0005-0000-0000-00003D050000}"/>
    <cellStyle name="Comma 10 7 7 2 2 2" xfId="3464" xr:uid="{00000000-0005-0000-0000-00003E050000}"/>
    <cellStyle name="Comma 10 7 7 2 3" xfId="2951" xr:uid="{00000000-0005-0000-0000-00003F050000}"/>
    <cellStyle name="Comma 10 7 7 3" xfId="2418" xr:uid="{00000000-0005-0000-0000-000040050000}"/>
    <cellStyle name="Comma 10 7 7 3 2" xfId="3463" xr:uid="{00000000-0005-0000-0000-000041050000}"/>
    <cellStyle name="Comma 10 7 7 4" xfId="2950" xr:uid="{00000000-0005-0000-0000-000042050000}"/>
    <cellStyle name="Comma 10 7 8" xfId="743" xr:uid="{00000000-0005-0000-0000-000043050000}"/>
    <cellStyle name="Comma 10 7 8 2" xfId="744" xr:uid="{00000000-0005-0000-0000-000044050000}"/>
    <cellStyle name="Comma 10 7 8 2 2" xfId="2421" xr:uid="{00000000-0005-0000-0000-000045050000}"/>
    <cellStyle name="Comma 10 7 8 2 2 2" xfId="3466" xr:uid="{00000000-0005-0000-0000-000046050000}"/>
    <cellStyle name="Comma 10 7 8 2 3" xfId="2953" xr:uid="{00000000-0005-0000-0000-000047050000}"/>
    <cellStyle name="Comma 10 7 8 3" xfId="2420" xr:uid="{00000000-0005-0000-0000-000048050000}"/>
    <cellStyle name="Comma 10 7 8 3 2" xfId="3465" xr:uid="{00000000-0005-0000-0000-000049050000}"/>
    <cellStyle name="Comma 10 7 8 4" xfId="2952" xr:uid="{00000000-0005-0000-0000-00004A050000}"/>
    <cellStyle name="Comma 10 7 9" xfId="745" xr:uid="{00000000-0005-0000-0000-00004B050000}"/>
    <cellStyle name="Comma 10 7 9 2" xfId="746" xr:uid="{00000000-0005-0000-0000-00004C050000}"/>
    <cellStyle name="Comma 10 7 9 2 2" xfId="2423" xr:uid="{00000000-0005-0000-0000-00004D050000}"/>
    <cellStyle name="Comma 10 7 9 2 2 2" xfId="3468" xr:uid="{00000000-0005-0000-0000-00004E050000}"/>
    <cellStyle name="Comma 10 7 9 2 3" xfId="2955" xr:uid="{00000000-0005-0000-0000-00004F050000}"/>
    <cellStyle name="Comma 10 7 9 3" xfId="2422" xr:uid="{00000000-0005-0000-0000-000050050000}"/>
    <cellStyle name="Comma 10 7 9 3 2" xfId="3467" xr:uid="{00000000-0005-0000-0000-000051050000}"/>
    <cellStyle name="Comma 10 7 9 4" xfId="2954" xr:uid="{00000000-0005-0000-0000-000052050000}"/>
    <cellStyle name="Comma 10 8" xfId="747" xr:uid="{00000000-0005-0000-0000-000053050000}"/>
    <cellStyle name="Comma 10 8 10" xfId="748" xr:uid="{00000000-0005-0000-0000-000054050000}"/>
    <cellStyle name="Comma 10 8 10 2" xfId="749" xr:uid="{00000000-0005-0000-0000-000055050000}"/>
    <cellStyle name="Comma 10 8 10 2 2" xfId="2426" xr:uid="{00000000-0005-0000-0000-000056050000}"/>
    <cellStyle name="Comma 10 8 10 2 2 2" xfId="3471" xr:uid="{00000000-0005-0000-0000-000057050000}"/>
    <cellStyle name="Comma 10 8 10 2 3" xfId="2958" xr:uid="{00000000-0005-0000-0000-000058050000}"/>
    <cellStyle name="Comma 10 8 10 3" xfId="2425" xr:uid="{00000000-0005-0000-0000-000059050000}"/>
    <cellStyle name="Comma 10 8 10 3 2" xfId="3470" xr:uid="{00000000-0005-0000-0000-00005A050000}"/>
    <cellStyle name="Comma 10 8 10 4" xfId="2957" xr:uid="{00000000-0005-0000-0000-00005B050000}"/>
    <cellStyle name="Comma 10 8 11" xfId="750" xr:uid="{00000000-0005-0000-0000-00005C050000}"/>
    <cellStyle name="Comma 10 8 11 2" xfId="751" xr:uid="{00000000-0005-0000-0000-00005D050000}"/>
    <cellStyle name="Comma 10 8 11 2 2" xfId="2428" xr:uid="{00000000-0005-0000-0000-00005E050000}"/>
    <cellStyle name="Comma 10 8 11 2 2 2" xfId="3473" xr:uid="{00000000-0005-0000-0000-00005F050000}"/>
    <cellStyle name="Comma 10 8 11 2 3" xfId="2960" xr:uid="{00000000-0005-0000-0000-000060050000}"/>
    <cellStyle name="Comma 10 8 11 3" xfId="2427" xr:uid="{00000000-0005-0000-0000-000061050000}"/>
    <cellStyle name="Comma 10 8 11 3 2" xfId="3472" xr:uid="{00000000-0005-0000-0000-000062050000}"/>
    <cellStyle name="Comma 10 8 11 4" xfId="2959" xr:uid="{00000000-0005-0000-0000-000063050000}"/>
    <cellStyle name="Comma 10 8 12" xfId="752" xr:uid="{00000000-0005-0000-0000-000064050000}"/>
    <cellStyle name="Comma 10 8 12 2" xfId="753" xr:uid="{00000000-0005-0000-0000-000065050000}"/>
    <cellStyle name="Comma 10 8 12 2 2" xfId="2430" xr:uid="{00000000-0005-0000-0000-000066050000}"/>
    <cellStyle name="Comma 10 8 12 2 2 2" xfId="3475" xr:uid="{00000000-0005-0000-0000-000067050000}"/>
    <cellStyle name="Comma 10 8 12 2 3" xfId="2962" xr:uid="{00000000-0005-0000-0000-000068050000}"/>
    <cellStyle name="Comma 10 8 12 3" xfId="2429" xr:uid="{00000000-0005-0000-0000-000069050000}"/>
    <cellStyle name="Comma 10 8 12 3 2" xfId="3474" xr:uid="{00000000-0005-0000-0000-00006A050000}"/>
    <cellStyle name="Comma 10 8 12 4" xfId="2961" xr:uid="{00000000-0005-0000-0000-00006B050000}"/>
    <cellStyle name="Comma 10 8 13" xfId="754" xr:uid="{00000000-0005-0000-0000-00006C050000}"/>
    <cellStyle name="Comma 10 8 13 2" xfId="755" xr:uid="{00000000-0005-0000-0000-00006D050000}"/>
    <cellStyle name="Comma 10 8 13 2 2" xfId="2432" xr:uid="{00000000-0005-0000-0000-00006E050000}"/>
    <cellStyle name="Comma 10 8 13 2 2 2" xfId="3477" xr:uid="{00000000-0005-0000-0000-00006F050000}"/>
    <cellStyle name="Comma 10 8 13 2 3" xfId="2964" xr:uid="{00000000-0005-0000-0000-000070050000}"/>
    <cellStyle name="Comma 10 8 13 3" xfId="2431" xr:uid="{00000000-0005-0000-0000-000071050000}"/>
    <cellStyle name="Comma 10 8 13 3 2" xfId="3476" xr:uid="{00000000-0005-0000-0000-000072050000}"/>
    <cellStyle name="Comma 10 8 13 4" xfId="2963" xr:uid="{00000000-0005-0000-0000-000073050000}"/>
    <cellStyle name="Comma 10 8 14" xfId="756" xr:uid="{00000000-0005-0000-0000-000074050000}"/>
    <cellStyle name="Comma 10 8 14 2" xfId="757" xr:uid="{00000000-0005-0000-0000-000075050000}"/>
    <cellStyle name="Comma 10 8 14 2 2" xfId="2434" xr:uid="{00000000-0005-0000-0000-000076050000}"/>
    <cellStyle name="Comma 10 8 14 2 2 2" xfId="3479" xr:uid="{00000000-0005-0000-0000-000077050000}"/>
    <cellStyle name="Comma 10 8 14 2 3" xfId="2966" xr:uid="{00000000-0005-0000-0000-000078050000}"/>
    <cellStyle name="Comma 10 8 14 3" xfId="2433" xr:uid="{00000000-0005-0000-0000-000079050000}"/>
    <cellStyle name="Comma 10 8 14 3 2" xfId="3478" xr:uid="{00000000-0005-0000-0000-00007A050000}"/>
    <cellStyle name="Comma 10 8 14 4" xfId="2965" xr:uid="{00000000-0005-0000-0000-00007B050000}"/>
    <cellStyle name="Comma 10 8 15" xfId="758" xr:uid="{00000000-0005-0000-0000-00007C050000}"/>
    <cellStyle name="Comma 10 8 15 2" xfId="759" xr:uid="{00000000-0005-0000-0000-00007D050000}"/>
    <cellStyle name="Comma 10 8 15 2 2" xfId="2436" xr:uid="{00000000-0005-0000-0000-00007E050000}"/>
    <cellStyle name="Comma 10 8 15 2 2 2" xfId="3481" xr:uid="{00000000-0005-0000-0000-00007F050000}"/>
    <cellStyle name="Comma 10 8 15 2 3" xfId="2968" xr:uid="{00000000-0005-0000-0000-000080050000}"/>
    <cellStyle name="Comma 10 8 15 3" xfId="2435" xr:uid="{00000000-0005-0000-0000-000081050000}"/>
    <cellStyle name="Comma 10 8 15 3 2" xfId="3480" xr:uid="{00000000-0005-0000-0000-000082050000}"/>
    <cellStyle name="Comma 10 8 15 4" xfId="2967" xr:uid="{00000000-0005-0000-0000-000083050000}"/>
    <cellStyle name="Comma 10 8 16" xfId="760" xr:uid="{00000000-0005-0000-0000-000084050000}"/>
    <cellStyle name="Comma 10 8 16 2" xfId="761" xr:uid="{00000000-0005-0000-0000-000085050000}"/>
    <cellStyle name="Comma 10 8 16 2 2" xfId="2438" xr:uid="{00000000-0005-0000-0000-000086050000}"/>
    <cellStyle name="Comma 10 8 16 2 2 2" xfId="3483" xr:uid="{00000000-0005-0000-0000-000087050000}"/>
    <cellStyle name="Comma 10 8 16 2 3" xfId="2970" xr:uid="{00000000-0005-0000-0000-000088050000}"/>
    <cellStyle name="Comma 10 8 16 3" xfId="2437" xr:uid="{00000000-0005-0000-0000-000089050000}"/>
    <cellStyle name="Comma 10 8 16 3 2" xfId="3482" xr:uid="{00000000-0005-0000-0000-00008A050000}"/>
    <cellStyle name="Comma 10 8 16 4" xfId="2969" xr:uid="{00000000-0005-0000-0000-00008B050000}"/>
    <cellStyle name="Comma 10 8 17" xfId="762" xr:uid="{00000000-0005-0000-0000-00008C050000}"/>
    <cellStyle name="Comma 10 8 17 2" xfId="763" xr:uid="{00000000-0005-0000-0000-00008D050000}"/>
    <cellStyle name="Comma 10 8 17 2 2" xfId="2440" xr:uid="{00000000-0005-0000-0000-00008E050000}"/>
    <cellStyle name="Comma 10 8 17 2 2 2" xfId="3485" xr:uid="{00000000-0005-0000-0000-00008F050000}"/>
    <cellStyle name="Comma 10 8 17 2 3" xfId="2972" xr:uid="{00000000-0005-0000-0000-000090050000}"/>
    <cellStyle name="Comma 10 8 17 3" xfId="2439" xr:uid="{00000000-0005-0000-0000-000091050000}"/>
    <cellStyle name="Comma 10 8 17 3 2" xfId="3484" xr:uid="{00000000-0005-0000-0000-000092050000}"/>
    <cellStyle name="Comma 10 8 17 4" xfId="2971" xr:uid="{00000000-0005-0000-0000-000093050000}"/>
    <cellStyle name="Comma 10 8 18" xfId="764" xr:uid="{00000000-0005-0000-0000-000094050000}"/>
    <cellStyle name="Comma 10 8 18 2" xfId="2441" xr:uid="{00000000-0005-0000-0000-000095050000}"/>
    <cellStyle name="Comma 10 8 18 2 2" xfId="3486" xr:uid="{00000000-0005-0000-0000-000096050000}"/>
    <cellStyle name="Comma 10 8 18 3" xfId="2973" xr:uid="{00000000-0005-0000-0000-000097050000}"/>
    <cellStyle name="Comma 10 8 19" xfId="2424" xr:uid="{00000000-0005-0000-0000-000098050000}"/>
    <cellStyle name="Comma 10 8 19 2" xfId="3469" xr:uid="{00000000-0005-0000-0000-000099050000}"/>
    <cellStyle name="Comma 10 8 2" xfId="765" xr:uid="{00000000-0005-0000-0000-00009A050000}"/>
    <cellStyle name="Comma 10 8 2 2" xfId="766" xr:uid="{00000000-0005-0000-0000-00009B050000}"/>
    <cellStyle name="Comma 10 8 2 2 2" xfId="2443" xr:uid="{00000000-0005-0000-0000-00009C050000}"/>
    <cellStyle name="Comma 10 8 2 2 2 2" xfId="3488" xr:uid="{00000000-0005-0000-0000-00009D050000}"/>
    <cellStyle name="Comma 10 8 2 2 3" xfId="2975" xr:uid="{00000000-0005-0000-0000-00009E050000}"/>
    <cellStyle name="Comma 10 8 2 3" xfId="2442" xr:uid="{00000000-0005-0000-0000-00009F050000}"/>
    <cellStyle name="Comma 10 8 2 3 2" xfId="3487" xr:uid="{00000000-0005-0000-0000-0000A0050000}"/>
    <cellStyle name="Comma 10 8 2 4" xfId="2974" xr:uid="{00000000-0005-0000-0000-0000A1050000}"/>
    <cellStyle name="Comma 10 8 20" xfId="2956" xr:uid="{00000000-0005-0000-0000-0000A2050000}"/>
    <cellStyle name="Comma 10 8 3" xfId="767" xr:uid="{00000000-0005-0000-0000-0000A3050000}"/>
    <cellStyle name="Comma 10 8 3 2" xfId="768" xr:uid="{00000000-0005-0000-0000-0000A4050000}"/>
    <cellStyle name="Comma 10 8 3 2 2" xfId="2445" xr:uid="{00000000-0005-0000-0000-0000A5050000}"/>
    <cellStyle name="Comma 10 8 3 2 2 2" xfId="3490" xr:uid="{00000000-0005-0000-0000-0000A6050000}"/>
    <cellStyle name="Comma 10 8 3 2 3" xfId="2977" xr:uid="{00000000-0005-0000-0000-0000A7050000}"/>
    <cellStyle name="Comma 10 8 3 3" xfId="2444" xr:uid="{00000000-0005-0000-0000-0000A8050000}"/>
    <cellStyle name="Comma 10 8 3 3 2" xfId="3489" xr:uid="{00000000-0005-0000-0000-0000A9050000}"/>
    <cellStyle name="Comma 10 8 3 4" xfId="2976" xr:uid="{00000000-0005-0000-0000-0000AA050000}"/>
    <cellStyle name="Comma 10 8 4" xfId="769" xr:uid="{00000000-0005-0000-0000-0000AB050000}"/>
    <cellStyle name="Comma 10 8 4 2" xfId="770" xr:uid="{00000000-0005-0000-0000-0000AC050000}"/>
    <cellStyle name="Comma 10 8 4 2 2" xfId="2447" xr:uid="{00000000-0005-0000-0000-0000AD050000}"/>
    <cellStyle name="Comma 10 8 4 2 2 2" xfId="3492" xr:uid="{00000000-0005-0000-0000-0000AE050000}"/>
    <cellStyle name="Comma 10 8 4 2 3" xfId="2979" xr:uid="{00000000-0005-0000-0000-0000AF050000}"/>
    <cellStyle name="Comma 10 8 4 3" xfId="2446" xr:uid="{00000000-0005-0000-0000-0000B0050000}"/>
    <cellStyle name="Comma 10 8 4 3 2" xfId="3491" xr:uid="{00000000-0005-0000-0000-0000B1050000}"/>
    <cellStyle name="Comma 10 8 4 4" xfId="2978" xr:uid="{00000000-0005-0000-0000-0000B2050000}"/>
    <cellStyle name="Comma 10 8 5" xfId="771" xr:uid="{00000000-0005-0000-0000-0000B3050000}"/>
    <cellStyle name="Comma 10 8 5 2" xfId="772" xr:uid="{00000000-0005-0000-0000-0000B4050000}"/>
    <cellStyle name="Comma 10 8 5 2 2" xfId="2449" xr:uid="{00000000-0005-0000-0000-0000B5050000}"/>
    <cellStyle name="Comma 10 8 5 2 2 2" xfId="3494" xr:uid="{00000000-0005-0000-0000-0000B6050000}"/>
    <cellStyle name="Comma 10 8 5 2 3" xfId="2981" xr:uid="{00000000-0005-0000-0000-0000B7050000}"/>
    <cellStyle name="Comma 10 8 5 3" xfId="2448" xr:uid="{00000000-0005-0000-0000-0000B8050000}"/>
    <cellStyle name="Comma 10 8 5 3 2" xfId="3493" xr:uid="{00000000-0005-0000-0000-0000B9050000}"/>
    <cellStyle name="Comma 10 8 5 4" xfId="2980" xr:uid="{00000000-0005-0000-0000-0000BA050000}"/>
    <cellStyle name="Comma 10 8 6" xfId="773" xr:uid="{00000000-0005-0000-0000-0000BB050000}"/>
    <cellStyle name="Comma 10 8 6 2" xfId="774" xr:uid="{00000000-0005-0000-0000-0000BC050000}"/>
    <cellStyle name="Comma 10 8 6 2 2" xfId="2451" xr:uid="{00000000-0005-0000-0000-0000BD050000}"/>
    <cellStyle name="Comma 10 8 6 2 2 2" xfId="3496" xr:uid="{00000000-0005-0000-0000-0000BE050000}"/>
    <cellStyle name="Comma 10 8 6 2 3" xfId="2983" xr:uid="{00000000-0005-0000-0000-0000BF050000}"/>
    <cellStyle name="Comma 10 8 6 3" xfId="2450" xr:uid="{00000000-0005-0000-0000-0000C0050000}"/>
    <cellStyle name="Comma 10 8 6 3 2" xfId="3495" xr:uid="{00000000-0005-0000-0000-0000C1050000}"/>
    <cellStyle name="Comma 10 8 6 4" xfId="2982" xr:uid="{00000000-0005-0000-0000-0000C2050000}"/>
    <cellStyle name="Comma 10 8 7" xfId="775" xr:uid="{00000000-0005-0000-0000-0000C3050000}"/>
    <cellStyle name="Comma 10 8 7 2" xfId="776" xr:uid="{00000000-0005-0000-0000-0000C4050000}"/>
    <cellStyle name="Comma 10 8 7 2 2" xfId="2453" xr:uid="{00000000-0005-0000-0000-0000C5050000}"/>
    <cellStyle name="Comma 10 8 7 2 2 2" xfId="3498" xr:uid="{00000000-0005-0000-0000-0000C6050000}"/>
    <cellStyle name="Comma 10 8 7 2 3" xfId="2985" xr:uid="{00000000-0005-0000-0000-0000C7050000}"/>
    <cellStyle name="Comma 10 8 7 3" xfId="2452" xr:uid="{00000000-0005-0000-0000-0000C8050000}"/>
    <cellStyle name="Comma 10 8 7 3 2" xfId="3497" xr:uid="{00000000-0005-0000-0000-0000C9050000}"/>
    <cellStyle name="Comma 10 8 7 4" xfId="2984" xr:uid="{00000000-0005-0000-0000-0000CA050000}"/>
    <cellStyle name="Comma 10 8 8" xfId="777" xr:uid="{00000000-0005-0000-0000-0000CB050000}"/>
    <cellStyle name="Comma 10 8 8 2" xfId="778" xr:uid="{00000000-0005-0000-0000-0000CC050000}"/>
    <cellStyle name="Comma 10 8 8 2 2" xfId="2455" xr:uid="{00000000-0005-0000-0000-0000CD050000}"/>
    <cellStyle name="Comma 10 8 8 2 2 2" xfId="3500" xr:uid="{00000000-0005-0000-0000-0000CE050000}"/>
    <cellStyle name="Comma 10 8 8 2 3" xfId="2987" xr:uid="{00000000-0005-0000-0000-0000CF050000}"/>
    <cellStyle name="Comma 10 8 8 3" xfId="2454" xr:uid="{00000000-0005-0000-0000-0000D0050000}"/>
    <cellStyle name="Comma 10 8 8 3 2" xfId="3499" xr:uid="{00000000-0005-0000-0000-0000D1050000}"/>
    <cellStyle name="Comma 10 8 8 4" xfId="2986" xr:uid="{00000000-0005-0000-0000-0000D2050000}"/>
    <cellStyle name="Comma 10 8 9" xfId="779" xr:uid="{00000000-0005-0000-0000-0000D3050000}"/>
    <cellStyle name="Comma 10 8 9 2" xfId="780" xr:uid="{00000000-0005-0000-0000-0000D4050000}"/>
    <cellStyle name="Comma 10 8 9 2 2" xfId="2457" xr:uid="{00000000-0005-0000-0000-0000D5050000}"/>
    <cellStyle name="Comma 10 8 9 2 2 2" xfId="3502" xr:uid="{00000000-0005-0000-0000-0000D6050000}"/>
    <cellStyle name="Comma 10 8 9 2 3" xfId="2989" xr:uid="{00000000-0005-0000-0000-0000D7050000}"/>
    <cellStyle name="Comma 10 8 9 3" xfId="2456" xr:uid="{00000000-0005-0000-0000-0000D8050000}"/>
    <cellStyle name="Comma 10 8 9 3 2" xfId="3501" xr:uid="{00000000-0005-0000-0000-0000D9050000}"/>
    <cellStyle name="Comma 10 8 9 4" xfId="2988" xr:uid="{00000000-0005-0000-0000-0000DA050000}"/>
    <cellStyle name="Comma 10 9" xfId="2219" xr:uid="{00000000-0005-0000-0000-0000DB050000}"/>
    <cellStyle name="Comma 10 9 2" xfId="3264" xr:uid="{00000000-0005-0000-0000-0000DC050000}"/>
    <cellStyle name="Comma 11" xfId="781" xr:uid="{00000000-0005-0000-0000-0000DD050000}"/>
    <cellStyle name="Comma 11 2" xfId="782" xr:uid="{00000000-0005-0000-0000-0000DE050000}"/>
    <cellStyle name="Comma 11 2 2" xfId="2459" xr:uid="{00000000-0005-0000-0000-0000DF050000}"/>
    <cellStyle name="Comma 11 2 2 2" xfId="3504" xr:uid="{00000000-0005-0000-0000-0000E0050000}"/>
    <cellStyle name="Comma 11 2 3" xfId="2991" xr:uid="{00000000-0005-0000-0000-0000E1050000}"/>
    <cellStyle name="Comma 11 3" xfId="2458" xr:uid="{00000000-0005-0000-0000-0000E2050000}"/>
    <cellStyle name="Comma 11 3 2" xfId="3503" xr:uid="{00000000-0005-0000-0000-0000E3050000}"/>
    <cellStyle name="Comma 11 4" xfId="2990" xr:uid="{00000000-0005-0000-0000-0000E4050000}"/>
    <cellStyle name="Comma 12" xfId="783" xr:uid="{00000000-0005-0000-0000-0000E5050000}"/>
    <cellStyle name="Comma 12 2" xfId="784" xr:uid="{00000000-0005-0000-0000-0000E6050000}"/>
    <cellStyle name="Comma 12 2 2" xfId="2461" xr:uid="{00000000-0005-0000-0000-0000E7050000}"/>
    <cellStyle name="Comma 12 2 2 2" xfId="3506" xr:uid="{00000000-0005-0000-0000-0000E8050000}"/>
    <cellStyle name="Comma 12 2 3" xfId="2993" xr:uid="{00000000-0005-0000-0000-0000E9050000}"/>
    <cellStyle name="Comma 12 3" xfId="2460" xr:uid="{00000000-0005-0000-0000-0000EA050000}"/>
    <cellStyle name="Comma 12 3 2" xfId="3505" xr:uid="{00000000-0005-0000-0000-0000EB050000}"/>
    <cellStyle name="Comma 12 4" xfId="2992" xr:uid="{00000000-0005-0000-0000-0000EC050000}"/>
    <cellStyle name="Comma 13" xfId="785" xr:uid="{00000000-0005-0000-0000-0000ED050000}"/>
    <cellStyle name="Comma 13 2" xfId="786" xr:uid="{00000000-0005-0000-0000-0000EE050000}"/>
    <cellStyle name="Comma 13 2 2" xfId="2463" xr:uid="{00000000-0005-0000-0000-0000EF050000}"/>
    <cellStyle name="Comma 13 2 2 2" xfId="3508" xr:uid="{00000000-0005-0000-0000-0000F0050000}"/>
    <cellStyle name="Comma 13 2 3" xfId="2995" xr:uid="{00000000-0005-0000-0000-0000F1050000}"/>
    <cellStyle name="Comma 13 3" xfId="2462" xr:uid="{00000000-0005-0000-0000-0000F2050000}"/>
    <cellStyle name="Comma 13 3 2" xfId="3507" xr:uid="{00000000-0005-0000-0000-0000F3050000}"/>
    <cellStyle name="Comma 13 4" xfId="2994" xr:uid="{00000000-0005-0000-0000-0000F4050000}"/>
    <cellStyle name="Comma 14" xfId="787" xr:uid="{00000000-0005-0000-0000-0000F5050000}"/>
    <cellStyle name="Comma 14 2" xfId="788" xr:uid="{00000000-0005-0000-0000-0000F6050000}"/>
    <cellStyle name="Comma 14 2 2" xfId="2465" xr:uid="{00000000-0005-0000-0000-0000F7050000}"/>
    <cellStyle name="Comma 14 2 2 2" xfId="3510" xr:uid="{00000000-0005-0000-0000-0000F8050000}"/>
    <cellStyle name="Comma 14 2 3" xfId="2997" xr:uid="{00000000-0005-0000-0000-0000F9050000}"/>
    <cellStyle name="Comma 14 3" xfId="2464" xr:uid="{00000000-0005-0000-0000-0000FA050000}"/>
    <cellStyle name="Comma 14 3 2" xfId="3509" xr:uid="{00000000-0005-0000-0000-0000FB050000}"/>
    <cellStyle name="Comma 14 4" xfId="2996" xr:uid="{00000000-0005-0000-0000-0000FC050000}"/>
    <cellStyle name="Comma 15" xfId="789" xr:uid="{00000000-0005-0000-0000-0000FD050000}"/>
    <cellStyle name="Comma 15 2" xfId="790" xr:uid="{00000000-0005-0000-0000-0000FE050000}"/>
    <cellStyle name="Comma 15 2 2" xfId="791" xr:uid="{00000000-0005-0000-0000-0000FF050000}"/>
    <cellStyle name="Comma 15 2 2 2" xfId="2468" xr:uid="{00000000-0005-0000-0000-000000060000}"/>
    <cellStyle name="Comma 15 2 2 2 2" xfId="3513" xr:uid="{00000000-0005-0000-0000-000001060000}"/>
    <cellStyle name="Comma 15 2 2 3" xfId="3000" xr:uid="{00000000-0005-0000-0000-000002060000}"/>
    <cellStyle name="Comma 15 2 3" xfId="2467" xr:uid="{00000000-0005-0000-0000-000003060000}"/>
    <cellStyle name="Comma 15 2 3 2" xfId="3512" xr:uid="{00000000-0005-0000-0000-000004060000}"/>
    <cellStyle name="Comma 15 2 4" xfId="2999" xr:uid="{00000000-0005-0000-0000-000005060000}"/>
    <cellStyle name="Comma 15 3" xfId="792" xr:uid="{00000000-0005-0000-0000-000006060000}"/>
    <cellStyle name="Comma 15 3 2" xfId="793" xr:uid="{00000000-0005-0000-0000-000007060000}"/>
    <cellStyle name="Comma 15 3 2 2" xfId="2470" xr:uid="{00000000-0005-0000-0000-000008060000}"/>
    <cellStyle name="Comma 15 3 2 2 2" xfId="3515" xr:uid="{00000000-0005-0000-0000-000009060000}"/>
    <cellStyle name="Comma 15 3 2 3" xfId="3002" xr:uid="{00000000-0005-0000-0000-00000A060000}"/>
    <cellStyle name="Comma 15 3 3" xfId="2469" xr:uid="{00000000-0005-0000-0000-00000B060000}"/>
    <cellStyle name="Comma 15 3 3 2" xfId="3514" xr:uid="{00000000-0005-0000-0000-00000C060000}"/>
    <cellStyle name="Comma 15 3 4" xfId="3001" xr:uid="{00000000-0005-0000-0000-00000D060000}"/>
    <cellStyle name="Comma 15 4" xfId="794" xr:uid="{00000000-0005-0000-0000-00000E060000}"/>
    <cellStyle name="Comma 15 4 2" xfId="2471" xr:uid="{00000000-0005-0000-0000-00000F060000}"/>
    <cellStyle name="Comma 15 4 2 2" xfId="3516" xr:uid="{00000000-0005-0000-0000-000010060000}"/>
    <cellStyle name="Comma 15 4 3" xfId="3003" xr:uid="{00000000-0005-0000-0000-000011060000}"/>
    <cellStyle name="Comma 15 5" xfId="2466" xr:uid="{00000000-0005-0000-0000-000012060000}"/>
    <cellStyle name="Comma 15 5 2" xfId="3511" xr:uid="{00000000-0005-0000-0000-000013060000}"/>
    <cellStyle name="Comma 15 6" xfId="2998" xr:uid="{00000000-0005-0000-0000-000014060000}"/>
    <cellStyle name="Comma 16" xfId="795" xr:uid="{00000000-0005-0000-0000-000015060000}"/>
    <cellStyle name="Comma 16 2" xfId="796" xr:uid="{00000000-0005-0000-0000-000016060000}"/>
    <cellStyle name="Comma 16 2 2" xfId="797" xr:uid="{00000000-0005-0000-0000-000017060000}"/>
    <cellStyle name="Comma 16 2 2 2" xfId="2474" xr:uid="{00000000-0005-0000-0000-000018060000}"/>
    <cellStyle name="Comma 16 2 2 2 2" xfId="3519" xr:uid="{00000000-0005-0000-0000-000019060000}"/>
    <cellStyle name="Comma 16 2 2 3" xfId="3006" xr:uid="{00000000-0005-0000-0000-00001A060000}"/>
    <cellStyle name="Comma 16 2 3" xfId="2473" xr:uid="{00000000-0005-0000-0000-00001B060000}"/>
    <cellStyle name="Comma 16 2 3 2" xfId="3518" xr:uid="{00000000-0005-0000-0000-00001C060000}"/>
    <cellStyle name="Comma 16 2 4" xfId="3005" xr:uid="{00000000-0005-0000-0000-00001D060000}"/>
    <cellStyle name="Comma 16 3" xfId="798" xr:uid="{00000000-0005-0000-0000-00001E060000}"/>
    <cellStyle name="Comma 16 3 2" xfId="799" xr:uid="{00000000-0005-0000-0000-00001F060000}"/>
    <cellStyle name="Comma 16 3 2 2" xfId="2476" xr:uid="{00000000-0005-0000-0000-000020060000}"/>
    <cellStyle name="Comma 16 3 2 2 2" xfId="3521" xr:uid="{00000000-0005-0000-0000-000021060000}"/>
    <cellStyle name="Comma 16 3 2 3" xfId="3008" xr:uid="{00000000-0005-0000-0000-000022060000}"/>
    <cellStyle name="Comma 16 3 3" xfId="2475" xr:uid="{00000000-0005-0000-0000-000023060000}"/>
    <cellStyle name="Comma 16 3 3 2" xfId="3520" xr:uid="{00000000-0005-0000-0000-000024060000}"/>
    <cellStyle name="Comma 16 3 4" xfId="3007" xr:uid="{00000000-0005-0000-0000-000025060000}"/>
    <cellStyle name="Comma 16 4" xfId="800" xr:uid="{00000000-0005-0000-0000-000026060000}"/>
    <cellStyle name="Comma 16 4 2" xfId="2477" xr:uid="{00000000-0005-0000-0000-000027060000}"/>
    <cellStyle name="Comma 16 4 2 2" xfId="3522" xr:uid="{00000000-0005-0000-0000-000028060000}"/>
    <cellStyle name="Comma 16 4 3" xfId="3009" xr:uid="{00000000-0005-0000-0000-000029060000}"/>
    <cellStyle name="Comma 16 5" xfId="2472" xr:uid="{00000000-0005-0000-0000-00002A060000}"/>
    <cellStyle name="Comma 16 5 2" xfId="3517" xr:uid="{00000000-0005-0000-0000-00002B060000}"/>
    <cellStyle name="Comma 16 6" xfId="3004" xr:uid="{00000000-0005-0000-0000-00002C060000}"/>
    <cellStyle name="Comma 17" xfId="801" xr:uid="{00000000-0005-0000-0000-00002D060000}"/>
    <cellStyle name="Comma 17 2" xfId="802" xr:uid="{00000000-0005-0000-0000-00002E060000}"/>
    <cellStyle name="Comma 17 2 2" xfId="803" xr:uid="{00000000-0005-0000-0000-00002F060000}"/>
    <cellStyle name="Comma 17 2 2 2" xfId="2480" xr:uid="{00000000-0005-0000-0000-000030060000}"/>
    <cellStyle name="Comma 17 2 2 2 2" xfId="3525" xr:uid="{00000000-0005-0000-0000-000031060000}"/>
    <cellStyle name="Comma 17 2 2 3" xfId="3012" xr:uid="{00000000-0005-0000-0000-000032060000}"/>
    <cellStyle name="Comma 17 2 3" xfId="2479" xr:uid="{00000000-0005-0000-0000-000033060000}"/>
    <cellStyle name="Comma 17 2 3 2" xfId="3524" xr:uid="{00000000-0005-0000-0000-000034060000}"/>
    <cellStyle name="Comma 17 2 4" xfId="3011" xr:uid="{00000000-0005-0000-0000-000035060000}"/>
    <cellStyle name="Comma 17 3" xfId="804" xr:uid="{00000000-0005-0000-0000-000036060000}"/>
    <cellStyle name="Comma 17 3 2" xfId="2481" xr:uid="{00000000-0005-0000-0000-000037060000}"/>
    <cellStyle name="Comma 17 3 2 2" xfId="3526" xr:uid="{00000000-0005-0000-0000-000038060000}"/>
    <cellStyle name="Comma 17 3 3" xfId="3013" xr:uid="{00000000-0005-0000-0000-000039060000}"/>
    <cellStyle name="Comma 17 4" xfId="2478" xr:uid="{00000000-0005-0000-0000-00003A060000}"/>
    <cellStyle name="Comma 17 4 2" xfId="3523" xr:uid="{00000000-0005-0000-0000-00003B060000}"/>
    <cellStyle name="Comma 17 5" xfId="3010" xr:uid="{00000000-0005-0000-0000-00003C060000}"/>
    <cellStyle name="Comma 18" xfId="805" xr:uid="{00000000-0005-0000-0000-00003D060000}"/>
    <cellStyle name="Comma 18 2" xfId="806" xr:uid="{00000000-0005-0000-0000-00003E060000}"/>
    <cellStyle name="Comma 18 2 2" xfId="2483" xr:uid="{00000000-0005-0000-0000-00003F060000}"/>
    <cellStyle name="Comma 18 2 2 2" xfId="3528" xr:uid="{00000000-0005-0000-0000-000040060000}"/>
    <cellStyle name="Comma 18 2 3" xfId="3015" xr:uid="{00000000-0005-0000-0000-000041060000}"/>
    <cellStyle name="Comma 18 3" xfId="2482" xr:uid="{00000000-0005-0000-0000-000042060000}"/>
    <cellStyle name="Comma 18 3 2" xfId="3527" xr:uid="{00000000-0005-0000-0000-000043060000}"/>
    <cellStyle name="Comma 18 4" xfId="3014" xr:uid="{00000000-0005-0000-0000-000044060000}"/>
    <cellStyle name="Comma 19" xfId="807" xr:uid="{00000000-0005-0000-0000-000045060000}"/>
    <cellStyle name="Comma 19 2" xfId="808" xr:uid="{00000000-0005-0000-0000-000046060000}"/>
    <cellStyle name="Comma 19 2 2" xfId="2485" xr:uid="{00000000-0005-0000-0000-000047060000}"/>
    <cellStyle name="Comma 19 2 2 2" xfId="3530" xr:uid="{00000000-0005-0000-0000-000048060000}"/>
    <cellStyle name="Comma 19 2 3" xfId="3017" xr:uid="{00000000-0005-0000-0000-000049060000}"/>
    <cellStyle name="Comma 19 3" xfId="2484" xr:uid="{00000000-0005-0000-0000-00004A060000}"/>
    <cellStyle name="Comma 19 3 2" xfId="3529" xr:uid="{00000000-0005-0000-0000-00004B060000}"/>
    <cellStyle name="Comma 19 4" xfId="3016" xr:uid="{00000000-0005-0000-0000-00004C060000}"/>
    <cellStyle name="Comma 2" xfId="4" xr:uid="{00000000-0005-0000-0000-00004D060000}"/>
    <cellStyle name="Comma 2 10" xfId="809" xr:uid="{00000000-0005-0000-0000-00004E060000}"/>
    <cellStyle name="Comma 2 11" xfId="810" xr:uid="{00000000-0005-0000-0000-00004F060000}"/>
    <cellStyle name="Comma 2 12" xfId="811" xr:uid="{00000000-0005-0000-0000-000050060000}"/>
    <cellStyle name="Comma 2 13" xfId="812" xr:uid="{00000000-0005-0000-0000-000051060000}"/>
    <cellStyle name="Comma 2 14" xfId="813" xr:uid="{00000000-0005-0000-0000-000052060000}"/>
    <cellStyle name="Comma 2 15" xfId="814" xr:uid="{00000000-0005-0000-0000-000053060000}"/>
    <cellStyle name="Comma 2 16" xfId="815" xr:uid="{00000000-0005-0000-0000-000054060000}"/>
    <cellStyle name="Comma 2 17" xfId="816" xr:uid="{00000000-0005-0000-0000-000055060000}"/>
    <cellStyle name="Comma 2 17 2" xfId="817" xr:uid="{00000000-0005-0000-0000-000056060000}"/>
    <cellStyle name="Comma 2 17 2 2" xfId="2487" xr:uid="{00000000-0005-0000-0000-000057060000}"/>
    <cellStyle name="Comma 2 17 2 2 2" xfId="3532" xr:uid="{00000000-0005-0000-0000-000058060000}"/>
    <cellStyle name="Comma 2 17 2 3" xfId="3019" xr:uid="{00000000-0005-0000-0000-000059060000}"/>
    <cellStyle name="Comma 2 17 3" xfId="2486" xr:uid="{00000000-0005-0000-0000-00005A060000}"/>
    <cellStyle name="Comma 2 17 3 2" xfId="3531" xr:uid="{00000000-0005-0000-0000-00005B060000}"/>
    <cellStyle name="Comma 2 17 4" xfId="3018" xr:uid="{00000000-0005-0000-0000-00005C060000}"/>
    <cellStyle name="Comma 2 18" xfId="818" xr:uid="{00000000-0005-0000-0000-00005D060000}"/>
    <cellStyle name="Comma 2 18 2" xfId="819" xr:uid="{00000000-0005-0000-0000-00005E060000}"/>
    <cellStyle name="Comma 2 18 2 2" xfId="2489" xr:uid="{00000000-0005-0000-0000-00005F060000}"/>
    <cellStyle name="Comma 2 18 2 2 2" xfId="3534" xr:uid="{00000000-0005-0000-0000-000060060000}"/>
    <cellStyle name="Comma 2 18 2 3" xfId="3021" xr:uid="{00000000-0005-0000-0000-000061060000}"/>
    <cellStyle name="Comma 2 18 3" xfId="2488" xr:uid="{00000000-0005-0000-0000-000062060000}"/>
    <cellStyle name="Comma 2 18 3 2" xfId="3533" xr:uid="{00000000-0005-0000-0000-000063060000}"/>
    <cellStyle name="Comma 2 18 4" xfId="3020" xr:uid="{00000000-0005-0000-0000-000064060000}"/>
    <cellStyle name="Comma 2 19" xfId="820" xr:uid="{00000000-0005-0000-0000-000065060000}"/>
    <cellStyle name="Comma 2 19 2" xfId="821" xr:uid="{00000000-0005-0000-0000-000066060000}"/>
    <cellStyle name="Comma 2 19 2 2" xfId="822" xr:uid="{00000000-0005-0000-0000-000067060000}"/>
    <cellStyle name="Comma 2 19 2 2 2" xfId="2492" xr:uid="{00000000-0005-0000-0000-000068060000}"/>
    <cellStyle name="Comma 2 19 2 2 2 2" xfId="3537" xr:uid="{00000000-0005-0000-0000-000069060000}"/>
    <cellStyle name="Comma 2 19 2 2 3" xfId="3024" xr:uid="{00000000-0005-0000-0000-00006A060000}"/>
    <cellStyle name="Comma 2 19 2 3" xfId="2491" xr:uid="{00000000-0005-0000-0000-00006B060000}"/>
    <cellStyle name="Comma 2 19 2 3 2" xfId="3536" xr:uid="{00000000-0005-0000-0000-00006C060000}"/>
    <cellStyle name="Comma 2 19 2 4" xfId="3023" xr:uid="{00000000-0005-0000-0000-00006D060000}"/>
    <cellStyle name="Comma 2 19 3" xfId="823" xr:uid="{00000000-0005-0000-0000-00006E060000}"/>
    <cellStyle name="Comma 2 19 3 2" xfId="824" xr:uid="{00000000-0005-0000-0000-00006F060000}"/>
    <cellStyle name="Comma 2 19 3 2 2" xfId="2494" xr:uid="{00000000-0005-0000-0000-000070060000}"/>
    <cellStyle name="Comma 2 19 3 2 2 2" xfId="3539" xr:uid="{00000000-0005-0000-0000-000071060000}"/>
    <cellStyle name="Comma 2 19 3 2 3" xfId="3026" xr:uid="{00000000-0005-0000-0000-000072060000}"/>
    <cellStyle name="Comma 2 19 3 3" xfId="2493" xr:uid="{00000000-0005-0000-0000-000073060000}"/>
    <cellStyle name="Comma 2 19 3 3 2" xfId="3538" xr:uid="{00000000-0005-0000-0000-000074060000}"/>
    <cellStyle name="Comma 2 19 3 4" xfId="3025" xr:uid="{00000000-0005-0000-0000-000075060000}"/>
    <cellStyle name="Comma 2 19 4" xfId="825" xr:uid="{00000000-0005-0000-0000-000076060000}"/>
    <cellStyle name="Comma 2 19 4 2" xfId="2495" xr:uid="{00000000-0005-0000-0000-000077060000}"/>
    <cellStyle name="Comma 2 19 4 2 2" xfId="3540" xr:uid="{00000000-0005-0000-0000-000078060000}"/>
    <cellStyle name="Comma 2 19 4 3" xfId="3027" xr:uid="{00000000-0005-0000-0000-000079060000}"/>
    <cellStyle name="Comma 2 19 5" xfId="2490" xr:uid="{00000000-0005-0000-0000-00007A060000}"/>
    <cellStyle name="Comma 2 19 5 2" xfId="3535" xr:uid="{00000000-0005-0000-0000-00007B060000}"/>
    <cellStyle name="Comma 2 19 6" xfId="3022" xr:uid="{00000000-0005-0000-0000-00007C060000}"/>
    <cellStyle name="Comma 2 2" xfId="40" xr:uid="{00000000-0005-0000-0000-00007D060000}"/>
    <cellStyle name="Comma 2 2 2" xfId="41" xr:uid="{00000000-0005-0000-0000-00007E060000}"/>
    <cellStyle name="Comma 2 2 2 2" xfId="826" xr:uid="{00000000-0005-0000-0000-00007F060000}"/>
    <cellStyle name="Comma 2 2 2 2 2" xfId="2496" xr:uid="{00000000-0005-0000-0000-000080060000}"/>
    <cellStyle name="Comma 2 2 2 2 2 2" xfId="3541" xr:uid="{00000000-0005-0000-0000-000081060000}"/>
    <cellStyle name="Comma 2 2 2 2 3" xfId="3028" xr:uid="{00000000-0005-0000-0000-000082060000}"/>
    <cellStyle name="Comma 2 2 2 3" xfId="2186" xr:uid="{00000000-0005-0000-0000-000083060000}"/>
    <cellStyle name="Comma 2 2 2 3 2" xfId="3231" xr:uid="{00000000-0005-0000-0000-000084060000}"/>
    <cellStyle name="Comma 2 2 2 4" xfId="2717" xr:uid="{00000000-0005-0000-0000-000085060000}"/>
    <cellStyle name="Comma 2 2 2_AREFOR" xfId="827" xr:uid="{00000000-0005-0000-0000-000086060000}"/>
    <cellStyle name="Comma 2 2 3" xfId="828" xr:uid="{00000000-0005-0000-0000-000087060000}"/>
    <cellStyle name="Comma 2 2 3 2" xfId="829" xr:uid="{00000000-0005-0000-0000-000088060000}"/>
    <cellStyle name="Comma 2 2 3 2 2" xfId="2498" xr:uid="{00000000-0005-0000-0000-000089060000}"/>
    <cellStyle name="Comma 2 2 3 2 2 2" xfId="3543" xr:uid="{00000000-0005-0000-0000-00008A060000}"/>
    <cellStyle name="Comma 2 2 3 2 3" xfId="3030" xr:uid="{00000000-0005-0000-0000-00008B060000}"/>
    <cellStyle name="Comma 2 2 3 3" xfId="2497" xr:uid="{00000000-0005-0000-0000-00008C060000}"/>
    <cellStyle name="Comma 2 2 3 3 2" xfId="3542" xr:uid="{00000000-0005-0000-0000-00008D060000}"/>
    <cellStyle name="Comma 2 2 3 4" xfId="3029" xr:uid="{00000000-0005-0000-0000-00008E060000}"/>
    <cellStyle name="Comma 2 2 3_AREFOR" xfId="830" xr:uid="{00000000-0005-0000-0000-00008F060000}"/>
    <cellStyle name="Comma 2 2 4" xfId="2185" xr:uid="{00000000-0005-0000-0000-000090060000}"/>
    <cellStyle name="Comma 2 2 4 2" xfId="3230" xr:uid="{00000000-0005-0000-0000-000091060000}"/>
    <cellStyle name="Comma 2 2 5" xfId="2716" xr:uid="{00000000-0005-0000-0000-000092060000}"/>
    <cellStyle name="Comma 2 2_AREFOR" xfId="831" xr:uid="{00000000-0005-0000-0000-000093060000}"/>
    <cellStyle name="Comma 2 20" xfId="832" xr:uid="{00000000-0005-0000-0000-000094060000}"/>
    <cellStyle name="Comma 2 20 2" xfId="833" xr:uid="{00000000-0005-0000-0000-000095060000}"/>
    <cellStyle name="Comma 2 20 2 2" xfId="2500" xr:uid="{00000000-0005-0000-0000-000096060000}"/>
    <cellStyle name="Comma 2 20 2 2 2" xfId="3545" xr:uid="{00000000-0005-0000-0000-000097060000}"/>
    <cellStyle name="Comma 2 20 2 3" xfId="3032" xr:uid="{00000000-0005-0000-0000-000098060000}"/>
    <cellStyle name="Comma 2 20 3" xfId="2499" xr:uid="{00000000-0005-0000-0000-000099060000}"/>
    <cellStyle name="Comma 2 20 3 2" xfId="3544" xr:uid="{00000000-0005-0000-0000-00009A060000}"/>
    <cellStyle name="Comma 2 20 4" xfId="3031" xr:uid="{00000000-0005-0000-0000-00009B060000}"/>
    <cellStyle name="Comma 2 21" xfId="834" xr:uid="{00000000-0005-0000-0000-00009C060000}"/>
    <cellStyle name="Comma 2 21 2" xfId="2501" xr:uid="{00000000-0005-0000-0000-00009D060000}"/>
    <cellStyle name="Comma 2 21 2 2" xfId="3546" xr:uid="{00000000-0005-0000-0000-00009E060000}"/>
    <cellStyle name="Comma 2 21 3" xfId="3033" xr:uid="{00000000-0005-0000-0000-00009F060000}"/>
    <cellStyle name="Comma 2 22" xfId="39" xr:uid="{00000000-0005-0000-0000-0000A0060000}"/>
    <cellStyle name="Comma 2 22 2" xfId="2184" xr:uid="{00000000-0005-0000-0000-0000A1060000}"/>
    <cellStyle name="Comma 2 22 2 2" xfId="3229" xr:uid="{00000000-0005-0000-0000-0000A2060000}"/>
    <cellStyle name="Comma 2 22 3" xfId="2715" xr:uid="{00000000-0005-0000-0000-0000A3060000}"/>
    <cellStyle name="Comma 2 23" xfId="2178" xr:uid="{00000000-0005-0000-0000-0000A4060000}"/>
    <cellStyle name="Comma 2 23 2" xfId="3223" xr:uid="{00000000-0005-0000-0000-0000A5060000}"/>
    <cellStyle name="Comma 2 24" xfId="2712" xr:uid="{00000000-0005-0000-0000-0000A6060000}"/>
    <cellStyle name="Comma 2 25" xfId="2695" xr:uid="{00000000-0005-0000-0000-0000A7060000}"/>
    <cellStyle name="Comma 2 3" xfId="42" xr:uid="{00000000-0005-0000-0000-0000A8060000}"/>
    <cellStyle name="Comma 2 3 2" xfId="835" xr:uid="{00000000-0005-0000-0000-0000A9060000}"/>
    <cellStyle name="Comma 2 3 2 2" xfId="2502" xr:uid="{00000000-0005-0000-0000-0000AA060000}"/>
    <cellStyle name="Comma 2 3 2 2 2" xfId="3547" xr:uid="{00000000-0005-0000-0000-0000AB060000}"/>
    <cellStyle name="Comma 2 3 2 3" xfId="3034" xr:uid="{00000000-0005-0000-0000-0000AC060000}"/>
    <cellStyle name="Comma 2 3 3" xfId="2187" xr:uid="{00000000-0005-0000-0000-0000AD060000}"/>
    <cellStyle name="Comma 2 3 3 2" xfId="3232" xr:uid="{00000000-0005-0000-0000-0000AE060000}"/>
    <cellStyle name="Comma 2 3 4" xfId="2718" xr:uid="{00000000-0005-0000-0000-0000AF060000}"/>
    <cellStyle name="Comma 2 3_AREFOR" xfId="836" xr:uid="{00000000-0005-0000-0000-0000B0060000}"/>
    <cellStyle name="Comma 2 4" xfId="837" xr:uid="{00000000-0005-0000-0000-0000B1060000}"/>
    <cellStyle name="Comma 2 4 2" xfId="2503" xr:uid="{00000000-0005-0000-0000-0000B2060000}"/>
    <cellStyle name="Comma 2 4 2 2" xfId="3548" xr:uid="{00000000-0005-0000-0000-0000B3060000}"/>
    <cellStyle name="Comma 2 4 3" xfId="3035" xr:uid="{00000000-0005-0000-0000-0000B4060000}"/>
    <cellStyle name="Comma 2 5" xfId="838" xr:uid="{00000000-0005-0000-0000-0000B5060000}"/>
    <cellStyle name="Comma 2 6" xfId="839" xr:uid="{00000000-0005-0000-0000-0000B6060000}"/>
    <cellStyle name="Comma 2 7" xfId="840" xr:uid="{00000000-0005-0000-0000-0000B7060000}"/>
    <cellStyle name="Comma 2 8" xfId="841" xr:uid="{00000000-0005-0000-0000-0000B8060000}"/>
    <cellStyle name="Comma 2 9" xfId="842" xr:uid="{00000000-0005-0000-0000-0000B9060000}"/>
    <cellStyle name="Comma 2_CDR" xfId="843" xr:uid="{00000000-0005-0000-0000-0000BA060000}"/>
    <cellStyle name="Comma 20" xfId="844" xr:uid="{00000000-0005-0000-0000-0000BB060000}"/>
    <cellStyle name="Comma 20 2" xfId="845" xr:uid="{00000000-0005-0000-0000-0000BC060000}"/>
    <cellStyle name="Comma 20 2 2" xfId="2505" xr:uid="{00000000-0005-0000-0000-0000BD060000}"/>
    <cellStyle name="Comma 20 2 2 2" xfId="3550" xr:uid="{00000000-0005-0000-0000-0000BE060000}"/>
    <cellStyle name="Comma 20 2 3" xfId="3037" xr:uid="{00000000-0005-0000-0000-0000BF060000}"/>
    <cellStyle name="Comma 20 3" xfId="2504" xr:uid="{00000000-0005-0000-0000-0000C0060000}"/>
    <cellStyle name="Comma 20 3 2" xfId="3549" xr:uid="{00000000-0005-0000-0000-0000C1060000}"/>
    <cellStyle name="Comma 20 4" xfId="3036" xr:uid="{00000000-0005-0000-0000-0000C2060000}"/>
    <cellStyle name="Comma 21" xfId="846" xr:uid="{00000000-0005-0000-0000-0000C3060000}"/>
    <cellStyle name="Comma 21 2" xfId="847" xr:uid="{00000000-0005-0000-0000-0000C4060000}"/>
    <cellStyle name="Comma 21 2 2" xfId="2507" xr:uid="{00000000-0005-0000-0000-0000C5060000}"/>
    <cellStyle name="Comma 21 2 2 2" xfId="3552" xr:uid="{00000000-0005-0000-0000-0000C6060000}"/>
    <cellStyle name="Comma 21 2 3" xfId="3039" xr:uid="{00000000-0005-0000-0000-0000C7060000}"/>
    <cellStyle name="Comma 21 3" xfId="2506" xr:uid="{00000000-0005-0000-0000-0000C8060000}"/>
    <cellStyle name="Comma 21 3 2" xfId="3551" xr:uid="{00000000-0005-0000-0000-0000C9060000}"/>
    <cellStyle name="Comma 21 4" xfId="3038" xr:uid="{00000000-0005-0000-0000-0000CA060000}"/>
    <cellStyle name="Comma 22" xfId="848" xr:uid="{00000000-0005-0000-0000-0000CB060000}"/>
    <cellStyle name="Comma 22 2" xfId="849" xr:uid="{00000000-0005-0000-0000-0000CC060000}"/>
    <cellStyle name="Comma 22 2 2" xfId="2509" xr:uid="{00000000-0005-0000-0000-0000CD060000}"/>
    <cellStyle name="Comma 22 2 2 2" xfId="3554" xr:uid="{00000000-0005-0000-0000-0000CE060000}"/>
    <cellStyle name="Comma 22 2 3" xfId="3041" xr:uid="{00000000-0005-0000-0000-0000CF060000}"/>
    <cellStyle name="Comma 22 3" xfId="2508" xr:uid="{00000000-0005-0000-0000-0000D0060000}"/>
    <cellStyle name="Comma 22 3 2" xfId="3553" xr:uid="{00000000-0005-0000-0000-0000D1060000}"/>
    <cellStyle name="Comma 22 4" xfId="3040" xr:uid="{00000000-0005-0000-0000-0000D2060000}"/>
    <cellStyle name="Comma 23" xfId="850" xr:uid="{00000000-0005-0000-0000-0000D3060000}"/>
    <cellStyle name="Comma 23 2" xfId="851" xr:uid="{00000000-0005-0000-0000-0000D4060000}"/>
    <cellStyle name="Comma 23 2 2" xfId="2511" xr:uid="{00000000-0005-0000-0000-0000D5060000}"/>
    <cellStyle name="Comma 23 2 2 2" xfId="3556" xr:uid="{00000000-0005-0000-0000-0000D6060000}"/>
    <cellStyle name="Comma 23 2 3" xfId="3043" xr:uid="{00000000-0005-0000-0000-0000D7060000}"/>
    <cellStyle name="Comma 23 3" xfId="2510" xr:uid="{00000000-0005-0000-0000-0000D8060000}"/>
    <cellStyle name="Comma 23 3 2" xfId="3555" xr:uid="{00000000-0005-0000-0000-0000D9060000}"/>
    <cellStyle name="Comma 23 4" xfId="3042" xr:uid="{00000000-0005-0000-0000-0000DA060000}"/>
    <cellStyle name="Comma 24" xfId="852" xr:uid="{00000000-0005-0000-0000-0000DB060000}"/>
    <cellStyle name="Comma 24 2" xfId="853" xr:uid="{00000000-0005-0000-0000-0000DC060000}"/>
    <cellStyle name="Comma 24 2 2" xfId="2513" xr:uid="{00000000-0005-0000-0000-0000DD060000}"/>
    <cellStyle name="Comma 24 2 2 2" xfId="3558" xr:uid="{00000000-0005-0000-0000-0000DE060000}"/>
    <cellStyle name="Comma 24 2 3" xfId="3045" xr:uid="{00000000-0005-0000-0000-0000DF060000}"/>
    <cellStyle name="Comma 24 3" xfId="2512" xr:uid="{00000000-0005-0000-0000-0000E0060000}"/>
    <cellStyle name="Comma 24 3 2" xfId="3557" xr:uid="{00000000-0005-0000-0000-0000E1060000}"/>
    <cellStyle name="Comma 24 4" xfId="3044" xr:uid="{00000000-0005-0000-0000-0000E2060000}"/>
    <cellStyle name="Comma 25" xfId="854" xr:uid="{00000000-0005-0000-0000-0000E3060000}"/>
    <cellStyle name="Comma 25 2" xfId="855" xr:uid="{00000000-0005-0000-0000-0000E4060000}"/>
    <cellStyle name="Comma 25 2 2" xfId="2515" xr:uid="{00000000-0005-0000-0000-0000E5060000}"/>
    <cellStyle name="Comma 25 2 2 2" xfId="3560" xr:uid="{00000000-0005-0000-0000-0000E6060000}"/>
    <cellStyle name="Comma 25 2 3" xfId="3047" xr:uid="{00000000-0005-0000-0000-0000E7060000}"/>
    <cellStyle name="Comma 25 3" xfId="2514" xr:uid="{00000000-0005-0000-0000-0000E8060000}"/>
    <cellStyle name="Comma 25 3 2" xfId="3559" xr:uid="{00000000-0005-0000-0000-0000E9060000}"/>
    <cellStyle name="Comma 25 4" xfId="3046" xr:uid="{00000000-0005-0000-0000-0000EA060000}"/>
    <cellStyle name="Comma 26" xfId="856" xr:uid="{00000000-0005-0000-0000-0000EB060000}"/>
    <cellStyle name="Comma 26 2" xfId="857" xr:uid="{00000000-0005-0000-0000-0000EC060000}"/>
    <cellStyle name="Comma 26 2 2" xfId="2517" xr:uid="{00000000-0005-0000-0000-0000ED060000}"/>
    <cellStyle name="Comma 26 2 2 2" xfId="3562" xr:uid="{00000000-0005-0000-0000-0000EE060000}"/>
    <cellStyle name="Comma 26 2 3" xfId="3049" xr:uid="{00000000-0005-0000-0000-0000EF060000}"/>
    <cellStyle name="Comma 26 3" xfId="2516" xr:uid="{00000000-0005-0000-0000-0000F0060000}"/>
    <cellStyle name="Comma 26 3 2" xfId="3561" xr:uid="{00000000-0005-0000-0000-0000F1060000}"/>
    <cellStyle name="Comma 26 4" xfId="3048" xr:uid="{00000000-0005-0000-0000-0000F2060000}"/>
    <cellStyle name="Comma 27" xfId="858" xr:uid="{00000000-0005-0000-0000-0000F3060000}"/>
    <cellStyle name="Comma 27 2" xfId="2518" xr:uid="{00000000-0005-0000-0000-0000F4060000}"/>
    <cellStyle name="Comma 27 2 2" xfId="3563" xr:uid="{00000000-0005-0000-0000-0000F5060000}"/>
    <cellStyle name="Comma 27 3" xfId="3050" xr:uid="{00000000-0005-0000-0000-0000F6060000}"/>
    <cellStyle name="Comma 28" xfId="112" xr:uid="{00000000-0005-0000-0000-0000F7060000}"/>
    <cellStyle name="Comma 28 2" xfId="2199" xr:uid="{00000000-0005-0000-0000-0000F8060000}"/>
    <cellStyle name="Comma 28 2 2" xfId="3244" xr:uid="{00000000-0005-0000-0000-0000F9060000}"/>
    <cellStyle name="Comma 28 3" xfId="2731" xr:uid="{00000000-0005-0000-0000-0000FA060000}"/>
    <cellStyle name="Comma 29" xfId="2128" xr:uid="{00000000-0005-0000-0000-0000FB060000}"/>
    <cellStyle name="Comma 29 2" xfId="2681" xr:uid="{00000000-0005-0000-0000-0000FC060000}"/>
    <cellStyle name="Comma 29 2 2" xfId="3726" xr:uid="{00000000-0005-0000-0000-0000FD060000}"/>
    <cellStyle name="Comma 29 3" xfId="3214" xr:uid="{00000000-0005-0000-0000-0000FE060000}"/>
    <cellStyle name="Comma 3" xfId="43" xr:uid="{00000000-0005-0000-0000-0000FF060000}"/>
    <cellStyle name="Comma 3 10" xfId="859" xr:uid="{00000000-0005-0000-0000-000000070000}"/>
    <cellStyle name="Comma 3 10 2" xfId="860" xr:uid="{00000000-0005-0000-0000-000001070000}"/>
    <cellStyle name="Comma 3 10 2 2" xfId="2520" xr:uid="{00000000-0005-0000-0000-000002070000}"/>
    <cellStyle name="Comma 3 10 2 2 2" xfId="3565" xr:uid="{00000000-0005-0000-0000-000003070000}"/>
    <cellStyle name="Comma 3 10 2 3" xfId="3052" xr:uid="{00000000-0005-0000-0000-000004070000}"/>
    <cellStyle name="Comma 3 10 3" xfId="2519" xr:uid="{00000000-0005-0000-0000-000005070000}"/>
    <cellStyle name="Comma 3 10 3 2" xfId="3564" xr:uid="{00000000-0005-0000-0000-000006070000}"/>
    <cellStyle name="Comma 3 10 4" xfId="3051" xr:uid="{00000000-0005-0000-0000-000007070000}"/>
    <cellStyle name="Comma 3 11" xfId="861" xr:uid="{00000000-0005-0000-0000-000008070000}"/>
    <cellStyle name="Comma 3 11 2" xfId="2521" xr:uid="{00000000-0005-0000-0000-000009070000}"/>
    <cellStyle name="Comma 3 11 2 2" xfId="3566" xr:uid="{00000000-0005-0000-0000-00000A070000}"/>
    <cellStyle name="Comma 3 11 3" xfId="3053" xr:uid="{00000000-0005-0000-0000-00000B070000}"/>
    <cellStyle name="Comma 3 12" xfId="2188" xr:uid="{00000000-0005-0000-0000-00000C070000}"/>
    <cellStyle name="Comma 3 12 2" xfId="3233" xr:uid="{00000000-0005-0000-0000-00000D070000}"/>
    <cellStyle name="Comma 3 13" xfId="2719" xr:uid="{00000000-0005-0000-0000-00000E070000}"/>
    <cellStyle name="Comma 3 2" xfId="44" xr:uid="{00000000-0005-0000-0000-00000F070000}"/>
    <cellStyle name="Comma 3 2 2" xfId="862" xr:uid="{00000000-0005-0000-0000-000010070000}"/>
    <cellStyle name="Comma 3 2 2 2" xfId="2522" xr:uid="{00000000-0005-0000-0000-000011070000}"/>
    <cellStyle name="Comma 3 2 2 2 2" xfId="3567" xr:uid="{00000000-0005-0000-0000-000012070000}"/>
    <cellStyle name="Comma 3 2 2 3" xfId="3054" xr:uid="{00000000-0005-0000-0000-000013070000}"/>
    <cellStyle name="Comma 3 2_AREFOR" xfId="863" xr:uid="{00000000-0005-0000-0000-000014070000}"/>
    <cellStyle name="Comma 3 3" xfId="45" xr:uid="{00000000-0005-0000-0000-000015070000}"/>
    <cellStyle name="Comma 3 3 2" xfId="46" xr:uid="{00000000-0005-0000-0000-000016070000}"/>
    <cellStyle name="Comma 3 3 2 2" xfId="2190" xr:uid="{00000000-0005-0000-0000-000017070000}"/>
    <cellStyle name="Comma 3 3 2 2 2" xfId="3235" xr:uid="{00000000-0005-0000-0000-000018070000}"/>
    <cellStyle name="Comma 3 3 2 3" xfId="2721" xr:uid="{00000000-0005-0000-0000-000019070000}"/>
    <cellStyle name="Comma 3 3 3" xfId="2189" xr:uid="{00000000-0005-0000-0000-00001A070000}"/>
    <cellStyle name="Comma 3 3 3 2" xfId="3234" xr:uid="{00000000-0005-0000-0000-00001B070000}"/>
    <cellStyle name="Comma 3 3 4" xfId="2720" xr:uid="{00000000-0005-0000-0000-00001C070000}"/>
    <cellStyle name="Comma 3 3_AREFOR" xfId="864" xr:uid="{00000000-0005-0000-0000-00001D070000}"/>
    <cellStyle name="Comma 3 4" xfId="47" xr:uid="{00000000-0005-0000-0000-00001E070000}"/>
    <cellStyle name="Comma 3 4 2" xfId="865" xr:uid="{00000000-0005-0000-0000-00001F070000}"/>
    <cellStyle name="Comma 3 4 2 2" xfId="2523" xr:uid="{00000000-0005-0000-0000-000020070000}"/>
    <cellStyle name="Comma 3 4 2 2 2" xfId="3568" xr:uid="{00000000-0005-0000-0000-000021070000}"/>
    <cellStyle name="Comma 3 4 2 3" xfId="3055" xr:uid="{00000000-0005-0000-0000-000022070000}"/>
    <cellStyle name="Comma 3 4 3" xfId="2191" xr:uid="{00000000-0005-0000-0000-000023070000}"/>
    <cellStyle name="Comma 3 4 3 2" xfId="3236" xr:uid="{00000000-0005-0000-0000-000024070000}"/>
    <cellStyle name="Comma 3 4 4" xfId="2722" xr:uid="{00000000-0005-0000-0000-000025070000}"/>
    <cellStyle name="Comma 3 4_AREFOR" xfId="866" xr:uid="{00000000-0005-0000-0000-000026070000}"/>
    <cellStyle name="Comma 3 5" xfId="867" xr:uid="{00000000-0005-0000-0000-000027070000}"/>
    <cellStyle name="Comma 3 5 2" xfId="868" xr:uid="{00000000-0005-0000-0000-000028070000}"/>
    <cellStyle name="Comma 3 5 2 2" xfId="2525" xr:uid="{00000000-0005-0000-0000-000029070000}"/>
    <cellStyle name="Comma 3 5 2 2 2" xfId="3570" xr:uid="{00000000-0005-0000-0000-00002A070000}"/>
    <cellStyle name="Comma 3 5 2 3" xfId="3057" xr:uid="{00000000-0005-0000-0000-00002B070000}"/>
    <cellStyle name="Comma 3 5 3" xfId="2524" xr:uid="{00000000-0005-0000-0000-00002C070000}"/>
    <cellStyle name="Comma 3 5 3 2" xfId="3569" xr:uid="{00000000-0005-0000-0000-00002D070000}"/>
    <cellStyle name="Comma 3 5 4" xfId="3056" xr:uid="{00000000-0005-0000-0000-00002E070000}"/>
    <cellStyle name="Comma 3 6" xfId="869" xr:uid="{00000000-0005-0000-0000-00002F070000}"/>
    <cellStyle name="Comma 3 6 2" xfId="870" xr:uid="{00000000-0005-0000-0000-000030070000}"/>
    <cellStyle name="Comma 3 6 2 2" xfId="2527" xr:uid="{00000000-0005-0000-0000-000031070000}"/>
    <cellStyle name="Comma 3 6 2 2 2" xfId="3572" xr:uid="{00000000-0005-0000-0000-000032070000}"/>
    <cellStyle name="Comma 3 6 2 3" xfId="3059" xr:uid="{00000000-0005-0000-0000-000033070000}"/>
    <cellStyle name="Comma 3 6 3" xfId="2526" xr:uid="{00000000-0005-0000-0000-000034070000}"/>
    <cellStyle name="Comma 3 6 3 2" xfId="3571" xr:uid="{00000000-0005-0000-0000-000035070000}"/>
    <cellStyle name="Comma 3 6 4" xfId="3058" xr:uid="{00000000-0005-0000-0000-000036070000}"/>
    <cellStyle name="Comma 3 7" xfId="871" xr:uid="{00000000-0005-0000-0000-000037070000}"/>
    <cellStyle name="Comma 3 7 2" xfId="872" xr:uid="{00000000-0005-0000-0000-000038070000}"/>
    <cellStyle name="Comma 3 7 2 2" xfId="2529" xr:uid="{00000000-0005-0000-0000-000039070000}"/>
    <cellStyle name="Comma 3 7 2 2 2" xfId="3574" xr:uid="{00000000-0005-0000-0000-00003A070000}"/>
    <cellStyle name="Comma 3 7 2 3" xfId="3061" xr:uid="{00000000-0005-0000-0000-00003B070000}"/>
    <cellStyle name="Comma 3 7 3" xfId="2528" xr:uid="{00000000-0005-0000-0000-00003C070000}"/>
    <cellStyle name="Comma 3 7 3 2" xfId="3573" xr:uid="{00000000-0005-0000-0000-00003D070000}"/>
    <cellStyle name="Comma 3 7 4" xfId="3060" xr:uid="{00000000-0005-0000-0000-00003E070000}"/>
    <cellStyle name="Comma 3 8" xfId="873" xr:uid="{00000000-0005-0000-0000-00003F070000}"/>
    <cellStyle name="Comma 3 8 2" xfId="874" xr:uid="{00000000-0005-0000-0000-000040070000}"/>
    <cellStyle name="Comma 3 8 2 2" xfId="2531" xr:uid="{00000000-0005-0000-0000-000041070000}"/>
    <cellStyle name="Comma 3 8 2 2 2" xfId="3576" xr:uid="{00000000-0005-0000-0000-000042070000}"/>
    <cellStyle name="Comma 3 8 2 3" xfId="3063" xr:uid="{00000000-0005-0000-0000-000043070000}"/>
    <cellStyle name="Comma 3 8 3" xfId="2530" xr:uid="{00000000-0005-0000-0000-000044070000}"/>
    <cellStyle name="Comma 3 8 3 2" xfId="3575" xr:uid="{00000000-0005-0000-0000-000045070000}"/>
    <cellStyle name="Comma 3 8 4" xfId="3062" xr:uid="{00000000-0005-0000-0000-000046070000}"/>
    <cellStyle name="Comma 3 9" xfId="875" xr:uid="{00000000-0005-0000-0000-000047070000}"/>
    <cellStyle name="Comma 3 9 2" xfId="876" xr:uid="{00000000-0005-0000-0000-000048070000}"/>
    <cellStyle name="Comma 3 9 2 2" xfId="2533" xr:uid="{00000000-0005-0000-0000-000049070000}"/>
    <cellStyle name="Comma 3 9 2 2 2" xfId="3578" xr:uid="{00000000-0005-0000-0000-00004A070000}"/>
    <cellStyle name="Comma 3 9 2 3" xfId="3065" xr:uid="{00000000-0005-0000-0000-00004B070000}"/>
    <cellStyle name="Comma 3 9 3" xfId="2532" xr:uid="{00000000-0005-0000-0000-00004C070000}"/>
    <cellStyle name="Comma 3 9 3 2" xfId="3577" xr:uid="{00000000-0005-0000-0000-00004D070000}"/>
    <cellStyle name="Comma 3 9 4" xfId="3064" xr:uid="{00000000-0005-0000-0000-00004E070000}"/>
    <cellStyle name="Comma 3_AREFOR" xfId="877" xr:uid="{00000000-0005-0000-0000-00004F070000}"/>
    <cellStyle name="Comma 30" xfId="2132" xr:uid="{00000000-0005-0000-0000-000050070000}"/>
    <cellStyle name="Comma 30 2" xfId="2685" xr:uid="{00000000-0005-0000-0000-000051070000}"/>
    <cellStyle name="Comma 30 2 2" xfId="3730" xr:uid="{00000000-0005-0000-0000-000052070000}"/>
    <cellStyle name="Comma 30 3" xfId="3218" xr:uid="{00000000-0005-0000-0000-000053070000}"/>
    <cellStyle name="Comma 31" xfId="2129" xr:uid="{00000000-0005-0000-0000-000054070000}"/>
    <cellStyle name="Comma 31 2" xfId="2682" xr:uid="{00000000-0005-0000-0000-000055070000}"/>
    <cellStyle name="Comma 31 2 2" xfId="3727" xr:uid="{00000000-0005-0000-0000-000056070000}"/>
    <cellStyle name="Comma 31 3" xfId="3215" xr:uid="{00000000-0005-0000-0000-000057070000}"/>
    <cellStyle name="Comma 32" xfId="2131" xr:uid="{00000000-0005-0000-0000-000058070000}"/>
    <cellStyle name="Comma 32 2" xfId="2684" xr:uid="{00000000-0005-0000-0000-000059070000}"/>
    <cellStyle name="Comma 32 2 2" xfId="3729" xr:uid="{00000000-0005-0000-0000-00005A070000}"/>
    <cellStyle name="Comma 32 3" xfId="3217" xr:uid="{00000000-0005-0000-0000-00005B070000}"/>
    <cellStyle name="Comma 33" xfId="2127" xr:uid="{00000000-0005-0000-0000-00005C070000}"/>
    <cellStyle name="Comma 33 2" xfId="2680" xr:uid="{00000000-0005-0000-0000-00005D070000}"/>
    <cellStyle name="Comma 33 2 2" xfId="3725" xr:uid="{00000000-0005-0000-0000-00005E070000}"/>
    <cellStyle name="Comma 33 3" xfId="3213" xr:uid="{00000000-0005-0000-0000-00005F070000}"/>
    <cellStyle name="Comma 34" xfId="2130" xr:uid="{00000000-0005-0000-0000-000060070000}"/>
    <cellStyle name="Comma 34 2" xfId="2683" xr:uid="{00000000-0005-0000-0000-000061070000}"/>
    <cellStyle name="Comma 34 2 2" xfId="3728" xr:uid="{00000000-0005-0000-0000-000062070000}"/>
    <cellStyle name="Comma 34 3" xfId="3216" xr:uid="{00000000-0005-0000-0000-000063070000}"/>
    <cellStyle name="Comma 4" xfId="48" xr:uid="{00000000-0005-0000-0000-000064070000}"/>
    <cellStyle name="Comma 4 10" xfId="2192" xr:uid="{00000000-0005-0000-0000-000065070000}"/>
    <cellStyle name="Comma 4 10 2" xfId="3237" xr:uid="{00000000-0005-0000-0000-000066070000}"/>
    <cellStyle name="Comma 4 11" xfId="2723" xr:uid="{00000000-0005-0000-0000-000067070000}"/>
    <cellStyle name="Comma 4 2" xfId="878" xr:uid="{00000000-0005-0000-0000-000068070000}"/>
    <cellStyle name="Comma 4 2 2" xfId="879" xr:uid="{00000000-0005-0000-0000-000069070000}"/>
    <cellStyle name="Comma 4 2 2 2" xfId="2535" xr:uid="{00000000-0005-0000-0000-00006A070000}"/>
    <cellStyle name="Comma 4 2 2 2 2" xfId="3580" xr:uid="{00000000-0005-0000-0000-00006B070000}"/>
    <cellStyle name="Comma 4 2 2 3" xfId="3067" xr:uid="{00000000-0005-0000-0000-00006C070000}"/>
    <cellStyle name="Comma 4 2 3" xfId="2534" xr:uid="{00000000-0005-0000-0000-00006D070000}"/>
    <cellStyle name="Comma 4 2 3 2" xfId="3579" xr:uid="{00000000-0005-0000-0000-00006E070000}"/>
    <cellStyle name="Comma 4 2 4" xfId="3066" xr:uid="{00000000-0005-0000-0000-00006F070000}"/>
    <cellStyle name="Comma 4 3" xfId="880" xr:uid="{00000000-0005-0000-0000-000070070000}"/>
    <cellStyle name="Comma 4 3 2" xfId="881" xr:uid="{00000000-0005-0000-0000-000071070000}"/>
    <cellStyle name="Comma 4 3 2 2" xfId="2537" xr:uid="{00000000-0005-0000-0000-000072070000}"/>
    <cellStyle name="Comma 4 3 2 2 2" xfId="3582" xr:uid="{00000000-0005-0000-0000-000073070000}"/>
    <cellStyle name="Comma 4 3 2 3" xfId="3069" xr:uid="{00000000-0005-0000-0000-000074070000}"/>
    <cellStyle name="Comma 4 3 3" xfId="2536" xr:uid="{00000000-0005-0000-0000-000075070000}"/>
    <cellStyle name="Comma 4 3 3 2" xfId="3581" xr:uid="{00000000-0005-0000-0000-000076070000}"/>
    <cellStyle name="Comma 4 3 4" xfId="3068" xr:uid="{00000000-0005-0000-0000-000077070000}"/>
    <cellStyle name="Comma 4 4" xfId="882" xr:uid="{00000000-0005-0000-0000-000078070000}"/>
    <cellStyle name="Comma 4 4 2" xfId="883" xr:uid="{00000000-0005-0000-0000-000079070000}"/>
    <cellStyle name="Comma 4 4 2 2" xfId="2539" xr:uid="{00000000-0005-0000-0000-00007A070000}"/>
    <cellStyle name="Comma 4 4 2 2 2" xfId="3584" xr:uid="{00000000-0005-0000-0000-00007B070000}"/>
    <cellStyle name="Comma 4 4 2 3" xfId="3071" xr:uid="{00000000-0005-0000-0000-00007C070000}"/>
    <cellStyle name="Comma 4 4 3" xfId="2538" xr:uid="{00000000-0005-0000-0000-00007D070000}"/>
    <cellStyle name="Comma 4 4 3 2" xfId="3583" xr:uid="{00000000-0005-0000-0000-00007E070000}"/>
    <cellStyle name="Comma 4 4 4" xfId="3070" xr:uid="{00000000-0005-0000-0000-00007F070000}"/>
    <cellStyle name="Comma 4 5" xfId="884" xr:uid="{00000000-0005-0000-0000-000080070000}"/>
    <cellStyle name="Comma 4 5 2" xfId="885" xr:uid="{00000000-0005-0000-0000-000081070000}"/>
    <cellStyle name="Comma 4 5 2 2" xfId="2541" xr:uid="{00000000-0005-0000-0000-000082070000}"/>
    <cellStyle name="Comma 4 5 2 2 2" xfId="3586" xr:uid="{00000000-0005-0000-0000-000083070000}"/>
    <cellStyle name="Comma 4 5 2 3" xfId="3073" xr:uid="{00000000-0005-0000-0000-000084070000}"/>
    <cellStyle name="Comma 4 5 3" xfId="2540" xr:uid="{00000000-0005-0000-0000-000085070000}"/>
    <cellStyle name="Comma 4 5 3 2" xfId="3585" xr:uid="{00000000-0005-0000-0000-000086070000}"/>
    <cellStyle name="Comma 4 5 4" xfId="3072" xr:uid="{00000000-0005-0000-0000-000087070000}"/>
    <cellStyle name="Comma 4 6" xfId="886" xr:uid="{00000000-0005-0000-0000-000088070000}"/>
    <cellStyle name="Comma 4 6 2" xfId="887" xr:uid="{00000000-0005-0000-0000-000089070000}"/>
    <cellStyle name="Comma 4 6 2 2" xfId="2543" xr:uid="{00000000-0005-0000-0000-00008A070000}"/>
    <cellStyle name="Comma 4 6 2 2 2" xfId="3588" xr:uid="{00000000-0005-0000-0000-00008B070000}"/>
    <cellStyle name="Comma 4 6 2 3" xfId="3075" xr:uid="{00000000-0005-0000-0000-00008C070000}"/>
    <cellStyle name="Comma 4 6 3" xfId="2542" xr:uid="{00000000-0005-0000-0000-00008D070000}"/>
    <cellStyle name="Comma 4 6 3 2" xfId="3587" xr:uid="{00000000-0005-0000-0000-00008E070000}"/>
    <cellStyle name="Comma 4 6 4" xfId="3074" xr:uid="{00000000-0005-0000-0000-00008F070000}"/>
    <cellStyle name="Comma 4 7" xfId="888" xr:uid="{00000000-0005-0000-0000-000090070000}"/>
    <cellStyle name="Comma 4 7 2" xfId="889" xr:uid="{00000000-0005-0000-0000-000091070000}"/>
    <cellStyle name="Comma 4 7 2 2" xfId="2545" xr:uid="{00000000-0005-0000-0000-000092070000}"/>
    <cellStyle name="Comma 4 7 2 2 2" xfId="3590" xr:uid="{00000000-0005-0000-0000-000093070000}"/>
    <cellStyle name="Comma 4 7 2 3" xfId="3077" xr:uid="{00000000-0005-0000-0000-000094070000}"/>
    <cellStyle name="Comma 4 7 3" xfId="2544" xr:uid="{00000000-0005-0000-0000-000095070000}"/>
    <cellStyle name="Comma 4 7 3 2" xfId="3589" xr:uid="{00000000-0005-0000-0000-000096070000}"/>
    <cellStyle name="Comma 4 7 4" xfId="3076" xr:uid="{00000000-0005-0000-0000-000097070000}"/>
    <cellStyle name="Comma 4 8" xfId="890" xr:uid="{00000000-0005-0000-0000-000098070000}"/>
    <cellStyle name="Comma 4 8 2" xfId="891" xr:uid="{00000000-0005-0000-0000-000099070000}"/>
    <cellStyle name="Comma 4 8 2 2" xfId="2547" xr:uid="{00000000-0005-0000-0000-00009A070000}"/>
    <cellStyle name="Comma 4 8 2 2 2" xfId="3592" xr:uid="{00000000-0005-0000-0000-00009B070000}"/>
    <cellStyle name="Comma 4 8 2 3" xfId="3079" xr:uid="{00000000-0005-0000-0000-00009C070000}"/>
    <cellStyle name="Comma 4 8 3" xfId="2546" xr:uid="{00000000-0005-0000-0000-00009D070000}"/>
    <cellStyle name="Comma 4 8 3 2" xfId="3591" xr:uid="{00000000-0005-0000-0000-00009E070000}"/>
    <cellStyle name="Comma 4 8 4" xfId="3078" xr:uid="{00000000-0005-0000-0000-00009F070000}"/>
    <cellStyle name="Comma 4 9" xfId="892" xr:uid="{00000000-0005-0000-0000-0000A0070000}"/>
    <cellStyle name="Comma 4 9 2" xfId="2548" xr:uid="{00000000-0005-0000-0000-0000A1070000}"/>
    <cellStyle name="Comma 4 9 2 2" xfId="3593" xr:uid="{00000000-0005-0000-0000-0000A2070000}"/>
    <cellStyle name="Comma 4 9 3" xfId="3080" xr:uid="{00000000-0005-0000-0000-0000A3070000}"/>
    <cellStyle name="Comma 4_AREFOR" xfId="893" xr:uid="{00000000-0005-0000-0000-0000A4070000}"/>
    <cellStyle name="Comma 5" xfId="49" xr:uid="{00000000-0005-0000-0000-0000A5070000}"/>
    <cellStyle name="Comma 5 10" xfId="2193" xr:uid="{00000000-0005-0000-0000-0000A6070000}"/>
    <cellStyle name="Comma 5 10 2" xfId="3238" xr:uid="{00000000-0005-0000-0000-0000A7070000}"/>
    <cellStyle name="Comma 5 11" xfId="2724" xr:uid="{00000000-0005-0000-0000-0000A8070000}"/>
    <cellStyle name="Comma 5 2" xfId="894" xr:uid="{00000000-0005-0000-0000-0000A9070000}"/>
    <cellStyle name="Comma 5 2 2" xfId="895" xr:uid="{00000000-0005-0000-0000-0000AA070000}"/>
    <cellStyle name="Comma 5 2 2 2" xfId="2550" xr:uid="{00000000-0005-0000-0000-0000AB070000}"/>
    <cellStyle name="Comma 5 2 2 2 2" xfId="3595" xr:uid="{00000000-0005-0000-0000-0000AC070000}"/>
    <cellStyle name="Comma 5 2 2 3" xfId="3082" xr:uid="{00000000-0005-0000-0000-0000AD070000}"/>
    <cellStyle name="Comma 5 2 3" xfId="2549" xr:uid="{00000000-0005-0000-0000-0000AE070000}"/>
    <cellStyle name="Comma 5 2 3 2" xfId="3594" xr:uid="{00000000-0005-0000-0000-0000AF070000}"/>
    <cellStyle name="Comma 5 2 4" xfId="3081" xr:uid="{00000000-0005-0000-0000-0000B0070000}"/>
    <cellStyle name="Comma 5 3" xfId="896" xr:uid="{00000000-0005-0000-0000-0000B1070000}"/>
    <cellStyle name="Comma 5 3 2" xfId="897" xr:uid="{00000000-0005-0000-0000-0000B2070000}"/>
    <cellStyle name="Comma 5 3 2 2" xfId="2552" xr:uid="{00000000-0005-0000-0000-0000B3070000}"/>
    <cellStyle name="Comma 5 3 2 2 2" xfId="3597" xr:uid="{00000000-0005-0000-0000-0000B4070000}"/>
    <cellStyle name="Comma 5 3 2 3" xfId="3084" xr:uid="{00000000-0005-0000-0000-0000B5070000}"/>
    <cellStyle name="Comma 5 3 3" xfId="2551" xr:uid="{00000000-0005-0000-0000-0000B6070000}"/>
    <cellStyle name="Comma 5 3 3 2" xfId="3596" xr:uid="{00000000-0005-0000-0000-0000B7070000}"/>
    <cellStyle name="Comma 5 3 4" xfId="3083" xr:uid="{00000000-0005-0000-0000-0000B8070000}"/>
    <cellStyle name="Comma 5 4" xfId="898" xr:uid="{00000000-0005-0000-0000-0000B9070000}"/>
    <cellStyle name="Comma 5 4 2" xfId="899" xr:uid="{00000000-0005-0000-0000-0000BA070000}"/>
    <cellStyle name="Comma 5 4 2 2" xfId="2554" xr:uid="{00000000-0005-0000-0000-0000BB070000}"/>
    <cellStyle name="Comma 5 4 2 2 2" xfId="3599" xr:uid="{00000000-0005-0000-0000-0000BC070000}"/>
    <cellStyle name="Comma 5 4 2 3" xfId="3086" xr:uid="{00000000-0005-0000-0000-0000BD070000}"/>
    <cellStyle name="Comma 5 4 3" xfId="2553" xr:uid="{00000000-0005-0000-0000-0000BE070000}"/>
    <cellStyle name="Comma 5 4 3 2" xfId="3598" xr:uid="{00000000-0005-0000-0000-0000BF070000}"/>
    <cellStyle name="Comma 5 4 4" xfId="3085" xr:uid="{00000000-0005-0000-0000-0000C0070000}"/>
    <cellStyle name="Comma 5 5" xfId="900" xr:uid="{00000000-0005-0000-0000-0000C1070000}"/>
    <cellStyle name="Comma 5 5 2" xfId="901" xr:uid="{00000000-0005-0000-0000-0000C2070000}"/>
    <cellStyle name="Comma 5 5 2 2" xfId="2556" xr:uid="{00000000-0005-0000-0000-0000C3070000}"/>
    <cellStyle name="Comma 5 5 2 2 2" xfId="3601" xr:uid="{00000000-0005-0000-0000-0000C4070000}"/>
    <cellStyle name="Comma 5 5 2 3" xfId="3088" xr:uid="{00000000-0005-0000-0000-0000C5070000}"/>
    <cellStyle name="Comma 5 5 3" xfId="2555" xr:uid="{00000000-0005-0000-0000-0000C6070000}"/>
    <cellStyle name="Comma 5 5 3 2" xfId="3600" xr:uid="{00000000-0005-0000-0000-0000C7070000}"/>
    <cellStyle name="Comma 5 5 4" xfId="3087" xr:uid="{00000000-0005-0000-0000-0000C8070000}"/>
    <cellStyle name="Comma 5 6" xfId="902" xr:uid="{00000000-0005-0000-0000-0000C9070000}"/>
    <cellStyle name="Comma 5 6 2" xfId="903" xr:uid="{00000000-0005-0000-0000-0000CA070000}"/>
    <cellStyle name="Comma 5 6 2 2" xfId="2558" xr:uid="{00000000-0005-0000-0000-0000CB070000}"/>
    <cellStyle name="Comma 5 6 2 2 2" xfId="3603" xr:uid="{00000000-0005-0000-0000-0000CC070000}"/>
    <cellStyle name="Comma 5 6 2 3" xfId="3090" xr:uid="{00000000-0005-0000-0000-0000CD070000}"/>
    <cellStyle name="Comma 5 6 3" xfId="2557" xr:uid="{00000000-0005-0000-0000-0000CE070000}"/>
    <cellStyle name="Comma 5 6 3 2" xfId="3602" xr:uid="{00000000-0005-0000-0000-0000CF070000}"/>
    <cellStyle name="Comma 5 6 4" xfId="3089" xr:uid="{00000000-0005-0000-0000-0000D0070000}"/>
    <cellStyle name="Comma 5 7" xfId="904" xr:uid="{00000000-0005-0000-0000-0000D1070000}"/>
    <cellStyle name="Comma 5 7 2" xfId="905" xr:uid="{00000000-0005-0000-0000-0000D2070000}"/>
    <cellStyle name="Comma 5 7 2 2" xfId="2560" xr:uid="{00000000-0005-0000-0000-0000D3070000}"/>
    <cellStyle name="Comma 5 7 2 2 2" xfId="3605" xr:uid="{00000000-0005-0000-0000-0000D4070000}"/>
    <cellStyle name="Comma 5 7 2 3" xfId="3092" xr:uid="{00000000-0005-0000-0000-0000D5070000}"/>
    <cellStyle name="Comma 5 7 3" xfId="2559" xr:uid="{00000000-0005-0000-0000-0000D6070000}"/>
    <cellStyle name="Comma 5 7 3 2" xfId="3604" xr:uid="{00000000-0005-0000-0000-0000D7070000}"/>
    <cellStyle name="Comma 5 7 4" xfId="3091" xr:uid="{00000000-0005-0000-0000-0000D8070000}"/>
    <cellStyle name="Comma 5 8" xfId="906" xr:uid="{00000000-0005-0000-0000-0000D9070000}"/>
    <cellStyle name="Comma 5 8 2" xfId="907" xr:uid="{00000000-0005-0000-0000-0000DA070000}"/>
    <cellStyle name="Comma 5 8 2 2" xfId="2562" xr:uid="{00000000-0005-0000-0000-0000DB070000}"/>
    <cellStyle name="Comma 5 8 2 2 2" xfId="3607" xr:uid="{00000000-0005-0000-0000-0000DC070000}"/>
    <cellStyle name="Comma 5 8 2 3" xfId="3094" xr:uid="{00000000-0005-0000-0000-0000DD070000}"/>
    <cellStyle name="Comma 5 8 3" xfId="2561" xr:uid="{00000000-0005-0000-0000-0000DE070000}"/>
    <cellStyle name="Comma 5 8 3 2" xfId="3606" xr:uid="{00000000-0005-0000-0000-0000DF070000}"/>
    <cellStyle name="Comma 5 8 4" xfId="3093" xr:uid="{00000000-0005-0000-0000-0000E0070000}"/>
    <cellStyle name="Comma 5 9" xfId="908" xr:uid="{00000000-0005-0000-0000-0000E1070000}"/>
    <cellStyle name="Comma 5 9 2" xfId="2563" xr:uid="{00000000-0005-0000-0000-0000E2070000}"/>
    <cellStyle name="Comma 5 9 2 2" xfId="3608" xr:uid="{00000000-0005-0000-0000-0000E3070000}"/>
    <cellStyle name="Comma 5 9 3" xfId="3095" xr:uid="{00000000-0005-0000-0000-0000E4070000}"/>
    <cellStyle name="Comma 6" xfId="909" xr:uid="{00000000-0005-0000-0000-0000E5070000}"/>
    <cellStyle name="Comma 6 10" xfId="2564" xr:uid="{00000000-0005-0000-0000-0000E6070000}"/>
    <cellStyle name="Comma 6 10 2" xfId="3609" xr:uid="{00000000-0005-0000-0000-0000E7070000}"/>
    <cellStyle name="Comma 6 11" xfId="3096" xr:uid="{00000000-0005-0000-0000-0000E8070000}"/>
    <cellStyle name="Comma 6 2" xfId="910" xr:uid="{00000000-0005-0000-0000-0000E9070000}"/>
    <cellStyle name="Comma 6 2 2" xfId="911" xr:uid="{00000000-0005-0000-0000-0000EA070000}"/>
    <cellStyle name="Comma 6 2 2 2" xfId="2566" xr:uid="{00000000-0005-0000-0000-0000EB070000}"/>
    <cellStyle name="Comma 6 2 2 2 2" xfId="3611" xr:uid="{00000000-0005-0000-0000-0000EC070000}"/>
    <cellStyle name="Comma 6 2 2 3" xfId="3098" xr:uid="{00000000-0005-0000-0000-0000ED070000}"/>
    <cellStyle name="Comma 6 2 3" xfId="2565" xr:uid="{00000000-0005-0000-0000-0000EE070000}"/>
    <cellStyle name="Comma 6 2 3 2" xfId="3610" xr:uid="{00000000-0005-0000-0000-0000EF070000}"/>
    <cellStyle name="Comma 6 2 4" xfId="3097" xr:uid="{00000000-0005-0000-0000-0000F0070000}"/>
    <cellStyle name="Comma 6 3" xfId="912" xr:uid="{00000000-0005-0000-0000-0000F1070000}"/>
    <cellStyle name="Comma 6 3 2" xfId="913" xr:uid="{00000000-0005-0000-0000-0000F2070000}"/>
    <cellStyle name="Comma 6 3 2 2" xfId="2568" xr:uid="{00000000-0005-0000-0000-0000F3070000}"/>
    <cellStyle name="Comma 6 3 2 2 2" xfId="3613" xr:uid="{00000000-0005-0000-0000-0000F4070000}"/>
    <cellStyle name="Comma 6 3 2 3" xfId="3100" xr:uid="{00000000-0005-0000-0000-0000F5070000}"/>
    <cellStyle name="Comma 6 3 3" xfId="2567" xr:uid="{00000000-0005-0000-0000-0000F6070000}"/>
    <cellStyle name="Comma 6 3 3 2" xfId="3612" xr:uid="{00000000-0005-0000-0000-0000F7070000}"/>
    <cellStyle name="Comma 6 3 4" xfId="3099" xr:uid="{00000000-0005-0000-0000-0000F8070000}"/>
    <cellStyle name="Comma 6 4" xfId="914" xr:uid="{00000000-0005-0000-0000-0000F9070000}"/>
    <cellStyle name="Comma 6 4 2" xfId="915" xr:uid="{00000000-0005-0000-0000-0000FA070000}"/>
    <cellStyle name="Comma 6 4 2 2" xfId="2570" xr:uid="{00000000-0005-0000-0000-0000FB070000}"/>
    <cellStyle name="Comma 6 4 2 2 2" xfId="3615" xr:uid="{00000000-0005-0000-0000-0000FC070000}"/>
    <cellStyle name="Comma 6 4 2 3" xfId="3102" xr:uid="{00000000-0005-0000-0000-0000FD070000}"/>
    <cellStyle name="Comma 6 4 3" xfId="2569" xr:uid="{00000000-0005-0000-0000-0000FE070000}"/>
    <cellStyle name="Comma 6 4 3 2" xfId="3614" xr:uid="{00000000-0005-0000-0000-0000FF070000}"/>
    <cellStyle name="Comma 6 4 4" xfId="3101" xr:uid="{00000000-0005-0000-0000-000000080000}"/>
    <cellStyle name="Comma 6 5" xfId="916" xr:uid="{00000000-0005-0000-0000-000001080000}"/>
    <cellStyle name="Comma 6 5 2" xfId="917" xr:uid="{00000000-0005-0000-0000-000002080000}"/>
    <cellStyle name="Comma 6 5 2 2" xfId="2572" xr:uid="{00000000-0005-0000-0000-000003080000}"/>
    <cellStyle name="Comma 6 5 2 2 2" xfId="3617" xr:uid="{00000000-0005-0000-0000-000004080000}"/>
    <cellStyle name="Comma 6 5 2 3" xfId="3104" xr:uid="{00000000-0005-0000-0000-000005080000}"/>
    <cellStyle name="Comma 6 5 3" xfId="2571" xr:uid="{00000000-0005-0000-0000-000006080000}"/>
    <cellStyle name="Comma 6 5 3 2" xfId="3616" xr:uid="{00000000-0005-0000-0000-000007080000}"/>
    <cellStyle name="Comma 6 5 4" xfId="3103" xr:uid="{00000000-0005-0000-0000-000008080000}"/>
    <cellStyle name="Comma 6 6" xfId="918" xr:uid="{00000000-0005-0000-0000-000009080000}"/>
    <cellStyle name="Comma 6 6 2" xfId="919" xr:uid="{00000000-0005-0000-0000-00000A080000}"/>
    <cellStyle name="Comma 6 6 2 2" xfId="2574" xr:uid="{00000000-0005-0000-0000-00000B080000}"/>
    <cellStyle name="Comma 6 6 2 2 2" xfId="3619" xr:uid="{00000000-0005-0000-0000-00000C080000}"/>
    <cellStyle name="Comma 6 6 2 3" xfId="3106" xr:uid="{00000000-0005-0000-0000-00000D080000}"/>
    <cellStyle name="Comma 6 6 3" xfId="2573" xr:uid="{00000000-0005-0000-0000-00000E080000}"/>
    <cellStyle name="Comma 6 6 3 2" xfId="3618" xr:uid="{00000000-0005-0000-0000-00000F080000}"/>
    <cellStyle name="Comma 6 6 4" xfId="3105" xr:uid="{00000000-0005-0000-0000-000010080000}"/>
    <cellStyle name="Comma 6 7" xfId="920" xr:uid="{00000000-0005-0000-0000-000011080000}"/>
    <cellStyle name="Comma 6 7 2" xfId="921" xr:uid="{00000000-0005-0000-0000-000012080000}"/>
    <cellStyle name="Comma 6 7 2 2" xfId="2576" xr:uid="{00000000-0005-0000-0000-000013080000}"/>
    <cellStyle name="Comma 6 7 2 2 2" xfId="3621" xr:uid="{00000000-0005-0000-0000-000014080000}"/>
    <cellStyle name="Comma 6 7 2 3" xfId="3108" xr:uid="{00000000-0005-0000-0000-000015080000}"/>
    <cellStyle name="Comma 6 7 3" xfId="2575" xr:uid="{00000000-0005-0000-0000-000016080000}"/>
    <cellStyle name="Comma 6 7 3 2" xfId="3620" xr:uid="{00000000-0005-0000-0000-000017080000}"/>
    <cellStyle name="Comma 6 7 4" xfId="3107" xr:uid="{00000000-0005-0000-0000-000018080000}"/>
    <cellStyle name="Comma 6 8" xfId="922" xr:uid="{00000000-0005-0000-0000-000019080000}"/>
    <cellStyle name="Comma 6 8 2" xfId="923" xr:uid="{00000000-0005-0000-0000-00001A080000}"/>
    <cellStyle name="Comma 6 8 2 2" xfId="2578" xr:uid="{00000000-0005-0000-0000-00001B080000}"/>
    <cellStyle name="Comma 6 8 2 2 2" xfId="3623" xr:uid="{00000000-0005-0000-0000-00001C080000}"/>
    <cellStyle name="Comma 6 8 2 3" xfId="3110" xr:uid="{00000000-0005-0000-0000-00001D080000}"/>
    <cellStyle name="Comma 6 8 3" xfId="2577" xr:uid="{00000000-0005-0000-0000-00001E080000}"/>
    <cellStyle name="Comma 6 8 3 2" xfId="3622" xr:uid="{00000000-0005-0000-0000-00001F080000}"/>
    <cellStyle name="Comma 6 8 4" xfId="3109" xr:uid="{00000000-0005-0000-0000-000020080000}"/>
    <cellStyle name="Comma 6 9" xfId="924" xr:uid="{00000000-0005-0000-0000-000021080000}"/>
    <cellStyle name="Comma 6 9 2" xfId="2579" xr:uid="{00000000-0005-0000-0000-000022080000}"/>
    <cellStyle name="Comma 6 9 2 2" xfId="3624" xr:uid="{00000000-0005-0000-0000-000023080000}"/>
    <cellStyle name="Comma 6 9 3" xfId="3111" xr:uid="{00000000-0005-0000-0000-000024080000}"/>
    <cellStyle name="Comma 7" xfId="925" xr:uid="{00000000-0005-0000-0000-000025080000}"/>
    <cellStyle name="Comma 7 10" xfId="926" xr:uid="{00000000-0005-0000-0000-000026080000}"/>
    <cellStyle name="Comma 7 10 2" xfId="927" xr:uid="{00000000-0005-0000-0000-000027080000}"/>
    <cellStyle name="Comma 7 10 2 2" xfId="2581" xr:uid="{00000000-0005-0000-0000-000028080000}"/>
    <cellStyle name="Comma 7 10 2 2 2" xfId="3626" xr:uid="{00000000-0005-0000-0000-000029080000}"/>
    <cellStyle name="Comma 7 10 2 3" xfId="3113" xr:uid="{00000000-0005-0000-0000-00002A080000}"/>
    <cellStyle name="Comma 7 10 3" xfId="2580" xr:uid="{00000000-0005-0000-0000-00002B080000}"/>
    <cellStyle name="Comma 7 10 3 2" xfId="3625" xr:uid="{00000000-0005-0000-0000-00002C080000}"/>
    <cellStyle name="Comma 7 10 4" xfId="3112" xr:uid="{00000000-0005-0000-0000-00002D080000}"/>
    <cellStyle name="Comma 7 11" xfId="928" xr:uid="{00000000-0005-0000-0000-00002E080000}"/>
    <cellStyle name="Comma 7 11 2" xfId="929" xr:uid="{00000000-0005-0000-0000-00002F080000}"/>
    <cellStyle name="Comma 7 11 2 2" xfId="2583" xr:uid="{00000000-0005-0000-0000-000030080000}"/>
    <cellStyle name="Comma 7 11 2 2 2" xfId="3628" xr:uid="{00000000-0005-0000-0000-000031080000}"/>
    <cellStyle name="Comma 7 11 2 3" xfId="3115" xr:uid="{00000000-0005-0000-0000-000032080000}"/>
    <cellStyle name="Comma 7 11 3" xfId="2582" xr:uid="{00000000-0005-0000-0000-000033080000}"/>
    <cellStyle name="Comma 7 11 3 2" xfId="3627" xr:uid="{00000000-0005-0000-0000-000034080000}"/>
    <cellStyle name="Comma 7 11 4" xfId="3114" xr:uid="{00000000-0005-0000-0000-000035080000}"/>
    <cellStyle name="Comma 7 12" xfId="930" xr:uid="{00000000-0005-0000-0000-000036080000}"/>
    <cellStyle name="Comma 7 12 2" xfId="931" xr:uid="{00000000-0005-0000-0000-000037080000}"/>
    <cellStyle name="Comma 7 12 2 2" xfId="2585" xr:uid="{00000000-0005-0000-0000-000038080000}"/>
    <cellStyle name="Comma 7 12 2 2 2" xfId="3630" xr:uid="{00000000-0005-0000-0000-000039080000}"/>
    <cellStyle name="Comma 7 12 2 3" xfId="3117" xr:uid="{00000000-0005-0000-0000-00003A080000}"/>
    <cellStyle name="Comma 7 12 3" xfId="2584" xr:uid="{00000000-0005-0000-0000-00003B080000}"/>
    <cellStyle name="Comma 7 12 3 2" xfId="3629" xr:uid="{00000000-0005-0000-0000-00003C080000}"/>
    <cellStyle name="Comma 7 12 4" xfId="3116" xr:uid="{00000000-0005-0000-0000-00003D080000}"/>
    <cellStyle name="Comma 7 13" xfId="932" xr:uid="{00000000-0005-0000-0000-00003E080000}"/>
    <cellStyle name="Comma 7 13 2" xfId="933" xr:uid="{00000000-0005-0000-0000-00003F080000}"/>
    <cellStyle name="Comma 7 13 2 2" xfId="2587" xr:uid="{00000000-0005-0000-0000-000040080000}"/>
    <cellStyle name="Comma 7 13 2 2 2" xfId="3632" xr:uid="{00000000-0005-0000-0000-000041080000}"/>
    <cellStyle name="Comma 7 13 2 3" xfId="3119" xr:uid="{00000000-0005-0000-0000-000042080000}"/>
    <cellStyle name="Comma 7 13 3" xfId="2586" xr:uid="{00000000-0005-0000-0000-000043080000}"/>
    <cellStyle name="Comma 7 13 3 2" xfId="3631" xr:uid="{00000000-0005-0000-0000-000044080000}"/>
    <cellStyle name="Comma 7 13 4" xfId="3118" xr:uid="{00000000-0005-0000-0000-000045080000}"/>
    <cellStyle name="Comma 7 14" xfId="934" xr:uid="{00000000-0005-0000-0000-000046080000}"/>
    <cellStyle name="Comma 7 14 2" xfId="935" xr:uid="{00000000-0005-0000-0000-000047080000}"/>
    <cellStyle name="Comma 7 14 2 2" xfId="2589" xr:uid="{00000000-0005-0000-0000-000048080000}"/>
    <cellStyle name="Comma 7 14 2 2 2" xfId="3634" xr:uid="{00000000-0005-0000-0000-000049080000}"/>
    <cellStyle name="Comma 7 14 2 3" xfId="3121" xr:uid="{00000000-0005-0000-0000-00004A080000}"/>
    <cellStyle name="Comma 7 14 3" xfId="2588" xr:uid="{00000000-0005-0000-0000-00004B080000}"/>
    <cellStyle name="Comma 7 14 3 2" xfId="3633" xr:uid="{00000000-0005-0000-0000-00004C080000}"/>
    <cellStyle name="Comma 7 14 4" xfId="3120" xr:uid="{00000000-0005-0000-0000-00004D080000}"/>
    <cellStyle name="Comma 7 15" xfId="936" xr:uid="{00000000-0005-0000-0000-00004E080000}"/>
    <cellStyle name="Comma 7 15 2" xfId="937" xr:uid="{00000000-0005-0000-0000-00004F080000}"/>
    <cellStyle name="Comma 7 15 2 2" xfId="2591" xr:uid="{00000000-0005-0000-0000-000050080000}"/>
    <cellStyle name="Comma 7 15 2 2 2" xfId="3636" xr:uid="{00000000-0005-0000-0000-000051080000}"/>
    <cellStyle name="Comma 7 15 2 3" xfId="3123" xr:uid="{00000000-0005-0000-0000-000052080000}"/>
    <cellStyle name="Comma 7 15 3" xfId="2590" xr:uid="{00000000-0005-0000-0000-000053080000}"/>
    <cellStyle name="Comma 7 15 3 2" xfId="3635" xr:uid="{00000000-0005-0000-0000-000054080000}"/>
    <cellStyle name="Comma 7 15 4" xfId="3122" xr:uid="{00000000-0005-0000-0000-000055080000}"/>
    <cellStyle name="Comma 7 16" xfId="938" xr:uid="{00000000-0005-0000-0000-000056080000}"/>
    <cellStyle name="Comma 7 16 2" xfId="939" xr:uid="{00000000-0005-0000-0000-000057080000}"/>
    <cellStyle name="Comma 7 16 2 2" xfId="2593" xr:uid="{00000000-0005-0000-0000-000058080000}"/>
    <cellStyle name="Comma 7 16 2 2 2" xfId="3638" xr:uid="{00000000-0005-0000-0000-000059080000}"/>
    <cellStyle name="Comma 7 16 2 3" xfId="3125" xr:uid="{00000000-0005-0000-0000-00005A080000}"/>
    <cellStyle name="Comma 7 16 3" xfId="2592" xr:uid="{00000000-0005-0000-0000-00005B080000}"/>
    <cellStyle name="Comma 7 16 3 2" xfId="3637" xr:uid="{00000000-0005-0000-0000-00005C080000}"/>
    <cellStyle name="Comma 7 16 4" xfId="3124" xr:uid="{00000000-0005-0000-0000-00005D080000}"/>
    <cellStyle name="Comma 7 17" xfId="940" xr:uid="{00000000-0005-0000-0000-00005E080000}"/>
    <cellStyle name="Comma 7 17 2" xfId="941" xr:uid="{00000000-0005-0000-0000-00005F080000}"/>
    <cellStyle name="Comma 7 17 2 2" xfId="2595" xr:uid="{00000000-0005-0000-0000-000060080000}"/>
    <cellStyle name="Comma 7 17 2 2 2" xfId="3640" xr:uid="{00000000-0005-0000-0000-000061080000}"/>
    <cellStyle name="Comma 7 17 2 3" xfId="3127" xr:uid="{00000000-0005-0000-0000-000062080000}"/>
    <cellStyle name="Comma 7 17 3" xfId="2594" xr:uid="{00000000-0005-0000-0000-000063080000}"/>
    <cellStyle name="Comma 7 17 3 2" xfId="3639" xr:uid="{00000000-0005-0000-0000-000064080000}"/>
    <cellStyle name="Comma 7 17 4" xfId="3126" xr:uid="{00000000-0005-0000-0000-000065080000}"/>
    <cellStyle name="Comma 7 18" xfId="942" xr:uid="{00000000-0005-0000-0000-000066080000}"/>
    <cellStyle name="Comma 7 18 2" xfId="943" xr:uid="{00000000-0005-0000-0000-000067080000}"/>
    <cellStyle name="Comma 7 18 2 2" xfId="2597" xr:uid="{00000000-0005-0000-0000-000068080000}"/>
    <cellStyle name="Comma 7 18 2 2 2" xfId="3642" xr:uid="{00000000-0005-0000-0000-000069080000}"/>
    <cellStyle name="Comma 7 18 2 3" xfId="3129" xr:uid="{00000000-0005-0000-0000-00006A080000}"/>
    <cellStyle name="Comma 7 18 3" xfId="2596" xr:uid="{00000000-0005-0000-0000-00006B080000}"/>
    <cellStyle name="Comma 7 18 3 2" xfId="3641" xr:uid="{00000000-0005-0000-0000-00006C080000}"/>
    <cellStyle name="Comma 7 18 4" xfId="3128" xr:uid="{00000000-0005-0000-0000-00006D080000}"/>
    <cellStyle name="Comma 7 19" xfId="944" xr:uid="{00000000-0005-0000-0000-00006E080000}"/>
    <cellStyle name="Comma 7 19 2" xfId="945" xr:uid="{00000000-0005-0000-0000-00006F080000}"/>
    <cellStyle name="Comma 7 19 2 2" xfId="2599" xr:uid="{00000000-0005-0000-0000-000070080000}"/>
    <cellStyle name="Comma 7 19 2 2 2" xfId="3644" xr:uid="{00000000-0005-0000-0000-000071080000}"/>
    <cellStyle name="Comma 7 19 2 3" xfId="3131" xr:uid="{00000000-0005-0000-0000-000072080000}"/>
    <cellStyle name="Comma 7 19 3" xfId="2598" xr:uid="{00000000-0005-0000-0000-000073080000}"/>
    <cellStyle name="Comma 7 19 3 2" xfId="3643" xr:uid="{00000000-0005-0000-0000-000074080000}"/>
    <cellStyle name="Comma 7 19 4" xfId="3130" xr:uid="{00000000-0005-0000-0000-000075080000}"/>
    <cellStyle name="Comma 7 2" xfId="946" xr:uid="{00000000-0005-0000-0000-000076080000}"/>
    <cellStyle name="Comma 7 2 2" xfId="947" xr:uid="{00000000-0005-0000-0000-000077080000}"/>
    <cellStyle name="Comma 7 2 2 2" xfId="2601" xr:uid="{00000000-0005-0000-0000-000078080000}"/>
    <cellStyle name="Comma 7 2 2 2 2" xfId="3646" xr:uid="{00000000-0005-0000-0000-000079080000}"/>
    <cellStyle name="Comma 7 2 2 3" xfId="3133" xr:uid="{00000000-0005-0000-0000-00007A080000}"/>
    <cellStyle name="Comma 7 2 3" xfId="2600" xr:uid="{00000000-0005-0000-0000-00007B080000}"/>
    <cellStyle name="Comma 7 2 3 2" xfId="3645" xr:uid="{00000000-0005-0000-0000-00007C080000}"/>
    <cellStyle name="Comma 7 2 4" xfId="3132" xr:uid="{00000000-0005-0000-0000-00007D080000}"/>
    <cellStyle name="Comma 7 20" xfId="948" xr:uid="{00000000-0005-0000-0000-00007E080000}"/>
    <cellStyle name="Comma 7 20 2" xfId="949" xr:uid="{00000000-0005-0000-0000-00007F080000}"/>
    <cellStyle name="Comma 7 20 2 2" xfId="2603" xr:uid="{00000000-0005-0000-0000-000080080000}"/>
    <cellStyle name="Comma 7 20 2 2 2" xfId="3648" xr:uid="{00000000-0005-0000-0000-000081080000}"/>
    <cellStyle name="Comma 7 20 2 3" xfId="3135" xr:uid="{00000000-0005-0000-0000-000082080000}"/>
    <cellStyle name="Comma 7 20 3" xfId="2602" xr:uid="{00000000-0005-0000-0000-000083080000}"/>
    <cellStyle name="Comma 7 20 3 2" xfId="3647" xr:uid="{00000000-0005-0000-0000-000084080000}"/>
    <cellStyle name="Comma 7 20 4" xfId="3134" xr:uid="{00000000-0005-0000-0000-000085080000}"/>
    <cellStyle name="Comma 7 21" xfId="950" xr:uid="{00000000-0005-0000-0000-000086080000}"/>
    <cellStyle name="Comma 7 21 2" xfId="951" xr:uid="{00000000-0005-0000-0000-000087080000}"/>
    <cellStyle name="Comma 7 21 2 2" xfId="2605" xr:uid="{00000000-0005-0000-0000-000088080000}"/>
    <cellStyle name="Comma 7 21 2 2 2" xfId="3650" xr:uid="{00000000-0005-0000-0000-000089080000}"/>
    <cellStyle name="Comma 7 21 2 3" xfId="3137" xr:uid="{00000000-0005-0000-0000-00008A080000}"/>
    <cellStyle name="Comma 7 21 3" xfId="2604" xr:uid="{00000000-0005-0000-0000-00008B080000}"/>
    <cellStyle name="Comma 7 21 3 2" xfId="3649" xr:uid="{00000000-0005-0000-0000-00008C080000}"/>
    <cellStyle name="Comma 7 21 4" xfId="3136" xr:uid="{00000000-0005-0000-0000-00008D080000}"/>
    <cellStyle name="Comma 7 3" xfId="952" xr:uid="{00000000-0005-0000-0000-00008E080000}"/>
    <cellStyle name="Comma 7 3 10" xfId="953" xr:uid="{00000000-0005-0000-0000-00008F080000}"/>
    <cellStyle name="Comma 7 3 10 2" xfId="954" xr:uid="{00000000-0005-0000-0000-000090080000}"/>
    <cellStyle name="Comma 7 3 10 2 2" xfId="2608" xr:uid="{00000000-0005-0000-0000-000091080000}"/>
    <cellStyle name="Comma 7 3 10 2 2 2" xfId="3653" xr:uid="{00000000-0005-0000-0000-000092080000}"/>
    <cellStyle name="Comma 7 3 10 2 3" xfId="3140" xr:uid="{00000000-0005-0000-0000-000093080000}"/>
    <cellStyle name="Comma 7 3 10 3" xfId="2607" xr:uid="{00000000-0005-0000-0000-000094080000}"/>
    <cellStyle name="Comma 7 3 10 3 2" xfId="3652" xr:uid="{00000000-0005-0000-0000-000095080000}"/>
    <cellStyle name="Comma 7 3 10 4" xfId="3139" xr:uid="{00000000-0005-0000-0000-000096080000}"/>
    <cellStyle name="Comma 7 3 11" xfId="955" xr:uid="{00000000-0005-0000-0000-000097080000}"/>
    <cellStyle name="Comma 7 3 11 2" xfId="956" xr:uid="{00000000-0005-0000-0000-000098080000}"/>
    <cellStyle name="Comma 7 3 11 2 2" xfId="2610" xr:uid="{00000000-0005-0000-0000-000099080000}"/>
    <cellStyle name="Comma 7 3 11 2 2 2" xfId="3655" xr:uid="{00000000-0005-0000-0000-00009A080000}"/>
    <cellStyle name="Comma 7 3 11 2 3" xfId="3142" xr:uid="{00000000-0005-0000-0000-00009B080000}"/>
    <cellStyle name="Comma 7 3 11 3" xfId="2609" xr:uid="{00000000-0005-0000-0000-00009C080000}"/>
    <cellStyle name="Comma 7 3 11 3 2" xfId="3654" xr:uid="{00000000-0005-0000-0000-00009D080000}"/>
    <cellStyle name="Comma 7 3 11 4" xfId="3141" xr:uid="{00000000-0005-0000-0000-00009E080000}"/>
    <cellStyle name="Comma 7 3 12" xfId="957" xr:uid="{00000000-0005-0000-0000-00009F080000}"/>
    <cellStyle name="Comma 7 3 12 2" xfId="958" xr:uid="{00000000-0005-0000-0000-0000A0080000}"/>
    <cellStyle name="Comma 7 3 12 2 2" xfId="2612" xr:uid="{00000000-0005-0000-0000-0000A1080000}"/>
    <cellStyle name="Comma 7 3 12 2 2 2" xfId="3657" xr:uid="{00000000-0005-0000-0000-0000A2080000}"/>
    <cellStyle name="Comma 7 3 12 2 3" xfId="3144" xr:uid="{00000000-0005-0000-0000-0000A3080000}"/>
    <cellStyle name="Comma 7 3 12 3" xfId="2611" xr:uid="{00000000-0005-0000-0000-0000A4080000}"/>
    <cellStyle name="Comma 7 3 12 3 2" xfId="3656" xr:uid="{00000000-0005-0000-0000-0000A5080000}"/>
    <cellStyle name="Comma 7 3 12 4" xfId="3143" xr:uid="{00000000-0005-0000-0000-0000A6080000}"/>
    <cellStyle name="Comma 7 3 13" xfId="959" xr:uid="{00000000-0005-0000-0000-0000A7080000}"/>
    <cellStyle name="Comma 7 3 13 2" xfId="960" xr:uid="{00000000-0005-0000-0000-0000A8080000}"/>
    <cellStyle name="Comma 7 3 13 2 2" xfId="2614" xr:uid="{00000000-0005-0000-0000-0000A9080000}"/>
    <cellStyle name="Comma 7 3 13 2 2 2" xfId="3659" xr:uid="{00000000-0005-0000-0000-0000AA080000}"/>
    <cellStyle name="Comma 7 3 13 2 3" xfId="3146" xr:uid="{00000000-0005-0000-0000-0000AB080000}"/>
    <cellStyle name="Comma 7 3 13 3" xfId="2613" xr:uid="{00000000-0005-0000-0000-0000AC080000}"/>
    <cellStyle name="Comma 7 3 13 3 2" xfId="3658" xr:uid="{00000000-0005-0000-0000-0000AD080000}"/>
    <cellStyle name="Comma 7 3 13 4" xfId="3145" xr:uid="{00000000-0005-0000-0000-0000AE080000}"/>
    <cellStyle name="Comma 7 3 14" xfId="961" xr:uid="{00000000-0005-0000-0000-0000AF080000}"/>
    <cellStyle name="Comma 7 3 14 2" xfId="962" xr:uid="{00000000-0005-0000-0000-0000B0080000}"/>
    <cellStyle name="Comma 7 3 14 2 2" xfId="2616" xr:uid="{00000000-0005-0000-0000-0000B1080000}"/>
    <cellStyle name="Comma 7 3 14 2 2 2" xfId="3661" xr:uid="{00000000-0005-0000-0000-0000B2080000}"/>
    <cellStyle name="Comma 7 3 14 2 3" xfId="3148" xr:uid="{00000000-0005-0000-0000-0000B3080000}"/>
    <cellStyle name="Comma 7 3 14 3" xfId="2615" xr:uid="{00000000-0005-0000-0000-0000B4080000}"/>
    <cellStyle name="Comma 7 3 14 3 2" xfId="3660" xr:uid="{00000000-0005-0000-0000-0000B5080000}"/>
    <cellStyle name="Comma 7 3 14 4" xfId="3147" xr:uid="{00000000-0005-0000-0000-0000B6080000}"/>
    <cellStyle name="Comma 7 3 15" xfId="963" xr:uid="{00000000-0005-0000-0000-0000B7080000}"/>
    <cellStyle name="Comma 7 3 15 2" xfId="964" xr:uid="{00000000-0005-0000-0000-0000B8080000}"/>
    <cellStyle name="Comma 7 3 15 2 2" xfId="2618" xr:uid="{00000000-0005-0000-0000-0000B9080000}"/>
    <cellStyle name="Comma 7 3 15 2 2 2" xfId="3663" xr:uid="{00000000-0005-0000-0000-0000BA080000}"/>
    <cellStyle name="Comma 7 3 15 2 3" xfId="3150" xr:uid="{00000000-0005-0000-0000-0000BB080000}"/>
    <cellStyle name="Comma 7 3 15 3" xfId="2617" xr:uid="{00000000-0005-0000-0000-0000BC080000}"/>
    <cellStyle name="Comma 7 3 15 3 2" xfId="3662" xr:uid="{00000000-0005-0000-0000-0000BD080000}"/>
    <cellStyle name="Comma 7 3 15 4" xfId="3149" xr:uid="{00000000-0005-0000-0000-0000BE080000}"/>
    <cellStyle name="Comma 7 3 16" xfId="2606" xr:uid="{00000000-0005-0000-0000-0000BF080000}"/>
    <cellStyle name="Comma 7 3 16 2" xfId="3651" xr:uid="{00000000-0005-0000-0000-0000C0080000}"/>
    <cellStyle name="Comma 7 3 17" xfId="3138" xr:uid="{00000000-0005-0000-0000-0000C1080000}"/>
    <cellStyle name="Comma 7 3 2" xfId="965" xr:uid="{00000000-0005-0000-0000-0000C2080000}"/>
    <cellStyle name="Comma 7 3 2 2" xfId="966" xr:uid="{00000000-0005-0000-0000-0000C3080000}"/>
    <cellStyle name="Comma 7 3 2 2 2" xfId="2620" xr:uid="{00000000-0005-0000-0000-0000C4080000}"/>
    <cellStyle name="Comma 7 3 2 2 2 2" xfId="3665" xr:uid="{00000000-0005-0000-0000-0000C5080000}"/>
    <cellStyle name="Comma 7 3 2 2 3" xfId="3152" xr:uid="{00000000-0005-0000-0000-0000C6080000}"/>
    <cellStyle name="Comma 7 3 2 3" xfId="2619" xr:uid="{00000000-0005-0000-0000-0000C7080000}"/>
    <cellStyle name="Comma 7 3 2 3 2" xfId="3664" xr:uid="{00000000-0005-0000-0000-0000C8080000}"/>
    <cellStyle name="Comma 7 3 2 4" xfId="3151" xr:uid="{00000000-0005-0000-0000-0000C9080000}"/>
    <cellStyle name="Comma 7 3 3" xfId="967" xr:uid="{00000000-0005-0000-0000-0000CA080000}"/>
    <cellStyle name="Comma 7 3 3 2" xfId="968" xr:uid="{00000000-0005-0000-0000-0000CB080000}"/>
    <cellStyle name="Comma 7 3 3 2 2" xfId="2622" xr:uid="{00000000-0005-0000-0000-0000CC080000}"/>
    <cellStyle name="Comma 7 3 3 2 2 2" xfId="3667" xr:uid="{00000000-0005-0000-0000-0000CD080000}"/>
    <cellStyle name="Comma 7 3 3 2 3" xfId="3154" xr:uid="{00000000-0005-0000-0000-0000CE080000}"/>
    <cellStyle name="Comma 7 3 3 3" xfId="2621" xr:uid="{00000000-0005-0000-0000-0000CF080000}"/>
    <cellStyle name="Comma 7 3 3 3 2" xfId="3666" xr:uid="{00000000-0005-0000-0000-0000D0080000}"/>
    <cellStyle name="Comma 7 3 3 4" xfId="3153" xr:uid="{00000000-0005-0000-0000-0000D1080000}"/>
    <cellStyle name="Comma 7 3 4" xfId="969" xr:uid="{00000000-0005-0000-0000-0000D2080000}"/>
    <cellStyle name="Comma 7 3 4 2" xfId="970" xr:uid="{00000000-0005-0000-0000-0000D3080000}"/>
    <cellStyle name="Comma 7 3 4 2 2" xfId="2624" xr:uid="{00000000-0005-0000-0000-0000D4080000}"/>
    <cellStyle name="Comma 7 3 4 2 2 2" xfId="3669" xr:uid="{00000000-0005-0000-0000-0000D5080000}"/>
    <cellStyle name="Comma 7 3 4 2 3" xfId="3156" xr:uid="{00000000-0005-0000-0000-0000D6080000}"/>
    <cellStyle name="Comma 7 3 4 3" xfId="2623" xr:uid="{00000000-0005-0000-0000-0000D7080000}"/>
    <cellStyle name="Comma 7 3 4 3 2" xfId="3668" xr:uid="{00000000-0005-0000-0000-0000D8080000}"/>
    <cellStyle name="Comma 7 3 4 4" xfId="3155" xr:uid="{00000000-0005-0000-0000-0000D9080000}"/>
    <cellStyle name="Comma 7 3 5" xfId="971" xr:uid="{00000000-0005-0000-0000-0000DA080000}"/>
    <cellStyle name="Comma 7 3 5 2" xfId="972" xr:uid="{00000000-0005-0000-0000-0000DB080000}"/>
    <cellStyle name="Comma 7 3 5 2 2" xfId="2626" xr:uid="{00000000-0005-0000-0000-0000DC080000}"/>
    <cellStyle name="Comma 7 3 5 2 2 2" xfId="3671" xr:uid="{00000000-0005-0000-0000-0000DD080000}"/>
    <cellStyle name="Comma 7 3 5 2 3" xfId="3158" xr:uid="{00000000-0005-0000-0000-0000DE080000}"/>
    <cellStyle name="Comma 7 3 5 3" xfId="2625" xr:uid="{00000000-0005-0000-0000-0000DF080000}"/>
    <cellStyle name="Comma 7 3 5 3 2" xfId="3670" xr:uid="{00000000-0005-0000-0000-0000E0080000}"/>
    <cellStyle name="Comma 7 3 5 4" xfId="3157" xr:uid="{00000000-0005-0000-0000-0000E1080000}"/>
    <cellStyle name="Comma 7 3 6" xfId="973" xr:uid="{00000000-0005-0000-0000-0000E2080000}"/>
    <cellStyle name="Comma 7 3 6 2" xfId="974" xr:uid="{00000000-0005-0000-0000-0000E3080000}"/>
    <cellStyle name="Comma 7 3 6 2 2" xfId="2628" xr:uid="{00000000-0005-0000-0000-0000E4080000}"/>
    <cellStyle name="Comma 7 3 6 2 2 2" xfId="3673" xr:uid="{00000000-0005-0000-0000-0000E5080000}"/>
    <cellStyle name="Comma 7 3 6 2 3" xfId="3160" xr:uid="{00000000-0005-0000-0000-0000E6080000}"/>
    <cellStyle name="Comma 7 3 6 3" xfId="2627" xr:uid="{00000000-0005-0000-0000-0000E7080000}"/>
    <cellStyle name="Comma 7 3 6 3 2" xfId="3672" xr:uid="{00000000-0005-0000-0000-0000E8080000}"/>
    <cellStyle name="Comma 7 3 6 4" xfId="3159" xr:uid="{00000000-0005-0000-0000-0000E9080000}"/>
    <cellStyle name="Comma 7 3 7" xfId="975" xr:uid="{00000000-0005-0000-0000-0000EA080000}"/>
    <cellStyle name="Comma 7 3 7 2" xfId="976" xr:uid="{00000000-0005-0000-0000-0000EB080000}"/>
    <cellStyle name="Comma 7 3 7 2 2" xfId="2630" xr:uid="{00000000-0005-0000-0000-0000EC080000}"/>
    <cellStyle name="Comma 7 3 7 2 2 2" xfId="3675" xr:uid="{00000000-0005-0000-0000-0000ED080000}"/>
    <cellStyle name="Comma 7 3 7 2 3" xfId="3162" xr:uid="{00000000-0005-0000-0000-0000EE080000}"/>
    <cellStyle name="Comma 7 3 7 3" xfId="2629" xr:uid="{00000000-0005-0000-0000-0000EF080000}"/>
    <cellStyle name="Comma 7 3 7 3 2" xfId="3674" xr:uid="{00000000-0005-0000-0000-0000F0080000}"/>
    <cellStyle name="Comma 7 3 7 4" xfId="3161" xr:uid="{00000000-0005-0000-0000-0000F1080000}"/>
    <cellStyle name="Comma 7 3 8" xfId="977" xr:uid="{00000000-0005-0000-0000-0000F2080000}"/>
    <cellStyle name="Comma 7 3 8 2" xfId="978" xr:uid="{00000000-0005-0000-0000-0000F3080000}"/>
    <cellStyle name="Comma 7 3 8 2 2" xfId="2632" xr:uid="{00000000-0005-0000-0000-0000F4080000}"/>
    <cellStyle name="Comma 7 3 8 2 2 2" xfId="3677" xr:uid="{00000000-0005-0000-0000-0000F5080000}"/>
    <cellStyle name="Comma 7 3 8 2 3" xfId="3164" xr:uid="{00000000-0005-0000-0000-0000F6080000}"/>
    <cellStyle name="Comma 7 3 8 3" xfId="2631" xr:uid="{00000000-0005-0000-0000-0000F7080000}"/>
    <cellStyle name="Comma 7 3 8 3 2" xfId="3676" xr:uid="{00000000-0005-0000-0000-0000F8080000}"/>
    <cellStyle name="Comma 7 3 8 4" xfId="3163" xr:uid="{00000000-0005-0000-0000-0000F9080000}"/>
    <cellStyle name="Comma 7 3 9" xfId="979" xr:uid="{00000000-0005-0000-0000-0000FA080000}"/>
    <cellStyle name="Comma 7 3 9 2" xfId="980" xr:uid="{00000000-0005-0000-0000-0000FB080000}"/>
    <cellStyle name="Comma 7 3 9 2 2" xfId="2634" xr:uid="{00000000-0005-0000-0000-0000FC080000}"/>
    <cellStyle name="Comma 7 3 9 2 2 2" xfId="3679" xr:uid="{00000000-0005-0000-0000-0000FD080000}"/>
    <cellStyle name="Comma 7 3 9 2 3" xfId="3166" xr:uid="{00000000-0005-0000-0000-0000FE080000}"/>
    <cellStyle name="Comma 7 3 9 3" xfId="2633" xr:uid="{00000000-0005-0000-0000-0000FF080000}"/>
    <cellStyle name="Comma 7 3 9 3 2" xfId="3678" xr:uid="{00000000-0005-0000-0000-000000090000}"/>
    <cellStyle name="Comma 7 3 9 4" xfId="3165" xr:uid="{00000000-0005-0000-0000-000001090000}"/>
    <cellStyle name="Comma 7 4" xfId="981" xr:uid="{00000000-0005-0000-0000-000002090000}"/>
    <cellStyle name="Comma 7 4 2" xfId="982" xr:uid="{00000000-0005-0000-0000-000003090000}"/>
    <cellStyle name="Comma 7 4 2 2" xfId="2636" xr:uid="{00000000-0005-0000-0000-000004090000}"/>
    <cellStyle name="Comma 7 4 2 2 2" xfId="3681" xr:uid="{00000000-0005-0000-0000-000005090000}"/>
    <cellStyle name="Comma 7 4 2 3" xfId="3168" xr:uid="{00000000-0005-0000-0000-000006090000}"/>
    <cellStyle name="Comma 7 4 3" xfId="2635" xr:uid="{00000000-0005-0000-0000-000007090000}"/>
    <cellStyle name="Comma 7 4 3 2" xfId="3680" xr:uid="{00000000-0005-0000-0000-000008090000}"/>
    <cellStyle name="Comma 7 4 4" xfId="3167" xr:uid="{00000000-0005-0000-0000-000009090000}"/>
    <cellStyle name="Comma 7 5" xfId="983" xr:uid="{00000000-0005-0000-0000-00000A090000}"/>
    <cellStyle name="Comma 7 5 2" xfId="984" xr:uid="{00000000-0005-0000-0000-00000B090000}"/>
    <cellStyle name="Comma 7 5 2 2" xfId="2638" xr:uid="{00000000-0005-0000-0000-00000C090000}"/>
    <cellStyle name="Comma 7 5 2 2 2" xfId="3683" xr:uid="{00000000-0005-0000-0000-00000D090000}"/>
    <cellStyle name="Comma 7 5 2 3" xfId="3170" xr:uid="{00000000-0005-0000-0000-00000E090000}"/>
    <cellStyle name="Comma 7 5 3" xfId="2637" xr:uid="{00000000-0005-0000-0000-00000F090000}"/>
    <cellStyle name="Comma 7 5 3 2" xfId="3682" xr:uid="{00000000-0005-0000-0000-000010090000}"/>
    <cellStyle name="Comma 7 5 4" xfId="3169" xr:uid="{00000000-0005-0000-0000-000011090000}"/>
    <cellStyle name="Comma 7 6" xfId="985" xr:uid="{00000000-0005-0000-0000-000012090000}"/>
    <cellStyle name="Comma 7 6 2" xfId="986" xr:uid="{00000000-0005-0000-0000-000013090000}"/>
    <cellStyle name="Comma 7 6 2 2" xfId="2640" xr:uid="{00000000-0005-0000-0000-000014090000}"/>
    <cellStyle name="Comma 7 6 2 2 2" xfId="3685" xr:uid="{00000000-0005-0000-0000-000015090000}"/>
    <cellStyle name="Comma 7 6 2 3" xfId="3172" xr:uid="{00000000-0005-0000-0000-000016090000}"/>
    <cellStyle name="Comma 7 6 3" xfId="2639" xr:uid="{00000000-0005-0000-0000-000017090000}"/>
    <cellStyle name="Comma 7 6 3 2" xfId="3684" xr:uid="{00000000-0005-0000-0000-000018090000}"/>
    <cellStyle name="Comma 7 6 4" xfId="3171" xr:uid="{00000000-0005-0000-0000-000019090000}"/>
    <cellStyle name="Comma 7 7" xfId="987" xr:uid="{00000000-0005-0000-0000-00001A090000}"/>
    <cellStyle name="Comma 7 7 2" xfId="988" xr:uid="{00000000-0005-0000-0000-00001B090000}"/>
    <cellStyle name="Comma 7 7 2 2" xfId="2642" xr:uid="{00000000-0005-0000-0000-00001C090000}"/>
    <cellStyle name="Comma 7 7 2 2 2" xfId="3687" xr:uid="{00000000-0005-0000-0000-00001D090000}"/>
    <cellStyle name="Comma 7 7 2 3" xfId="3174" xr:uid="{00000000-0005-0000-0000-00001E090000}"/>
    <cellStyle name="Comma 7 7 3" xfId="2641" xr:uid="{00000000-0005-0000-0000-00001F090000}"/>
    <cellStyle name="Comma 7 7 3 2" xfId="3686" xr:uid="{00000000-0005-0000-0000-000020090000}"/>
    <cellStyle name="Comma 7 7 4" xfId="3173" xr:uid="{00000000-0005-0000-0000-000021090000}"/>
    <cellStyle name="Comma 7 8" xfId="989" xr:uid="{00000000-0005-0000-0000-000022090000}"/>
    <cellStyle name="Comma 7 8 2" xfId="990" xr:uid="{00000000-0005-0000-0000-000023090000}"/>
    <cellStyle name="Comma 7 8 2 2" xfId="2644" xr:uid="{00000000-0005-0000-0000-000024090000}"/>
    <cellStyle name="Comma 7 8 2 2 2" xfId="3689" xr:uid="{00000000-0005-0000-0000-000025090000}"/>
    <cellStyle name="Comma 7 8 2 3" xfId="3176" xr:uid="{00000000-0005-0000-0000-000026090000}"/>
    <cellStyle name="Comma 7 8 3" xfId="2643" xr:uid="{00000000-0005-0000-0000-000027090000}"/>
    <cellStyle name="Comma 7 8 3 2" xfId="3688" xr:uid="{00000000-0005-0000-0000-000028090000}"/>
    <cellStyle name="Comma 7 8 4" xfId="3175" xr:uid="{00000000-0005-0000-0000-000029090000}"/>
    <cellStyle name="Comma 7 9" xfId="991" xr:uid="{00000000-0005-0000-0000-00002A090000}"/>
    <cellStyle name="Comma 7 9 2" xfId="992" xr:uid="{00000000-0005-0000-0000-00002B090000}"/>
    <cellStyle name="Comma 7 9 2 2" xfId="2646" xr:uid="{00000000-0005-0000-0000-00002C090000}"/>
    <cellStyle name="Comma 7 9 2 2 2" xfId="3691" xr:uid="{00000000-0005-0000-0000-00002D090000}"/>
    <cellStyle name="Comma 7 9 2 3" xfId="3178" xr:uid="{00000000-0005-0000-0000-00002E090000}"/>
    <cellStyle name="Comma 7 9 3" xfId="2645" xr:uid="{00000000-0005-0000-0000-00002F090000}"/>
    <cellStyle name="Comma 7 9 3 2" xfId="3690" xr:uid="{00000000-0005-0000-0000-000030090000}"/>
    <cellStyle name="Comma 7 9 4" xfId="3177" xr:uid="{00000000-0005-0000-0000-000031090000}"/>
    <cellStyle name="Comma 8" xfId="993" xr:uid="{00000000-0005-0000-0000-000032090000}"/>
    <cellStyle name="Comma 8 2" xfId="994" xr:uid="{00000000-0005-0000-0000-000033090000}"/>
    <cellStyle name="Comma 8 2 2" xfId="995" xr:uid="{00000000-0005-0000-0000-000034090000}"/>
    <cellStyle name="Comma 8 2 2 2" xfId="2648" xr:uid="{00000000-0005-0000-0000-000035090000}"/>
    <cellStyle name="Comma 8 2 2 2 2" xfId="3693" xr:uid="{00000000-0005-0000-0000-000036090000}"/>
    <cellStyle name="Comma 8 2 2 3" xfId="3180" xr:uid="{00000000-0005-0000-0000-000037090000}"/>
    <cellStyle name="Comma 8 2 3" xfId="2647" xr:uid="{00000000-0005-0000-0000-000038090000}"/>
    <cellStyle name="Comma 8 2 3 2" xfId="3692" xr:uid="{00000000-0005-0000-0000-000039090000}"/>
    <cellStyle name="Comma 8 2 4" xfId="3179" xr:uid="{00000000-0005-0000-0000-00003A090000}"/>
    <cellStyle name="Comma 8 3" xfId="996" xr:uid="{00000000-0005-0000-0000-00003B090000}"/>
    <cellStyle name="Comma 8 3 2" xfId="997" xr:uid="{00000000-0005-0000-0000-00003C090000}"/>
    <cellStyle name="Comma 8 3 2 2" xfId="2650" xr:uid="{00000000-0005-0000-0000-00003D090000}"/>
    <cellStyle name="Comma 8 3 2 2 2" xfId="3695" xr:uid="{00000000-0005-0000-0000-00003E090000}"/>
    <cellStyle name="Comma 8 3 2 3" xfId="3182" xr:uid="{00000000-0005-0000-0000-00003F090000}"/>
    <cellStyle name="Comma 8 3 3" xfId="2649" xr:uid="{00000000-0005-0000-0000-000040090000}"/>
    <cellStyle name="Comma 8 3 3 2" xfId="3694" xr:uid="{00000000-0005-0000-0000-000041090000}"/>
    <cellStyle name="Comma 8 3 4" xfId="3181" xr:uid="{00000000-0005-0000-0000-000042090000}"/>
    <cellStyle name="Comma 8 4" xfId="998" xr:uid="{00000000-0005-0000-0000-000043090000}"/>
    <cellStyle name="Comma 8 4 2" xfId="999" xr:uid="{00000000-0005-0000-0000-000044090000}"/>
    <cellStyle name="Comma 8 4 2 2" xfId="2652" xr:uid="{00000000-0005-0000-0000-000045090000}"/>
    <cellStyle name="Comma 8 4 2 2 2" xfId="3697" xr:uid="{00000000-0005-0000-0000-000046090000}"/>
    <cellStyle name="Comma 8 4 2 3" xfId="3184" xr:uid="{00000000-0005-0000-0000-000047090000}"/>
    <cellStyle name="Comma 8 4 3" xfId="2651" xr:uid="{00000000-0005-0000-0000-000048090000}"/>
    <cellStyle name="Comma 8 4 3 2" xfId="3696" xr:uid="{00000000-0005-0000-0000-000049090000}"/>
    <cellStyle name="Comma 8 4 4" xfId="3183" xr:uid="{00000000-0005-0000-0000-00004A090000}"/>
    <cellStyle name="Comma 8 5" xfId="1000" xr:uid="{00000000-0005-0000-0000-00004B090000}"/>
    <cellStyle name="Comma 8 5 2" xfId="1001" xr:uid="{00000000-0005-0000-0000-00004C090000}"/>
    <cellStyle name="Comma 8 5 2 2" xfId="2654" xr:uid="{00000000-0005-0000-0000-00004D090000}"/>
    <cellStyle name="Comma 8 5 2 2 2" xfId="3699" xr:uid="{00000000-0005-0000-0000-00004E090000}"/>
    <cellStyle name="Comma 8 5 2 3" xfId="3186" xr:uid="{00000000-0005-0000-0000-00004F090000}"/>
    <cellStyle name="Comma 8 5 3" xfId="2653" xr:uid="{00000000-0005-0000-0000-000050090000}"/>
    <cellStyle name="Comma 8 5 3 2" xfId="3698" xr:uid="{00000000-0005-0000-0000-000051090000}"/>
    <cellStyle name="Comma 8 5 4" xfId="3185" xr:uid="{00000000-0005-0000-0000-000052090000}"/>
    <cellStyle name="Comma 8 6" xfId="1002" xr:uid="{00000000-0005-0000-0000-000053090000}"/>
    <cellStyle name="Comma 8 6 2" xfId="1003" xr:uid="{00000000-0005-0000-0000-000054090000}"/>
    <cellStyle name="Comma 8 6 2 2" xfId="2656" xr:uid="{00000000-0005-0000-0000-000055090000}"/>
    <cellStyle name="Comma 8 6 2 2 2" xfId="3701" xr:uid="{00000000-0005-0000-0000-000056090000}"/>
    <cellStyle name="Comma 8 6 2 3" xfId="3188" xr:uid="{00000000-0005-0000-0000-000057090000}"/>
    <cellStyle name="Comma 8 6 3" xfId="2655" xr:uid="{00000000-0005-0000-0000-000058090000}"/>
    <cellStyle name="Comma 8 6 3 2" xfId="3700" xr:uid="{00000000-0005-0000-0000-000059090000}"/>
    <cellStyle name="Comma 8 6 4" xfId="3187" xr:uid="{00000000-0005-0000-0000-00005A090000}"/>
    <cellStyle name="Comma 8 7" xfId="1004" xr:uid="{00000000-0005-0000-0000-00005B090000}"/>
    <cellStyle name="Comma 8 7 2" xfId="1005" xr:uid="{00000000-0005-0000-0000-00005C090000}"/>
    <cellStyle name="Comma 8 7 2 2" xfId="2658" xr:uid="{00000000-0005-0000-0000-00005D090000}"/>
    <cellStyle name="Comma 8 7 2 2 2" xfId="3703" xr:uid="{00000000-0005-0000-0000-00005E090000}"/>
    <cellStyle name="Comma 8 7 2 3" xfId="3190" xr:uid="{00000000-0005-0000-0000-00005F090000}"/>
    <cellStyle name="Comma 8 7 3" xfId="2657" xr:uid="{00000000-0005-0000-0000-000060090000}"/>
    <cellStyle name="Comma 8 7 3 2" xfId="3702" xr:uid="{00000000-0005-0000-0000-000061090000}"/>
    <cellStyle name="Comma 8 7 4" xfId="3189" xr:uid="{00000000-0005-0000-0000-000062090000}"/>
    <cellStyle name="Comma 8 8" xfId="1006" xr:uid="{00000000-0005-0000-0000-000063090000}"/>
    <cellStyle name="Comma 8 8 2" xfId="1007" xr:uid="{00000000-0005-0000-0000-000064090000}"/>
    <cellStyle name="Comma 8 8 2 2" xfId="2660" xr:uid="{00000000-0005-0000-0000-000065090000}"/>
    <cellStyle name="Comma 8 8 2 2 2" xfId="3705" xr:uid="{00000000-0005-0000-0000-000066090000}"/>
    <cellStyle name="Comma 8 8 2 3" xfId="3192" xr:uid="{00000000-0005-0000-0000-000067090000}"/>
    <cellStyle name="Comma 8 8 3" xfId="2659" xr:uid="{00000000-0005-0000-0000-000068090000}"/>
    <cellStyle name="Comma 8 8 3 2" xfId="3704" xr:uid="{00000000-0005-0000-0000-000069090000}"/>
    <cellStyle name="Comma 8 8 4" xfId="3191" xr:uid="{00000000-0005-0000-0000-00006A090000}"/>
    <cellStyle name="Comma 9" xfId="1008" xr:uid="{00000000-0005-0000-0000-00006B090000}"/>
    <cellStyle name="Comma 9 10" xfId="1009" xr:uid="{00000000-0005-0000-0000-00006C090000}"/>
    <cellStyle name="Comma 9 10 2" xfId="1010" xr:uid="{00000000-0005-0000-0000-00006D090000}"/>
    <cellStyle name="Comma 9 10 2 2" xfId="2663" xr:uid="{00000000-0005-0000-0000-00006E090000}"/>
    <cellStyle name="Comma 9 10 2 2 2" xfId="3708" xr:uid="{00000000-0005-0000-0000-00006F090000}"/>
    <cellStyle name="Comma 9 10 2 3" xfId="3195" xr:uid="{00000000-0005-0000-0000-000070090000}"/>
    <cellStyle name="Comma 9 10 3" xfId="2662" xr:uid="{00000000-0005-0000-0000-000071090000}"/>
    <cellStyle name="Comma 9 10 3 2" xfId="3707" xr:uid="{00000000-0005-0000-0000-000072090000}"/>
    <cellStyle name="Comma 9 10 4" xfId="3194" xr:uid="{00000000-0005-0000-0000-000073090000}"/>
    <cellStyle name="Comma 9 11" xfId="2661" xr:uid="{00000000-0005-0000-0000-000074090000}"/>
    <cellStyle name="Comma 9 11 2" xfId="3706" xr:uid="{00000000-0005-0000-0000-000075090000}"/>
    <cellStyle name="Comma 9 12" xfId="3193" xr:uid="{00000000-0005-0000-0000-000076090000}"/>
    <cellStyle name="Comma 9 2" xfId="1011" xr:uid="{00000000-0005-0000-0000-000077090000}"/>
    <cellStyle name="Comma 9 2 2" xfId="1012" xr:uid="{00000000-0005-0000-0000-000078090000}"/>
    <cellStyle name="Comma 9 2 2 2" xfId="2665" xr:uid="{00000000-0005-0000-0000-000079090000}"/>
    <cellStyle name="Comma 9 2 2 2 2" xfId="3710" xr:uid="{00000000-0005-0000-0000-00007A090000}"/>
    <cellStyle name="Comma 9 2 2 3" xfId="3197" xr:uid="{00000000-0005-0000-0000-00007B090000}"/>
    <cellStyle name="Comma 9 2 3" xfId="2664" xr:uid="{00000000-0005-0000-0000-00007C090000}"/>
    <cellStyle name="Comma 9 2 3 2" xfId="3709" xr:uid="{00000000-0005-0000-0000-00007D090000}"/>
    <cellStyle name="Comma 9 2 4" xfId="3196" xr:uid="{00000000-0005-0000-0000-00007E090000}"/>
    <cellStyle name="Comma 9 3" xfId="1013" xr:uid="{00000000-0005-0000-0000-00007F090000}"/>
    <cellStyle name="Comma 9 3 2" xfId="1014" xr:uid="{00000000-0005-0000-0000-000080090000}"/>
    <cellStyle name="Comma 9 3 2 2" xfId="2667" xr:uid="{00000000-0005-0000-0000-000081090000}"/>
    <cellStyle name="Comma 9 3 2 2 2" xfId="3712" xr:uid="{00000000-0005-0000-0000-000082090000}"/>
    <cellStyle name="Comma 9 3 2 3" xfId="3199" xr:uid="{00000000-0005-0000-0000-000083090000}"/>
    <cellStyle name="Comma 9 3 3" xfId="2666" xr:uid="{00000000-0005-0000-0000-000084090000}"/>
    <cellStyle name="Comma 9 3 3 2" xfId="3711" xr:uid="{00000000-0005-0000-0000-000085090000}"/>
    <cellStyle name="Comma 9 3 4" xfId="3198" xr:uid="{00000000-0005-0000-0000-000086090000}"/>
    <cellStyle name="Comma 9 4" xfId="1015" xr:uid="{00000000-0005-0000-0000-000087090000}"/>
    <cellStyle name="Comma 9 4 2" xfId="1016" xr:uid="{00000000-0005-0000-0000-000088090000}"/>
    <cellStyle name="Comma 9 4 2 2" xfId="2669" xr:uid="{00000000-0005-0000-0000-000089090000}"/>
    <cellStyle name="Comma 9 4 2 2 2" xfId="3714" xr:uid="{00000000-0005-0000-0000-00008A090000}"/>
    <cellStyle name="Comma 9 4 2 3" xfId="3201" xr:uid="{00000000-0005-0000-0000-00008B090000}"/>
    <cellStyle name="Comma 9 4 3" xfId="2668" xr:uid="{00000000-0005-0000-0000-00008C090000}"/>
    <cellStyle name="Comma 9 4 3 2" xfId="3713" xr:uid="{00000000-0005-0000-0000-00008D090000}"/>
    <cellStyle name="Comma 9 4 4" xfId="3200" xr:uid="{00000000-0005-0000-0000-00008E090000}"/>
    <cellStyle name="Comma 9 5" xfId="1017" xr:uid="{00000000-0005-0000-0000-00008F090000}"/>
    <cellStyle name="Comma 9 5 2" xfId="1018" xr:uid="{00000000-0005-0000-0000-000090090000}"/>
    <cellStyle name="Comma 9 5 2 2" xfId="2671" xr:uid="{00000000-0005-0000-0000-000091090000}"/>
    <cellStyle name="Comma 9 5 2 2 2" xfId="3716" xr:uid="{00000000-0005-0000-0000-000092090000}"/>
    <cellStyle name="Comma 9 5 2 3" xfId="3203" xr:uid="{00000000-0005-0000-0000-000093090000}"/>
    <cellStyle name="Comma 9 5 3" xfId="2670" xr:uid="{00000000-0005-0000-0000-000094090000}"/>
    <cellStyle name="Comma 9 5 3 2" xfId="3715" xr:uid="{00000000-0005-0000-0000-000095090000}"/>
    <cellStyle name="Comma 9 5 4" xfId="3202" xr:uid="{00000000-0005-0000-0000-000096090000}"/>
    <cellStyle name="Comma 9 6" xfId="1019" xr:uid="{00000000-0005-0000-0000-000097090000}"/>
    <cellStyle name="Comma 9 6 2" xfId="1020" xr:uid="{00000000-0005-0000-0000-000098090000}"/>
    <cellStyle name="Comma 9 6 2 2" xfId="2673" xr:uid="{00000000-0005-0000-0000-000099090000}"/>
    <cellStyle name="Comma 9 6 2 2 2" xfId="3718" xr:uid="{00000000-0005-0000-0000-00009A090000}"/>
    <cellStyle name="Comma 9 6 2 3" xfId="3205" xr:uid="{00000000-0005-0000-0000-00009B090000}"/>
    <cellStyle name="Comma 9 6 3" xfId="2672" xr:uid="{00000000-0005-0000-0000-00009C090000}"/>
    <cellStyle name="Comma 9 6 3 2" xfId="3717" xr:uid="{00000000-0005-0000-0000-00009D090000}"/>
    <cellStyle name="Comma 9 6 4" xfId="3204" xr:uid="{00000000-0005-0000-0000-00009E090000}"/>
    <cellStyle name="Comma 9 7" xfId="1021" xr:uid="{00000000-0005-0000-0000-00009F090000}"/>
    <cellStyle name="Comma 9 7 2" xfId="1022" xr:uid="{00000000-0005-0000-0000-0000A0090000}"/>
    <cellStyle name="Comma 9 7 2 2" xfId="2675" xr:uid="{00000000-0005-0000-0000-0000A1090000}"/>
    <cellStyle name="Comma 9 7 2 2 2" xfId="3720" xr:uid="{00000000-0005-0000-0000-0000A2090000}"/>
    <cellStyle name="Comma 9 7 2 3" xfId="3207" xr:uid="{00000000-0005-0000-0000-0000A3090000}"/>
    <cellStyle name="Comma 9 7 3" xfId="2674" xr:uid="{00000000-0005-0000-0000-0000A4090000}"/>
    <cellStyle name="Comma 9 7 3 2" xfId="3719" xr:uid="{00000000-0005-0000-0000-0000A5090000}"/>
    <cellStyle name="Comma 9 7 4" xfId="3206" xr:uid="{00000000-0005-0000-0000-0000A6090000}"/>
    <cellStyle name="Comma 9 8" xfId="1023" xr:uid="{00000000-0005-0000-0000-0000A7090000}"/>
    <cellStyle name="Comma 9 8 2" xfId="1024" xr:uid="{00000000-0005-0000-0000-0000A8090000}"/>
    <cellStyle name="Comma 9 8 2 2" xfId="2677" xr:uid="{00000000-0005-0000-0000-0000A9090000}"/>
    <cellStyle name="Comma 9 8 2 2 2" xfId="3722" xr:uid="{00000000-0005-0000-0000-0000AA090000}"/>
    <cellStyle name="Comma 9 8 2 3" xfId="3209" xr:uid="{00000000-0005-0000-0000-0000AB090000}"/>
    <cellStyle name="Comma 9 8 3" xfId="2676" xr:uid="{00000000-0005-0000-0000-0000AC090000}"/>
    <cellStyle name="Comma 9 8 3 2" xfId="3721" xr:uid="{00000000-0005-0000-0000-0000AD090000}"/>
    <cellStyle name="Comma 9 8 4" xfId="3208" xr:uid="{00000000-0005-0000-0000-0000AE090000}"/>
    <cellStyle name="Comma 9 9" xfId="1025" xr:uid="{00000000-0005-0000-0000-0000AF090000}"/>
    <cellStyle name="Comma 9 9 2" xfId="1026" xr:uid="{00000000-0005-0000-0000-0000B0090000}"/>
    <cellStyle name="Comma 9 9 2 2" xfId="2679" xr:uid="{00000000-0005-0000-0000-0000B1090000}"/>
    <cellStyle name="Comma 9 9 2 2 2" xfId="3724" xr:uid="{00000000-0005-0000-0000-0000B2090000}"/>
    <cellStyle name="Comma 9 9 2 3" xfId="3211" xr:uid="{00000000-0005-0000-0000-0000B3090000}"/>
    <cellStyle name="Comma 9 9 3" xfId="2678" xr:uid="{00000000-0005-0000-0000-0000B4090000}"/>
    <cellStyle name="Comma 9 9 3 2" xfId="3723" xr:uid="{00000000-0005-0000-0000-0000B5090000}"/>
    <cellStyle name="Comma 9 9 4" xfId="3210" xr:uid="{00000000-0005-0000-0000-0000B6090000}"/>
    <cellStyle name="Corner heading" xfId="50" xr:uid="{00000000-0005-0000-0000-0000B7090000}"/>
    <cellStyle name="Currency 2 2" xfId="1027" xr:uid="{00000000-0005-0000-0000-0000B8090000}"/>
    <cellStyle name="CustomizationCells" xfId="1028" xr:uid="{00000000-0005-0000-0000-0000B9090000}"/>
    <cellStyle name="Data" xfId="51" xr:uid="{00000000-0005-0000-0000-0000BA090000}"/>
    <cellStyle name="Data no deci" xfId="52" xr:uid="{00000000-0005-0000-0000-0000BB090000}"/>
    <cellStyle name="Data Superscript" xfId="53" xr:uid="{00000000-0005-0000-0000-0000BC090000}"/>
    <cellStyle name="Data_1-1A-Regular" xfId="54" xr:uid="{00000000-0005-0000-0000-0000BD090000}"/>
    <cellStyle name="Euro" xfId="1029" xr:uid="{00000000-0005-0000-0000-0000BE090000}"/>
    <cellStyle name="Euro 2" xfId="1030" xr:uid="{00000000-0005-0000-0000-0000BF090000}"/>
    <cellStyle name="Euro 2 2" xfId="1031" xr:uid="{00000000-0005-0000-0000-0000C0090000}"/>
    <cellStyle name="Euro 2 2 2" xfId="1032" xr:uid="{00000000-0005-0000-0000-0000C1090000}"/>
    <cellStyle name="Euro 3" xfId="1033" xr:uid="{00000000-0005-0000-0000-0000C2090000}"/>
    <cellStyle name="Euro 4" xfId="1034" xr:uid="{00000000-0005-0000-0000-0000C3090000}"/>
    <cellStyle name="Euro 4 2" xfId="1035" xr:uid="{00000000-0005-0000-0000-0000C4090000}"/>
    <cellStyle name="Euro 4 3" xfId="1036" xr:uid="{00000000-0005-0000-0000-0000C5090000}"/>
    <cellStyle name="Euro 5" xfId="1037" xr:uid="{00000000-0005-0000-0000-0000C6090000}"/>
    <cellStyle name="Euro 5 2" xfId="1038" xr:uid="{00000000-0005-0000-0000-0000C7090000}"/>
    <cellStyle name="Euro 6" xfId="1039" xr:uid="{00000000-0005-0000-0000-0000C8090000}"/>
    <cellStyle name="Euro 6 2" xfId="1040" xr:uid="{00000000-0005-0000-0000-0000C9090000}"/>
    <cellStyle name="Euro 6 3" xfId="1041" xr:uid="{00000000-0005-0000-0000-0000CA090000}"/>
    <cellStyle name="Euro 7" xfId="1042" xr:uid="{00000000-0005-0000-0000-0000CB090000}"/>
    <cellStyle name="Explanatory Text" xfId="2149" builtinId="53" customBuiltin="1"/>
    <cellStyle name="Explanatory Text 2" xfId="1043" xr:uid="{00000000-0005-0000-0000-0000CD090000}"/>
    <cellStyle name="Explanatory Text 2 10" xfId="1044" xr:uid="{00000000-0005-0000-0000-0000CE090000}"/>
    <cellStyle name="Explanatory Text 2 2" xfId="1045" xr:uid="{00000000-0005-0000-0000-0000CF090000}"/>
    <cellStyle name="Explanatory Text 2 3" xfId="1046" xr:uid="{00000000-0005-0000-0000-0000D0090000}"/>
    <cellStyle name="Explanatory Text 2 4" xfId="1047" xr:uid="{00000000-0005-0000-0000-0000D1090000}"/>
    <cellStyle name="Explanatory Text 2 5" xfId="1048" xr:uid="{00000000-0005-0000-0000-0000D2090000}"/>
    <cellStyle name="Explanatory Text 2 6" xfId="1049" xr:uid="{00000000-0005-0000-0000-0000D3090000}"/>
    <cellStyle name="Explanatory Text 2 7" xfId="1050" xr:uid="{00000000-0005-0000-0000-0000D4090000}"/>
    <cellStyle name="Explanatory Text 2 8" xfId="1051" xr:uid="{00000000-0005-0000-0000-0000D5090000}"/>
    <cellStyle name="Explanatory Text 2 9" xfId="1052" xr:uid="{00000000-0005-0000-0000-0000D6090000}"/>
    <cellStyle name="Explanatory Text 3" xfId="1053" xr:uid="{00000000-0005-0000-0000-0000D7090000}"/>
    <cellStyle name="Float" xfId="1054" xr:uid="{00000000-0005-0000-0000-0000D8090000}"/>
    <cellStyle name="Float 2" xfId="1055" xr:uid="{00000000-0005-0000-0000-0000D9090000}"/>
    <cellStyle name="Float 2 2" xfId="1056" xr:uid="{00000000-0005-0000-0000-0000DA090000}"/>
    <cellStyle name="Float 3" xfId="1057" xr:uid="{00000000-0005-0000-0000-0000DB090000}"/>
    <cellStyle name="Good" xfId="2140" builtinId="26" customBuiltin="1"/>
    <cellStyle name="Good 2" xfId="1058" xr:uid="{00000000-0005-0000-0000-0000DD090000}"/>
    <cellStyle name="Good 2 10" xfId="1059" xr:uid="{00000000-0005-0000-0000-0000DE090000}"/>
    <cellStyle name="Good 2 2" xfId="1060" xr:uid="{00000000-0005-0000-0000-0000DF090000}"/>
    <cellStyle name="Good 2 3" xfId="1061" xr:uid="{00000000-0005-0000-0000-0000E0090000}"/>
    <cellStyle name="Good 2 4" xfId="1062" xr:uid="{00000000-0005-0000-0000-0000E1090000}"/>
    <cellStyle name="Good 2 5" xfId="1063" xr:uid="{00000000-0005-0000-0000-0000E2090000}"/>
    <cellStyle name="Good 2 6" xfId="1064" xr:uid="{00000000-0005-0000-0000-0000E3090000}"/>
    <cellStyle name="Good 2 7" xfId="1065" xr:uid="{00000000-0005-0000-0000-0000E4090000}"/>
    <cellStyle name="Good 2 8" xfId="1066" xr:uid="{00000000-0005-0000-0000-0000E5090000}"/>
    <cellStyle name="Good 2 9" xfId="1067" xr:uid="{00000000-0005-0000-0000-0000E6090000}"/>
    <cellStyle name="Good 3" xfId="1068" xr:uid="{00000000-0005-0000-0000-0000E7090000}"/>
    <cellStyle name="Heading 1" xfId="2136" builtinId="16" customBuiltin="1"/>
    <cellStyle name="Heading 1 2" xfId="1069" xr:uid="{00000000-0005-0000-0000-0000E9090000}"/>
    <cellStyle name="Heading 1 2 10" xfId="1070" xr:uid="{00000000-0005-0000-0000-0000EA090000}"/>
    <cellStyle name="Heading 1 2 2" xfId="1071" xr:uid="{00000000-0005-0000-0000-0000EB090000}"/>
    <cellStyle name="Heading 1 2 3" xfId="1072" xr:uid="{00000000-0005-0000-0000-0000EC090000}"/>
    <cellStyle name="Heading 1 2 4" xfId="1073" xr:uid="{00000000-0005-0000-0000-0000ED090000}"/>
    <cellStyle name="Heading 1 2 5" xfId="1074" xr:uid="{00000000-0005-0000-0000-0000EE090000}"/>
    <cellStyle name="Heading 1 2 6" xfId="1075" xr:uid="{00000000-0005-0000-0000-0000EF090000}"/>
    <cellStyle name="Heading 1 2 7" xfId="1076" xr:uid="{00000000-0005-0000-0000-0000F0090000}"/>
    <cellStyle name="Heading 1 2 8" xfId="1077" xr:uid="{00000000-0005-0000-0000-0000F1090000}"/>
    <cellStyle name="Heading 1 2 9" xfId="1078" xr:uid="{00000000-0005-0000-0000-0000F2090000}"/>
    <cellStyle name="Heading 1 2_PotsLow" xfId="1079" xr:uid="{00000000-0005-0000-0000-0000F3090000}"/>
    <cellStyle name="Heading 1 3" xfId="1080" xr:uid="{00000000-0005-0000-0000-0000F4090000}"/>
    <cellStyle name="Heading 2" xfId="2137" builtinId="17" customBuiltin="1"/>
    <cellStyle name="Heading 2 2" xfId="1081" xr:uid="{00000000-0005-0000-0000-0000F6090000}"/>
    <cellStyle name="Heading 2 2 10" xfId="1082" xr:uid="{00000000-0005-0000-0000-0000F7090000}"/>
    <cellStyle name="Heading 2 2 2" xfId="1083" xr:uid="{00000000-0005-0000-0000-0000F8090000}"/>
    <cellStyle name="Heading 2 2 3" xfId="1084" xr:uid="{00000000-0005-0000-0000-0000F9090000}"/>
    <cellStyle name="Heading 2 2 4" xfId="1085" xr:uid="{00000000-0005-0000-0000-0000FA090000}"/>
    <cellStyle name="Heading 2 2 5" xfId="1086" xr:uid="{00000000-0005-0000-0000-0000FB090000}"/>
    <cellStyle name="Heading 2 2 6" xfId="1087" xr:uid="{00000000-0005-0000-0000-0000FC090000}"/>
    <cellStyle name="Heading 2 2 7" xfId="1088" xr:uid="{00000000-0005-0000-0000-0000FD090000}"/>
    <cellStyle name="Heading 2 2 8" xfId="1089" xr:uid="{00000000-0005-0000-0000-0000FE090000}"/>
    <cellStyle name="Heading 2 2 9" xfId="1090" xr:uid="{00000000-0005-0000-0000-0000FF090000}"/>
    <cellStyle name="Heading 2 3" xfId="1091" xr:uid="{00000000-0005-0000-0000-0000000A0000}"/>
    <cellStyle name="Heading 3" xfId="2138" builtinId="18" customBuiltin="1"/>
    <cellStyle name="Heading 3 2" xfId="1092" xr:uid="{00000000-0005-0000-0000-0000020A0000}"/>
    <cellStyle name="Heading 3 2 10" xfId="1093" xr:uid="{00000000-0005-0000-0000-0000030A0000}"/>
    <cellStyle name="Heading 3 2 2" xfId="1094" xr:uid="{00000000-0005-0000-0000-0000040A0000}"/>
    <cellStyle name="Heading 3 2 3" xfId="1095" xr:uid="{00000000-0005-0000-0000-0000050A0000}"/>
    <cellStyle name="Heading 3 2 4" xfId="1096" xr:uid="{00000000-0005-0000-0000-0000060A0000}"/>
    <cellStyle name="Heading 3 2 5" xfId="1097" xr:uid="{00000000-0005-0000-0000-0000070A0000}"/>
    <cellStyle name="Heading 3 2 6" xfId="1098" xr:uid="{00000000-0005-0000-0000-0000080A0000}"/>
    <cellStyle name="Heading 3 2 7" xfId="1099" xr:uid="{00000000-0005-0000-0000-0000090A0000}"/>
    <cellStyle name="Heading 3 2 8" xfId="1100" xr:uid="{00000000-0005-0000-0000-00000A0A0000}"/>
    <cellStyle name="Heading 3 2 9" xfId="1101" xr:uid="{00000000-0005-0000-0000-00000B0A0000}"/>
    <cellStyle name="Heading 3 3" xfId="1102" xr:uid="{00000000-0005-0000-0000-00000C0A0000}"/>
    <cellStyle name="Heading 4" xfId="2139" builtinId="19" customBuiltin="1"/>
    <cellStyle name="Heading 4 2" xfId="1103" xr:uid="{00000000-0005-0000-0000-00000E0A0000}"/>
    <cellStyle name="Heading 4 2 10" xfId="1104" xr:uid="{00000000-0005-0000-0000-00000F0A0000}"/>
    <cellStyle name="Heading 4 2 2" xfId="1105" xr:uid="{00000000-0005-0000-0000-0000100A0000}"/>
    <cellStyle name="Heading 4 2 3" xfId="1106" xr:uid="{00000000-0005-0000-0000-0000110A0000}"/>
    <cellStyle name="Heading 4 2 4" xfId="1107" xr:uid="{00000000-0005-0000-0000-0000120A0000}"/>
    <cellStyle name="Heading 4 2 5" xfId="1108" xr:uid="{00000000-0005-0000-0000-0000130A0000}"/>
    <cellStyle name="Heading 4 2 6" xfId="1109" xr:uid="{00000000-0005-0000-0000-0000140A0000}"/>
    <cellStyle name="Heading 4 2 7" xfId="1110" xr:uid="{00000000-0005-0000-0000-0000150A0000}"/>
    <cellStyle name="Heading 4 2 8" xfId="1111" xr:uid="{00000000-0005-0000-0000-0000160A0000}"/>
    <cellStyle name="Heading 4 2 9" xfId="1112" xr:uid="{00000000-0005-0000-0000-0000170A0000}"/>
    <cellStyle name="Heading 4 3" xfId="1113" xr:uid="{00000000-0005-0000-0000-0000180A0000}"/>
    <cellStyle name="Headline" xfId="55" xr:uid="{00000000-0005-0000-0000-0000190A0000}"/>
    <cellStyle name="Hed Side" xfId="56" xr:uid="{00000000-0005-0000-0000-00001A0A0000}"/>
    <cellStyle name="Hed Side bold" xfId="57" xr:uid="{00000000-0005-0000-0000-00001B0A0000}"/>
    <cellStyle name="Hed Side Indent" xfId="58" xr:uid="{00000000-0005-0000-0000-00001C0A0000}"/>
    <cellStyle name="Hed Side Regular" xfId="59" xr:uid="{00000000-0005-0000-0000-00001D0A0000}"/>
    <cellStyle name="Hed Side_1-1A-Regular" xfId="60" xr:uid="{00000000-0005-0000-0000-00001E0A0000}"/>
    <cellStyle name="Hed Top" xfId="61" xr:uid="{00000000-0005-0000-0000-00001F0A0000}"/>
    <cellStyle name="Hed Top - SECTION" xfId="62" xr:uid="{00000000-0005-0000-0000-0000200A0000}"/>
    <cellStyle name="Hed Top_3-new4" xfId="63" xr:uid="{00000000-0005-0000-0000-0000210A0000}"/>
    <cellStyle name="Hyperlink 2" xfId="1114" xr:uid="{00000000-0005-0000-0000-0000220A0000}"/>
    <cellStyle name="Input" xfId="2143" builtinId="20" customBuiltin="1"/>
    <cellStyle name="Input 2" xfId="1115" xr:uid="{00000000-0005-0000-0000-0000240A0000}"/>
    <cellStyle name="Input 2 10" xfId="1116" xr:uid="{00000000-0005-0000-0000-0000250A0000}"/>
    <cellStyle name="Input 2 2" xfId="1117" xr:uid="{00000000-0005-0000-0000-0000260A0000}"/>
    <cellStyle name="Input 2 3" xfId="1118" xr:uid="{00000000-0005-0000-0000-0000270A0000}"/>
    <cellStyle name="Input 2 4" xfId="1119" xr:uid="{00000000-0005-0000-0000-0000280A0000}"/>
    <cellStyle name="Input 2 5" xfId="1120" xr:uid="{00000000-0005-0000-0000-0000290A0000}"/>
    <cellStyle name="Input 2 6" xfId="1121" xr:uid="{00000000-0005-0000-0000-00002A0A0000}"/>
    <cellStyle name="Input 2 7" xfId="1122" xr:uid="{00000000-0005-0000-0000-00002B0A0000}"/>
    <cellStyle name="Input 2 8" xfId="1123" xr:uid="{00000000-0005-0000-0000-00002C0A0000}"/>
    <cellStyle name="Input 2 9" xfId="1124" xr:uid="{00000000-0005-0000-0000-00002D0A0000}"/>
    <cellStyle name="Input 2_PotsLow" xfId="1125" xr:uid="{00000000-0005-0000-0000-00002E0A0000}"/>
    <cellStyle name="Input 3" xfId="1126" xr:uid="{00000000-0005-0000-0000-00002F0A0000}"/>
    <cellStyle name="InputCells" xfId="1127" xr:uid="{00000000-0005-0000-0000-0000300A0000}"/>
    <cellStyle name="Linked Cell" xfId="2146" builtinId="24" customBuiltin="1"/>
    <cellStyle name="Linked Cell 2" xfId="1128" xr:uid="{00000000-0005-0000-0000-0000320A0000}"/>
    <cellStyle name="Linked Cell 2 10" xfId="1129" xr:uid="{00000000-0005-0000-0000-0000330A0000}"/>
    <cellStyle name="Linked Cell 2 2" xfId="1130" xr:uid="{00000000-0005-0000-0000-0000340A0000}"/>
    <cellStyle name="Linked Cell 2 3" xfId="1131" xr:uid="{00000000-0005-0000-0000-0000350A0000}"/>
    <cellStyle name="Linked Cell 2 4" xfId="1132" xr:uid="{00000000-0005-0000-0000-0000360A0000}"/>
    <cellStyle name="Linked Cell 2 5" xfId="1133" xr:uid="{00000000-0005-0000-0000-0000370A0000}"/>
    <cellStyle name="Linked Cell 2 6" xfId="1134" xr:uid="{00000000-0005-0000-0000-0000380A0000}"/>
    <cellStyle name="Linked Cell 2 7" xfId="1135" xr:uid="{00000000-0005-0000-0000-0000390A0000}"/>
    <cellStyle name="Linked Cell 2 8" xfId="1136" xr:uid="{00000000-0005-0000-0000-00003A0A0000}"/>
    <cellStyle name="Linked Cell 2 9" xfId="1137" xr:uid="{00000000-0005-0000-0000-00003B0A0000}"/>
    <cellStyle name="Linked Cell 2_PotsLow" xfId="1138" xr:uid="{00000000-0005-0000-0000-00003C0A0000}"/>
    <cellStyle name="Linked Cell 3" xfId="1139" xr:uid="{00000000-0005-0000-0000-00003D0A0000}"/>
    <cellStyle name="Migliaia_Oil&amp;Gas IFE ARC POLITO" xfId="1140" xr:uid="{00000000-0005-0000-0000-00003E0A0000}"/>
    <cellStyle name="Neutral" xfId="2142" builtinId="28" customBuiltin="1"/>
    <cellStyle name="Neutral 2" xfId="3" xr:uid="{00000000-0005-0000-0000-0000400A0000}"/>
    <cellStyle name="Neutral 2 10" xfId="1141" xr:uid="{00000000-0005-0000-0000-0000410A0000}"/>
    <cellStyle name="Neutral 2 2" xfId="1142" xr:uid="{00000000-0005-0000-0000-0000420A0000}"/>
    <cellStyle name="Neutral 2 3" xfId="1143" xr:uid="{00000000-0005-0000-0000-0000430A0000}"/>
    <cellStyle name="Neutral 2 4" xfId="1144" xr:uid="{00000000-0005-0000-0000-0000440A0000}"/>
    <cellStyle name="Neutral 2 5" xfId="1145" xr:uid="{00000000-0005-0000-0000-0000450A0000}"/>
    <cellStyle name="Neutral 2 6" xfId="1146" xr:uid="{00000000-0005-0000-0000-0000460A0000}"/>
    <cellStyle name="Neutral 2 7" xfId="1147" xr:uid="{00000000-0005-0000-0000-0000470A0000}"/>
    <cellStyle name="Neutral 2 8" xfId="1148" xr:uid="{00000000-0005-0000-0000-0000480A0000}"/>
    <cellStyle name="Neutral 2 9" xfId="1149" xr:uid="{00000000-0005-0000-0000-0000490A0000}"/>
    <cellStyle name="Neutral 3" xfId="1150" xr:uid="{00000000-0005-0000-0000-00004A0A0000}"/>
    <cellStyle name="Normaali_Baseline050902" xfId="111" xr:uid="{00000000-0005-0000-0000-00004B0A0000}"/>
    <cellStyle name="Normal" xfId="0" builtinId="0"/>
    <cellStyle name="Normal 10" xfId="6" xr:uid="{00000000-0005-0000-0000-00004D0A0000}"/>
    <cellStyle name="Normal 10 2" xfId="1151" xr:uid="{00000000-0005-0000-0000-00004E0A0000}"/>
    <cellStyle name="Normal 10 3" xfId="1152" xr:uid="{00000000-0005-0000-0000-00004F0A0000}"/>
    <cellStyle name="Normal 10 4" xfId="1153" xr:uid="{00000000-0005-0000-0000-0000500A0000}"/>
    <cellStyle name="Normal 10 5" xfId="1154" xr:uid="{00000000-0005-0000-0000-0000510A0000}"/>
    <cellStyle name="Normal 10 6" xfId="1155" xr:uid="{00000000-0005-0000-0000-0000520A0000}"/>
    <cellStyle name="Normal 10 7" xfId="1156" xr:uid="{00000000-0005-0000-0000-0000530A0000}"/>
    <cellStyle name="Normal 10 8" xfId="1157" xr:uid="{00000000-0005-0000-0000-0000540A0000}"/>
    <cellStyle name="Normal 10 9" xfId="1158" xr:uid="{00000000-0005-0000-0000-0000550A0000}"/>
    <cellStyle name="Normal 11" xfId="1159" xr:uid="{00000000-0005-0000-0000-0000560A0000}"/>
    <cellStyle name="Normal 11 2" xfId="5" xr:uid="{00000000-0005-0000-0000-0000570A0000}"/>
    <cellStyle name="Normal 11 2 2" xfId="11" xr:uid="{00000000-0005-0000-0000-0000580A0000}"/>
    <cellStyle name="Normal 11 2 2 2" xfId="2183" xr:uid="{00000000-0005-0000-0000-0000590A0000}"/>
    <cellStyle name="Normal 11 2 2 2 2" xfId="3228" xr:uid="{00000000-0005-0000-0000-00005A0A0000}"/>
    <cellStyle name="Normal 11 2 2 3" xfId="2692" xr:uid="{00000000-0005-0000-0000-00005B0A0000}"/>
    <cellStyle name="Normal 11 2 3" xfId="110" xr:uid="{00000000-0005-0000-0000-00005C0A0000}"/>
    <cellStyle name="Normal 11 2 3 2" xfId="2198" xr:uid="{00000000-0005-0000-0000-00005D0A0000}"/>
    <cellStyle name="Normal 11 2 3 2 2" xfId="3243" xr:uid="{00000000-0005-0000-0000-00005E0A0000}"/>
    <cellStyle name="Normal 11 2 3 3" xfId="2693" xr:uid="{00000000-0005-0000-0000-00005F0A0000}"/>
    <cellStyle name="Normal 11 2 4" xfId="2134" xr:uid="{00000000-0005-0000-0000-0000600A0000}"/>
    <cellStyle name="Normal 11 2 4 2" xfId="2687" xr:uid="{00000000-0005-0000-0000-0000610A0000}"/>
    <cellStyle name="Normal 11 2 4 2 2" xfId="3732" xr:uid="{00000000-0005-0000-0000-0000620A0000}"/>
    <cellStyle name="Normal 11 2 4 3" xfId="2696" xr:uid="{00000000-0005-0000-0000-0000630A0000}"/>
    <cellStyle name="Normal 11 2 5" xfId="2179" xr:uid="{00000000-0005-0000-0000-0000640A0000}"/>
    <cellStyle name="Normal 11 2 5 2" xfId="3224" xr:uid="{00000000-0005-0000-0000-0000650A0000}"/>
    <cellStyle name="Normal 11 2 6" xfId="2713" xr:uid="{00000000-0005-0000-0000-0000660A0000}"/>
    <cellStyle name="Normal 11 3" xfId="1160" xr:uid="{00000000-0005-0000-0000-0000670A0000}"/>
    <cellStyle name="Normal 11 4" xfId="1161" xr:uid="{00000000-0005-0000-0000-0000680A0000}"/>
    <cellStyle name="Normal 11 5" xfId="1162" xr:uid="{00000000-0005-0000-0000-0000690A0000}"/>
    <cellStyle name="Normal 11 6" xfId="1163" xr:uid="{00000000-0005-0000-0000-00006A0A0000}"/>
    <cellStyle name="Normal 11 7" xfId="1164" xr:uid="{00000000-0005-0000-0000-00006B0A0000}"/>
    <cellStyle name="Normal 11 8" xfId="1165" xr:uid="{00000000-0005-0000-0000-00006C0A0000}"/>
    <cellStyle name="Normal 12" xfId="1166" xr:uid="{00000000-0005-0000-0000-00006D0A0000}"/>
    <cellStyle name="Normal 12 2" xfId="1167" xr:uid="{00000000-0005-0000-0000-00006E0A0000}"/>
    <cellStyle name="Normal 12 3" xfId="1168" xr:uid="{00000000-0005-0000-0000-00006F0A0000}"/>
    <cellStyle name="Normal 12 4" xfId="1169" xr:uid="{00000000-0005-0000-0000-0000700A0000}"/>
    <cellStyle name="Normal 12 5" xfId="1170" xr:uid="{00000000-0005-0000-0000-0000710A0000}"/>
    <cellStyle name="Normal 12 6" xfId="1171" xr:uid="{00000000-0005-0000-0000-0000720A0000}"/>
    <cellStyle name="Normal 12 7" xfId="1172" xr:uid="{00000000-0005-0000-0000-0000730A0000}"/>
    <cellStyle name="Normal 12 8" xfId="1173" xr:uid="{00000000-0005-0000-0000-0000740A0000}"/>
    <cellStyle name="Normal 13" xfId="1174" xr:uid="{00000000-0005-0000-0000-0000750A0000}"/>
    <cellStyle name="Normal 13 10" xfId="1175" xr:uid="{00000000-0005-0000-0000-0000760A0000}"/>
    <cellStyle name="Normal 13 11" xfId="1176" xr:uid="{00000000-0005-0000-0000-0000770A0000}"/>
    <cellStyle name="Normal 13 12" xfId="1177" xr:uid="{00000000-0005-0000-0000-0000780A0000}"/>
    <cellStyle name="Normal 13 13" xfId="1178" xr:uid="{00000000-0005-0000-0000-0000790A0000}"/>
    <cellStyle name="Normal 13 14" xfId="1179" xr:uid="{00000000-0005-0000-0000-00007A0A0000}"/>
    <cellStyle name="Normal 13 15" xfId="1180" xr:uid="{00000000-0005-0000-0000-00007B0A0000}"/>
    <cellStyle name="Normal 13 16" xfId="1181" xr:uid="{00000000-0005-0000-0000-00007C0A0000}"/>
    <cellStyle name="Normal 13 17" xfId="1182" xr:uid="{00000000-0005-0000-0000-00007D0A0000}"/>
    <cellStyle name="Normal 13 18" xfId="1183" xr:uid="{00000000-0005-0000-0000-00007E0A0000}"/>
    <cellStyle name="Normal 13 19" xfId="1184" xr:uid="{00000000-0005-0000-0000-00007F0A0000}"/>
    <cellStyle name="Normal 13 2" xfId="1185" xr:uid="{00000000-0005-0000-0000-0000800A0000}"/>
    <cellStyle name="Normal 13 2 2" xfId="1186" xr:uid="{00000000-0005-0000-0000-0000810A0000}"/>
    <cellStyle name="Normal 13 2 3" xfId="1187" xr:uid="{00000000-0005-0000-0000-0000820A0000}"/>
    <cellStyle name="Normal 13 2 4" xfId="1188" xr:uid="{00000000-0005-0000-0000-0000830A0000}"/>
    <cellStyle name="Normal 13 2 5" xfId="1189" xr:uid="{00000000-0005-0000-0000-0000840A0000}"/>
    <cellStyle name="Normal 13 2 6" xfId="1190" xr:uid="{00000000-0005-0000-0000-0000850A0000}"/>
    <cellStyle name="Normal 13 2 7" xfId="1191" xr:uid="{00000000-0005-0000-0000-0000860A0000}"/>
    <cellStyle name="Normal 13 2 8" xfId="1192" xr:uid="{00000000-0005-0000-0000-0000870A0000}"/>
    <cellStyle name="Normal 13 20" xfId="1193" xr:uid="{00000000-0005-0000-0000-0000880A0000}"/>
    <cellStyle name="Normal 13 21" xfId="1194" xr:uid="{00000000-0005-0000-0000-0000890A0000}"/>
    <cellStyle name="Normal 13 22" xfId="1195" xr:uid="{00000000-0005-0000-0000-00008A0A0000}"/>
    <cellStyle name="Normal 13 23" xfId="1196" xr:uid="{00000000-0005-0000-0000-00008B0A0000}"/>
    <cellStyle name="Normal 13 24" xfId="1197" xr:uid="{00000000-0005-0000-0000-00008C0A0000}"/>
    <cellStyle name="Normal 13 25" xfId="1198" xr:uid="{00000000-0005-0000-0000-00008D0A0000}"/>
    <cellStyle name="Normal 13 26" xfId="1199" xr:uid="{00000000-0005-0000-0000-00008E0A0000}"/>
    <cellStyle name="Normal 13 27" xfId="1200" xr:uid="{00000000-0005-0000-0000-00008F0A0000}"/>
    <cellStyle name="Normal 13 28" xfId="1201" xr:uid="{00000000-0005-0000-0000-0000900A0000}"/>
    <cellStyle name="Normal 13 29" xfId="1202" xr:uid="{00000000-0005-0000-0000-0000910A0000}"/>
    <cellStyle name="Normal 13 3" xfId="1203" xr:uid="{00000000-0005-0000-0000-0000920A0000}"/>
    <cellStyle name="Normal 13 30" xfId="1204" xr:uid="{00000000-0005-0000-0000-0000930A0000}"/>
    <cellStyle name="Normal 13 31" xfId="1205" xr:uid="{00000000-0005-0000-0000-0000940A0000}"/>
    <cellStyle name="Normal 13 32" xfId="1206" xr:uid="{00000000-0005-0000-0000-0000950A0000}"/>
    <cellStyle name="Normal 13 33" xfId="1207" xr:uid="{00000000-0005-0000-0000-0000960A0000}"/>
    <cellStyle name="Normal 13 34" xfId="1208" xr:uid="{00000000-0005-0000-0000-0000970A0000}"/>
    <cellStyle name="Normal 13 35" xfId="1209" xr:uid="{00000000-0005-0000-0000-0000980A0000}"/>
    <cellStyle name="Normal 13 36" xfId="1210" xr:uid="{00000000-0005-0000-0000-0000990A0000}"/>
    <cellStyle name="Normal 13 37" xfId="1211" xr:uid="{00000000-0005-0000-0000-00009A0A0000}"/>
    <cellStyle name="Normal 13 38" xfId="1212" xr:uid="{00000000-0005-0000-0000-00009B0A0000}"/>
    <cellStyle name="Normal 13 4" xfId="1213" xr:uid="{00000000-0005-0000-0000-00009C0A0000}"/>
    <cellStyle name="Normal 13 5" xfId="1214" xr:uid="{00000000-0005-0000-0000-00009D0A0000}"/>
    <cellStyle name="Normal 13 6" xfId="1215" xr:uid="{00000000-0005-0000-0000-00009E0A0000}"/>
    <cellStyle name="Normal 13 7" xfId="1216" xr:uid="{00000000-0005-0000-0000-00009F0A0000}"/>
    <cellStyle name="Normal 13 8" xfId="1217" xr:uid="{00000000-0005-0000-0000-0000A00A0000}"/>
    <cellStyle name="Normal 13 9" xfId="1218" xr:uid="{00000000-0005-0000-0000-0000A10A0000}"/>
    <cellStyle name="Normal 14" xfId="1219" xr:uid="{00000000-0005-0000-0000-0000A20A0000}"/>
    <cellStyle name="Normal 14 10" xfId="1220" xr:uid="{00000000-0005-0000-0000-0000A30A0000}"/>
    <cellStyle name="Normal 14 11" xfId="1221" xr:uid="{00000000-0005-0000-0000-0000A40A0000}"/>
    <cellStyle name="Normal 14 12" xfId="1222" xr:uid="{00000000-0005-0000-0000-0000A50A0000}"/>
    <cellStyle name="Normal 14 13" xfId="1223" xr:uid="{00000000-0005-0000-0000-0000A60A0000}"/>
    <cellStyle name="Normal 14 14" xfId="1224" xr:uid="{00000000-0005-0000-0000-0000A70A0000}"/>
    <cellStyle name="Normal 14 15" xfId="1225" xr:uid="{00000000-0005-0000-0000-0000A80A0000}"/>
    <cellStyle name="Normal 14 2" xfId="1226" xr:uid="{00000000-0005-0000-0000-0000A90A0000}"/>
    <cellStyle name="Normal 14 2 2" xfId="1227" xr:uid="{00000000-0005-0000-0000-0000AA0A0000}"/>
    <cellStyle name="Normal 14 2 3" xfId="1228" xr:uid="{00000000-0005-0000-0000-0000AB0A0000}"/>
    <cellStyle name="Normal 14 2 4" xfId="1229" xr:uid="{00000000-0005-0000-0000-0000AC0A0000}"/>
    <cellStyle name="Normal 14 2 5" xfId="1230" xr:uid="{00000000-0005-0000-0000-0000AD0A0000}"/>
    <cellStyle name="Normal 14 2 6" xfId="1231" xr:uid="{00000000-0005-0000-0000-0000AE0A0000}"/>
    <cellStyle name="Normal 14 2 7" xfId="1232" xr:uid="{00000000-0005-0000-0000-0000AF0A0000}"/>
    <cellStyle name="Normal 14 3" xfId="1233" xr:uid="{00000000-0005-0000-0000-0000B00A0000}"/>
    <cellStyle name="Normal 14 4" xfId="1234" xr:uid="{00000000-0005-0000-0000-0000B10A0000}"/>
    <cellStyle name="Normal 14 5" xfId="1235" xr:uid="{00000000-0005-0000-0000-0000B20A0000}"/>
    <cellStyle name="Normal 14 6" xfId="1236" xr:uid="{00000000-0005-0000-0000-0000B30A0000}"/>
    <cellStyle name="Normal 14 7" xfId="1237" xr:uid="{00000000-0005-0000-0000-0000B40A0000}"/>
    <cellStyle name="Normal 14 8" xfId="1238" xr:uid="{00000000-0005-0000-0000-0000B50A0000}"/>
    <cellStyle name="Normal 14 9" xfId="1239" xr:uid="{00000000-0005-0000-0000-0000B60A0000}"/>
    <cellStyle name="Normal 15" xfId="1240" xr:uid="{00000000-0005-0000-0000-0000B70A0000}"/>
    <cellStyle name="Normal 15 2" xfId="1241" xr:uid="{00000000-0005-0000-0000-0000B80A0000}"/>
    <cellStyle name="Normal 15 3" xfId="1242" xr:uid="{00000000-0005-0000-0000-0000B90A0000}"/>
    <cellStyle name="Normal 15 4" xfId="1243" xr:uid="{00000000-0005-0000-0000-0000BA0A0000}"/>
    <cellStyle name="Normal 15 5" xfId="1244" xr:uid="{00000000-0005-0000-0000-0000BB0A0000}"/>
    <cellStyle name="Normal 15 6" xfId="1245" xr:uid="{00000000-0005-0000-0000-0000BC0A0000}"/>
    <cellStyle name="Normal 16" xfId="1246" xr:uid="{00000000-0005-0000-0000-0000BD0A0000}"/>
    <cellStyle name="Normal 16 2" xfId="1247" xr:uid="{00000000-0005-0000-0000-0000BE0A0000}"/>
    <cellStyle name="Normal 16 3" xfId="1248" xr:uid="{00000000-0005-0000-0000-0000BF0A0000}"/>
    <cellStyle name="Normal 16 4" xfId="1249" xr:uid="{00000000-0005-0000-0000-0000C00A0000}"/>
    <cellStyle name="Normal 16 5" xfId="1250" xr:uid="{00000000-0005-0000-0000-0000C10A0000}"/>
    <cellStyle name="Normal 16 6" xfId="1251" xr:uid="{00000000-0005-0000-0000-0000C20A0000}"/>
    <cellStyle name="Normal 17" xfId="1252" xr:uid="{00000000-0005-0000-0000-0000C30A0000}"/>
    <cellStyle name="Normal 17 10" xfId="1253" xr:uid="{00000000-0005-0000-0000-0000C40A0000}"/>
    <cellStyle name="Normal 17 11" xfId="1254" xr:uid="{00000000-0005-0000-0000-0000C50A0000}"/>
    <cellStyle name="Normal 17 12" xfId="1255" xr:uid="{00000000-0005-0000-0000-0000C60A0000}"/>
    <cellStyle name="Normal 17 13" xfId="1256" xr:uid="{00000000-0005-0000-0000-0000C70A0000}"/>
    <cellStyle name="Normal 17 2" xfId="1257" xr:uid="{00000000-0005-0000-0000-0000C80A0000}"/>
    <cellStyle name="Normal 17 3" xfId="1258" xr:uid="{00000000-0005-0000-0000-0000C90A0000}"/>
    <cellStyle name="Normal 17 4" xfId="1259" xr:uid="{00000000-0005-0000-0000-0000CA0A0000}"/>
    <cellStyle name="Normal 17 5" xfId="1260" xr:uid="{00000000-0005-0000-0000-0000CB0A0000}"/>
    <cellStyle name="Normal 17 6" xfId="1261" xr:uid="{00000000-0005-0000-0000-0000CC0A0000}"/>
    <cellStyle name="Normal 17 7" xfId="1262" xr:uid="{00000000-0005-0000-0000-0000CD0A0000}"/>
    <cellStyle name="Normal 17 8" xfId="1263" xr:uid="{00000000-0005-0000-0000-0000CE0A0000}"/>
    <cellStyle name="Normal 17 9" xfId="1264" xr:uid="{00000000-0005-0000-0000-0000CF0A0000}"/>
    <cellStyle name="Normal 18" xfId="1265" xr:uid="{00000000-0005-0000-0000-0000D00A0000}"/>
    <cellStyle name="Normal 19" xfId="1266" xr:uid="{00000000-0005-0000-0000-0000D10A0000}"/>
    <cellStyle name="Normal 19 2" xfId="1267" xr:uid="{00000000-0005-0000-0000-0000D20A0000}"/>
    <cellStyle name="Normal 19 3" xfId="8" xr:uid="{00000000-0005-0000-0000-0000D30A0000}"/>
    <cellStyle name="Normal 2" xfId="1" xr:uid="{00000000-0005-0000-0000-0000D40A0000}"/>
    <cellStyle name="Normal 2 10" xfId="1268" xr:uid="{00000000-0005-0000-0000-0000D50A0000}"/>
    <cellStyle name="Normal 2 11" xfId="1269" xr:uid="{00000000-0005-0000-0000-0000D60A0000}"/>
    <cellStyle name="Normal 2 12" xfId="1270" xr:uid="{00000000-0005-0000-0000-0000D70A0000}"/>
    <cellStyle name="Normal 2 13" xfId="1271" xr:uid="{00000000-0005-0000-0000-0000D80A0000}"/>
    <cellStyle name="Normal 2 14" xfId="1272" xr:uid="{00000000-0005-0000-0000-0000D90A0000}"/>
    <cellStyle name="Normal 2 15" xfId="1273" xr:uid="{00000000-0005-0000-0000-0000DA0A0000}"/>
    <cellStyle name="Normal 2 16" xfId="1274" xr:uid="{00000000-0005-0000-0000-0000DB0A0000}"/>
    <cellStyle name="Normal 2 17" xfId="1275" xr:uid="{00000000-0005-0000-0000-0000DC0A0000}"/>
    <cellStyle name="Normal 2 18" xfId="1276" xr:uid="{00000000-0005-0000-0000-0000DD0A0000}"/>
    <cellStyle name="Normal 2 19" xfId="1277" xr:uid="{00000000-0005-0000-0000-0000DE0A0000}"/>
    <cellStyle name="Normal 2 2" xfId="65" xr:uid="{00000000-0005-0000-0000-0000DF0A0000}"/>
    <cellStyle name="Normal 2 2 10" xfId="1278" xr:uid="{00000000-0005-0000-0000-0000E00A0000}"/>
    <cellStyle name="Normal 2 2 11" xfId="1279" xr:uid="{00000000-0005-0000-0000-0000E10A0000}"/>
    <cellStyle name="Normal 2 2 12" xfId="1280" xr:uid="{00000000-0005-0000-0000-0000E20A0000}"/>
    <cellStyle name="Normal 2 2 13" xfId="1281" xr:uid="{00000000-0005-0000-0000-0000E30A0000}"/>
    <cellStyle name="Normal 2 2 14" xfId="1282" xr:uid="{00000000-0005-0000-0000-0000E40A0000}"/>
    <cellStyle name="Normal 2 2 15" xfId="2725" xr:uid="{00000000-0005-0000-0000-0000E50A0000}"/>
    <cellStyle name="Normal 2 2 16" xfId="2694" xr:uid="{00000000-0005-0000-0000-0000E60A0000}"/>
    <cellStyle name="Normal 2 2 2" xfId="1283" xr:uid="{00000000-0005-0000-0000-0000E70A0000}"/>
    <cellStyle name="Normal 2 2 3" xfId="1284" xr:uid="{00000000-0005-0000-0000-0000E80A0000}"/>
    <cellStyle name="Normal 2 2 4" xfId="1285" xr:uid="{00000000-0005-0000-0000-0000E90A0000}"/>
    <cellStyle name="Normal 2 2 5" xfId="1286" xr:uid="{00000000-0005-0000-0000-0000EA0A0000}"/>
    <cellStyle name="Normal 2 2 6" xfId="1287" xr:uid="{00000000-0005-0000-0000-0000EB0A0000}"/>
    <cellStyle name="Normal 2 2 7" xfId="1288" xr:uid="{00000000-0005-0000-0000-0000EC0A0000}"/>
    <cellStyle name="Normal 2 2 8" xfId="1289" xr:uid="{00000000-0005-0000-0000-0000ED0A0000}"/>
    <cellStyle name="Normal 2 2 9" xfId="1290" xr:uid="{00000000-0005-0000-0000-0000EE0A0000}"/>
    <cellStyle name="Normal 2 2_AREFOR" xfId="1291" xr:uid="{00000000-0005-0000-0000-0000EF0A0000}"/>
    <cellStyle name="Normal 2 20" xfId="64" xr:uid="{00000000-0005-0000-0000-0000F00A0000}"/>
    <cellStyle name="Normal 2 3" xfId="114" xr:uid="{00000000-0005-0000-0000-0000F10A0000}"/>
    <cellStyle name="Normal 2 3 10" xfId="1292" xr:uid="{00000000-0005-0000-0000-0000F20A0000}"/>
    <cellStyle name="Normal 2 3 11" xfId="1293" xr:uid="{00000000-0005-0000-0000-0000F30A0000}"/>
    <cellStyle name="Normal 2 3 12" xfId="1294" xr:uid="{00000000-0005-0000-0000-0000F40A0000}"/>
    <cellStyle name="Normal 2 3 13" xfId="1295" xr:uid="{00000000-0005-0000-0000-0000F50A0000}"/>
    <cellStyle name="Normal 2 3 14" xfId="1296" xr:uid="{00000000-0005-0000-0000-0000F60A0000}"/>
    <cellStyle name="Normal 2 3 2" xfId="1297" xr:uid="{00000000-0005-0000-0000-0000F70A0000}"/>
    <cellStyle name="Normal 2 3 3" xfId="1298" xr:uid="{00000000-0005-0000-0000-0000F80A0000}"/>
    <cellStyle name="Normal 2 3 4" xfId="1299" xr:uid="{00000000-0005-0000-0000-0000F90A0000}"/>
    <cellStyle name="Normal 2 3 5" xfId="1300" xr:uid="{00000000-0005-0000-0000-0000FA0A0000}"/>
    <cellStyle name="Normal 2 3 6" xfId="1301" xr:uid="{00000000-0005-0000-0000-0000FB0A0000}"/>
    <cellStyle name="Normal 2 3 7" xfId="1302" xr:uid="{00000000-0005-0000-0000-0000FC0A0000}"/>
    <cellStyle name="Normal 2 3 8" xfId="1303" xr:uid="{00000000-0005-0000-0000-0000FD0A0000}"/>
    <cellStyle name="Normal 2 3 9" xfId="1304" xr:uid="{00000000-0005-0000-0000-0000FE0A0000}"/>
    <cellStyle name="Normal 2 4" xfId="115" xr:uid="{00000000-0005-0000-0000-0000FF0A0000}"/>
    <cellStyle name="Normal 2 4 10" xfId="1305" xr:uid="{00000000-0005-0000-0000-0000000B0000}"/>
    <cellStyle name="Normal 2 4 11" xfId="1306" xr:uid="{00000000-0005-0000-0000-0000010B0000}"/>
    <cellStyle name="Normal 2 4 12" xfId="1307" xr:uid="{00000000-0005-0000-0000-0000020B0000}"/>
    <cellStyle name="Normal 2 4 13" xfId="1308" xr:uid="{00000000-0005-0000-0000-0000030B0000}"/>
    <cellStyle name="Normal 2 4 2" xfId="1309" xr:uid="{00000000-0005-0000-0000-0000040B0000}"/>
    <cellStyle name="Normal 2 4 3" xfId="1310" xr:uid="{00000000-0005-0000-0000-0000050B0000}"/>
    <cellStyle name="Normal 2 4 4" xfId="1311" xr:uid="{00000000-0005-0000-0000-0000060B0000}"/>
    <cellStyle name="Normal 2 4 5" xfId="1312" xr:uid="{00000000-0005-0000-0000-0000070B0000}"/>
    <cellStyle name="Normal 2 4 6" xfId="1313" xr:uid="{00000000-0005-0000-0000-0000080B0000}"/>
    <cellStyle name="Normal 2 4 7" xfId="1314" xr:uid="{00000000-0005-0000-0000-0000090B0000}"/>
    <cellStyle name="Normal 2 4 8" xfId="1315" xr:uid="{00000000-0005-0000-0000-00000A0B0000}"/>
    <cellStyle name="Normal 2 4 9" xfId="1316" xr:uid="{00000000-0005-0000-0000-00000B0B0000}"/>
    <cellStyle name="Normal 2 5" xfId="1317" xr:uid="{00000000-0005-0000-0000-00000C0B0000}"/>
    <cellStyle name="Normal 2 6" xfId="1318" xr:uid="{00000000-0005-0000-0000-00000D0B0000}"/>
    <cellStyle name="Normal 2 7" xfId="1319" xr:uid="{00000000-0005-0000-0000-00000E0B0000}"/>
    <cellStyle name="Normal 2 8" xfId="1320" xr:uid="{00000000-0005-0000-0000-00000F0B0000}"/>
    <cellStyle name="Normal 2 9" xfId="1321" xr:uid="{00000000-0005-0000-0000-0000100B0000}"/>
    <cellStyle name="Normal 2_AREFOR" xfId="1322" xr:uid="{00000000-0005-0000-0000-0000110B0000}"/>
    <cellStyle name="Normal 20" xfId="1323" xr:uid="{00000000-0005-0000-0000-0000120B0000}"/>
    <cellStyle name="Normal 21" xfId="1324" xr:uid="{00000000-0005-0000-0000-0000130B0000}"/>
    <cellStyle name="Normal 22" xfId="1325" xr:uid="{00000000-0005-0000-0000-0000140B0000}"/>
    <cellStyle name="Normal 22 2" xfId="1326" xr:uid="{00000000-0005-0000-0000-0000150B0000}"/>
    <cellStyle name="Normal 23" xfId="116" xr:uid="{00000000-0005-0000-0000-0000160B0000}"/>
    <cellStyle name="Normal 24" xfId="2133" xr:uid="{00000000-0005-0000-0000-0000170B0000}"/>
    <cellStyle name="Normal 24 2" xfId="2686" xr:uid="{00000000-0005-0000-0000-0000180B0000}"/>
    <cellStyle name="Normal 24 2 2" xfId="3731" xr:uid="{00000000-0005-0000-0000-0000190B0000}"/>
    <cellStyle name="Normal 24 3" xfId="3219" xr:uid="{00000000-0005-0000-0000-00001A0B0000}"/>
    <cellStyle name="Normal 25" xfId="2177" xr:uid="{00000000-0005-0000-0000-00001B0B0000}"/>
    <cellStyle name="Normal 25 2" xfId="3222" xr:uid="{00000000-0005-0000-0000-00001C0B0000}"/>
    <cellStyle name="Normal 26" xfId="1327" xr:uid="{00000000-0005-0000-0000-00001D0B0000}"/>
    <cellStyle name="Normal 27" xfId="2688" xr:uid="{00000000-0005-0000-0000-00001E0B0000}"/>
    <cellStyle name="Normal 27 2" xfId="3733" xr:uid="{00000000-0005-0000-0000-00001F0B0000}"/>
    <cellStyle name="Normal 28" xfId="2175" xr:uid="{00000000-0005-0000-0000-0000200B0000}"/>
    <cellStyle name="Normal 28 2" xfId="3220" xr:uid="{00000000-0005-0000-0000-0000210B0000}"/>
    <cellStyle name="Normal 29" xfId="2711" xr:uid="{00000000-0005-0000-0000-0000220B0000}"/>
    <cellStyle name="Normal 3" xfId="7" xr:uid="{00000000-0005-0000-0000-0000230B0000}"/>
    <cellStyle name="Normal 3 10" xfId="1328" xr:uid="{00000000-0005-0000-0000-0000240B0000}"/>
    <cellStyle name="Normal 3 11" xfId="1329" xr:uid="{00000000-0005-0000-0000-0000250B0000}"/>
    <cellStyle name="Normal 3 12" xfId="1330" xr:uid="{00000000-0005-0000-0000-0000260B0000}"/>
    <cellStyle name="Normal 3 13" xfId="66" xr:uid="{00000000-0005-0000-0000-0000270B0000}"/>
    <cellStyle name="Normal 3 14" xfId="2180" xr:uid="{00000000-0005-0000-0000-0000280B0000}"/>
    <cellStyle name="Normal 3 14 2" xfId="3225" xr:uid="{00000000-0005-0000-0000-0000290B0000}"/>
    <cellStyle name="Normal 3 2" xfId="1331" xr:uid="{00000000-0005-0000-0000-00002A0B0000}"/>
    <cellStyle name="Normal 3 2 10" xfId="1332" xr:uid="{00000000-0005-0000-0000-00002B0B0000}"/>
    <cellStyle name="Normal 3 2 11" xfId="3212" xr:uid="{00000000-0005-0000-0000-00002C0B0000}"/>
    <cellStyle name="Normal 3 2 12" xfId="2698" xr:uid="{00000000-0005-0000-0000-00002D0B0000}"/>
    <cellStyle name="Normal 3 2 2" xfId="1333" xr:uid="{00000000-0005-0000-0000-00002E0B0000}"/>
    <cellStyle name="Normal 3 2 3" xfId="1334" xr:uid="{00000000-0005-0000-0000-00002F0B0000}"/>
    <cellStyle name="Normal 3 2 4" xfId="1335" xr:uid="{00000000-0005-0000-0000-0000300B0000}"/>
    <cellStyle name="Normal 3 2 5" xfId="1336" xr:uid="{00000000-0005-0000-0000-0000310B0000}"/>
    <cellStyle name="Normal 3 2 6" xfId="1337" xr:uid="{00000000-0005-0000-0000-0000320B0000}"/>
    <cellStyle name="Normal 3 2 7" xfId="1338" xr:uid="{00000000-0005-0000-0000-0000330B0000}"/>
    <cellStyle name="Normal 3 2 8" xfId="1339" xr:uid="{00000000-0005-0000-0000-0000340B0000}"/>
    <cellStyle name="Normal 3 2 9" xfId="1340" xr:uid="{00000000-0005-0000-0000-0000350B0000}"/>
    <cellStyle name="Normal 3 2 9 2" xfId="1341" xr:uid="{00000000-0005-0000-0000-0000360B0000}"/>
    <cellStyle name="Normal 3 2 9 3" xfId="1342" xr:uid="{00000000-0005-0000-0000-0000370B0000}"/>
    <cellStyle name="Normal 3 2_AREFOR" xfId="1343" xr:uid="{00000000-0005-0000-0000-0000380B0000}"/>
    <cellStyle name="Normal 3 3" xfId="1344" xr:uid="{00000000-0005-0000-0000-0000390B0000}"/>
    <cellStyle name="Normal 3 3 2" xfId="1345" xr:uid="{00000000-0005-0000-0000-00003A0B0000}"/>
    <cellStyle name="Normal 3 3 3" xfId="1346" xr:uid="{00000000-0005-0000-0000-00003B0B0000}"/>
    <cellStyle name="Normal 3 3 4" xfId="1347" xr:uid="{00000000-0005-0000-0000-00003C0B0000}"/>
    <cellStyle name="Normal 3 3 5" xfId="1348" xr:uid="{00000000-0005-0000-0000-00003D0B0000}"/>
    <cellStyle name="Normal 3 3 6" xfId="1349" xr:uid="{00000000-0005-0000-0000-00003E0B0000}"/>
    <cellStyle name="Normal 3 3 7" xfId="1350" xr:uid="{00000000-0005-0000-0000-00003F0B0000}"/>
    <cellStyle name="Normal 3 3 8" xfId="1351" xr:uid="{00000000-0005-0000-0000-0000400B0000}"/>
    <cellStyle name="Normal 3 3 9" xfId="1352" xr:uid="{00000000-0005-0000-0000-0000410B0000}"/>
    <cellStyle name="Normal 3 4" xfId="1353" xr:uid="{00000000-0005-0000-0000-0000420B0000}"/>
    <cellStyle name="Normal 3 4 2" xfId="1354" xr:uid="{00000000-0005-0000-0000-0000430B0000}"/>
    <cellStyle name="Normal 3 4 3" xfId="1355" xr:uid="{00000000-0005-0000-0000-0000440B0000}"/>
    <cellStyle name="Normal 3 4 4" xfId="1356" xr:uid="{00000000-0005-0000-0000-0000450B0000}"/>
    <cellStyle name="Normal 3 4 5" xfId="1357" xr:uid="{00000000-0005-0000-0000-0000460B0000}"/>
    <cellStyle name="Normal 3 4 6" xfId="1358" xr:uid="{00000000-0005-0000-0000-0000470B0000}"/>
    <cellStyle name="Normal 3 4 7" xfId="1359" xr:uid="{00000000-0005-0000-0000-0000480B0000}"/>
    <cellStyle name="Normal 3 4 8" xfId="1360" xr:uid="{00000000-0005-0000-0000-0000490B0000}"/>
    <cellStyle name="Normal 3 5" xfId="1361" xr:uid="{00000000-0005-0000-0000-00004A0B0000}"/>
    <cellStyle name="Normal 3 5 2" xfId="1362" xr:uid="{00000000-0005-0000-0000-00004B0B0000}"/>
    <cellStyle name="Normal 3 5 3" xfId="1363" xr:uid="{00000000-0005-0000-0000-00004C0B0000}"/>
    <cellStyle name="Normal 3 5 4" xfId="1364" xr:uid="{00000000-0005-0000-0000-00004D0B0000}"/>
    <cellStyle name="Normal 3 5 5" xfId="1365" xr:uid="{00000000-0005-0000-0000-00004E0B0000}"/>
    <cellStyle name="Normal 3 5 6" xfId="1366" xr:uid="{00000000-0005-0000-0000-00004F0B0000}"/>
    <cellStyle name="Normal 3 5 7" xfId="1367" xr:uid="{00000000-0005-0000-0000-0000500B0000}"/>
    <cellStyle name="Normal 3 5 8" xfId="1368" xr:uid="{00000000-0005-0000-0000-0000510B0000}"/>
    <cellStyle name="Normal 3 6" xfId="1369" xr:uid="{00000000-0005-0000-0000-0000520B0000}"/>
    <cellStyle name="Normal 3 7" xfId="1370" xr:uid="{00000000-0005-0000-0000-0000530B0000}"/>
    <cellStyle name="Normal 3 8" xfId="1371" xr:uid="{00000000-0005-0000-0000-0000540B0000}"/>
    <cellStyle name="Normal 3 9" xfId="1372" xr:uid="{00000000-0005-0000-0000-0000550B0000}"/>
    <cellStyle name="Normal 3_AREFOR" xfId="1373" xr:uid="{00000000-0005-0000-0000-0000560B0000}"/>
    <cellStyle name="Normal 30" xfId="2689" xr:uid="{00000000-0005-0000-0000-0000570B0000}"/>
    <cellStyle name="Normal 31" xfId="3735" xr:uid="{00000000-0005-0000-0000-0000580B0000}"/>
    <cellStyle name="Normal 32" xfId="3737" xr:uid="{00000000-0005-0000-0000-0000590B0000}"/>
    <cellStyle name="Normal 4" xfId="9" xr:uid="{00000000-0005-0000-0000-00005A0B0000}"/>
    <cellStyle name="Normal 4 10" xfId="1374" xr:uid="{00000000-0005-0000-0000-00005B0B0000}"/>
    <cellStyle name="Normal 4 11" xfId="1375" xr:uid="{00000000-0005-0000-0000-00005C0B0000}"/>
    <cellStyle name="Normal 4 12" xfId="1376" xr:uid="{00000000-0005-0000-0000-00005D0B0000}"/>
    <cellStyle name="Normal 4 13" xfId="67" xr:uid="{00000000-0005-0000-0000-00005E0B0000}"/>
    <cellStyle name="Normal 4 13 2" xfId="2194" xr:uid="{00000000-0005-0000-0000-00005F0B0000}"/>
    <cellStyle name="Normal 4 13 2 2" xfId="3239" xr:uid="{00000000-0005-0000-0000-0000600B0000}"/>
    <cellStyle name="Normal 4 13 3" xfId="2726" xr:uid="{00000000-0005-0000-0000-0000610B0000}"/>
    <cellStyle name="Normal 4 14" xfId="2181" xr:uid="{00000000-0005-0000-0000-0000620B0000}"/>
    <cellStyle name="Normal 4 14 2" xfId="3226" xr:uid="{00000000-0005-0000-0000-0000630B0000}"/>
    <cellStyle name="Normal 4 15" xfId="2714" xr:uid="{00000000-0005-0000-0000-0000640B0000}"/>
    <cellStyle name="Normal 4 16" xfId="2691" xr:uid="{00000000-0005-0000-0000-0000650B0000}"/>
    <cellStyle name="Normal 4 2" xfId="68" xr:uid="{00000000-0005-0000-0000-0000660B0000}"/>
    <cellStyle name="Normal 4 2 10" xfId="2195" xr:uid="{00000000-0005-0000-0000-0000670B0000}"/>
    <cellStyle name="Normal 4 2 10 2" xfId="3240" xr:uid="{00000000-0005-0000-0000-0000680B0000}"/>
    <cellStyle name="Normal 4 2 11" xfId="2727" xr:uid="{00000000-0005-0000-0000-0000690B0000}"/>
    <cellStyle name="Normal 4 2 2" xfId="1377" xr:uid="{00000000-0005-0000-0000-00006A0B0000}"/>
    <cellStyle name="Normal 4 2 2 10" xfId="1378" xr:uid="{00000000-0005-0000-0000-00006B0B0000}"/>
    <cellStyle name="Normal 4 2 2 11" xfId="1379" xr:uid="{00000000-0005-0000-0000-00006C0B0000}"/>
    <cellStyle name="Normal 4 2 2 12" xfId="1380" xr:uid="{00000000-0005-0000-0000-00006D0B0000}"/>
    <cellStyle name="Normal 4 2 2 13" xfId="1381" xr:uid="{00000000-0005-0000-0000-00006E0B0000}"/>
    <cellStyle name="Normal 4 2 2 2" xfId="1382" xr:uid="{00000000-0005-0000-0000-00006F0B0000}"/>
    <cellStyle name="Normal 4 2 2 2 10" xfId="1383" xr:uid="{00000000-0005-0000-0000-0000700B0000}"/>
    <cellStyle name="Normal 4 2 2 2 11" xfId="1384" xr:uid="{00000000-0005-0000-0000-0000710B0000}"/>
    <cellStyle name="Normal 4 2 2 2 12" xfId="1385" xr:uid="{00000000-0005-0000-0000-0000720B0000}"/>
    <cellStyle name="Normal 4 2 2 2 13" xfId="1386" xr:uid="{00000000-0005-0000-0000-0000730B0000}"/>
    <cellStyle name="Normal 4 2 2 2 2" xfId="1387" xr:uid="{00000000-0005-0000-0000-0000740B0000}"/>
    <cellStyle name="Normal 4 2 2 2 3" xfId="1388" xr:uid="{00000000-0005-0000-0000-0000750B0000}"/>
    <cellStyle name="Normal 4 2 2 2 4" xfId="1389" xr:uid="{00000000-0005-0000-0000-0000760B0000}"/>
    <cellStyle name="Normal 4 2 2 2 5" xfId="1390" xr:uid="{00000000-0005-0000-0000-0000770B0000}"/>
    <cellStyle name="Normal 4 2 2 2 6" xfId="1391" xr:uid="{00000000-0005-0000-0000-0000780B0000}"/>
    <cellStyle name="Normal 4 2 2 2 7" xfId="1392" xr:uid="{00000000-0005-0000-0000-0000790B0000}"/>
    <cellStyle name="Normal 4 2 2 2 8" xfId="1393" xr:uid="{00000000-0005-0000-0000-00007A0B0000}"/>
    <cellStyle name="Normal 4 2 2 2 9" xfId="1394" xr:uid="{00000000-0005-0000-0000-00007B0B0000}"/>
    <cellStyle name="Normal 4 2 2 3" xfId="1395" xr:uid="{00000000-0005-0000-0000-00007C0B0000}"/>
    <cellStyle name="Normal 4 2 2 4" xfId="1396" xr:uid="{00000000-0005-0000-0000-00007D0B0000}"/>
    <cellStyle name="Normal 4 2 2 5" xfId="1397" xr:uid="{00000000-0005-0000-0000-00007E0B0000}"/>
    <cellStyle name="Normal 4 2 2 6" xfId="1398" xr:uid="{00000000-0005-0000-0000-00007F0B0000}"/>
    <cellStyle name="Normal 4 2 2 7" xfId="1399" xr:uid="{00000000-0005-0000-0000-0000800B0000}"/>
    <cellStyle name="Normal 4 2 2 8" xfId="1400" xr:uid="{00000000-0005-0000-0000-0000810B0000}"/>
    <cellStyle name="Normal 4 2 2 9" xfId="1401" xr:uid="{00000000-0005-0000-0000-0000820B0000}"/>
    <cellStyle name="Normal 4 2 3" xfId="1402" xr:uid="{00000000-0005-0000-0000-0000830B0000}"/>
    <cellStyle name="Normal 4 2 4" xfId="1403" xr:uid="{00000000-0005-0000-0000-0000840B0000}"/>
    <cellStyle name="Normal 4 2 5" xfId="1404" xr:uid="{00000000-0005-0000-0000-0000850B0000}"/>
    <cellStyle name="Normal 4 2 6" xfId="1405" xr:uid="{00000000-0005-0000-0000-0000860B0000}"/>
    <cellStyle name="Normal 4 2 7" xfId="1406" xr:uid="{00000000-0005-0000-0000-0000870B0000}"/>
    <cellStyle name="Normal 4 2 8" xfId="1407" xr:uid="{00000000-0005-0000-0000-0000880B0000}"/>
    <cellStyle name="Normal 4 2 9" xfId="1408" xr:uid="{00000000-0005-0000-0000-0000890B0000}"/>
    <cellStyle name="Normal 4 2_AREFOR" xfId="1409" xr:uid="{00000000-0005-0000-0000-00008A0B0000}"/>
    <cellStyle name="Normal 4 3" xfId="69" xr:uid="{00000000-0005-0000-0000-00008B0B0000}"/>
    <cellStyle name="Normal 4 3 10" xfId="2728" xr:uid="{00000000-0005-0000-0000-00008C0B0000}"/>
    <cellStyle name="Normal 4 3 2" xfId="1410" xr:uid="{00000000-0005-0000-0000-00008D0B0000}"/>
    <cellStyle name="Normal 4 3 3" xfId="1411" xr:uid="{00000000-0005-0000-0000-00008E0B0000}"/>
    <cellStyle name="Normal 4 3 4" xfId="1412" xr:uid="{00000000-0005-0000-0000-00008F0B0000}"/>
    <cellStyle name="Normal 4 3 5" xfId="1413" xr:uid="{00000000-0005-0000-0000-0000900B0000}"/>
    <cellStyle name="Normal 4 3 6" xfId="1414" xr:uid="{00000000-0005-0000-0000-0000910B0000}"/>
    <cellStyle name="Normal 4 3 7" xfId="1415" xr:uid="{00000000-0005-0000-0000-0000920B0000}"/>
    <cellStyle name="Normal 4 3 8" xfId="1416" xr:uid="{00000000-0005-0000-0000-0000930B0000}"/>
    <cellStyle name="Normal 4 3 9" xfId="2196" xr:uid="{00000000-0005-0000-0000-0000940B0000}"/>
    <cellStyle name="Normal 4 3 9 2" xfId="3241" xr:uid="{00000000-0005-0000-0000-0000950B0000}"/>
    <cellStyle name="Normal 4 3_AREFOR" xfId="1417" xr:uid="{00000000-0005-0000-0000-0000960B0000}"/>
    <cellStyle name="Normal 4 4" xfId="1418" xr:uid="{00000000-0005-0000-0000-0000970B0000}"/>
    <cellStyle name="Normal 4 4 2" xfId="1419" xr:uid="{00000000-0005-0000-0000-0000980B0000}"/>
    <cellStyle name="Normal 4 4 3" xfId="1420" xr:uid="{00000000-0005-0000-0000-0000990B0000}"/>
    <cellStyle name="Normal 4 4 4" xfId="1421" xr:uid="{00000000-0005-0000-0000-00009A0B0000}"/>
    <cellStyle name="Normal 4 4 5" xfId="1422" xr:uid="{00000000-0005-0000-0000-00009B0B0000}"/>
    <cellStyle name="Normal 4 4 6" xfId="1423" xr:uid="{00000000-0005-0000-0000-00009C0B0000}"/>
    <cellStyle name="Normal 4 4 7" xfId="1424" xr:uid="{00000000-0005-0000-0000-00009D0B0000}"/>
    <cellStyle name="Normal 4 4 8" xfId="1425" xr:uid="{00000000-0005-0000-0000-00009E0B0000}"/>
    <cellStyle name="Normal 4 5" xfId="1426" xr:uid="{00000000-0005-0000-0000-00009F0B0000}"/>
    <cellStyle name="Normal 4 5 2" xfId="1427" xr:uid="{00000000-0005-0000-0000-0000A00B0000}"/>
    <cellStyle name="Normal 4 5 3" xfId="1428" xr:uid="{00000000-0005-0000-0000-0000A10B0000}"/>
    <cellStyle name="Normal 4 5 4" xfId="1429" xr:uid="{00000000-0005-0000-0000-0000A20B0000}"/>
    <cellStyle name="Normal 4 5 5" xfId="1430" xr:uid="{00000000-0005-0000-0000-0000A30B0000}"/>
    <cellStyle name="Normal 4 5 6" xfId="1431" xr:uid="{00000000-0005-0000-0000-0000A40B0000}"/>
    <cellStyle name="Normal 4 5 7" xfId="1432" xr:uid="{00000000-0005-0000-0000-0000A50B0000}"/>
    <cellStyle name="Normal 4 5 8" xfId="1433" xr:uid="{00000000-0005-0000-0000-0000A60B0000}"/>
    <cellStyle name="Normal 4 6" xfId="1434" xr:uid="{00000000-0005-0000-0000-0000A70B0000}"/>
    <cellStyle name="Normal 4 7" xfId="1435" xr:uid="{00000000-0005-0000-0000-0000A80B0000}"/>
    <cellStyle name="Normal 4 8" xfId="1436" xr:uid="{00000000-0005-0000-0000-0000A90B0000}"/>
    <cellStyle name="Normal 4 9" xfId="1437" xr:uid="{00000000-0005-0000-0000-0000AA0B0000}"/>
    <cellStyle name="Normal 4_AREFOR" xfId="1438" xr:uid="{00000000-0005-0000-0000-0000AB0B0000}"/>
    <cellStyle name="Normal 5" xfId="10" xr:uid="{00000000-0005-0000-0000-0000AC0B0000}"/>
    <cellStyle name="Normal 5 10" xfId="1439" xr:uid="{00000000-0005-0000-0000-0000AD0B0000}"/>
    <cellStyle name="Normal 5 11" xfId="1440" xr:uid="{00000000-0005-0000-0000-0000AE0B0000}"/>
    <cellStyle name="Normal 5 12" xfId="1441" xr:uid="{00000000-0005-0000-0000-0000AF0B0000}"/>
    <cellStyle name="Normal 5 13" xfId="70" xr:uid="{00000000-0005-0000-0000-0000B00B0000}"/>
    <cellStyle name="Normal 5 14" xfId="2182" xr:uid="{00000000-0005-0000-0000-0000B10B0000}"/>
    <cellStyle name="Normal 5 14 2" xfId="3227" xr:uid="{00000000-0005-0000-0000-0000B20B0000}"/>
    <cellStyle name="Normal 5 15" xfId="3734" xr:uid="{00000000-0005-0000-0000-0000B30B0000}"/>
    <cellStyle name="Normal 5 16" xfId="2690" xr:uid="{00000000-0005-0000-0000-0000B40B0000}"/>
    <cellStyle name="Normal 5 2" xfId="1442" xr:uid="{00000000-0005-0000-0000-0000B50B0000}"/>
    <cellStyle name="Normal 5 2 2" xfId="1443" xr:uid="{00000000-0005-0000-0000-0000B60B0000}"/>
    <cellStyle name="Normal 5 2 2 10" xfId="1444" xr:uid="{00000000-0005-0000-0000-0000B70B0000}"/>
    <cellStyle name="Normal 5 2 2 11" xfId="1445" xr:uid="{00000000-0005-0000-0000-0000B80B0000}"/>
    <cellStyle name="Normal 5 2 2 12" xfId="1446" xr:uid="{00000000-0005-0000-0000-0000B90B0000}"/>
    <cellStyle name="Normal 5 2 2 13" xfId="1447" xr:uid="{00000000-0005-0000-0000-0000BA0B0000}"/>
    <cellStyle name="Normal 5 2 2 2" xfId="1448" xr:uid="{00000000-0005-0000-0000-0000BB0B0000}"/>
    <cellStyle name="Normal 5 2 2 2 10" xfId="1449" xr:uid="{00000000-0005-0000-0000-0000BC0B0000}"/>
    <cellStyle name="Normal 5 2 2 2 11" xfId="1450" xr:uid="{00000000-0005-0000-0000-0000BD0B0000}"/>
    <cellStyle name="Normal 5 2 2 2 12" xfId="1451" xr:uid="{00000000-0005-0000-0000-0000BE0B0000}"/>
    <cellStyle name="Normal 5 2 2 2 13" xfId="1452" xr:uid="{00000000-0005-0000-0000-0000BF0B0000}"/>
    <cellStyle name="Normal 5 2 2 2 2" xfId="1453" xr:uid="{00000000-0005-0000-0000-0000C00B0000}"/>
    <cellStyle name="Normal 5 2 2 2 3" xfId="1454" xr:uid="{00000000-0005-0000-0000-0000C10B0000}"/>
    <cellStyle name="Normal 5 2 2 2 4" xfId="1455" xr:uid="{00000000-0005-0000-0000-0000C20B0000}"/>
    <cellStyle name="Normal 5 2 2 2 5" xfId="1456" xr:uid="{00000000-0005-0000-0000-0000C30B0000}"/>
    <cellStyle name="Normal 5 2 2 2 6" xfId="1457" xr:uid="{00000000-0005-0000-0000-0000C40B0000}"/>
    <cellStyle name="Normal 5 2 2 2 7" xfId="1458" xr:uid="{00000000-0005-0000-0000-0000C50B0000}"/>
    <cellStyle name="Normal 5 2 2 2 8" xfId="1459" xr:uid="{00000000-0005-0000-0000-0000C60B0000}"/>
    <cellStyle name="Normal 5 2 2 2 9" xfId="1460" xr:uid="{00000000-0005-0000-0000-0000C70B0000}"/>
    <cellStyle name="Normal 5 2 2 3" xfId="1461" xr:uid="{00000000-0005-0000-0000-0000C80B0000}"/>
    <cellStyle name="Normal 5 2 2 4" xfId="1462" xr:uid="{00000000-0005-0000-0000-0000C90B0000}"/>
    <cellStyle name="Normal 5 2 2 5" xfId="1463" xr:uid="{00000000-0005-0000-0000-0000CA0B0000}"/>
    <cellStyle name="Normal 5 2 2 6" xfId="1464" xr:uid="{00000000-0005-0000-0000-0000CB0B0000}"/>
    <cellStyle name="Normal 5 2 2 7" xfId="1465" xr:uid="{00000000-0005-0000-0000-0000CC0B0000}"/>
    <cellStyle name="Normal 5 2 2 8" xfId="1466" xr:uid="{00000000-0005-0000-0000-0000CD0B0000}"/>
    <cellStyle name="Normal 5 2 2 9" xfId="1467" xr:uid="{00000000-0005-0000-0000-0000CE0B0000}"/>
    <cellStyle name="Normal 5 2 3" xfId="1468" xr:uid="{00000000-0005-0000-0000-0000CF0B0000}"/>
    <cellStyle name="Normal 5 2 4" xfId="1469" xr:uid="{00000000-0005-0000-0000-0000D00B0000}"/>
    <cellStyle name="Normal 5 2 5" xfId="1470" xr:uid="{00000000-0005-0000-0000-0000D10B0000}"/>
    <cellStyle name="Normal 5 2 6" xfId="1471" xr:uid="{00000000-0005-0000-0000-0000D20B0000}"/>
    <cellStyle name="Normal 5 2 7" xfId="1472" xr:uid="{00000000-0005-0000-0000-0000D30B0000}"/>
    <cellStyle name="Normal 5 2 8" xfId="1473" xr:uid="{00000000-0005-0000-0000-0000D40B0000}"/>
    <cellStyle name="Normal 5 3" xfId="1474" xr:uid="{00000000-0005-0000-0000-0000D50B0000}"/>
    <cellStyle name="Normal 5 3 2" xfId="1475" xr:uid="{00000000-0005-0000-0000-0000D60B0000}"/>
    <cellStyle name="Normal 5 3 3" xfId="1476" xr:uid="{00000000-0005-0000-0000-0000D70B0000}"/>
    <cellStyle name="Normal 5 3 4" xfId="1477" xr:uid="{00000000-0005-0000-0000-0000D80B0000}"/>
    <cellStyle name="Normal 5 3 5" xfId="1478" xr:uid="{00000000-0005-0000-0000-0000D90B0000}"/>
    <cellStyle name="Normal 5 3 6" xfId="1479" xr:uid="{00000000-0005-0000-0000-0000DA0B0000}"/>
    <cellStyle name="Normal 5 3 7" xfId="1480" xr:uid="{00000000-0005-0000-0000-0000DB0B0000}"/>
    <cellStyle name="Normal 5 3 8" xfId="1481" xr:uid="{00000000-0005-0000-0000-0000DC0B0000}"/>
    <cellStyle name="Normal 5 4" xfId="1482" xr:uid="{00000000-0005-0000-0000-0000DD0B0000}"/>
    <cellStyle name="Normal 5 4 2" xfId="1483" xr:uid="{00000000-0005-0000-0000-0000DE0B0000}"/>
    <cellStyle name="Normal 5 4 3" xfId="1484" xr:uid="{00000000-0005-0000-0000-0000DF0B0000}"/>
    <cellStyle name="Normal 5 4 4" xfId="1485" xr:uid="{00000000-0005-0000-0000-0000E00B0000}"/>
    <cellStyle name="Normal 5 4 5" xfId="1486" xr:uid="{00000000-0005-0000-0000-0000E10B0000}"/>
    <cellStyle name="Normal 5 4 6" xfId="1487" xr:uid="{00000000-0005-0000-0000-0000E20B0000}"/>
    <cellStyle name="Normal 5 4 7" xfId="1488" xr:uid="{00000000-0005-0000-0000-0000E30B0000}"/>
    <cellStyle name="Normal 5 4 8" xfId="1489" xr:uid="{00000000-0005-0000-0000-0000E40B0000}"/>
    <cellStyle name="Normal 5 5" xfId="1490" xr:uid="{00000000-0005-0000-0000-0000E50B0000}"/>
    <cellStyle name="Normal 5 5 2" xfId="1491" xr:uid="{00000000-0005-0000-0000-0000E60B0000}"/>
    <cellStyle name="Normal 5 5 3" xfId="1492" xr:uid="{00000000-0005-0000-0000-0000E70B0000}"/>
    <cellStyle name="Normal 5 5 4" xfId="1493" xr:uid="{00000000-0005-0000-0000-0000E80B0000}"/>
    <cellStyle name="Normal 5 5 5" xfId="1494" xr:uid="{00000000-0005-0000-0000-0000E90B0000}"/>
    <cellStyle name="Normal 5 5 6" xfId="1495" xr:uid="{00000000-0005-0000-0000-0000EA0B0000}"/>
    <cellStyle name="Normal 5 5 7" xfId="1496" xr:uid="{00000000-0005-0000-0000-0000EB0B0000}"/>
    <cellStyle name="Normal 5 5 8" xfId="1497" xr:uid="{00000000-0005-0000-0000-0000EC0B0000}"/>
    <cellStyle name="Normal 5 6" xfId="1498" xr:uid="{00000000-0005-0000-0000-0000ED0B0000}"/>
    <cellStyle name="Normal 5 7" xfId="1499" xr:uid="{00000000-0005-0000-0000-0000EE0B0000}"/>
    <cellStyle name="Normal 5 8" xfId="1500" xr:uid="{00000000-0005-0000-0000-0000EF0B0000}"/>
    <cellStyle name="Normal 5 9" xfId="1501" xr:uid="{00000000-0005-0000-0000-0000F00B0000}"/>
    <cellStyle name="Normal 5_AREFOR" xfId="1502" xr:uid="{00000000-0005-0000-0000-0000F10B0000}"/>
    <cellStyle name="Normal 6" xfId="71" xr:uid="{00000000-0005-0000-0000-0000F20B0000}"/>
    <cellStyle name="Normal 6 10" xfId="1503" xr:uid="{00000000-0005-0000-0000-0000F30B0000}"/>
    <cellStyle name="Normal 6 11" xfId="1504" xr:uid="{00000000-0005-0000-0000-0000F40B0000}"/>
    <cellStyle name="Normal 6 12" xfId="1505" xr:uid="{00000000-0005-0000-0000-0000F50B0000}"/>
    <cellStyle name="Normal 6 13" xfId="2729" xr:uid="{00000000-0005-0000-0000-0000F60B0000}"/>
    <cellStyle name="Normal 6 14" xfId="2697" xr:uid="{00000000-0005-0000-0000-0000F70B0000}"/>
    <cellStyle name="Normal 6 2" xfId="72" xr:uid="{00000000-0005-0000-0000-0000F80B0000}"/>
    <cellStyle name="Normal 6 2 2" xfId="1506" xr:uid="{00000000-0005-0000-0000-0000F90B0000}"/>
    <cellStyle name="Normal 6 2 2 10" xfId="1507" xr:uid="{00000000-0005-0000-0000-0000FA0B0000}"/>
    <cellStyle name="Normal 6 2 2 11" xfId="1508" xr:uid="{00000000-0005-0000-0000-0000FB0B0000}"/>
    <cellStyle name="Normal 6 2 2 12" xfId="1509" xr:uid="{00000000-0005-0000-0000-0000FC0B0000}"/>
    <cellStyle name="Normal 6 2 2 13" xfId="1510" xr:uid="{00000000-0005-0000-0000-0000FD0B0000}"/>
    <cellStyle name="Normal 6 2 2 2" xfId="1511" xr:uid="{00000000-0005-0000-0000-0000FE0B0000}"/>
    <cellStyle name="Normal 6 2 2 3" xfId="1512" xr:uid="{00000000-0005-0000-0000-0000FF0B0000}"/>
    <cellStyle name="Normal 6 2 2 4" xfId="1513" xr:uid="{00000000-0005-0000-0000-0000000C0000}"/>
    <cellStyle name="Normal 6 2 2 5" xfId="1514" xr:uid="{00000000-0005-0000-0000-0000010C0000}"/>
    <cellStyle name="Normal 6 2 2 6" xfId="1515" xr:uid="{00000000-0005-0000-0000-0000020C0000}"/>
    <cellStyle name="Normal 6 2 2 7" xfId="1516" xr:uid="{00000000-0005-0000-0000-0000030C0000}"/>
    <cellStyle name="Normal 6 2 2 8" xfId="1517" xr:uid="{00000000-0005-0000-0000-0000040C0000}"/>
    <cellStyle name="Normal 6 2 2 9" xfId="1518" xr:uid="{00000000-0005-0000-0000-0000050C0000}"/>
    <cellStyle name="Normal 6 2 3" xfId="1519" xr:uid="{00000000-0005-0000-0000-0000060C0000}"/>
    <cellStyle name="Normal 6 2 4" xfId="1520" xr:uid="{00000000-0005-0000-0000-0000070C0000}"/>
    <cellStyle name="Normal 6 2 5" xfId="1521" xr:uid="{00000000-0005-0000-0000-0000080C0000}"/>
    <cellStyle name="Normal 6 2 6" xfId="1522" xr:uid="{00000000-0005-0000-0000-0000090C0000}"/>
    <cellStyle name="Normal 6 2 7" xfId="1523" xr:uid="{00000000-0005-0000-0000-00000A0C0000}"/>
    <cellStyle name="Normal 6 2 8" xfId="1524" xr:uid="{00000000-0005-0000-0000-00000B0C0000}"/>
    <cellStyle name="Normal 6 3" xfId="1525" xr:uid="{00000000-0005-0000-0000-00000C0C0000}"/>
    <cellStyle name="Normal 6 3 2" xfId="1526" xr:uid="{00000000-0005-0000-0000-00000D0C0000}"/>
    <cellStyle name="Normal 6 3 3" xfId="1527" xr:uid="{00000000-0005-0000-0000-00000E0C0000}"/>
    <cellStyle name="Normal 6 3 4" xfId="1528" xr:uid="{00000000-0005-0000-0000-00000F0C0000}"/>
    <cellStyle name="Normal 6 3 5" xfId="1529" xr:uid="{00000000-0005-0000-0000-0000100C0000}"/>
    <cellStyle name="Normal 6 3 6" xfId="1530" xr:uid="{00000000-0005-0000-0000-0000110C0000}"/>
    <cellStyle name="Normal 6 3 7" xfId="1531" xr:uid="{00000000-0005-0000-0000-0000120C0000}"/>
    <cellStyle name="Normal 6 3 8" xfId="1532" xr:uid="{00000000-0005-0000-0000-0000130C0000}"/>
    <cellStyle name="Normal 6 4" xfId="1533" xr:uid="{00000000-0005-0000-0000-0000140C0000}"/>
    <cellStyle name="Normal 6 4 2" xfId="1534" xr:uid="{00000000-0005-0000-0000-0000150C0000}"/>
    <cellStyle name="Normal 6 4 3" xfId="1535" xr:uid="{00000000-0005-0000-0000-0000160C0000}"/>
    <cellStyle name="Normal 6 4 4" xfId="1536" xr:uid="{00000000-0005-0000-0000-0000170C0000}"/>
    <cellStyle name="Normal 6 4 5" xfId="1537" xr:uid="{00000000-0005-0000-0000-0000180C0000}"/>
    <cellStyle name="Normal 6 4 6" xfId="1538" xr:uid="{00000000-0005-0000-0000-0000190C0000}"/>
    <cellStyle name="Normal 6 4 7" xfId="1539" xr:uid="{00000000-0005-0000-0000-00001A0C0000}"/>
    <cellStyle name="Normal 6 4 8" xfId="1540" xr:uid="{00000000-0005-0000-0000-00001B0C0000}"/>
    <cellStyle name="Normal 6 5" xfId="1541" xr:uid="{00000000-0005-0000-0000-00001C0C0000}"/>
    <cellStyle name="Normal 6 5 2" xfId="1542" xr:uid="{00000000-0005-0000-0000-00001D0C0000}"/>
    <cellStyle name="Normal 6 5 3" xfId="1543" xr:uid="{00000000-0005-0000-0000-00001E0C0000}"/>
    <cellStyle name="Normal 6 5 4" xfId="1544" xr:uid="{00000000-0005-0000-0000-00001F0C0000}"/>
    <cellStyle name="Normal 6 5 5" xfId="1545" xr:uid="{00000000-0005-0000-0000-0000200C0000}"/>
    <cellStyle name="Normal 6 5 6" xfId="1546" xr:uid="{00000000-0005-0000-0000-0000210C0000}"/>
    <cellStyle name="Normal 6 5 7" xfId="1547" xr:uid="{00000000-0005-0000-0000-0000220C0000}"/>
    <cellStyle name="Normal 6 5 8" xfId="1548" xr:uid="{00000000-0005-0000-0000-0000230C0000}"/>
    <cellStyle name="Normal 6 6" xfId="1549" xr:uid="{00000000-0005-0000-0000-0000240C0000}"/>
    <cellStyle name="Normal 6 7" xfId="1550" xr:uid="{00000000-0005-0000-0000-0000250C0000}"/>
    <cellStyle name="Normal 6 8" xfId="1551" xr:uid="{00000000-0005-0000-0000-0000260C0000}"/>
    <cellStyle name="Normal 6 9" xfId="1552" xr:uid="{00000000-0005-0000-0000-0000270C0000}"/>
    <cellStyle name="Normal 6_AREFOR" xfId="1553" xr:uid="{00000000-0005-0000-0000-0000280C0000}"/>
    <cellStyle name="Normal 7" xfId="73" xr:uid="{00000000-0005-0000-0000-0000290C0000}"/>
    <cellStyle name="Normal 7 10" xfId="1554" xr:uid="{00000000-0005-0000-0000-00002A0C0000}"/>
    <cellStyle name="Normal 7 11" xfId="1555" xr:uid="{00000000-0005-0000-0000-00002B0C0000}"/>
    <cellStyle name="Normal 7 12" xfId="1556" xr:uid="{00000000-0005-0000-0000-00002C0C0000}"/>
    <cellStyle name="Normal 7 13" xfId="1557" xr:uid="{00000000-0005-0000-0000-00002D0C0000}"/>
    <cellStyle name="Normal 7 2" xfId="1558" xr:uid="{00000000-0005-0000-0000-00002E0C0000}"/>
    <cellStyle name="Normal 7 2 2" xfId="1559" xr:uid="{00000000-0005-0000-0000-00002F0C0000}"/>
    <cellStyle name="Normal 7 2 3" xfId="1560" xr:uid="{00000000-0005-0000-0000-0000300C0000}"/>
    <cellStyle name="Normal 7 2 4" xfId="1561" xr:uid="{00000000-0005-0000-0000-0000310C0000}"/>
    <cellStyle name="Normal 7 2 5" xfId="1562" xr:uid="{00000000-0005-0000-0000-0000320C0000}"/>
    <cellStyle name="Normal 7 2 6" xfId="1563" xr:uid="{00000000-0005-0000-0000-0000330C0000}"/>
    <cellStyle name="Normal 7 2 7" xfId="1564" xr:uid="{00000000-0005-0000-0000-0000340C0000}"/>
    <cellStyle name="Normal 7 2 8" xfId="1565" xr:uid="{00000000-0005-0000-0000-0000350C0000}"/>
    <cellStyle name="Normal 7 2 9" xfId="1566" xr:uid="{00000000-0005-0000-0000-0000360C0000}"/>
    <cellStyle name="Normal 7 3" xfId="1567" xr:uid="{00000000-0005-0000-0000-0000370C0000}"/>
    <cellStyle name="Normal 7 3 2" xfId="1568" xr:uid="{00000000-0005-0000-0000-0000380C0000}"/>
    <cellStyle name="Normal 7 3 3" xfId="1569" xr:uid="{00000000-0005-0000-0000-0000390C0000}"/>
    <cellStyle name="Normal 7 3 4" xfId="1570" xr:uid="{00000000-0005-0000-0000-00003A0C0000}"/>
    <cellStyle name="Normal 7 3 5" xfId="1571" xr:uid="{00000000-0005-0000-0000-00003B0C0000}"/>
    <cellStyle name="Normal 7 3 6" xfId="1572" xr:uid="{00000000-0005-0000-0000-00003C0C0000}"/>
    <cellStyle name="Normal 7 3 7" xfId="1573" xr:uid="{00000000-0005-0000-0000-00003D0C0000}"/>
    <cellStyle name="Normal 7 3 8" xfId="1574" xr:uid="{00000000-0005-0000-0000-00003E0C0000}"/>
    <cellStyle name="Normal 7 4" xfId="1575" xr:uid="{00000000-0005-0000-0000-00003F0C0000}"/>
    <cellStyle name="Normal 7 4 2" xfId="1576" xr:uid="{00000000-0005-0000-0000-0000400C0000}"/>
    <cellStyle name="Normal 7 4 3" xfId="1577" xr:uid="{00000000-0005-0000-0000-0000410C0000}"/>
    <cellStyle name="Normal 7 4 4" xfId="1578" xr:uid="{00000000-0005-0000-0000-0000420C0000}"/>
    <cellStyle name="Normal 7 4 5" xfId="1579" xr:uid="{00000000-0005-0000-0000-0000430C0000}"/>
    <cellStyle name="Normal 7 4 6" xfId="1580" xr:uid="{00000000-0005-0000-0000-0000440C0000}"/>
    <cellStyle name="Normal 7 4 7" xfId="1581" xr:uid="{00000000-0005-0000-0000-0000450C0000}"/>
    <cellStyle name="Normal 7 4 8" xfId="1582" xr:uid="{00000000-0005-0000-0000-0000460C0000}"/>
    <cellStyle name="Normal 7 5" xfId="1583" xr:uid="{00000000-0005-0000-0000-0000470C0000}"/>
    <cellStyle name="Normal 7 5 2" xfId="1584" xr:uid="{00000000-0005-0000-0000-0000480C0000}"/>
    <cellStyle name="Normal 7 5 3" xfId="1585" xr:uid="{00000000-0005-0000-0000-0000490C0000}"/>
    <cellStyle name="Normal 7 5 4" xfId="1586" xr:uid="{00000000-0005-0000-0000-00004A0C0000}"/>
    <cellStyle name="Normal 7 5 5" xfId="1587" xr:uid="{00000000-0005-0000-0000-00004B0C0000}"/>
    <cellStyle name="Normal 7 5 6" xfId="1588" xr:uid="{00000000-0005-0000-0000-00004C0C0000}"/>
    <cellStyle name="Normal 7 5 7" xfId="1589" xr:uid="{00000000-0005-0000-0000-00004D0C0000}"/>
    <cellStyle name="Normal 7 5 8" xfId="1590" xr:uid="{00000000-0005-0000-0000-00004E0C0000}"/>
    <cellStyle name="Normal 7 6" xfId="1591" xr:uid="{00000000-0005-0000-0000-00004F0C0000}"/>
    <cellStyle name="Normal 7 7" xfId="1592" xr:uid="{00000000-0005-0000-0000-0000500C0000}"/>
    <cellStyle name="Normal 7 8" xfId="1593" xr:uid="{00000000-0005-0000-0000-0000510C0000}"/>
    <cellStyle name="Normal 7 9" xfId="1594" xr:uid="{00000000-0005-0000-0000-0000520C0000}"/>
    <cellStyle name="Normal 7_AREFOR" xfId="1595" xr:uid="{00000000-0005-0000-0000-0000530C0000}"/>
    <cellStyle name="Normal 8" xfId="1596" xr:uid="{00000000-0005-0000-0000-0000540C0000}"/>
    <cellStyle name="Normal 8 10" xfId="1597" xr:uid="{00000000-0005-0000-0000-0000550C0000}"/>
    <cellStyle name="Normal 8 11" xfId="1598" xr:uid="{00000000-0005-0000-0000-0000560C0000}"/>
    <cellStyle name="Normal 8 12" xfId="1599" xr:uid="{00000000-0005-0000-0000-0000570C0000}"/>
    <cellStyle name="Normal 8 13" xfId="1600" xr:uid="{00000000-0005-0000-0000-0000580C0000}"/>
    <cellStyle name="Normal 8 2" xfId="1601" xr:uid="{00000000-0005-0000-0000-0000590C0000}"/>
    <cellStyle name="Normal 8 2 2" xfId="1602" xr:uid="{00000000-0005-0000-0000-00005A0C0000}"/>
    <cellStyle name="Normal 8 2 3" xfId="1603" xr:uid="{00000000-0005-0000-0000-00005B0C0000}"/>
    <cellStyle name="Normal 8 2 4" xfId="1604" xr:uid="{00000000-0005-0000-0000-00005C0C0000}"/>
    <cellStyle name="Normal 8 2 5" xfId="1605" xr:uid="{00000000-0005-0000-0000-00005D0C0000}"/>
    <cellStyle name="Normal 8 2 6" xfId="1606" xr:uid="{00000000-0005-0000-0000-00005E0C0000}"/>
    <cellStyle name="Normal 8 2 7" xfId="1607" xr:uid="{00000000-0005-0000-0000-00005F0C0000}"/>
    <cellStyle name="Normal 8 2 8" xfId="1608" xr:uid="{00000000-0005-0000-0000-0000600C0000}"/>
    <cellStyle name="Normal 8 2 9" xfId="1609" xr:uid="{00000000-0005-0000-0000-0000610C0000}"/>
    <cellStyle name="Normal 8 3" xfId="1610" xr:uid="{00000000-0005-0000-0000-0000620C0000}"/>
    <cellStyle name="Normal 8 3 2" xfId="1611" xr:uid="{00000000-0005-0000-0000-0000630C0000}"/>
    <cellStyle name="Normal 8 3 3" xfId="1612" xr:uid="{00000000-0005-0000-0000-0000640C0000}"/>
    <cellStyle name="Normal 8 3 4" xfId="1613" xr:uid="{00000000-0005-0000-0000-0000650C0000}"/>
    <cellStyle name="Normal 8 3 5" xfId="1614" xr:uid="{00000000-0005-0000-0000-0000660C0000}"/>
    <cellStyle name="Normal 8 3 6" xfId="1615" xr:uid="{00000000-0005-0000-0000-0000670C0000}"/>
    <cellStyle name="Normal 8 3 7" xfId="1616" xr:uid="{00000000-0005-0000-0000-0000680C0000}"/>
    <cellStyle name="Normal 8 3 8" xfId="1617" xr:uid="{00000000-0005-0000-0000-0000690C0000}"/>
    <cellStyle name="Normal 8 4" xfId="1618" xr:uid="{00000000-0005-0000-0000-00006A0C0000}"/>
    <cellStyle name="Normal 8 4 2" xfId="1619" xr:uid="{00000000-0005-0000-0000-00006B0C0000}"/>
    <cellStyle name="Normal 8 4 3" xfId="1620" xr:uid="{00000000-0005-0000-0000-00006C0C0000}"/>
    <cellStyle name="Normal 8 4 4" xfId="1621" xr:uid="{00000000-0005-0000-0000-00006D0C0000}"/>
    <cellStyle name="Normal 8 4 5" xfId="1622" xr:uid="{00000000-0005-0000-0000-00006E0C0000}"/>
    <cellStyle name="Normal 8 4 6" xfId="1623" xr:uid="{00000000-0005-0000-0000-00006F0C0000}"/>
    <cellStyle name="Normal 8 4 7" xfId="1624" xr:uid="{00000000-0005-0000-0000-0000700C0000}"/>
    <cellStyle name="Normal 8 4 8" xfId="1625" xr:uid="{00000000-0005-0000-0000-0000710C0000}"/>
    <cellStyle name="Normal 8 5" xfId="1626" xr:uid="{00000000-0005-0000-0000-0000720C0000}"/>
    <cellStyle name="Normal 8 5 2" xfId="1627" xr:uid="{00000000-0005-0000-0000-0000730C0000}"/>
    <cellStyle name="Normal 8 5 3" xfId="1628" xr:uid="{00000000-0005-0000-0000-0000740C0000}"/>
    <cellStyle name="Normal 8 5 4" xfId="1629" xr:uid="{00000000-0005-0000-0000-0000750C0000}"/>
    <cellStyle name="Normal 8 5 5" xfId="1630" xr:uid="{00000000-0005-0000-0000-0000760C0000}"/>
    <cellStyle name="Normal 8 5 6" xfId="1631" xr:uid="{00000000-0005-0000-0000-0000770C0000}"/>
    <cellStyle name="Normal 8 5 7" xfId="1632" xr:uid="{00000000-0005-0000-0000-0000780C0000}"/>
    <cellStyle name="Normal 8 5 8" xfId="1633" xr:uid="{00000000-0005-0000-0000-0000790C0000}"/>
    <cellStyle name="Normal 8 6" xfId="1634" xr:uid="{00000000-0005-0000-0000-00007A0C0000}"/>
    <cellStyle name="Normal 8 7" xfId="1635" xr:uid="{00000000-0005-0000-0000-00007B0C0000}"/>
    <cellStyle name="Normal 8 8" xfId="1636" xr:uid="{00000000-0005-0000-0000-00007C0C0000}"/>
    <cellStyle name="Normal 8 9" xfId="1637" xr:uid="{00000000-0005-0000-0000-00007D0C0000}"/>
    <cellStyle name="Normal 9" xfId="113" xr:uid="{00000000-0005-0000-0000-00007E0C0000}"/>
    <cellStyle name="Normal 9 10" xfId="2732" xr:uid="{00000000-0005-0000-0000-00007F0C0000}"/>
    <cellStyle name="Normal 9 2" xfId="1638" xr:uid="{00000000-0005-0000-0000-0000800C0000}"/>
    <cellStyle name="Normal 9 3" xfId="1639" xr:uid="{00000000-0005-0000-0000-0000810C0000}"/>
    <cellStyle name="Normal 9 4" xfId="1640" xr:uid="{00000000-0005-0000-0000-0000820C0000}"/>
    <cellStyle name="Normal 9 5" xfId="1641" xr:uid="{00000000-0005-0000-0000-0000830C0000}"/>
    <cellStyle name="Normal 9 6" xfId="1642" xr:uid="{00000000-0005-0000-0000-0000840C0000}"/>
    <cellStyle name="Normal 9 7" xfId="1643" xr:uid="{00000000-0005-0000-0000-0000850C0000}"/>
    <cellStyle name="Normal 9 8" xfId="1644" xr:uid="{00000000-0005-0000-0000-0000860C0000}"/>
    <cellStyle name="Normal 9 9" xfId="2200" xr:uid="{00000000-0005-0000-0000-0000870C0000}"/>
    <cellStyle name="Normal 9 9 2" xfId="3245" xr:uid="{00000000-0005-0000-0000-0000880C0000}"/>
    <cellStyle name="Normal 9_AREFOR" xfId="1645" xr:uid="{00000000-0005-0000-0000-0000890C0000}"/>
    <cellStyle name="Normal GHG Numbers (0.00)" xfId="74" xr:uid="{00000000-0005-0000-0000-00008A0C0000}"/>
    <cellStyle name="Normal GHG Textfiels Bold" xfId="1646" xr:uid="{00000000-0005-0000-0000-00008B0C0000}"/>
    <cellStyle name="Normal GHG whole table" xfId="75" xr:uid="{00000000-0005-0000-0000-00008C0C0000}"/>
    <cellStyle name="Normal GHG-Shade" xfId="76" xr:uid="{00000000-0005-0000-0000-00008D0C0000}"/>
    <cellStyle name="Normale_B2020" xfId="1647" xr:uid="{00000000-0005-0000-0000-00008E0C0000}"/>
    <cellStyle name="Normale_Scen_UC_IND-StrucConst" xfId="2" xr:uid="{00000000-0005-0000-0000-00008F0C0000}"/>
    <cellStyle name="Note 2" xfId="77" xr:uid="{00000000-0005-0000-0000-0000900C0000}"/>
    <cellStyle name="Note 2 10" xfId="1648" xr:uid="{00000000-0005-0000-0000-0000910C0000}"/>
    <cellStyle name="Note 2 11" xfId="1649" xr:uid="{00000000-0005-0000-0000-0000920C0000}"/>
    <cellStyle name="Note 2 12" xfId="1650" xr:uid="{00000000-0005-0000-0000-0000930C0000}"/>
    <cellStyle name="Note 2 13" xfId="1651" xr:uid="{00000000-0005-0000-0000-0000940C0000}"/>
    <cellStyle name="Note 2 14" xfId="1652" xr:uid="{00000000-0005-0000-0000-0000950C0000}"/>
    <cellStyle name="Note 2 15" xfId="1653" xr:uid="{00000000-0005-0000-0000-0000960C0000}"/>
    <cellStyle name="Note 2 2" xfId="1654" xr:uid="{00000000-0005-0000-0000-0000970C0000}"/>
    <cellStyle name="Note 2 3" xfId="1655" xr:uid="{00000000-0005-0000-0000-0000980C0000}"/>
    <cellStyle name="Note 2 4" xfId="1656" xr:uid="{00000000-0005-0000-0000-0000990C0000}"/>
    <cellStyle name="Note 2 5" xfId="1657" xr:uid="{00000000-0005-0000-0000-00009A0C0000}"/>
    <cellStyle name="Note 2 6" xfId="1658" xr:uid="{00000000-0005-0000-0000-00009B0C0000}"/>
    <cellStyle name="Note 2 7" xfId="1659" xr:uid="{00000000-0005-0000-0000-00009C0C0000}"/>
    <cellStyle name="Note 2 8" xfId="1660" xr:uid="{00000000-0005-0000-0000-00009D0C0000}"/>
    <cellStyle name="Note 2 9" xfId="1661" xr:uid="{00000000-0005-0000-0000-00009E0C0000}"/>
    <cellStyle name="Note 2_PotsLow" xfId="1662" xr:uid="{00000000-0005-0000-0000-00009F0C0000}"/>
    <cellStyle name="Note 3" xfId="78" xr:uid="{00000000-0005-0000-0000-0000A00C0000}"/>
    <cellStyle name="Note 4" xfId="79" xr:uid="{00000000-0005-0000-0000-0000A10C0000}"/>
    <cellStyle name="Note 5" xfId="1663" xr:uid="{00000000-0005-0000-0000-0000A20C0000}"/>
    <cellStyle name="Note 6" xfId="1664" xr:uid="{00000000-0005-0000-0000-0000A30C0000}"/>
    <cellStyle name="Note 7" xfId="1665" xr:uid="{00000000-0005-0000-0000-0000A40C0000}"/>
    <cellStyle name="Note 8" xfId="1666" xr:uid="{00000000-0005-0000-0000-0000A50C0000}"/>
    <cellStyle name="Note 9" xfId="2176" xr:uid="{00000000-0005-0000-0000-0000A60C0000}"/>
    <cellStyle name="Note 9 2" xfId="3221" xr:uid="{00000000-0005-0000-0000-0000A70C0000}"/>
    <cellStyle name="Nuovo" xfId="1667" xr:uid="{00000000-0005-0000-0000-0000A80C0000}"/>
    <cellStyle name="Nuovo 2" xfId="1668" xr:uid="{00000000-0005-0000-0000-0000A90C0000}"/>
    <cellStyle name="Nuovo 2 2" xfId="1669" xr:uid="{00000000-0005-0000-0000-0000AA0C0000}"/>
    <cellStyle name="Nuovo 3" xfId="1670" xr:uid="{00000000-0005-0000-0000-0000AB0C0000}"/>
    <cellStyle name="Nuovo 4" xfId="1671" xr:uid="{00000000-0005-0000-0000-0000AC0C0000}"/>
    <cellStyle name="Nuovo 4 2" xfId="1672" xr:uid="{00000000-0005-0000-0000-0000AD0C0000}"/>
    <cellStyle name="Nuovo 5" xfId="1673" xr:uid="{00000000-0005-0000-0000-0000AE0C0000}"/>
    <cellStyle name="Output" xfId="2144" builtinId="21" customBuiltin="1"/>
    <cellStyle name="Output 2" xfId="1674" xr:uid="{00000000-0005-0000-0000-0000B00C0000}"/>
    <cellStyle name="Output 2 10" xfId="1675" xr:uid="{00000000-0005-0000-0000-0000B10C0000}"/>
    <cellStyle name="Output 2 2" xfId="1676" xr:uid="{00000000-0005-0000-0000-0000B20C0000}"/>
    <cellStyle name="Output 2 3" xfId="1677" xr:uid="{00000000-0005-0000-0000-0000B30C0000}"/>
    <cellStyle name="Output 2 4" xfId="1678" xr:uid="{00000000-0005-0000-0000-0000B40C0000}"/>
    <cellStyle name="Output 2 5" xfId="1679" xr:uid="{00000000-0005-0000-0000-0000B50C0000}"/>
    <cellStyle name="Output 2 6" xfId="1680" xr:uid="{00000000-0005-0000-0000-0000B60C0000}"/>
    <cellStyle name="Output 2 7" xfId="1681" xr:uid="{00000000-0005-0000-0000-0000B70C0000}"/>
    <cellStyle name="Output 2 8" xfId="1682" xr:uid="{00000000-0005-0000-0000-0000B80C0000}"/>
    <cellStyle name="Output 2 9" xfId="1683" xr:uid="{00000000-0005-0000-0000-0000B90C0000}"/>
    <cellStyle name="Output 2_PotsLow" xfId="1684" xr:uid="{00000000-0005-0000-0000-0000BA0C0000}"/>
    <cellStyle name="Output 3" xfId="1685" xr:uid="{00000000-0005-0000-0000-0000BB0C0000}"/>
    <cellStyle name="Pattern" xfId="80" xr:uid="{00000000-0005-0000-0000-0000BC0C0000}"/>
    <cellStyle name="Percent" xfId="3736" builtinId="5"/>
    <cellStyle name="Percent 10" xfId="1686" xr:uid="{00000000-0005-0000-0000-0000BE0C0000}"/>
    <cellStyle name="Percent 10 2" xfId="1687" xr:uid="{00000000-0005-0000-0000-0000BF0C0000}"/>
    <cellStyle name="Percent 10 3" xfId="1688" xr:uid="{00000000-0005-0000-0000-0000C00C0000}"/>
    <cellStyle name="Percent 10 4" xfId="1689" xr:uid="{00000000-0005-0000-0000-0000C10C0000}"/>
    <cellStyle name="Percent 10 5" xfId="1690" xr:uid="{00000000-0005-0000-0000-0000C20C0000}"/>
    <cellStyle name="Percent 10 6" xfId="1691" xr:uid="{00000000-0005-0000-0000-0000C30C0000}"/>
    <cellStyle name="Percent 10 7" xfId="1692" xr:uid="{00000000-0005-0000-0000-0000C40C0000}"/>
    <cellStyle name="Percent 10 8" xfId="1693" xr:uid="{00000000-0005-0000-0000-0000C50C0000}"/>
    <cellStyle name="Percent 11" xfId="1694" xr:uid="{00000000-0005-0000-0000-0000C60C0000}"/>
    <cellStyle name="Percent 11 2" xfId="1695" xr:uid="{00000000-0005-0000-0000-0000C70C0000}"/>
    <cellStyle name="Percent 11 3" xfId="1696" xr:uid="{00000000-0005-0000-0000-0000C80C0000}"/>
    <cellStyle name="Percent 11 4" xfId="1697" xr:uid="{00000000-0005-0000-0000-0000C90C0000}"/>
    <cellStyle name="Percent 11 5" xfId="1698" xr:uid="{00000000-0005-0000-0000-0000CA0C0000}"/>
    <cellStyle name="Percent 11 6" xfId="1699" xr:uid="{00000000-0005-0000-0000-0000CB0C0000}"/>
    <cellStyle name="Percent 11 7" xfId="1700" xr:uid="{00000000-0005-0000-0000-0000CC0C0000}"/>
    <cellStyle name="Percent 11 8" xfId="1701" xr:uid="{00000000-0005-0000-0000-0000CD0C0000}"/>
    <cellStyle name="Percent 12" xfId="1702" xr:uid="{00000000-0005-0000-0000-0000CE0C0000}"/>
    <cellStyle name="Percent 12 2" xfId="1703" xr:uid="{00000000-0005-0000-0000-0000CF0C0000}"/>
    <cellStyle name="Percent 12 3" xfId="1704" xr:uid="{00000000-0005-0000-0000-0000D00C0000}"/>
    <cellStyle name="Percent 12 4" xfId="1705" xr:uid="{00000000-0005-0000-0000-0000D10C0000}"/>
    <cellStyle name="Percent 12 5" xfId="1706" xr:uid="{00000000-0005-0000-0000-0000D20C0000}"/>
    <cellStyle name="Percent 12 6" xfId="1707" xr:uid="{00000000-0005-0000-0000-0000D30C0000}"/>
    <cellStyle name="Percent 12 7" xfId="1708" xr:uid="{00000000-0005-0000-0000-0000D40C0000}"/>
    <cellStyle name="Percent 12 8" xfId="1709" xr:uid="{00000000-0005-0000-0000-0000D50C0000}"/>
    <cellStyle name="Percent 13" xfId="1710" xr:uid="{00000000-0005-0000-0000-0000D60C0000}"/>
    <cellStyle name="Percent 13 2" xfId="1711" xr:uid="{00000000-0005-0000-0000-0000D70C0000}"/>
    <cellStyle name="Percent 13 3" xfId="1712" xr:uid="{00000000-0005-0000-0000-0000D80C0000}"/>
    <cellStyle name="Percent 13 4" xfId="1713" xr:uid="{00000000-0005-0000-0000-0000D90C0000}"/>
    <cellStyle name="Percent 13 5" xfId="1714" xr:uid="{00000000-0005-0000-0000-0000DA0C0000}"/>
    <cellStyle name="Percent 13 6" xfId="1715" xr:uid="{00000000-0005-0000-0000-0000DB0C0000}"/>
    <cellStyle name="Percent 13 7" xfId="1716" xr:uid="{00000000-0005-0000-0000-0000DC0C0000}"/>
    <cellStyle name="Percent 13 8" xfId="1717" xr:uid="{00000000-0005-0000-0000-0000DD0C0000}"/>
    <cellStyle name="Percent 14" xfId="1718" xr:uid="{00000000-0005-0000-0000-0000DE0C0000}"/>
    <cellStyle name="Percent 14 2" xfId="1719" xr:uid="{00000000-0005-0000-0000-0000DF0C0000}"/>
    <cellStyle name="Percent 14 3" xfId="1720" xr:uid="{00000000-0005-0000-0000-0000E00C0000}"/>
    <cellStyle name="Percent 14 4" xfId="1721" xr:uid="{00000000-0005-0000-0000-0000E10C0000}"/>
    <cellStyle name="Percent 14 5" xfId="1722" xr:uid="{00000000-0005-0000-0000-0000E20C0000}"/>
    <cellStyle name="Percent 14 6" xfId="1723" xr:uid="{00000000-0005-0000-0000-0000E30C0000}"/>
    <cellStyle name="Percent 14 7" xfId="1724" xr:uid="{00000000-0005-0000-0000-0000E40C0000}"/>
    <cellStyle name="Percent 14 8" xfId="1725" xr:uid="{00000000-0005-0000-0000-0000E50C0000}"/>
    <cellStyle name="Percent 15" xfId="1726" xr:uid="{00000000-0005-0000-0000-0000E60C0000}"/>
    <cellStyle name="Percent 15 10" xfId="1727" xr:uid="{00000000-0005-0000-0000-0000E70C0000}"/>
    <cellStyle name="Percent 15 11" xfId="1728" xr:uid="{00000000-0005-0000-0000-0000E80C0000}"/>
    <cellStyle name="Percent 15 12" xfId="1729" xr:uid="{00000000-0005-0000-0000-0000E90C0000}"/>
    <cellStyle name="Percent 15 13" xfId="1730" xr:uid="{00000000-0005-0000-0000-0000EA0C0000}"/>
    <cellStyle name="Percent 15 14" xfId="1731" xr:uid="{00000000-0005-0000-0000-0000EB0C0000}"/>
    <cellStyle name="Percent 15 2" xfId="1732" xr:uid="{00000000-0005-0000-0000-0000EC0C0000}"/>
    <cellStyle name="Percent 15 2 2" xfId="1733" xr:uid="{00000000-0005-0000-0000-0000ED0C0000}"/>
    <cellStyle name="Percent 15 2 3" xfId="1734" xr:uid="{00000000-0005-0000-0000-0000EE0C0000}"/>
    <cellStyle name="Percent 15 2 4" xfId="1735" xr:uid="{00000000-0005-0000-0000-0000EF0C0000}"/>
    <cellStyle name="Percent 15 2 5" xfId="1736" xr:uid="{00000000-0005-0000-0000-0000F00C0000}"/>
    <cellStyle name="Percent 15 2 6" xfId="1737" xr:uid="{00000000-0005-0000-0000-0000F10C0000}"/>
    <cellStyle name="Percent 15 2 7" xfId="1738" xr:uid="{00000000-0005-0000-0000-0000F20C0000}"/>
    <cellStyle name="Percent 15 3" xfId="1739" xr:uid="{00000000-0005-0000-0000-0000F30C0000}"/>
    <cellStyle name="Percent 15 4" xfId="1740" xr:uid="{00000000-0005-0000-0000-0000F40C0000}"/>
    <cellStyle name="Percent 15 5" xfId="1741" xr:uid="{00000000-0005-0000-0000-0000F50C0000}"/>
    <cellStyle name="Percent 15 6" xfId="1742" xr:uid="{00000000-0005-0000-0000-0000F60C0000}"/>
    <cellStyle name="Percent 15 7" xfId="1743" xr:uid="{00000000-0005-0000-0000-0000F70C0000}"/>
    <cellStyle name="Percent 15 8" xfId="1744" xr:uid="{00000000-0005-0000-0000-0000F80C0000}"/>
    <cellStyle name="Percent 15 9" xfId="1745" xr:uid="{00000000-0005-0000-0000-0000F90C0000}"/>
    <cellStyle name="Percent 16" xfId="1746" xr:uid="{00000000-0005-0000-0000-0000FA0C0000}"/>
    <cellStyle name="Percent 16 10" xfId="1747" xr:uid="{00000000-0005-0000-0000-0000FB0C0000}"/>
    <cellStyle name="Percent 16 10 2" xfId="1748" xr:uid="{00000000-0005-0000-0000-0000FC0C0000}"/>
    <cellStyle name="Percent 16 2" xfId="1749" xr:uid="{00000000-0005-0000-0000-0000FD0C0000}"/>
    <cellStyle name="Percent 16 3" xfId="1750" xr:uid="{00000000-0005-0000-0000-0000FE0C0000}"/>
    <cellStyle name="Percent 16 3 10" xfId="1751" xr:uid="{00000000-0005-0000-0000-0000FF0C0000}"/>
    <cellStyle name="Percent 16 3 11" xfId="1752" xr:uid="{00000000-0005-0000-0000-0000000D0000}"/>
    <cellStyle name="Percent 16 3 12" xfId="1753" xr:uid="{00000000-0005-0000-0000-0000010D0000}"/>
    <cellStyle name="Percent 16 3 13" xfId="1754" xr:uid="{00000000-0005-0000-0000-0000020D0000}"/>
    <cellStyle name="Percent 16 3 14" xfId="1755" xr:uid="{00000000-0005-0000-0000-0000030D0000}"/>
    <cellStyle name="Percent 16 3 15" xfId="1756" xr:uid="{00000000-0005-0000-0000-0000040D0000}"/>
    <cellStyle name="Percent 16 3 16" xfId="1757" xr:uid="{00000000-0005-0000-0000-0000050D0000}"/>
    <cellStyle name="Percent 16 3 17" xfId="1758" xr:uid="{00000000-0005-0000-0000-0000060D0000}"/>
    <cellStyle name="Percent 16 3 2" xfId="1759" xr:uid="{00000000-0005-0000-0000-0000070D0000}"/>
    <cellStyle name="Percent 16 3 3" xfId="1760" xr:uid="{00000000-0005-0000-0000-0000080D0000}"/>
    <cellStyle name="Percent 16 3 4" xfId="1761" xr:uid="{00000000-0005-0000-0000-0000090D0000}"/>
    <cellStyle name="Percent 16 3 5" xfId="1762" xr:uid="{00000000-0005-0000-0000-00000A0D0000}"/>
    <cellStyle name="Percent 16 3 6" xfId="1763" xr:uid="{00000000-0005-0000-0000-00000B0D0000}"/>
    <cellStyle name="Percent 16 3 7" xfId="1764" xr:uid="{00000000-0005-0000-0000-00000C0D0000}"/>
    <cellStyle name="Percent 16 3 8" xfId="1765" xr:uid="{00000000-0005-0000-0000-00000D0D0000}"/>
    <cellStyle name="Percent 16 3 9" xfId="1766" xr:uid="{00000000-0005-0000-0000-00000E0D0000}"/>
    <cellStyle name="Percent 16 4" xfId="1767" xr:uid="{00000000-0005-0000-0000-00000F0D0000}"/>
    <cellStyle name="Percent 16 4 10" xfId="1768" xr:uid="{00000000-0005-0000-0000-0000100D0000}"/>
    <cellStyle name="Percent 16 4 11" xfId="1769" xr:uid="{00000000-0005-0000-0000-0000110D0000}"/>
    <cellStyle name="Percent 16 4 12" xfId="1770" xr:uid="{00000000-0005-0000-0000-0000120D0000}"/>
    <cellStyle name="Percent 16 4 13" xfId="1771" xr:uid="{00000000-0005-0000-0000-0000130D0000}"/>
    <cellStyle name="Percent 16 4 14" xfId="1772" xr:uid="{00000000-0005-0000-0000-0000140D0000}"/>
    <cellStyle name="Percent 16 4 15" xfId="1773" xr:uid="{00000000-0005-0000-0000-0000150D0000}"/>
    <cellStyle name="Percent 16 4 16" xfId="1774" xr:uid="{00000000-0005-0000-0000-0000160D0000}"/>
    <cellStyle name="Percent 16 4 17" xfId="1775" xr:uid="{00000000-0005-0000-0000-0000170D0000}"/>
    <cellStyle name="Percent 16 4 2" xfId="1776" xr:uid="{00000000-0005-0000-0000-0000180D0000}"/>
    <cellStyle name="Percent 16 4 3" xfId="1777" xr:uid="{00000000-0005-0000-0000-0000190D0000}"/>
    <cellStyle name="Percent 16 4 4" xfId="1778" xr:uid="{00000000-0005-0000-0000-00001A0D0000}"/>
    <cellStyle name="Percent 16 4 5" xfId="1779" xr:uid="{00000000-0005-0000-0000-00001B0D0000}"/>
    <cellStyle name="Percent 16 4 6" xfId="1780" xr:uid="{00000000-0005-0000-0000-00001C0D0000}"/>
    <cellStyle name="Percent 16 4 7" xfId="1781" xr:uid="{00000000-0005-0000-0000-00001D0D0000}"/>
    <cellStyle name="Percent 16 4 8" xfId="1782" xr:uid="{00000000-0005-0000-0000-00001E0D0000}"/>
    <cellStyle name="Percent 16 4 9" xfId="1783" xr:uid="{00000000-0005-0000-0000-00001F0D0000}"/>
    <cellStyle name="Percent 16 5" xfId="1784" xr:uid="{00000000-0005-0000-0000-0000200D0000}"/>
    <cellStyle name="Percent 16 5 10" xfId="1785" xr:uid="{00000000-0005-0000-0000-0000210D0000}"/>
    <cellStyle name="Percent 16 5 11" xfId="1786" xr:uid="{00000000-0005-0000-0000-0000220D0000}"/>
    <cellStyle name="Percent 16 5 12" xfId="1787" xr:uid="{00000000-0005-0000-0000-0000230D0000}"/>
    <cellStyle name="Percent 16 5 13" xfId="1788" xr:uid="{00000000-0005-0000-0000-0000240D0000}"/>
    <cellStyle name="Percent 16 5 14" xfId="1789" xr:uid="{00000000-0005-0000-0000-0000250D0000}"/>
    <cellStyle name="Percent 16 5 15" xfId="1790" xr:uid="{00000000-0005-0000-0000-0000260D0000}"/>
    <cellStyle name="Percent 16 5 16" xfId="1791" xr:uid="{00000000-0005-0000-0000-0000270D0000}"/>
    <cellStyle name="Percent 16 5 17" xfId="1792" xr:uid="{00000000-0005-0000-0000-0000280D0000}"/>
    <cellStyle name="Percent 16 5 2" xfId="1793" xr:uid="{00000000-0005-0000-0000-0000290D0000}"/>
    <cellStyle name="Percent 16 5 3" xfId="1794" xr:uid="{00000000-0005-0000-0000-00002A0D0000}"/>
    <cellStyle name="Percent 16 5 4" xfId="1795" xr:uid="{00000000-0005-0000-0000-00002B0D0000}"/>
    <cellStyle name="Percent 16 5 5" xfId="1796" xr:uid="{00000000-0005-0000-0000-00002C0D0000}"/>
    <cellStyle name="Percent 16 5 6" xfId="1797" xr:uid="{00000000-0005-0000-0000-00002D0D0000}"/>
    <cellStyle name="Percent 16 5 7" xfId="1798" xr:uid="{00000000-0005-0000-0000-00002E0D0000}"/>
    <cellStyle name="Percent 16 5 8" xfId="1799" xr:uid="{00000000-0005-0000-0000-00002F0D0000}"/>
    <cellStyle name="Percent 16 5 9" xfId="1800" xr:uid="{00000000-0005-0000-0000-0000300D0000}"/>
    <cellStyle name="Percent 16 6" xfId="1801" xr:uid="{00000000-0005-0000-0000-0000310D0000}"/>
    <cellStyle name="Percent 16 6 10" xfId="1802" xr:uid="{00000000-0005-0000-0000-0000320D0000}"/>
    <cellStyle name="Percent 16 6 11" xfId="1803" xr:uid="{00000000-0005-0000-0000-0000330D0000}"/>
    <cellStyle name="Percent 16 6 12" xfId="1804" xr:uid="{00000000-0005-0000-0000-0000340D0000}"/>
    <cellStyle name="Percent 16 6 13" xfId="1805" xr:uid="{00000000-0005-0000-0000-0000350D0000}"/>
    <cellStyle name="Percent 16 6 14" xfId="1806" xr:uid="{00000000-0005-0000-0000-0000360D0000}"/>
    <cellStyle name="Percent 16 6 15" xfId="1807" xr:uid="{00000000-0005-0000-0000-0000370D0000}"/>
    <cellStyle name="Percent 16 6 16" xfId="1808" xr:uid="{00000000-0005-0000-0000-0000380D0000}"/>
    <cellStyle name="Percent 16 6 17" xfId="1809" xr:uid="{00000000-0005-0000-0000-0000390D0000}"/>
    <cellStyle name="Percent 16 6 2" xfId="1810" xr:uid="{00000000-0005-0000-0000-00003A0D0000}"/>
    <cellStyle name="Percent 16 6 3" xfId="1811" xr:uid="{00000000-0005-0000-0000-00003B0D0000}"/>
    <cellStyle name="Percent 16 6 4" xfId="1812" xr:uid="{00000000-0005-0000-0000-00003C0D0000}"/>
    <cellStyle name="Percent 16 6 5" xfId="1813" xr:uid="{00000000-0005-0000-0000-00003D0D0000}"/>
    <cellStyle name="Percent 16 6 6" xfId="1814" xr:uid="{00000000-0005-0000-0000-00003E0D0000}"/>
    <cellStyle name="Percent 16 6 7" xfId="1815" xr:uid="{00000000-0005-0000-0000-00003F0D0000}"/>
    <cellStyle name="Percent 16 6 8" xfId="1816" xr:uid="{00000000-0005-0000-0000-0000400D0000}"/>
    <cellStyle name="Percent 16 6 9" xfId="1817" xr:uid="{00000000-0005-0000-0000-0000410D0000}"/>
    <cellStyle name="Percent 16 7" xfId="1818" xr:uid="{00000000-0005-0000-0000-0000420D0000}"/>
    <cellStyle name="Percent 16 7 10" xfId="1819" xr:uid="{00000000-0005-0000-0000-0000430D0000}"/>
    <cellStyle name="Percent 16 7 11" xfId="1820" xr:uid="{00000000-0005-0000-0000-0000440D0000}"/>
    <cellStyle name="Percent 16 7 12" xfId="1821" xr:uid="{00000000-0005-0000-0000-0000450D0000}"/>
    <cellStyle name="Percent 16 7 13" xfId="1822" xr:uid="{00000000-0005-0000-0000-0000460D0000}"/>
    <cellStyle name="Percent 16 7 14" xfId="1823" xr:uid="{00000000-0005-0000-0000-0000470D0000}"/>
    <cellStyle name="Percent 16 7 15" xfId="1824" xr:uid="{00000000-0005-0000-0000-0000480D0000}"/>
    <cellStyle name="Percent 16 7 16" xfId="1825" xr:uid="{00000000-0005-0000-0000-0000490D0000}"/>
    <cellStyle name="Percent 16 7 17" xfId="1826" xr:uid="{00000000-0005-0000-0000-00004A0D0000}"/>
    <cellStyle name="Percent 16 7 2" xfId="1827" xr:uid="{00000000-0005-0000-0000-00004B0D0000}"/>
    <cellStyle name="Percent 16 7 3" xfId="1828" xr:uid="{00000000-0005-0000-0000-00004C0D0000}"/>
    <cellStyle name="Percent 16 7 4" xfId="1829" xr:uid="{00000000-0005-0000-0000-00004D0D0000}"/>
    <cellStyle name="Percent 16 7 5" xfId="1830" xr:uid="{00000000-0005-0000-0000-00004E0D0000}"/>
    <cellStyle name="Percent 16 7 6" xfId="1831" xr:uid="{00000000-0005-0000-0000-00004F0D0000}"/>
    <cellStyle name="Percent 16 7 7" xfId="1832" xr:uid="{00000000-0005-0000-0000-0000500D0000}"/>
    <cellStyle name="Percent 16 7 8" xfId="1833" xr:uid="{00000000-0005-0000-0000-0000510D0000}"/>
    <cellStyle name="Percent 16 7 9" xfId="1834" xr:uid="{00000000-0005-0000-0000-0000520D0000}"/>
    <cellStyle name="Percent 16 8" xfId="1835" xr:uid="{00000000-0005-0000-0000-0000530D0000}"/>
    <cellStyle name="Percent 16 8 10" xfId="1836" xr:uid="{00000000-0005-0000-0000-0000540D0000}"/>
    <cellStyle name="Percent 16 8 11" xfId="1837" xr:uid="{00000000-0005-0000-0000-0000550D0000}"/>
    <cellStyle name="Percent 16 8 12" xfId="1838" xr:uid="{00000000-0005-0000-0000-0000560D0000}"/>
    <cellStyle name="Percent 16 8 13" xfId="1839" xr:uid="{00000000-0005-0000-0000-0000570D0000}"/>
    <cellStyle name="Percent 16 8 14" xfId="1840" xr:uid="{00000000-0005-0000-0000-0000580D0000}"/>
    <cellStyle name="Percent 16 8 15" xfId="1841" xr:uid="{00000000-0005-0000-0000-0000590D0000}"/>
    <cellStyle name="Percent 16 8 16" xfId="1842" xr:uid="{00000000-0005-0000-0000-00005A0D0000}"/>
    <cellStyle name="Percent 16 8 17" xfId="1843" xr:uid="{00000000-0005-0000-0000-00005B0D0000}"/>
    <cellStyle name="Percent 16 8 2" xfId="1844" xr:uid="{00000000-0005-0000-0000-00005C0D0000}"/>
    <cellStyle name="Percent 16 8 3" xfId="1845" xr:uid="{00000000-0005-0000-0000-00005D0D0000}"/>
    <cellStyle name="Percent 16 8 4" xfId="1846" xr:uid="{00000000-0005-0000-0000-00005E0D0000}"/>
    <cellStyle name="Percent 16 8 5" xfId="1847" xr:uid="{00000000-0005-0000-0000-00005F0D0000}"/>
    <cellStyle name="Percent 16 8 6" xfId="1848" xr:uid="{00000000-0005-0000-0000-0000600D0000}"/>
    <cellStyle name="Percent 16 8 7" xfId="1849" xr:uid="{00000000-0005-0000-0000-0000610D0000}"/>
    <cellStyle name="Percent 16 8 8" xfId="1850" xr:uid="{00000000-0005-0000-0000-0000620D0000}"/>
    <cellStyle name="Percent 16 8 9" xfId="1851" xr:uid="{00000000-0005-0000-0000-0000630D0000}"/>
    <cellStyle name="Percent 16 9" xfId="1852" xr:uid="{00000000-0005-0000-0000-0000640D0000}"/>
    <cellStyle name="Percent 16 9 10" xfId="1853" xr:uid="{00000000-0005-0000-0000-0000650D0000}"/>
    <cellStyle name="Percent 16 9 11" xfId="1854" xr:uid="{00000000-0005-0000-0000-0000660D0000}"/>
    <cellStyle name="Percent 16 9 12" xfId="1855" xr:uid="{00000000-0005-0000-0000-0000670D0000}"/>
    <cellStyle name="Percent 16 9 13" xfId="1856" xr:uid="{00000000-0005-0000-0000-0000680D0000}"/>
    <cellStyle name="Percent 16 9 14" xfId="1857" xr:uid="{00000000-0005-0000-0000-0000690D0000}"/>
    <cellStyle name="Percent 16 9 15" xfId="1858" xr:uid="{00000000-0005-0000-0000-00006A0D0000}"/>
    <cellStyle name="Percent 16 9 16" xfId="1859" xr:uid="{00000000-0005-0000-0000-00006B0D0000}"/>
    <cellStyle name="Percent 16 9 17" xfId="1860" xr:uid="{00000000-0005-0000-0000-00006C0D0000}"/>
    <cellStyle name="Percent 16 9 2" xfId="1861" xr:uid="{00000000-0005-0000-0000-00006D0D0000}"/>
    <cellStyle name="Percent 16 9 3" xfId="1862" xr:uid="{00000000-0005-0000-0000-00006E0D0000}"/>
    <cellStyle name="Percent 16 9 4" xfId="1863" xr:uid="{00000000-0005-0000-0000-00006F0D0000}"/>
    <cellStyle name="Percent 16 9 5" xfId="1864" xr:uid="{00000000-0005-0000-0000-0000700D0000}"/>
    <cellStyle name="Percent 16 9 6" xfId="1865" xr:uid="{00000000-0005-0000-0000-0000710D0000}"/>
    <cellStyle name="Percent 16 9 7" xfId="1866" xr:uid="{00000000-0005-0000-0000-0000720D0000}"/>
    <cellStyle name="Percent 16 9 8" xfId="1867" xr:uid="{00000000-0005-0000-0000-0000730D0000}"/>
    <cellStyle name="Percent 16 9 9" xfId="1868" xr:uid="{00000000-0005-0000-0000-0000740D0000}"/>
    <cellStyle name="Percent 17" xfId="1869" xr:uid="{00000000-0005-0000-0000-0000750D0000}"/>
    <cellStyle name="Percent 2" xfId="81" xr:uid="{00000000-0005-0000-0000-0000760D0000}"/>
    <cellStyle name="Percent 2 10" xfId="1870" xr:uid="{00000000-0005-0000-0000-0000770D0000}"/>
    <cellStyle name="Percent 2 10 2" xfId="1871" xr:uid="{00000000-0005-0000-0000-0000780D0000}"/>
    <cellStyle name="Percent 2 10 3" xfId="1872" xr:uid="{00000000-0005-0000-0000-0000790D0000}"/>
    <cellStyle name="Percent 2 10 4" xfId="1873" xr:uid="{00000000-0005-0000-0000-00007A0D0000}"/>
    <cellStyle name="Percent 2 10 5" xfId="1874" xr:uid="{00000000-0005-0000-0000-00007B0D0000}"/>
    <cellStyle name="Percent 2 10 6" xfId="1875" xr:uid="{00000000-0005-0000-0000-00007C0D0000}"/>
    <cellStyle name="Percent 2 10 7" xfId="1876" xr:uid="{00000000-0005-0000-0000-00007D0D0000}"/>
    <cellStyle name="Percent 2 10 8" xfId="1877" xr:uid="{00000000-0005-0000-0000-00007E0D0000}"/>
    <cellStyle name="Percent 2 11" xfId="1878" xr:uid="{00000000-0005-0000-0000-00007F0D0000}"/>
    <cellStyle name="Percent 2 11 2" xfId="1879" xr:uid="{00000000-0005-0000-0000-0000800D0000}"/>
    <cellStyle name="Percent 2 11 3" xfId="1880" xr:uid="{00000000-0005-0000-0000-0000810D0000}"/>
    <cellStyle name="Percent 2 11 4" xfId="1881" xr:uid="{00000000-0005-0000-0000-0000820D0000}"/>
    <cellStyle name="Percent 2 11 5" xfId="1882" xr:uid="{00000000-0005-0000-0000-0000830D0000}"/>
    <cellStyle name="Percent 2 11 6" xfId="1883" xr:uid="{00000000-0005-0000-0000-0000840D0000}"/>
    <cellStyle name="Percent 2 11 7" xfId="1884" xr:uid="{00000000-0005-0000-0000-0000850D0000}"/>
    <cellStyle name="Percent 2 11 8" xfId="1885" xr:uid="{00000000-0005-0000-0000-0000860D0000}"/>
    <cellStyle name="Percent 2 12" xfId="1886" xr:uid="{00000000-0005-0000-0000-0000870D0000}"/>
    <cellStyle name="Percent 2 13" xfId="1887" xr:uid="{00000000-0005-0000-0000-0000880D0000}"/>
    <cellStyle name="Percent 2 14" xfId="1888" xr:uid="{00000000-0005-0000-0000-0000890D0000}"/>
    <cellStyle name="Percent 2 15" xfId="1889" xr:uid="{00000000-0005-0000-0000-00008A0D0000}"/>
    <cellStyle name="Percent 2 16" xfId="1890" xr:uid="{00000000-0005-0000-0000-00008B0D0000}"/>
    <cellStyle name="Percent 2 17" xfId="1891" xr:uid="{00000000-0005-0000-0000-00008C0D0000}"/>
    <cellStyle name="Percent 2 18" xfId="1892" xr:uid="{00000000-0005-0000-0000-00008D0D0000}"/>
    <cellStyle name="Percent 2 19" xfId="1893" xr:uid="{00000000-0005-0000-0000-00008E0D0000}"/>
    <cellStyle name="Percent 2 19 2" xfId="1894" xr:uid="{00000000-0005-0000-0000-00008F0D0000}"/>
    <cellStyle name="Percent 2 19 2 2" xfId="1895" xr:uid="{00000000-0005-0000-0000-0000900D0000}"/>
    <cellStyle name="Percent 2 19 3" xfId="1896" xr:uid="{00000000-0005-0000-0000-0000910D0000}"/>
    <cellStyle name="Percent 2 2" xfId="1897" xr:uid="{00000000-0005-0000-0000-0000920D0000}"/>
    <cellStyle name="Percent 2 2 2" xfId="1898" xr:uid="{00000000-0005-0000-0000-0000930D0000}"/>
    <cellStyle name="Percent 2 2 3" xfId="1899" xr:uid="{00000000-0005-0000-0000-0000940D0000}"/>
    <cellStyle name="Percent 2 2 4" xfId="1900" xr:uid="{00000000-0005-0000-0000-0000950D0000}"/>
    <cellStyle name="Percent 2 2 5" xfId="1901" xr:uid="{00000000-0005-0000-0000-0000960D0000}"/>
    <cellStyle name="Percent 2 2 6" xfId="1902" xr:uid="{00000000-0005-0000-0000-0000970D0000}"/>
    <cellStyle name="Percent 2 2 7" xfId="1903" xr:uid="{00000000-0005-0000-0000-0000980D0000}"/>
    <cellStyle name="Percent 2 2 8" xfId="1904" xr:uid="{00000000-0005-0000-0000-0000990D0000}"/>
    <cellStyle name="Percent 2 2 9" xfId="1905" xr:uid="{00000000-0005-0000-0000-00009A0D0000}"/>
    <cellStyle name="Percent 2 3" xfId="1906" xr:uid="{00000000-0005-0000-0000-00009B0D0000}"/>
    <cellStyle name="Percent 2 3 2" xfId="1907" xr:uid="{00000000-0005-0000-0000-00009C0D0000}"/>
    <cellStyle name="Percent 2 3 3" xfId="1908" xr:uid="{00000000-0005-0000-0000-00009D0D0000}"/>
    <cellStyle name="Percent 2 3 4" xfId="1909" xr:uid="{00000000-0005-0000-0000-00009E0D0000}"/>
    <cellStyle name="Percent 2 3 5" xfId="1910" xr:uid="{00000000-0005-0000-0000-00009F0D0000}"/>
    <cellStyle name="Percent 2 3 6" xfId="1911" xr:uid="{00000000-0005-0000-0000-0000A00D0000}"/>
    <cellStyle name="Percent 2 3 7" xfId="1912" xr:uid="{00000000-0005-0000-0000-0000A10D0000}"/>
    <cellStyle name="Percent 2 3 8" xfId="1913" xr:uid="{00000000-0005-0000-0000-0000A20D0000}"/>
    <cellStyle name="Percent 2 4" xfId="1914" xr:uid="{00000000-0005-0000-0000-0000A30D0000}"/>
    <cellStyle name="Percent 2 4 2" xfId="1915" xr:uid="{00000000-0005-0000-0000-0000A40D0000}"/>
    <cellStyle name="Percent 2 4 3" xfId="1916" xr:uid="{00000000-0005-0000-0000-0000A50D0000}"/>
    <cellStyle name="Percent 2 4 4" xfId="1917" xr:uid="{00000000-0005-0000-0000-0000A60D0000}"/>
    <cellStyle name="Percent 2 4 5" xfId="1918" xr:uid="{00000000-0005-0000-0000-0000A70D0000}"/>
    <cellStyle name="Percent 2 4 6" xfId="1919" xr:uid="{00000000-0005-0000-0000-0000A80D0000}"/>
    <cellStyle name="Percent 2 4 7" xfId="1920" xr:uid="{00000000-0005-0000-0000-0000A90D0000}"/>
    <cellStyle name="Percent 2 4 8" xfId="1921" xr:uid="{00000000-0005-0000-0000-0000AA0D0000}"/>
    <cellStyle name="Percent 2 5" xfId="1922" xr:uid="{00000000-0005-0000-0000-0000AB0D0000}"/>
    <cellStyle name="Percent 2 5 2" xfId="1923" xr:uid="{00000000-0005-0000-0000-0000AC0D0000}"/>
    <cellStyle name="Percent 2 5 3" xfId="1924" xr:uid="{00000000-0005-0000-0000-0000AD0D0000}"/>
    <cellStyle name="Percent 2 5 4" xfId="1925" xr:uid="{00000000-0005-0000-0000-0000AE0D0000}"/>
    <cellStyle name="Percent 2 5 5" xfId="1926" xr:uid="{00000000-0005-0000-0000-0000AF0D0000}"/>
    <cellStyle name="Percent 2 5 6" xfId="1927" xr:uid="{00000000-0005-0000-0000-0000B00D0000}"/>
    <cellStyle name="Percent 2 5 7" xfId="1928" xr:uid="{00000000-0005-0000-0000-0000B10D0000}"/>
    <cellStyle name="Percent 2 5 8" xfId="1929" xr:uid="{00000000-0005-0000-0000-0000B20D0000}"/>
    <cellStyle name="Percent 2 6" xfId="1930" xr:uid="{00000000-0005-0000-0000-0000B30D0000}"/>
    <cellStyle name="Percent 2 6 2" xfId="1931" xr:uid="{00000000-0005-0000-0000-0000B40D0000}"/>
    <cellStyle name="Percent 2 6 3" xfId="1932" xr:uid="{00000000-0005-0000-0000-0000B50D0000}"/>
    <cellStyle name="Percent 2 6 4" xfId="1933" xr:uid="{00000000-0005-0000-0000-0000B60D0000}"/>
    <cellStyle name="Percent 2 6 5" xfId="1934" xr:uid="{00000000-0005-0000-0000-0000B70D0000}"/>
    <cellStyle name="Percent 2 6 6" xfId="1935" xr:uid="{00000000-0005-0000-0000-0000B80D0000}"/>
    <cellStyle name="Percent 2 6 7" xfId="1936" xr:uid="{00000000-0005-0000-0000-0000B90D0000}"/>
    <cellStyle name="Percent 2 6 8" xfId="1937" xr:uid="{00000000-0005-0000-0000-0000BA0D0000}"/>
    <cellStyle name="Percent 2 7" xfId="1938" xr:uid="{00000000-0005-0000-0000-0000BB0D0000}"/>
    <cellStyle name="Percent 2 7 2" xfId="1939" xr:uid="{00000000-0005-0000-0000-0000BC0D0000}"/>
    <cellStyle name="Percent 2 7 3" xfId="1940" xr:uid="{00000000-0005-0000-0000-0000BD0D0000}"/>
    <cellStyle name="Percent 2 7 4" xfId="1941" xr:uid="{00000000-0005-0000-0000-0000BE0D0000}"/>
    <cellStyle name="Percent 2 7 5" xfId="1942" xr:uid="{00000000-0005-0000-0000-0000BF0D0000}"/>
    <cellStyle name="Percent 2 7 6" xfId="1943" xr:uid="{00000000-0005-0000-0000-0000C00D0000}"/>
    <cellStyle name="Percent 2 7 7" xfId="1944" xr:uid="{00000000-0005-0000-0000-0000C10D0000}"/>
    <cellStyle name="Percent 2 7 8" xfId="1945" xr:uid="{00000000-0005-0000-0000-0000C20D0000}"/>
    <cellStyle name="Percent 2 8" xfId="1946" xr:uid="{00000000-0005-0000-0000-0000C30D0000}"/>
    <cellStyle name="Percent 2 8 2" xfId="1947" xr:uid="{00000000-0005-0000-0000-0000C40D0000}"/>
    <cellStyle name="Percent 2 8 3" xfId="1948" xr:uid="{00000000-0005-0000-0000-0000C50D0000}"/>
    <cellStyle name="Percent 2 8 4" xfId="1949" xr:uid="{00000000-0005-0000-0000-0000C60D0000}"/>
    <cellStyle name="Percent 2 8 5" xfId="1950" xr:uid="{00000000-0005-0000-0000-0000C70D0000}"/>
    <cellStyle name="Percent 2 8 6" xfId="1951" xr:uid="{00000000-0005-0000-0000-0000C80D0000}"/>
    <cellStyle name="Percent 2 8 7" xfId="1952" xr:uid="{00000000-0005-0000-0000-0000C90D0000}"/>
    <cellStyle name="Percent 2 8 8" xfId="1953" xr:uid="{00000000-0005-0000-0000-0000CA0D0000}"/>
    <cellStyle name="Percent 2 9" xfId="1954" xr:uid="{00000000-0005-0000-0000-0000CB0D0000}"/>
    <cellStyle name="Percent 2 9 2" xfId="1955" xr:uid="{00000000-0005-0000-0000-0000CC0D0000}"/>
    <cellStyle name="Percent 2 9 3" xfId="1956" xr:uid="{00000000-0005-0000-0000-0000CD0D0000}"/>
    <cellStyle name="Percent 2 9 4" xfId="1957" xr:uid="{00000000-0005-0000-0000-0000CE0D0000}"/>
    <cellStyle name="Percent 2 9 5" xfId="1958" xr:uid="{00000000-0005-0000-0000-0000CF0D0000}"/>
    <cellStyle name="Percent 2 9 6" xfId="1959" xr:uid="{00000000-0005-0000-0000-0000D00D0000}"/>
    <cellStyle name="Percent 2 9 7" xfId="1960" xr:uid="{00000000-0005-0000-0000-0000D10D0000}"/>
    <cellStyle name="Percent 2 9 8" xfId="1961" xr:uid="{00000000-0005-0000-0000-0000D20D0000}"/>
    <cellStyle name="Percent 3" xfId="82" xr:uid="{00000000-0005-0000-0000-0000D30D0000}"/>
    <cellStyle name="Percent 3 2" xfId="1962" xr:uid="{00000000-0005-0000-0000-0000D40D0000}"/>
    <cellStyle name="Percent 3 2 2" xfId="1963" xr:uid="{00000000-0005-0000-0000-0000D50D0000}"/>
    <cellStyle name="Percent 3 2 2 2" xfId="1964" xr:uid="{00000000-0005-0000-0000-0000D60D0000}"/>
    <cellStyle name="Percent 3 2 2 3" xfId="1965" xr:uid="{00000000-0005-0000-0000-0000D70D0000}"/>
    <cellStyle name="Percent 3 2 3" xfId="1966" xr:uid="{00000000-0005-0000-0000-0000D80D0000}"/>
    <cellStyle name="Percent 3 3" xfId="1967" xr:uid="{00000000-0005-0000-0000-0000D90D0000}"/>
    <cellStyle name="Percent 3 4" xfId="1968" xr:uid="{00000000-0005-0000-0000-0000DA0D0000}"/>
    <cellStyle name="Percent 3 5" xfId="1969" xr:uid="{00000000-0005-0000-0000-0000DB0D0000}"/>
    <cellStyle name="Percent 3 6" xfId="1970" xr:uid="{00000000-0005-0000-0000-0000DC0D0000}"/>
    <cellStyle name="Percent 3 7" xfId="1971" xr:uid="{00000000-0005-0000-0000-0000DD0D0000}"/>
    <cellStyle name="Percent 3 8" xfId="1972" xr:uid="{00000000-0005-0000-0000-0000DE0D0000}"/>
    <cellStyle name="Percent 4" xfId="1973" xr:uid="{00000000-0005-0000-0000-0000DF0D0000}"/>
    <cellStyle name="Percent 4 10" xfId="1974" xr:uid="{00000000-0005-0000-0000-0000E00D0000}"/>
    <cellStyle name="Percent 4 11" xfId="1975" xr:uid="{00000000-0005-0000-0000-0000E10D0000}"/>
    <cellStyle name="Percent 4 12" xfId="1976" xr:uid="{00000000-0005-0000-0000-0000E20D0000}"/>
    <cellStyle name="Percent 4 13" xfId="1977" xr:uid="{00000000-0005-0000-0000-0000E30D0000}"/>
    <cellStyle name="Percent 4 14" xfId="1978" xr:uid="{00000000-0005-0000-0000-0000E40D0000}"/>
    <cellStyle name="Percent 4 14 2" xfId="1979" xr:uid="{00000000-0005-0000-0000-0000E50D0000}"/>
    <cellStyle name="Percent 4 15" xfId="1980" xr:uid="{00000000-0005-0000-0000-0000E60D0000}"/>
    <cellStyle name="Percent 4 16" xfId="1981" xr:uid="{00000000-0005-0000-0000-0000E70D0000}"/>
    <cellStyle name="Percent 4 16 2" xfId="1982" xr:uid="{00000000-0005-0000-0000-0000E80D0000}"/>
    <cellStyle name="Percent 4 16 3" xfId="1983" xr:uid="{00000000-0005-0000-0000-0000E90D0000}"/>
    <cellStyle name="Percent 4 16 3 2" xfId="1984" xr:uid="{00000000-0005-0000-0000-0000EA0D0000}"/>
    <cellStyle name="Percent 4 17" xfId="1985" xr:uid="{00000000-0005-0000-0000-0000EB0D0000}"/>
    <cellStyle name="Percent 4 2" xfId="1986" xr:uid="{00000000-0005-0000-0000-0000EC0D0000}"/>
    <cellStyle name="Percent 4 2 2" xfId="1987" xr:uid="{00000000-0005-0000-0000-0000ED0D0000}"/>
    <cellStyle name="Percent 4 2 3" xfId="1988" xr:uid="{00000000-0005-0000-0000-0000EE0D0000}"/>
    <cellStyle name="Percent 4 2 4" xfId="1989" xr:uid="{00000000-0005-0000-0000-0000EF0D0000}"/>
    <cellStyle name="Percent 4 2 5" xfId="1990" xr:uid="{00000000-0005-0000-0000-0000F00D0000}"/>
    <cellStyle name="Percent 4 2 6" xfId="1991" xr:uid="{00000000-0005-0000-0000-0000F10D0000}"/>
    <cellStyle name="Percent 4 2 7" xfId="1992" xr:uid="{00000000-0005-0000-0000-0000F20D0000}"/>
    <cellStyle name="Percent 4 2 8" xfId="1993" xr:uid="{00000000-0005-0000-0000-0000F30D0000}"/>
    <cellStyle name="Percent 4 2 9" xfId="1994" xr:uid="{00000000-0005-0000-0000-0000F40D0000}"/>
    <cellStyle name="Percent 4 3" xfId="1995" xr:uid="{00000000-0005-0000-0000-0000F50D0000}"/>
    <cellStyle name="Percent 4 3 2" xfId="1996" xr:uid="{00000000-0005-0000-0000-0000F60D0000}"/>
    <cellStyle name="Percent 4 3 3" xfId="1997" xr:uid="{00000000-0005-0000-0000-0000F70D0000}"/>
    <cellStyle name="Percent 4 3 4" xfId="1998" xr:uid="{00000000-0005-0000-0000-0000F80D0000}"/>
    <cellStyle name="Percent 4 3 5" xfId="1999" xr:uid="{00000000-0005-0000-0000-0000F90D0000}"/>
    <cellStyle name="Percent 4 3 6" xfId="2000" xr:uid="{00000000-0005-0000-0000-0000FA0D0000}"/>
    <cellStyle name="Percent 4 3 7" xfId="2001" xr:uid="{00000000-0005-0000-0000-0000FB0D0000}"/>
    <cellStyle name="Percent 4 3 8" xfId="2002" xr:uid="{00000000-0005-0000-0000-0000FC0D0000}"/>
    <cellStyle name="Percent 4 4" xfId="2003" xr:uid="{00000000-0005-0000-0000-0000FD0D0000}"/>
    <cellStyle name="Percent 4 4 2" xfId="2004" xr:uid="{00000000-0005-0000-0000-0000FE0D0000}"/>
    <cellStyle name="Percent 4 4 3" xfId="2005" xr:uid="{00000000-0005-0000-0000-0000FF0D0000}"/>
    <cellStyle name="Percent 4 4 4" xfId="2006" xr:uid="{00000000-0005-0000-0000-0000000E0000}"/>
    <cellStyle name="Percent 4 4 5" xfId="2007" xr:uid="{00000000-0005-0000-0000-0000010E0000}"/>
    <cellStyle name="Percent 4 4 6" xfId="2008" xr:uid="{00000000-0005-0000-0000-0000020E0000}"/>
    <cellStyle name="Percent 4 4 7" xfId="2009" xr:uid="{00000000-0005-0000-0000-0000030E0000}"/>
    <cellStyle name="Percent 4 4 8" xfId="2010" xr:uid="{00000000-0005-0000-0000-0000040E0000}"/>
    <cellStyle name="Percent 4 5" xfId="2011" xr:uid="{00000000-0005-0000-0000-0000050E0000}"/>
    <cellStyle name="Percent 4 5 2" xfId="2012" xr:uid="{00000000-0005-0000-0000-0000060E0000}"/>
    <cellStyle name="Percent 4 5 3" xfId="2013" xr:uid="{00000000-0005-0000-0000-0000070E0000}"/>
    <cellStyle name="Percent 4 5 4" xfId="2014" xr:uid="{00000000-0005-0000-0000-0000080E0000}"/>
    <cellStyle name="Percent 4 5 5" xfId="2015" xr:uid="{00000000-0005-0000-0000-0000090E0000}"/>
    <cellStyle name="Percent 4 5 6" xfId="2016" xr:uid="{00000000-0005-0000-0000-00000A0E0000}"/>
    <cellStyle name="Percent 4 5 7" xfId="2017" xr:uid="{00000000-0005-0000-0000-00000B0E0000}"/>
    <cellStyle name="Percent 4 5 8" xfId="2018" xr:uid="{00000000-0005-0000-0000-00000C0E0000}"/>
    <cellStyle name="Percent 4 6" xfId="2019" xr:uid="{00000000-0005-0000-0000-00000D0E0000}"/>
    <cellStyle name="Percent 4 6 2" xfId="2020" xr:uid="{00000000-0005-0000-0000-00000E0E0000}"/>
    <cellStyle name="Percent 4 6 3" xfId="2021" xr:uid="{00000000-0005-0000-0000-00000F0E0000}"/>
    <cellStyle name="Percent 4 6 4" xfId="2022" xr:uid="{00000000-0005-0000-0000-0000100E0000}"/>
    <cellStyle name="Percent 4 6 5" xfId="2023" xr:uid="{00000000-0005-0000-0000-0000110E0000}"/>
    <cellStyle name="Percent 4 6 6" xfId="2024" xr:uid="{00000000-0005-0000-0000-0000120E0000}"/>
    <cellStyle name="Percent 4 6 7" xfId="2025" xr:uid="{00000000-0005-0000-0000-0000130E0000}"/>
    <cellStyle name="Percent 4 6 8" xfId="2026" xr:uid="{00000000-0005-0000-0000-0000140E0000}"/>
    <cellStyle name="Percent 4 7" xfId="2027" xr:uid="{00000000-0005-0000-0000-0000150E0000}"/>
    <cellStyle name="Percent 4 8" xfId="2028" xr:uid="{00000000-0005-0000-0000-0000160E0000}"/>
    <cellStyle name="Percent 4 9" xfId="2029" xr:uid="{00000000-0005-0000-0000-0000170E0000}"/>
    <cellStyle name="Percent 5" xfId="2030" xr:uid="{00000000-0005-0000-0000-0000180E0000}"/>
    <cellStyle name="Percent 5 10" xfId="2031" xr:uid="{00000000-0005-0000-0000-0000190E0000}"/>
    <cellStyle name="Percent 5 11" xfId="2032" xr:uid="{00000000-0005-0000-0000-00001A0E0000}"/>
    <cellStyle name="Percent 5 2" xfId="2033" xr:uid="{00000000-0005-0000-0000-00001B0E0000}"/>
    <cellStyle name="Percent 5 3" xfId="2034" xr:uid="{00000000-0005-0000-0000-00001C0E0000}"/>
    <cellStyle name="Percent 5 4" xfId="2035" xr:uid="{00000000-0005-0000-0000-00001D0E0000}"/>
    <cellStyle name="Percent 5 5" xfId="2036" xr:uid="{00000000-0005-0000-0000-00001E0E0000}"/>
    <cellStyle name="Percent 5 6" xfId="2037" xr:uid="{00000000-0005-0000-0000-00001F0E0000}"/>
    <cellStyle name="Percent 5 7" xfId="2038" xr:uid="{00000000-0005-0000-0000-0000200E0000}"/>
    <cellStyle name="Percent 5 8" xfId="2039" xr:uid="{00000000-0005-0000-0000-0000210E0000}"/>
    <cellStyle name="Percent 5 9" xfId="2040" xr:uid="{00000000-0005-0000-0000-0000220E0000}"/>
    <cellStyle name="Percent 5 9 2" xfId="2041" xr:uid="{00000000-0005-0000-0000-0000230E0000}"/>
    <cellStyle name="Percent 5 9 3" xfId="2042" xr:uid="{00000000-0005-0000-0000-0000240E0000}"/>
    <cellStyle name="Percent 6" xfId="2043" xr:uid="{00000000-0005-0000-0000-0000250E0000}"/>
    <cellStyle name="Percent 6 2" xfId="2044" xr:uid="{00000000-0005-0000-0000-0000260E0000}"/>
    <cellStyle name="Percent 6 3" xfId="2045" xr:uid="{00000000-0005-0000-0000-0000270E0000}"/>
    <cellStyle name="Percent 6 4" xfId="2046" xr:uid="{00000000-0005-0000-0000-0000280E0000}"/>
    <cellStyle name="Percent 6 5" xfId="2047" xr:uid="{00000000-0005-0000-0000-0000290E0000}"/>
    <cellStyle name="Percent 6 6" xfId="2048" xr:uid="{00000000-0005-0000-0000-00002A0E0000}"/>
    <cellStyle name="Percent 6 7" xfId="2049" xr:uid="{00000000-0005-0000-0000-00002B0E0000}"/>
    <cellStyle name="Percent 6 8" xfId="2050" xr:uid="{00000000-0005-0000-0000-00002C0E0000}"/>
    <cellStyle name="Percent 7" xfId="2051" xr:uid="{00000000-0005-0000-0000-00002D0E0000}"/>
    <cellStyle name="Percent 7 2" xfId="2052" xr:uid="{00000000-0005-0000-0000-00002E0E0000}"/>
    <cellStyle name="Percent 7 3" xfId="2053" xr:uid="{00000000-0005-0000-0000-00002F0E0000}"/>
    <cellStyle name="Percent 7 4" xfId="2054" xr:uid="{00000000-0005-0000-0000-0000300E0000}"/>
    <cellStyle name="Percent 7 5" xfId="2055" xr:uid="{00000000-0005-0000-0000-0000310E0000}"/>
    <cellStyle name="Percent 7 6" xfId="2056" xr:uid="{00000000-0005-0000-0000-0000320E0000}"/>
    <cellStyle name="Percent 7 7" xfId="2057" xr:uid="{00000000-0005-0000-0000-0000330E0000}"/>
    <cellStyle name="Percent 7 8" xfId="2058" xr:uid="{00000000-0005-0000-0000-0000340E0000}"/>
    <cellStyle name="Percent 8" xfId="2059" xr:uid="{00000000-0005-0000-0000-0000350E0000}"/>
    <cellStyle name="Percent 8 2" xfId="2060" xr:uid="{00000000-0005-0000-0000-0000360E0000}"/>
    <cellStyle name="Percent 8 3" xfId="2061" xr:uid="{00000000-0005-0000-0000-0000370E0000}"/>
    <cellStyle name="Percent 8 4" xfId="2062" xr:uid="{00000000-0005-0000-0000-0000380E0000}"/>
    <cellStyle name="Percent 8 5" xfId="2063" xr:uid="{00000000-0005-0000-0000-0000390E0000}"/>
    <cellStyle name="Percent 8 6" xfId="2064" xr:uid="{00000000-0005-0000-0000-00003A0E0000}"/>
    <cellStyle name="Percent 8 7" xfId="2065" xr:uid="{00000000-0005-0000-0000-00003B0E0000}"/>
    <cellStyle name="Percent 8 8" xfId="2066" xr:uid="{00000000-0005-0000-0000-00003C0E0000}"/>
    <cellStyle name="Percent 9" xfId="2067" xr:uid="{00000000-0005-0000-0000-00003D0E0000}"/>
    <cellStyle name="Percent 9 2" xfId="2068" xr:uid="{00000000-0005-0000-0000-00003E0E0000}"/>
    <cellStyle name="Percent 9 3" xfId="2069" xr:uid="{00000000-0005-0000-0000-00003F0E0000}"/>
    <cellStyle name="Percent 9 4" xfId="2070" xr:uid="{00000000-0005-0000-0000-0000400E0000}"/>
    <cellStyle name="Percent 9 5" xfId="2071" xr:uid="{00000000-0005-0000-0000-0000410E0000}"/>
    <cellStyle name="Percent 9 6" xfId="2072" xr:uid="{00000000-0005-0000-0000-0000420E0000}"/>
    <cellStyle name="Percent 9 7" xfId="2073" xr:uid="{00000000-0005-0000-0000-0000430E0000}"/>
    <cellStyle name="Percent 9 8" xfId="2074" xr:uid="{00000000-0005-0000-0000-0000440E0000}"/>
    <cellStyle name="Pilkku_Layo9704" xfId="2075" xr:uid="{00000000-0005-0000-0000-0000450E0000}"/>
    <cellStyle name="Pyör. luku_Layo9704" xfId="2076" xr:uid="{00000000-0005-0000-0000-0000460E0000}"/>
    <cellStyle name="Pyör. valuutta_Layo9704" xfId="2077" xr:uid="{00000000-0005-0000-0000-0000470E0000}"/>
    <cellStyle name="Reference" xfId="83" xr:uid="{00000000-0005-0000-0000-0000480E0000}"/>
    <cellStyle name="Row heading" xfId="84" xr:uid="{00000000-0005-0000-0000-0000490E0000}"/>
    <cellStyle name="Source Hed" xfId="85" xr:uid="{00000000-0005-0000-0000-00004A0E0000}"/>
    <cellStyle name="Source Letter" xfId="86" xr:uid="{00000000-0005-0000-0000-00004B0E0000}"/>
    <cellStyle name="Source Superscript" xfId="87" xr:uid="{00000000-0005-0000-0000-00004C0E0000}"/>
    <cellStyle name="Source Text" xfId="88" xr:uid="{00000000-0005-0000-0000-00004D0E0000}"/>
    <cellStyle name="Standard_E00seit45" xfId="89" xr:uid="{00000000-0005-0000-0000-00004E0E0000}"/>
    <cellStyle name="State" xfId="90" xr:uid="{00000000-0005-0000-0000-00004F0E0000}"/>
    <cellStyle name="Style 21" xfId="2078" xr:uid="{00000000-0005-0000-0000-0000500E0000}"/>
    <cellStyle name="Style 21 2" xfId="2079" xr:uid="{00000000-0005-0000-0000-0000510E0000}"/>
    <cellStyle name="Style 21 2 2" xfId="2080" xr:uid="{00000000-0005-0000-0000-0000520E0000}"/>
    <cellStyle name="Style 21 3" xfId="2081" xr:uid="{00000000-0005-0000-0000-0000530E0000}"/>
    <cellStyle name="Style 22" xfId="2082" xr:uid="{00000000-0005-0000-0000-0000540E0000}"/>
    <cellStyle name="Style 23" xfId="2083" xr:uid="{00000000-0005-0000-0000-0000550E0000}"/>
    <cellStyle name="Style 24" xfId="2084" xr:uid="{00000000-0005-0000-0000-0000560E0000}"/>
    <cellStyle name="Style 25" xfId="2085" xr:uid="{00000000-0005-0000-0000-0000570E0000}"/>
    <cellStyle name="Style 25 2" xfId="2086" xr:uid="{00000000-0005-0000-0000-0000580E0000}"/>
    <cellStyle name="Style 25 2 2" xfId="2087" xr:uid="{00000000-0005-0000-0000-0000590E0000}"/>
    <cellStyle name="Style 25 3" xfId="2088" xr:uid="{00000000-0005-0000-0000-00005A0E0000}"/>
    <cellStyle name="Style 26" xfId="2089" xr:uid="{00000000-0005-0000-0000-00005B0E0000}"/>
    <cellStyle name="Superscript" xfId="91" xr:uid="{00000000-0005-0000-0000-00005C0E0000}"/>
    <cellStyle name="Table Data" xfId="92" xr:uid="{00000000-0005-0000-0000-00005D0E0000}"/>
    <cellStyle name="Table Head Top" xfId="93" xr:uid="{00000000-0005-0000-0000-00005E0E0000}"/>
    <cellStyle name="Table Hed Side" xfId="94" xr:uid="{00000000-0005-0000-0000-00005F0E0000}"/>
    <cellStyle name="Table Title" xfId="95" xr:uid="{00000000-0005-0000-0000-0000600E0000}"/>
    <cellStyle name="Title" xfId="2135" builtinId="15" customBuiltin="1"/>
    <cellStyle name="Title 2" xfId="2090" xr:uid="{00000000-0005-0000-0000-0000620E0000}"/>
    <cellStyle name="Title 2 10" xfId="2091" xr:uid="{00000000-0005-0000-0000-0000630E0000}"/>
    <cellStyle name="Title 2 2" xfId="2092" xr:uid="{00000000-0005-0000-0000-0000640E0000}"/>
    <cellStyle name="Title 2 3" xfId="2093" xr:uid="{00000000-0005-0000-0000-0000650E0000}"/>
    <cellStyle name="Title 2 4" xfId="2094" xr:uid="{00000000-0005-0000-0000-0000660E0000}"/>
    <cellStyle name="Title 2 5" xfId="2095" xr:uid="{00000000-0005-0000-0000-0000670E0000}"/>
    <cellStyle name="Title 2 6" xfId="2096" xr:uid="{00000000-0005-0000-0000-0000680E0000}"/>
    <cellStyle name="Title 2 7" xfId="2097" xr:uid="{00000000-0005-0000-0000-0000690E0000}"/>
    <cellStyle name="Title 2 8" xfId="2098" xr:uid="{00000000-0005-0000-0000-00006A0E0000}"/>
    <cellStyle name="Title 2 9" xfId="2099" xr:uid="{00000000-0005-0000-0000-00006B0E0000}"/>
    <cellStyle name="Title 3" xfId="2100" xr:uid="{00000000-0005-0000-0000-00006C0E0000}"/>
    <cellStyle name="Title Text" xfId="96" xr:uid="{00000000-0005-0000-0000-00006D0E0000}"/>
    <cellStyle name="Title Text 1" xfId="97" xr:uid="{00000000-0005-0000-0000-00006E0E0000}"/>
    <cellStyle name="Title Text 2" xfId="98" xr:uid="{00000000-0005-0000-0000-00006F0E0000}"/>
    <cellStyle name="Title-1" xfId="99" xr:uid="{00000000-0005-0000-0000-0000700E0000}"/>
    <cellStyle name="Title-2" xfId="100" xr:uid="{00000000-0005-0000-0000-0000710E0000}"/>
    <cellStyle name="Title-3" xfId="101" xr:uid="{00000000-0005-0000-0000-0000720E0000}"/>
    <cellStyle name="Titre ligne" xfId="102" xr:uid="{00000000-0005-0000-0000-0000730E0000}"/>
    <cellStyle name="Total" xfId="2150" builtinId="25" customBuiltin="1"/>
    <cellStyle name="Total 2" xfId="2101" xr:uid="{00000000-0005-0000-0000-0000750E0000}"/>
    <cellStyle name="Total 2 10" xfId="2102" xr:uid="{00000000-0005-0000-0000-0000760E0000}"/>
    <cellStyle name="Total 2 2" xfId="2103" xr:uid="{00000000-0005-0000-0000-0000770E0000}"/>
    <cellStyle name="Total 2 3" xfId="2104" xr:uid="{00000000-0005-0000-0000-0000780E0000}"/>
    <cellStyle name="Total 2 4" xfId="2105" xr:uid="{00000000-0005-0000-0000-0000790E0000}"/>
    <cellStyle name="Total 2 5" xfId="2106" xr:uid="{00000000-0005-0000-0000-00007A0E0000}"/>
    <cellStyle name="Total 2 6" xfId="2107" xr:uid="{00000000-0005-0000-0000-00007B0E0000}"/>
    <cellStyle name="Total 2 7" xfId="2108" xr:uid="{00000000-0005-0000-0000-00007C0E0000}"/>
    <cellStyle name="Total 2 8" xfId="2109" xr:uid="{00000000-0005-0000-0000-00007D0E0000}"/>
    <cellStyle name="Total 2 9" xfId="2110" xr:uid="{00000000-0005-0000-0000-00007E0E0000}"/>
    <cellStyle name="Total 2_PotsLow" xfId="2111" xr:uid="{00000000-0005-0000-0000-00007F0E0000}"/>
    <cellStyle name="Total 3" xfId="2112" xr:uid="{00000000-0005-0000-0000-0000800E0000}"/>
    <cellStyle name="Total intermediaire" xfId="103" xr:uid="{00000000-0005-0000-0000-0000810E0000}"/>
    <cellStyle name="Valuutta_Layo9704" xfId="2113" xr:uid="{00000000-0005-0000-0000-0000820E0000}"/>
    <cellStyle name="Warning Text" xfId="2148" builtinId="11" customBuiltin="1"/>
    <cellStyle name="Warning Text 2" xfId="2114" xr:uid="{00000000-0005-0000-0000-0000840E0000}"/>
    <cellStyle name="Warning Text 2 10" xfId="2115" xr:uid="{00000000-0005-0000-0000-0000850E0000}"/>
    <cellStyle name="Warning Text 2 2" xfId="2116" xr:uid="{00000000-0005-0000-0000-0000860E0000}"/>
    <cellStyle name="Warning Text 2 3" xfId="2117" xr:uid="{00000000-0005-0000-0000-0000870E0000}"/>
    <cellStyle name="Warning Text 2 4" xfId="2118" xr:uid="{00000000-0005-0000-0000-0000880E0000}"/>
    <cellStyle name="Warning Text 2 5" xfId="2119" xr:uid="{00000000-0005-0000-0000-0000890E0000}"/>
    <cellStyle name="Warning Text 2 6" xfId="2120" xr:uid="{00000000-0005-0000-0000-00008A0E0000}"/>
    <cellStyle name="Warning Text 2 7" xfId="2121" xr:uid="{00000000-0005-0000-0000-00008B0E0000}"/>
    <cellStyle name="Warning Text 2 8" xfId="2122" xr:uid="{00000000-0005-0000-0000-00008C0E0000}"/>
    <cellStyle name="Warning Text 2 9" xfId="2123" xr:uid="{00000000-0005-0000-0000-00008D0E0000}"/>
    <cellStyle name="Warning Text 3" xfId="2124" xr:uid="{00000000-0005-0000-0000-00008E0E0000}"/>
    <cellStyle name="Wrap" xfId="104" xr:uid="{00000000-0005-0000-0000-00008F0E0000}"/>
    <cellStyle name="Wrap Bold" xfId="105" xr:uid="{00000000-0005-0000-0000-0000900E0000}"/>
    <cellStyle name="Wrap Title" xfId="106" xr:uid="{00000000-0005-0000-0000-0000910E0000}"/>
    <cellStyle name="Wrap_NTS99-~11" xfId="107" xr:uid="{00000000-0005-0000-0000-0000920E0000}"/>
    <cellStyle name="Year" xfId="108" xr:uid="{00000000-0005-0000-0000-0000930E0000}"/>
    <cellStyle name="Κόμμα 2" xfId="109" xr:uid="{00000000-0005-0000-0000-0000940E0000}"/>
    <cellStyle name="Κόμμα 2 2" xfId="2197" xr:uid="{00000000-0005-0000-0000-0000950E0000}"/>
    <cellStyle name="Κόμμα 2 2 2" xfId="3242" xr:uid="{00000000-0005-0000-0000-0000960E0000}"/>
    <cellStyle name="Κόμμα 2 3" xfId="2730" xr:uid="{00000000-0005-0000-0000-0000970E0000}"/>
    <cellStyle name="Обычный_CRF2002 (1)" xfId="2125" xr:uid="{00000000-0005-0000-0000-0000980E0000}"/>
    <cellStyle name="已访问的超链接" xfId="2126" xr:uid="{00000000-0005-0000-0000-0000990E0000}"/>
  </cellStyles>
  <dxfs count="0"/>
  <tableStyles count="0" defaultTableStyle="TableStyleMedium2" defaultPivotStyle="PivotStyleLight16"/>
  <colors>
    <mruColors>
      <color rgb="FFFFCCFF"/>
      <color rgb="FFFF66FF"/>
      <color rgb="FFCCCC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15</xdr:row>
      <xdr:rowOff>45720</xdr:rowOff>
    </xdr:from>
    <xdr:to>
      <xdr:col>6</xdr:col>
      <xdr:colOff>586740</xdr:colOff>
      <xdr:row>42</xdr:row>
      <xdr:rowOff>153010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5240" y="2933700"/>
          <a:ext cx="5265420" cy="4633570"/>
        </a:xfrm>
        <a:prstGeom prst="rect">
          <a:avLst/>
        </a:prstGeom>
      </xdr:spPr>
    </xdr:pic>
    <xdr:clientData/>
  </xdr:twoCellAnchor>
  <xdr:twoCellAnchor editAs="oneCell">
    <xdr:from>
      <xdr:col>7</xdr:col>
      <xdr:colOff>480060</xdr:colOff>
      <xdr:row>38</xdr:row>
      <xdr:rowOff>76200</xdr:rowOff>
    </xdr:from>
    <xdr:to>
      <xdr:col>18</xdr:col>
      <xdr:colOff>604878</xdr:colOff>
      <xdr:row>74</xdr:row>
      <xdr:rowOff>3065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5783580" y="6819900"/>
          <a:ext cx="7295238" cy="59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Veda\Veda_models\JRCEU\SuppXLS\Scen_ZN_Scen1Tec.xlsx" TargetMode="External"/><Relationship Id="rId1" Type="http://schemas.openxmlformats.org/officeDocument/2006/relationships/externalLinkPath" Target="Scen_ZN_Scen1Te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oCrops"/>
      <sheetName val="PyCCs"/>
      <sheetName val="DACCS"/>
      <sheetName val="SoCS"/>
      <sheetName val="EnWe"/>
      <sheetName val="AREFOR"/>
      <sheetName val="STORE"/>
      <sheetName val="POLICY"/>
      <sheetName val="TECH"/>
      <sheetName val="BioCropsFI"/>
    </sheetNames>
    <sheetDataSet>
      <sheetData sheetId="0">
        <row r="1">
          <cell r="G1" t="str">
            <v>Tec</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9"/>
  <sheetViews>
    <sheetView tabSelected="1" workbookViewId="0">
      <selection activeCell="F11" sqref="F11"/>
    </sheetView>
  </sheetViews>
  <sheetFormatPr defaultColWidth="8.88671875" defaultRowHeight="10.199999999999999"/>
  <cols>
    <col min="1" max="1" width="8.88671875" style="44"/>
    <col min="2" max="2" width="19.6640625" style="44" customWidth="1"/>
    <col min="3" max="3" width="16.109375" style="44" customWidth="1"/>
    <col min="4" max="4" width="10.44140625" style="44" customWidth="1"/>
    <col min="5" max="5" width="11.6640625" style="44" customWidth="1"/>
    <col min="6" max="6" width="12.33203125" style="44" customWidth="1"/>
    <col min="7" max="7" width="8.6640625" style="44" customWidth="1"/>
    <col min="8" max="8" width="7.5546875" style="44" customWidth="1"/>
    <col min="9" max="10" width="11.6640625" style="44" customWidth="1"/>
    <col min="11" max="18" width="7.6640625" style="44" customWidth="1"/>
    <col min="19" max="19" width="6.6640625" style="44" customWidth="1"/>
    <col min="20" max="20" width="7.33203125" style="44" customWidth="1"/>
    <col min="21" max="41" width="7.6640625" style="44" customWidth="1"/>
    <col min="42" max="16384" width="8.88671875" style="44"/>
  </cols>
  <sheetData>
    <row r="1" spans="1:37" s="16" customFormat="1" ht="17.399999999999999">
      <c r="A1" s="15" t="s">
        <v>69</v>
      </c>
    </row>
    <row r="2" spans="1:37" ht="11.4">
      <c r="A2" s="17"/>
      <c r="B2" s="17"/>
      <c r="C2" s="17"/>
      <c r="D2" s="17"/>
      <c r="E2" s="17"/>
      <c r="F2" s="17"/>
      <c r="G2" s="17"/>
      <c r="H2" s="17"/>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row>
    <row r="3" spans="1:37" ht="12">
      <c r="A3" s="17"/>
      <c r="B3" s="13" t="s">
        <v>42</v>
      </c>
      <c r="C3" s="13"/>
      <c r="D3" s="14"/>
      <c r="E3" s="14"/>
      <c r="F3" s="14"/>
      <c r="G3" s="17"/>
      <c r="H3" s="17"/>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row>
    <row r="4" spans="1:37" ht="11.4">
      <c r="A4" s="17"/>
      <c r="B4" s="17"/>
      <c r="C4" s="17"/>
      <c r="D4" s="17"/>
      <c r="E4" s="17"/>
      <c r="F4" s="17"/>
      <c r="G4" s="17"/>
      <c r="H4" s="17"/>
      <c r="I4" s="54"/>
      <c r="J4" s="54"/>
      <c r="K4" s="54"/>
      <c r="L4" s="54"/>
      <c r="M4" s="54"/>
      <c r="N4" s="54"/>
      <c r="O4" s="54"/>
      <c r="P4" s="54"/>
      <c r="Q4" s="54"/>
      <c r="R4" s="54"/>
      <c r="S4" s="54"/>
      <c r="T4" s="54"/>
      <c r="U4" s="102"/>
      <c r="V4" s="54"/>
      <c r="W4" s="54"/>
      <c r="X4" s="54"/>
      <c r="Y4" s="54"/>
      <c r="Z4" s="54"/>
      <c r="AA4" s="54"/>
      <c r="AB4" s="54"/>
      <c r="AC4" s="54"/>
      <c r="AD4" s="54"/>
      <c r="AE4" s="54"/>
      <c r="AF4" s="54"/>
      <c r="AG4" s="54"/>
      <c r="AH4" s="54"/>
      <c r="AI4" s="54"/>
      <c r="AJ4" s="54"/>
      <c r="AK4" s="54"/>
    </row>
    <row r="5" spans="1:37" ht="12">
      <c r="A5" s="17"/>
      <c r="B5" s="17"/>
      <c r="C5" s="17"/>
      <c r="D5" s="45" t="s">
        <v>43</v>
      </c>
      <c r="E5" s="17"/>
      <c r="F5" s="17"/>
      <c r="G5" s="17"/>
      <c r="H5" s="17"/>
      <c r="I5" s="102"/>
      <c r="J5" s="102"/>
      <c r="K5" s="102"/>
      <c r="L5" s="102"/>
      <c r="M5" s="102"/>
      <c r="N5" s="102"/>
      <c r="O5" s="102"/>
      <c r="P5" s="54"/>
      <c r="Q5" s="102"/>
      <c r="R5" s="103"/>
      <c r="S5" s="102"/>
      <c r="T5" s="102"/>
      <c r="U5" s="54"/>
      <c r="V5" s="54"/>
      <c r="W5" s="54"/>
      <c r="X5" s="54"/>
      <c r="Y5" s="54"/>
      <c r="Z5" s="54"/>
      <c r="AA5" s="54"/>
      <c r="AB5" s="54"/>
      <c r="AC5" s="102"/>
      <c r="AD5" s="54"/>
      <c r="AE5" s="54"/>
      <c r="AF5" s="54"/>
      <c r="AG5" s="54"/>
      <c r="AH5" s="54"/>
      <c r="AI5" s="54"/>
      <c r="AJ5" s="54"/>
      <c r="AK5" s="54"/>
    </row>
    <row r="6" spans="1:37" ht="12">
      <c r="A6" s="17"/>
      <c r="B6" s="47" t="s">
        <v>36</v>
      </c>
      <c r="C6" s="47" t="s">
        <v>35</v>
      </c>
      <c r="D6" s="47" t="s">
        <v>1</v>
      </c>
      <c r="E6" s="47" t="s">
        <v>44</v>
      </c>
      <c r="F6" s="47" t="s">
        <v>45</v>
      </c>
      <c r="H6" s="17"/>
      <c r="I6" s="54"/>
      <c r="J6" s="54"/>
      <c r="K6" s="104"/>
      <c r="L6" s="104"/>
      <c r="M6" s="104"/>
      <c r="N6" s="104"/>
      <c r="O6" s="54"/>
      <c r="P6" s="105"/>
      <c r="Q6" s="104"/>
      <c r="R6" s="106"/>
      <c r="S6" s="104"/>
      <c r="T6" s="104"/>
      <c r="U6" s="104"/>
      <c r="V6" s="104"/>
      <c r="W6" s="104"/>
      <c r="X6" s="104"/>
      <c r="Y6" s="104"/>
      <c r="Z6" s="54"/>
      <c r="AA6" s="104"/>
      <c r="AB6" s="54"/>
      <c r="AC6" s="54"/>
      <c r="AD6" s="104"/>
      <c r="AE6" s="104"/>
      <c r="AF6" s="107"/>
      <c r="AG6" s="54"/>
      <c r="AH6" s="54"/>
      <c r="AI6" s="54"/>
      <c r="AJ6" s="54"/>
      <c r="AK6" s="54"/>
    </row>
    <row r="7" spans="1:37" ht="11.4">
      <c r="A7" s="17"/>
      <c r="B7" s="118" t="s">
        <v>70</v>
      </c>
      <c r="C7" s="46" t="s">
        <v>46</v>
      </c>
      <c r="D7" s="119">
        <v>2010</v>
      </c>
      <c r="E7" s="120">
        <v>1</v>
      </c>
      <c r="F7" s="48">
        <f>scenassumptions!I6</f>
        <v>3663881.114534359</v>
      </c>
      <c r="H7" s="17"/>
      <c r="I7" s="54"/>
      <c r="J7" s="54"/>
      <c r="K7" s="104"/>
      <c r="L7" s="104"/>
      <c r="M7" s="104"/>
      <c r="N7" s="104"/>
      <c r="O7" s="54"/>
      <c r="P7" s="105"/>
      <c r="Q7" s="104"/>
      <c r="R7" s="106"/>
      <c r="S7" s="104"/>
      <c r="T7" s="104"/>
      <c r="U7" s="104"/>
      <c r="V7" s="104"/>
      <c r="W7" s="104"/>
      <c r="X7" s="104"/>
      <c r="Y7" s="104"/>
      <c r="Z7" s="54"/>
      <c r="AA7" s="104"/>
      <c r="AB7" s="54"/>
      <c r="AC7" s="54"/>
      <c r="AD7" s="104"/>
      <c r="AE7" s="104"/>
      <c r="AF7" s="107"/>
      <c r="AG7" s="54"/>
      <c r="AH7" s="54"/>
      <c r="AI7" s="54"/>
      <c r="AJ7" s="54"/>
      <c r="AK7" s="54"/>
    </row>
    <row r="8" spans="1:37" ht="11.4">
      <c r="A8" s="17"/>
      <c r="B8" s="118"/>
      <c r="C8" s="46" t="s">
        <v>46</v>
      </c>
      <c r="D8" s="119">
        <v>2015</v>
      </c>
      <c r="E8" s="120"/>
      <c r="F8" s="48">
        <f>scenassumptions!I7</f>
        <v>3310547.6663923943</v>
      </c>
      <c r="H8" s="17"/>
      <c r="I8" s="54"/>
      <c r="J8" s="54"/>
      <c r="K8" s="104"/>
      <c r="L8" s="104"/>
      <c r="M8" s="104"/>
      <c r="N8" s="104"/>
      <c r="O8" s="54"/>
      <c r="P8" s="105"/>
      <c r="Q8" s="104"/>
      <c r="R8" s="106"/>
      <c r="S8" s="104"/>
      <c r="T8" s="104"/>
      <c r="U8" s="104"/>
      <c r="V8" s="104"/>
      <c r="W8" s="104"/>
      <c r="X8" s="104"/>
      <c r="Y8" s="104"/>
      <c r="Z8" s="54"/>
      <c r="AA8" s="104"/>
      <c r="AB8" s="54"/>
      <c r="AC8" s="54"/>
      <c r="AD8" s="104"/>
      <c r="AE8" s="104"/>
      <c r="AF8" s="107"/>
      <c r="AG8" s="54"/>
      <c r="AH8" s="54"/>
      <c r="AI8" s="54"/>
      <c r="AJ8" s="54"/>
      <c r="AK8" s="54"/>
    </row>
    <row r="9" spans="1:37" ht="11.4">
      <c r="A9" s="17"/>
      <c r="B9" s="118"/>
      <c r="C9" s="46" t="s">
        <v>46</v>
      </c>
      <c r="D9" s="119">
        <v>2020</v>
      </c>
      <c r="E9" s="120"/>
      <c r="F9" s="48">
        <f>scenassumptions!I8</f>
        <v>3156134.2173669399</v>
      </c>
      <c r="H9" s="17"/>
      <c r="I9" s="54"/>
      <c r="J9" s="54"/>
      <c r="K9" s="104"/>
      <c r="L9" s="104"/>
      <c r="M9" s="104"/>
      <c r="N9" s="104"/>
      <c r="O9" s="54"/>
      <c r="P9" s="105"/>
      <c r="Q9" s="104"/>
      <c r="R9" s="106"/>
      <c r="S9" s="104"/>
      <c r="T9" s="104"/>
      <c r="U9" s="104"/>
      <c r="V9" s="104"/>
      <c r="W9" s="104"/>
      <c r="X9" s="104"/>
      <c r="Y9" s="104"/>
      <c r="Z9" s="54"/>
      <c r="AA9" s="104"/>
      <c r="AB9" s="54"/>
      <c r="AC9" s="54"/>
      <c r="AD9" s="104"/>
      <c r="AE9" s="104"/>
      <c r="AF9" s="107"/>
      <c r="AG9" s="54"/>
      <c r="AH9" s="54"/>
      <c r="AI9" s="54"/>
      <c r="AJ9" s="54"/>
      <c r="AK9" s="54"/>
    </row>
    <row r="10" spans="1:37" ht="11.4">
      <c r="A10" s="17"/>
      <c r="B10" s="118"/>
      <c r="C10" s="46" t="s">
        <v>46</v>
      </c>
      <c r="D10" s="119">
        <v>2030</v>
      </c>
      <c r="E10" s="120"/>
      <c r="F10" s="48">
        <f>scenassumptions!I10</f>
        <v>1546975.7999999998</v>
      </c>
      <c r="H10" s="17"/>
      <c r="I10" s="54"/>
      <c r="J10" s="54"/>
      <c r="K10" s="104"/>
      <c r="L10" s="104"/>
      <c r="M10" s="104"/>
      <c r="N10" s="104"/>
      <c r="O10" s="54"/>
      <c r="P10" s="105"/>
      <c r="Q10" s="104"/>
      <c r="R10" s="106"/>
      <c r="S10" s="104"/>
      <c r="T10" s="104"/>
      <c r="U10" s="104"/>
      <c r="V10" s="104"/>
      <c r="W10" s="104"/>
      <c r="X10" s="104"/>
      <c r="Y10" s="104"/>
      <c r="Z10" s="54"/>
      <c r="AA10" s="104"/>
      <c r="AB10" s="54"/>
      <c r="AC10" s="54"/>
      <c r="AD10" s="104"/>
      <c r="AE10" s="104"/>
      <c r="AF10" s="107"/>
      <c r="AG10" s="54"/>
      <c r="AH10" s="54"/>
      <c r="AI10" s="54"/>
      <c r="AJ10" s="54"/>
      <c r="AK10" s="54"/>
    </row>
    <row r="11" spans="1:37" ht="11.4" customHeight="1">
      <c r="A11" s="17"/>
      <c r="B11" s="46"/>
      <c r="C11" s="46" t="s">
        <v>46</v>
      </c>
      <c r="D11" s="119">
        <v>2035</v>
      </c>
      <c r="E11" s="46"/>
      <c r="F11" s="48">
        <f>scenassumptions!I11</f>
        <v>945374.09999999963</v>
      </c>
      <c r="H11" s="19"/>
      <c r="I11" s="54"/>
      <c r="J11" s="54"/>
      <c r="K11" s="104"/>
      <c r="L11" s="104"/>
      <c r="M11" s="104"/>
      <c r="N11" s="104"/>
      <c r="O11" s="54"/>
      <c r="P11" s="105"/>
      <c r="Q11" s="54"/>
      <c r="R11" s="111"/>
      <c r="S11" s="111"/>
      <c r="T11" s="111"/>
      <c r="U11" s="108"/>
      <c r="V11" s="54"/>
      <c r="W11" s="108"/>
      <c r="X11" s="54"/>
      <c r="Y11" s="108"/>
      <c r="Z11" s="54"/>
      <c r="AA11" s="54"/>
      <c r="AB11" s="54"/>
      <c r="AC11" s="54"/>
      <c r="AD11" s="104"/>
      <c r="AE11" s="104"/>
      <c r="AF11" s="107"/>
      <c r="AG11" s="54"/>
      <c r="AH11" s="54"/>
      <c r="AI11" s="54"/>
      <c r="AJ11" s="54"/>
      <c r="AK11" s="54"/>
    </row>
    <row r="12" spans="1:37" ht="11.4">
      <c r="A12" s="17"/>
      <c r="B12" s="46"/>
      <c r="C12" s="46" t="s">
        <v>46</v>
      </c>
      <c r="D12" s="119">
        <v>2040</v>
      </c>
      <c r="E12" s="46"/>
      <c r="F12" s="48">
        <f>scenassumptions!I12</f>
        <v>343772.39999999991</v>
      </c>
      <c r="H12" s="17"/>
      <c r="I12" s="109"/>
      <c r="J12" s="54"/>
      <c r="K12" s="104"/>
      <c r="L12" s="104"/>
      <c r="M12" s="104"/>
      <c r="N12" s="104"/>
      <c r="O12" s="54"/>
      <c r="P12" s="105"/>
      <c r="Q12" s="54"/>
      <c r="R12" s="111"/>
      <c r="S12" s="111"/>
      <c r="T12" s="111"/>
      <c r="U12" s="108"/>
      <c r="V12" s="54"/>
      <c r="W12" s="108"/>
      <c r="X12" s="54"/>
      <c r="Y12" s="108"/>
      <c r="Z12" s="54"/>
      <c r="AA12" s="54"/>
      <c r="AB12" s="54"/>
      <c r="AC12" s="54"/>
      <c r="AD12" s="54"/>
      <c r="AE12" s="54"/>
      <c r="AF12" s="54"/>
      <c r="AG12" s="54"/>
      <c r="AH12" s="54"/>
      <c r="AI12" s="54"/>
      <c r="AJ12" s="54"/>
      <c r="AK12" s="54"/>
    </row>
    <row r="13" spans="1:37" ht="11.4">
      <c r="A13" s="17"/>
      <c r="B13" s="46"/>
      <c r="C13" s="46" t="s">
        <v>46</v>
      </c>
      <c r="D13" s="119">
        <v>2045</v>
      </c>
      <c r="E13" s="120"/>
      <c r="F13" s="48">
        <f>scenassumptions!I13</f>
        <v>171886.20000000019</v>
      </c>
      <c r="H13" s="17"/>
      <c r="I13" s="109"/>
      <c r="J13" s="54"/>
      <c r="K13" s="104"/>
      <c r="L13" s="104"/>
      <c r="M13" s="104"/>
      <c r="N13" s="104"/>
      <c r="O13" s="54"/>
      <c r="P13" s="105"/>
      <c r="Q13" s="54"/>
      <c r="R13" s="111"/>
      <c r="S13" s="111"/>
      <c r="T13" s="111"/>
      <c r="U13" s="108"/>
      <c r="V13" s="54"/>
      <c r="W13" s="108"/>
      <c r="X13" s="54"/>
      <c r="Y13" s="108"/>
      <c r="Z13" s="54"/>
      <c r="AA13" s="54"/>
      <c r="AB13" s="54"/>
      <c r="AC13" s="54"/>
      <c r="AD13" s="54"/>
      <c r="AE13" s="54"/>
      <c r="AF13" s="54"/>
      <c r="AG13" s="54"/>
      <c r="AH13" s="54"/>
      <c r="AI13" s="54"/>
      <c r="AJ13" s="54"/>
      <c r="AK13" s="54"/>
    </row>
    <row r="14" spans="1:37" ht="11.4">
      <c r="A14" s="17"/>
      <c r="B14" s="46"/>
      <c r="C14" s="46" t="s">
        <v>46</v>
      </c>
      <c r="D14" s="119">
        <v>2050</v>
      </c>
      <c r="E14" s="120"/>
      <c r="F14" s="48">
        <f>scenassumptions!I14</f>
        <v>0</v>
      </c>
      <c r="G14" s="17"/>
      <c r="H14" s="17"/>
      <c r="I14" s="109"/>
      <c r="J14" s="54"/>
      <c r="K14" s="104"/>
      <c r="L14" s="104"/>
      <c r="M14" s="104"/>
      <c r="N14" s="104"/>
      <c r="O14" s="54"/>
      <c r="P14" s="105"/>
      <c r="Q14" s="54"/>
      <c r="R14" s="111"/>
      <c r="S14" s="111"/>
      <c r="T14" s="111"/>
      <c r="U14" s="108"/>
      <c r="V14" s="54"/>
      <c r="W14" s="108"/>
      <c r="X14" s="54"/>
      <c r="Y14" s="108"/>
      <c r="Z14" s="54"/>
      <c r="AA14" s="54"/>
      <c r="AB14" s="54"/>
      <c r="AC14" s="54"/>
      <c r="AD14" s="54"/>
      <c r="AE14" s="54"/>
      <c r="AF14" s="54"/>
      <c r="AG14" s="54"/>
      <c r="AH14" s="54"/>
      <c r="AI14" s="54"/>
      <c r="AJ14" s="54"/>
      <c r="AK14" s="54"/>
    </row>
    <row r="15" spans="1:37" ht="11.4">
      <c r="A15" s="17"/>
      <c r="B15" s="46"/>
      <c r="C15" s="46" t="s">
        <v>46</v>
      </c>
      <c r="D15" s="119">
        <v>2060</v>
      </c>
      <c r="E15" s="120"/>
      <c r="F15" s="48">
        <f>-F12</f>
        <v>-343772.39999999991</v>
      </c>
      <c r="G15" s="17"/>
      <c r="H15" s="17"/>
      <c r="I15" s="109"/>
      <c r="J15" s="54"/>
      <c r="K15" s="104"/>
      <c r="L15" s="104"/>
      <c r="M15" s="104"/>
      <c r="N15" s="104"/>
      <c r="O15" s="54"/>
      <c r="P15" s="105"/>
      <c r="Q15" s="54"/>
      <c r="R15" s="111"/>
      <c r="S15" s="111"/>
      <c r="T15" s="111"/>
      <c r="U15" s="108"/>
      <c r="V15" s="54"/>
      <c r="W15" s="108"/>
      <c r="X15" s="54"/>
      <c r="Y15" s="108"/>
      <c r="Z15" s="54"/>
      <c r="AA15" s="54"/>
      <c r="AB15" s="54"/>
      <c r="AC15" s="54"/>
      <c r="AD15" s="54"/>
      <c r="AE15" s="54"/>
      <c r="AF15" s="54"/>
      <c r="AG15" s="54"/>
      <c r="AH15" s="54"/>
      <c r="AI15" s="54"/>
      <c r="AJ15" s="54"/>
      <c r="AK15" s="54"/>
    </row>
    <row r="16" spans="1:37" ht="11.4">
      <c r="A16" s="17"/>
      <c r="B16" s="46"/>
      <c r="C16" s="46" t="s">
        <v>46</v>
      </c>
      <c r="D16" s="119">
        <v>0</v>
      </c>
      <c r="E16" s="46"/>
      <c r="F16" s="46">
        <v>5</v>
      </c>
      <c r="G16" s="17"/>
      <c r="H16" s="17"/>
      <c r="I16" s="109" t="s">
        <v>191</v>
      </c>
      <c r="J16" s="54"/>
      <c r="K16" s="104"/>
      <c r="L16" s="104"/>
      <c r="M16" s="104"/>
      <c r="N16" s="104"/>
      <c r="O16" s="54"/>
      <c r="P16" s="105"/>
      <c r="Q16" s="54"/>
      <c r="R16" s="111"/>
      <c r="S16" s="111"/>
      <c r="T16" s="111"/>
      <c r="U16" s="110"/>
      <c r="V16" s="54"/>
      <c r="W16" s="108"/>
      <c r="X16" s="54"/>
      <c r="Y16" s="110"/>
      <c r="Z16" s="54"/>
      <c r="AA16" s="54"/>
      <c r="AB16" s="54"/>
      <c r="AC16" s="54"/>
      <c r="AD16" s="54"/>
      <c r="AE16" s="54"/>
      <c r="AF16" s="54"/>
      <c r="AG16" s="54"/>
      <c r="AH16" s="54"/>
      <c r="AI16" s="54"/>
      <c r="AJ16" s="54"/>
      <c r="AK16" s="54"/>
    </row>
    <row r="17" spans="1:45" ht="11.4">
      <c r="A17" s="17"/>
      <c r="B17" s="17"/>
      <c r="C17" s="17"/>
      <c r="D17" s="17"/>
      <c r="E17" s="17"/>
      <c r="F17" s="17"/>
      <c r="G17" s="17"/>
      <c r="H17" s="17"/>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row>
    <row r="18" spans="1:45" ht="11.4">
      <c r="A18" s="17"/>
      <c r="B18" s="17"/>
      <c r="C18" s="17"/>
      <c r="D18" s="17"/>
      <c r="E18" s="17"/>
      <c r="F18" s="17"/>
      <c r="G18" s="17"/>
      <c r="H18" s="17"/>
    </row>
    <row r="19" spans="1:45" ht="11.4">
      <c r="A19" s="17"/>
      <c r="B19" s="17"/>
      <c r="C19" s="17"/>
      <c r="D19" s="17"/>
      <c r="E19" s="17"/>
      <c r="F19" s="17"/>
      <c r="G19" s="17"/>
      <c r="H19" s="17"/>
    </row>
    <row r="20" spans="1:45" s="51" customFormat="1" ht="17.399999999999999" customHeight="1">
      <c r="A20" s="41" t="s">
        <v>131</v>
      </c>
      <c r="B20" s="40"/>
      <c r="C20" s="40"/>
      <c r="D20" s="40"/>
      <c r="E20" s="40"/>
      <c r="F20" s="40"/>
      <c r="G20" s="40"/>
      <c r="H20" s="40"/>
      <c r="K20" s="51" t="s">
        <v>136</v>
      </c>
      <c r="M20" s="51" t="s">
        <v>137</v>
      </c>
      <c r="N20" s="51">
        <f>1+0.01</f>
        <v>1.01</v>
      </c>
      <c r="O20" s="51" t="s">
        <v>138</v>
      </c>
      <c r="P20" s="51">
        <f>1-0.01</f>
        <v>0.99</v>
      </c>
    </row>
    <row r="21" spans="1:45" ht="11.4">
      <c r="A21" s="17"/>
      <c r="B21" s="17"/>
      <c r="C21" s="17"/>
      <c r="D21" s="17"/>
      <c r="E21" s="17"/>
      <c r="F21" s="17"/>
      <c r="G21" s="17"/>
      <c r="H21" s="17"/>
    </row>
    <row r="22" spans="1:45" ht="12">
      <c r="A22" s="17"/>
      <c r="B22" s="43" t="s">
        <v>123</v>
      </c>
      <c r="C22" s="38"/>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row>
    <row r="23" spans="1:45" ht="12">
      <c r="A23" s="17"/>
      <c r="B23" s="43" t="s">
        <v>124</v>
      </c>
      <c r="C23" s="38"/>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row>
    <row r="24" spans="1:45" ht="12">
      <c r="A24" s="17"/>
      <c r="B24" s="39"/>
      <c r="C24" s="39"/>
      <c r="D24" s="39"/>
      <c r="E24" s="39"/>
      <c r="F24" s="39"/>
      <c r="G24" s="39"/>
      <c r="H24" s="39"/>
      <c r="I24" s="42" t="s">
        <v>125</v>
      </c>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row>
    <row r="25" spans="1:45" ht="12">
      <c r="A25" s="17"/>
      <c r="B25" s="24" t="s">
        <v>36</v>
      </c>
      <c r="C25" s="25" t="s">
        <v>126</v>
      </c>
      <c r="D25" s="26" t="s">
        <v>127</v>
      </c>
      <c r="E25" s="26" t="s">
        <v>4</v>
      </c>
      <c r="F25" s="27" t="s">
        <v>35</v>
      </c>
      <c r="G25" s="27" t="s">
        <v>3</v>
      </c>
      <c r="H25" s="28" t="s">
        <v>1</v>
      </c>
      <c r="I25" s="29" t="s">
        <v>44</v>
      </c>
      <c r="J25" s="30" t="s">
        <v>128</v>
      </c>
      <c r="K25" s="31" t="s">
        <v>5</v>
      </c>
      <c r="L25" s="31" t="s">
        <v>6</v>
      </c>
      <c r="M25" s="31" t="s">
        <v>7</v>
      </c>
      <c r="N25" s="68" t="s">
        <v>8</v>
      </c>
      <c r="O25" s="31" t="s">
        <v>9</v>
      </c>
      <c r="P25" s="31" t="s">
        <v>10</v>
      </c>
      <c r="Q25" s="31" t="s">
        <v>11</v>
      </c>
      <c r="R25" s="31" t="s">
        <v>12</v>
      </c>
      <c r="S25" s="31" t="s">
        <v>13</v>
      </c>
      <c r="T25" s="31" t="s">
        <v>16</v>
      </c>
      <c r="U25" s="31" t="s">
        <v>14</v>
      </c>
      <c r="V25" s="31" t="s">
        <v>0</v>
      </c>
      <c r="W25" s="31" t="s">
        <v>15</v>
      </c>
      <c r="X25" s="31" t="s">
        <v>17</v>
      </c>
      <c r="Y25" s="31" t="s">
        <v>18</v>
      </c>
      <c r="Z25" s="31" t="s">
        <v>19</v>
      </c>
      <c r="AA25" s="31" t="s">
        <v>20</v>
      </c>
      <c r="AB25" s="31" t="s">
        <v>21</v>
      </c>
      <c r="AC25" s="31" t="s">
        <v>22</v>
      </c>
      <c r="AD25" s="31" t="s">
        <v>23</v>
      </c>
      <c r="AE25" s="31" t="s">
        <v>24</v>
      </c>
      <c r="AF25" s="31" t="s">
        <v>82</v>
      </c>
      <c r="AG25" s="31" t="s">
        <v>25</v>
      </c>
      <c r="AH25" s="31" t="s">
        <v>26</v>
      </c>
      <c r="AI25" s="31" t="s">
        <v>27</v>
      </c>
      <c r="AJ25" s="31" t="s">
        <v>28</v>
      </c>
      <c r="AK25" s="31" t="s">
        <v>29</v>
      </c>
      <c r="AL25" s="31" t="s">
        <v>30</v>
      </c>
      <c r="AM25" s="31" t="s">
        <v>31</v>
      </c>
      <c r="AN25" s="31" t="s">
        <v>32</v>
      </c>
      <c r="AO25" s="31" t="s">
        <v>33</v>
      </c>
      <c r="AQ25" s="44" t="s">
        <v>71</v>
      </c>
      <c r="AR25" s="44" t="s">
        <v>139</v>
      </c>
    </row>
    <row r="26" spans="1:45" ht="12">
      <c r="A26" s="17"/>
      <c r="B26" s="32" t="s">
        <v>129</v>
      </c>
      <c r="C26" s="33" t="s">
        <v>130</v>
      </c>
      <c r="D26" s="34"/>
      <c r="E26" s="35"/>
      <c r="F26" s="34" t="s">
        <v>46</v>
      </c>
      <c r="G26" s="34"/>
      <c r="H26" s="36">
        <v>2010</v>
      </c>
      <c r="I26" s="36">
        <v>1</v>
      </c>
      <c r="J26" s="36">
        <v>5</v>
      </c>
      <c r="K26" s="37">
        <f>SUMIFS(historicalGHG!E:E,historicalGHG!$C:$C,POLICY!$H26,historicalGHG!$D:$D,"co2",historicalGHG!$B:$B,"modelled sectors")*$N$20</f>
        <v>74572.631020601591</v>
      </c>
      <c r="L26" s="37">
        <f>SUMIFS(historicalGHG!F:F,historicalGHG!$C:$C,POLICY!$H26,historicalGHG!$D:$D,"co2",historicalGHG!$B:$B,"modelled sectors")*$N$20</f>
        <v>144102.01727704538</v>
      </c>
      <c r="M26" s="37">
        <f>SUMIFS(historicalGHG!G:G,historicalGHG!$C:$C,POLICY!$H26,historicalGHG!$D:$D,"co2",historicalGHG!$B:$B,"modelled sectors")*$N$20</f>
        <v>48667.750908805865</v>
      </c>
      <c r="N26" s="37">
        <f>SUMIFS(historicalGHG!H:H,historicalGHG!$C:$C,POLICY!$H26,historicalGHG!$D:$D,"co2",historicalGHG!$B:$B,"modelled sectors")*$N$20</f>
        <v>49705.29587942081</v>
      </c>
      <c r="O26" s="37">
        <f>SUMIFS(historicalGHG!I:I,historicalGHG!$C:$C,POLICY!$H26,historicalGHG!$D:$D,"co2",historicalGHG!$B:$B,"modelled sectors")*$N$20</f>
        <v>9611.5697215898836</v>
      </c>
      <c r="P26" s="37">
        <f>SUMIFS(historicalGHG!J:J,historicalGHG!$C:$C,POLICY!$H26,historicalGHG!$D:$D,"co2",historicalGHG!$B:$B,"modelled sectors")*$N$20</f>
        <v>119018.55275877613</v>
      </c>
      <c r="Q26" s="37">
        <f>SUMIFS(historicalGHG!K:K,historicalGHG!$C:$C,POLICY!$H26,historicalGHG!$D:$D,"co2",historicalGHG!$B:$B,"modelled sectors")*$N$20</f>
        <v>867189.26970162336</v>
      </c>
      <c r="R26" s="37">
        <f>SUMIFS(historicalGHG!L:L,historicalGHG!$C:$C,POLICY!$H26,historicalGHG!$D:$D,"co2",historicalGHG!$B:$B,"modelled sectors")*$N$20</f>
        <v>55369.075302348989</v>
      </c>
      <c r="S26" s="37">
        <f>SUMIFS(historicalGHG!M:M,historicalGHG!$C:$C,POLICY!$H26,historicalGHG!$D:$D,"co2",historicalGHG!$B:$B,"modelled sectors")*$N$20</f>
        <v>19959.823878258518</v>
      </c>
      <c r="T26" s="37">
        <f>SUMIFS(historicalGHG!N:N,historicalGHG!$C:$C,POLICY!$H26,historicalGHG!$D:$D,"co2",historicalGHG!$B:$B,"modelled sectors")*$N$20</f>
        <v>109771.34375539821</v>
      </c>
      <c r="U26" s="37">
        <f>SUMIFS(historicalGHG!O:O,historicalGHG!$C:$C,POLICY!$H26,historicalGHG!$D:$D,"co2",historicalGHG!$B:$B,"modelled sectors")*$N$20</f>
        <v>323293.66557502095</v>
      </c>
      <c r="V26" s="37">
        <f>SUMIFS(historicalGHG!P:P,historicalGHG!$C:$C,POLICY!$H26,historicalGHG!$D:$D,"co2",historicalGHG!$B:$B,"modelled sectors")*$N$20</f>
        <v>66674.422763373252</v>
      </c>
      <c r="W26" s="37">
        <f>SUMIFS(historicalGHG!Q:Q,historicalGHG!$C:$C,POLICY!$H26,historicalGHG!$D:$D,"co2",historicalGHG!$B:$B,"modelled sectors")*$N$20</f>
        <v>411220.68768932705</v>
      </c>
      <c r="X26" s="37">
        <f>SUMIFS(historicalGHG!R:R,historicalGHG!$C:$C,POLICY!$H26,historicalGHG!$D:$D,"co2",historicalGHG!$B:$B,"modelled sectors")*$N$20</f>
        <v>20910.68753009486</v>
      </c>
      <c r="Y26" s="37">
        <f>SUMIFS(historicalGHG!S:S,historicalGHG!$C:$C,POLICY!$H26,historicalGHG!$D:$D,"co2",historicalGHG!$B:$B,"modelled sectors")*$N$20</f>
        <v>52928.300477975557</v>
      </c>
      <c r="Z26" s="37">
        <f>SUMIFS(historicalGHG!T:T,historicalGHG!$C:$C,POLICY!$H26,historicalGHG!$D:$D,"co2",historicalGHG!$B:$B,"modelled sectors")*$N$20</f>
        <v>44341.698031447952</v>
      </c>
      <c r="AA26" s="37">
        <f>SUMIFS(historicalGHG!U:U,historicalGHG!$C:$C,POLICY!$H26,historicalGHG!$D:$D,"co2",historicalGHG!$B:$B,"modelled sectors")*$N$20</f>
        <v>3842.6596802651093</v>
      </c>
      <c r="AB26" s="37">
        <f>SUMIFS(historicalGHG!V:V,historicalGHG!$C:$C,POLICY!$H26,historicalGHG!$D:$D,"co2",historicalGHG!$B:$B,"modelled sectors")*$N$20</f>
        <v>455048.10352091282</v>
      </c>
      <c r="AC26" s="37">
        <f>SUMIFS(historicalGHG!W:W,historicalGHG!$C:$C,POLICY!$H26,historicalGHG!$D:$D,"co2",historicalGHG!$B:$B,"modelled sectors")*$N$20</f>
        <v>14237.181453601415</v>
      </c>
      <c r="AD26" s="37">
        <f>SUMIFS(historicalGHG!X:X,historicalGHG!$C:$C,POLICY!$H26,historicalGHG!$D:$D,"co2",historicalGHG!$B:$B,"modelled sectors")*$N$20</f>
        <v>12605.07064456021</v>
      </c>
      <c r="AE26" s="37">
        <f>SUMIFS(historicalGHG!Y:Y,historicalGHG!$C:$C,POLICY!$H26,historicalGHG!$D:$D,"co2",historicalGHG!$B:$B,"modelled sectors")*$N$20</f>
        <v>9809.2206760296431</v>
      </c>
      <c r="AF26" s="37">
        <f>SUMIFS(historicalGHG!Z:Z,historicalGHG!$C:$C,POLICY!$H26,historicalGHG!$D:$D,"co2",historicalGHG!$B:$B,"modelled sectors")*$N$20</f>
        <v>7630.4962758418224</v>
      </c>
      <c r="AG26" s="37">
        <f>SUMIFS(historicalGHG!AA:AA,historicalGHG!$C:$C,POLICY!$H26,historicalGHG!$D:$D,"co2",historicalGHG!$B:$B,"modelled sectors")*$N$20</f>
        <v>238279.39135468483</v>
      </c>
      <c r="AH26" s="37">
        <f>SUMIFS(historicalGHG!AB:AB,historicalGHG!$C:$C,POLICY!$H26,historicalGHG!$D:$D,"co2",historicalGHG!$B:$B,"modelled sectors")*$N$20</f>
        <v>45889.076342599488</v>
      </c>
      <c r="AI26" s="37">
        <f>SUMIFS(historicalGHG!AC:AC,historicalGHG!$C:$C,POLICY!$H26,historicalGHG!$D:$D,"co2",historicalGHG!$B:$B,"modelled sectors")*$N$20</f>
        <v>334862.66950007831</v>
      </c>
      <c r="AJ26" s="37">
        <f>SUMIFS(historicalGHG!AD:AD,historicalGHG!$C:$C,POLICY!$H26,historicalGHG!$D:$D,"co2",historicalGHG!$B:$B,"modelled sectors")*$N$20</f>
        <v>57142.250975660252</v>
      </c>
      <c r="AK26" s="37">
        <f>SUMIFS(historicalGHG!AE:AE,historicalGHG!$C:$C,POLICY!$H26,historicalGHG!$D:$D,"co2",historicalGHG!$B:$B,"modelled sectors")*$N$20</f>
        <v>86221.441022041399</v>
      </c>
      <c r="AL26" s="37">
        <f>SUMIFS(historicalGHG!AF:AF,historicalGHG!$C:$C,POLICY!$H26,historicalGHG!$D:$D,"co2",historicalGHG!$B:$B,"modelled sectors")*$N$20</f>
        <v>61613.074256346554</v>
      </c>
      <c r="AM26" s="37">
        <f>SUMIFS(historicalGHG!AG:AG,historicalGHG!$C:$C,POLICY!$H26,historicalGHG!$D:$D,"co2",historicalGHG!$B:$B,"modelled sectors")*$N$20</f>
        <v>16546.505431821679</v>
      </c>
      <c r="AN26" s="37">
        <f>SUMIFS(historicalGHG!AH:AH,historicalGHG!$C:$C,POLICY!$H26,historicalGHG!$D:$D,"co2",historicalGHG!$B:$B,"modelled sectors")*$N$20</f>
        <v>38893.024176436447</v>
      </c>
      <c r="AO26" s="37">
        <v>444289.03166109102</v>
      </c>
      <c r="AQ26" s="50">
        <f>AR26-AO26-AH26-AA26-N26</f>
        <v>3700519.9256797018</v>
      </c>
      <c r="AR26" s="50">
        <f>SUM(K26:AO26)</f>
        <v>4244245.989243078</v>
      </c>
    </row>
    <row r="27" spans="1:45" ht="12">
      <c r="A27" s="17"/>
      <c r="B27" s="32"/>
      <c r="C27" s="33"/>
      <c r="D27" s="34"/>
      <c r="E27" s="35"/>
      <c r="F27" s="34" t="s">
        <v>46</v>
      </c>
      <c r="G27" s="34"/>
      <c r="H27" s="36">
        <v>2015</v>
      </c>
      <c r="I27" s="36"/>
      <c r="J27" s="36"/>
      <c r="K27" s="37">
        <f>SUMIFS(historicalGHG!E:E,historicalGHG!$C:$C,POLICY!$H27,historicalGHG!$D:$D,"co2",historicalGHG!$B:$B,"modelled sectors")*$N$20</f>
        <v>68913.616610320649</v>
      </c>
      <c r="L27" s="37">
        <f>SUMIFS(historicalGHG!F:F,historicalGHG!$C:$C,POLICY!$H27,historicalGHG!$D:$D,"co2",historicalGHG!$B:$B,"modelled sectors")*$N$20</f>
        <v>125053.26474499708</v>
      </c>
      <c r="M27" s="37">
        <f>SUMIFS(historicalGHG!G:G,historicalGHG!$C:$C,POLICY!$H27,historicalGHG!$D:$D,"co2",historicalGHG!$B:$B,"modelled sectors")*$N$20</f>
        <v>48736.613684367803</v>
      </c>
      <c r="N27" s="37">
        <f>SUMIFS(historicalGHG!H:H,historicalGHG!$C:$C,POLICY!$H27,historicalGHG!$D:$D,"co2",historicalGHG!$B:$B,"modelled sectors")*$N$20</f>
        <v>43991.83794799303</v>
      </c>
      <c r="O27" s="37">
        <f>SUMIFS(historicalGHG!I:I,historicalGHG!$C:$C,POLICY!$H27,historicalGHG!$D:$D,"co2",historicalGHG!$B:$B,"modelled sectors")*$N$20</f>
        <v>8574.3881287029762</v>
      </c>
      <c r="P27" s="37">
        <f>SUMIFS(historicalGHG!J:J,historicalGHG!$C:$C,POLICY!$H27,historicalGHG!$D:$D,"co2",historicalGHG!$B:$B,"modelled sectors")*$N$20</f>
        <v>106239.18587738284</v>
      </c>
      <c r="Q27" s="37">
        <f>SUMIFS(historicalGHG!K:K,historicalGHG!$C:$C,POLICY!$H27,historicalGHG!$D:$D,"co2",historicalGHG!$B:$B,"modelled sectors")*$N$20</f>
        <v>832448.3005522656</v>
      </c>
      <c r="R27" s="37">
        <f>SUMIFS(historicalGHG!L:L,historicalGHG!$C:$C,POLICY!$H27,historicalGHG!$D:$D,"co2",historicalGHG!$B:$B,"modelled sectors")*$N$20</f>
        <v>41345.274037983727</v>
      </c>
      <c r="S27" s="37">
        <f>SUMIFS(historicalGHG!M:M,historicalGHG!$C:$C,POLICY!$H27,historicalGHG!$D:$D,"co2",historicalGHG!$B:$B,"modelled sectors")*$N$20</f>
        <v>17040.815834852525</v>
      </c>
      <c r="T27" s="37">
        <f>SUMIFS(historicalGHG!N:N,historicalGHG!$C:$C,POLICY!$H27,historicalGHG!$D:$D,"co2",historicalGHG!$B:$B,"modelled sectors")*$N$20</f>
        <v>84387.924557529084</v>
      </c>
      <c r="U27" s="37">
        <f>SUMIFS(historicalGHG!O:O,historicalGHG!$C:$C,POLICY!$H27,historicalGHG!$D:$D,"co2",historicalGHG!$B:$B,"modelled sectors")*$N$20</f>
        <v>308395.61019305454</v>
      </c>
      <c r="V27" s="37">
        <f>SUMIFS(historicalGHG!P:P,historicalGHG!$C:$C,POLICY!$H27,historicalGHG!$D:$D,"co2",historicalGHG!$B:$B,"modelled sectors")*$N$20</f>
        <v>47259.982389125107</v>
      </c>
      <c r="W27" s="37">
        <f>SUMIFS(historicalGHG!Q:Q,historicalGHG!$C:$C,POLICY!$H27,historicalGHG!$D:$D,"co2",historicalGHG!$B:$B,"modelled sectors")*$N$20</f>
        <v>367178.18505343952</v>
      </c>
      <c r="X27" s="37">
        <f>SUMIFS(historicalGHG!R:R,historicalGHG!$C:$C,POLICY!$H27,historicalGHG!$D:$D,"co2",historicalGHG!$B:$B,"modelled sectors")*$N$20</f>
        <v>18049.541917148552</v>
      </c>
      <c r="Y27" s="37">
        <f>SUMIFS(historicalGHG!S:S,historicalGHG!$C:$C,POLICY!$H27,historicalGHG!$D:$D,"co2",historicalGHG!$B:$B,"modelled sectors")*$N$20</f>
        <v>47376.132328507541</v>
      </c>
      <c r="Z27" s="37">
        <f>SUMIFS(historicalGHG!T:T,historicalGHG!$C:$C,POLICY!$H27,historicalGHG!$D:$D,"co2",historicalGHG!$B:$B,"modelled sectors")*$N$20</f>
        <v>41586.249055865184</v>
      </c>
      <c r="AA27" s="37">
        <f>SUMIFS(historicalGHG!U:U,historicalGHG!$C:$C,POLICY!$H27,historicalGHG!$D:$D,"co2",historicalGHG!$B:$B,"modelled sectors")*$N$20</f>
        <v>4231.8679208600834</v>
      </c>
      <c r="AB27" s="37">
        <f>SUMIFS(historicalGHG!V:V,historicalGHG!$C:$C,POLICY!$H27,historicalGHG!$D:$D,"co2",historicalGHG!$B:$B,"modelled sectors")*$N$20</f>
        <v>377068.89575683302</v>
      </c>
      <c r="AC27" s="37">
        <f>SUMIFS(historicalGHG!W:W,historicalGHG!$C:$C,POLICY!$H27,historicalGHG!$D:$D,"co2",historicalGHG!$B:$B,"modelled sectors")*$N$20</f>
        <v>13399.478790060784</v>
      </c>
      <c r="AD27" s="37">
        <f>SUMIFS(historicalGHG!X:X,historicalGHG!$C:$C,POLICY!$H27,historicalGHG!$D:$D,"co2",historicalGHG!$B:$B,"modelled sectors")*$N$20</f>
        <v>10817.003705136409</v>
      </c>
      <c r="AE27" s="37">
        <f>SUMIFS(historicalGHG!Y:Y,historicalGHG!$C:$C,POLICY!$H27,historicalGHG!$D:$D,"co2",historicalGHG!$B:$B,"modelled sectors")*$N$20</f>
        <v>8459.7028518440547</v>
      </c>
      <c r="AF27" s="37">
        <f>SUMIFS(historicalGHG!Z:Z,historicalGHG!$C:$C,POLICY!$H27,historicalGHG!$D:$D,"co2",historicalGHG!$B:$B,"modelled sectors")*$N$20</f>
        <v>7034.9903081691837</v>
      </c>
      <c r="AG27" s="37">
        <f>SUMIFS(historicalGHG!AA:AA,historicalGHG!$C:$C,POLICY!$H27,historicalGHG!$D:$D,"co2",historicalGHG!$B:$B,"modelled sectors")*$N$20</f>
        <v>217027.59527332109</v>
      </c>
      <c r="AH27" s="37">
        <f>SUMIFS(historicalGHG!AB:AB,historicalGHG!$C:$C,POLICY!$H27,historicalGHG!$D:$D,"co2",historicalGHG!$B:$B,"modelled sectors")*$N$20</f>
        <v>45557.413815999906</v>
      </c>
      <c r="AI27" s="37">
        <f>SUMIFS(historicalGHG!AC:AC,historicalGHG!$C:$C,POLICY!$H27,historicalGHG!$D:$D,"co2",historicalGHG!$B:$B,"modelled sectors")*$N$20</f>
        <v>312229.76444512134</v>
      </c>
      <c r="AJ27" s="37">
        <f>SUMIFS(historicalGHG!AD:AD,historicalGHG!$C:$C,POLICY!$H27,historicalGHG!$D:$D,"co2",historicalGHG!$B:$B,"modelled sectors")*$N$20</f>
        <v>56701.257342864315</v>
      </c>
      <c r="AK27" s="37">
        <f>SUMIFS(historicalGHG!AE:AE,historicalGHG!$C:$C,POLICY!$H27,historicalGHG!$D:$D,"co2",historicalGHG!$B:$B,"modelled sectors")*$N$20</f>
        <v>78783.820729683473</v>
      </c>
      <c r="AL27" s="37">
        <f>SUMIFS(historicalGHG!AF:AF,historicalGHG!$C:$C,POLICY!$H27,historicalGHG!$D:$D,"co2",historicalGHG!$B:$B,"modelled sectors")*$N$20</f>
        <v>50765.899341202479</v>
      </c>
      <c r="AM27" s="37">
        <f>SUMIFS(historicalGHG!AG:AG,historicalGHG!$C:$C,POLICY!$H27,historicalGHG!$D:$D,"co2",historicalGHG!$B:$B,"modelled sectors")*$N$20</f>
        <v>13895.226891028469</v>
      </c>
      <c r="AN27" s="37">
        <f>SUMIFS(historicalGHG!AH:AH,historicalGHG!$C:$C,POLICY!$H27,historicalGHG!$D:$D,"co2",historicalGHG!$B:$B,"modelled sectors")*$N$20</f>
        <v>34884.422655511495</v>
      </c>
      <c r="AO27" s="37">
        <v>412800</v>
      </c>
      <c r="AQ27" s="50">
        <f>AR27-AO27-AH27-AA27-N27</f>
        <v>3343653.1430563186</v>
      </c>
      <c r="AR27" s="50">
        <f>SUM(K27:AO27)</f>
        <v>3850234.2627411718</v>
      </c>
    </row>
    <row r="28" spans="1:45" ht="12">
      <c r="A28" s="17"/>
      <c r="B28" s="32"/>
      <c r="C28" s="33"/>
      <c r="D28" s="34"/>
      <c r="E28" s="35"/>
      <c r="F28" s="34" t="s">
        <v>46</v>
      </c>
      <c r="G28" s="34"/>
      <c r="H28" s="36">
        <v>2020</v>
      </c>
      <c r="I28" s="36"/>
      <c r="J28" s="36"/>
      <c r="K28" s="37">
        <f>K29</f>
        <v>67743.074809022408</v>
      </c>
      <c r="L28" s="37">
        <f t="shared" ref="L28:AN28" si="0">L29</f>
        <v>126448.12607778348</v>
      </c>
      <c r="M28" s="37">
        <f t="shared" si="0"/>
        <v>42834.273331143333</v>
      </c>
      <c r="N28" s="37">
        <f t="shared" si="0"/>
        <v>38415.290551664519</v>
      </c>
      <c r="O28" s="37">
        <f t="shared" si="0"/>
        <v>8468.2585931265712</v>
      </c>
      <c r="P28" s="37">
        <f t="shared" si="0"/>
        <v>97531.647706729753</v>
      </c>
      <c r="Q28" s="37">
        <f t="shared" si="0"/>
        <v>703238.2561162723</v>
      </c>
      <c r="R28" s="37">
        <f t="shared" si="0"/>
        <v>33939.9411116677</v>
      </c>
      <c r="S28" s="37">
        <f t="shared" si="0"/>
        <v>11575.550462243362</v>
      </c>
      <c r="T28" s="37">
        <f t="shared" si="0"/>
        <v>66611.915087415182</v>
      </c>
      <c r="U28" s="37">
        <f t="shared" si="0"/>
        <v>260705.5158458642</v>
      </c>
      <c r="V28" s="37">
        <f t="shared" si="0"/>
        <v>39773.151944435071</v>
      </c>
      <c r="W28" s="37">
        <f t="shared" si="0"/>
        <v>330940.15615347435</v>
      </c>
      <c r="X28" s="37">
        <f t="shared" si="0"/>
        <v>17570.584558901199</v>
      </c>
      <c r="Y28" s="37">
        <f t="shared" si="0"/>
        <v>49024.652154282856</v>
      </c>
      <c r="Z28" s="37">
        <f t="shared" si="0"/>
        <v>38976.555949787449</v>
      </c>
      <c r="AA28" s="37">
        <f t="shared" si="0"/>
        <v>3891.7838942956978</v>
      </c>
      <c r="AB28" s="37">
        <f t="shared" si="0"/>
        <v>348916.29216081044</v>
      </c>
      <c r="AC28" s="37">
        <f t="shared" si="0"/>
        <v>14415.784805110759</v>
      </c>
      <c r="AD28" s="37">
        <f t="shared" si="0"/>
        <v>10385.850378590421</v>
      </c>
      <c r="AE28" s="37">
        <f t="shared" si="0"/>
        <v>8149.0001224623802</v>
      </c>
      <c r="AF28" s="37">
        <f t="shared" si="0"/>
        <v>8165.4285444704037</v>
      </c>
      <c r="AG28" s="37">
        <f t="shared" si="0"/>
        <v>183488.20159761308</v>
      </c>
      <c r="AH28" s="37">
        <f t="shared" si="0"/>
        <v>40592.543492626522</v>
      </c>
      <c r="AI28" s="37">
        <f t="shared" si="0"/>
        <v>331238.92343830026</v>
      </c>
      <c r="AJ28" s="37">
        <f t="shared" si="0"/>
        <v>43499.298558535236</v>
      </c>
      <c r="AK28" s="37">
        <f t="shared" si="0"/>
        <v>77388.624727122835</v>
      </c>
      <c r="AL28" s="37">
        <f t="shared" si="0"/>
        <v>47655.327957456851</v>
      </c>
      <c r="AM28" s="37">
        <f t="shared" si="0"/>
        <v>13342.357341395609</v>
      </c>
      <c r="AN28" s="37">
        <f t="shared" si="0"/>
        <v>35515.164642173462</v>
      </c>
      <c r="AO28" s="37"/>
      <c r="AQ28" s="50"/>
      <c r="AR28" s="50"/>
    </row>
    <row r="29" spans="1:45" ht="12">
      <c r="A29" s="17"/>
      <c r="B29" s="32"/>
      <c r="C29" s="33"/>
      <c r="D29" s="34"/>
      <c r="E29" s="35"/>
      <c r="F29" s="34" t="s">
        <v>46</v>
      </c>
      <c r="G29" s="34"/>
      <c r="H29" s="36">
        <v>2021</v>
      </c>
      <c r="I29" s="36"/>
      <c r="J29" s="36"/>
      <c r="K29" s="37">
        <f>SUMIFS(historicalGHG!E:E,historicalGHG!$C:$C,POLICY!$H29,historicalGHG!$D:$D,"co2",historicalGHG!$B:$B,"modelled sectors")*$N$20</f>
        <v>67743.074809022408</v>
      </c>
      <c r="L29" s="37">
        <f>SUMIFS(historicalGHG!F:F,historicalGHG!$C:$C,POLICY!$H29,historicalGHG!$D:$D,"co2",historicalGHG!$B:$B,"modelled sectors")*$N$20</f>
        <v>126448.12607778348</v>
      </c>
      <c r="M29" s="37">
        <f>SUMIFS(historicalGHG!G:G,historicalGHG!$C:$C,POLICY!$H29,historicalGHG!$D:$D,"co2",historicalGHG!$B:$B,"modelled sectors")*$N$20</f>
        <v>42834.273331143333</v>
      </c>
      <c r="N29" s="37">
        <f>SUMIFS(historicalGHG!H:H,historicalGHG!$C:$C,POLICY!$H29,historicalGHG!$D:$D,"co2",historicalGHG!$B:$B,"modelled sectors")*$N$20</f>
        <v>38415.290551664519</v>
      </c>
      <c r="O29" s="37">
        <f>SUMIFS(historicalGHG!I:I,historicalGHG!$C:$C,POLICY!$H29,historicalGHG!$D:$D,"co2",historicalGHG!$B:$B,"modelled sectors")*$N$20</f>
        <v>8468.2585931265712</v>
      </c>
      <c r="P29" s="37">
        <f>SUMIFS(historicalGHG!J:J,historicalGHG!$C:$C,POLICY!$H29,historicalGHG!$D:$D,"co2",historicalGHG!$B:$B,"modelled sectors")*$N$20</f>
        <v>97531.647706729753</v>
      </c>
      <c r="Q29" s="37">
        <f>SUMIFS(historicalGHG!K:K,historicalGHG!$C:$C,POLICY!$H29,historicalGHG!$D:$D,"co2",historicalGHG!$B:$B,"modelled sectors")*$N$20</f>
        <v>703238.2561162723</v>
      </c>
      <c r="R29" s="37">
        <f>SUMIFS(historicalGHG!L:L,historicalGHG!$C:$C,POLICY!$H29,historicalGHG!$D:$D,"co2",historicalGHG!$B:$B,"modelled sectors")*$N$20</f>
        <v>33939.9411116677</v>
      </c>
      <c r="S29" s="37">
        <f>SUMIFS(historicalGHG!M:M,historicalGHG!$C:$C,POLICY!$H29,historicalGHG!$D:$D,"co2",historicalGHG!$B:$B,"modelled sectors")*$N$20</f>
        <v>11575.550462243362</v>
      </c>
      <c r="T29" s="37">
        <f>SUMIFS(historicalGHG!N:N,historicalGHG!$C:$C,POLICY!$H29,historicalGHG!$D:$D,"co2",historicalGHG!$B:$B,"modelled sectors")*$N$20</f>
        <v>66611.915087415182</v>
      </c>
      <c r="U29" s="37">
        <f>SUMIFS(historicalGHG!O:O,historicalGHG!$C:$C,POLICY!$H29,historicalGHG!$D:$D,"co2",historicalGHG!$B:$B,"modelled sectors")*$N$20</f>
        <v>260705.5158458642</v>
      </c>
      <c r="V29" s="37">
        <f>SUMIFS(historicalGHG!P:P,historicalGHG!$C:$C,POLICY!$H29,historicalGHG!$D:$D,"co2",historicalGHG!$B:$B,"modelled sectors")*$N$20</f>
        <v>39773.151944435071</v>
      </c>
      <c r="W29" s="37">
        <f>SUMIFS(historicalGHG!Q:Q,historicalGHG!$C:$C,POLICY!$H29,historicalGHG!$D:$D,"co2",historicalGHG!$B:$B,"modelled sectors")*$N$20</f>
        <v>330940.15615347435</v>
      </c>
      <c r="X29" s="37">
        <f>SUMIFS(historicalGHG!R:R,historicalGHG!$C:$C,POLICY!$H29,historicalGHG!$D:$D,"co2",historicalGHG!$B:$B,"modelled sectors")*$N$20</f>
        <v>17570.584558901199</v>
      </c>
      <c r="Y29" s="37">
        <f>SUMIFS(historicalGHG!S:S,historicalGHG!$C:$C,POLICY!$H29,historicalGHG!$D:$D,"co2",historicalGHG!$B:$B,"modelled sectors")*$N$20</f>
        <v>49024.652154282856</v>
      </c>
      <c r="Z29" s="37">
        <f>SUMIFS(historicalGHG!T:T,historicalGHG!$C:$C,POLICY!$H29,historicalGHG!$D:$D,"co2",historicalGHG!$B:$B,"modelled sectors")*$N$20</f>
        <v>38976.555949787449</v>
      </c>
      <c r="AA29" s="37">
        <f>SUMIFS(historicalGHG!U:U,historicalGHG!$C:$C,POLICY!$H29,historicalGHG!$D:$D,"co2",historicalGHG!$B:$B,"modelled sectors")*$N$20</f>
        <v>3891.7838942956978</v>
      </c>
      <c r="AB29" s="37">
        <f>SUMIFS(historicalGHG!V:V,historicalGHG!$C:$C,POLICY!$H29,historicalGHG!$D:$D,"co2",historicalGHG!$B:$B,"modelled sectors")*$N$20</f>
        <v>348916.29216081044</v>
      </c>
      <c r="AC29" s="37">
        <f>SUMIFS(historicalGHG!W:W,historicalGHG!$C:$C,POLICY!$H29,historicalGHG!$D:$D,"co2",historicalGHG!$B:$B,"modelled sectors")*$N$20</f>
        <v>14415.784805110759</v>
      </c>
      <c r="AD29" s="37">
        <f>SUMIFS(historicalGHG!X:X,historicalGHG!$C:$C,POLICY!$H29,historicalGHG!$D:$D,"co2",historicalGHG!$B:$B,"modelled sectors")*$N$20</f>
        <v>10385.850378590421</v>
      </c>
      <c r="AE29" s="37">
        <f>SUMIFS(historicalGHG!Y:Y,historicalGHG!$C:$C,POLICY!$H29,historicalGHG!$D:$D,"co2",historicalGHG!$B:$B,"modelled sectors")*$N$20</f>
        <v>8149.0001224623802</v>
      </c>
      <c r="AF29" s="37">
        <f>SUMIFS(historicalGHG!Z:Z,historicalGHG!$C:$C,POLICY!$H29,historicalGHG!$D:$D,"co2",historicalGHG!$B:$B,"modelled sectors")*$N$20</f>
        <v>8165.4285444704037</v>
      </c>
      <c r="AG29" s="37">
        <f>SUMIFS(historicalGHG!AA:AA,historicalGHG!$C:$C,POLICY!$H29,historicalGHG!$D:$D,"co2",historicalGHG!$B:$B,"modelled sectors")*$N$20</f>
        <v>183488.20159761308</v>
      </c>
      <c r="AH29" s="37">
        <f>SUMIFS(historicalGHG!AB:AB,historicalGHG!$C:$C,POLICY!$H29,historicalGHG!$D:$D,"co2",historicalGHG!$B:$B,"modelled sectors")*$N$20</f>
        <v>40592.543492626522</v>
      </c>
      <c r="AI29" s="37">
        <f>SUMIFS(historicalGHG!AC:AC,historicalGHG!$C:$C,POLICY!$H29,historicalGHG!$D:$D,"co2",historicalGHG!$B:$B,"modelled sectors")*$N$20</f>
        <v>331238.92343830026</v>
      </c>
      <c r="AJ29" s="37">
        <f>SUMIFS(historicalGHG!AD:AD,historicalGHG!$C:$C,POLICY!$H29,historicalGHG!$D:$D,"co2",historicalGHG!$B:$B,"modelled sectors")*$N$20</f>
        <v>43499.298558535236</v>
      </c>
      <c r="AK29" s="37">
        <f>SUMIFS(historicalGHG!AE:AE,historicalGHG!$C:$C,POLICY!$H29,historicalGHG!$D:$D,"co2",historicalGHG!$B:$B,"modelled sectors")*$N$20</f>
        <v>77388.624727122835</v>
      </c>
      <c r="AL29" s="37">
        <f>SUMIFS(historicalGHG!AF:AF,historicalGHG!$C:$C,POLICY!$H29,historicalGHG!$D:$D,"co2",historicalGHG!$B:$B,"modelled sectors")*$N$20</f>
        <v>47655.327957456851</v>
      </c>
      <c r="AM29" s="37">
        <f>SUMIFS(historicalGHG!AG:AG,historicalGHG!$C:$C,POLICY!$H29,historicalGHG!$D:$D,"co2",historicalGHG!$B:$B,"modelled sectors")*$N$20</f>
        <v>13342.357341395609</v>
      </c>
      <c r="AN29" s="37">
        <f>SUMIFS(historicalGHG!AH:AH,historicalGHG!$C:$C,POLICY!$H29,historicalGHG!$D:$D,"co2",historicalGHG!$B:$B,"modelled sectors")*$N$20</f>
        <v>35515.164642173462</v>
      </c>
      <c r="AO29" s="37"/>
      <c r="AQ29" s="50">
        <f t="shared" ref="AQ29" si="1">AR29-AO29-AH29-AA29-N29</f>
        <v>3017541.9141761917</v>
      </c>
      <c r="AR29" s="50">
        <f t="shared" ref="AR29" si="2">SUM(K29:AO29)</f>
        <v>3100441.5321147782</v>
      </c>
    </row>
    <row r="30" spans="1:45" ht="12">
      <c r="A30" s="17"/>
      <c r="B30" s="32"/>
      <c r="C30" s="33"/>
      <c r="D30" s="34"/>
      <c r="E30" s="35"/>
      <c r="F30" s="34" t="s">
        <v>46</v>
      </c>
      <c r="G30" s="34"/>
      <c r="H30" s="36">
        <v>2025</v>
      </c>
      <c r="I30" s="36"/>
      <c r="J30" s="36"/>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row>
    <row r="31" spans="1:45" ht="12">
      <c r="A31" s="17"/>
      <c r="B31" s="32"/>
      <c r="C31" s="33"/>
      <c r="D31" s="34"/>
      <c r="E31" s="35"/>
      <c r="F31" s="34" t="s">
        <v>46</v>
      </c>
      <c r="G31" s="34"/>
      <c r="H31" s="36">
        <v>2030</v>
      </c>
      <c r="I31" s="36"/>
      <c r="J31" s="36"/>
      <c r="K31" s="37"/>
      <c r="L31" s="37"/>
      <c r="M31" s="37"/>
      <c r="N31" s="37">
        <f>SUMIFS(historicalGHG!H:H,historicalGHG!$C:$C,1990,historicalGHG!$D:$D,"co2",historicalGHG!$B:$B,"modelled sectors")*0.5</f>
        <v>23579.827099589449</v>
      </c>
      <c r="O31" s="37"/>
      <c r="P31" s="37"/>
      <c r="Q31" s="37"/>
      <c r="R31" s="37"/>
      <c r="S31" s="37"/>
      <c r="T31" s="37"/>
      <c r="U31" s="37"/>
      <c r="V31" s="37"/>
      <c r="W31" s="37"/>
      <c r="X31" s="37"/>
      <c r="Y31" s="37"/>
      <c r="Z31" s="37"/>
      <c r="AA31" s="37"/>
      <c r="AB31" s="37"/>
      <c r="AC31" s="37"/>
      <c r="AD31" s="37"/>
      <c r="AE31" s="37"/>
      <c r="AF31" s="37"/>
      <c r="AG31" s="37"/>
      <c r="AH31" s="37">
        <f>SUMIFS(historicalGHG!AB:AB,historicalGHG!$C:$C,1990,historicalGHG!$D:$D,"co2",historicalGHG!$B:$B,"modelled sectors")*0.5</f>
        <v>17342.53141626855</v>
      </c>
      <c r="AI31" s="37"/>
      <c r="AJ31" s="37"/>
      <c r="AK31" s="37"/>
      <c r="AL31" s="37"/>
      <c r="AM31" s="37"/>
      <c r="AN31" s="37"/>
      <c r="AO31" s="37">
        <f>(-0.68*AR31+AR31)*AR32</f>
        <v>209788.71794871794</v>
      </c>
      <c r="AQ31" s="44" t="s">
        <v>188</v>
      </c>
      <c r="AR31" s="44">
        <f>799*1000</f>
        <v>799000</v>
      </c>
      <c r="AS31" s="44" t="s">
        <v>189</v>
      </c>
    </row>
    <row r="32" spans="1:45" ht="12">
      <c r="A32" s="17"/>
      <c r="B32" s="32"/>
      <c r="C32" s="33"/>
      <c r="D32" s="34"/>
      <c r="E32" s="35"/>
      <c r="F32" s="34" t="s">
        <v>46</v>
      </c>
      <c r="G32" s="34"/>
      <c r="H32" s="36">
        <v>2040</v>
      </c>
      <c r="I32" s="36"/>
      <c r="J32" s="36"/>
      <c r="K32" s="37"/>
      <c r="L32" s="37"/>
      <c r="M32" s="37"/>
      <c r="N32" s="37"/>
      <c r="O32" s="37"/>
      <c r="P32" s="37"/>
      <c r="Q32" s="37"/>
      <c r="R32" s="37"/>
      <c r="S32" s="37"/>
      <c r="T32" s="37"/>
      <c r="U32" s="37"/>
      <c r="V32" s="37"/>
      <c r="W32" s="37"/>
      <c r="X32" s="37"/>
      <c r="Y32" s="37"/>
      <c r="Z32" s="37"/>
      <c r="AA32" s="37">
        <v>0</v>
      </c>
      <c r="AB32" s="37"/>
      <c r="AC32" s="37"/>
      <c r="AD32" s="37"/>
      <c r="AE32" s="37"/>
      <c r="AF32" s="37"/>
      <c r="AG32" s="37"/>
      <c r="AH32" s="37"/>
      <c r="AI32" s="37"/>
      <c r="AJ32" s="37"/>
      <c r="AK32" s="37"/>
      <c r="AL32" s="37"/>
      <c r="AM32" s="37"/>
      <c r="AN32" s="37"/>
      <c r="AO32" s="37"/>
      <c r="AQ32" s="44" t="s">
        <v>190</v>
      </c>
      <c r="AR32" s="44">
        <f>(412.8/503.1)</f>
        <v>0.82051282051282048</v>
      </c>
    </row>
    <row r="33" spans="1:44" ht="12">
      <c r="A33" s="17"/>
      <c r="B33" s="32"/>
      <c r="C33" s="33"/>
      <c r="D33" s="34"/>
      <c r="E33" s="35"/>
      <c r="F33" s="34" t="s">
        <v>46</v>
      </c>
      <c r="G33" s="34"/>
      <c r="H33" s="36">
        <v>2050</v>
      </c>
      <c r="I33" s="36"/>
      <c r="J33" s="36"/>
      <c r="K33" s="37"/>
      <c r="L33" s="37"/>
      <c r="M33" s="37"/>
      <c r="N33" s="37">
        <v>0</v>
      </c>
      <c r="O33" s="37"/>
      <c r="P33" s="37"/>
      <c r="Q33" s="37"/>
      <c r="R33" s="37"/>
      <c r="S33" s="37"/>
      <c r="T33" s="37"/>
      <c r="U33" s="37"/>
      <c r="V33" s="37"/>
      <c r="W33" s="37"/>
      <c r="X33" s="37"/>
      <c r="Y33" s="37"/>
      <c r="Z33" s="37"/>
      <c r="AA33" s="37"/>
      <c r="AB33" s="37"/>
      <c r="AC33" s="37"/>
      <c r="AD33" s="37"/>
      <c r="AE33" s="37"/>
      <c r="AF33" s="37"/>
      <c r="AG33" s="37"/>
      <c r="AH33" s="37">
        <f>SUMIFS(historicalGHG!AB:AB,historicalGHG!$C:$C,1990,historicalGHG!$D:$D,"co2",historicalGHG!$B:$B,"modelled sectors")*0.1</f>
        <v>3468.5062832537101</v>
      </c>
      <c r="AI33" s="37"/>
      <c r="AJ33" s="37"/>
      <c r="AK33" s="37"/>
      <c r="AL33" s="37"/>
      <c r="AM33" s="37"/>
      <c r="AN33" s="37"/>
      <c r="AO33" s="37">
        <v>0</v>
      </c>
    </row>
    <row r="34" spans="1:44" s="56" customFormat="1" ht="12">
      <c r="A34" s="19"/>
      <c r="B34" s="69"/>
      <c r="C34" s="70"/>
      <c r="D34" s="71"/>
      <c r="E34" s="72"/>
      <c r="F34" s="71"/>
      <c r="G34" s="71"/>
      <c r="H34" s="73"/>
      <c r="I34" s="73"/>
      <c r="J34" s="73"/>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row>
    <row r="35" spans="1:44" s="56" customFormat="1" ht="12">
      <c r="A35" s="19"/>
      <c r="B35" s="69"/>
      <c r="C35" s="70"/>
      <c r="D35" s="71"/>
      <c r="E35" s="72"/>
      <c r="F35" s="71"/>
      <c r="G35" s="71"/>
      <c r="H35" s="73"/>
      <c r="I35" s="73"/>
      <c r="J35" s="73"/>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row>
    <row r="36" spans="1:44" ht="12">
      <c r="A36" s="17"/>
      <c r="B36" s="43" t="s">
        <v>123</v>
      </c>
      <c r="C36" s="38"/>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row>
    <row r="37" spans="1:44" ht="12">
      <c r="A37" s="17"/>
      <c r="B37" s="43" t="s">
        <v>124</v>
      </c>
      <c r="C37" s="38"/>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row>
    <row r="38" spans="1:44" ht="12">
      <c r="A38" s="17"/>
      <c r="B38" s="39"/>
      <c r="C38" s="39"/>
      <c r="D38" s="39"/>
      <c r="E38" s="39"/>
      <c r="F38" s="39"/>
      <c r="G38" s="39"/>
      <c r="H38" s="39"/>
      <c r="I38" s="42" t="s">
        <v>134</v>
      </c>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row>
    <row r="39" spans="1:44" ht="12">
      <c r="A39" s="17"/>
      <c r="B39" s="24" t="s">
        <v>36</v>
      </c>
      <c r="C39" s="25" t="s">
        <v>126</v>
      </c>
      <c r="D39" s="26" t="s">
        <v>127</v>
      </c>
      <c r="E39" s="26" t="s">
        <v>4</v>
      </c>
      <c r="F39" s="27" t="s">
        <v>35</v>
      </c>
      <c r="G39" s="27" t="s">
        <v>3</v>
      </c>
      <c r="H39" s="28" t="s">
        <v>1</v>
      </c>
      <c r="I39" s="29" t="s">
        <v>44</v>
      </c>
      <c r="J39" s="30" t="s">
        <v>135</v>
      </c>
      <c r="K39" s="31" t="s">
        <v>5</v>
      </c>
      <c r="L39" s="31" t="s">
        <v>6</v>
      </c>
      <c r="M39" s="31" t="s">
        <v>7</v>
      </c>
      <c r="N39" s="68" t="s">
        <v>8</v>
      </c>
      <c r="O39" s="31" t="s">
        <v>9</v>
      </c>
      <c r="P39" s="31" t="s">
        <v>10</v>
      </c>
      <c r="Q39" s="31" t="s">
        <v>11</v>
      </c>
      <c r="R39" s="31" t="s">
        <v>12</v>
      </c>
      <c r="S39" s="31" t="s">
        <v>13</v>
      </c>
      <c r="T39" s="31" t="s">
        <v>16</v>
      </c>
      <c r="U39" s="31" t="s">
        <v>14</v>
      </c>
      <c r="V39" s="31" t="s">
        <v>0</v>
      </c>
      <c r="W39" s="31" t="s">
        <v>15</v>
      </c>
      <c r="X39" s="31" t="s">
        <v>17</v>
      </c>
      <c r="Y39" s="31" t="s">
        <v>18</v>
      </c>
      <c r="Z39" s="31" t="s">
        <v>19</v>
      </c>
      <c r="AA39" s="31" t="s">
        <v>20</v>
      </c>
      <c r="AB39" s="31" t="s">
        <v>21</v>
      </c>
      <c r="AC39" s="31" t="s">
        <v>22</v>
      </c>
      <c r="AD39" s="31" t="s">
        <v>23</v>
      </c>
      <c r="AE39" s="31" t="s">
        <v>24</v>
      </c>
      <c r="AF39" s="31" t="s">
        <v>82</v>
      </c>
      <c r="AG39" s="31" t="s">
        <v>25</v>
      </c>
      <c r="AH39" s="31" t="s">
        <v>26</v>
      </c>
      <c r="AI39" s="31" t="s">
        <v>27</v>
      </c>
      <c r="AJ39" s="31" t="s">
        <v>28</v>
      </c>
      <c r="AK39" s="31" t="s">
        <v>29</v>
      </c>
      <c r="AL39" s="31" t="s">
        <v>30</v>
      </c>
      <c r="AM39" s="31" t="s">
        <v>31</v>
      </c>
      <c r="AN39" s="31" t="s">
        <v>32</v>
      </c>
      <c r="AO39" s="31" t="s">
        <v>33</v>
      </c>
      <c r="AQ39" s="44" t="s">
        <v>71</v>
      </c>
      <c r="AR39" s="44" t="s">
        <v>139</v>
      </c>
    </row>
    <row r="40" spans="1:44" ht="12">
      <c r="A40" s="17"/>
      <c r="B40" s="32" t="s">
        <v>132</v>
      </c>
      <c r="C40" s="33" t="s">
        <v>133</v>
      </c>
      <c r="D40" s="34"/>
      <c r="E40" s="35"/>
      <c r="F40" s="34" t="s">
        <v>46</v>
      </c>
      <c r="G40" s="34"/>
      <c r="H40" s="36">
        <v>2010</v>
      </c>
      <c r="I40" s="36">
        <v>1</v>
      </c>
      <c r="J40" s="36">
        <v>1</v>
      </c>
      <c r="K40" s="37">
        <f>SUMIFS(historicalGHG!E:E,historicalGHG!$C:$C,POLICY!$H40,historicalGHG!$D:$D,"co2",historicalGHG!$B:$B,"modelled sectors")*$P$20</f>
        <v>73095.94525781741</v>
      </c>
      <c r="L40" s="37">
        <f>SUMIFS(historicalGHG!F:F,historicalGHG!$C:$C,POLICY!$H40,historicalGHG!$D:$D,"co2",historicalGHG!$B:$B,"modelled sectors")*$P$20</f>
        <v>141248.51198443063</v>
      </c>
      <c r="M40" s="37">
        <f>SUMIFS(historicalGHG!G:G,historicalGHG!$C:$C,POLICY!$H40,historicalGHG!$D:$D,"co2",historicalGHG!$B:$B,"modelled sectors")*$P$20</f>
        <v>47704.033069027537</v>
      </c>
      <c r="N40" s="37">
        <f>SUMIFS(historicalGHG!H:H,historicalGHG!$C:$C,POLICY!$H40,historicalGHG!$D:$D,"co2",historicalGHG!$B:$B,"modelled sectors")*$P$20</f>
        <v>48721.032594679797</v>
      </c>
      <c r="O40" s="37">
        <f>SUMIFS(historicalGHG!I:I,historicalGHG!$C:$C,POLICY!$H40,historicalGHG!$D:$D,"co2",historicalGHG!$B:$B,"modelled sectors")*$P$20</f>
        <v>9421.241608291075</v>
      </c>
      <c r="P40" s="37">
        <f>SUMIFS(historicalGHG!J:J,historicalGHG!$C:$C,POLICY!$H40,historicalGHG!$D:$D,"co2",historicalGHG!$B:$B,"modelled sectors")*$P$20</f>
        <v>116661.74973384988</v>
      </c>
      <c r="Q40" s="37">
        <f>SUMIFS(historicalGHG!K:K,historicalGHG!$C:$C,POLICY!$H40,historicalGHG!$D:$D,"co2",historicalGHG!$B:$B,"modelled sectors")*$P$20</f>
        <v>850017.20495505654</v>
      </c>
      <c r="R40" s="37">
        <f>SUMIFS(historicalGHG!L:L,historicalGHG!$C:$C,POLICY!$H40,historicalGHG!$D:$D,"co2",historicalGHG!$B:$B,"modelled sectors")*$P$20</f>
        <v>54272.65796962921</v>
      </c>
      <c r="S40" s="37">
        <f>SUMIFS(historicalGHG!M:M,historicalGHG!$C:$C,POLICY!$H40,historicalGHG!$D:$D,"co2",historicalGHG!$B:$B,"modelled sectors")*$P$20</f>
        <v>19564.579841065279</v>
      </c>
      <c r="T40" s="37">
        <f>SUMIFS(historicalGHG!N:N,historicalGHG!$C:$C,POLICY!$H40,historicalGHG!$D:$D,"co2",historicalGHG!$B:$B,"modelled sectors")*$P$20</f>
        <v>107597.65378004379</v>
      </c>
      <c r="U40" s="37">
        <f>SUMIFS(historicalGHG!O:O,historicalGHG!$C:$C,POLICY!$H40,historicalGHG!$D:$D,"co2",historicalGHG!$B:$B,"modelled sectors")*$P$20</f>
        <v>316891.81081115908</v>
      </c>
      <c r="V40" s="37">
        <f>SUMIFS(historicalGHG!P:P,historicalGHG!$C:$C,POLICY!$H40,historicalGHG!$D:$D,"co2",historicalGHG!$B:$B,"modelled sectors")*$P$20</f>
        <v>65354.137164098538</v>
      </c>
      <c r="W40" s="37">
        <f>SUMIFS(historicalGHG!Q:Q,historicalGHG!$C:$C,POLICY!$H40,historicalGHG!$D:$D,"co2",historicalGHG!$B:$B,"modelled sectors")*$P$20</f>
        <v>403077.7037746869</v>
      </c>
      <c r="X40" s="37">
        <f>SUMIFS(historicalGHG!R:R,historicalGHG!$C:$C,POLICY!$H40,historicalGHG!$D:$D,"co2",historicalGHG!$B:$B,"modelled sectors")*$P$20</f>
        <v>20496.614509696941</v>
      </c>
      <c r="Y40" s="37">
        <f>SUMIFS(historicalGHG!S:S,historicalGHG!$C:$C,POLICY!$H40,historicalGHG!$D:$D,"co2",historicalGHG!$B:$B,"modelled sectors")*$P$20</f>
        <v>51880.215319995841</v>
      </c>
      <c r="Z40" s="37">
        <f>SUMIFS(historicalGHG!T:T,historicalGHG!$C:$C,POLICY!$H40,historicalGHG!$D:$D,"co2",historicalGHG!$B:$B,"modelled sectors")*$P$20</f>
        <v>43463.644605082642</v>
      </c>
      <c r="AA40" s="37">
        <f>SUMIFS(historicalGHG!U:U,historicalGHG!$C:$C,POLICY!$H40,historicalGHG!$D:$D,"co2",historicalGHG!$B:$B,"modelled sectors")*$P$20</f>
        <v>3766.5674093687703</v>
      </c>
      <c r="AB40" s="37">
        <f>SUMIFS(historicalGHG!V:V,historicalGHG!$C:$C,POLICY!$H40,historicalGHG!$D:$D,"co2",historicalGHG!$B:$B,"modelled sectors")*$P$20</f>
        <v>446037.24998584518</v>
      </c>
      <c r="AC40" s="37">
        <f>SUMIFS(historicalGHG!W:W,historicalGHG!$C:$C,POLICY!$H40,historicalGHG!$D:$D,"co2",historicalGHG!$B:$B,"modelled sectors")*$P$20</f>
        <v>13955.257068381585</v>
      </c>
      <c r="AD40" s="37">
        <f>SUMIFS(historicalGHG!X:X,historicalGHG!$C:$C,POLICY!$H40,historicalGHG!$D:$D,"co2",historicalGHG!$B:$B,"modelled sectors")*$P$20</f>
        <v>12355.465285261989</v>
      </c>
      <c r="AE40" s="37">
        <f>SUMIFS(historicalGHG!Y:Y,historicalGHG!$C:$C,POLICY!$H40,historicalGHG!$D:$D,"co2",historicalGHG!$B:$B,"modelled sectors")*$P$20</f>
        <v>9614.9786824448965</v>
      </c>
      <c r="AF40" s="37">
        <f>SUMIFS(historicalGHG!Z:Z,historicalGHG!$C:$C,POLICY!$H40,historicalGHG!$D:$D,"co2",historicalGHG!$B:$B,"modelled sectors")*$P$20</f>
        <v>7479.3973396865385</v>
      </c>
      <c r="AG40" s="37">
        <f>SUMIFS(historicalGHG!AA:AA,historicalGHG!$C:$C,POLICY!$H40,historicalGHG!$D:$D,"co2",historicalGHG!$B:$B,"modelled sectors")*$P$20</f>
        <v>233560.98756548314</v>
      </c>
      <c r="AH40" s="37">
        <f>SUMIFS(historicalGHG!AB:AB,historicalGHG!$C:$C,POLICY!$H40,historicalGHG!$D:$D,"co2",historicalGHG!$B:$B,"modelled sectors")*$P$20</f>
        <v>44980.38176155791</v>
      </c>
      <c r="AI40" s="37">
        <f>SUMIFS(historicalGHG!AC:AC,historicalGHG!$C:$C,POLICY!$H40,historicalGHG!$D:$D,"co2",historicalGHG!$B:$B,"modelled sectors")*$P$20</f>
        <v>328231.72554958169</v>
      </c>
      <c r="AJ40" s="37">
        <f>SUMIFS(historicalGHG!AD:AD,historicalGHG!$C:$C,POLICY!$H40,historicalGHG!$D:$D,"co2",historicalGHG!$B:$B,"modelled sectors")*$P$20</f>
        <v>56010.721253369949</v>
      </c>
      <c r="AK40" s="37">
        <f>SUMIFS(historicalGHG!AE:AE,historicalGHG!$C:$C,POLICY!$H40,historicalGHG!$D:$D,"co2",historicalGHG!$B:$B,"modelled sectors")*$P$20</f>
        <v>84514.085754278203</v>
      </c>
      <c r="AL40" s="37">
        <f>SUMIFS(historicalGHG!AF:AF,historicalGHG!$C:$C,POLICY!$H40,historicalGHG!$D:$D,"co2",historicalGHG!$B:$B,"modelled sectors")*$P$20</f>
        <v>60393.013379983247</v>
      </c>
      <c r="AM40" s="37">
        <f>SUMIFS(historicalGHG!AG:AG,historicalGHG!$C:$C,POLICY!$H40,historicalGHG!$D:$D,"co2",historicalGHG!$B:$B,"modelled sectors")*$P$20</f>
        <v>16218.85185891432</v>
      </c>
      <c r="AN40" s="37">
        <f>SUMIFS(historicalGHG!AH:AH,historicalGHG!$C:$C,POLICY!$H40,historicalGHG!$D:$D,"co2",historicalGHG!$B:$B,"modelled sectors")*$P$20</f>
        <v>38122.865281853548</v>
      </c>
      <c r="AO40" s="37">
        <v>444289.03166109126</v>
      </c>
      <c r="AQ40" s="50">
        <f>AR40-AO40-AH40-AA40-N40</f>
        <v>3627242.3033890151</v>
      </c>
      <c r="AR40" s="50">
        <f>SUM(K40:AO40)</f>
        <v>4168999.316815713</v>
      </c>
    </row>
    <row r="41" spans="1:44" ht="12">
      <c r="A41" s="17"/>
      <c r="B41" s="32"/>
      <c r="C41" s="33"/>
      <c r="D41" s="34"/>
      <c r="E41" s="35"/>
      <c r="F41" s="34" t="s">
        <v>46</v>
      </c>
      <c r="G41" s="34"/>
      <c r="H41" s="36">
        <v>2015</v>
      </c>
      <c r="I41" s="36"/>
      <c r="J41" s="36"/>
      <c r="K41" s="37">
        <f>SUMIFS(historicalGHG!E:E,historicalGHG!$C:$C,POLICY!$H41,historicalGHG!$D:$D,"co2",historicalGHG!$B:$B,"modelled sectors")*$P$20</f>
        <v>67548.990538829137</v>
      </c>
      <c r="L41" s="37">
        <f>SUMIFS(historicalGHG!F:F,historicalGHG!$C:$C,POLICY!$H41,historicalGHG!$D:$D,"co2",historicalGHG!$B:$B,"modelled sectors")*$P$20</f>
        <v>122576.96247281891</v>
      </c>
      <c r="M41" s="37">
        <f>SUMIFS(historicalGHG!G:G,historicalGHG!$C:$C,POLICY!$H41,historicalGHG!$D:$D,"co2",historicalGHG!$B:$B,"modelled sectors")*$P$20</f>
        <v>47771.532225271403</v>
      </c>
      <c r="N41" s="37">
        <f>SUMIFS(historicalGHG!H:H,historicalGHG!$C:$C,POLICY!$H41,historicalGHG!$D:$D,"co2",historicalGHG!$B:$B,"modelled sectors")*$P$20</f>
        <v>43120.712444072371</v>
      </c>
      <c r="O41" s="37">
        <f>SUMIFS(historicalGHG!I:I,historicalGHG!$C:$C,POLICY!$H41,historicalGHG!$D:$D,"co2",historicalGHG!$B:$B,"modelled sectors")*$P$20</f>
        <v>8404.5982647682649</v>
      </c>
      <c r="P41" s="37">
        <f>SUMIFS(historicalGHG!J:J,historicalGHG!$C:$C,POLICY!$H41,historicalGHG!$D:$D,"co2",historicalGHG!$B:$B,"modelled sectors")*$P$20</f>
        <v>104135.43962238517</v>
      </c>
      <c r="Q41" s="37">
        <f>SUMIFS(historicalGHG!K:K,historicalGHG!$C:$C,POLICY!$H41,historicalGHG!$D:$D,"co2",historicalGHG!$B:$B,"modelled sectors")*$P$20</f>
        <v>815964.17578885437</v>
      </c>
      <c r="R41" s="37">
        <f>SUMIFS(historicalGHG!L:L,historicalGHG!$C:$C,POLICY!$H41,historicalGHG!$D:$D,"co2",historicalGHG!$B:$B,"modelled sectors")*$P$20</f>
        <v>40526.555740201868</v>
      </c>
      <c r="S41" s="37">
        <f>SUMIFS(historicalGHG!M:M,historicalGHG!$C:$C,POLICY!$H41,historicalGHG!$D:$D,"co2",historicalGHG!$B:$B,"modelled sectors")*$P$20</f>
        <v>16703.373937132674</v>
      </c>
      <c r="T41" s="37">
        <f>SUMIFS(historicalGHG!N:N,historicalGHG!$C:$C,POLICY!$H41,historicalGHG!$D:$D,"co2",historicalGHG!$B:$B,"modelled sectors")*$P$20</f>
        <v>82716.876546488915</v>
      </c>
      <c r="U41" s="37">
        <f>SUMIFS(historicalGHG!O:O,historicalGHG!$C:$C,POLICY!$H41,historicalGHG!$D:$D,"co2",historicalGHG!$B:$B,"modelled sectors")*$P$20</f>
        <v>302288.76642685547</v>
      </c>
      <c r="V41" s="37">
        <f>SUMIFS(historicalGHG!P:P,historicalGHG!$C:$C,POLICY!$H41,historicalGHG!$D:$D,"co2",historicalGHG!$B:$B,"modelled sectors")*$P$20</f>
        <v>46324.141153696888</v>
      </c>
      <c r="W41" s="37">
        <f>SUMIFS(historicalGHG!Q:Q,historicalGHG!$C:$C,POLICY!$H41,historicalGHG!$D:$D,"co2",historicalGHG!$B:$B,"modelled sectors")*$P$20</f>
        <v>359907.32990386646</v>
      </c>
      <c r="X41" s="37">
        <f>SUMIFS(historicalGHG!R:R,historicalGHG!$C:$C,POLICY!$H41,historicalGHG!$D:$D,"co2",historicalGHG!$B:$B,"modelled sectors")*$P$20</f>
        <v>17692.125245521845</v>
      </c>
      <c r="Y41" s="37">
        <f>SUMIFS(historicalGHG!S:S,historicalGHG!$C:$C,POLICY!$H41,historicalGHG!$D:$D,"co2",historicalGHG!$B:$B,"modelled sectors")*$P$20</f>
        <v>46437.991094279663</v>
      </c>
      <c r="Z41" s="37">
        <f>SUMIFS(historicalGHG!T:T,historicalGHG!$C:$C,POLICY!$H41,historicalGHG!$D:$D,"co2",historicalGHG!$B:$B,"modelled sectors")*$P$20</f>
        <v>40762.75897555102</v>
      </c>
      <c r="AA41" s="37">
        <f>SUMIFS(historicalGHG!U:U,historicalGHG!$C:$C,POLICY!$H41,historicalGHG!$D:$D,"co2",historicalGHG!$B:$B,"modelled sectors")*$P$20</f>
        <v>4148.0685560905758</v>
      </c>
      <c r="AB41" s="37">
        <f>SUMIFS(historicalGHG!V:V,historicalGHG!$C:$C,POLICY!$H41,historicalGHG!$D:$D,"co2",historicalGHG!$B:$B,"modelled sectors")*$P$20</f>
        <v>369602.18494976696</v>
      </c>
      <c r="AC41" s="37">
        <f>SUMIFS(historicalGHG!W:W,historicalGHG!$C:$C,POLICY!$H41,historicalGHG!$D:$D,"co2",historicalGHG!$B:$B,"modelled sectors")*$P$20</f>
        <v>13134.142576396214</v>
      </c>
      <c r="AD41" s="37">
        <f>SUMIFS(historicalGHG!X:X,historicalGHG!$C:$C,POLICY!$H41,historicalGHG!$D:$D,"co2",historicalGHG!$B:$B,"modelled sectors")*$P$20</f>
        <v>10602.805611965392</v>
      </c>
      <c r="AE41" s="37">
        <f>SUMIFS(historicalGHG!Y:Y,historicalGHG!$C:$C,POLICY!$H41,historicalGHG!$D:$D,"co2",historicalGHG!$B:$B,"modelled sectors")*$P$20</f>
        <v>8292.1839834907059</v>
      </c>
      <c r="AF41" s="37">
        <f>SUMIFS(historicalGHG!Z:Z,historicalGHG!$C:$C,POLICY!$H41,historicalGHG!$D:$D,"co2",historicalGHG!$B:$B,"modelled sectors")*$P$20</f>
        <v>6895.6835693935564</v>
      </c>
      <c r="AG41" s="37">
        <f>SUMIFS(historicalGHG!AA:AA,historicalGHG!$C:$C,POLICY!$H41,historicalGHG!$D:$D,"co2",historicalGHG!$B:$B,"modelled sectors")*$P$20</f>
        <v>212730.0191292949</v>
      </c>
      <c r="AH41" s="37">
        <f>SUMIFS(historicalGHG!AB:AB,historicalGHG!$C:$C,POLICY!$H41,historicalGHG!$D:$D,"co2",historicalGHG!$B:$B,"modelled sectors")*$P$20</f>
        <v>44655.286809742487</v>
      </c>
      <c r="AI41" s="37">
        <f>SUMIFS(historicalGHG!AC:AC,historicalGHG!$C:$C,POLICY!$H41,historicalGHG!$D:$D,"co2",historicalGHG!$B:$B,"modelled sectors")*$P$20</f>
        <v>306046.9968323466</v>
      </c>
      <c r="AJ41" s="37">
        <f>SUMIFS(historicalGHG!AD:AD,historicalGHG!$C:$C,POLICY!$H41,historicalGHG!$D:$D,"co2",historicalGHG!$B:$B,"modelled sectors")*$P$20</f>
        <v>55578.460167758087</v>
      </c>
      <c r="AK41" s="37">
        <f>SUMIFS(historicalGHG!AE:AE,historicalGHG!$C:$C,POLICY!$H41,historicalGHG!$D:$D,"co2",historicalGHG!$B:$B,"modelled sectors")*$P$20</f>
        <v>77223.745071669924</v>
      </c>
      <c r="AL41" s="37">
        <f>SUMIFS(historicalGHG!AF:AF,historicalGHG!$C:$C,POLICY!$H41,historicalGHG!$D:$D,"co2",historicalGHG!$B:$B,"modelled sectors")*$P$20</f>
        <v>49760.634007713314</v>
      </c>
      <c r="AM41" s="37">
        <f>SUMIFS(historicalGHG!AG:AG,historicalGHG!$C:$C,POLICY!$H41,historicalGHG!$D:$D,"co2",historicalGHG!$B:$B,"modelled sectors")*$P$20</f>
        <v>13620.073883285331</v>
      </c>
      <c r="AN41" s="37">
        <f>SUMIFS(historicalGHG!AH:AH,historicalGHG!$C:$C,POLICY!$H41,historicalGHG!$D:$D,"co2",historicalGHG!$B:$B,"modelled sectors")*$P$20</f>
        <v>34193.642008867704</v>
      </c>
      <c r="AO41" s="37"/>
      <c r="AQ41" s="50">
        <f t="shared" ref="AQ41:AQ42" si="3">AR41-AO41-AH41-AA41-N41</f>
        <v>3277442.1897284701</v>
      </c>
      <c r="AR41" s="50">
        <f t="shared" ref="AR41:AR42" si="4">SUM(K41:AO41)</f>
        <v>3369366.2575383754</v>
      </c>
    </row>
    <row r="42" spans="1:44" ht="12">
      <c r="A42" s="17"/>
      <c r="B42" s="32"/>
      <c r="C42" s="33"/>
      <c r="D42" s="34"/>
      <c r="E42" s="35"/>
      <c r="F42" s="34" t="s">
        <v>46</v>
      </c>
      <c r="G42" s="34"/>
      <c r="H42" s="36">
        <v>2021</v>
      </c>
      <c r="I42" s="36"/>
      <c r="J42" s="36"/>
      <c r="K42" s="37">
        <f>SUMIFS(historicalGHG!E:E,historicalGHG!$C:$C,POLICY!$H42,historicalGHG!$D:$D,"co2",historicalGHG!$B:$B,"modelled sectors")*$P$20</f>
        <v>66401.627783101183</v>
      </c>
      <c r="L42" s="37">
        <f>SUMIFS(historicalGHG!F:F,historicalGHG!$C:$C,POLICY!$H42,historicalGHG!$D:$D,"co2",historicalGHG!$B:$B,"modelled sectors")*$P$20</f>
        <v>123944.20278911451</v>
      </c>
      <c r="M42" s="37">
        <f>SUMIFS(historicalGHG!G:G,historicalGHG!$C:$C,POLICY!$H42,historicalGHG!$D:$D,"co2",historicalGHG!$B:$B,"modelled sectors")*$P$20</f>
        <v>41986.069898843467</v>
      </c>
      <c r="N42" s="37">
        <f>SUMIFS(historicalGHG!H:H,historicalGHG!$C:$C,POLICY!$H42,historicalGHG!$D:$D,"co2",historicalGHG!$B:$B,"modelled sectors")*$P$20</f>
        <v>37654.591728859283</v>
      </c>
      <c r="O42" s="37">
        <f>SUMIFS(historicalGHG!I:I,historicalGHG!$C:$C,POLICY!$H42,historicalGHG!$D:$D,"co2",historicalGHG!$B:$B,"modelled sectors")*$P$20</f>
        <v>8300.5703041537672</v>
      </c>
      <c r="P42" s="37">
        <f>SUMIFS(historicalGHG!J:J,historicalGHG!$C:$C,POLICY!$H42,historicalGHG!$D:$D,"co2",historicalGHG!$B:$B,"modelled sectors")*$P$20</f>
        <v>95600.327950160849</v>
      </c>
      <c r="Q42" s="37">
        <f>SUMIFS(historicalGHG!K:K,historicalGHG!$C:$C,POLICY!$H42,historicalGHG!$D:$D,"co2",historicalGHG!$B:$B,"modelled sectors")*$P$20</f>
        <v>689312.74609416781</v>
      </c>
      <c r="R42" s="37">
        <f>SUMIFS(historicalGHG!L:L,historicalGHG!$C:$C,POLICY!$H42,historicalGHG!$D:$D,"co2",historicalGHG!$B:$B,"modelled sectors")*$P$20</f>
        <v>33267.863069852501</v>
      </c>
      <c r="S42" s="37">
        <f>SUMIFS(historicalGHG!M:M,historicalGHG!$C:$C,POLICY!$H42,historicalGHG!$D:$D,"co2",historicalGHG!$B:$B,"modelled sectors")*$P$20</f>
        <v>11346.331641208839</v>
      </c>
      <c r="T42" s="37">
        <f>SUMIFS(historicalGHG!N:N,historicalGHG!$C:$C,POLICY!$H42,historicalGHG!$D:$D,"co2",historicalGHG!$B:$B,"modelled sectors")*$P$20</f>
        <v>65292.867263902015</v>
      </c>
      <c r="U42" s="37">
        <f>SUMIFS(historicalGHG!O:O,historicalGHG!$C:$C,POLICY!$H42,historicalGHG!$D:$D,"co2",historicalGHG!$B:$B,"modelled sectors")*$P$20</f>
        <v>255543.03038356983</v>
      </c>
      <c r="V42" s="37">
        <f>SUMIFS(historicalGHG!P:P,historicalGHG!$C:$C,POLICY!$H42,historicalGHG!$D:$D,"co2",historicalGHG!$B:$B,"modelled sectors")*$P$20</f>
        <v>38985.564777218533</v>
      </c>
      <c r="W42" s="37">
        <f>SUMIFS(historicalGHG!Q:Q,historicalGHG!$C:$C,POLICY!$H42,historicalGHG!$D:$D,"co2",historicalGHG!$B:$B,"modelled sectors")*$P$20</f>
        <v>324386.88573459361</v>
      </c>
      <c r="X42" s="37">
        <f>SUMIFS(historicalGHG!R:R,historicalGHG!$C:$C,POLICY!$H42,historicalGHG!$D:$D,"co2",historicalGHG!$B:$B,"modelled sectors")*$P$20</f>
        <v>17222.652191398203</v>
      </c>
      <c r="Y42" s="37">
        <f>SUMIFS(historicalGHG!S:S,historicalGHG!$C:$C,POLICY!$H42,historicalGHG!$D:$D,"co2",historicalGHG!$B:$B,"modelled sectors")*$P$20</f>
        <v>48053.866963108943</v>
      </c>
      <c r="Z42" s="37">
        <f>SUMIFS(historicalGHG!T:T,historicalGHG!$C:$C,POLICY!$H42,historicalGHG!$D:$D,"co2",historicalGHG!$B:$B,"modelled sectors")*$P$20</f>
        <v>38204.74296068275</v>
      </c>
      <c r="AA42" s="37">
        <f>SUMIFS(historicalGHG!U:U,historicalGHG!$C:$C,POLICY!$H42,historicalGHG!$D:$D,"co2",historicalGHG!$B:$B,"modelled sectors")*$P$20</f>
        <v>3814.7188666858819</v>
      </c>
      <c r="AB42" s="37">
        <f>SUMIFS(historicalGHG!V:V,historicalGHG!$C:$C,POLICY!$H42,historicalGHG!$D:$D,"co2",historicalGHG!$B:$B,"modelled sectors")*$P$20</f>
        <v>342007.05865267559</v>
      </c>
      <c r="AC42" s="37">
        <f>SUMIFS(historicalGHG!W:W,historicalGHG!$C:$C,POLICY!$H42,historicalGHG!$D:$D,"co2",historicalGHG!$B:$B,"modelled sectors")*$P$20</f>
        <v>14130.323719861042</v>
      </c>
      <c r="AD42" s="37">
        <f>SUMIFS(historicalGHG!X:X,historicalGHG!$C:$C,POLICY!$H42,historicalGHG!$D:$D,"co2",historicalGHG!$B:$B,"modelled sectors")*$P$20</f>
        <v>10180.189975053978</v>
      </c>
      <c r="AE42" s="37">
        <f>SUMIFS(historicalGHG!Y:Y,historicalGHG!$C:$C,POLICY!$H42,historicalGHG!$D:$D,"co2",historicalGHG!$B:$B,"modelled sectors")*$P$20</f>
        <v>7987.6337834037195</v>
      </c>
      <c r="AF42" s="37">
        <f>SUMIFS(historicalGHG!Z:Z,historicalGHG!$C:$C,POLICY!$H42,historicalGHG!$D:$D,"co2",historicalGHG!$B:$B,"modelled sectors")*$P$20</f>
        <v>8003.7368901244554</v>
      </c>
      <c r="AG42" s="37">
        <f>SUMIFS(historicalGHG!AA:AA,historicalGHG!$C:$C,POLICY!$H42,historicalGHG!$D:$D,"co2",historicalGHG!$B:$B,"modelled sectors")*$P$20</f>
        <v>179854.7718630069</v>
      </c>
      <c r="AH42" s="37">
        <f>SUMIFS(historicalGHG!AB:AB,historicalGHG!$C:$C,POLICY!$H42,historicalGHG!$D:$D,"co2",historicalGHG!$B:$B,"modelled sectors")*$P$20</f>
        <v>39788.73075019828</v>
      </c>
      <c r="AI42" s="37">
        <f>SUMIFS(historicalGHG!AC:AC,historicalGHG!$C:$C,POLICY!$H42,historicalGHG!$D:$D,"co2",historicalGHG!$B:$B,"modelled sectors")*$P$20</f>
        <v>324679.73683556169</v>
      </c>
      <c r="AJ42" s="37">
        <f>SUMIFS(historicalGHG!AD:AD,historicalGHG!$C:$C,POLICY!$H42,historicalGHG!$D:$D,"co2",historicalGHG!$B:$B,"modelled sectors")*$P$20</f>
        <v>42637.926309851369</v>
      </c>
      <c r="AK42" s="37">
        <f>SUMIFS(historicalGHG!AE:AE,historicalGHG!$C:$C,POLICY!$H42,historicalGHG!$D:$D,"co2",historicalGHG!$B:$B,"modelled sectors")*$P$20</f>
        <v>75856.176712724351</v>
      </c>
      <c r="AL42" s="37">
        <f>SUMIFS(historicalGHG!AF:AF,historicalGHG!$C:$C,POLICY!$H42,historicalGHG!$D:$D,"co2",historicalGHG!$B:$B,"modelled sectors")*$P$20</f>
        <v>46711.658096913154</v>
      </c>
      <c r="AM42" s="37">
        <f>SUMIFS(historicalGHG!AG:AG,historicalGHG!$C:$C,POLICY!$H42,historicalGHG!$D:$D,"co2",historicalGHG!$B:$B,"modelled sectors")*$P$20</f>
        <v>13078.152245526389</v>
      </c>
      <c r="AN42" s="37">
        <f>SUMIFS(historicalGHG!AH:AH,historicalGHG!$C:$C,POLICY!$H42,historicalGHG!$D:$D,"co2",historicalGHG!$B:$B,"modelled sectors")*$P$20</f>
        <v>34811.894055199737</v>
      </c>
      <c r="AO42" s="37"/>
      <c r="AQ42" s="50">
        <f t="shared" si="3"/>
        <v>2957788.60894498</v>
      </c>
      <c r="AR42" s="50">
        <f t="shared" si="4"/>
        <v>3039046.6502907234</v>
      </c>
    </row>
    <row r="43" spans="1:44" ht="12">
      <c r="A43" s="17"/>
      <c r="B43" s="32"/>
      <c r="C43" s="33"/>
      <c r="D43" s="34"/>
      <c r="E43" s="35"/>
      <c r="F43" s="34" t="s">
        <v>46</v>
      </c>
      <c r="G43" s="34"/>
      <c r="H43" s="36">
        <v>2025</v>
      </c>
      <c r="I43" s="36"/>
      <c r="J43" s="36"/>
      <c r="K43" s="37">
        <f>K42*0.8</f>
        <v>53121.302226480948</v>
      </c>
      <c r="L43" s="37">
        <f t="shared" ref="L43:AN43" si="5">L42*0.8</f>
        <v>99155.362231291612</v>
      </c>
      <c r="M43" s="37">
        <f t="shared" si="5"/>
        <v>33588.855919074776</v>
      </c>
      <c r="N43" s="37">
        <f t="shared" si="5"/>
        <v>30123.673383087429</v>
      </c>
      <c r="O43" s="37">
        <f t="shared" si="5"/>
        <v>6640.456243323014</v>
      </c>
      <c r="P43" s="37">
        <f t="shared" si="5"/>
        <v>76480.262360128676</v>
      </c>
      <c r="Q43" s="37">
        <f t="shared" si="5"/>
        <v>551450.19687533425</v>
      </c>
      <c r="R43" s="37">
        <f t="shared" si="5"/>
        <v>26614.290455882001</v>
      </c>
      <c r="S43" s="37">
        <f t="shared" si="5"/>
        <v>9077.0653129670718</v>
      </c>
      <c r="T43" s="37">
        <f t="shared" si="5"/>
        <v>52234.293811121614</v>
      </c>
      <c r="U43" s="37">
        <f t="shared" si="5"/>
        <v>204434.42430685589</v>
      </c>
      <c r="V43" s="37">
        <f t="shared" si="5"/>
        <v>31188.451821774826</v>
      </c>
      <c r="W43" s="37">
        <f t="shared" si="5"/>
        <v>259509.50858767491</v>
      </c>
      <c r="X43" s="37">
        <f t="shared" si="5"/>
        <v>13778.121753118563</v>
      </c>
      <c r="Y43" s="37">
        <f t="shared" si="5"/>
        <v>38443.093570487159</v>
      </c>
      <c r="Z43" s="37">
        <f t="shared" si="5"/>
        <v>30563.794368546201</v>
      </c>
      <c r="AA43" s="37">
        <f t="shared" si="5"/>
        <v>3051.7750933487059</v>
      </c>
      <c r="AB43" s="37">
        <f t="shared" si="5"/>
        <v>273605.6469221405</v>
      </c>
      <c r="AC43" s="37">
        <f t="shared" si="5"/>
        <v>11304.258975888835</v>
      </c>
      <c r="AD43" s="37">
        <f t="shared" si="5"/>
        <v>8144.1519800431824</v>
      </c>
      <c r="AE43" s="37">
        <f t="shared" si="5"/>
        <v>6390.1070267229761</v>
      </c>
      <c r="AF43" s="37">
        <f t="shared" si="5"/>
        <v>6402.9895120995643</v>
      </c>
      <c r="AG43" s="37">
        <f t="shared" si="5"/>
        <v>143883.81749040552</v>
      </c>
      <c r="AH43" s="37">
        <f t="shared" si="5"/>
        <v>31830.984600158627</v>
      </c>
      <c r="AI43" s="37">
        <f t="shared" si="5"/>
        <v>259743.78946844937</v>
      </c>
      <c r="AJ43" s="37">
        <f t="shared" si="5"/>
        <v>34110.341047881098</v>
      </c>
      <c r="AK43" s="37">
        <f t="shared" si="5"/>
        <v>60684.941370179484</v>
      </c>
      <c r="AL43" s="37">
        <f t="shared" si="5"/>
        <v>37369.326477530522</v>
      </c>
      <c r="AM43" s="37">
        <f t="shared" si="5"/>
        <v>10462.521796421112</v>
      </c>
      <c r="AN43" s="37">
        <f t="shared" si="5"/>
        <v>27849.515244159789</v>
      </c>
      <c r="AO43" s="37"/>
      <c r="AQ43" s="50">
        <f t="shared" ref="AQ43" si="6">AR43-AO43-AH43-AA43-N43</f>
        <v>2366230.8871559831</v>
      </c>
      <c r="AR43" s="50">
        <f t="shared" ref="AR43" si="7">SUM(K43:AO43)</f>
        <v>2431237.3202325776</v>
      </c>
    </row>
    <row r="44" spans="1:44" ht="12">
      <c r="A44" s="17"/>
      <c r="B44" s="32"/>
      <c r="C44" s="33"/>
      <c r="D44" s="34"/>
      <c r="E44" s="35"/>
      <c r="F44" s="34"/>
      <c r="G44" s="34"/>
      <c r="H44" s="36"/>
      <c r="I44" s="36"/>
      <c r="J44" s="36"/>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row>
    <row r="45" spans="1:44" ht="11.4">
      <c r="A45" s="17"/>
      <c r="B45" s="17"/>
      <c r="C45" s="17"/>
      <c r="D45" s="17"/>
      <c r="E45" s="17"/>
      <c r="F45" s="17"/>
      <c r="G45" s="17"/>
      <c r="H45" s="17"/>
    </row>
    <row r="46" spans="1:44" ht="11.4">
      <c r="A46" s="17"/>
      <c r="B46" s="17"/>
      <c r="C46" s="17"/>
      <c r="D46" s="17"/>
      <c r="E46" s="17"/>
      <c r="F46" s="17"/>
      <c r="G46" s="17"/>
      <c r="H46" s="17"/>
    </row>
    <row r="47" spans="1:44" ht="11.4">
      <c r="A47" s="17"/>
      <c r="B47" s="17"/>
      <c r="C47" s="17"/>
      <c r="D47" s="17"/>
      <c r="E47" s="17"/>
      <c r="F47" s="121" t="s">
        <v>171</v>
      </c>
      <c r="G47" s="17"/>
      <c r="H47" s="17"/>
    </row>
    <row r="48" spans="1:44" ht="11.4">
      <c r="A48" s="17"/>
      <c r="B48" s="17"/>
      <c r="C48" s="17"/>
      <c r="D48" s="17"/>
      <c r="E48" s="17"/>
      <c r="F48" s="52">
        <v>1.5</v>
      </c>
      <c r="G48" s="17"/>
      <c r="H48" s="17"/>
    </row>
    <row r="49" spans="1:28" ht="11.4">
      <c r="A49" s="17"/>
      <c r="B49" s="17"/>
      <c r="C49" s="17"/>
      <c r="D49" s="17"/>
      <c r="E49" s="17"/>
      <c r="F49" s="17"/>
      <c r="G49" s="17"/>
      <c r="H49" s="17"/>
    </row>
    <row r="50" spans="1:28" ht="11.4">
      <c r="A50" s="17"/>
      <c r="B50" s="17"/>
      <c r="C50" s="17"/>
      <c r="D50" s="17"/>
      <c r="E50" s="17"/>
      <c r="F50" s="17"/>
      <c r="G50" s="17"/>
      <c r="H50" s="17"/>
    </row>
    <row r="51" spans="1:28" ht="12">
      <c r="A51" s="17"/>
      <c r="B51" s="20" t="s">
        <v>47</v>
      </c>
      <c r="C51" s="20"/>
      <c r="D51" s="17"/>
      <c r="E51" s="17"/>
      <c r="F51" s="18"/>
      <c r="G51" s="18"/>
      <c r="H51" s="17"/>
      <c r="R51" s="53"/>
      <c r="S51" s="53"/>
      <c r="T51" s="53"/>
      <c r="U51" s="53"/>
      <c r="V51" s="53"/>
      <c r="W51" s="53"/>
      <c r="X51" s="53"/>
      <c r="Y51" s="53"/>
    </row>
    <row r="52" spans="1:28" ht="11.4">
      <c r="A52" s="17"/>
      <c r="B52" s="17"/>
      <c r="C52" s="17"/>
      <c r="D52" s="17"/>
      <c r="E52" s="17"/>
      <c r="F52" s="18"/>
      <c r="G52" s="18"/>
      <c r="H52" s="17"/>
      <c r="R52" s="53"/>
      <c r="S52" s="53"/>
      <c r="T52" s="53"/>
      <c r="U52" s="53"/>
      <c r="V52" s="53"/>
      <c r="W52" s="53"/>
      <c r="X52" s="53"/>
      <c r="Y52" s="53"/>
    </row>
    <row r="53" spans="1:28" ht="12">
      <c r="A53" s="17"/>
      <c r="B53" s="17"/>
      <c r="C53" s="17"/>
      <c r="D53" s="45" t="s">
        <v>43</v>
      </c>
      <c r="E53" s="17"/>
      <c r="F53" s="17"/>
      <c r="G53" s="17"/>
      <c r="H53" s="17"/>
      <c r="T53" s="55"/>
      <c r="U53" s="55"/>
      <c r="V53" s="55"/>
      <c r="W53" s="55"/>
      <c r="X53" s="55"/>
      <c r="Y53" s="55"/>
      <c r="Z53" s="55"/>
      <c r="AA53" s="55"/>
      <c r="AB53" s="56"/>
    </row>
    <row r="54" spans="1:28" ht="11.4">
      <c r="A54" s="17"/>
      <c r="B54" s="21" t="s">
        <v>36</v>
      </c>
      <c r="C54" s="21" t="s">
        <v>4</v>
      </c>
      <c r="D54" s="21" t="s">
        <v>1</v>
      </c>
      <c r="E54" s="21" t="s">
        <v>37</v>
      </c>
      <c r="F54" s="21" t="s">
        <v>45</v>
      </c>
      <c r="G54" s="17"/>
      <c r="H54" s="17"/>
      <c r="T54" s="53"/>
      <c r="U54" s="53"/>
      <c r="V54" s="53"/>
      <c r="W54" s="53"/>
      <c r="X54" s="53"/>
      <c r="Y54" s="53"/>
      <c r="Z54" s="53"/>
      <c r="AA54" s="53"/>
    </row>
    <row r="55" spans="1:28" ht="11.4">
      <c r="A55" s="17"/>
      <c r="B55" s="17" t="s">
        <v>48</v>
      </c>
      <c r="C55" s="17" t="s">
        <v>49</v>
      </c>
      <c r="D55" s="17">
        <v>2030</v>
      </c>
      <c r="E55" s="18">
        <v>1</v>
      </c>
      <c r="F55" s="17">
        <f>F56/3</f>
        <v>250000</v>
      </c>
      <c r="G55" s="17"/>
      <c r="H55" s="17"/>
      <c r="T55" s="53"/>
      <c r="U55" s="53"/>
      <c r="V55" s="53"/>
      <c r="W55" s="53"/>
      <c r="X55" s="53"/>
      <c r="Y55" s="53"/>
      <c r="Z55" s="53"/>
      <c r="AA55" s="53"/>
    </row>
    <row r="56" spans="1:28" ht="11.4">
      <c r="A56" s="17"/>
      <c r="B56" s="17"/>
      <c r="C56" s="17" t="s">
        <v>50</v>
      </c>
      <c r="D56" s="17">
        <v>2040</v>
      </c>
      <c r="E56" s="18">
        <v>0</v>
      </c>
      <c r="F56" s="17">
        <f>F58/2</f>
        <v>750000</v>
      </c>
      <c r="G56" s="17"/>
      <c r="H56" s="17"/>
    </row>
    <row r="57" spans="1:28" ht="11.4">
      <c r="A57" s="17"/>
      <c r="B57" s="17"/>
      <c r="C57" s="17"/>
      <c r="D57" s="17">
        <v>2045</v>
      </c>
      <c r="E57" s="17"/>
      <c r="F57" s="17">
        <f>(F56+F58)/2</f>
        <v>1125000</v>
      </c>
      <c r="G57" s="17"/>
      <c r="H57" s="17"/>
    </row>
    <row r="58" spans="1:28" ht="11.4">
      <c r="A58" s="17"/>
      <c r="B58" s="17"/>
      <c r="C58" s="17"/>
      <c r="D58" s="17">
        <v>2050</v>
      </c>
      <c r="E58" s="17"/>
      <c r="F58" s="17">
        <f>1000000*$F48</f>
        <v>1500000</v>
      </c>
      <c r="G58" s="17"/>
      <c r="H58" s="17"/>
    </row>
    <row r="59" spans="1:28" ht="11.4">
      <c r="A59" s="17"/>
      <c r="B59" s="17"/>
      <c r="C59" s="17"/>
      <c r="D59" s="17">
        <v>2060</v>
      </c>
      <c r="E59" s="17"/>
      <c r="F59" s="17">
        <f>F58</f>
        <v>1500000</v>
      </c>
      <c r="G59" s="17"/>
      <c r="H59" s="17"/>
    </row>
    <row r="60" spans="1:28" ht="11.4">
      <c r="A60" s="17"/>
      <c r="B60" s="17"/>
      <c r="C60" s="17"/>
      <c r="D60" s="17">
        <v>0</v>
      </c>
      <c r="E60" s="17"/>
      <c r="F60" s="17">
        <v>3</v>
      </c>
      <c r="G60" s="17"/>
      <c r="H60" s="17"/>
    </row>
    <row r="61" spans="1:28" ht="11.4">
      <c r="A61" s="17"/>
      <c r="B61" s="17"/>
      <c r="C61" s="17"/>
      <c r="D61" s="17"/>
      <c r="E61" s="17"/>
      <c r="F61" s="17"/>
      <c r="G61" s="17"/>
      <c r="H61" s="17"/>
    </row>
    <row r="62" spans="1:28" ht="11.4">
      <c r="A62" s="17"/>
      <c r="B62" s="17"/>
      <c r="C62" s="17"/>
      <c r="D62" s="17"/>
      <c r="E62" s="17"/>
      <c r="F62" s="17"/>
      <c r="G62" s="17"/>
      <c r="H62" s="17"/>
    </row>
    <row r="63" spans="1:28" ht="12">
      <c r="A63" s="17"/>
      <c r="B63" s="20" t="s">
        <v>51</v>
      </c>
      <c r="C63" s="17"/>
      <c r="D63" s="17"/>
      <c r="E63" s="17"/>
      <c r="F63" s="17"/>
      <c r="G63" s="17"/>
      <c r="H63" s="17"/>
    </row>
    <row r="64" spans="1:28" ht="11.4">
      <c r="A64" s="17"/>
      <c r="B64" s="17"/>
      <c r="C64" s="17"/>
      <c r="D64" s="17"/>
      <c r="E64" s="17"/>
      <c r="F64" s="17"/>
      <c r="G64" s="17"/>
      <c r="H64" s="17"/>
    </row>
    <row r="65" spans="1:8" ht="12">
      <c r="A65" s="17"/>
      <c r="B65" s="17"/>
      <c r="C65" s="17"/>
      <c r="D65" s="45" t="s">
        <v>43</v>
      </c>
      <c r="E65" s="17"/>
      <c r="F65" s="17"/>
      <c r="G65" s="17"/>
      <c r="H65" s="17"/>
    </row>
    <row r="66" spans="1:8" ht="11.4">
      <c r="A66" s="17"/>
      <c r="B66" s="21" t="s">
        <v>36</v>
      </c>
      <c r="C66" s="21" t="s">
        <v>4</v>
      </c>
      <c r="D66" s="21" t="s">
        <v>1</v>
      </c>
      <c r="E66" s="21" t="s">
        <v>37</v>
      </c>
      <c r="F66" s="21" t="s">
        <v>52</v>
      </c>
      <c r="G66" s="17"/>
      <c r="H66" s="17"/>
    </row>
    <row r="67" spans="1:8" ht="11.4">
      <c r="A67" s="17"/>
      <c r="B67" s="17" t="s">
        <v>53</v>
      </c>
      <c r="C67" s="17" t="s">
        <v>49</v>
      </c>
      <c r="D67" s="17">
        <v>2030</v>
      </c>
      <c r="E67" s="18">
        <v>1</v>
      </c>
      <c r="F67" s="17">
        <f>F68/3</f>
        <v>50000</v>
      </c>
      <c r="G67" s="17"/>
      <c r="H67" s="17"/>
    </row>
    <row r="68" spans="1:8" ht="11.4">
      <c r="A68" s="17"/>
      <c r="B68" s="17"/>
      <c r="C68" s="17" t="s">
        <v>50</v>
      </c>
      <c r="D68" s="17">
        <v>2040</v>
      </c>
      <c r="E68" s="18">
        <v>0</v>
      </c>
      <c r="F68" s="17">
        <f>F70/2</f>
        <v>150000</v>
      </c>
      <c r="G68" s="17"/>
      <c r="H68" s="17"/>
    </row>
    <row r="69" spans="1:8" ht="11.4">
      <c r="A69" s="17"/>
      <c r="B69" s="17"/>
      <c r="C69" s="17"/>
      <c r="D69" s="17">
        <v>2045</v>
      </c>
      <c r="E69" s="17"/>
      <c r="F69" s="17">
        <f>(F68+F70)/2</f>
        <v>225000</v>
      </c>
      <c r="G69" s="17"/>
      <c r="H69" s="17"/>
    </row>
    <row r="70" spans="1:8" ht="11.4">
      <c r="B70" s="17"/>
      <c r="C70" s="17"/>
      <c r="D70" s="17">
        <v>2050</v>
      </c>
      <c r="E70" s="17"/>
      <c r="F70" s="17">
        <f>F58/5</f>
        <v>300000</v>
      </c>
      <c r="G70" s="17"/>
      <c r="H70" s="17"/>
    </row>
    <row r="71" spans="1:8" ht="11.4">
      <c r="B71" s="17"/>
      <c r="C71" s="17"/>
      <c r="D71" s="17">
        <v>2060</v>
      </c>
      <c r="E71" s="17"/>
      <c r="F71" s="17">
        <f>F70</f>
        <v>300000</v>
      </c>
      <c r="G71" s="17"/>
      <c r="H71" s="17"/>
    </row>
    <row r="72" spans="1:8" ht="11.4">
      <c r="B72" s="17"/>
      <c r="C72" s="17"/>
      <c r="D72" s="17">
        <v>0</v>
      </c>
      <c r="E72" s="17"/>
      <c r="F72" s="17">
        <v>3</v>
      </c>
      <c r="G72" s="17"/>
      <c r="H72" s="17"/>
    </row>
    <row r="73" spans="1:8" ht="11.4">
      <c r="B73" s="17"/>
      <c r="C73" s="17"/>
      <c r="D73" s="17"/>
      <c r="E73" s="17"/>
      <c r="F73" s="17"/>
      <c r="G73" s="17"/>
      <c r="H73" s="17"/>
    </row>
    <row r="74" spans="1:8" ht="11.4">
      <c r="B74" s="17"/>
      <c r="C74" s="17"/>
      <c r="D74" s="17"/>
      <c r="E74" s="17"/>
      <c r="F74" s="17"/>
      <c r="G74" s="17"/>
      <c r="H74" s="17"/>
    </row>
    <row r="75" spans="1:8" ht="11.4">
      <c r="B75" s="17"/>
      <c r="C75" s="17"/>
      <c r="D75" s="17"/>
      <c r="E75" s="17"/>
      <c r="F75" s="17"/>
      <c r="G75" s="17"/>
      <c r="H75" s="17"/>
    </row>
    <row r="76" spans="1:8" ht="11.4">
      <c r="B76" s="17"/>
      <c r="C76" s="17"/>
      <c r="D76" s="17"/>
      <c r="E76" s="17"/>
      <c r="F76" s="17"/>
      <c r="G76" s="17"/>
      <c r="H76" s="17"/>
    </row>
    <row r="77" spans="1:8" ht="11.4">
      <c r="B77" s="17"/>
      <c r="C77" s="17"/>
      <c r="D77" s="17"/>
      <c r="E77" s="17"/>
      <c r="F77" s="17"/>
      <c r="G77" s="17"/>
      <c r="H77" s="17"/>
    </row>
    <row r="78" spans="1:8" ht="11.4">
      <c r="B78" s="17"/>
      <c r="C78" s="17"/>
      <c r="D78" s="17"/>
      <c r="E78" s="17"/>
      <c r="F78" s="17"/>
      <c r="G78" s="17"/>
      <c r="H78" s="17"/>
    </row>
    <row r="87" spans="2:40">
      <c r="H87" s="10" t="s">
        <v>65</v>
      </c>
      <c r="I87" s="10" t="s">
        <v>0</v>
      </c>
    </row>
    <row r="88" spans="2:40">
      <c r="B88" s="11" t="s">
        <v>66</v>
      </c>
      <c r="F88" s="1"/>
      <c r="G88" s="2" t="s">
        <v>54</v>
      </c>
      <c r="H88" s="3">
        <v>0.15</v>
      </c>
      <c r="I88" s="57" t="s">
        <v>67</v>
      </c>
    </row>
    <row r="90" spans="2:40" ht="13.8">
      <c r="B90" s="12" t="s">
        <v>68</v>
      </c>
      <c r="C90" s="58"/>
      <c r="D90" s="58"/>
      <c r="E90" s="58"/>
      <c r="F90" s="58"/>
      <c r="G90" s="4"/>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row>
    <row r="91" spans="2:40" ht="13.8" thickBot="1">
      <c r="B91" s="5" t="s">
        <v>40</v>
      </c>
      <c r="C91" s="5" t="s">
        <v>2</v>
      </c>
      <c r="D91" s="6" t="s">
        <v>1</v>
      </c>
      <c r="E91" s="5" t="s">
        <v>3</v>
      </c>
      <c r="F91" s="7" t="s">
        <v>35</v>
      </c>
      <c r="G91" s="8" t="s">
        <v>5</v>
      </c>
      <c r="H91" s="8" t="s">
        <v>6</v>
      </c>
      <c r="I91" s="8" t="s">
        <v>7</v>
      </c>
      <c r="J91" s="8" t="s">
        <v>8</v>
      </c>
      <c r="K91" s="8" t="s">
        <v>9</v>
      </c>
      <c r="L91" s="8" t="s">
        <v>10</v>
      </c>
      <c r="M91" s="8" t="s">
        <v>11</v>
      </c>
      <c r="N91" s="8" t="s">
        <v>12</v>
      </c>
      <c r="O91" s="8" t="s">
        <v>13</v>
      </c>
      <c r="P91" s="8" t="s">
        <v>16</v>
      </c>
      <c r="Q91" s="8" t="s">
        <v>14</v>
      </c>
      <c r="R91" s="8" t="s">
        <v>15</v>
      </c>
      <c r="S91" s="8" t="s">
        <v>17</v>
      </c>
      <c r="T91" s="8" t="s">
        <v>18</v>
      </c>
      <c r="U91" s="8" t="s">
        <v>19</v>
      </c>
      <c r="V91" s="8" t="s">
        <v>20</v>
      </c>
      <c r="W91" s="8" t="s">
        <v>21</v>
      </c>
      <c r="X91" s="8" t="s">
        <v>22</v>
      </c>
      <c r="Y91" s="8" t="s">
        <v>23</v>
      </c>
      <c r="Z91" s="8" t="s">
        <v>24</v>
      </c>
      <c r="AA91" s="8" t="s">
        <v>55</v>
      </c>
      <c r="AB91" s="8" t="s">
        <v>25</v>
      </c>
      <c r="AC91" s="8" t="s">
        <v>26</v>
      </c>
      <c r="AD91" s="8" t="s">
        <v>27</v>
      </c>
      <c r="AE91" s="8" t="s">
        <v>28</v>
      </c>
      <c r="AF91" s="8" t="s">
        <v>29</v>
      </c>
      <c r="AG91" s="8" t="s">
        <v>30</v>
      </c>
      <c r="AH91" s="8" t="s">
        <v>31</v>
      </c>
      <c r="AI91" s="8" t="s">
        <v>32</v>
      </c>
      <c r="AJ91" s="8" t="s">
        <v>33</v>
      </c>
    </row>
    <row r="92" spans="2:40" ht="13.8">
      <c r="B92" s="58"/>
      <c r="C92" s="58" t="s">
        <v>38</v>
      </c>
      <c r="D92" s="59">
        <v>2040</v>
      </c>
      <c r="E92" s="58" t="s">
        <v>56</v>
      </c>
      <c r="F92" s="58" t="s">
        <v>46</v>
      </c>
      <c r="G92" s="60">
        <f t="shared" ref="G92:Q92" si="8">-$H$88*G109</f>
        <v>-10527.997662182535</v>
      </c>
      <c r="H92" s="60">
        <f t="shared" si="8"/>
        <v>-20170.073340789299</v>
      </c>
      <c r="I92" s="60">
        <f t="shared" si="8"/>
        <v>-5898.2256716931597</v>
      </c>
      <c r="J92" s="60">
        <f t="shared" si="8"/>
        <v>-5972.0280095034896</v>
      </c>
      <c r="K92" s="60">
        <f t="shared" si="8"/>
        <v>-1322.5751901133124</v>
      </c>
      <c r="L92" s="60">
        <f t="shared" si="8"/>
        <v>-16523.574193345648</v>
      </c>
      <c r="M92" s="60">
        <f t="shared" si="8"/>
        <v>-125457.98006567954</v>
      </c>
      <c r="N92" s="60">
        <f t="shared" si="8"/>
        <v>-8370.8369551198048</v>
      </c>
      <c r="O92" s="60">
        <f t="shared" si="8"/>
        <v>-2483.6091523744503</v>
      </c>
      <c r="P92" s="60">
        <f t="shared" si="8"/>
        <v>-14075.184360255344</v>
      </c>
      <c r="Q92" s="60">
        <f t="shared" si="8"/>
        <v>-44394.05006396235</v>
      </c>
      <c r="R92" s="60">
        <f t="shared" ref="R92:AJ92" si="9">-$H$88*S109</f>
        <v>-53561.777504597994</v>
      </c>
      <c r="S92" s="60">
        <f t="shared" si="9"/>
        <v>-2896.97160900888</v>
      </c>
      <c r="T92" s="60">
        <f t="shared" si="9"/>
        <v>-7018.1509224450601</v>
      </c>
      <c r="U92" s="60">
        <f t="shared" si="9"/>
        <v>-6114.2264496716398</v>
      </c>
      <c r="V92" s="60">
        <f t="shared" si="9"/>
        <v>-754.6303369602374</v>
      </c>
      <c r="W92" s="60">
        <f t="shared" si="9"/>
        <v>-63228.00314882055</v>
      </c>
      <c r="X92" s="60">
        <f t="shared" si="9"/>
        <v>-1805.1162640659152</v>
      </c>
      <c r="Y92" s="60">
        <f t="shared" si="9"/>
        <v>-1752.1478397205649</v>
      </c>
      <c r="Z92" s="60">
        <f t="shared" si="9"/>
        <v>-1360.9291366273396</v>
      </c>
      <c r="AA92" s="60">
        <f t="shared" si="9"/>
        <v>-1121.8418319880275</v>
      </c>
      <c r="AB92" s="60">
        <f t="shared" si="9"/>
        <v>-35022.943861748252</v>
      </c>
      <c r="AC92" s="60">
        <f t="shared" si="9"/>
        <v>-6102.325820072655</v>
      </c>
      <c r="AD92" s="60">
        <f t="shared" si="9"/>
        <v>-49515.644510242804</v>
      </c>
      <c r="AE92" s="60">
        <f t="shared" si="9"/>
        <v>-8054.5056046892996</v>
      </c>
      <c r="AF92" s="60">
        <f t="shared" si="9"/>
        <v>-10491.064830162464</v>
      </c>
      <c r="AG92" s="60">
        <f t="shared" si="9"/>
        <v>-7856.1605944360499</v>
      </c>
      <c r="AH92" s="60">
        <f t="shared" si="9"/>
        <v>-2257.0222041316347</v>
      </c>
      <c r="AI92" s="60">
        <f t="shared" si="9"/>
        <v>-5436.9217239652953</v>
      </c>
      <c r="AJ92" s="60">
        <f t="shared" si="9"/>
        <v>-80206.398205953737</v>
      </c>
      <c r="AM92" s="50">
        <f>SUM(G92:AJ92)</f>
        <v>-599752.9170643274</v>
      </c>
      <c r="AN92" s="50">
        <v>1027819.519356653</v>
      </c>
    </row>
    <row r="93" spans="2:40" ht="13.8">
      <c r="B93" s="58"/>
      <c r="C93" s="58" t="s">
        <v>38</v>
      </c>
      <c r="D93" s="59">
        <v>0</v>
      </c>
      <c r="E93" s="58" t="s">
        <v>56</v>
      </c>
      <c r="F93" s="58" t="s">
        <v>46</v>
      </c>
      <c r="G93" s="58">
        <v>5</v>
      </c>
      <c r="H93" s="58">
        <v>5</v>
      </c>
      <c r="I93" s="58">
        <v>5</v>
      </c>
      <c r="J93" s="58">
        <v>5</v>
      </c>
      <c r="K93" s="58">
        <v>5</v>
      </c>
      <c r="L93" s="58">
        <v>5</v>
      </c>
      <c r="M93" s="58">
        <v>5</v>
      </c>
      <c r="N93" s="58">
        <v>5</v>
      </c>
      <c r="O93" s="58">
        <v>5</v>
      </c>
      <c r="P93" s="58">
        <v>5</v>
      </c>
      <c r="Q93" s="58">
        <v>5</v>
      </c>
      <c r="R93" s="58">
        <v>5</v>
      </c>
      <c r="S93" s="58">
        <v>5</v>
      </c>
      <c r="T93" s="58">
        <v>5</v>
      </c>
      <c r="U93" s="58">
        <v>5</v>
      </c>
      <c r="V93" s="58">
        <v>5</v>
      </c>
      <c r="W93" s="58">
        <v>5</v>
      </c>
      <c r="X93" s="58">
        <v>5</v>
      </c>
      <c r="Y93" s="58">
        <v>5</v>
      </c>
      <c r="Z93" s="58">
        <v>5</v>
      </c>
      <c r="AA93" s="58">
        <v>5</v>
      </c>
      <c r="AB93" s="58">
        <v>5</v>
      </c>
      <c r="AC93" s="58">
        <v>5</v>
      </c>
      <c r="AD93" s="58">
        <v>5</v>
      </c>
      <c r="AE93" s="58">
        <v>5</v>
      </c>
      <c r="AF93" s="58">
        <v>5</v>
      </c>
      <c r="AG93" s="58">
        <v>5</v>
      </c>
      <c r="AH93" s="58">
        <v>5</v>
      </c>
      <c r="AI93" s="58">
        <v>5</v>
      </c>
      <c r="AJ93" s="58">
        <v>5</v>
      </c>
    </row>
    <row r="94" spans="2:40">
      <c r="D94" s="52"/>
    </row>
    <row r="95" spans="2:40">
      <c r="D95" s="52"/>
    </row>
    <row r="96" spans="2:40">
      <c r="D96" s="52"/>
      <c r="F96" s="1"/>
      <c r="G96" s="2" t="s">
        <v>57</v>
      </c>
      <c r="H96" s="3">
        <v>0.1</v>
      </c>
    </row>
    <row r="97" spans="2:39">
      <c r="D97" s="52"/>
      <c r="I97" s="61"/>
    </row>
    <row r="98" spans="2:39" ht="13.8">
      <c r="B98" s="12" t="s">
        <v>68</v>
      </c>
      <c r="C98" s="58"/>
      <c r="D98" s="52"/>
      <c r="E98" s="58"/>
      <c r="F98" s="58"/>
      <c r="G98" s="4"/>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row>
    <row r="99" spans="2:39" ht="13.8" thickBot="1">
      <c r="B99" s="5" t="s">
        <v>40</v>
      </c>
      <c r="C99" s="5" t="s">
        <v>2</v>
      </c>
      <c r="D99" s="6" t="s">
        <v>1</v>
      </c>
      <c r="E99" s="5" t="s">
        <v>3</v>
      </c>
      <c r="F99" s="7" t="s">
        <v>35</v>
      </c>
      <c r="G99" s="8" t="s">
        <v>5</v>
      </c>
      <c r="H99" s="8" t="s">
        <v>6</v>
      </c>
      <c r="I99" s="8" t="s">
        <v>7</v>
      </c>
      <c r="J99" s="8" t="s">
        <v>8</v>
      </c>
      <c r="K99" s="8" t="s">
        <v>9</v>
      </c>
      <c r="L99" s="8" t="s">
        <v>10</v>
      </c>
      <c r="M99" s="8" t="s">
        <v>11</v>
      </c>
      <c r="N99" s="8" t="s">
        <v>12</v>
      </c>
      <c r="O99" s="8" t="s">
        <v>13</v>
      </c>
      <c r="P99" s="8" t="s">
        <v>16</v>
      </c>
      <c r="Q99" s="8" t="s">
        <v>14</v>
      </c>
      <c r="R99" s="8" t="s">
        <v>15</v>
      </c>
      <c r="S99" s="8" t="s">
        <v>17</v>
      </c>
      <c r="T99" s="8" t="s">
        <v>18</v>
      </c>
      <c r="U99" s="8" t="s">
        <v>19</v>
      </c>
      <c r="V99" s="8" t="s">
        <v>20</v>
      </c>
      <c r="W99" s="8" t="s">
        <v>21</v>
      </c>
      <c r="X99" s="8" t="s">
        <v>22</v>
      </c>
      <c r="Y99" s="8" t="s">
        <v>23</v>
      </c>
      <c r="Z99" s="8" t="s">
        <v>24</v>
      </c>
      <c r="AA99" s="8" t="s">
        <v>55</v>
      </c>
      <c r="AB99" s="8" t="s">
        <v>25</v>
      </c>
      <c r="AC99" s="8" t="s">
        <v>26</v>
      </c>
      <c r="AD99" s="8" t="s">
        <v>27</v>
      </c>
      <c r="AE99" s="8" t="s">
        <v>28</v>
      </c>
      <c r="AF99" s="8" t="s">
        <v>29</v>
      </c>
      <c r="AG99" s="8" t="s">
        <v>30</v>
      </c>
      <c r="AH99" s="8" t="s">
        <v>31</v>
      </c>
      <c r="AI99" s="8" t="s">
        <v>32</v>
      </c>
      <c r="AJ99" s="8" t="s">
        <v>33</v>
      </c>
      <c r="AL99" s="9"/>
    </row>
    <row r="100" spans="2:39" ht="13.2">
      <c r="B100" s="62" t="s">
        <v>41</v>
      </c>
      <c r="C100" s="63" t="s">
        <v>34</v>
      </c>
      <c r="D100" s="64">
        <v>2020</v>
      </c>
      <c r="E100" s="62" t="s">
        <v>56</v>
      </c>
      <c r="F100" s="62" t="s">
        <v>46</v>
      </c>
      <c r="G100" s="65">
        <v>67379.8</v>
      </c>
      <c r="H100" s="65">
        <v>124485.2</v>
      </c>
      <c r="I100" s="65">
        <v>50620.981466409801</v>
      </c>
      <c r="J100" s="65">
        <v>42958.200000000004</v>
      </c>
      <c r="K100" s="65">
        <v>9005.91</v>
      </c>
      <c r="L100" s="65">
        <v>112066.31353865619</v>
      </c>
      <c r="M100" s="65">
        <v>692292.89999999991</v>
      </c>
      <c r="N100" s="65">
        <v>43551.073000000004</v>
      </c>
      <c r="O100" s="65">
        <v>10840.59</v>
      </c>
      <c r="P100" s="65">
        <v>87770.519601936001</v>
      </c>
      <c r="Q100" s="65">
        <v>278964.40000000002</v>
      </c>
      <c r="R100" s="65">
        <v>324401.7</v>
      </c>
      <c r="S100" s="65">
        <v>18842.350000000002</v>
      </c>
      <c r="T100" s="65">
        <v>48091.8</v>
      </c>
      <c r="U100" s="65">
        <v>39487.599999999991</v>
      </c>
      <c r="V100" s="65">
        <v>2773.2</v>
      </c>
      <c r="W100" s="65">
        <v>337623.39999999997</v>
      </c>
      <c r="X100" s="65">
        <v>12722.859999999999</v>
      </c>
      <c r="Y100" s="65">
        <v>11293.89</v>
      </c>
      <c r="Z100" s="65">
        <v>8949.9599999999991</v>
      </c>
      <c r="AA100" s="65">
        <v>9429.6999999999989</v>
      </c>
      <c r="AB100" s="65">
        <v>193392.13660000003</v>
      </c>
      <c r="AC100" s="65">
        <v>42334.239999999998</v>
      </c>
      <c r="AD100" s="65">
        <v>305464.08</v>
      </c>
      <c r="AE100" s="65">
        <v>51989.499999999993</v>
      </c>
      <c r="AF100" s="65">
        <v>76010.23</v>
      </c>
      <c r="AG100" s="65">
        <v>44768.149999999994</v>
      </c>
      <c r="AH100" s="65">
        <v>14346.22</v>
      </c>
      <c r="AI100" s="65">
        <v>32580.809999999998</v>
      </c>
      <c r="AJ100" s="65">
        <v>386109.80000000005</v>
      </c>
      <c r="AM100" s="50">
        <f>SUM(G100:AJ100)</f>
        <v>3480547.5142070027</v>
      </c>
    </row>
    <row r="101" spans="2:39" ht="13.2">
      <c r="B101" s="62" t="s">
        <v>41</v>
      </c>
      <c r="C101" s="63" t="s">
        <v>34</v>
      </c>
      <c r="D101" s="64">
        <v>2035</v>
      </c>
      <c r="E101" s="62" t="s">
        <v>56</v>
      </c>
      <c r="F101" s="62" t="s">
        <v>46</v>
      </c>
      <c r="G101" s="65">
        <v>48008.107499999998</v>
      </c>
      <c r="H101" s="65">
        <v>88695.704999999987</v>
      </c>
      <c r="I101" s="65">
        <v>35648.522069931525</v>
      </c>
      <c r="J101" s="65">
        <v>27206.86</v>
      </c>
      <c r="K101" s="65">
        <v>6396.1497588858174</v>
      </c>
      <c r="L101" s="65">
        <v>79847.248396292533</v>
      </c>
      <c r="M101" s="65">
        <v>493258.69124999986</v>
      </c>
      <c r="N101" s="65">
        <v>31030.139512499998</v>
      </c>
      <c r="O101" s="65">
        <v>7723.9203749999988</v>
      </c>
      <c r="P101" s="65">
        <v>62468.834779261313</v>
      </c>
      <c r="Q101" s="65">
        <v>198762.13499999998</v>
      </c>
      <c r="R101" s="65">
        <v>231136.21124999999</v>
      </c>
      <c r="S101" s="65">
        <v>13425.174375000001</v>
      </c>
      <c r="T101" s="65">
        <v>34265.407500000001</v>
      </c>
      <c r="U101" s="65">
        <v>28134.91499999999</v>
      </c>
      <c r="V101" s="65">
        <v>1756.36</v>
      </c>
      <c r="W101" s="65">
        <v>240556.67249999996</v>
      </c>
      <c r="X101" s="65">
        <v>9065.0377499999977</v>
      </c>
      <c r="Y101" s="65">
        <v>8046.8966249999985</v>
      </c>
      <c r="Z101" s="65">
        <v>6376.8464999999987</v>
      </c>
      <c r="AA101" s="65">
        <v>6173.3615542838807</v>
      </c>
      <c r="AB101" s="65">
        <v>137791.89732749999</v>
      </c>
      <c r="AC101" s="65">
        <v>26811.685333333331</v>
      </c>
      <c r="AD101" s="65">
        <v>217643.15699999998</v>
      </c>
      <c r="AE101" s="65">
        <v>37042.518749999988</v>
      </c>
      <c r="AF101" s="65">
        <v>54157.288874999991</v>
      </c>
      <c r="AG101" s="65">
        <v>31897.306874999991</v>
      </c>
      <c r="AH101" s="65">
        <v>10221.681749999998</v>
      </c>
      <c r="AI101" s="65">
        <v>23213.827124999996</v>
      </c>
      <c r="AJ101" s="65">
        <v>275103.23249999998</v>
      </c>
      <c r="AM101" s="50">
        <f>SUM(G101:AJ101)</f>
        <v>2471865.7922319872</v>
      </c>
    </row>
    <row r="102" spans="2:39" ht="13.8">
      <c r="B102" s="62" t="s">
        <v>41</v>
      </c>
      <c r="C102" s="58" t="s">
        <v>34</v>
      </c>
      <c r="D102" s="59">
        <v>2050</v>
      </c>
      <c r="E102" s="58" t="s">
        <v>56</v>
      </c>
      <c r="F102" s="58" t="s">
        <v>46</v>
      </c>
      <c r="G102" s="66">
        <f t="shared" ref="G102:Q102" si="10">$H$96*G109</f>
        <v>7018.6651081216905</v>
      </c>
      <c r="H102" s="66">
        <f t="shared" si="10"/>
        <v>13446.715560526201</v>
      </c>
      <c r="I102" s="66">
        <f t="shared" si="10"/>
        <v>3932.15044779544</v>
      </c>
      <c r="J102" s="66">
        <f t="shared" si="10"/>
        <v>3981.35200633566</v>
      </c>
      <c r="K102" s="66">
        <f t="shared" si="10"/>
        <v>881.71679340887499</v>
      </c>
      <c r="L102" s="66">
        <f t="shared" si="10"/>
        <v>11015.7161288971</v>
      </c>
      <c r="M102" s="66">
        <f t="shared" si="10"/>
        <v>83638.653377119699</v>
      </c>
      <c r="N102" s="66">
        <f t="shared" si="10"/>
        <v>5580.5579700798698</v>
      </c>
      <c r="O102" s="66">
        <f t="shared" si="10"/>
        <v>1655.7394349163003</v>
      </c>
      <c r="P102" s="66">
        <f t="shared" si="10"/>
        <v>9383.4562401702296</v>
      </c>
      <c r="Q102" s="66">
        <f t="shared" si="10"/>
        <v>29596.033375974905</v>
      </c>
      <c r="R102" s="66">
        <f t="shared" ref="R102:AJ102" si="11">$H$96*S109</f>
        <v>35707.851669732001</v>
      </c>
      <c r="S102" s="66">
        <f t="shared" si="11"/>
        <v>1931.3144060059201</v>
      </c>
      <c r="T102" s="66">
        <f t="shared" si="11"/>
        <v>4678.7672816300401</v>
      </c>
      <c r="U102" s="66">
        <f t="shared" si="11"/>
        <v>4076.1509664477599</v>
      </c>
      <c r="V102" s="66">
        <f t="shared" si="11"/>
        <v>503.08689130682501</v>
      </c>
      <c r="W102" s="66">
        <f t="shared" si="11"/>
        <v>42152.002099213707</v>
      </c>
      <c r="X102" s="66">
        <f t="shared" si="11"/>
        <v>1203.41084271061</v>
      </c>
      <c r="Y102" s="66">
        <f t="shared" si="11"/>
        <v>1168.0985598137102</v>
      </c>
      <c r="Z102" s="66">
        <f t="shared" si="11"/>
        <v>907.28609108489309</v>
      </c>
      <c r="AA102" s="66">
        <f t="shared" si="11"/>
        <v>747.89455465868502</v>
      </c>
      <c r="AB102" s="66">
        <f t="shared" si="11"/>
        <v>23348.629241165501</v>
      </c>
      <c r="AC102" s="66">
        <f t="shared" si="11"/>
        <v>4068.2172133817703</v>
      </c>
      <c r="AD102" s="66">
        <f t="shared" si="11"/>
        <v>33010.4296734952</v>
      </c>
      <c r="AE102" s="66">
        <f t="shared" si="11"/>
        <v>5369.6704031262007</v>
      </c>
      <c r="AF102" s="66">
        <f t="shared" si="11"/>
        <v>6994.0432201083095</v>
      </c>
      <c r="AG102" s="66">
        <f t="shared" si="11"/>
        <v>5237.4403962907008</v>
      </c>
      <c r="AH102" s="66">
        <f t="shared" si="11"/>
        <v>1504.68146942109</v>
      </c>
      <c r="AI102" s="66">
        <f t="shared" si="11"/>
        <v>3624.6144826435302</v>
      </c>
      <c r="AJ102" s="66">
        <f t="shared" si="11"/>
        <v>53470.932137302501</v>
      </c>
      <c r="AM102" s="50">
        <f>SUM(G102:AJ102)</f>
        <v>399835.27804288501</v>
      </c>
    </row>
    <row r="103" spans="2:39" ht="13.8">
      <c r="B103" s="62" t="s">
        <v>41</v>
      </c>
      <c r="C103" s="58" t="s">
        <v>34</v>
      </c>
      <c r="D103" s="59">
        <v>0</v>
      </c>
      <c r="E103" s="58" t="s">
        <v>56</v>
      </c>
      <c r="F103" s="58" t="s">
        <v>46</v>
      </c>
      <c r="G103" s="58">
        <v>5</v>
      </c>
      <c r="H103" s="58">
        <v>5</v>
      </c>
      <c r="I103" s="58">
        <v>5</v>
      </c>
      <c r="J103" s="58">
        <v>5</v>
      </c>
      <c r="K103" s="58">
        <v>5</v>
      </c>
      <c r="L103" s="58">
        <v>5</v>
      </c>
      <c r="M103" s="58">
        <v>5</v>
      </c>
      <c r="N103" s="58">
        <v>5</v>
      </c>
      <c r="O103" s="58">
        <v>5</v>
      </c>
      <c r="P103" s="58">
        <v>5</v>
      </c>
      <c r="Q103" s="58">
        <v>5</v>
      </c>
      <c r="R103" s="58">
        <v>5</v>
      </c>
      <c r="S103" s="58">
        <v>5</v>
      </c>
      <c r="T103" s="58">
        <v>5</v>
      </c>
      <c r="U103" s="58">
        <v>5</v>
      </c>
      <c r="V103" s="58">
        <v>5</v>
      </c>
      <c r="W103" s="58">
        <v>5</v>
      </c>
      <c r="X103" s="58">
        <v>5</v>
      </c>
      <c r="Y103" s="58">
        <v>5</v>
      </c>
      <c r="Z103" s="58">
        <v>5</v>
      </c>
      <c r="AA103" s="58">
        <v>5</v>
      </c>
      <c r="AB103" s="58">
        <v>5</v>
      </c>
      <c r="AC103" s="58">
        <v>5</v>
      </c>
      <c r="AD103" s="58">
        <v>5</v>
      </c>
      <c r="AE103" s="58">
        <v>5</v>
      </c>
      <c r="AF103" s="58">
        <v>5</v>
      </c>
      <c r="AG103" s="58">
        <v>5</v>
      </c>
      <c r="AH103" s="58">
        <v>5</v>
      </c>
      <c r="AI103" s="58">
        <v>5</v>
      </c>
      <c r="AJ103" s="58">
        <v>5</v>
      </c>
    </row>
    <row r="104" spans="2:39">
      <c r="D104" s="52"/>
    </row>
    <row r="106" spans="2:39" ht="13.8">
      <c r="B106" s="58"/>
      <c r="C106" s="58"/>
      <c r="D106" s="67" t="s">
        <v>58</v>
      </c>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row>
    <row r="107" spans="2:39" ht="13.8">
      <c r="B107" s="58"/>
      <c r="C107" s="58"/>
      <c r="D107" s="67" t="s">
        <v>59</v>
      </c>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row>
    <row r="108" spans="2:39" ht="13.8">
      <c r="D108" s="67" t="s">
        <v>39</v>
      </c>
      <c r="E108" s="67" t="s">
        <v>60</v>
      </c>
      <c r="F108" s="67" t="s">
        <v>61</v>
      </c>
      <c r="G108" s="67" t="s">
        <v>5</v>
      </c>
      <c r="H108" s="67" t="s">
        <v>6</v>
      </c>
      <c r="I108" s="67" t="s">
        <v>7</v>
      </c>
      <c r="J108" s="67" t="s">
        <v>8</v>
      </c>
      <c r="K108" s="67" t="s">
        <v>9</v>
      </c>
      <c r="L108" s="67" t="s">
        <v>10</v>
      </c>
      <c r="M108" s="67" t="s">
        <v>11</v>
      </c>
      <c r="N108" s="67" t="s">
        <v>12</v>
      </c>
      <c r="O108" s="67" t="s">
        <v>13</v>
      </c>
      <c r="P108" s="67" t="s">
        <v>16</v>
      </c>
      <c r="Q108" s="67" t="s">
        <v>14</v>
      </c>
      <c r="R108" s="67" t="s">
        <v>0</v>
      </c>
      <c r="S108" s="67" t="s">
        <v>15</v>
      </c>
      <c r="T108" s="67" t="s">
        <v>17</v>
      </c>
      <c r="U108" s="67" t="s">
        <v>18</v>
      </c>
      <c r="V108" s="67" t="s">
        <v>19</v>
      </c>
      <c r="W108" s="67" t="s">
        <v>20</v>
      </c>
      <c r="X108" s="67" t="s">
        <v>21</v>
      </c>
      <c r="Y108" s="67" t="s">
        <v>22</v>
      </c>
      <c r="Z108" s="67" t="s">
        <v>23</v>
      </c>
      <c r="AA108" s="67" t="s">
        <v>24</v>
      </c>
      <c r="AB108" s="67" t="s">
        <v>55</v>
      </c>
      <c r="AC108" s="67" t="s">
        <v>25</v>
      </c>
      <c r="AD108" s="67" t="s">
        <v>26</v>
      </c>
      <c r="AE108" s="67" t="s">
        <v>27</v>
      </c>
      <c r="AF108" s="67" t="s">
        <v>28</v>
      </c>
      <c r="AG108" s="67" t="s">
        <v>29</v>
      </c>
      <c r="AH108" s="67" t="s">
        <v>30</v>
      </c>
      <c r="AI108" s="67" t="s">
        <v>31</v>
      </c>
      <c r="AJ108" s="67" t="s">
        <v>32</v>
      </c>
      <c r="AK108" s="67" t="s">
        <v>33</v>
      </c>
    </row>
    <row r="109" spans="2:39" ht="13.8">
      <c r="D109" s="67" t="s">
        <v>62</v>
      </c>
      <c r="E109" s="67" t="s">
        <v>63</v>
      </c>
      <c r="F109" s="67" t="s">
        <v>64</v>
      </c>
      <c r="G109" s="67">
        <v>70186.6510812169</v>
      </c>
      <c r="H109" s="67">
        <v>134467.155605262</v>
      </c>
      <c r="I109" s="67">
        <v>39321.504477954397</v>
      </c>
      <c r="J109" s="67">
        <v>39813.520063356598</v>
      </c>
      <c r="K109" s="67">
        <v>8817.1679340887495</v>
      </c>
      <c r="L109" s="67">
        <v>110157.16128897099</v>
      </c>
      <c r="M109" s="67">
        <v>836386.53377119696</v>
      </c>
      <c r="N109" s="67">
        <v>55805.579700798698</v>
      </c>
      <c r="O109" s="67">
        <v>16557.394349163002</v>
      </c>
      <c r="P109" s="67">
        <v>93834.562401702293</v>
      </c>
      <c r="Q109" s="67">
        <v>295960.33375974902</v>
      </c>
      <c r="R109" s="67">
        <v>67240.671439177502</v>
      </c>
      <c r="S109" s="67">
        <v>357078.51669731998</v>
      </c>
      <c r="T109" s="67">
        <v>19313.1440600592</v>
      </c>
      <c r="U109" s="67">
        <v>46787.672816300401</v>
      </c>
      <c r="V109" s="67">
        <v>40761.509664477599</v>
      </c>
      <c r="W109" s="67">
        <v>5030.8689130682496</v>
      </c>
      <c r="X109" s="67">
        <v>421520.02099213703</v>
      </c>
      <c r="Y109" s="67">
        <v>12034.108427106101</v>
      </c>
      <c r="Z109" s="67">
        <v>11680.9855981371</v>
      </c>
      <c r="AA109" s="67">
        <v>9072.8609108489309</v>
      </c>
      <c r="AB109" s="67">
        <v>7478.9455465868496</v>
      </c>
      <c r="AC109" s="67">
        <v>233486.29241165501</v>
      </c>
      <c r="AD109" s="67">
        <v>40682.172133817701</v>
      </c>
      <c r="AE109" s="67">
        <v>330104.29673495202</v>
      </c>
      <c r="AF109" s="67">
        <v>53696.704031262001</v>
      </c>
      <c r="AG109" s="67">
        <v>69940.432201083095</v>
      </c>
      <c r="AH109" s="67">
        <v>52374.403962907003</v>
      </c>
      <c r="AI109" s="67">
        <v>15046.8146942109</v>
      </c>
      <c r="AJ109" s="67">
        <v>36246.144826435302</v>
      </c>
      <c r="AK109" s="67">
        <v>534709.32137302496</v>
      </c>
    </row>
  </sheetData>
  <pageMargins left="0.7" right="0.7" top="0.75" bottom="0.75" header="0.3" footer="0.3"/>
  <pageSetup paperSize="9" orientation="portrait" horizontalDpi="30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96"/>
  <sheetViews>
    <sheetView zoomScale="70" zoomScaleNormal="70" workbookViewId="0">
      <selection activeCell="Q266" sqref="Q266"/>
    </sheetView>
  </sheetViews>
  <sheetFormatPr defaultColWidth="11.5546875" defaultRowHeight="14.4"/>
  <cols>
    <col min="1" max="1" width="22.33203125" style="22" customWidth="1"/>
    <col min="2" max="2" width="24.6640625" style="22" customWidth="1"/>
    <col min="3" max="4" width="11.5546875" style="22"/>
    <col min="5" max="34" width="11.5546875" style="22" customWidth="1"/>
    <col min="35" max="16384" width="11.5546875" style="22"/>
  </cols>
  <sheetData>
    <row r="1" spans="1:35" s="23" customFormat="1">
      <c r="A1" s="23" t="s">
        <v>78</v>
      </c>
      <c r="B1" s="23" t="s">
        <v>79</v>
      </c>
      <c r="C1" s="23" t="s">
        <v>80</v>
      </c>
      <c r="D1" s="23" t="s">
        <v>81</v>
      </c>
      <c r="E1" s="23" t="s">
        <v>5</v>
      </c>
      <c r="F1" s="23" t="s">
        <v>6</v>
      </c>
      <c r="G1" s="23" t="s">
        <v>7</v>
      </c>
      <c r="H1" s="23" t="s">
        <v>8</v>
      </c>
      <c r="I1" s="23" t="s">
        <v>9</v>
      </c>
      <c r="J1" s="23" t="s">
        <v>10</v>
      </c>
      <c r="K1" s="23" t="s">
        <v>11</v>
      </c>
      <c r="L1" s="23" t="s">
        <v>12</v>
      </c>
      <c r="M1" s="23" t="s">
        <v>13</v>
      </c>
      <c r="N1" s="23" t="s">
        <v>16</v>
      </c>
      <c r="O1" s="23" t="s">
        <v>14</v>
      </c>
      <c r="P1" s="23" t="s">
        <v>0</v>
      </c>
      <c r="Q1" s="23" t="s">
        <v>15</v>
      </c>
      <c r="R1" s="23" t="s">
        <v>17</v>
      </c>
      <c r="S1" s="23" t="s">
        <v>18</v>
      </c>
      <c r="T1" s="23" t="s">
        <v>19</v>
      </c>
      <c r="U1" s="23" t="s">
        <v>20</v>
      </c>
      <c r="V1" s="23" t="s">
        <v>21</v>
      </c>
      <c r="W1" s="23" t="s">
        <v>22</v>
      </c>
      <c r="X1" s="23" t="s">
        <v>23</v>
      </c>
      <c r="Y1" s="23" t="s">
        <v>24</v>
      </c>
      <c r="Z1" s="23" t="s">
        <v>82</v>
      </c>
      <c r="AA1" s="23" t="s">
        <v>25</v>
      </c>
      <c r="AB1" s="23" t="s">
        <v>26</v>
      </c>
      <c r="AC1" s="23" t="s">
        <v>27</v>
      </c>
      <c r="AD1" s="23" t="s">
        <v>28</v>
      </c>
      <c r="AE1" s="23" t="s">
        <v>29</v>
      </c>
      <c r="AF1" s="23" t="s">
        <v>30</v>
      </c>
      <c r="AG1" s="23" t="s">
        <v>31</v>
      </c>
      <c r="AH1" s="23" t="s">
        <v>32</v>
      </c>
      <c r="AI1" s="23" t="s">
        <v>71</v>
      </c>
    </row>
    <row r="2" spans="1:35">
      <c r="A2" s="22" t="s">
        <v>83</v>
      </c>
      <c r="B2" s="22" t="s">
        <v>84</v>
      </c>
      <c r="C2" s="22">
        <v>1990</v>
      </c>
      <c r="D2" s="22" t="s">
        <v>85</v>
      </c>
      <c r="E2" s="84">
        <v>50828.112611211</v>
      </c>
      <c r="F2" s="84">
        <v>101525.75050005</v>
      </c>
      <c r="G2" s="84">
        <v>68148.241236148999</v>
      </c>
      <c r="H2" s="84">
        <v>40881.486472701203</v>
      </c>
      <c r="I2" s="84">
        <v>3921.7822458824899</v>
      </c>
      <c r="J2" s="84">
        <v>146640.719306196</v>
      </c>
      <c r="K2" s="84">
        <v>988065.63743838004</v>
      </c>
      <c r="L2" s="84">
        <v>52621.159488165496</v>
      </c>
      <c r="M2" s="84">
        <v>35945.8556684512</v>
      </c>
      <c r="N2" s="84">
        <v>74634.328988015593</v>
      </c>
      <c r="O2" s="84">
        <v>206729.848291131</v>
      </c>
      <c r="P2" s="84">
        <v>52473.234603571</v>
      </c>
      <c r="Q2" s="84">
        <v>349231.38971611502</v>
      </c>
      <c r="R2" s="84">
        <v>19780.3794281351</v>
      </c>
      <c r="S2" s="84">
        <v>64296.062960843497</v>
      </c>
      <c r="T2" s="84">
        <v>30148.207765033399</v>
      </c>
      <c r="U2" s="84">
        <v>1745.8360748303101</v>
      </c>
      <c r="V2" s="84">
        <v>404531.54458161001</v>
      </c>
      <c r="W2" s="84">
        <v>32216.464962413102</v>
      </c>
      <c r="X2" s="84">
        <v>10211.0164355202</v>
      </c>
      <c r="Y2" s="84">
        <v>18645.257970139599</v>
      </c>
      <c r="Z2" s="84">
        <v>2421.8836863985998</v>
      </c>
      <c r="AA2" s="84">
        <v>155340.70643090701</v>
      </c>
      <c r="AB2" s="84">
        <v>24626.8848345896</v>
      </c>
      <c r="AC2" s="84">
        <v>350635.51722935401</v>
      </c>
      <c r="AD2" s="84">
        <v>39397.7124388792</v>
      </c>
      <c r="AE2" s="84">
        <v>149627.656857764</v>
      </c>
      <c r="AF2" s="84">
        <v>51023.293858559897</v>
      </c>
      <c r="AG2" s="84">
        <v>13806.955150740599</v>
      </c>
      <c r="AH2" s="84">
        <v>53155.873456945403</v>
      </c>
      <c r="AI2" s="84">
        <f>SUM(E2:AH2)-H2-U2-AB2</f>
        <v>3526004.593306561</v>
      </c>
    </row>
    <row r="3" spans="1:35">
      <c r="A3" s="22" t="s">
        <v>83</v>
      </c>
      <c r="B3" s="22" t="s">
        <v>84</v>
      </c>
      <c r="C3" s="22">
        <v>2010</v>
      </c>
      <c r="D3" s="22" t="s">
        <v>85</v>
      </c>
      <c r="E3" s="84">
        <v>57787.331740636102</v>
      </c>
      <c r="F3" s="84">
        <v>97550.096654343404</v>
      </c>
      <c r="G3" s="84">
        <v>43979.3675892596</v>
      </c>
      <c r="H3" s="84">
        <v>42559.036137652904</v>
      </c>
      <c r="I3" s="84">
        <v>7506.8735583634798</v>
      </c>
      <c r="J3" s="84">
        <v>105193.422091093</v>
      </c>
      <c r="K3" s="84">
        <v>780112.30329352</v>
      </c>
      <c r="L3" s="84">
        <v>49172.693706977203</v>
      </c>
      <c r="M3" s="84">
        <v>18608.7264713609</v>
      </c>
      <c r="N3" s="84">
        <v>90712.544277080597</v>
      </c>
      <c r="O3" s="84">
        <v>258268.11573855099</v>
      </c>
      <c r="P3" s="84">
        <v>59128.708371631998</v>
      </c>
      <c r="Q3" s="84">
        <v>350511.66491733899</v>
      </c>
      <c r="R3" s="84">
        <v>18265.121145331701</v>
      </c>
      <c r="S3" s="84">
        <v>46783.421140034297</v>
      </c>
      <c r="T3" s="84">
        <v>39778.737813960601</v>
      </c>
      <c r="U3" s="84">
        <v>1804.1295264635201</v>
      </c>
      <c r="V3" s="84">
        <v>411945.06708001997</v>
      </c>
      <c r="W3" s="84">
        <v>12250.866635436299</v>
      </c>
      <c r="X3" s="84">
        <v>10596.1784982852</v>
      </c>
      <c r="Y3" s="84">
        <v>8024.5109487746204</v>
      </c>
      <c r="Z3" s="84">
        <v>2598.6544879227899</v>
      </c>
      <c r="AA3" s="84">
        <v>174947.98659390799</v>
      </c>
      <c r="AB3" s="84">
        <v>35310.402853380903</v>
      </c>
      <c r="AC3" s="84">
        <v>313363.43456892698</v>
      </c>
      <c r="AD3" s="84">
        <v>47296.120803823498</v>
      </c>
      <c r="AE3" s="84">
        <v>73092.001358534704</v>
      </c>
      <c r="AF3" s="84">
        <v>45667.242226550698</v>
      </c>
      <c r="AG3" s="84">
        <v>15554.3738902682</v>
      </c>
      <c r="AH3" s="84">
        <v>30509.532896389101</v>
      </c>
      <c r="AI3" s="84">
        <f t="shared" ref="AI3:AI66" si="0">SUM(E3:AH3)-H3-U3-AB3</f>
        <v>3169205.0984983235</v>
      </c>
    </row>
    <row r="4" spans="1:35">
      <c r="A4" s="22" t="s">
        <v>83</v>
      </c>
      <c r="B4" s="22" t="s">
        <v>84</v>
      </c>
      <c r="C4" s="22">
        <v>2015</v>
      </c>
      <c r="D4" s="22" t="s">
        <v>85</v>
      </c>
      <c r="E4" s="84">
        <v>51664.963810612899</v>
      </c>
      <c r="F4" s="84">
        <v>85147.165212853201</v>
      </c>
      <c r="G4" s="84">
        <v>43143.324158076401</v>
      </c>
      <c r="H4" s="84">
        <v>36545.685384288903</v>
      </c>
      <c r="I4" s="84">
        <v>6080.5865988566202</v>
      </c>
      <c r="J4" s="84">
        <v>92898.917416695404</v>
      </c>
      <c r="K4" s="84">
        <v>749200.93441909004</v>
      </c>
      <c r="L4" s="84">
        <v>34752.4328004462</v>
      </c>
      <c r="M4" s="84">
        <v>15527.2549424114</v>
      </c>
      <c r="N4" s="84">
        <v>69213.622318931506</v>
      </c>
      <c r="O4" s="84">
        <v>246084.583806813</v>
      </c>
      <c r="P4" s="84">
        <v>39753.691712502099</v>
      </c>
      <c r="Q4" s="84">
        <v>309676.52327505202</v>
      </c>
      <c r="R4" s="84">
        <v>15549.1117503275</v>
      </c>
      <c r="S4" s="84">
        <v>41563.269919458602</v>
      </c>
      <c r="T4" s="84">
        <v>36239.747400740802</v>
      </c>
      <c r="U4" s="84">
        <v>1660.5384477561499</v>
      </c>
      <c r="V4" s="84">
        <v>343765.851750503</v>
      </c>
      <c r="W4" s="84">
        <v>10391.9039841126</v>
      </c>
      <c r="X4" s="84">
        <v>8795.5472448463297</v>
      </c>
      <c r="Y4" s="84">
        <v>6714.0314263295404</v>
      </c>
      <c r="Z4" s="84">
        <v>1655.0954359314501</v>
      </c>
      <c r="AA4" s="84">
        <v>156921.369282814</v>
      </c>
      <c r="AB4" s="84">
        <v>34888.564009447902</v>
      </c>
      <c r="AC4" s="84">
        <v>288748.814894229</v>
      </c>
      <c r="AD4" s="84">
        <v>46298.502549268502</v>
      </c>
      <c r="AE4" s="84">
        <v>66759.415532742802</v>
      </c>
      <c r="AF4" s="84">
        <v>36469.478329868201</v>
      </c>
      <c r="AG4" s="84">
        <v>12746.3822445922</v>
      </c>
      <c r="AH4" s="84">
        <v>26257.5684270331</v>
      </c>
      <c r="AI4" s="84">
        <f t="shared" si="0"/>
        <v>2842020.0906451377</v>
      </c>
    </row>
    <row r="5" spans="1:35">
      <c r="A5" s="22" t="s">
        <v>83</v>
      </c>
      <c r="B5" s="22" t="s">
        <v>84</v>
      </c>
      <c r="C5" s="22">
        <v>2019</v>
      </c>
      <c r="D5" s="22" t="s">
        <v>85</v>
      </c>
      <c r="E5" s="84">
        <v>53627.428765607001</v>
      </c>
      <c r="F5" s="84">
        <v>83664.774858438701</v>
      </c>
      <c r="G5" s="84">
        <v>37640.151285277403</v>
      </c>
      <c r="H5" s="84">
        <v>34531.858423526799</v>
      </c>
      <c r="I5" s="84">
        <v>6522.7421668670604</v>
      </c>
      <c r="J5" s="84">
        <v>89264.3790915477</v>
      </c>
      <c r="K5" s="84">
        <v>657793.16518470994</v>
      </c>
      <c r="L5" s="84">
        <v>30776.125381293001</v>
      </c>
      <c r="M5" s="84">
        <v>11919.179182329701</v>
      </c>
      <c r="N5" s="84">
        <v>59774.338431788397</v>
      </c>
      <c r="O5" s="84">
        <v>228049.321151429</v>
      </c>
      <c r="P5" s="84">
        <v>38058.493512977599</v>
      </c>
      <c r="Q5" s="84">
        <v>294549.22159459803</v>
      </c>
      <c r="R5" s="84">
        <v>15477.340080264201</v>
      </c>
      <c r="S5" s="84">
        <v>43737.526036917698</v>
      </c>
      <c r="T5" s="84">
        <v>34629.524540732396</v>
      </c>
      <c r="U5" s="84">
        <v>1664.1864226647599</v>
      </c>
      <c r="V5" s="84">
        <v>322119.66219992802</v>
      </c>
      <c r="W5" s="84">
        <v>11003.841020329</v>
      </c>
      <c r="X5" s="84">
        <v>9155.6731136877897</v>
      </c>
      <c r="Y5" s="84">
        <v>6975.6974271065401</v>
      </c>
      <c r="Z5" s="84">
        <v>1643.4840896344399</v>
      </c>
      <c r="AA5" s="84">
        <v>145253.14282740501</v>
      </c>
      <c r="AB5" s="84">
        <v>32929.447637605699</v>
      </c>
      <c r="AC5" s="84">
        <v>292920.12308304402</v>
      </c>
      <c r="AD5" s="84">
        <v>42301.624717127801</v>
      </c>
      <c r="AE5" s="84">
        <v>65255.941657544099</v>
      </c>
      <c r="AF5" s="84">
        <v>33593.992190983299</v>
      </c>
      <c r="AG5" s="84">
        <v>13029.5767943355</v>
      </c>
      <c r="AH5" s="84">
        <v>25893.119705477799</v>
      </c>
      <c r="AI5" s="84">
        <f t="shared" si="0"/>
        <v>2654629.5900913812</v>
      </c>
    </row>
    <row r="6" spans="1:35">
      <c r="A6" s="22" t="s">
        <v>83</v>
      </c>
      <c r="B6" s="22" t="s">
        <v>84</v>
      </c>
      <c r="C6" s="22">
        <v>2021</v>
      </c>
      <c r="D6" s="22" t="s">
        <v>85</v>
      </c>
      <c r="E6" s="84">
        <v>50848.506059309097</v>
      </c>
      <c r="F6" s="84">
        <v>80264.081383231503</v>
      </c>
      <c r="G6" s="84">
        <v>37959.213657769797</v>
      </c>
      <c r="H6" s="84">
        <v>33597.8848167994</v>
      </c>
      <c r="I6" s="84">
        <v>6127.0402072485003</v>
      </c>
      <c r="J6" s="84">
        <v>84267.386420628303</v>
      </c>
      <c r="K6" s="84">
        <v>629640.23776281998</v>
      </c>
      <c r="L6" s="84">
        <v>29354.220238432401</v>
      </c>
      <c r="M6" s="84">
        <v>10290.397023301401</v>
      </c>
      <c r="N6" s="84">
        <v>52444.9345699802</v>
      </c>
      <c r="O6" s="84">
        <v>208494.55576486501</v>
      </c>
      <c r="P6" s="84">
        <v>33445.253346482998</v>
      </c>
      <c r="Q6" s="84">
        <v>285210.67733279598</v>
      </c>
      <c r="R6" s="84">
        <v>15189.9758121799</v>
      </c>
      <c r="S6" s="84">
        <v>43281.630583368598</v>
      </c>
      <c r="T6" s="84">
        <v>34376.405355516501</v>
      </c>
      <c r="U6" s="84">
        <v>1566.7397397467901</v>
      </c>
      <c r="V6" s="84">
        <v>319646.20060293103</v>
      </c>
      <c r="W6" s="84">
        <v>11405.9760139143</v>
      </c>
      <c r="X6" s="84">
        <v>7908.5842963499299</v>
      </c>
      <c r="Y6" s="84">
        <v>6554.1636830153902</v>
      </c>
      <c r="Z6" s="84">
        <v>1601.5396610575301</v>
      </c>
      <c r="AA6" s="84">
        <v>133190.111594466</v>
      </c>
      <c r="AB6" s="84">
        <v>30912.039694782801</v>
      </c>
      <c r="AC6" s="84">
        <v>306225.27923664701</v>
      </c>
      <c r="AD6" s="84">
        <v>35093.921073320103</v>
      </c>
      <c r="AE6" s="84">
        <v>65533.1074972161</v>
      </c>
      <c r="AF6" s="84">
        <v>32381.454889136301</v>
      </c>
      <c r="AG6" s="84">
        <v>12114.095192577</v>
      </c>
      <c r="AH6" s="84">
        <v>26399.179738635801</v>
      </c>
      <c r="AI6" s="84">
        <f t="shared" si="0"/>
        <v>2559248.1289971974</v>
      </c>
    </row>
    <row r="7" spans="1:35">
      <c r="A7" s="22" t="s">
        <v>83</v>
      </c>
      <c r="B7" s="22" t="s">
        <v>84</v>
      </c>
      <c r="C7" s="22">
        <v>1990</v>
      </c>
      <c r="D7" s="22" t="s">
        <v>86</v>
      </c>
      <c r="E7" s="84">
        <v>51890.980628239799</v>
      </c>
      <c r="F7" s="84">
        <v>102530.236697482</v>
      </c>
      <c r="G7" s="84">
        <v>69030.069447839298</v>
      </c>
      <c r="H7" s="84">
        <v>41496.126200863699</v>
      </c>
      <c r="I7" s="84">
        <v>3953.8927594563802</v>
      </c>
      <c r="J7" s="84">
        <v>149368.96332032199</v>
      </c>
      <c r="K7" s="84">
        <v>1001632.61681322</v>
      </c>
      <c r="L7" s="84">
        <v>53209.667341043598</v>
      </c>
      <c r="M7" s="84">
        <v>36112.779141447798</v>
      </c>
      <c r="N7" s="84">
        <v>75784.167604079106</v>
      </c>
      <c r="O7" s="84">
        <v>209424.490606265</v>
      </c>
      <c r="P7" s="84">
        <v>53295.410377148</v>
      </c>
      <c r="Q7" s="84">
        <v>358769.94123386301</v>
      </c>
      <c r="R7" s="84">
        <v>20460.0327579849</v>
      </c>
      <c r="S7" s="84">
        <v>65638.553560483706</v>
      </c>
      <c r="T7" s="84">
        <v>30949.049840916301</v>
      </c>
      <c r="U7" s="84">
        <v>1778.41285006968</v>
      </c>
      <c r="V7" s="84">
        <v>411345.15276272898</v>
      </c>
      <c r="W7" s="84">
        <v>32824.4527784682</v>
      </c>
      <c r="X7" s="84">
        <v>10274.3350868548</v>
      </c>
      <c r="Y7" s="84">
        <v>19253.476688698101</v>
      </c>
      <c r="Z7" s="84">
        <v>2434.9404074673198</v>
      </c>
      <c r="AA7" s="84">
        <v>156663.09966691001</v>
      </c>
      <c r="AB7" s="84">
        <v>25396.247767596498</v>
      </c>
      <c r="AC7" s="84">
        <v>355986.40218201099</v>
      </c>
      <c r="AD7" s="84">
        <v>40473.539502147702</v>
      </c>
      <c r="AE7" s="84">
        <v>150851.37507626801</v>
      </c>
      <c r="AF7" s="84">
        <v>51845.542700993203</v>
      </c>
      <c r="AG7" s="84">
        <v>14144.1605678043</v>
      </c>
      <c r="AH7" s="84">
        <v>53892.713965358598</v>
      </c>
      <c r="AI7" s="84">
        <f t="shared" si="0"/>
        <v>3582040.0435155011</v>
      </c>
    </row>
    <row r="8" spans="1:35">
      <c r="A8" s="22" t="s">
        <v>83</v>
      </c>
      <c r="B8" s="22" t="s">
        <v>84</v>
      </c>
      <c r="C8" s="22">
        <v>2010</v>
      </c>
      <c r="D8" s="22" t="s">
        <v>86</v>
      </c>
      <c r="E8" s="84">
        <v>58778.984331374297</v>
      </c>
      <c r="F8" s="84">
        <v>98778.606672309601</v>
      </c>
      <c r="G8" s="84">
        <v>44622.565099206498</v>
      </c>
      <c r="H8" s="84">
        <v>42922.557171680703</v>
      </c>
      <c r="I8" s="84">
        <v>7546.6956147554802</v>
      </c>
      <c r="J8" s="84">
        <v>106782.395480797</v>
      </c>
      <c r="K8" s="84">
        <v>788482.34089810005</v>
      </c>
      <c r="L8" s="84">
        <v>50124.173862473399</v>
      </c>
      <c r="M8" s="84">
        <v>18706.733447582901</v>
      </c>
      <c r="N8" s="84">
        <v>91766.268893873596</v>
      </c>
      <c r="O8" s="84">
        <v>262572.33931688301</v>
      </c>
      <c r="P8" s="84">
        <v>60053.073235067997</v>
      </c>
      <c r="Q8" s="84">
        <v>357824.181662658</v>
      </c>
      <c r="R8" s="84">
        <v>18934.970257543398</v>
      </c>
      <c r="S8" s="84">
        <v>47781.559477439601</v>
      </c>
      <c r="T8" s="84">
        <v>40357.971178102001</v>
      </c>
      <c r="U8" s="84">
        <v>1831.37825481491</v>
      </c>
      <c r="V8" s="84">
        <v>420227.41562679899</v>
      </c>
      <c r="W8" s="84">
        <v>12606.7539908668</v>
      </c>
      <c r="X8" s="84">
        <v>10671.931424983401</v>
      </c>
      <c r="Y8" s="84">
        <v>8429.7857452398202</v>
      </c>
      <c r="Z8" s="84">
        <v>2611.8486001187898</v>
      </c>
      <c r="AA8" s="84">
        <v>177841.9230942</v>
      </c>
      <c r="AB8" s="84">
        <v>36173.365339305303</v>
      </c>
      <c r="AC8" s="84">
        <v>320243.46212540602</v>
      </c>
      <c r="AD8" s="84">
        <v>48200.736771302203</v>
      </c>
      <c r="AE8" s="84">
        <v>75043.521902561493</v>
      </c>
      <c r="AF8" s="84">
        <v>46447.585646183798</v>
      </c>
      <c r="AG8" s="84">
        <v>15890.614201783201</v>
      </c>
      <c r="AH8" s="84">
        <v>31043.228491084399</v>
      </c>
      <c r="AI8" s="84">
        <f t="shared" si="0"/>
        <v>3222371.6670486964</v>
      </c>
    </row>
    <row r="9" spans="1:35">
      <c r="A9" s="22" t="s">
        <v>83</v>
      </c>
      <c r="B9" s="22" t="s">
        <v>84</v>
      </c>
      <c r="C9" s="22">
        <v>2015</v>
      </c>
      <c r="D9" s="22" t="s">
        <v>86</v>
      </c>
      <c r="E9" s="84">
        <v>52607.622210258502</v>
      </c>
      <c r="F9" s="84">
        <v>86375.823003171798</v>
      </c>
      <c r="G9" s="84">
        <v>43788.703152236703</v>
      </c>
      <c r="H9" s="84">
        <v>36857.728868704296</v>
      </c>
      <c r="I9" s="84">
        <v>6117.2275719476202</v>
      </c>
      <c r="J9" s="84">
        <v>94541.405423976496</v>
      </c>
      <c r="K9" s="84">
        <v>758237.91013947001</v>
      </c>
      <c r="L9" s="84">
        <v>35378.791849845802</v>
      </c>
      <c r="M9" s="84">
        <v>15612.7719483361</v>
      </c>
      <c r="N9" s="84">
        <v>70067.950827441498</v>
      </c>
      <c r="O9" s="84">
        <v>249986.11825538799</v>
      </c>
      <c r="P9" s="84">
        <v>40527.822529205099</v>
      </c>
      <c r="Q9" s="84">
        <v>315696.96353769099</v>
      </c>
      <c r="R9" s="84">
        <v>16174.250382231499</v>
      </c>
      <c r="S9" s="84">
        <v>42618.652498463904</v>
      </c>
      <c r="T9" s="84">
        <v>36756.770126952702</v>
      </c>
      <c r="U9" s="84">
        <v>1685.5145288664801</v>
      </c>
      <c r="V9" s="84">
        <v>351289.03954256698</v>
      </c>
      <c r="W9" s="84">
        <v>10739.0885798202</v>
      </c>
      <c r="X9" s="84">
        <v>8882.1420645392809</v>
      </c>
      <c r="Y9" s="84">
        <v>7080.7775329331898</v>
      </c>
      <c r="Z9" s="84">
        <v>1664.23881477896</v>
      </c>
      <c r="AA9" s="84">
        <v>159290.509922019</v>
      </c>
      <c r="AB9" s="84">
        <v>35653.050704447</v>
      </c>
      <c r="AC9" s="84">
        <v>294804.475631857</v>
      </c>
      <c r="AD9" s="84">
        <v>47146.346970620703</v>
      </c>
      <c r="AE9" s="84">
        <v>68505.787596526905</v>
      </c>
      <c r="AF9" s="84">
        <v>37191.494937830401</v>
      </c>
      <c r="AG9" s="84">
        <v>13061.762166271399</v>
      </c>
      <c r="AH9" s="84">
        <v>26781.5614710226</v>
      </c>
      <c r="AI9" s="84">
        <f t="shared" si="0"/>
        <v>2890926.0086874035</v>
      </c>
    </row>
    <row r="10" spans="1:35">
      <c r="A10" s="22" t="s">
        <v>83</v>
      </c>
      <c r="B10" s="22" t="s">
        <v>84</v>
      </c>
      <c r="C10" s="22">
        <v>2019</v>
      </c>
      <c r="D10" s="22" t="s">
        <v>86</v>
      </c>
      <c r="E10" s="84">
        <v>54563.032200286601</v>
      </c>
      <c r="F10" s="84">
        <v>84823.582610019002</v>
      </c>
      <c r="G10" s="84">
        <v>38330.406288630598</v>
      </c>
      <c r="H10" s="84">
        <v>34852.126127329298</v>
      </c>
      <c r="I10" s="84">
        <v>6566.7142332578997</v>
      </c>
      <c r="J10" s="84">
        <v>90941.2093376665</v>
      </c>
      <c r="K10" s="84">
        <v>666601.27887124999</v>
      </c>
      <c r="L10" s="84">
        <v>31415.6149674261</v>
      </c>
      <c r="M10" s="84">
        <v>12013.4517183142</v>
      </c>
      <c r="N10" s="84">
        <v>60509.422631132402</v>
      </c>
      <c r="O10" s="84">
        <v>231955.303228164</v>
      </c>
      <c r="P10" s="84">
        <v>38876.398671438597</v>
      </c>
      <c r="Q10" s="84">
        <v>300080.21400844899</v>
      </c>
      <c r="R10" s="84">
        <v>16062.535124112501</v>
      </c>
      <c r="S10" s="84">
        <v>44619.044732753697</v>
      </c>
      <c r="T10" s="84">
        <v>35156.314007514899</v>
      </c>
      <c r="U10" s="84">
        <v>1686.6452562159</v>
      </c>
      <c r="V10" s="84">
        <v>329426.74529936799</v>
      </c>
      <c r="W10" s="84">
        <v>11364.692363161101</v>
      </c>
      <c r="X10" s="84">
        <v>9257.4555174812303</v>
      </c>
      <c r="Y10" s="84">
        <v>7366.6181928267497</v>
      </c>
      <c r="Z10" s="84">
        <v>1652.1545603836701</v>
      </c>
      <c r="AA10" s="84">
        <v>147778.680915681</v>
      </c>
      <c r="AB10" s="84">
        <v>33626.256436803596</v>
      </c>
      <c r="AC10" s="84">
        <v>299844.68209253199</v>
      </c>
      <c r="AD10" s="84">
        <v>43158.273047339302</v>
      </c>
      <c r="AE10" s="84">
        <v>67078.830445999702</v>
      </c>
      <c r="AF10" s="84">
        <v>34338.694303418903</v>
      </c>
      <c r="AG10" s="84">
        <v>13309.568394231699</v>
      </c>
      <c r="AH10" s="84">
        <v>26375.030438838101</v>
      </c>
      <c r="AI10" s="84">
        <f t="shared" si="0"/>
        <v>2703465.9482016782</v>
      </c>
    </row>
    <row r="11" spans="1:35">
      <c r="A11" s="22" t="s">
        <v>83</v>
      </c>
      <c r="B11" s="22" t="s">
        <v>84</v>
      </c>
      <c r="C11" s="22">
        <v>2021</v>
      </c>
      <c r="D11" s="22" t="s">
        <v>86</v>
      </c>
      <c r="E11" s="84">
        <v>51810.610296436498</v>
      </c>
      <c r="F11" s="84">
        <v>81445.974610693404</v>
      </c>
      <c r="G11" s="84">
        <v>38694.011097448602</v>
      </c>
      <c r="H11" s="84">
        <v>33919.0041340233</v>
      </c>
      <c r="I11" s="84">
        <v>6172.3985155936198</v>
      </c>
      <c r="J11" s="84">
        <v>86046.757728188997</v>
      </c>
      <c r="K11" s="84">
        <v>638525.33749804005</v>
      </c>
      <c r="L11" s="84">
        <v>29976.9208004221</v>
      </c>
      <c r="M11" s="84">
        <v>10394.9767536287</v>
      </c>
      <c r="N11" s="84">
        <v>53133.849601671798</v>
      </c>
      <c r="O11" s="84">
        <v>212321.76036534301</v>
      </c>
      <c r="P11" s="84">
        <v>34236.337390933899</v>
      </c>
      <c r="Q11" s="84">
        <v>290584.73125936103</v>
      </c>
      <c r="R11" s="84">
        <v>15823.350585743599</v>
      </c>
      <c r="S11" s="84">
        <v>44173.463908464801</v>
      </c>
      <c r="T11" s="84">
        <v>34868.515062365499</v>
      </c>
      <c r="U11" s="84">
        <v>1586.63487882698</v>
      </c>
      <c r="V11" s="84">
        <v>327124.18222457101</v>
      </c>
      <c r="W11" s="84">
        <v>11785.998906909699</v>
      </c>
      <c r="X11" s="84">
        <v>8005.28132527649</v>
      </c>
      <c r="Y11" s="84">
        <v>6928.4573609021199</v>
      </c>
      <c r="Z11" s="84">
        <v>1609.14239044998</v>
      </c>
      <c r="AA11" s="84">
        <v>135856.376333489</v>
      </c>
      <c r="AB11" s="84">
        <v>31629.112138659999</v>
      </c>
      <c r="AC11" s="84">
        <v>313101.04004075099</v>
      </c>
      <c r="AD11" s="84">
        <v>35935.851281237003</v>
      </c>
      <c r="AE11" s="84">
        <v>67470.168188638796</v>
      </c>
      <c r="AF11" s="84">
        <v>33123.859291772002</v>
      </c>
      <c r="AG11" s="84">
        <v>12394.4073675154</v>
      </c>
      <c r="AH11" s="84">
        <v>26928.368810520002</v>
      </c>
      <c r="AI11" s="84">
        <f t="shared" si="0"/>
        <v>2608472.1289963685</v>
      </c>
    </row>
    <row r="12" spans="1:35">
      <c r="A12" s="22" t="s">
        <v>83</v>
      </c>
      <c r="B12" s="22" t="s">
        <v>84</v>
      </c>
      <c r="C12" s="22">
        <v>1990</v>
      </c>
      <c r="D12" s="22" t="s">
        <v>87</v>
      </c>
      <c r="E12" s="84">
        <v>1062.8680170288101</v>
      </c>
      <c r="F12" s="84">
        <v>1004.48619743293</v>
      </c>
      <c r="G12" s="84">
        <v>881.82821169032798</v>
      </c>
      <c r="H12" s="84">
        <v>614.63972816251805</v>
      </c>
      <c r="I12" s="84">
        <v>32.110513573887097</v>
      </c>
      <c r="J12" s="84">
        <v>2728.24401412616</v>
      </c>
      <c r="K12" s="84">
        <v>13566.9793748436</v>
      </c>
      <c r="L12" s="84">
        <v>588.50785287810902</v>
      </c>
      <c r="M12" s="84">
        <v>166.923472996627</v>
      </c>
      <c r="N12" s="84">
        <v>1149.8386160635</v>
      </c>
      <c r="O12" s="84">
        <v>2694.6423151336498</v>
      </c>
      <c r="P12" s="84">
        <v>822.175773577001</v>
      </c>
      <c r="Q12" s="84">
        <v>9538.5515177487996</v>
      </c>
      <c r="R12" s="84">
        <v>679.65332984975998</v>
      </c>
      <c r="S12" s="84">
        <v>1342.4905996402399</v>
      </c>
      <c r="T12" s="84">
        <v>800.84207588289803</v>
      </c>
      <c r="U12" s="84">
        <v>32.576775239363997</v>
      </c>
      <c r="V12" s="84">
        <v>6813.6081811190797</v>
      </c>
      <c r="W12" s="84">
        <v>607.98781605513102</v>
      </c>
      <c r="X12" s="84">
        <v>63.318651334651797</v>
      </c>
      <c r="Y12" s="84">
        <v>608.21871855857898</v>
      </c>
      <c r="Z12" s="84">
        <v>13.056721068725899</v>
      </c>
      <c r="AA12" s="84">
        <v>1322.39323600286</v>
      </c>
      <c r="AB12" s="84">
        <v>769.36293300689795</v>
      </c>
      <c r="AC12" s="84">
        <v>5350.8849526574504</v>
      </c>
      <c r="AD12" s="84">
        <v>1075.8270632685101</v>
      </c>
      <c r="AE12" s="84">
        <v>1223.7182185040399</v>
      </c>
      <c r="AF12" s="84">
        <v>822.248842433204</v>
      </c>
      <c r="AG12" s="84">
        <v>337.205417063737</v>
      </c>
      <c r="AH12" s="84">
        <v>736.84050841319504</v>
      </c>
      <c r="AI12" s="84">
        <f t="shared" si="0"/>
        <v>56035.450208945462</v>
      </c>
    </row>
    <row r="13" spans="1:35">
      <c r="A13" s="22" t="s">
        <v>83</v>
      </c>
      <c r="B13" s="22" t="s">
        <v>84</v>
      </c>
      <c r="C13" s="22">
        <v>2010</v>
      </c>
      <c r="D13" s="22" t="s">
        <v>87</v>
      </c>
      <c r="E13" s="84">
        <v>991.65259073815798</v>
      </c>
      <c r="F13" s="84">
        <v>1228.5100179661999</v>
      </c>
      <c r="G13" s="84">
        <v>643.19750994689798</v>
      </c>
      <c r="H13" s="84">
        <v>363.52103402783501</v>
      </c>
      <c r="I13" s="84">
        <v>39.822056391992199</v>
      </c>
      <c r="J13" s="84">
        <v>1588.97338970334</v>
      </c>
      <c r="K13" s="84">
        <v>8370.0376045800494</v>
      </c>
      <c r="L13" s="84">
        <v>951.48015549618901</v>
      </c>
      <c r="M13" s="84">
        <v>98.006976222008205</v>
      </c>
      <c r="N13" s="84">
        <v>1053.72461679303</v>
      </c>
      <c r="O13" s="84">
        <v>4304.2235783322503</v>
      </c>
      <c r="P13" s="84">
        <v>924.36486343599995</v>
      </c>
      <c r="Q13" s="84">
        <v>7312.5167453188296</v>
      </c>
      <c r="R13" s="84">
        <v>669.84911221168704</v>
      </c>
      <c r="S13" s="84">
        <v>998.13833740523796</v>
      </c>
      <c r="T13" s="84">
        <v>579.23336414135701</v>
      </c>
      <c r="U13" s="84">
        <v>27.248728351384901</v>
      </c>
      <c r="V13" s="84">
        <v>8282.3485467791306</v>
      </c>
      <c r="W13" s="84">
        <v>355.88735543052798</v>
      </c>
      <c r="X13" s="84">
        <v>75.752926698192795</v>
      </c>
      <c r="Y13" s="84">
        <v>405.27479646519799</v>
      </c>
      <c r="Z13" s="84">
        <v>13.1941121960008</v>
      </c>
      <c r="AA13" s="84">
        <v>2893.93650029117</v>
      </c>
      <c r="AB13" s="84">
        <v>862.96248592437803</v>
      </c>
      <c r="AC13" s="84">
        <v>6880.02755647904</v>
      </c>
      <c r="AD13" s="84">
        <v>904.61596747876297</v>
      </c>
      <c r="AE13" s="84">
        <v>1951.5205440268601</v>
      </c>
      <c r="AF13" s="84">
        <v>780.34341963301301</v>
      </c>
      <c r="AG13" s="84">
        <v>336.24031151497701</v>
      </c>
      <c r="AH13" s="84">
        <v>533.69559469535704</v>
      </c>
      <c r="AI13" s="84">
        <f t="shared" si="0"/>
        <v>53166.568550371478</v>
      </c>
    </row>
    <row r="14" spans="1:35">
      <c r="A14" s="22" t="s">
        <v>83</v>
      </c>
      <c r="B14" s="22" t="s">
        <v>84</v>
      </c>
      <c r="C14" s="22">
        <v>2015</v>
      </c>
      <c r="D14" s="22" t="s">
        <v>87</v>
      </c>
      <c r="E14" s="84">
        <v>942.65839964559598</v>
      </c>
      <c r="F14" s="84">
        <v>1228.6577903185701</v>
      </c>
      <c r="G14" s="84">
        <v>645.37899416023697</v>
      </c>
      <c r="H14" s="84">
        <v>312.04348441544403</v>
      </c>
      <c r="I14" s="84">
        <v>36.640973091001797</v>
      </c>
      <c r="J14" s="84">
        <v>1642.48800728114</v>
      </c>
      <c r="K14" s="84">
        <v>9036.9757203799709</v>
      </c>
      <c r="L14" s="84">
        <v>626.35904939961597</v>
      </c>
      <c r="M14" s="84">
        <v>85.517005924715704</v>
      </c>
      <c r="N14" s="84">
        <v>854.32850850999205</v>
      </c>
      <c r="O14" s="84">
        <v>3901.5344485744699</v>
      </c>
      <c r="P14" s="84">
        <v>774.13081670300005</v>
      </c>
      <c r="Q14" s="84">
        <v>6020.4402626382098</v>
      </c>
      <c r="R14" s="84">
        <v>625.13863190399604</v>
      </c>
      <c r="S14" s="84">
        <v>1055.3825790053299</v>
      </c>
      <c r="T14" s="84">
        <v>517.02272621192196</v>
      </c>
      <c r="U14" s="84">
        <v>24.976081110327399</v>
      </c>
      <c r="V14" s="84">
        <v>7523.1877920638699</v>
      </c>
      <c r="W14" s="84">
        <v>347.18459570758802</v>
      </c>
      <c r="X14" s="84">
        <v>86.5948196929494</v>
      </c>
      <c r="Y14" s="84">
        <v>366.74610660364903</v>
      </c>
      <c r="Z14" s="84">
        <v>9.1433788475112596</v>
      </c>
      <c r="AA14" s="84">
        <v>2369.14063920543</v>
      </c>
      <c r="AB14" s="84">
        <v>764.48669499907601</v>
      </c>
      <c r="AC14" s="84">
        <v>6055.6607376284101</v>
      </c>
      <c r="AD14" s="84">
        <v>847.84442135215102</v>
      </c>
      <c r="AE14" s="84">
        <v>1746.37206378409</v>
      </c>
      <c r="AF14" s="84">
        <v>722.01660796222905</v>
      </c>
      <c r="AG14" s="84">
        <v>315.37992167922499</v>
      </c>
      <c r="AH14" s="84">
        <v>523.99304398949596</v>
      </c>
      <c r="AI14" s="84">
        <f t="shared" si="0"/>
        <v>48905.918042264362</v>
      </c>
    </row>
    <row r="15" spans="1:35">
      <c r="A15" s="22" t="s">
        <v>83</v>
      </c>
      <c r="B15" s="22" t="s">
        <v>84</v>
      </c>
      <c r="C15" s="22">
        <v>2019</v>
      </c>
      <c r="D15" s="22" t="s">
        <v>87</v>
      </c>
      <c r="E15" s="84">
        <v>935.60343467968096</v>
      </c>
      <c r="F15" s="84">
        <v>1158.8077515803</v>
      </c>
      <c r="G15" s="84">
        <v>690.25500335322397</v>
      </c>
      <c r="H15" s="84">
        <v>320.26770380252901</v>
      </c>
      <c r="I15" s="84">
        <v>43.9720663908411</v>
      </c>
      <c r="J15" s="84">
        <v>1676.83024611878</v>
      </c>
      <c r="K15" s="84">
        <v>8808.1136865400495</v>
      </c>
      <c r="L15" s="84">
        <v>639.48958613314198</v>
      </c>
      <c r="M15" s="84">
        <v>94.272535984497196</v>
      </c>
      <c r="N15" s="84">
        <v>735.08419934396102</v>
      </c>
      <c r="O15" s="84">
        <v>3905.9820767348901</v>
      </c>
      <c r="P15" s="84">
        <v>817.90515846099902</v>
      </c>
      <c r="Q15" s="84">
        <v>5530.9924138506203</v>
      </c>
      <c r="R15" s="84">
        <v>585.19504384830498</v>
      </c>
      <c r="S15" s="84">
        <v>881.51869583597704</v>
      </c>
      <c r="T15" s="84">
        <v>526.78946678252396</v>
      </c>
      <c r="U15" s="84">
        <v>22.458833551136198</v>
      </c>
      <c r="V15" s="84">
        <v>7307.0830994404396</v>
      </c>
      <c r="W15" s="84">
        <v>360.85134283207799</v>
      </c>
      <c r="X15" s="84">
        <v>101.782403793439</v>
      </c>
      <c r="Y15" s="84">
        <v>390.92076572021398</v>
      </c>
      <c r="Z15" s="84">
        <v>8.6704707492308408</v>
      </c>
      <c r="AA15" s="84">
        <v>2525.5380882764598</v>
      </c>
      <c r="AB15" s="84">
        <v>696.80879919787503</v>
      </c>
      <c r="AC15" s="84">
        <v>6924.5590094879699</v>
      </c>
      <c r="AD15" s="84">
        <v>856.64833021155903</v>
      </c>
      <c r="AE15" s="84">
        <v>1822.8887884555199</v>
      </c>
      <c r="AF15" s="84">
        <v>744.70211243559595</v>
      </c>
      <c r="AG15" s="84">
        <v>279.99159989614202</v>
      </c>
      <c r="AH15" s="84">
        <v>481.91073336031297</v>
      </c>
      <c r="AI15" s="84">
        <f t="shared" si="0"/>
        <v>48836.358110296766</v>
      </c>
    </row>
    <row r="16" spans="1:35">
      <c r="A16" s="22" t="s">
        <v>83</v>
      </c>
      <c r="B16" s="22" t="s">
        <v>84</v>
      </c>
      <c r="C16" s="22">
        <v>2021</v>
      </c>
      <c r="D16" s="22" t="s">
        <v>87</v>
      </c>
      <c r="E16" s="84">
        <v>962.10423712738702</v>
      </c>
      <c r="F16" s="84">
        <v>1181.8932274619001</v>
      </c>
      <c r="G16" s="84">
        <v>734.797439678812</v>
      </c>
      <c r="H16" s="84">
        <v>321.11931722389301</v>
      </c>
      <c r="I16" s="84">
        <v>45.358308345116697</v>
      </c>
      <c r="J16" s="84">
        <v>1779.37130756075</v>
      </c>
      <c r="K16" s="84">
        <v>8885.0997352200793</v>
      </c>
      <c r="L16" s="84">
        <v>622.70056198969201</v>
      </c>
      <c r="M16" s="84">
        <v>104.579730327359</v>
      </c>
      <c r="N16" s="84">
        <v>688.91503169161297</v>
      </c>
      <c r="O16" s="84">
        <v>3827.2046004778199</v>
      </c>
      <c r="P16" s="84">
        <v>791.08404445099598</v>
      </c>
      <c r="Q16" s="84">
        <v>5374.0539265647503</v>
      </c>
      <c r="R16" s="84">
        <v>633.37477356371505</v>
      </c>
      <c r="S16" s="84">
        <v>891.83332509614399</v>
      </c>
      <c r="T16" s="84">
        <v>492.10970684910001</v>
      </c>
      <c r="U16" s="84">
        <v>19.895139080188802</v>
      </c>
      <c r="V16" s="84">
        <v>7477.9816216399804</v>
      </c>
      <c r="W16" s="84">
        <v>380.02289299537603</v>
      </c>
      <c r="X16" s="84">
        <v>96.697028926560094</v>
      </c>
      <c r="Y16" s="84">
        <v>374.29367788672801</v>
      </c>
      <c r="Z16" s="84">
        <v>7.6027293924505601</v>
      </c>
      <c r="AA16" s="84">
        <v>2666.2647390236102</v>
      </c>
      <c r="AB16" s="84">
        <v>717.07244387722699</v>
      </c>
      <c r="AC16" s="84">
        <v>6875.7608041038002</v>
      </c>
      <c r="AD16" s="84">
        <v>841.930207916928</v>
      </c>
      <c r="AE16" s="84">
        <v>1937.0606914227001</v>
      </c>
      <c r="AF16" s="84">
        <v>742.404402635682</v>
      </c>
      <c r="AG16" s="84">
        <v>280.31217493840597</v>
      </c>
      <c r="AH16" s="84">
        <v>529.18907188416404</v>
      </c>
      <c r="AI16" s="84">
        <f t="shared" si="0"/>
        <v>49223.99999917161</v>
      </c>
    </row>
    <row r="17" spans="1:35">
      <c r="A17" s="22" t="s">
        <v>88</v>
      </c>
      <c r="B17" s="22" t="s">
        <v>89</v>
      </c>
      <c r="C17" s="22">
        <v>1990</v>
      </c>
      <c r="D17" s="22" t="s">
        <v>85</v>
      </c>
      <c r="E17" s="84">
        <v>102.161249501341</v>
      </c>
      <c r="F17" s="84">
        <v>84.904282917545103</v>
      </c>
      <c r="G17" s="84">
        <v>124.580274615921</v>
      </c>
      <c r="H17" s="84">
        <v>26.341958177999999</v>
      </c>
      <c r="I17" s="84">
        <v>0</v>
      </c>
      <c r="J17" s="84">
        <v>458.44415694873499</v>
      </c>
      <c r="K17" s="84">
        <v>3840.6483636100002</v>
      </c>
      <c r="L17" s="84">
        <v>340.73103759201001</v>
      </c>
      <c r="M17" s="84">
        <v>9.7197624562740004E-2</v>
      </c>
      <c r="N17" s="84">
        <v>42.697519274077798</v>
      </c>
      <c r="O17" s="84">
        <v>1768.9933126589899</v>
      </c>
      <c r="P17" s="84">
        <v>111.49344000000001</v>
      </c>
      <c r="Q17" s="84">
        <v>4361.53682451031</v>
      </c>
      <c r="R17" s="84">
        <v>582.51710553668602</v>
      </c>
      <c r="S17" s="84">
        <v>485.15775975818502</v>
      </c>
      <c r="T17" s="84">
        <v>6.0091411298899998E-3</v>
      </c>
      <c r="U17" s="84">
        <v>61.358244785636003</v>
      </c>
      <c r="V17" s="84">
        <v>4047.6344989234899</v>
      </c>
      <c r="W17" s="84">
        <v>23.884922308637201</v>
      </c>
      <c r="X17" s="84">
        <v>2.623969523835E-2</v>
      </c>
      <c r="Y17" s="84">
        <v>1.1492E-2</v>
      </c>
      <c r="Z17" s="84">
        <v>0</v>
      </c>
      <c r="AA17" s="84">
        <v>885.06890171860005</v>
      </c>
      <c r="AB17" s="84">
        <v>2405.5033696999999</v>
      </c>
      <c r="AC17" s="84">
        <v>4235.4781490515697</v>
      </c>
      <c r="AD17" s="84">
        <v>56.586147387359802</v>
      </c>
      <c r="AE17" s="84">
        <v>1176.61650941723</v>
      </c>
      <c r="AF17" s="84">
        <v>336.22488870535602</v>
      </c>
      <c r="AG17" s="84">
        <v>100.818975673802</v>
      </c>
      <c r="AH17" s="84">
        <v>24.182617435000001</v>
      </c>
      <c r="AI17" s="84">
        <f t="shared" si="0"/>
        <v>23190.501876005779</v>
      </c>
    </row>
    <row r="18" spans="1:35">
      <c r="A18" s="22" t="s">
        <v>88</v>
      </c>
      <c r="B18" s="22" t="s">
        <v>89</v>
      </c>
      <c r="C18" s="22">
        <v>2010</v>
      </c>
      <c r="D18" s="22" t="s">
        <v>85</v>
      </c>
      <c r="E18" s="84">
        <v>183.60234079901099</v>
      </c>
      <c r="F18" s="84">
        <v>103.19106501598699</v>
      </c>
      <c r="G18" s="84">
        <v>374.36399934021699</v>
      </c>
      <c r="H18" s="84">
        <v>45.505240579599999</v>
      </c>
      <c r="I18" s="84">
        <v>0</v>
      </c>
      <c r="J18" s="84">
        <v>270.30390735958002</v>
      </c>
      <c r="K18" s="84">
        <v>2581.7257654499999</v>
      </c>
      <c r="L18" s="84">
        <v>353.12709573049602</v>
      </c>
      <c r="M18" s="84">
        <v>4.4731714540899997E-2</v>
      </c>
      <c r="N18" s="84">
        <v>5.9679879065093999</v>
      </c>
      <c r="O18" s="84">
        <v>2279.8130825316898</v>
      </c>
      <c r="P18" s="84">
        <v>96.410726999999994</v>
      </c>
      <c r="Q18" s="84">
        <v>4221.3629220611201</v>
      </c>
      <c r="R18" s="84">
        <v>541.52223118761003</v>
      </c>
      <c r="S18" s="84">
        <v>188.372956407223</v>
      </c>
      <c r="T18" s="84">
        <v>7.2983612085980004E-2</v>
      </c>
      <c r="U18" s="84">
        <v>189.643892310354</v>
      </c>
      <c r="V18" s="84">
        <v>2376.9608602083399</v>
      </c>
      <c r="W18" s="84">
        <v>257.94419406001202</v>
      </c>
      <c r="X18" s="84">
        <v>7.2947734872340006E-2</v>
      </c>
      <c r="Y18" s="84">
        <v>4.2519999999999997E-3</v>
      </c>
      <c r="Z18" s="84">
        <v>0</v>
      </c>
      <c r="AA18" s="84">
        <v>1134.2793104046</v>
      </c>
      <c r="AB18" s="84">
        <v>2423.1150246000002</v>
      </c>
      <c r="AC18" s="84">
        <v>3488.7967006963299</v>
      </c>
      <c r="AD18" s="84">
        <v>565.69581067133299</v>
      </c>
      <c r="AE18" s="84">
        <v>1159.3736869433301</v>
      </c>
      <c r="AF18" s="84">
        <v>825.34125613202502</v>
      </c>
      <c r="AG18" s="84">
        <v>174.09819977743601</v>
      </c>
      <c r="AH18" s="84">
        <v>21.203508861180801</v>
      </c>
      <c r="AI18" s="84">
        <f t="shared" si="0"/>
        <v>21203.652523605531</v>
      </c>
    </row>
    <row r="19" spans="1:35">
      <c r="A19" s="22" t="s">
        <v>88</v>
      </c>
      <c r="B19" s="22" t="s">
        <v>89</v>
      </c>
      <c r="C19" s="22">
        <v>2015</v>
      </c>
      <c r="D19" s="22" t="s">
        <v>85</v>
      </c>
      <c r="E19" s="84">
        <v>161.71332972894101</v>
      </c>
      <c r="F19" s="84">
        <v>88.260855101946902</v>
      </c>
      <c r="G19" s="84">
        <v>600.37505180000005</v>
      </c>
      <c r="H19" s="84">
        <v>27.534165097599999</v>
      </c>
      <c r="I19" s="84">
        <v>0</v>
      </c>
      <c r="J19" s="84">
        <v>196.459617545432</v>
      </c>
      <c r="K19" s="84">
        <v>2373.6250326499999</v>
      </c>
      <c r="L19" s="84">
        <v>247.44104136172899</v>
      </c>
      <c r="M19" s="84">
        <v>3.1050082835740001E-2</v>
      </c>
      <c r="N19" s="84">
        <v>3.63883084211604</v>
      </c>
      <c r="O19" s="84">
        <v>3706.6716902347998</v>
      </c>
      <c r="P19" s="84">
        <v>108.52065272</v>
      </c>
      <c r="Q19" s="84">
        <v>2945.8352320762601</v>
      </c>
      <c r="R19" s="84">
        <v>249.53431236995999</v>
      </c>
      <c r="S19" s="84">
        <v>131.87634381927401</v>
      </c>
      <c r="T19" s="84">
        <v>0.40534740887803999</v>
      </c>
      <c r="U19" s="84">
        <v>163.13526986769401</v>
      </c>
      <c r="V19" s="84">
        <v>2574.2819671225002</v>
      </c>
      <c r="W19" s="84">
        <v>207.19347881528699</v>
      </c>
      <c r="X19" s="84">
        <v>4.6724629671460002E-2</v>
      </c>
      <c r="Y19" s="84">
        <v>1.29414E-2</v>
      </c>
      <c r="Z19" s="84">
        <v>0</v>
      </c>
      <c r="AA19" s="84">
        <v>1037.3227436285699</v>
      </c>
      <c r="AB19" s="84">
        <v>2324.4810096599999</v>
      </c>
      <c r="AC19" s="84">
        <v>4746.8582851690499</v>
      </c>
      <c r="AD19" s="84">
        <v>1139.3331943119299</v>
      </c>
      <c r="AE19" s="84">
        <v>784.91520390652704</v>
      </c>
      <c r="AF19" s="84">
        <v>821.79336125460304</v>
      </c>
      <c r="AG19" s="84">
        <v>116.882441721617</v>
      </c>
      <c r="AH19" s="84">
        <v>20.7851445220827</v>
      </c>
      <c r="AI19" s="84">
        <f t="shared" si="0"/>
        <v>22263.813874224015</v>
      </c>
    </row>
    <row r="20" spans="1:35">
      <c r="A20" s="22" t="s">
        <v>88</v>
      </c>
      <c r="B20" s="22" t="s">
        <v>89</v>
      </c>
      <c r="C20" s="22">
        <v>2019</v>
      </c>
      <c r="D20" s="22" t="s">
        <v>85</v>
      </c>
      <c r="E20" s="84">
        <v>118.252757521452</v>
      </c>
      <c r="F20" s="84">
        <v>116.10413618639799</v>
      </c>
      <c r="G20" s="84">
        <v>827.00400358506101</v>
      </c>
      <c r="H20" s="84">
        <v>33.351830776</v>
      </c>
      <c r="I20" s="84">
        <v>0</v>
      </c>
      <c r="J20" s="84">
        <v>83.737483446842106</v>
      </c>
      <c r="K20" s="84">
        <v>2019.44624277</v>
      </c>
      <c r="L20" s="84">
        <v>194.924368011013</v>
      </c>
      <c r="M20" s="84">
        <v>3.0248274756190002E-2</v>
      </c>
      <c r="N20" s="84">
        <v>9.0422898423866798</v>
      </c>
      <c r="O20" s="84">
        <v>3644.8847049261299</v>
      </c>
      <c r="P20" s="84">
        <v>65.144683319999999</v>
      </c>
      <c r="Q20" s="84">
        <v>2587.85928022803</v>
      </c>
      <c r="R20" s="84">
        <v>286.937934971179</v>
      </c>
      <c r="S20" s="84">
        <v>149.44344607551301</v>
      </c>
      <c r="T20" s="84">
        <v>0.28565237586233999</v>
      </c>
      <c r="U20" s="84">
        <v>163.10597627620501</v>
      </c>
      <c r="V20" s="84">
        <v>2756.2635220991901</v>
      </c>
      <c r="W20" s="84">
        <v>233.94169285328201</v>
      </c>
      <c r="X20" s="84">
        <v>4.1486446223490001E-2</v>
      </c>
      <c r="Y20" s="84">
        <v>1.0174000000000001E-2</v>
      </c>
      <c r="Z20" s="84">
        <v>0</v>
      </c>
      <c r="AA20" s="84">
        <v>1062.0423086185399</v>
      </c>
      <c r="AB20" s="84">
        <v>1475.1271263819999</v>
      </c>
      <c r="AC20" s="84">
        <v>4343.7077228335402</v>
      </c>
      <c r="AD20" s="84">
        <v>1133.22260879285</v>
      </c>
      <c r="AE20" s="84">
        <v>862.13812085082805</v>
      </c>
      <c r="AF20" s="84">
        <v>536.18746152527694</v>
      </c>
      <c r="AG20" s="84">
        <v>124.60322252356799</v>
      </c>
      <c r="AH20" s="84">
        <v>19.079832084244099</v>
      </c>
      <c r="AI20" s="84">
        <f t="shared" si="0"/>
        <v>21174.335384162172</v>
      </c>
    </row>
    <row r="21" spans="1:35">
      <c r="A21" s="22" t="s">
        <v>88</v>
      </c>
      <c r="B21" s="22" t="s">
        <v>89</v>
      </c>
      <c r="C21" s="22">
        <v>2021</v>
      </c>
      <c r="D21" s="22" t="s">
        <v>85</v>
      </c>
      <c r="E21" s="84">
        <v>84.242736517924698</v>
      </c>
      <c r="F21" s="84">
        <v>98.545151658223602</v>
      </c>
      <c r="G21" s="84">
        <v>562.522176464062</v>
      </c>
      <c r="H21" s="84">
        <v>19.573840019999999</v>
      </c>
      <c r="I21" s="84">
        <v>0</v>
      </c>
      <c r="J21" s="84">
        <v>54.833418996676798</v>
      </c>
      <c r="K21" s="84">
        <v>1831.02035964689</v>
      </c>
      <c r="L21" s="84">
        <v>111.24282147037199</v>
      </c>
      <c r="M21" s="84">
        <v>3.1360664510230001E-2</v>
      </c>
      <c r="N21" s="84">
        <v>3.52109748886796</v>
      </c>
      <c r="O21" s="84">
        <v>3510.6190172085599</v>
      </c>
      <c r="P21" s="84">
        <v>67.86286364</v>
      </c>
      <c r="Q21" s="84">
        <v>1754.93487639419</v>
      </c>
      <c r="R21" s="84">
        <v>283.92286976839398</v>
      </c>
      <c r="S21" s="84">
        <v>138.408571036822</v>
      </c>
      <c r="T21" s="84">
        <v>0.43357205598894</v>
      </c>
      <c r="U21" s="84">
        <v>175.760733219657</v>
      </c>
      <c r="V21" s="84">
        <v>1815.63237294552</v>
      </c>
      <c r="W21" s="84">
        <v>217.64101470836999</v>
      </c>
      <c r="X21" s="84">
        <v>4.0494994149760002E-2</v>
      </c>
      <c r="Y21" s="84">
        <v>1.0822E-2</v>
      </c>
      <c r="Z21" s="84">
        <v>0</v>
      </c>
      <c r="AA21" s="84">
        <v>1122.7547693357899</v>
      </c>
      <c r="AB21" s="84">
        <v>1568.1395238699999</v>
      </c>
      <c r="AC21" s="84">
        <v>4283.1072187626796</v>
      </c>
      <c r="AD21" s="84">
        <v>944.82080777969304</v>
      </c>
      <c r="AE21" s="84">
        <v>753.02843985264803</v>
      </c>
      <c r="AF21" s="84">
        <v>9.4183100257916799</v>
      </c>
      <c r="AG21" s="84">
        <v>112.832523946859</v>
      </c>
      <c r="AH21" s="84">
        <v>14.285182032</v>
      </c>
      <c r="AI21" s="84">
        <f t="shared" si="0"/>
        <v>17775.712849394982</v>
      </c>
    </row>
    <row r="22" spans="1:35">
      <c r="A22" s="22" t="s">
        <v>88</v>
      </c>
      <c r="B22" s="22" t="s">
        <v>89</v>
      </c>
      <c r="C22" s="22">
        <v>1990</v>
      </c>
      <c r="D22" s="22" t="s">
        <v>86</v>
      </c>
      <c r="E22" s="84">
        <v>773.98208267648397</v>
      </c>
      <c r="F22" s="84">
        <v>1376.5611457443599</v>
      </c>
      <c r="G22" s="84">
        <v>2482.0034732557901</v>
      </c>
      <c r="H22" s="84">
        <v>402.44233212573801</v>
      </c>
      <c r="I22" s="84">
        <v>0.45352149532704</v>
      </c>
      <c r="J22" s="84">
        <v>13835.2978551451</v>
      </c>
      <c r="K22" s="84">
        <v>42523.79398563</v>
      </c>
      <c r="L22" s="84">
        <v>490.02691522654499</v>
      </c>
      <c r="M22" s="84">
        <v>71.773816218081706</v>
      </c>
      <c r="N22" s="84">
        <v>1349.2600666353201</v>
      </c>
      <c r="O22" s="84">
        <v>3766.7596687815499</v>
      </c>
      <c r="P22" s="84">
        <v>124.73485074</v>
      </c>
      <c r="Q22" s="84">
        <v>11789.9157185677</v>
      </c>
      <c r="R22" s="84">
        <v>1052.5406373352</v>
      </c>
      <c r="S22" s="84">
        <v>3810.6089383130502</v>
      </c>
      <c r="T22" s="84">
        <v>118.539522715928</v>
      </c>
      <c r="U22" s="84">
        <v>62.122448126628001</v>
      </c>
      <c r="V22" s="84">
        <v>14203.154323971999</v>
      </c>
      <c r="W22" s="84">
        <v>320.75038621207898</v>
      </c>
      <c r="X22" s="84">
        <v>21.9482189311361</v>
      </c>
      <c r="Y22" s="84">
        <v>277.303696</v>
      </c>
      <c r="Z22" s="84">
        <v>0</v>
      </c>
      <c r="AA22" s="84">
        <v>3061.5272545985999</v>
      </c>
      <c r="AB22" s="84">
        <v>3000.9852366353002</v>
      </c>
      <c r="AC22" s="84">
        <v>29162.336354254501</v>
      </c>
      <c r="AD22" s="84">
        <v>218.024977506309</v>
      </c>
      <c r="AE22" s="84">
        <v>34191.390957458898</v>
      </c>
      <c r="AF22" s="84">
        <v>426.48842547416598</v>
      </c>
      <c r="AG22" s="84">
        <v>560.94494201434702</v>
      </c>
      <c r="AH22" s="84">
        <v>2699.2037901803901</v>
      </c>
      <c r="AI22" s="84">
        <f t="shared" si="0"/>
        <v>168709.32552508291</v>
      </c>
    </row>
    <row r="23" spans="1:35">
      <c r="A23" s="22" t="s">
        <v>88</v>
      </c>
      <c r="B23" s="22" t="s">
        <v>89</v>
      </c>
      <c r="C23" s="22">
        <v>2010</v>
      </c>
      <c r="D23" s="22" t="s">
        <v>86</v>
      </c>
      <c r="E23" s="84">
        <v>502.16275041416299</v>
      </c>
      <c r="F23" s="84">
        <v>840.27163505594103</v>
      </c>
      <c r="G23" s="84">
        <v>1748.3744288210301</v>
      </c>
      <c r="H23" s="84">
        <v>306.0749715796</v>
      </c>
      <c r="I23" s="84">
        <v>0</v>
      </c>
      <c r="J23" s="84">
        <v>6435.9295168676999</v>
      </c>
      <c r="K23" s="84">
        <v>11837.57739574</v>
      </c>
      <c r="L23" s="84">
        <v>565.28225679697505</v>
      </c>
      <c r="M23" s="84">
        <v>33.031320189369701</v>
      </c>
      <c r="N23" s="84">
        <v>1494.92833479979</v>
      </c>
      <c r="O23" s="84">
        <v>3037.3536720146299</v>
      </c>
      <c r="P23" s="84">
        <v>147.4080270865</v>
      </c>
      <c r="Q23" s="84">
        <v>5975.1424596945799</v>
      </c>
      <c r="R23" s="84">
        <v>829.74177245555302</v>
      </c>
      <c r="S23" s="84">
        <v>2197.8539314498198</v>
      </c>
      <c r="T23" s="84">
        <v>97.390432994450407</v>
      </c>
      <c r="U23" s="84">
        <v>195.317616621014</v>
      </c>
      <c r="V23" s="84">
        <v>9676.2573226040095</v>
      </c>
      <c r="W23" s="84">
        <v>526.18283023964796</v>
      </c>
      <c r="X23" s="84">
        <v>61.108887853694</v>
      </c>
      <c r="Y23" s="84">
        <v>102.601992</v>
      </c>
      <c r="Z23" s="84">
        <v>0</v>
      </c>
      <c r="AA23" s="84">
        <v>2077.6525242342</v>
      </c>
      <c r="AB23" s="84">
        <v>3244.8128090834998</v>
      </c>
      <c r="AC23" s="84">
        <v>24179.562037915199</v>
      </c>
      <c r="AD23" s="84">
        <v>644.39647139812701</v>
      </c>
      <c r="AE23" s="84">
        <v>13363.9054883879</v>
      </c>
      <c r="AF23" s="84">
        <v>894.77252416724605</v>
      </c>
      <c r="AG23" s="84">
        <v>563.49071365946998</v>
      </c>
      <c r="AH23" s="84">
        <v>1109.7391573735099</v>
      </c>
      <c r="AI23" s="84">
        <f t="shared" si="0"/>
        <v>88942.117884213512</v>
      </c>
    </row>
    <row r="24" spans="1:35">
      <c r="A24" s="22" t="s">
        <v>88</v>
      </c>
      <c r="B24" s="22" t="s">
        <v>89</v>
      </c>
      <c r="C24" s="22">
        <v>2015</v>
      </c>
      <c r="D24" s="22" t="s">
        <v>86</v>
      </c>
      <c r="E24" s="84">
        <v>456.14654445198801</v>
      </c>
      <c r="F24" s="84">
        <v>737.62641948434998</v>
      </c>
      <c r="G24" s="84">
        <v>2040.91171317309</v>
      </c>
      <c r="H24" s="84">
        <v>240.3402934616</v>
      </c>
      <c r="I24" s="84">
        <v>0</v>
      </c>
      <c r="J24" s="84">
        <v>4933.0372035277096</v>
      </c>
      <c r="K24" s="84">
        <v>9577.1306079400001</v>
      </c>
      <c r="L24" s="84">
        <v>380.34147004379503</v>
      </c>
      <c r="M24" s="84">
        <v>22.928368352966899</v>
      </c>
      <c r="N24" s="84">
        <v>1238.07633418255</v>
      </c>
      <c r="O24" s="84">
        <v>4053.49924228501</v>
      </c>
      <c r="P24" s="84">
        <v>150.55829901315499</v>
      </c>
      <c r="Q24" s="84">
        <v>4312.12253862731</v>
      </c>
      <c r="R24" s="84">
        <v>466.459371366494</v>
      </c>
      <c r="S24" s="84">
        <v>1990.75302912815</v>
      </c>
      <c r="T24" s="84">
        <v>99.209572262760602</v>
      </c>
      <c r="U24" s="84">
        <v>168.23776926902201</v>
      </c>
      <c r="V24" s="84">
        <v>8677.0963476687793</v>
      </c>
      <c r="W24" s="84">
        <v>549.38589801687601</v>
      </c>
      <c r="X24" s="84">
        <v>39.184311762416499</v>
      </c>
      <c r="Y24" s="84">
        <v>115.14857739999999</v>
      </c>
      <c r="Z24" s="84">
        <v>0</v>
      </c>
      <c r="AA24" s="84">
        <v>1764.6741656285701</v>
      </c>
      <c r="AB24" s="84">
        <v>3054.9103621190502</v>
      </c>
      <c r="AC24" s="84">
        <v>26925.302459750499</v>
      </c>
      <c r="AD24" s="84">
        <v>1218.9541660038101</v>
      </c>
      <c r="AE24" s="84">
        <v>11056.639209587</v>
      </c>
      <c r="AF24" s="84">
        <v>877.24477210017403</v>
      </c>
      <c r="AG24" s="84">
        <v>400.84220558480098</v>
      </c>
      <c r="AH24" s="84">
        <v>638.90298392444402</v>
      </c>
      <c r="AI24" s="84">
        <f t="shared" si="0"/>
        <v>82722.175811266716</v>
      </c>
    </row>
    <row r="25" spans="1:35">
      <c r="A25" s="22" t="s">
        <v>88</v>
      </c>
      <c r="B25" s="22" t="s">
        <v>89</v>
      </c>
      <c r="C25" s="22">
        <v>2019</v>
      </c>
      <c r="D25" s="22" t="s">
        <v>86</v>
      </c>
      <c r="E25" s="84">
        <v>374.43574513827599</v>
      </c>
      <c r="F25" s="84">
        <v>719.32724435845296</v>
      </c>
      <c r="G25" s="84">
        <v>2006.69846388356</v>
      </c>
      <c r="H25" s="84">
        <v>240.84292037700001</v>
      </c>
      <c r="I25" s="84">
        <v>0</v>
      </c>
      <c r="J25" s="84">
        <v>3369.4589745404601</v>
      </c>
      <c r="K25" s="84">
        <v>4596.3697543400003</v>
      </c>
      <c r="L25" s="84">
        <v>282.85457423504499</v>
      </c>
      <c r="M25" s="84">
        <v>22.336287774847399</v>
      </c>
      <c r="N25" s="84">
        <v>816.04715173767499</v>
      </c>
      <c r="O25" s="84">
        <v>3887.6726635998102</v>
      </c>
      <c r="P25" s="84">
        <v>95.088565719052596</v>
      </c>
      <c r="Q25" s="84">
        <v>3727.3809188861201</v>
      </c>
      <c r="R25" s="84">
        <v>473.41684885690501</v>
      </c>
      <c r="S25" s="84">
        <v>2030.93090868945</v>
      </c>
      <c r="T25" s="84">
        <v>101.61906234153</v>
      </c>
      <c r="U25" s="84">
        <v>167.34455612755701</v>
      </c>
      <c r="V25" s="84">
        <v>6964.4866808462102</v>
      </c>
      <c r="W25" s="84">
        <v>562.33739109898102</v>
      </c>
      <c r="X25" s="84">
        <v>34.9216094978105</v>
      </c>
      <c r="Y25" s="84">
        <v>109.720978</v>
      </c>
      <c r="Z25" s="84">
        <v>0</v>
      </c>
      <c r="AA25" s="84">
        <v>1578.19539473854</v>
      </c>
      <c r="AB25" s="84">
        <v>2053.2558938586299</v>
      </c>
      <c r="AC25" s="84">
        <v>23683.208540338899</v>
      </c>
      <c r="AD25" s="84">
        <v>1215.07334878904</v>
      </c>
      <c r="AE25" s="84">
        <v>10292.061983818599</v>
      </c>
      <c r="AF25" s="84">
        <v>583.11576404829702</v>
      </c>
      <c r="AG25" s="84">
        <v>408.81587496850102</v>
      </c>
      <c r="AH25" s="84">
        <v>535.29385591382004</v>
      </c>
      <c r="AI25" s="84">
        <f t="shared" si="0"/>
        <v>68470.868586159864</v>
      </c>
    </row>
    <row r="26" spans="1:35">
      <c r="A26" s="22" t="s">
        <v>88</v>
      </c>
      <c r="B26" s="22" t="s">
        <v>89</v>
      </c>
      <c r="C26" s="22">
        <v>2021</v>
      </c>
      <c r="D26" s="22" t="s">
        <v>86</v>
      </c>
      <c r="E26" s="84">
        <v>331.35337247253301</v>
      </c>
      <c r="F26" s="84">
        <v>658.19638306634101</v>
      </c>
      <c r="G26" s="84">
        <v>1750.1200396234301</v>
      </c>
      <c r="H26" s="84">
        <v>229.15349217849999</v>
      </c>
      <c r="I26" s="84">
        <v>0</v>
      </c>
      <c r="J26" s="84">
        <v>2615.2757349482399</v>
      </c>
      <c r="K26" s="84">
        <v>3825.2996739268901</v>
      </c>
      <c r="L26" s="84">
        <v>172.43438565527799</v>
      </c>
      <c r="M26" s="84">
        <v>23.157711735854601</v>
      </c>
      <c r="N26" s="84">
        <v>465.04664085213102</v>
      </c>
      <c r="O26" s="84">
        <v>3726.6908747392599</v>
      </c>
      <c r="P26" s="84">
        <v>95.152938317999997</v>
      </c>
      <c r="Q26" s="84">
        <v>2691.0536563402702</v>
      </c>
      <c r="R26" s="84">
        <v>448.95401249611399</v>
      </c>
      <c r="S26" s="84">
        <v>1959.25711829482</v>
      </c>
      <c r="T26" s="84">
        <v>101.63812531240499</v>
      </c>
      <c r="U26" s="84">
        <v>180.25087707351699</v>
      </c>
      <c r="V26" s="84">
        <v>5707.9501332097498</v>
      </c>
      <c r="W26" s="84">
        <v>488.216605508535</v>
      </c>
      <c r="X26" s="84">
        <v>33.9025592559179</v>
      </c>
      <c r="Y26" s="84">
        <v>110.134682</v>
      </c>
      <c r="Z26" s="84">
        <v>0</v>
      </c>
      <c r="AA26" s="84">
        <v>1540.84796653579</v>
      </c>
      <c r="AB26" s="84">
        <v>2108.9536320283901</v>
      </c>
      <c r="AC26" s="84">
        <v>23069.475801503399</v>
      </c>
      <c r="AD26" s="84">
        <v>1025.3749712257199</v>
      </c>
      <c r="AE26" s="84">
        <v>9439.7507960298408</v>
      </c>
      <c r="AF26" s="84">
        <v>51.080182867233802</v>
      </c>
      <c r="AG26" s="84">
        <v>358.69345433455601</v>
      </c>
      <c r="AH26" s="84">
        <v>489.04670385475902</v>
      </c>
      <c r="AI26" s="84">
        <f t="shared" si="0"/>
        <v>61178.104524107075</v>
      </c>
    </row>
    <row r="27" spans="1:35">
      <c r="A27" s="22" t="s">
        <v>88</v>
      </c>
      <c r="B27" s="22" t="s">
        <v>89</v>
      </c>
      <c r="C27" s="22">
        <v>1990</v>
      </c>
      <c r="D27" s="22" t="s">
        <v>87</v>
      </c>
      <c r="E27" s="84">
        <v>671.82083317514298</v>
      </c>
      <c r="F27" s="84">
        <v>1291.6568628268201</v>
      </c>
      <c r="G27" s="84">
        <v>2357.42319863987</v>
      </c>
      <c r="H27" s="84">
        <v>376.10037394773798</v>
      </c>
      <c r="I27" s="84">
        <v>0.45352149532704</v>
      </c>
      <c r="J27" s="84">
        <v>13376.853698196401</v>
      </c>
      <c r="K27" s="84">
        <v>38683.145622019998</v>
      </c>
      <c r="L27" s="84">
        <v>149.295877634535</v>
      </c>
      <c r="M27" s="84">
        <v>71.676618593518995</v>
      </c>
      <c r="N27" s="84">
        <v>1306.5625473612399</v>
      </c>
      <c r="O27" s="84">
        <v>1997.76635612256</v>
      </c>
      <c r="P27" s="84">
        <v>13.241410739999999</v>
      </c>
      <c r="Q27" s="84">
        <v>7428.3788940573604</v>
      </c>
      <c r="R27" s="84">
        <v>470.023531798514</v>
      </c>
      <c r="S27" s="84">
        <v>3325.4511785548698</v>
      </c>
      <c r="T27" s="84">
        <v>118.53351357479799</v>
      </c>
      <c r="U27" s="84">
        <v>0.76420334099199705</v>
      </c>
      <c r="V27" s="84">
        <v>10155.519825048499</v>
      </c>
      <c r="W27" s="84">
        <v>296.86546390344199</v>
      </c>
      <c r="X27" s="84">
        <v>21.921979235897702</v>
      </c>
      <c r="Y27" s="84">
        <v>277.29220400000003</v>
      </c>
      <c r="Z27" s="84">
        <v>0</v>
      </c>
      <c r="AA27" s="84">
        <v>2176.4583528799999</v>
      </c>
      <c r="AB27" s="84">
        <v>595.48186693529999</v>
      </c>
      <c r="AC27" s="84">
        <v>24926.858205202901</v>
      </c>
      <c r="AD27" s="84">
        <v>161.43883011894999</v>
      </c>
      <c r="AE27" s="84">
        <v>33014.7744480416</v>
      </c>
      <c r="AF27" s="84">
        <v>90.263536768809999</v>
      </c>
      <c r="AG27" s="84">
        <v>460.12596634054501</v>
      </c>
      <c r="AH27" s="84">
        <v>2675.0211727453898</v>
      </c>
      <c r="AI27" s="84">
        <f t="shared" si="0"/>
        <v>145518.82364907701</v>
      </c>
    </row>
    <row r="28" spans="1:35">
      <c r="A28" s="22" t="s">
        <v>88</v>
      </c>
      <c r="B28" s="22" t="s">
        <v>89</v>
      </c>
      <c r="C28" s="22">
        <v>2010</v>
      </c>
      <c r="D28" s="22" t="s">
        <v>87</v>
      </c>
      <c r="E28" s="84">
        <v>318.56040961515203</v>
      </c>
      <c r="F28" s="84">
        <v>737.08057003995498</v>
      </c>
      <c r="G28" s="84">
        <v>1374.01042948082</v>
      </c>
      <c r="H28" s="84">
        <v>260.56973099999999</v>
      </c>
      <c r="I28" s="84">
        <v>0</v>
      </c>
      <c r="J28" s="84">
        <v>6165.6256095081199</v>
      </c>
      <c r="K28" s="84">
        <v>9255.8516302900007</v>
      </c>
      <c r="L28" s="84">
        <v>212.155161066479</v>
      </c>
      <c r="M28" s="84">
        <v>32.9865884748288</v>
      </c>
      <c r="N28" s="84">
        <v>1488.9603468932801</v>
      </c>
      <c r="O28" s="84">
        <v>757.54058948294596</v>
      </c>
      <c r="P28" s="84">
        <v>50.997300086499898</v>
      </c>
      <c r="Q28" s="84">
        <v>1753.77953763345</v>
      </c>
      <c r="R28" s="84">
        <v>288.21954126794401</v>
      </c>
      <c r="S28" s="84">
        <v>2009.4809750426</v>
      </c>
      <c r="T28" s="84">
        <v>97.317449382364401</v>
      </c>
      <c r="U28" s="84">
        <v>5.6737243106599902</v>
      </c>
      <c r="V28" s="84">
        <v>7299.2964623956696</v>
      </c>
      <c r="W28" s="84">
        <v>268.23863617963599</v>
      </c>
      <c r="X28" s="84">
        <v>61.0359401188216</v>
      </c>
      <c r="Y28" s="84">
        <v>102.59774</v>
      </c>
      <c r="Z28" s="84">
        <v>0</v>
      </c>
      <c r="AA28" s="84">
        <v>943.37321382959999</v>
      </c>
      <c r="AB28" s="84">
        <v>821.69778448349996</v>
      </c>
      <c r="AC28" s="84">
        <v>20690.765337218902</v>
      </c>
      <c r="AD28" s="84">
        <v>78.7006607267936</v>
      </c>
      <c r="AE28" s="84">
        <v>12204.5318014445</v>
      </c>
      <c r="AF28" s="84">
        <v>69.431268035220796</v>
      </c>
      <c r="AG28" s="84">
        <v>389.392513882034</v>
      </c>
      <c r="AH28" s="84">
        <v>1088.53564851233</v>
      </c>
      <c r="AI28" s="84">
        <f t="shared" si="0"/>
        <v>67738.465360607937</v>
      </c>
    </row>
    <row r="29" spans="1:35">
      <c r="A29" s="22" t="s">
        <v>88</v>
      </c>
      <c r="B29" s="22" t="s">
        <v>89</v>
      </c>
      <c r="C29" s="22">
        <v>2015</v>
      </c>
      <c r="D29" s="22" t="s">
        <v>87</v>
      </c>
      <c r="E29" s="84">
        <v>294.433214723047</v>
      </c>
      <c r="F29" s="84">
        <v>649.36556438240302</v>
      </c>
      <c r="G29" s="84">
        <v>1440.5366613730901</v>
      </c>
      <c r="H29" s="84">
        <v>212.80612836399999</v>
      </c>
      <c r="I29" s="84">
        <v>0</v>
      </c>
      <c r="J29" s="84">
        <v>4736.5775859822797</v>
      </c>
      <c r="K29" s="84">
        <v>7203.5055752899998</v>
      </c>
      <c r="L29" s="84">
        <v>132.90042868206601</v>
      </c>
      <c r="M29" s="84">
        <v>22.897318270131201</v>
      </c>
      <c r="N29" s="84">
        <v>1234.4375033404399</v>
      </c>
      <c r="O29" s="84">
        <v>346.82755205021198</v>
      </c>
      <c r="P29" s="84">
        <v>42.037646293154801</v>
      </c>
      <c r="Q29" s="84">
        <v>1366.28730655104</v>
      </c>
      <c r="R29" s="84">
        <v>216.925058996535</v>
      </c>
      <c r="S29" s="84">
        <v>1858.87668530887</v>
      </c>
      <c r="T29" s="84">
        <v>98.804224853882602</v>
      </c>
      <c r="U29" s="84">
        <v>5.1024994013280001</v>
      </c>
      <c r="V29" s="84">
        <v>6102.8143805462896</v>
      </c>
      <c r="W29" s="84">
        <v>342.19241920158902</v>
      </c>
      <c r="X29" s="84">
        <v>39.137587132745097</v>
      </c>
      <c r="Y29" s="84">
        <v>115.13563600000001</v>
      </c>
      <c r="Z29" s="84">
        <v>0</v>
      </c>
      <c r="AA29" s="84">
        <v>727.35142199999996</v>
      </c>
      <c r="AB29" s="84">
        <v>730.42935245905301</v>
      </c>
      <c r="AC29" s="84">
        <v>22178.444174581498</v>
      </c>
      <c r="AD29" s="84">
        <v>79.620971691880001</v>
      </c>
      <c r="AE29" s="84">
        <v>10271.7240056805</v>
      </c>
      <c r="AF29" s="84">
        <v>55.451410845570798</v>
      </c>
      <c r="AG29" s="84">
        <v>283.95976386318398</v>
      </c>
      <c r="AH29" s="84">
        <v>618.11783940236103</v>
      </c>
      <c r="AI29" s="84">
        <f t="shared" si="0"/>
        <v>60458.36193704277</v>
      </c>
    </row>
    <row r="30" spans="1:35">
      <c r="A30" s="22" t="s">
        <v>88</v>
      </c>
      <c r="B30" s="22" t="s">
        <v>89</v>
      </c>
      <c r="C30" s="22">
        <v>2019</v>
      </c>
      <c r="D30" s="22" t="s">
        <v>87</v>
      </c>
      <c r="E30" s="84">
        <v>256.18298761682399</v>
      </c>
      <c r="F30" s="84">
        <v>603.22310817205505</v>
      </c>
      <c r="G30" s="84">
        <v>1179.6944602985</v>
      </c>
      <c r="H30" s="84">
        <v>207.491089601</v>
      </c>
      <c r="I30" s="84">
        <v>0</v>
      </c>
      <c r="J30" s="84">
        <v>3285.72149109362</v>
      </c>
      <c r="K30" s="84">
        <v>2576.9235115699998</v>
      </c>
      <c r="L30" s="84">
        <v>87.930206224032005</v>
      </c>
      <c r="M30" s="84">
        <v>22.306039500091199</v>
      </c>
      <c r="N30" s="84">
        <v>807.00486189528795</v>
      </c>
      <c r="O30" s="84">
        <v>242.78795867367401</v>
      </c>
      <c r="P30" s="84">
        <v>29.943882399052601</v>
      </c>
      <c r="Q30" s="84">
        <v>1139.5216386580901</v>
      </c>
      <c r="R30" s="84">
        <v>186.478913885726</v>
      </c>
      <c r="S30" s="84">
        <v>1881.4874626139399</v>
      </c>
      <c r="T30" s="84">
        <v>101.333409965668</v>
      </c>
      <c r="U30" s="84">
        <v>4.2385798513520001</v>
      </c>
      <c r="V30" s="84">
        <v>4208.2231587470196</v>
      </c>
      <c r="W30" s="84">
        <v>328.39569824569799</v>
      </c>
      <c r="X30" s="84">
        <v>34.880123051586999</v>
      </c>
      <c r="Y30" s="84">
        <v>109.710804</v>
      </c>
      <c r="Z30" s="84">
        <v>0</v>
      </c>
      <c r="AA30" s="84">
        <v>516.15308612000001</v>
      </c>
      <c r="AB30" s="84">
        <v>578.12876747663097</v>
      </c>
      <c r="AC30" s="84">
        <v>19339.500817505399</v>
      </c>
      <c r="AD30" s="84">
        <v>81.850739996197504</v>
      </c>
      <c r="AE30" s="84">
        <v>9429.9238629677802</v>
      </c>
      <c r="AF30" s="84">
        <v>46.928302523020001</v>
      </c>
      <c r="AG30" s="84">
        <v>284.21265244493298</v>
      </c>
      <c r="AH30" s="84">
        <v>516.21402382957501</v>
      </c>
      <c r="AI30" s="84">
        <f t="shared" si="0"/>
        <v>47296.53320199778</v>
      </c>
    </row>
    <row r="31" spans="1:35">
      <c r="A31" s="22" t="s">
        <v>88</v>
      </c>
      <c r="B31" s="22" t="s">
        <v>89</v>
      </c>
      <c r="C31" s="22">
        <v>2021</v>
      </c>
      <c r="D31" s="22" t="s">
        <v>87</v>
      </c>
      <c r="E31" s="84">
        <v>247.110635954608</v>
      </c>
      <c r="F31" s="84">
        <v>559.65123140811704</v>
      </c>
      <c r="G31" s="84">
        <v>1187.59786315937</v>
      </c>
      <c r="H31" s="84">
        <v>209.57965215850001</v>
      </c>
      <c r="I31" s="84">
        <v>0</v>
      </c>
      <c r="J31" s="84">
        <v>2560.44231595156</v>
      </c>
      <c r="K31" s="84">
        <v>1994.2793142800001</v>
      </c>
      <c r="L31" s="84">
        <v>61.1915641849059</v>
      </c>
      <c r="M31" s="84">
        <v>23.126351071344398</v>
      </c>
      <c r="N31" s="84">
        <v>461.52554336326301</v>
      </c>
      <c r="O31" s="84">
        <v>216.071857530703</v>
      </c>
      <c r="P31" s="84">
        <v>27.290074678</v>
      </c>
      <c r="Q31" s="84">
        <v>936.11877994608199</v>
      </c>
      <c r="R31" s="84">
        <v>165.03114272772001</v>
      </c>
      <c r="S31" s="84">
        <v>1820.8485472580001</v>
      </c>
      <c r="T31" s="84">
        <v>101.20455325641601</v>
      </c>
      <c r="U31" s="84">
        <v>4.4901438538599896</v>
      </c>
      <c r="V31" s="84">
        <v>3892.3177602642299</v>
      </c>
      <c r="W31" s="84">
        <v>270.57559080016603</v>
      </c>
      <c r="X31" s="84">
        <v>33.862064261768097</v>
      </c>
      <c r="Y31" s="84">
        <v>110.12385999999999</v>
      </c>
      <c r="Z31" s="84">
        <v>0</v>
      </c>
      <c r="AA31" s="84">
        <v>418.09319720000002</v>
      </c>
      <c r="AB31" s="84">
        <v>540.81410815838694</v>
      </c>
      <c r="AC31" s="84">
        <v>18786.368582740699</v>
      </c>
      <c r="AD31" s="84">
        <v>80.554163446026294</v>
      </c>
      <c r="AE31" s="84">
        <v>8686.7223561771898</v>
      </c>
      <c r="AF31" s="84">
        <v>41.661872841442097</v>
      </c>
      <c r="AG31" s="84">
        <v>245.86093038769599</v>
      </c>
      <c r="AH31" s="84">
        <v>474.76152182275899</v>
      </c>
      <c r="AI31" s="84">
        <f t="shared" si="0"/>
        <v>43402.391674712053</v>
      </c>
    </row>
    <row r="32" spans="1:35">
      <c r="A32" s="22" t="s">
        <v>90</v>
      </c>
      <c r="B32" s="22" t="s">
        <v>91</v>
      </c>
      <c r="C32" s="22">
        <v>1990</v>
      </c>
      <c r="D32" s="22" t="s">
        <v>85</v>
      </c>
      <c r="E32" s="84">
        <v>0</v>
      </c>
      <c r="F32" s="84">
        <v>0</v>
      </c>
      <c r="G32" s="84">
        <v>0</v>
      </c>
      <c r="H32" s="84">
        <v>0</v>
      </c>
      <c r="I32" s="84">
        <v>0</v>
      </c>
      <c r="J32" s="84">
        <v>0</v>
      </c>
      <c r="K32" s="84">
        <v>0</v>
      </c>
      <c r="L32" s="84">
        <v>0</v>
      </c>
      <c r="M32" s="84">
        <v>0</v>
      </c>
      <c r="N32" s="84">
        <v>0</v>
      </c>
      <c r="O32" s="84">
        <v>0</v>
      </c>
      <c r="P32" s="84">
        <v>0</v>
      </c>
      <c r="Q32" s="84">
        <v>0</v>
      </c>
      <c r="R32" s="84">
        <v>0</v>
      </c>
      <c r="S32" s="84">
        <v>0</v>
      </c>
      <c r="T32" s="84">
        <v>0</v>
      </c>
      <c r="U32" s="84">
        <v>0</v>
      </c>
      <c r="V32" s="84">
        <v>0</v>
      </c>
      <c r="W32" s="84">
        <v>0</v>
      </c>
      <c r="X32" s="84">
        <v>0</v>
      </c>
      <c r="Y32" s="84">
        <v>0</v>
      </c>
      <c r="Z32" s="84">
        <v>0</v>
      </c>
      <c r="AA32" s="84">
        <v>0</v>
      </c>
      <c r="AB32" s="84">
        <v>0</v>
      </c>
      <c r="AC32" s="84">
        <v>0</v>
      </c>
      <c r="AD32" s="84">
        <v>0</v>
      </c>
      <c r="AE32" s="84">
        <v>0</v>
      </c>
      <c r="AF32" s="84">
        <v>0</v>
      </c>
      <c r="AG32" s="84">
        <v>0</v>
      </c>
      <c r="AH32" s="84">
        <v>0</v>
      </c>
      <c r="AI32" s="84">
        <f t="shared" si="0"/>
        <v>0</v>
      </c>
    </row>
    <row r="33" spans="1:35">
      <c r="A33" s="22" t="s">
        <v>90</v>
      </c>
      <c r="B33" s="22" t="s">
        <v>91</v>
      </c>
      <c r="C33" s="22">
        <v>2010</v>
      </c>
      <c r="D33" s="22" t="s">
        <v>85</v>
      </c>
      <c r="E33" s="84">
        <v>0</v>
      </c>
      <c r="F33" s="84">
        <v>0</v>
      </c>
      <c r="G33" s="84">
        <v>0</v>
      </c>
      <c r="H33" s="84">
        <v>0</v>
      </c>
      <c r="I33" s="84">
        <v>0</v>
      </c>
      <c r="J33" s="84">
        <v>0</v>
      </c>
      <c r="K33" s="84">
        <v>0</v>
      </c>
      <c r="L33" s="84">
        <v>0</v>
      </c>
      <c r="M33" s="84">
        <v>0</v>
      </c>
      <c r="N33" s="84">
        <v>0</v>
      </c>
      <c r="O33" s="84">
        <v>0</v>
      </c>
      <c r="P33" s="84">
        <v>0</v>
      </c>
      <c r="Q33" s="84">
        <v>0</v>
      </c>
      <c r="R33" s="84">
        <v>0</v>
      </c>
      <c r="S33" s="84">
        <v>0</v>
      </c>
      <c r="T33" s="84">
        <v>0</v>
      </c>
      <c r="U33" s="84">
        <v>0</v>
      </c>
      <c r="V33" s="84">
        <v>0</v>
      </c>
      <c r="W33" s="84">
        <v>0</v>
      </c>
      <c r="X33" s="84">
        <v>0</v>
      </c>
      <c r="Y33" s="84">
        <v>0</v>
      </c>
      <c r="Z33" s="84">
        <v>0</v>
      </c>
      <c r="AA33" s="84">
        <v>0</v>
      </c>
      <c r="AB33" s="84">
        <v>96.785844963000002</v>
      </c>
      <c r="AC33" s="84">
        <v>0</v>
      </c>
      <c r="AD33" s="84">
        <v>0</v>
      </c>
      <c r="AE33" s="84">
        <v>0</v>
      </c>
      <c r="AF33" s="84">
        <v>0</v>
      </c>
      <c r="AG33" s="84">
        <v>0</v>
      </c>
      <c r="AH33" s="84">
        <v>0</v>
      </c>
      <c r="AI33" s="84">
        <f t="shared" si="0"/>
        <v>0</v>
      </c>
    </row>
    <row r="34" spans="1:35">
      <c r="A34" s="22" t="s">
        <v>90</v>
      </c>
      <c r="B34" s="22" t="s">
        <v>91</v>
      </c>
      <c r="C34" s="22">
        <v>2015</v>
      </c>
      <c r="D34" s="22" t="s">
        <v>85</v>
      </c>
      <c r="E34" s="84">
        <v>0</v>
      </c>
      <c r="F34" s="84">
        <v>0</v>
      </c>
      <c r="G34" s="84">
        <v>0</v>
      </c>
      <c r="H34" s="84">
        <v>0</v>
      </c>
      <c r="I34" s="84">
        <v>0</v>
      </c>
      <c r="J34" s="84">
        <v>0</v>
      </c>
      <c r="K34" s="84">
        <v>0</v>
      </c>
      <c r="L34" s="84">
        <v>0</v>
      </c>
      <c r="M34" s="84">
        <v>0</v>
      </c>
      <c r="N34" s="84">
        <v>0</v>
      </c>
      <c r="O34" s="84">
        <v>0</v>
      </c>
      <c r="P34" s="84">
        <v>0</v>
      </c>
      <c r="Q34" s="84">
        <v>0</v>
      </c>
      <c r="R34" s="84">
        <v>0</v>
      </c>
      <c r="S34" s="84">
        <v>0</v>
      </c>
      <c r="T34" s="84">
        <v>0</v>
      </c>
      <c r="U34" s="84">
        <v>0</v>
      </c>
      <c r="V34" s="84">
        <v>0</v>
      </c>
      <c r="W34" s="84">
        <v>0</v>
      </c>
      <c r="X34" s="84">
        <v>0</v>
      </c>
      <c r="Y34" s="84">
        <v>0</v>
      </c>
      <c r="Z34" s="84">
        <v>0</v>
      </c>
      <c r="AA34" s="84">
        <v>0</v>
      </c>
      <c r="AB34" s="84">
        <v>41.967377304000003</v>
      </c>
      <c r="AC34" s="84">
        <v>0</v>
      </c>
      <c r="AD34" s="84">
        <v>0</v>
      </c>
      <c r="AE34" s="84">
        <v>0</v>
      </c>
      <c r="AF34" s="84">
        <v>0</v>
      </c>
      <c r="AG34" s="84">
        <v>0</v>
      </c>
      <c r="AH34" s="84">
        <v>0</v>
      </c>
      <c r="AI34" s="84">
        <f t="shared" si="0"/>
        <v>0</v>
      </c>
    </row>
    <row r="35" spans="1:35">
      <c r="A35" s="22" t="s">
        <v>90</v>
      </c>
      <c r="B35" s="22" t="s">
        <v>91</v>
      </c>
      <c r="C35" s="22">
        <v>2019</v>
      </c>
      <c r="D35" s="22" t="s">
        <v>85</v>
      </c>
      <c r="E35" s="84">
        <v>0</v>
      </c>
      <c r="F35" s="84">
        <v>0</v>
      </c>
      <c r="G35" s="84">
        <v>0</v>
      </c>
      <c r="H35" s="84">
        <v>0</v>
      </c>
      <c r="I35" s="84">
        <v>0</v>
      </c>
      <c r="J35" s="84">
        <v>0</v>
      </c>
      <c r="K35" s="84">
        <v>0</v>
      </c>
      <c r="L35" s="84">
        <v>0</v>
      </c>
      <c r="M35" s="84">
        <v>0</v>
      </c>
      <c r="N35" s="84">
        <v>0</v>
      </c>
      <c r="O35" s="84">
        <v>0</v>
      </c>
      <c r="P35" s="84">
        <v>0</v>
      </c>
      <c r="Q35" s="84">
        <v>0</v>
      </c>
      <c r="R35" s="84">
        <v>0</v>
      </c>
      <c r="S35" s="84">
        <v>0</v>
      </c>
      <c r="T35" s="84">
        <v>0</v>
      </c>
      <c r="U35" s="84">
        <v>0</v>
      </c>
      <c r="V35" s="84">
        <v>0</v>
      </c>
      <c r="W35" s="84">
        <v>0</v>
      </c>
      <c r="X35" s="84">
        <v>0</v>
      </c>
      <c r="Y35" s="84">
        <v>0</v>
      </c>
      <c r="Z35" s="84">
        <v>0</v>
      </c>
      <c r="AA35" s="84">
        <v>0</v>
      </c>
      <c r="AB35" s="84">
        <v>11.2613</v>
      </c>
      <c r="AC35" s="84">
        <v>0</v>
      </c>
      <c r="AD35" s="84">
        <v>0</v>
      </c>
      <c r="AE35" s="84">
        <v>0</v>
      </c>
      <c r="AF35" s="84">
        <v>0</v>
      </c>
      <c r="AG35" s="84">
        <v>0</v>
      </c>
      <c r="AH35" s="84">
        <v>0</v>
      </c>
      <c r="AI35" s="84">
        <f t="shared" si="0"/>
        <v>0</v>
      </c>
    </row>
    <row r="36" spans="1:35">
      <c r="A36" s="22" t="s">
        <v>90</v>
      </c>
      <c r="B36" s="22" t="s">
        <v>91</v>
      </c>
      <c r="C36" s="22">
        <v>2021</v>
      </c>
      <c r="D36" s="22" t="s">
        <v>85</v>
      </c>
      <c r="E36" s="84">
        <v>0</v>
      </c>
      <c r="F36" s="84">
        <v>0</v>
      </c>
      <c r="G36" s="84">
        <v>0</v>
      </c>
      <c r="H36" s="84">
        <v>0</v>
      </c>
      <c r="I36" s="84">
        <v>0</v>
      </c>
      <c r="J36" s="84">
        <v>0</v>
      </c>
      <c r="K36" s="84">
        <v>0</v>
      </c>
      <c r="L36" s="84">
        <v>0</v>
      </c>
      <c r="M36" s="84">
        <v>0</v>
      </c>
      <c r="N36" s="84">
        <v>0</v>
      </c>
      <c r="O36" s="84">
        <v>0</v>
      </c>
      <c r="P36" s="84">
        <v>0</v>
      </c>
      <c r="Q36" s="84">
        <v>0</v>
      </c>
      <c r="R36" s="84">
        <v>0</v>
      </c>
      <c r="S36" s="84">
        <v>0</v>
      </c>
      <c r="T36" s="84">
        <v>0</v>
      </c>
      <c r="U36" s="84">
        <v>0</v>
      </c>
      <c r="V36" s="84">
        <v>0</v>
      </c>
      <c r="W36" s="84">
        <v>0</v>
      </c>
      <c r="X36" s="84">
        <v>0</v>
      </c>
      <c r="Y36" s="84">
        <v>0</v>
      </c>
      <c r="Z36" s="84">
        <v>0</v>
      </c>
      <c r="AA36" s="84">
        <v>0</v>
      </c>
      <c r="AB36" s="84">
        <v>3.0742224130000002</v>
      </c>
      <c r="AC36" s="84">
        <v>0</v>
      </c>
      <c r="AD36" s="84">
        <v>0</v>
      </c>
      <c r="AE36" s="84">
        <v>0</v>
      </c>
      <c r="AF36" s="84">
        <v>0</v>
      </c>
      <c r="AG36" s="84">
        <v>0</v>
      </c>
      <c r="AH36" s="84">
        <v>0</v>
      </c>
      <c r="AI36" s="84">
        <f t="shared" si="0"/>
        <v>0</v>
      </c>
    </row>
    <row r="37" spans="1:35">
      <c r="A37" s="22" t="s">
        <v>90</v>
      </c>
      <c r="B37" s="22" t="s">
        <v>91</v>
      </c>
      <c r="C37" s="22">
        <v>1990</v>
      </c>
      <c r="D37" s="22" t="s">
        <v>86</v>
      </c>
      <c r="E37" s="84">
        <v>0</v>
      </c>
      <c r="F37" s="84">
        <v>0</v>
      </c>
      <c r="G37" s="84">
        <v>0</v>
      </c>
      <c r="H37" s="84">
        <v>0</v>
      </c>
      <c r="I37" s="84">
        <v>0</v>
      </c>
      <c r="J37" s="84">
        <v>0</v>
      </c>
      <c r="K37" s="84">
        <v>0</v>
      </c>
      <c r="L37" s="84">
        <v>0</v>
      </c>
      <c r="M37" s="84">
        <v>0</v>
      </c>
      <c r="N37" s="84">
        <v>0</v>
      </c>
      <c r="O37" s="84">
        <v>0</v>
      </c>
      <c r="P37" s="84">
        <v>0</v>
      </c>
      <c r="Q37" s="84">
        <v>0</v>
      </c>
      <c r="R37" s="84">
        <v>0</v>
      </c>
      <c r="S37" s="84">
        <v>0</v>
      </c>
      <c r="T37" s="84">
        <v>0</v>
      </c>
      <c r="U37" s="84">
        <v>0</v>
      </c>
      <c r="V37" s="84">
        <v>0</v>
      </c>
      <c r="W37" s="84">
        <v>0</v>
      </c>
      <c r="X37" s="84">
        <v>0</v>
      </c>
      <c r="Y37" s="84">
        <v>0</v>
      </c>
      <c r="Z37" s="84">
        <v>0</v>
      </c>
      <c r="AA37" s="84">
        <v>0</v>
      </c>
      <c r="AB37" s="84">
        <v>0</v>
      </c>
      <c r="AC37" s="84">
        <v>0</v>
      </c>
      <c r="AD37" s="84">
        <v>0</v>
      </c>
      <c r="AE37" s="84">
        <v>0</v>
      </c>
      <c r="AF37" s="84">
        <v>0</v>
      </c>
      <c r="AG37" s="84">
        <v>0</v>
      </c>
      <c r="AH37" s="84">
        <v>0</v>
      </c>
      <c r="AI37" s="84">
        <f t="shared" si="0"/>
        <v>0</v>
      </c>
    </row>
    <row r="38" spans="1:35">
      <c r="A38" s="22" t="s">
        <v>90</v>
      </c>
      <c r="B38" s="22" t="s">
        <v>91</v>
      </c>
      <c r="C38" s="22">
        <v>2010</v>
      </c>
      <c r="D38" s="22" t="s">
        <v>86</v>
      </c>
      <c r="E38" s="84">
        <v>0</v>
      </c>
      <c r="F38" s="84">
        <v>0</v>
      </c>
      <c r="G38" s="84">
        <v>0</v>
      </c>
      <c r="H38" s="84">
        <v>0</v>
      </c>
      <c r="I38" s="84">
        <v>0</v>
      </c>
      <c r="J38" s="84">
        <v>0</v>
      </c>
      <c r="K38" s="84">
        <v>0</v>
      </c>
      <c r="L38" s="84">
        <v>0</v>
      </c>
      <c r="M38" s="84">
        <v>0</v>
      </c>
      <c r="N38" s="84">
        <v>0</v>
      </c>
      <c r="O38" s="84">
        <v>0</v>
      </c>
      <c r="P38" s="84">
        <v>0</v>
      </c>
      <c r="Q38" s="84">
        <v>0</v>
      </c>
      <c r="R38" s="84">
        <v>0</v>
      </c>
      <c r="S38" s="84">
        <v>0</v>
      </c>
      <c r="T38" s="84">
        <v>0</v>
      </c>
      <c r="U38" s="84">
        <v>0</v>
      </c>
      <c r="V38" s="84">
        <v>0</v>
      </c>
      <c r="W38" s="84">
        <v>0</v>
      </c>
      <c r="X38" s="84">
        <v>0</v>
      </c>
      <c r="Y38" s="84">
        <v>0</v>
      </c>
      <c r="Z38" s="84">
        <v>0</v>
      </c>
      <c r="AA38" s="84">
        <v>0</v>
      </c>
      <c r="AB38" s="84">
        <v>96.785844963000002</v>
      </c>
      <c r="AC38" s="84">
        <v>0</v>
      </c>
      <c r="AD38" s="84">
        <v>0</v>
      </c>
      <c r="AE38" s="84">
        <v>0</v>
      </c>
      <c r="AF38" s="84">
        <v>0</v>
      </c>
      <c r="AG38" s="84">
        <v>0</v>
      </c>
      <c r="AH38" s="84">
        <v>0</v>
      </c>
      <c r="AI38" s="84">
        <f t="shared" si="0"/>
        <v>0</v>
      </c>
    </row>
    <row r="39" spans="1:35">
      <c r="A39" s="22" t="s">
        <v>90</v>
      </c>
      <c r="B39" s="22" t="s">
        <v>91</v>
      </c>
      <c r="C39" s="22">
        <v>2015</v>
      </c>
      <c r="D39" s="22" t="s">
        <v>86</v>
      </c>
      <c r="E39" s="84">
        <v>0</v>
      </c>
      <c r="F39" s="84">
        <v>0</v>
      </c>
      <c r="G39" s="84">
        <v>0</v>
      </c>
      <c r="H39" s="84">
        <v>0</v>
      </c>
      <c r="I39" s="84">
        <v>0</v>
      </c>
      <c r="J39" s="84">
        <v>0</v>
      </c>
      <c r="K39" s="84">
        <v>0</v>
      </c>
      <c r="L39" s="84">
        <v>0</v>
      </c>
      <c r="M39" s="84">
        <v>0</v>
      </c>
      <c r="N39" s="84">
        <v>0</v>
      </c>
      <c r="O39" s="84">
        <v>0</v>
      </c>
      <c r="P39" s="84">
        <v>0</v>
      </c>
      <c r="Q39" s="84">
        <v>0</v>
      </c>
      <c r="R39" s="84">
        <v>0</v>
      </c>
      <c r="S39" s="84">
        <v>0</v>
      </c>
      <c r="T39" s="84">
        <v>0</v>
      </c>
      <c r="U39" s="84">
        <v>0</v>
      </c>
      <c r="V39" s="84">
        <v>0</v>
      </c>
      <c r="W39" s="84">
        <v>0</v>
      </c>
      <c r="X39" s="84">
        <v>0</v>
      </c>
      <c r="Y39" s="84">
        <v>0</v>
      </c>
      <c r="Z39" s="84">
        <v>0</v>
      </c>
      <c r="AA39" s="84">
        <v>0</v>
      </c>
      <c r="AB39" s="84">
        <v>41.967377304000003</v>
      </c>
      <c r="AC39" s="84">
        <v>0</v>
      </c>
      <c r="AD39" s="84">
        <v>0</v>
      </c>
      <c r="AE39" s="84">
        <v>0</v>
      </c>
      <c r="AF39" s="84">
        <v>0</v>
      </c>
      <c r="AG39" s="84">
        <v>0</v>
      </c>
      <c r="AH39" s="84">
        <v>0</v>
      </c>
      <c r="AI39" s="84">
        <f t="shared" si="0"/>
        <v>0</v>
      </c>
    </row>
    <row r="40" spans="1:35">
      <c r="A40" s="22" t="s">
        <v>90</v>
      </c>
      <c r="B40" s="22" t="s">
        <v>91</v>
      </c>
      <c r="C40" s="22">
        <v>2019</v>
      </c>
      <c r="D40" s="22" t="s">
        <v>86</v>
      </c>
      <c r="E40" s="84">
        <v>0</v>
      </c>
      <c r="F40" s="84">
        <v>0</v>
      </c>
      <c r="G40" s="84">
        <v>0</v>
      </c>
      <c r="H40" s="84">
        <v>0</v>
      </c>
      <c r="I40" s="84">
        <v>0</v>
      </c>
      <c r="J40" s="84">
        <v>0</v>
      </c>
      <c r="K40" s="84">
        <v>0</v>
      </c>
      <c r="L40" s="84">
        <v>0</v>
      </c>
      <c r="M40" s="84">
        <v>0</v>
      </c>
      <c r="N40" s="84">
        <v>0</v>
      </c>
      <c r="O40" s="84">
        <v>0</v>
      </c>
      <c r="P40" s="84">
        <v>0</v>
      </c>
      <c r="Q40" s="84">
        <v>0</v>
      </c>
      <c r="R40" s="84">
        <v>0</v>
      </c>
      <c r="S40" s="84">
        <v>0</v>
      </c>
      <c r="T40" s="84">
        <v>0</v>
      </c>
      <c r="U40" s="84">
        <v>0</v>
      </c>
      <c r="V40" s="84">
        <v>0</v>
      </c>
      <c r="W40" s="84">
        <v>0</v>
      </c>
      <c r="X40" s="84">
        <v>0</v>
      </c>
      <c r="Y40" s="84">
        <v>0</v>
      </c>
      <c r="Z40" s="84">
        <v>0</v>
      </c>
      <c r="AA40" s="84">
        <v>0</v>
      </c>
      <c r="AB40" s="84">
        <v>11.2613</v>
      </c>
      <c r="AC40" s="84">
        <v>0</v>
      </c>
      <c r="AD40" s="84">
        <v>0</v>
      </c>
      <c r="AE40" s="84">
        <v>0</v>
      </c>
      <c r="AF40" s="84">
        <v>0</v>
      </c>
      <c r="AG40" s="84">
        <v>0</v>
      </c>
      <c r="AH40" s="84">
        <v>0</v>
      </c>
      <c r="AI40" s="84">
        <f t="shared" si="0"/>
        <v>0</v>
      </c>
    </row>
    <row r="41" spans="1:35">
      <c r="A41" s="22" t="s">
        <v>90</v>
      </c>
      <c r="B41" s="22" t="s">
        <v>91</v>
      </c>
      <c r="C41" s="22">
        <v>2021</v>
      </c>
      <c r="D41" s="22" t="s">
        <v>86</v>
      </c>
      <c r="E41" s="84">
        <v>0</v>
      </c>
      <c r="F41" s="84">
        <v>0</v>
      </c>
      <c r="G41" s="84">
        <v>0</v>
      </c>
      <c r="H41" s="84">
        <v>0</v>
      </c>
      <c r="I41" s="84">
        <v>0</v>
      </c>
      <c r="J41" s="84">
        <v>0</v>
      </c>
      <c r="K41" s="84">
        <v>0</v>
      </c>
      <c r="L41" s="84">
        <v>0</v>
      </c>
      <c r="M41" s="84">
        <v>0</v>
      </c>
      <c r="N41" s="84">
        <v>0</v>
      </c>
      <c r="O41" s="84">
        <v>0</v>
      </c>
      <c r="P41" s="84">
        <v>0</v>
      </c>
      <c r="Q41" s="84">
        <v>0</v>
      </c>
      <c r="R41" s="84">
        <v>0</v>
      </c>
      <c r="S41" s="84">
        <v>0</v>
      </c>
      <c r="T41" s="84">
        <v>0</v>
      </c>
      <c r="U41" s="84">
        <v>0</v>
      </c>
      <c r="V41" s="84">
        <v>0</v>
      </c>
      <c r="W41" s="84">
        <v>0</v>
      </c>
      <c r="X41" s="84">
        <v>0</v>
      </c>
      <c r="Y41" s="84">
        <v>0</v>
      </c>
      <c r="Z41" s="84">
        <v>0</v>
      </c>
      <c r="AA41" s="84">
        <v>0</v>
      </c>
      <c r="AB41" s="84">
        <v>3.0742224130000002</v>
      </c>
      <c r="AC41" s="84">
        <v>0</v>
      </c>
      <c r="AD41" s="84">
        <v>0</v>
      </c>
      <c r="AE41" s="84">
        <v>0</v>
      </c>
      <c r="AF41" s="84">
        <v>0</v>
      </c>
      <c r="AG41" s="84">
        <v>0</v>
      </c>
      <c r="AH41" s="84">
        <v>0</v>
      </c>
      <c r="AI41" s="84">
        <f t="shared" si="0"/>
        <v>0</v>
      </c>
    </row>
    <row r="42" spans="1:35">
      <c r="A42" s="22" t="s">
        <v>90</v>
      </c>
      <c r="B42" s="22" t="s">
        <v>91</v>
      </c>
      <c r="C42" s="22">
        <v>1990</v>
      </c>
      <c r="D42" s="22" t="s">
        <v>87</v>
      </c>
      <c r="E42" s="84">
        <v>0</v>
      </c>
      <c r="F42" s="84">
        <v>0</v>
      </c>
      <c r="G42" s="84">
        <v>0</v>
      </c>
      <c r="H42" s="84">
        <v>0</v>
      </c>
      <c r="I42" s="84">
        <v>0</v>
      </c>
      <c r="J42" s="84">
        <v>0</v>
      </c>
      <c r="K42" s="84">
        <v>0</v>
      </c>
      <c r="L42" s="84">
        <v>0</v>
      </c>
      <c r="M42" s="84">
        <v>0</v>
      </c>
      <c r="N42" s="84">
        <v>0</v>
      </c>
      <c r="O42" s="84">
        <v>0</v>
      </c>
      <c r="P42" s="84">
        <v>0</v>
      </c>
      <c r="Q42" s="84">
        <v>0</v>
      </c>
      <c r="R42" s="84">
        <v>0</v>
      </c>
      <c r="S42" s="84">
        <v>0</v>
      </c>
      <c r="T42" s="84">
        <v>0</v>
      </c>
      <c r="U42" s="84">
        <v>0</v>
      </c>
      <c r="V42" s="84">
        <v>0</v>
      </c>
      <c r="W42" s="84">
        <v>0</v>
      </c>
      <c r="X42" s="84">
        <v>0</v>
      </c>
      <c r="Y42" s="84">
        <v>0</v>
      </c>
      <c r="Z42" s="84">
        <v>0</v>
      </c>
      <c r="AA42" s="84">
        <v>0</v>
      </c>
      <c r="AB42" s="84">
        <v>0</v>
      </c>
      <c r="AC42" s="84">
        <v>0</v>
      </c>
      <c r="AD42" s="84">
        <v>0</v>
      </c>
      <c r="AE42" s="84">
        <v>0</v>
      </c>
      <c r="AF42" s="84">
        <v>0</v>
      </c>
      <c r="AG42" s="84">
        <v>0</v>
      </c>
      <c r="AH42" s="84">
        <v>0</v>
      </c>
      <c r="AI42" s="84">
        <f t="shared" si="0"/>
        <v>0</v>
      </c>
    </row>
    <row r="43" spans="1:35">
      <c r="A43" s="22" t="s">
        <v>90</v>
      </c>
      <c r="B43" s="22" t="s">
        <v>91</v>
      </c>
      <c r="C43" s="22">
        <v>2010</v>
      </c>
      <c r="D43" s="22" t="s">
        <v>87</v>
      </c>
      <c r="E43" s="84">
        <v>0</v>
      </c>
      <c r="F43" s="84">
        <v>0</v>
      </c>
      <c r="G43" s="84">
        <v>0</v>
      </c>
      <c r="H43" s="84">
        <v>0</v>
      </c>
      <c r="I43" s="84">
        <v>0</v>
      </c>
      <c r="J43" s="84">
        <v>0</v>
      </c>
      <c r="K43" s="84">
        <v>0</v>
      </c>
      <c r="L43" s="84">
        <v>0</v>
      </c>
      <c r="M43" s="84">
        <v>0</v>
      </c>
      <c r="N43" s="84">
        <v>0</v>
      </c>
      <c r="O43" s="84">
        <v>0</v>
      </c>
      <c r="P43" s="84">
        <v>0</v>
      </c>
      <c r="Q43" s="84">
        <v>0</v>
      </c>
      <c r="R43" s="84">
        <v>0</v>
      </c>
      <c r="S43" s="84">
        <v>0</v>
      </c>
      <c r="T43" s="84">
        <v>0</v>
      </c>
      <c r="U43" s="84">
        <v>0</v>
      </c>
      <c r="V43" s="84">
        <v>0</v>
      </c>
      <c r="W43" s="84">
        <v>0</v>
      </c>
      <c r="X43" s="84">
        <v>0</v>
      </c>
      <c r="Y43" s="84">
        <v>0</v>
      </c>
      <c r="Z43" s="84">
        <v>0</v>
      </c>
      <c r="AA43" s="84">
        <v>0</v>
      </c>
      <c r="AB43" s="84">
        <v>0</v>
      </c>
      <c r="AC43" s="84">
        <v>0</v>
      </c>
      <c r="AD43" s="84">
        <v>0</v>
      </c>
      <c r="AE43" s="84">
        <v>0</v>
      </c>
      <c r="AF43" s="84">
        <v>0</v>
      </c>
      <c r="AG43" s="84">
        <v>0</v>
      </c>
      <c r="AH43" s="84">
        <v>0</v>
      </c>
      <c r="AI43" s="84">
        <f t="shared" si="0"/>
        <v>0</v>
      </c>
    </row>
    <row r="44" spans="1:35">
      <c r="A44" s="22" t="s">
        <v>90</v>
      </c>
      <c r="B44" s="22" t="s">
        <v>91</v>
      </c>
      <c r="C44" s="22">
        <v>2015</v>
      </c>
      <c r="D44" s="22" t="s">
        <v>87</v>
      </c>
      <c r="E44" s="84">
        <v>0</v>
      </c>
      <c r="F44" s="84">
        <v>0</v>
      </c>
      <c r="G44" s="84">
        <v>0</v>
      </c>
      <c r="H44" s="84">
        <v>0</v>
      </c>
      <c r="I44" s="84">
        <v>0</v>
      </c>
      <c r="J44" s="84">
        <v>0</v>
      </c>
      <c r="K44" s="84">
        <v>0</v>
      </c>
      <c r="L44" s="84">
        <v>0</v>
      </c>
      <c r="M44" s="84">
        <v>0</v>
      </c>
      <c r="N44" s="84">
        <v>0</v>
      </c>
      <c r="O44" s="84">
        <v>0</v>
      </c>
      <c r="P44" s="84">
        <v>0</v>
      </c>
      <c r="Q44" s="84">
        <v>0</v>
      </c>
      <c r="R44" s="84">
        <v>0</v>
      </c>
      <c r="S44" s="84">
        <v>0</v>
      </c>
      <c r="T44" s="84">
        <v>0</v>
      </c>
      <c r="U44" s="84">
        <v>0</v>
      </c>
      <c r="V44" s="84">
        <v>0</v>
      </c>
      <c r="W44" s="84">
        <v>0</v>
      </c>
      <c r="X44" s="84">
        <v>0</v>
      </c>
      <c r="Y44" s="84">
        <v>0</v>
      </c>
      <c r="Z44" s="84">
        <v>0</v>
      </c>
      <c r="AA44" s="84">
        <v>0</v>
      </c>
      <c r="AB44" s="84">
        <v>0</v>
      </c>
      <c r="AC44" s="84">
        <v>0</v>
      </c>
      <c r="AD44" s="84">
        <v>0</v>
      </c>
      <c r="AE44" s="84">
        <v>0</v>
      </c>
      <c r="AF44" s="84">
        <v>0</v>
      </c>
      <c r="AG44" s="84">
        <v>0</v>
      </c>
      <c r="AH44" s="84">
        <v>0</v>
      </c>
      <c r="AI44" s="84">
        <f t="shared" si="0"/>
        <v>0</v>
      </c>
    </row>
    <row r="45" spans="1:35">
      <c r="A45" s="22" t="s">
        <v>90</v>
      </c>
      <c r="B45" s="22" t="s">
        <v>91</v>
      </c>
      <c r="C45" s="22">
        <v>2019</v>
      </c>
      <c r="D45" s="22" t="s">
        <v>87</v>
      </c>
      <c r="E45" s="84">
        <v>0</v>
      </c>
      <c r="F45" s="84">
        <v>0</v>
      </c>
      <c r="G45" s="84">
        <v>0</v>
      </c>
      <c r="H45" s="84">
        <v>0</v>
      </c>
      <c r="I45" s="84">
        <v>0</v>
      </c>
      <c r="J45" s="84">
        <v>0</v>
      </c>
      <c r="K45" s="84">
        <v>0</v>
      </c>
      <c r="L45" s="84">
        <v>0</v>
      </c>
      <c r="M45" s="84">
        <v>0</v>
      </c>
      <c r="N45" s="84">
        <v>0</v>
      </c>
      <c r="O45" s="84">
        <v>0</v>
      </c>
      <c r="P45" s="84">
        <v>0</v>
      </c>
      <c r="Q45" s="84">
        <v>0</v>
      </c>
      <c r="R45" s="84">
        <v>0</v>
      </c>
      <c r="S45" s="84">
        <v>0</v>
      </c>
      <c r="T45" s="84">
        <v>0</v>
      </c>
      <c r="U45" s="84">
        <v>0</v>
      </c>
      <c r="V45" s="84">
        <v>0</v>
      </c>
      <c r="W45" s="84">
        <v>0</v>
      </c>
      <c r="X45" s="84">
        <v>0</v>
      </c>
      <c r="Y45" s="84">
        <v>0</v>
      </c>
      <c r="Z45" s="84">
        <v>0</v>
      </c>
      <c r="AA45" s="84">
        <v>0</v>
      </c>
      <c r="AB45" s="84">
        <v>0</v>
      </c>
      <c r="AC45" s="84">
        <v>0</v>
      </c>
      <c r="AD45" s="84">
        <v>0</v>
      </c>
      <c r="AE45" s="84">
        <v>0</v>
      </c>
      <c r="AF45" s="84">
        <v>0</v>
      </c>
      <c r="AG45" s="84">
        <v>0</v>
      </c>
      <c r="AH45" s="84">
        <v>0</v>
      </c>
      <c r="AI45" s="84">
        <f t="shared" si="0"/>
        <v>0</v>
      </c>
    </row>
    <row r="46" spans="1:35">
      <c r="A46" s="22" t="s">
        <v>90</v>
      </c>
      <c r="B46" s="22" t="s">
        <v>91</v>
      </c>
      <c r="C46" s="22">
        <v>2021</v>
      </c>
      <c r="D46" s="22" t="s">
        <v>87</v>
      </c>
      <c r="E46" s="84">
        <v>0</v>
      </c>
      <c r="F46" s="84">
        <v>0</v>
      </c>
      <c r="G46" s="84">
        <v>0</v>
      </c>
      <c r="H46" s="84">
        <v>0</v>
      </c>
      <c r="I46" s="84">
        <v>0</v>
      </c>
      <c r="J46" s="84">
        <v>0</v>
      </c>
      <c r="K46" s="84">
        <v>0</v>
      </c>
      <c r="L46" s="84">
        <v>0</v>
      </c>
      <c r="M46" s="84">
        <v>0</v>
      </c>
      <c r="N46" s="84">
        <v>0</v>
      </c>
      <c r="O46" s="84">
        <v>0</v>
      </c>
      <c r="P46" s="84">
        <v>0</v>
      </c>
      <c r="Q46" s="84">
        <v>0</v>
      </c>
      <c r="R46" s="84">
        <v>0</v>
      </c>
      <c r="S46" s="84">
        <v>0</v>
      </c>
      <c r="T46" s="84">
        <v>0</v>
      </c>
      <c r="U46" s="84">
        <v>0</v>
      </c>
      <c r="V46" s="84">
        <v>0</v>
      </c>
      <c r="W46" s="84">
        <v>0</v>
      </c>
      <c r="X46" s="84">
        <v>0</v>
      </c>
      <c r="Y46" s="84">
        <v>0</v>
      </c>
      <c r="Z46" s="84">
        <v>0</v>
      </c>
      <c r="AA46" s="84">
        <v>0</v>
      </c>
      <c r="AB46" s="84">
        <v>0</v>
      </c>
      <c r="AC46" s="84">
        <v>0</v>
      </c>
      <c r="AD46" s="84">
        <v>0</v>
      </c>
      <c r="AE46" s="84">
        <v>0</v>
      </c>
      <c r="AF46" s="84">
        <v>0</v>
      </c>
      <c r="AG46" s="84">
        <v>0</v>
      </c>
      <c r="AH46" s="84">
        <v>0</v>
      </c>
      <c r="AI46" s="84">
        <f t="shared" si="0"/>
        <v>0</v>
      </c>
    </row>
    <row r="47" spans="1:35">
      <c r="A47" s="22" t="s">
        <v>92</v>
      </c>
      <c r="B47" s="22" t="s">
        <v>93</v>
      </c>
      <c r="C47" s="22">
        <v>1990</v>
      </c>
      <c r="D47" s="22" t="s">
        <v>85</v>
      </c>
      <c r="E47" s="84">
        <v>3114.1048012122901</v>
      </c>
      <c r="F47" s="84">
        <v>5319.8186415009204</v>
      </c>
      <c r="G47" s="84">
        <v>3277.8561567504698</v>
      </c>
      <c r="H47" s="84">
        <v>2809.5511425038999</v>
      </c>
      <c r="I47" s="84">
        <v>717.07259999999997</v>
      </c>
      <c r="J47" s="84">
        <v>4082.44501839136</v>
      </c>
      <c r="K47" s="84">
        <v>23522.377003360001</v>
      </c>
      <c r="L47" s="84">
        <v>973.47304576900001</v>
      </c>
      <c r="M47" s="84">
        <v>613.95310425052298</v>
      </c>
      <c r="N47" s="84">
        <v>6775.4275799323304</v>
      </c>
      <c r="O47" s="84">
        <v>15119.9891766159</v>
      </c>
      <c r="P47" s="84">
        <v>1218.2243732535501</v>
      </c>
      <c r="Q47" s="84">
        <v>14938.927641059599</v>
      </c>
      <c r="R47" s="84">
        <v>1297.56057459874</v>
      </c>
      <c r="S47" s="84">
        <v>2890.11346435616</v>
      </c>
      <c r="T47" s="84">
        <v>1116.7254085014299</v>
      </c>
      <c r="U47" s="84">
        <v>52.256339687299999</v>
      </c>
      <c r="V47" s="84">
        <v>20720.452814473701</v>
      </c>
      <c r="W47" s="84">
        <v>2129.61341697833</v>
      </c>
      <c r="X47" s="84">
        <v>592.92635563517399</v>
      </c>
      <c r="Y47" s="84">
        <v>537.23815895799498</v>
      </c>
      <c r="Z47" s="84">
        <v>1.43588205</v>
      </c>
      <c r="AA47" s="84">
        <v>1410.72314150185</v>
      </c>
      <c r="AB47" s="84">
        <v>727.69411766450003</v>
      </c>
      <c r="AC47" s="84">
        <v>8855.0606651423204</v>
      </c>
      <c r="AD47" s="84">
        <v>3671.5772706873499</v>
      </c>
      <c r="AE47" s="84">
        <v>6083.2392557807098</v>
      </c>
      <c r="AF47" s="84">
        <v>1672.50302025938</v>
      </c>
      <c r="AG47" s="84">
        <v>694.10227132117495</v>
      </c>
      <c r="AH47" s="84">
        <v>2714.0217961146</v>
      </c>
      <c r="AI47" s="84">
        <f t="shared" si="0"/>
        <v>134060.96263845489</v>
      </c>
    </row>
    <row r="48" spans="1:35">
      <c r="A48" s="22" t="s">
        <v>92</v>
      </c>
      <c r="B48" s="22" t="s">
        <v>93</v>
      </c>
      <c r="C48" s="22">
        <v>2010</v>
      </c>
      <c r="D48" s="22" t="s">
        <v>85</v>
      </c>
      <c r="E48" s="84">
        <v>2677.3870526350302</v>
      </c>
      <c r="F48" s="84">
        <v>4620.3161</v>
      </c>
      <c r="G48" s="84">
        <v>1811.7874164047701</v>
      </c>
      <c r="H48" s="84">
        <v>2128.4974184046</v>
      </c>
      <c r="I48" s="84">
        <v>589.98199999999997</v>
      </c>
      <c r="J48" s="84">
        <v>3048.4170044901002</v>
      </c>
      <c r="K48" s="84">
        <v>18952.411817380002</v>
      </c>
      <c r="L48" s="84">
        <v>806.86809226781997</v>
      </c>
      <c r="M48" s="84">
        <v>338.509463682042</v>
      </c>
      <c r="N48" s="84">
        <v>4920.6423896939796</v>
      </c>
      <c r="O48" s="84">
        <v>14209.477715971399</v>
      </c>
      <c r="P48" s="84">
        <v>1167.5231532492901</v>
      </c>
      <c r="Q48" s="84">
        <v>11020.205469566399</v>
      </c>
      <c r="R48" s="84">
        <v>1403.7131609380399</v>
      </c>
      <c r="S48" s="84">
        <v>1259.15991439821</v>
      </c>
      <c r="T48" s="84">
        <v>1299.04841474656</v>
      </c>
      <c r="U48" s="84">
        <v>10.3999726921</v>
      </c>
      <c r="V48" s="84">
        <v>17341.489286306401</v>
      </c>
      <c r="W48" s="84">
        <v>327.542691901262</v>
      </c>
      <c r="X48" s="84">
        <v>432.75142792698699</v>
      </c>
      <c r="Y48" s="84">
        <v>452.95927071581099</v>
      </c>
      <c r="Z48" s="84">
        <v>0.18457583999999999</v>
      </c>
      <c r="AA48" s="84">
        <v>1396.5835247408399</v>
      </c>
      <c r="AB48" s="84">
        <v>1023.1097387</v>
      </c>
      <c r="AC48" s="84">
        <v>9849.5389204612893</v>
      </c>
      <c r="AD48" s="84">
        <v>4103.92827354577</v>
      </c>
      <c r="AE48" s="84">
        <v>3812.7621445567302</v>
      </c>
      <c r="AF48" s="84">
        <v>1901.48860600378</v>
      </c>
      <c r="AG48" s="84">
        <v>479.39167242914903</v>
      </c>
      <c r="AH48" s="84">
        <v>1941.1796146658601</v>
      </c>
      <c r="AI48" s="84">
        <f t="shared" si="0"/>
        <v>110165.24917451755</v>
      </c>
    </row>
    <row r="49" spans="1:35">
      <c r="A49" s="22" t="s">
        <v>92</v>
      </c>
      <c r="B49" s="22" t="s">
        <v>93</v>
      </c>
      <c r="C49" s="22">
        <v>2015</v>
      </c>
      <c r="D49" s="22" t="s">
        <v>85</v>
      </c>
      <c r="E49" s="84">
        <v>2760.1186317469601</v>
      </c>
      <c r="F49" s="84">
        <v>4382.1190399999996</v>
      </c>
      <c r="G49" s="84">
        <v>2385.6663861102902</v>
      </c>
      <c r="H49" s="84">
        <v>1849.6936569106001</v>
      </c>
      <c r="I49" s="84">
        <v>888.12440000000004</v>
      </c>
      <c r="J49" s="84">
        <v>3084.2403225978501</v>
      </c>
      <c r="K49" s="84">
        <v>19245.834052949998</v>
      </c>
      <c r="L49" s="84">
        <v>1048.6183400585501</v>
      </c>
      <c r="M49" s="84">
        <v>262.84085772367899</v>
      </c>
      <c r="N49" s="84">
        <v>3956.7323941671598</v>
      </c>
      <c r="O49" s="84">
        <v>12143.229235734199</v>
      </c>
      <c r="P49" s="84">
        <v>966.70044467686</v>
      </c>
      <c r="Q49" s="84">
        <v>9687.5529732082396</v>
      </c>
      <c r="R49" s="84">
        <v>1306.3544456698</v>
      </c>
      <c r="S49" s="84">
        <v>1137.9714618036201</v>
      </c>
      <c r="T49" s="84">
        <v>1830.3635214124299</v>
      </c>
      <c r="U49" s="84">
        <v>0.71654013159999996</v>
      </c>
      <c r="V49" s="84">
        <v>11291.174164681001</v>
      </c>
      <c r="W49" s="84">
        <v>576.44044203750605</v>
      </c>
      <c r="X49" s="84">
        <v>394.3492</v>
      </c>
      <c r="Y49" s="84">
        <v>479.56583474395399</v>
      </c>
      <c r="Z49" s="84">
        <v>1.8860051600000001</v>
      </c>
      <c r="AA49" s="84">
        <v>1454.0572137059701</v>
      </c>
      <c r="AB49" s="84">
        <v>987.08517713280003</v>
      </c>
      <c r="AC49" s="84">
        <v>10088.5884998085</v>
      </c>
      <c r="AD49" s="84">
        <v>3763.5468258348101</v>
      </c>
      <c r="AE49" s="84">
        <v>4461.5515966106504</v>
      </c>
      <c r="AF49" s="84">
        <v>1994.43485980675</v>
      </c>
      <c r="AG49" s="84">
        <v>452.43089804130699</v>
      </c>
      <c r="AH49" s="84">
        <v>2151.3610876814801</v>
      </c>
      <c r="AI49" s="84">
        <f t="shared" si="0"/>
        <v>102195.85313597156</v>
      </c>
    </row>
    <row r="50" spans="1:35">
      <c r="A50" s="22" t="s">
        <v>92</v>
      </c>
      <c r="B50" s="22" t="s">
        <v>93</v>
      </c>
      <c r="C50" s="22">
        <v>2019</v>
      </c>
      <c r="D50" s="22" t="s">
        <v>85</v>
      </c>
      <c r="E50" s="84">
        <v>2833.0904638029101</v>
      </c>
      <c r="F50" s="84">
        <v>4549.893</v>
      </c>
      <c r="G50" s="84">
        <v>2357.6834416514998</v>
      </c>
      <c r="H50" s="84">
        <v>1856.3351689097999</v>
      </c>
      <c r="I50" s="84">
        <v>814.38850395951999</v>
      </c>
      <c r="J50" s="84">
        <v>3442.4777882820399</v>
      </c>
      <c r="K50" s="84">
        <v>19569.242430170001</v>
      </c>
      <c r="L50" s="84">
        <v>1250.5876440121101</v>
      </c>
      <c r="M50" s="84">
        <v>359.22479930794498</v>
      </c>
      <c r="N50" s="84">
        <v>3931.4798787074901</v>
      </c>
      <c r="O50" s="84">
        <v>11979.775751150401</v>
      </c>
      <c r="P50" s="84">
        <v>972.281424458895</v>
      </c>
      <c r="Q50" s="84">
        <v>10015.5103212309</v>
      </c>
      <c r="R50" s="84">
        <v>1324.9384924470901</v>
      </c>
      <c r="S50" s="84">
        <v>1465.70470800156</v>
      </c>
      <c r="T50" s="84">
        <v>2057.8652228793599</v>
      </c>
      <c r="U50" s="84">
        <v>0.95699099009999999</v>
      </c>
      <c r="V50" s="84">
        <v>11005.657054607</v>
      </c>
      <c r="W50" s="84">
        <v>602.24934111408299</v>
      </c>
      <c r="X50" s="84">
        <v>458.76949999999999</v>
      </c>
      <c r="Y50" s="84">
        <v>570.82698130738197</v>
      </c>
      <c r="Z50" s="84">
        <v>0.18278085499999999</v>
      </c>
      <c r="AA50" s="84">
        <v>1152.4544996371999</v>
      </c>
      <c r="AB50" s="84">
        <v>999.88985960499997</v>
      </c>
      <c r="AC50" s="84">
        <v>11848.837188518601</v>
      </c>
      <c r="AD50" s="84">
        <v>3071.6372021305301</v>
      </c>
      <c r="AE50" s="84">
        <v>4955.7079862977498</v>
      </c>
      <c r="AF50" s="84">
        <v>1756.5143585333001</v>
      </c>
      <c r="AG50" s="84">
        <v>565.082907301158</v>
      </c>
      <c r="AH50" s="84">
        <v>2284.9552034363901</v>
      </c>
      <c r="AI50" s="84">
        <f t="shared" si="0"/>
        <v>105197.01887380012</v>
      </c>
    </row>
    <row r="51" spans="1:35">
      <c r="A51" s="22" t="s">
        <v>92</v>
      </c>
      <c r="B51" s="22" t="s">
        <v>93</v>
      </c>
      <c r="C51" s="22">
        <v>2021</v>
      </c>
      <c r="D51" s="22" t="s">
        <v>85</v>
      </c>
      <c r="E51" s="84">
        <v>3050.3337140503399</v>
      </c>
      <c r="F51" s="84">
        <v>4238.8272699999998</v>
      </c>
      <c r="G51" s="84">
        <v>2348.8963215652602</v>
      </c>
      <c r="H51" s="84">
        <v>1857.5456403774001</v>
      </c>
      <c r="I51" s="84">
        <v>896.98706138659998</v>
      </c>
      <c r="J51" s="84">
        <v>3443.9555394637</v>
      </c>
      <c r="K51" s="84">
        <v>19898.435557680001</v>
      </c>
      <c r="L51" s="84">
        <v>1358.80206401841</v>
      </c>
      <c r="M51" s="84">
        <v>58.829834131003402</v>
      </c>
      <c r="N51" s="84">
        <v>3620.64708797303</v>
      </c>
      <c r="O51" s="84">
        <v>11293.917261529299</v>
      </c>
      <c r="P51" s="84">
        <v>1016.99380487092</v>
      </c>
      <c r="Q51" s="84">
        <v>9740.2291899491702</v>
      </c>
      <c r="R51" s="84">
        <v>1372.25700253123</v>
      </c>
      <c r="S51" s="84">
        <v>1335.4533629115699</v>
      </c>
      <c r="T51" s="84">
        <v>2256.9403807619101</v>
      </c>
      <c r="U51" s="84">
        <v>0.93069417909999996</v>
      </c>
      <c r="V51" s="84">
        <v>11145.6512120722</v>
      </c>
      <c r="W51" s="84">
        <v>655.59385500781002</v>
      </c>
      <c r="X51" s="84">
        <v>382.0172</v>
      </c>
      <c r="Y51" s="84">
        <v>547.70284156815399</v>
      </c>
      <c r="Z51" s="84">
        <v>0.151729215</v>
      </c>
      <c r="AA51" s="84">
        <v>1133.00351948772</v>
      </c>
      <c r="AB51" s="84">
        <v>935.77032109000004</v>
      </c>
      <c r="AC51" s="84">
        <v>11914.8467757011</v>
      </c>
      <c r="AD51" s="84">
        <v>2910.8887934424502</v>
      </c>
      <c r="AE51" s="84">
        <v>4905.8381765086897</v>
      </c>
      <c r="AF51" s="84">
        <v>1655.5085956863199</v>
      </c>
      <c r="AG51" s="84">
        <v>567.52670676013202</v>
      </c>
      <c r="AH51" s="84">
        <v>2335.4548361225402</v>
      </c>
      <c r="AI51" s="84">
        <f t="shared" si="0"/>
        <v>104085.68969439459</v>
      </c>
    </row>
    <row r="52" spans="1:35">
      <c r="A52" s="22" t="s">
        <v>92</v>
      </c>
      <c r="B52" s="22" t="s">
        <v>93</v>
      </c>
      <c r="C52" s="22">
        <v>1990</v>
      </c>
      <c r="D52" s="22" t="s">
        <v>86</v>
      </c>
      <c r="E52" s="84">
        <v>3114.1048012122901</v>
      </c>
      <c r="F52" s="84">
        <v>5319.8186415009204</v>
      </c>
      <c r="G52" s="84">
        <v>3277.8561567504698</v>
      </c>
      <c r="H52" s="84">
        <v>2809.5511425038999</v>
      </c>
      <c r="I52" s="84">
        <v>717.07259999999997</v>
      </c>
      <c r="J52" s="84">
        <v>4082.44501839136</v>
      </c>
      <c r="K52" s="84">
        <v>23522.377003360001</v>
      </c>
      <c r="L52" s="84">
        <v>973.47304576900001</v>
      </c>
      <c r="M52" s="84">
        <v>613.95310425052298</v>
      </c>
      <c r="N52" s="84">
        <v>6775.4275799323304</v>
      </c>
      <c r="O52" s="84">
        <v>15119.9891766159</v>
      </c>
      <c r="P52" s="84">
        <v>1218.2243732535501</v>
      </c>
      <c r="Q52" s="84">
        <v>14938.927641059599</v>
      </c>
      <c r="R52" s="84">
        <v>1297.56057459874</v>
      </c>
      <c r="S52" s="84">
        <v>2890.11346435616</v>
      </c>
      <c r="T52" s="84">
        <v>1116.7254085014299</v>
      </c>
      <c r="U52" s="84">
        <v>52.256339687299999</v>
      </c>
      <c r="V52" s="84">
        <v>20720.452814473701</v>
      </c>
      <c r="W52" s="84">
        <v>2129.61341697833</v>
      </c>
      <c r="X52" s="84">
        <v>592.92635563517399</v>
      </c>
      <c r="Y52" s="84">
        <v>537.23815895799498</v>
      </c>
      <c r="Z52" s="84">
        <v>1.43588205</v>
      </c>
      <c r="AA52" s="84">
        <v>1410.72314150185</v>
      </c>
      <c r="AB52" s="84">
        <v>727.69411766450003</v>
      </c>
      <c r="AC52" s="84">
        <v>8855.0606651423204</v>
      </c>
      <c r="AD52" s="84">
        <v>3671.5772706873499</v>
      </c>
      <c r="AE52" s="84">
        <v>6083.2392557807098</v>
      </c>
      <c r="AF52" s="84">
        <v>1672.50302025938</v>
      </c>
      <c r="AG52" s="84">
        <v>694.10227132117495</v>
      </c>
      <c r="AH52" s="84">
        <v>2714.0217961146</v>
      </c>
      <c r="AI52" s="84">
        <f t="shared" si="0"/>
        <v>134060.96263845489</v>
      </c>
    </row>
    <row r="53" spans="1:35">
      <c r="A53" s="22" t="s">
        <v>92</v>
      </c>
      <c r="B53" s="22" t="s">
        <v>93</v>
      </c>
      <c r="C53" s="22">
        <v>2010</v>
      </c>
      <c r="D53" s="22" t="s">
        <v>86</v>
      </c>
      <c r="E53" s="84">
        <v>2677.3870526350302</v>
      </c>
      <c r="F53" s="84">
        <v>4620.3161</v>
      </c>
      <c r="G53" s="84">
        <v>1811.7874164047701</v>
      </c>
      <c r="H53" s="84">
        <v>2128.4974184046</v>
      </c>
      <c r="I53" s="84">
        <v>589.98199999999997</v>
      </c>
      <c r="J53" s="84">
        <v>3048.4170044901002</v>
      </c>
      <c r="K53" s="84">
        <v>18952.411817380002</v>
      </c>
      <c r="L53" s="84">
        <v>806.86809226781997</v>
      </c>
      <c r="M53" s="84">
        <v>338.509463682042</v>
      </c>
      <c r="N53" s="84">
        <v>4920.6423896939796</v>
      </c>
      <c r="O53" s="84">
        <v>14209.477715971399</v>
      </c>
      <c r="P53" s="84">
        <v>1167.5231532492901</v>
      </c>
      <c r="Q53" s="84">
        <v>11020.205469566399</v>
      </c>
      <c r="R53" s="84">
        <v>1403.7131609380399</v>
      </c>
      <c r="S53" s="84">
        <v>1259.15991439821</v>
      </c>
      <c r="T53" s="84">
        <v>1299.04841474656</v>
      </c>
      <c r="U53" s="84">
        <v>10.3999726921</v>
      </c>
      <c r="V53" s="84">
        <v>17341.489286306401</v>
      </c>
      <c r="W53" s="84">
        <v>327.542691901262</v>
      </c>
      <c r="X53" s="84">
        <v>432.75142792698699</v>
      </c>
      <c r="Y53" s="84">
        <v>452.95927071581099</v>
      </c>
      <c r="Z53" s="84">
        <v>0.18457583999999999</v>
      </c>
      <c r="AA53" s="84">
        <v>1396.5835247408399</v>
      </c>
      <c r="AB53" s="84">
        <v>1023.1097387</v>
      </c>
      <c r="AC53" s="84">
        <v>9849.5389204612893</v>
      </c>
      <c r="AD53" s="84">
        <v>4103.92827354577</v>
      </c>
      <c r="AE53" s="84">
        <v>3812.7621445567302</v>
      </c>
      <c r="AF53" s="84">
        <v>1901.48860600378</v>
      </c>
      <c r="AG53" s="84">
        <v>479.39167242914903</v>
      </c>
      <c r="AH53" s="84">
        <v>1941.1796146658601</v>
      </c>
      <c r="AI53" s="84">
        <f t="shared" si="0"/>
        <v>110165.24917451755</v>
      </c>
    </row>
    <row r="54" spans="1:35">
      <c r="A54" s="22" t="s">
        <v>92</v>
      </c>
      <c r="B54" s="22" t="s">
        <v>93</v>
      </c>
      <c r="C54" s="22">
        <v>2015</v>
      </c>
      <c r="D54" s="22" t="s">
        <v>86</v>
      </c>
      <c r="E54" s="84">
        <v>2760.1186317469601</v>
      </c>
      <c r="F54" s="84">
        <v>4382.1190399999996</v>
      </c>
      <c r="G54" s="84">
        <v>2385.6663861102902</v>
      </c>
      <c r="H54" s="84">
        <v>1849.6936569106001</v>
      </c>
      <c r="I54" s="84">
        <v>888.12440000000004</v>
      </c>
      <c r="J54" s="84">
        <v>3084.2403225978501</v>
      </c>
      <c r="K54" s="84">
        <v>19245.834052949998</v>
      </c>
      <c r="L54" s="84">
        <v>1048.6183400585501</v>
      </c>
      <c r="M54" s="84">
        <v>262.84085772367899</v>
      </c>
      <c r="N54" s="84">
        <v>3956.7323941671598</v>
      </c>
      <c r="O54" s="84">
        <v>12143.229235734199</v>
      </c>
      <c r="P54" s="84">
        <v>966.70044467686</v>
      </c>
      <c r="Q54" s="84">
        <v>9687.5529732082396</v>
      </c>
      <c r="R54" s="84">
        <v>1306.3544456698</v>
      </c>
      <c r="S54" s="84">
        <v>1137.9714618036201</v>
      </c>
      <c r="T54" s="84">
        <v>1830.3635214124299</v>
      </c>
      <c r="U54" s="84">
        <v>0.71654013159999996</v>
      </c>
      <c r="V54" s="84">
        <v>11291.174164681001</v>
      </c>
      <c r="W54" s="84">
        <v>576.44044203750605</v>
      </c>
      <c r="X54" s="84">
        <v>394.3492</v>
      </c>
      <c r="Y54" s="84">
        <v>479.56583474395399</v>
      </c>
      <c r="Z54" s="84">
        <v>1.8860051600000001</v>
      </c>
      <c r="AA54" s="84">
        <v>1454.0572137059701</v>
      </c>
      <c r="AB54" s="84">
        <v>987.08517713280003</v>
      </c>
      <c r="AC54" s="84">
        <v>10088.5884998085</v>
      </c>
      <c r="AD54" s="84">
        <v>3763.5468258348101</v>
      </c>
      <c r="AE54" s="84">
        <v>4461.5515966106504</v>
      </c>
      <c r="AF54" s="84">
        <v>1994.43485980675</v>
      </c>
      <c r="AG54" s="84">
        <v>452.43089804130699</v>
      </c>
      <c r="AH54" s="84">
        <v>2151.3610876814801</v>
      </c>
      <c r="AI54" s="84">
        <f t="shared" si="0"/>
        <v>102195.85313597156</v>
      </c>
    </row>
    <row r="55" spans="1:35">
      <c r="A55" s="22" t="s">
        <v>92</v>
      </c>
      <c r="B55" s="22" t="s">
        <v>93</v>
      </c>
      <c r="C55" s="22">
        <v>2019</v>
      </c>
      <c r="D55" s="22" t="s">
        <v>86</v>
      </c>
      <c r="E55" s="84">
        <v>2833.0904638029101</v>
      </c>
      <c r="F55" s="84">
        <v>4549.893</v>
      </c>
      <c r="G55" s="84">
        <v>2357.6834416514998</v>
      </c>
      <c r="H55" s="84">
        <v>1856.3351689097999</v>
      </c>
      <c r="I55" s="84">
        <v>814.38850395951999</v>
      </c>
      <c r="J55" s="84">
        <v>3442.4777882820399</v>
      </c>
      <c r="K55" s="84">
        <v>19569.242430170001</v>
      </c>
      <c r="L55" s="84">
        <v>1250.5876440121101</v>
      </c>
      <c r="M55" s="84">
        <v>359.22479930794498</v>
      </c>
      <c r="N55" s="84">
        <v>3931.4798787074901</v>
      </c>
      <c r="O55" s="84">
        <v>11979.775751150401</v>
      </c>
      <c r="P55" s="84">
        <v>972.281424458895</v>
      </c>
      <c r="Q55" s="84">
        <v>10015.5103212309</v>
      </c>
      <c r="R55" s="84">
        <v>1324.9384924470901</v>
      </c>
      <c r="S55" s="84">
        <v>1465.70470800156</v>
      </c>
      <c r="T55" s="84">
        <v>2057.8652228793599</v>
      </c>
      <c r="U55" s="84">
        <v>0.95699099009999999</v>
      </c>
      <c r="V55" s="84">
        <v>11005.657054607</v>
      </c>
      <c r="W55" s="84">
        <v>602.24934111408299</v>
      </c>
      <c r="X55" s="84">
        <v>458.76949999999999</v>
      </c>
      <c r="Y55" s="84">
        <v>570.82698130738197</v>
      </c>
      <c r="Z55" s="84">
        <v>0.18278085499999999</v>
      </c>
      <c r="AA55" s="84">
        <v>1152.4544996371999</v>
      </c>
      <c r="AB55" s="84">
        <v>999.88985960499997</v>
      </c>
      <c r="AC55" s="84">
        <v>11848.837188518601</v>
      </c>
      <c r="AD55" s="84">
        <v>3071.6372021305301</v>
      </c>
      <c r="AE55" s="84">
        <v>4955.7079862977498</v>
      </c>
      <c r="AF55" s="84">
        <v>1756.5143585333001</v>
      </c>
      <c r="AG55" s="84">
        <v>565.082907301158</v>
      </c>
      <c r="AH55" s="84">
        <v>2284.9552034363901</v>
      </c>
      <c r="AI55" s="84">
        <f t="shared" si="0"/>
        <v>105197.01887380012</v>
      </c>
    </row>
    <row r="56" spans="1:35">
      <c r="A56" s="22" t="s">
        <v>92</v>
      </c>
      <c r="B56" s="22" t="s">
        <v>93</v>
      </c>
      <c r="C56" s="22">
        <v>2021</v>
      </c>
      <c r="D56" s="22" t="s">
        <v>86</v>
      </c>
      <c r="E56" s="84">
        <v>3050.3337140503399</v>
      </c>
      <c r="F56" s="84">
        <v>4238.8272699999998</v>
      </c>
      <c r="G56" s="84">
        <v>2348.8963215652602</v>
      </c>
      <c r="H56" s="84">
        <v>1857.5456403774001</v>
      </c>
      <c r="I56" s="84">
        <v>896.98706138659998</v>
      </c>
      <c r="J56" s="84">
        <v>3443.9555394637</v>
      </c>
      <c r="K56" s="84">
        <v>19898.435557680001</v>
      </c>
      <c r="L56" s="84">
        <v>1358.80206401841</v>
      </c>
      <c r="M56" s="84">
        <v>58.829834131003402</v>
      </c>
      <c r="N56" s="84">
        <v>3620.64708797303</v>
      </c>
      <c r="O56" s="84">
        <v>11293.917261529299</v>
      </c>
      <c r="P56" s="84">
        <v>1016.99380487092</v>
      </c>
      <c r="Q56" s="84">
        <v>9740.2291899491702</v>
      </c>
      <c r="R56" s="84">
        <v>1372.25700253123</v>
      </c>
      <c r="S56" s="84">
        <v>1335.4533629115699</v>
      </c>
      <c r="T56" s="84">
        <v>2256.9403807619101</v>
      </c>
      <c r="U56" s="84">
        <v>0.93069417909999996</v>
      </c>
      <c r="V56" s="84">
        <v>11145.6512120722</v>
      </c>
      <c r="W56" s="84">
        <v>655.59385500781002</v>
      </c>
      <c r="X56" s="84">
        <v>382.0172</v>
      </c>
      <c r="Y56" s="84">
        <v>547.70284156815399</v>
      </c>
      <c r="Z56" s="84">
        <v>0.151729215</v>
      </c>
      <c r="AA56" s="84">
        <v>1133.00351948772</v>
      </c>
      <c r="AB56" s="84">
        <v>935.77032109000004</v>
      </c>
      <c r="AC56" s="84">
        <v>11914.8467757011</v>
      </c>
      <c r="AD56" s="84">
        <v>2910.8887934424502</v>
      </c>
      <c r="AE56" s="84">
        <v>4905.8381765086897</v>
      </c>
      <c r="AF56" s="84">
        <v>1655.5085956863199</v>
      </c>
      <c r="AG56" s="84">
        <v>567.52670676013202</v>
      </c>
      <c r="AH56" s="84">
        <v>2335.4548361225402</v>
      </c>
      <c r="AI56" s="84">
        <f t="shared" si="0"/>
        <v>104085.68969439459</v>
      </c>
    </row>
    <row r="57" spans="1:35">
      <c r="A57" s="22" t="s">
        <v>92</v>
      </c>
      <c r="B57" s="22" t="s">
        <v>93</v>
      </c>
      <c r="C57" s="22">
        <v>1990</v>
      </c>
      <c r="D57" s="22" t="s">
        <v>87</v>
      </c>
      <c r="E57" s="84">
        <v>0</v>
      </c>
      <c r="F57" s="84">
        <v>0</v>
      </c>
      <c r="G57" s="84">
        <v>0</v>
      </c>
      <c r="H57" s="84">
        <v>0</v>
      </c>
      <c r="I57" s="84">
        <v>0</v>
      </c>
      <c r="J57" s="84">
        <v>0</v>
      </c>
      <c r="K57" s="84">
        <v>0</v>
      </c>
      <c r="L57" s="84">
        <v>0</v>
      </c>
      <c r="M57" s="84">
        <v>0</v>
      </c>
      <c r="N57" s="84">
        <v>0</v>
      </c>
      <c r="O57" s="84">
        <v>0</v>
      </c>
      <c r="P57" s="84">
        <v>0</v>
      </c>
      <c r="Q57" s="84">
        <v>0</v>
      </c>
      <c r="R57" s="84">
        <v>0</v>
      </c>
      <c r="S57" s="84">
        <v>0</v>
      </c>
      <c r="T57" s="84">
        <v>0</v>
      </c>
      <c r="U57" s="84">
        <v>0</v>
      </c>
      <c r="V57" s="84">
        <v>0</v>
      </c>
      <c r="W57" s="84">
        <v>0</v>
      </c>
      <c r="X57" s="84">
        <v>0</v>
      </c>
      <c r="Y57" s="84">
        <v>0</v>
      </c>
      <c r="Z57" s="84">
        <v>0</v>
      </c>
      <c r="AA57" s="84">
        <v>0</v>
      </c>
      <c r="AB57" s="84">
        <v>0</v>
      </c>
      <c r="AC57" s="84">
        <v>0</v>
      </c>
      <c r="AD57" s="84">
        <v>0</v>
      </c>
      <c r="AE57" s="84">
        <v>0</v>
      </c>
      <c r="AF57" s="84">
        <v>0</v>
      </c>
      <c r="AG57" s="84">
        <v>0</v>
      </c>
      <c r="AH57" s="84">
        <v>0</v>
      </c>
      <c r="AI57" s="84">
        <f t="shared" si="0"/>
        <v>0</v>
      </c>
    </row>
    <row r="58" spans="1:35">
      <c r="A58" s="22" t="s">
        <v>92</v>
      </c>
      <c r="B58" s="22" t="s">
        <v>93</v>
      </c>
      <c r="C58" s="22">
        <v>2010</v>
      </c>
      <c r="D58" s="22" t="s">
        <v>87</v>
      </c>
      <c r="E58" s="84">
        <v>0</v>
      </c>
      <c r="F58" s="84">
        <v>0</v>
      </c>
      <c r="G58" s="84">
        <v>0</v>
      </c>
      <c r="H58" s="84">
        <v>0</v>
      </c>
      <c r="I58" s="84">
        <v>0</v>
      </c>
      <c r="J58" s="84">
        <v>0</v>
      </c>
      <c r="K58" s="84">
        <v>0</v>
      </c>
      <c r="L58" s="84">
        <v>0</v>
      </c>
      <c r="M58" s="84">
        <v>0</v>
      </c>
      <c r="N58" s="84">
        <v>0</v>
      </c>
      <c r="O58" s="84">
        <v>0</v>
      </c>
      <c r="P58" s="84">
        <v>0</v>
      </c>
      <c r="Q58" s="84">
        <v>0</v>
      </c>
      <c r="R58" s="84">
        <v>0</v>
      </c>
      <c r="S58" s="84">
        <v>0</v>
      </c>
      <c r="T58" s="84">
        <v>0</v>
      </c>
      <c r="U58" s="84">
        <v>0</v>
      </c>
      <c r="V58" s="84">
        <v>0</v>
      </c>
      <c r="W58" s="84">
        <v>0</v>
      </c>
      <c r="X58" s="84">
        <v>0</v>
      </c>
      <c r="Y58" s="84">
        <v>0</v>
      </c>
      <c r="Z58" s="84">
        <v>0</v>
      </c>
      <c r="AA58" s="84">
        <v>0</v>
      </c>
      <c r="AB58" s="84">
        <v>0</v>
      </c>
      <c r="AC58" s="84">
        <v>0</v>
      </c>
      <c r="AD58" s="84">
        <v>0</v>
      </c>
      <c r="AE58" s="84">
        <v>0</v>
      </c>
      <c r="AF58" s="84">
        <v>0</v>
      </c>
      <c r="AG58" s="84">
        <v>0</v>
      </c>
      <c r="AH58" s="84">
        <v>0</v>
      </c>
      <c r="AI58" s="84">
        <f t="shared" si="0"/>
        <v>0</v>
      </c>
    </row>
    <row r="59" spans="1:35">
      <c r="A59" s="22" t="s">
        <v>92</v>
      </c>
      <c r="B59" s="22" t="s">
        <v>93</v>
      </c>
      <c r="C59" s="22">
        <v>2015</v>
      </c>
      <c r="D59" s="22" t="s">
        <v>87</v>
      </c>
      <c r="E59" s="84">
        <v>0</v>
      </c>
      <c r="F59" s="84">
        <v>0</v>
      </c>
      <c r="G59" s="84">
        <v>0</v>
      </c>
      <c r="H59" s="84">
        <v>0</v>
      </c>
      <c r="I59" s="84">
        <v>0</v>
      </c>
      <c r="J59" s="84">
        <v>0</v>
      </c>
      <c r="K59" s="84">
        <v>0</v>
      </c>
      <c r="L59" s="84">
        <v>0</v>
      </c>
      <c r="M59" s="84">
        <v>0</v>
      </c>
      <c r="N59" s="84">
        <v>0</v>
      </c>
      <c r="O59" s="84">
        <v>0</v>
      </c>
      <c r="P59" s="84">
        <v>0</v>
      </c>
      <c r="Q59" s="84">
        <v>0</v>
      </c>
      <c r="R59" s="84">
        <v>0</v>
      </c>
      <c r="S59" s="84">
        <v>0</v>
      </c>
      <c r="T59" s="84">
        <v>0</v>
      </c>
      <c r="U59" s="84">
        <v>0</v>
      </c>
      <c r="V59" s="84">
        <v>0</v>
      </c>
      <c r="W59" s="84">
        <v>0</v>
      </c>
      <c r="X59" s="84">
        <v>0</v>
      </c>
      <c r="Y59" s="84">
        <v>0</v>
      </c>
      <c r="Z59" s="84">
        <v>0</v>
      </c>
      <c r="AA59" s="84">
        <v>0</v>
      </c>
      <c r="AB59" s="84">
        <v>0</v>
      </c>
      <c r="AC59" s="84">
        <v>0</v>
      </c>
      <c r="AD59" s="84">
        <v>0</v>
      </c>
      <c r="AE59" s="84">
        <v>0</v>
      </c>
      <c r="AF59" s="84">
        <v>0</v>
      </c>
      <c r="AG59" s="84">
        <v>0</v>
      </c>
      <c r="AH59" s="84">
        <v>0</v>
      </c>
      <c r="AI59" s="84">
        <f t="shared" si="0"/>
        <v>0</v>
      </c>
    </row>
    <row r="60" spans="1:35">
      <c r="A60" s="22" t="s">
        <v>92</v>
      </c>
      <c r="B60" s="22" t="s">
        <v>93</v>
      </c>
      <c r="C60" s="22">
        <v>2019</v>
      </c>
      <c r="D60" s="22" t="s">
        <v>87</v>
      </c>
      <c r="E60" s="84">
        <v>0</v>
      </c>
      <c r="F60" s="84">
        <v>0</v>
      </c>
      <c r="G60" s="84">
        <v>0</v>
      </c>
      <c r="H60" s="84">
        <v>0</v>
      </c>
      <c r="I60" s="84">
        <v>0</v>
      </c>
      <c r="J60" s="84">
        <v>0</v>
      </c>
      <c r="K60" s="84">
        <v>0</v>
      </c>
      <c r="L60" s="84">
        <v>0</v>
      </c>
      <c r="M60" s="84">
        <v>0</v>
      </c>
      <c r="N60" s="84">
        <v>0</v>
      </c>
      <c r="O60" s="84">
        <v>0</v>
      </c>
      <c r="P60" s="84">
        <v>0</v>
      </c>
      <c r="Q60" s="84">
        <v>0</v>
      </c>
      <c r="R60" s="84">
        <v>0</v>
      </c>
      <c r="S60" s="84">
        <v>0</v>
      </c>
      <c r="T60" s="84">
        <v>0</v>
      </c>
      <c r="U60" s="84">
        <v>0</v>
      </c>
      <c r="V60" s="84">
        <v>0</v>
      </c>
      <c r="W60" s="84">
        <v>0</v>
      </c>
      <c r="X60" s="84">
        <v>0</v>
      </c>
      <c r="Y60" s="84">
        <v>0</v>
      </c>
      <c r="Z60" s="84">
        <v>0</v>
      </c>
      <c r="AA60" s="84">
        <v>0</v>
      </c>
      <c r="AB60" s="84">
        <v>0</v>
      </c>
      <c r="AC60" s="84">
        <v>0</v>
      </c>
      <c r="AD60" s="84">
        <v>0</v>
      </c>
      <c r="AE60" s="84">
        <v>0</v>
      </c>
      <c r="AF60" s="84">
        <v>0</v>
      </c>
      <c r="AG60" s="84">
        <v>0</v>
      </c>
      <c r="AH60" s="84">
        <v>0</v>
      </c>
      <c r="AI60" s="84">
        <f t="shared" si="0"/>
        <v>0</v>
      </c>
    </row>
    <row r="61" spans="1:35">
      <c r="A61" s="22" t="s">
        <v>92</v>
      </c>
      <c r="B61" s="22" t="s">
        <v>93</v>
      </c>
      <c r="C61" s="22">
        <v>2021</v>
      </c>
      <c r="D61" s="22" t="s">
        <v>87</v>
      </c>
      <c r="E61" s="84">
        <v>0</v>
      </c>
      <c r="F61" s="84">
        <v>0</v>
      </c>
      <c r="G61" s="84">
        <v>0</v>
      </c>
      <c r="H61" s="84">
        <v>0</v>
      </c>
      <c r="I61" s="84">
        <v>0</v>
      </c>
      <c r="J61" s="84">
        <v>0</v>
      </c>
      <c r="K61" s="84">
        <v>0</v>
      </c>
      <c r="L61" s="84">
        <v>0</v>
      </c>
      <c r="M61" s="84">
        <v>0</v>
      </c>
      <c r="N61" s="84">
        <v>0</v>
      </c>
      <c r="O61" s="84">
        <v>0</v>
      </c>
      <c r="P61" s="84">
        <v>0</v>
      </c>
      <c r="Q61" s="84">
        <v>0</v>
      </c>
      <c r="R61" s="84">
        <v>0</v>
      </c>
      <c r="S61" s="84">
        <v>0</v>
      </c>
      <c r="T61" s="84">
        <v>0</v>
      </c>
      <c r="U61" s="84">
        <v>0</v>
      </c>
      <c r="V61" s="84">
        <v>0</v>
      </c>
      <c r="W61" s="84">
        <v>0</v>
      </c>
      <c r="X61" s="84">
        <v>0</v>
      </c>
      <c r="Y61" s="84">
        <v>0</v>
      </c>
      <c r="Z61" s="84">
        <v>0</v>
      </c>
      <c r="AA61" s="84">
        <v>0</v>
      </c>
      <c r="AB61" s="84">
        <v>0</v>
      </c>
      <c r="AC61" s="84">
        <v>0</v>
      </c>
      <c r="AD61" s="84">
        <v>0</v>
      </c>
      <c r="AE61" s="84">
        <v>0</v>
      </c>
      <c r="AF61" s="84">
        <v>0</v>
      </c>
      <c r="AG61" s="84">
        <v>0</v>
      </c>
      <c r="AH61" s="84">
        <v>0</v>
      </c>
      <c r="AI61" s="84">
        <f t="shared" si="0"/>
        <v>0</v>
      </c>
    </row>
    <row r="62" spans="1:35">
      <c r="A62" s="22" t="s">
        <v>94</v>
      </c>
      <c r="B62" s="22" t="s">
        <v>95</v>
      </c>
      <c r="C62" s="22">
        <v>1990</v>
      </c>
      <c r="D62" s="22" t="s">
        <v>85</v>
      </c>
      <c r="E62" s="84">
        <v>643.79838009406899</v>
      </c>
      <c r="F62" s="84">
        <v>2590.3062081612902</v>
      </c>
      <c r="G62" s="84">
        <v>3282.7305145278301</v>
      </c>
      <c r="H62" s="84">
        <v>126.7842296</v>
      </c>
      <c r="I62" s="84">
        <v>0</v>
      </c>
      <c r="J62" s="84">
        <v>1783.267172067</v>
      </c>
      <c r="K62" s="84">
        <v>8057.6315382100001</v>
      </c>
      <c r="L62" s="84">
        <v>0.57025420000000004</v>
      </c>
      <c r="M62" s="84">
        <v>307.73487188803603</v>
      </c>
      <c r="N62" s="84">
        <v>680.64978774594704</v>
      </c>
      <c r="O62" s="84">
        <v>2429.6782268390898</v>
      </c>
      <c r="P62" s="84">
        <v>270.23063049816602</v>
      </c>
      <c r="Q62" s="84">
        <v>7542.4758545717204</v>
      </c>
      <c r="R62" s="84">
        <v>751.098265240096</v>
      </c>
      <c r="S62" s="84">
        <v>1704.3675117243799</v>
      </c>
      <c r="T62" s="84">
        <v>990.23349783919502</v>
      </c>
      <c r="U62" s="84">
        <v>0.36030188679245001</v>
      </c>
      <c r="V62" s="84">
        <v>2524.1594260000002</v>
      </c>
      <c r="W62" s="84">
        <v>1260.90853722731</v>
      </c>
      <c r="X62" s="84">
        <v>0</v>
      </c>
      <c r="Y62" s="84">
        <v>0</v>
      </c>
      <c r="Z62" s="84">
        <v>0.16880875000000001</v>
      </c>
      <c r="AA62" s="84">
        <v>4132.02091112993</v>
      </c>
      <c r="AB62" s="84">
        <v>2045.5404843240001</v>
      </c>
      <c r="AC62" s="84">
        <v>3801.8026432030501</v>
      </c>
      <c r="AD62" s="84">
        <v>1408.54573849184</v>
      </c>
      <c r="AE62" s="84">
        <v>5576.0093855728801</v>
      </c>
      <c r="AF62" s="84">
        <v>581.99911343716201</v>
      </c>
      <c r="AG62" s="84">
        <v>83.082162589838205</v>
      </c>
      <c r="AH62" s="84">
        <v>877.56467368216295</v>
      </c>
      <c r="AI62" s="84">
        <f t="shared" si="0"/>
        <v>51281.034113690992</v>
      </c>
    </row>
    <row r="63" spans="1:35">
      <c r="A63" s="22" t="s">
        <v>94</v>
      </c>
      <c r="B63" s="22" t="s">
        <v>95</v>
      </c>
      <c r="C63" s="22">
        <v>2010</v>
      </c>
      <c r="D63" s="22" t="s">
        <v>85</v>
      </c>
      <c r="E63" s="84">
        <v>669.25620004940595</v>
      </c>
      <c r="F63" s="84">
        <v>6075.7111027908504</v>
      </c>
      <c r="G63" s="84">
        <v>1245.02318026224</v>
      </c>
      <c r="H63" s="84">
        <v>138.46524585908799</v>
      </c>
      <c r="I63" s="84">
        <v>0</v>
      </c>
      <c r="J63" s="84">
        <v>1921.1831453298</v>
      </c>
      <c r="K63" s="84">
        <v>8259.1768384999996</v>
      </c>
      <c r="L63" s="84">
        <v>1.1182399999999999</v>
      </c>
      <c r="M63" s="84">
        <v>0</v>
      </c>
      <c r="N63" s="84">
        <v>632.88255129442098</v>
      </c>
      <c r="O63" s="84">
        <v>3573.8419158389402</v>
      </c>
      <c r="P63" s="84">
        <v>856.18785644810305</v>
      </c>
      <c r="Q63" s="84">
        <v>6503.1293256209001</v>
      </c>
      <c r="R63" s="84">
        <v>615.35702008906696</v>
      </c>
      <c r="S63" s="84">
        <v>2217.14589074676</v>
      </c>
      <c r="T63" s="84">
        <v>0</v>
      </c>
      <c r="U63" s="84">
        <v>0</v>
      </c>
      <c r="V63" s="84">
        <v>1361.8712350000001</v>
      </c>
      <c r="W63" s="84">
        <v>908.68633333656499</v>
      </c>
      <c r="X63" s="84">
        <v>0</v>
      </c>
      <c r="Y63" s="84">
        <v>0</v>
      </c>
      <c r="Z63" s="84">
        <v>9.6252749999999998E-2</v>
      </c>
      <c r="AA63" s="84">
        <v>4107.4881731875903</v>
      </c>
      <c r="AB63" s="84">
        <v>1936.119316433</v>
      </c>
      <c r="AC63" s="84">
        <v>4335.4171402000002</v>
      </c>
      <c r="AD63" s="84">
        <v>660.11716544218302</v>
      </c>
      <c r="AE63" s="84">
        <v>3145.2194787070298</v>
      </c>
      <c r="AF63" s="84">
        <v>792.54259687527394</v>
      </c>
      <c r="AG63" s="84">
        <v>84.626540542188195</v>
      </c>
      <c r="AH63" s="84">
        <v>1303.3312009112699</v>
      </c>
      <c r="AI63" s="84">
        <f t="shared" si="0"/>
        <v>49269.40938392259</v>
      </c>
    </row>
    <row r="64" spans="1:35">
      <c r="A64" s="22" t="s">
        <v>94</v>
      </c>
      <c r="B64" s="22" t="s">
        <v>95</v>
      </c>
      <c r="C64" s="22">
        <v>2015</v>
      </c>
      <c r="D64" s="22" t="s">
        <v>85</v>
      </c>
      <c r="E64" s="84">
        <v>682.600376165174</v>
      </c>
      <c r="F64" s="84">
        <v>7111.1420185999996</v>
      </c>
      <c r="G64" s="84">
        <v>1664.6939850313399</v>
      </c>
      <c r="H64" s="84">
        <v>137.08098519679999</v>
      </c>
      <c r="I64" s="84">
        <v>0</v>
      </c>
      <c r="J64" s="84">
        <v>1679.87987733773</v>
      </c>
      <c r="K64" s="84">
        <v>5564.1312490999999</v>
      </c>
      <c r="L64" s="84">
        <v>1.5029482999999999</v>
      </c>
      <c r="M64" s="84">
        <v>0</v>
      </c>
      <c r="N64" s="84">
        <v>495.04560604876502</v>
      </c>
      <c r="O64" s="84">
        <v>3521.5778169919499</v>
      </c>
      <c r="P64" s="84">
        <v>901.249645603266</v>
      </c>
      <c r="Q64" s="84">
        <v>6691.5735469534902</v>
      </c>
      <c r="R64" s="84">
        <v>572.27459271811995</v>
      </c>
      <c r="S64" s="84">
        <v>2319.6458419168998</v>
      </c>
      <c r="T64" s="84">
        <v>0</v>
      </c>
      <c r="U64" s="84">
        <v>0</v>
      </c>
      <c r="V64" s="84">
        <v>1219.6814184852401</v>
      </c>
      <c r="W64" s="84">
        <v>1796.51508207801</v>
      </c>
      <c r="X64" s="84">
        <v>0</v>
      </c>
      <c r="Y64" s="84">
        <v>0</v>
      </c>
      <c r="Z64" s="84">
        <v>7.0104374999999997E-2</v>
      </c>
      <c r="AA64" s="84">
        <v>3881.32436044414</v>
      </c>
      <c r="AB64" s="84">
        <v>1919.8321885329999</v>
      </c>
      <c r="AC64" s="84">
        <v>5141.1334949038001</v>
      </c>
      <c r="AD64" s="84">
        <v>627.875374431252</v>
      </c>
      <c r="AE64" s="84">
        <v>1021.1805021125</v>
      </c>
      <c r="AF64" s="84">
        <v>747.57207917467895</v>
      </c>
      <c r="AG64" s="84">
        <v>59.867376140170798</v>
      </c>
      <c r="AH64" s="84">
        <v>1384.1640313364601</v>
      </c>
      <c r="AI64" s="84">
        <f t="shared" si="0"/>
        <v>47084.701328247982</v>
      </c>
    </row>
    <row r="65" spans="1:35">
      <c r="A65" s="22" t="s">
        <v>94</v>
      </c>
      <c r="B65" s="22" t="s">
        <v>95</v>
      </c>
      <c r="C65" s="22">
        <v>2019</v>
      </c>
      <c r="D65" s="22" t="s">
        <v>85</v>
      </c>
      <c r="E65" s="84">
        <v>710.13210379992597</v>
      </c>
      <c r="F65" s="84">
        <v>6485.4814401062604</v>
      </c>
      <c r="G65" s="84">
        <v>1120.28082516871</v>
      </c>
      <c r="H65" s="84">
        <v>142.11407809919999</v>
      </c>
      <c r="I65" s="84">
        <v>0</v>
      </c>
      <c r="J65" s="84">
        <v>1807.44896347808</v>
      </c>
      <c r="K65" s="84">
        <v>5403.3282347300001</v>
      </c>
      <c r="L65" s="84">
        <v>1.4913562</v>
      </c>
      <c r="M65" s="84">
        <v>0</v>
      </c>
      <c r="N65" s="84">
        <v>877.73942935828802</v>
      </c>
      <c r="O65" s="84">
        <v>3496.7534936872098</v>
      </c>
      <c r="P65" s="84">
        <v>1137.7350700729401</v>
      </c>
      <c r="Q65" s="84">
        <v>6724.3488908774598</v>
      </c>
      <c r="R65" s="84">
        <v>594.60259548543297</v>
      </c>
      <c r="S65" s="84">
        <v>2387.8512310087799</v>
      </c>
      <c r="T65" s="84">
        <v>0</v>
      </c>
      <c r="U65" s="84">
        <v>0</v>
      </c>
      <c r="V65" s="84">
        <v>1314.46669228473</v>
      </c>
      <c r="W65" s="84">
        <v>1749.4935403101899</v>
      </c>
      <c r="X65" s="84">
        <v>0</v>
      </c>
      <c r="Y65" s="84">
        <v>0</v>
      </c>
      <c r="Z65" s="84">
        <v>3.3000000000000002E-2</v>
      </c>
      <c r="AA65" s="84">
        <v>4451.55097884109</v>
      </c>
      <c r="AB65" s="84">
        <v>1745.208007277</v>
      </c>
      <c r="AC65" s="84">
        <v>4496.1709862138896</v>
      </c>
      <c r="AD65" s="84">
        <v>639.58951491688504</v>
      </c>
      <c r="AE65" s="84">
        <v>975.95599951842905</v>
      </c>
      <c r="AF65" s="84">
        <v>906.35760024774697</v>
      </c>
      <c r="AG65" s="84">
        <v>60.302566688799999</v>
      </c>
      <c r="AH65" s="84">
        <v>1407.02500310301</v>
      </c>
      <c r="AI65" s="84">
        <f t="shared" si="0"/>
        <v>46748.139516097872</v>
      </c>
    </row>
    <row r="66" spans="1:35">
      <c r="A66" s="22" t="s">
        <v>94</v>
      </c>
      <c r="B66" s="22" t="s">
        <v>95</v>
      </c>
      <c r="C66" s="22">
        <v>2021</v>
      </c>
      <c r="D66" s="22" t="s">
        <v>85</v>
      </c>
      <c r="E66" s="84">
        <v>688.38816280045103</v>
      </c>
      <c r="F66" s="84">
        <v>6908.2078467944702</v>
      </c>
      <c r="G66" s="84">
        <v>1175.2588592073801</v>
      </c>
      <c r="H66" s="84">
        <v>151.07450579659999</v>
      </c>
      <c r="I66" s="84">
        <v>0</v>
      </c>
      <c r="J66" s="84">
        <v>1908.84358203849</v>
      </c>
      <c r="K66" s="84">
        <v>5337.25784294</v>
      </c>
      <c r="L66" s="84">
        <v>1.2346671</v>
      </c>
      <c r="M66" s="84">
        <v>0</v>
      </c>
      <c r="N66" s="84">
        <v>679.42182000000003</v>
      </c>
      <c r="O66" s="84">
        <v>3351.49507989943</v>
      </c>
      <c r="P66" s="84">
        <v>968.83504790360996</v>
      </c>
      <c r="Q66" s="84">
        <v>6420.94761983218</v>
      </c>
      <c r="R66" s="84">
        <v>365.49260645906702</v>
      </c>
      <c r="S66" s="84">
        <v>2606.3209175142802</v>
      </c>
      <c r="T66" s="84">
        <v>0</v>
      </c>
      <c r="U66" s="84">
        <v>0</v>
      </c>
      <c r="V66" s="84">
        <v>1402.94548783604</v>
      </c>
      <c r="W66" s="84">
        <v>1412.63756582412</v>
      </c>
      <c r="X66" s="84">
        <v>0</v>
      </c>
      <c r="Y66" s="84">
        <v>0</v>
      </c>
      <c r="Z66" s="84">
        <v>1.375E-6</v>
      </c>
      <c r="AA66" s="84">
        <v>3857.4999096476099</v>
      </c>
      <c r="AB66" s="84">
        <v>1642.626214488</v>
      </c>
      <c r="AC66" s="84">
        <v>4553.4742668629096</v>
      </c>
      <c r="AD66" s="84">
        <v>637.55692329403598</v>
      </c>
      <c r="AE66" s="84">
        <v>767.35961827626204</v>
      </c>
      <c r="AF66" s="84">
        <v>930.44148787649897</v>
      </c>
      <c r="AG66" s="84">
        <v>65.212739461791003</v>
      </c>
      <c r="AH66" s="84">
        <v>1527.3113546605</v>
      </c>
      <c r="AI66" s="84">
        <f t="shared" si="0"/>
        <v>45566.143407604133</v>
      </c>
    </row>
    <row r="67" spans="1:35">
      <c r="A67" s="22" t="s">
        <v>94</v>
      </c>
      <c r="B67" s="22" t="s">
        <v>95</v>
      </c>
      <c r="C67" s="22">
        <v>1990</v>
      </c>
      <c r="D67" s="22" t="s">
        <v>86</v>
      </c>
      <c r="E67" s="84">
        <v>1462.7444760907199</v>
      </c>
      <c r="F67" s="84">
        <v>9563.1644727212897</v>
      </c>
      <c r="G67" s="84">
        <v>4762.4560283147803</v>
      </c>
      <c r="H67" s="84">
        <v>573.50397959999998</v>
      </c>
      <c r="I67" s="84">
        <v>0</v>
      </c>
      <c r="J67" s="84">
        <v>2825.3934047886</v>
      </c>
      <c r="K67" s="84">
        <v>32256.9031321</v>
      </c>
      <c r="L67" s="84">
        <v>892.08325420000006</v>
      </c>
      <c r="M67" s="84">
        <v>307.73487188803603</v>
      </c>
      <c r="N67" s="84">
        <v>2620.9785458988599</v>
      </c>
      <c r="O67" s="84">
        <v>7609.5845196604196</v>
      </c>
      <c r="P67" s="84">
        <v>1690.7608804981701</v>
      </c>
      <c r="Q67" s="84">
        <v>34132.7799585795</v>
      </c>
      <c r="R67" s="84">
        <v>1427.9383524401001</v>
      </c>
      <c r="S67" s="84">
        <v>4471.8868372963798</v>
      </c>
      <c r="T67" s="84">
        <v>1875.3334978391899</v>
      </c>
      <c r="U67" s="84">
        <v>41.700301886792502</v>
      </c>
      <c r="V67" s="84">
        <v>9626.0570845585407</v>
      </c>
      <c r="W67" s="84">
        <v>2060.8989784987102</v>
      </c>
      <c r="X67" s="84">
        <v>0</v>
      </c>
      <c r="Y67" s="84">
        <v>0</v>
      </c>
      <c r="Z67" s="84">
        <v>0.16880875000000001</v>
      </c>
      <c r="AA67" s="84">
        <v>15416.990723086799</v>
      </c>
      <c r="AB67" s="84">
        <v>3899.0812437085001</v>
      </c>
      <c r="AC67" s="84">
        <v>6990.9617686190504</v>
      </c>
      <c r="AD67" s="84">
        <v>1897.5286900805199</v>
      </c>
      <c r="AE67" s="84">
        <v>9309.1152008228801</v>
      </c>
      <c r="AF67" s="84">
        <v>1296.8454007961</v>
      </c>
      <c r="AG67" s="84">
        <v>88.075198189838204</v>
      </c>
      <c r="AH67" s="84">
        <v>1893.3876445768301</v>
      </c>
      <c r="AI67" s="84">
        <f t="shared" ref="AI67:AI130" si="1">SUM(E67:AH67)-H67-U67-AB67</f>
        <v>154479.77173029532</v>
      </c>
    </row>
    <row r="68" spans="1:35">
      <c r="A68" s="22" t="s">
        <v>94</v>
      </c>
      <c r="B68" s="22" t="s">
        <v>95</v>
      </c>
      <c r="C68" s="22">
        <v>2010</v>
      </c>
      <c r="D68" s="22" t="s">
        <v>86</v>
      </c>
      <c r="E68" s="84">
        <v>775.75660004940596</v>
      </c>
      <c r="F68" s="84">
        <v>8910.3454052597808</v>
      </c>
      <c r="G68" s="84">
        <v>1473.69883526224</v>
      </c>
      <c r="H68" s="84">
        <v>671.55396203508803</v>
      </c>
      <c r="I68" s="84">
        <v>0</v>
      </c>
      <c r="J68" s="84">
        <v>2330.8243357545998</v>
      </c>
      <c r="K68" s="84">
        <v>10377.15419372</v>
      </c>
      <c r="L68" s="84">
        <v>1.1182399999999999</v>
      </c>
      <c r="M68" s="84">
        <v>0</v>
      </c>
      <c r="N68" s="84">
        <v>999.08923129442098</v>
      </c>
      <c r="O68" s="84">
        <v>5335.5960122768101</v>
      </c>
      <c r="P68" s="84">
        <v>1001.2762564481</v>
      </c>
      <c r="Q68" s="84">
        <v>8779.8067444041499</v>
      </c>
      <c r="R68" s="84">
        <v>1298.6856418390701</v>
      </c>
      <c r="S68" s="84">
        <v>2276.89716302836</v>
      </c>
      <c r="T68" s="84">
        <v>0</v>
      </c>
      <c r="U68" s="84">
        <v>0</v>
      </c>
      <c r="V68" s="84">
        <v>3088.6784670400002</v>
      </c>
      <c r="W68" s="84">
        <v>1402.7051156365601</v>
      </c>
      <c r="X68" s="84">
        <v>0</v>
      </c>
      <c r="Y68" s="84">
        <v>0</v>
      </c>
      <c r="Z68" s="84">
        <v>9.6252749999999998E-2</v>
      </c>
      <c r="AA68" s="84">
        <v>6355.85668418759</v>
      </c>
      <c r="AB68" s="84">
        <v>2405.8814673275001</v>
      </c>
      <c r="AC68" s="84">
        <v>5376.1445162735999</v>
      </c>
      <c r="AD68" s="84">
        <v>1040.7791350252801</v>
      </c>
      <c r="AE68" s="84">
        <v>4225.3939083022296</v>
      </c>
      <c r="AF68" s="84">
        <v>1066.1590668961601</v>
      </c>
      <c r="AG68" s="84">
        <v>89.905315934988195</v>
      </c>
      <c r="AH68" s="84">
        <v>2076.6829381175398</v>
      </c>
      <c r="AI68" s="84">
        <f t="shared" si="1"/>
        <v>68282.650059500869</v>
      </c>
    </row>
    <row r="69" spans="1:35">
      <c r="A69" s="22" t="s">
        <v>94</v>
      </c>
      <c r="B69" s="22" t="s">
        <v>95</v>
      </c>
      <c r="C69" s="22">
        <v>2015</v>
      </c>
      <c r="D69" s="22" t="s">
        <v>86</v>
      </c>
      <c r="E69" s="84">
        <v>776.79002448732194</v>
      </c>
      <c r="F69" s="84">
        <v>9083.7010309605503</v>
      </c>
      <c r="G69" s="84">
        <v>1776.3904271589299</v>
      </c>
      <c r="H69" s="84">
        <v>623.21998674680003</v>
      </c>
      <c r="I69" s="84">
        <v>0</v>
      </c>
      <c r="J69" s="84">
        <v>2035.86460966148</v>
      </c>
      <c r="K69" s="84">
        <v>6915.5817492300002</v>
      </c>
      <c r="L69" s="84">
        <v>1.5029482999999999</v>
      </c>
      <c r="M69" s="84">
        <v>0</v>
      </c>
      <c r="N69" s="84">
        <v>513.25635117595698</v>
      </c>
      <c r="O69" s="84">
        <v>4022.3761574549499</v>
      </c>
      <c r="P69" s="84">
        <v>1133.19784560327</v>
      </c>
      <c r="Q69" s="84">
        <v>8083.9029610689804</v>
      </c>
      <c r="R69" s="84">
        <v>849.14416407705903</v>
      </c>
      <c r="S69" s="84">
        <v>2415.5319422522998</v>
      </c>
      <c r="T69" s="84">
        <v>0</v>
      </c>
      <c r="U69" s="84">
        <v>0</v>
      </c>
      <c r="V69" s="84">
        <v>2747.2928836113601</v>
      </c>
      <c r="W69" s="84">
        <v>2025.8476813530101</v>
      </c>
      <c r="X69" s="84">
        <v>0</v>
      </c>
      <c r="Y69" s="84">
        <v>0</v>
      </c>
      <c r="Z69" s="84">
        <v>7.0104374999999997E-2</v>
      </c>
      <c r="AA69" s="84">
        <v>5780.3967904441397</v>
      </c>
      <c r="AB69" s="84">
        <v>2280.1546315464998</v>
      </c>
      <c r="AC69" s="84">
        <v>5775.0221742078002</v>
      </c>
      <c r="AD69" s="84">
        <v>691.45704635428103</v>
      </c>
      <c r="AE69" s="84">
        <v>1332.4143256675</v>
      </c>
      <c r="AF69" s="84">
        <v>784.934761280624</v>
      </c>
      <c r="AG69" s="84">
        <v>59.867376140170798</v>
      </c>
      <c r="AH69" s="84">
        <v>1509.69104967929</v>
      </c>
      <c r="AI69" s="84">
        <f t="shared" si="1"/>
        <v>58314.234404543975</v>
      </c>
    </row>
    <row r="70" spans="1:35">
      <c r="A70" s="22" t="s">
        <v>94</v>
      </c>
      <c r="B70" s="22" t="s">
        <v>95</v>
      </c>
      <c r="C70" s="22">
        <v>2019</v>
      </c>
      <c r="D70" s="22" t="s">
        <v>86</v>
      </c>
      <c r="E70" s="84">
        <v>834.41300879992696</v>
      </c>
      <c r="F70" s="84">
        <v>8378.2074079363792</v>
      </c>
      <c r="G70" s="84">
        <v>1196.7458240273399</v>
      </c>
      <c r="H70" s="84">
        <v>731.91059929920004</v>
      </c>
      <c r="I70" s="84">
        <v>0</v>
      </c>
      <c r="J70" s="84">
        <v>1999.8311504207099</v>
      </c>
      <c r="K70" s="84">
        <v>6540.8395953199997</v>
      </c>
      <c r="L70" s="84">
        <v>1.4913562</v>
      </c>
      <c r="M70" s="84">
        <v>0</v>
      </c>
      <c r="N70" s="84">
        <v>896.67634963163596</v>
      </c>
      <c r="O70" s="84">
        <v>3973.8589721952098</v>
      </c>
      <c r="P70" s="84">
        <v>1321.2528898952601</v>
      </c>
      <c r="Q70" s="84">
        <v>7707.6364919699799</v>
      </c>
      <c r="R70" s="84">
        <v>639.15388780369597</v>
      </c>
      <c r="S70" s="84">
        <v>2464.6230734677902</v>
      </c>
      <c r="T70" s="84">
        <v>0</v>
      </c>
      <c r="U70" s="84">
        <v>0</v>
      </c>
      <c r="V70" s="84">
        <v>2207.26038836729</v>
      </c>
      <c r="W70" s="84">
        <v>1908.96577031019</v>
      </c>
      <c r="X70" s="84">
        <v>0</v>
      </c>
      <c r="Y70" s="84">
        <v>0</v>
      </c>
      <c r="Z70" s="84">
        <v>3.3000000000000002E-2</v>
      </c>
      <c r="AA70" s="84">
        <v>6374.6524128010897</v>
      </c>
      <c r="AB70" s="84">
        <v>1998.1469021150001</v>
      </c>
      <c r="AC70" s="84">
        <v>4998.0487420977597</v>
      </c>
      <c r="AD70" s="84">
        <v>702.00905555391898</v>
      </c>
      <c r="AE70" s="84">
        <v>1087.30657597543</v>
      </c>
      <c r="AF70" s="84">
        <v>932.84267787712099</v>
      </c>
      <c r="AG70" s="84">
        <v>60.302566688799999</v>
      </c>
      <c r="AH70" s="84">
        <v>1488.71812613462</v>
      </c>
      <c r="AI70" s="84">
        <f t="shared" si="1"/>
        <v>55714.869323474151</v>
      </c>
    </row>
    <row r="71" spans="1:35">
      <c r="A71" s="22" t="s">
        <v>94</v>
      </c>
      <c r="B71" s="22" t="s">
        <v>95</v>
      </c>
      <c r="C71" s="22">
        <v>2021</v>
      </c>
      <c r="D71" s="22" t="s">
        <v>86</v>
      </c>
      <c r="E71" s="84">
        <v>784.13739280045104</v>
      </c>
      <c r="F71" s="84">
        <v>7786.0395397940702</v>
      </c>
      <c r="G71" s="84">
        <v>1240.1731315392899</v>
      </c>
      <c r="H71" s="84">
        <v>546.92483270809998</v>
      </c>
      <c r="I71" s="84">
        <v>0</v>
      </c>
      <c r="J71" s="84">
        <v>2134.0129746651601</v>
      </c>
      <c r="K71" s="84">
        <v>6429.3890161600002</v>
      </c>
      <c r="L71" s="84">
        <v>1.2346671</v>
      </c>
      <c r="M71" s="84">
        <v>0</v>
      </c>
      <c r="N71" s="84">
        <v>684.63513320754703</v>
      </c>
      <c r="O71" s="84">
        <v>3782.0858375269499</v>
      </c>
      <c r="P71" s="84">
        <v>1189.8519329036101</v>
      </c>
      <c r="Q71" s="84">
        <v>7053.92627628642</v>
      </c>
      <c r="R71" s="84">
        <v>401.767606459067</v>
      </c>
      <c r="S71" s="84">
        <v>2688.7454041419001</v>
      </c>
      <c r="T71" s="84">
        <v>0</v>
      </c>
      <c r="U71" s="84">
        <v>0</v>
      </c>
      <c r="V71" s="84">
        <v>1727.88969813894</v>
      </c>
      <c r="W71" s="84">
        <v>1551.38229082412</v>
      </c>
      <c r="X71" s="84">
        <v>0</v>
      </c>
      <c r="Y71" s="84">
        <v>0</v>
      </c>
      <c r="Z71" s="84">
        <v>1.375E-6</v>
      </c>
      <c r="AA71" s="84">
        <v>5383.9243925748297</v>
      </c>
      <c r="AB71" s="84">
        <v>1839.3421012194999</v>
      </c>
      <c r="AC71" s="84">
        <v>5057.5911934147598</v>
      </c>
      <c r="AD71" s="84">
        <v>700.99911448498096</v>
      </c>
      <c r="AE71" s="84">
        <v>855.12843984542906</v>
      </c>
      <c r="AF71" s="84">
        <v>942.00513552654002</v>
      </c>
      <c r="AG71" s="84">
        <v>65.212739461791003</v>
      </c>
      <c r="AH71" s="84">
        <v>1585.1609565424101</v>
      </c>
      <c r="AI71" s="84">
        <f t="shared" si="1"/>
        <v>52045.292874773273</v>
      </c>
    </row>
    <row r="72" spans="1:35">
      <c r="A72" s="22" t="s">
        <v>94</v>
      </c>
      <c r="B72" s="22" t="s">
        <v>95</v>
      </c>
      <c r="C72" s="22">
        <v>1990</v>
      </c>
      <c r="D72" s="22" t="s">
        <v>87</v>
      </c>
      <c r="E72" s="84">
        <v>818.94609599664602</v>
      </c>
      <c r="F72" s="84">
        <v>6972.85826456</v>
      </c>
      <c r="G72" s="84">
        <v>1479.7255137869499</v>
      </c>
      <c r="H72" s="84">
        <v>446.71974999999998</v>
      </c>
      <c r="I72" s="84">
        <v>0</v>
      </c>
      <c r="J72" s="84">
        <v>1042.1262327216</v>
      </c>
      <c r="K72" s="84">
        <v>24199.27159389</v>
      </c>
      <c r="L72" s="84">
        <v>891.51300000000003</v>
      </c>
      <c r="M72" s="84">
        <v>0</v>
      </c>
      <c r="N72" s="84">
        <v>1940.32875815291</v>
      </c>
      <c r="O72" s="84">
        <v>5179.9062928213198</v>
      </c>
      <c r="P72" s="84">
        <v>1420.53025</v>
      </c>
      <c r="Q72" s="84">
        <v>26590.304104007799</v>
      </c>
      <c r="R72" s="84">
        <v>676.84008719999997</v>
      </c>
      <c r="S72" s="84">
        <v>2767.5193255720001</v>
      </c>
      <c r="T72" s="84">
        <v>885.1</v>
      </c>
      <c r="U72" s="84">
        <v>41.34</v>
      </c>
      <c r="V72" s="84">
        <v>7101.8976585585397</v>
      </c>
      <c r="W72" s="84">
        <v>799.99044127139405</v>
      </c>
      <c r="X72" s="84">
        <v>0</v>
      </c>
      <c r="Y72" s="84">
        <v>0</v>
      </c>
      <c r="Z72" s="84">
        <v>0</v>
      </c>
      <c r="AA72" s="84">
        <v>11284.9698119569</v>
      </c>
      <c r="AB72" s="84">
        <v>1853.5407593845</v>
      </c>
      <c r="AC72" s="84">
        <v>3189.1591254159998</v>
      </c>
      <c r="AD72" s="84">
        <v>488.98295158868302</v>
      </c>
      <c r="AE72" s="84">
        <v>3733.10581525</v>
      </c>
      <c r="AF72" s="84">
        <v>714.84628735893602</v>
      </c>
      <c r="AG72" s="84">
        <v>4.9930355999999998</v>
      </c>
      <c r="AH72" s="84">
        <v>1015.82297089467</v>
      </c>
      <c r="AI72" s="84">
        <f t="shared" si="1"/>
        <v>103198.73761660433</v>
      </c>
    </row>
    <row r="73" spans="1:35">
      <c r="A73" s="22" t="s">
        <v>94</v>
      </c>
      <c r="B73" s="22" t="s">
        <v>95</v>
      </c>
      <c r="C73" s="22">
        <v>2010</v>
      </c>
      <c r="D73" s="22" t="s">
        <v>87</v>
      </c>
      <c r="E73" s="84">
        <v>106.5004</v>
      </c>
      <c r="F73" s="84">
        <v>2834.6343024689299</v>
      </c>
      <c r="G73" s="84">
        <v>228.67565500000001</v>
      </c>
      <c r="H73" s="84">
        <v>533.08871617600005</v>
      </c>
      <c r="I73" s="84">
        <v>0</v>
      </c>
      <c r="J73" s="84">
        <v>409.64119042480002</v>
      </c>
      <c r="K73" s="84">
        <v>2117.9773552199999</v>
      </c>
      <c r="L73" s="84">
        <v>0</v>
      </c>
      <c r="M73" s="84">
        <v>0</v>
      </c>
      <c r="N73" s="84">
        <v>366.20668000000001</v>
      </c>
      <c r="O73" s="84">
        <v>1761.75409643787</v>
      </c>
      <c r="P73" s="84">
        <v>145.08840000000001</v>
      </c>
      <c r="Q73" s="84">
        <v>2276.6774187832398</v>
      </c>
      <c r="R73" s="84">
        <v>683.32862175000002</v>
      </c>
      <c r="S73" s="84">
        <v>59.751272281600002</v>
      </c>
      <c r="T73" s="84">
        <v>0</v>
      </c>
      <c r="U73" s="84">
        <v>0</v>
      </c>
      <c r="V73" s="84">
        <v>1726.8072320399999</v>
      </c>
      <c r="W73" s="84">
        <v>494.0187823</v>
      </c>
      <c r="X73" s="84">
        <v>0</v>
      </c>
      <c r="Y73" s="84">
        <v>0</v>
      </c>
      <c r="Z73" s="84">
        <v>0</v>
      </c>
      <c r="AA73" s="84">
        <v>2248.3685110000001</v>
      </c>
      <c r="AB73" s="84">
        <v>469.7621508945</v>
      </c>
      <c r="AC73" s="84">
        <v>1040.7273760736</v>
      </c>
      <c r="AD73" s="84">
        <v>380.661969583097</v>
      </c>
      <c r="AE73" s="84">
        <v>1080.1744295952001</v>
      </c>
      <c r="AF73" s="84">
        <v>273.61647002088802</v>
      </c>
      <c r="AG73" s="84">
        <v>5.2787753928000001</v>
      </c>
      <c r="AH73" s="84">
        <v>773.35173720626995</v>
      </c>
      <c r="AI73" s="84">
        <f t="shared" si="1"/>
        <v>19013.240675578294</v>
      </c>
    </row>
    <row r="74" spans="1:35">
      <c r="A74" s="22" t="s">
        <v>94</v>
      </c>
      <c r="B74" s="22" t="s">
        <v>95</v>
      </c>
      <c r="C74" s="22">
        <v>2015</v>
      </c>
      <c r="D74" s="22" t="s">
        <v>87</v>
      </c>
      <c r="E74" s="84">
        <v>94.189648322147804</v>
      </c>
      <c r="F74" s="84">
        <v>1972.55901236055</v>
      </c>
      <c r="G74" s="84">
        <v>111.69644212759199</v>
      </c>
      <c r="H74" s="84">
        <v>486.13900154999999</v>
      </c>
      <c r="I74" s="84">
        <v>0</v>
      </c>
      <c r="J74" s="84">
        <v>355.98473232375198</v>
      </c>
      <c r="K74" s="84">
        <v>1351.4505001299999</v>
      </c>
      <c r="L74" s="84">
        <v>0</v>
      </c>
      <c r="M74" s="84">
        <v>0</v>
      </c>
      <c r="N74" s="84">
        <v>18.210745127191998</v>
      </c>
      <c r="O74" s="84">
        <v>500.79834046299999</v>
      </c>
      <c r="P74" s="84">
        <v>231.94820000000001</v>
      </c>
      <c r="Q74" s="84">
        <v>1392.32941411549</v>
      </c>
      <c r="R74" s="84">
        <v>276.86957135893903</v>
      </c>
      <c r="S74" s="84">
        <v>95.886100335402304</v>
      </c>
      <c r="T74" s="84">
        <v>0</v>
      </c>
      <c r="U74" s="84">
        <v>0</v>
      </c>
      <c r="V74" s="84">
        <v>1527.61146512612</v>
      </c>
      <c r="W74" s="84">
        <v>229.33259927500001</v>
      </c>
      <c r="X74" s="84">
        <v>0</v>
      </c>
      <c r="Y74" s="84">
        <v>0</v>
      </c>
      <c r="Z74" s="84">
        <v>0</v>
      </c>
      <c r="AA74" s="84">
        <v>1899.0724299999999</v>
      </c>
      <c r="AB74" s="84">
        <v>360.32244301349999</v>
      </c>
      <c r="AC74" s="84">
        <v>633.88867930400204</v>
      </c>
      <c r="AD74" s="84">
        <v>63.581671923029099</v>
      </c>
      <c r="AE74" s="84">
        <v>311.23382355500001</v>
      </c>
      <c r="AF74" s="84">
        <v>37.362682105945197</v>
      </c>
      <c r="AG74" s="84">
        <v>0</v>
      </c>
      <c r="AH74" s="84">
        <v>125.52701834282701</v>
      </c>
      <c r="AI74" s="84">
        <f t="shared" si="1"/>
        <v>11229.533076295989</v>
      </c>
    </row>
    <row r="75" spans="1:35">
      <c r="A75" s="22" t="s">
        <v>94</v>
      </c>
      <c r="B75" s="22" t="s">
        <v>95</v>
      </c>
      <c r="C75" s="22">
        <v>2019</v>
      </c>
      <c r="D75" s="22" t="s">
        <v>87</v>
      </c>
      <c r="E75" s="84">
        <v>124.280905</v>
      </c>
      <c r="F75" s="84">
        <v>1892.72596783012</v>
      </c>
      <c r="G75" s="84">
        <v>76.464998858634303</v>
      </c>
      <c r="H75" s="84">
        <v>589.79652120000003</v>
      </c>
      <c r="I75" s="84">
        <v>0</v>
      </c>
      <c r="J75" s="84">
        <v>192.38218694263199</v>
      </c>
      <c r="K75" s="84">
        <v>1137.5113605900001</v>
      </c>
      <c r="L75" s="84">
        <v>0</v>
      </c>
      <c r="M75" s="84">
        <v>0</v>
      </c>
      <c r="N75" s="84">
        <v>18.9369202733481</v>
      </c>
      <c r="O75" s="84">
        <v>477.10547850799998</v>
      </c>
      <c r="P75" s="84">
        <v>183.517819822316</v>
      </c>
      <c r="Q75" s="84">
        <v>983.287601092518</v>
      </c>
      <c r="R75" s="84">
        <v>44.551292318262902</v>
      </c>
      <c r="S75" s="84">
        <v>76.771842459007502</v>
      </c>
      <c r="T75" s="84">
        <v>0</v>
      </c>
      <c r="U75" s="84">
        <v>0</v>
      </c>
      <c r="V75" s="84">
        <v>892.79369608256002</v>
      </c>
      <c r="W75" s="84">
        <v>159.47223</v>
      </c>
      <c r="X75" s="84">
        <v>0</v>
      </c>
      <c r="Y75" s="84">
        <v>0</v>
      </c>
      <c r="Z75" s="84">
        <v>0</v>
      </c>
      <c r="AA75" s="84">
        <v>1923.1014339599999</v>
      </c>
      <c r="AB75" s="84">
        <v>252.93889483800001</v>
      </c>
      <c r="AC75" s="84">
        <v>501.87775588386398</v>
      </c>
      <c r="AD75" s="84">
        <v>62.419540637033599</v>
      </c>
      <c r="AE75" s="84">
        <v>111.350576457</v>
      </c>
      <c r="AF75" s="84">
        <v>26.485077629374199</v>
      </c>
      <c r="AG75" s="84">
        <v>0</v>
      </c>
      <c r="AH75" s="84">
        <v>81.693123031602198</v>
      </c>
      <c r="AI75" s="84">
        <f t="shared" si="1"/>
        <v>8966.7298073762722</v>
      </c>
    </row>
    <row r="76" spans="1:35">
      <c r="A76" s="22" t="s">
        <v>94</v>
      </c>
      <c r="B76" s="22" t="s">
        <v>95</v>
      </c>
      <c r="C76" s="22">
        <v>2021</v>
      </c>
      <c r="D76" s="22" t="s">
        <v>87</v>
      </c>
      <c r="E76" s="84">
        <v>95.749229999999997</v>
      </c>
      <c r="F76" s="84">
        <v>877.83169299959798</v>
      </c>
      <c r="G76" s="84">
        <v>64.914272331914404</v>
      </c>
      <c r="H76" s="84">
        <v>395.85032691150002</v>
      </c>
      <c r="I76" s="84">
        <v>0</v>
      </c>
      <c r="J76" s="84">
        <v>225.16939262666801</v>
      </c>
      <c r="K76" s="84">
        <v>1092.1311732199999</v>
      </c>
      <c r="L76" s="84">
        <v>0</v>
      </c>
      <c r="M76" s="84">
        <v>0</v>
      </c>
      <c r="N76" s="84">
        <v>5.2133132075472304</v>
      </c>
      <c r="O76" s="84">
        <v>430.59075762752002</v>
      </c>
      <c r="P76" s="84">
        <v>221.016885</v>
      </c>
      <c r="Q76" s="84">
        <v>632.97865645423803</v>
      </c>
      <c r="R76" s="84">
        <v>36.274999999999999</v>
      </c>
      <c r="S76" s="84">
        <v>82.424486627620396</v>
      </c>
      <c r="T76" s="84">
        <v>0</v>
      </c>
      <c r="U76" s="84">
        <v>0</v>
      </c>
      <c r="V76" s="84">
        <v>324.94421030289999</v>
      </c>
      <c r="W76" s="84">
        <v>138.74472499999999</v>
      </c>
      <c r="X76" s="84">
        <v>0</v>
      </c>
      <c r="Y76" s="84">
        <v>0</v>
      </c>
      <c r="Z76" s="84">
        <v>0</v>
      </c>
      <c r="AA76" s="84">
        <v>1526.42448292722</v>
      </c>
      <c r="AB76" s="84">
        <v>196.71588673150001</v>
      </c>
      <c r="AC76" s="84">
        <v>504.11692655184498</v>
      </c>
      <c r="AD76" s="84">
        <v>63.442191190945103</v>
      </c>
      <c r="AE76" s="84">
        <v>87.768821569166704</v>
      </c>
      <c r="AF76" s="84">
        <v>11.563647650040499</v>
      </c>
      <c r="AG76" s="84">
        <v>0</v>
      </c>
      <c r="AH76" s="84">
        <v>57.849601881907802</v>
      </c>
      <c r="AI76" s="84">
        <f t="shared" si="1"/>
        <v>6479.1494671691307</v>
      </c>
    </row>
    <row r="77" spans="1:35">
      <c r="A77" s="22" t="s">
        <v>96</v>
      </c>
      <c r="B77" s="22" t="s">
        <v>97</v>
      </c>
      <c r="C77" s="22">
        <v>1990</v>
      </c>
      <c r="D77" s="22" t="s">
        <v>85</v>
      </c>
      <c r="E77" s="84">
        <v>7016.2004835638099</v>
      </c>
      <c r="F77" s="84">
        <v>10091.9248350375</v>
      </c>
      <c r="G77" s="84">
        <v>1602.59517407775</v>
      </c>
      <c r="H77" s="84">
        <v>151.16861069999999</v>
      </c>
      <c r="I77" s="84">
        <v>0</v>
      </c>
      <c r="J77" s="84">
        <v>9794.7887890677393</v>
      </c>
      <c r="K77" s="84">
        <v>25079.882419729998</v>
      </c>
      <c r="L77" s="84">
        <v>30.466999999999999</v>
      </c>
      <c r="M77" s="84">
        <v>0.75917645328016004</v>
      </c>
      <c r="N77" s="84">
        <v>1012.05263431908</v>
      </c>
      <c r="O77" s="84">
        <v>3536.6785961488799</v>
      </c>
      <c r="P77" s="84">
        <v>1976.0640401042999</v>
      </c>
      <c r="Q77" s="84">
        <v>17904.540715636798</v>
      </c>
      <c r="R77" s="84">
        <v>336.40283510400002</v>
      </c>
      <c r="S77" s="84">
        <v>3317.4207979709299</v>
      </c>
      <c r="T77" s="84">
        <v>26.08</v>
      </c>
      <c r="U77" s="84">
        <v>348.0071320779</v>
      </c>
      <c r="V77" s="84">
        <v>4377.8668278585701</v>
      </c>
      <c r="W77" s="84">
        <v>16.984307525823201</v>
      </c>
      <c r="X77" s="84">
        <v>984.91339009999899</v>
      </c>
      <c r="Y77" s="84">
        <v>69.555242956380297</v>
      </c>
      <c r="Z77" s="84">
        <v>0</v>
      </c>
      <c r="AA77" s="84">
        <v>452.095572</v>
      </c>
      <c r="AB77" s="84">
        <v>4166.9339755680003</v>
      </c>
      <c r="AC77" s="84">
        <v>5652.34909355128</v>
      </c>
      <c r="AD77" s="84">
        <v>446.24782018685801</v>
      </c>
      <c r="AE77" s="84">
        <v>13227.919087415199</v>
      </c>
      <c r="AF77" s="84">
        <v>3262.26774526911</v>
      </c>
      <c r="AG77" s="84">
        <v>342.882395721389</v>
      </c>
      <c r="AH77" s="84">
        <v>4586.0342214433003</v>
      </c>
      <c r="AI77" s="84">
        <f t="shared" si="1"/>
        <v>115144.97320124198</v>
      </c>
    </row>
    <row r="78" spans="1:35">
      <c r="A78" s="22" t="s">
        <v>96</v>
      </c>
      <c r="B78" s="22" t="s">
        <v>97</v>
      </c>
      <c r="C78" s="22">
        <v>2010</v>
      </c>
      <c r="D78" s="22" t="s">
        <v>85</v>
      </c>
      <c r="E78" s="84">
        <v>10416.3092215781</v>
      </c>
      <c r="F78" s="84">
        <v>5249.47567931086</v>
      </c>
      <c r="G78" s="84">
        <v>288.641561221963</v>
      </c>
      <c r="H78" s="84">
        <v>11.57668496</v>
      </c>
      <c r="I78" s="84">
        <v>0</v>
      </c>
      <c r="J78" s="84">
        <v>6598.9540735288401</v>
      </c>
      <c r="K78" s="84">
        <v>16399.046438770001</v>
      </c>
      <c r="L78" s="84">
        <v>0.17699999999999999</v>
      </c>
      <c r="M78" s="84">
        <v>2.4507992644202501</v>
      </c>
      <c r="N78" s="84">
        <v>909.44764804679096</v>
      </c>
      <c r="O78" s="84">
        <v>3623.37378080794</v>
      </c>
      <c r="P78" s="84">
        <v>2438.8447715052998</v>
      </c>
      <c r="Q78" s="84">
        <v>13713.118134788499</v>
      </c>
      <c r="R78" s="84">
        <v>14.683574838411401</v>
      </c>
      <c r="S78" s="84">
        <v>1321.57213838043</v>
      </c>
      <c r="T78" s="84">
        <v>0</v>
      </c>
      <c r="U78" s="84">
        <v>1607.2539740888999</v>
      </c>
      <c r="V78" s="84">
        <v>1833.83197667835</v>
      </c>
      <c r="W78" s="84">
        <v>4.2852136506666696</v>
      </c>
      <c r="X78" s="84">
        <v>133.613</v>
      </c>
      <c r="Y78" s="84">
        <v>38.640622528753703</v>
      </c>
      <c r="Z78" s="84">
        <v>0</v>
      </c>
      <c r="AA78" s="84">
        <v>347.11541799999998</v>
      </c>
      <c r="AB78" s="84">
        <v>4077.6943005590001</v>
      </c>
      <c r="AC78" s="84">
        <v>1639.1583784171401</v>
      </c>
      <c r="AD78" s="84">
        <v>53.400266706666699</v>
      </c>
      <c r="AE78" s="84">
        <v>3876.56627089721</v>
      </c>
      <c r="AF78" s="84">
        <v>3255.2619023103298</v>
      </c>
      <c r="AG78" s="84">
        <v>117.264852749824</v>
      </c>
      <c r="AH78" s="84">
        <v>4572.1063867743796</v>
      </c>
      <c r="AI78" s="84">
        <f t="shared" si="1"/>
        <v>76847.339110754867</v>
      </c>
    </row>
    <row r="79" spans="1:35">
      <c r="A79" s="22" t="s">
        <v>96</v>
      </c>
      <c r="B79" s="22" t="s">
        <v>97</v>
      </c>
      <c r="C79" s="22">
        <v>2015</v>
      </c>
      <c r="D79" s="22" t="s">
        <v>85</v>
      </c>
      <c r="E79" s="84">
        <v>10816.263596638801</v>
      </c>
      <c r="F79" s="84">
        <v>3790.5734999900001</v>
      </c>
      <c r="G79" s="84">
        <v>224.05949613262001</v>
      </c>
      <c r="H79" s="84">
        <v>10.006886379999999</v>
      </c>
      <c r="I79" s="84">
        <v>0</v>
      </c>
      <c r="J79" s="84">
        <v>6481.1564464943303</v>
      </c>
      <c r="K79" s="84">
        <v>16775.204469079999</v>
      </c>
      <c r="L79" s="84">
        <v>0.19900000000000001</v>
      </c>
      <c r="M79" s="84">
        <v>3.0304409910430401</v>
      </c>
      <c r="N79" s="84">
        <v>1098.7374300034801</v>
      </c>
      <c r="O79" s="84">
        <v>4320.71557737488</v>
      </c>
      <c r="P79" s="84">
        <v>2150.4074603150002</v>
      </c>
      <c r="Q79" s="84">
        <v>13058.8420553407</v>
      </c>
      <c r="R79" s="84">
        <v>9.3000930000000004</v>
      </c>
      <c r="S79" s="84">
        <v>1236.3650044260401</v>
      </c>
      <c r="T79" s="84">
        <v>0</v>
      </c>
      <c r="U79" s="84">
        <v>1700.8203765512001</v>
      </c>
      <c r="V79" s="84">
        <v>1562.8951895390101</v>
      </c>
      <c r="W79" s="84">
        <v>2.0174104532266699</v>
      </c>
      <c r="X79" s="84">
        <v>122.8002</v>
      </c>
      <c r="Y79" s="84">
        <v>0.81208661849659003</v>
      </c>
      <c r="Z79" s="84">
        <v>0</v>
      </c>
      <c r="AA79" s="84">
        <v>56.329286817876003</v>
      </c>
      <c r="AB79" s="84">
        <v>4488.2320484000002</v>
      </c>
      <c r="AC79" s="84">
        <v>2419.96049887754</v>
      </c>
      <c r="AD79" s="84">
        <v>105.714644897333</v>
      </c>
      <c r="AE79" s="84">
        <v>4107.2807840614696</v>
      </c>
      <c r="AF79" s="84">
        <v>2694.0569318786402</v>
      </c>
      <c r="AG79" s="84">
        <v>192.69308722759601</v>
      </c>
      <c r="AH79" s="84">
        <v>4544.1957290948603</v>
      </c>
      <c r="AI79" s="84">
        <f t="shared" si="1"/>
        <v>75773.61041925296</v>
      </c>
    </row>
    <row r="80" spans="1:35">
      <c r="A80" s="22" t="s">
        <v>96</v>
      </c>
      <c r="B80" s="22" t="s">
        <v>97</v>
      </c>
      <c r="C80" s="22">
        <v>2019</v>
      </c>
      <c r="D80" s="22" t="s">
        <v>85</v>
      </c>
      <c r="E80" s="84">
        <v>10367.782093850399</v>
      </c>
      <c r="F80" s="84">
        <v>4029.4871899999998</v>
      </c>
      <c r="G80" s="84">
        <v>160.64558444152701</v>
      </c>
      <c r="H80" s="84">
        <v>8.2721668299999997</v>
      </c>
      <c r="I80" s="84">
        <v>0</v>
      </c>
      <c r="J80" s="84">
        <v>5824.9279611851798</v>
      </c>
      <c r="K80" s="84">
        <v>18023.86135413</v>
      </c>
      <c r="L80" s="84">
        <v>0.1144</v>
      </c>
      <c r="M80" s="84">
        <v>3.29263313031224</v>
      </c>
      <c r="N80" s="84">
        <v>970.84994816130995</v>
      </c>
      <c r="O80" s="84">
        <v>2519.5622422543702</v>
      </c>
      <c r="P80" s="84">
        <v>1874.963368295</v>
      </c>
      <c r="Q80" s="84">
        <v>13295.756950814301</v>
      </c>
      <c r="R80" s="84">
        <v>4.9117975117263999</v>
      </c>
      <c r="S80" s="84">
        <v>1218.1007328603901</v>
      </c>
      <c r="T80" s="84">
        <v>0</v>
      </c>
      <c r="U80" s="84">
        <v>1704.8520533164999</v>
      </c>
      <c r="V80" s="84">
        <v>1602.2841451871</v>
      </c>
      <c r="W80" s="84">
        <v>1.50895155077333</v>
      </c>
      <c r="X80" s="84">
        <v>105.98820000000001</v>
      </c>
      <c r="Y80" s="84">
        <v>0</v>
      </c>
      <c r="Z80" s="84">
        <v>0</v>
      </c>
      <c r="AA80" s="84">
        <v>150.31168923222799</v>
      </c>
      <c r="AB80" s="84">
        <v>4731.5255706999997</v>
      </c>
      <c r="AC80" s="84">
        <v>2376.85687113215</v>
      </c>
      <c r="AD80" s="84">
        <v>93.767674852867003</v>
      </c>
      <c r="AE80" s="84">
        <v>4183.4871520323604</v>
      </c>
      <c r="AF80" s="84">
        <v>3586.9595375303302</v>
      </c>
      <c r="AG80" s="84">
        <v>178.37724670730901</v>
      </c>
      <c r="AH80" s="84">
        <v>4068.1096436560401</v>
      </c>
      <c r="AI80" s="84">
        <f t="shared" si="1"/>
        <v>74641.907368515691</v>
      </c>
    </row>
    <row r="81" spans="1:35">
      <c r="A81" s="22" t="s">
        <v>96</v>
      </c>
      <c r="B81" s="22" t="s">
        <v>97</v>
      </c>
      <c r="C81" s="22">
        <v>2021</v>
      </c>
      <c r="D81" s="22" t="s">
        <v>85</v>
      </c>
      <c r="E81" s="84">
        <v>11030.514101684999</v>
      </c>
      <c r="F81" s="84">
        <v>3566.3275100000001</v>
      </c>
      <c r="G81" s="84">
        <v>132.64837051273301</v>
      </c>
      <c r="H81" s="84">
        <v>8.7703974700000007</v>
      </c>
      <c r="I81" s="84">
        <v>0</v>
      </c>
      <c r="J81" s="84">
        <v>6431.5080618811098</v>
      </c>
      <c r="K81" s="84">
        <v>17474.515915780001</v>
      </c>
      <c r="L81" s="84">
        <v>6.9400000000000003E-2</v>
      </c>
      <c r="M81" s="84">
        <v>2.9989608034346</v>
      </c>
      <c r="N81" s="84">
        <v>624.75219898730097</v>
      </c>
      <c r="O81" s="84">
        <v>2828.7657923204401</v>
      </c>
      <c r="P81" s="84">
        <v>2094.0821754407698</v>
      </c>
      <c r="Q81" s="84">
        <v>13104.971377109099</v>
      </c>
      <c r="R81" s="84">
        <v>14.2588744883525</v>
      </c>
      <c r="S81" s="84">
        <v>838.35985576289704</v>
      </c>
      <c r="T81" s="84">
        <v>0</v>
      </c>
      <c r="U81" s="84">
        <v>1744.2486607272001</v>
      </c>
      <c r="V81" s="84">
        <v>1667.9573023755199</v>
      </c>
      <c r="W81" s="84">
        <v>3.7762873778669999E-2</v>
      </c>
      <c r="X81" s="84">
        <v>91.533107960008095</v>
      </c>
      <c r="Y81" s="84">
        <v>0</v>
      </c>
      <c r="Z81" s="84">
        <v>0</v>
      </c>
      <c r="AA81" s="84">
        <v>165.68150068591601</v>
      </c>
      <c r="AB81" s="84">
        <v>5089.9335800460003</v>
      </c>
      <c r="AC81" s="84">
        <v>2072.75001306371</v>
      </c>
      <c r="AD81" s="84">
        <v>77.964460181216594</v>
      </c>
      <c r="AE81" s="84">
        <v>4358.71850404427</v>
      </c>
      <c r="AF81" s="84">
        <v>2951.8415928098898</v>
      </c>
      <c r="AG81" s="84">
        <v>122.038132116905</v>
      </c>
      <c r="AH81" s="84">
        <v>4785.4909679456096</v>
      </c>
      <c r="AI81" s="84">
        <f t="shared" si="1"/>
        <v>74437.785938827947</v>
      </c>
    </row>
    <row r="82" spans="1:35">
      <c r="A82" s="22" t="s">
        <v>96</v>
      </c>
      <c r="B82" s="22" t="s">
        <v>97</v>
      </c>
      <c r="C82" s="22">
        <v>1990</v>
      </c>
      <c r="D82" s="22" t="s">
        <v>86</v>
      </c>
      <c r="E82" s="84">
        <v>8304.0718223182703</v>
      </c>
      <c r="F82" s="84">
        <v>10107.229165757501</v>
      </c>
      <c r="G82" s="84">
        <v>1632.5592900777499</v>
      </c>
      <c r="H82" s="84">
        <v>255.88195503</v>
      </c>
      <c r="I82" s="84">
        <v>0</v>
      </c>
      <c r="J82" s="84">
        <v>9811.6113764077309</v>
      </c>
      <c r="K82" s="84">
        <v>27900.74156223</v>
      </c>
      <c r="L82" s="84">
        <v>61.017000000000003</v>
      </c>
      <c r="M82" s="84">
        <v>0.75917645328016004</v>
      </c>
      <c r="N82" s="84">
        <v>1183.4271354990799</v>
      </c>
      <c r="O82" s="84">
        <v>4615.4425868420703</v>
      </c>
      <c r="P82" s="84">
        <v>1976.0654037043</v>
      </c>
      <c r="Q82" s="84">
        <v>22015.997418884901</v>
      </c>
      <c r="R82" s="84">
        <v>1458.0532271039999</v>
      </c>
      <c r="S82" s="84">
        <v>3663.31577739452</v>
      </c>
      <c r="T82" s="84">
        <v>26.08</v>
      </c>
      <c r="U82" s="84">
        <v>794.58119447744502</v>
      </c>
      <c r="V82" s="84">
        <v>6232.1817671132803</v>
      </c>
      <c r="W82" s="84">
        <v>16.984307525823201</v>
      </c>
      <c r="X82" s="84">
        <v>984.91339009999899</v>
      </c>
      <c r="Y82" s="84">
        <v>69.632242956380296</v>
      </c>
      <c r="Z82" s="84">
        <v>0</v>
      </c>
      <c r="AA82" s="84">
        <v>2825.9688719999999</v>
      </c>
      <c r="AB82" s="84">
        <v>9780.5831689023998</v>
      </c>
      <c r="AC82" s="84">
        <v>5805.3892479712804</v>
      </c>
      <c r="AD82" s="84">
        <v>446.921315386858</v>
      </c>
      <c r="AE82" s="84">
        <v>15781.5621601352</v>
      </c>
      <c r="AF82" s="84">
        <v>3818.50562532295</v>
      </c>
      <c r="AG82" s="84">
        <v>529.97189970500801</v>
      </c>
      <c r="AH82" s="84">
        <v>4869.0798474433004</v>
      </c>
      <c r="AI82" s="84">
        <f t="shared" si="1"/>
        <v>134137.48161833346</v>
      </c>
    </row>
    <row r="83" spans="1:35">
      <c r="A83" s="22" t="s">
        <v>96</v>
      </c>
      <c r="B83" s="22" t="s">
        <v>97</v>
      </c>
      <c r="C83" s="22">
        <v>2010</v>
      </c>
      <c r="D83" s="22" t="s">
        <v>86</v>
      </c>
      <c r="E83" s="84">
        <v>10420.033294946899</v>
      </c>
      <c r="F83" s="84">
        <v>5269.6491363908599</v>
      </c>
      <c r="G83" s="84">
        <v>288.65975282196302</v>
      </c>
      <c r="H83" s="84">
        <v>45.534184959999997</v>
      </c>
      <c r="I83" s="84">
        <v>0</v>
      </c>
      <c r="J83" s="84">
        <v>6610.21982511038</v>
      </c>
      <c r="K83" s="84">
        <v>16677.350921910001</v>
      </c>
      <c r="L83" s="84">
        <v>0.17699999999999999</v>
      </c>
      <c r="M83" s="84">
        <v>2.4507992644202501</v>
      </c>
      <c r="N83" s="84">
        <v>945.368936899951</v>
      </c>
      <c r="O83" s="84">
        <v>3741.6308331432901</v>
      </c>
      <c r="P83" s="84">
        <v>2438.8470890345002</v>
      </c>
      <c r="Q83" s="84">
        <v>14032.644784578701</v>
      </c>
      <c r="R83" s="84">
        <v>14.683574838411401</v>
      </c>
      <c r="S83" s="84">
        <v>1327.7984350049001</v>
      </c>
      <c r="T83" s="84">
        <v>0</v>
      </c>
      <c r="U83" s="84">
        <v>1764.4829707137001</v>
      </c>
      <c r="V83" s="84">
        <v>2002.9523490592201</v>
      </c>
      <c r="W83" s="84">
        <v>4.2852136506666696</v>
      </c>
      <c r="X83" s="84">
        <v>133.613</v>
      </c>
      <c r="Y83" s="84">
        <v>38.7155646687537</v>
      </c>
      <c r="Z83" s="84">
        <v>0</v>
      </c>
      <c r="AA83" s="84">
        <v>407.55635799999999</v>
      </c>
      <c r="AB83" s="84">
        <v>4297.9665245590004</v>
      </c>
      <c r="AC83" s="84">
        <v>1656.36188545391</v>
      </c>
      <c r="AD83" s="84">
        <v>53.400266706666699</v>
      </c>
      <c r="AE83" s="84">
        <v>3888.65465989721</v>
      </c>
      <c r="AF83" s="84">
        <v>3455.03957535482</v>
      </c>
      <c r="AG83" s="84">
        <v>125.933624997723</v>
      </c>
      <c r="AH83" s="84">
        <v>4595.5376098608604</v>
      </c>
      <c r="AI83" s="84">
        <f t="shared" si="1"/>
        <v>78131.564491594108</v>
      </c>
    </row>
    <row r="84" spans="1:35">
      <c r="A84" s="22" t="s">
        <v>96</v>
      </c>
      <c r="B84" s="22" t="s">
        <v>97</v>
      </c>
      <c r="C84" s="22">
        <v>2015</v>
      </c>
      <c r="D84" s="22" t="s">
        <v>86</v>
      </c>
      <c r="E84" s="84">
        <v>10822.7575771871</v>
      </c>
      <c r="F84" s="84">
        <v>3807.50698320125</v>
      </c>
      <c r="G84" s="84">
        <v>224.05991282862001</v>
      </c>
      <c r="H84" s="84">
        <v>50.732386380000001</v>
      </c>
      <c r="I84" s="84">
        <v>0</v>
      </c>
      <c r="J84" s="84">
        <v>6496.1595096850997</v>
      </c>
      <c r="K84" s="84">
        <v>16930.94134691</v>
      </c>
      <c r="L84" s="84">
        <v>0.19900000000000001</v>
      </c>
      <c r="M84" s="84">
        <v>3.0304409910430401</v>
      </c>
      <c r="N84" s="84">
        <v>1158.24280520348</v>
      </c>
      <c r="O84" s="84">
        <v>4425.2452820422104</v>
      </c>
      <c r="P84" s="84">
        <v>2150.4099120453998</v>
      </c>
      <c r="Q84" s="84">
        <v>13195.2301144422</v>
      </c>
      <c r="R84" s="84">
        <v>9.3000930000000004</v>
      </c>
      <c r="S84" s="84">
        <v>1242.11696545837</v>
      </c>
      <c r="T84" s="84">
        <v>0</v>
      </c>
      <c r="U84" s="84">
        <v>1797.36543444586</v>
      </c>
      <c r="V84" s="84">
        <v>1615.0399909898399</v>
      </c>
      <c r="W84" s="84">
        <v>2.0174104532266699</v>
      </c>
      <c r="X84" s="84">
        <v>122.8002</v>
      </c>
      <c r="Y84" s="84">
        <v>0.81383324589659001</v>
      </c>
      <c r="Z84" s="84">
        <v>0</v>
      </c>
      <c r="AA84" s="84">
        <v>62.176976817876003</v>
      </c>
      <c r="AB84" s="84">
        <v>4625.2102986999998</v>
      </c>
      <c r="AC84" s="84">
        <v>2440.9728651223099</v>
      </c>
      <c r="AD84" s="84">
        <v>105.714644897333</v>
      </c>
      <c r="AE84" s="84">
        <v>4118.4032831106597</v>
      </c>
      <c r="AF84" s="84">
        <v>2742.8160387513699</v>
      </c>
      <c r="AG84" s="84">
        <v>206.84785237832401</v>
      </c>
      <c r="AH84" s="84">
        <v>4553.1993364285199</v>
      </c>
      <c r="AI84" s="84">
        <f t="shared" si="1"/>
        <v>76436.002375190146</v>
      </c>
    </row>
    <row r="85" spans="1:35">
      <c r="A85" s="22" t="s">
        <v>96</v>
      </c>
      <c r="B85" s="22" t="s">
        <v>97</v>
      </c>
      <c r="C85" s="22">
        <v>2019</v>
      </c>
      <c r="D85" s="22" t="s">
        <v>86</v>
      </c>
      <c r="E85" s="84">
        <v>10375.067066576299</v>
      </c>
      <c r="F85" s="84">
        <v>4048.1897703999998</v>
      </c>
      <c r="G85" s="84">
        <v>160.64558444152701</v>
      </c>
      <c r="H85" s="84">
        <v>8.2721668299999997</v>
      </c>
      <c r="I85" s="84">
        <v>0</v>
      </c>
      <c r="J85" s="84">
        <v>5840.2251448797697</v>
      </c>
      <c r="K85" s="84">
        <v>18186.227691870001</v>
      </c>
      <c r="L85" s="84">
        <v>0.1144</v>
      </c>
      <c r="M85" s="84">
        <v>3.29263313031224</v>
      </c>
      <c r="N85" s="84">
        <v>1065.58497852046</v>
      </c>
      <c r="O85" s="84">
        <v>2581.0045851290201</v>
      </c>
      <c r="P85" s="84">
        <v>1874.9657097222</v>
      </c>
      <c r="Q85" s="84">
        <v>13423.368692868</v>
      </c>
      <c r="R85" s="84">
        <v>4.9117975117263999</v>
      </c>
      <c r="S85" s="84">
        <v>1223.3805799838501</v>
      </c>
      <c r="T85" s="84">
        <v>0</v>
      </c>
      <c r="U85" s="84">
        <v>1795.6410762599801</v>
      </c>
      <c r="V85" s="84">
        <v>1649.85915839569</v>
      </c>
      <c r="W85" s="84">
        <v>1.50895155077333</v>
      </c>
      <c r="X85" s="84">
        <v>105.98820000000001</v>
      </c>
      <c r="Y85" s="84">
        <v>0</v>
      </c>
      <c r="Z85" s="84">
        <v>0</v>
      </c>
      <c r="AA85" s="84">
        <v>174.83908923222799</v>
      </c>
      <c r="AB85" s="84">
        <v>4894.3067321400003</v>
      </c>
      <c r="AC85" s="84">
        <v>2391.36874378015</v>
      </c>
      <c r="AD85" s="84">
        <v>93.767674852867003</v>
      </c>
      <c r="AE85" s="84">
        <v>4191.7405010551802</v>
      </c>
      <c r="AF85" s="84">
        <v>3632.55826476108</v>
      </c>
      <c r="AG85" s="84">
        <v>188.993549801314</v>
      </c>
      <c r="AH85" s="84">
        <v>4073.8110067698999</v>
      </c>
      <c r="AI85" s="84">
        <f t="shared" si="1"/>
        <v>75291.413775232344</v>
      </c>
    </row>
    <row r="86" spans="1:35">
      <c r="A86" s="22" t="s">
        <v>96</v>
      </c>
      <c r="B86" s="22" t="s">
        <v>97</v>
      </c>
      <c r="C86" s="22">
        <v>2021</v>
      </c>
      <c r="D86" s="22" t="s">
        <v>86</v>
      </c>
      <c r="E86" s="84">
        <v>11039.4046247933</v>
      </c>
      <c r="F86" s="84">
        <v>3570.6895628000002</v>
      </c>
      <c r="G86" s="84">
        <v>132.64837051273301</v>
      </c>
      <c r="H86" s="84">
        <v>8.7703974700000007</v>
      </c>
      <c r="I86" s="84">
        <v>0</v>
      </c>
      <c r="J86" s="84">
        <v>6447.7328384926204</v>
      </c>
      <c r="K86" s="84">
        <v>17611.89409446</v>
      </c>
      <c r="L86" s="84">
        <v>6.9400000000000003E-2</v>
      </c>
      <c r="M86" s="84">
        <v>2.9989608034346</v>
      </c>
      <c r="N86" s="84">
        <v>711.02469469602897</v>
      </c>
      <c r="O86" s="84">
        <v>2880.31966176266</v>
      </c>
      <c r="P86" s="84">
        <v>2094.0845133483699</v>
      </c>
      <c r="Q86" s="84">
        <v>13189.835334188499</v>
      </c>
      <c r="R86" s="84">
        <v>14.2588744883525</v>
      </c>
      <c r="S86" s="84">
        <v>841.74561623515297</v>
      </c>
      <c r="T86" s="84">
        <v>0</v>
      </c>
      <c r="U86" s="84">
        <v>1837.1144351729399</v>
      </c>
      <c r="V86" s="84">
        <v>1713.4525956012601</v>
      </c>
      <c r="W86" s="84">
        <v>3.7762873778669999E-2</v>
      </c>
      <c r="X86" s="84">
        <v>91.533107960008095</v>
      </c>
      <c r="Y86" s="84">
        <v>0</v>
      </c>
      <c r="Z86" s="84">
        <v>0</v>
      </c>
      <c r="AA86" s="84">
        <v>180.19010068591601</v>
      </c>
      <c r="AB86" s="84">
        <v>5317.8271649259996</v>
      </c>
      <c r="AC86" s="84">
        <v>2084.64553306371</v>
      </c>
      <c r="AD86" s="84">
        <v>77.964460181216594</v>
      </c>
      <c r="AE86" s="84">
        <v>4366.9284677760697</v>
      </c>
      <c r="AF86" s="84">
        <v>2994.3066860020999</v>
      </c>
      <c r="AG86" s="84">
        <v>129.073473932393</v>
      </c>
      <c r="AH86" s="84">
        <v>4792.0582667647504</v>
      </c>
      <c r="AI86" s="84">
        <f t="shared" si="1"/>
        <v>74966.897001422374</v>
      </c>
    </row>
    <row r="87" spans="1:35">
      <c r="A87" s="22" t="s">
        <v>96</v>
      </c>
      <c r="B87" s="22" t="s">
        <v>97</v>
      </c>
      <c r="C87" s="22">
        <v>1990</v>
      </c>
      <c r="D87" s="22" t="s">
        <v>87</v>
      </c>
      <c r="E87" s="84">
        <v>1287.8713387544699</v>
      </c>
      <c r="F87" s="84">
        <v>15.3043307200005</v>
      </c>
      <c r="G87" s="84">
        <v>29.964115999999901</v>
      </c>
      <c r="H87" s="84">
        <v>104.71334433</v>
      </c>
      <c r="I87" s="84">
        <v>0</v>
      </c>
      <c r="J87" s="84">
        <v>16.822587339987901</v>
      </c>
      <c r="K87" s="84">
        <v>2820.8591425</v>
      </c>
      <c r="L87" s="84">
        <v>30.55</v>
      </c>
      <c r="M87" s="84">
        <v>0</v>
      </c>
      <c r="N87" s="84">
        <v>171.37450118000001</v>
      </c>
      <c r="O87" s="84">
        <v>1078.7639906932</v>
      </c>
      <c r="P87" s="84">
        <v>1.3636000001042701E-3</v>
      </c>
      <c r="Q87" s="84">
        <v>4111.45670324816</v>
      </c>
      <c r="R87" s="84">
        <v>1121.650392</v>
      </c>
      <c r="S87" s="84">
        <v>345.89497942358798</v>
      </c>
      <c r="T87" s="84">
        <v>0</v>
      </c>
      <c r="U87" s="84">
        <v>446.57406239954503</v>
      </c>
      <c r="V87" s="84">
        <v>1854.3149392547</v>
      </c>
      <c r="W87" s="84">
        <v>0</v>
      </c>
      <c r="X87" s="84">
        <v>0</v>
      </c>
      <c r="Y87" s="84">
        <v>7.6999999999998195E-2</v>
      </c>
      <c r="Z87" s="84">
        <v>0</v>
      </c>
      <c r="AA87" s="84">
        <v>2373.8733000000002</v>
      </c>
      <c r="AB87" s="84">
        <v>5613.6491933343996</v>
      </c>
      <c r="AC87" s="84">
        <v>153.04015441999999</v>
      </c>
      <c r="AD87" s="84">
        <v>0.67349519999999097</v>
      </c>
      <c r="AE87" s="84">
        <v>2553.64307272</v>
      </c>
      <c r="AF87" s="84">
        <v>556.23788005383597</v>
      </c>
      <c r="AG87" s="84">
        <v>187.08950398361901</v>
      </c>
      <c r="AH87" s="84">
        <v>283.04562600000003</v>
      </c>
      <c r="AI87" s="84">
        <f t="shared" si="1"/>
        <v>18992.508417091558</v>
      </c>
    </row>
    <row r="88" spans="1:35">
      <c r="A88" s="22" t="s">
        <v>96</v>
      </c>
      <c r="B88" s="22" t="s">
        <v>97</v>
      </c>
      <c r="C88" s="22">
        <v>2010</v>
      </c>
      <c r="D88" s="22" t="s">
        <v>87</v>
      </c>
      <c r="E88" s="84">
        <v>3.7240733688013301</v>
      </c>
      <c r="F88" s="84">
        <v>20.173457079999899</v>
      </c>
      <c r="G88" s="84">
        <v>1.81916000000228E-2</v>
      </c>
      <c r="H88" s="84">
        <v>33.957500000000003</v>
      </c>
      <c r="I88" s="84">
        <v>0</v>
      </c>
      <c r="J88" s="84">
        <v>11.265751581538099</v>
      </c>
      <c r="K88" s="84">
        <v>278.30448314</v>
      </c>
      <c r="L88" s="84">
        <v>0</v>
      </c>
      <c r="M88" s="84">
        <v>0</v>
      </c>
      <c r="N88" s="84">
        <v>35.921288853159901</v>
      </c>
      <c r="O88" s="84">
        <v>118.25705233535</v>
      </c>
      <c r="P88" s="84">
        <v>2.31752919989958E-3</v>
      </c>
      <c r="Q88" s="84">
        <v>319.52664979012098</v>
      </c>
      <c r="R88" s="84">
        <v>0</v>
      </c>
      <c r="S88" s="84">
        <v>6.2262966244668396</v>
      </c>
      <c r="T88" s="84">
        <v>0</v>
      </c>
      <c r="U88" s="84">
        <v>157.22899662480401</v>
      </c>
      <c r="V88" s="84">
        <v>169.12037238087501</v>
      </c>
      <c r="W88" s="84">
        <v>0</v>
      </c>
      <c r="X88" s="84">
        <v>0</v>
      </c>
      <c r="Y88" s="84">
        <v>7.4942140000004501E-2</v>
      </c>
      <c r="Z88" s="84">
        <v>0</v>
      </c>
      <c r="AA88" s="84">
        <v>60.440939999999998</v>
      </c>
      <c r="AB88" s="84">
        <v>220.27222399999999</v>
      </c>
      <c r="AC88" s="84">
        <v>17.203507036769899</v>
      </c>
      <c r="AD88" s="84">
        <v>0</v>
      </c>
      <c r="AE88" s="84">
        <v>12.088388999999999</v>
      </c>
      <c r="AF88" s="84">
        <v>199.77767304448699</v>
      </c>
      <c r="AG88" s="84">
        <v>8.6687722478986693</v>
      </c>
      <c r="AH88" s="84">
        <v>23.431223086484401</v>
      </c>
      <c r="AI88" s="84">
        <f t="shared" si="1"/>
        <v>1284.2253808391522</v>
      </c>
    </row>
    <row r="89" spans="1:35">
      <c r="A89" s="22" t="s">
        <v>96</v>
      </c>
      <c r="B89" s="22" t="s">
        <v>97</v>
      </c>
      <c r="C89" s="22">
        <v>2015</v>
      </c>
      <c r="D89" s="22" t="s">
        <v>87</v>
      </c>
      <c r="E89" s="84">
        <v>6.4939805483754798</v>
      </c>
      <c r="F89" s="84">
        <v>16.933483211250401</v>
      </c>
      <c r="G89" s="84">
        <v>4.1669600000204799E-4</v>
      </c>
      <c r="H89" s="84">
        <v>40.725499999999997</v>
      </c>
      <c r="I89" s="84">
        <v>0</v>
      </c>
      <c r="J89" s="84">
        <v>15.003063190769399</v>
      </c>
      <c r="K89" s="84">
        <v>155.73687783000099</v>
      </c>
      <c r="L89" s="84">
        <v>0</v>
      </c>
      <c r="M89" s="84">
        <v>0</v>
      </c>
      <c r="N89" s="84">
        <v>59.505375199999897</v>
      </c>
      <c r="O89" s="84">
        <v>104.529704667332</v>
      </c>
      <c r="P89" s="84">
        <v>2.4517304000255501E-3</v>
      </c>
      <c r="Q89" s="84">
        <v>136.38805910150899</v>
      </c>
      <c r="R89" s="84">
        <v>0</v>
      </c>
      <c r="S89" s="84">
        <v>5.7519610323308799</v>
      </c>
      <c r="T89" s="84">
        <v>0</v>
      </c>
      <c r="U89" s="84">
        <v>96.545057894661994</v>
      </c>
      <c r="V89" s="84">
        <v>52.144801450829597</v>
      </c>
      <c r="W89" s="84">
        <v>0</v>
      </c>
      <c r="X89" s="84">
        <v>0</v>
      </c>
      <c r="Y89" s="84">
        <v>1.7466273999999799E-3</v>
      </c>
      <c r="Z89" s="84">
        <v>0</v>
      </c>
      <c r="AA89" s="84">
        <v>5.8476900000000001</v>
      </c>
      <c r="AB89" s="84">
        <v>136.97825030000001</v>
      </c>
      <c r="AC89" s="84">
        <v>21.01236624477</v>
      </c>
      <c r="AD89" s="84">
        <v>0</v>
      </c>
      <c r="AE89" s="84">
        <v>11.122499049199201</v>
      </c>
      <c r="AF89" s="84">
        <v>48.759106872733803</v>
      </c>
      <c r="AG89" s="84">
        <v>14.154765150727799</v>
      </c>
      <c r="AH89" s="84">
        <v>9.0036073336605096</v>
      </c>
      <c r="AI89" s="84">
        <f t="shared" si="1"/>
        <v>662.39195593728914</v>
      </c>
    </row>
    <row r="90" spans="1:35">
      <c r="A90" s="22" t="s">
        <v>96</v>
      </c>
      <c r="B90" s="22" t="s">
        <v>97</v>
      </c>
      <c r="C90" s="22">
        <v>2019</v>
      </c>
      <c r="D90" s="22" t="s">
        <v>87</v>
      </c>
      <c r="E90" s="84">
        <v>7.2849727258981103</v>
      </c>
      <c r="F90" s="84">
        <v>18.702580399999999</v>
      </c>
      <c r="G90" s="84">
        <v>0</v>
      </c>
      <c r="H90" s="84">
        <v>0</v>
      </c>
      <c r="I90" s="84">
        <v>0</v>
      </c>
      <c r="J90" s="84">
        <v>15.297183694584399</v>
      </c>
      <c r="K90" s="84">
        <v>162.366337740001</v>
      </c>
      <c r="L90" s="84">
        <v>0</v>
      </c>
      <c r="M90" s="84">
        <v>0</v>
      </c>
      <c r="N90" s="84">
        <v>94.735030359151693</v>
      </c>
      <c r="O90" s="84">
        <v>61.442342874645902</v>
      </c>
      <c r="P90" s="84">
        <v>2.34142719978081E-3</v>
      </c>
      <c r="Q90" s="84">
        <v>127.611742053725</v>
      </c>
      <c r="R90" s="84">
        <v>0</v>
      </c>
      <c r="S90" s="84">
        <v>5.2798471234584703</v>
      </c>
      <c r="T90" s="84">
        <v>0</v>
      </c>
      <c r="U90" s="84">
        <v>90.789022943483999</v>
      </c>
      <c r="V90" s="84">
        <v>47.575013208587499</v>
      </c>
      <c r="W90" s="84">
        <v>0</v>
      </c>
      <c r="X90" s="84">
        <v>0</v>
      </c>
      <c r="Y90" s="84">
        <v>0</v>
      </c>
      <c r="Z90" s="84">
        <v>0</v>
      </c>
      <c r="AA90" s="84">
        <v>24.5274</v>
      </c>
      <c r="AB90" s="84">
        <v>162.78116144000001</v>
      </c>
      <c r="AC90" s="84">
        <v>14.511872648000001</v>
      </c>
      <c r="AD90" s="84">
        <v>0</v>
      </c>
      <c r="AE90" s="84">
        <v>8.2533490228170194</v>
      </c>
      <c r="AF90" s="84">
        <v>45.598727230750697</v>
      </c>
      <c r="AG90" s="84">
        <v>10.616303094005501</v>
      </c>
      <c r="AH90" s="84">
        <v>5.7013631138584104</v>
      </c>
      <c r="AI90" s="84">
        <f t="shared" si="1"/>
        <v>649.50640671668327</v>
      </c>
    </row>
    <row r="91" spans="1:35">
      <c r="A91" s="22" t="s">
        <v>96</v>
      </c>
      <c r="B91" s="22" t="s">
        <v>97</v>
      </c>
      <c r="C91" s="22">
        <v>2021</v>
      </c>
      <c r="D91" s="22" t="s">
        <v>87</v>
      </c>
      <c r="E91" s="84">
        <v>8.8905231082790106</v>
      </c>
      <c r="F91" s="84">
        <v>4.3620528000001304</v>
      </c>
      <c r="G91" s="84">
        <v>0</v>
      </c>
      <c r="H91" s="84">
        <v>0</v>
      </c>
      <c r="I91" s="84">
        <v>0</v>
      </c>
      <c r="J91" s="84">
        <v>16.224776611507899</v>
      </c>
      <c r="K91" s="84">
        <v>137.378178679999</v>
      </c>
      <c r="L91" s="84">
        <v>0</v>
      </c>
      <c r="M91" s="84">
        <v>0</v>
      </c>
      <c r="N91" s="84">
        <v>86.2724957087283</v>
      </c>
      <c r="O91" s="84">
        <v>51.553869442218001</v>
      </c>
      <c r="P91" s="84">
        <v>2.3379076001219801E-3</v>
      </c>
      <c r="Q91" s="84">
        <v>84.863957079389394</v>
      </c>
      <c r="R91" s="84">
        <v>0</v>
      </c>
      <c r="S91" s="84">
        <v>3.3857604722563801</v>
      </c>
      <c r="T91" s="84">
        <v>0</v>
      </c>
      <c r="U91" s="84">
        <v>92.865774445740996</v>
      </c>
      <c r="V91" s="84">
        <v>45.4952932257413</v>
      </c>
      <c r="W91" s="84">
        <v>0</v>
      </c>
      <c r="X91" s="84">
        <v>0</v>
      </c>
      <c r="Y91" s="84">
        <v>0</v>
      </c>
      <c r="Z91" s="84">
        <v>0</v>
      </c>
      <c r="AA91" s="84">
        <v>14.508599999999999</v>
      </c>
      <c r="AB91" s="84">
        <v>227.893584879999</v>
      </c>
      <c r="AC91" s="84">
        <v>11.895519999999999</v>
      </c>
      <c r="AD91" s="84">
        <v>0</v>
      </c>
      <c r="AE91" s="84">
        <v>8.2099637317996894</v>
      </c>
      <c r="AF91" s="84">
        <v>42.465093192214198</v>
      </c>
      <c r="AG91" s="84">
        <v>7.0353418154880796</v>
      </c>
      <c r="AH91" s="84">
        <v>6.5672988191399799</v>
      </c>
      <c r="AI91" s="84">
        <f t="shared" si="1"/>
        <v>529.11106259436156</v>
      </c>
    </row>
    <row r="92" spans="1:35">
      <c r="A92" s="22" t="s">
        <v>98</v>
      </c>
      <c r="B92" s="22" t="s">
        <v>99</v>
      </c>
      <c r="C92" s="22">
        <v>1990</v>
      </c>
      <c r="D92" s="22" t="s">
        <v>85</v>
      </c>
      <c r="E92" s="84">
        <v>348.93935835251602</v>
      </c>
      <c r="F92" s="84">
        <v>201.85488617247799</v>
      </c>
      <c r="G92" s="84">
        <v>82.112799999999993</v>
      </c>
      <c r="H92" s="84">
        <v>58.212385800381803</v>
      </c>
      <c r="I92" s="84">
        <v>4.1906975620000004</v>
      </c>
      <c r="J92" s="84">
        <v>125.562932</v>
      </c>
      <c r="K92" s="84">
        <v>2982.4378430299998</v>
      </c>
      <c r="L92" s="84">
        <v>167.145466265008</v>
      </c>
      <c r="M92" s="84">
        <v>35.843955670951999</v>
      </c>
      <c r="N92" s="84">
        <v>129.78038063523201</v>
      </c>
      <c r="O92" s="84">
        <v>192.834464</v>
      </c>
      <c r="P92" s="84">
        <v>217.693459283496</v>
      </c>
      <c r="Q92" s="84">
        <v>1055.2414577422401</v>
      </c>
      <c r="R92" s="84">
        <v>176.17062435322299</v>
      </c>
      <c r="S92" s="84">
        <v>202.077600502585</v>
      </c>
      <c r="T92" s="84">
        <v>94.635725886777607</v>
      </c>
      <c r="U92" s="84">
        <v>7.2067762311941301</v>
      </c>
      <c r="V92" s="84">
        <v>1680.7585248942501</v>
      </c>
      <c r="W92" s="84">
        <v>6.9373333333333296</v>
      </c>
      <c r="X92" s="84">
        <v>20.543678754673699</v>
      </c>
      <c r="Y92" s="84">
        <v>45.241745617581699</v>
      </c>
      <c r="Z92" s="84">
        <v>3.5383038475495598</v>
      </c>
      <c r="AA92" s="84">
        <v>187.12298043244601</v>
      </c>
      <c r="AB92" s="84">
        <v>173.303890911</v>
      </c>
      <c r="AC92" s="84">
        <v>213.43520000000001</v>
      </c>
      <c r="AD92" s="84">
        <v>242.40938674117001</v>
      </c>
      <c r="AE92" s="84">
        <v>631.69539086384702</v>
      </c>
      <c r="AF92" s="84">
        <v>392.984628113989</v>
      </c>
      <c r="AG92" s="84">
        <v>8.4960622346013892</v>
      </c>
      <c r="AH92" s="84">
        <v>50.487281920000001</v>
      </c>
      <c r="AI92" s="84">
        <f t="shared" si="1"/>
        <v>9500.1721682099487</v>
      </c>
    </row>
    <row r="93" spans="1:35">
      <c r="A93" s="22" t="s">
        <v>98</v>
      </c>
      <c r="B93" s="22" t="s">
        <v>99</v>
      </c>
      <c r="C93" s="22">
        <v>2010</v>
      </c>
      <c r="D93" s="22" t="s">
        <v>85</v>
      </c>
      <c r="E93" s="84">
        <v>169.03442953772199</v>
      </c>
      <c r="F93" s="84">
        <v>117.554262278248</v>
      </c>
      <c r="G93" s="84">
        <v>28.4982939747606</v>
      </c>
      <c r="H93" s="84">
        <v>58.577600684857899</v>
      </c>
      <c r="I93" s="84">
        <v>3.5301065770000002</v>
      </c>
      <c r="J93" s="84">
        <v>123.725008382002</v>
      </c>
      <c r="K93" s="84">
        <v>2307.9292039500001</v>
      </c>
      <c r="L93" s="84">
        <v>201.23583407913901</v>
      </c>
      <c r="M93" s="84">
        <v>15.5047198420509</v>
      </c>
      <c r="N93" s="84">
        <v>42.602179999999997</v>
      </c>
      <c r="O93" s="84">
        <v>373.69163400000002</v>
      </c>
      <c r="P93" s="84">
        <v>114.345820901178</v>
      </c>
      <c r="Q93" s="84">
        <v>971.43535460738599</v>
      </c>
      <c r="R93" s="84">
        <v>89.6856373987154</v>
      </c>
      <c r="S93" s="84">
        <v>102.49171866752199</v>
      </c>
      <c r="T93" s="84">
        <v>88.082055723940798</v>
      </c>
      <c r="U93" s="84">
        <v>5.6727596485452896</v>
      </c>
      <c r="V93" s="84">
        <v>1116.8092613280701</v>
      </c>
      <c r="W93" s="84">
        <v>14.446666666666699</v>
      </c>
      <c r="X93" s="84">
        <v>26.976797156721801</v>
      </c>
      <c r="Y93" s="84">
        <v>32.836479273158297</v>
      </c>
      <c r="Z93" s="84">
        <v>3.3371167813843798</v>
      </c>
      <c r="AA93" s="84">
        <v>303.78233460763403</v>
      </c>
      <c r="AB93" s="84">
        <v>117.003040883</v>
      </c>
      <c r="AC93" s="84">
        <v>232.75762165777601</v>
      </c>
      <c r="AD93" s="84">
        <v>191.29386161651999</v>
      </c>
      <c r="AE93" s="84">
        <v>897.35907940429695</v>
      </c>
      <c r="AF93" s="84">
        <v>441.71163883944098</v>
      </c>
      <c r="AG93" s="84">
        <v>14.8134239929981</v>
      </c>
      <c r="AH93" s="84">
        <v>16.9381315161401</v>
      </c>
      <c r="AI93" s="84">
        <f t="shared" si="1"/>
        <v>8042.4086727604717</v>
      </c>
    </row>
    <row r="94" spans="1:35">
      <c r="A94" s="22" t="s">
        <v>98</v>
      </c>
      <c r="B94" s="22" t="s">
        <v>99</v>
      </c>
      <c r="C94" s="22">
        <v>2015</v>
      </c>
      <c r="D94" s="22" t="s">
        <v>85</v>
      </c>
      <c r="E94" s="84">
        <v>132.44438463689599</v>
      </c>
      <c r="F94" s="84">
        <v>119.698912629425</v>
      </c>
      <c r="G94" s="84">
        <v>14.241065240871199</v>
      </c>
      <c r="H94" s="84">
        <v>54.598348307420999</v>
      </c>
      <c r="I94" s="84">
        <v>2.4661978790000001</v>
      </c>
      <c r="J94" s="84">
        <v>145.368754979351</v>
      </c>
      <c r="K94" s="84">
        <v>1997.01652008</v>
      </c>
      <c r="L94" s="84">
        <v>174.81140182556999</v>
      </c>
      <c r="M94" s="84">
        <v>21.2577765801155</v>
      </c>
      <c r="N94" s="84">
        <v>47.154161808888901</v>
      </c>
      <c r="O94" s="84">
        <v>365.43035700000001</v>
      </c>
      <c r="P94" s="84">
        <v>138.38614831376</v>
      </c>
      <c r="Q94" s="84">
        <v>884.95678047563899</v>
      </c>
      <c r="R94" s="84">
        <v>68.743841119771304</v>
      </c>
      <c r="S94" s="84">
        <v>98.115412698797897</v>
      </c>
      <c r="T94" s="84">
        <v>95.750742006739202</v>
      </c>
      <c r="U94" s="84">
        <v>6.2083093649785202</v>
      </c>
      <c r="V94" s="84">
        <v>965.02259488271795</v>
      </c>
      <c r="W94" s="84">
        <v>14.1579845471638</v>
      </c>
      <c r="X94" s="84">
        <v>27.0697274322523</v>
      </c>
      <c r="Y94" s="84">
        <v>42.704043008715999</v>
      </c>
      <c r="Z94" s="84">
        <v>7.6709077740187004</v>
      </c>
      <c r="AA94" s="84">
        <v>302.815095251137</v>
      </c>
      <c r="AB94" s="84">
        <v>97.060478318999998</v>
      </c>
      <c r="AC94" s="84">
        <v>257.59193082036501</v>
      </c>
      <c r="AD94" s="84">
        <v>179.153972478432</v>
      </c>
      <c r="AE94" s="84">
        <v>801.14602300370598</v>
      </c>
      <c r="AF94" s="84">
        <v>439.70894145710702</v>
      </c>
      <c r="AG94" s="84">
        <v>25.648766662887901</v>
      </c>
      <c r="AH94" s="84">
        <v>35.458326430582602</v>
      </c>
      <c r="AI94" s="84">
        <f t="shared" si="1"/>
        <v>7403.9907710239122</v>
      </c>
    </row>
    <row r="95" spans="1:35">
      <c r="A95" s="22" t="s">
        <v>98</v>
      </c>
      <c r="B95" s="22" t="s">
        <v>99</v>
      </c>
      <c r="C95" s="22">
        <v>2019</v>
      </c>
      <c r="D95" s="22" t="s">
        <v>85</v>
      </c>
      <c r="E95" s="84">
        <v>146.643012591158</v>
      </c>
      <c r="F95" s="84">
        <v>128.65084672365501</v>
      </c>
      <c r="G95" s="84">
        <v>32.573016544806897</v>
      </c>
      <c r="H95" s="84">
        <v>53.1359636411606</v>
      </c>
      <c r="I95" s="84">
        <v>4.9790342856000001</v>
      </c>
      <c r="J95" s="84">
        <v>158.449088548021</v>
      </c>
      <c r="K95" s="84">
        <v>1951.5179659400001</v>
      </c>
      <c r="L95" s="84">
        <v>161.14030377743401</v>
      </c>
      <c r="M95" s="84">
        <v>26.094443201805699</v>
      </c>
      <c r="N95" s="84">
        <v>70.969646276264399</v>
      </c>
      <c r="O95" s="84">
        <v>410.93768799999998</v>
      </c>
      <c r="P95" s="84">
        <v>154.797226480202</v>
      </c>
      <c r="Q95" s="84">
        <v>705.12919173188402</v>
      </c>
      <c r="R95" s="84">
        <v>93.054769775390398</v>
      </c>
      <c r="S95" s="84">
        <v>104.328587544352</v>
      </c>
      <c r="T95" s="84">
        <v>105.10244147101</v>
      </c>
      <c r="U95" s="84">
        <v>6.1576200272428601</v>
      </c>
      <c r="V95" s="84">
        <v>1078.9869935711899</v>
      </c>
      <c r="W95" s="84">
        <v>17.5601075160126</v>
      </c>
      <c r="X95" s="84">
        <v>34.882147266049898</v>
      </c>
      <c r="Y95" s="84">
        <v>49.213083144823202</v>
      </c>
      <c r="Z95" s="84">
        <v>4.5100916390541501</v>
      </c>
      <c r="AA95" s="84">
        <v>337.29522119207297</v>
      </c>
      <c r="AB95" s="84">
        <v>99.665197460000002</v>
      </c>
      <c r="AC95" s="84">
        <v>314.19582777984402</v>
      </c>
      <c r="AD95" s="84">
        <v>185.223162974514</v>
      </c>
      <c r="AE95" s="84">
        <v>516.86704394236904</v>
      </c>
      <c r="AF95" s="84">
        <v>372.41533513810401</v>
      </c>
      <c r="AG95" s="84">
        <v>32.756036309583699</v>
      </c>
      <c r="AH95" s="84">
        <v>34.957098329410499</v>
      </c>
      <c r="AI95" s="84">
        <f t="shared" si="1"/>
        <v>7233.2294116946096</v>
      </c>
    </row>
    <row r="96" spans="1:35">
      <c r="A96" s="22" t="s">
        <v>98</v>
      </c>
      <c r="B96" s="22" t="s">
        <v>99</v>
      </c>
      <c r="C96" s="22">
        <v>2021</v>
      </c>
      <c r="D96" s="22" t="s">
        <v>85</v>
      </c>
      <c r="E96" s="84">
        <v>165.30660586713799</v>
      </c>
      <c r="F96" s="84">
        <v>117.512364772341</v>
      </c>
      <c r="G96" s="84">
        <v>16.279366481994401</v>
      </c>
      <c r="H96" s="84">
        <v>52.709528146497703</v>
      </c>
      <c r="I96" s="84">
        <v>5.0317565886797304</v>
      </c>
      <c r="J96" s="84">
        <v>139.444223245774</v>
      </c>
      <c r="K96" s="84">
        <v>2029.3938206800001</v>
      </c>
      <c r="L96" s="84">
        <v>179.815908776664</v>
      </c>
      <c r="M96" s="84">
        <v>38.4410095708364</v>
      </c>
      <c r="N96" s="84">
        <v>59.236785343700099</v>
      </c>
      <c r="O96" s="84">
        <v>396.48019900000003</v>
      </c>
      <c r="P96" s="84">
        <v>152.73551612859401</v>
      </c>
      <c r="Q96" s="84">
        <v>1008.06280898279</v>
      </c>
      <c r="R96" s="84">
        <v>81.870041891145405</v>
      </c>
      <c r="S96" s="84">
        <v>102.745379263819</v>
      </c>
      <c r="T96" s="84">
        <v>113.756286197823</v>
      </c>
      <c r="U96" s="84">
        <v>6.5436109300947898</v>
      </c>
      <c r="V96" s="84">
        <v>1004.46481568372</v>
      </c>
      <c r="W96" s="84">
        <v>20.152704865796899</v>
      </c>
      <c r="X96" s="84">
        <v>33.923433451575598</v>
      </c>
      <c r="Y96" s="84">
        <v>55.251596899840301</v>
      </c>
      <c r="Z96" s="84">
        <v>4.5976437822187197</v>
      </c>
      <c r="AA96" s="84">
        <v>339.64144586244902</v>
      </c>
      <c r="AB96" s="84">
        <v>104.398514933</v>
      </c>
      <c r="AC96" s="84">
        <v>341.02320756876799</v>
      </c>
      <c r="AD96" s="84">
        <v>205.231203478423</v>
      </c>
      <c r="AE96" s="84">
        <v>706.92524658963202</v>
      </c>
      <c r="AF96" s="84">
        <v>337.22651042548898</v>
      </c>
      <c r="AG96" s="84">
        <v>34.600328490976501</v>
      </c>
      <c r="AH96" s="84">
        <v>33.814735738799598</v>
      </c>
      <c r="AI96" s="84">
        <f t="shared" si="1"/>
        <v>7722.964945628989</v>
      </c>
    </row>
    <row r="97" spans="1:35">
      <c r="A97" s="22" t="s">
        <v>98</v>
      </c>
      <c r="B97" s="22" t="s">
        <v>99</v>
      </c>
      <c r="C97" s="22">
        <v>1990</v>
      </c>
      <c r="D97" s="22" t="s">
        <v>86</v>
      </c>
      <c r="E97" s="84">
        <v>348.93935835251602</v>
      </c>
      <c r="F97" s="84">
        <v>201.85488617247799</v>
      </c>
      <c r="G97" s="84">
        <v>82.112799999999993</v>
      </c>
      <c r="H97" s="84">
        <v>58.212385800381803</v>
      </c>
      <c r="I97" s="84">
        <v>4.1906975620000004</v>
      </c>
      <c r="J97" s="84">
        <v>125.562932</v>
      </c>
      <c r="K97" s="84">
        <v>2983.0572089799998</v>
      </c>
      <c r="L97" s="84">
        <v>167.531233074433</v>
      </c>
      <c r="M97" s="84">
        <v>35.843955670951999</v>
      </c>
      <c r="N97" s="84">
        <v>129.78038063523201</v>
      </c>
      <c r="O97" s="84">
        <v>192.834464</v>
      </c>
      <c r="P97" s="84">
        <v>219.51031928349599</v>
      </c>
      <c r="Q97" s="84">
        <v>1058.10260308586</v>
      </c>
      <c r="R97" s="84">
        <v>176.17062435322299</v>
      </c>
      <c r="S97" s="84">
        <v>202.077600502585</v>
      </c>
      <c r="T97" s="84">
        <v>94.635725886777607</v>
      </c>
      <c r="U97" s="84">
        <v>7.2067762311941301</v>
      </c>
      <c r="V97" s="84">
        <v>1680.7585248942501</v>
      </c>
      <c r="W97" s="84">
        <v>6.9373333333333296</v>
      </c>
      <c r="X97" s="84">
        <v>20.543678754673699</v>
      </c>
      <c r="Y97" s="84">
        <v>45.241745617581699</v>
      </c>
      <c r="Z97" s="84">
        <v>3.5383038475495598</v>
      </c>
      <c r="AA97" s="84">
        <v>187.29315489702901</v>
      </c>
      <c r="AB97" s="84">
        <v>173.303890911</v>
      </c>
      <c r="AC97" s="84">
        <v>213.43520000000001</v>
      </c>
      <c r="AD97" s="84">
        <v>242.40938674117001</v>
      </c>
      <c r="AE97" s="84">
        <v>631.69539086384702</v>
      </c>
      <c r="AF97" s="84">
        <v>392.984628113989</v>
      </c>
      <c r="AG97" s="84">
        <v>8.4960622346013892</v>
      </c>
      <c r="AH97" s="84">
        <v>50.487281920000001</v>
      </c>
      <c r="AI97" s="84">
        <f t="shared" si="1"/>
        <v>9506.0254807775782</v>
      </c>
    </row>
    <row r="98" spans="1:35">
      <c r="A98" s="22" t="s">
        <v>98</v>
      </c>
      <c r="B98" s="22" t="s">
        <v>99</v>
      </c>
      <c r="C98" s="22">
        <v>2010</v>
      </c>
      <c r="D98" s="22" t="s">
        <v>86</v>
      </c>
      <c r="E98" s="84">
        <v>169.03442953772199</v>
      </c>
      <c r="F98" s="84">
        <v>117.554262278248</v>
      </c>
      <c r="G98" s="84">
        <v>28.4982939747606</v>
      </c>
      <c r="H98" s="84">
        <v>58.577600684857899</v>
      </c>
      <c r="I98" s="84">
        <v>3.5301065770000002</v>
      </c>
      <c r="J98" s="84">
        <v>123.725008382002</v>
      </c>
      <c r="K98" s="84">
        <v>2309.2492404999998</v>
      </c>
      <c r="L98" s="84">
        <v>201.95117861977999</v>
      </c>
      <c r="M98" s="84">
        <v>15.5047198420509</v>
      </c>
      <c r="N98" s="84">
        <v>42.602179999999997</v>
      </c>
      <c r="O98" s="84">
        <v>373.69163400000002</v>
      </c>
      <c r="P98" s="84">
        <v>115.110330901178</v>
      </c>
      <c r="Q98" s="84">
        <v>973.85073166920301</v>
      </c>
      <c r="R98" s="84">
        <v>89.6856373987154</v>
      </c>
      <c r="S98" s="84">
        <v>102.49171866752199</v>
      </c>
      <c r="T98" s="84">
        <v>88.082055723940798</v>
      </c>
      <c r="U98" s="84">
        <v>5.6727596485452896</v>
      </c>
      <c r="V98" s="84">
        <v>1116.8092613280701</v>
      </c>
      <c r="W98" s="84">
        <v>14.446666666666699</v>
      </c>
      <c r="X98" s="84">
        <v>26.976797156721801</v>
      </c>
      <c r="Y98" s="84">
        <v>32.836479273158297</v>
      </c>
      <c r="Z98" s="84">
        <v>3.3371167813843798</v>
      </c>
      <c r="AA98" s="84">
        <v>304.11808752981102</v>
      </c>
      <c r="AB98" s="84">
        <v>117.003040883</v>
      </c>
      <c r="AC98" s="84">
        <v>232.75762165777601</v>
      </c>
      <c r="AD98" s="84">
        <v>191.29386161651999</v>
      </c>
      <c r="AE98" s="84">
        <v>897.35907940429695</v>
      </c>
      <c r="AF98" s="84">
        <v>441.71163883944098</v>
      </c>
      <c r="AG98" s="84">
        <v>14.8134239929981</v>
      </c>
      <c r="AH98" s="84">
        <v>16.9381315161401</v>
      </c>
      <c r="AI98" s="84">
        <f t="shared" si="1"/>
        <v>8047.9596938351078</v>
      </c>
    </row>
    <row r="99" spans="1:35">
      <c r="A99" s="22" t="s">
        <v>98</v>
      </c>
      <c r="B99" s="22" t="s">
        <v>99</v>
      </c>
      <c r="C99" s="22">
        <v>2015</v>
      </c>
      <c r="D99" s="22" t="s">
        <v>86</v>
      </c>
      <c r="E99" s="84">
        <v>132.44438463689599</v>
      </c>
      <c r="F99" s="84">
        <v>119.698912629425</v>
      </c>
      <c r="G99" s="84">
        <v>14.241065240871199</v>
      </c>
      <c r="H99" s="84">
        <v>54.598348307420999</v>
      </c>
      <c r="I99" s="84">
        <v>2.4661978790000001</v>
      </c>
      <c r="J99" s="84">
        <v>145.368754979351</v>
      </c>
      <c r="K99" s="84">
        <v>1998.2906056300001</v>
      </c>
      <c r="L99" s="84">
        <v>175.471874614494</v>
      </c>
      <c r="M99" s="84">
        <v>21.2577765801155</v>
      </c>
      <c r="N99" s="84">
        <v>47.154161808888901</v>
      </c>
      <c r="O99" s="84">
        <v>365.43035700000001</v>
      </c>
      <c r="P99" s="84">
        <v>139.34085831376001</v>
      </c>
      <c r="Q99" s="84">
        <v>887.48328282376804</v>
      </c>
      <c r="R99" s="84">
        <v>68.743841119771304</v>
      </c>
      <c r="S99" s="84">
        <v>98.115412698797897</v>
      </c>
      <c r="T99" s="84">
        <v>95.750742006739202</v>
      </c>
      <c r="U99" s="84">
        <v>6.2083093649785202</v>
      </c>
      <c r="V99" s="84">
        <v>965.02259488271795</v>
      </c>
      <c r="W99" s="84">
        <v>14.1579845471638</v>
      </c>
      <c r="X99" s="84">
        <v>27.0697274322523</v>
      </c>
      <c r="Y99" s="84">
        <v>42.704043008715999</v>
      </c>
      <c r="Z99" s="84">
        <v>7.6709077740187004</v>
      </c>
      <c r="AA99" s="84">
        <v>303.15744649742902</v>
      </c>
      <c r="AB99" s="84">
        <v>97.060478318999998</v>
      </c>
      <c r="AC99" s="84">
        <v>257.59193082036501</v>
      </c>
      <c r="AD99" s="84">
        <v>179.153972478432</v>
      </c>
      <c r="AE99" s="84">
        <v>801.14602300370598</v>
      </c>
      <c r="AF99" s="84">
        <v>439.70894145710702</v>
      </c>
      <c r="AG99" s="84">
        <v>25.648766662887901</v>
      </c>
      <c r="AH99" s="84">
        <v>35.458326430582602</v>
      </c>
      <c r="AI99" s="84">
        <f t="shared" si="1"/>
        <v>7409.7488929572582</v>
      </c>
    </row>
    <row r="100" spans="1:35">
      <c r="A100" s="22" t="s">
        <v>98</v>
      </c>
      <c r="B100" s="22" t="s">
        <v>99</v>
      </c>
      <c r="C100" s="22">
        <v>2019</v>
      </c>
      <c r="D100" s="22" t="s">
        <v>86</v>
      </c>
      <c r="E100" s="84">
        <v>146.643012591158</v>
      </c>
      <c r="F100" s="84">
        <v>128.65084672365501</v>
      </c>
      <c r="G100" s="84">
        <v>32.573016544806897</v>
      </c>
      <c r="H100" s="84">
        <v>53.1359636411606</v>
      </c>
      <c r="I100" s="84">
        <v>4.9790342856000001</v>
      </c>
      <c r="J100" s="84">
        <v>158.449088548021</v>
      </c>
      <c r="K100" s="84">
        <v>1952.6106377900001</v>
      </c>
      <c r="L100" s="84">
        <v>161.77598190190901</v>
      </c>
      <c r="M100" s="84">
        <v>26.094443201805699</v>
      </c>
      <c r="N100" s="84">
        <v>70.969646276264399</v>
      </c>
      <c r="O100" s="84">
        <v>410.93768799999998</v>
      </c>
      <c r="P100" s="84">
        <v>155.816666480202</v>
      </c>
      <c r="Q100" s="84">
        <v>707.66688225000405</v>
      </c>
      <c r="R100" s="84">
        <v>93.054769775390398</v>
      </c>
      <c r="S100" s="84">
        <v>104.328587544352</v>
      </c>
      <c r="T100" s="84">
        <v>105.10244147101</v>
      </c>
      <c r="U100" s="84">
        <v>6.1576200272428601</v>
      </c>
      <c r="V100" s="84">
        <v>1078.9869935711899</v>
      </c>
      <c r="W100" s="84">
        <v>17.5601075160126</v>
      </c>
      <c r="X100" s="84">
        <v>34.882147266049898</v>
      </c>
      <c r="Y100" s="84">
        <v>49.213083144823202</v>
      </c>
      <c r="Z100" s="84">
        <v>4.5100916390541501</v>
      </c>
      <c r="AA100" s="84">
        <v>337.64529905509897</v>
      </c>
      <c r="AB100" s="84">
        <v>99.665197460000002</v>
      </c>
      <c r="AC100" s="84">
        <v>314.19582777984402</v>
      </c>
      <c r="AD100" s="84">
        <v>185.223162974514</v>
      </c>
      <c r="AE100" s="84">
        <v>516.86704394236904</v>
      </c>
      <c r="AF100" s="84">
        <v>372.41533513810401</v>
      </c>
      <c r="AG100" s="84">
        <v>32.756036309583699</v>
      </c>
      <c r="AH100" s="84">
        <v>34.957098329410499</v>
      </c>
      <c r="AI100" s="84">
        <f t="shared" si="1"/>
        <v>7238.864970050231</v>
      </c>
    </row>
    <row r="101" spans="1:35">
      <c r="A101" s="22" t="s">
        <v>98</v>
      </c>
      <c r="B101" s="22" t="s">
        <v>99</v>
      </c>
      <c r="C101" s="22">
        <v>2021</v>
      </c>
      <c r="D101" s="22" t="s">
        <v>86</v>
      </c>
      <c r="E101" s="84">
        <v>165.30660586713799</v>
      </c>
      <c r="F101" s="84">
        <v>117.512364772341</v>
      </c>
      <c r="G101" s="84">
        <v>16.279366481994401</v>
      </c>
      <c r="H101" s="84">
        <v>52.709528146497703</v>
      </c>
      <c r="I101" s="84">
        <v>5.0317565886797304</v>
      </c>
      <c r="J101" s="84">
        <v>139.444223245774</v>
      </c>
      <c r="K101" s="84">
        <v>2030.67562303</v>
      </c>
      <c r="L101" s="84">
        <v>180.481168665072</v>
      </c>
      <c r="M101" s="84">
        <v>38.4410095708364</v>
      </c>
      <c r="N101" s="84">
        <v>59.236785343700099</v>
      </c>
      <c r="O101" s="84">
        <v>396.48019900000003</v>
      </c>
      <c r="P101" s="84">
        <v>153.680596128594</v>
      </c>
      <c r="Q101" s="84">
        <v>1010.34035606604</v>
      </c>
      <c r="R101" s="84">
        <v>81.870041891145405</v>
      </c>
      <c r="S101" s="84">
        <v>102.745379263819</v>
      </c>
      <c r="T101" s="84">
        <v>113.756286197823</v>
      </c>
      <c r="U101" s="84">
        <v>6.5436109300947898</v>
      </c>
      <c r="V101" s="84">
        <v>1004.46481568372</v>
      </c>
      <c r="W101" s="84">
        <v>20.152704865796899</v>
      </c>
      <c r="X101" s="84">
        <v>33.923433451575598</v>
      </c>
      <c r="Y101" s="84">
        <v>55.251596899840301</v>
      </c>
      <c r="Z101" s="84">
        <v>4.5976437822187197</v>
      </c>
      <c r="AA101" s="84">
        <v>339.99543835393803</v>
      </c>
      <c r="AB101" s="84">
        <v>104.398514933</v>
      </c>
      <c r="AC101" s="84">
        <v>341.02320756876799</v>
      </c>
      <c r="AD101" s="84">
        <v>205.231203478423</v>
      </c>
      <c r="AE101" s="84">
        <v>706.92524658963202</v>
      </c>
      <c r="AF101" s="84">
        <v>337.22651042548898</v>
      </c>
      <c r="AG101" s="84">
        <v>34.600328490976501</v>
      </c>
      <c r="AH101" s="84">
        <v>33.814735738799598</v>
      </c>
      <c r="AI101" s="84">
        <f t="shared" si="1"/>
        <v>7728.488627442136</v>
      </c>
    </row>
    <row r="102" spans="1:35">
      <c r="A102" s="22" t="s">
        <v>98</v>
      </c>
      <c r="B102" s="22" t="s">
        <v>99</v>
      </c>
      <c r="C102" s="22">
        <v>1990</v>
      </c>
      <c r="D102" s="22" t="s">
        <v>87</v>
      </c>
      <c r="E102" s="84">
        <v>0</v>
      </c>
      <c r="F102" s="84">
        <v>0</v>
      </c>
      <c r="G102" s="84">
        <v>0</v>
      </c>
      <c r="H102" s="84">
        <v>0</v>
      </c>
      <c r="I102" s="84">
        <v>0</v>
      </c>
      <c r="J102" s="84">
        <v>0</v>
      </c>
      <c r="K102" s="84">
        <v>0.61936594999997396</v>
      </c>
      <c r="L102" s="84">
        <v>0.38576680942500702</v>
      </c>
      <c r="M102" s="84">
        <v>0</v>
      </c>
      <c r="N102" s="84">
        <v>0</v>
      </c>
      <c r="O102" s="84">
        <v>0</v>
      </c>
      <c r="P102" s="84">
        <v>1.8168599999999899</v>
      </c>
      <c r="Q102" s="84">
        <v>2.86114534361286</v>
      </c>
      <c r="R102" s="84">
        <v>0</v>
      </c>
      <c r="S102" s="84">
        <v>0</v>
      </c>
      <c r="T102" s="84">
        <v>0</v>
      </c>
      <c r="U102" s="84">
        <v>0</v>
      </c>
      <c r="V102" s="84">
        <v>0</v>
      </c>
      <c r="W102" s="84">
        <v>0</v>
      </c>
      <c r="X102" s="84">
        <v>0</v>
      </c>
      <c r="Y102" s="84">
        <v>0</v>
      </c>
      <c r="Z102" s="84">
        <v>0</v>
      </c>
      <c r="AA102" s="84">
        <v>0.17017446458319799</v>
      </c>
      <c r="AB102" s="84">
        <v>0</v>
      </c>
      <c r="AC102" s="84">
        <v>0</v>
      </c>
      <c r="AD102" s="84">
        <v>0</v>
      </c>
      <c r="AE102" s="84">
        <v>0</v>
      </c>
      <c r="AF102" s="84">
        <v>0</v>
      </c>
      <c r="AG102" s="84">
        <v>0</v>
      </c>
      <c r="AH102" s="84">
        <v>0</v>
      </c>
      <c r="AI102" s="84">
        <f t="shared" si="1"/>
        <v>5.8533125676210283</v>
      </c>
    </row>
    <row r="103" spans="1:35">
      <c r="A103" s="22" t="s">
        <v>98</v>
      </c>
      <c r="B103" s="22" t="s">
        <v>99</v>
      </c>
      <c r="C103" s="22">
        <v>2010</v>
      </c>
      <c r="D103" s="22" t="s">
        <v>87</v>
      </c>
      <c r="E103" s="84">
        <v>0</v>
      </c>
      <c r="F103" s="84">
        <v>0</v>
      </c>
      <c r="G103" s="84">
        <v>0</v>
      </c>
      <c r="H103" s="84">
        <v>0</v>
      </c>
      <c r="I103" s="84">
        <v>0</v>
      </c>
      <c r="J103" s="84">
        <v>0</v>
      </c>
      <c r="K103" s="84">
        <v>1.32003654999971</v>
      </c>
      <c r="L103" s="84">
        <v>0.71534454064078501</v>
      </c>
      <c r="M103" s="84">
        <v>0</v>
      </c>
      <c r="N103" s="84">
        <v>0</v>
      </c>
      <c r="O103" s="84">
        <v>0</v>
      </c>
      <c r="P103" s="84">
        <v>0.76451000000000102</v>
      </c>
      <c r="Q103" s="84">
        <v>2.4153770618166801</v>
      </c>
      <c r="R103" s="84">
        <v>0</v>
      </c>
      <c r="S103" s="84">
        <v>0</v>
      </c>
      <c r="T103" s="84">
        <v>0</v>
      </c>
      <c r="U103" s="84">
        <v>0</v>
      </c>
      <c r="V103" s="84">
        <v>0</v>
      </c>
      <c r="W103" s="84">
        <v>0</v>
      </c>
      <c r="X103" s="84">
        <v>0</v>
      </c>
      <c r="Y103" s="84">
        <v>0</v>
      </c>
      <c r="Z103" s="84">
        <v>0</v>
      </c>
      <c r="AA103" s="84">
        <v>0.335752922177392</v>
      </c>
      <c r="AB103" s="84">
        <v>0</v>
      </c>
      <c r="AC103" s="84">
        <v>0</v>
      </c>
      <c r="AD103" s="84">
        <v>0</v>
      </c>
      <c r="AE103" s="84">
        <v>0</v>
      </c>
      <c r="AF103" s="84">
        <v>0</v>
      </c>
      <c r="AG103" s="84">
        <v>0</v>
      </c>
      <c r="AH103" s="84">
        <v>0</v>
      </c>
      <c r="AI103" s="84">
        <f t="shared" si="1"/>
        <v>5.5510210746345674</v>
      </c>
    </row>
    <row r="104" spans="1:35">
      <c r="A104" s="22" t="s">
        <v>98</v>
      </c>
      <c r="B104" s="22" t="s">
        <v>99</v>
      </c>
      <c r="C104" s="22">
        <v>2015</v>
      </c>
      <c r="D104" s="22" t="s">
        <v>87</v>
      </c>
      <c r="E104" s="84">
        <v>0</v>
      </c>
      <c r="F104" s="84">
        <v>0</v>
      </c>
      <c r="G104" s="84">
        <v>0</v>
      </c>
      <c r="H104" s="84">
        <v>0</v>
      </c>
      <c r="I104" s="84">
        <v>0</v>
      </c>
      <c r="J104" s="84">
        <v>0</v>
      </c>
      <c r="K104" s="84">
        <v>1.27408555000011</v>
      </c>
      <c r="L104" s="84">
        <v>0.66047278892398298</v>
      </c>
      <c r="M104" s="84">
        <v>0</v>
      </c>
      <c r="N104" s="84">
        <v>0</v>
      </c>
      <c r="O104" s="84">
        <v>0</v>
      </c>
      <c r="P104" s="84">
        <v>0.95471000000000605</v>
      </c>
      <c r="Q104" s="84">
        <v>2.5265023481296098</v>
      </c>
      <c r="R104" s="84">
        <v>0</v>
      </c>
      <c r="S104" s="84">
        <v>0</v>
      </c>
      <c r="T104" s="84">
        <v>0</v>
      </c>
      <c r="U104" s="84">
        <v>0</v>
      </c>
      <c r="V104" s="84">
        <v>0</v>
      </c>
      <c r="W104" s="84">
        <v>0</v>
      </c>
      <c r="X104" s="84">
        <v>0</v>
      </c>
      <c r="Y104" s="84">
        <v>0</v>
      </c>
      <c r="Z104" s="84">
        <v>0</v>
      </c>
      <c r="AA104" s="84">
        <v>0.34235124629157099</v>
      </c>
      <c r="AB104" s="84">
        <v>0</v>
      </c>
      <c r="AC104" s="84">
        <v>0</v>
      </c>
      <c r="AD104" s="84">
        <v>0</v>
      </c>
      <c r="AE104" s="84">
        <v>0</v>
      </c>
      <c r="AF104" s="84">
        <v>0</v>
      </c>
      <c r="AG104" s="84">
        <v>0</v>
      </c>
      <c r="AH104" s="84">
        <v>0</v>
      </c>
      <c r="AI104" s="84">
        <f t="shared" si="1"/>
        <v>5.7581219333452793</v>
      </c>
    </row>
    <row r="105" spans="1:35">
      <c r="A105" s="22" t="s">
        <v>98</v>
      </c>
      <c r="B105" s="22" t="s">
        <v>99</v>
      </c>
      <c r="C105" s="22">
        <v>2019</v>
      </c>
      <c r="D105" s="22" t="s">
        <v>87</v>
      </c>
      <c r="E105" s="84">
        <v>0</v>
      </c>
      <c r="F105" s="84">
        <v>0</v>
      </c>
      <c r="G105" s="84">
        <v>0</v>
      </c>
      <c r="H105" s="84">
        <v>0</v>
      </c>
      <c r="I105" s="84">
        <v>0</v>
      </c>
      <c r="J105" s="84">
        <v>0</v>
      </c>
      <c r="K105" s="84">
        <v>1.0926718499999899</v>
      </c>
      <c r="L105" s="84">
        <v>0.63567812447519101</v>
      </c>
      <c r="M105" s="84">
        <v>0</v>
      </c>
      <c r="N105" s="84">
        <v>0</v>
      </c>
      <c r="O105" s="84">
        <v>0</v>
      </c>
      <c r="P105" s="84">
        <v>1.0194399999999999</v>
      </c>
      <c r="Q105" s="84">
        <v>2.5376905181196898</v>
      </c>
      <c r="R105" s="84">
        <v>0</v>
      </c>
      <c r="S105" s="84">
        <v>0</v>
      </c>
      <c r="T105" s="84">
        <v>0</v>
      </c>
      <c r="U105" s="84">
        <v>0</v>
      </c>
      <c r="V105" s="84">
        <v>0</v>
      </c>
      <c r="W105" s="84">
        <v>0</v>
      </c>
      <c r="X105" s="84">
        <v>0</v>
      </c>
      <c r="Y105" s="84">
        <v>0</v>
      </c>
      <c r="Z105" s="84">
        <v>0</v>
      </c>
      <c r="AA105" s="84">
        <v>0.35007786302577398</v>
      </c>
      <c r="AB105" s="84">
        <v>0</v>
      </c>
      <c r="AC105" s="84">
        <v>0</v>
      </c>
      <c r="AD105" s="84">
        <v>0</v>
      </c>
      <c r="AE105" s="84">
        <v>0</v>
      </c>
      <c r="AF105" s="84">
        <v>0</v>
      </c>
      <c r="AG105" s="84">
        <v>0</v>
      </c>
      <c r="AH105" s="84">
        <v>0</v>
      </c>
      <c r="AI105" s="84">
        <f t="shared" si="1"/>
        <v>5.6355583556206446</v>
      </c>
    </row>
    <row r="106" spans="1:35">
      <c r="A106" s="22" t="s">
        <v>98</v>
      </c>
      <c r="B106" s="22" t="s">
        <v>99</v>
      </c>
      <c r="C106" s="22">
        <v>2021</v>
      </c>
      <c r="D106" s="22" t="s">
        <v>87</v>
      </c>
      <c r="E106" s="84">
        <v>0</v>
      </c>
      <c r="F106" s="84">
        <v>0</v>
      </c>
      <c r="G106" s="84">
        <v>0</v>
      </c>
      <c r="H106" s="84">
        <v>0</v>
      </c>
      <c r="I106" s="84">
        <v>0</v>
      </c>
      <c r="J106" s="84">
        <v>0</v>
      </c>
      <c r="K106" s="84">
        <v>1.2818023499999101</v>
      </c>
      <c r="L106" s="84">
        <v>0.66525988840720596</v>
      </c>
      <c r="M106" s="84">
        <v>0</v>
      </c>
      <c r="N106" s="84">
        <v>0</v>
      </c>
      <c r="O106" s="84">
        <v>0</v>
      </c>
      <c r="P106" s="84">
        <v>0.94508000000001902</v>
      </c>
      <c r="Q106" s="84">
        <v>2.2775470832471001</v>
      </c>
      <c r="R106" s="84">
        <v>0</v>
      </c>
      <c r="S106" s="84">
        <v>0</v>
      </c>
      <c r="T106" s="84">
        <v>0</v>
      </c>
      <c r="U106" s="84">
        <v>0</v>
      </c>
      <c r="V106" s="84">
        <v>0</v>
      </c>
      <c r="W106" s="84">
        <v>0</v>
      </c>
      <c r="X106" s="84">
        <v>0</v>
      </c>
      <c r="Y106" s="84">
        <v>0</v>
      </c>
      <c r="Z106" s="84">
        <v>0</v>
      </c>
      <c r="AA106" s="84">
        <v>0.35399249148900902</v>
      </c>
      <c r="AB106" s="84">
        <v>0</v>
      </c>
      <c r="AC106" s="84">
        <v>0</v>
      </c>
      <c r="AD106" s="84">
        <v>0</v>
      </c>
      <c r="AE106" s="84">
        <v>0</v>
      </c>
      <c r="AF106" s="84">
        <v>0</v>
      </c>
      <c r="AG106" s="84">
        <v>0</v>
      </c>
      <c r="AH106" s="84">
        <v>0</v>
      </c>
      <c r="AI106" s="84">
        <f t="shared" si="1"/>
        <v>5.523681813143245</v>
      </c>
    </row>
    <row r="107" spans="1:35">
      <c r="A107" s="22" t="s">
        <v>100</v>
      </c>
      <c r="B107" s="22" t="s">
        <v>101</v>
      </c>
      <c r="C107" s="22">
        <v>1990</v>
      </c>
      <c r="D107" s="22" t="s">
        <v>85</v>
      </c>
      <c r="E107" s="84">
        <v>0</v>
      </c>
      <c r="F107" s="84">
        <v>0</v>
      </c>
      <c r="G107" s="84">
        <v>0</v>
      </c>
      <c r="H107" s="84">
        <v>0</v>
      </c>
      <c r="I107" s="84">
        <v>0</v>
      </c>
      <c r="J107" s="84">
        <v>0</v>
      </c>
      <c r="K107" s="84">
        <v>0</v>
      </c>
      <c r="L107" s="84">
        <v>0</v>
      </c>
      <c r="M107" s="84">
        <v>0</v>
      </c>
      <c r="N107" s="84">
        <v>0</v>
      </c>
      <c r="O107" s="84">
        <v>0</v>
      </c>
      <c r="P107" s="84">
        <v>0</v>
      </c>
      <c r="Q107" s="84">
        <v>0</v>
      </c>
      <c r="R107" s="84">
        <v>0</v>
      </c>
      <c r="S107" s="84">
        <v>0</v>
      </c>
      <c r="T107" s="84">
        <v>0</v>
      </c>
      <c r="U107" s="84">
        <v>0</v>
      </c>
      <c r="V107" s="84">
        <v>0</v>
      </c>
      <c r="W107" s="84">
        <v>0</v>
      </c>
      <c r="X107" s="84">
        <v>0</v>
      </c>
      <c r="Y107" s="84">
        <v>0</v>
      </c>
      <c r="Z107" s="84">
        <v>0</v>
      </c>
      <c r="AA107" s="84">
        <v>0</v>
      </c>
      <c r="AB107" s="84">
        <v>0</v>
      </c>
      <c r="AC107" s="84">
        <v>0</v>
      </c>
      <c r="AD107" s="84">
        <v>0</v>
      </c>
      <c r="AE107" s="84">
        <v>0</v>
      </c>
      <c r="AF107" s="84">
        <v>0</v>
      </c>
      <c r="AG107" s="84">
        <v>0</v>
      </c>
      <c r="AH107" s="84">
        <v>0</v>
      </c>
      <c r="AI107" s="84">
        <f t="shared" si="1"/>
        <v>0</v>
      </c>
    </row>
    <row r="108" spans="1:35">
      <c r="A108" s="22" t="s">
        <v>100</v>
      </c>
      <c r="B108" s="22" t="s">
        <v>101</v>
      </c>
      <c r="C108" s="22">
        <v>2010</v>
      </c>
      <c r="D108" s="22" t="s">
        <v>85</v>
      </c>
      <c r="E108" s="84">
        <v>0</v>
      </c>
      <c r="F108" s="84">
        <v>0</v>
      </c>
      <c r="G108" s="84">
        <v>0</v>
      </c>
      <c r="H108" s="84">
        <v>0</v>
      </c>
      <c r="I108" s="84">
        <v>0</v>
      </c>
      <c r="J108" s="84">
        <v>0</v>
      </c>
      <c r="K108" s="84">
        <v>0</v>
      </c>
      <c r="L108" s="84">
        <v>0</v>
      </c>
      <c r="M108" s="84">
        <v>0</v>
      </c>
      <c r="N108" s="84">
        <v>0</v>
      </c>
      <c r="O108" s="84">
        <v>0</v>
      </c>
      <c r="P108" s="84">
        <v>0</v>
      </c>
      <c r="Q108" s="84">
        <v>0</v>
      </c>
      <c r="R108" s="84">
        <v>0</v>
      </c>
      <c r="S108" s="84">
        <v>0</v>
      </c>
      <c r="T108" s="84">
        <v>0</v>
      </c>
      <c r="U108" s="84">
        <v>0</v>
      </c>
      <c r="V108" s="84">
        <v>0</v>
      </c>
      <c r="W108" s="84">
        <v>0</v>
      </c>
      <c r="X108" s="84">
        <v>0</v>
      </c>
      <c r="Y108" s="84">
        <v>0</v>
      </c>
      <c r="Z108" s="84">
        <v>0</v>
      </c>
      <c r="AA108" s="84">
        <v>0</v>
      </c>
      <c r="AB108" s="84">
        <v>0</v>
      </c>
      <c r="AC108" s="84">
        <v>0</v>
      </c>
      <c r="AD108" s="84">
        <v>0</v>
      </c>
      <c r="AE108" s="84">
        <v>0</v>
      </c>
      <c r="AF108" s="84">
        <v>0</v>
      </c>
      <c r="AG108" s="84">
        <v>0</v>
      </c>
      <c r="AH108" s="84">
        <v>0</v>
      </c>
      <c r="AI108" s="84">
        <f t="shared" si="1"/>
        <v>0</v>
      </c>
    </row>
    <row r="109" spans="1:35">
      <c r="A109" s="22" t="s">
        <v>100</v>
      </c>
      <c r="B109" s="22" t="s">
        <v>101</v>
      </c>
      <c r="C109" s="22">
        <v>2015</v>
      </c>
      <c r="D109" s="22" t="s">
        <v>85</v>
      </c>
      <c r="E109" s="84">
        <v>0</v>
      </c>
      <c r="F109" s="84">
        <v>0</v>
      </c>
      <c r="G109" s="84">
        <v>0</v>
      </c>
      <c r="H109" s="84">
        <v>0</v>
      </c>
      <c r="I109" s="84">
        <v>0</v>
      </c>
      <c r="J109" s="84">
        <v>0</v>
      </c>
      <c r="K109" s="84">
        <v>0</v>
      </c>
      <c r="L109" s="84">
        <v>0</v>
      </c>
      <c r="M109" s="84">
        <v>0</v>
      </c>
      <c r="N109" s="84">
        <v>0</v>
      </c>
      <c r="O109" s="84">
        <v>0</v>
      </c>
      <c r="P109" s="84">
        <v>0</v>
      </c>
      <c r="Q109" s="84">
        <v>0</v>
      </c>
      <c r="R109" s="84">
        <v>0</v>
      </c>
      <c r="S109" s="84">
        <v>0</v>
      </c>
      <c r="T109" s="84">
        <v>0</v>
      </c>
      <c r="U109" s="84">
        <v>0</v>
      </c>
      <c r="V109" s="84">
        <v>0</v>
      </c>
      <c r="W109" s="84">
        <v>0</v>
      </c>
      <c r="X109" s="84">
        <v>0</v>
      </c>
      <c r="Y109" s="84">
        <v>0</v>
      </c>
      <c r="Z109" s="84">
        <v>0</v>
      </c>
      <c r="AA109" s="84">
        <v>0</v>
      </c>
      <c r="AB109" s="84">
        <v>0</v>
      </c>
      <c r="AC109" s="84">
        <v>0</v>
      </c>
      <c r="AD109" s="84">
        <v>0</v>
      </c>
      <c r="AE109" s="84">
        <v>0</v>
      </c>
      <c r="AF109" s="84">
        <v>0</v>
      </c>
      <c r="AG109" s="84">
        <v>0</v>
      </c>
      <c r="AH109" s="84">
        <v>0</v>
      </c>
      <c r="AI109" s="84">
        <f t="shared" si="1"/>
        <v>0</v>
      </c>
    </row>
    <row r="110" spans="1:35">
      <c r="A110" s="22" t="s">
        <v>100</v>
      </c>
      <c r="B110" s="22" t="s">
        <v>101</v>
      </c>
      <c r="C110" s="22">
        <v>2019</v>
      </c>
      <c r="D110" s="22" t="s">
        <v>85</v>
      </c>
      <c r="E110" s="84">
        <v>0</v>
      </c>
      <c r="F110" s="84">
        <v>0</v>
      </c>
      <c r="G110" s="84">
        <v>0</v>
      </c>
      <c r="H110" s="84">
        <v>0</v>
      </c>
      <c r="I110" s="84">
        <v>0</v>
      </c>
      <c r="J110" s="84">
        <v>0</v>
      </c>
      <c r="K110" s="84">
        <v>0</v>
      </c>
      <c r="L110" s="84">
        <v>0</v>
      </c>
      <c r="M110" s="84">
        <v>0</v>
      </c>
      <c r="N110" s="84">
        <v>0</v>
      </c>
      <c r="O110" s="84">
        <v>0</v>
      </c>
      <c r="P110" s="84">
        <v>0</v>
      </c>
      <c r="Q110" s="84">
        <v>0</v>
      </c>
      <c r="R110" s="84">
        <v>0</v>
      </c>
      <c r="S110" s="84">
        <v>0</v>
      </c>
      <c r="T110" s="84">
        <v>0</v>
      </c>
      <c r="U110" s="84">
        <v>0</v>
      </c>
      <c r="V110" s="84">
        <v>0</v>
      </c>
      <c r="W110" s="84">
        <v>0</v>
      </c>
      <c r="X110" s="84">
        <v>0</v>
      </c>
      <c r="Y110" s="84">
        <v>0</v>
      </c>
      <c r="Z110" s="84">
        <v>0</v>
      </c>
      <c r="AA110" s="84">
        <v>0</v>
      </c>
      <c r="AB110" s="84">
        <v>0</v>
      </c>
      <c r="AC110" s="84">
        <v>0</v>
      </c>
      <c r="AD110" s="84">
        <v>0</v>
      </c>
      <c r="AE110" s="84">
        <v>0</v>
      </c>
      <c r="AF110" s="84">
        <v>0</v>
      </c>
      <c r="AG110" s="84">
        <v>0</v>
      </c>
      <c r="AH110" s="84">
        <v>0</v>
      </c>
      <c r="AI110" s="84">
        <f t="shared" si="1"/>
        <v>0</v>
      </c>
    </row>
    <row r="111" spans="1:35">
      <c r="A111" s="22" t="s">
        <v>100</v>
      </c>
      <c r="B111" s="22" t="s">
        <v>101</v>
      </c>
      <c r="C111" s="22">
        <v>2021</v>
      </c>
      <c r="D111" s="22" t="s">
        <v>85</v>
      </c>
      <c r="E111" s="84">
        <v>0</v>
      </c>
      <c r="F111" s="84">
        <v>0</v>
      </c>
      <c r="G111" s="84">
        <v>0</v>
      </c>
      <c r="H111" s="84">
        <v>0</v>
      </c>
      <c r="I111" s="84">
        <v>0</v>
      </c>
      <c r="J111" s="84">
        <v>0</v>
      </c>
      <c r="K111" s="84">
        <v>0</v>
      </c>
      <c r="L111" s="84">
        <v>0</v>
      </c>
      <c r="M111" s="84">
        <v>0</v>
      </c>
      <c r="N111" s="84">
        <v>0</v>
      </c>
      <c r="O111" s="84">
        <v>0</v>
      </c>
      <c r="P111" s="84">
        <v>0</v>
      </c>
      <c r="Q111" s="84">
        <v>0</v>
      </c>
      <c r="R111" s="84">
        <v>0</v>
      </c>
      <c r="S111" s="84">
        <v>0</v>
      </c>
      <c r="T111" s="84">
        <v>0</v>
      </c>
      <c r="U111" s="84">
        <v>0</v>
      </c>
      <c r="V111" s="84">
        <v>0</v>
      </c>
      <c r="W111" s="84">
        <v>0</v>
      </c>
      <c r="X111" s="84">
        <v>0</v>
      </c>
      <c r="Y111" s="84">
        <v>0</v>
      </c>
      <c r="Z111" s="84">
        <v>0</v>
      </c>
      <c r="AA111" s="84">
        <v>0</v>
      </c>
      <c r="AB111" s="84">
        <v>0</v>
      </c>
      <c r="AC111" s="84">
        <v>0</v>
      </c>
      <c r="AD111" s="84">
        <v>0</v>
      </c>
      <c r="AE111" s="84">
        <v>0</v>
      </c>
      <c r="AF111" s="84">
        <v>0</v>
      </c>
      <c r="AG111" s="84">
        <v>0</v>
      </c>
      <c r="AH111" s="84">
        <v>0</v>
      </c>
      <c r="AI111" s="84">
        <f t="shared" si="1"/>
        <v>0</v>
      </c>
    </row>
    <row r="112" spans="1:35">
      <c r="A112" s="22" t="s">
        <v>100</v>
      </c>
      <c r="B112" s="22" t="s">
        <v>101</v>
      </c>
      <c r="C112" s="22">
        <v>1990</v>
      </c>
      <c r="D112" s="22" t="s">
        <v>86</v>
      </c>
      <c r="E112" s="84">
        <v>133.05182099999999</v>
      </c>
      <c r="F112" s="84">
        <v>0</v>
      </c>
      <c r="G112" s="84">
        <v>0</v>
      </c>
      <c r="H112" s="84">
        <v>0</v>
      </c>
      <c r="I112" s="84">
        <v>0</v>
      </c>
      <c r="J112" s="84">
        <v>0</v>
      </c>
      <c r="K112" s="84">
        <v>290.78050000000002</v>
      </c>
      <c r="L112" s="84">
        <v>0</v>
      </c>
      <c r="M112" s="84">
        <v>0</v>
      </c>
      <c r="N112" s="84">
        <v>0</v>
      </c>
      <c r="O112" s="84">
        <v>0</v>
      </c>
      <c r="P112" s="84">
        <v>0</v>
      </c>
      <c r="Q112" s="84">
        <v>280.08076466721701</v>
      </c>
      <c r="R112" s="84">
        <v>0</v>
      </c>
      <c r="S112" s="84">
        <v>0</v>
      </c>
      <c r="T112" s="84">
        <v>1.0746899999999999</v>
      </c>
      <c r="U112" s="84">
        <v>0</v>
      </c>
      <c r="V112" s="84">
        <v>0</v>
      </c>
      <c r="W112" s="84">
        <v>0</v>
      </c>
      <c r="X112" s="84">
        <v>0</v>
      </c>
      <c r="Y112" s="84">
        <v>0</v>
      </c>
      <c r="Z112" s="84">
        <v>0</v>
      </c>
      <c r="AA112" s="84">
        <v>23.4708529962199</v>
      </c>
      <c r="AB112" s="84">
        <v>0</v>
      </c>
      <c r="AC112" s="84">
        <v>0</v>
      </c>
      <c r="AD112" s="84">
        <v>0</v>
      </c>
      <c r="AE112" s="84">
        <v>0</v>
      </c>
      <c r="AF112" s="84">
        <v>0</v>
      </c>
      <c r="AG112" s="84">
        <v>0</v>
      </c>
      <c r="AH112" s="84">
        <v>0</v>
      </c>
      <c r="AI112" s="84">
        <f t="shared" si="1"/>
        <v>728.45862866343703</v>
      </c>
    </row>
    <row r="113" spans="1:35">
      <c r="A113" s="22" t="s">
        <v>100</v>
      </c>
      <c r="B113" s="22" t="s">
        <v>101</v>
      </c>
      <c r="C113" s="22">
        <v>2010</v>
      </c>
      <c r="D113" s="22" t="s">
        <v>86</v>
      </c>
      <c r="E113" s="84">
        <v>143.654495</v>
      </c>
      <c r="F113" s="84">
        <v>12.010168132</v>
      </c>
      <c r="G113" s="84">
        <v>0</v>
      </c>
      <c r="H113" s="84">
        <v>28.904891195556001</v>
      </c>
      <c r="I113" s="84">
        <v>0</v>
      </c>
      <c r="J113" s="84">
        <v>38.280450924999997</v>
      </c>
      <c r="K113" s="84">
        <v>275.4675558536</v>
      </c>
      <c r="L113" s="84">
        <v>11.143800000000001</v>
      </c>
      <c r="M113" s="84">
        <v>0</v>
      </c>
      <c r="N113" s="84">
        <v>0</v>
      </c>
      <c r="O113" s="84">
        <v>0</v>
      </c>
      <c r="P113" s="84">
        <v>0</v>
      </c>
      <c r="Q113" s="84">
        <v>199.899972048</v>
      </c>
      <c r="R113" s="84">
        <v>0</v>
      </c>
      <c r="S113" s="84">
        <v>0</v>
      </c>
      <c r="T113" s="84">
        <v>91.583317857142802</v>
      </c>
      <c r="U113" s="84">
        <v>0</v>
      </c>
      <c r="V113" s="84">
        <v>206.470963450667</v>
      </c>
      <c r="W113" s="84">
        <v>4.8879999999999999</v>
      </c>
      <c r="X113" s="84">
        <v>0</v>
      </c>
      <c r="Y113" s="84">
        <v>0</v>
      </c>
      <c r="Z113" s="84">
        <v>9.4E-2</v>
      </c>
      <c r="AA113" s="84">
        <v>195.089816169741</v>
      </c>
      <c r="AB113" s="84">
        <v>1.175</v>
      </c>
      <c r="AC113" s="84">
        <v>0</v>
      </c>
      <c r="AD113" s="84">
        <v>0</v>
      </c>
      <c r="AE113" s="84">
        <v>0</v>
      </c>
      <c r="AF113" s="84">
        <v>0</v>
      </c>
      <c r="AG113" s="84">
        <v>0</v>
      </c>
      <c r="AH113" s="84">
        <v>0</v>
      </c>
      <c r="AI113" s="84">
        <f t="shared" si="1"/>
        <v>1178.5825394361509</v>
      </c>
    </row>
    <row r="114" spans="1:35">
      <c r="A114" s="22" t="s">
        <v>100</v>
      </c>
      <c r="B114" s="22" t="s">
        <v>101</v>
      </c>
      <c r="C114" s="22">
        <v>2015</v>
      </c>
      <c r="D114" s="22" t="s">
        <v>86</v>
      </c>
      <c r="E114" s="84">
        <v>102.425223</v>
      </c>
      <c r="F114" s="84">
        <v>12.58855552</v>
      </c>
      <c r="G114" s="84">
        <v>0</v>
      </c>
      <c r="H114" s="84">
        <v>18.326686513068001</v>
      </c>
      <c r="I114" s="84">
        <v>0</v>
      </c>
      <c r="J114" s="84">
        <v>5.1987691700000003</v>
      </c>
      <c r="K114" s="84">
        <v>172.58212499999999</v>
      </c>
      <c r="L114" s="84">
        <v>0</v>
      </c>
      <c r="M114" s="84">
        <v>0</v>
      </c>
      <c r="N114" s="84">
        <v>0</v>
      </c>
      <c r="O114" s="84">
        <v>0</v>
      </c>
      <c r="P114" s="84">
        <v>0</v>
      </c>
      <c r="Q114" s="84">
        <v>74.423726629122598</v>
      </c>
      <c r="R114" s="84">
        <v>0</v>
      </c>
      <c r="S114" s="84">
        <v>0</v>
      </c>
      <c r="T114" s="84">
        <v>60.250257287157403</v>
      </c>
      <c r="U114" s="84">
        <v>0</v>
      </c>
      <c r="V114" s="84">
        <v>246.06363011733299</v>
      </c>
      <c r="W114" s="84">
        <v>4.8233560000000004</v>
      </c>
      <c r="X114" s="84">
        <v>0</v>
      </c>
      <c r="Y114" s="84">
        <v>0</v>
      </c>
      <c r="Z114" s="84">
        <v>0.29239999999999999</v>
      </c>
      <c r="AA114" s="84">
        <v>84.981215200818895</v>
      </c>
      <c r="AB114" s="84">
        <v>1.175</v>
      </c>
      <c r="AC114" s="84">
        <v>0</v>
      </c>
      <c r="AD114" s="84">
        <v>0</v>
      </c>
      <c r="AE114" s="84">
        <v>0</v>
      </c>
      <c r="AF114" s="84">
        <v>0</v>
      </c>
      <c r="AG114" s="84">
        <v>0</v>
      </c>
      <c r="AH114" s="84">
        <v>0</v>
      </c>
      <c r="AI114" s="84">
        <f t="shared" si="1"/>
        <v>763.62925792443195</v>
      </c>
    </row>
    <row r="115" spans="1:35">
      <c r="A115" s="22" t="s">
        <v>100</v>
      </c>
      <c r="B115" s="22" t="s">
        <v>101</v>
      </c>
      <c r="C115" s="22">
        <v>2019</v>
      </c>
      <c r="D115" s="22" t="s">
        <v>86</v>
      </c>
      <c r="E115" s="84">
        <v>85.133189999999999</v>
      </c>
      <c r="F115" s="84">
        <v>58.306095200000001</v>
      </c>
      <c r="G115" s="84">
        <v>0</v>
      </c>
      <c r="H115" s="84">
        <v>20.457824973771</v>
      </c>
      <c r="I115" s="84">
        <v>0</v>
      </c>
      <c r="J115" s="84">
        <v>5.3531477799999996</v>
      </c>
      <c r="K115" s="84">
        <v>171.94213300000001</v>
      </c>
      <c r="L115" s="84">
        <v>0.98787000000000003</v>
      </c>
      <c r="M115" s="84">
        <v>0</v>
      </c>
      <c r="N115" s="84">
        <v>0</v>
      </c>
      <c r="O115" s="84">
        <v>0</v>
      </c>
      <c r="P115" s="84">
        <v>0</v>
      </c>
      <c r="Q115" s="84">
        <v>91.972914974487693</v>
      </c>
      <c r="R115" s="84">
        <v>0</v>
      </c>
      <c r="S115" s="84">
        <v>0</v>
      </c>
      <c r="T115" s="84">
        <v>96.072402842712805</v>
      </c>
      <c r="U115" s="84">
        <v>0</v>
      </c>
      <c r="V115" s="84">
        <v>235.29230166666699</v>
      </c>
      <c r="W115" s="84">
        <v>4.5942499999999997</v>
      </c>
      <c r="X115" s="84">
        <v>0</v>
      </c>
      <c r="Y115" s="84">
        <v>0</v>
      </c>
      <c r="Z115" s="84">
        <v>5.2080000000000001E-2</v>
      </c>
      <c r="AA115" s="84">
        <v>43.690814471561197</v>
      </c>
      <c r="AB115" s="84">
        <v>1.175</v>
      </c>
      <c r="AC115" s="84">
        <v>0</v>
      </c>
      <c r="AD115" s="84">
        <v>0</v>
      </c>
      <c r="AE115" s="84">
        <v>0</v>
      </c>
      <c r="AF115" s="84">
        <v>0</v>
      </c>
      <c r="AG115" s="84">
        <v>0</v>
      </c>
      <c r="AH115" s="84">
        <v>0</v>
      </c>
      <c r="AI115" s="84">
        <f t="shared" si="1"/>
        <v>793.39719993542872</v>
      </c>
    </row>
    <row r="116" spans="1:35">
      <c r="A116" s="22" t="s">
        <v>100</v>
      </c>
      <c r="B116" s="22" t="s">
        <v>101</v>
      </c>
      <c r="C116" s="22">
        <v>2021</v>
      </c>
      <c r="D116" s="22" t="s">
        <v>86</v>
      </c>
      <c r="E116" s="84">
        <v>53.283909999999999</v>
      </c>
      <c r="F116" s="84">
        <v>42.414763000000001</v>
      </c>
      <c r="G116" s="84">
        <v>0</v>
      </c>
      <c r="H116" s="84">
        <v>8.2928734246799998</v>
      </c>
      <c r="I116" s="84">
        <v>0</v>
      </c>
      <c r="J116" s="84">
        <v>35.080719539999997</v>
      </c>
      <c r="K116" s="84">
        <v>188.00505799999999</v>
      </c>
      <c r="L116" s="84">
        <v>0</v>
      </c>
      <c r="M116" s="84">
        <v>0</v>
      </c>
      <c r="N116" s="84">
        <v>0</v>
      </c>
      <c r="O116" s="84">
        <v>0</v>
      </c>
      <c r="P116" s="84">
        <v>0</v>
      </c>
      <c r="Q116" s="84">
        <v>79.871187458350803</v>
      </c>
      <c r="R116" s="84">
        <v>0</v>
      </c>
      <c r="S116" s="84">
        <v>0</v>
      </c>
      <c r="T116" s="84">
        <v>90.491969999999995</v>
      </c>
      <c r="U116" s="84">
        <v>0</v>
      </c>
      <c r="V116" s="84">
        <v>223.19333333333299</v>
      </c>
      <c r="W116" s="84">
        <v>12.125999999999999</v>
      </c>
      <c r="X116" s="84">
        <v>0</v>
      </c>
      <c r="Y116" s="84">
        <v>0</v>
      </c>
      <c r="Z116" s="84">
        <v>0</v>
      </c>
      <c r="AA116" s="84">
        <v>43.206953280411703</v>
      </c>
      <c r="AB116" s="84">
        <v>1.175</v>
      </c>
      <c r="AC116" s="84">
        <v>0</v>
      </c>
      <c r="AD116" s="84">
        <v>0</v>
      </c>
      <c r="AE116" s="84">
        <v>0</v>
      </c>
      <c r="AF116" s="84">
        <v>0</v>
      </c>
      <c r="AG116" s="84">
        <v>0</v>
      </c>
      <c r="AH116" s="84">
        <v>0</v>
      </c>
      <c r="AI116" s="84">
        <f t="shared" si="1"/>
        <v>767.67389461209541</v>
      </c>
    </row>
    <row r="117" spans="1:35">
      <c r="A117" s="22" t="s">
        <v>100</v>
      </c>
      <c r="B117" s="22" t="s">
        <v>101</v>
      </c>
      <c r="C117" s="22">
        <v>1990</v>
      </c>
      <c r="D117" s="22" t="s">
        <v>87</v>
      </c>
      <c r="E117" s="84">
        <v>133.05182099999999</v>
      </c>
      <c r="F117" s="84">
        <v>0</v>
      </c>
      <c r="G117" s="84">
        <v>0</v>
      </c>
      <c r="H117" s="84">
        <v>0</v>
      </c>
      <c r="I117" s="84">
        <v>0</v>
      </c>
      <c r="J117" s="84">
        <v>0</v>
      </c>
      <c r="K117" s="84">
        <v>290.78050000000002</v>
      </c>
      <c r="L117" s="84">
        <v>0</v>
      </c>
      <c r="M117" s="84">
        <v>0</v>
      </c>
      <c r="N117" s="84">
        <v>0</v>
      </c>
      <c r="O117" s="84">
        <v>0</v>
      </c>
      <c r="P117" s="84">
        <v>0</v>
      </c>
      <c r="Q117" s="84">
        <v>280.08076466721701</v>
      </c>
      <c r="R117" s="84">
        <v>0</v>
      </c>
      <c r="S117" s="84">
        <v>0</v>
      </c>
      <c r="T117" s="84">
        <v>1.0746899999999999</v>
      </c>
      <c r="U117" s="84">
        <v>0</v>
      </c>
      <c r="V117" s="84">
        <v>0</v>
      </c>
      <c r="W117" s="84">
        <v>0</v>
      </c>
      <c r="X117" s="84">
        <v>0</v>
      </c>
      <c r="Y117" s="84">
        <v>0</v>
      </c>
      <c r="Z117" s="84">
        <v>0</v>
      </c>
      <c r="AA117" s="84">
        <v>23.4708529962199</v>
      </c>
      <c r="AB117" s="84">
        <v>0</v>
      </c>
      <c r="AC117" s="84">
        <v>0</v>
      </c>
      <c r="AD117" s="84">
        <v>0</v>
      </c>
      <c r="AE117" s="84">
        <v>0</v>
      </c>
      <c r="AF117" s="84">
        <v>0</v>
      </c>
      <c r="AG117" s="84">
        <v>0</v>
      </c>
      <c r="AH117" s="84">
        <v>0</v>
      </c>
      <c r="AI117" s="84">
        <f t="shared" si="1"/>
        <v>728.45862866343703</v>
      </c>
    </row>
    <row r="118" spans="1:35">
      <c r="A118" s="22" t="s">
        <v>100</v>
      </c>
      <c r="B118" s="22" t="s">
        <v>101</v>
      </c>
      <c r="C118" s="22">
        <v>2010</v>
      </c>
      <c r="D118" s="22" t="s">
        <v>87</v>
      </c>
      <c r="E118" s="84">
        <v>143.654495</v>
      </c>
      <c r="F118" s="84">
        <v>12.010168132</v>
      </c>
      <c r="G118" s="84">
        <v>0</v>
      </c>
      <c r="H118" s="84">
        <v>28.904891195556001</v>
      </c>
      <c r="I118" s="84">
        <v>0</v>
      </c>
      <c r="J118" s="84">
        <v>38.280450924999997</v>
      </c>
      <c r="K118" s="84">
        <v>275.4675558536</v>
      </c>
      <c r="L118" s="84">
        <v>11.143800000000001</v>
      </c>
      <c r="M118" s="84">
        <v>0</v>
      </c>
      <c r="N118" s="84">
        <v>0</v>
      </c>
      <c r="O118" s="84">
        <v>0</v>
      </c>
      <c r="P118" s="84">
        <v>0</v>
      </c>
      <c r="Q118" s="84">
        <v>199.899972048</v>
      </c>
      <c r="R118" s="84">
        <v>0</v>
      </c>
      <c r="S118" s="84">
        <v>0</v>
      </c>
      <c r="T118" s="84">
        <v>91.583317857142802</v>
      </c>
      <c r="U118" s="84">
        <v>0</v>
      </c>
      <c r="V118" s="84">
        <v>206.470963450667</v>
      </c>
      <c r="W118" s="84">
        <v>4.8879999999999999</v>
      </c>
      <c r="X118" s="84">
        <v>0</v>
      </c>
      <c r="Y118" s="84">
        <v>0</v>
      </c>
      <c r="Z118" s="84">
        <v>9.4E-2</v>
      </c>
      <c r="AA118" s="84">
        <v>195.089816169741</v>
      </c>
      <c r="AB118" s="84">
        <v>1.175</v>
      </c>
      <c r="AC118" s="84">
        <v>0</v>
      </c>
      <c r="AD118" s="84">
        <v>0</v>
      </c>
      <c r="AE118" s="84">
        <v>0</v>
      </c>
      <c r="AF118" s="84">
        <v>0</v>
      </c>
      <c r="AG118" s="84">
        <v>0</v>
      </c>
      <c r="AH118" s="84">
        <v>0</v>
      </c>
      <c r="AI118" s="84">
        <f t="shared" si="1"/>
        <v>1178.5825394361509</v>
      </c>
    </row>
    <row r="119" spans="1:35">
      <c r="A119" s="22" t="s">
        <v>100</v>
      </c>
      <c r="B119" s="22" t="s">
        <v>101</v>
      </c>
      <c r="C119" s="22">
        <v>2015</v>
      </c>
      <c r="D119" s="22" t="s">
        <v>87</v>
      </c>
      <c r="E119" s="84">
        <v>102.425223</v>
      </c>
      <c r="F119" s="84">
        <v>12.58855552</v>
      </c>
      <c r="G119" s="84">
        <v>0</v>
      </c>
      <c r="H119" s="84">
        <v>18.326686513068001</v>
      </c>
      <c r="I119" s="84">
        <v>0</v>
      </c>
      <c r="J119" s="84">
        <v>5.1987691700000003</v>
      </c>
      <c r="K119" s="84">
        <v>172.58212499999999</v>
      </c>
      <c r="L119" s="84">
        <v>0</v>
      </c>
      <c r="M119" s="84">
        <v>0</v>
      </c>
      <c r="N119" s="84">
        <v>0</v>
      </c>
      <c r="O119" s="84">
        <v>0</v>
      </c>
      <c r="P119" s="84">
        <v>0</v>
      </c>
      <c r="Q119" s="84">
        <v>74.423726629122598</v>
      </c>
      <c r="R119" s="84">
        <v>0</v>
      </c>
      <c r="S119" s="84">
        <v>0</v>
      </c>
      <c r="T119" s="84">
        <v>60.250257287157403</v>
      </c>
      <c r="U119" s="84">
        <v>0</v>
      </c>
      <c r="V119" s="84">
        <v>246.06363011733299</v>
      </c>
      <c r="W119" s="84">
        <v>4.8233560000000004</v>
      </c>
      <c r="X119" s="84">
        <v>0</v>
      </c>
      <c r="Y119" s="84">
        <v>0</v>
      </c>
      <c r="Z119" s="84">
        <v>0.29239999999999999</v>
      </c>
      <c r="AA119" s="84">
        <v>84.981215200818895</v>
      </c>
      <c r="AB119" s="84">
        <v>1.175</v>
      </c>
      <c r="AC119" s="84">
        <v>0</v>
      </c>
      <c r="AD119" s="84">
        <v>0</v>
      </c>
      <c r="AE119" s="84">
        <v>0</v>
      </c>
      <c r="AF119" s="84">
        <v>0</v>
      </c>
      <c r="AG119" s="84">
        <v>0</v>
      </c>
      <c r="AH119" s="84">
        <v>0</v>
      </c>
      <c r="AI119" s="84">
        <f t="shared" si="1"/>
        <v>763.62925792443195</v>
      </c>
    </row>
    <row r="120" spans="1:35">
      <c r="A120" s="22" t="s">
        <v>100</v>
      </c>
      <c r="B120" s="22" t="s">
        <v>101</v>
      </c>
      <c r="C120" s="22">
        <v>2019</v>
      </c>
      <c r="D120" s="22" t="s">
        <v>87</v>
      </c>
      <c r="E120" s="84">
        <v>85.133189999999999</v>
      </c>
      <c r="F120" s="84">
        <v>58.306095200000001</v>
      </c>
      <c r="G120" s="84">
        <v>0</v>
      </c>
      <c r="H120" s="84">
        <v>20.457824973771</v>
      </c>
      <c r="I120" s="84">
        <v>0</v>
      </c>
      <c r="J120" s="84">
        <v>5.3531477799999996</v>
      </c>
      <c r="K120" s="84">
        <v>171.94213300000001</v>
      </c>
      <c r="L120" s="84">
        <v>0.98787000000000003</v>
      </c>
      <c r="M120" s="84">
        <v>0</v>
      </c>
      <c r="N120" s="84">
        <v>0</v>
      </c>
      <c r="O120" s="84">
        <v>0</v>
      </c>
      <c r="P120" s="84">
        <v>0</v>
      </c>
      <c r="Q120" s="84">
        <v>91.972914974487693</v>
      </c>
      <c r="R120" s="84">
        <v>0</v>
      </c>
      <c r="S120" s="84">
        <v>0</v>
      </c>
      <c r="T120" s="84">
        <v>96.072402842712805</v>
      </c>
      <c r="U120" s="84">
        <v>0</v>
      </c>
      <c r="V120" s="84">
        <v>235.29230166666699</v>
      </c>
      <c r="W120" s="84">
        <v>4.5942499999999997</v>
      </c>
      <c r="X120" s="84">
        <v>0</v>
      </c>
      <c r="Y120" s="84">
        <v>0</v>
      </c>
      <c r="Z120" s="84">
        <v>5.2080000000000001E-2</v>
      </c>
      <c r="AA120" s="84">
        <v>43.690814471561197</v>
      </c>
      <c r="AB120" s="84">
        <v>1.175</v>
      </c>
      <c r="AC120" s="84">
        <v>0</v>
      </c>
      <c r="AD120" s="84">
        <v>0</v>
      </c>
      <c r="AE120" s="84">
        <v>0</v>
      </c>
      <c r="AF120" s="84">
        <v>0</v>
      </c>
      <c r="AG120" s="84">
        <v>0</v>
      </c>
      <c r="AH120" s="84">
        <v>0</v>
      </c>
      <c r="AI120" s="84">
        <f t="shared" si="1"/>
        <v>793.39719993542872</v>
      </c>
    </row>
    <row r="121" spans="1:35">
      <c r="A121" s="22" t="s">
        <v>100</v>
      </c>
      <c r="B121" s="22" t="s">
        <v>101</v>
      </c>
      <c r="C121" s="22">
        <v>2021</v>
      </c>
      <c r="D121" s="22" t="s">
        <v>87</v>
      </c>
      <c r="E121" s="84">
        <v>53.283909999999999</v>
      </c>
      <c r="F121" s="84">
        <v>42.414763000000001</v>
      </c>
      <c r="G121" s="84">
        <v>0</v>
      </c>
      <c r="H121" s="84">
        <v>8.2928734246799998</v>
      </c>
      <c r="I121" s="84">
        <v>0</v>
      </c>
      <c r="J121" s="84">
        <v>35.080719539999997</v>
      </c>
      <c r="K121" s="84">
        <v>188.00505799999999</v>
      </c>
      <c r="L121" s="84">
        <v>0</v>
      </c>
      <c r="M121" s="84">
        <v>0</v>
      </c>
      <c r="N121" s="84">
        <v>0</v>
      </c>
      <c r="O121" s="84">
        <v>0</v>
      </c>
      <c r="P121" s="84">
        <v>0</v>
      </c>
      <c r="Q121" s="84">
        <v>79.871187458350803</v>
      </c>
      <c r="R121" s="84">
        <v>0</v>
      </c>
      <c r="S121" s="84">
        <v>0</v>
      </c>
      <c r="T121" s="84">
        <v>90.491969999999995</v>
      </c>
      <c r="U121" s="84">
        <v>0</v>
      </c>
      <c r="V121" s="84">
        <v>223.19333333333299</v>
      </c>
      <c r="W121" s="84">
        <v>12.125999999999999</v>
      </c>
      <c r="X121" s="84">
        <v>0</v>
      </c>
      <c r="Y121" s="84">
        <v>0</v>
      </c>
      <c r="Z121" s="84">
        <v>0</v>
      </c>
      <c r="AA121" s="84">
        <v>43.206953280411703</v>
      </c>
      <c r="AB121" s="84">
        <v>1.175</v>
      </c>
      <c r="AC121" s="84">
        <v>0</v>
      </c>
      <c r="AD121" s="84">
        <v>0</v>
      </c>
      <c r="AE121" s="84">
        <v>0</v>
      </c>
      <c r="AF121" s="84">
        <v>0</v>
      </c>
      <c r="AG121" s="84">
        <v>0</v>
      </c>
      <c r="AH121" s="84">
        <v>0</v>
      </c>
      <c r="AI121" s="84">
        <f t="shared" si="1"/>
        <v>767.67389461209541</v>
      </c>
    </row>
    <row r="122" spans="1:35">
      <c r="A122" s="22" t="s">
        <v>102</v>
      </c>
      <c r="B122" s="22" t="s">
        <v>103</v>
      </c>
      <c r="C122" s="22">
        <v>1990</v>
      </c>
      <c r="D122" s="22" t="s">
        <v>85</v>
      </c>
      <c r="E122" s="84">
        <v>0</v>
      </c>
      <c r="F122" s="84">
        <v>0</v>
      </c>
      <c r="G122" s="84">
        <v>0</v>
      </c>
      <c r="H122" s="84">
        <v>0</v>
      </c>
      <c r="I122" s="84">
        <v>0</v>
      </c>
      <c r="J122" s="84">
        <v>0</v>
      </c>
      <c r="K122" s="84">
        <v>0</v>
      </c>
      <c r="L122" s="84">
        <v>0</v>
      </c>
      <c r="M122" s="84">
        <v>0</v>
      </c>
      <c r="N122" s="84">
        <v>0</v>
      </c>
      <c r="O122" s="84">
        <v>0</v>
      </c>
      <c r="P122" s="84">
        <v>0</v>
      </c>
      <c r="Q122" s="84">
        <v>0</v>
      </c>
      <c r="R122" s="84">
        <v>0</v>
      </c>
      <c r="S122" s="84">
        <v>0</v>
      </c>
      <c r="T122" s="84">
        <v>0</v>
      </c>
      <c r="U122" s="84">
        <v>0</v>
      </c>
      <c r="V122" s="84">
        <v>0</v>
      </c>
      <c r="W122" s="84">
        <v>0</v>
      </c>
      <c r="X122" s="84">
        <v>0</v>
      </c>
      <c r="Y122" s="84">
        <v>0</v>
      </c>
      <c r="Z122" s="84">
        <v>0</v>
      </c>
      <c r="AA122" s="84">
        <v>0</v>
      </c>
      <c r="AB122" s="84">
        <v>0</v>
      </c>
      <c r="AC122" s="84">
        <v>0</v>
      </c>
      <c r="AD122" s="84">
        <v>0</v>
      </c>
      <c r="AE122" s="84">
        <v>0</v>
      </c>
      <c r="AF122" s="84">
        <v>0</v>
      </c>
      <c r="AG122" s="84">
        <v>0</v>
      </c>
      <c r="AH122" s="84">
        <v>0</v>
      </c>
      <c r="AI122" s="84">
        <f t="shared" si="1"/>
        <v>0</v>
      </c>
    </row>
    <row r="123" spans="1:35">
      <c r="A123" s="22" t="s">
        <v>102</v>
      </c>
      <c r="B123" s="22" t="s">
        <v>103</v>
      </c>
      <c r="C123" s="22">
        <v>2010</v>
      </c>
      <c r="D123" s="22" t="s">
        <v>85</v>
      </c>
      <c r="E123" s="84">
        <v>0</v>
      </c>
      <c r="F123" s="84">
        <v>0</v>
      </c>
      <c r="G123" s="84">
        <v>0</v>
      </c>
      <c r="H123" s="84">
        <v>0</v>
      </c>
      <c r="I123" s="84">
        <v>0</v>
      </c>
      <c r="J123" s="84">
        <v>0</v>
      </c>
      <c r="K123" s="84">
        <v>0</v>
      </c>
      <c r="L123" s="84">
        <v>0</v>
      </c>
      <c r="M123" s="84">
        <v>0</v>
      </c>
      <c r="N123" s="84">
        <v>0</v>
      </c>
      <c r="O123" s="84">
        <v>0</v>
      </c>
      <c r="P123" s="84">
        <v>0</v>
      </c>
      <c r="Q123" s="84">
        <v>0</v>
      </c>
      <c r="R123" s="84">
        <v>0</v>
      </c>
      <c r="S123" s="84">
        <v>0</v>
      </c>
      <c r="T123" s="84">
        <v>0</v>
      </c>
      <c r="U123" s="84">
        <v>0</v>
      </c>
      <c r="V123" s="84">
        <v>0</v>
      </c>
      <c r="W123" s="84">
        <v>0</v>
      </c>
      <c r="X123" s="84">
        <v>0</v>
      </c>
      <c r="Y123" s="84">
        <v>0</v>
      </c>
      <c r="Z123" s="84">
        <v>0</v>
      </c>
      <c r="AA123" s="84">
        <v>0</v>
      </c>
      <c r="AB123" s="84">
        <v>0</v>
      </c>
      <c r="AC123" s="84">
        <v>0</v>
      </c>
      <c r="AD123" s="84">
        <v>0</v>
      </c>
      <c r="AE123" s="84">
        <v>0</v>
      </c>
      <c r="AF123" s="84">
        <v>0</v>
      </c>
      <c r="AG123" s="84">
        <v>0</v>
      </c>
      <c r="AH123" s="84">
        <v>0</v>
      </c>
      <c r="AI123" s="84">
        <f t="shared" si="1"/>
        <v>0</v>
      </c>
    </row>
    <row r="124" spans="1:35">
      <c r="A124" s="22" t="s">
        <v>102</v>
      </c>
      <c r="B124" s="22" t="s">
        <v>103</v>
      </c>
      <c r="C124" s="22">
        <v>2015</v>
      </c>
      <c r="D124" s="22" t="s">
        <v>85</v>
      </c>
      <c r="E124" s="84">
        <v>0</v>
      </c>
      <c r="F124" s="84">
        <v>0</v>
      </c>
      <c r="G124" s="84">
        <v>0</v>
      </c>
      <c r="H124" s="84">
        <v>0</v>
      </c>
      <c r="I124" s="84">
        <v>0</v>
      </c>
      <c r="J124" s="84">
        <v>0</v>
      </c>
      <c r="K124" s="84">
        <v>0</v>
      </c>
      <c r="L124" s="84">
        <v>0</v>
      </c>
      <c r="M124" s="84">
        <v>0</v>
      </c>
      <c r="N124" s="84">
        <v>0</v>
      </c>
      <c r="O124" s="84">
        <v>0</v>
      </c>
      <c r="P124" s="84">
        <v>0</v>
      </c>
      <c r="Q124" s="84">
        <v>0</v>
      </c>
      <c r="R124" s="84">
        <v>0</v>
      </c>
      <c r="S124" s="84">
        <v>0</v>
      </c>
      <c r="T124" s="84">
        <v>0</v>
      </c>
      <c r="U124" s="84">
        <v>0</v>
      </c>
      <c r="V124" s="84">
        <v>0</v>
      </c>
      <c r="W124" s="84">
        <v>0</v>
      </c>
      <c r="X124" s="84">
        <v>0</v>
      </c>
      <c r="Y124" s="84">
        <v>0</v>
      </c>
      <c r="Z124" s="84">
        <v>0</v>
      </c>
      <c r="AA124" s="84">
        <v>0</v>
      </c>
      <c r="AB124" s="84">
        <v>0</v>
      </c>
      <c r="AC124" s="84">
        <v>0</v>
      </c>
      <c r="AD124" s="84">
        <v>0</v>
      </c>
      <c r="AE124" s="84">
        <v>0</v>
      </c>
      <c r="AF124" s="84">
        <v>0</v>
      </c>
      <c r="AG124" s="84">
        <v>0</v>
      </c>
      <c r="AH124" s="84">
        <v>0</v>
      </c>
      <c r="AI124" s="84">
        <f t="shared" si="1"/>
        <v>0</v>
      </c>
    </row>
    <row r="125" spans="1:35">
      <c r="A125" s="22" t="s">
        <v>102</v>
      </c>
      <c r="B125" s="22" t="s">
        <v>103</v>
      </c>
      <c r="C125" s="22">
        <v>2019</v>
      </c>
      <c r="D125" s="22" t="s">
        <v>85</v>
      </c>
      <c r="E125" s="84">
        <v>0</v>
      </c>
      <c r="F125" s="84">
        <v>0</v>
      </c>
      <c r="G125" s="84">
        <v>0</v>
      </c>
      <c r="H125" s="84">
        <v>0</v>
      </c>
      <c r="I125" s="84">
        <v>0</v>
      </c>
      <c r="J125" s="84">
        <v>0</v>
      </c>
      <c r="K125" s="84">
        <v>0</v>
      </c>
      <c r="L125" s="84">
        <v>0</v>
      </c>
      <c r="M125" s="84">
        <v>0</v>
      </c>
      <c r="N125" s="84">
        <v>0</v>
      </c>
      <c r="O125" s="84">
        <v>0</v>
      </c>
      <c r="P125" s="84">
        <v>0</v>
      </c>
      <c r="Q125" s="84">
        <v>0</v>
      </c>
      <c r="R125" s="84">
        <v>0</v>
      </c>
      <c r="S125" s="84">
        <v>0</v>
      </c>
      <c r="T125" s="84">
        <v>0</v>
      </c>
      <c r="U125" s="84">
        <v>0</v>
      </c>
      <c r="V125" s="84">
        <v>0</v>
      </c>
      <c r="W125" s="84">
        <v>0</v>
      </c>
      <c r="X125" s="84">
        <v>0</v>
      </c>
      <c r="Y125" s="84">
        <v>0</v>
      </c>
      <c r="Z125" s="84">
        <v>0</v>
      </c>
      <c r="AA125" s="84">
        <v>0</v>
      </c>
      <c r="AB125" s="84">
        <v>0</v>
      </c>
      <c r="AC125" s="84">
        <v>0</v>
      </c>
      <c r="AD125" s="84">
        <v>0</v>
      </c>
      <c r="AE125" s="84">
        <v>0</v>
      </c>
      <c r="AF125" s="84">
        <v>0</v>
      </c>
      <c r="AG125" s="84">
        <v>0</v>
      </c>
      <c r="AH125" s="84">
        <v>0</v>
      </c>
      <c r="AI125" s="84">
        <f t="shared" si="1"/>
        <v>0</v>
      </c>
    </row>
    <row r="126" spans="1:35">
      <c r="A126" s="22" t="s">
        <v>102</v>
      </c>
      <c r="B126" s="22" t="s">
        <v>103</v>
      </c>
      <c r="C126" s="22">
        <v>2021</v>
      </c>
      <c r="D126" s="22" t="s">
        <v>85</v>
      </c>
      <c r="E126" s="84">
        <v>0</v>
      </c>
      <c r="F126" s="84">
        <v>0</v>
      </c>
      <c r="G126" s="84">
        <v>0</v>
      </c>
      <c r="H126" s="84">
        <v>0</v>
      </c>
      <c r="I126" s="84">
        <v>0</v>
      </c>
      <c r="J126" s="84">
        <v>0</v>
      </c>
      <c r="K126" s="84">
        <v>0</v>
      </c>
      <c r="L126" s="84">
        <v>0</v>
      </c>
      <c r="M126" s="84">
        <v>0</v>
      </c>
      <c r="N126" s="84">
        <v>0</v>
      </c>
      <c r="O126" s="84">
        <v>0</v>
      </c>
      <c r="P126" s="84">
        <v>0</v>
      </c>
      <c r="Q126" s="84">
        <v>0</v>
      </c>
      <c r="R126" s="84">
        <v>0</v>
      </c>
      <c r="S126" s="84">
        <v>0</v>
      </c>
      <c r="T126" s="84">
        <v>0</v>
      </c>
      <c r="U126" s="84">
        <v>0</v>
      </c>
      <c r="V126" s="84">
        <v>0</v>
      </c>
      <c r="W126" s="84">
        <v>0</v>
      </c>
      <c r="X126" s="84">
        <v>0</v>
      </c>
      <c r="Y126" s="84">
        <v>0</v>
      </c>
      <c r="Z126" s="84">
        <v>0</v>
      </c>
      <c r="AA126" s="84">
        <v>0</v>
      </c>
      <c r="AB126" s="84">
        <v>0</v>
      </c>
      <c r="AC126" s="84">
        <v>0</v>
      </c>
      <c r="AD126" s="84">
        <v>0</v>
      </c>
      <c r="AE126" s="84">
        <v>0</v>
      </c>
      <c r="AF126" s="84">
        <v>0</v>
      </c>
      <c r="AG126" s="84">
        <v>0</v>
      </c>
      <c r="AH126" s="84">
        <v>0</v>
      </c>
      <c r="AI126" s="84">
        <f t="shared" si="1"/>
        <v>0</v>
      </c>
    </row>
    <row r="127" spans="1:35">
      <c r="A127" s="22" t="s">
        <v>102</v>
      </c>
      <c r="B127" s="22" t="s">
        <v>103</v>
      </c>
      <c r="C127" s="22">
        <v>1990</v>
      </c>
      <c r="D127" s="22" t="s">
        <v>86</v>
      </c>
      <c r="E127" s="84">
        <v>0</v>
      </c>
      <c r="F127" s="84">
        <v>0</v>
      </c>
      <c r="G127" s="84">
        <v>0</v>
      </c>
      <c r="H127" s="84">
        <v>7.6604813583999995E-2</v>
      </c>
      <c r="I127" s="84">
        <v>0</v>
      </c>
      <c r="J127" s="84">
        <v>0</v>
      </c>
      <c r="K127" s="84">
        <v>0</v>
      </c>
      <c r="L127" s="84">
        <v>0</v>
      </c>
      <c r="M127" s="84">
        <v>0</v>
      </c>
      <c r="N127" s="84">
        <v>0</v>
      </c>
      <c r="O127" s="84">
        <v>0</v>
      </c>
      <c r="P127" s="84">
        <v>1.1749320000000001E-2</v>
      </c>
      <c r="Q127" s="84">
        <v>0</v>
      </c>
      <c r="R127" s="84">
        <v>0</v>
      </c>
      <c r="S127" s="84">
        <v>2.1527327586199998E-3</v>
      </c>
      <c r="T127" s="84">
        <v>0</v>
      </c>
      <c r="U127" s="84">
        <v>0.31364363459</v>
      </c>
      <c r="V127" s="84">
        <v>0</v>
      </c>
      <c r="W127" s="84">
        <v>0</v>
      </c>
      <c r="X127" s="84">
        <v>6.4999999999999994E-5</v>
      </c>
      <c r="Y127" s="84">
        <v>0</v>
      </c>
      <c r="Z127" s="84">
        <v>0</v>
      </c>
      <c r="AA127" s="84">
        <v>0</v>
      </c>
      <c r="AB127" s="84">
        <v>4.8853369000000001E-2</v>
      </c>
      <c r="AC127" s="84">
        <v>0</v>
      </c>
      <c r="AD127" s="84">
        <v>0</v>
      </c>
      <c r="AE127" s="84">
        <v>0.16472084749036001</v>
      </c>
      <c r="AF127" s="84">
        <v>5.9488172270393003</v>
      </c>
      <c r="AG127" s="84">
        <v>0</v>
      </c>
      <c r="AH127" s="84">
        <v>0</v>
      </c>
      <c r="AI127" s="84">
        <f t="shared" si="1"/>
        <v>6.1275051272882806</v>
      </c>
    </row>
    <row r="128" spans="1:35">
      <c r="A128" s="22" t="s">
        <v>102</v>
      </c>
      <c r="B128" s="22" t="s">
        <v>103</v>
      </c>
      <c r="C128" s="22">
        <v>2010</v>
      </c>
      <c r="D128" s="22" t="s">
        <v>86</v>
      </c>
      <c r="E128" s="84">
        <v>1423.8548433579699</v>
      </c>
      <c r="F128" s="84">
        <v>2516.0485849091701</v>
      </c>
      <c r="G128" s="84">
        <v>415.06311535292599</v>
      </c>
      <c r="H128" s="84">
        <v>1230.2834176567301</v>
      </c>
      <c r="I128" s="84">
        <v>198.98564828953499</v>
      </c>
      <c r="J128" s="84">
        <v>2445.9186278975599</v>
      </c>
      <c r="K128" s="84">
        <v>9771.7877307032504</v>
      </c>
      <c r="L128" s="84">
        <v>826.89083725928106</v>
      </c>
      <c r="M128" s="84">
        <v>170.72709116284801</v>
      </c>
      <c r="N128" s="84">
        <v>4297.4708364573899</v>
      </c>
      <c r="O128" s="84">
        <v>14588.762909336599</v>
      </c>
      <c r="P128" s="84">
        <v>1318.9358479587199</v>
      </c>
      <c r="Q128" s="84">
        <v>16213.030713117299</v>
      </c>
      <c r="R128" s="84">
        <v>567.72953183097002</v>
      </c>
      <c r="S128" s="84">
        <v>1262.5800532338501</v>
      </c>
      <c r="T128" s="84">
        <v>1013.39470228523</v>
      </c>
      <c r="U128" s="84">
        <v>109.92044665368699</v>
      </c>
      <c r="V128" s="84">
        <v>14311.3008286738</v>
      </c>
      <c r="W128" s="84">
        <v>246.99558626265701</v>
      </c>
      <c r="X128" s="84">
        <v>49.246764138376001</v>
      </c>
      <c r="Y128" s="84">
        <v>205.961200383267</v>
      </c>
      <c r="Z128" s="84">
        <v>134.79714769524199</v>
      </c>
      <c r="AA128" s="84">
        <v>1461.8606835615701</v>
      </c>
      <c r="AB128" s="84">
        <v>855.46532490740799</v>
      </c>
      <c r="AC128" s="84">
        <v>5615.8818761476996</v>
      </c>
      <c r="AD128" s="84">
        <v>1924.36099869177</v>
      </c>
      <c r="AE128" s="84">
        <v>899.26710036411498</v>
      </c>
      <c r="AF128" s="84">
        <v>1067.11111000094</v>
      </c>
      <c r="AG128" s="84">
        <v>232.679751368956</v>
      </c>
      <c r="AH128" s="84">
        <v>569.22194724035705</v>
      </c>
      <c r="AI128" s="84">
        <f t="shared" si="1"/>
        <v>83749.866067681331</v>
      </c>
    </row>
    <row r="129" spans="1:35">
      <c r="A129" s="22" t="s">
        <v>102</v>
      </c>
      <c r="B129" s="22" t="s">
        <v>103</v>
      </c>
      <c r="C129" s="22">
        <v>2015</v>
      </c>
      <c r="D129" s="22" t="s">
        <v>86</v>
      </c>
      <c r="E129" s="84">
        <v>1894.87562818478</v>
      </c>
      <c r="F129" s="84">
        <v>2847.50960265097</v>
      </c>
      <c r="G129" s="84">
        <v>693.60097500562995</v>
      </c>
      <c r="H129" s="84">
        <v>1406.64356360684</v>
      </c>
      <c r="I129" s="84">
        <v>246.65411042921801</v>
      </c>
      <c r="J129" s="84">
        <v>3311.4244934734102</v>
      </c>
      <c r="K129" s="84">
        <v>10660.215194676101</v>
      </c>
      <c r="L129" s="84">
        <v>501.416104551035</v>
      </c>
      <c r="M129" s="84">
        <v>216.430788248505</v>
      </c>
      <c r="N129" s="84">
        <v>5690.5050426593898</v>
      </c>
      <c r="O129" s="84">
        <v>8657.2465290340606</v>
      </c>
      <c r="P129" s="84">
        <v>1188.32594141406</v>
      </c>
      <c r="Q129" s="84">
        <v>16782.685876348802</v>
      </c>
      <c r="R129" s="84">
        <v>948.11791692387999</v>
      </c>
      <c r="S129" s="84">
        <v>1888.9337733848199</v>
      </c>
      <c r="T129" s="84">
        <v>1113.34630342231</v>
      </c>
      <c r="U129" s="84">
        <v>161.37865261898199</v>
      </c>
      <c r="V129" s="84">
        <v>15609.9605129227</v>
      </c>
      <c r="W129" s="84">
        <v>550.82393574542004</v>
      </c>
      <c r="X129" s="84">
        <v>59.379322629091398</v>
      </c>
      <c r="Y129" s="84">
        <v>243.16380575248701</v>
      </c>
      <c r="Z129" s="84">
        <v>219.79303279997299</v>
      </c>
      <c r="AA129" s="84">
        <v>1603.32834284605</v>
      </c>
      <c r="AB129" s="84">
        <v>909.85293283241299</v>
      </c>
      <c r="AC129" s="84">
        <v>5597.2385245198502</v>
      </c>
      <c r="AD129" s="84">
        <v>2607.6352460774201</v>
      </c>
      <c r="AE129" s="84">
        <v>1381.3200257839101</v>
      </c>
      <c r="AF129" s="84">
        <v>1059.4849695973901</v>
      </c>
      <c r="AG129" s="84">
        <v>312.094208349751</v>
      </c>
      <c r="AH129" s="84">
        <v>704.835072608107</v>
      </c>
      <c r="AI129" s="84">
        <f t="shared" si="1"/>
        <v>86590.345280039153</v>
      </c>
    </row>
    <row r="130" spans="1:35">
      <c r="A130" s="22" t="s">
        <v>102</v>
      </c>
      <c r="B130" s="22" t="s">
        <v>103</v>
      </c>
      <c r="C130" s="22">
        <v>2019</v>
      </c>
      <c r="D130" s="22" t="s">
        <v>86</v>
      </c>
      <c r="E130" s="84">
        <v>1798.1861841037701</v>
      </c>
      <c r="F130" s="84">
        <v>2605.4745508097599</v>
      </c>
      <c r="G130" s="84">
        <v>801.66612288283795</v>
      </c>
      <c r="H130" s="84">
        <v>1330.9560204305201</v>
      </c>
      <c r="I130" s="84">
        <v>332.26537408977299</v>
      </c>
      <c r="J130" s="84">
        <v>3824.4844782506002</v>
      </c>
      <c r="K130" s="84">
        <v>8715.8019560844095</v>
      </c>
      <c r="L130" s="84">
        <v>393.59092298995802</v>
      </c>
      <c r="M130" s="84">
        <v>219.67220052059801</v>
      </c>
      <c r="N130" s="84">
        <v>5166.3524648994699</v>
      </c>
      <c r="O130" s="84">
        <v>5653.3316484038796</v>
      </c>
      <c r="P130" s="84">
        <v>965.81143142270503</v>
      </c>
      <c r="Q130" s="84">
        <v>12536.6173676788</v>
      </c>
      <c r="R130" s="84">
        <v>1470.2306296112199</v>
      </c>
      <c r="S130" s="84">
        <v>1824.37299294381</v>
      </c>
      <c r="T130" s="84">
        <v>767.574461857963</v>
      </c>
      <c r="U130" s="84">
        <v>199.686284777694</v>
      </c>
      <c r="V130" s="84">
        <v>17006.5624764288</v>
      </c>
      <c r="W130" s="84">
        <v>532.73759754405899</v>
      </c>
      <c r="X130" s="84">
        <v>47.560268718875101</v>
      </c>
      <c r="Y130" s="84">
        <v>243.350490555801</v>
      </c>
      <c r="Z130" s="84">
        <v>220.655869370099</v>
      </c>
      <c r="AA130" s="84">
        <v>973.35470310058201</v>
      </c>
      <c r="AB130" s="84">
        <v>874.49763953894501</v>
      </c>
      <c r="AC130" s="84">
        <v>5315.7443308881402</v>
      </c>
      <c r="AD130" s="84">
        <v>3151.2219448501301</v>
      </c>
      <c r="AE130" s="84">
        <v>1780.65168470362</v>
      </c>
      <c r="AF130" s="84">
        <v>936.97838555858402</v>
      </c>
      <c r="AG130" s="84">
        <v>282.19059395521998</v>
      </c>
      <c r="AH130" s="84">
        <v>688.68587685230398</v>
      </c>
      <c r="AI130" s="84">
        <f t="shared" si="1"/>
        <v>78255.127009075804</v>
      </c>
    </row>
    <row r="131" spans="1:35">
      <c r="A131" s="22" t="s">
        <v>102</v>
      </c>
      <c r="B131" s="22" t="s">
        <v>103</v>
      </c>
      <c r="C131" s="22">
        <v>2021</v>
      </c>
      <c r="D131" s="22" t="s">
        <v>86</v>
      </c>
      <c r="E131" s="84">
        <v>1482.92173363034</v>
      </c>
      <c r="F131" s="84">
        <v>2283.7439747538801</v>
      </c>
      <c r="G131" s="84">
        <v>739.43169202747902</v>
      </c>
      <c r="H131" s="84">
        <v>1225.2090031252301</v>
      </c>
      <c r="I131" s="84">
        <v>353.48764662207401</v>
      </c>
      <c r="J131" s="84">
        <v>3710.5604658258799</v>
      </c>
      <c r="K131" s="84">
        <v>8038.4459574336197</v>
      </c>
      <c r="L131" s="84">
        <v>356.19228233206002</v>
      </c>
      <c r="M131" s="84">
        <v>190.20812155407299</v>
      </c>
      <c r="N131" s="84">
        <v>4700.7990531577298</v>
      </c>
      <c r="O131" s="84">
        <v>4986.3393512475104</v>
      </c>
      <c r="P131" s="84">
        <v>833.63235549453805</v>
      </c>
      <c r="Q131" s="84">
        <v>9942.9124646539494</v>
      </c>
      <c r="R131" s="84">
        <v>1699.2840431709401</v>
      </c>
      <c r="S131" s="84">
        <v>1864.22258384666</v>
      </c>
      <c r="T131" s="84">
        <v>669.43346628389304</v>
      </c>
      <c r="U131" s="84">
        <v>157.31101155580399</v>
      </c>
      <c r="V131" s="84">
        <v>15374.7346748377</v>
      </c>
      <c r="W131" s="84">
        <v>512.85392253943598</v>
      </c>
      <c r="X131" s="84">
        <v>40.113614854824498</v>
      </c>
      <c r="Y131" s="84">
        <v>250.34144045804899</v>
      </c>
      <c r="Z131" s="84">
        <v>228.81049218167601</v>
      </c>
      <c r="AA131" s="84">
        <v>927.86042371631697</v>
      </c>
      <c r="AB131" s="84">
        <v>628.42310539080302</v>
      </c>
      <c r="AC131" s="84">
        <v>4947.3462783110599</v>
      </c>
      <c r="AD131" s="84">
        <v>3185.5289192426599</v>
      </c>
      <c r="AE131" s="84">
        <v>1908.2568047049001</v>
      </c>
      <c r="AF131" s="84">
        <v>840.30888375648306</v>
      </c>
      <c r="AG131" s="84">
        <v>267.03943054435399</v>
      </c>
      <c r="AH131" s="84">
        <v>672.40437224821903</v>
      </c>
      <c r="AI131" s="84">
        <f t="shared" ref="AI131:AI194" si="2">SUM(E131:AH131)-H131-U131-AB131</f>
        <v>71007.214449430292</v>
      </c>
    </row>
    <row r="132" spans="1:35">
      <c r="A132" s="22" t="s">
        <v>102</v>
      </c>
      <c r="B132" s="22" t="s">
        <v>103</v>
      </c>
      <c r="C132" s="22">
        <v>1990</v>
      </c>
      <c r="D132" s="22" t="s">
        <v>87</v>
      </c>
      <c r="E132" s="84">
        <v>0</v>
      </c>
      <c r="F132" s="84">
        <v>0</v>
      </c>
      <c r="G132" s="84">
        <v>0</v>
      </c>
      <c r="H132" s="84">
        <v>7.6604813583999995E-2</v>
      </c>
      <c r="I132" s="84">
        <v>0</v>
      </c>
      <c r="J132" s="84">
        <v>0</v>
      </c>
      <c r="K132" s="84">
        <v>0</v>
      </c>
      <c r="L132" s="84">
        <v>0</v>
      </c>
      <c r="M132" s="84">
        <v>0</v>
      </c>
      <c r="N132" s="84">
        <v>0</v>
      </c>
      <c r="O132" s="84">
        <v>0</v>
      </c>
      <c r="P132" s="84">
        <v>1.1749320000000001E-2</v>
      </c>
      <c r="Q132" s="84">
        <v>0</v>
      </c>
      <c r="R132" s="84">
        <v>0</v>
      </c>
      <c r="S132" s="84">
        <v>2.1527327586199998E-3</v>
      </c>
      <c r="T132" s="84">
        <v>0</v>
      </c>
      <c r="U132" s="84">
        <v>0.31364363459</v>
      </c>
      <c r="V132" s="84">
        <v>0</v>
      </c>
      <c r="W132" s="84">
        <v>0</v>
      </c>
      <c r="X132" s="84">
        <v>6.4999999999999994E-5</v>
      </c>
      <c r="Y132" s="84">
        <v>0</v>
      </c>
      <c r="Z132" s="84">
        <v>0</v>
      </c>
      <c r="AA132" s="84">
        <v>0</v>
      </c>
      <c r="AB132" s="84">
        <v>4.8853369000000001E-2</v>
      </c>
      <c r="AC132" s="84">
        <v>0</v>
      </c>
      <c r="AD132" s="84">
        <v>0</v>
      </c>
      <c r="AE132" s="84">
        <v>0.16472084749036001</v>
      </c>
      <c r="AF132" s="84">
        <v>5.9488172270393003</v>
      </c>
      <c r="AG132" s="84">
        <v>0</v>
      </c>
      <c r="AH132" s="84">
        <v>0</v>
      </c>
      <c r="AI132" s="84">
        <f t="shared" si="2"/>
        <v>6.1275051272882806</v>
      </c>
    </row>
    <row r="133" spans="1:35">
      <c r="A133" s="22" t="s">
        <v>102</v>
      </c>
      <c r="B133" s="22" t="s">
        <v>103</v>
      </c>
      <c r="C133" s="22">
        <v>2010</v>
      </c>
      <c r="D133" s="22" t="s">
        <v>87</v>
      </c>
      <c r="E133" s="84">
        <v>1423.8548433579699</v>
      </c>
      <c r="F133" s="84">
        <v>2516.0485849091701</v>
      </c>
      <c r="G133" s="84">
        <v>415.06311535292599</v>
      </c>
      <c r="H133" s="84">
        <v>1230.2834176567301</v>
      </c>
      <c r="I133" s="84">
        <v>198.98564828953499</v>
      </c>
      <c r="J133" s="84">
        <v>2445.9186278975599</v>
      </c>
      <c r="K133" s="84">
        <v>9771.7877307032504</v>
      </c>
      <c r="L133" s="84">
        <v>826.89083725928106</v>
      </c>
      <c r="M133" s="84">
        <v>170.72709116284801</v>
      </c>
      <c r="N133" s="84">
        <v>4297.4708364573899</v>
      </c>
      <c r="O133" s="84">
        <v>14588.762909336599</v>
      </c>
      <c r="P133" s="84">
        <v>1318.9358479587199</v>
      </c>
      <c r="Q133" s="84">
        <v>16213.030713117299</v>
      </c>
      <c r="R133" s="84">
        <v>567.72953183097002</v>
      </c>
      <c r="S133" s="84">
        <v>1262.5800532338501</v>
      </c>
      <c r="T133" s="84">
        <v>1013.39470228523</v>
      </c>
      <c r="U133" s="84">
        <v>109.92044665368699</v>
      </c>
      <c r="V133" s="84">
        <v>14311.3008286738</v>
      </c>
      <c r="W133" s="84">
        <v>246.99558626265701</v>
      </c>
      <c r="X133" s="84">
        <v>49.246764138376001</v>
      </c>
      <c r="Y133" s="84">
        <v>205.961200383267</v>
      </c>
      <c r="Z133" s="84">
        <v>134.79714769524199</v>
      </c>
      <c r="AA133" s="84">
        <v>1461.8606835615701</v>
      </c>
      <c r="AB133" s="84">
        <v>855.46532490740799</v>
      </c>
      <c r="AC133" s="84">
        <v>5615.8818761476996</v>
      </c>
      <c r="AD133" s="84">
        <v>1924.36099869177</v>
      </c>
      <c r="AE133" s="84">
        <v>899.26710036411498</v>
      </c>
      <c r="AF133" s="84">
        <v>1067.11111000094</v>
      </c>
      <c r="AG133" s="84">
        <v>232.679751368956</v>
      </c>
      <c r="AH133" s="84">
        <v>569.22194724035705</v>
      </c>
      <c r="AI133" s="84">
        <f t="shared" si="2"/>
        <v>83749.866067681331</v>
      </c>
    </row>
    <row r="134" spans="1:35">
      <c r="A134" s="22" t="s">
        <v>102</v>
      </c>
      <c r="B134" s="22" t="s">
        <v>103</v>
      </c>
      <c r="C134" s="22">
        <v>2015</v>
      </c>
      <c r="D134" s="22" t="s">
        <v>87</v>
      </c>
      <c r="E134" s="84">
        <v>1894.87562818478</v>
      </c>
      <c r="F134" s="84">
        <v>2847.50960265097</v>
      </c>
      <c r="G134" s="84">
        <v>693.60097500562995</v>
      </c>
      <c r="H134" s="84">
        <v>1406.64356360684</v>
      </c>
      <c r="I134" s="84">
        <v>246.65411042921801</v>
      </c>
      <c r="J134" s="84">
        <v>3311.4244934734102</v>
      </c>
      <c r="K134" s="84">
        <v>10660.215194676101</v>
      </c>
      <c r="L134" s="84">
        <v>501.416104551035</v>
      </c>
      <c r="M134" s="84">
        <v>216.430788248505</v>
      </c>
      <c r="N134" s="84">
        <v>5690.5050426593898</v>
      </c>
      <c r="O134" s="84">
        <v>8657.2465290340606</v>
      </c>
      <c r="P134" s="84">
        <v>1188.32594141406</v>
      </c>
      <c r="Q134" s="84">
        <v>16782.685876348802</v>
      </c>
      <c r="R134" s="84">
        <v>948.11791692387999</v>
      </c>
      <c r="S134" s="84">
        <v>1888.9337733848199</v>
      </c>
      <c r="T134" s="84">
        <v>1113.34630342231</v>
      </c>
      <c r="U134" s="84">
        <v>161.37865261898199</v>
      </c>
      <c r="V134" s="84">
        <v>15609.9605129227</v>
      </c>
      <c r="W134" s="84">
        <v>550.82393574542004</v>
      </c>
      <c r="X134" s="84">
        <v>59.379322629091398</v>
      </c>
      <c r="Y134" s="84">
        <v>243.16380575248701</v>
      </c>
      <c r="Z134" s="84">
        <v>219.79303279997299</v>
      </c>
      <c r="AA134" s="84">
        <v>1603.32834284605</v>
      </c>
      <c r="AB134" s="84">
        <v>909.85293283241299</v>
      </c>
      <c r="AC134" s="84">
        <v>5597.2385245198502</v>
      </c>
      <c r="AD134" s="84">
        <v>2607.6352460774201</v>
      </c>
      <c r="AE134" s="84">
        <v>1381.3200257839101</v>
      </c>
      <c r="AF134" s="84">
        <v>1059.4849695973901</v>
      </c>
      <c r="AG134" s="84">
        <v>312.094208349751</v>
      </c>
      <c r="AH134" s="84">
        <v>704.835072608107</v>
      </c>
      <c r="AI134" s="84">
        <f t="shared" si="2"/>
        <v>86590.345280039153</v>
      </c>
    </row>
    <row r="135" spans="1:35">
      <c r="A135" s="22" t="s">
        <v>102</v>
      </c>
      <c r="B135" s="22" t="s">
        <v>103</v>
      </c>
      <c r="C135" s="22">
        <v>2019</v>
      </c>
      <c r="D135" s="22" t="s">
        <v>87</v>
      </c>
      <c r="E135" s="84">
        <v>1798.1861841037701</v>
      </c>
      <c r="F135" s="84">
        <v>2605.4745508097599</v>
      </c>
      <c r="G135" s="84">
        <v>801.66612288283795</v>
      </c>
      <c r="H135" s="84">
        <v>1330.9560204305201</v>
      </c>
      <c r="I135" s="84">
        <v>332.26537408977299</v>
      </c>
      <c r="J135" s="84">
        <v>3824.4844782506002</v>
      </c>
      <c r="K135" s="84">
        <v>8715.8019560844095</v>
      </c>
      <c r="L135" s="84">
        <v>393.59092298995802</v>
      </c>
      <c r="M135" s="84">
        <v>219.67220052059801</v>
      </c>
      <c r="N135" s="84">
        <v>5166.3524648994699</v>
      </c>
      <c r="O135" s="84">
        <v>5653.3316484038796</v>
      </c>
      <c r="P135" s="84">
        <v>965.81143142270503</v>
      </c>
      <c r="Q135" s="84">
        <v>12536.6173676788</v>
      </c>
      <c r="R135" s="84">
        <v>1470.2306296112199</v>
      </c>
      <c r="S135" s="84">
        <v>1824.37299294381</v>
      </c>
      <c r="T135" s="84">
        <v>767.574461857963</v>
      </c>
      <c r="U135" s="84">
        <v>199.686284777694</v>
      </c>
      <c r="V135" s="84">
        <v>17006.5624764288</v>
      </c>
      <c r="W135" s="84">
        <v>532.73759754405899</v>
      </c>
      <c r="X135" s="84">
        <v>47.560268718875101</v>
      </c>
      <c r="Y135" s="84">
        <v>243.350490555801</v>
      </c>
      <c r="Z135" s="84">
        <v>220.655869370099</v>
      </c>
      <c r="AA135" s="84">
        <v>973.35470310058201</v>
      </c>
      <c r="AB135" s="84">
        <v>874.49763953894501</v>
      </c>
      <c r="AC135" s="84">
        <v>5315.7443308881402</v>
      </c>
      <c r="AD135" s="84">
        <v>3151.2219448501301</v>
      </c>
      <c r="AE135" s="84">
        <v>1780.65168470362</v>
      </c>
      <c r="AF135" s="84">
        <v>936.97838555858402</v>
      </c>
      <c r="AG135" s="84">
        <v>282.19059395521998</v>
      </c>
      <c r="AH135" s="84">
        <v>688.68587685230398</v>
      </c>
      <c r="AI135" s="84">
        <f t="shared" si="2"/>
        <v>78255.127009075804</v>
      </c>
    </row>
    <row r="136" spans="1:35">
      <c r="A136" s="22" t="s">
        <v>102</v>
      </c>
      <c r="B136" s="22" t="s">
        <v>103</v>
      </c>
      <c r="C136" s="22">
        <v>2021</v>
      </c>
      <c r="D136" s="22" t="s">
        <v>87</v>
      </c>
      <c r="E136" s="84">
        <v>1482.92173363034</v>
      </c>
      <c r="F136" s="84">
        <v>2283.7439747538801</v>
      </c>
      <c r="G136" s="84">
        <v>739.43169202747902</v>
      </c>
      <c r="H136" s="84">
        <v>1225.2090031252301</v>
      </c>
      <c r="I136" s="84">
        <v>353.48764662207401</v>
      </c>
      <c r="J136" s="84">
        <v>3710.5604658258799</v>
      </c>
      <c r="K136" s="84">
        <v>8038.4459574336197</v>
      </c>
      <c r="L136" s="84">
        <v>356.19228233206002</v>
      </c>
      <c r="M136" s="84">
        <v>190.20812155407299</v>
      </c>
      <c r="N136" s="84">
        <v>4700.7990531577298</v>
      </c>
      <c r="O136" s="84">
        <v>4986.3393512475104</v>
      </c>
      <c r="P136" s="84">
        <v>833.63235549453805</v>
      </c>
      <c r="Q136" s="84">
        <v>9942.9124646539494</v>
      </c>
      <c r="R136" s="84">
        <v>1699.2840431709401</v>
      </c>
      <c r="S136" s="84">
        <v>1864.22258384666</v>
      </c>
      <c r="T136" s="84">
        <v>669.43346628389304</v>
      </c>
      <c r="U136" s="84">
        <v>157.31101155580399</v>
      </c>
      <c r="V136" s="84">
        <v>15374.7346748377</v>
      </c>
      <c r="W136" s="84">
        <v>512.85392253943598</v>
      </c>
      <c r="X136" s="84">
        <v>40.113614854824498</v>
      </c>
      <c r="Y136" s="84">
        <v>250.34144045804899</v>
      </c>
      <c r="Z136" s="84">
        <v>228.81049218167601</v>
      </c>
      <c r="AA136" s="84">
        <v>927.86042371631697</v>
      </c>
      <c r="AB136" s="84">
        <v>628.42310539080302</v>
      </c>
      <c r="AC136" s="84">
        <v>4947.3462783110599</v>
      </c>
      <c r="AD136" s="84">
        <v>3185.5289192426599</v>
      </c>
      <c r="AE136" s="84">
        <v>1908.2568047049001</v>
      </c>
      <c r="AF136" s="84">
        <v>840.30888375648306</v>
      </c>
      <c r="AG136" s="84">
        <v>267.03943054435399</v>
      </c>
      <c r="AH136" s="84">
        <v>672.40437224821903</v>
      </c>
      <c r="AI136" s="84">
        <f t="shared" si="2"/>
        <v>71007.214449430292</v>
      </c>
    </row>
    <row r="137" spans="1:35">
      <c r="A137" s="22" t="s">
        <v>104</v>
      </c>
      <c r="B137" s="22" t="s">
        <v>105</v>
      </c>
      <c r="C137" s="22">
        <v>1990</v>
      </c>
      <c r="D137" s="22" t="s">
        <v>85</v>
      </c>
      <c r="E137" s="84">
        <v>0</v>
      </c>
      <c r="F137" s="84">
        <v>0</v>
      </c>
      <c r="G137" s="84">
        <v>25.961516396103399</v>
      </c>
      <c r="H137" s="84">
        <v>6.0685655910155702</v>
      </c>
      <c r="I137" s="84">
        <v>0</v>
      </c>
      <c r="J137" s="84">
        <v>0</v>
      </c>
      <c r="K137" s="84">
        <v>0</v>
      </c>
      <c r="L137" s="84">
        <v>5.5319344999999999E-2</v>
      </c>
      <c r="M137" s="84">
        <v>0</v>
      </c>
      <c r="N137" s="84">
        <v>102.4728243462</v>
      </c>
      <c r="O137" s="84">
        <v>0</v>
      </c>
      <c r="P137" s="84">
        <v>0</v>
      </c>
      <c r="Q137" s="84">
        <v>29.812200000000001</v>
      </c>
      <c r="R137" s="84">
        <v>0</v>
      </c>
      <c r="S137" s="84">
        <v>0</v>
      </c>
      <c r="T137" s="84">
        <v>7.4528994680800001E-2</v>
      </c>
      <c r="U137" s="84">
        <v>4.9259587499999999E-3</v>
      </c>
      <c r="V137" s="84">
        <v>0</v>
      </c>
      <c r="W137" s="84">
        <v>0</v>
      </c>
      <c r="X137" s="84">
        <v>0</v>
      </c>
      <c r="Y137" s="84">
        <v>0</v>
      </c>
      <c r="Z137" s="84">
        <v>0</v>
      </c>
      <c r="AA137" s="84">
        <v>0.22057499999999999</v>
      </c>
      <c r="AB137" s="84">
        <v>0</v>
      </c>
      <c r="AC137" s="84">
        <v>0</v>
      </c>
      <c r="AD137" s="84">
        <v>0</v>
      </c>
      <c r="AE137" s="84">
        <v>0</v>
      </c>
      <c r="AF137" s="84">
        <v>0</v>
      </c>
      <c r="AG137" s="84">
        <v>0</v>
      </c>
      <c r="AH137" s="84">
        <v>0</v>
      </c>
      <c r="AI137" s="84">
        <f t="shared" si="2"/>
        <v>158.5969640819842</v>
      </c>
    </row>
    <row r="138" spans="1:35">
      <c r="A138" s="22" t="s">
        <v>104</v>
      </c>
      <c r="B138" s="22" t="s">
        <v>105</v>
      </c>
      <c r="C138" s="22">
        <v>2010</v>
      </c>
      <c r="D138" s="22" t="s">
        <v>85</v>
      </c>
      <c r="E138" s="84">
        <v>0</v>
      </c>
      <c r="F138" s="84">
        <v>0</v>
      </c>
      <c r="G138" s="84">
        <v>26.024087793367698</v>
      </c>
      <c r="H138" s="84">
        <v>31.118493905177299</v>
      </c>
      <c r="I138" s="84">
        <v>0</v>
      </c>
      <c r="J138" s="84">
        <v>0</v>
      </c>
      <c r="K138" s="84">
        <v>0</v>
      </c>
      <c r="L138" s="84">
        <v>0.23452269249999999</v>
      </c>
      <c r="M138" s="84">
        <v>0</v>
      </c>
      <c r="N138" s="84">
        <v>93.359919069147594</v>
      </c>
      <c r="O138" s="84">
        <v>0</v>
      </c>
      <c r="P138" s="84">
        <v>0</v>
      </c>
      <c r="Q138" s="84">
        <v>35.238</v>
      </c>
      <c r="R138" s="84">
        <v>0</v>
      </c>
      <c r="S138" s="84">
        <v>0</v>
      </c>
      <c r="T138" s="84">
        <v>5.3644595782800002E-2</v>
      </c>
      <c r="U138" s="84">
        <v>2.1209540499999999E-2</v>
      </c>
      <c r="V138" s="84">
        <v>0</v>
      </c>
      <c r="W138" s="84">
        <v>0</v>
      </c>
      <c r="X138" s="84">
        <v>0</v>
      </c>
      <c r="Y138" s="84">
        <v>0</v>
      </c>
      <c r="Z138" s="84">
        <v>0</v>
      </c>
      <c r="AA138" s="84">
        <v>0.61414999999999997</v>
      </c>
      <c r="AB138" s="84">
        <v>0</v>
      </c>
      <c r="AC138" s="84">
        <v>0</v>
      </c>
      <c r="AD138" s="84">
        <v>0</v>
      </c>
      <c r="AE138" s="84">
        <v>0</v>
      </c>
      <c r="AF138" s="84">
        <v>0</v>
      </c>
      <c r="AG138" s="84">
        <v>0</v>
      </c>
      <c r="AH138" s="84">
        <v>0</v>
      </c>
      <c r="AI138" s="84">
        <f t="shared" si="2"/>
        <v>155.52432415079809</v>
      </c>
    </row>
    <row r="139" spans="1:35">
      <c r="A139" s="22" t="s">
        <v>104</v>
      </c>
      <c r="B139" s="22" t="s">
        <v>105</v>
      </c>
      <c r="C139" s="22">
        <v>2015</v>
      </c>
      <c r="D139" s="22" t="s">
        <v>85</v>
      </c>
      <c r="E139" s="84">
        <v>0</v>
      </c>
      <c r="F139" s="84">
        <v>0</v>
      </c>
      <c r="G139" s="84">
        <v>22.681493228064301</v>
      </c>
      <c r="H139" s="84">
        <v>32.279403405141501</v>
      </c>
      <c r="I139" s="84">
        <v>0</v>
      </c>
      <c r="J139" s="84">
        <v>0</v>
      </c>
      <c r="K139" s="84">
        <v>0</v>
      </c>
      <c r="L139" s="84">
        <v>0.25049145750000001</v>
      </c>
      <c r="M139" s="84">
        <v>0</v>
      </c>
      <c r="N139" s="84">
        <v>83.805584854578797</v>
      </c>
      <c r="O139" s="84">
        <v>0</v>
      </c>
      <c r="P139" s="84">
        <v>0</v>
      </c>
      <c r="Q139" s="84">
        <v>21.208413</v>
      </c>
      <c r="R139" s="84">
        <v>0</v>
      </c>
      <c r="S139" s="84">
        <v>0</v>
      </c>
      <c r="T139" s="84">
        <v>4.4441491156480002E-2</v>
      </c>
      <c r="U139" s="84">
        <v>2.6023784500000001E-2</v>
      </c>
      <c r="V139" s="84">
        <v>0</v>
      </c>
      <c r="W139" s="84">
        <v>0</v>
      </c>
      <c r="X139" s="84">
        <v>0</v>
      </c>
      <c r="Y139" s="84">
        <v>0</v>
      </c>
      <c r="Z139" s="84">
        <v>0</v>
      </c>
      <c r="AA139" s="84">
        <v>0.83040000000000003</v>
      </c>
      <c r="AB139" s="84">
        <v>0</v>
      </c>
      <c r="AC139" s="84">
        <v>0</v>
      </c>
      <c r="AD139" s="84">
        <v>0</v>
      </c>
      <c r="AE139" s="84">
        <v>0</v>
      </c>
      <c r="AF139" s="84">
        <v>0</v>
      </c>
      <c r="AG139" s="84">
        <v>0</v>
      </c>
      <c r="AH139" s="84">
        <v>0</v>
      </c>
      <c r="AI139" s="84">
        <f t="shared" si="2"/>
        <v>128.82082403129959</v>
      </c>
    </row>
    <row r="140" spans="1:35">
      <c r="A140" s="22" t="s">
        <v>104</v>
      </c>
      <c r="B140" s="22" t="s">
        <v>105</v>
      </c>
      <c r="C140" s="22">
        <v>2019</v>
      </c>
      <c r="D140" s="22" t="s">
        <v>85</v>
      </c>
      <c r="E140" s="84">
        <v>0</v>
      </c>
      <c r="F140" s="84">
        <v>0</v>
      </c>
      <c r="G140" s="84">
        <v>24.218643567454802</v>
      </c>
      <c r="H140" s="84">
        <v>35.389260002920999</v>
      </c>
      <c r="I140" s="84">
        <v>0</v>
      </c>
      <c r="J140" s="84">
        <v>0</v>
      </c>
      <c r="K140" s="84">
        <v>0</v>
      </c>
      <c r="L140" s="84">
        <v>0.184214725</v>
      </c>
      <c r="M140" s="84">
        <v>0</v>
      </c>
      <c r="N140" s="84">
        <v>86.899568771505201</v>
      </c>
      <c r="O140" s="84">
        <v>0</v>
      </c>
      <c r="P140" s="84">
        <v>0</v>
      </c>
      <c r="Q140" s="84">
        <v>3.9882771180000001</v>
      </c>
      <c r="R140" s="84">
        <v>0</v>
      </c>
      <c r="S140" s="84">
        <v>0</v>
      </c>
      <c r="T140" s="84">
        <v>3.7935392682000003E-2</v>
      </c>
      <c r="U140" s="84">
        <v>2.0294932750000001E-2</v>
      </c>
      <c r="V140" s="84">
        <v>0</v>
      </c>
      <c r="W140" s="84">
        <v>0</v>
      </c>
      <c r="X140" s="84">
        <v>0</v>
      </c>
      <c r="Y140" s="84">
        <v>0</v>
      </c>
      <c r="Z140" s="84">
        <v>0</v>
      </c>
      <c r="AA140" s="84">
        <v>1.0466500000000001</v>
      </c>
      <c r="AB140" s="84">
        <v>0</v>
      </c>
      <c r="AC140" s="84">
        <v>0</v>
      </c>
      <c r="AD140" s="84">
        <v>0</v>
      </c>
      <c r="AE140" s="84">
        <v>0</v>
      </c>
      <c r="AF140" s="84">
        <v>0</v>
      </c>
      <c r="AG140" s="84">
        <v>0</v>
      </c>
      <c r="AH140" s="84">
        <v>0</v>
      </c>
      <c r="AI140" s="84">
        <f t="shared" si="2"/>
        <v>116.37528957464201</v>
      </c>
    </row>
    <row r="141" spans="1:35">
      <c r="A141" s="22" t="s">
        <v>104</v>
      </c>
      <c r="B141" s="22" t="s">
        <v>105</v>
      </c>
      <c r="C141" s="22">
        <v>2021</v>
      </c>
      <c r="D141" s="22" t="s">
        <v>85</v>
      </c>
      <c r="E141" s="84">
        <v>0</v>
      </c>
      <c r="F141" s="84">
        <v>0</v>
      </c>
      <c r="G141" s="84">
        <v>22.789894446766301</v>
      </c>
      <c r="H141" s="84">
        <v>31.760630328146402</v>
      </c>
      <c r="I141" s="84">
        <v>0</v>
      </c>
      <c r="J141" s="84">
        <v>0</v>
      </c>
      <c r="K141" s="84">
        <v>0</v>
      </c>
      <c r="L141" s="84">
        <v>0.21585209999999999</v>
      </c>
      <c r="M141" s="84">
        <v>0</v>
      </c>
      <c r="N141" s="84">
        <v>87.000256623229802</v>
      </c>
      <c r="O141" s="84">
        <v>0</v>
      </c>
      <c r="P141" s="84">
        <v>0</v>
      </c>
      <c r="Q141" s="84">
        <v>12.565812252000001</v>
      </c>
      <c r="R141" s="84">
        <v>0</v>
      </c>
      <c r="S141" s="84">
        <v>0</v>
      </c>
      <c r="T141" s="84">
        <v>3.7114559019120003E-2</v>
      </c>
      <c r="U141" s="84">
        <v>2.2757890499999999E-2</v>
      </c>
      <c r="V141" s="84">
        <v>0</v>
      </c>
      <c r="W141" s="84">
        <v>0</v>
      </c>
      <c r="X141" s="84">
        <v>0</v>
      </c>
      <c r="Y141" s="84">
        <v>0</v>
      </c>
      <c r="Z141" s="84">
        <v>0</v>
      </c>
      <c r="AA141" s="84">
        <v>0.16372719999999999</v>
      </c>
      <c r="AB141" s="84">
        <v>0</v>
      </c>
      <c r="AC141" s="84">
        <v>0</v>
      </c>
      <c r="AD141" s="84">
        <v>0</v>
      </c>
      <c r="AE141" s="84">
        <v>0</v>
      </c>
      <c r="AF141" s="84">
        <v>0</v>
      </c>
      <c r="AG141" s="84">
        <v>0</v>
      </c>
      <c r="AH141" s="84">
        <v>0</v>
      </c>
      <c r="AI141" s="84">
        <f t="shared" si="2"/>
        <v>122.77265718101525</v>
      </c>
    </row>
    <row r="142" spans="1:35">
      <c r="A142" s="22" t="s">
        <v>104</v>
      </c>
      <c r="B142" s="22" t="s">
        <v>105</v>
      </c>
      <c r="C142" s="22">
        <v>1990</v>
      </c>
      <c r="D142" s="22" t="s">
        <v>86</v>
      </c>
      <c r="E142" s="84">
        <v>252.46336841809099</v>
      </c>
      <c r="F142" s="84">
        <v>313.17522783623099</v>
      </c>
      <c r="G142" s="84">
        <v>58.738703206253703</v>
      </c>
      <c r="H142" s="84">
        <v>245.08091952744601</v>
      </c>
      <c r="I142" s="84">
        <v>6.6624047322299997</v>
      </c>
      <c r="J142" s="84">
        <v>270.20573072347997</v>
      </c>
      <c r="K142" s="84">
        <v>5983.6665437250003</v>
      </c>
      <c r="L142" s="84">
        <v>32.064044826655</v>
      </c>
      <c r="M142" s="84">
        <v>4.8454397154687001</v>
      </c>
      <c r="N142" s="84">
        <v>223.99457158616499</v>
      </c>
      <c r="O142" s="84">
        <v>425.5995751735</v>
      </c>
      <c r="P142" s="84">
        <v>103.721770069557</v>
      </c>
      <c r="Q142" s="84">
        <v>1634.8526728431</v>
      </c>
      <c r="R142" s="84">
        <v>43.703246</v>
      </c>
      <c r="S142" s="84">
        <v>131.28513129059499</v>
      </c>
      <c r="T142" s="84">
        <v>62.3951360987108</v>
      </c>
      <c r="U142" s="84">
        <v>6.6052635682669996</v>
      </c>
      <c r="V142" s="84">
        <v>997.71055855352199</v>
      </c>
      <c r="W142" s="84">
        <v>85.4112559058496</v>
      </c>
      <c r="X142" s="84">
        <v>9.2752930410672505</v>
      </c>
      <c r="Y142" s="84">
        <v>4.3023500204532503</v>
      </c>
      <c r="Z142" s="84">
        <v>2.3608846261809</v>
      </c>
      <c r="AA142" s="84">
        <v>471.44490463010402</v>
      </c>
      <c r="AB142" s="84">
        <v>85.391030642225004</v>
      </c>
      <c r="AC142" s="84">
        <v>107.111103288367</v>
      </c>
      <c r="AD142" s="84">
        <v>73.718159260531607</v>
      </c>
      <c r="AE142" s="84">
        <v>1.3453684008</v>
      </c>
      <c r="AF142" s="84">
        <v>158.47780599107</v>
      </c>
      <c r="AG142" s="84">
        <v>47.230849999999997</v>
      </c>
      <c r="AH142" s="84">
        <v>14.635160000000001</v>
      </c>
      <c r="AI142" s="84">
        <f t="shared" si="2"/>
        <v>11520.397259962981</v>
      </c>
    </row>
    <row r="143" spans="1:35">
      <c r="A143" s="22" t="s">
        <v>104</v>
      </c>
      <c r="B143" s="22" t="s">
        <v>105</v>
      </c>
      <c r="C143" s="22">
        <v>2010</v>
      </c>
      <c r="D143" s="22" t="s">
        <v>86</v>
      </c>
      <c r="E143" s="84">
        <v>324.90075034706598</v>
      </c>
      <c r="F143" s="84">
        <v>191.06938839895199</v>
      </c>
      <c r="G143" s="84">
        <v>71.203869499142698</v>
      </c>
      <c r="H143" s="84">
        <v>231.15330325340599</v>
      </c>
      <c r="I143" s="84">
        <v>18.32118869</v>
      </c>
      <c r="J143" s="84">
        <v>282.42752338341501</v>
      </c>
      <c r="K143" s="84">
        <v>3186.0564432731599</v>
      </c>
      <c r="L143" s="84">
        <v>57.357478711699997</v>
      </c>
      <c r="M143" s="84">
        <v>6.430331898185</v>
      </c>
      <c r="N143" s="84">
        <v>228.614928940607</v>
      </c>
      <c r="O143" s="84">
        <v>844.9798286775</v>
      </c>
      <c r="P143" s="84">
        <v>39.057315183551999</v>
      </c>
      <c r="Q143" s="84">
        <v>1179.8377147021899</v>
      </c>
      <c r="R143" s="84">
        <v>34.047561000000002</v>
      </c>
      <c r="S143" s="84">
        <v>173.39713975550501</v>
      </c>
      <c r="T143" s="84">
        <v>52.466166830072801</v>
      </c>
      <c r="U143" s="84">
        <v>8.3217399580739997</v>
      </c>
      <c r="V143" s="84">
        <v>892.68594662652504</v>
      </c>
      <c r="W143" s="84">
        <v>6.0909152764429502</v>
      </c>
      <c r="X143" s="84">
        <v>10.9003222966191</v>
      </c>
      <c r="Y143" s="84">
        <v>11.42142049776</v>
      </c>
      <c r="Z143" s="84">
        <v>3.1074513657098</v>
      </c>
      <c r="AA143" s="84">
        <v>239.577846297858</v>
      </c>
      <c r="AB143" s="84">
        <v>94.470581931449999</v>
      </c>
      <c r="AC143" s="84">
        <v>147.961516366886</v>
      </c>
      <c r="AD143" s="84">
        <v>78.557417623380005</v>
      </c>
      <c r="AE143" s="84">
        <v>58.549969787960002</v>
      </c>
      <c r="AF143" s="84">
        <v>138.78808338934499</v>
      </c>
      <c r="AG143" s="84">
        <v>43.678334524999997</v>
      </c>
      <c r="AH143" s="84">
        <v>89.285685000000001</v>
      </c>
      <c r="AI143" s="84">
        <f t="shared" si="2"/>
        <v>8410.7725383445377</v>
      </c>
    </row>
    <row r="144" spans="1:35">
      <c r="A144" s="22" t="s">
        <v>104</v>
      </c>
      <c r="B144" s="22" t="s">
        <v>105</v>
      </c>
      <c r="C144" s="22">
        <v>2015</v>
      </c>
      <c r="D144" s="22" t="s">
        <v>86</v>
      </c>
      <c r="E144" s="84">
        <v>310.54638217445103</v>
      </c>
      <c r="F144" s="84">
        <v>184.12054705348601</v>
      </c>
      <c r="G144" s="84">
        <v>54.676049768134298</v>
      </c>
      <c r="H144" s="84">
        <v>335.61305185751303</v>
      </c>
      <c r="I144" s="84">
        <v>22.472796365000001</v>
      </c>
      <c r="J144" s="84">
        <v>276.60730999162001</v>
      </c>
      <c r="K144" s="84">
        <v>3587.4138869242001</v>
      </c>
      <c r="L144" s="84">
        <v>146.57595449806001</v>
      </c>
      <c r="M144" s="84">
        <v>5.8619352372250004</v>
      </c>
      <c r="N144" s="84">
        <v>214.47604362040599</v>
      </c>
      <c r="O144" s="84">
        <v>503.938626183</v>
      </c>
      <c r="P144" s="84">
        <v>32.861668012743699</v>
      </c>
      <c r="Q144" s="84">
        <v>957.73220027724904</v>
      </c>
      <c r="R144" s="84">
        <v>23.645088999999999</v>
      </c>
      <c r="S144" s="84">
        <v>210.770874179971</v>
      </c>
      <c r="T144" s="84">
        <v>60.9681303464465</v>
      </c>
      <c r="U144" s="84">
        <v>4.5728912173399996</v>
      </c>
      <c r="V144" s="84">
        <v>853.22926015339397</v>
      </c>
      <c r="W144" s="84">
        <v>5.05029310357315</v>
      </c>
      <c r="X144" s="84">
        <v>14.5215402155227</v>
      </c>
      <c r="Y144" s="84">
        <v>14.415353259848001</v>
      </c>
      <c r="Z144" s="84">
        <v>0.78124019367459996</v>
      </c>
      <c r="AA144" s="84">
        <v>241.98075288768001</v>
      </c>
      <c r="AB144" s="84">
        <v>89.086474718635003</v>
      </c>
      <c r="AC144" s="84">
        <v>192.42746758872701</v>
      </c>
      <c r="AD144" s="84">
        <v>64.906257582329999</v>
      </c>
      <c r="AE144" s="84">
        <v>43.153203776029997</v>
      </c>
      <c r="AF144" s="84">
        <v>115.59842150094499</v>
      </c>
      <c r="AG144" s="84">
        <v>50.981662749999998</v>
      </c>
      <c r="AH144" s="84">
        <v>75.318553370000004</v>
      </c>
      <c r="AI144" s="84">
        <f t="shared" si="2"/>
        <v>8265.0315000137161</v>
      </c>
    </row>
    <row r="145" spans="1:35">
      <c r="A145" s="22" t="s">
        <v>104</v>
      </c>
      <c r="B145" s="22" t="s">
        <v>105</v>
      </c>
      <c r="C145" s="22">
        <v>2019</v>
      </c>
      <c r="D145" s="22" t="s">
        <v>86</v>
      </c>
      <c r="E145" s="84">
        <v>447.508225682356</v>
      </c>
      <c r="F145" s="84">
        <v>143.970903133701</v>
      </c>
      <c r="G145" s="84">
        <v>54.107007758509802</v>
      </c>
      <c r="H145" s="84">
        <v>268.485017277113</v>
      </c>
      <c r="I145" s="84">
        <v>21.391112400000001</v>
      </c>
      <c r="J145" s="84">
        <v>266.28625802517001</v>
      </c>
      <c r="K145" s="84">
        <v>4237.5710177778001</v>
      </c>
      <c r="L145" s="84">
        <v>93.677748096619993</v>
      </c>
      <c r="M145" s="84">
        <v>5.7165295952850004</v>
      </c>
      <c r="N145" s="84">
        <v>215.88434314167199</v>
      </c>
      <c r="O145" s="84">
        <v>742.83936763400004</v>
      </c>
      <c r="P145" s="84">
        <v>31.263632819026</v>
      </c>
      <c r="Q145" s="84">
        <v>887.54484964698804</v>
      </c>
      <c r="R145" s="84">
        <v>24.280253999999999</v>
      </c>
      <c r="S145" s="84">
        <v>262.04006193556398</v>
      </c>
      <c r="T145" s="84">
        <v>49.962591143932002</v>
      </c>
      <c r="U145" s="84">
        <v>4.8896314335230002</v>
      </c>
      <c r="V145" s="84">
        <v>854.03335651064003</v>
      </c>
      <c r="W145" s="84">
        <v>4.6628377832778503</v>
      </c>
      <c r="X145" s="84">
        <v>16.569470392754699</v>
      </c>
      <c r="Y145" s="84">
        <v>18.021031900960001</v>
      </c>
      <c r="Z145" s="84">
        <v>1.5707059876454501</v>
      </c>
      <c r="AA145" s="84">
        <v>254.60808672495099</v>
      </c>
      <c r="AB145" s="84">
        <v>82.691317857314999</v>
      </c>
      <c r="AC145" s="84">
        <v>212.99938061502499</v>
      </c>
      <c r="AD145" s="84">
        <v>67.256919253540005</v>
      </c>
      <c r="AE145" s="84">
        <v>61.464616649539998</v>
      </c>
      <c r="AF145" s="84">
        <v>109.912663724105</v>
      </c>
      <c r="AG145" s="84">
        <v>75.224081190500002</v>
      </c>
      <c r="AH145" s="84">
        <v>67.675375491400004</v>
      </c>
      <c r="AI145" s="84">
        <f t="shared" si="2"/>
        <v>9228.0424290149622</v>
      </c>
    </row>
    <row r="146" spans="1:35">
      <c r="A146" s="22" t="s">
        <v>104</v>
      </c>
      <c r="B146" s="22" t="s">
        <v>105</v>
      </c>
      <c r="C146" s="22">
        <v>2021</v>
      </c>
      <c r="D146" s="22" t="s">
        <v>86</v>
      </c>
      <c r="E146" s="84">
        <v>383.260342136811</v>
      </c>
      <c r="F146" s="84">
        <v>123.613893714604</v>
      </c>
      <c r="G146" s="84">
        <v>56.428000361531303</v>
      </c>
      <c r="H146" s="84">
        <v>233.666050371963</v>
      </c>
      <c r="I146" s="84">
        <v>22.298923267749998</v>
      </c>
      <c r="J146" s="84">
        <v>261.57349514203497</v>
      </c>
      <c r="K146" s="84">
        <v>2862.4974777327998</v>
      </c>
      <c r="L146" s="84">
        <v>37.355199425850003</v>
      </c>
      <c r="M146" s="84">
        <v>5.4614359176600002</v>
      </c>
      <c r="N146" s="84">
        <v>215.40909629234599</v>
      </c>
      <c r="O146" s="84">
        <v>787.32020757049997</v>
      </c>
      <c r="P146" s="84">
        <v>47.0465332763182</v>
      </c>
      <c r="Q146" s="84">
        <v>786.89351822622803</v>
      </c>
      <c r="R146" s="84">
        <v>26.494407810475</v>
      </c>
      <c r="S146" s="84">
        <v>316.85885894031901</v>
      </c>
      <c r="T146" s="84">
        <v>46.197630301184098</v>
      </c>
      <c r="U146" s="84">
        <v>4.9042634314500004</v>
      </c>
      <c r="V146" s="84">
        <v>662.72725058725996</v>
      </c>
      <c r="W146" s="84">
        <v>3.7783794516886</v>
      </c>
      <c r="X146" s="84">
        <v>18.3544771509609</v>
      </c>
      <c r="Y146" s="84">
        <v>15.453974786122499</v>
      </c>
      <c r="Z146" s="84">
        <v>2.2658791372186502</v>
      </c>
      <c r="AA146" s="84">
        <v>247.96392235123699</v>
      </c>
      <c r="AB146" s="84">
        <v>74.934891788624995</v>
      </c>
      <c r="AC146" s="84">
        <v>212.53583362881699</v>
      </c>
      <c r="AD146" s="84">
        <v>51.489470467609998</v>
      </c>
      <c r="AE146" s="84">
        <v>51.777893649665003</v>
      </c>
      <c r="AF146" s="84">
        <v>108.11484780172501</v>
      </c>
      <c r="AG146" s="84">
        <v>47.682808555960001</v>
      </c>
      <c r="AH146" s="84">
        <v>74.916462089999996</v>
      </c>
      <c r="AI146" s="84">
        <f t="shared" si="2"/>
        <v>7475.7702197746767</v>
      </c>
    </row>
    <row r="147" spans="1:35">
      <c r="A147" s="22" t="s">
        <v>104</v>
      </c>
      <c r="B147" s="22" t="s">
        <v>105</v>
      </c>
      <c r="C147" s="22">
        <v>1990</v>
      </c>
      <c r="D147" s="22" t="s">
        <v>87</v>
      </c>
      <c r="E147" s="84">
        <v>252.46336841809099</v>
      </c>
      <c r="F147" s="84">
        <v>313.17522783623099</v>
      </c>
      <c r="G147" s="84">
        <v>32.777186810150297</v>
      </c>
      <c r="H147" s="84">
        <v>239.01235393643</v>
      </c>
      <c r="I147" s="84">
        <v>6.6624047322299997</v>
      </c>
      <c r="J147" s="84">
        <v>270.20573072347997</v>
      </c>
      <c r="K147" s="84">
        <v>5983.6665437250003</v>
      </c>
      <c r="L147" s="84">
        <v>32.008725481654999</v>
      </c>
      <c r="M147" s="84">
        <v>4.8454397154687001</v>
      </c>
      <c r="N147" s="84">
        <v>121.52174723996499</v>
      </c>
      <c r="O147" s="84">
        <v>425.5995751735</v>
      </c>
      <c r="P147" s="84">
        <v>103.721770069557</v>
      </c>
      <c r="Q147" s="84">
        <v>1605.0404728430999</v>
      </c>
      <c r="R147" s="84">
        <v>43.703246</v>
      </c>
      <c r="S147" s="84">
        <v>131.28513129059499</v>
      </c>
      <c r="T147" s="84">
        <v>62.320607104030003</v>
      </c>
      <c r="U147" s="84">
        <v>6.6003376095170001</v>
      </c>
      <c r="V147" s="84">
        <v>997.71055855352199</v>
      </c>
      <c r="W147" s="84">
        <v>85.4112559058496</v>
      </c>
      <c r="X147" s="84">
        <v>9.2752930410672505</v>
      </c>
      <c r="Y147" s="84">
        <v>4.3023500204532503</v>
      </c>
      <c r="Z147" s="84">
        <v>2.3608846261809</v>
      </c>
      <c r="AA147" s="84">
        <v>471.22432963010402</v>
      </c>
      <c r="AB147" s="84">
        <v>85.391030642225004</v>
      </c>
      <c r="AC147" s="84">
        <v>107.111103288367</v>
      </c>
      <c r="AD147" s="84">
        <v>73.718159260531607</v>
      </c>
      <c r="AE147" s="84">
        <v>1.3453684008</v>
      </c>
      <c r="AF147" s="84">
        <v>158.47780599107</v>
      </c>
      <c r="AG147" s="84">
        <v>47.230849999999997</v>
      </c>
      <c r="AH147" s="84">
        <v>14.635160000000001</v>
      </c>
      <c r="AI147" s="84">
        <f t="shared" si="2"/>
        <v>11361.800295880999</v>
      </c>
    </row>
    <row r="148" spans="1:35">
      <c r="A148" s="22" t="s">
        <v>104</v>
      </c>
      <c r="B148" s="22" t="s">
        <v>105</v>
      </c>
      <c r="C148" s="22">
        <v>2010</v>
      </c>
      <c r="D148" s="22" t="s">
        <v>87</v>
      </c>
      <c r="E148" s="84">
        <v>324.90075034706598</v>
      </c>
      <c r="F148" s="84">
        <v>191.06938839895199</v>
      </c>
      <c r="G148" s="84">
        <v>45.179781705775</v>
      </c>
      <c r="H148" s="84">
        <v>200.034809348229</v>
      </c>
      <c r="I148" s="84">
        <v>18.32118869</v>
      </c>
      <c r="J148" s="84">
        <v>282.42752338341501</v>
      </c>
      <c r="K148" s="84">
        <v>3186.0564432731599</v>
      </c>
      <c r="L148" s="84">
        <v>57.122956019199997</v>
      </c>
      <c r="M148" s="84">
        <v>6.430331898185</v>
      </c>
      <c r="N148" s="84">
        <v>135.25500987146</v>
      </c>
      <c r="O148" s="84">
        <v>844.9798286775</v>
      </c>
      <c r="P148" s="84">
        <v>39.057315183551999</v>
      </c>
      <c r="Q148" s="84">
        <v>1144.5997147021901</v>
      </c>
      <c r="R148" s="84">
        <v>34.047561000000002</v>
      </c>
      <c r="S148" s="84">
        <v>173.39713975550501</v>
      </c>
      <c r="T148" s="84">
        <v>52.412522234290002</v>
      </c>
      <c r="U148" s="84">
        <v>8.3005304175740005</v>
      </c>
      <c r="V148" s="84">
        <v>892.68594662652504</v>
      </c>
      <c r="W148" s="84">
        <v>6.0909152764429502</v>
      </c>
      <c r="X148" s="84">
        <v>10.9003222966191</v>
      </c>
      <c r="Y148" s="84">
        <v>11.42142049776</v>
      </c>
      <c r="Z148" s="84">
        <v>3.1074513657098</v>
      </c>
      <c r="AA148" s="84">
        <v>238.96369629785801</v>
      </c>
      <c r="AB148" s="84">
        <v>94.470581931449999</v>
      </c>
      <c r="AC148" s="84">
        <v>147.961516366886</v>
      </c>
      <c r="AD148" s="84">
        <v>78.557417623380005</v>
      </c>
      <c r="AE148" s="84">
        <v>58.549969787960002</v>
      </c>
      <c r="AF148" s="84">
        <v>138.78808338934499</v>
      </c>
      <c r="AG148" s="84">
        <v>43.678334524999997</v>
      </c>
      <c r="AH148" s="84">
        <v>89.285685000000001</v>
      </c>
      <c r="AI148" s="84">
        <f t="shared" si="2"/>
        <v>8255.248214193738</v>
      </c>
    </row>
    <row r="149" spans="1:35">
      <c r="A149" s="22" t="s">
        <v>104</v>
      </c>
      <c r="B149" s="22" t="s">
        <v>105</v>
      </c>
      <c r="C149" s="22">
        <v>2015</v>
      </c>
      <c r="D149" s="22" t="s">
        <v>87</v>
      </c>
      <c r="E149" s="84">
        <v>310.54638217445103</v>
      </c>
      <c r="F149" s="84">
        <v>184.12054705348601</v>
      </c>
      <c r="G149" s="84">
        <v>31.99455654007</v>
      </c>
      <c r="H149" s="84">
        <v>303.33364845237099</v>
      </c>
      <c r="I149" s="84">
        <v>22.472796365000001</v>
      </c>
      <c r="J149" s="84">
        <v>276.60730999162001</v>
      </c>
      <c r="K149" s="84">
        <v>3587.4138869242001</v>
      </c>
      <c r="L149" s="84">
        <v>146.32546304056001</v>
      </c>
      <c r="M149" s="84">
        <v>5.8619352372250004</v>
      </c>
      <c r="N149" s="84">
        <v>130.67045876582699</v>
      </c>
      <c r="O149" s="84">
        <v>503.938626183</v>
      </c>
      <c r="P149" s="84">
        <v>32.861668012743699</v>
      </c>
      <c r="Q149" s="84">
        <v>936.52378727724897</v>
      </c>
      <c r="R149" s="84">
        <v>23.645088999999999</v>
      </c>
      <c r="S149" s="84">
        <v>210.770874179971</v>
      </c>
      <c r="T149" s="84">
        <v>60.923688855290003</v>
      </c>
      <c r="U149" s="84">
        <v>4.5468674328400001</v>
      </c>
      <c r="V149" s="84">
        <v>853.22926015339397</v>
      </c>
      <c r="W149" s="84">
        <v>5.05029310357315</v>
      </c>
      <c r="X149" s="84">
        <v>14.5215402155227</v>
      </c>
      <c r="Y149" s="84">
        <v>14.415353259848001</v>
      </c>
      <c r="Z149" s="84">
        <v>0.78124019367459996</v>
      </c>
      <c r="AA149" s="84">
        <v>241.15035288767999</v>
      </c>
      <c r="AB149" s="84">
        <v>89.086474718635003</v>
      </c>
      <c r="AC149" s="84">
        <v>192.42746758872701</v>
      </c>
      <c r="AD149" s="84">
        <v>64.906257582329999</v>
      </c>
      <c r="AE149" s="84">
        <v>43.153203776029997</v>
      </c>
      <c r="AF149" s="84">
        <v>115.59842150094499</v>
      </c>
      <c r="AG149" s="84">
        <v>50.981662749999998</v>
      </c>
      <c r="AH149" s="84">
        <v>75.318553370000004</v>
      </c>
      <c r="AI149" s="84">
        <f t="shared" si="2"/>
        <v>8136.2106759824146</v>
      </c>
    </row>
    <row r="150" spans="1:35">
      <c r="A150" s="22" t="s">
        <v>104</v>
      </c>
      <c r="B150" s="22" t="s">
        <v>105</v>
      </c>
      <c r="C150" s="22">
        <v>2019</v>
      </c>
      <c r="D150" s="22" t="s">
        <v>87</v>
      </c>
      <c r="E150" s="84">
        <v>447.508225682356</v>
      </c>
      <c r="F150" s="84">
        <v>143.970903133701</v>
      </c>
      <c r="G150" s="84">
        <v>29.888364191055</v>
      </c>
      <c r="H150" s="84">
        <v>233.09575727419201</v>
      </c>
      <c r="I150" s="84">
        <v>21.391112400000001</v>
      </c>
      <c r="J150" s="84">
        <v>266.28625802517001</v>
      </c>
      <c r="K150" s="84">
        <v>4237.5710177778001</v>
      </c>
      <c r="L150" s="84">
        <v>93.493533371620003</v>
      </c>
      <c r="M150" s="84">
        <v>5.7165295952850004</v>
      </c>
      <c r="N150" s="84">
        <v>128.984774370167</v>
      </c>
      <c r="O150" s="84">
        <v>742.83936763400004</v>
      </c>
      <c r="P150" s="84">
        <v>31.263632819026</v>
      </c>
      <c r="Q150" s="84">
        <v>883.556572528988</v>
      </c>
      <c r="R150" s="84">
        <v>24.280253999999999</v>
      </c>
      <c r="S150" s="84">
        <v>262.04006193556398</v>
      </c>
      <c r="T150" s="84">
        <v>49.92465575125</v>
      </c>
      <c r="U150" s="84">
        <v>4.8693365007729996</v>
      </c>
      <c r="V150" s="84">
        <v>854.03335651064003</v>
      </c>
      <c r="W150" s="84">
        <v>4.6628377832778503</v>
      </c>
      <c r="X150" s="84">
        <v>16.569470392754699</v>
      </c>
      <c r="Y150" s="84">
        <v>18.021031900960001</v>
      </c>
      <c r="Z150" s="84">
        <v>1.5707059876454501</v>
      </c>
      <c r="AA150" s="84">
        <v>253.56143672495099</v>
      </c>
      <c r="AB150" s="84">
        <v>82.691317857314999</v>
      </c>
      <c r="AC150" s="84">
        <v>212.99938061502499</v>
      </c>
      <c r="AD150" s="84">
        <v>67.256919253540005</v>
      </c>
      <c r="AE150" s="84">
        <v>61.464616649539998</v>
      </c>
      <c r="AF150" s="84">
        <v>109.912663724105</v>
      </c>
      <c r="AG150" s="84">
        <v>75.224081190500002</v>
      </c>
      <c r="AH150" s="84">
        <v>67.675375491400004</v>
      </c>
      <c r="AI150" s="84">
        <f t="shared" si="2"/>
        <v>9111.6671394403202</v>
      </c>
    </row>
    <row r="151" spans="1:35">
      <c r="A151" s="22" t="s">
        <v>104</v>
      </c>
      <c r="B151" s="22" t="s">
        <v>105</v>
      </c>
      <c r="C151" s="22">
        <v>2021</v>
      </c>
      <c r="D151" s="22" t="s">
        <v>87</v>
      </c>
      <c r="E151" s="84">
        <v>383.260342136811</v>
      </c>
      <c r="F151" s="84">
        <v>123.613893714604</v>
      </c>
      <c r="G151" s="84">
        <v>33.638105914764999</v>
      </c>
      <c r="H151" s="84">
        <v>201.905420043817</v>
      </c>
      <c r="I151" s="84">
        <v>22.298923267749998</v>
      </c>
      <c r="J151" s="84">
        <v>261.57349514203497</v>
      </c>
      <c r="K151" s="84">
        <v>2862.4974777327998</v>
      </c>
      <c r="L151" s="84">
        <v>37.139347325849997</v>
      </c>
      <c r="M151" s="84">
        <v>5.4614359176600002</v>
      </c>
      <c r="N151" s="84">
        <v>128.40883966911599</v>
      </c>
      <c r="O151" s="84">
        <v>787.32020757049997</v>
      </c>
      <c r="P151" s="84">
        <v>47.0465332763182</v>
      </c>
      <c r="Q151" s="84">
        <v>774.32770597422802</v>
      </c>
      <c r="R151" s="84">
        <v>26.494407810475</v>
      </c>
      <c r="S151" s="84">
        <v>316.85885894031901</v>
      </c>
      <c r="T151" s="84">
        <v>46.160515742165003</v>
      </c>
      <c r="U151" s="84">
        <v>4.8815055409500001</v>
      </c>
      <c r="V151" s="84">
        <v>662.72725058725996</v>
      </c>
      <c r="W151" s="84">
        <v>3.7783794516886</v>
      </c>
      <c r="X151" s="84">
        <v>18.3544771509609</v>
      </c>
      <c r="Y151" s="84">
        <v>15.453974786122499</v>
      </c>
      <c r="Z151" s="84">
        <v>2.2658791372186502</v>
      </c>
      <c r="AA151" s="84">
        <v>247.80019515123701</v>
      </c>
      <c r="AB151" s="84">
        <v>74.934891788624995</v>
      </c>
      <c r="AC151" s="84">
        <v>212.53583362881699</v>
      </c>
      <c r="AD151" s="84">
        <v>51.489470467609998</v>
      </c>
      <c r="AE151" s="84">
        <v>51.777893649665003</v>
      </c>
      <c r="AF151" s="84">
        <v>108.11484780172501</v>
      </c>
      <c r="AG151" s="84">
        <v>47.682808555960001</v>
      </c>
      <c r="AH151" s="84">
        <v>74.916462089999996</v>
      </c>
      <c r="AI151" s="84">
        <f t="shared" si="2"/>
        <v>7352.9975625936613</v>
      </c>
    </row>
    <row r="152" spans="1:35">
      <c r="A152" s="22" t="s">
        <v>106</v>
      </c>
      <c r="B152" s="22" t="s">
        <v>107</v>
      </c>
      <c r="C152" s="22">
        <v>1990</v>
      </c>
      <c r="D152" s="22" t="s">
        <v>85</v>
      </c>
      <c r="E152" s="84">
        <v>0</v>
      </c>
      <c r="F152" s="84">
        <v>0</v>
      </c>
      <c r="G152" s="84">
        <v>0</v>
      </c>
      <c r="H152" s="84">
        <v>1.04</v>
      </c>
      <c r="I152" s="84">
        <v>0</v>
      </c>
      <c r="J152" s="84">
        <v>0</v>
      </c>
      <c r="K152" s="84">
        <v>0</v>
      </c>
      <c r="L152" s="84">
        <v>0</v>
      </c>
      <c r="M152" s="84">
        <v>0</v>
      </c>
      <c r="N152" s="84">
        <v>0</v>
      </c>
      <c r="O152" s="84">
        <v>0</v>
      </c>
      <c r="P152" s="84">
        <v>0</v>
      </c>
      <c r="Q152" s="84">
        <v>4.3727953677490002E-2</v>
      </c>
      <c r="R152" s="84">
        <v>0</v>
      </c>
      <c r="S152" s="84">
        <v>0</v>
      </c>
      <c r="T152" s="84">
        <v>21.157864791516701</v>
      </c>
      <c r="U152" s="84">
        <v>0</v>
      </c>
      <c r="V152" s="84">
        <v>0</v>
      </c>
      <c r="W152" s="84">
        <v>2.2748000000000001E-2</v>
      </c>
      <c r="X152" s="84">
        <v>0</v>
      </c>
      <c r="Y152" s="84">
        <v>0</v>
      </c>
      <c r="Z152" s="84">
        <v>0</v>
      </c>
      <c r="AA152" s="84">
        <v>72.483000000000004</v>
      </c>
      <c r="AB152" s="84">
        <v>31.272330176000001</v>
      </c>
      <c r="AC152" s="84">
        <v>0</v>
      </c>
      <c r="AD152" s="84">
        <v>0.22006317501681</v>
      </c>
      <c r="AE152" s="84">
        <v>0</v>
      </c>
      <c r="AF152" s="84">
        <v>19.019140447289701</v>
      </c>
      <c r="AG152" s="84">
        <v>0</v>
      </c>
      <c r="AH152" s="84">
        <v>0</v>
      </c>
      <c r="AI152" s="84">
        <f t="shared" si="2"/>
        <v>112.94654436750071</v>
      </c>
    </row>
    <row r="153" spans="1:35">
      <c r="A153" s="22" t="s">
        <v>106</v>
      </c>
      <c r="B153" s="22" t="s">
        <v>107</v>
      </c>
      <c r="C153" s="22">
        <v>2010</v>
      </c>
      <c r="D153" s="22" t="s">
        <v>85</v>
      </c>
      <c r="E153" s="84">
        <v>0</v>
      </c>
      <c r="F153" s="84">
        <v>28.696000000000002</v>
      </c>
      <c r="G153" s="84">
        <v>0</v>
      </c>
      <c r="H153" s="84">
        <v>0.95599999999999996</v>
      </c>
      <c r="I153" s="84">
        <v>0</v>
      </c>
      <c r="J153" s="84">
        <v>0.26466200000000001</v>
      </c>
      <c r="K153" s="84">
        <v>0</v>
      </c>
      <c r="L153" s="84">
        <v>0</v>
      </c>
      <c r="M153" s="84">
        <v>0</v>
      </c>
      <c r="N153" s="84">
        <v>0</v>
      </c>
      <c r="O153" s="84">
        <v>0</v>
      </c>
      <c r="P153" s="84">
        <v>0</v>
      </c>
      <c r="Q153" s="84">
        <v>4.3727953677490002E-2</v>
      </c>
      <c r="R153" s="84">
        <v>0</v>
      </c>
      <c r="S153" s="84">
        <v>0</v>
      </c>
      <c r="T153" s="84">
        <v>40.036368192526702</v>
      </c>
      <c r="U153" s="84">
        <v>0</v>
      </c>
      <c r="V153" s="84">
        <v>0</v>
      </c>
      <c r="W153" s="84">
        <v>0</v>
      </c>
      <c r="X153" s="84">
        <v>0</v>
      </c>
      <c r="Y153" s="84">
        <v>0</v>
      </c>
      <c r="Z153" s="84">
        <v>0</v>
      </c>
      <c r="AA153" s="84">
        <v>29.072292000000001</v>
      </c>
      <c r="AB153" s="84">
        <v>94.943118999999996</v>
      </c>
      <c r="AC153" s="84">
        <v>0</v>
      </c>
      <c r="AD153" s="84">
        <v>1.83333333333E-3</v>
      </c>
      <c r="AE153" s="84">
        <v>0</v>
      </c>
      <c r="AF153" s="84">
        <v>12.756219527978899</v>
      </c>
      <c r="AG153" s="84">
        <v>0</v>
      </c>
      <c r="AH153" s="84">
        <v>0</v>
      </c>
      <c r="AI153" s="84">
        <f t="shared" si="2"/>
        <v>110.87110300751647</v>
      </c>
    </row>
    <row r="154" spans="1:35">
      <c r="A154" s="22" t="s">
        <v>106</v>
      </c>
      <c r="B154" s="22" t="s">
        <v>107</v>
      </c>
      <c r="C154" s="22">
        <v>2015</v>
      </c>
      <c r="D154" s="22" t="s">
        <v>85</v>
      </c>
      <c r="E154" s="84">
        <v>0</v>
      </c>
      <c r="F154" s="84">
        <v>22.018260000000001</v>
      </c>
      <c r="G154" s="84">
        <v>0</v>
      </c>
      <c r="H154" s="84">
        <v>0.84560000000000002</v>
      </c>
      <c r="I154" s="84">
        <v>0</v>
      </c>
      <c r="J154" s="84">
        <v>0.56592500000000001</v>
      </c>
      <c r="K154" s="84">
        <v>0</v>
      </c>
      <c r="L154" s="84">
        <v>0</v>
      </c>
      <c r="M154" s="84">
        <v>0</v>
      </c>
      <c r="N154" s="84">
        <v>0</v>
      </c>
      <c r="O154" s="84">
        <v>0</v>
      </c>
      <c r="P154" s="84">
        <v>0</v>
      </c>
      <c r="Q154" s="84">
        <v>6.0192403724890001E-2</v>
      </c>
      <c r="R154" s="84">
        <v>0</v>
      </c>
      <c r="S154" s="84">
        <v>0</v>
      </c>
      <c r="T154" s="84">
        <v>44.973467292217201</v>
      </c>
      <c r="U154" s="84">
        <v>0</v>
      </c>
      <c r="V154" s="84">
        <v>0</v>
      </c>
      <c r="W154" s="84">
        <v>0</v>
      </c>
      <c r="X154" s="84">
        <v>0</v>
      </c>
      <c r="Y154" s="84">
        <v>0</v>
      </c>
      <c r="Z154" s="84">
        <v>0</v>
      </c>
      <c r="AA154" s="84">
        <v>13.5426690986101</v>
      </c>
      <c r="AB154" s="84">
        <v>108.55073</v>
      </c>
      <c r="AC154" s="84">
        <v>0</v>
      </c>
      <c r="AD154" s="84">
        <v>1.7576765364299999E-3</v>
      </c>
      <c r="AE154" s="84">
        <v>0</v>
      </c>
      <c r="AF154" s="84">
        <v>8.4139973195376605</v>
      </c>
      <c r="AG154" s="84">
        <v>0</v>
      </c>
      <c r="AH154" s="84">
        <v>0</v>
      </c>
      <c r="AI154" s="84">
        <f t="shared" si="2"/>
        <v>89.576268790626315</v>
      </c>
    </row>
    <row r="155" spans="1:35">
      <c r="A155" s="22" t="s">
        <v>106</v>
      </c>
      <c r="B155" s="22" t="s">
        <v>107</v>
      </c>
      <c r="C155" s="22">
        <v>2019</v>
      </c>
      <c r="D155" s="22" t="s">
        <v>85</v>
      </c>
      <c r="E155" s="84">
        <v>0</v>
      </c>
      <c r="F155" s="84">
        <v>22.875399999999999</v>
      </c>
      <c r="G155" s="84">
        <v>0</v>
      </c>
      <c r="H155" s="84">
        <v>0.26840000000000003</v>
      </c>
      <c r="I155" s="84">
        <v>0</v>
      </c>
      <c r="J155" s="84">
        <v>0.68761700000000003</v>
      </c>
      <c r="K155" s="84">
        <v>0</v>
      </c>
      <c r="L155" s="84">
        <v>0</v>
      </c>
      <c r="M155" s="84">
        <v>0</v>
      </c>
      <c r="N155" s="84">
        <v>0</v>
      </c>
      <c r="O155" s="84">
        <v>0</v>
      </c>
      <c r="P155" s="84">
        <v>0</v>
      </c>
      <c r="Q155" s="84">
        <v>6.3955960640000004E-2</v>
      </c>
      <c r="R155" s="84">
        <v>0</v>
      </c>
      <c r="S155" s="84">
        <v>0</v>
      </c>
      <c r="T155" s="84">
        <v>65.079067359347405</v>
      </c>
      <c r="U155" s="84">
        <v>0</v>
      </c>
      <c r="V155" s="84">
        <v>0</v>
      </c>
      <c r="W155" s="84">
        <v>0</v>
      </c>
      <c r="X155" s="84">
        <v>0</v>
      </c>
      <c r="Y155" s="84">
        <v>0</v>
      </c>
      <c r="Z155" s="84">
        <v>0</v>
      </c>
      <c r="AA155" s="84">
        <v>16.401115620926898</v>
      </c>
      <c r="AB155" s="84">
        <v>113.67549699999999</v>
      </c>
      <c r="AC155" s="84">
        <v>0</v>
      </c>
      <c r="AD155" s="84">
        <v>1.9601449826399998E-3</v>
      </c>
      <c r="AE155" s="84">
        <v>0</v>
      </c>
      <c r="AF155" s="84">
        <v>10.948093263109</v>
      </c>
      <c r="AG155" s="84">
        <v>0</v>
      </c>
      <c r="AH155" s="84">
        <v>0</v>
      </c>
      <c r="AI155" s="84">
        <f t="shared" si="2"/>
        <v>116.05720934900593</v>
      </c>
    </row>
    <row r="156" spans="1:35">
      <c r="A156" s="22" t="s">
        <v>106</v>
      </c>
      <c r="B156" s="22" t="s">
        <v>107</v>
      </c>
      <c r="C156" s="22">
        <v>2021</v>
      </c>
      <c r="D156" s="22" t="s">
        <v>85</v>
      </c>
      <c r="E156" s="84">
        <v>0</v>
      </c>
      <c r="F156" s="84">
        <v>19.707319999999999</v>
      </c>
      <c r="G156" s="84">
        <v>0</v>
      </c>
      <c r="H156" s="84">
        <v>0.24279999999999999</v>
      </c>
      <c r="I156" s="84">
        <v>0</v>
      </c>
      <c r="J156" s="84">
        <v>0.63007199999999997</v>
      </c>
      <c r="K156" s="84">
        <v>0</v>
      </c>
      <c r="L156" s="84">
        <v>0</v>
      </c>
      <c r="M156" s="84">
        <v>0</v>
      </c>
      <c r="N156" s="84">
        <v>0</v>
      </c>
      <c r="O156" s="84">
        <v>0</v>
      </c>
      <c r="P156" s="84">
        <v>0</v>
      </c>
      <c r="Q156" s="84">
        <v>0.116168311</v>
      </c>
      <c r="R156" s="84">
        <v>0</v>
      </c>
      <c r="S156" s="84">
        <v>0</v>
      </c>
      <c r="T156" s="84">
        <v>66.007459163143096</v>
      </c>
      <c r="U156" s="84">
        <v>0</v>
      </c>
      <c r="V156" s="84">
        <v>0</v>
      </c>
      <c r="W156" s="84">
        <v>0</v>
      </c>
      <c r="X156" s="84">
        <v>0</v>
      </c>
      <c r="Y156" s="84">
        <v>0</v>
      </c>
      <c r="Z156" s="84">
        <v>0</v>
      </c>
      <c r="AA156" s="84">
        <v>14.9368974883331</v>
      </c>
      <c r="AB156" s="84">
        <v>112.690366</v>
      </c>
      <c r="AC156" s="84">
        <v>0</v>
      </c>
      <c r="AD156" s="84">
        <v>1.8959853111799999E-3</v>
      </c>
      <c r="AE156" s="84">
        <v>0</v>
      </c>
      <c r="AF156" s="84">
        <v>8.6075774575327895</v>
      </c>
      <c r="AG156" s="84">
        <v>0</v>
      </c>
      <c r="AH156" s="84">
        <v>0</v>
      </c>
      <c r="AI156" s="84">
        <f t="shared" si="2"/>
        <v>110.00739040532018</v>
      </c>
    </row>
    <row r="157" spans="1:35">
      <c r="A157" s="22" t="s">
        <v>106</v>
      </c>
      <c r="B157" s="22" t="s">
        <v>107</v>
      </c>
      <c r="C157" s="22">
        <v>1990</v>
      </c>
      <c r="D157" s="22" t="s">
        <v>86</v>
      </c>
      <c r="E157" s="84">
        <v>0</v>
      </c>
      <c r="F157" s="84">
        <v>0</v>
      </c>
      <c r="G157" s="84">
        <v>0</v>
      </c>
      <c r="H157" s="84">
        <v>1.04</v>
      </c>
      <c r="I157" s="84">
        <v>0</v>
      </c>
      <c r="J157" s="84">
        <v>0</v>
      </c>
      <c r="K157" s="84">
        <v>289.92645279999999</v>
      </c>
      <c r="L157" s="84">
        <v>0</v>
      </c>
      <c r="M157" s="84">
        <v>0</v>
      </c>
      <c r="N157" s="84">
        <v>0</v>
      </c>
      <c r="O157" s="84">
        <v>7.4223181139999997E-2</v>
      </c>
      <c r="P157" s="84">
        <v>7.9083402085152104</v>
      </c>
      <c r="Q157" s="84">
        <v>4.3727953677490002E-2</v>
      </c>
      <c r="R157" s="84">
        <v>0</v>
      </c>
      <c r="S157" s="84">
        <v>0</v>
      </c>
      <c r="T157" s="84">
        <v>21.157864791516701</v>
      </c>
      <c r="U157" s="84">
        <v>0</v>
      </c>
      <c r="V157" s="84">
        <v>0</v>
      </c>
      <c r="W157" s="84">
        <v>2.2748000000000001E-2</v>
      </c>
      <c r="X157" s="84">
        <v>0</v>
      </c>
      <c r="Y157" s="84">
        <v>0</v>
      </c>
      <c r="Z157" s="84">
        <v>0</v>
      </c>
      <c r="AA157" s="84">
        <v>72.483000000000004</v>
      </c>
      <c r="AB157" s="84">
        <v>31.272330176000001</v>
      </c>
      <c r="AC157" s="84">
        <v>0</v>
      </c>
      <c r="AD157" s="84">
        <v>0.22006317501681</v>
      </c>
      <c r="AE157" s="84">
        <v>0</v>
      </c>
      <c r="AF157" s="84">
        <v>82.4549612798548</v>
      </c>
      <c r="AG157" s="84">
        <v>0</v>
      </c>
      <c r="AH157" s="84">
        <v>0</v>
      </c>
      <c r="AI157" s="84">
        <f t="shared" si="2"/>
        <v>474.29138138972098</v>
      </c>
    </row>
    <row r="158" spans="1:35">
      <c r="A158" s="22" t="s">
        <v>106</v>
      </c>
      <c r="B158" s="22" t="s">
        <v>107</v>
      </c>
      <c r="C158" s="22">
        <v>2010</v>
      </c>
      <c r="D158" s="22" t="s">
        <v>86</v>
      </c>
      <c r="E158" s="84">
        <v>0</v>
      </c>
      <c r="F158" s="84">
        <v>28.696000000000002</v>
      </c>
      <c r="G158" s="84">
        <v>0</v>
      </c>
      <c r="H158" s="84">
        <v>0.95599999999999996</v>
      </c>
      <c r="I158" s="84">
        <v>0</v>
      </c>
      <c r="J158" s="84">
        <v>0.26466200000000001</v>
      </c>
      <c r="K158" s="84">
        <v>300.85941924000002</v>
      </c>
      <c r="L158" s="84">
        <v>0</v>
      </c>
      <c r="M158" s="84">
        <v>0</v>
      </c>
      <c r="N158" s="84">
        <v>0</v>
      </c>
      <c r="O158" s="84">
        <v>4.4194263854999999E-2</v>
      </c>
      <c r="P158" s="84">
        <v>16.311393630000001</v>
      </c>
      <c r="Q158" s="84">
        <v>4.3727953677490002E-2</v>
      </c>
      <c r="R158" s="84">
        <v>0</v>
      </c>
      <c r="S158" s="84">
        <v>0</v>
      </c>
      <c r="T158" s="84">
        <v>40.036368192526702</v>
      </c>
      <c r="U158" s="84">
        <v>0</v>
      </c>
      <c r="V158" s="84">
        <v>0</v>
      </c>
      <c r="W158" s="84">
        <v>0</v>
      </c>
      <c r="X158" s="84">
        <v>0</v>
      </c>
      <c r="Y158" s="84">
        <v>0</v>
      </c>
      <c r="Z158" s="84">
        <v>0</v>
      </c>
      <c r="AA158" s="84">
        <v>29.072292000000001</v>
      </c>
      <c r="AB158" s="84">
        <v>94.943118999999996</v>
      </c>
      <c r="AC158" s="84">
        <v>0</v>
      </c>
      <c r="AD158" s="84">
        <v>1.83333333333E-3</v>
      </c>
      <c r="AE158" s="84">
        <v>0</v>
      </c>
      <c r="AF158" s="84">
        <v>91.972322188427398</v>
      </c>
      <c r="AG158" s="84">
        <v>0</v>
      </c>
      <c r="AH158" s="84">
        <v>0</v>
      </c>
      <c r="AI158" s="84">
        <f t="shared" si="2"/>
        <v>507.30221280181991</v>
      </c>
    </row>
    <row r="159" spans="1:35">
      <c r="A159" s="22" t="s">
        <v>106</v>
      </c>
      <c r="B159" s="22" t="s">
        <v>107</v>
      </c>
      <c r="C159" s="22">
        <v>2015</v>
      </c>
      <c r="D159" s="22" t="s">
        <v>86</v>
      </c>
      <c r="E159" s="84">
        <v>0</v>
      </c>
      <c r="F159" s="84">
        <v>22.018260000000001</v>
      </c>
      <c r="G159" s="84">
        <v>0</v>
      </c>
      <c r="H159" s="84">
        <v>0.84560000000000002</v>
      </c>
      <c r="I159" s="84">
        <v>0</v>
      </c>
      <c r="J159" s="84">
        <v>0.56592500000000001</v>
      </c>
      <c r="K159" s="84">
        <v>189.60609210000001</v>
      </c>
      <c r="L159" s="84">
        <v>0</v>
      </c>
      <c r="M159" s="84">
        <v>0</v>
      </c>
      <c r="N159" s="84">
        <v>0</v>
      </c>
      <c r="O159" s="84">
        <v>0.1814717615</v>
      </c>
      <c r="P159" s="84">
        <v>16.7843741666188</v>
      </c>
      <c r="Q159" s="84">
        <v>6.0192403724890001E-2</v>
      </c>
      <c r="R159" s="84">
        <v>0</v>
      </c>
      <c r="S159" s="84">
        <v>0</v>
      </c>
      <c r="T159" s="84">
        <v>44.973467292217201</v>
      </c>
      <c r="U159" s="84">
        <v>0</v>
      </c>
      <c r="V159" s="84">
        <v>0</v>
      </c>
      <c r="W159" s="84">
        <v>0</v>
      </c>
      <c r="X159" s="84">
        <v>0</v>
      </c>
      <c r="Y159" s="84">
        <v>0</v>
      </c>
      <c r="Z159" s="84">
        <v>0</v>
      </c>
      <c r="AA159" s="84">
        <v>13.5426690986101</v>
      </c>
      <c r="AB159" s="84">
        <v>108.55073</v>
      </c>
      <c r="AC159" s="84">
        <v>0</v>
      </c>
      <c r="AD159" s="84">
        <v>1.7576765364299999E-3</v>
      </c>
      <c r="AE159" s="84">
        <v>0</v>
      </c>
      <c r="AF159" s="84">
        <v>90.313243475654005</v>
      </c>
      <c r="AG159" s="84">
        <v>0</v>
      </c>
      <c r="AH159" s="84">
        <v>0</v>
      </c>
      <c r="AI159" s="84">
        <f t="shared" si="2"/>
        <v>378.04745297486147</v>
      </c>
    </row>
    <row r="160" spans="1:35">
      <c r="A160" s="22" t="s">
        <v>106</v>
      </c>
      <c r="B160" s="22" t="s">
        <v>107</v>
      </c>
      <c r="C160" s="22">
        <v>2019</v>
      </c>
      <c r="D160" s="22" t="s">
        <v>86</v>
      </c>
      <c r="E160" s="84">
        <v>0</v>
      </c>
      <c r="F160" s="84">
        <v>22.875399999999999</v>
      </c>
      <c r="G160" s="84">
        <v>0</v>
      </c>
      <c r="H160" s="84">
        <v>0.26840000000000003</v>
      </c>
      <c r="I160" s="84">
        <v>0</v>
      </c>
      <c r="J160" s="84">
        <v>0.7737130716849</v>
      </c>
      <c r="K160" s="84">
        <v>160.18438</v>
      </c>
      <c r="L160" s="84">
        <v>0</v>
      </c>
      <c r="M160" s="84">
        <v>0</v>
      </c>
      <c r="N160" s="84">
        <v>0</v>
      </c>
      <c r="O160" s="84">
        <v>3.2026141195000003E-2</v>
      </c>
      <c r="P160" s="84">
        <v>9.5185615650209296</v>
      </c>
      <c r="Q160" s="84">
        <v>6.3955960640000004E-2</v>
      </c>
      <c r="R160" s="84">
        <v>0</v>
      </c>
      <c r="S160" s="84">
        <v>0</v>
      </c>
      <c r="T160" s="84">
        <v>65.079067359347405</v>
      </c>
      <c r="U160" s="84">
        <v>0</v>
      </c>
      <c r="V160" s="84">
        <v>0</v>
      </c>
      <c r="W160" s="84">
        <v>0</v>
      </c>
      <c r="X160" s="84">
        <v>0</v>
      </c>
      <c r="Y160" s="84">
        <v>0</v>
      </c>
      <c r="Z160" s="84">
        <v>0</v>
      </c>
      <c r="AA160" s="84">
        <v>16.401115620926898</v>
      </c>
      <c r="AB160" s="84">
        <v>113.67549699999999</v>
      </c>
      <c r="AC160" s="84">
        <v>0</v>
      </c>
      <c r="AD160" s="84">
        <v>1.9601449826399998E-3</v>
      </c>
      <c r="AE160" s="84">
        <v>0</v>
      </c>
      <c r="AF160" s="84">
        <v>98.754263986100995</v>
      </c>
      <c r="AG160" s="84">
        <v>0</v>
      </c>
      <c r="AH160" s="84">
        <v>0</v>
      </c>
      <c r="AI160" s="84">
        <f t="shared" si="2"/>
        <v>373.6844438498988</v>
      </c>
    </row>
    <row r="161" spans="1:35">
      <c r="A161" s="22" t="s">
        <v>106</v>
      </c>
      <c r="B161" s="22" t="s">
        <v>107</v>
      </c>
      <c r="C161" s="22">
        <v>2021</v>
      </c>
      <c r="D161" s="22" t="s">
        <v>86</v>
      </c>
      <c r="E161" s="84">
        <v>0</v>
      </c>
      <c r="F161" s="84">
        <v>19.707319999999999</v>
      </c>
      <c r="G161" s="84">
        <v>0</v>
      </c>
      <c r="H161" s="84">
        <v>0.24279999999999999</v>
      </c>
      <c r="I161" s="84">
        <v>0</v>
      </c>
      <c r="J161" s="84">
        <v>0.64651738899046995</v>
      </c>
      <c r="K161" s="84">
        <v>121.0912268</v>
      </c>
      <c r="L161" s="84">
        <v>0</v>
      </c>
      <c r="M161" s="84">
        <v>0</v>
      </c>
      <c r="N161" s="84">
        <v>0</v>
      </c>
      <c r="O161" s="84">
        <v>7.0833465969999995E-2</v>
      </c>
      <c r="P161" s="84">
        <v>11.5682902129018</v>
      </c>
      <c r="Q161" s="84">
        <v>0.116168311</v>
      </c>
      <c r="R161" s="84">
        <v>0</v>
      </c>
      <c r="S161" s="84">
        <v>0</v>
      </c>
      <c r="T161" s="84">
        <v>66.007459163143096</v>
      </c>
      <c r="U161" s="84">
        <v>0</v>
      </c>
      <c r="V161" s="84">
        <v>0</v>
      </c>
      <c r="W161" s="84">
        <v>0</v>
      </c>
      <c r="X161" s="84">
        <v>0</v>
      </c>
      <c r="Y161" s="84">
        <v>0</v>
      </c>
      <c r="Z161" s="84">
        <v>0</v>
      </c>
      <c r="AA161" s="84">
        <v>14.9368974883331</v>
      </c>
      <c r="AB161" s="84">
        <v>112.690366</v>
      </c>
      <c r="AC161" s="84">
        <v>0</v>
      </c>
      <c r="AD161" s="84">
        <v>1.8959853111799999E-3</v>
      </c>
      <c r="AE161" s="84">
        <v>0</v>
      </c>
      <c r="AF161" s="84">
        <v>98.531944463085495</v>
      </c>
      <c r="AG161" s="84">
        <v>0</v>
      </c>
      <c r="AH161" s="84">
        <v>0</v>
      </c>
      <c r="AI161" s="84">
        <f t="shared" si="2"/>
        <v>332.67855327873519</v>
      </c>
    </row>
    <row r="162" spans="1:35">
      <c r="A162" s="22" t="s">
        <v>106</v>
      </c>
      <c r="B162" s="22" t="s">
        <v>107</v>
      </c>
      <c r="C162" s="22">
        <v>1990</v>
      </c>
      <c r="D162" s="22" t="s">
        <v>87</v>
      </c>
      <c r="E162" s="84">
        <v>0</v>
      </c>
      <c r="F162" s="84">
        <v>0</v>
      </c>
      <c r="G162" s="84">
        <v>0</v>
      </c>
      <c r="H162" s="84">
        <v>0</v>
      </c>
      <c r="I162" s="84">
        <v>0</v>
      </c>
      <c r="J162" s="84">
        <v>0</v>
      </c>
      <c r="K162" s="84">
        <v>289.92645279999999</v>
      </c>
      <c r="L162" s="84">
        <v>0</v>
      </c>
      <c r="M162" s="84">
        <v>0</v>
      </c>
      <c r="N162" s="84">
        <v>0</v>
      </c>
      <c r="O162" s="84">
        <v>7.4223181139999997E-2</v>
      </c>
      <c r="P162" s="84">
        <v>7.9083402085152104</v>
      </c>
      <c r="Q162" s="84">
        <v>0</v>
      </c>
      <c r="R162" s="84">
        <v>0</v>
      </c>
      <c r="S162" s="84">
        <v>0</v>
      </c>
      <c r="T162" s="84">
        <v>0</v>
      </c>
      <c r="U162" s="84">
        <v>0</v>
      </c>
      <c r="V162" s="84">
        <v>0</v>
      </c>
      <c r="W162" s="84">
        <v>0</v>
      </c>
      <c r="X162" s="84">
        <v>0</v>
      </c>
      <c r="Y162" s="84">
        <v>0</v>
      </c>
      <c r="Z162" s="84">
        <v>0</v>
      </c>
      <c r="AA162" s="84">
        <v>0</v>
      </c>
      <c r="AB162" s="84">
        <v>0</v>
      </c>
      <c r="AC162" s="84">
        <v>0</v>
      </c>
      <c r="AD162" s="84">
        <v>0</v>
      </c>
      <c r="AE162" s="84">
        <v>0</v>
      </c>
      <c r="AF162" s="84">
        <v>63.435820832565099</v>
      </c>
      <c r="AG162" s="84">
        <v>0</v>
      </c>
      <c r="AH162" s="84">
        <v>0</v>
      </c>
      <c r="AI162" s="84">
        <f t="shared" si="2"/>
        <v>361.3448370222203</v>
      </c>
    </row>
    <row r="163" spans="1:35">
      <c r="A163" s="22" t="s">
        <v>106</v>
      </c>
      <c r="B163" s="22" t="s">
        <v>107</v>
      </c>
      <c r="C163" s="22">
        <v>2010</v>
      </c>
      <c r="D163" s="22" t="s">
        <v>87</v>
      </c>
      <c r="E163" s="84">
        <v>0</v>
      </c>
      <c r="F163" s="84">
        <v>0</v>
      </c>
      <c r="G163" s="84">
        <v>0</v>
      </c>
      <c r="H163" s="84">
        <v>0</v>
      </c>
      <c r="I163" s="84">
        <v>0</v>
      </c>
      <c r="J163" s="84">
        <v>0</v>
      </c>
      <c r="K163" s="84">
        <v>300.85941924000002</v>
      </c>
      <c r="L163" s="84">
        <v>0</v>
      </c>
      <c r="M163" s="84">
        <v>0</v>
      </c>
      <c r="N163" s="84">
        <v>0</v>
      </c>
      <c r="O163" s="84">
        <v>4.4194263854999999E-2</v>
      </c>
      <c r="P163" s="84">
        <v>16.311393630000001</v>
      </c>
      <c r="Q163" s="84">
        <v>0</v>
      </c>
      <c r="R163" s="84">
        <v>0</v>
      </c>
      <c r="S163" s="84">
        <v>0</v>
      </c>
      <c r="T163" s="84">
        <v>0</v>
      </c>
      <c r="U163" s="84">
        <v>0</v>
      </c>
      <c r="V163" s="84">
        <v>0</v>
      </c>
      <c r="W163" s="84">
        <v>0</v>
      </c>
      <c r="X163" s="84">
        <v>0</v>
      </c>
      <c r="Y163" s="84">
        <v>0</v>
      </c>
      <c r="Z163" s="84">
        <v>0</v>
      </c>
      <c r="AA163" s="84">
        <v>0</v>
      </c>
      <c r="AB163" s="84">
        <v>0</v>
      </c>
      <c r="AC163" s="84">
        <v>0</v>
      </c>
      <c r="AD163" s="84">
        <v>0</v>
      </c>
      <c r="AE163" s="84">
        <v>0</v>
      </c>
      <c r="AF163" s="84">
        <v>79.216102660448499</v>
      </c>
      <c r="AG163" s="84">
        <v>0</v>
      </c>
      <c r="AH163" s="84">
        <v>0</v>
      </c>
      <c r="AI163" s="84">
        <f t="shared" si="2"/>
        <v>396.4311097943035</v>
      </c>
    </row>
    <row r="164" spans="1:35">
      <c r="A164" s="22" t="s">
        <v>106</v>
      </c>
      <c r="B164" s="22" t="s">
        <v>107</v>
      </c>
      <c r="C164" s="22">
        <v>2015</v>
      </c>
      <c r="D164" s="22" t="s">
        <v>87</v>
      </c>
      <c r="E164" s="84">
        <v>0</v>
      </c>
      <c r="F164" s="84">
        <v>0</v>
      </c>
      <c r="G164" s="84">
        <v>0</v>
      </c>
      <c r="H164" s="84">
        <v>0</v>
      </c>
      <c r="I164" s="84">
        <v>0</v>
      </c>
      <c r="J164" s="84">
        <v>0</v>
      </c>
      <c r="K164" s="84">
        <v>189.60609210000001</v>
      </c>
      <c r="L164" s="84">
        <v>0</v>
      </c>
      <c r="M164" s="84">
        <v>0</v>
      </c>
      <c r="N164" s="84">
        <v>0</v>
      </c>
      <c r="O164" s="84">
        <v>0.1814717615</v>
      </c>
      <c r="P164" s="84">
        <v>16.7843741666188</v>
      </c>
      <c r="Q164" s="84">
        <v>0</v>
      </c>
      <c r="R164" s="84">
        <v>0</v>
      </c>
      <c r="S164" s="84">
        <v>0</v>
      </c>
      <c r="T164" s="84">
        <v>0</v>
      </c>
      <c r="U164" s="84">
        <v>0</v>
      </c>
      <c r="V164" s="84">
        <v>0</v>
      </c>
      <c r="W164" s="84">
        <v>0</v>
      </c>
      <c r="X164" s="84">
        <v>0</v>
      </c>
      <c r="Y164" s="84">
        <v>0</v>
      </c>
      <c r="Z164" s="84">
        <v>0</v>
      </c>
      <c r="AA164" s="84">
        <v>0</v>
      </c>
      <c r="AB164" s="84">
        <v>0</v>
      </c>
      <c r="AC164" s="84">
        <v>0</v>
      </c>
      <c r="AD164" s="84">
        <v>0</v>
      </c>
      <c r="AE164" s="84">
        <v>0</v>
      </c>
      <c r="AF164" s="84">
        <v>81.899246156116305</v>
      </c>
      <c r="AG164" s="84">
        <v>0</v>
      </c>
      <c r="AH164" s="84">
        <v>0</v>
      </c>
      <c r="AI164" s="84">
        <f t="shared" si="2"/>
        <v>288.47118418423509</v>
      </c>
    </row>
    <row r="165" spans="1:35">
      <c r="A165" s="22" t="s">
        <v>106</v>
      </c>
      <c r="B165" s="22" t="s">
        <v>107</v>
      </c>
      <c r="C165" s="22">
        <v>2019</v>
      </c>
      <c r="D165" s="22" t="s">
        <v>87</v>
      </c>
      <c r="E165" s="84">
        <v>0</v>
      </c>
      <c r="F165" s="84">
        <v>0</v>
      </c>
      <c r="G165" s="84">
        <v>0</v>
      </c>
      <c r="H165" s="84">
        <v>0</v>
      </c>
      <c r="I165" s="84">
        <v>0</v>
      </c>
      <c r="J165" s="84">
        <v>8.6096071684899994E-2</v>
      </c>
      <c r="K165" s="84">
        <v>160.18438</v>
      </c>
      <c r="L165" s="84">
        <v>0</v>
      </c>
      <c r="M165" s="84">
        <v>0</v>
      </c>
      <c r="N165" s="84">
        <v>0</v>
      </c>
      <c r="O165" s="84">
        <v>3.2026141195000003E-2</v>
      </c>
      <c r="P165" s="84">
        <v>9.5185615650209296</v>
      </c>
      <c r="Q165" s="84">
        <v>0</v>
      </c>
      <c r="R165" s="84">
        <v>0</v>
      </c>
      <c r="S165" s="84">
        <v>0</v>
      </c>
      <c r="T165" s="84">
        <v>0</v>
      </c>
      <c r="U165" s="84">
        <v>0</v>
      </c>
      <c r="V165" s="84">
        <v>0</v>
      </c>
      <c r="W165" s="84">
        <v>0</v>
      </c>
      <c r="X165" s="84">
        <v>0</v>
      </c>
      <c r="Y165" s="84">
        <v>0</v>
      </c>
      <c r="Z165" s="84">
        <v>0</v>
      </c>
      <c r="AA165" s="84">
        <v>0</v>
      </c>
      <c r="AB165" s="84">
        <v>0</v>
      </c>
      <c r="AC165" s="84">
        <v>0</v>
      </c>
      <c r="AD165" s="84">
        <v>0</v>
      </c>
      <c r="AE165" s="84">
        <v>0</v>
      </c>
      <c r="AF165" s="84">
        <v>87.806170722991993</v>
      </c>
      <c r="AG165" s="84">
        <v>0</v>
      </c>
      <c r="AH165" s="84">
        <v>0</v>
      </c>
      <c r="AI165" s="84">
        <f t="shared" si="2"/>
        <v>257.62723450089277</v>
      </c>
    </row>
    <row r="166" spans="1:35">
      <c r="A166" s="22" t="s">
        <v>106</v>
      </c>
      <c r="B166" s="22" t="s">
        <v>107</v>
      </c>
      <c r="C166" s="22">
        <v>2021</v>
      </c>
      <c r="D166" s="22" t="s">
        <v>87</v>
      </c>
      <c r="E166" s="84">
        <v>0</v>
      </c>
      <c r="F166" s="84">
        <v>0</v>
      </c>
      <c r="G166" s="84">
        <v>0</v>
      </c>
      <c r="H166" s="84">
        <v>0</v>
      </c>
      <c r="I166" s="84">
        <v>0</v>
      </c>
      <c r="J166" s="84">
        <v>1.6445388990469999E-2</v>
      </c>
      <c r="K166" s="84">
        <v>121.0912268</v>
      </c>
      <c r="L166" s="84">
        <v>0</v>
      </c>
      <c r="M166" s="84">
        <v>0</v>
      </c>
      <c r="N166" s="84">
        <v>0</v>
      </c>
      <c r="O166" s="84">
        <v>7.0833465969999995E-2</v>
      </c>
      <c r="P166" s="84">
        <v>11.5682902129018</v>
      </c>
      <c r="Q166" s="84">
        <v>0</v>
      </c>
      <c r="R166" s="84">
        <v>0</v>
      </c>
      <c r="S166" s="84">
        <v>0</v>
      </c>
      <c r="T166" s="84">
        <v>0</v>
      </c>
      <c r="U166" s="84">
        <v>0</v>
      </c>
      <c r="V166" s="84">
        <v>0</v>
      </c>
      <c r="W166" s="84">
        <v>0</v>
      </c>
      <c r="X166" s="84">
        <v>0</v>
      </c>
      <c r="Y166" s="84">
        <v>0</v>
      </c>
      <c r="Z166" s="84">
        <v>0</v>
      </c>
      <c r="AA166" s="84">
        <v>0</v>
      </c>
      <c r="AB166" s="84">
        <v>0</v>
      </c>
      <c r="AC166" s="84">
        <v>0</v>
      </c>
      <c r="AD166" s="84">
        <v>0</v>
      </c>
      <c r="AE166" s="84">
        <v>0</v>
      </c>
      <c r="AF166" s="84">
        <v>89.924367005552696</v>
      </c>
      <c r="AG166" s="84">
        <v>0</v>
      </c>
      <c r="AH166" s="84">
        <v>0</v>
      </c>
      <c r="AI166" s="84">
        <f t="shared" si="2"/>
        <v>222.67116287341497</v>
      </c>
    </row>
    <row r="167" spans="1:35">
      <c r="A167" s="22" t="s">
        <v>108</v>
      </c>
      <c r="B167" s="22" t="s">
        <v>109</v>
      </c>
      <c r="C167" s="22">
        <v>1990</v>
      </c>
      <c r="D167" s="22" t="s">
        <v>85</v>
      </c>
      <c r="E167" s="84">
        <v>85.923245506072206</v>
      </c>
      <c r="F167" s="84">
        <v>178.74107060361999</v>
      </c>
      <c r="G167" s="84">
        <v>74.073633820683199</v>
      </c>
      <c r="H167" s="84">
        <v>48.903372859433297</v>
      </c>
      <c r="I167" s="84">
        <v>1.8149999999999999</v>
      </c>
      <c r="J167" s="84">
        <v>1345.2408053333299</v>
      </c>
      <c r="K167" s="84">
        <v>3192.0290245752399</v>
      </c>
      <c r="L167" s="84">
        <v>613.45989018016496</v>
      </c>
      <c r="M167" s="84">
        <v>13.110446862154999</v>
      </c>
      <c r="N167" s="84">
        <v>60.409904761904798</v>
      </c>
      <c r="O167" s="84">
        <v>597.84513700000002</v>
      </c>
      <c r="P167" s="84">
        <v>647.38745173546602</v>
      </c>
      <c r="Q167" s="84">
        <v>1907.9905626771999</v>
      </c>
      <c r="R167" s="84">
        <v>50.019734275133303</v>
      </c>
      <c r="S167" s="84">
        <v>384.74670967494399</v>
      </c>
      <c r="T167" s="84">
        <v>451.713023188406</v>
      </c>
      <c r="U167" s="84">
        <v>0.46200000000000002</v>
      </c>
      <c r="V167" s="84">
        <v>509.871078563597</v>
      </c>
      <c r="W167" s="84">
        <v>80.197432264272507</v>
      </c>
      <c r="X167" s="84">
        <v>6.0771154828126503</v>
      </c>
      <c r="Y167" s="84">
        <v>364.84213333333298</v>
      </c>
      <c r="Z167" s="84">
        <v>0</v>
      </c>
      <c r="AA167" s="84">
        <v>184.66710288086</v>
      </c>
      <c r="AB167" s="84">
        <v>231.5238566667</v>
      </c>
      <c r="AC167" s="84">
        <v>2906.6200589506898</v>
      </c>
      <c r="AD167" s="84">
        <v>48.448334432920603</v>
      </c>
      <c r="AE167" s="84">
        <v>182.511570457971</v>
      </c>
      <c r="AF167" s="84">
        <v>177.751646376812</v>
      </c>
      <c r="AG167" s="84">
        <v>56.213316624050499</v>
      </c>
      <c r="AH167" s="84">
        <v>61.017080382222197</v>
      </c>
      <c r="AI167" s="84">
        <f t="shared" si="2"/>
        <v>14182.72250994386</v>
      </c>
    </row>
    <row r="168" spans="1:35">
      <c r="A168" s="22" t="s">
        <v>108</v>
      </c>
      <c r="B168" s="22" t="s">
        <v>109</v>
      </c>
      <c r="C168" s="22">
        <v>2010</v>
      </c>
      <c r="D168" s="22" t="s">
        <v>85</v>
      </c>
      <c r="E168" s="84">
        <v>112.34965489376</v>
      </c>
      <c r="F168" s="84">
        <v>177.54927239375101</v>
      </c>
      <c r="G168" s="84">
        <v>41.243618753333301</v>
      </c>
      <c r="H168" s="84">
        <v>44.437440124195298</v>
      </c>
      <c r="I168" s="84">
        <v>0.73770000000000002</v>
      </c>
      <c r="J168" s="84">
        <v>225.39637025410599</v>
      </c>
      <c r="K168" s="84">
        <v>2516.99098987654</v>
      </c>
      <c r="L168" s="84">
        <v>155.85966756652101</v>
      </c>
      <c r="M168" s="84">
        <v>9.3735772237777102</v>
      </c>
      <c r="N168" s="84">
        <v>30.347428571428601</v>
      </c>
      <c r="O168" s="84">
        <v>608.78551000000004</v>
      </c>
      <c r="P168" s="84">
        <v>278.98594896035303</v>
      </c>
      <c r="Q168" s="84">
        <v>1909.9282278815101</v>
      </c>
      <c r="R168" s="84">
        <v>88.037283955866698</v>
      </c>
      <c r="S168" s="84">
        <v>105.81956104721699</v>
      </c>
      <c r="T168" s="84">
        <v>526.17708000000005</v>
      </c>
      <c r="U168" s="84">
        <v>4.2233834697712496</v>
      </c>
      <c r="V168" s="84">
        <v>381.05957512966</v>
      </c>
      <c r="W168" s="84">
        <v>37.934128651718297</v>
      </c>
      <c r="X168" s="84">
        <v>7.99835735428716</v>
      </c>
      <c r="Y168" s="84">
        <v>5.9741</v>
      </c>
      <c r="Z168" s="84">
        <v>0</v>
      </c>
      <c r="AA168" s="84">
        <v>92.035189053087706</v>
      </c>
      <c r="AB168" s="84">
        <v>78.332136666699995</v>
      </c>
      <c r="AC168" s="84">
        <v>1121.1866666639301</v>
      </c>
      <c r="AD168" s="84">
        <v>46.924447244929098</v>
      </c>
      <c r="AE168" s="84">
        <v>107.21620933913</v>
      </c>
      <c r="AF168" s="84">
        <v>123.80012173913001</v>
      </c>
      <c r="AG168" s="84">
        <v>27.834550139000001</v>
      </c>
      <c r="AH168" s="84">
        <v>39.169767400448599</v>
      </c>
      <c r="AI168" s="84">
        <f t="shared" si="2"/>
        <v>8778.7150040934866</v>
      </c>
    </row>
    <row r="169" spans="1:35">
      <c r="A169" s="22" t="s">
        <v>108</v>
      </c>
      <c r="B169" s="22" t="s">
        <v>109</v>
      </c>
      <c r="C169" s="22">
        <v>2015</v>
      </c>
      <c r="D169" s="22" t="s">
        <v>85</v>
      </c>
      <c r="E169" s="84">
        <v>145.48520058998901</v>
      </c>
      <c r="F169" s="84">
        <v>193.16630501608199</v>
      </c>
      <c r="G169" s="84">
        <v>55.872064751110102</v>
      </c>
      <c r="H169" s="84">
        <v>44.688754316959802</v>
      </c>
      <c r="I169" s="84">
        <v>0.3982</v>
      </c>
      <c r="J169" s="84">
        <v>438.74499119903402</v>
      </c>
      <c r="K169" s="84">
        <v>2927.9566174532702</v>
      </c>
      <c r="L169" s="84">
        <v>176.05335099809901</v>
      </c>
      <c r="M169" s="84">
        <v>9.0702951920461601</v>
      </c>
      <c r="N169" s="84">
        <v>23.413682285714302</v>
      </c>
      <c r="O169" s="84">
        <v>625.24762699999997</v>
      </c>
      <c r="P169" s="84">
        <v>166.71521247830901</v>
      </c>
      <c r="Q169" s="84">
        <v>2117.1434711397801</v>
      </c>
      <c r="R169" s="84">
        <v>69.339698246279994</v>
      </c>
      <c r="S169" s="84">
        <v>202.83329744662799</v>
      </c>
      <c r="T169" s="84">
        <v>465.41234666666702</v>
      </c>
      <c r="U169" s="84">
        <v>5.3456131338170003</v>
      </c>
      <c r="V169" s="84">
        <v>458.29601083364997</v>
      </c>
      <c r="W169" s="84">
        <v>61.507786928912402</v>
      </c>
      <c r="X169" s="84">
        <v>11.183123340933999</v>
      </c>
      <c r="Y169" s="84">
        <v>26.147659999999998</v>
      </c>
      <c r="Z169" s="84">
        <v>0</v>
      </c>
      <c r="AA169" s="84">
        <v>134.649047620468</v>
      </c>
      <c r="AB169" s="84">
        <v>89.892516996699996</v>
      </c>
      <c r="AC169" s="84">
        <v>1108.97524631132</v>
      </c>
      <c r="AD169" s="84">
        <v>65.137489604261305</v>
      </c>
      <c r="AE169" s="84">
        <v>94.342722753623207</v>
      </c>
      <c r="AF169" s="84">
        <v>124.48250434782599</v>
      </c>
      <c r="AG169" s="84">
        <v>24.264702880000002</v>
      </c>
      <c r="AH169" s="84">
        <v>73.3327339119611</v>
      </c>
      <c r="AI169" s="84">
        <f t="shared" si="2"/>
        <v>9799.1713889959665</v>
      </c>
    </row>
    <row r="170" spans="1:35">
      <c r="A170" s="22" t="s">
        <v>108</v>
      </c>
      <c r="B170" s="22" t="s">
        <v>109</v>
      </c>
      <c r="C170" s="22">
        <v>2019</v>
      </c>
      <c r="D170" s="22" t="s">
        <v>85</v>
      </c>
      <c r="E170" s="84">
        <v>150.77642885361601</v>
      </c>
      <c r="F170" s="84">
        <v>192.22357994688599</v>
      </c>
      <c r="G170" s="84">
        <v>57.556087142467803</v>
      </c>
      <c r="H170" s="84">
        <v>45.390144824940499</v>
      </c>
      <c r="I170" s="84">
        <v>0.22586666666666999</v>
      </c>
      <c r="J170" s="84">
        <v>341.93262069999997</v>
      </c>
      <c r="K170" s="84">
        <v>2730.8035774109399</v>
      </c>
      <c r="L170" s="84">
        <v>184.712845280978</v>
      </c>
      <c r="M170" s="84">
        <v>15.596605350038301</v>
      </c>
      <c r="N170" s="84">
        <v>34.800836695202896</v>
      </c>
      <c r="O170" s="84">
        <v>559.55508399999997</v>
      </c>
      <c r="P170" s="84">
        <v>190.33147352516201</v>
      </c>
      <c r="Q170" s="84">
        <v>2028.5996440368799</v>
      </c>
      <c r="R170" s="84">
        <v>75.659832600000001</v>
      </c>
      <c r="S170" s="84">
        <v>216.83338985122001</v>
      </c>
      <c r="T170" s="84">
        <v>435.88301093333303</v>
      </c>
      <c r="U170" s="84">
        <v>10.344856963712999</v>
      </c>
      <c r="V170" s="84">
        <v>429.58115363975202</v>
      </c>
      <c r="W170" s="84">
        <v>67.499721136075493</v>
      </c>
      <c r="X170" s="84">
        <v>14.268110889882999</v>
      </c>
      <c r="Y170" s="84">
        <v>54.870199999999997</v>
      </c>
      <c r="Z170" s="84">
        <v>0</v>
      </c>
      <c r="AA170" s="84">
        <v>85.161850874664495</v>
      </c>
      <c r="AB170" s="84">
        <v>114.405628337</v>
      </c>
      <c r="AC170" s="84">
        <v>1122.66833053294</v>
      </c>
      <c r="AD170" s="84">
        <v>41.481181608647503</v>
      </c>
      <c r="AE170" s="84">
        <v>128.58292715942</v>
      </c>
      <c r="AF170" s="84">
        <v>122.84640493479699</v>
      </c>
      <c r="AG170" s="84">
        <v>28.182256996666698</v>
      </c>
      <c r="AH170" s="84">
        <v>68.249655981650506</v>
      </c>
      <c r="AI170" s="84">
        <f t="shared" si="2"/>
        <v>9378.8826767478877</v>
      </c>
    </row>
    <row r="171" spans="1:35">
      <c r="A171" s="22" t="s">
        <v>108</v>
      </c>
      <c r="B171" s="22" t="s">
        <v>109</v>
      </c>
      <c r="C171" s="22">
        <v>2021</v>
      </c>
      <c r="D171" s="22" t="s">
        <v>85</v>
      </c>
      <c r="E171" s="84">
        <v>149.28854265343901</v>
      </c>
      <c r="F171" s="84">
        <v>190.92565148279701</v>
      </c>
      <c r="G171" s="84">
        <v>58.561790064820002</v>
      </c>
      <c r="H171" s="84">
        <v>46.0477551606836</v>
      </c>
      <c r="I171" s="84">
        <v>0.29883333333333001</v>
      </c>
      <c r="J171" s="84">
        <v>321.905185066667</v>
      </c>
      <c r="K171" s="84">
        <v>2588.0109281093401</v>
      </c>
      <c r="L171" s="84">
        <v>275.66611012048901</v>
      </c>
      <c r="M171" s="84">
        <v>28.617818683371599</v>
      </c>
      <c r="N171" s="84">
        <v>33.499115789347798</v>
      </c>
      <c r="O171" s="84">
        <v>393.62624199999999</v>
      </c>
      <c r="P171" s="84">
        <v>201.41580329726099</v>
      </c>
      <c r="Q171" s="84">
        <v>1955.5166559163799</v>
      </c>
      <c r="R171" s="84">
        <v>102.84950866666701</v>
      </c>
      <c r="S171" s="84">
        <v>236.23619093120101</v>
      </c>
      <c r="T171" s="84">
        <v>699.44937333333303</v>
      </c>
      <c r="U171" s="84">
        <v>9.1901779332530005</v>
      </c>
      <c r="V171" s="84">
        <v>461.26391273354</v>
      </c>
      <c r="W171" s="84">
        <v>115.187327891195</v>
      </c>
      <c r="X171" s="84">
        <v>13.6149238144528</v>
      </c>
      <c r="Y171" s="84">
        <v>83.334533333333297</v>
      </c>
      <c r="Z171" s="84">
        <v>0</v>
      </c>
      <c r="AA171" s="84">
        <v>83.165021945455393</v>
      </c>
      <c r="AB171" s="84">
        <v>121.657909997</v>
      </c>
      <c r="AC171" s="84">
        <v>1412.12146059829</v>
      </c>
      <c r="AD171" s="84">
        <v>31.036835432405301</v>
      </c>
      <c r="AE171" s="84">
        <v>161.25294405797101</v>
      </c>
      <c r="AF171" s="84">
        <v>122.79239047102899</v>
      </c>
      <c r="AG171" s="84">
        <v>29.3700190644694</v>
      </c>
      <c r="AH171" s="84">
        <v>69.570103775333195</v>
      </c>
      <c r="AI171" s="84">
        <f t="shared" si="2"/>
        <v>9818.5772225659221</v>
      </c>
    </row>
    <row r="172" spans="1:35" s="76" customFormat="1">
      <c r="A172" s="76" t="s">
        <v>108</v>
      </c>
      <c r="B172" s="76" t="s">
        <v>109</v>
      </c>
      <c r="C172" s="76">
        <v>1990</v>
      </c>
      <c r="D172" s="76" t="s">
        <v>86</v>
      </c>
      <c r="E172" s="85">
        <v>8399.7092240518596</v>
      </c>
      <c r="F172" s="85">
        <v>11636.1926495431</v>
      </c>
      <c r="G172" s="85">
        <v>12326.280678352599</v>
      </c>
      <c r="H172" s="85">
        <v>6801.1177296355299</v>
      </c>
      <c r="I172" s="85">
        <v>454.27100310661098</v>
      </c>
      <c r="J172" s="85">
        <v>15136.369441024501</v>
      </c>
      <c r="K172" s="85">
        <v>72632.027445395695</v>
      </c>
      <c r="L172" s="85">
        <v>13995.780086091399</v>
      </c>
      <c r="M172" s="85">
        <v>2723.70499584766</v>
      </c>
      <c r="N172" s="85">
        <v>10534.6817558742</v>
      </c>
      <c r="O172" s="85">
        <v>33022.577176109997</v>
      </c>
      <c r="P172" s="85">
        <v>7243.7973580263197</v>
      </c>
      <c r="Q172" s="85">
        <v>78176.815052705802</v>
      </c>
      <c r="R172" s="85">
        <v>4424.3376478673699</v>
      </c>
      <c r="S172" s="85">
        <v>10090.8460546324</v>
      </c>
      <c r="T172" s="85">
        <v>19668.606347909601</v>
      </c>
      <c r="U172" s="85">
        <v>695.25248359935699</v>
      </c>
      <c r="V172" s="85">
        <v>37675.993055303603</v>
      </c>
      <c r="W172" s="85">
        <v>9000.5638123570698</v>
      </c>
      <c r="X172" s="85">
        <v>702.07084344415705</v>
      </c>
      <c r="Y172" s="85">
        <v>5030.4777094636602</v>
      </c>
      <c r="Z172" s="85">
        <v>108.769806560662</v>
      </c>
      <c r="AA172" s="85">
        <v>25162.319056248401</v>
      </c>
      <c r="AB172" s="85">
        <v>4946.5611071048997</v>
      </c>
      <c r="AC172" s="85">
        <v>49291.342679631998</v>
      </c>
      <c r="AD172" s="85">
        <v>7339.17277079409</v>
      </c>
      <c r="AE172" s="85">
        <v>34651.381781547003</v>
      </c>
      <c r="AF172" s="85">
        <v>7646.3131678346599</v>
      </c>
      <c r="AG172" s="85">
        <v>1951.30178836969</v>
      </c>
      <c r="AH172" s="85">
        <v>6068.30396173594</v>
      </c>
      <c r="AI172" s="84">
        <f t="shared" si="2"/>
        <v>485094.00734983006</v>
      </c>
    </row>
    <row r="173" spans="1:35">
      <c r="A173" s="22" t="s">
        <v>108</v>
      </c>
      <c r="B173" s="22" t="s">
        <v>109</v>
      </c>
      <c r="C173" s="22">
        <v>2010</v>
      </c>
      <c r="D173" s="22" t="s">
        <v>86</v>
      </c>
      <c r="E173" s="84">
        <v>7188.1765623253896</v>
      </c>
      <c r="F173" s="84">
        <v>9716.8660544189897</v>
      </c>
      <c r="G173" s="84">
        <v>5190.9982941486396</v>
      </c>
      <c r="H173" s="84">
        <v>6182.7069373385903</v>
      </c>
      <c r="I173" s="84">
        <v>514.43153443394601</v>
      </c>
      <c r="J173" s="84">
        <v>7146.9239648799903</v>
      </c>
      <c r="K173" s="84">
        <v>59355.483889770199</v>
      </c>
      <c r="L173" s="84">
        <v>12183.851450570401</v>
      </c>
      <c r="M173" s="84">
        <v>1302.22810272472</v>
      </c>
      <c r="N173" s="84">
        <v>9198.6948640439095</v>
      </c>
      <c r="O173" s="84">
        <v>33208.196999255997</v>
      </c>
      <c r="P173" s="84">
        <v>6421.4352066024503</v>
      </c>
      <c r="Q173" s="84">
        <v>72289.006651718693</v>
      </c>
      <c r="R173" s="84">
        <v>3135.0436187057999</v>
      </c>
      <c r="S173" s="84">
        <v>5604.1948807774497</v>
      </c>
      <c r="T173" s="84">
        <v>19427.950931649801</v>
      </c>
      <c r="U173" s="84">
        <v>646.36999036938403</v>
      </c>
      <c r="V173" s="84">
        <v>32224.528595726999</v>
      </c>
      <c r="W173" s="84">
        <v>4191.1973792426197</v>
      </c>
      <c r="X173" s="84">
        <v>662.09310019567499</v>
      </c>
      <c r="Y173" s="84">
        <v>1870.0663858421699</v>
      </c>
      <c r="Z173" s="84">
        <v>85.0505611204307</v>
      </c>
      <c r="AA173" s="84">
        <v>18221.5549719029</v>
      </c>
      <c r="AB173" s="84">
        <v>4494.2678071704004</v>
      </c>
      <c r="AC173" s="84">
        <v>31659.657494501502</v>
      </c>
      <c r="AD173" s="84">
        <v>6814.2555301364901</v>
      </c>
      <c r="AE173" s="84">
        <v>17943.594779724201</v>
      </c>
      <c r="AF173" s="84">
        <v>6736.4274217557904</v>
      </c>
      <c r="AG173" s="84">
        <v>1758.2892057669001</v>
      </c>
      <c r="AH173" s="84">
        <v>2581.7515334720401</v>
      </c>
      <c r="AI173" s="84">
        <f t="shared" si="2"/>
        <v>376631.94996541418</v>
      </c>
    </row>
    <row r="174" spans="1:35">
      <c r="A174" s="22" t="s">
        <v>108</v>
      </c>
      <c r="B174" s="22" t="s">
        <v>109</v>
      </c>
      <c r="C174" s="22">
        <v>2015</v>
      </c>
      <c r="D174" s="22" t="s">
        <v>86</v>
      </c>
      <c r="E174" s="84">
        <v>7375.9956564985096</v>
      </c>
      <c r="F174" s="84">
        <v>9715.1845333469992</v>
      </c>
      <c r="G174" s="84">
        <v>5890.9406508258098</v>
      </c>
      <c r="H174" s="84">
        <v>6112.7248845444801</v>
      </c>
      <c r="I174" s="84">
        <v>441.51960209961101</v>
      </c>
      <c r="J174" s="84">
        <v>8164.49615839939</v>
      </c>
      <c r="K174" s="84">
        <v>61967.227088378997</v>
      </c>
      <c r="L174" s="84">
        <v>12126.957501618301</v>
      </c>
      <c r="M174" s="84">
        <v>1459.90750350555</v>
      </c>
      <c r="N174" s="84">
        <v>8165.96140483414</v>
      </c>
      <c r="O174" s="84">
        <v>33236.246041801001</v>
      </c>
      <c r="P174" s="84">
        <v>6392.5011516795203</v>
      </c>
      <c r="Q174" s="84">
        <v>72460.4098332258</v>
      </c>
      <c r="R174" s="84">
        <v>2787.20039765711</v>
      </c>
      <c r="S174" s="84">
        <v>6654.0216838049</v>
      </c>
      <c r="T174" s="84">
        <v>20620.342816533499</v>
      </c>
      <c r="U174" s="84">
        <v>659.22725948319999</v>
      </c>
      <c r="V174" s="84">
        <v>32101.6667244612</v>
      </c>
      <c r="W174" s="84">
        <v>4537.6367688702703</v>
      </c>
      <c r="X174" s="84">
        <v>672.48646351973002</v>
      </c>
      <c r="Y174" s="84">
        <v>2151.4654945819002</v>
      </c>
      <c r="Z174" s="84">
        <v>84.660018224933097</v>
      </c>
      <c r="AA174" s="84">
        <v>18998.123378570599</v>
      </c>
      <c r="AB174" s="84">
        <v>4662.1868012478999</v>
      </c>
      <c r="AC174" s="84">
        <v>31705.476799472501</v>
      </c>
      <c r="AD174" s="84">
        <v>6911.3571991804902</v>
      </c>
      <c r="AE174" s="84">
        <v>18925.015226110299</v>
      </c>
      <c r="AF174" s="84">
        <v>6767.4951243997502</v>
      </c>
      <c r="AG174" s="84">
        <v>1799.50208943403</v>
      </c>
      <c r="AH174" s="84">
        <v>2516.8684437566699</v>
      </c>
      <c r="AI174" s="84">
        <f t="shared" si="2"/>
        <v>384630.66575479147</v>
      </c>
    </row>
    <row r="175" spans="1:35">
      <c r="A175" s="22" t="s">
        <v>108</v>
      </c>
      <c r="B175" s="22" t="s">
        <v>109</v>
      </c>
      <c r="C175" s="22">
        <v>2019</v>
      </c>
      <c r="D175" s="22" t="s">
        <v>86</v>
      </c>
      <c r="E175" s="84">
        <v>7221.2124079707601</v>
      </c>
      <c r="F175" s="84">
        <v>9559.9212815159408</v>
      </c>
      <c r="G175" s="84">
        <v>6004.0438968734697</v>
      </c>
      <c r="H175" s="84">
        <v>5895.43914517537</v>
      </c>
      <c r="I175" s="84">
        <v>495.456224254326</v>
      </c>
      <c r="J175" s="84">
        <v>7933.4379299801603</v>
      </c>
      <c r="K175" s="84">
        <v>58525.007093607899</v>
      </c>
      <c r="L175" s="84">
        <v>12175.7098758434</v>
      </c>
      <c r="M175" s="84">
        <v>1559.5544180992199</v>
      </c>
      <c r="N175" s="84">
        <v>8100.5293745907902</v>
      </c>
      <c r="O175" s="84">
        <v>33898.356661054997</v>
      </c>
      <c r="P175" s="84">
        <v>6445.8717802336296</v>
      </c>
      <c r="Q175" s="84">
        <v>69150.183533340998</v>
      </c>
      <c r="R175" s="84">
        <v>2721.2354660846099</v>
      </c>
      <c r="S175" s="84">
        <v>6989.3297508923597</v>
      </c>
      <c r="T175" s="84">
        <v>21789.780503166501</v>
      </c>
      <c r="U175" s="84">
        <v>621.46596325214603</v>
      </c>
      <c r="V175" s="84">
        <v>32190.290430789399</v>
      </c>
      <c r="W175" s="84">
        <v>4286.9687393455897</v>
      </c>
      <c r="X175" s="84">
        <v>690.86540045495701</v>
      </c>
      <c r="Y175" s="84">
        <v>2198.3568462467902</v>
      </c>
      <c r="Z175" s="84">
        <v>86.412652489514201</v>
      </c>
      <c r="AA175" s="84">
        <v>18446.616534999699</v>
      </c>
      <c r="AB175" s="84">
        <v>4630.8660995079999</v>
      </c>
      <c r="AC175" s="84">
        <v>32595.156292322401</v>
      </c>
      <c r="AD175" s="84">
        <v>7248.6154101491002</v>
      </c>
      <c r="AE175" s="84">
        <v>19243.101085324299</v>
      </c>
      <c r="AF175" s="84">
        <v>6698.80903874449</v>
      </c>
      <c r="AG175" s="84">
        <v>1807.85042076581</v>
      </c>
      <c r="AH175" s="84">
        <v>2529.0149553115202</v>
      </c>
      <c r="AI175" s="84">
        <f t="shared" si="2"/>
        <v>380591.68800445262</v>
      </c>
    </row>
    <row r="176" spans="1:35">
      <c r="A176" s="22" t="s">
        <v>108</v>
      </c>
      <c r="B176" s="22" t="s">
        <v>109</v>
      </c>
      <c r="C176" s="22">
        <v>2021</v>
      </c>
      <c r="D176" s="22" t="s">
        <v>86</v>
      </c>
      <c r="E176" s="84">
        <v>7221.1634231927501</v>
      </c>
      <c r="F176" s="84">
        <v>9414.1865437005108</v>
      </c>
      <c r="G176" s="84">
        <v>6106.3394569693801</v>
      </c>
      <c r="H176" s="84">
        <v>5897.7274722843704</v>
      </c>
      <c r="I176" s="84">
        <v>557.25201466850694</v>
      </c>
      <c r="J176" s="84">
        <v>7844.5428901711202</v>
      </c>
      <c r="K176" s="84">
        <v>56332.889330890503</v>
      </c>
      <c r="L176" s="84">
        <v>12171.548359652401</v>
      </c>
      <c r="M176" s="84">
        <v>1583.9397614263701</v>
      </c>
      <c r="N176" s="84">
        <v>8045.9879002204698</v>
      </c>
      <c r="O176" s="84">
        <v>34369.391345313998</v>
      </c>
      <c r="P176" s="84">
        <v>6303.1074690752503</v>
      </c>
      <c r="Q176" s="84">
        <v>66529.3052484933</v>
      </c>
      <c r="R176" s="84">
        <v>2700.9384785532602</v>
      </c>
      <c r="S176" s="84">
        <v>7201.9764925866803</v>
      </c>
      <c r="T176" s="84">
        <v>22953.527307646698</v>
      </c>
      <c r="U176" s="84">
        <v>620.07141185305898</v>
      </c>
      <c r="V176" s="84">
        <v>32717.215446988801</v>
      </c>
      <c r="W176" s="84">
        <v>4327.7173719518496</v>
      </c>
      <c r="X176" s="84">
        <v>697.34611066327398</v>
      </c>
      <c r="Y176" s="84">
        <v>2252.95600614464</v>
      </c>
      <c r="Z176" s="84">
        <v>87.708772813800095</v>
      </c>
      <c r="AA176" s="84">
        <v>17974.704875446401</v>
      </c>
      <c r="AB176" s="84">
        <v>4701.7061075129996</v>
      </c>
      <c r="AC176" s="84">
        <v>34035.2602113826</v>
      </c>
      <c r="AD176" s="84">
        <v>7258.1809604119899</v>
      </c>
      <c r="AE176" s="84">
        <v>19169.303970744601</v>
      </c>
      <c r="AF176" s="84">
        <v>6673.5943093298101</v>
      </c>
      <c r="AG176" s="84">
        <v>1813.4704783226</v>
      </c>
      <c r="AH176" s="84">
        <v>2430.5695404358798</v>
      </c>
      <c r="AI176" s="84">
        <f t="shared" si="2"/>
        <v>378774.12407719734</v>
      </c>
    </row>
    <row r="177" spans="1:35">
      <c r="A177" s="22" t="s">
        <v>108</v>
      </c>
      <c r="B177" s="22" t="s">
        <v>109</v>
      </c>
      <c r="C177" s="22">
        <v>1990</v>
      </c>
      <c r="D177" s="22" t="s">
        <v>87</v>
      </c>
      <c r="E177" s="84">
        <v>8313.7859785457895</v>
      </c>
      <c r="F177" s="84">
        <v>11457.451578939501</v>
      </c>
      <c r="G177" s="84">
        <v>12252.2070445319</v>
      </c>
      <c r="H177" s="84">
        <v>6752.2143567760904</v>
      </c>
      <c r="I177" s="84">
        <v>452.45600310661098</v>
      </c>
      <c r="J177" s="84">
        <v>13791.1286356911</v>
      </c>
      <c r="K177" s="84">
        <v>69439.998420820499</v>
      </c>
      <c r="L177" s="84">
        <v>13382.320195911199</v>
      </c>
      <c r="M177" s="84">
        <v>2710.5945489854998</v>
      </c>
      <c r="N177" s="84">
        <v>10474.2718511123</v>
      </c>
      <c r="O177" s="84">
        <v>32424.73203911</v>
      </c>
      <c r="P177" s="84">
        <v>6596.4099062908499</v>
      </c>
      <c r="Q177" s="84">
        <v>76268.824490028594</v>
      </c>
      <c r="R177" s="84">
        <v>4374.3179135922401</v>
      </c>
      <c r="S177" s="84">
        <v>9706.0993449574798</v>
      </c>
      <c r="T177" s="84">
        <v>19216.893324721201</v>
      </c>
      <c r="U177" s="84">
        <v>694.790483599357</v>
      </c>
      <c r="V177" s="84">
        <v>37166.121976740003</v>
      </c>
      <c r="W177" s="84">
        <v>8920.3663800928007</v>
      </c>
      <c r="X177" s="84">
        <v>695.99372796134401</v>
      </c>
      <c r="Y177" s="84">
        <v>4665.6355761303303</v>
      </c>
      <c r="Z177" s="84">
        <v>108.769806560662</v>
      </c>
      <c r="AA177" s="84">
        <v>24977.6519533676</v>
      </c>
      <c r="AB177" s="84">
        <v>4715.0372504382003</v>
      </c>
      <c r="AC177" s="84">
        <v>46384.722620681299</v>
      </c>
      <c r="AD177" s="84">
        <v>7290.7244363611699</v>
      </c>
      <c r="AE177" s="84">
        <v>34468.870211089001</v>
      </c>
      <c r="AF177" s="84">
        <v>7468.5615214578502</v>
      </c>
      <c r="AG177" s="84">
        <v>1895.0884717456399</v>
      </c>
      <c r="AH177" s="84">
        <v>6007.2868813537198</v>
      </c>
      <c r="AI177" s="84">
        <f t="shared" si="2"/>
        <v>470911.28483988618</v>
      </c>
    </row>
    <row r="178" spans="1:35">
      <c r="A178" s="22" t="s">
        <v>108</v>
      </c>
      <c r="B178" s="22" t="s">
        <v>109</v>
      </c>
      <c r="C178" s="22">
        <v>2010</v>
      </c>
      <c r="D178" s="22" t="s">
        <v>87</v>
      </c>
      <c r="E178" s="84">
        <v>7075.8269074316304</v>
      </c>
      <c r="F178" s="84">
        <v>9539.3167820252402</v>
      </c>
      <c r="G178" s="84">
        <v>5149.7546753953102</v>
      </c>
      <c r="H178" s="84">
        <v>6138.26949721439</v>
      </c>
      <c r="I178" s="84">
        <v>513.69383443394599</v>
      </c>
      <c r="J178" s="84">
        <v>6921.5275946258898</v>
      </c>
      <c r="K178" s="84">
        <v>56838.492899893601</v>
      </c>
      <c r="L178" s="84">
        <v>12027.991783003799</v>
      </c>
      <c r="M178" s="84">
        <v>1292.8545255009401</v>
      </c>
      <c r="N178" s="84">
        <v>9168.3474354724804</v>
      </c>
      <c r="O178" s="84">
        <v>32599.411489255999</v>
      </c>
      <c r="P178" s="84">
        <v>6142.4492576420898</v>
      </c>
      <c r="Q178" s="84">
        <v>70379.0784238372</v>
      </c>
      <c r="R178" s="84">
        <v>3047.0063347499299</v>
      </c>
      <c r="S178" s="84">
        <v>5498.3753197302403</v>
      </c>
      <c r="T178" s="84">
        <v>18901.773851649799</v>
      </c>
      <c r="U178" s="84">
        <v>642.14660689961204</v>
      </c>
      <c r="V178" s="84">
        <v>31843.469020597298</v>
      </c>
      <c r="W178" s="84">
        <v>4153.2632505909096</v>
      </c>
      <c r="X178" s="84">
        <v>654.09474284138798</v>
      </c>
      <c r="Y178" s="84">
        <v>1864.09228584217</v>
      </c>
      <c r="Z178" s="84">
        <v>85.0505611204307</v>
      </c>
      <c r="AA178" s="84">
        <v>18129.519782849799</v>
      </c>
      <c r="AB178" s="84">
        <v>4415.9356705036998</v>
      </c>
      <c r="AC178" s="84">
        <v>30538.4708278375</v>
      </c>
      <c r="AD178" s="84">
        <v>6767.3310828915601</v>
      </c>
      <c r="AE178" s="84">
        <v>17836.378570385099</v>
      </c>
      <c r="AF178" s="84">
        <v>6612.6273000166602</v>
      </c>
      <c r="AG178" s="84">
        <v>1730.4546556278999</v>
      </c>
      <c r="AH178" s="84">
        <v>2542.5817660715902</v>
      </c>
      <c r="AI178" s="84">
        <f t="shared" si="2"/>
        <v>367853.23496132036</v>
      </c>
    </row>
    <row r="179" spans="1:35">
      <c r="A179" s="22" t="s">
        <v>108</v>
      </c>
      <c r="B179" s="22" t="s">
        <v>109</v>
      </c>
      <c r="C179" s="22">
        <v>2015</v>
      </c>
      <c r="D179" s="22" t="s">
        <v>87</v>
      </c>
      <c r="E179" s="84">
        <v>7230.5104559085203</v>
      </c>
      <c r="F179" s="84">
        <v>9522.0182283309096</v>
      </c>
      <c r="G179" s="84">
        <v>5835.0685860746999</v>
      </c>
      <c r="H179" s="84">
        <v>6068.0361302275196</v>
      </c>
      <c r="I179" s="84">
        <v>441.12140209961098</v>
      </c>
      <c r="J179" s="84">
        <v>7725.7511672003602</v>
      </c>
      <c r="K179" s="84">
        <v>59039.270470925803</v>
      </c>
      <c r="L179" s="84">
        <v>11950.904150620199</v>
      </c>
      <c r="M179" s="84">
        <v>1450.83720831351</v>
      </c>
      <c r="N179" s="84">
        <v>8142.5477225484201</v>
      </c>
      <c r="O179" s="84">
        <v>32610.998414801001</v>
      </c>
      <c r="P179" s="84">
        <v>6225.7859392012097</v>
      </c>
      <c r="Q179" s="84">
        <v>70343.266362086099</v>
      </c>
      <c r="R179" s="84">
        <v>2717.86069941083</v>
      </c>
      <c r="S179" s="84">
        <v>6451.1883863582698</v>
      </c>
      <c r="T179" s="84">
        <v>20154.930469866798</v>
      </c>
      <c r="U179" s="84">
        <v>653.881646349383</v>
      </c>
      <c r="V179" s="84">
        <v>31643.370713627501</v>
      </c>
      <c r="W179" s="84">
        <v>4476.1289819413596</v>
      </c>
      <c r="X179" s="84">
        <v>661.30334017879602</v>
      </c>
      <c r="Y179" s="84">
        <v>2125.3178345819001</v>
      </c>
      <c r="Z179" s="84">
        <v>84.660018224933097</v>
      </c>
      <c r="AA179" s="84">
        <v>18863.474330950201</v>
      </c>
      <c r="AB179" s="84">
        <v>4572.2942842512002</v>
      </c>
      <c r="AC179" s="84">
        <v>30596.501553161201</v>
      </c>
      <c r="AD179" s="84">
        <v>6846.2197095762303</v>
      </c>
      <c r="AE179" s="84">
        <v>18830.672503356702</v>
      </c>
      <c r="AF179" s="84">
        <v>6643.0126200519298</v>
      </c>
      <c r="AG179" s="84">
        <v>1775.2373865540301</v>
      </c>
      <c r="AH179" s="84">
        <v>2443.5357098447098</v>
      </c>
      <c r="AI179" s="84">
        <f t="shared" si="2"/>
        <v>374831.49436579569</v>
      </c>
    </row>
    <row r="180" spans="1:35">
      <c r="A180" s="22" t="s">
        <v>108</v>
      </c>
      <c r="B180" s="22" t="s">
        <v>109</v>
      </c>
      <c r="C180" s="22">
        <v>2019</v>
      </c>
      <c r="D180" s="22" t="s">
        <v>87</v>
      </c>
      <c r="E180" s="84">
        <v>7070.4359791171401</v>
      </c>
      <c r="F180" s="84">
        <v>9367.6977015690609</v>
      </c>
      <c r="G180" s="84">
        <v>5946.4878097310002</v>
      </c>
      <c r="H180" s="84">
        <v>5850.0490003504301</v>
      </c>
      <c r="I180" s="84">
        <v>495.230357587659</v>
      </c>
      <c r="J180" s="84">
        <v>7591.50530928016</v>
      </c>
      <c r="K180" s="84">
        <v>55794.203516196998</v>
      </c>
      <c r="L180" s="84">
        <v>11990.997030562399</v>
      </c>
      <c r="M180" s="84">
        <v>1543.95781274918</v>
      </c>
      <c r="N180" s="84">
        <v>8065.7285378955803</v>
      </c>
      <c r="O180" s="84">
        <v>33338.801577054997</v>
      </c>
      <c r="P180" s="84">
        <v>6255.5403067084699</v>
      </c>
      <c r="Q180" s="84">
        <v>67121.583889304093</v>
      </c>
      <c r="R180" s="84">
        <v>2645.5756334846101</v>
      </c>
      <c r="S180" s="84">
        <v>6772.4963610411396</v>
      </c>
      <c r="T180" s="84">
        <v>21353.897492233202</v>
      </c>
      <c r="U180" s="84">
        <v>611.121106288433</v>
      </c>
      <c r="V180" s="84">
        <v>31760.709277149701</v>
      </c>
      <c r="W180" s="84">
        <v>4219.4690182095201</v>
      </c>
      <c r="X180" s="84">
        <v>676.59728956507399</v>
      </c>
      <c r="Y180" s="84">
        <v>2143.4866462467899</v>
      </c>
      <c r="Z180" s="84">
        <v>86.412652489514201</v>
      </c>
      <c r="AA180" s="84">
        <v>18361.454684125099</v>
      </c>
      <c r="AB180" s="84">
        <v>4516.4604711709999</v>
      </c>
      <c r="AC180" s="84">
        <v>31472.487961789499</v>
      </c>
      <c r="AD180" s="84">
        <v>7207.1342285404598</v>
      </c>
      <c r="AE180" s="84">
        <v>19114.518158164901</v>
      </c>
      <c r="AF180" s="84">
        <v>6575.9626338096896</v>
      </c>
      <c r="AG180" s="84">
        <v>1779.6681637691399</v>
      </c>
      <c r="AH180" s="84">
        <v>2460.7652993298698</v>
      </c>
      <c r="AI180" s="84">
        <f t="shared" si="2"/>
        <v>371212.80532770493</v>
      </c>
    </row>
    <row r="181" spans="1:35">
      <c r="A181" s="22" t="s">
        <v>108</v>
      </c>
      <c r="B181" s="22" t="s">
        <v>109</v>
      </c>
      <c r="C181" s="22">
        <v>2021</v>
      </c>
      <c r="D181" s="22" t="s">
        <v>87</v>
      </c>
      <c r="E181" s="84">
        <v>7071.8748805393097</v>
      </c>
      <c r="F181" s="84">
        <v>9223.2608922177205</v>
      </c>
      <c r="G181" s="84">
        <v>6047.7776669045597</v>
      </c>
      <c r="H181" s="84">
        <v>5851.6797171236904</v>
      </c>
      <c r="I181" s="84">
        <v>556.95318133517299</v>
      </c>
      <c r="J181" s="84">
        <v>7522.6377051044501</v>
      </c>
      <c r="K181" s="84">
        <v>53744.878402781098</v>
      </c>
      <c r="L181" s="84">
        <v>11895.8822495319</v>
      </c>
      <c r="M181" s="84">
        <v>1555.3219427429899</v>
      </c>
      <c r="N181" s="84">
        <v>8012.4887844311197</v>
      </c>
      <c r="O181" s="84">
        <v>33975.765103313999</v>
      </c>
      <c r="P181" s="84">
        <v>6101.6916657779902</v>
      </c>
      <c r="Q181" s="84">
        <v>64573.788592576901</v>
      </c>
      <c r="R181" s="84">
        <v>2598.0889698865899</v>
      </c>
      <c r="S181" s="84">
        <v>6965.7403016554799</v>
      </c>
      <c r="T181" s="84">
        <v>22254.077934313402</v>
      </c>
      <c r="U181" s="84">
        <v>610.88123391980605</v>
      </c>
      <c r="V181" s="84">
        <v>32255.951534255299</v>
      </c>
      <c r="W181" s="84">
        <v>4212.5300440606497</v>
      </c>
      <c r="X181" s="84">
        <v>683.73118684882104</v>
      </c>
      <c r="Y181" s="84">
        <v>2169.62147281131</v>
      </c>
      <c r="Z181" s="84">
        <v>87.708772813800095</v>
      </c>
      <c r="AA181" s="84">
        <v>17891.539853500901</v>
      </c>
      <c r="AB181" s="84">
        <v>4580.0481975160001</v>
      </c>
      <c r="AC181" s="84">
        <v>32623.138750784299</v>
      </c>
      <c r="AD181" s="84">
        <v>7227.1441249795898</v>
      </c>
      <c r="AE181" s="84">
        <v>19008.051026686699</v>
      </c>
      <c r="AF181" s="84">
        <v>6550.8019188587896</v>
      </c>
      <c r="AG181" s="84">
        <v>1784.1004592581301</v>
      </c>
      <c r="AH181" s="84">
        <v>2360.9994366605401</v>
      </c>
      <c r="AI181" s="84">
        <f t="shared" si="2"/>
        <v>368955.54685463145</v>
      </c>
    </row>
    <row r="182" spans="1:35">
      <c r="A182" s="22" t="s">
        <v>110</v>
      </c>
      <c r="B182" s="22" t="s">
        <v>77</v>
      </c>
      <c r="C182" s="22">
        <v>1990</v>
      </c>
      <c r="D182" s="22" t="s">
        <v>85</v>
      </c>
      <c r="E182" s="84">
        <v>-12347.3962440184</v>
      </c>
      <c r="F182" s="84">
        <v>-2942.1233810620902</v>
      </c>
      <c r="G182" s="84">
        <v>-16665.467063895401</v>
      </c>
      <c r="H182" s="84">
        <v>-1847.507291378</v>
      </c>
      <c r="I182" s="84">
        <v>-153.12872984376401</v>
      </c>
      <c r="J182" s="84">
        <v>-8681.8921268826598</v>
      </c>
      <c r="K182" s="84">
        <v>28760.239819938699</v>
      </c>
      <c r="L182" s="84">
        <v>6573.9895944309501</v>
      </c>
      <c r="M182" s="84">
        <v>-4007.1638730108398</v>
      </c>
      <c r="N182" s="84">
        <v>-2323.5346774954</v>
      </c>
      <c r="O182" s="84">
        <v>-34730.804007282597</v>
      </c>
      <c r="P182" s="84">
        <v>-28998.522719000001</v>
      </c>
      <c r="Q182" s="84">
        <v>-20417.171417527399</v>
      </c>
      <c r="R182" s="84">
        <v>-6356.8265153346902</v>
      </c>
      <c r="S182" s="84">
        <v>-3416.9803967857501</v>
      </c>
      <c r="T182" s="84">
        <v>5311.1646408589604</v>
      </c>
      <c r="U182" s="84">
        <v>5761.3568740758101</v>
      </c>
      <c r="V182" s="84">
        <v>-5690.32111017223</v>
      </c>
      <c r="W182" s="84">
        <v>-5464.1346315905903</v>
      </c>
      <c r="X182" s="84">
        <v>-1.15211116600372</v>
      </c>
      <c r="Y182" s="84">
        <v>-13398.947153184799</v>
      </c>
      <c r="Z182" s="84">
        <v>-8.3005306133660905</v>
      </c>
      <c r="AA182" s="84">
        <v>5832.6641861566904</v>
      </c>
      <c r="AB182" s="84">
        <v>-10230.9201100928</v>
      </c>
      <c r="AC182" s="84">
        <v>-30167.741443219002</v>
      </c>
      <c r="AD182" s="84">
        <v>5705.1748391999199</v>
      </c>
      <c r="AE182" s="84">
        <v>-28799.871155145898</v>
      </c>
      <c r="AF182" s="84">
        <v>-47967.946238307399</v>
      </c>
      <c r="AG182" s="84">
        <v>-4463.87907750877</v>
      </c>
      <c r="AH182" s="84">
        <v>-9463.5103823022291</v>
      </c>
      <c r="AI182" s="84">
        <f t="shared" si="2"/>
        <v>-234283.58190476405</v>
      </c>
    </row>
    <row r="183" spans="1:35">
      <c r="A183" s="22" t="s">
        <v>110</v>
      </c>
      <c r="B183" s="22" t="s">
        <v>77</v>
      </c>
      <c r="C183" s="22">
        <v>2010</v>
      </c>
      <c r="D183" s="22" t="s">
        <v>85</v>
      </c>
      <c r="E183" s="84">
        <v>-19910.021913091401</v>
      </c>
      <c r="F183" s="84">
        <v>-459.98937766281102</v>
      </c>
      <c r="G183" s="84">
        <v>-12084.5802126526</v>
      </c>
      <c r="H183" s="84">
        <v>-2866.7766150586699</v>
      </c>
      <c r="I183" s="84">
        <v>-267.27360687298602</v>
      </c>
      <c r="J183" s="84">
        <v>-7252.4966911056199</v>
      </c>
      <c r="K183" s="84">
        <v>-10290.459886122</v>
      </c>
      <c r="L183" s="84">
        <v>2232.7057090787498</v>
      </c>
      <c r="M183" s="84">
        <v>-5815.1504250544103</v>
      </c>
      <c r="N183" s="84">
        <v>-3426.1903639648499</v>
      </c>
      <c r="O183" s="84">
        <v>-44573.465597366499</v>
      </c>
      <c r="P183" s="84">
        <v>-28986.723912000001</v>
      </c>
      <c r="Q183" s="84">
        <v>-43678.664996268097</v>
      </c>
      <c r="R183" s="84">
        <v>-6985.7013331957796</v>
      </c>
      <c r="S183" s="84">
        <v>-4872.2306344586996</v>
      </c>
      <c r="T183" s="84">
        <v>5730.4383122457702</v>
      </c>
      <c r="U183" s="84">
        <v>5822.1362344176296</v>
      </c>
      <c r="V183" s="84">
        <v>-42458.9573806685</v>
      </c>
      <c r="W183" s="84">
        <v>-10497.209844430001</v>
      </c>
      <c r="X183" s="84">
        <v>-223.15409511861901</v>
      </c>
      <c r="Y183" s="84">
        <v>-3087.2520046407799</v>
      </c>
      <c r="Z183" s="84">
        <v>11.0125656469012</v>
      </c>
      <c r="AA183" s="84">
        <v>4747.5305666453996</v>
      </c>
      <c r="AB183" s="84">
        <v>-24269.894174187099</v>
      </c>
      <c r="AC183" s="84">
        <v>-33870.337809160003</v>
      </c>
      <c r="AD183" s="84">
        <v>-7587.3616225559699</v>
      </c>
      <c r="AE183" s="84">
        <v>-37484.793324427403</v>
      </c>
      <c r="AF183" s="84">
        <v>-51842.523118565703</v>
      </c>
      <c r="AG183" s="84">
        <v>-7219.73802308632</v>
      </c>
      <c r="AH183" s="84">
        <v>-5267.8744978188097</v>
      </c>
      <c r="AI183" s="84">
        <f t="shared" si="2"/>
        <v>-375420.46351667121</v>
      </c>
    </row>
    <row r="184" spans="1:35">
      <c r="A184" s="22" t="s">
        <v>110</v>
      </c>
      <c r="B184" s="22" t="s">
        <v>77</v>
      </c>
      <c r="C184" s="22">
        <v>2015</v>
      </c>
      <c r="D184" s="22" t="s">
        <v>85</v>
      </c>
      <c r="E184" s="84">
        <v>-6709.5776990636696</v>
      </c>
      <c r="F184" s="84">
        <v>-958.10448416295901</v>
      </c>
      <c r="G184" s="84">
        <v>-7962.3237350157397</v>
      </c>
      <c r="H184" s="84">
        <v>-2015.7970898009401</v>
      </c>
      <c r="I184" s="84">
        <v>-297.433657434054</v>
      </c>
      <c r="J184" s="84">
        <v>-7020.5543302509104</v>
      </c>
      <c r="K184" s="84">
        <v>-18871.867736400302</v>
      </c>
      <c r="L184" s="84">
        <v>561.09125900251195</v>
      </c>
      <c r="M184" s="84">
        <v>-1123.9711584115901</v>
      </c>
      <c r="N184" s="84">
        <v>-4278.8804333194503</v>
      </c>
      <c r="O184" s="84">
        <v>-45120.643785679102</v>
      </c>
      <c r="P184" s="84">
        <v>-19386.352500000001</v>
      </c>
      <c r="Q184" s="84">
        <v>-39292.588627846497</v>
      </c>
      <c r="R184" s="84">
        <v>-5838.7284591216803</v>
      </c>
      <c r="S184" s="84">
        <v>-5747.2059421941103</v>
      </c>
      <c r="T184" s="84">
        <v>5257.9909825016002</v>
      </c>
      <c r="U184" s="84">
        <v>5741.3817250530501</v>
      </c>
      <c r="V184" s="84">
        <v>-44551.3776181129</v>
      </c>
      <c r="W184" s="84">
        <v>-8085.4201338236498</v>
      </c>
      <c r="X184" s="84">
        <v>-378.15057447920498</v>
      </c>
      <c r="Y184" s="84">
        <v>-1051.63854796134</v>
      </c>
      <c r="Z184" s="84">
        <v>-3.9650147677486101</v>
      </c>
      <c r="AA184" s="84">
        <v>5072.6944720614702</v>
      </c>
      <c r="AB184" s="84">
        <v>-13820.0183442258</v>
      </c>
      <c r="AC184" s="84">
        <v>-30886.895968148299</v>
      </c>
      <c r="AD184" s="84">
        <v>-4590.96619248564</v>
      </c>
      <c r="AE184" s="84">
        <v>-50364.974817226997</v>
      </c>
      <c r="AF184" s="84">
        <v>-47857.118107601003</v>
      </c>
      <c r="AG184" s="84">
        <v>764.79870747646896</v>
      </c>
      <c r="AH184" s="84">
        <v>-5824.48117932484</v>
      </c>
      <c r="AI184" s="84">
        <f t="shared" si="2"/>
        <v>-344546.64528178971</v>
      </c>
    </row>
    <row r="185" spans="1:35">
      <c r="A185" s="22" t="s">
        <v>110</v>
      </c>
      <c r="B185" s="22" t="s">
        <v>77</v>
      </c>
      <c r="C185" s="22">
        <v>2019</v>
      </c>
      <c r="D185" s="22" t="s">
        <v>85</v>
      </c>
      <c r="E185" s="84">
        <v>1989.04602946061</v>
      </c>
      <c r="F185" s="84">
        <v>-585.85817383277094</v>
      </c>
      <c r="G185" s="84">
        <v>-9620.7834295098401</v>
      </c>
      <c r="H185" s="84">
        <v>-1827.7800280035001</v>
      </c>
      <c r="I185" s="84">
        <v>-298.756890643676</v>
      </c>
      <c r="J185" s="84">
        <v>7727.8331470789599</v>
      </c>
      <c r="K185" s="84">
        <v>-14528.7723232396</v>
      </c>
      <c r="L185" s="84">
        <v>2662.9664782455102</v>
      </c>
      <c r="M185" s="84">
        <v>803.31793863877999</v>
      </c>
      <c r="N185" s="84">
        <v>-5505.9754673126999</v>
      </c>
      <c r="O185" s="84">
        <v>-45611.243545597499</v>
      </c>
      <c r="P185" s="84">
        <v>-9366.8991666666698</v>
      </c>
      <c r="Q185" s="84">
        <v>-18598.136414205001</v>
      </c>
      <c r="R185" s="84">
        <v>-5857.6148105768898</v>
      </c>
      <c r="S185" s="84">
        <v>-5440.1774194520003</v>
      </c>
      <c r="T185" s="84">
        <v>5638.8852321064696</v>
      </c>
      <c r="U185" s="84">
        <v>5655.5436496626498</v>
      </c>
      <c r="V185" s="84">
        <v>-42473.199033950899</v>
      </c>
      <c r="W185" s="84">
        <v>-6035.0661844899396</v>
      </c>
      <c r="X185" s="84">
        <v>-372.10193602225399</v>
      </c>
      <c r="Y185" s="84">
        <v>-3687.89445921782</v>
      </c>
      <c r="Z185" s="84">
        <v>5.34580912591169</v>
      </c>
      <c r="AA185" s="84">
        <v>3848.4036786157399</v>
      </c>
      <c r="AB185" s="84">
        <v>-15737.031150082101</v>
      </c>
      <c r="AC185" s="84">
        <v>-20065.702402017101</v>
      </c>
      <c r="AD185" s="84">
        <v>-5174.8208612992703</v>
      </c>
      <c r="AE185" s="84">
        <v>-48294.482746204798</v>
      </c>
      <c r="AF185" s="84">
        <v>-39842.479795040999</v>
      </c>
      <c r="AG185" s="84">
        <v>-3383.7725566461199</v>
      </c>
      <c r="AH185" s="84">
        <v>-5585.2942121483002</v>
      </c>
      <c r="AI185" s="84">
        <f t="shared" si="2"/>
        <v>-267653.23351480206</v>
      </c>
    </row>
    <row r="186" spans="1:35">
      <c r="A186" s="22" t="s">
        <v>110</v>
      </c>
      <c r="B186" s="22" t="s">
        <v>77</v>
      </c>
      <c r="C186" s="22">
        <v>2021</v>
      </c>
      <c r="D186" s="22" t="s">
        <v>85</v>
      </c>
      <c r="E186" s="84">
        <v>-10540.871455794901</v>
      </c>
      <c r="F186" s="84">
        <v>-427.61245337219202</v>
      </c>
      <c r="G186" s="84">
        <v>-9592.8582023968793</v>
      </c>
      <c r="H186" s="84">
        <v>-1937.0572149760301</v>
      </c>
      <c r="I186" s="84">
        <v>-244.72293543066499</v>
      </c>
      <c r="J186" s="84">
        <v>8342.0983120014898</v>
      </c>
      <c r="K186" s="84">
        <v>-3732.7229337210401</v>
      </c>
      <c r="L186" s="84">
        <v>2125.1891525922001</v>
      </c>
      <c r="M186" s="84">
        <v>2535.1651654033199</v>
      </c>
      <c r="N186" s="84">
        <v>-5653.6513375900004</v>
      </c>
      <c r="O186" s="84">
        <v>-44981.973225695197</v>
      </c>
      <c r="P186" s="84">
        <v>-2148.6394030000001</v>
      </c>
      <c r="Q186" s="84">
        <v>-19108.5561876463</v>
      </c>
      <c r="R186" s="84">
        <v>-5923.7614408191503</v>
      </c>
      <c r="S186" s="84">
        <v>-7240.6627618025104</v>
      </c>
      <c r="T186" s="84">
        <v>6278.9833643097099</v>
      </c>
      <c r="U186" s="84">
        <v>5642.12504891155</v>
      </c>
      <c r="V186" s="84">
        <v>-28923.750701676101</v>
      </c>
      <c r="W186" s="84">
        <v>-6238.0660270971202</v>
      </c>
      <c r="X186" s="84">
        <v>-613.85588265515605</v>
      </c>
      <c r="Y186" s="84">
        <v>956.29447929696198</v>
      </c>
      <c r="Z186" s="84">
        <v>5.6232330705110002E-2</v>
      </c>
      <c r="AA186" s="84">
        <v>3985.2386765316301</v>
      </c>
      <c r="AB186" s="84">
        <v>-15951.113756226499</v>
      </c>
      <c r="AC186" s="84">
        <v>-21844.517592545901</v>
      </c>
      <c r="AD186" s="84">
        <v>-6874.6627184224499</v>
      </c>
      <c r="AE186" s="84">
        <v>-49330.002251238097</v>
      </c>
      <c r="AF186" s="84">
        <v>-43289.841321583997</v>
      </c>
      <c r="AG186" s="84">
        <v>-3142.3731251169402</v>
      </c>
      <c r="AH186" s="84">
        <v>-7709.6793674632499</v>
      </c>
      <c r="AI186" s="84">
        <f t="shared" si="2"/>
        <v>-253339.75594260177</v>
      </c>
    </row>
    <row r="187" spans="1:35" s="76" customFormat="1">
      <c r="A187" s="76" t="s">
        <v>110</v>
      </c>
      <c r="B187" s="76" t="s">
        <v>77</v>
      </c>
      <c r="C187" s="76">
        <v>1990</v>
      </c>
      <c r="D187" s="76" t="s">
        <v>86</v>
      </c>
      <c r="E187" s="85">
        <v>-12207.4311038417</v>
      </c>
      <c r="F187" s="85">
        <v>-2936.0312970740802</v>
      </c>
      <c r="G187" s="85">
        <v>-16344.256093169901</v>
      </c>
      <c r="H187" s="85">
        <v>-1763.7901194214701</v>
      </c>
      <c r="I187" s="85">
        <v>-153.06715731034399</v>
      </c>
      <c r="J187" s="85">
        <v>-8585.7402318461009</v>
      </c>
      <c r="K187" s="85">
        <v>35975.622190805901</v>
      </c>
      <c r="L187" s="85">
        <v>6931.02028361462</v>
      </c>
      <c r="M187" s="85">
        <v>-3695.4772233172698</v>
      </c>
      <c r="N187" s="85">
        <v>-2247.5909353089</v>
      </c>
      <c r="O187" s="85">
        <v>-33895.992673356202</v>
      </c>
      <c r="P187" s="85">
        <v>-25806.849146</v>
      </c>
      <c r="Q187" s="85">
        <v>-16920.984805721098</v>
      </c>
      <c r="R187" s="85">
        <v>-6312.1998314436496</v>
      </c>
      <c r="S187" s="85">
        <v>-3361.5368254140199</v>
      </c>
      <c r="T187" s="85">
        <v>6009.4426479479498</v>
      </c>
      <c r="U187" s="85">
        <v>9609.6004528933499</v>
      </c>
      <c r="V187" s="85">
        <v>-3488.7269723921299</v>
      </c>
      <c r="W187" s="85">
        <v>-5347.88517192367</v>
      </c>
      <c r="X187" s="85">
        <v>8.9909736621410801</v>
      </c>
      <c r="Y187" s="85">
        <v>-12390.084938724</v>
      </c>
      <c r="Z187" s="85">
        <v>-7.9996904825351898</v>
      </c>
      <c r="AA187" s="85">
        <v>6237.1312790195398</v>
      </c>
      <c r="AB187" s="85">
        <v>-9828.5554100928493</v>
      </c>
      <c r="AC187" s="85">
        <v>-28493.6630083292</v>
      </c>
      <c r="AD187" s="85">
        <v>7137.7878410755102</v>
      </c>
      <c r="AE187" s="85">
        <v>-28603.9332609425</v>
      </c>
      <c r="AF187" s="85">
        <v>-46335.4784813074</v>
      </c>
      <c r="AG187" s="85">
        <v>-4394.5581232007398</v>
      </c>
      <c r="AH187" s="85">
        <v>-9332.8044498987692</v>
      </c>
      <c r="AI187" s="84">
        <f t="shared" si="2"/>
        <v>-208562.2962048786</v>
      </c>
    </row>
    <row r="188" spans="1:35">
      <c r="A188" s="22" t="s">
        <v>110</v>
      </c>
      <c r="B188" s="22" t="s">
        <v>77</v>
      </c>
      <c r="C188" s="22">
        <v>2010</v>
      </c>
      <c r="D188" s="22" t="s">
        <v>86</v>
      </c>
      <c r="E188" s="84">
        <v>-19759.098849186801</v>
      </c>
      <c r="F188" s="84">
        <v>-362.23424858021599</v>
      </c>
      <c r="G188" s="84">
        <v>-11876.878221667699</v>
      </c>
      <c r="H188" s="84">
        <v>-2807.2176563754301</v>
      </c>
      <c r="I188" s="84">
        <v>-265.03803907083301</v>
      </c>
      <c r="J188" s="84">
        <v>-7154.8554116332398</v>
      </c>
      <c r="K188" s="84">
        <v>-2655.8360758746699</v>
      </c>
      <c r="L188" s="84">
        <v>2553.1573897284202</v>
      </c>
      <c r="M188" s="84">
        <v>-5482.6611047289898</v>
      </c>
      <c r="N188" s="84">
        <v>-3392.2451182935401</v>
      </c>
      <c r="O188" s="84">
        <v>-44144.858663544102</v>
      </c>
      <c r="P188" s="84">
        <v>-26026.475729000002</v>
      </c>
      <c r="Q188" s="84">
        <v>-40944.307100543898</v>
      </c>
      <c r="R188" s="84">
        <v>-6887.62902184007</v>
      </c>
      <c r="S188" s="84">
        <v>-4831.9760333664799</v>
      </c>
      <c r="T188" s="84">
        <v>7055.7907577496198</v>
      </c>
      <c r="U188" s="84">
        <v>9596.2359399262696</v>
      </c>
      <c r="V188" s="84">
        <v>-41684.585707156497</v>
      </c>
      <c r="W188" s="84">
        <v>-10365.5623981349</v>
      </c>
      <c r="X188" s="84">
        <v>-205.399558113517</v>
      </c>
      <c r="Y188" s="84">
        <v>-2028.9301335031801</v>
      </c>
      <c r="Z188" s="84">
        <v>11.2010230941905</v>
      </c>
      <c r="AA188" s="84">
        <v>5095.4076802137997</v>
      </c>
      <c r="AB188" s="84">
        <v>-23834.274914187099</v>
      </c>
      <c r="AC188" s="84">
        <v>-32962.298654967497</v>
      </c>
      <c r="AD188" s="84">
        <v>-6561.1538494876804</v>
      </c>
      <c r="AE188" s="84">
        <v>-37235.526528722003</v>
      </c>
      <c r="AF188" s="84">
        <v>-50287.996141565702</v>
      </c>
      <c r="AG188" s="84">
        <v>-7166.7741060353901</v>
      </c>
      <c r="AH188" s="84">
        <v>-5212.7449072719</v>
      </c>
      <c r="AI188" s="84">
        <f t="shared" si="2"/>
        <v>-352779.5087515029</v>
      </c>
    </row>
    <row r="189" spans="1:35">
      <c r="A189" s="22" t="s">
        <v>110</v>
      </c>
      <c r="B189" s="22" t="s">
        <v>77</v>
      </c>
      <c r="C189" s="22">
        <v>2015</v>
      </c>
      <c r="D189" s="22" t="s">
        <v>86</v>
      </c>
      <c r="E189" s="84">
        <v>-6563.0986118274504</v>
      </c>
      <c r="F189" s="84">
        <v>-856.23308891238196</v>
      </c>
      <c r="G189" s="84">
        <v>-7689.09279730256</v>
      </c>
      <c r="H189" s="84">
        <v>-1954.4242059830999</v>
      </c>
      <c r="I189" s="84">
        <v>-296.10664469064102</v>
      </c>
      <c r="J189" s="84">
        <v>-6964.1035140780396</v>
      </c>
      <c r="K189" s="84">
        <v>-11171.5784639999</v>
      </c>
      <c r="L189" s="84">
        <v>885.30793961080497</v>
      </c>
      <c r="M189" s="84">
        <v>-783.92118410244598</v>
      </c>
      <c r="N189" s="84">
        <v>-4252.9741773707301</v>
      </c>
      <c r="O189" s="84">
        <v>-44558.514801286699</v>
      </c>
      <c r="P189" s="84">
        <v>-16699.556828000001</v>
      </c>
      <c r="Q189" s="84">
        <v>-36702.828677121601</v>
      </c>
      <c r="R189" s="84">
        <v>-5698.3988320061999</v>
      </c>
      <c r="S189" s="84">
        <v>-5687.6971878662498</v>
      </c>
      <c r="T189" s="84">
        <v>6259.4087806612597</v>
      </c>
      <c r="U189" s="84">
        <v>9505.8491517526509</v>
      </c>
      <c r="V189" s="84">
        <v>-43963.976390819102</v>
      </c>
      <c r="W189" s="84">
        <v>-7953.4164391840304</v>
      </c>
      <c r="X189" s="84">
        <v>-369.20946429616703</v>
      </c>
      <c r="Y189" s="84">
        <v>158.88413678426099</v>
      </c>
      <c r="Z189" s="84">
        <v>-3.8114754113846101</v>
      </c>
      <c r="AA189" s="84">
        <v>5408.3305469971801</v>
      </c>
      <c r="AB189" s="84">
        <v>-13382.341174225799</v>
      </c>
      <c r="AC189" s="84">
        <v>-29143.456949698899</v>
      </c>
      <c r="AD189" s="84">
        <v>-3782.4326977707301</v>
      </c>
      <c r="AE189" s="84">
        <v>-50297.777467041</v>
      </c>
      <c r="AF189" s="84">
        <v>-46411.928845601004</v>
      </c>
      <c r="AG189" s="84">
        <v>808.44088496138295</v>
      </c>
      <c r="AH189" s="84">
        <v>-5755.8297808674897</v>
      </c>
      <c r="AI189" s="84">
        <f t="shared" si="2"/>
        <v>-322085.5720302398</v>
      </c>
    </row>
    <row r="190" spans="1:35">
      <c r="A190" s="22" t="s">
        <v>110</v>
      </c>
      <c r="B190" s="22" t="s">
        <v>77</v>
      </c>
      <c r="C190" s="22">
        <v>2019</v>
      </c>
      <c r="D190" s="22" t="s">
        <v>86</v>
      </c>
      <c r="E190" s="84">
        <v>2132.4747159809199</v>
      </c>
      <c r="F190" s="84">
        <v>-480.47086801238299</v>
      </c>
      <c r="G190" s="84">
        <v>-9365.5458985302594</v>
      </c>
      <c r="H190" s="84">
        <v>-1766.42073785458</v>
      </c>
      <c r="I190" s="84">
        <v>-297.04116845655898</v>
      </c>
      <c r="J190" s="84">
        <v>7778.0651301364996</v>
      </c>
      <c r="K190" s="84">
        <v>-6822.2597763562298</v>
      </c>
      <c r="L190" s="84">
        <v>2990.0185670731598</v>
      </c>
      <c r="M190" s="84">
        <v>1149.4869901031</v>
      </c>
      <c r="N190" s="84">
        <v>-5400.4412188370297</v>
      </c>
      <c r="O190" s="84">
        <v>-45229.3869788218</v>
      </c>
      <c r="P190" s="84">
        <v>-6716.3048146666697</v>
      </c>
      <c r="Q190" s="84">
        <v>-16029.340900089899</v>
      </c>
      <c r="R190" s="84">
        <v>-5735.8380978107298</v>
      </c>
      <c r="S190" s="84">
        <v>-5388.05302268379</v>
      </c>
      <c r="T190" s="84">
        <v>6657.0676999370398</v>
      </c>
      <c r="U190" s="84">
        <v>9410.3332836944901</v>
      </c>
      <c r="V190" s="84">
        <v>-41837.015561776701</v>
      </c>
      <c r="W190" s="84">
        <v>-5882.6860824543801</v>
      </c>
      <c r="X190" s="84">
        <v>-363.59461751259101</v>
      </c>
      <c r="Y190" s="84">
        <v>-2292.8967547858201</v>
      </c>
      <c r="Z190" s="84">
        <v>5.7162551974080902</v>
      </c>
      <c r="AA190" s="84">
        <v>4175.8945651078502</v>
      </c>
      <c r="AB190" s="84">
        <v>-15288.859270082099</v>
      </c>
      <c r="AC190" s="84">
        <v>-18294.504211708801</v>
      </c>
      <c r="AD190" s="84">
        <v>-4498.53816579875</v>
      </c>
      <c r="AE190" s="84">
        <v>-48222.604542273803</v>
      </c>
      <c r="AF190" s="84">
        <v>-38255.642763041003</v>
      </c>
      <c r="AG190" s="84">
        <v>-3344.8204725596602</v>
      </c>
      <c r="AH190" s="84">
        <v>-5514.79759928352</v>
      </c>
      <c r="AI190" s="84">
        <f t="shared" si="2"/>
        <v>-245083.05959192442</v>
      </c>
    </row>
    <row r="191" spans="1:35">
      <c r="A191" s="22" t="s">
        <v>110</v>
      </c>
      <c r="B191" s="22" t="s">
        <v>77</v>
      </c>
      <c r="C191" s="22">
        <v>2021</v>
      </c>
      <c r="D191" s="22" t="s">
        <v>86</v>
      </c>
      <c r="E191" s="84">
        <v>-10401.7000554063</v>
      </c>
      <c r="F191" s="84">
        <v>-324.36834198237602</v>
      </c>
      <c r="G191" s="84">
        <v>-9144.0880242683106</v>
      </c>
      <c r="H191" s="84">
        <v>-1875.08036386553</v>
      </c>
      <c r="I191" s="84">
        <v>-235.32626586526999</v>
      </c>
      <c r="J191" s="84">
        <v>8358.0117126553105</v>
      </c>
      <c r="K191" s="84">
        <v>3998.4014126852098</v>
      </c>
      <c r="L191" s="84">
        <v>2456.34892690486</v>
      </c>
      <c r="M191" s="84">
        <v>2882.57433680247</v>
      </c>
      <c r="N191" s="84">
        <v>-5476.2302814167097</v>
      </c>
      <c r="O191" s="84">
        <v>-44521.985936185898</v>
      </c>
      <c r="P191" s="84">
        <v>486.60701000000103</v>
      </c>
      <c r="Q191" s="84">
        <v>-16788.794669359999</v>
      </c>
      <c r="R191" s="84">
        <v>-5802.3658598188003</v>
      </c>
      <c r="S191" s="84">
        <v>-7197.3834489886904</v>
      </c>
      <c r="T191" s="84">
        <v>7338.2512672665198</v>
      </c>
      <c r="U191" s="84">
        <v>9397.8302209660997</v>
      </c>
      <c r="V191" s="84">
        <v>-27473.158528607401</v>
      </c>
      <c r="W191" s="84">
        <v>-6090.8933631421096</v>
      </c>
      <c r="X191" s="84">
        <v>-605.34856414548995</v>
      </c>
      <c r="Y191" s="84">
        <v>2394.4525075721599</v>
      </c>
      <c r="Z191" s="84">
        <v>0.63840695265535996</v>
      </c>
      <c r="AA191" s="84">
        <v>4312.9357410682496</v>
      </c>
      <c r="AB191" s="84">
        <v>-15497.280386226499</v>
      </c>
      <c r="AC191" s="84">
        <v>-20094.722948312799</v>
      </c>
      <c r="AD191" s="84">
        <v>-6021.0503378328804</v>
      </c>
      <c r="AE191" s="84">
        <v>-49258.4250685886</v>
      </c>
      <c r="AF191" s="84">
        <v>-41710.835280583997</v>
      </c>
      <c r="AG191" s="84">
        <v>-3105.7592363157501</v>
      </c>
      <c r="AH191" s="84">
        <v>-7657.8289415202098</v>
      </c>
      <c r="AI191" s="84">
        <f t="shared" si="2"/>
        <v>-229682.04383043421</v>
      </c>
    </row>
    <row r="192" spans="1:35">
      <c r="A192" s="22" t="s">
        <v>110</v>
      </c>
      <c r="B192" s="22" t="s">
        <v>77</v>
      </c>
      <c r="C192" s="22">
        <v>1990</v>
      </c>
      <c r="D192" s="22" t="s">
        <v>87</v>
      </c>
      <c r="E192" s="84">
        <v>139.96514017675901</v>
      </c>
      <c r="F192" s="84">
        <v>6.0920839880136599</v>
      </c>
      <c r="G192" s="84">
        <v>321.21097072541698</v>
      </c>
      <c r="H192" s="84">
        <v>83.717171956530095</v>
      </c>
      <c r="I192" s="84">
        <v>6.1572533420474002E-2</v>
      </c>
      <c r="J192" s="84">
        <v>96.151895036557093</v>
      </c>
      <c r="K192" s="84">
        <v>7215.3823708670998</v>
      </c>
      <c r="L192" s="84">
        <v>357.03068918366398</v>
      </c>
      <c r="M192" s="84">
        <v>311.68664969357002</v>
      </c>
      <c r="N192" s="84">
        <v>75.943742186495896</v>
      </c>
      <c r="O192" s="84">
        <v>834.81133392643096</v>
      </c>
      <c r="P192" s="84">
        <v>3191.673573</v>
      </c>
      <c r="Q192" s="84">
        <v>3496.1866118062899</v>
      </c>
      <c r="R192" s="84">
        <v>44.626683891034197</v>
      </c>
      <c r="S192" s="84">
        <v>55.443571371732098</v>
      </c>
      <c r="T192" s="84">
        <v>698.27800708898803</v>
      </c>
      <c r="U192" s="84">
        <v>3848.2435788175299</v>
      </c>
      <c r="V192" s="84">
        <v>2201.5941377801</v>
      </c>
      <c r="W192" s="84">
        <v>116.24945966692</v>
      </c>
      <c r="X192" s="84">
        <v>10.143084828144801</v>
      </c>
      <c r="Y192" s="84">
        <v>1008.8622144608</v>
      </c>
      <c r="Z192" s="84">
        <v>0.300840130830901</v>
      </c>
      <c r="AA192" s="84">
        <v>404.46709286284698</v>
      </c>
      <c r="AB192" s="84">
        <v>402.36470000000003</v>
      </c>
      <c r="AC192" s="84">
        <v>1674.0784348898901</v>
      </c>
      <c r="AD192" s="84">
        <v>1432.61300187559</v>
      </c>
      <c r="AE192" s="84">
        <v>195.93789420341301</v>
      </c>
      <c r="AF192" s="84">
        <v>1632.4677570000099</v>
      </c>
      <c r="AG192" s="84">
        <v>69.320954308030196</v>
      </c>
      <c r="AH192" s="84">
        <v>130.70593240345801</v>
      </c>
      <c r="AI192" s="84">
        <f t="shared" si="2"/>
        <v>25721.285699885506</v>
      </c>
    </row>
    <row r="193" spans="1:35">
      <c r="A193" s="22" t="s">
        <v>110</v>
      </c>
      <c r="B193" s="22" t="s">
        <v>77</v>
      </c>
      <c r="C193" s="22">
        <v>2010</v>
      </c>
      <c r="D193" s="22" t="s">
        <v>87</v>
      </c>
      <c r="E193" s="84">
        <v>150.923063904651</v>
      </c>
      <c r="F193" s="84">
        <v>97.755129082594394</v>
      </c>
      <c r="G193" s="84">
        <v>207.70199098487299</v>
      </c>
      <c r="H193" s="84">
        <v>59.558958683239801</v>
      </c>
      <c r="I193" s="84">
        <v>2.2355678021529601</v>
      </c>
      <c r="J193" s="84">
        <v>97.641279472386501</v>
      </c>
      <c r="K193" s="84">
        <v>7634.6238102473399</v>
      </c>
      <c r="L193" s="84">
        <v>320.45168064966902</v>
      </c>
      <c r="M193" s="84">
        <v>332.489320325422</v>
      </c>
      <c r="N193" s="84">
        <v>33.945245671308399</v>
      </c>
      <c r="O193" s="84">
        <v>428.60693382238202</v>
      </c>
      <c r="P193" s="84">
        <v>2960.2481830000002</v>
      </c>
      <c r="Q193" s="84">
        <v>2734.3578957242698</v>
      </c>
      <c r="R193" s="84">
        <v>98.072311355714206</v>
      </c>
      <c r="S193" s="84">
        <v>40.254601092218799</v>
      </c>
      <c r="T193" s="84">
        <v>1325.35244550385</v>
      </c>
      <c r="U193" s="84">
        <v>3774.09970550864</v>
      </c>
      <c r="V193" s="84">
        <v>774.37167351196695</v>
      </c>
      <c r="W193" s="84">
        <v>131.64744629502599</v>
      </c>
      <c r="X193" s="84">
        <v>17.7545370051016</v>
      </c>
      <c r="Y193" s="84">
        <v>1058.3218711376001</v>
      </c>
      <c r="Z193" s="84">
        <v>0.18845744728924901</v>
      </c>
      <c r="AA193" s="84">
        <v>347.87711356839998</v>
      </c>
      <c r="AB193" s="84">
        <v>435.61925999999897</v>
      </c>
      <c r="AC193" s="84">
        <v>908.03915419249802</v>
      </c>
      <c r="AD193" s="84">
        <v>1026.20777306829</v>
      </c>
      <c r="AE193" s="84">
        <v>249.266795705444</v>
      </c>
      <c r="AF193" s="84">
        <v>1554.526977</v>
      </c>
      <c r="AG193" s="84">
        <v>52.963917050928103</v>
      </c>
      <c r="AH193" s="84">
        <v>55.129590546910499</v>
      </c>
      <c r="AI193" s="84">
        <f t="shared" si="2"/>
        <v>22640.954765168284</v>
      </c>
    </row>
    <row r="194" spans="1:35">
      <c r="A194" s="22" t="s">
        <v>110</v>
      </c>
      <c r="B194" s="22" t="s">
        <v>77</v>
      </c>
      <c r="C194" s="22">
        <v>2015</v>
      </c>
      <c r="D194" s="22" t="s">
        <v>87</v>
      </c>
      <c r="E194" s="84">
        <v>146.47908723622501</v>
      </c>
      <c r="F194" s="84">
        <v>101.871395250577</v>
      </c>
      <c r="G194" s="84">
        <v>273.23093771318099</v>
      </c>
      <c r="H194" s="84">
        <v>61.372883817840098</v>
      </c>
      <c r="I194" s="84">
        <v>1.3270127434130901</v>
      </c>
      <c r="J194" s="84">
        <v>56.450816172875399</v>
      </c>
      <c r="K194" s="84">
        <v>7700.2892724003304</v>
      </c>
      <c r="L194" s="84">
        <v>324.21668060829302</v>
      </c>
      <c r="M194" s="84">
        <v>340.04997430914801</v>
      </c>
      <c r="N194" s="84">
        <v>25.906255948722901</v>
      </c>
      <c r="O194" s="84">
        <v>562.12898439233697</v>
      </c>
      <c r="P194" s="84">
        <v>2686.7956720000002</v>
      </c>
      <c r="Q194" s="84">
        <v>2589.7599507248401</v>
      </c>
      <c r="R194" s="84">
        <v>140.32962711547901</v>
      </c>
      <c r="S194" s="84">
        <v>59.508754327857801</v>
      </c>
      <c r="T194" s="84">
        <v>1001.41779815966</v>
      </c>
      <c r="U194" s="84">
        <v>3764.4674266995999</v>
      </c>
      <c r="V194" s="84">
        <v>587.401227293798</v>
      </c>
      <c r="W194" s="84">
        <v>132.003694639619</v>
      </c>
      <c r="X194" s="84">
        <v>8.9411101830384005</v>
      </c>
      <c r="Y194" s="84">
        <v>1210.5226847455999</v>
      </c>
      <c r="Z194" s="84">
        <v>0.15353935636400001</v>
      </c>
      <c r="AA194" s="84">
        <v>335.63607493570998</v>
      </c>
      <c r="AB194" s="84">
        <v>437.67717000000101</v>
      </c>
      <c r="AC194" s="84">
        <v>1743.43901844934</v>
      </c>
      <c r="AD194" s="84">
        <v>808.53349471491094</v>
      </c>
      <c r="AE194" s="84">
        <v>67.197350186012002</v>
      </c>
      <c r="AF194" s="84">
        <v>1445.1892620000001</v>
      </c>
      <c r="AG194" s="84">
        <v>43.642177484914598</v>
      </c>
      <c r="AH194" s="84">
        <v>68.651398457352101</v>
      </c>
      <c r="AI194" s="84">
        <f t="shared" si="2"/>
        <v>22461.073251549591</v>
      </c>
    </row>
    <row r="195" spans="1:35">
      <c r="A195" s="22" t="s">
        <v>110</v>
      </c>
      <c r="B195" s="22" t="s">
        <v>77</v>
      </c>
      <c r="C195" s="22">
        <v>2019</v>
      </c>
      <c r="D195" s="22" t="s">
        <v>87</v>
      </c>
      <c r="E195" s="84">
        <v>143.42868652031299</v>
      </c>
      <c r="F195" s="84">
        <v>105.38730582038799</v>
      </c>
      <c r="G195" s="84">
        <v>255.237530979577</v>
      </c>
      <c r="H195" s="84">
        <v>61.359290148920103</v>
      </c>
      <c r="I195" s="84">
        <v>1.71572218711708</v>
      </c>
      <c r="J195" s="84">
        <v>50.231983057544298</v>
      </c>
      <c r="K195" s="84">
        <v>7706.5125468833803</v>
      </c>
      <c r="L195" s="84">
        <v>327.05208882764299</v>
      </c>
      <c r="M195" s="84">
        <v>346.16905146432299</v>
      </c>
      <c r="N195" s="84">
        <v>105.53424847567</v>
      </c>
      <c r="O195" s="84">
        <v>381.85656677565601</v>
      </c>
      <c r="P195" s="84">
        <v>2650.5943520000001</v>
      </c>
      <c r="Q195" s="84">
        <v>2568.7955141151601</v>
      </c>
      <c r="R195" s="84">
        <v>121.776712766163</v>
      </c>
      <c r="S195" s="84">
        <v>52.124396768213998</v>
      </c>
      <c r="T195" s="84">
        <v>1018.18246783057</v>
      </c>
      <c r="U195" s="84">
        <v>3754.7896340318398</v>
      </c>
      <c r="V195" s="84">
        <v>636.18347217419796</v>
      </c>
      <c r="W195" s="84">
        <v>152.38010203556601</v>
      </c>
      <c r="X195" s="84">
        <v>8.5073185096631505</v>
      </c>
      <c r="Y195" s="84">
        <v>1394.9977044320001</v>
      </c>
      <c r="Z195" s="84">
        <v>0.37044607149640002</v>
      </c>
      <c r="AA195" s="84">
        <v>327.49088649211399</v>
      </c>
      <c r="AB195" s="84">
        <v>448.17187999999999</v>
      </c>
      <c r="AC195" s="84">
        <v>1771.1981903083299</v>
      </c>
      <c r="AD195" s="84">
        <v>676.28269550052005</v>
      </c>
      <c r="AE195" s="84">
        <v>71.878203930980803</v>
      </c>
      <c r="AF195" s="84">
        <v>1586.8370319999999</v>
      </c>
      <c r="AG195" s="84">
        <v>38.952084086461099</v>
      </c>
      <c r="AH195" s="84">
        <v>70.496612864781099</v>
      </c>
      <c r="AI195" s="84">
        <f t="shared" ref="AI195:AI258" si="3">SUM(E195:AH195)-H195-U195-AB195</f>
        <v>22570.173922877821</v>
      </c>
    </row>
    <row r="196" spans="1:35">
      <c r="A196" s="22" t="s">
        <v>110</v>
      </c>
      <c r="B196" s="22" t="s">
        <v>77</v>
      </c>
      <c r="C196" s="22">
        <v>2021</v>
      </c>
      <c r="D196" s="22" t="s">
        <v>87</v>
      </c>
      <c r="E196" s="84">
        <v>139.17140038862601</v>
      </c>
      <c r="F196" s="84">
        <v>103.244111389816</v>
      </c>
      <c r="G196" s="84">
        <v>448.77017812857201</v>
      </c>
      <c r="H196" s="84">
        <v>61.976851110499901</v>
      </c>
      <c r="I196" s="84">
        <v>9.3966695653948005</v>
      </c>
      <c r="J196" s="84">
        <v>15.913400653818799</v>
      </c>
      <c r="K196" s="84">
        <v>7731.12434640625</v>
      </c>
      <c r="L196" s="84">
        <v>331.15977431266401</v>
      </c>
      <c r="M196" s="84">
        <v>347.40917139915098</v>
      </c>
      <c r="N196" s="84">
        <v>177.42105617328801</v>
      </c>
      <c r="O196" s="84">
        <v>459.98728950927</v>
      </c>
      <c r="P196" s="84">
        <v>2635.2464129999998</v>
      </c>
      <c r="Q196" s="84">
        <v>2319.7615182863801</v>
      </c>
      <c r="R196" s="84">
        <v>121.39558100035499</v>
      </c>
      <c r="S196" s="84">
        <v>43.279312813815501</v>
      </c>
      <c r="T196" s="84">
        <v>1059.2679029568101</v>
      </c>
      <c r="U196" s="84">
        <v>3755.7051720545401</v>
      </c>
      <c r="V196" s="84">
        <v>1450.59217306863</v>
      </c>
      <c r="W196" s="84">
        <v>147.172663955015</v>
      </c>
      <c r="X196" s="84">
        <v>8.5073185096657706</v>
      </c>
      <c r="Y196" s="84">
        <v>1438.1580282752</v>
      </c>
      <c r="Z196" s="84">
        <v>0.58217462195025005</v>
      </c>
      <c r="AA196" s="84">
        <v>327.69706453662002</v>
      </c>
      <c r="AB196" s="84">
        <v>453.83337</v>
      </c>
      <c r="AC196" s="84">
        <v>1749.7946442330899</v>
      </c>
      <c r="AD196" s="84">
        <v>853.61238058957497</v>
      </c>
      <c r="AE196" s="84">
        <v>71.577182649489302</v>
      </c>
      <c r="AF196" s="84">
        <v>1579.0060409999901</v>
      </c>
      <c r="AG196" s="84">
        <v>36.613888801187798</v>
      </c>
      <c r="AH196" s="84">
        <v>51.850425943041003</v>
      </c>
      <c r="AI196" s="84">
        <f t="shared" si="3"/>
        <v>23657.712112167672</v>
      </c>
    </row>
    <row r="197" spans="1:35">
      <c r="A197" s="22" t="s">
        <v>111</v>
      </c>
      <c r="B197" s="22" t="s">
        <v>112</v>
      </c>
      <c r="C197" s="22">
        <v>1990</v>
      </c>
      <c r="D197" s="22" t="s">
        <v>85</v>
      </c>
      <c r="E197" s="84">
        <v>27.919540000000001</v>
      </c>
      <c r="F197" s="84">
        <v>299.49881919645799</v>
      </c>
      <c r="G197" s="84">
        <v>19.8345192523077</v>
      </c>
      <c r="H197" s="84">
        <v>40.233016999999997</v>
      </c>
      <c r="I197" s="84">
        <v>0</v>
      </c>
      <c r="J197" s="84">
        <v>19.967831000699999</v>
      </c>
      <c r="K197" s="84">
        <v>0</v>
      </c>
      <c r="L197" s="84">
        <v>24.334198291199002</v>
      </c>
      <c r="M197" s="84">
        <v>2.2517867979597002</v>
      </c>
      <c r="N197" s="84">
        <v>0.22014666666666999</v>
      </c>
      <c r="O197" s="84">
        <v>124.379486</v>
      </c>
      <c r="P197" s="84">
        <v>0</v>
      </c>
      <c r="Q197" s="84">
        <v>2194.20795303872</v>
      </c>
      <c r="R197" s="84">
        <v>0.53569999999999995</v>
      </c>
      <c r="S197" s="84">
        <v>96.878548145699995</v>
      </c>
      <c r="T197" s="84">
        <v>95.586393100615695</v>
      </c>
      <c r="U197" s="84">
        <v>7.2955720552500001</v>
      </c>
      <c r="V197" s="84">
        <v>512.00857552533103</v>
      </c>
      <c r="W197" s="84">
        <v>2.6593197303456702</v>
      </c>
      <c r="X197" s="84">
        <v>0</v>
      </c>
      <c r="Y197" s="84">
        <v>0.57466181190391996</v>
      </c>
      <c r="Z197" s="84">
        <v>0.37011788000000001</v>
      </c>
      <c r="AA197" s="84">
        <v>0</v>
      </c>
      <c r="AB197" s="84">
        <v>13.640983328000001</v>
      </c>
      <c r="AC197" s="84">
        <v>340.987674537396</v>
      </c>
      <c r="AD197" s="84">
        <v>7.0736529596092401</v>
      </c>
      <c r="AE197" s="84">
        <v>1.25626865738106</v>
      </c>
      <c r="AF197" s="84">
        <v>43.854512999999997</v>
      </c>
      <c r="AG197" s="84">
        <v>1.995459855</v>
      </c>
      <c r="AH197" s="84">
        <v>3.6534817905589301</v>
      </c>
      <c r="AI197" s="84">
        <f t="shared" si="3"/>
        <v>3820.0486472378525</v>
      </c>
    </row>
    <row r="198" spans="1:35">
      <c r="A198" s="22" t="s">
        <v>111</v>
      </c>
      <c r="B198" s="22" t="s">
        <v>112</v>
      </c>
      <c r="C198" s="22">
        <v>2010</v>
      </c>
      <c r="D198" s="22" t="s">
        <v>85</v>
      </c>
      <c r="E198" s="84">
        <v>2.052</v>
      </c>
      <c r="F198" s="84">
        <v>681.51600752443505</v>
      </c>
      <c r="G198" s="84">
        <v>13.454380280000001</v>
      </c>
      <c r="H198" s="84">
        <v>10.986003</v>
      </c>
      <c r="I198" s="84">
        <v>0</v>
      </c>
      <c r="J198" s="84">
        <v>109.042835300714</v>
      </c>
      <c r="K198" s="84">
        <v>0</v>
      </c>
      <c r="L198" s="84">
        <v>26.193295916852701</v>
      </c>
      <c r="M198" s="84">
        <v>0.83800033288060005</v>
      </c>
      <c r="N198" s="84">
        <v>6.3556524729770496</v>
      </c>
      <c r="O198" s="84">
        <v>0</v>
      </c>
      <c r="P198" s="84">
        <v>0</v>
      </c>
      <c r="Q198" s="84">
        <v>1607.5249929121501</v>
      </c>
      <c r="R198" s="84">
        <v>4.7871999999999998E-2</v>
      </c>
      <c r="S198" s="84">
        <v>109.47658611533301</v>
      </c>
      <c r="T198" s="84">
        <v>61.015934692260998</v>
      </c>
      <c r="U198" s="84">
        <v>6.0738090799514</v>
      </c>
      <c r="V198" s="84">
        <v>177.2117607996</v>
      </c>
      <c r="W198" s="84">
        <v>1.463174075</v>
      </c>
      <c r="X198" s="84">
        <v>0</v>
      </c>
      <c r="Y198" s="84">
        <v>0.34130184000000002</v>
      </c>
      <c r="Z198" s="84">
        <v>0.52165380666667005</v>
      </c>
      <c r="AA198" s="84">
        <v>0</v>
      </c>
      <c r="AB198" s="84">
        <v>196.55819507538001</v>
      </c>
      <c r="AC198" s="84">
        <v>194.2854448722</v>
      </c>
      <c r="AD198" s="84">
        <v>16.499313079336599</v>
      </c>
      <c r="AE198" s="84">
        <v>3.58970042187405</v>
      </c>
      <c r="AF198" s="84">
        <v>100.229055727983</v>
      </c>
      <c r="AG198" s="84">
        <v>7.3282817511680003</v>
      </c>
      <c r="AH198" s="84">
        <v>5.1547547256333299</v>
      </c>
      <c r="AI198" s="84">
        <f t="shared" si="3"/>
        <v>3124.1419986470651</v>
      </c>
    </row>
    <row r="199" spans="1:35">
      <c r="A199" s="22" t="s">
        <v>111</v>
      </c>
      <c r="B199" s="22" t="s">
        <v>112</v>
      </c>
      <c r="C199" s="22">
        <v>2015</v>
      </c>
      <c r="D199" s="22" t="s">
        <v>85</v>
      </c>
      <c r="E199" s="84">
        <v>2.052</v>
      </c>
      <c r="F199" s="84">
        <v>291.48872922932202</v>
      </c>
      <c r="G199" s="84">
        <v>10.101779049999999</v>
      </c>
      <c r="H199" s="84">
        <v>9.9449039999999993</v>
      </c>
      <c r="I199" s="84">
        <v>0</v>
      </c>
      <c r="J199" s="84">
        <v>96.9382763546717</v>
      </c>
      <c r="K199" s="84">
        <v>0</v>
      </c>
      <c r="L199" s="84">
        <v>24.935070741517698</v>
      </c>
      <c r="M199" s="84">
        <v>0.51246867880560998</v>
      </c>
      <c r="N199" s="84">
        <v>5.4814318533333299</v>
      </c>
      <c r="O199" s="84">
        <v>0</v>
      </c>
      <c r="P199" s="84">
        <v>0</v>
      </c>
      <c r="Q199" s="84">
        <v>1541.86253402135</v>
      </c>
      <c r="R199" s="84">
        <v>4.5578720000000003E-2</v>
      </c>
      <c r="S199" s="84">
        <v>27.326462258333301</v>
      </c>
      <c r="T199" s="84">
        <v>41.849098806649899</v>
      </c>
      <c r="U199" s="84">
        <v>6.9226738956702096</v>
      </c>
      <c r="V199" s="84">
        <v>98.721346590300001</v>
      </c>
      <c r="W199" s="84">
        <v>5.7214333000000002</v>
      </c>
      <c r="X199" s="84">
        <v>0</v>
      </c>
      <c r="Y199" s="84">
        <v>0.17950063999999999</v>
      </c>
      <c r="Z199" s="84">
        <v>0.57102297999999996</v>
      </c>
      <c r="AA199" s="84">
        <v>0</v>
      </c>
      <c r="AB199" s="84">
        <v>248.76416746134001</v>
      </c>
      <c r="AC199" s="84">
        <v>203.4986108562</v>
      </c>
      <c r="AD199" s="84">
        <v>24.173739152997101</v>
      </c>
      <c r="AE199" s="84">
        <v>2.0814530000000002</v>
      </c>
      <c r="AF199" s="84">
        <v>118.802665126996</v>
      </c>
      <c r="AG199" s="84">
        <v>27.315515473735001</v>
      </c>
      <c r="AH199" s="84">
        <v>5.07089206506667</v>
      </c>
      <c r="AI199" s="84">
        <f t="shared" si="3"/>
        <v>2528.7296088992794</v>
      </c>
    </row>
    <row r="200" spans="1:35">
      <c r="A200" s="22" t="s">
        <v>111</v>
      </c>
      <c r="B200" s="22" t="s">
        <v>112</v>
      </c>
      <c r="C200" s="22">
        <v>2019</v>
      </c>
      <c r="D200" s="22" t="s">
        <v>85</v>
      </c>
      <c r="E200" s="84">
        <v>2.052</v>
      </c>
      <c r="F200" s="84">
        <v>280.76928178020199</v>
      </c>
      <c r="G200" s="84">
        <v>12.59824324</v>
      </c>
      <c r="H200" s="84">
        <v>9.0567229999999999</v>
      </c>
      <c r="I200" s="84">
        <v>0</v>
      </c>
      <c r="J200" s="84">
        <v>108.645702592837</v>
      </c>
      <c r="K200" s="84">
        <v>0</v>
      </c>
      <c r="L200" s="84">
        <v>26.467953168007199</v>
      </c>
      <c r="M200" s="84">
        <v>0.56504248550617997</v>
      </c>
      <c r="N200" s="84">
        <v>3.3603198346665799</v>
      </c>
      <c r="O200" s="84">
        <v>0</v>
      </c>
      <c r="P200" s="84">
        <v>0</v>
      </c>
      <c r="Q200" s="84">
        <v>1814.8941732383</v>
      </c>
      <c r="R200" s="84">
        <v>0</v>
      </c>
      <c r="S200" s="84">
        <v>30.697364591666702</v>
      </c>
      <c r="T200" s="84">
        <v>31.974186260019501</v>
      </c>
      <c r="U200" s="84">
        <v>9.11651196130979</v>
      </c>
      <c r="V200" s="84">
        <v>95.620476453899997</v>
      </c>
      <c r="W200" s="84">
        <v>1.6807131</v>
      </c>
      <c r="X200" s="84">
        <v>0</v>
      </c>
      <c r="Y200" s="84">
        <v>2.8926E-2</v>
      </c>
      <c r="Z200" s="84">
        <v>0.55433213000000003</v>
      </c>
      <c r="AA200" s="84">
        <v>0</v>
      </c>
      <c r="AB200" s="84">
        <v>225.18086246319999</v>
      </c>
      <c r="AC200" s="84">
        <v>259.96695057069002</v>
      </c>
      <c r="AD200" s="84">
        <v>27.4968420288806</v>
      </c>
      <c r="AE200" s="84">
        <v>6.5409959999999998</v>
      </c>
      <c r="AF200" s="84">
        <v>119.819</v>
      </c>
      <c r="AG200" s="84">
        <v>20.560807780333299</v>
      </c>
      <c r="AH200" s="84">
        <v>3.05155506186667</v>
      </c>
      <c r="AI200" s="84">
        <f t="shared" si="3"/>
        <v>2847.3448663168761</v>
      </c>
    </row>
    <row r="201" spans="1:35">
      <c r="A201" s="22" t="s">
        <v>111</v>
      </c>
      <c r="B201" s="22" t="s">
        <v>112</v>
      </c>
      <c r="C201" s="22">
        <v>2021</v>
      </c>
      <c r="D201" s="22" t="s">
        <v>85</v>
      </c>
      <c r="E201" s="84">
        <v>2.052</v>
      </c>
      <c r="F201" s="84">
        <v>263.94620323999999</v>
      </c>
      <c r="G201" s="84">
        <v>5.7134208999999903</v>
      </c>
      <c r="H201" s="84">
        <v>8.6818457000000002</v>
      </c>
      <c r="I201" s="84">
        <v>0</v>
      </c>
      <c r="J201" s="84">
        <v>96.718823332476006</v>
      </c>
      <c r="K201" s="84">
        <v>0</v>
      </c>
      <c r="L201" s="84">
        <v>25.0825197971579</v>
      </c>
      <c r="M201" s="84">
        <v>0.60188824425604004</v>
      </c>
      <c r="N201" s="84">
        <v>3.31567126502337</v>
      </c>
      <c r="O201" s="84">
        <v>0</v>
      </c>
      <c r="P201" s="84">
        <v>0</v>
      </c>
      <c r="Q201" s="84">
        <v>1700.28288080896</v>
      </c>
      <c r="R201" s="84">
        <v>0</v>
      </c>
      <c r="S201" s="84">
        <v>24.701468183333301</v>
      </c>
      <c r="T201" s="84">
        <v>34.255455445564102</v>
      </c>
      <c r="U201" s="84">
        <v>6.6143158602799703</v>
      </c>
      <c r="V201" s="84">
        <v>85.7682786473611</v>
      </c>
      <c r="W201" s="84">
        <v>2.4482601000000002</v>
      </c>
      <c r="X201" s="84">
        <v>0</v>
      </c>
      <c r="Y201" s="84">
        <v>3.3000000000000002E-2</v>
      </c>
      <c r="Z201" s="84">
        <v>0.43837468400000001</v>
      </c>
      <c r="AA201" s="84">
        <v>0</v>
      </c>
      <c r="AB201" s="84">
        <v>172.58396132656</v>
      </c>
      <c r="AC201" s="84">
        <v>274.56096203085002</v>
      </c>
      <c r="AD201" s="84">
        <v>36.908168051341903</v>
      </c>
      <c r="AE201" s="84">
        <v>4.3532500000000001</v>
      </c>
      <c r="AF201" s="84">
        <v>127.49499891671</v>
      </c>
      <c r="AG201" s="84">
        <v>14.290702080794</v>
      </c>
      <c r="AH201" s="84">
        <v>1.6982333324000001</v>
      </c>
      <c r="AI201" s="84">
        <f t="shared" si="3"/>
        <v>2704.6645590602275</v>
      </c>
    </row>
    <row r="202" spans="1:35" s="76" customFormat="1">
      <c r="A202" s="76" t="s">
        <v>111</v>
      </c>
      <c r="B202" s="76" t="s">
        <v>112</v>
      </c>
      <c r="C202" s="76">
        <v>1990</v>
      </c>
      <c r="D202" s="76" t="s">
        <v>86</v>
      </c>
      <c r="E202" s="85">
        <v>4367.1841727390902</v>
      </c>
      <c r="F202" s="85">
        <v>4796.2409334356598</v>
      </c>
      <c r="G202" s="85">
        <v>5258.2609322619901</v>
      </c>
      <c r="H202" s="85">
        <v>2278.3358722132998</v>
      </c>
      <c r="I202" s="85">
        <v>435.18482533294201</v>
      </c>
      <c r="J202" s="85">
        <v>3319.4224530172</v>
      </c>
      <c r="K202" s="85">
        <v>41208.891374339997</v>
      </c>
      <c r="L202" s="85">
        <v>1999.29209504192</v>
      </c>
      <c r="M202" s="85">
        <v>404.96804802141099</v>
      </c>
      <c r="N202" s="85">
        <v>5383.9689056214902</v>
      </c>
      <c r="O202" s="85">
        <v>13532.9203673959</v>
      </c>
      <c r="P202" s="85">
        <v>5207.6085403665502</v>
      </c>
      <c r="Q202" s="85">
        <v>18033.234931401399</v>
      </c>
      <c r="R202" s="85">
        <v>1113.84498182216</v>
      </c>
      <c r="S202" s="85">
        <v>4086.3338830140901</v>
      </c>
      <c r="T202" s="85">
        <v>1709.2379654880599</v>
      </c>
      <c r="U202" s="85">
        <v>243.59365545109799</v>
      </c>
      <c r="V202" s="85">
        <v>18998.876768634102</v>
      </c>
      <c r="W202" s="85">
        <v>1688.90748962255</v>
      </c>
      <c r="X202" s="85">
        <v>116.398969231484</v>
      </c>
      <c r="Y202" s="85">
        <v>805.03180430618397</v>
      </c>
      <c r="Z202" s="85">
        <v>75.216683733723599</v>
      </c>
      <c r="AA202" s="85">
        <v>16485.714785373399</v>
      </c>
      <c r="AB202" s="85">
        <v>2671.2775095307302</v>
      </c>
      <c r="AC202" s="85">
        <v>18142.283141215601</v>
      </c>
      <c r="AD202" s="85">
        <v>5110.2426035954504</v>
      </c>
      <c r="AE202" s="85">
        <v>5635.9130049843097</v>
      </c>
      <c r="AF202" s="85">
        <v>4132.2480864217796</v>
      </c>
      <c r="AG202" s="85">
        <v>773.36420350414301</v>
      </c>
      <c r="AH202" s="85">
        <v>1536.83633550322</v>
      </c>
      <c r="AI202" s="84">
        <f t="shared" si="3"/>
        <v>184357.6282854258</v>
      </c>
    </row>
    <row r="203" spans="1:35">
      <c r="A203" s="22" t="s">
        <v>111</v>
      </c>
      <c r="B203" s="22" t="s">
        <v>112</v>
      </c>
      <c r="C203" s="22">
        <v>2010</v>
      </c>
      <c r="D203" s="22" t="s">
        <v>86</v>
      </c>
      <c r="E203" s="84">
        <v>2289.3474480839</v>
      </c>
      <c r="F203" s="84">
        <v>2642.8637212520598</v>
      </c>
      <c r="G203" s="84">
        <v>3732.3167288271102</v>
      </c>
      <c r="H203" s="84">
        <v>1484.46022001494</v>
      </c>
      <c r="I203" s="84">
        <v>583.921260547207</v>
      </c>
      <c r="J203" s="84">
        <v>4922.2453675038996</v>
      </c>
      <c r="K203" s="84">
        <v>10853.394831359999</v>
      </c>
      <c r="L203" s="84">
        <v>1078.63349995361</v>
      </c>
      <c r="M203" s="84">
        <v>535.97976264387103</v>
      </c>
      <c r="N203" s="84">
        <v>5266.2712510388901</v>
      </c>
      <c r="O203" s="84">
        <v>16740.206141294799</v>
      </c>
      <c r="P203" s="84">
        <v>2836.9738166335201</v>
      </c>
      <c r="Q203" s="84">
        <v>22665.2702086975</v>
      </c>
      <c r="R203" s="84">
        <v>1862.7605354709201</v>
      </c>
      <c r="S203" s="84">
        <v>4547.8536464321196</v>
      </c>
      <c r="T203" s="84">
        <v>564.23841869714204</v>
      </c>
      <c r="U203" s="84">
        <v>334.48759101158998</v>
      </c>
      <c r="V203" s="84">
        <v>22377.110947868099</v>
      </c>
      <c r="W203" s="84">
        <v>1410.68192750721</v>
      </c>
      <c r="X203" s="84">
        <v>110.42333453747101</v>
      </c>
      <c r="Y203" s="84">
        <v>713.53535764107198</v>
      </c>
      <c r="Z203" s="84">
        <v>123.814380287803</v>
      </c>
      <c r="AA203" s="84">
        <v>5705.7911260064302</v>
      </c>
      <c r="AB203" s="84">
        <v>2025.81417355647</v>
      </c>
      <c r="AC203" s="84">
        <v>8275.6327872405309</v>
      </c>
      <c r="AD203" s="84">
        <v>6478.1500290285103</v>
      </c>
      <c r="AE203" s="84">
        <v>6536.8978618216297</v>
      </c>
      <c r="AF203" s="84">
        <v>2134.5940662111998</v>
      </c>
      <c r="AG203" s="84">
        <v>599.13116975703099</v>
      </c>
      <c r="AH203" s="84">
        <v>1743.06610676215</v>
      </c>
      <c r="AI203" s="84">
        <f t="shared" si="3"/>
        <v>137331.10573310568</v>
      </c>
    </row>
    <row r="204" spans="1:35">
      <c r="A204" s="22" t="s">
        <v>111</v>
      </c>
      <c r="B204" s="22" t="s">
        <v>112</v>
      </c>
      <c r="C204" s="22">
        <v>2015</v>
      </c>
      <c r="D204" s="22" t="s">
        <v>86</v>
      </c>
      <c r="E204" s="84">
        <v>1644.7422999002799</v>
      </c>
      <c r="F204" s="84">
        <v>1702.4835918152401</v>
      </c>
      <c r="G204" s="84">
        <v>3552.20516879258</v>
      </c>
      <c r="H204" s="84">
        <v>1338.4641355244401</v>
      </c>
      <c r="I204" s="84">
        <v>624.80689407308</v>
      </c>
      <c r="J204" s="84">
        <v>5512.0805354384902</v>
      </c>
      <c r="K204" s="84">
        <v>7175.1394739099997</v>
      </c>
      <c r="L204" s="84">
        <v>1074.7443593558601</v>
      </c>
      <c r="M204" s="84">
        <v>367.56156607238398</v>
      </c>
      <c r="N204" s="84">
        <v>4912.9318958267404</v>
      </c>
      <c r="O204" s="84">
        <v>16229.896481154001</v>
      </c>
      <c r="P204" s="84">
        <v>2310.7337343180002</v>
      </c>
      <c r="Q204" s="84">
        <v>18145.123529538101</v>
      </c>
      <c r="R204" s="84">
        <v>1977.83245360197</v>
      </c>
      <c r="S204" s="84">
        <v>3944.2260011486601</v>
      </c>
      <c r="T204" s="84">
        <v>1042.05337459458</v>
      </c>
      <c r="U204" s="84">
        <v>289.48694753998302</v>
      </c>
      <c r="V204" s="84">
        <v>20340.0648234289</v>
      </c>
      <c r="W204" s="84">
        <v>1149.78348458038</v>
      </c>
      <c r="X204" s="84">
        <v>101.942091801022</v>
      </c>
      <c r="Y204" s="84">
        <v>616.73272180409595</v>
      </c>
      <c r="Z204" s="84">
        <v>149.76978710723199</v>
      </c>
      <c r="AA204" s="84">
        <v>4418.9849608673603</v>
      </c>
      <c r="AB204" s="84">
        <v>1852.5253496445</v>
      </c>
      <c r="AC204" s="84">
        <v>5608.2339828726499</v>
      </c>
      <c r="AD204" s="84">
        <v>5489.5705108555203</v>
      </c>
      <c r="AE204" s="84">
        <v>6474.37591328285</v>
      </c>
      <c r="AF204" s="84">
        <v>1493.6989151683699</v>
      </c>
      <c r="AG204" s="84">
        <v>542.48817407652496</v>
      </c>
      <c r="AH204" s="84">
        <v>1902.3806739808799</v>
      </c>
      <c r="AI204" s="84">
        <f t="shared" si="3"/>
        <v>118504.58739936577</v>
      </c>
    </row>
    <row r="205" spans="1:35">
      <c r="A205" s="22" t="s">
        <v>111</v>
      </c>
      <c r="B205" s="22" t="s">
        <v>112</v>
      </c>
      <c r="C205" s="22">
        <v>2019</v>
      </c>
      <c r="D205" s="22" t="s">
        <v>86</v>
      </c>
      <c r="E205" s="84">
        <v>1315.41613511014</v>
      </c>
      <c r="F205" s="84">
        <v>1425.31151407425</v>
      </c>
      <c r="G205" s="84">
        <v>2997.54674208407</v>
      </c>
      <c r="H205" s="84">
        <v>1199.32811773873</v>
      </c>
      <c r="I205" s="84">
        <v>656.42427030725696</v>
      </c>
      <c r="J205" s="84">
        <v>5669.2735509898203</v>
      </c>
      <c r="K205" s="84">
        <v>5376.5933807299998</v>
      </c>
      <c r="L205" s="84">
        <v>1165.2656789405601</v>
      </c>
      <c r="M205" s="84">
        <v>328.50861743806098</v>
      </c>
      <c r="N205" s="84">
        <v>5380.3256690196004</v>
      </c>
      <c r="O205" s="84">
        <v>14731.053948652399</v>
      </c>
      <c r="P205" s="84">
        <v>1977.814168636</v>
      </c>
      <c r="Q205" s="84">
        <v>19318.466608251099</v>
      </c>
      <c r="R205" s="84">
        <v>1985.6277417465801</v>
      </c>
      <c r="S205" s="84">
        <v>3788.0325915132198</v>
      </c>
      <c r="T205" s="84">
        <v>975.668861016454</v>
      </c>
      <c r="U205" s="84">
        <v>241.110699960289</v>
      </c>
      <c r="V205" s="84">
        <v>19656.998847802901</v>
      </c>
      <c r="W205" s="84">
        <v>958.36086352890698</v>
      </c>
      <c r="X205" s="84">
        <v>92.980836934734199</v>
      </c>
      <c r="Y205" s="84">
        <v>575.75756013185901</v>
      </c>
      <c r="Z205" s="84">
        <v>184.35391784826501</v>
      </c>
      <c r="AA205" s="84">
        <v>3805.7262100620701</v>
      </c>
      <c r="AB205" s="84">
        <v>1572.5306435401301</v>
      </c>
      <c r="AC205" s="84">
        <v>5182.1222495530001</v>
      </c>
      <c r="AD205" s="84">
        <v>5222.4264728868602</v>
      </c>
      <c r="AE205" s="84">
        <v>6555.0226150047702</v>
      </c>
      <c r="AF205" s="84">
        <v>1146.6451418873601</v>
      </c>
      <c r="AG205" s="84">
        <v>474.04217659517599</v>
      </c>
      <c r="AH205" s="84">
        <v>1877.5851973894</v>
      </c>
      <c r="AI205" s="84">
        <f t="shared" si="3"/>
        <v>112823.35156813481</v>
      </c>
    </row>
    <row r="206" spans="1:35">
      <c r="A206" s="22" t="s">
        <v>111</v>
      </c>
      <c r="B206" s="22" t="s">
        <v>112</v>
      </c>
      <c r="C206" s="22">
        <v>2021</v>
      </c>
      <c r="D206" s="22" t="s">
        <v>86</v>
      </c>
      <c r="E206" s="84">
        <v>1210.5757646121299</v>
      </c>
      <c r="F206" s="84">
        <v>1250.82512025097</v>
      </c>
      <c r="G206" s="84">
        <v>2832.9376075703199</v>
      </c>
      <c r="H206" s="84">
        <v>1142.1265622442299</v>
      </c>
      <c r="I206" s="84">
        <v>662.559320006196</v>
      </c>
      <c r="J206" s="84">
        <v>5702.1074783529302</v>
      </c>
      <c r="K206" s="84">
        <v>4494.0475436799998</v>
      </c>
      <c r="L206" s="84">
        <v>1260.5407579908101</v>
      </c>
      <c r="M206" s="84">
        <v>317.157921051127</v>
      </c>
      <c r="N206" s="84">
        <v>5852.1923340041603</v>
      </c>
      <c r="O206" s="84">
        <v>14303.439573828</v>
      </c>
      <c r="P206" s="84">
        <v>1818.0345292310001</v>
      </c>
      <c r="Q206" s="84">
        <v>18451.5412769348</v>
      </c>
      <c r="R206" s="84">
        <v>1877.2431785870001</v>
      </c>
      <c r="S206" s="84">
        <v>3733.3726603436498</v>
      </c>
      <c r="T206" s="84">
        <v>943.36155003271801</v>
      </c>
      <c r="U206" s="84">
        <v>268.47833193804098</v>
      </c>
      <c r="V206" s="84">
        <v>20189.972213577501</v>
      </c>
      <c r="W206" s="84">
        <v>893.65344814965295</v>
      </c>
      <c r="X206" s="84">
        <v>88.258105713752798</v>
      </c>
      <c r="Y206" s="84">
        <v>564.99412284293805</v>
      </c>
      <c r="Z206" s="84">
        <v>200.94182787155</v>
      </c>
      <c r="AA206" s="84">
        <v>3510.2342869056101</v>
      </c>
      <c r="AB206" s="84">
        <v>1444.5477662989399</v>
      </c>
      <c r="AC206" s="84">
        <v>4674.7241378472199</v>
      </c>
      <c r="AD206" s="84">
        <v>5007.8961223858896</v>
      </c>
      <c r="AE206" s="84">
        <v>6529.0736188232204</v>
      </c>
      <c r="AF206" s="84">
        <v>992.16500120738795</v>
      </c>
      <c r="AG206" s="84">
        <v>428.77043937381899</v>
      </c>
      <c r="AH206" s="84">
        <v>1884.69889449831</v>
      </c>
      <c r="AI206" s="84">
        <f t="shared" si="3"/>
        <v>109675.3188356727</v>
      </c>
    </row>
    <row r="207" spans="1:35">
      <c r="A207" s="22" t="s">
        <v>111</v>
      </c>
      <c r="B207" s="22" t="s">
        <v>112</v>
      </c>
      <c r="C207" s="22">
        <v>1990</v>
      </c>
      <c r="D207" s="22" t="s">
        <v>87</v>
      </c>
      <c r="E207" s="84">
        <v>4339.2646327390903</v>
      </c>
      <c r="F207" s="84">
        <v>4496.7421142392004</v>
      </c>
      <c r="G207" s="84">
        <v>5238.4264130096799</v>
      </c>
      <c r="H207" s="84">
        <v>2238.1028552132998</v>
      </c>
      <c r="I207" s="84">
        <v>435.18482533294201</v>
      </c>
      <c r="J207" s="84">
        <v>3299.4546220164998</v>
      </c>
      <c r="K207" s="84">
        <v>41208.891374339997</v>
      </c>
      <c r="L207" s="84">
        <v>1974.95789675072</v>
      </c>
      <c r="M207" s="84">
        <v>402.716261223451</v>
      </c>
      <c r="N207" s="84">
        <v>5383.74875895482</v>
      </c>
      <c r="O207" s="84">
        <v>13408.5408813959</v>
      </c>
      <c r="P207" s="84">
        <v>5207.6085403665502</v>
      </c>
      <c r="Q207" s="84">
        <v>15839.026978362601</v>
      </c>
      <c r="R207" s="84">
        <v>1113.3092818221601</v>
      </c>
      <c r="S207" s="84">
        <v>3989.4553348683899</v>
      </c>
      <c r="T207" s="84">
        <v>1613.65157238745</v>
      </c>
      <c r="U207" s="84">
        <v>236.29808339584801</v>
      </c>
      <c r="V207" s="84">
        <v>18486.868193108799</v>
      </c>
      <c r="W207" s="84">
        <v>1686.2481698921999</v>
      </c>
      <c r="X207" s="84">
        <v>116.398969231484</v>
      </c>
      <c r="Y207" s="84">
        <v>804.45714249427999</v>
      </c>
      <c r="Z207" s="84">
        <v>74.846565853723604</v>
      </c>
      <c r="AA207" s="84">
        <v>16485.714785373399</v>
      </c>
      <c r="AB207" s="84">
        <v>2657.6365262027298</v>
      </c>
      <c r="AC207" s="84">
        <v>17801.295466678199</v>
      </c>
      <c r="AD207" s="84">
        <v>5103.1689506358398</v>
      </c>
      <c r="AE207" s="84">
        <v>5634.6567363269196</v>
      </c>
      <c r="AF207" s="84">
        <v>4088.3935734217798</v>
      </c>
      <c r="AG207" s="84">
        <v>771.36874364914297</v>
      </c>
      <c r="AH207" s="84">
        <v>1533.1828537126601</v>
      </c>
      <c r="AI207" s="84">
        <f t="shared" si="3"/>
        <v>180537.57963818786</v>
      </c>
    </row>
    <row r="208" spans="1:35">
      <c r="A208" s="22" t="s">
        <v>111</v>
      </c>
      <c r="B208" s="22" t="s">
        <v>112</v>
      </c>
      <c r="C208" s="22">
        <v>2010</v>
      </c>
      <c r="D208" s="22" t="s">
        <v>87</v>
      </c>
      <c r="E208" s="84">
        <v>2287.2954480838998</v>
      </c>
      <c r="F208" s="84">
        <v>1961.34771372763</v>
      </c>
      <c r="G208" s="84">
        <v>3718.8623485471098</v>
      </c>
      <c r="H208" s="84">
        <v>1473.47421701494</v>
      </c>
      <c r="I208" s="84">
        <v>583.921260547207</v>
      </c>
      <c r="J208" s="84">
        <v>4813.2025322031895</v>
      </c>
      <c r="K208" s="84">
        <v>10853.394831359999</v>
      </c>
      <c r="L208" s="84">
        <v>1052.4402040367499</v>
      </c>
      <c r="M208" s="84">
        <v>535.14176231098998</v>
      </c>
      <c r="N208" s="84">
        <v>5259.9155985659199</v>
      </c>
      <c r="O208" s="84">
        <v>16740.206141294799</v>
      </c>
      <c r="P208" s="84">
        <v>2836.9738166335201</v>
      </c>
      <c r="Q208" s="84">
        <v>21057.7452157853</v>
      </c>
      <c r="R208" s="84">
        <v>1862.71266347092</v>
      </c>
      <c r="S208" s="84">
        <v>4438.3770603167904</v>
      </c>
      <c r="T208" s="84">
        <v>503.22248400488098</v>
      </c>
      <c r="U208" s="84">
        <v>328.41378193163899</v>
      </c>
      <c r="V208" s="84">
        <v>22199.899187068499</v>
      </c>
      <c r="W208" s="84">
        <v>1409.21875343221</v>
      </c>
      <c r="X208" s="84">
        <v>110.42333453747101</v>
      </c>
      <c r="Y208" s="84">
        <v>713.19405580107195</v>
      </c>
      <c r="Z208" s="84">
        <v>123.292726481136</v>
      </c>
      <c r="AA208" s="84">
        <v>5705.7911260064302</v>
      </c>
      <c r="AB208" s="84">
        <v>1829.2559784810901</v>
      </c>
      <c r="AC208" s="84">
        <v>8081.3473423683299</v>
      </c>
      <c r="AD208" s="84">
        <v>6461.6507159491703</v>
      </c>
      <c r="AE208" s="84">
        <v>6533.3081613997601</v>
      </c>
      <c r="AF208" s="84">
        <v>2034.36501048322</v>
      </c>
      <c r="AG208" s="84">
        <v>591.802888005863</v>
      </c>
      <c r="AH208" s="84">
        <v>1737.9113520365099</v>
      </c>
      <c r="AI208" s="84">
        <f t="shared" si="3"/>
        <v>134206.96373445855</v>
      </c>
    </row>
    <row r="209" spans="1:35">
      <c r="A209" s="22" t="s">
        <v>111</v>
      </c>
      <c r="B209" s="22" t="s">
        <v>112</v>
      </c>
      <c r="C209" s="22">
        <v>2015</v>
      </c>
      <c r="D209" s="22" t="s">
        <v>87</v>
      </c>
      <c r="E209" s="84">
        <v>1642.69029990028</v>
      </c>
      <c r="F209" s="84">
        <v>1410.9948625859199</v>
      </c>
      <c r="G209" s="84">
        <v>3542.10338974258</v>
      </c>
      <c r="H209" s="84">
        <v>1328.5192315244401</v>
      </c>
      <c r="I209" s="84">
        <v>624.80689407308</v>
      </c>
      <c r="J209" s="84">
        <v>5415.1422590838201</v>
      </c>
      <c r="K209" s="84">
        <v>7175.1394739099997</v>
      </c>
      <c r="L209" s="84">
        <v>1049.8092886143399</v>
      </c>
      <c r="M209" s="84">
        <v>367.04909739357902</v>
      </c>
      <c r="N209" s="84">
        <v>4907.4504639733996</v>
      </c>
      <c r="O209" s="84">
        <v>16229.896481154001</v>
      </c>
      <c r="P209" s="84">
        <v>2310.7337343180002</v>
      </c>
      <c r="Q209" s="84">
        <v>16603.260995516699</v>
      </c>
      <c r="R209" s="84">
        <v>1977.7868748819701</v>
      </c>
      <c r="S209" s="84">
        <v>3916.8995388903199</v>
      </c>
      <c r="T209" s="84">
        <v>1000.20427578793</v>
      </c>
      <c r="U209" s="84">
        <v>282.564273644313</v>
      </c>
      <c r="V209" s="84">
        <v>20241.3434768386</v>
      </c>
      <c r="W209" s="84">
        <v>1144.06205128038</v>
      </c>
      <c r="X209" s="84">
        <v>101.942091801022</v>
      </c>
      <c r="Y209" s="84">
        <v>616.55322116409604</v>
      </c>
      <c r="Z209" s="84">
        <v>149.19876412723201</v>
      </c>
      <c r="AA209" s="84">
        <v>4418.9849608673603</v>
      </c>
      <c r="AB209" s="84">
        <v>1603.7611821831599</v>
      </c>
      <c r="AC209" s="84">
        <v>5404.7353720164501</v>
      </c>
      <c r="AD209" s="84">
        <v>5465.3967717025198</v>
      </c>
      <c r="AE209" s="84">
        <v>6472.2944602828502</v>
      </c>
      <c r="AF209" s="84">
        <v>1374.89625004137</v>
      </c>
      <c r="AG209" s="84">
        <v>515.17265860278997</v>
      </c>
      <c r="AH209" s="84">
        <v>1897.3097819158099</v>
      </c>
      <c r="AI209" s="84">
        <f t="shared" si="3"/>
        <v>115975.85779046641</v>
      </c>
    </row>
    <row r="210" spans="1:35">
      <c r="A210" s="22" t="s">
        <v>111</v>
      </c>
      <c r="B210" s="22" t="s">
        <v>112</v>
      </c>
      <c r="C210" s="22">
        <v>2019</v>
      </c>
      <c r="D210" s="22" t="s">
        <v>87</v>
      </c>
      <c r="E210" s="84">
        <v>1313.3641351101401</v>
      </c>
      <c r="F210" s="84">
        <v>1144.5422322940501</v>
      </c>
      <c r="G210" s="84">
        <v>2984.9484988440699</v>
      </c>
      <c r="H210" s="84">
        <v>1190.2713947387299</v>
      </c>
      <c r="I210" s="84">
        <v>656.42427030725696</v>
      </c>
      <c r="J210" s="84">
        <v>5560.62784839698</v>
      </c>
      <c r="K210" s="84">
        <v>5376.5933807299998</v>
      </c>
      <c r="L210" s="84">
        <v>1138.7977257725599</v>
      </c>
      <c r="M210" s="84">
        <v>327.94357495255502</v>
      </c>
      <c r="N210" s="84">
        <v>5376.9653491849303</v>
      </c>
      <c r="O210" s="84">
        <v>14731.053948652399</v>
      </c>
      <c r="P210" s="84">
        <v>1977.814168636</v>
      </c>
      <c r="Q210" s="84">
        <v>17503.5724350128</v>
      </c>
      <c r="R210" s="84">
        <v>1985.6277417465801</v>
      </c>
      <c r="S210" s="84">
        <v>3757.3352269215502</v>
      </c>
      <c r="T210" s="84">
        <v>943.69467475643398</v>
      </c>
      <c r="U210" s="84">
        <v>231.99418799897899</v>
      </c>
      <c r="V210" s="84">
        <v>19561.378371349001</v>
      </c>
      <c r="W210" s="84">
        <v>956.68015042890704</v>
      </c>
      <c r="X210" s="84">
        <v>92.980836934734199</v>
      </c>
      <c r="Y210" s="84">
        <v>575.72863413185905</v>
      </c>
      <c r="Z210" s="84">
        <v>183.79958571826501</v>
      </c>
      <c r="AA210" s="84">
        <v>3805.7262100620701</v>
      </c>
      <c r="AB210" s="84">
        <v>1347.34978107693</v>
      </c>
      <c r="AC210" s="84">
        <v>4922.1552989823103</v>
      </c>
      <c r="AD210" s="84">
        <v>5194.9296308579796</v>
      </c>
      <c r="AE210" s="84">
        <v>6548.4816190047704</v>
      </c>
      <c r="AF210" s="84">
        <v>1026.8261418873601</v>
      </c>
      <c r="AG210" s="84">
        <v>453.48136881484203</v>
      </c>
      <c r="AH210" s="84">
        <v>1874.5336423275301</v>
      </c>
      <c r="AI210" s="84">
        <f t="shared" si="3"/>
        <v>109976.00670181794</v>
      </c>
    </row>
    <row r="211" spans="1:35">
      <c r="A211" s="22" t="s">
        <v>111</v>
      </c>
      <c r="B211" s="22" t="s">
        <v>112</v>
      </c>
      <c r="C211" s="22">
        <v>2021</v>
      </c>
      <c r="D211" s="22" t="s">
        <v>87</v>
      </c>
      <c r="E211" s="84">
        <v>1208.52376461213</v>
      </c>
      <c r="F211" s="84">
        <v>986.87891701096999</v>
      </c>
      <c r="G211" s="84">
        <v>2827.2241866703198</v>
      </c>
      <c r="H211" s="84">
        <v>1133.44471654423</v>
      </c>
      <c r="I211" s="84">
        <v>662.559320006196</v>
      </c>
      <c r="J211" s="84">
        <v>5605.3886550204497</v>
      </c>
      <c r="K211" s="84">
        <v>4494.0475436799998</v>
      </c>
      <c r="L211" s="84">
        <v>1235.45823819365</v>
      </c>
      <c r="M211" s="84">
        <v>316.55603280687097</v>
      </c>
      <c r="N211" s="84">
        <v>5848.8766627391296</v>
      </c>
      <c r="O211" s="84">
        <v>14303.439573828</v>
      </c>
      <c r="P211" s="84">
        <v>1818.0345292310001</v>
      </c>
      <c r="Q211" s="84">
        <v>16751.258396125799</v>
      </c>
      <c r="R211" s="84">
        <v>1877.2431785870001</v>
      </c>
      <c r="S211" s="84">
        <v>3708.6711921603201</v>
      </c>
      <c r="T211" s="84">
        <v>909.10609458715396</v>
      </c>
      <c r="U211" s="84">
        <v>261.86401607776099</v>
      </c>
      <c r="V211" s="84">
        <v>20104.203934930199</v>
      </c>
      <c r="W211" s="84">
        <v>891.20518804965297</v>
      </c>
      <c r="X211" s="84">
        <v>88.258105713752798</v>
      </c>
      <c r="Y211" s="84">
        <v>564.96112284293804</v>
      </c>
      <c r="Z211" s="84">
        <v>200.50345318755001</v>
      </c>
      <c r="AA211" s="84">
        <v>3510.2342869056101</v>
      </c>
      <c r="AB211" s="84">
        <v>1271.9638049723801</v>
      </c>
      <c r="AC211" s="84">
        <v>4400.1631758163703</v>
      </c>
      <c r="AD211" s="84">
        <v>4970.9879543345496</v>
      </c>
      <c r="AE211" s="84">
        <v>6524.7203688232203</v>
      </c>
      <c r="AF211" s="84">
        <v>864.67000229067799</v>
      </c>
      <c r="AG211" s="84">
        <v>414.47973729302498</v>
      </c>
      <c r="AH211" s="84">
        <v>1883.0006611659101</v>
      </c>
      <c r="AI211" s="84">
        <f t="shared" si="3"/>
        <v>106970.65427661246</v>
      </c>
    </row>
    <row r="212" spans="1:35">
      <c r="A212" s="22" t="s">
        <v>113</v>
      </c>
      <c r="B212" s="22" t="s">
        <v>114</v>
      </c>
      <c r="C212" s="22">
        <v>1990</v>
      </c>
      <c r="D212" s="22" t="s">
        <v>85</v>
      </c>
      <c r="E212" s="84">
        <v>880.44025756857502</v>
      </c>
      <c r="F212" s="84">
        <v>3125.2211064082799</v>
      </c>
      <c r="G212" s="84">
        <v>713.28399999999999</v>
      </c>
      <c r="H212" s="84">
        <v>3065.9231060969601</v>
      </c>
      <c r="I212" s="84">
        <v>718.09799999999996</v>
      </c>
      <c r="J212" s="84">
        <v>669.60000887330398</v>
      </c>
      <c r="K212" s="84">
        <v>12072.65383539</v>
      </c>
      <c r="L212" s="84">
        <v>1752.8527799685501</v>
      </c>
      <c r="M212" s="84">
        <v>106.7516535</v>
      </c>
      <c r="N212" s="84">
        <v>2474.79</v>
      </c>
      <c r="O212" s="84">
        <v>4741.2048004059498</v>
      </c>
      <c r="P212" s="84">
        <v>1007.7297600000001</v>
      </c>
      <c r="Q212" s="84">
        <v>9115.9948532702492</v>
      </c>
      <c r="R212" s="84">
        <v>496.61612000000002</v>
      </c>
      <c r="S212" s="84">
        <v>504.981670646959</v>
      </c>
      <c r="T212" s="84">
        <v>1072.69182127304</v>
      </c>
      <c r="U212" s="84">
        <v>219.439696556667</v>
      </c>
      <c r="V212" s="84">
        <v>4284.7785359570798</v>
      </c>
      <c r="W212" s="84">
        <v>398.90928000000002</v>
      </c>
      <c r="X212" s="84">
        <v>394.405591259799</v>
      </c>
      <c r="Y212" s="84">
        <v>221.14511999999999</v>
      </c>
      <c r="Z212" s="84">
        <v>196.95694949437799</v>
      </c>
      <c r="AA212" s="84">
        <v>4604.3550052500004</v>
      </c>
      <c r="AB212" s="84">
        <v>642.92814297999996</v>
      </c>
      <c r="AC212" s="84">
        <v>639.63744409300796</v>
      </c>
      <c r="AD212" s="84">
        <v>1532.6736494982599</v>
      </c>
      <c r="AE212" s="84">
        <v>790.15916749999997</v>
      </c>
      <c r="AF212" s="84">
        <v>1334.9393189720499</v>
      </c>
      <c r="AG212" s="84">
        <v>48.875827000000001</v>
      </c>
      <c r="AH212" s="84">
        <v>67.076238775618506</v>
      </c>
      <c r="AI212" s="84">
        <f t="shared" si="3"/>
        <v>53966.822795105094</v>
      </c>
    </row>
    <row r="213" spans="1:35">
      <c r="A213" s="22" t="s">
        <v>113</v>
      </c>
      <c r="B213" s="22" t="s">
        <v>114</v>
      </c>
      <c r="C213" s="22">
        <v>2010</v>
      </c>
      <c r="D213" s="22" t="s">
        <v>85</v>
      </c>
      <c r="E213" s="84">
        <v>2049.5505058532199</v>
      </c>
      <c r="F213" s="84">
        <v>4180.0313305147902</v>
      </c>
      <c r="G213" s="84">
        <v>501.14350000000002</v>
      </c>
      <c r="H213" s="84">
        <v>4251.3706487340496</v>
      </c>
      <c r="I213" s="84">
        <v>828.13300000000004</v>
      </c>
      <c r="J213" s="84">
        <v>954.44992348880601</v>
      </c>
      <c r="K213" s="84">
        <v>24315.077869150002</v>
      </c>
      <c r="L213" s="84">
        <v>2390.7832192505698</v>
      </c>
      <c r="M213" s="84">
        <v>101.296587689875</v>
      </c>
      <c r="N213" s="84">
        <v>2584.15244388982</v>
      </c>
      <c r="O213" s="84">
        <v>12608.983430921</v>
      </c>
      <c r="P213" s="84">
        <v>1653.5147999999999</v>
      </c>
      <c r="Q213" s="84">
        <v>16379.983746302099</v>
      </c>
      <c r="R213" s="84">
        <v>295.45515999999998</v>
      </c>
      <c r="S213" s="84">
        <v>720.46709675848695</v>
      </c>
      <c r="T213" s="84">
        <v>2306.51137304655</v>
      </c>
      <c r="U213" s="84">
        <v>376.88605331666702</v>
      </c>
      <c r="V213" s="84">
        <v>8809.1254047181101</v>
      </c>
      <c r="W213" s="84">
        <v>145.34688</v>
      </c>
      <c r="X213" s="84">
        <v>1290.6439478960001</v>
      </c>
      <c r="Y213" s="84">
        <v>356.36455794492002</v>
      </c>
      <c r="Z213" s="84">
        <v>291.83774834960099</v>
      </c>
      <c r="AA213" s="84">
        <v>10206.870102000001</v>
      </c>
      <c r="AB213" s="84">
        <v>1288.7326416428</v>
      </c>
      <c r="AC213" s="84">
        <v>1436.5982751668801</v>
      </c>
      <c r="AD213" s="84">
        <v>2637.08404704857</v>
      </c>
      <c r="AE213" s="84">
        <v>497.43129149999999</v>
      </c>
      <c r="AF213" s="84">
        <v>2110.1905242487801</v>
      </c>
      <c r="AG213" s="84">
        <v>72.750295607989997</v>
      </c>
      <c r="AH213" s="84">
        <v>132.16454472394301</v>
      </c>
      <c r="AI213" s="84">
        <f t="shared" si="3"/>
        <v>99855.941606070002</v>
      </c>
    </row>
    <row r="214" spans="1:35">
      <c r="A214" s="22" t="s">
        <v>113</v>
      </c>
      <c r="B214" s="22" t="s">
        <v>114</v>
      </c>
      <c r="C214" s="22">
        <v>2015</v>
      </c>
      <c r="D214" s="22" t="s">
        <v>85</v>
      </c>
      <c r="E214" s="84">
        <v>2126.9406286117</v>
      </c>
      <c r="F214" s="84">
        <v>4391.7729418353401</v>
      </c>
      <c r="G214" s="84">
        <v>528.81399999999996</v>
      </c>
      <c r="H214" s="84">
        <v>4901.8558679999996</v>
      </c>
      <c r="I214" s="84">
        <v>750.88699999999994</v>
      </c>
      <c r="J214" s="84">
        <v>897.74993177941803</v>
      </c>
      <c r="K214" s="84">
        <v>24491.396227640002</v>
      </c>
      <c r="L214" s="84">
        <v>2617.2617910724898</v>
      </c>
      <c r="M214" s="84">
        <v>150.273311969725</v>
      </c>
      <c r="N214" s="84">
        <v>2869.0930561946402</v>
      </c>
      <c r="O214" s="84">
        <v>14534.650643041001</v>
      </c>
      <c r="P214" s="84">
        <v>1963.0776000000001</v>
      </c>
      <c r="Q214" s="84">
        <v>17841.2817111513</v>
      </c>
      <c r="R214" s="84">
        <v>354.08022999999997</v>
      </c>
      <c r="S214" s="84">
        <v>551.69407108962696</v>
      </c>
      <c r="T214" s="84">
        <v>2517.2464530652401</v>
      </c>
      <c r="U214" s="84">
        <v>673.99481589000004</v>
      </c>
      <c r="V214" s="84">
        <v>9566.7409969927703</v>
      </c>
      <c r="W214" s="84">
        <v>245.06384</v>
      </c>
      <c r="X214" s="84">
        <v>1370.0780158724999</v>
      </c>
      <c r="Y214" s="84">
        <v>327.13052696667398</v>
      </c>
      <c r="Z214" s="84">
        <v>357.68232857250399</v>
      </c>
      <c r="AA214" s="84">
        <v>11380.152819749999</v>
      </c>
      <c r="AB214" s="84">
        <v>1623.2185637484999</v>
      </c>
      <c r="AC214" s="84">
        <v>1877.95212009548</v>
      </c>
      <c r="AD214" s="84">
        <v>3141.3865513474898</v>
      </c>
      <c r="AE214" s="84">
        <v>716.30387399999995</v>
      </c>
      <c r="AF214" s="84">
        <v>2167.6617282442298</v>
      </c>
      <c r="AG214" s="84">
        <v>74.155774492800006</v>
      </c>
      <c r="AH214" s="84">
        <v>144.397371433101</v>
      </c>
      <c r="AI214" s="84">
        <f t="shared" si="3"/>
        <v>107954.92554521804</v>
      </c>
    </row>
    <row r="215" spans="1:35">
      <c r="A215" s="22" t="s">
        <v>113</v>
      </c>
      <c r="B215" s="22" t="s">
        <v>114</v>
      </c>
      <c r="C215" s="22">
        <v>2019</v>
      </c>
      <c r="D215" s="22" t="s">
        <v>85</v>
      </c>
      <c r="E215" s="84">
        <v>2906.7474913395999</v>
      </c>
      <c r="F215" s="84">
        <v>5174.9811626640903</v>
      </c>
      <c r="G215" s="84">
        <v>712.99616388000004</v>
      </c>
      <c r="H215" s="84">
        <v>5692.6813216</v>
      </c>
      <c r="I215" s="84">
        <v>1027.0734346648201</v>
      </c>
      <c r="J215" s="84">
        <v>1275.7499998344799</v>
      </c>
      <c r="K215" s="84">
        <v>29746.852865280001</v>
      </c>
      <c r="L215" s="84">
        <v>3100.5970684256699</v>
      </c>
      <c r="M215" s="84">
        <v>210.32973886842399</v>
      </c>
      <c r="N215" s="84">
        <v>3988.9035202442101</v>
      </c>
      <c r="O215" s="84">
        <v>18984.4811869</v>
      </c>
      <c r="P215" s="84">
        <v>2574.1365599999999</v>
      </c>
      <c r="Q215" s="84">
        <v>19346.794029241999</v>
      </c>
      <c r="R215" s="84">
        <v>605.86113</v>
      </c>
      <c r="S215" s="84">
        <v>850.54718202495997</v>
      </c>
      <c r="T215" s="84">
        <v>3319.4852860646201</v>
      </c>
      <c r="U215" s="84">
        <v>956.37673796014303</v>
      </c>
      <c r="V215" s="84">
        <v>12402.549835391599</v>
      </c>
      <c r="W215" s="84">
        <v>369.96053999999998</v>
      </c>
      <c r="X215" s="84">
        <v>1798.0840608134999</v>
      </c>
      <c r="Y215" s="84">
        <v>481.20899156879199</v>
      </c>
      <c r="Z215" s="84">
        <v>506.99421086112</v>
      </c>
      <c r="AA215" s="84">
        <v>11889.7610584415</v>
      </c>
      <c r="AB215" s="84">
        <v>1743.1012430891001</v>
      </c>
      <c r="AC215" s="84">
        <v>3235.2017276493002</v>
      </c>
      <c r="AD215" s="84">
        <v>4367.2309851748796</v>
      </c>
      <c r="AE215" s="84">
        <v>456.87100714970001</v>
      </c>
      <c r="AF215" s="84">
        <v>2644.38944923178</v>
      </c>
      <c r="AG215" s="84">
        <v>77.241373939729996</v>
      </c>
      <c r="AH215" s="84">
        <v>185.60726446385701</v>
      </c>
      <c r="AI215" s="84">
        <f t="shared" si="3"/>
        <v>132240.63732411867</v>
      </c>
    </row>
    <row r="216" spans="1:35">
      <c r="A216" s="22" t="s">
        <v>113</v>
      </c>
      <c r="B216" s="22" t="s">
        <v>114</v>
      </c>
      <c r="C216" s="22">
        <v>2021</v>
      </c>
      <c r="D216" s="22" t="s">
        <v>85</v>
      </c>
      <c r="E216" s="84">
        <v>1228.04082008502</v>
      </c>
      <c r="F216" s="84">
        <v>4542.6148518609898</v>
      </c>
      <c r="G216" s="84">
        <v>490.55194188000002</v>
      </c>
      <c r="H216" s="84">
        <v>2318.4482776</v>
      </c>
      <c r="I216" s="84">
        <v>554.91782543639397</v>
      </c>
      <c r="J216" s="84">
        <v>374.85000118789299</v>
      </c>
      <c r="K216" s="84">
        <v>18143.847499209998</v>
      </c>
      <c r="L216" s="84">
        <v>1258.4439369680599</v>
      </c>
      <c r="M216" s="84">
        <v>129.19915564727501</v>
      </c>
      <c r="N216" s="84">
        <v>2511.6426177323201</v>
      </c>
      <c r="O216" s="84">
        <v>8258.8538141026693</v>
      </c>
      <c r="P216" s="84">
        <v>824.06363999999996</v>
      </c>
      <c r="Q216" s="84">
        <v>8496.0070580042193</v>
      </c>
      <c r="R216" s="84">
        <v>298.31256000000002</v>
      </c>
      <c r="S216" s="84">
        <v>374.749459874742</v>
      </c>
      <c r="T216" s="84">
        <v>1315.5642698374199</v>
      </c>
      <c r="U216" s="84">
        <v>412.2176058</v>
      </c>
      <c r="V216" s="84">
        <v>4960.9937099102699</v>
      </c>
      <c r="W216" s="84">
        <v>185.48195999999999</v>
      </c>
      <c r="X216" s="84">
        <v>1866.9493780275</v>
      </c>
      <c r="Y216" s="84">
        <v>238.705731449664</v>
      </c>
      <c r="Z216" s="84">
        <v>247.51161903368001</v>
      </c>
      <c r="AA216" s="84">
        <v>7292.4445009791298</v>
      </c>
      <c r="AB216" s="84">
        <v>513.19977993259999</v>
      </c>
      <c r="AC216" s="84">
        <v>1760.0689185675999</v>
      </c>
      <c r="AD216" s="84">
        <v>1995.6759633612101</v>
      </c>
      <c r="AE216" s="84">
        <v>246.30773479269101</v>
      </c>
      <c r="AF216" s="84">
        <v>986.18921284981798</v>
      </c>
      <c r="AG216" s="84">
        <v>26.575947638239999</v>
      </c>
      <c r="AH216" s="84">
        <v>65.184680683333994</v>
      </c>
      <c r="AI216" s="84">
        <f t="shared" si="3"/>
        <v>68673.748809120108</v>
      </c>
    </row>
    <row r="217" spans="1:35">
      <c r="A217" s="22" t="s">
        <v>113</v>
      </c>
      <c r="B217" s="22" t="s">
        <v>114</v>
      </c>
      <c r="C217" s="22">
        <v>1990</v>
      </c>
      <c r="D217" s="22" t="s">
        <v>86</v>
      </c>
      <c r="E217" s="84">
        <v>888.82597419017998</v>
      </c>
      <c r="F217" s="84">
        <v>3149.0012414810899</v>
      </c>
      <c r="G217" s="84">
        <v>718.71094400000004</v>
      </c>
      <c r="H217" s="84">
        <v>3088.9482678847598</v>
      </c>
      <c r="I217" s="84">
        <v>723.56241</v>
      </c>
      <c r="J217" s="84">
        <v>674.58457305730406</v>
      </c>
      <c r="K217" s="84">
        <v>12179.3856072</v>
      </c>
      <c r="L217" s="84">
        <v>1768.76170935045</v>
      </c>
      <c r="M217" s="84">
        <v>107.57381344</v>
      </c>
      <c r="N217" s="84">
        <v>2493.9</v>
      </c>
      <c r="O217" s="84">
        <v>4776.1830412909003</v>
      </c>
      <c r="P217" s="84">
        <v>1015.17921</v>
      </c>
      <c r="Q217" s="84">
        <v>9186.7956251812393</v>
      </c>
      <c r="R217" s="84">
        <v>500.39456991999998</v>
      </c>
      <c r="S217" s="84">
        <v>508.76052030236201</v>
      </c>
      <c r="T217" s="84">
        <v>1080.8303031190001</v>
      </c>
      <c r="U217" s="84">
        <v>221.10937807666701</v>
      </c>
      <c r="V217" s="84">
        <v>4317.3286913605198</v>
      </c>
      <c r="W217" s="84">
        <v>401.91324800000001</v>
      </c>
      <c r="X217" s="84">
        <v>397.94625501117002</v>
      </c>
      <c r="Y217" s="84">
        <v>222.8136768</v>
      </c>
      <c r="Z217" s="84">
        <v>198.16627924901599</v>
      </c>
      <c r="AA217" s="84">
        <v>4639.3867412339996</v>
      </c>
      <c r="AB217" s="84">
        <v>652.10708630160002</v>
      </c>
      <c r="AC217" s="84">
        <v>644.50405625505903</v>
      </c>
      <c r="AD217" s="84">
        <v>1547.57223682476</v>
      </c>
      <c r="AE217" s="84">
        <v>796.17103063599995</v>
      </c>
      <c r="AF217" s="84">
        <v>1351.9720788494999</v>
      </c>
      <c r="AG217" s="84">
        <v>49.247693431999998</v>
      </c>
      <c r="AH217" s="84">
        <v>67.577213571900202</v>
      </c>
      <c r="AI217" s="84">
        <f t="shared" si="3"/>
        <v>54407.048743756437</v>
      </c>
    </row>
    <row r="218" spans="1:35">
      <c r="A218" s="22" t="s">
        <v>113</v>
      </c>
      <c r="B218" s="22" t="s">
        <v>114</v>
      </c>
      <c r="C218" s="22">
        <v>2010</v>
      </c>
      <c r="D218" s="22" t="s">
        <v>86</v>
      </c>
      <c r="E218" s="84">
        <v>2068.8802128147499</v>
      </c>
      <c r="F218" s="84">
        <v>4213.0309929320701</v>
      </c>
      <c r="G218" s="84">
        <v>504.95639599999998</v>
      </c>
      <c r="H218" s="84">
        <v>4282.9130537463097</v>
      </c>
      <c r="I218" s="84">
        <v>834.43251999999995</v>
      </c>
      <c r="J218" s="84">
        <v>961.50685408880599</v>
      </c>
      <c r="K218" s="84">
        <v>24522.785383070001</v>
      </c>
      <c r="L218" s="84">
        <v>2412.5184583983</v>
      </c>
      <c r="M218" s="84">
        <v>102.084582655936</v>
      </c>
      <c r="N218" s="84">
        <v>2603.8334168931801</v>
      </c>
      <c r="O218" s="84">
        <v>12701.921333012901</v>
      </c>
      <c r="P218" s="84">
        <v>1665.7563</v>
      </c>
      <c r="Q218" s="84">
        <v>16500.069697192201</v>
      </c>
      <c r="R218" s="84">
        <v>297.70309856</v>
      </c>
      <c r="S218" s="84">
        <v>725.86902864948604</v>
      </c>
      <c r="T218" s="84">
        <v>2323.5657603939298</v>
      </c>
      <c r="U218" s="84">
        <v>379.75355494546699</v>
      </c>
      <c r="V218" s="84">
        <v>8877.3321946860306</v>
      </c>
      <c r="W218" s="84">
        <v>146.441408</v>
      </c>
      <c r="X218" s="84">
        <v>1300.9013923683799</v>
      </c>
      <c r="Y218" s="84">
        <v>359.86570570667999</v>
      </c>
      <c r="Z218" s="84">
        <v>294.00039719522198</v>
      </c>
      <c r="AA218" s="84">
        <v>10284.527966832</v>
      </c>
      <c r="AB218" s="84">
        <v>1307.09947792099</v>
      </c>
      <c r="AC218" s="84">
        <v>1447.52847742829</v>
      </c>
      <c r="AD218" s="84">
        <v>2658.7481522462799</v>
      </c>
      <c r="AE218" s="84">
        <v>502.521057997821</v>
      </c>
      <c r="AF218" s="84">
        <v>2136.6079751208699</v>
      </c>
      <c r="AG218" s="84">
        <v>73.303808346601798</v>
      </c>
      <c r="AH218" s="84">
        <v>133.15188419771201</v>
      </c>
      <c r="AI218" s="84">
        <f t="shared" si="3"/>
        <v>100653.84445478745</v>
      </c>
    </row>
    <row r="219" spans="1:35">
      <c r="A219" s="22" t="s">
        <v>113</v>
      </c>
      <c r="B219" s="22" t="s">
        <v>114</v>
      </c>
      <c r="C219" s="22">
        <v>2015</v>
      </c>
      <c r="D219" s="22" t="s">
        <v>86</v>
      </c>
      <c r="E219" s="84">
        <v>2146.9253026769902</v>
      </c>
      <c r="F219" s="84">
        <v>4426.3642505141497</v>
      </c>
      <c r="G219" s="84">
        <v>532.83742400000006</v>
      </c>
      <c r="H219" s="84">
        <v>4938.1693338429404</v>
      </c>
      <c r="I219" s="84">
        <v>756.59900000000005</v>
      </c>
      <c r="J219" s="84">
        <v>904.38763877941801</v>
      </c>
      <c r="K219" s="84">
        <v>24700.692931850001</v>
      </c>
      <c r="L219" s="84">
        <v>2641.01831554101</v>
      </c>
      <c r="M219" s="84">
        <v>151.42799775344801</v>
      </c>
      <c r="N219" s="84">
        <v>2890.9441025995202</v>
      </c>
      <c r="O219" s="84">
        <v>14641.7519238679</v>
      </c>
      <c r="P219" s="84">
        <v>1977.5806</v>
      </c>
      <c r="Q219" s="84">
        <v>17971.9552798273</v>
      </c>
      <c r="R219" s="84">
        <v>356.73713633599999</v>
      </c>
      <c r="S219" s="84">
        <v>555.83618348971299</v>
      </c>
      <c r="T219" s="84">
        <v>2535.9188802478602</v>
      </c>
      <c r="U219" s="84">
        <v>679.12283684040005</v>
      </c>
      <c r="V219" s="84">
        <v>9638.5777501107696</v>
      </c>
      <c r="W219" s="84">
        <v>246.922144</v>
      </c>
      <c r="X219" s="84">
        <v>1380.99791918899</v>
      </c>
      <c r="Y219" s="84">
        <v>330.291877502109</v>
      </c>
      <c r="Z219" s="84">
        <v>360.33340252839901</v>
      </c>
      <c r="AA219" s="84">
        <v>11466.737478966001</v>
      </c>
      <c r="AB219" s="84">
        <v>1646.9921137981801</v>
      </c>
      <c r="AC219" s="84">
        <v>1892.2403152469799</v>
      </c>
      <c r="AD219" s="84">
        <v>3166.8009987284199</v>
      </c>
      <c r="AE219" s="84">
        <v>722.77223330299398</v>
      </c>
      <c r="AF219" s="84">
        <v>2195.39889437188</v>
      </c>
      <c r="AG219" s="84">
        <v>74.719980665164798</v>
      </c>
      <c r="AH219" s="84">
        <v>145.474641044245</v>
      </c>
      <c r="AI219" s="84">
        <f t="shared" si="3"/>
        <v>108812.24460313923</v>
      </c>
    </row>
    <row r="220" spans="1:35">
      <c r="A220" s="22" t="s">
        <v>113</v>
      </c>
      <c r="B220" s="22" t="s">
        <v>114</v>
      </c>
      <c r="C220" s="22">
        <v>2019</v>
      </c>
      <c r="D220" s="22" t="s">
        <v>86</v>
      </c>
      <c r="E220" s="84">
        <v>2928.4458893831202</v>
      </c>
      <c r="F220" s="84">
        <v>5214.1672189500796</v>
      </c>
      <c r="G220" s="84">
        <v>718.42091791007999</v>
      </c>
      <c r="H220" s="84">
        <v>5734.6811639245097</v>
      </c>
      <c r="I220" s="84">
        <v>1034.8878115663199</v>
      </c>
      <c r="J220" s="84">
        <v>1285.1825308344801</v>
      </c>
      <c r="K220" s="84">
        <v>30000.59818804</v>
      </c>
      <c r="L220" s="84">
        <v>3128.33667476868</v>
      </c>
      <c r="M220" s="84">
        <v>211.93969818308</v>
      </c>
      <c r="N220" s="84">
        <v>4019.2834465915598</v>
      </c>
      <c r="O220" s="84">
        <v>19124.338145887399</v>
      </c>
      <c r="P220" s="84">
        <v>2593.15481</v>
      </c>
      <c r="Q220" s="84">
        <v>19488.337191830899</v>
      </c>
      <c r="R220" s="84">
        <v>610.407261296</v>
      </c>
      <c r="S220" s="84">
        <v>856.903745725269</v>
      </c>
      <c r="T220" s="84">
        <v>3344.0983838716802</v>
      </c>
      <c r="U220" s="84">
        <v>963.65322670769501</v>
      </c>
      <c r="V220" s="84">
        <v>12487.8041252536</v>
      </c>
      <c r="W220" s="84">
        <v>372.76866799999999</v>
      </c>
      <c r="X220" s="84">
        <v>1812.27637399982</v>
      </c>
      <c r="Y220" s="84">
        <v>485.74486049833899</v>
      </c>
      <c r="Z220" s="84">
        <v>510.76078019564</v>
      </c>
      <c r="AA220" s="84">
        <v>11980.2230167043</v>
      </c>
      <c r="AB220" s="84">
        <v>1768.9213246854999</v>
      </c>
      <c r="AC220" s="84">
        <v>3259.8164093253999</v>
      </c>
      <c r="AD220" s="84">
        <v>4402.4786738796602</v>
      </c>
      <c r="AE220" s="84">
        <v>461.71524775702198</v>
      </c>
      <c r="AF220" s="84">
        <v>2676.7286216535199</v>
      </c>
      <c r="AG220" s="84">
        <v>77.829056561033696</v>
      </c>
      <c r="AH220" s="84">
        <v>186.99418157541001</v>
      </c>
      <c r="AI220" s="84">
        <f t="shared" si="3"/>
        <v>133273.64193024239</v>
      </c>
    </row>
    <row r="221" spans="1:35">
      <c r="A221" s="22" t="s">
        <v>113</v>
      </c>
      <c r="B221" s="22" t="s">
        <v>114</v>
      </c>
      <c r="C221" s="22">
        <v>2021</v>
      </c>
      <c r="D221" s="22" t="s">
        <v>86</v>
      </c>
      <c r="E221" s="84">
        <v>1237.2656813624201</v>
      </c>
      <c r="F221" s="84">
        <v>4575.9209419056597</v>
      </c>
      <c r="G221" s="84">
        <v>494.28425315807999</v>
      </c>
      <c r="H221" s="84">
        <v>2335.5590901761998</v>
      </c>
      <c r="I221" s="84">
        <v>559.13985756278998</v>
      </c>
      <c r="J221" s="84">
        <v>377.62153498789303</v>
      </c>
      <c r="K221" s="84">
        <v>18298.223199709999</v>
      </c>
      <c r="L221" s="84">
        <v>1269.68272921995</v>
      </c>
      <c r="M221" s="84">
        <v>130.17945068216801</v>
      </c>
      <c r="N221" s="84">
        <v>2530.7712464798901</v>
      </c>
      <c r="O221" s="84">
        <v>8319.7017918192305</v>
      </c>
      <c r="P221" s="84">
        <v>830.14624000000003</v>
      </c>
      <c r="Q221" s="84">
        <v>8558.2861365972003</v>
      </c>
      <c r="R221" s="84">
        <v>300.550932864</v>
      </c>
      <c r="S221" s="84">
        <v>377.54959255033901</v>
      </c>
      <c r="T221" s="84">
        <v>1325.2726938722001</v>
      </c>
      <c r="U221" s="84">
        <v>415.3539187728</v>
      </c>
      <c r="V221" s="84">
        <v>4999.7880600378903</v>
      </c>
      <c r="W221" s="84">
        <v>186.88983200000001</v>
      </c>
      <c r="X221" s="84">
        <v>1881.024620637</v>
      </c>
      <c r="Y221" s="84">
        <v>240.844795733289</v>
      </c>
      <c r="Z221" s="84">
        <v>249.35120533588</v>
      </c>
      <c r="AA221" s="84">
        <v>7347.9282745250403</v>
      </c>
      <c r="AB221" s="84">
        <v>520.814968397504</v>
      </c>
      <c r="AC221" s="84">
        <v>2453.02625941717</v>
      </c>
      <c r="AD221" s="84">
        <v>2012.06265226816</v>
      </c>
      <c r="AE221" s="84">
        <v>249.05403669402301</v>
      </c>
      <c r="AF221" s="84">
        <v>998.40506679035502</v>
      </c>
      <c r="AG221" s="84">
        <v>26.778147855235801</v>
      </c>
      <c r="AH221" s="84">
        <v>65.6728014367214</v>
      </c>
      <c r="AI221" s="84">
        <f t="shared" si="3"/>
        <v>69895.422035502575</v>
      </c>
    </row>
    <row r="222" spans="1:35">
      <c r="A222" s="22" t="s">
        <v>113</v>
      </c>
      <c r="B222" s="22" t="s">
        <v>114</v>
      </c>
      <c r="C222" s="22">
        <v>1990</v>
      </c>
      <c r="D222" s="22" t="s">
        <v>87</v>
      </c>
      <c r="E222" s="84">
        <v>8.3857166216054093</v>
      </c>
      <c r="F222" s="84">
        <v>23.780135072810001</v>
      </c>
      <c r="G222" s="84">
        <v>5.4269440000000504</v>
      </c>
      <c r="H222" s="84">
        <v>23.025161787801601</v>
      </c>
      <c r="I222" s="84">
        <v>5.46441000000004</v>
      </c>
      <c r="J222" s="84">
        <v>4.9845641839999599</v>
      </c>
      <c r="K222" s="84">
        <v>106.73177181</v>
      </c>
      <c r="L222" s="84">
        <v>15.9089293818956</v>
      </c>
      <c r="M222" s="84">
        <v>0.82215993999999204</v>
      </c>
      <c r="N222" s="84">
        <v>19.110000000000099</v>
      </c>
      <c r="O222" s="84">
        <v>34.978240884951397</v>
      </c>
      <c r="P222" s="84">
        <v>7.4494500000000698</v>
      </c>
      <c r="Q222" s="84">
        <v>70.800771910993703</v>
      </c>
      <c r="R222" s="84">
        <v>3.7784499200000101</v>
      </c>
      <c r="S222" s="84">
        <v>3.7788496554023299</v>
      </c>
      <c r="T222" s="84">
        <v>8.1384818459619108</v>
      </c>
      <c r="U222" s="84">
        <v>1.6696815200000099</v>
      </c>
      <c r="V222" s="84">
        <v>32.5501554034417</v>
      </c>
      <c r="W222" s="84">
        <v>3.0039679999999902</v>
      </c>
      <c r="X222" s="84">
        <v>3.5406637513709098</v>
      </c>
      <c r="Y222" s="84">
        <v>1.6685568</v>
      </c>
      <c r="Z222" s="84">
        <v>1.20932975463825</v>
      </c>
      <c r="AA222" s="84">
        <v>35.031735983999198</v>
      </c>
      <c r="AB222" s="84">
        <v>9.1789433215999505</v>
      </c>
      <c r="AC222" s="84">
        <v>4.8666121620513003</v>
      </c>
      <c r="AD222" s="84">
        <v>14.8985873265033</v>
      </c>
      <c r="AE222" s="84">
        <v>6.0118631359999899</v>
      </c>
      <c r="AF222" s="84">
        <v>17.0327598774488</v>
      </c>
      <c r="AG222" s="84">
        <v>0.37186643199999703</v>
      </c>
      <c r="AH222" s="84">
        <v>0.50097479628172403</v>
      </c>
      <c r="AI222" s="84">
        <f t="shared" si="3"/>
        <v>440.22594865135562</v>
      </c>
    </row>
    <row r="223" spans="1:35">
      <c r="A223" s="22" t="s">
        <v>113</v>
      </c>
      <c r="B223" s="22" t="s">
        <v>114</v>
      </c>
      <c r="C223" s="22">
        <v>2010</v>
      </c>
      <c r="D223" s="22" t="s">
        <v>87</v>
      </c>
      <c r="E223" s="84">
        <v>19.329706961529201</v>
      </c>
      <c r="F223" s="84">
        <v>32.999662417279097</v>
      </c>
      <c r="G223" s="84">
        <v>3.8128960000000198</v>
      </c>
      <c r="H223" s="84">
        <v>31.542405012259199</v>
      </c>
      <c r="I223" s="84">
        <v>6.2995200000000304</v>
      </c>
      <c r="J223" s="84">
        <v>7.0569305999999896</v>
      </c>
      <c r="K223" s="84">
        <v>207.707513919999</v>
      </c>
      <c r="L223" s="84">
        <v>21.735239147726599</v>
      </c>
      <c r="M223" s="84">
        <v>0.78799496606099195</v>
      </c>
      <c r="N223" s="84">
        <v>19.680973003361</v>
      </c>
      <c r="O223" s="84">
        <v>92.937902091915007</v>
      </c>
      <c r="P223" s="84">
        <v>12.2415000000001</v>
      </c>
      <c r="Q223" s="84">
        <v>120.085950890107</v>
      </c>
      <c r="R223" s="84">
        <v>2.2479385600000201</v>
      </c>
      <c r="S223" s="84">
        <v>5.40193189099955</v>
      </c>
      <c r="T223" s="84">
        <v>17.054387347380299</v>
      </c>
      <c r="U223" s="84">
        <v>2.8675016287999702</v>
      </c>
      <c r="V223" s="84">
        <v>68.206789967922305</v>
      </c>
      <c r="W223" s="84">
        <v>1.0945279999999999</v>
      </c>
      <c r="X223" s="84">
        <v>10.2574444723755</v>
      </c>
      <c r="Y223" s="84">
        <v>3.5011477617596301</v>
      </c>
      <c r="Z223" s="84">
        <v>2.16264884562099</v>
      </c>
      <c r="AA223" s="84">
        <v>77.657864831999206</v>
      </c>
      <c r="AB223" s="84">
        <v>18.366836278191599</v>
      </c>
      <c r="AC223" s="84">
        <v>10.930202261410599</v>
      </c>
      <c r="AD223" s="84">
        <v>21.664105197702199</v>
      </c>
      <c r="AE223" s="84">
        <v>5.0897664978213601</v>
      </c>
      <c r="AF223" s="84">
        <v>26.417450872091202</v>
      </c>
      <c r="AG223" s="84">
        <v>0.55351273861184302</v>
      </c>
      <c r="AH223" s="84">
        <v>0.98733947376879905</v>
      </c>
      <c r="AI223" s="84">
        <f t="shared" si="3"/>
        <v>797.90284871744132</v>
      </c>
    </row>
    <row r="224" spans="1:35">
      <c r="A224" s="22" t="s">
        <v>113</v>
      </c>
      <c r="B224" s="22" t="s">
        <v>114</v>
      </c>
      <c r="C224" s="22">
        <v>2015</v>
      </c>
      <c r="D224" s="22" t="s">
        <v>87</v>
      </c>
      <c r="E224" s="84">
        <v>19.9846740652915</v>
      </c>
      <c r="F224" s="84">
        <v>34.591308678806897</v>
      </c>
      <c r="G224" s="84">
        <v>4.0234239999999799</v>
      </c>
      <c r="H224" s="84">
        <v>36.313465842937099</v>
      </c>
      <c r="I224" s="84">
        <v>5.71199999999999</v>
      </c>
      <c r="J224" s="84">
        <v>6.6377069999999803</v>
      </c>
      <c r="K224" s="84">
        <v>209.29670420999901</v>
      </c>
      <c r="L224" s="84">
        <v>23.7565244685211</v>
      </c>
      <c r="M224" s="84">
        <v>1.15468578372301</v>
      </c>
      <c r="N224" s="84">
        <v>21.8510464048782</v>
      </c>
      <c r="O224" s="84">
        <v>107.10128082687901</v>
      </c>
      <c r="P224" s="84">
        <v>14.502999999999901</v>
      </c>
      <c r="Q224" s="84">
        <v>130.67356867596399</v>
      </c>
      <c r="R224" s="84">
        <v>2.6569063359999601</v>
      </c>
      <c r="S224" s="84">
        <v>4.1421124000858098</v>
      </c>
      <c r="T224" s="84">
        <v>18.672427182620599</v>
      </c>
      <c r="U224" s="84">
        <v>5.1280209504000096</v>
      </c>
      <c r="V224" s="84">
        <v>71.836753117999294</v>
      </c>
      <c r="W224" s="84">
        <v>1.858304</v>
      </c>
      <c r="X224" s="84">
        <v>10.919903316492301</v>
      </c>
      <c r="Y224" s="84">
        <v>3.1613505354349098</v>
      </c>
      <c r="Z224" s="84">
        <v>2.65107395589513</v>
      </c>
      <c r="AA224" s="84">
        <v>86.584659216001498</v>
      </c>
      <c r="AB224" s="84">
        <v>23.773550049675801</v>
      </c>
      <c r="AC224" s="84">
        <v>14.288195151495801</v>
      </c>
      <c r="AD224" s="84">
        <v>25.414447380925601</v>
      </c>
      <c r="AE224" s="84">
        <v>6.4683593029938002</v>
      </c>
      <c r="AF224" s="84">
        <v>27.737166127646098</v>
      </c>
      <c r="AG224" s="84">
        <v>0.56420617236479098</v>
      </c>
      <c r="AH224" s="84">
        <v>1.0772696111436599</v>
      </c>
      <c r="AI224" s="84">
        <f t="shared" si="3"/>
        <v>857.31905792116174</v>
      </c>
    </row>
    <row r="225" spans="1:35">
      <c r="A225" s="22" t="s">
        <v>113</v>
      </c>
      <c r="B225" s="22" t="s">
        <v>114</v>
      </c>
      <c r="C225" s="22">
        <v>2019</v>
      </c>
      <c r="D225" s="22" t="s">
        <v>87</v>
      </c>
      <c r="E225" s="84">
        <v>21.698398043515201</v>
      </c>
      <c r="F225" s="84">
        <v>39.186056285994702</v>
      </c>
      <c r="G225" s="84">
        <v>5.4247540300799502</v>
      </c>
      <c r="H225" s="84">
        <v>41.999842324508798</v>
      </c>
      <c r="I225" s="84">
        <v>7.8143769015052804</v>
      </c>
      <c r="J225" s="84">
        <v>9.4325309999999298</v>
      </c>
      <c r="K225" s="84">
        <v>253.745322759998</v>
      </c>
      <c r="L225" s="84">
        <v>27.7396063430051</v>
      </c>
      <c r="M225" s="84">
        <v>1.6099593146565201</v>
      </c>
      <c r="N225" s="84">
        <v>30.379926347349699</v>
      </c>
      <c r="O225" s="84">
        <v>139.85695898740599</v>
      </c>
      <c r="P225" s="84">
        <v>19.018250000000101</v>
      </c>
      <c r="Q225" s="84">
        <v>141.543162588863</v>
      </c>
      <c r="R225" s="84">
        <v>4.5461312960000004</v>
      </c>
      <c r="S225" s="84">
        <v>6.3565637003090396</v>
      </c>
      <c r="T225" s="84">
        <v>24.613097807063699</v>
      </c>
      <c r="U225" s="84">
        <v>7.2764887475519799</v>
      </c>
      <c r="V225" s="84">
        <v>85.254289862090403</v>
      </c>
      <c r="W225" s="84">
        <v>2.8081280000000102</v>
      </c>
      <c r="X225" s="84">
        <v>14.192313186321099</v>
      </c>
      <c r="Y225" s="84">
        <v>4.5358689295472896</v>
      </c>
      <c r="Z225" s="84">
        <v>3.7665693345200002</v>
      </c>
      <c r="AA225" s="84">
        <v>90.461958262829299</v>
      </c>
      <c r="AB225" s="84">
        <v>25.820081596399898</v>
      </c>
      <c r="AC225" s="84">
        <v>24.6146816761011</v>
      </c>
      <c r="AD225" s="84">
        <v>35.2476887047833</v>
      </c>
      <c r="AE225" s="84">
        <v>4.8442406073216899</v>
      </c>
      <c r="AF225" s="84">
        <v>32.3391724217431</v>
      </c>
      <c r="AG225" s="84">
        <v>0.58768262130368498</v>
      </c>
      <c r="AH225" s="84">
        <v>1.38691711155349</v>
      </c>
      <c r="AI225" s="84">
        <f t="shared" si="3"/>
        <v>1033.0046061238606</v>
      </c>
    </row>
    <row r="226" spans="1:35">
      <c r="A226" s="22" t="s">
        <v>113</v>
      </c>
      <c r="B226" s="22" t="s">
        <v>114</v>
      </c>
      <c r="C226" s="22">
        <v>2021</v>
      </c>
      <c r="D226" s="22" t="s">
        <v>87</v>
      </c>
      <c r="E226" s="84">
        <v>9.2248612773994392</v>
      </c>
      <c r="F226" s="84">
        <v>33.306090044673503</v>
      </c>
      <c r="G226" s="84">
        <v>3.7323112780799801</v>
      </c>
      <c r="H226" s="84">
        <v>17.110812576202498</v>
      </c>
      <c r="I226" s="84">
        <v>4.2220321263961296</v>
      </c>
      <c r="J226" s="84">
        <v>2.7715337999999901</v>
      </c>
      <c r="K226" s="84">
        <v>154.37570050000099</v>
      </c>
      <c r="L226" s="84">
        <v>11.2387922518928</v>
      </c>
      <c r="M226" s="84">
        <v>0.98029503489300396</v>
      </c>
      <c r="N226" s="84">
        <v>19.1286287475668</v>
      </c>
      <c r="O226" s="84">
        <v>60.847977716557601</v>
      </c>
      <c r="P226" s="84">
        <v>6.0825999999999603</v>
      </c>
      <c r="Q226" s="84">
        <v>62.279078592984703</v>
      </c>
      <c r="R226" s="84">
        <v>2.23837286399998</v>
      </c>
      <c r="S226" s="84">
        <v>2.8001326755973501</v>
      </c>
      <c r="T226" s="84">
        <v>9.70842403478105</v>
      </c>
      <c r="U226" s="84">
        <v>3.1363129727999999</v>
      </c>
      <c r="V226" s="84">
        <v>38.794350127623098</v>
      </c>
      <c r="W226" s="84">
        <v>1.407872</v>
      </c>
      <c r="X226" s="84">
        <v>14.0752426095</v>
      </c>
      <c r="Y226" s="84">
        <v>2.1390642836242599</v>
      </c>
      <c r="Z226" s="84">
        <v>1.8395863021999901</v>
      </c>
      <c r="AA226" s="84">
        <v>55.483773545911397</v>
      </c>
      <c r="AB226" s="84">
        <v>7.6151884649044597</v>
      </c>
      <c r="AC226" s="84">
        <v>692.95734084956905</v>
      </c>
      <c r="AD226" s="84">
        <v>16.386688906948802</v>
      </c>
      <c r="AE226" s="84">
        <v>2.74630190133254</v>
      </c>
      <c r="AF226" s="84">
        <v>12.215853940536601</v>
      </c>
      <c r="AG226" s="84">
        <v>0.20220021699584101</v>
      </c>
      <c r="AH226" s="84">
        <v>0.48812075338739203</v>
      </c>
      <c r="AI226" s="84">
        <f t="shared" si="3"/>
        <v>1221.6732263824524</v>
      </c>
    </row>
    <row r="227" spans="1:35">
      <c r="A227" s="22" t="s">
        <v>115</v>
      </c>
      <c r="B227" s="22" t="s">
        <v>116</v>
      </c>
      <c r="C227" s="22">
        <v>1990</v>
      </c>
      <c r="D227" s="22" t="s">
        <v>85</v>
      </c>
      <c r="E227" s="84">
        <v>45.897377032735797</v>
      </c>
      <c r="F227" s="84">
        <v>13312.504517179799</v>
      </c>
      <c r="G227" s="84">
        <v>182.66399999999999</v>
      </c>
      <c r="H227" s="84">
        <v>60.459686185472002</v>
      </c>
      <c r="I227" s="84">
        <v>182.78800000000001</v>
      </c>
      <c r="J227" s="84">
        <v>0</v>
      </c>
      <c r="K227" s="84">
        <v>6917.3936998500003</v>
      </c>
      <c r="L227" s="84">
        <v>3013.4241546580802</v>
      </c>
      <c r="M227" s="84">
        <v>572.98579916278698</v>
      </c>
      <c r="N227" s="84">
        <v>8105.7163531098004</v>
      </c>
      <c r="O227" s="84">
        <v>11586.520928</v>
      </c>
      <c r="P227" s="84">
        <v>1831.99523</v>
      </c>
      <c r="Q227" s="84">
        <v>8060.50572633926</v>
      </c>
      <c r="R227" s="84">
        <v>147.231177</v>
      </c>
      <c r="S227" s="84">
        <v>0</v>
      </c>
      <c r="T227" s="84">
        <v>56.775741143040001</v>
      </c>
      <c r="U227" s="84">
        <v>27.805181760499998</v>
      </c>
      <c r="V227" s="84">
        <v>4279.5704682435799</v>
      </c>
      <c r="W227" s="84">
        <v>302.17439999999999</v>
      </c>
      <c r="X227" s="84">
        <v>7.3593179154970004E-2</v>
      </c>
      <c r="Y227" s="84">
        <v>1515.4887650000001</v>
      </c>
      <c r="Z227" s="84">
        <v>956.00058776991295</v>
      </c>
      <c r="AA227" s="84">
        <v>34944.309870639998</v>
      </c>
      <c r="AB227" s="84">
        <v>2301.7773864999999</v>
      </c>
      <c r="AC227" s="84">
        <v>1265.3455200000001</v>
      </c>
      <c r="AD227" s="84">
        <v>1399.9681532324</v>
      </c>
      <c r="AE227" s="84">
        <v>0</v>
      </c>
      <c r="AF227" s="84">
        <v>2333.4970863747899</v>
      </c>
      <c r="AG227" s="84">
        <v>0</v>
      </c>
      <c r="AH227" s="84">
        <v>64.576553491827596</v>
      </c>
      <c r="AI227" s="84">
        <f t="shared" si="3"/>
        <v>101077.4077014072</v>
      </c>
    </row>
    <row r="228" spans="1:35">
      <c r="A228" s="22" t="s">
        <v>115</v>
      </c>
      <c r="B228" s="22" t="s">
        <v>116</v>
      </c>
      <c r="C228" s="22">
        <v>2010</v>
      </c>
      <c r="D228" s="22" t="s">
        <v>85</v>
      </c>
      <c r="E228" s="84">
        <v>65.418988919936595</v>
      </c>
      <c r="F228" s="84">
        <v>24882.0795015</v>
      </c>
      <c r="G228" s="84">
        <v>305.40636000000001</v>
      </c>
      <c r="H228" s="84">
        <v>34.522006849668799</v>
      </c>
      <c r="I228" s="84">
        <v>587.88699999999994</v>
      </c>
      <c r="J228" s="84">
        <v>0</v>
      </c>
      <c r="K228" s="84">
        <v>8257.2918670700001</v>
      </c>
      <c r="L228" s="84">
        <v>2247.7560207219099</v>
      </c>
      <c r="M228" s="84">
        <v>695.71381782265098</v>
      </c>
      <c r="N228" s="84">
        <v>8788.8673586463992</v>
      </c>
      <c r="O228" s="84">
        <v>27435.253977</v>
      </c>
      <c r="P228" s="84">
        <v>655.15518999999995</v>
      </c>
      <c r="Q228" s="84">
        <v>8014.4207837821295</v>
      </c>
      <c r="R228" s="84">
        <v>19.635321300000001</v>
      </c>
      <c r="S228" s="84">
        <v>0</v>
      </c>
      <c r="T228" s="84">
        <v>430.23801619185298</v>
      </c>
      <c r="U228" s="84">
        <v>0.25004906669999999</v>
      </c>
      <c r="V228" s="84">
        <v>8134.4825093279296</v>
      </c>
      <c r="W228" s="84">
        <v>445.04484000000002</v>
      </c>
      <c r="X228" s="84">
        <v>0.10429364611746</v>
      </c>
      <c r="Y228" s="84">
        <v>806.78779999999995</v>
      </c>
      <c r="Z228" s="84">
        <v>4660.8366261204001</v>
      </c>
      <c r="AA228" s="84">
        <v>44609.749163640001</v>
      </c>
      <c r="AB228" s="84">
        <v>1681.6671604799999</v>
      </c>
      <c r="AC228" s="84">
        <v>690.29262000000006</v>
      </c>
      <c r="AD228" s="84">
        <v>1634.5416963319001</v>
      </c>
      <c r="AE228" s="84">
        <v>46.423764559880098</v>
      </c>
      <c r="AF228" s="84">
        <v>6834.6063233365403</v>
      </c>
      <c r="AG228" s="84">
        <v>59.457969777599999</v>
      </c>
      <c r="AH228" s="84">
        <v>32.691954164297996</v>
      </c>
      <c r="AI228" s="84">
        <f t="shared" si="3"/>
        <v>150340.14376385955</v>
      </c>
    </row>
    <row r="229" spans="1:35">
      <c r="A229" s="22" t="s">
        <v>115</v>
      </c>
      <c r="B229" s="22" t="s">
        <v>116</v>
      </c>
      <c r="C229" s="22">
        <v>2015</v>
      </c>
      <c r="D229" s="22" t="s">
        <v>85</v>
      </c>
      <c r="E229" s="84">
        <v>47.972146162500003</v>
      </c>
      <c r="F229" s="84">
        <v>18872.641983000001</v>
      </c>
      <c r="G229" s="84">
        <v>270.59237100000001</v>
      </c>
      <c r="H229" s="84">
        <v>25.074663543857</v>
      </c>
      <c r="I229" s="84">
        <v>767.42899999999997</v>
      </c>
      <c r="J229" s="84">
        <v>0</v>
      </c>
      <c r="K229" s="84">
        <v>6931.7212326199997</v>
      </c>
      <c r="L229" s="84">
        <v>2340.83811593255</v>
      </c>
      <c r="M229" s="84">
        <v>907.43755631672104</v>
      </c>
      <c r="N229" s="84">
        <v>5788.21</v>
      </c>
      <c r="O229" s="84">
        <v>24372.000873000001</v>
      </c>
      <c r="P229" s="84">
        <v>918.54876000000002</v>
      </c>
      <c r="Q229" s="84">
        <v>5680.8187234712996</v>
      </c>
      <c r="R229" s="84">
        <v>10.968628499999999</v>
      </c>
      <c r="S229" s="84">
        <v>0</v>
      </c>
      <c r="T229" s="84">
        <v>491.35145699182999</v>
      </c>
      <c r="U229" s="84">
        <v>147.66372499689999</v>
      </c>
      <c r="V229" s="84">
        <v>4964.1742382160601</v>
      </c>
      <c r="W229" s="84">
        <v>240.71194</v>
      </c>
      <c r="X229" s="84">
        <v>6.0270399793050003E-2</v>
      </c>
      <c r="Y229" s="84">
        <v>811.69949999999994</v>
      </c>
      <c r="Z229" s="84">
        <v>4942.9321569683998</v>
      </c>
      <c r="AA229" s="84">
        <v>40881.928742525102</v>
      </c>
      <c r="AB229" s="84">
        <v>1102.3578472900001</v>
      </c>
      <c r="AC229" s="84">
        <v>604.33920000000001</v>
      </c>
      <c r="AD229" s="84">
        <v>2023.67883705335</v>
      </c>
      <c r="AE229" s="84">
        <v>136.90458814565201</v>
      </c>
      <c r="AF229" s="84">
        <v>5750.3538040283402</v>
      </c>
      <c r="AG229" s="84">
        <v>206.47224</v>
      </c>
      <c r="AH229" s="84">
        <v>21.887359180079301</v>
      </c>
      <c r="AI229" s="84">
        <f t="shared" si="3"/>
        <v>127985.67372351167</v>
      </c>
    </row>
    <row r="230" spans="1:35">
      <c r="A230" s="22" t="s">
        <v>115</v>
      </c>
      <c r="B230" s="22" t="s">
        <v>116</v>
      </c>
      <c r="C230" s="22">
        <v>2019</v>
      </c>
      <c r="D230" s="22" t="s">
        <v>85</v>
      </c>
      <c r="E230" s="84">
        <v>45.370754053500001</v>
      </c>
      <c r="F230" s="84">
        <v>26744.787659969999</v>
      </c>
      <c r="G230" s="84">
        <v>234.14551923240001</v>
      </c>
      <c r="H230" s="84">
        <v>14.411785843857</v>
      </c>
      <c r="I230" s="84">
        <v>882.82994183999995</v>
      </c>
      <c r="J230" s="84">
        <v>0</v>
      </c>
      <c r="K230" s="84">
        <v>3548.1232507</v>
      </c>
      <c r="L230" s="84">
        <v>2329.3184497225102</v>
      </c>
      <c r="M230" s="84">
        <v>564.24445657732701</v>
      </c>
      <c r="N230" s="84">
        <v>8222.0921292208004</v>
      </c>
      <c r="O230" s="84">
        <v>23347.677748999999</v>
      </c>
      <c r="P230" s="84">
        <v>1045.2215100000001</v>
      </c>
      <c r="Q230" s="84">
        <v>5663.84713615498</v>
      </c>
      <c r="R230" s="84">
        <v>77.911127699999994</v>
      </c>
      <c r="S230" s="84">
        <v>0</v>
      </c>
      <c r="T230" s="84">
        <v>437.56643631264802</v>
      </c>
      <c r="U230" s="84">
        <v>203.52443945499999</v>
      </c>
      <c r="V230" s="84">
        <v>5403.6658984343103</v>
      </c>
      <c r="W230" s="84">
        <v>616.10640000000001</v>
      </c>
      <c r="X230" s="84">
        <v>5.6970310782839997E-2</v>
      </c>
      <c r="Y230" s="84">
        <v>920.26405</v>
      </c>
      <c r="Z230" s="84">
        <v>7277.7429734272</v>
      </c>
      <c r="AA230" s="84">
        <v>36412.560174234299</v>
      </c>
      <c r="AB230" s="84">
        <v>1043.6253900300001</v>
      </c>
      <c r="AC230" s="84">
        <v>866.77961219999997</v>
      </c>
      <c r="AD230" s="84">
        <v>3068.2864112408301</v>
      </c>
      <c r="AE230" s="84">
        <v>104.918698006168</v>
      </c>
      <c r="AF230" s="84">
        <v>6884.8190286893496</v>
      </c>
      <c r="AG230" s="84">
        <v>613.18948413600003</v>
      </c>
      <c r="AH230" s="84">
        <v>15.7936705939736</v>
      </c>
      <c r="AI230" s="84">
        <f t="shared" si="3"/>
        <v>135327.31949175702</v>
      </c>
    </row>
    <row r="231" spans="1:35">
      <c r="A231" s="22" t="s">
        <v>115</v>
      </c>
      <c r="B231" s="22" t="s">
        <v>116</v>
      </c>
      <c r="C231" s="22">
        <v>2021</v>
      </c>
      <c r="D231" s="22" t="s">
        <v>85</v>
      </c>
      <c r="E231" s="84">
        <v>61.261832264814203</v>
      </c>
      <c r="F231" s="84">
        <v>25558.593206789999</v>
      </c>
      <c r="G231" s="84">
        <v>264.53320312950001</v>
      </c>
      <c r="H231" s="84">
        <v>16.747343743857002</v>
      </c>
      <c r="I231" s="84">
        <v>800.43759797999996</v>
      </c>
      <c r="J231" s="84">
        <v>0</v>
      </c>
      <c r="K231" s="84">
        <v>3751.8127061099999</v>
      </c>
      <c r="L231" s="84">
        <v>1451.10002336457</v>
      </c>
      <c r="M231" s="84">
        <v>941.07506827218594</v>
      </c>
      <c r="N231" s="84">
        <v>5924.7558390188597</v>
      </c>
      <c r="O231" s="84">
        <v>23500.205203000001</v>
      </c>
      <c r="P231" s="84">
        <v>877.39482999999996</v>
      </c>
      <c r="Q231" s="84">
        <v>3670.0597451090598</v>
      </c>
      <c r="R231" s="84">
        <v>74.451477600000004</v>
      </c>
      <c r="S231" s="84">
        <v>0</v>
      </c>
      <c r="T231" s="84">
        <v>527.94604836244298</v>
      </c>
      <c r="U231" s="84">
        <v>122.54831121709999</v>
      </c>
      <c r="V231" s="84">
        <v>5633.4622759349604</v>
      </c>
      <c r="W231" s="84">
        <v>593.17439999999999</v>
      </c>
      <c r="X231" s="84">
        <v>1.2761033219799999E-2</v>
      </c>
      <c r="Y231" s="84">
        <v>672.49310000000003</v>
      </c>
      <c r="Z231" s="84">
        <v>6230.7820628339996</v>
      </c>
      <c r="AA231" s="84">
        <v>35692.940531981498</v>
      </c>
      <c r="AB231" s="84">
        <v>992.66901614000005</v>
      </c>
      <c r="AC231" s="84">
        <v>1091.8877185199999</v>
      </c>
      <c r="AD231" s="84">
        <v>2147.3740171159302</v>
      </c>
      <c r="AE231" s="84">
        <v>104.14394249598</v>
      </c>
      <c r="AF231" s="84">
        <v>7940.8307384006703</v>
      </c>
      <c r="AG231" s="84">
        <v>280.20574641600001</v>
      </c>
      <c r="AH231" s="84">
        <v>17.093034899999999</v>
      </c>
      <c r="AI231" s="84">
        <f t="shared" si="3"/>
        <v>127808.02711063369</v>
      </c>
    </row>
    <row r="232" spans="1:35">
      <c r="A232" s="22" t="s">
        <v>115</v>
      </c>
      <c r="B232" s="22" t="s">
        <v>116</v>
      </c>
      <c r="C232" s="22">
        <v>1990</v>
      </c>
      <c r="D232" s="22" t="s">
        <v>86</v>
      </c>
      <c r="E232" s="84">
        <v>51.446517569565501</v>
      </c>
      <c r="F232" s="84">
        <v>13406.6936501575</v>
      </c>
      <c r="G232" s="84">
        <v>184.37736000000001</v>
      </c>
      <c r="H232" s="84">
        <v>60.982274611388</v>
      </c>
      <c r="I232" s="84">
        <v>185.18392</v>
      </c>
      <c r="J232" s="84">
        <v>0</v>
      </c>
      <c r="K232" s="84">
        <v>7001.4565032800001</v>
      </c>
      <c r="L232" s="84">
        <v>3034.6598495527801</v>
      </c>
      <c r="M232" s="84">
        <v>578.38208456278699</v>
      </c>
      <c r="N232" s="84">
        <v>8334.9053708297997</v>
      </c>
      <c r="O232" s="84">
        <v>11696.78408858</v>
      </c>
      <c r="P232" s="84">
        <v>1848.5213650000001</v>
      </c>
      <c r="Q232" s="84">
        <v>8136.0287077842904</v>
      </c>
      <c r="R232" s="84">
        <v>148.63730106</v>
      </c>
      <c r="S232" s="84">
        <v>0</v>
      </c>
      <c r="T232" s="84">
        <v>57.328151981421598</v>
      </c>
      <c r="U232" s="84">
        <v>28.0789249973</v>
      </c>
      <c r="V232" s="84">
        <v>4319.46163478784</v>
      </c>
      <c r="W232" s="84">
        <v>305.00144399999999</v>
      </c>
      <c r="X232" s="84">
        <v>8.1010914832369996E-2</v>
      </c>
      <c r="Y232" s="84">
        <v>1565.7845078400001</v>
      </c>
      <c r="Z232" s="84">
        <v>964.42027160708096</v>
      </c>
      <c r="AA232" s="84">
        <v>35273.141234782597</v>
      </c>
      <c r="AB232" s="84">
        <v>2373.8647213580998</v>
      </c>
      <c r="AC232" s="84">
        <v>1277.4006048000001</v>
      </c>
      <c r="AD232" s="84">
        <v>1413.2421875805801</v>
      </c>
      <c r="AE232" s="84">
        <v>0</v>
      </c>
      <c r="AF232" s="84">
        <v>2367.09840093001</v>
      </c>
      <c r="AG232" s="84">
        <v>0</v>
      </c>
      <c r="AH232" s="84">
        <v>65.209246849925293</v>
      </c>
      <c r="AI232" s="84">
        <f t="shared" si="3"/>
        <v>102215.245414451</v>
      </c>
    </row>
    <row r="233" spans="1:35">
      <c r="A233" s="22" t="s">
        <v>115</v>
      </c>
      <c r="B233" s="22" t="s">
        <v>116</v>
      </c>
      <c r="C233" s="22">
        <v>2010</v>
      </c>
      <c r="D233" s="22" t="s">
        <v>86</v>
      </c>
      <c r="E233" s="84">
        <v>71.514176024886297</v>
      </c>
      <c r="F233" s="84">
        <v>25057.447540636</v>
      </c>
      <c r="G233" s="84">
        <v>308.33910959999997</v>
      </c>
      <c r="H233" s="84">
        <v>34.821306102580799</v>
      </c>
      <c r="I233" s="84">
        <v>595.28417000000002</v>
      </c>
      <c r="J233" s="84">
        <v>0</v>
      </c>
      <c r="K233" s="84">
        <v>8357.6312003300009</v>
      </c>
      <c r="L233" s="84">
        <v>2263.3613028446498</v>
      </c>
      <c r="M233" s="84">
        <v>702.26727462265103</v>
      </c>
      <c r="N233" s="84">
        <v>8974.2188562463998</v>
      </c>
      <c r="O233" s="84">
        <v>27691.457003650001</v>
      </c>
      <c r="P233" s="84">
        <v>660.86269500000003</v>
      </c>
      <c r="Q233" s="84">
        <v>8089.3198173598103</v>
      </c>
      <c r="R233" s="84">
        <v>19.820422986000001</v>
      </c>
      <c r="S233" s="84">
        <v>0</v>
      </c>
      <c r="T233" s="84">
        <v>434.45627165760601</v>
      </c>
      <c r="U233" s="84">
        <v>0.2523954987</v>
      </c>
      <c r="V233" s="84">
        <v>8210.3045505604896</v>
      </c>
      <c r="W233" s="84">
        <v>449.24184600000001</v>
      </c>
      <c r="X233" s="84">
        <v>0.11278489970479</v>
      </c>
      <c r="Y233" s="84">
        <v>835.51222399999995</v>
      </c>
      <c r="Z233" s="84">
        <v>4704.8939566778199</v>
      </c>
      <c r="AA233" s="84">
        <v>45029.175992194803</v>
      </c>
      <c r="AB233" s="84">
        <v>1730.3042581162999</v>
      </c>
      <c r="AC233" s="84">
        <v>696.83983320000004</v>
      </c>
      <c r="AD233" s="84">
        <v>1649.97750103972</v>
      </c>
      <c r="AE233" s="84">
        <v>46.874628541448097</v>
      </c>
      <c r="AF233" s="84">
        <v>6929.0945280863398</v>
      </c>
      <c r="AG233" s="84">
        <v>60.015676315824003</v>
      </c>
      <c r="AH233" s="84">
        <v>33.012255901454303</v>
      </c>
      <c r="AI233" s="84">
        <f t="shared" si="3"/>
        <v>151871.03561837555</v>
      </c>
    </row>
    <row r="234" spans="1:35">
      <c r="A234" s="22" t="s">
        <v>115</v>
      </c>
      <c r="B234" s="22" t="s">
        <v>116</v>
      </c>
      <c r="C234" s="22">
        <v>2015</v>
      </c>
      <c r="D234" s="22" t="s">
        <v>86</v>
      </c>
      <c r="E234" s="84">
        <v>51.836485921333903</v>
      </c>
      <c r="F234" s="84">
        <v>19006.782270039999</v>
      </c>
      <c r="G234" s="84">
        <v>273.21636006</v>
      </c>
      <c r="H234" s="84">
        <v>25.292258648183701</v>
      </c>
      <c r="I234" s="84">
        <v>776.07295999999997</v>
      </c>
      <c r="J234" s="84">
        <v>0</v>
      </c>
      <c r="K234" s="84">
        <v>7017.39695003</v>
      </c>
      <c r="L234" s="84">
        <v>2357.46710850511</v>
      </c>
      <c r="M234" s="84">
        <v>916.09997051672099</v>
      </c>
      <c r="N234" s="84">
        <v>5934.0014792000002</v>
      </c>
      <c r="O234" s="84">
        <v>24599.149394839998</v>
      </c>
      <c r="P234" s="84">
        <v>926.43529000000001</v>
      </c>
      <c r="Q234" s="84">
        <v>5734.0342278896396</v>
      </c>
      <c r="R234" s="84">
        <v>11.07349557</v>
      </c>
      <c r="S234" s="84">
        <v>0</v>
      </c>
      <c r="T234" s="84">
        <v>496.20280514630701</v>
      </c>
      <c r="U234" s="84">
        <v>149.09981223849999</v>
      </c>
      <c r="V234" s="84">
        <v>5010.4463210664298</v>
      </c>
      <c r="W234" s="84">
        <v>243.03223600000001</v>
      </c>
      <c r="X234" s="84">
        <v>6.4679603991879997E-2</v>
      </c>
      <c r="Y234" s="84">
        <v>857.47631200000001</v>
      </c>
      <c r="Z234" s="84">
        <v>4989.6408236757898</v>
      </c>
      <c r="AA234" s="84">
        <v>41268.295703359698</v>
      </c>
      <c r="AB234" s="84">
        <v>1167.5662032567</v>
      </c>
      <c r="AC234" s="84">
        <v>610.19947200000001</v>
      </c>
      <c r="AD234" s="84">
        <v>2042.8196708913399</v>
      </c>
      <c r="AE234" s="84">
        <v>138.26008888486001</v>
      </c>
      <c r="AF234" s="84">
        <v>5837.41371707709</v>
      </c>
      <c r="AG234" s="84">
        <v>208.4089176</v>
      </c>
      <c r="AH234" s="84">
        <v>22.101802132371301</v>
      </c>
      <c r="AI234" s="84">
        <f t="shared" si="3"/>
        <v>129327.92854201066</v>
      </c>
    </row>
    <row r="235" spans="1:35">
      <c r="A235" s="22" t="s">
        <v>115</v>
      </c>
      <c r="B235" s="22" t="s">
        <v>116</v>
      </c>
      <c r="C235" s="22">
        <v>2019</v>
      </c>
      <c r="D235" s="22" t="s">
        <v>86</v>
      </c>
      <c r="E235" s="84">
        <v>48.852441172241903</v>
      </c>
      <c r="F235" s="84">
        <v>26934.036469227001</v>
      </c>
      <c r="G235" s="84">
        <v>236.417840400264</v>
      </c>
      <c r="H235" s="84">
        <v>14.5368621074056</v>
      </c>
      <c r="I235" s="84">
        <v>893.49294144119995</v>
      </c>
      <c r="J235" s="84">
        <v>0</v>
      </c>
      <c r="K235" s="84">
        <v>3592.0056844300002</v>
      </c>
      <c r="L235" s="84">
        <v>2345.76182615681</v>
      </c>
      <c r="M235" s="84">
        <v>569.34129874646499</v>
      </c>
      <c r="N235" s="84">
        <v>8414.1305582158002</v>
      </c>
      <c r="O235" s="84">
        <v>23566.383634304999</v>
      </c>
      <c r="P235" s="84">
        <v>1054.1993083079999</v>
      </c>
      <c r="Q235" s="84">
        <v>5716.8525626676601</v>
      </c>
      <c r="R235" s="84">
        <v>78.668230265999995</v>
      </c>
      <c r="S235" s="84">
        <v>0</v>
      </c>
      <c r="T235" s="84">
        <v>441.888848042311</v>
      </c>
      <c r="U235" s="84">
        <v>205.50549032020001</v>
      </c>
      <c r="V235" s="84">
        <v>5454.0314869619997</v>
      </c>
      <c r="W235" s="84">
        <v>621.98699999999997</v>
      </c>
      <c r="X235" s="84">
        <v>6.087520412775E-2</v>
      </c>
      <c r="Y235" s="84">
        <v>1006.257566</v>
      </c>
      <c r="Z235" s="84">
        <v>7346.5099872794099</v>
      </c>
      <c r="AA235" s="84">
        <v>36801.692505109699</v>
      </c>
      <c r="AB235" s="84">
        <v>1122.8427159372</v>
      </c>
      <c r="AC235" s="84">
        <v>875.16538264799999</v>
      </c>
      <c r="AD235" s="84">
        <v>3097.28632239331</v>
      </c>
      <c r="AE235" s="84">
        <v>105.95750448176101</v>
      </c>
      <c r="AF235" s="84">
        <v>6994.89150899177</v>
      </c>
      <c r="AG235" s="84">
        <v>618.97835740463995</v>
      </c>
      <c r="AH235" s="84">
        <v>15.9484858968805</v>
      </c>
      <c r="AI235" s="84">
        <f t="shared" si="3"/>
        <v>136830.79862575035</v>
      </c>
    </row>
    <row r="236" spans="1:35">
      <c r="A236" s="22" t="s">
        <v>115</v>
      </c>
      <c r="B236" s="22" t="s">
        <v>116</v>
      </c>
      <c r="C236" s="22">
        <v>2021</v>
      </c>
      <c r="D236" s="22" t="s">
        <v>86</v>
      </c>
      <c r="E236" s="84">
        <v>65.862738886809396</v>
      </c>
      <c r="F236" s="84">
        <v>25739.794626701401</v>
      </c>
      <c r="G236" s="84">
        <v>267.09097009586998</v>
      </c>
      <c r="H236" s="84">
        <v>16.892693332175899</v>
      </c>
      <c r="I236" s="84">
        <v>810.12690581130005</v>
      </c>
      <c r="J236" s="84">
        <v>0</v>
      </c>
      <c r="K236" s="84">
        <v>3798.2291139099998</v>
      </c>
      <c r="L236" s="84">
        <v>1461.47540647609</v>
      </c>
      <c r="M236" s="84">
        <v>949.69733496350398</v>
      </c>
      <c r="N236" s="84">
        <v>6095.5500880703403</v>
      </c>
      <c r="O236" s="84">
        <v>23723.495862592001</v>
      </c>
      <c r="P236" s="84">
        <v>884.93114567600003</v>
      </c>
      <c r="Q236" s="84">
        <v>3704.5515699474499</v>
      </c>
      <c r="R236" s="84">
        <v>75.175203768000003</v>
      </c>
      <c r="S236" s="84">
        <v>0</v>
      </c>
      <c r="T236" s="84">
        <v>533.16756095383096</v>
      </c>
      <c r="U236" s="84">
        <v>123.74961419970001</v>
      </c>
      <c r="V236" s="84">
        <v>5685.9846185937304</v>
      </c>
      <c r="W236" s="84">
        <v>598.89963599999999</v>
      </c>
      <c r="X236" s="84">
        <v>1.3514726669890001E-2</v>
      </c>
      <c r="Y236" s="84">
        <v>741.65283399999998</v>
      </c>
      <c r="Z236" s="84">
        <v>6289.7298941660001</v>
      </c>
      <c r="AA236" s="84">
        <v>36125.036080177</v>
      </c>
      <c r="AB236" s="84">
        <v>1074.6971635407999</v>
      </c>
      <c r="AC236" s="84">
        <v>1102.5023836007999</v>
      </c>
      <c r="AD236" s="84">
        <v>2167.7263044039901</v>
      </c>
      <c r="AE236" s="84">
        <v>105.175078069661</v>
      </c>
      <c r="AF236" s="84">
        <v>8069.2663756606098</v>
      </c>
      <c r="AG236" s="84">
        <v>282.84982465104002</v>
      </c>
      <c r="AH236" s="84">
        <v>17.2597971</v>
      </c>
      <c r="AI236" s="84">
        <f t="shared" si="3"/>
        <v>129295.2448690021</v>
      </c>
    </row>
    <row r="237" spans="1:35">
      <c r="A237" s="22" t="s">
        <v>115</v>
      </c>
      <c r="B237" s="22" t="s">
        <v>116</v>
      </c>
      <c r="C237" s="22">
        <v>1990</v>
      </c>
      <c r="D237" s="22" t="s">
        <v>87</v>
      </c>
      <c r="E237" s="84">
        <v>5.5491405368296496</v>
      </c>
      <c r="F237" s="84">
        <v>94.189132977728093</v>
      </c>
      <c r="G237" s="84">
        <v>1.71335999999999</v>
      </c>
      <c r="H237" s="84">
        <v>0.52258842591603405</v>
      </c>
      <c r="I237" s="84">
        <v>2.3959200000000198</v>
      </c>
      <c r="J237" s="84">
        <v>0</v>
      </c>
      <c r="K237" s="84">
        <v>84.062803429999803</v>
      </c>
      <c r="L237" s="84">
        <v>21.235694894693601</v>
      </c>
      <c r="M237" s="84">
        <v>5.3962853999998996</v>
      </c>
      <c r="N237" s="84">
        <v>229.18901771999899</v>
      </c>
      <c r="O237" s="84">
        <v>110.26316058</v>
      </c>
      <c r="P237" s="84">
        <v>16.526134999999801</v>
      </c>
      <c r="Q237" s="84">
        <v>75.522981445027696</v>
      </c>
      <c r="R237" s="84">
        <v>1.40612406</v>
      </c>
      <c r="S237" s="84">
        <v>0</v>
      </c>
      <c r="T237" s="84">
        <v>0.55241083838159699</v>
      </c>
      <c r="U237" s="84">
        <v>0.27374323680000101</v>
      </c>
      <c r="V237" s="84">
        <v>39.891166544266497</v>
      </c>
      <c r="W237" s="84">
        <v>2.8270439999999999</v>
      </c>
      <c r="X237" s="84">
        <v>7.4177356773999902E-3</v>
      </c>
      <c r="Y237" s="84">
        <v>50.295742840000003</v>
      </c>
      <c r="Z237" s="84">
        <v>8.4196838371675504</v>
      </c>
      <c r="AA237" s="84">
        <v>328.831364142599</v>
      </c>
      <c r="AB237" s="84">
        <v>72.087334858100306</v>
      </c>
      <c r="AC237" s="84">
        <v>12.055084799999999</v>
      </c>
      <c r="AD237" s="84">
        <v>13.2740343481757</v>
      </c>
      <c r="AE237" s="84">
        <v>0</v>
      </c>
      <c r="AF237" s="84">
        <v>33.601314555219197</v>
      </c>
      <c r="AG237" s="84">
        <v>0</v>
      </c>
      <c r="AH237" s="84">
        <v>0.63269335809768301</v>
      </c>
      <c r="AI237" s="84">
        <f t="shared" si="3"/>
        <v>1137.8377130438621</v>
      </c>
    </row>
    <row r="238" spans="1:35">
      <c r="A238" s="22" t="s">
        <v>115</v>
      </c>
      <c r="B238" s="22" t="s">
        <v>116</v>
      </c>
      <c r="C238" s="22">
        <v>2010</v>
      </c>
      <c r="D238" s="22" t="s">
        <v>87</v>
      </c>
      <c r="E238" s="84">
        <v>6.0951871049496997</v>
      </c>
      <c r="F238" s="84">
        <v>175.368039135999</v>
      </c>
      <c r="G238" s="84">
        <v>2.93274959999997</v>
      </c>
      <c r="H238" s="84">
        <v>0.29929925291202902</v>
      </c>
      <c r="I238" s="84">
        <v>7.3971700000000702</v>
      </c>
      <c r="J238" s="84">
        <v>0</v>
      </c>
      <c r="K238" s="84">
        <v>100.339333260001</v>
      </c>
      <c r="L238" s="84">
        <v>15.6052821227377</v>
      </c>
      <c r="M238" s="84">
        <v>6.5534568000000499</v>
      </c>
      <c r="N238" s="84">
        <v>185.35149760000101</v>
      </c>
      <c r="O238" s="84">
        <v>256.20302665000099</v>
      </c>
      <c r="P238" s="84">
        <v>5.7075050000000802</v>
      </c>
      <c r="Q238" s="84">
        <v>74.899033577688002</v>
      </c>
      <c r="R238" s="84">
        <v>0.18510168599999899</v>
      </c>
      <c r="S238" s="84">
        <v>0</v>
      </c>
      <c r="T238" s="84">
        <v>4.2182554657536002</v>
      </c>
      <c r="U238" s="84">
        <v>2.3464320000000098E-3</v>
      </c>
      <c r="V238" s="84">
        <v>75.822041232560906</v>
      </c>
      <c r="W238" s="84">
        <v>4.1970059999999902</v>
      </c>
      <c r="X238" s="84">
        <v>8.4912535873299892E-3</v>
      </c>
      <c r="Y238" s="84">
        <v>28.724423999999999</v>
      </c>
      <c r="Z238" s="84">
        <v>44.057330557416201</v>
      </c>
      <c r="AA238" s="84">
        <v>419.426828554802</v>
      </c>
      <c r="AB238" s="84">
        <v>48.637097636299799</v>
      </c>
      <c r="AC238" s="84">
        <v>6.5472131999999901</v>
      </c>
      <c r="AD238" s="84">
        <v>15.4358047078144</v>
      </c>
      <c r="AE238" s="84">
        <v>0.450863981568006</v>
      </c>
      <c r="AF238" s="84">
        <v>94.488204749798598</v>
      </c>
      <c r="AG238" s="84">
        <v>0.55770653822400396</v>
      </c>
      <c r="AH238" s="84">
        <v>0.32030173715628502</v>
      </c>
      <c r="AI238" s="84">
        <f t="shared" si="3"/>
        <v>1530.8918545160591</v>
      </c>
    </row>
    <row r="239" spans="1:35">
      <c r="A239" s="22" t="s">
        <v>115</v>
      </c>
      <c r="B239" s="22" t="s">
        <v>116</v>
      </c>
      <c r="C239" s="22">
        <v>2015</v>
      </c>
      <c r="D239" s="22" t="s">
        <v>87</v>
      </c>
      <c r="E239" s="84">
        <v>3.8643397588339501</v>
      </c>
      <c r="F239" s="84">
        <v>134.14028703999799</v>
      </c>
      <c r="G239" s="84">
        <v>2.6239890599999902</v>
      </c>
      <c r="H239" s="84">
        <v>0.217595104326712</v>
      </c>
      <c r="I239" s="84">
        <v>8.64396000000011</v>
      </c>
      <c r="J239" s="84">
        <v>0</v>
      </c>
      <c r="K239" s="84">
        <v>85.675717410000303</v>
      </c>
      <c r="L239" s="84">
        <v>16.628992572554999</v>
      </c>
      <c r="M239" s="84">
        <v>8.6624141999999402</v>
      </c>
      <c r="N239" s="84">
        <v>145.7914792</v>
      </c>
      <c r="O239" s="84">
        <v>227.148521840001</v>
      </c>
      <c r="P239" s="84">
        <v>7.8865299999999898</v>
      </c>
      <c r="Q239" s="84">
        <v>53.215504418331001</v>
      </c>
      <c r="R239" s="84">
        <v>0.10486707000000101</v>
      </c>
      <c r="S239" s="84">
        <v>0</v>
      </c>
      <c r="T239" s="84">
        <v>4.8513481544771402</v>
      </c>
      <c r="U239" s="84">
        <v>1.4360872416000099</v>
      </c>
      <c r="V239" s="84">
        <v>46.272082850374296</v>
      </c>
      <c r="W239" s="84">
        <v>2.3202960000000101</v>
      </c>
      <c r="X239" s="84">
        <v>4.4092041988299897E-3</v>
      </c>
      <c r="Y239" s="84">
        <v>45.7768119999999</v>
      </c>
      <c r="Z239" s="84">
        <v>46.708666707384502</v>
      </c>
      <c r="AA239" s="84">
        <v>386.366960834552</v>
      </c>
      <c r="AB239" s="84">
        <v>65.208355966700097</v>
      </c>
      <c r="AC239" s="84">
        <v>5.8602720000000099</v>
      </c>
      <c r="AD239" s="84">
        <v>19.1408338379842</v>
      </c>
      <c r="AE239" s="84">
        <v>1.3555007392080001</v>
      </c>
      <c r="AF239" s="84">
        <v>87.059913048746196</v>
      </c>
      <c r="AG239" s="84">
        <v>1.9366776000000001</v>
      </c>
      <c r="AH239" s="84">
        <v>0.21444295229204999</v>
      </c>
      <c r="AI239" s="84">
        <f t="shared" si="3"/>
        <v>1342.2548184989366</v>
      </c>
    </row>
    <row r="240" spans="1:35">
      <c r="A240" s="22" t="s">
        <v>115</v>
      </c>
      <c r="B240" s="22" t="s">
        <v>116</v>
      </c>
      <c r="C240" s="22">
        <v>2019</v>
      </c>
      <c r="D240" s="22" t="s">
        <v>87</v>
      </c>
      <c r="E240" s="84">
        <v>3.4816871187418501</v>
      </c>
      <c r="F240" s="84">
        <v>189.24880925699799</v>
      </c>
      <c r="G240" s="84">
        <v>2.2723211678639901</v>
      </c>
      <c r="H240" s="84">
        <v>0.12507626354863</v>
      </c>
      <c r="I240" s="84">
        <v>10.662999601199999</v>
      </c>
      <c r="J240" s="84">
        <v>0</v>
      </c>
      <c r="K240" s="84">
        <v>43.882433730000201</v>
      </c>
      <c r="L240" s="84">
        <v>16.443376434298902</v>
      </c>
      <c r="M240" s="84">
        <v>5.0968421691379699</v>
      </c>
      <c r="N240" s="84">
        <v>192.038428995</v>
      </c>
      <c r="O240" s="84">
        <v>218.70588530500001</v>
      </c>
      <c r="P240" s="84">
        <v>8.9777983079998194</v>
      </c>
      <c r="Q240" s="84">
        <v>53.005426512678198</v>
      </c>
      <c r="R240" s="84">
        <v>0.75710256600000003</v>
      </c>
      <c r="S240" s="84">
        <v>0</v>
      </c>
      <c r="T240" s="84">
        <v>4.3224117296628002</v>
      </c>
      <c r="U240" s="84">
        <v>1.9810508652000201</v>
      </c>
      <c r="V240" s="84">
        <v>50.365588527683002</v>
      </c>
      <c r="W240" s="84">
        <v>5.8805999999999603</v>
      </c>
      <c r="X240" s="84">
        <v>3.9048933449099999E-3</v>
      </c>
      <c r="Y240" s="84">
        <v>85.993516</v>
      </c>
      <c r="Z240" s="84">
        <v>68.7670138522071</v>
      </c>
      <c r="AA240" s="84">
        <v>389.13233087548002</v>
      </c>
      <c r="AB240" s="84">
        <v>79.217325907199907</v>
      </c>
      <c r="AC240" s="84">
        <v>8.3857704480000201</v>
      </c>
      <c r="AD240" s="84">
        <v>28.999911152482099</v>
      </c>
      <c r="AE240" s="84">
        <v>1.0388064755930499</v>
      </c>
      <c r="AF240" s="84">
        <v>110.072480302419</v>
      </c>
      <c r="AG240" s="84">
        <v>5.7888732686399198</v>
      </c>
      <c r="AH240" s="84">
        <v>0.154815302906881</v>
      </c>
      <c r="AI240" s="84">
        <f t="shared" si="3"/>
        <v>1503.4791339933379</v>
      </c>
    </row>
    <row r="241" spans="1:35">
      <c r="A241" s="22" t="s">
        <v>115</v>
      </c>
      <c r="B241" s="22" t="s">
        <v>116</v>
      </c>
      <c r="C241" s="22">
        <v>2021</v>
      </c>
      <c r="D241" s="22" t="s">
        <v>87</v>
      </c>
      <c r="E241" s="84">
        <v>4.6009066219951897</v>
      </c>
      <c r="F241" s="84">
        <v>181.20141991140201</v>
      </c>
      <c r="G241" s="84">
        <v>2.55776696637002</v>
      </c>
      <c r="H241" s="84">
        <v>0.14534958831887901</v>
      </c>
      <c r="I241" s="84">
        <v>9.6893078312999705</v>
      </c>
      <c r="J241" s="84">
        <v>0</v>
      </c>
      <c r="K241" s="84">
        <v>46.416407799999902</v>
      </c>
      <c r="L241" s="84">
        <v>10.3753831115182</v>
      </c>
      <c r="M241" s="84">
        <v>8.6222666913187105</v>
      </c>
      <c r="N241" s="84">
        <v>170.79424905147999</v>
      </c>
      <c r="O241" s="84">
        <v>223.290659591999</v>
      </c>
      <c r="P241" s="84">
        <v>7.5363156759999601</v>
      </c>
      <c r="Q241" s="84">
        <v>34.491824838398799</v>
      </c>
      <c r="R241" s="84">
        <v>0.723726167999999</v>
      </c>
      <c r="S241" s="84">
        <v>0</v>
      </c>
      <c r="T241" s="84">
        <v>5.2215125913880902</v>
      </c>
      <c r="U241" s="84">
        <v>1.2013029826000099</v>
      </c>
      <c r="V241" s="84">
        <v>52.522342658768999</v>
      </c>
      <c r="W241" s="84">
        <v>5.7252359999999998</v>
      </c>
      <c r="X241" s="84">
        <v>7.5369345009000102E-4</v>
      </c>
      <c r="Y241" s="84">
        <v>69.159734</v>
      </c>
      <c r="Z241" s="84">
        <v>58.947831332000497</v>
      </c>
      <c r="AA241" s="84">
        <v>432.09554819553898</v>
      </c>
      <c r="AB241" s="84">
        <v>82.028147400799995</v>
      </c>
      <c r="AC241" s="84">
        <v>10.6146650808</v>
      </c>
      <c r="AD241" s="84">
        <v>20.352287288063501</v>
      </c>
      <c r="AE241" s="84">
        <v>1.0311355736815</v>
      </c>
      <c r="AF241" s="84">
        <v>128.435637259939</v>
      </c>
      <c r="AG241" s="84">
        <v>2.64407823504001</v>
      </c>
      <c r="AH241" s="84">
        <v>0.166762200000001</v>
      </c>
      <c r="AI241" s="84">
        <f t="shared" si="3"/>
        <v>1487.2177583684525</v>
      </c>
    </row>
    <row r="242" spans="1:35">
      <c r="A242" s="22" t="s">
        <v>117</v>
      </c>
      <c r="B242" s="22" t="s">
        <v>118</v>
      </c>
      <c r="C242" s="22">
        <v>1990</v>
      </c>
      <c r="D242" s="22" t="s">
        <v>85</v>
      </c>
      <c r="E242" s="84">
        <v>49819.763425422701</v>
      </c>
      <c r="F242" s="84">
        <v>117350.675862577</v>
      </c>
      <c r="G242" s="84">
        <v>59972.518761694701</v>
      </c>
      <c r="H242" s="84">
        <v>42301.242463556002</v>
      </c>
      <c r="I242" s="84">
        <v>4491.7318136007298</v>
      </c>
      <c r="J242" s="84">
        <v>155568.54388412199</v>
      </c>
      <c r="K242" s="84">
        <v>1083500.8834508299</v>
      </c>
      <c r="L242" s="84">
        <v>61345.385294238797</v>
      </c>
      <c r="M242" s="84">
        <v>32912.442334987798</v>
      </c>
      <c r="N242" s="84">
        <v>81114.505088201695</v>
      </c>
      <c r="O242" s="84">
        <v>195769.44268311199</v>
      </c>
      <c r="P242" s="84">
        <v>27915.805279446002</v>
      </c>
      <c r="Q242" s="84">
        <v>378748.95150782401</v>
      </c>
      <c r="R242" s="84">
        <v>16617.857751908301</v>
      </c>
      <c r="S242" s="84">
        <v>69959.844956190602</v>
      </c>
      <c r="T242" s="84">
        <v>38234.426992544599</v>
      </c>
      <c r="U242" s="84">
        <v>7984.1442415889496</v>
      </c>
      <c r="V242" s="84">
        <v>433213.97521767701</v>
      </c>
      <c r="W242" s="84">
        <v>30273.515600190502</v>
      </c>
      <c r="X242" s="84">
        <v>11814.3511040221</v>
      </c>
      <c r="Y242" s="84">
        <v>6263.7742516320004</v>
      </c>
      <c r="Z242" s="84">
        <v>2419.09626831278</v>
      </c>
      <c r="AA242" s="84">
        <v>168425.28980172699</v>
      </c>
      <c r="AB242" s="84">
        <v>24160.105402658999</v>
      </c>
      <c r="AC242" s="84">
        <v>346473.509270571</v>
      </c>
      <c r="AD242" s="84">
        <v>50983.775628966199</v>
      </c>
      <c r="AE242" s="84">
        <v>147707.03317078299</v>
      </c>
      <c r="AF242" s="84">
        <v>9522.9331754144005</v>
      </c>
      <c r="AG242" s="84">
        <v>10630.666717251701</v>
      </c>
      <c r="AH242" s="84">
        <v>52009.324227411103</v>
      </c>
      <c r="AI242" s="84">
        <f t="shared" si="3"/>
        <v>3643060.0235206606</v>
      </c>
    </row>
    <row r="243" spans="1:35">
      <c r="A243" s="22" t="s">
        <v>117</v>
      </c>
      <c r="B243" s="22" t="s">
        <v>118</v>
      </c>
      <c r="C243" s="22">
        <v>2010</v>
      </c>
      <c r="D243" s="22" t="s">
        <v>85</v>
      </c>
      <c r="E243" s="84">
        <v>52107.300727037698</v>
      </c>
      <c r="F243" s="84">
        <v>114115.420765995</v>
      </c>
      <c r="G243" s="84">
        <v>35723.823914637702</v>
      </c>
      <c r="H243" s="84">
        <v>42161.423650111697</v>
      </c>
      <c r="I243" s="84">
        <v>7833.8497580675003</v>
      </c>
      <c r="J243" s="84">
        <v>110237.947744633</v>
      </c>
      <c r="K243" s="84">
        <v>820839.124461325</v>
      </c>
      <c r="L243" s="84">
        <v>52950.213164309302</v>
      </c>
      <c r="M243" s="84">
        <v>13160.297338366199</v>
      </c>
      <c r="N243" s="84">
        <v>93927.959670170996</v>
      </c>
      <c r="O243" s="84">
        <v>238363.633780334</v>
      </c>
      <c r="P243" s="84">
        <v>35094.282737696201</v>
      </c>
      <c r="Q243" s="84">
        <v>346814.94234850898</v>
      </c>
      <c r="R243" s="84">
        <v>14032.4665925436</v>
      </c>
      <c r="S243" s="84">
        <v>47215.229271338299</v>
      </c>
      <c r="T243" s="84">
        <v>47483.626239577003</v>
      </c>
      <c r="U243" s="84">
        <v>9449.5547617112807</v>
      </c>
      <c r="V243" s="84">
        <v>394075.34365480201</v>
      </c>
      <c r="W243" s="84">
        <v>3305.9591933482302</v>
      </c>
      <c r="X243" s="84">
        <v>10974.436933339501</v>
      </c>
      <c r="Y243" s="84">
        <v>5468.0149704915702</v>
      </c>
      <c r="Z243" s="84">
        <v>2613.8066527477399</v>
      </c>
      <c r="AA243" s="84">
        <v>187077.415260548</v>
      </c>
      <c r="AB243" s="84">
        <v>20989.2262770739</v>
      </c>
      <c r="AC243" s="84">
        <v>300354.23763273598</v>
      </c>
      <c r="AD243" s="84">
        <v>45346.6183195743</v>
      </c>
      <c r="AE243" s="84">
        <v>48609.294604376897</v>
      </c>
      <c r="AF243" s="84">
        <v>1265.094285613</v>
      </c>
      <c r="AG243" s="84">
        <v>9239.9933885636601</v>
      </c>
      <c r="AH243" s="84">
        <v>33140.741763425198</v>
      </c>
      <c r="AI243" s="84">
        <f t="shared" si="3"/>
        <v>3071371.0751741063</v>
      </c>
    </row>
    <row r="244" spans="1:35">
      <c r="A244" s="22" t="s">
        <v>117</v>
      </c>
      <c r="B244" s="22" t="s">
        <v>118</v>
      </c>
      <c r="C244" s="22">
        <v>2015</v>
      </c>
      <c r="D244" s="22" t="s">
        <v>85</v>
      </c>
      <c r="E244" s="84">
        <v>59656.063631056</v>
      </c>
      <c r="F244" s="84">
        <v>100165.510089257</v>
      </c>
      <c r="G244" s="84">
        <v>40158.691744404998</v>
      </c>
      <c r="H244" s="84">
        <v>36695.715398102497</v>
      </c>
      <c r="I244" s="84">
        <v>6674.1417393015599</v>
      </c>
      <c r="J244" s="84">
        <v>98001.151372952896</v>
      </c>
      <c r="K244" s="84">
        <v>779212.83462400304</v>
      </c>
      <c r="L244" s="84">
        <v>36987.335704191602</v>
      </c>
      <c r="M244" s="84">
        <v>14700.0266732483</v>
      </c>
      <c r="N244" s="84">
        <v>70648.751007476094</v>
      </c>
      <c r="O244" s="84">
        <v>225646.81232547</v>
      </c>
      <c r="P244" s="84">
        <v>24799.3187766093</v>
      </c>
      <c r="Q244" s="84">
        <v>307332.90965342103</v>
      </c>
      <c r="R244" s="84">
        <v>11985.9758530498</v>
      </c>
      <c r="S244" s="84">
        <v>40970.197801634102</v>
      </c>
      <c r="T244" s="84">
        <v>43931.563881034897</v>
      </c>
      <c r="U244" s="84">
        <v>9285.0949795386605</v>
      </c>
      <c r="V244" s="84">
        <v>317384.546824524</v>
      </c>
      <c r="W244" s="84">
        <v>4970.0374684490798</v>
      </c>
      <c r="X244" s="84">
        <v>8972.8456457699795</v>
      </c>
      <c r="Y244" s="84">
        <v>6211.8149447793703</v>
      </c>
      <c r="Z244" s="84">
        <v>1661.3284614527199</v>
      </c>
      <c r="AA244" s="84">
        <v>168861.39190234401</v>
      </c>
      <c r="AB244" s="84">
        <v>31265.860629028899</v>
      </c>
      <c r="AC244" s="84">
        <v>281828.525492827</v>
      </c>
      <c r="AD244" s="84">
        <v>47612.471597493903</v>
      </c>
      <c r="AE244" s="84">
        <v>27666.939000964201</v>
      </c>
      <c r="AF244" s="84">
        <v>-4446.7884346862302</v>
      </c>
      <c r="AG244" s="84">
        <v>14410.2837402159</v>
      </c>
      <c r="AH244" s="84">
        <v>28647.455192750698</v>
      </c>
      <c r="AI244" s="84">
        <f t="shared" si="3"/>
        <v>2764652.1367139961</v>
      </c>
    </row>
    <row r="245" spans="1:35">
      <c r="A245" s="22" t="s">
        <v>117</v>
      </c>
      <c r="B245" s="22" t="s">
        <v>118</v>
      </c>
      <c r="C245" s="22">
        <v>2019</v>
      </c>
      <c r="D245" s="22" t="s">
        <v>85</v>
      </c>
      <c r="E245" s="84">
        <v>69945.203655486999</v>
      </c>
      <c r="F245" s="84">
        <v>98861.526159349305</v>
      </c>
      <c r="G245" s="84">
        <v>32611.9277011091</v>
      </c>
      <c r="H245" s="84">
        <v>34887.123731607302</v>
      </c>
      <c r="I245" s="84">
        <v>7043.57868113517</v>
      </c>
      <c r="J245" s="84">
        <v>108759.83184686</v>
      </c>
      <c r="K245" s="84">
        <v>692962.59266662097</v>
      </c>
      <c r="L245" s="84">
        <v>35258.714944713101</v>
      </c>
      <c r="M245" s="84">
        <v>13127.3008927188</v>
      </c>
      <c r="N245" s="84">
        <v>60253.504882122797</v>
      </c>
      <c r="O245" s="84">
        <v>205049.54656985</v>
      </c>
      <c r="P245" s="84">
        <v>33086.847592463098</v>
      </c>
      <c r="Q245" s="84">
        <v>313127.17190966901</v>
      </c>
      <c r="R245" s="84">
        <v>11999.830692478101</v>
      </c>
      <c r="S245" s="84">
        <v>43870.308077399197</v>
      </c>
      <c r="T245" s="84">
        <v>42899.558222151099</v>
      </c>
      <c r="U245" s="84">
        <v>9214.2843767952309</v>
      </c>
      <c r="V245" s="84">
        <v>297929.32320381998</v>
      </c>
      <c r="W245" s="84">
        <v>7642.7089034194796</v>
      </c>
      <c r="X245" s="84">
        <v>9397.5206222676898</v>
      </c>
      <c r="Y245" s="84">
        <v>3962.75233234092</v>
      </c>
      <c r="Z245" s="84">
        <v>1654.1101033844</v>
      </c>
      <c r="AA245" s="84">
        <v>156341.409704416</v>
      </c>
      <c r="AB245" s="84">
        <v>26594.6800397478</v>
      </c>
      <c r="AC245" s="84">
        <v>297616.824558608</v>
      </c>
      <c r="AD245" s="84">
        <v>42319.222043133697</v>
      </c>
      <c r="AE245" s="84">
        <v>28590.739137140499</v>
      </c>
      <c r="AF245" s="84">
        <v>1152.61209385181</v>
      </c>
      <c r="AG245" s="84">
        <v>10655.669281996799</v>
      </c>
      <c r="AH245" s="84">
        <v>28193.253484982099</v>
      </c>
      <c r="AI245" s="84">
        <f t="shared" si="3"/>
        <v>2654313.5899634887</v>
      </c>
    </row>
    <row r="246" spans="1:35">
      <c r="A246" s="22" t="s">
        <v>117</v>
      </c>
      <c r="B246" s="22" t="s">
        <v>118</v>
      </c>
      <c r="C246" s="22">
        <v>2021</v>
      </c>
      <c r="D246" s="22" t="s">
        <v>85</v>
      </c>
      <c r="E246" s="84">
        <v>55477.760467088403</v>
      </c>
      <c r="F246" s="84">
        <v>95220.760927807205</v>
      </c>
      <c r="G246" s="84">
        <v>32689.025655015899</v>
      </c>
      <c r="H246" s="84">
        <v>33836.991744822699</v>
      </c>
      <c r="I246" s="84">
        <v>6784.6349231264503</v>
      </c>
      <c r="J246" s="84">
        <v>105006.693566655</v>
      </c>
      <c r="K246" s="84">
        <v>675066.14925393497</v>
      </c>
      <c r="L246" s="84">
        <v>33431.538734407703</v>
      </c>
      <c r="M246" s="84">
        <v>12955.083060802101</v>
      </c>
      <c r="N246" s="84">
        <v>51902.677265860701</v>
      </c>
      <c r="O246" s="84">
        <v>185287.48613112801</v>
      </c>
      <c r="P246" s="84">
        <v>35798.539154764097</v>
      </c>
      <c r="Q246" s="84">
        <v>301799.63236639398</v>
      </c>
      <c r="R246" s="84">
        <v>11486.865275165601</v>
      </c>
      <c r="S246" s="84">
        <v>41323.193567169998</v>
      </c>
      <c r="T246" s="84">
        <v>43760.260902179798</v>
      </c>
      <c r="U246" s="84">
        <v>9152.1757393984299</v>
      </c>
      <c r="V246" s="84">
        <v>308306.13328354899</v>
      </c>
      <c r="W246" s="84">
        <v>7591.6084780883002</v>
      </c>
      <c r="X246" s="84">
        <v>7815.8575739149601</v>
      </c>
      <c r="Y246" s="84">
        <v>8196.7909561136803</v>
      </c>
      <c r="Z246" s="84">
        <v>1606.7836424444499</v>
      </c>
      <c r="AA246" s="84">
        <v>143877.26016516201</v>
      </c>
      <c r="AB246" s="84">
        <v>24599.1101867199</v>
      </c>
      <c r="AC246" s="84">
        <v>309232.645548689</v>
      </c>
      <c r="AD246" s="84">
        <v>33063.665546557197</v>
      </c>
      <c r="AE246" s="84">
        <v>27860.5814253075</v>
      </c>
      <c r="AF246" s="84">
        <v>-4773.6625462359298</v>
      </c>
      <c r="AG246" s="84">
        <v>9917.5932193819608</v>
      </c>
      <c r="AH246" s="84">
        <v>27457.125784779699</v>
      </c>
      <c r="AI246" s="84">
        <f t="shared" si="3"/>
        <v>2568142.6843292522</v>
      </c>
    </row>
    <row r="247" spans="1:35" s="89" customFormat="1">
      <c r="A247" s="89" t="s">
        <v>117</v>
      </c>
      <c r="B247" s="89" t="s">
        <v>118</v>
      </c>
      <c r="C247" s="89">
        <v>1990</v>
      </c>
      <c r="D247" s="89" t="s">
        <v>86</v>
      </c>
      <c r="E247" s="90">
        <v>66839.800651257494</v>
      </c>
      <c r="F247" s="90">
        <v>142908.44252312</v>
      </c>
      <c r="G247" s="90">
        <v>82566.081416889007</v>
      </c>
      <c r="H247" s="90">
        <v>53156.539002692101</v>
      </c>
      <c r="I247" s="90">
        <v>5418.6606543751404</v>
      </c>
      <c r="J247" s="90">
        <v>190189.53129997401</v>
      </c>
      <c r="K247" s="90">
        <v>1286910.4777597899</v>
      </c>
      <c r="L247" s="90">
        <v>78751.955298888206</v>
      </c>
      <c r="M247" s="90">
        <v>36580.885326195901</v>
      </c>
      <c r="N247" s="90">
        <v>101738.09561045301</v>
      </c>
      <c r="O247" s="90">
        <v>253814.20546748801</v>
      </c>
      <c r="P247" s="90">
        <v>45272.996476409899</v>
      </c>
      <c r="Q247" s="90">
        <v>523909.66318993701</v>
      </c>
      <c r="R247" s="90">
        <v>25141.982218061999</v>
      </c>
      <c r="S247" s="90">
        <v>91623.486574602299</v>
      </c>
      <c r="T247" s="90">
        <v>61631.120783303901</v>
      </c>
      <c r="U247" s="90">
        <v>13291.6454096257</v>
      </c>
      <c r="V247" s="90">
        <v>517991.61068783997</v>
      </c>
      <c r="W247" s="90">
        <v>42786.634586978304</v>
      </c>
      <c r="X247" s="90">
        <v>12731.402874654699</v>
      </c>
      <c r="Y247" s="90">
        <v>13632.6194572964</v>
      </c>
      <c r="Z247" s="90">
        <v>2618.4310865529001</v>
      </c>
      <c r="AA247" s="90">
        <v>227945.68369126201</v>
      </c>
      <c r="AB247" s="90">
        <v>40852.618515972201</v>
      </c>
      <c r="AC247" s="90">
        <v>446060.65933380497</v>
      </c>
      <c r="AD247" s="90">
        <v>66610.922517275496</v>
      </c>
      <c r="AE247" s="90">
        <v>228533.249656167</v>
      </c>
      <c r="AF247" s="90">
        <v>25060.379197126898</v>
      </c>
      <c r="AG247" s="90">
        <v>14403.0896599424</v>
      </c>
      <c r="AH247" s="90">
        <v>64405.865332934198</v>
      </c>
      <c r="AI247" s="90">
        <f t="shared" si="3"/>
        <v>4656077.9333325801</v>
      </c>
    </row>
    <row r="248" spans="1:35" s="89" customFormat="1">
      <c r="A248" s="89" t="s">
        <v>117</v>
      </c>
      <c r="B248" s="89" t="s">
        <v>118</v>
      </c>
      <c r="C248" s="89">
        <v>2010</v>
      </c>
      <c r="D248" s="89" t="s">
        <v>86</v>
      </c>
      <c r="E248" s="90">
        <v>64934.193708885003</v>
      </c>
      <c r="F248" s="90">
        <v>133253.36687982499</v>
      </c>
      <c r="G248" s="90">
        <v>47506.287612651402</v>
      </c>
      <c r="H248" s="90">
        <v>52483.0864224287</v>
      </c>
      <c r="I248" s="90">
        <v>9190.8293142223301</v>
      </c>
      <c r="J248" s="90">
        <v>133012.45169435799</v>
      </c>
      <c r="K248" s="90">
        <v>929422.43884243595</v>
      </c>
      <c r="L248" s="90">
        <v>68410.6050863813</v>
      </c>
      <c r="M248" s="90">
        <v>15628.9339342614</v>
      </c>
      <c r="N248" s="90">
        <v>115767.70672874901</v>
      </c>
      <c r="O248" s="90">
        <v>310507.37639931001</v>
      </c>
      <c r="P248" s="90">
        <v>49513.164549165798</v>
      </c>
      <c r="Q248" s="90">
        <v>470208.57001231099</v>
      </c>
      <c r="R248" s="90">
        <v>21283.432270180801</v>
      </c>
      <c r="S248" s="90">
        <v>61701.8103268208</v>
      </c>
      <c r="T248" s="90">
        <v>70047.916376636</v>
      </c>
      <c r="U248" s="90">
        <v>14502.5872824093</v>
      </c>
      <c r="V248" s="90">
        <v>481781.11388832697</v>
      </c>
      <c r="W248" s="90">
        <v>10376.207919115601</v>
      </c>
      <c r="X248" s="90">
        <v>11953.645500975401</v>
      </c>
      <c r="Y248" s="90">
        <v>9828.9532827586409</v>
      </c>
      <c r="Z248" s="90">
        <v>2973.5311090535502</v>
      </c>
      <c r="AA248" s="90">
        <v>219302.97239704401</v>
      </c>
      <c r="AB248" s="90">
        <v>30995.842738199899</v>
      </c>
      <c r="AC248" s="90">
        <v>374274.66212645703</v>
      </c>
      <c r="AD248" s="90">
        <v>62968.704905587103</v>
      </c>
      <c r="AE248" s="90">
        <v>89434.380366085796</v>
      </c>
      <c r="AF248" s="90">
        <v>13995.6815972368</v>
      </c>
      <c r="AG248" s="90">
        <v>12631.153308180001</v>
      </c>
      <c r="AH248" s="90">
        <v>40553.886307820998</v>
      </c>
      <c r="AI248" s="90">
        <f t="shared" si="3"/>
        <v>3830463.9764448362</v>
      </c>
    </row>
    <row r="249" spans="1:35" s="89" customFormat="1">
      <c r="A249" s="89" t="s">
        <v>117</v>
      </c>
      <c r="B249" s="89" t="s">
        <v>118</v>
      </c>
      <c r="C249" s="89">
        <v>2015</v>
      </c>
      <c r="D249" s="89" t="s">
        <v>86</v>
      </c>
      <c r="E249" s="90">
        <v>72321.365950699401</v>
      </c>
      <c r="F249" s="90">
        <v>118112.129130922</v>
      </c>
      <c r="G249" s="90">
        <v>52732.302703838097</v>
      </c>
      <c r="H249" s="90">
        <v>46933.661656573997</v>
      </c>
      <c r="I249" s="90">
        <v>8047.1649281028904</v>
      </c>
      <c r="J249" s="90">
        <v>121541.779576823</v>
      </c>
      <c r="K249" s="90">
        <v>885296.68780701899</v>
      </c>
      <c r="L249" s="90">
        <v>51719.927342496703</v>
      </c>
      <c r="M249" s="90">
        <v>17188.670000945101</v>
      </c>
      <c r="N249" s="90">
        <v>91712.313083549496</v>
      </c>
      <c r="O249" s="90">
        <v>289064.71140678902</v>
      </c>
      <c r="P249" s="90">
        <v>38292.895556281903</v>
      </c>
      <c r="Q249" s="90">
        <v>423580.80189675902</v>
      </c>
      <c r="R249" s="90">
        <v>18912.649322641399</v>
      </c>
      <c r="S249" s="90">
        <v>56513.396454457303</v>
      </c>
      <c r="T249" s="90">
        <v>67938.463625479897</v>
      </c>
      <c r="U249" s="90">
        <v>14278.5574846901</v>
      </c>
      <c r="V249" s="90">
        <v>401771.67408466502</v>
      </c>
      <c r="W249" s="90">
        <v>12201.6393953436</v>
      </c>
      <c r="X249" s="90">
        <v>9944.6654576031506</v>
      </c>
      <c r="Y249" s="90">
        <v>10903.6713335144</v>
      </c>
      <c r="Z249" s="90">
        <v>2125.3508350024099</v>
      </c>
      <c r="AA249" s="90">
        <v>199410.70171248299</v>
      </c>
      <c r="AB249" s="90">
        <v>40871.924413786001</v>
      </c>
      <c r="AC249" s="90">
        <v>354251.87338632101</v>
      </c>
      <c r="AD249" s="90">
        <v>64396.210142114403</v>
      </c>
      <c r="AE249" s="90">
        <v>66802.028936418501</v>
      </c>
      <c r="AF249" s="90">
        <v>7054.98289629189</v>
      </c>
      <c r="AG249" s="90">
        <v>17720.906284650599</v>
      </c>
      <c r="AH249" s="90">
        <v>35113.747218015102</v>
      </c>
      <c r="AI249" s="90">
        <f t="shared" si="3"/>
        <v>3494672.7104692287</v>
      </c>
    </row>
    <row r="250" spans="1:35" s="89" customFormat="1">
      <c r="A250" s="89" t="s">
        <v>117</v>
      </c>
      <c r="B250" s="89" t="s">
        <v>118</v>
      </c>
      <c r="C250" s="89">
        <v>2019</v>
      </c>
      <c r="D250" s="89" t="s">
        <v>86</v>
      </c>
      <c r="E250" s="90">
        <v>82126.612356043202</v>
      </c>
      <c r="F250" s="90">
        <v>115960.364356159</v>
      </c>
      <c r="G250" s="90">
        <v>44576.570490247999</v>
      </c>
      <c r="H250" s="90">
        <v>44690.868334127401</v>
      </c>
      <c r="I250" s="90">
        <v>8594.5775840978204</v>
      </c>
      <c r="J250" s="90">
        <v>131228.55197949999</v>
      </c>
      <c r="K250" s="90">
        <v>787651.22478558403</v>
      </c>
      <c r="L250" s="90">
        <v>49931.689586718901</v>
      </c>
      <c r="M250" s="90">
        <v>15687.3386374854</v>
      </c>
      <c r="N250" s="90">
        <v>80752.831268820402</v>
      </c>
      <c r="O250" s="90">
        <v>264584.74753516202</v>
      </c>
      <c r="P250" s="90">
        <v>46000.260126158901</v>
      </c>
      <c r="Q250" s="90">
        <v>421617.22168945702</v>
      </c>
      <c r="R250" s="90">
        <v>19063.546914138999</v>
      </c>
      <c r="S250" s="90">
        <v>59383.734965041898</v>
      </c>
      <c r="T250" s="90">
        <v>67757.027254171495</v>
      </c>
      <c r="U250" s="90">
        <v>14134.231362738899</v>
      </c>
      <c r="V250" s="90">
        <v>380439.157426577</v>
      </c>
      <c r="W250" s="90">
        <v>14361.952130498599</v>
      </c>
      <c r="X250" s="90">
        <v>10376.398333233799</v>
      </c>
      <c r="Y250" s="90">
        <v>8838.9684093285505</v>
      </c>
      <c r="Z250" s="90">
        <v>2155.6419137706498</v>
      </c>
      <c r="AA250" s="90">
        <v>185096.35852561201</v>
      </c>
      <c r="AB250" s="90">
        <v>35555.683752344499</v>
      </c>
      <c r="AC250" s="90">
        <v>368091.859176717</v>
      </c>
      <c r="AD250" s="90">
        <v>59616.9660729811</v>
      </c>
      <c r="AE250" s="90">
        <v>67540.149996497406</v>
      </c>
      <c r="AF250" s="90">
        <v>12252.8431706503</v>
      </c>
      <c r="AG250" s="90">
        <v>13860.0061292481</v>
      </c>
      <c r="AH250" s="90">
        <v>34440.929535183299</v>
      </c>
      <c r="AI250" s="90">
        <f t="shared" si="3"/>
        <v>3351987.5303490846</v>
      </c>
    </row>
    <row r="251" spans="1:35" s="89" customFormat="1">
      <c r="A251" s="89" t="s">
        <v>117</v>
      </c>
      <c r="B251" s="89" t="s">
        <v>118</v>
      </c>
      <c r="C251" s="89">
        <v>2021</v>
      </c>
      <c r="D251" s="89" t="s">
        <v>86</v>
      </c>
      <c r="E251" s="90">
        <v>67130.6511245859</v>
      </c>
      <c r="F251" s="90">
        <v>110607.655684564</v>
      </c>
      <c r="G251" s="90">
        <v>44773.177059831702</v>
      </c>
      <c r="H251" s="90">
        <v>43246.049622488703</v>
      </c>
      <c r="I251" s="90">
        <v>8434.6889722681608</v>
      </c>
      <c r="J251" s="90">
        <v>126739.055800692</v>
      </c>
      <c r="K251" s="90">
        <v>764235.31824371906</v>
      </c>
      <c r="L251" s="90">
        <v>47971.928012166798</v>
      </c>
      <c r="M251" s="90">
        <v>15497.745846621599</v>
      </c>
      <c r="N251" s="90">
        <v>72012.598046002196</v>
      </c>
      <c r="O251" s="90">
        <v>244325.758741675</v>
      </c>
      <c r="P251" s="90">
        <v>48274.529073580503</v>
      </c>
      <c r="Q251" s="90">
        <v>403271.84509859799</v>
      </c>
      <c r="R251" s="90">
        <v>18644.052371912399</v>
      </c>
      <c r="S251" s="90">
        <v>57020.457936040701</v>
      </c>
      <c r="T251" s="90">
        <v>69382.113046168699</v>
      </c>
      <c r="U251" s="90">
        <v>14060.0697359271</v>
      </c>
      <c r="V251" s="90">
        <v>390118.27506999398</v>
      </c>
      <c r="W251" s="90">
        <v>14160.6178849403</v>
      </c>
      <c r="X251" s="90">
        <v>8785.3813701813197</v>
      </c>
      <c r="Y251" s="90">
        <v>13119.744533174</v>
      </c>
      <c r="Z251" s="90">
        <v>2134.2571437790998</v>
      </c>
      <c r="AA251" s="90">
        <v>171451.24395389599</v>
      </c>
      <c r="AB251" s="90">
        <v>33291.984580034798</v>
      </c>
      <c r="AC251" s="90">
        <v>379343.766064859</v>
      </c>
      <c r="AD251" s="90">
        <v>50338.354958725096</v>
      </c>
      <c r="AE251" s="90">
        <v>66144.7265347223</v>
      </c>
      <c r="AF251" s="90">
        <v>6007.3341637911099</v>
      </c>
      <c r="AG251" s="90">
        <v>13000.7179909762</v>
      </c>
      <c r="AH251" s="90">
        <v>33568.664637295398</v>
      </c>
      <c r="AI251" s="90">
        <f t="shared" si="3"/>
        <v>3246494.6593647609</v>
      </c>
    </row>
    <row r="252" spans="1:35">
      <c r="A252" s="22" t="s">
        <v>117</v>
      </c>
      <c r="B252" s="22" t="s">
        <v>118</v>
      </c>
      <c r="C252" s="22">
        <v>1990</v>
      </c>
      <c r="D252" s="22" t="s">
        <v>87</v>
      </c>
      <c r="E252" s="84">
        <v>17020.0372258348</v>
      </c>
      <c r="F252" s="84">
        <v>25557.7666605427</v>
      </c>
      <c r="G252" s="84">
        <v>22593.562655194299</v>
      </c>
      <c r="H252" s="84">
        <v>10855.296539136199</v>
      </c>
      <c r="I252" s="84">
        <v>926.92884077441704</v>
      </c>
      <c r="J252" s="84">
        <v>34620.9874158518</v>
      </c>
      <c r="K252" s="84">
        <v>203409.594308956</v>
      </c>
      <c r="L252" s="84">
        <v>17406.5700046493</v>
      </c>
      <c r="M252" s="84">
        <v>3668.44299120814</v>
      </c>
      <c r="N252" s="84">
        <v>20623.590522251201</v>
      </c>
      <c r="O252" s="84">
        <v>58044.7627843765</v>
      </c>
      <c r="P252" s="84">
        <v>17357.191196963999</v>
      </c>
      <c r="Q252" s="84">
        <v>145160.71168211399</v>
      </c>
      <c r="R252" s="84">
        <v>8524.1244661537003</v>
      </c>
      <c r="S252" s="84">
        <v>21663.641618411701</v>
      </c>
      <c r="T252" s="84">
        <v>23396.693790759298</v>
      </c>
      <c r="U252" s="84">
        <v>5307.5011680367497</v>
      </c>
      <c r="V252" s="84">
        <v>84777.635470163194</v>
      </c>
      <c r="W252" s="84">
        <v>12513.1189867877</v>
      </c>
      <c r="X252" s="84">
        <v>917.05177063258998</v>
      </c>
      <c r="Y252" s="84">
        <v>7368.8452056644401</v>
      </c>
      <c r="Z252" s="84">
        <v>199.33481824012301</v>
      </c>
      <c r="AA252" s="84">
        <v>59520.393889534498</v>
      </c>
      <c r="AB252" s="84">
        <v>16692.513113313202</v>
      </c>
      <c r="AC252" s="84">
        <v>99587.150063234105</v>
      </c>
      <c r="AD252" s="84">
        <v>15627.1468883093</v>
      </c>
      <c r="AE252" s="84">
        <v>80826.216485383295</v>
      </c>
      <c r="AF252" s="84">
        <v>15537.4460217125</v>
      </c>
      <c r="AG252" s="84">
        <v>3772.42294269071</v>
      </c>
      <c r="AH252" s="84">
        <v>12396.5411055231</v>
      </c>
      <c r="AI252" s="84">
        <f t="shared" si="3"/>
        <v>1013017.9098119176</v>
      </c>
    </row>
    <row r="253" spans="1:35">
      <c r="A253" s="22" t="s">
        <v>117</v>
      </c>
      <c r="B253" s="22" t="s">
        <v>118</v>
      </c>
      <c r="C253" s="22">
        <v>2010</v>
      </c>
      <c r="D253" s="22" t="s">
        <v>87</v>
      </c>
      <c r="E253" s="84">
        <v>12826.892981847301</v>
      </c>
      <c r="F253" s="84">
        <v>19137.946113830702</v>
      </c>
      <c r="G253" s="84">
        <v>11782.4636980137</v>
      </c>
      <c r="H253" s="84">
        <v>10321.6627723169</v>
      </c>
      <c r="I253" s="84">
        <v>1356.9795561548301</v>
      </c>
      <c r="J253" s="84">
        <v>22774.5039497252</v>
      </c>
      <c r="K253" s="84">
        <v>108583.31438111101</v>
      </c>
      <c r="L253" s="84">
        <v>15460.3919220721</v>
      </c>
      <c r="M253" s="84">
        <v>2468.6365958952201</v>
      </c>
      <c r="N253" s="84">
        <v>21839.747058577999</v>
      </c>
      <c r="O253" s="84">
        <v>72143.742618975593</v>
      </c>
      <c r="P253" s="84">
        <v>14418.881811469601</v>
      </c>
      <c r="Q253" s="84">
        <v>123393.62766380201</v>
      </c>
      <c r="R253" s="84">
        <v>7250.9656776371603</v>
      </c>
      <c r="S253" s="84">
        <v>14486.5810554825</v>
      </c>
      <c r="T253" s="84">
        <v>22564.290137058899</v>
      </c>
      <c r="U253" s="84">
        <v>5053.0325206979996</v>
      </c>
      <c r="V253" s="84">
        <v>87705.770233524498</v>
      </c>
      <c r="W253" s="84">
        <v>7070.2487257674002</v>
      </c>
      <c r="X253" s="84">
        <v>979.20856763596998</v>
      </c>
      <c r="Y253" s="84">
        <v>4360.9383122670697</v>
      </c>
      <c r="Z253" s="84">
        <v>359.72445630580899</v>
      </c>
      <c r="AA253" s="84">
        <v>32225.5571364967</v>
      </c>
      <c r="AB253" s="84">
        <v>10006.616461125999</v>
      </c>
      <c r="AC253" s="84">
        <v>73920.424493721206</v>
      </c>
      <c r="AD253" s="84">
        <v>17622.0865860128</v>
      </c>
      <c r="AE253" s="84">
        <v>40825.085761708899</v>
      </c>
      <c r="AF253" s="84">
        <v>12730.5873116238</v>
      </c>
      <c r="AG253" s="84">
        <v>3391.1599196163602</v>
      </c>
      <c r="AH253" s="84">
        <v>7413.14454439581</v>
      </c>
      <c r="AI253" s="84">
        <f t="shared" si="3"/>
        <v>759092.90127073019</v>
      </c>
    </row>
    <row r="254" spans="1:35">
      <c r="A254" s="22" t="s">
        <v>117</v>
      </c>
      <c r="B254" s="22" t="s">
        <v>118</v>
      </c>
      <c r="C254" s="22">
        <v>2015</v>
      </c>
      <c r="D254" s="22" t="s">
        <v>87</v>
      </c>
      <c r="E254" s="84">
        <v>12665.302319643401</v>
      </c>
      <c r="F254" s="84">
        <v>17946.619041664599</v>
      </c>
      <c r="G254" s="84">
        <v>12573.610959433099</v>
      </c>
      <c r="H254" s="84">
        <v>10237.9462584715</v>
      </c>
      <c r="I254" s="84">
        <v>1373.02318880132</v>
      </c>
      <c r="J254" s="84">
        <v>23540.628203870001</v>
      </c>
      <c r="K254" s="84">
        <v>106083.85318301601</v>
      </c>
      <c r="L254" s="84">
        <v>14732.591638305101</v>
      </c>
      <c r="M254" s="84">
        <v>2488.64332769681</v>
      </c>
      <c r="N254" s="84">
        <v>21063.562076073398</v>
      </c>
      <c r="O254" s="84">
        <v>63417.899081319403</v>
      </c>
      <c r="P254" s="84">
        <v>13493.5767796726</v>
      </c>
      <c r="Q254" s="84">
        <v>116247.892243337</v>
      </c>
      <c r="R254" s="84">
        <v>6926.6734695916302</v>
      </c>
      <c r="S254" s="84">
        <v>15543.198652823199</v>
      </c>
      <c r="T254" s="84">
        <v>24006.899744445</v>
      </c>
      <c r="U254" s="84">
        <v>4993.4625051514404</v>
      </c>
      <c r="V254" s="84">
        <v>84387.127260140507</v>
      </c>
      <c r="W254" s="84">
        <v>7231.6019268945302</v>
      </c>
      <c r="X254" s="84">
        <v>971.81981183316498</v>
      </c>
      <c r="Y254" s="84">
        <v>4691.8563887349801</v>
      </c>
      <c r="Z254" s="84">
        <v>464.02237354968798</v>
      </c>
      <c r="AA254" s="84">
        <v>30549.309810139501</v>
      </c>
      <c r="AB254" s="84">
        <v>9606.0637847570397</v>
      </c>
      <c r="AC254" s="84">
        <v>72423.347893494196</v>
      </c>
      <c r="AD254" s="84">
        <v>16783.738544620501</v>
      </c>
      <c r="AE254" s="84">
        <v>39135.089935454198</v>
      </c>
      <c r="AF254" s="84">
        <v>11501.771330978099</v>
      </c>
      <c r="AG254" s="84">
        <v>3310.6225444346201</v>
      </c>
      <c r="AH254" s="84">
        <v>6466.2920252643298</v>
      </c>
      <c r="AI254" s="84">
        <f t="shared" si="3"/>
        <v>730020.57375523099</v>
      </c>
    </row>
    <row r="255" spans="1:35">
      <c r="A255" s="22" t="s">
        <v>117</v>
      </c>
      <c r="B255" s="22" t="s">
        <v>118</v>
      </c>
      <c r="C255" s="22">
        <v>2019</v>
      </c>
      <c r="D255" s="22" t="s">
        <v>87</v>
      </c>
      <c r="E255" s="84">
        <v>12181.4087005561</v>
      </c>
      <c r="F255" s="84">
        <v>17098.8381968094</v>
      </c>
      <c r="G255" s="84">
        <v>11964.642789138899</v>
      </c>
      <c r="H255" s="84">
        <v>9803.7446025200898</v>
      </c>
      <c r="I255" s="84">
        <v>1550.9989029626499</v>
      </c>
      <c r="J255" s="84">
        <v>22468.720132640101</v>
      </c>
      <c r="K255" s="84">
        <v>94688.632118962603</v>
      </c>
      <c r="L255" s="84">
        <v>14672.9746420059</v>
      </c>
      <c r="M255" s="84">
        <v>2560.0377447665301</v>
      </c>
      <c r="N255" s="84">
        <v>20499.326386697601</v>
      </c>
      <c r="O255" s="84">
        <v>59535.200965312099</v>
      </c>
      <c r="P255" s="84">
        <v>12913.4125336958</v>
      </c>
      <c r="Q255" s="84">
        <v>108490.049779787</v>
      </c>
      <c r="R255" s="84">
        <v>7063.7162216608704</v>
      </c>
      <c r="S255" s="84">
        <v>15513.4268876427</v>
      </c>
      <c r="T255" s="84">
        <v>24857.469032020301</v>
      </c>
      <c r="U255" s="84">
        <v>4919.9469859436904</v>
      </c>
      <c r="V255" s="84">
        <v>82509.834222757607</v>
      </c>
      <c r="W255" s="84">
        <v>6719.2432270790996</v>
      </c>
      <c r="X255" s="84">
        <v>978.87771096612596</v>
      </c>
      <c r="Y255" s="84">
        <v>4876.21607698763</v>
      </c>
      <c r="Z255" s="84">
        <v>501.53181038625098</v>
      </c>
      <c r="AA255" s="84">
        <v>28754.948821195801</v>
      </c>
      <c r="AB255" s="84">
        <v>8961.0037125966992</v>
      </c>
      <c r="AC255" s="84">
        <v>70475.034618108504</v>
      </c>
      <c r="AD255" s="84">
        <v>17297.744029847399</v>
      </c>
      <c r="AE255" s="84">
        <v>38949.410859356904</v>
      </c>
      <c r="AF255" s="84">
        <v>11100.2310767985</v>
      </c>
      <c r="AG255" s="84">
        <v>3204.3368472512502</v>
      </c>
      <c r="AH255" s="84">
        <v>6247.6760502012403</v>
      </c>
      <c r="AI255" s="84">
        <f t="shared" si="3"/>
        <v>697673.94038559496</v>
      </c>
    </row>
    <row r="256" spans="1:35">
      <c r="A256" s="22" t="s">
        <v>117</v>
      </c>
      <c r="B256" s="22" t="s">
        <v>118</v>
      </c>
      <c r="C256" s="22">
        <v>2021</v>
      </c>
      <c r="D256" s="22" t="s">
        <v>87</v>
      </c>
      <c r="E256" s="84">
        <v>11652.890657497501</v>
      </c>
      <c r="F256" s="84">
        <v>15386.894756756599</v>
      </c>
      <c r="G256" s="84">
        <v>12084.151404815801</v>
      </c>
      <c r="H256" s="84">
        <v>9409.0578776660404</v>
      </c>
      <c r="I256" s="84">
        <v>1650.05404914171</v>
      </c>
      <c r="J256" s="84">
        <v>21732.3622340371</v>
      </c>
      <c r="K256" s="84">
        <v>89169.168989783895</v>
      </c>
      <c r="L256" s="84">
        <v>14540.389277759199</v>
      </c>
      <c r="M256" s="84">
        <v>2542.6627858194502</v>
      </c>
      <c r="N256" s="84">
        <v>20109.9207801415</v>
      </c>
      <c r="O256" s="84">
        <v>59038.272610547603</v>
      </c>
      <c r="P256" s="84">
        <v>12475.9899188164</v>
      </c>
      <c r="Q256" s="84">
        <v>101472.212732203</v>
      </c>
      <c r="R256" s="84">
        <v>7157.1870967468103</v>
      </c>
      <c r="S256" s="84">
        <v>15697.264368870599</v>
      </c>
      <c r="T256" s="84">
        <v>25621.852143988901</v>
      </c>
      <c r="U256" s="84">
        <v>4907.89399652865</v>
      </c>
      <c r="V256" s="84">
        <v>81812.141786445194</v>
      </c>
      <c r="W256" s="84">
        <v>6569.0094068519902</v>
      </c>
      <c r="X256" s="84">
        <v>969.52379626635297</v>
      </c>
      <c r="Y256" s="84">
        <v>4922.9535770603497</v>
      </c>
      <c r="Z256" s="84">
        <v>527.47350133464499</v>
      </c>
      <c r="AA256" s="84">
        <v>27573.9837887334</v>
      </c>
      <c r="AB256" s="84">
        <v>8692.8743933149199</v>
      </c>
      <c r="AC256" s="84">
        <v>70111.120516170005</v>
      </c>
      <c r="AD256" s="84">
        <v>17274.6894121679</v>
      </c>
      <c r="AE256" s="84">
        <v>38284.1451094148</v>
      </c>
      <c r="AF256" s="84">
        <v>10780.996710027001</v>
      </c>
      <c r="AG256" s="84">
        <v>3083.12477159425</v>
      </c>
      <c r="AH256" s="84">
        <v>6111.5388525156905</v>
      </c>
      <c r="AI256" s="84">
        <f t="shared" si="3"/>
        <v>678351.9750355077</v>
      </c>
    </row>
    <row r="257" spans="1:35" s="75" customFormat="1">
      <c r="A257" s="86" t="s">
        <v>119</v>
      </c>
      <c r="B257" s="86" t="s">
        <v>120</v>
      </c>
      <c r="C257" s="86">
        <v>1990</v>
      </c>
      <c r="D257" s="86" t="s">
        <v>85</v>
      </c>
      <c r="E257" s="87">
        <v>62877.493269035003</v>
      </c>
      <c r="F257" s="87">
        <v>136167.38069451001</v>
      </c>
      <c r="G257" s="87">
        <v>77315.445397901101</v>
      </c>
      <c r="H257" s="87">
        <v>47159.654199178898</v>
      </c>
      <c r="I257" s="87">
        <v>5543.9315434444898</v>
      </c>
      <c r="J257" s="87">
        <v>163096.383226595</v>
      </c>
      <c r="K257" s="87">
        <v>1066698.0137779501</v>
      </c>
      <c r="L257" s="87">
        <v>58559.147508371199</v>
      </c>
      <c r="M257" s="87">
        <v>37583.884229376701</v>
      </c>
      <c r="N257" s="87">
        <v>93915.218548104196</v>
      </c>
      <c r="O257" s="87">
        <v>244336.75448314101</v>
      </c>
      <c r="P257" s="87">
        <v>58995.172096710499</v>
      </c>
      <c r="Q257" s="87">
        <v>407878.88816473499</v>
      </c>
      <c r="R257" s="87">
        <v>22985.459024431198</v>
      </c>
      <c r="S257" s="87">
        <v>72915.024006044507</v>
      </c>
      <c r="T257" s="87">
        <v>33505.424488671597</v>
      </c>
      <c r="U257" s="87">
        <v>2400.9164289894202</v>
      </c>
      <c r="V257" s="87">
        <v>442399.13117903803</v>
      </c>
      <c r="W257" s="87">
        <v>36331.992237477898</v>
      </c>
      <c r="X257" s="87">
        <v>12203.879044449001</v>
      </c>
      <c r="Y257" s="87">
        <v>21033.927002671498</v>
      </c>
      <c r="Z257" s="87">
        <v>3579.9842183104402</v>
      </c>
      <c r="AA257" s="87">
        <v>201071.55448686099</v>
      </c>
      <c r="AB257" s="87">
        <v>34685.0628325371</v>
      </c>
      <c r="AC257" s="87">
        <v>371063.14779534301</v>
      </c>
      <c r="AD257" s="87">
        <v>48099.134457717002</v>
      </c>
      <c r="AE257" s="87">
        <v>175936.679144897</v>
      </c>
      <c r="AF257" s="87">
        <v>60601.484770986397</v>
      </c>
      <c r="AG257" s="87">
        <v>14984.3938696076</v>
      </c>
      <c r="AH257" s="87">
        <v>61515.634222373003</v>
      </c>
      <c r="AI257" s="87">
        <f t="shared" si="3"/>
        <v>3991194.5628887536</v>
      </c>
    </row>
    <row r="258" spans="1:35">
      <c r="A258" s="86" t="s">
        <v>119</v>
      </c>
      <c r="B258" s="86" t="s">
        <v>120</v>
      </c>
      <c r="C258" s="86">
        <v>2010</v>
      </c>
      <c r="D258" s="86" t="s">
        <v>85</v>
      </c>
      <c r="E258" s="87">
        <v>73834.288139209501</v>
      </c>
      <c r="F258" s="87">
        <v>142675.26463073801</v>
      </c>
      <c r="G258" s="87">
        <v>48185.891988916701</v>
      </c>
      <c r="H258" s="87">
        <v>49213.164237050303</v>
      </c>
      <c r="I258" s="87">
        <v>9516.4056649404793</v>
      </c>
      <c r="J258" s="87">
        <v>117840.15124631301</v>
      </c>
      <c r="K258" s="87">
        <v>858603.23732833995</v>
      </c>
      <c r="L258" s="87">
        <v>54820.866635989099</v>
      </c>
      <c r="M258" s="87">
        <v>19762.201859661898</v>
      </c>
      <c r="N258" s="87">
        <v>108684.498767721</v>
      </c>
      <c r="O258" s="87">
        <v>320092.73819309002</v>
      </c>
      <c r="P258" s="87">
        <v>66014.279963735898</v>
      </c>
      <c r="Q258" s="87">
        <v>407149.19573200698</v>
      </c>
      <c r="R258" s="87">
        <v>20703.6510198959</v>
      </c>
      <c r="S258" s="87">
        <v>52404.257898985699</v>
      </c>
      <c r="T258" s="87">
        <v>43902.671318265297</v>
      </c>
      <c r="U258" s="87">
        <v>3804.6135448169398</v>
      </c>
      <c r="V258" s="87">
        <v>450542.676753379</v>
      </c>
      <c r="W258" s="87">
        <v>14096.2192609915</v>
      </c>
      <c r="X258" s="87">
        <v>12480.2679649111</v>
      </c>
      <c r="Y258" s="87">
        <v>9712.0996792372698</v>
      </c>
      <c r="Z258" s="87">
        <v>7554.9468077641804</v>
      </c>
      <c r="AA258" s="87">
        <v>235920.18946008399</v>
      </c>
      <c r="AB258" s="87">
        <v>45434.729052078699</v>
      </c>
      <c r="AC258" s="87">
        <v>331547.19752483</v>
      </c>
      <c r="AD258" s="87">
        <v>56576.486114515101</v>
      </c>
      <c r="AE258" s="87">
        <v>85367.763388159801</v>
      </c>
      <c r="AF258" s="87">
        <v>61003.043818164901</v>
      </c>
      <c r="AG258" s="87">
        <v>16382.678645368</v>
      </c>
      <c r="AH258" s="87">
        <v>38507.944729144998</v>
      </c>
      <c r="AI258" s="87">
        <f t="shared" si="3"/>
        <v>3663881.114534359</v>
      </c>
    </row>
    <row r="259" spans="1:35">
      <c r="A259" s="86" t="s">
        <v>119</v>
      </c>
      <c r="B259" s="86" t="s">
        <v>120</v>
      </c>
      <c r="C259" s="86">
        <v>2015</v>
      </c>
      <c r="D259" s="86" t="s">
        <v>85</v>
      </c>
      <c r="E259" s="87">
        <v>68231.303574574893</v>
      </c>
      <c r="F259" s="87">
        <v>123815.113608908</v>
      </c>
      <c r="G259" s="87">
        <v>48254.072954819603</v>
      </c>
      <c r="H259" s="87">
        <v>43556.2751960327</v>
      </c>
      <c r="I259" s="87">
        <v>8489.4931967356206</v>
      </c>
      <c r="J259" s="87">
        <v>105187.312749884</v>
      </c>
      <c r="K259" s="87">
        <v>824206.23817055998</v>
      </c>
      <c r="L259" s="87">
        <v>40935.914889092797</v>
      </c>
      <c r="M259" s="87">
        <v>16872.094885992599</v>
      </c>
      <c r="N259" s="87">
        <v>83552.400552009</v>
      </c>
      <c r="O259" s="87">
        <v>305342.188309955</v>
      </c>
      <c r="P259" s="87">
        <v>46792.061771410998</v>
      </c>
      <c r="Q259" s="87">
        <v>363542.75747865299</v>
      </c>
      <c r="R259" s="87">
        <v>17870.833581335199</v>
      </c>
      <c r="S259" s="87">
        <v>46907.061711393602</v>
      </c>
      <c r="T259" s="87">
        <v>41174.504015708102</v>
      </c>
      <c r="U259" s="87">
        <v>4189.9682384753296</v>
      </c>
      <c r="V259" s="87">
        <v>373335.54035329999</v>
      </c>
      <c r="W259" s="87">
        <v>13266.810683228499</v>
      </c>
      <c r="X259" s="87">
        <v>10709.9046585509</v>
      </c>
      <c r="Y259" s="87">
        <v>8375.9434176673803</v>
      </c>
      <c r="Z259" s="87">
        <v>6965.33693878137</v>
      </c>
      <c r="AA259" s="87">
        <v>214878.80720130799</v>
      </c>
      <c r="AB259" s="87">
        <v>45106.350312871196</v>
      </c>
      <c r="AC259" s="87">
        <v>309138.38063873397</v>
      </c>
      <c r="AD259" s="87">
        <v>56139.858755311201</v>
      </c>
      <c r="AE259" s="87">
        <v>78003.782900676699</v>
      </c>
      <c r="AF259" s="87">
        <v>50263.266674457896</v>
      </c>
      <c r="AG259" s="87">
        <v>13757.6503871569</v>
      </c>
      <c r="AH259" s="87">
        <v>34539.032332189599</v>
      </c>
      <c r="AI259" s="87">
        <f t="shared" ref="AI259:AI286" si="4">SUM(E259:AH259)-H259-U259-AB259</f>
        <v>3310547.6663923943</v>
      </c>
    </row>
    <row r="260" spans="1:35">
      <c r="A260" s="86" t="s">
        <v>119</v>
      </c>
      <c r="B260" s="86" t="s">
        <v>120</v>
      </c>
      <c r="C260" s="86">
        <v>2019</v>
      </c>
      <c r="D260" s="86" t="s">
        <v>85</v>
      </c>
      <c r="E260" s="87">
        <v>70637.194685044495</v>
      </c>
      <c r="F260" s="87">
        <v>130778.056157903</v>
      </c>
      <c r="G260" s="87">
        <v>42282.694479763799</v>
      </c>
      <c r="H260" s="87">
        <v>42334.198168453702</v>
      </c>
      <c r="I260" s="87">
        <v>9252.0130816169894</v>
      </c>
      <c r="J260" s="87">
        <v>101773.432892875</v>
      </c>
      <c r="K260" s="87">
        <v>736036.09128566005</v>
      </c>
      <c r="L260" s="87">
        <v>37619.558818155703</v>
      </c>
      <c r="M260" s="87">
        <v>13082.365253415501</v>
      </c>
      <c r="N260" s="87">
        <v>77923.272552528302</v>
      </c>
      <c r="O260" s="87">
        <v>288788.50926242099</v>
      </c>
      <c r="P260" s="87">
        <v>45817.6286722847</v>
      </c>
      <c r="Q260" s="87">
        <v>350304.59639176802</v>
      </c>
      <c r="R260" s="87">
        <v>18178.6199931839</v>
      </c>
      <c r="S260" s="87">
        <v>49764.058478357802</v>
      </c>
      <c r="T260" s="87">
        <v>40549.581862852698</v>
      </c>
      <c r="U260" s="87">
        <v>4536.0745593464999</v>
      </c>
      <c r="V260" s="87">
        <v>354927.27281940402</v>
      </c>
      <c r="W260" s="87">
        <v>14360.719900820101</v>
      </c>
      <c r="X260" s="87">
        <v>11553.453992078101</v>
      </c>
      <c r="Y260" s="87">
        <v>8997.2105331275307</v>
      </c>
      <c r="Z260" s="87">
        <v>9432.9471464168091</v>
      </c>
      <c r="AA260" s="87">
        <v>199648.12309898299</v>
      </c>
      <c r="AB260" s="87">
        <v>43292.462905766799</v>
      </c>
      <c r="AC260" s="87">
        <v>316058.16529653798</v>
      </c>
      <c r="AD260" s="87">
        <v>53727.359668418299</v>
      </c>
      <c r="AE260" s="87">
        <v>76449.7495444909</v>
      </c>
      <c r="AF260" s="87">
        <v>49745.447500353897</v>
      </c>
      <c r="AG260" s="87">
        <v>14556.5264094181</v>
      </c>
      <c r="AH260" s="87">
        <v>33889.567589060498</v>
      </c>
      <c r="AI260" s="87">
        <f t="shared" si="4"/>
        <v>3156134.2173669399</v>
      </c>
    </row>
    <row r="261" spans="1:35">
      <c r="A261" s="86" t="s">
        <v>119</v>
      </c>
      <c r="B261" s="86" t="s">
        <v>120</v>
      </c>
      <c r="C261" s="86">
        <v>2021</v>
      </c>
      <c r="D261" s="86" t="s">
        <v>85</v>
      </c>
      <c r="E261" s="87">
        <v>67072.351296061795</v>
      </c>
      <c r="F261" s="87">
        <v>125196.164433449</v>
      </c>
      <c r="G261" s="87">
        <v>42410.1716149934</v>
      </c>
      <c r="H261" s="87">
        <v>38034.941140261901</v>
      </c>
      <c r="I261" s="87">
        <v>8384.4144486401692</v>
      </c>
      <c r="J261" s="87">
        <v>96565.987828445301</v>
      </c>
      <c r="K261" s="87">
        <v>696275.50110522006</v>
      </c>
      <c r="L261" s="87">
        <v>33603.902090760101</v>
      </c>
      <c r="M261" s="87">
        <v>11460.9410517261</v>
      </c>
      <c r="N261" s="87">
        <v>65952.391175658602</v>
      </c>
      <c r="O261" s="87">
        <v>258124.27311471701</v>
      </c>
      <c r="P261" s="87">
        <v>39379.358360826802</v>
      </c>
      <c r="Q261" s="87">
        <v>327663.52094403398</v>
      </c>
      <c r="R261" s="87">
        <v>17396.618375149701</v>
      </c>
      <c r="S261" s="87">
        <v>48539.2595586959</v>
      </c>
      <c r="T261" s="87">
        <v>38590.6494552351</v>
      </c>
      <c r="U261" s="87">
        <v>3853.2513804907899</v>
      </c>
      <c r="V261" s="87">
        <v>345461.67540674302</v>
      </c>
      <c r="W261" s="87">
        <v>14273.054262485901</v>
      </c>
      <c r="X261" s="87">
        <v>10283.0201768222</v>
      </c>
      <c r="Y261" s="87">
        <v>8068.3169529330498</v>
      </c>
      <c r="Z261" s="87">
        <v>8084.5827172974296</v>
      </c>
      <c r="AA261" s="87">
        <v>181671.48673030999</v>
      </c>
      <c r="AB261" s="87">
        <v>40190.637121412401</v>
      </c>
      <c r="AC261" s="87">
        <v>327959.33013693098</v>
      </c>
      <c r="AD261" s="87">
        <v>43068.612434193303</v>
      </c>
      <c r="AE261" s="87">
        <v>76622.400719923593</v>
      </c>
      <c r="AF261" s="87">
        <v>47183.493027185003</v>
      </c>
      <c r="AG261" s="87">
        <v>13210.254793460999</v>
      </c>
      <c r="AH261" s="87">
        <v>35163.529348686599</v>
      </c>
      <c r="AI261" s="87">
        <f t="shared" si="4"/>
        <v>2987665.2615605858</v>
      </c>
    </row>
    <row r="262" spans="1:35">
      <c r="A262" s="22" t="s">
        <v>119</v>
      </c>
      <c r="B262" s="22" t="s">
        <v>120</v>
      </c>
      <c r="C262" s="22">
        <v>1990</v>
      </c>
      <c r="D262" s="22" t="s">
        <v>86</v>
      </c>
      <c r="E262" s="84">
        <v>66446.628767391405</v>
      </c>
      <c r="F262" s="84">
        <v>144591.17398311</v>
      </c>
      <c r="G262" s="84">
        <v>79746.880730188597</v>
      </c>
      <c r="H262" s="84">
        <v>48588.287125821596</v>
      </c>
      <c r="I262" s="84">
        <v>5590.5647917506103</v>
      </c>
      <c r="J262" s="84">
        <v>167158.76635569101</v>
      </c>
      <c r="K262" s="84">
        <v>1113750.9848741</v>
      </c>
      <c r="L262" s="84">
        <v>60139.2574778169</v>
      </c>
      <c r="M262" s="84">
        <v>37761.871587428803</v>
      </c>
      <c r="N262" s="84">
        <v>97546.581188460594</v>
      </c>
      <c r="O262" s="84">
        <v>253860.908058428</v>
      </c>
      <c r="P262" s="84">
        <v>61367.393698957101</v>
      </c>
      <c r="Q262" s="84">
        <v>450153.506625949</v>
      </c>
      <c r="R262" s="84">
        <v>25512.4906534609</v>
      </c>
      <c r="S262" s="84">
        <v>77505.992891626302</v>
      </c>
      <c r="T262" s="84">
        <v>35263.452754342899</v>
      </c>
      <c r="U262" s="84">
        <v>2929.9510289946402</v>
      </c>
      <c r="V262" s="84">
        <v>459239.103838471</v>
      </c>
      <c r="W262" s="84">
        <v>37831.212762710296</v>
      </c>
      <c r="X262" s="84">
        <v>12280.021070311701</v>
      </c>
      <c r="Y262" s="84">
        <v>21698.489370890598</v>
      </c>
      <c r="Z262" s="84">
        <v>3605.0308375971499</v>
      </c>
      <c r="AA262" s="84">
        <v>216911.51929203799</v>
      </c>
      <c r="AB262" s="84">
        <v>43088.273027084797</v>
      </c>
      <c r="AC262" s="84">
        <v>379880.26482808701</v>
      </c>
      <c r="AD262" s="84">
        <v>49766.508748709399</v>
      </c>
      <c r="AE262" s="84">
        <v>183454.50348290699</v>
      </c>
      <c r="AF262" s="84">
        <v>62903.929661256101</v>
      </c>
      <c r="AG262" s="84">
        <v>15561.284542686901</v>
      </c>
      <c r="AH262" s="84">
        <v>63567.112155835202</v>
      </c>
      <c r="AI262" s="84">
        <f t="shared" si="4"/>
        <v>4183095.4350302033</v>
      </c>
    </row>
    <row r="263" spans="1:35">
      <c r="A263" s="22" t="s">
        <v>119</v>
      </c>
      <c r="B263" s="22" t="s">
        <v>120</v>
      </c>
      <c r="C263" s="22">
        <v>2010</v>
      </c>
      <c r="D263" s="22" t="s">
        <v>86</v>
      </c>
      <c r="E263" s="84">
        <v>75430.14534273</v>
      </c>
      <c r="F263" s="84">
        <v>147170.02966633701</v>
      </c>
      <c r="G263" s="84">
        <v>49109.708772769402</v>
      </c>
      <c r="H263" s="84">
        <v>50404.512892063103</v>
      </c>
      <c r="I263" s="84">
        <v>9588.2456000224793</v>
      </c>
      <c r="J263" s="84">
        <v>120177.79648293099</v>
      </c>
      <c r="K263" s="84">
        <v>873140.44765413704</v>
      </c>
      <c r="L263" s="84">
        <v>55878.669413315598</v>
      </c>
      <c r="M263" s="84">
        <v>19873.980619548202</v>
      </c>
      <c r="N263" s="84">
        <v>110480.63883384199</v>
      </c>
      <c r="O263" s="84">
        <v>327471.09367761499</v>
      </c>
      <c r="P263" s="84">
        <v>67141.506374884601</v>
      </c>
      <c r="Q263" s="84">
        <v>418599.81659417902</v>
      </c>
      <c r="R263" s="84">
        <v>22093.3093551036</v>
      </c>
      <c r="S263" s="84">
        <v>53647.172876943499</v>
      </c>
      <c r="T263" s="84">
        <v>44647.173165311302</v>
      </c>
      <c r="U263" s="84">
        <v>4000.2616482714998</v>
      </c>
      <c r="V263" s="84">
        <v>461964.13864585699</v>
      </c>
      <c r="W263" s="84">
        <v>14962.395847998399</v>
      </c>
      <c r="X263" s="84">
        <v>12577.1871496318</v>
      </c>
      <c r="Y263" s="84">
        <v>10161.096410102</v>
      </c>
      <c r="Z263" s="84">
        <v>7617.5623507289201</v>
      </c>
      <c r="AA263" s="84">
        <v>242054.40937015199</v>
      </c>
      <c r="AB263" s="84">
        <v>47150.3754287435</v>
      </c>
      <c r="AC263" s="84">
        <v>339650.59489624802</v>
      </c>
      <c r="AD263" s="84">
        <v>57977.421379105901</v>
      </c>
      <c r="AE263" s="84">
        <v>88475.637351049198</v>
      </c>
      <c r="AF263" s="84">
        <v>62516.4751198745</v>
      </c>
      <c r="AG263" s="84">
        <v>16777.656058325501</v>
      </c>
      <c r="AH263" s="84">
        <v>39929.016610343999</v>
      </c>
      <c r="AI263" s="84">
        <f t="shared" si="4"/>
        <v>3749113.3256190866</v>
      </c>
    </row>
    <row r="264" spans="1:35">
      <c r="A264" s="22" t="s">
        <v>119</v>
      </c>
      <c r="B264" s="22" t="s">
        <v>120</v>
      </c>
      <c r="C264" s="22">
        <v>2015</v>
      </c>
      <c r="D264" s="22" t="s">
        <v>86</v>
      </c>
      <c r="E264" s="84">
        <v>69711.466222089599</v>
      </c>
      <c r="F264" s="84">
        <v>127398.704593091</v>
      </c>
      <c r="G264" s="84">
        <v>49049.790777403497</v>
      </c>
      <c r="H264" s="84">
        <v>44753.374577910799</v>
      </c>
      <c r="I264" s="84">
        <v>8562.9629261916198</v>
      </c>
      <c r="J264" s="84">
        <v>107489.232338841</v>
      </c>
      <c r="K264" s="84">
        <v>838806.64378799405</v>
      </c>
      <c r="L264" s="84">
        <v>41749.645391363003</v>
      </c>
      <c r="M264" s="84">
        <v>16973.2909271383</v>
      </c>
      <c r="N264" s="84">
        <v>84782.758165216903</v>
      </c>
      <c r="O264" s="84">
        <v>310687.23923250998</v>
      </c>
      <c r="P264" s="84">
        <v>47854.349147857203</v>
      </c>
      <c r="Q264" s="84">
        <v>372289.27830385702</v>
      </c>
      <c r="R264" s="84">
        <v>18799.2486470041</v>
      </c>
      <c r="S264" s="84">
        <v>48278.9953383467</v>
      </c>
      <c r="T264" s="84">
        <v>41836.224463399602</v>
      </c>
      <c r="U264" s="84">
        <v>4322.6003531051601</v>
      </c>
      <c r="V264" s="84">
        <v>383655.88613817998</v>
      </c>
      <c r="W264" s="84">
        <v>13857.3801273147</v>
      </c>
      <c r="X264" s="84">
        <v>10821.945330979999</v>
      </c>
      <c r="Y264" s="84">
        <v>8806.0447866937102</v>
      </c>
      <c r="Z264" s="84">
        <v>7024.9136984858396</v>
      </c>
      <c r="AA264" s="84">
        <v>219952.29349989901</v>
      </c>
      <c r="AB264" s="84">
        <v>46547.3810819188</v>
      </c>
      <c r="AC264" s="84">
        <v>316061.518356652</v>
      </c>
      <c r="AD264" s="84">
        <v>57160.746387387597</v>
      </c>
      <c r="AE264" s="84">
        <v>80123.488350883301</v>
      </c>
      <c r="AF264" s="84">
        <v>51301.800572076201</v>
      </c>
      <c r="AG264" s="84">
        <v>14140.667620509201</v>
      </c>
      <c r="AH264" s="84">
        <v>35274.1662677891</v>
      </c>
      <c r="AI264" s="84">
        <f t="shared" si="4"/>
        <v>3382450.681399154</v>
      </c>
    </row>
    <row r="265" spans="1:35">
      <c r="A265" s="22" t="s">
        <v>119</v>
      </c>
      <c r="B265" s="22" t="s">
        <v>120</v>
      </c>
      <c r="C265" s="22">
        <v>2019</v>
      </c>
      <c r="D265" s="22" t="s">
        <v>86</v>
      </c>
      <c r="E265" s="84">
        <v>72262.185498294595</v>
      </c>
      <c r="F265" s="84">
        <v>134279.00432159001</v>
      </c>
      <c r="G265" s="84">
        <v>43086.999921364702</v>
      </c>
      <c r="H265" s="84">
        <v>43539.940894292296</v>
      </c>
      <c r="I265" s="84">
        <v>9335.8536369105404</v>
      </c>
      <c r="J265" s="84">
        <v>103939.014446437</v>
      </c>
      <c r="K265" s="84">
        <v>750852.31624964799</v>
      </c>
      <c r="L265" s="84">
        <v>38398.348468562297</v>
      </c>
      <c r="M265" s="84">
        <v>13189.0611204791</v>
      </c>
      <c r="N265" s="84">
        <v>79123.431832217306</v>
      </c>
      <c r="O265" s="84">
        <v>294334.44137246499</v>
      </c>
      <c r="P265" s="84">
        <v>46879.3331131222</v>
      </c>
      <c r="Q265" s="84">
        <v>358119.103915888</v>
      </c>
      <c r="R265" s="84">
        <v>18837.9498172124</v>
      </c>
      <c r="S265" s="84">
        <v>50996.025489412103</v>
      </c>
      <c r="T265" s="84">
        <v>41251.303897765902</v>
      </c>
      <c r="U265" s="84">
        <v>4663.4492919546401</v>
      </c>
      <c r="V265" s="84">
        <v>364399.67016470298</v>
      </c>
      <c r="W265" s="84">
        <v>14898.9892894354</v>
      </c>
      <c r="X265" s="84">
        <v>11686.002084344</v>
      </c>
      <c r="Y265" s="84">
        <v>9496.6817156782599</v>
      </c>
      <c r="Z265" s="84">
        <v>9515.7739863404095</v>
      </c>
      <c r="AA265" s="84">
        <v>204898.48663941701</v>
      </c>
      <c r="AB265" s="84">
        <v>44593.8954866036</v>
      </c>
      <c r="AC265" s="84">
        <v>323745.11376729602</v>
      </c>
      <c r="AD265" s="84">
        <v>54777.932058377701</v>
      </c>
      <c r="AE265" s="84">
        <v>78459.589922158702</v>
      </c>
      <c r="AF265" s="84">
        <v>50814.5577340979</v>
      </c>
      <c r="AG265" s="84">
        <v>14928.7349494887</v>
      </c>
      <c r="AH265" s="84">
        <v>34528.089916472098</v>
      </c>
      <c r="AI265" s="84">
        <f t="shared" si="4"/>
        <v>3227033.9953291784</v>
      </c>
    </row>
    <row r="266" spans="1:35">
      <c r="A266" s="22" t="s">
        <v>119</v>
      </c>
      <c r="B266" s="22" t="s">
        <v>120</v>
      </c>
      <c r="C266" s="22">
        <v>2021</v>
      </c>
      <c r="D266" s="22" t="s">
        <v>86</v>
      </c>
      <c r="E266" s="84">
        <v>68589.465306333703</v>
      </c>
      <c r="F266" s="84">
        <v>127640.787573382</v>
      </c>
      <c r="G266" s="84">
        <v>43249.811511163403</v>
      </c>
      <c r="H266" s="84">
        <v>38979.365240030304</v>
      </c>
      <c r="I266" s="84">
        <v>8465.9830202107405</v>
      </c>
      <c r="J266" s="84">
        <v>98886.179053726199</v>
      </c>
      <c r="K266" s="84">
        <v>709642.68663872301</v>
      </c>
      <c r="L266" s="84">
        <v>34286.021435327399</v>
      </c>
      <c r="M266" s="84">
        <v>11580.584779697299</v>
      </c>
      <c r="N266" s="84">
        <v>67051.123733734697</v>
      </c>
      <c r="O266" s="84">
        <v>263505.08118714398</v>
      </c>
      <c r="P266" s="84">
        <v>40453.072157137802</v>
      </c>
      <c r="Q266" s="84">
        <v>334708.66482807999</v>
      </c>
      <c r="R266" s="84">
        <v>18095.7246555559</v>
      </c>
      <c r="S266" s="84">
        <v>49836.562122507901</v>
      </c>
      <c r="T266" s="84">
        <v>39234.341584452501</v>
      </c>
      <c r="U266" s="84">
        <v>3975.2314155130698</v>
      </c>
      <c r="V266" s="84">
        <v>354287.33380861901</v>
      </c>
      <c r="W266" s="84">
        <v>14814.859367932901</v>
      </c>
      <c r="X266" s="84">
        <v>10412.147679202701</v>
      </c>
      <c r="Y266" s="84">
        <v>8529.3634038895198</v>
      </c>
      <c r="Z266" s="84">
        <v>8155.2387434613001</v>
      </c>
      <c r="AA266" s="84">
        <v>186657.625014925</v>
      </c>
      <c r="AB266" s="84">
        <v>41498.0722645555</v>
      </c>
      <c r="AC266" s="84">
        <v>336267.21122714598</v>
      </c>
      <c r="AD266" s="84">
        <v>44062.213279963798</v>
      </c>
      <c r="AE266" s="84">
        <v>78710.995527772</v>
      </c>
      <c r="AF266" s="84">
        <v>48228.692509665198</v>
      </c>
      <c r="AG266" s="84">
        <v>13548.1313972229</v>
      </c>
      <c r="AH266" s="84">
        <v>35832.7066663152</v>
      </c>
      <c r="AI266" s="84">
        <f t="shared" si="4"/>
        <v>3054732.6082132915</v>
      </c>
    </row>
    <row r="267" spans="1:35" s="75" customFormat="1">
      <c r="A267" s="75" t="s">
        <v>119</v>
      </c>
      <c r="B267" s="75" t="s">
        <v>120</v>
      </c>
      <c r="C267" s="75">
        <v>1990</v>
      </c>
      <c r="D267" s="75" t="s">
        <v>87</v>
      </c>
      <c r="E267" s="88">
        <v>3569.1354983564402</v>
      </c>
      <c r="F267" s="88">
        <v>8423.7932885996906</v>
      </c>
      <c r="G267" s="88">
        <v>2431.4353322874299</v>
      </c>
      <c r="H267" s="88">
        <v>1428.6329266426701</v>
      </c>
      <c r="I267" s="88">
        <v>46.633248306117203</v>
      </c>
      <c r="J267" s="88">
        <v>4062.3831290952298</v>
      </c>
      <c r="K267" s="88">
        <v>47052.971096148598</v>
      </c>
      <c r="L267" s="88">
        <v>1580.1099694457801</v>
      </c>
      <c r="M267" s="88">
        <v>177.987358052095</v>
      </c>
      <c r="N267" s="88">
        <v>3631.3626403563699</v>
      </c>
      <c r="O267" s="88">
        <v>9524.1535752866203</v>
      </c>
      <c r="P267" s="88">
        <v>2372.22160224656</v>
      </c>
      <c r="Q267" s="88">
        <v>42274.618461214697</v>
      </c>
      <c r="R267" s="88">
        <v>2527.0316290297601</v>
      </c>
      <c r="S267" s="88">
        <v>4590.9688855818304</v>
      </c>
      <c r="T267" s="88">
        <v>1758.02826567127</v>
      </c>
      <c r="U267" s="88">
        <v>529.03460000522603</v>
      </c>
      <c r="V267" s="88">
        <v>16839.972659433599</v>
      </c>
      <c r="W267" s="88">
        <v>1499.2205252323699</v>
      </c>
      <c r="X267" s="88">
        <v>76.142025862767397</v>
      </c>
      <c r="Y267" s="88">
        <v>664.56236821903201</v>
      </c>
      <c r="Z267" s="88">
        <v>25.046619286712598</v>
      </c>
      <c r="AA267" s="88">
        <v>15839.9648051773</v>
      </c>
      <c r="AB267" s="88">
        <v>8403.2101945477207</v>
      </c>
      <c r="AC267" s="88">
        <v>8817.1170327438704</v>
      </c>
      <c r="AD267" s="88">
        <v>1667.3742909923999</v>
      </c>
      <c r="AE267" s="88">
        <v>7517.8243380108397</v>
      </c>
      <c r="AF267" s="88">
        <v>2302.44489026971</v>
      </c>
      <c r="AG267" s="88">
        <v>576.890673079355</v>
      </c>
      <c r="AH267" s="88">
        <v>2051.4779334622399</v>
      </c>
      <c r="AI267" s="88">
        <f t="shared" si="4"/>
        <v>191900.87214144869</v>
      </c>
    </row>
    <row r="268" spans="1:35">
      <c r="A268" s="22" t="s">
        <v>119</v>
      </c>
      <c r="B268" s="22" t="s">
        <v>120</v>
      </c>
      <c r="C268" s="22">
        <v>2010</v>
      </c>
      <c r="D268" s="22" t="s">
        <v>87</v>
      </c>
      <c r="E268" s="84">
        <v>1595.8572035205</v>
      </c>
      <c r="F268" s="84">
        <v>4494.7650355993601</v>
      </c>
      <c r="G268" s="84">
        <v>923.81678385267298</v>
      </c>
      <c r="H268" s="84">
        <v>1191.34865501279</v>
      </c>
      <c r="I268" s="84">
        <v>71.839935081992294</v>
      </c>
      <c r="J268" s="84">
        <v>2337.6452366181002</v>
      </c>
      <c r="K268" s="84">
        <v>14537.210325796799</v>
      </c>
      <c r="L268" s="84">
        <v>1057.8027773264901</v>
      </c>
      <c r="M268" s="84">
        <v>111.77875988625399</v>
      </c>
      <c r="N268" s="84">
        <v>1796.14006612101</v>
      </c>
      <c r="O268" s="84">
        <v>7378.35548452489</v>
      </c>
      <c r="P268" s="84">
        <v>1127.22641114875</v>
      </c>
      <c r="Q268" s="84">
        <v>11450.620862172</v>
      </c>
      <c r="R268" s="84">
        <v>1389.65833520769</v>
      </c>
      <c r="S268" s="84">
        <v>1242.9149779578099</v>
      </c>
      <c r="T268" s="84">
        <v>744.50184704592402</v>
      </c>
      <c r="U268" s="84">
        <v>195.648103454563</v>
      </c>
      <c r="V268" s="84">
        <v>11421.461892477701</v>
      </c>
      <c r="W268" s="84">
        <v>866.17658700697098</v>
      </c>
      <c r="X268" s="84">
        <v>96.919184720774794</v>
      </c>
      <c r="Y268" s="84">
        <v>448.99673086471802</v>
      </c>
      <c r="Z268" s="84">
        <v>62.615542964747803</v>
      </c>
      <c r="AA268" s="84">
        <v>6134.2199100677399</v>
      </c>
      <c r="AB268" s="84">
        <v>1715.6463766648201</v>
      </c>
      <c r="AC268" s="84">
        <v>8103.3973714177</v>
      </c>
      <c r="AD268" s="84">
        <v>1400.93526459076</v>
      </c>
      <c r="AE268" s="84">
        <v>3107.87396288941</v>
      </c>
      <c r="AF268" s="84">
        <v>1513.4313017096199</v>
      </c>
      <c r="AG268" s="84">
        <v>394.977412957512</v>
      </c>
      <c r="AH268" s="84">
        <v>1421.07188119904</v>
      </c>
      <c r="AI268" s="84">
        <f t="shared" si="4"/>
        <v>85232.211084726951</v>
      </c>
    </row>
    <row r="269" spans="1:35">
      <c r="A269" s="22" t="s">
        <v>119</v>
      </c>
      <c r="B269" s="22" t="s">
        <v>120</v>
      </c>
      <c r="C269" s="22">
        <v>2015</v>
      </c>
      <c r="D269" s="22" t="s">
        <v>87</v>
      </c>
      <c r="E269" s="84">
        <v>1480.1626475147</v>
      </c>
      <c r="F269" s="84">
        <v>3583.5909841826601</v>
      </c>
      <c r="G269" s="84">
        <v>795.71782258389896</v>
      </c>
      <c r="H269" s="84">
        <v>1197.0993818781501</v>
      </c>
      <c r="I269" s="84">
        <v>73.4697294560019</v>
      </c>
      <c r="J269" s="84">
        <v>2301.9195889572802</v>
      </c>
      <c r="K269" s="84">
        <v>14600.4056174342</v>
      </c>
      <c r="L269" s="84">
        <v>813.73050227017598</v>
      </c>
      <c r="M269" s="84">
        <v>101.196041145664</v>
      </c>
      <c r="N269" s="84">
        <v>1230.3576132078899</v>
      </c>
      <c r="O269" s="84">
        <v>5345.0509225546803</v>
      </c>
      <c r="P269" s="84">
        <v>1062.2873764461399</v>
      </c>
      <c r="Q269" s="84">
        <v>8746.5208252040102</v>
      </c>
      <c r="R269" s="84">
        <v>928.41506566893395</v>
      </c>
      <c r="S269" s="84">
        <v>1371.93362695312</v>
      </c>
      <c r="T269" s="84">
        <v>661.72044769146805</v>
      </c>
      <c r="U269" s="84">
        <v>132.632114629829</v>
      </c>
      <c r="V269" s="84">
        <v>10320.345784879901</v>
      </c>
      <c r="W269" s="84">
        <v>590.56944408616096</v>
      </c>
      <c r="X269" s="84">
        <v>112.040672429163</v>
      </c>
      <c r="Y269" s="84">
        <v>430.10136902633201</v>
      </c>
      <c r="Z269" s="84">
        <v>59.576759704465502</v>
      </c>
      <c r="AA269" s="84">
        <v>5073.4862985907803</v>
      </c>
      <c r="AB269" s="84">
        <v>1441.03076904759</v>
      </c>
      <c r="AC269" s="84">
        <v>6923.1377179173996</v>
      </c>
      <c r="AD269" s="84">
        <v>1020.88763207642</v>
      </c>
      <c r="AE269" s="84">
        <v>2119.7054502065198</v>
      </c>
      <c r="AF269" s="84">
        <v>1038.53389761824</v>
      </c>
      <c r="AG269" s="84">
        <v>383.01723335231702</v>
      </c>
      <c r="AH269" s="84">
        <v>735.13393559942006</v>
      </c>
      <c r="AI269" s="84">
        <f t="shared" si="4"/>
        <v>71903.015006757938</v>
      </c>
    </row>
    <row r="270" spans="1:35">
      <c r="A270" s="22" t="s">
        <v>119</v>
      </c>
      <c r="B270" s="22" t="s">
        <v>120</v>
      </c>
      <c r="C270" s="22">
        <v>2019</v>
      </c>
      <c r="D270" s="22" t="s">
        <v>87</v>
      </c>
      <c r="E270" s="84">
        <v>1624.9908132501901</v>
      </c>
      <c r="F270" s="84">
        <v>3500.9481636871101</v>
      </c>
      <c r="G270" s="84">
        <v>804.30544160085799</v>
      </c>
      <c r="H270" s="84">
        <v>1205.7427258385501</v>
      </c>
      <c r="I270" s="84">
        <v>83.840555293546302</v>
      </c>
      <c r="J270" s="84">
        <v>2165.58155356117</v>
      </c>
      <c r="K270" s="84">
        <v>14816.224963987799</v>
      </c>
      <c r="L270" s="84">
        <v>778.78965040654202</v>
      </c>
      <c r="M270" s="84">
        <v>106.695867063577</v>
      </c>
      <c r="N270" s="84">
        <v>1200.15927968898</v>
      </c>
      <c r="O270" s="84">
        <v>5545.9321100439402</v>
      </c>
      <c r="P270" s="84">
        <v>1061.70444083754</v>
      </c>
      <c r="Q270" s="84">
        <v>7814.5075241200002</v>
      </c>
      <c r="R270" s="84">
        <v>659.32982402856805</v>
      </c>
      <c r="S270" s="84">
        <v>1231.96701105432</v>
      </c>
      <c r="T270" s="84">
        <v>701.72203491321295</v>
      </c>
      <c r="U270" s="84">
        <v>127.374732608145</v>
      </c>
      <c r="V270" s="84">
        <v>9472.3973452986702</v>
      </c>
      <c r="W270" s="84">
        <v>538.26938861535598</v>
      </c>
      <c r="X270" s="84">
        <v>132.54809226585999</v>
      </c>
      <c r="Y270" s="84">
        <v>499.47118255072098</v>
      </c>
      <c r="Z270" s="84">
        <v>82.826839923603401</v>
      </c>
      <c r="AA270" s="84">
        <v>5250.3635404343004</v>
      </c>
      <c r="AB270" s="84">
        <v>1301.4325808367901</v>
      </c>
      <c r="AC270" s="84">
        <v>7686.94847075896</v>
      </c>
      <c r="AD270" s="84">
        <v>1050.5723899594</v>
      </c>
      <c r="AE270" s="84">
        <v>2009.8403776677901</v>
      </c>
      <c r="AF270" s="84">
        <v>1069.11023374399</v>
      </c>
      <c r="AG270" s="84">
        <v>372.20854007059103</v>
      </c>
      <c r="AH270" s="84">
        <v>638.52232741163402</v>
      </c>
      <c r="AI270" s="84">
        <f t="shared" si="4"/>
        <v>70899.777962238237</v>
      </c>
    </row>
    <row r="271" spans="1:35">
      <c r="A271" s="22" t="s">
        <v>119</v>
      </c>
      <c r="B271" s="22" t="s">
        <v>120</v>
      </c>
      <c r="C271" s="22">
        <v>2021</v>
      </c>
      <c r="D271" s="22" t="s">
        <v>87</v>
      </c>
      <c r="E271" s="84">
        <v>1517.11401027187</v>
      </c>
      <c r="F271" s="84">
        <v>2444.62313993218</v>
      </c>
      <c r="G271" s="84">
        <v>839.63989616994195</v>
      </c>
      <c r="H271" s="84">
        <v>944.424099768411</v>
      </c>
      <c r="I271" s="84">
        <v>81.568571570562796</v>
      </c>
      <c r="J271" s="84">
        <v>2320.1912252809602</v>
      </c>
      <c r="K271" s="84">
        <v>13367.185533502899</v>
      </c>
      <c r="L271" s="84">
        <v>682.11934456736003</v>
      </c>
      <c r="M271" s="84">
        <v>119.643727971231</v>
      </c>
      <c r="N271" s="84">
        <v>1098.7325580760501</v>
      </c>
      <c r="O271" s="84">
        <v>5380.8080724266201</v>
      </c>
      <c r="P271" s="84">
        <v>1073.7137963109101</v>
      </c>
      <c r="Q271" s="84">
        <v>7045.1438840455903</v>
      </c>
      <c r="R271" s="84">
        <v>699.10628040618997</v>
      </c>
      <c r="S271" s="84">
        <v>1297.30256381194</v>
      </c>
      <c r="T271" s="84">
        <v>643.69212921743394</v>
      </c>
      <c r="U271" s="84">
        <v>121.98003502228001</v>
      </c>
      <c r="V271" s="84">
        <v>8825.6584018756002</v>
      </c>
      <c r="W271" s="84">
        <v>541.80510544706397</v>
      </c>
      <c r="X271" s="84">
        <v>129.12750238047099</v>
      </c>
      <c r="Y271" s="84">
        <v>461.04645095647498</v>
      </c>
      <c r="Z271" s="84">
        <v>70.656026163869697</v>
      </c>
      <c r="AA271" s="84">
        <v>4986.1382846154202</v>
      </c>
      <c r="AB271" s="84">
        <v>1307.43514314306</v>
      </c>
      <c r="AC271" s="84">
        <v>8307.8810902148307</v>
      </c>
      <c r="AD271" s="84">
        <v>993.60084577049599</v>
      </c>
      <c r="AE271" s="84">
        <v>2088.5948078483498</v>
      </c>
      <c r="AF271" s="84">
        <v>1045.19948248014</v>
      </c>
      <c r="AG271" s="84">
        <v>337.87660376189001</v>
      </c>
      <c r="AH271" s="84">
        <v>669.17731762859898</v>
      </c>
      <c r="AI271" s="84">
        <f t="shared" si="4"/>
        <v>67067.34665270496</v>
      </c>
    </row>
    <row r="272" spans="1:35">
      <c r="A272" s="22" t="s">
        <v>121</v>
      </c>
      <c r="B272" s="22" t="s">
        <v>122</v>
      </c>
      <c r="C272" s="22">
        <v>1990</v>
      </c>
      <c r="D272" s="22" t="s">
        <v>85</v>
      </c>
      <c r="E272" s="84">
        <v>-12131.392209011001</v>
      </c>
      <c r="F272" s="84">
        <v>-2378.97920834447</v>
      </c>
      <c r="G272" s="84">
        <v>-16446.978636206401</v>
      </c>
      <c r="H272" s="84">
        <v>-1730.9889433405699</v>
      </c>
      <c r="I272" s="84">
        <v>-151.31372984376401</v>
      </c>
      <c r="J272" s="84">
        <v>-6858.2393335998904</v>
      </c>
      <c r="K272" s="84">
        <v>35792.917208124003</v>
      </c>
      <c r="L272" s="84">
        <v>7552.5147204943296</v>
      </c>
      <c r="M272" s="84">
        <v>-3991.70444172617</v>
      </c>
      <c r="N272" s="84">
        <v>-2220.20710679275</v>
      </c>
      <c r="O272" s="84">
        <v>-32239.586071623598</v>
      </c>
      <c r="P272" s="84">
        <v>-28239.641827264601</v>
      </c>
      <c r="Q272" s="84">
        <v>-11953.392349347499</v>
      </c>
      <c r="R272" s="84">
        <v>-5723.75397552287</v>
      </c>
      <c r="S272" s="84">
        <v>-2450.1973792069198</v>
      </c>
      <c r="T272" s="84">
        <v>5879.6279310806303</v>
      </c>
      <c r="U272" s="84">
        <v>5830.4726909167002</v>
      </c>
      <c r="V272" s="84">
        <v>-620.80695715981301</v>
      </c>
      <c r="W272" s="84">
        <v>-5357.37020928734</v>
      </c>
      <c r="X272" s="84">
        <v>4.9512440120472796</v>
      </c>
      <c r="Y272" s="84">
        <v>-13033.5188660395</v>
      </c>
      <c r="Z272" s="84">
        <v>-7.9304127333660901</v>
      </c>
      <c r="AA272" s="84">
        <v>6974.8831907561498</v>
      </c>
      <c r="AB272" s="84">
        <v>-7548.97957022215</v>
      </c>
      <c r="AC272" s="84">
        <v>-22684.655560679399</v>
      </c>
      <c r="AD272" s="84">
        <v>5817.5030371548301</v>
      </c>
      <c r="AE272" s="84">
        <v>-27439.486806613299</v>
      </c>
      <c r="AF272" s="84">
        <v>-47391.096049777901</v>
      </c>
      <c r="AG272" s="84">
        <v>-4304.8513253559204</v>
      </c>
      <c r="AH272" s="84">
        <v>-9374.6572026944505</v>
      </c>
      <c r="AI272" s="84">
        <f t="shared" si="4"/>
        <v>-192977.36232720892</v>
      </c>
    </row>
    <row r="273" spans="1:35">
      <c r="A273" s="22" t="s">
        <v>121</v>
      </c>
      <c r="B273" s="22" t="s">
        <v>122</v>
      </c>
      <c r="C273" s="22">
        <v>2010</v>
      </c>
      <c r="D273" s="22" t="s">
        <v>85</v>
      </c>
      <c r="E273" s="84">
        <v>-19612.017917398702</v>
      </c>
      <c r="F273" s="84">
        <v>530.962967271362</v>
      </c>
      <c r="G273" s="84">
        <v>-11655.518214279</v>
      </c>
      <c r="H273" s="84">
        <v>-2764.8919313548699</v>
      </c>
      <c r="I273" s="84">
        <v>-266.535906872986</v>
      </c>
      <c r="J273" s="84">
        <v>-6647.4889161912197</v>
      </c>
      <c r="K273" s="84">
        <v>-5191.7431307954703</v>
      </c>
      <c r="L273" s="84">
        <v>2767.88576829262</v>
      </c>
      <c r="M273" s="84">
        <v>-5804.8941157832196</v>
      </c>
      <c r="N273" s="84">
        <v>-3383.5192950139299</v>
      </c>
      <c r="O273" s="84">
        <v>-41684.867004834799</v>
      </c>
      <c r="P273" s="84">
        <v>-28611.327236039699</v>
      </c>
      <c r="Q273" s="84">
        <v>-35939.805125459701</v>
      </c>
      <c r="R273" s="84">
        <v>-6356.0939460523005</v>
      </c>
      <c r="S273" s="84">
        <v>-4468.5615308889301</v>
      </c>
      <c r="T273" s="84">
        <v>6357.7406787426398</v>
      </c>
      <c r="U273" s="84">
        <v>6022.0773192777096</v>
      </c>
      <c r="V273" s="84">
        <v>-39523.7251845309</v>
      </c>
      <c r="W273" s="84">
        <v>-10199.8683476432</v>
      </c>
      <c r="X273" s="84">
        <v>-215.08279002945901</v>
      </c>
      <c r="Y273" s="84">
        <v>-3080.9323508007801</v>
      </c>
      <c r="Z273" s="84">
        <v>11.5342194535679</v>
      </c>
      <c r="AA273" s="84">
        <v>6002.91735810309</v>
      </c>
      <c r="AB273" s="84">
        <v>-21380.159853882</v>
      </c>
      <c r="AC273" s="84">
        <v>-29066.068996927501</v>
      </c>
      <c r="AD273" s="84">
        <v>-6958.2402182270298</v>
      </c>
      <c r="AE273" s="84">
        <v>-36214.613727723103</v>
      </c>
      <c r="AF273" s="84">
        <v>-50780.3964654386</v>
      </c>
      <c r="AG273" s="84">
        <v>-7010.47699141871</v>
      </c>
      <c r="AH273" s="84">
        <v>-5202.3464668315401</v>
      </c>
      <c r="AI273" s="84">
        <f t="shared" si="4"/>
        <v>-342203.08288731746</v>
      </c>
    </row>
    <row r="274" spans="1:35">
      <c r="A274" s="22" t="s">
        <v>121</v>
      </c>
      <c r="B274" s="22" t="s">
        <v>122</v>
      </c>
      <c r="C274" s="22">
        <v>2015</v>
      </c>
      <c r="D274" s="22" t="s">
        <v>85</v>
      </c>
      <c r="E274" s="84">
        <v>-6400.3271687447404</v>
      </c>
      <c r="F274" s="84">
        <v>-363.17033481560702</v>
      </c>
      <c r="G274" s="84">
        <v>-7295.97483941463</v>
      </c>
      <c r="H274" s="84">
        <v>-1932.78366638638</v>
      </c>
      <c r="I274" s="84">
        <v>-297.03545743405402</v>
      </c>
      <c r="J274" s="84">
        <v>-6287.84552015177</v>
      </c>
      <c r="K274" s="84">
        <v>-13570.286086296999</v>
      </c>
      <c r="L274" s="84">
        <v>1009.52072210386</v>
      </c>
      <c r="M274" s="84">
        <v>-1114.3573444579099</v>
      </c>
      <c r="N274" s="84">
        <v>-4246.3464883382903</v>
      </c>
      <c r="O274" s="84">
        <v>-40788.724468444299</v>
      </c>
      <c r="P274" s="84">
        <v>-19111.1166348017</v>
      </c>
      <c r="Q274" s="84">
        <v>-32687.6871982054</v>
      </c>
      <c r="R274" s="84">
        <v>-5519.80886978544</v>
      </c>
      <c r="S274" s="84">
        <v>-5385.1698386698699</v>
      </c>
      <c r="T274" s="84">
        <v>5810.6312426760096</v>
      </c>
      <c r="U274" s="84">
        <v>5916.7852819502295</v>
      </c>
      <c r="V274" s="84">
        <v>-41420.078293566403</v>
      </c>
      <c r="W274" s="84">
        <v>-7810.9974347794496</v>
      </c>
      <c r="X274" s="84">
        <v>-366.92072650860001</v>
      </c>
      <c r="Y274" s="84">
        <v>-1025.2984459213401</v>
      </c>
      <c r="Z274" s="84">
        <v>-3.3939917877486101</v>
      </c>
      <c r="AA274" s="84">
        <v>6258.2089324091203</v>
      </c>
      <c r="AB274" s="84">
        <v>-11006.362542803799</v>
      </c>
      <c r="AC274" s="84">
        <v>-24827.5638258117</v>
      </c>
      <c r="AD274" s="84">
        <v>-3362.3200117399201</v>
      </c>
      <c r="AE274" s="84">
        <v>-49483.635437566903</v>
      </c>
      <c r="AF274" s="84">
        <v>-46783.625579552099</v>
      </c>
      <c r="AG274" s="84">
        <v>933.26136755182097</v>
      </c>
      <c r="AH274" s="84">
        <v>-5725.2924088257296</v>
      </c>
      <c r="AI274" s="84">
        <f t="shared" si="4"/>
        <v>-309865.35414087976</v>
      </c>
    </row>
    <row r="275" spans="1:35">
      <c r="A275" s="22" t="s">
        <v>121</v>
      </c>
      <c r="B275" s="22" t="s">
        <v>122</v>
      </c>
      <c r="C275" s="22">
        <v>2019</v>
      </c>
      <c r="D275" s="22" t="s">
        <v>85</v>
      </c>
      <c r="E275" s="84">
        <v>2260.1272158356801</v>
      </c>
      <c r="F275" s="84">
        <v>26.114224080714902</v>
      </c>
      <c r="G275" s="84">
        <v>-8723.6250955423093</v>
      </c>
      <c r="H275" s="84">
        <v>-1739.7129294025599</v>
      </c>
      <c r="I275" s="84">
        <v>-298.531023977009</v>
      </c>
      <c r="J275" s="84">
        <v>8262.8365708186393</v>
      </c>
      <c r="K275" s="84">
        <v>-9778.5225030586807</v>
      </c>
      <c r="L275" s="84">
        <v>3069.0716447055102</v>
      </c>
      <c r="M275" s="84">
        <v>819.50983474908105</v>
      </c>
      <c r="N275" s="84">
        <v>-5458.7720209404497</v>
      </c>
      <c r="O275" s="84">
        <v>-41406.803756671303</v>
      </c>
      <c r="P275" s="84">
        <v>-9111.4230098215103</v>
      </c>
      <c r="Q275" s="84">
        <v>-12166.719360741199</v>
      </c>
      <c r="R275" s="84">
        <v>-5495.0170430057096</v>
      </c>
      <c r="S275" s="84">
        <v>-5043.2032189335996</v>
      </c>
      <c r="T275" s="84">
        <v>6172.1071490350296</v>
      </c>
      <c r="U275" s="84">
        <v>5838.1109948638796</v>
      </c>
      <c r="V275" s="84">
        <v>-39191.733881758097</v>
      </c>
      <c r="W275" s="84">
        <v>-5731.9440574005903</v>
      </c>
      <c r="X275" s="84">
        <v>-357.79233868614699</v>
      </c>
      <c r="Y275" s="84">
        <v>-3632.9851592178202</v>
      </c>
      <c r="Z275" s="84">
        <v>5.9001412559116897</v>
      </c>
      <c r="AA275" s="84">
        <v>5012.00895372987</v>
      </c>
      <c r="AB275" s="84">
        <v>-13797.3807358999</v>
      </c>
      <c r="AC275" s="84">
        <v>-14339.3593980799</v>
      </c>
      <c r="AD275" s="84">
        <v>-3972.6182687239102</v>
      </c>
      <c r="AE275" s="84">
        <v>-47297.2207021945</v>
      </c>
      <c r="AF275" s="84">
        <v>-39052.678835317798</v>
      </c>
      <c r="AG275" s="84">
        <v>-3210.4262693455598</v>
      </c>
      <c r="AH275" s="84">
        <v>-5494.9131690205404</v>
      </c>
      <c r="AI275" s="84">
        <f t="shared" si="4"/>
        <v>-234136.61337822617</v>
      </c>
    </row>
    <row r="276" spans="1:35">
      <c r="A276" s="22" t="s">
        <v>121</v>
      </c>
      <c r="B276" s="22" t="s">
        <v>122</v>
      </c>
      <c r="C276" s="22">
        <v>2021</v>
      </c>
      <c r="D276" s="22" t="s">
        <v>85</v>
      </c>
      <c r="E276" s="84">
        <v>-10305.288176623601</v>
      </c>
      <c r="F276" s="84">
        <v>145.51187300882799</v>
      </c>
      <c r="G276" s="84">
        <v>-8966.0608149679992</v>
      </c>
      <c r="H276" s="84">
        <v>-1862.5109740953501</v>
      </c>
      <c r="I276" s="84">
        <v>-244.424102097332</v>
      </c>
      <c r="J276" s="84">
        <v>8816.1858113973103</v>
      </c>
      <c r="K276" s="84">
        <v>686.30835403519495</v>
      </c>
      <c r="L276" s="84">
        <v>2537.18060398022</v>
      </c>
      <c r="M276" s="84">
        <v>2564.4162329954602</v>
      </c>
      <c r="N276" s="84">
        <v>-5613.31545304676</v>
      </c>
      <c r="O276" s="84">
        <v>-41077.7279664866</v>
      </c>
      <c r="P276" s="84">
        <v>-1879.36073606274</v>
      </c>
      <c r="Q276" s="84">
        <v>-13697.705606215801</v>
      </c>
      <c r="R276" s="84">
        <v>-5536.9890623840902</v>
      </c>
      <c r="S276" s="84">
        <v>-6841.3165316511504</v>
      </c>
      <c r="T276" s="84">
        <v>7079.1292243077396</v>
      </c>
      <c r="U276" s="84">
        <v>5833.6902759247396</v>
      </c>
      <c r="V276" s="84">
        <v>-26561.086137349699</v>
      </c>
      <c r="W276" s="84">
        <v>-5902.7894243975597</v>
      </c>
      <c r="X276" s="84">
        <v>-600.20046384655302</v>
      </c>
      <c r="Y276" s="84">
        <v>1039.6728346303</v>
      </c>
      <c r="Z276" s="84">
        <v>0.49460701470510998</v>
      </c>
      <c r="AA276" s="84">
        <v>5206.0953653012002</v>
      </c>
      <c r="AB276" s="84">
        <v>-13972.967772619901</v>
      </c>
      <c r="AC276" s="84">
        <v>-15874.7279511541</v>
      </c>
      <c r="AD276" s="84">
        <v>-5861.8950111737004</v>
      </c>
      <c r="AE276" s="84">
        <v>-48411.367617327502</v>
      </c>
      <c r="AF276" s="84">
        <v>-43021.528044712897</v>
      </c>
      <c r="AG276" s="84">
        <v>-2985.8798800248201</v>
      </c>
      <c r="AH276" s="84">
        <v>-7624.1258483235097</v>
      </c>
      <c r="AI276" s="84">
        <f t="shared" si="4"/>
        <v>-222930.79392117553</v>
      </c>
    </row>
    <row r="277" spans="1:35">
      <c r="A277" s="22" t="s">
        <v>121</v>
      </c>
      <c r="B277" s="22" t="s">
        <v>122</v>
      </c>
      <c r="C277" s="22">
        <v>1990</v>
      </c>
      <c r="D277" s="22" t="s">
        <v>86</v>
      </c>
      <c r="E277" s="84">
        <v>1333.4443756257399</v>
      </c>
      <c r="F277" s="84">
        <v>14872.963431648999</v>
      </c>
      <c r="G277" s="84">
        <v>3722.2889907004001</v>
      </c>
      <c r="H277" s="84">
        <v>7719.2224193666798</v>
      </c>
      <c r="I277" s="84">
        <v>736.84219262453598</v>
      </c>
      <c r="J277" s="84">
        <v>23705.349517340699</v>
      </c>
      <c r="K277" s="84">
        <v>192630.26144897201</v>
      </c>
      <c r="L277" s="84">
        <v>23416.119379974501</v>
      </c>
      <c r="M277" s="84">
        <v>-495.03036323012202</v>
      </c>
      <c r="N277" s="84">
        <v>15020.3197928221</v>
      </c>
      <c r="O277" s="84">
        <v>16426.338762112398</v>
      </c>
      <c r="P277" s="84">
        <v>-13222.7883073386</v>
      </c>
      <c r="Q277" s="84">
        <v>91079.024624907397</v>
      </c>
      <c r="R277" s="84">
        <v>278.52343558107901</v>
      </c>
      <c r="S277" s="84">
        <v>14626.2542032783</v>
      </c>
      <c r="T277" s="84">
        <v>27526.984348852999</v>
      </c>
      <c r="U277" s="84">
        <v>10610.882683705</v>
      </c>
      <c r="V277" s="84">
        <v>67389.297175517597</v>
      </c>
      <c r="W277" s="84">
        <v>5662.3592642680196</v>
      </c>
      <c r="X277" s="84">
        <v>849.40907026891796</v>
      </c>
      <c r="Y277" s="84">
        <v>-6277.2717289541097</v>
      </c>
      <c r="Z277" s="84">
        <v>175.98679981185001</v>
      </c>
      <c r="AA277" s="84">
        <v>51019.175375240004</v>
      </c>
      <c r="AB277" s="84">
        <v>821.589626723077</v>
      </c>
      <c r="AC277" s="84">
        <v>68102.299166772893</v>
      </c>
      <c r="AD277" s="84">
        <v>19805.448256146399</v>
      </c>
      <c r="AE277" s="84">
        <v>45874.9172038951</v>
      </c>
      <c r="AF277" s="84">
        <v>-34042.025023069902</v>
      </c>
      <c r="AG277" s="84">
        <v>-1108.9471893125601</v>
      </c>
      <c r="AH277" s="84">
        <v>971.53963752078403</v>
      </c>
      <c r="AI277" s="84">
        <f t="shared" si="4"/>
        <v>630079.08384197741</v>
      </c>
    </row>
    <row r="278" spans="1:35">
      <c r="A278" s="22" t="s">
        <v>121</v>
      </c>
      <c r="B278" s="22" t="s">
        <v>122</v>
      </c>
      <c r="C278" s="22">
        <v>2010</v>
      </c>
      <c r="D278" s="22" t="s">
        <v>86</v>
      </c>
      <c r="E278" s="84">
        <v>-8355.5572450053605</v>
      </c>
      <c r="F278" s="84">
        <v>15382.5117470559</v>
      </c>
      <c r="G278" s="84">
        <v>-790.12565451796797</v>
      </c>
      <c r="H278" s="84">
        <v>6397.2638902144299</v>
      </c>
      <c r="I278" s="84">
        <v>1032.3004041998599</v>
      </c>
      <c r="J278" s="84">
        <v>13796.4267275159</v>
      </c>
      <c r="K278" s="84">
        <v>89463.267190938699</v>
      </c>
      <c r="L278" s="84">
        <v>17207.815434308599</v>
      </c>
      <c r="M278" s="84">
        <v>-3440.6948280081901</v>
      </c>
      <c r="N278" s="84">
        <v>16865.1201680464</v>
      </c>
      <c r="O278" s="84">
        <v>23429.705252621701</v>
      </c>
      <c r="P278" s="84">
        <v>-15285.4114370888</v>
      </c>
      <c r="Q278" s="84">
        <v>76198.186660637904</v>
      </c>
      <c r="R278" s="84">
        <v>-492.35356337682703</v>
      </c>
      <c r="S278" s="84">
        <v>8780.5064785267605</v>
      </c>
      <c r="T278" s="84">
        <v>28198.801611568801</v>
      </c>
      <c r="U278" s="84">
        <v>10882.3315845819</v>
      </c>
      <c r="V278" s="84">
        <v>36904.611987716402</v>
      </c>
      <c r="W278" s="84">
        <v>-3990.5046748828099</v>
      </c>
      <c r="X278" s="84">
        <v>677.47252861169898</v>
      </c>
      <c r="Y278" s="84">
        <v>863.23480236333398</v>
      </c>
      <c r="Z278" s="84">
        <v>354.863112197666</v>
      </c>
      <c r="AA278" s="84">
        <v>32591.339277918902</v>
      </c>
      <c r="AB278" s="84">
        <v>-13022.1858355063</v>
      </c>
      <c r="AC278" s="84">
        <v>36768.435540837403</v>
      </c>
      <c r="AD278" s="84">
        <v>9300.0110131005495</v>
      </c>
      <c r="AE278" s="84">
        <v>1508.1387015758401</v>
      </c>
      <c r="AF278" s="84">
        <v>-39363.118697242098</v>
      </c>
      <c r="AG278" s="84">
        <v>-4013.18326548303</v>
      </c>
      <c r="AH278" s="84">
        <v>791.03383757615097</v>
      </c>
      <c r="AI278" s="84">
        <f t="shared" si="4"/>
        <v>334382.83311171347</v>
      </c>
    </row>
    <row r="279" spans="1:35">
      <c r="A279" s="22" t="s">
        <v>121</v>
      </c>
      <c r="B279" s="22" t="s">
        <v>122</v>
      </c>
      <c r="C279" s="22">
        <v>2015</v>
      </c>
      <c r="D279" s="22" t="s">
        <v>86</v>
      </c>
      <c r="E279" s="84">
        <v>4808.6615172081001</v>
      </c>
      <c r="F279" s="84">
        <v>14168.5893183852</v>
      </c>
      <c r="G279" s="84">
        <v>4488.5657104945503</v>
      </c>
      <c r="H279" s="84">
        <v>7144.5942711542702</v>
      </c>
      <c r="I279" s="84">
        <v>1016.87396191127</v>
      </c>
      <c r="J279" s="84">
        <v>14957.500801761</v>
      </c>
      <c r="K279" s="84">
        <v>78397.739993005205</v>
      </c>
      <c r="L279" s="84">
        <v>14968.767375179799</v>
      </c>
      <c r="M279" s="84">
        <v>1282.9070420769599</v>
      </c>
      <c r="N279" s="84">
        <v>15754.500500132101</v>
      </c>
      <c r="O279" s="84">
        <v>17618.554964748801</v>
      </c>
      <c r="P279" s="84">
        <v>-6640.6533274086696</v>
      </c>
      <c r="Q279" s="84">
        <v>74997.5732930222</v>
      </c>
      <c r="R279" s="84">
        <v>481.21130754325401</v>
      </c>
      <c r="S279" s="84">
        <v>8790.2372996002705</v>
      </c>
      <c r="T279" s="84">
        <v>29179.334314766598</v>
      </c>
      <c r="U279" s="84">
        <v>10784.179780663801</v>
      </c>
      <c r="V279" s="84">
        <v>32764.812017662502</v>
      </c>
      <c r="W279" s="84">
        <v>-1165.78635197108</v>
      </c>
      <c r="X279" s="84">
        <v>503.78272541609402</v>
      </c>
      <c r="Y279" s="84">
        <v>3285.3947363227498</v>
      </c>
      <c r="Z279" s="84">
        <v>450.411362720753</v>
      </c>
      <c r="AA279" s="84">
        <v>32206.9840640084</v>
      </c>
      <c r="AB279" s="84">
        <v>-2752.3476210779399</v>
      </c>
      <c r="AC279" s="84">
        <v>40692.794816916597</v>
      </c>
      <c r="AD279" s="84">
        <v>12445.086182023</v>
      </c>
      <c r="AE279" s="84">
        <v>-12460.427092276899</v>
      </c>
      <c r="AF279" s="84">
        <v>-36123.691820859698</v>
      </c>
      <c r="AG279" s="84">
        <v>3863.3675624064899</v>
      </c>
      <c r="AH279" s="84">
        <v>7.15739340261098</v>
      </c>
      <c r="AI279" s="84">
        <f t="shared" si="4"/>
        <v>350740.249668198</v>
      </c>
    </row>
    <row r="280" spans="1:35">
      <c r="A280" s="22" t="s">
        <v>121</v>
      </c>
      <c r="B280" s="22" t="s">
        <v>122</v>
      </c>
      <c r="C280" s="22">
        <v>2019</v>
      </c>
      <c r="D280" s="22" t="s">
        <v>86</v>
      </c>
      <c r="E280" s="84">
        <v>12841.725188303901</v>
      </c>
      <c r="F280" s="84">
        <v>13852.439122746</v>
      </c>
      <c r="G280" s="84">
        <v>2444.4093271936699</v>
      </c>
      <c r="H280" s="84">
        <v>6900.4138658670399</v>
      </c>
      <c r="I280" s="84">
        <v>1187.1047001948</v>
      </c>
      <c r="J280" s="84">
        <v>28575.493776969201</v>
      </c>
      <c r="K280" s="84">
        <v>70551.696788406101</v>
      </c>
      <c r="L280" s="84">
        <v>17007.439619082099</v>
      </c>
      <c r="M280" s="84">
        <v>3279.55851393583</v>
      </c>
      <c r="N280" s="84">
        <v>14062.813441410501</v>
      </c>
      <c r="O280" s="84">
        <v>12941.059969030401</v>
      </c>
      <c r="P280" s="84">
        <v>2777.7996929097399</v>
      </c>
      <c r="Q280" s="84">
        <v>88703.371484027797</v>
      </c>
      <c r="R280" s="84">
        <v>914.67258848859103</v>
      </c>
      <c r="S280" s="84">
        <v>9244.61322135505</v>
      </c>
      <c r="T280" s="84">
        <v>30356.789655678898</v>
      </c>
      <c r="U280" s="84">
        <v>10639.9407878122</v>
      </c>
      <c r="V280" s="84">
        <v>33981.322874090598</v>
      </c>
      <c r="W280" s="84">
        <v>457.71850906316001</v>
      </c>
      <c r="X280" s="84">
        <v>502.73349809378499</v>
      </c>
      <c r="Y280" s="84">
        <v>834.28912014863101</v>
      </c>
      <c r="Z280" s="84">
        <v>497.13869490528702</v>
      </c>
      <c r="AA280" s="84">
        <v>28996.188523629698</v>
      </c>
      <c r="AB280" s="84">
        <v>-6032.7721966364097</v>
      </c>
      <c r="AC280" s="84">
        <v>48481.727201393704</v>
      </c>
      <c r="AD280" s="84">
        <v>12338.800971021399</v>
      </c>
      <c r="AE280" s="84">
        <v>-10351.7671734225</v>
      </c>
      <c r="AF280" s="84">
        <v>-28791.340168816201</v>
      </c>
      <c r="AG280" s="84">
        <v>-371.921406274959</v>
      </c>
      <c r="AH280" s="84">
        <v>115.782286183528</v>
      </c>
      <c r="AI280" s="84">
        <f t="shared" si="4"/>
        <v>395431.66001974873</v>
      </c>
    </row>
    <row r="281" spans="1:35">
      <c r="A281" s="22" t="s">
        <v>121</v>
      </c>
      <c r="B281" s="22" t="s">
        <v>122</v>
      </c>
      <c r="C281" s="22">
        <v>2021</v>
      </c>
      <c r="D281" s="22" t="s">
        <v>86</v>
      </c>
      <c r="E281" s="84">
        <v>-155.685761498549</v>
      </c>
      <c r="F281" s="84">
        <v>13302.2909997893</v>
      </c>
      <c r="G281" s="84">
        <v>2284.7407719223002</v>
      </c>
      <c r="H281" s="84">
        <v>6619.3789659668</v>
      </c>
      <c r="I281" s="84">
        <v>1337.9727154315101</v>
      </c>
      <c r="J281" s="84">
        <v>28231.144799342499</v>
      </c>
      <c r="K281" s="84">
        <v>76810.1751454162</v>
      </c>
      <c r="L281" s="84">
        <v>16417.064712535401</v>
      </c>
      <c r="M281" s="84">
        <v>4997.0378525698898</v>
      </c>
      <c r="N281" s="84">
        <v>13587.7956468178</v>
      </c>
      <c r="O281" s="84">
        <v>12863.946042408899</v>
      </c>
      <c r="P281" s="84">
        <v>9548.1025923316902</v>
      </c>
      <c r="Q281" s="84">
        <v>80826.134145373304</v>
      </c>
      <c r="R281" s="84">
        <v>924.05385298852502</v>
      </c>
      <c r="S281" s="84">
        <v>7561.4454060831204</v>
      </c>
      <c r="T281" s="84">
        <v>32072.219175705399</v>
      </c>
      <c r="U281" s="84">
        <v>10623.941853386499</v>
      </c>
      <c r="V281" s="84">
        <v>46516.713940006397</v>
      </c>
      <c r="W281" s="84">
        <v>131.547985007367</v>
      </c>
      <c r="X281" s="84">
        <v>254.27182634227799</v>
      </c>
      <c r="Y281" s="84">
        <v>5572.8787590177899</v>
      </c>
      <c r="Z281" s="84">
        <v>518.099499819681</v>
      </c>
      <c r="AA281" s="84">
        <v>28281.5201911607</v>
      </c>
      <c r="AB281" s="84">
        <v>-6497.8851865823799</v>
      </c>
      <c r="AC281" s="84">
        <v>46632.083480731497</v>
      </c>
      <c r="AD281" s="84">
        <v>10455.932531418701</v>
      </c>
      <c r="AE281" s="84">
        <v>-12212.039878285999</v>
      </c>
      <c r="AF281" s="84">
        <v>-33055.154958960004</v>
      </c>
      <c r="AG281" s="84">
        <v>-237.78543374042201</v>
      </c>
      <c r="AH281" s="84">
        <v>-2181.1094304830399</v>
      </c>
      <c r="AI281" s="84">
        <f t="shared" si="4"/>
        <v>391285.39660925214</v>
      </c>
    </row>
    <row r="282" spans="1:35">
      <c r="A282" s="22" t="s">
        <v>121</v>
      </c>
      <c r="B282" s="22" t="s">
        <v>122</v>
      </c>
      <c r="C282" s="22">
        <v>1990</v>
      </c>
      <c r="D282" s="22" t="s">
        <v>87</v>
      </c>
      <c r="E282" s="84">
        <v>13464.8365846368</v>
      </c>
      <c r="F282" s="84">
        <v>17251.9426399935</v>
      </c>
      <c r="G282" s="84">
        <v>20169.2676269068</v>
      </c>
      <c r="H282" s="84">
        <v>9450.2113627072504</v>
      </c>
      <c r="I282" s="84">
        <v>888.15592246829999</v>
      </c>
      <c r="J282" s="84">
        <v>30563.5888509406</v>
      </c>
      <c r="K282" s="84">
        <v>156837.344240848</v>
      </c>
      <c r="L282" s="84">
        <v>15863.604659480099</v>
      </c>
      <c r="M282" s="84">
        <v>3496.6740784960398</v>
      </c>
      <c r="N282" s="84">
        <v>17240.526899614801</v>
      </c>
      <c r="O282" s="84">
        <v>48665.924833735997</v>
      </c>
      <c r="P282" s="84">
        <v>15016.8535199259</v>
      </c>
      <c r="Q282" s="84">
        <v>103032.416974255</v>
      </c>
      <c r="R282" s="84">
        <v>6002.2774111039498</v>
      </c>
      <c r="S282" s="84">
        <v>17076.451582485199</v>
      </c>
      <c r="T282" s="84">
        <v>21647.3564177724</v>
      </c>
      <c r="U282" s="84">
        <v>4780.4099927883199</v>
      </c>
      <c r="V282" s="84">
        <v>68010.104132677399</v>
      </c>
      <c r="W282" s="84">
        <v>11019.729473555401</v>
      </c>
      <c r="X282" s="84">
        <v>844.45782625687104</v>
      </c>
      <c r="Y282" s="84">
        <v>6756.24713708541</v>
      </c>
      <c r="Z282" s="84">
        <v>183.91721254521599</v>
      </c>
      <c r="AA282" s="84">
        <v>44044.2921844839</v>
      </c>
      <c r="AB282" s="84">
        <v>8370.5691969452291</v>
      </c>
      <c r="AC282" s="84">
        <v>90786.954727452205</v>
      </c>
      <c r="AD282" s="84">
        <v>13987.945218991499</v>
      </c>
      <c r="AE282" s="84">
        <v>73314.404010508501</v>
      </c>
      <c r="AF282" s="84">
        <v>13349.071026708099</v>
      </c>
      <c r="AG282" s="84">
        <v>3195.9041360433598</v>
      </c>
      <c r="AH282" s="84">
        <v>10346.1968402152</v>
      </c>
      <c r="AI282" s="84">
        <f t="shared" si="4"/>
        <v>823056.44616918662</v>
      </c>
    </row>
    <row r="283" spans="1:35">
      <c r="A283" s="22" t="s">
        <v>121</v>
      </c>
      <c r="B283" s="22" t="s">
        <v>122</v>
      </c>
      <c r="C283" s="22">
        <v>2010</v>
      </c>
      <c r="D283" s="22" t="s">
        <v>87</v>
      </c>
      <c r="E283" s="84">
        <v>11256.460672393299</v>
      </c>
      <c r="F283" s="84">
        <v>14851.5487797846</v>
      </c>
      <c r="G283" s="84">
        <v>10865.392559761</v>
      </c>
      <c r="H283" s="84">
        <v>9162.1558215693094</v>
      </c>
      <c r="I283" s="84">
        <v>1298.8363110728401</v>
      </c>
      <c r="J283" s="84">
        <v>20443.9156437071</v>
      </c>
      <c r="K283" s="84">
        <v>94655.010321734197</v>
      </c>
      <c r="L283" s="84">
        <v>14439.929666016</v>
      </c>
      <c r="M283" s="84">
        <v>2364.1992877750299</v>
      </c>
      <c r="N283" s="84">
        <v>20248.639463060401</v>
      </c>
      <c r="O283" s="84">
        <v>65114.572257456501</v>
      </c>
      <c r="P283" s="84">
        <v>13325.9157989508</v>
      </c>
      <c r="Q283" s="84">
        <v>112137.99178609801</v>
      </c>
      <c r="R283" s="84">
        <v>5863.7403826754799</v>
      </c>
      <c r="S283" s="84">
        <v>13249.0680094157</v>
      </c>
      <c r="T283" s="84">
        <v>21841.060932826102</v>
      </c>
      <c r="U283" s="84">
        <v>4860.2542653042401</v>
      </c>
      <c r="V283" s="84">
        <v>76428.337172247295</v>
      </c>
      <c r="W283" s="84">
        <v>6209.3636727604298</v>
      </c>
      <c r="X283" s="84">
        <v>892.55531864115801</v>
      </c>
      <c r="Y283" s="84">
        <v>3944.16715316411</v>
      </c>
      <c r="Z283" s="84">
        <v>343.32889274409803</v>
      </c>
      <c r="AA283" s="84">
        <v>26588.421919815799</v>
      </c>
      <c r="AB283" s="84">
        <v>8357.9740183757003</v>
      </c>
      <c r="AC283" s="84">
        <v>65834.504537764893</v>
      </c>
      <c r="AD283" s="84">
        <v>16258.2512313276</v>
      </c>
      <c r="AE283" s="84">
        <v>37722.752429298896</v>
      </c>
      <c r="AF283" s="84">
        <v>11417.2777681965</v>
      </c>
      <c r="AG283" s="84">
        <v>2997.29372593568</v>
      </c>
      <c r="AH283" s="84">
        <v>5993.3803044077004</v>
      </c>
      <c r="AI283" s="84">
        <f t="shared" si="4"/>
        <v>676585.91599903139</v>
      </c>
    </row>
    <row r="284" spans="1:35">
      <c r="A284" s="22" t="s">
        <v>121</v>
      </c>
      <c r="B284" s="22" t="s">
        <v>122</v>
      </c>
      <c r="C284" s="22">
        <v>2015</v>
      </c>
      <c r="D284" s="22" t="s">
        <v>87</v>
      </c>
      <c r="E284" s="84">
        <v>11208.9886859528</v>
      </c>
      <c r="F284" s="84">
        <v>14531.759653200799</v>
      </c>
      <c r="G284" s="84">
        <v>11784.540549909199</v>
      </c>
      <c r="H284" s="84">
        <v>9077.3779375406393</v>
      </c>
      <c r="I284" s="84">
        <v>1313.90941934532</v>
      </c>
      <c r="J284" s="84">
        <v>21245.346321912701</v>
      </c>
      <c r="K284" s="84">
        <v>91968.026079302203</v>
      </c>
      <c r="L284" s="84">
        <v>13959.246653075999</v>
      </c>
      <c r="M284" s="84">
        <v>2397.26438653487</v>
      </c>
      <c r="N284" s="84">
        <v>20000.846988470399</v>
      </c>
      <c r="O284" s="84">
        <v>58407.2794331931</v>
      </c>
      <c r="P284" s="84">
        <v>12470.463307393</v>
      </c>
      <c r="Q284" s="84">
        <v>107685.26049122799</v>
      </c>
      <c r="R284" s="84">
        <v>6001.0201773286999</v>
      </c>
      <c r="S284" s="84">
        <v>14175.4071382701</v>
      </c>
      <c r="T284" s="84">
        <v>23368.7030720906</v>
      </c>
      <c r="U284" s="84">
        <v>4867.3944987136101</v>
      </c>
      <c r="V284" s="84">
        <v>74184.890311228897</v>
      </c>
      <c r="W284" s="84">
        <v>6645.2110828083696</v>
      </c>
      <c r="X284" s="84">
        <v>870.70345192469301</v>
      </c>
      <c r="Y284" s="84">
        <v>4310.6931822440902</v>
      </c>
      <c r="Z284" s="84">
        <v>453.80535450850198</v>
      </c>
      <c r="AA284" s="84">
        <v>25948.775131599301</v>
      </c>
      <c r="AB284" s="84">
        <v>8254.0149217258295</v>
      </c>
      <c r="AC284" s="84">
        <v>65520.358642728301</v>
      </c>
      <c r="AD284" s="84">
        <v>15807.406193762999</v>
      </c>
      <c r="AE284" s="84">
        <v>37023.208345289902</v>
      </c>
      <c r="AF284" s="84">
        <v>10659.933758692399</v>
      </c>
      <c r="AG284" s="84">
        <v>2930.1061948546699</v>
      </c>
      <c r="AH284" s="84">
        <v>5732.4498022283396</v>
      </c>
      <c r="AI284" s="84">
        <f t="shared" si="4"/>
        <v>660605.60380907834</v>
      </c>
    </row>
    <row r="285" spans="1:35">
      <c r="A285" s="22" t="s">
        <v>121</v>
      </c>
      <c r="B285" s="22" t="s">
        <v>122</v>
      </c>
      <c r="C285" s="22">
        <v>2019</v>
      </c>
      <c r="D285" s="22" t="s">
        <v>87</v>
      </c>
      <c r="E285" s="84">
        <v>10581.5979724682</v>
      </c>
      <c r="F285" s="84">
        <v>13826.3248986653</v>
      </c>
      <c r="G285" s="84">
        <v>11168.034422736</v>
      </c>
      <c r="H285" s="84">
        <v>8640.1267952695998</v>
      </c>
      <c r="I285" s="84">
        <v>1485.6357241718099</v>
      </c>
      <c r="J285" s="84">
        <v>20312.657206150601</v>
      </c>
      <c r="K285" s="84">
        <v>80330.219291464804</v>
      </c>
      <c r="L285" s="84">
        <v>13938.367974376601</v>
      </c>
      <c r="M285" s="84">
        <v>2460.0486791867502</v>
      </c>
      <c r="N285" s="84">
        <v>19521.5854623509</v>
      </c>
      <c r="O285" s="84">
        <v>54347.863725701798</v>
      </c>
      <c r="P285" s="84">
        <v>11889.2227027312</v>
      </c>
      <c r="Q285" s="84">
        <v>100870.090844769</v>
      </c>
      <c r="R285" s="84">
        <v>6409.6896314942996</v>
      </c>
      <c r="S285" s="84">
        <v>14287.8164402887</v>
      </c>
      <c r="T285" s="84">
        <v>24184.6825066438</v>
      </c>
      <c r="U285" s="84">
        <v>4801.8297929482997</v>
      </c>
      <c r="V285" s="84">
        <v>73173.056755848695</v>
      </c>
      <c r="W285" s="84">
        <v>6189.6625664637504</v>
      </c>
      <c r="X285" s="84">
        <v>860.525836779933</v>
      </c>
      <c r="Y285" s="84">
        <v>4467.2742793664502</v>
      </c>
      <c r="Z285" s="84">
        <v>491.23855364937498</v>
      </c>
      <c r="AA285" s="84">
        <v>23984.179569899799</v>
      </c>
      <c r="AB285" s="84">
        <v>7764.6085392635096</v>
      </c>
      <c r="AC285" s="84">
        <v>62821.086599473601</v>
      </c>
      <c r="AD285" s="84">
        <v>16311.419239745301</v>
      </c>
      <c r="AE285" s="84">
        <v>36945.453528772101</v>
      </c>
      <c r="AF285" s="84">
        <v>10261.338666501601</v>
      </c>
      <c r="AG285" s="84">
        <v>2838.5048630706001</v>
      </c>
      <c r="AH285" s="84">
        <v>5610.6954552040697</v>
      </c>
      <c r="AI285" s="84">
        <f t="shared" si="4"/>
        <v>629568.27339797502</v>
      </c>
    </row>
    <row r="286" spans="1:35">
      <c r="A286" s="22" t="s">
        <v>121</v>
      </c>
      <c r="B286" s="22" t="s">
        <v>122</v>
      </c>
      <c r="C286" s="22">
        <v>2021</v>
      </c>
      <c r="D286" s="22" t="s">
        <v>87</v>
      </c>
      <c r="E286" s="84">
        <v>10149.602415125</v>
      </c>
      <c r="F286" s="84">
        <v>13156.779126780501</v>
      </c>
      <c r="G286" s="84">
        <v>11250.8015868903</v>
      </c>
      <c r="H286" s="84">
        <v>8481.8899400621503</v>
      </c>
      <c r="I286" s="84">
        <v>1582.3968175288401</v>
      </c>
      <c r="J286" s="84">
        <v>19414.9589879452</v>
      </c>
      <c r="K286" s="84">
        <v>76123.866791381006</v>
      </c>
      <c r="L286" s="84">
        <v>13879.884108555199</v>
      </c>
      <c r="M286" s="84">
        <v>2432.62161957443</v>
      </c>
      <c r="N286" s="84">
        <v>19201.111099864502</v>
      </c>
      <c r="O286" s="84">
        <v>53941.674008895498</v>
      </c>
      <c r="P286" s="84">
        <v>11427.4633283944</v>
      </c>
      <c r="Q286" s="84">
        <v>94523.839751589097</v>
      </c>
      <c r="R286" s="84">
        <v>6461.04291537262</v>
      </c>
      <c r="S286" s="84">
        <v>14402.7619377343</v>
      </c>
      <c r="T286" s="84">
        <v>24993.0899513976</v>
      </c>
      <c r="U286" s="84">
        <v>4790.2515774617696</v>
      </c>
      <c r="V286" s="84">
        <v>73077.800077356005</v>
      </c>
      <c r="W286" s="84">
        <v>6034.3374094049204</v>
      </c>
      <c r="X286" s="84">
        <v>854.47229018883195</v>
      </c>
      <c r="Y286" s="84">
        <v>4533.2059243875001</v>
      </c>
      <c r="Z286" s="84">
        <v>517.60489280497598</v>
      </c>
      <c r="AA286" s="84">
        <v>23075.4248258595</v>
      </c>
      <c r="AB286" s="84">
        <v>7475.0825860375699</v>
      </c>
      <c r="AC286" s="84">
        <v>62506.8114318855</v>
      </c>
      <c r="AD286" s="84">
        <v>16317.8275425924</v>
      </c>
      <c r="AE286" s="84">
        <v>36199.327739041502</v>
      </c>
      <c r="AF286" s="84">
        <v>9966.3730857529408</v>
      </c>
      <c r="AG286" s="84">
        <v>2748.09444628439</v>
      </c>
      <c r="AH286" s="84">
        <v>5443.0164178404802</v>
      </c>
      <c r="AI286" s="84">
        <f t="shared" si="4"/>
        <v>614216.1905304275</v>
      </c>
    </row>
    <row r="289" spans="1:28">
      <c r="C289" s="22" t="s">
        <v>120</v>
      </c>
      <c r="D289" s="22" t="s">
        <v>87</v>
      </c>
      <c r="E289" s="22" t="s">
        <v>86</v>
      </c>
    </row>
    <row r="290" spans="1:28">
      <c r="C290" s="22">
        <v>1990</v>
      </c>
      <c r="D290" s="22">
        <f>SUM(E267:AH267)</f>
        <v>202261.7498626443</v>
      </c>
      <c r="E290" s="22">
        <f>SUM(E262:AH262)</f>
        <v>4277701.9462121036</v>
      </c>
      <c r="F290" s="78">
        <f>D290/E290</f>
        <v>4.7282805676011778E-2</v>
      </c>
      <c r="H290" s="78">
        <f>(H277+H267)/H247</f>
        <v>0.17209275693336729</v>
      </c>
      <c r="U290" s="78">
        <f>(U277+U267)/U247</f>
        <v>0.83811423946374541</v>
      </c>
      <c r="AB290" s="78">
        <f>(AB277+AB267)/AB247</f>
        <v>0.22580681866608293</v>
      </c>
    </row>
    <row r="291" spans="1:28">
      <c r="C291" s="22">
        <v>2010</v>
      </c>
      <c r="D291" s="22">
        <f>SUM(E268:AH268)</f>
        <v>88334.854219859117</v>
      </c>
      <c r="E291" s="22">
        <f t="shared" ref="E291:E294" si="5">SUM(E263:AH263)</f>
        <v>3850668.4755881652</v>
      </c>
      <c r="F291" s="78">
        <f t="shared" ref="F291:F294" si="6">D291/E291</f>
        <v>2.2940134883039115E-2</v>
      </c>
      <c r="H291" s="78">
        <f t="shared" ref="H291:H294" si="7">(H278+H268)/H248</f>
        <v>0.14459158297489569</v>
      </c>
      <c r="U291" s="78">
        <f t="shared" ref="U291:U294" si="8">(U278+U268)/U248</f>
        <v>0.76386230072708028</v>
      </c>
      <c r="AB291" s="78">
        <f t="shared" ref="AB291:AB294" si="9">(AB278+AB268)/AB248</f>
        <v>-0.3647759976826529</v>
      </c>
    </row>
    <row r="292" spans="1:28">
      <c r="C292" s="22">
        <v>2015</v>
      </c>
      <c r="D292" s="22">
        <f>SUM(E269:AH269)</f>
        <v>74673.777272313513</v>
      </c>
      <c r="E292" s="22">
        <f t="shared" si="5"/>
        <v>3478074.0374120884</v>
      </c>
      <c r="F292" s="78">
        <f t="shared" si="6"/>
        <v>2.1469864203315127E-2</v>
      </c>
      <c r="H292" s="78">
        <f t="shared" si="7"/>
        <v>0.17773370665325022</v>
      </c>
      <c r="U292" s="78">
        <f t="shared" si="8"/>
        <v>0.76455985886522249</v>
      </c>
      <c r="AB292" s="78">
        <f t="shared" si="9"/>
        <v>-3.2083560312810865E-2</v>
      </c>
    </row>
    <row r="293" spans="1:28">
      <c r="C293" s="22">
        <v>2019</v>
      </c>
      <c r="D293" s="22">
        <f>SUM(E270:AH270)</f>
        <v>73534.328001521717</v>
      </c>
      <c r="E293" s="22">
        <f t="shared" si="5"/>
        <v>3319831.2810020288</v>
      </c>
      <c r="F293" s="78">
        <f t="shared" si="6"/>
        <v>2.2150019617661641E-2</v>
      </c>
      <c r="H293" s="78">
        <f t="shared" si="7"/>
        <v>0.18138283935547223</v>
      </c>
      <c r="U293" s="78">
        <f t="shared" si="8"/>
        <v>0.76178995829978258</v>
      </c>
      <c r="AB293" s="78">
        <f t="shared" si="9"/>
        <v>-0.13306844691146294</v>
      </c>
    </row>
    <row r="294" spans="1:28">
      <c r="C294" s="22">
        <v>2021</v>
      </c>
      <c r="D294" s="22">
        <f>SUM(E271:AH271)</f>
        <v>69441.185930638705</v>
      </c>
      <c r="E294" s="22">
        <f t="shared" si="5"/>
        <v>3139185.2771333903</v>
      </c>
      <c r="F294" s="78">
        <f t="shared" si="6"/>
        <v>2.2120766950732614E-2</v>
      </c>
      <c r="H294" s="78">
        <f t="shared" si="7"/>
        <v>0.17490159521534426</v>
      </c>
      <c r="U294" s="78">
        <f t="shared" si="8"/>
        <v>0.76428652846224365</v>
      </c>
      <c r="AB294" s="78">
        <f t="shared" si="9"/>
        <v>-0.15590689797904184</v>
      </c>
    </row>
    <row r="296" spans="1:28">
      <c r="A296" s="75"/>
      <c r="B296" s="75"/>
      <c r="C296" s="75"/>
      <c r="D296" s="75"/>
      <c r="E296" s="75"/>
    </row>
  </sheetData>
  <autoFilter ref="A1:AH286" xr:uid="{00000000-0009-0000-0000-000001000000}"/>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43"/>
  <sheetViews>
    <sheetView workbookViewId="0">
      <selection activeCell="I12" sqref="I12"/>
    </sheetView>
  </sheetViews>
  <sheetFormatPr defaultRowHeight="13.2"/>
  <cols>
    <col min="3" max="6" width="12.6640625" customWidth="1"/>
    <col min="10" max="10" width="10.6640625" customWidth="1"/>
    <col min="11" max="11" width="11.5546875" customWidth="1"/>
    <col min="15" max="15" width="11" customWidth="1"/>
    <col min="16" max="16" width="8.5546875" customWidth="1"/>
    <col min="17" max="20" width="9.109375" customWidth="1"/>
    <col min="21" max="21" width="10.88671875" customWidth="1"/>
    <col min="25" max="25" width="10.44140625" customWidth="1"/>
  </cols>
  <sheetData>
    <row r="1" spans="1:42">
      <c r="A1" s="44"/>
      <c r="B1" s="44"/>
      <c r="C1" s="44"/>
      <c r="D1" s="44"/>
      <c r="E1" s="134" t="s">
        <v>187</v>
      </c>
      <c r="F1" s="44"/>
      <c r="G1" s="44"/>
      <c r="H1" s="44"/>
      <c r="J1" s="44"/>
      <c r="K1" s="44"/>
      <c r="L1" s="44"/>
      <c r="M1" s="44"/>
      <c r="N1" s="44" t="s">
        <v>186</v>
      </c>
      <c r="O1" s="44"/>
      <c r="P1" s="44"/>
      <c r="Q1" s="44" t="s">
        <v>186</v>
      </c>
      <c r="R1" s="44"/>
      <c r="S1" s="44"/>
      <c r="T1" s="44"/>
      <c r="V1" s="44"/>
      <c r="W1" s="44" t="s">
        <v>184</v>
      </c>
      <c r="X1" s="44"/>
      <c r="Y1" s="44" t="s">
        <v>184</v>
      </c>
      <c r="Z1" s="44"/>
      <c r="AA1" s="44"/>
      <c r="AB1" s="44"/>
      <c r="AC1" s="44"/>
      <c r="AD1" s="44"/>
      <c r="AE1" s="44"/>
      <c r="AF1" s="44"/>
      <c r="AG1" s="44"/>
      <c r="AH1" s="44"/>
      <c r="AI1" s="44"/>
      <c r="AJ1" s="44"/>
      <c r="AK1" s="44"/>
      <c r="AL1" s="44"/>
      <c r="AM1" s="44"/>
      <c r="AN1" s="44"/>
      <c r="AO1" s="44"/>
      <c r="AP1" s="44"/>
    </row>
    <row r="2" spans="1:42" ht="26.4" customHeight="1">
      <c r="A2" s="44"/>
      <c r="B2" s="44"/>
      <c r="C2" s="44"/>
      <c r="D2" s="44"/>
      <c r="E2" s="44"/>
      <c r="F2" s="44"/>
      <c r="G2" s="44"/>
      <c r="H2" s="44"/>
      <c r="I2" s="44" t="str">
        <f>R4</f>
        <v>v0 no non-modelled in scope</v>
      </c>
      <c r="J2" s="44"/>
      <c r="K2" s="135" t="s">
        <v>148</v>
      </c>
      <c r="L2" s="135"/>
      <c r="M2" s="135"/>
      <c r="N2" s="135"/>
      <c r="O2" s="135"/>
      <c r="P2" s="117"/>
      <c r="Q2" s="117"/>
      <c r="R2" s="133"/>
      <c r="S2" s="127"/>
      <c r="T2" s="127"/>
      <c r="U2" s="136" t="s">
        <v>145</v>
      </c>
      <c r="V2" s="136"/>
      <c r="W2" s="136"/>
      <c r="X2" s="136"/>
      <c r="Y2" s="136"/>
      <c r="Z2" s="136"/>
      <c r="AA2" s="136"/>
      <c r="AB2" s="136"/>
      <c r="AC2" s="136"/>
      <c r="AD2" s="44"/>
      <c r="AE2" s="44"/>
      <c r="AF2" s="44"/>
      <c r="AG2" s="44"/>
      <c r="AH2" s="44"/>
      <c r="AI2" s="44"/>
      <c r="AJ2" s="44"/>
      <c r="AK2" s="44"/>
      <c r="AL2" s="44"/>
      <c r="AM2" s="44"/>
      <c r="AN2" s="44"/>
      <c r="AO2" s="44"/>
      <c r="AP2" s="44"/>
    </row>
    <row r="3" spans="1:42" ht="13.8" thickBot="1">
      <c r="A3" s="44"/>
      <c r="B3" s="44"/>
      <c r="C3" s="44"/>
      <c r="D3" s="44" t="s">
        <v>140</v>
      </c>
      <c r="E3" s="44"/>
      <c r="F3" s="44"/>
      <c r="G3" s="44"/>
      <c r="H3" s="44"/>
      <c r="I3" s="114" t="s">
        <v>169</v>
      </c>
      <c r="J3" s="96" t="s">
        <v>85</v>
      </c>
      <c r="K3" s="97" t="s">
        <v>85</v>
      </c>
      <c r="L3" s="98" t="s">
        <v>85</v>
      </c>
      <c r="M3" s="98"/>
      <c r="N3" s="98"/>
      <c r="O3" s="98" t="s">
        <v>85</v>
      </c>
      <c r="P3" s="98"/>
      <c r="Q3" s="98"/>
      <c r="R3" s="128" t="s">
        <v>86</v>
      </c>
      <c r="S3" s="128" t="s">
        <v>86</v>
      </c>
      <c r="T3" s="128" t="s">
        <v>86</v>
      </c>
      <c r="U3" s="129" t="s">
        <v>86</v>
      </c>
      <c r="V3" s="99" t="s">
        <v>87</v>
      </c>
      <c r="W3" s="99" t="s">
        <v>86</v>
      </c>
      <c r="X3" s="99" t="s">
        <v>86</v>
      </c>
      <c r="Y3" s="99" t="s">
        <v>86</v>
      </c>
      <c r="Z3" s="99" t="s">
        <v>86</v>
      </c>
      <c r="AA3" s="99" t="s">
        <v>86</v>
      </c>
      <c r="AB3" s="99" t="s">
        <v>86</v>
      </c>
      <c r="AC3" s="99" t="s">
        <v>86</v>
      </c>
      <c r="AD3" s="44"/>
      <c r="AE3" s="44" t="s">
        <v>86</v>
      </c>
      <c r="AF3" s="44"/>
      <c r="AG3" s="44"/>
      <c r="AH3" s="44"/>
      <c r="AI3" s="44"/>
      <c r="AJ3" s="44"/>
      <c r="AK3" s="44"/>
      <c r="AL3" s="44"/>
      <c r="AM3" s="44"/>
      <c r="AN3" s="44"/>
      <c r="AO3" s="44"/>
      <c r="AP3" s="44"/>
    </row>
    <row r="4" spans="1:42" s="95" customFormat="1" ht="41.4">
      <c r="A4" s="91" t="s">
        <v>72</v>
      </c>
      <c r="B4" s="91" t="s">
        <v>71</v>
      </c>
      <c r="C4" s="91" t="s">
        <v>74</v>
      </c>
      <c r="D4" s="92" t="s">
        <v>75</v>
      </c>
      <c r="E4" s="91" t="s">
        <v>73</v>
      </c>
      <c r="F4" s="91" t="s">
        <v>76</v>
      </c>
      <c r="G4" s="93"/>
      <c r="H4" s="94"/>
      <c r="I4" s="115" t="s">
        <v>170</v>
      </c>
      <c r="J4" s="96" t="s">
        <v>118</v>
      </c>
      <c r="K4" s="97" t="s">
        <v>120</v>
      </c>
      <c r="L4" s="98" t="s">
        <v>114</v>
      </c>
      <c r="M4" s="98" t="s">
        <v>172</v>
      </c>
      <c r="N4" s="98" t="s">
        <v>173</v>
      </c>
      <c r="O4" s="98" t="s">
        <v>116</v>
      </c>
      <c r="P4" s="98" t="s">
        <v>174</v>
      </c>
      <c r="Q4" s="98" t="s">
        <v>175</v>
      </c>
      <c r="R4" s="128" t="s">
        <v>185</v>
      </c>
      <c r="S4" s="128" t="s">
        <v>183</v>
      </c>
      <c r="T4" s="128" t="s">
        <v>182</v>
      </c>
      <c r="U4" s="130" t="s">
        <v>181</v>
      </c>
      <c r="V4" s="99" t="s">
        <v>120</v>
      </c>
      <c r="W4" s="99" t="s">
        <v>109</v>
      </c>
      <c r="X4" s="99" t="s">
        <v>77</v>
      </c>
      <c r="Y4" s="99" t="s">
        <v>112</v>
      </c>
      <c r="Z4" s="99" t="s">
        <v>89</v>
      </c>
      <c r="AA4" s="99" t="s">
        <v>91</v>
      </c>
      <c r="AB4" s="99" t="s">
        <v>103</v>
      </c>
      <c r="AC4" s="99" t="s">
        <v>107</v>
      </c>
      <c r="AE4" s="95" t="s">
        <v>180</v>
      </c>
      <c r="AG4" s="94" t="s">
        <v>147</v>
      </c>
      <c r="AH4" s="94"/>
      <c r="AI4" s="93" t="s">
        <v>120</v>
      </c>
      <c r="AJ4" s="94" t="s">
        <v>87</v>
      </c>
      <c r="AK4" s="94" t="s">
        <v>86</v>
      </c>
      <c r="AL4" s="94" t="s">
        <v>141</v>
      </c>
      <c r="AM4" s="94"/>
      <c r="AN4" s="94"/>
      <c r="AO4" s="94"/>
      <c r="AP4" s="94"/>
    </row>
    <row r="5" spans="1:42">
      <c r="A5" s="46"/>
      <c r="B5" s="46">
        <v>1990</v>
      </c>
      <c r="C5" s="48">
        <v>4867242</v>
      </c>
      <c r="D5" s="77">
        <v>4649770</v>
      </c>
      <c r="E5" s="48">
        <f>3880978</f>
        <v>3880978</v>
      </c>
      <c r="F5" s="48">
        <v>3300908</v>
      </c>
      <c r="G5" s="44"/>
      <c r="H5" s="83">
        <v>1990</v>
      </c>
      <c r="I5" s="116">
        <f>K5</f>
        <v>3991194.5628887536</v>
      </c>
      <c r="J5" s="81">
        <f>SUMIFS(historicalGHG!$AI:$AI,historicalGHG!$B:$B,J$4,historicalGHG!$C:$C,$H5,historicalGHG!$D:$D,J$3)</f>
        <v>3643060.0235206606</v>
      </c>
      <c r="K5" s="80">
        <f>SUMIFS(historicalGHG!$AI:$AI,historicalGHG!$B:$B,K$4,historicalGHG!$C:$C,$H5,historicalGHG!$D:$D,K$3)</f>
        <v>3991194.5628887536</v>
      </c>
      <c r="L5" s="80">
        <f>SUMIFS(historicalGHG!$AI:$AI,historicalGHG!$B:$B,L$4,historicalGHG!$C:$C,$H5,historicalGHG!$D:$D,L$3)</f>
        <v>53966.822795105094</v>
      </c>
      <c r="M5" s="80"/>
      <c r="N5" s="80"/>
      <c r="O5" s="80">
        <f>SUMIFS(historicalGHG!$AI:$AI,historicalGHG!$B:$B,O$4,historicalGHG!$C:$C,$H5,historicalGHG!$D:$D,O$3)</f>
        <v>101077.4077014072</v>
      </c>
      <c r="P5" s="80"/>
      <c r="Q5" s="80"/>
      <c r="R5" s="131">
        <v>0</v>
      </c>
      <c r="S5" s="131">
        <f>SUM(V5,W5,Y5,Z5,AA5,AB5,AC5)</f>
        <v>1030542.2521883046</v>
      </c>
      <c r="T5" s="131">
        <f>SUM(V5,Z5,AA5,AB5,AC5)</f>
        <v>361090.6165530486</v>
      </c>
      <c r="U5" s="132">
        <f>SUM(V5:AC5)</f>
        <v>821979.95598342596</v>
      </c>
      <c r="V5" s="48">
        <f>SUMIFS(historicalGHG!$AI:$AI,historicalGHG!$B:$B,V$4,historicalGHG!$C:$C,$H5,historicalGHG!$D:$D,V$3)</f>
        <v>191900.87214144869</v>
      </c>
      <c r="W5" s="48">
        <f>SUMIFS(historicalGHG!$AI:$AI,historicalGHG!$B:$B,W$4,historicalGHG!$C:$C,$H5,historicalGHG!$D:$D,W$3)</f>
        <v>485094.00734983006</v>
      </c>
      <c r="X5" s="48">
        <f>SUMIFS(historicalGHG!$AI:$AI,historicalGHG!$B:$B,X$4,historicalGHG!$C:$C,$H5,historicalGHG!$D:$D,X$3)</f>
        <v>-208562.2962048786</v>
      </c>
      <c r="Y5" s="48">
        <f>SUMIFS(historicalGHG!$AI:$AI,historicalGHG!$B:$B,Y$4,historicalGHG!$C:$C,$H5,historicalGHG!$D:$D,Y$3)</f>
        <v>184357.6282854258</v>
      </c>
      <c r="Z5" s="48">
        <f>SUMIFS(historicalGHG!$AI:$AI,historicalGHG!$B:$B,Z$4,historicalGHG!$C:$C,$H5,historicalGHG!$D:$D,Z$3)</f>
        <v>168709.32552508291</v>
      </c>
      <c r="AA5" s="48">
        <f>SUMIFS(historicalGHG!$AI:$AI,historicalGHG!$B:$B,AA$4,historicalGHG!$C:$C,$H5,historicalGHG!$D:$D,AA$3)</f>
        <v>0</v>
      </c>
      <c r="AB5" s="48">
        <f>SUMIFS(historicalGHG!$AI:$AI,historicalGHG!$B:$B,AB$4,historicalGHG!$C:$C,$H5,historicalGHG!$D:$D,AB$3)</f>
        <v>6.1275051272882806</v>
      </c>
      <c r="AC5" s="48">
        <f>SUMIFS(historicalGHG!$AI:$AI,historicalGHG!$B:$B,AC$4,historicalGHG!$C:$C,$H5,historicalGHG!$D:$D,AC$3)</f>
        <v>474.29138138972098</v>
      </c>
      <c r="AG5" s="50">
        <f>J5-SUM(V5:AC5)-(K5-L5-O5)</f>
        <v>-1015070.2648550067</v>
      </c>
      <c r="AH5" s="50"/>
      <c r="AI5" s="44">
        <v>1990</v>
      </c>
      <c r="AJ5" s="50">
        <v>202261.7498626443</v>
      </c>
      <c r="AK5" s="50">
        <v>4277701.9462121036</v>
      </c>
      <c r="AL5" s="79">
        <v>4.7282805676011778E-2</v>
      </c>
      <c r="AM5" s="44"/>
      <c r="AN5" s="44"/>
      <c r="AO5" s="44"/>
      <c r="AP5" s="44"/>
    </row>
    <row r="6" spans="1:42">
      <c r="A6" s="46"/>
      <c r="B6" s="46">
        <v>2010</v>
      </c>
      <c r="C6" s="48">
        <v>4171763</v>
      </c>
      <c r="D6" s="77">
        <v>3820496</v>
      </c>
      <c r="E6" s="48">
        <v>3437724</v>
      </c>
      <c r="F6" s="48">
        <v>3061101</v>
      </c>
      <c r="G6" s="44"/>
      <c r="H6" s="83">
        <v>2010</v>
      </c>
      <c r="I6" s="116">
        <f t="shared" ref="I6:I8" si="0">K6</f>
        <v>3663881.114534359</v>
      </c>
      <c r="J6" s="81">
        <f>SUMIFS(historicalGHG!$AI:$AI,historicalGHG!$B:$B,J$4,historicalGHG!$C:$C,$H6,historicalGHG!$D:$D,J$3)</f>
        <v>3071371.0751741063</v>
      </c>
      <c r="K6" s="80">
        <f>SUMIFS(historicalGHG!$AI:$AI,historicalGHG!$B:$B,K$4,historicalGHG!$C:$C,$H6,historicalGHG!$D:$D,K$3)</f>
        <v>3663881.114534359</v>
      </c>
      <c r="L6" s="80">
        <f>SUMIFS(historicalGHG!$AI:$AI,historicalGHG!$B:$B,L$4,historicalGHG!$C:$C,$H6,historicalGHG!$D:$D,L$3)</f>
        <v>99855.941606070002</v>
      </c>
      <c r="M6" s="80"/>
      <c r="N6" s="80"/>
      <c r="O6" s="80">
        <f>SUMIFS(historicalGHG!$AI:$AI,historicalGHG!$B:$B,O$4,historicalGHG!$C:$C,$H6,historicalGHG!$D:$D,O$3)</f>
        <v>150340.14376385955</v>
      </c>
      <c r="P6" s="80"/>
      <c r="Q6" s="80"/>
      <c r="R6" s="131">
        <v>0</v>
      </c>
      <c r="S6" s="131">
        <f t="shared" ref="S6:S14" si="1">SUM(V6,W6,Y6,Z6,AA6,AB6,AC6)</f>
        <v>772394.55294794345</v>
      </c>
      <c r="T6" s="131">
        <f t="shared" ref="T6:T14" si="2">SUM(V6,Z6,AA6,AB6,AC6)</f>
        <v>258431.49724942364</v>
      </c>
      <c r="U6" s="132">
        <f t="shared" ref="U6:U14" si="3">SUM(V6:AC6)</f>
        <v>419615.04419644061</v>
      </c>
      <c r="V6" s="48">
        <f>SUMIFS(historicalGHG!$AI:$AI,historicalGHG!$B:$B,V$4,historicalGHG!$C:$C,$H6,historicalGHG!$D:$D,V$3)</f>
        <v>85232.211084726951</v>
      </c>
      <c r="W6" s="48">
        <f>SUMIFS(historicalGHG!$AI:$AI,historicalGHG!$B:$B,W$4,historicalGHG!$C:$C,$H6,historicalGHG!$D:$D,W$3)</f>
        <v>376631.94996541418</v>
      </c>
      <c r="X6" s="48">
        <f>SUMIFS(historicalGHG!$AI:$AI,historicalGHG!$B:$B,X$4,historicalGHG!$C:$C,$H6,historicalGHG!$D:$D,X$3)</f>
        <v>-352779.5087515029</v>
      </c>
      <c r="Y6" s="48">
        <f>SUMIFS(historicalGHG!$AI:$AI,historicalGHG!$B:$B,Y$4,historicalGHG!$C:$C,$H6,historicalGHG!$D:$D,Y$3)</f>
        <v>137331.10573310568</v>
      </c>
      <c r="Z6" s="48">
        <f>SUMIFS(historicalGHG!$AI:$AI,historicalGHG!$B:$B,Z$4,historicalGHG!$C:$C,$H6,historicalGHG!$D:$D,Z$3)</f>
        <v>88942.117884213512</v>
      </c>
      <c r="AA6" s="48">
        <f>SUMIFS(historicalGHG!$AI:$AI,historicalGHG!$B:$B,AA$4,historicalGHG!$C:$C,$H6,historicalGHG!$D:$D,AA$3)</f>
        <v>0</v>
      </c>
      <c r="AB6" s="48">
        <f>SUMIFS(historicalGHG!$AI:$AI,historicalGHG!$B:$B,AB$4,historicalGHG!$C:$C,$H6,historicalGHG!$D:$D,AB$3)</f>
        <v>83749.866067681331</v>
      </c>
      <c r="AC6" s="48">
        <f>SUMIFS(historicalGHG!$AI:$AI,historicalGHG!$B:$B,AC$4,historicalGHG!$C:$C,$H6,historicalGHG!$D:$D,AC$3)</f>
        <v>507.30221280181991</v>
      </c>
      <c r="AG6" s="50">
        <f>J6-SUM(V6:AC6)-(K6-L6-O6)</f>
        <v>-761928.99818676384</v>
      </c>
      <c r="AH6" s="50"/>
      <c r="AI6" s="44">
        <v>2010</v>
      </c>
      <c r="AJ6" s="50">
        <v>88334.854219859117</v>
      </c>
      <c r="AK6" s="50">
        <v>3850668.4755881652</v>
      </c>
      <c r="AL6" s="79">
        <v>2.2940134883039115E-2</v>
      </c>
      <c r="AM6" s="44"/>
      <c r="AN6" s="44"/>
      <c r="AO6" s="44"/>
      <c r="AP6" s="44"/>
    </row>
    <row r="7" spans="1:42">
      <c r="A7" s="46"/>
      <c r="B7" s="46">
        <v>2015</v>
      </c>
      <c r="C7" s="48">
        <v>3810555</v>
      </c>
      <c r="D7" s="77">
        <v>3486016</v>
      </c>
      <c r="E7" s="48">
        <v>3107670</v>
      </c>
      <c r="F7" s="48">
        <v>2758750</v>
      </c>
      <c r="G7" s="44"/>
      <c r="H7" s="83">
        <v>2015</v>
      </c>
      <c r="I7" s="116">
        <f t="shared" si="0"/>
        <v>3310547.6663923943</v>
      </c>
      <c r="J7" s="81">
        <f>SUMIFS(historicalGHG!$AI:$AI,historicalGHG!$B:$B,J$4,historicalGHG!$C:$C,$H7,historicalGHG!$D:$D,J$3)</f>
        <v>2764652.1367139961</v>
      </c>
      <c r="K7" s="80">
        <f>SUMIFS(historicalGHG!$AI:$AI,historicalGHG!$B:$B,K$4,historicalGHG!$C:$C,$H7,historicalGHG!$D:$D,K$3)</f>
        <v>3310547.6663923943</v>
      </c>
      <c r="L7" s="80">
        <f>SUMIFS(historicalGHG!$AI:$AI,historicalGHG!$B:$B,L$4,historicalGHG!$C:$C,$H7,historicalGHG!$D:$D,L$3)</f>
        <v>107954.92554521804</v>
      </c>
      <c r="M7" s="80"/>
      <c r="N7" s="80"/>
      <c r="O7" s="80">
        <f>SUMIFS(historicalGHG!$AI:$AI,historicalGHG!$B:$B,O$4,historicalGHG!$C:$C,$H7,historicalGHG!$D:$D,O$3)</f>
        <v>127985.67372351167</v>
      </c>
      <c r="P7" s="80"/>
      <c r="Q7" s="80"/>
      <c r="R7" s="131">
        <v>0</v>
      </c>
      <c r="S7" s="131">
        <f t="shared" si="1"/>
        <v>744728.83670519583</v>
      </c>
      <c r="T7" s="131">
        <f t="shared" si="2"/>
        <v>241593.58355103867</v>
      </c>
      <c r="U7" s="132">
        <f t="shared" si="3"/>
        <v>422643.26467495615</v>
      </c>
      <c r="V7" s="48">
        <f>SUMIFS(historicalGHG!$AI:$AI,historicalGHG!$B:$B,V$4,historicalGHG!$C:$C,$H7,historicalGHG!$D:$D,V$3)</f>
        <v>71903.015006757938</v>
      </c>
      <c r="W7" s="48">
        <f>SUMIFS(historicalGHG!$AI:$AI,historicalGHG!$B:$B,W$4,historicalGHG!$C:$C,$H7,historicalGHG!$D:$D,W$3)</f>
        <v>384630.66575479147</v>
      </c>
      <c r="X7" s="48">
        <f>SUMIFS(historicalGHG!$AI:$AI,historicalGHG!$B:$B,X$4,historicalGHG!$C:$C,$H7,historicalGHG!$D:$D,X$3)</f>
        <v>-322085.5720302398</v>
      </c>
      <c r="Y7" s="48">
        <f>SUMIFS(historicalGHG!$AI:$AI,historicalGHG!$B:$B,Y$4,historicalGHG!$C:$C,$H7,historicalGHG!$D:$D,Y$3)</f>
        <v>118504.58739936577</v>
      </c>
      <c r="Z7" s="48">
        <f>SUMIFS(historicalGHG!$AI:$AI,historicalGHG!$B:$B,Z$4,historicalGHG!$C:$C,$H7,historicalGHG!$D:$D,Z$3)</f>
        <v>82722.175811266716</v>
      </c>
      <c r="AA7" s="48">
        <f>SUMIFS(historicalGHG!$AI:$AI,historicalGHG!$B:$B,AA$4,historicalGHG!$C:$C,$H7,historicalGHG!$D:$D,AA$3)</f>
        <v>0</v>
      </c>
      <c r="AB7" s="48">
        <f>SUMIFS(historicalGHG!$AI:$AI,historicalGHG!$B:$B,AB$4,historicalGHG!$C:$C,$H7,historicalGHG!$D:$D,AB$3)</f>
        <v>86590.345280039153</v>
      </c>
      <c r="AC7" s="48">
        <f>SUMIFS(historicalGHG!$AI:$AI,historicalGHG!$B:$B,AC$4,historicalGHG!$C:$C,$H7,historicalGHG!$D:$D,AC$3)</f>
        <v>378.04745297486147</v>
      </c>
      <c r="AG7" s="50">
        <f>J7-SUM(V7:AC7)-(K7-L7-O7)</f>
        <v>-732598.19508462446</v>
      </c>
      <c r="AH7" s="50"/>
      <c r="AI7" s="44">
        <v>2015</v>
      </c>
      <c r="AJ7" s="50">
        <v>74673.777272313513</v>
      </c>
      <c r="AK7" s="50">
        <v>3478074.0374120884</v>
      </c>
      <c r="AL7" s="79">
        <v>2.1469864203315127E-2</v>
      </c>
      <c r="AM7" s="44"/>
      <c r="AN7" s="44"/>
      <c r="AO7" s="44"/>
      <c r="AP7" s="44"/>
    </row>
    <row r="8" spans="1:42">
      <c r="A8" s="46"/>
      <c r="B8" s="46">
        <v>2019</v>
      </c>
      <c r="C8" s="48">
        <v>3584404</v>
      </c>
      <c r="D8" s="77">
        <v>3343420</v>
      </c>
      <c r="E8" s="48">
        <v>2917621</v>
      </c>
      <c r="F8" s="48">
        <v>2651404</v>
      </c>
      <c r="G8" s="44"/>
      <c r="H8" s="83">
        <v>2019</v>
      </c>
      <c r="I8" s="116">
        <f t="shared" si="0"/>
        <v>3156134.2173669399</v>
      </c>
      <c r="J8" s="81">
        <f>SUMIFS(historicalGHG!$AI:$AI,historicalGHG!$B:$B,J$4,historicalGHG!$C:$C,$H8,historicalGHG!$D:$D,J$3)</f>
        <v>2654313.5899634887</v>
      </c>
      <c r="K8" s="80">
        <f>SUMIFS(historicalGHG!$AI:$AI,historicalGHG!$B:$B,K$4,historicalGHG!$C:$C,$H8,historicalGHG!$D:$D,K$3)</f>
        <v>3156134.2173669399</v>
      </c>
      <c r="L8" s="80">
        <f>SUMIFS(historicalGHG!$AI:$AI,historicalGHG!$B:$B,L$4,historicalGHG!$C:$C,$H8,historicalGHG!$D:$D,L$3)</f>
        <v>132240.63732411867</v>
      </c>
      <c r="M8" s="80"/>
      <c r="N8" s="80"/>
      <c r="O8" s="80">
        <f>SUMIFS(historicalGHG!$AI:$AI,historicalGHG!$B:$B,O$4,historicalGHG!$C:$C,$H8,historicalGHG!$D:$D,O$3)</f>
        <v>135327.31949175702</v>
      </c>
      <c r="P8" s="80"/>
      <c r="Q8" s="80"/>
      <c r="R8" s="131">
        <v>0</v>
      </c>
      <c r="S8" s="131">
        <f t="shared" si="1"/>
        <v>711414.49757391133</v>
      </c>
      <c r="T8" s="131">
        <f t="shared" si="2"/>
        <v>217999.4580013238</v>
      </c>
      <c r="U8" s="132">
        <f t="shared" si="3"/>
        <v>466331.43798198685</v>
      </c>
      <c r="V8" s="48">
        <f>SUMIFS(historicalGHG!$AI:$AI,historicalGHG!$B:$B,V$4,historicalGHG!$C:$C,$H8,historicalGHG!$D:$D,V$3)</f>
        <v>70899.777962238237</v>
      </c>
      <c r="W8" s="48">
        <f>SUMIFS(historicalGHG!$AI:$AI,historicalGHG!$B:$B,W$4,historicalGHG!$C:$C,$H8,historicalGHG!$D:$D,W$3)</f>
        <v>380591.68800445262</v>
      </c>
      <c r="X8" s="48">
        <f>SUMIFS(historicalGHG!$AI:$AI,historicalGHG!$B:$B,X$4,historicalGHG!$C:$C,$H8,historicalGHG!$D:$D,X$3)</f>
        <v>-245083.05959192442</v>
      </c>
      <c r="Y8" s="48">
        <f>SUMIFS(historicalGHG!$AI:$AI,historicalGHG!$B:$B,Y$4,historicalGHG!$C:$C,$H8,historicalGHG!$D:$D,Y$3)</f>
        <v>112823.35156813481</v>
      </c>
      <c r="Z8" s="48">
        <f>SUMIFS(historicalGHG!$AI:$AI,historicalGHG!$B:$B,Z$4,historicalGHG!$C:$C,$H8,historicalGHG!$D:$D,Z$3)</f>
        <v>68470.868586159864</v>
      </c>
      <c r="AA8" s="48">
        <f>SUMIFS(historicalGHG!$AI:$AI,historicalGHG!$B:$B,AA$4,historicalGHG!$C:$C,$H8,historicalGHG!$D:$D,AA$3)</f>
        <v>0</v>
      </c>
      <c r="AB8" s="48">
        <f>SUMIFS(historicalGHG!$AI:$AI,historicalGHG!$B:$B,AB$4,historicalGHG!$C:$C,$H8,historicalGHG!$D:$D,AB$3)</f>
        <v>78255.127009075804</v>
      </c>
      <c r="AC8" s="48">
        <f>SUMIFS(historicalGHG!$AI:$AI,historicalGHG!$B:$B,AC$4,historicalGHG!$C:$C,$H8,historicalGHG!$D:$D,AC$3)</f>
        <v>373.6844438498988</v>
      </c>
      <c r="AG8" s="50">
        <f>J8-SUM(V8:AC8)-(K8-L8-O8)</f>
        <v>-700584.10856956244</v>
      </c>
      <c r="AH8" s="50"/>
      <c r="AI8" s="44">
        <v>2019</v>
      </c>
      <c r="AJ8" s="50">
        <v>73534.328001521717</v>
      </c>
      <c r="AK8" s="50">
        <v>3319831.2810020288</v>
      </c>
      <c r="AL8" s="79">
        <v>2.2150019617661641E-2</v>
      </c>
      <c r="AM8" s="44"/>
      <c r="AN8" s="44"/>
      <c r="AO8" s="44"/>
      <c r="AP8" s="44"/>
    </row>
    <row r="9" spans="1:42" ht="13.2" customHeight="1">
      <c r="A9" s="46"/>
      <c r="B9" s="46">
        <v>2025</v>
      </c>
      <c r="C9" s="48">
        <v>3374743</v>
      </c>
      <c r="D9" s="77">
        <v>3138341</v>
      </c>
      <c r="E9" s="48">
        <v>2748554</v>
      </c>
      <c r="F9" s="48">
        <v>2485814</v>
      </c>
      <c r="G9" s="44"/>
      <c r="H9" s="83">
        <v>2025</v>
      </c>
      <c r="I9" s="113"/>
      <c r="J9" s="82"/>
      <c r="K9" s="137" t="s">
        <v>144</v>
      </c>
      <c r="L9" s="124">
        <f>M9+N9</f>
        <v>74058.416642907672</v>
      </c>
      <c r="M9" s="123">
        <v>74058.416642907672</v>
      </c>
      <c r="N9" s="122"/>
      <c r="O9" s="124">
        <f>P9+Q9</f>
        <v>34043.317361612208</v>
      </c>
      <c r="P9" s="123">
        <v>34043.317361612208</v>
      </c>
      <c r="Q9" s="122"/>
      <c r="R9" s="131">
        <v>0</v>
      </c>
      <c r="S9" s="131">
        <f t="shared" si="1"/>
        <v>641966.24164693023</v>
      </c>
      <c r="T9" s="131">
        <f t="shared" si="2"/>
        <v>170669.78480936773</v>
      </c>
      <c r="U9" s="132">
        <f t="shared" si="3"/>
        <v>364424.71185096796</v>
      </c>
      <c r="V9" s="125">
        <f>V8-($V$8/($H$14-$H$8))*6</f>
        <v>57177.240292127608</v>
      </c>
      <c r="W9" s="125">
        <f>W8+(W$12-W$8)/($H$12-$H$8)*($H9-$H8)</f>
        <v>372136.92000318045</v>
      </c>
      <c r="X9" s="125">
        <f>AVERAGE(X8,X10)</f>
        <v>-277541.52979596221</v>
      </c>
      <c r="Y9" s="125">
        <f>Y8+(Y$12-Y$8)/($H$12-$H$8)*($H9-$H8)</f>
        <v>99159.536834382001</v>
      </c>
      <c r="Z9" s="125">
        <f>Z8-($V$8/($H$14-$H$8))*6</f>
        <v>54748.330916049235</v>
      </c>
      <c r="AA9" s="125">
        <f>AA8</f>
        <v>0</v>
      </c>
      <c r="AB9" s="125">
        <f>AB8+(AB$12-AB$8)/($H$12-$H$8)*($H9-$H8)</f>
        <v>58370.529157340978</v>
      </c>
      <c r="AC9" s="125">
        <f>AC8</f>
        <v>373.6844438498988</v>
      </c>
      <c r="AD9" s="44"/>
      <c r="AE9" s="44"/>
      <c r="AF9" s="44"/>
      <c r="AG9" s="44"/>
      <c r="AH9" s="44"/>
      <c r="AI9" s="44">
        <v>2021</v>
      </c>
      <c r="AJ9" s="50">
        <v>69441.185930638705</v>
      </c>
      <c r="AK9" s="50">
        <v>3139185.2771333903</v>
      </c>
      <c r="AL9" s="79">
        <v>2.2120766950732614E-2</v>
      </c>
      <c r="AM9" s="44"/>
      <c r="AN9" s="44"/>
      <c r="AO9" s="44"/>
      <c r="AP9" s="44"/>
    </row>
    <row r="10" spans="1:42">
      <c r="A10" s="49">
        <v>-0.55000000000000004</v>
      </c>
      <c r="B10" s="46">
        <v>2030</v>
      </c>
      <c r="C10" s="48">
        <f>C$6*$A10+C$6</f>
        <v>1877293.3499999996</v>
      </c>
      <c r="D10" s="77">
        <f>D$6*$A10+D$6</f>
        <v>1719223.1999999997</v>
      </c>
      <c r="E10" s="48">
        <f>E$6*$A10+E$6</f>
        <v>1546975.7999999998</v>
      </c>
      <c r="F10" s="48">
        <f>F$6*$A10+F$6</f>
        <v>1377495.45</v>
      </c>
      <c r="G10" s="44"/>
      <c r="H10" s="83">
        <v>2030</v>
      </c>
      <c r="I10" s="116">
        <f>J10-R10+N10+(Q10*0.5)</f>
        <v>1546975.7999999998</v>
      </c>
      <c r="J10" s="81">
        <f>E10</f>
        <v>1546975.7999999998</v>
      </c>
      <c r="K10" s="137"/>
      <c r="L10" s="124">
        <f t="shared" ref="L10:L14" si="4">M10+N10</f>
        <v>74500.310513873963</v>
      </c>
      <c r="M10" s="123">
        <v>74500.310513873963</v>
      </c>
      <c r="N10" s="122"/>
      <c r="O10" s="124">
        <f t="shared" ref="O10:O14" si="5">P10+Q10</f>
        <v>8728.9052408518764</v>
      </c>
      <c r="P10" s="123">
        <v>8728.9052408518764</v>
      </c>
      <c r="Q10" s="122"/>
      <c r="R10" s="131">
        <v>0</v>
      </c>
      <c r="S10" s="131">
        <f t="shared" si="1"/>
        <v>584092.69504111272</v>
      </c>
      <c r="T10" s="131">
        <f t="shared" si="2"/>
        <v>131228.39048273765</v>
      </c>
      <c r="U10" s="132">
        <f t="shared" si="3"/>
        <v>274092.69504111266</v>
      </c>
      <c r="V10" s="125">
        <f>V9-($V$8/($H$14-$H$8))*5</f>
        <v>45741.792233702086</v>
      </c>
      <c r="W10" s="125">
        <f>W9+(W$12-W$8)/($H$12-$H$8)*($H10-$H9)</f>
        <v>365091.2800021203</v>
      </c>
      <c r="X10" s="125">
        <f>L26*1000</f>
        <v>-310000</v>
      </c>
      <c r="Y10" s="125">
        <f>Y9+(Y$12-Y$8)/($H$12-$H$8)*($H10-$H9)</f>
        <v>87773.024556254662</v>
      </c>
      <c r="Z10" s="125">
        <f>Z9-($V$8/($H$14-$H$8))*5</f>
        <v>43312.882857623714</v>
      </c>
      <c r="AA10" s="125">
        <f t="shared" ref="AA10:AA14" si="6">AA9</f>
        <v>0</v>
      </c>
      <c r="AB10" s="125">
        <f>AB9+(AB$12-AB$8)/($H$12-$H$8)*($H10-$H9)</f>
        <v>41800.030947561958</v>
      </c>
      <c r="AC10" s="125">
        <f t="shared" ref="AC10:AC14" si="7">AC9</f>
        <v>373.6844438498988</v>
      </c>
      <c r="AD10" s="44"/>
      <c r="AE10" s="44"/>
      <c r="AF10" s="44"/>
      <c r="AG10" s="44"/>
      <c r="AH10" s="44"/>
      <c r="AI10" s="44"/>
      <c r="AJ10" s="44"/>
      <c r="AK10" s="44"/>
      <c r="AL10" s="44" t="s">
        <v>142</v>
      </c>
      <c r="AM10" s="44"/>
      <c r="AN10" s="44"/>
      <c r="AO10" s="44"/>
      <c r="AP10" s="44"/>
    </row>
    <row r="11" spans="1:42">
      <c r="A11" s="49">
        <f>AVERAGE(A10,A12)</f>
        <v>-0.72500000000000009</v>
      </c>
      <c r="B11" s="46">
        <v>2035</v>
      </c>
      <c r="C11" s="48">
        <f t="shared" ref="C11:C14" si="8">C$6*$A11+C$6</f>
        <v>1147234.8249999997</v>
      </c>
      <c r="D11" s="77">
        <f t="shared" ref="D11:E14" si="9">D$6*$A11+D$6</f>
        <v>1050636.3999999994</v>
      </c>
      <c r="E11" s="48">
        <f t="shared" si="9"/>
        <v>945374.09999999963</v>
      </c>
      <c r="F11" s="48">
        <f t="shared" ref="F11:F14" si="10">F$6*$A11+F$6</f>
        <v>841802.77499999991</v>
      </c>
      <c r="G11" s="44"/>
      <c r="H11" s="83">
        <v>2035</v>
      </c>
      <c r="I11" s="116">
        <f t="shared" ref="I11:I14" si="11">J11-R11+N11+(Q11*0.5)</f>
        <v>945374.09999999963</v>
      </c>
      <c r="J11" s="81">
        <f t="shared" ref="J11:J14" si="12">E11</f>
        <v>945374.09999999963</v>
      </c>
      <c r="K11" s="137"/>
      <c r="L11" s="124">
        <f t="shared" si="4"/>
        <v>88866.562705180462</v>
      </c>
      <c r="M11" s="123">
        <v>88866.562705180462</v>
      </c>
      <c r="N11" s="122"/>
      <c r="O11" s="124">
        <f t="shared" si="5"/>
        <v>12721.546221466961</v>
      </c>
      <c r="P11" s="123">
        <v>12721.546221466961</v>
      </c>
      <c r="Q11" s="122"/>
      <c r="R11" s="131">
        <v>0</v>
      </c>
      <c r="S11" s="131">
        <f t="shared" si="1"/>
        <v>526219.14843529509</v>
      </c>
      <c r="T11" s="131">
        <f t="shared" si="2"/>
        <v>91786.996156107591</v>
      </c>
      <c r="U11" s="132">
        <f t="shared" si="3"/>
        <v>216219.14843529504</v>
      </c>
      <c r="V11" s="125">
        <f>V10-($V$8/($H$14-$H$8))*5</f>
        <v>34306.344175276565</v>
      </c>
      <c r="W11" s="125">
        <f>W10+(W$12-W$8)/($H$12-$H$8)*($H11-$H10)</f>
        <v>358045.64000106015</v>
      </c>
      <c r="X11" s="125">
        <f>AVERAGE(X10,X12)</f>
        <v>-310000</v>
      </c>
      <c r="Y11" s="125">
        <f>Y10+(Y$12-Y$8)/($H$12-$H$8)*($H11-$H10)</f>
        <v>76386.512278127324</v>
      </c>
      <c r="Z11" s="125">
        <f>Z10-($V$8/($H$14-$H$8))*5</f>
        <v>31877.434799198192</v>
      </c>
      <c r="AA11" s="125">
        <f t="shared" si="6"/>
        <v>0</v>
      </c>
      <c r="AB11" s="125">
        <f>AB10+(AB$12-AB$8)/($H$12-$H$8)*($H11-$H10)</f>
        <v>25229.532737782938</v>
      </c>
      <c r="AC11" s="125">
        <f t="shared" si="7"/>
        <v>373.6844438498988</v>
      </c>
      <c r="AD11" s="44"/>
      <c r="AE11" s="44"/>
      <c r="AF11" s="44"/>
      <c r="AG11" s="44"/>
      <c r="AH11" s="44"/>
      <c r="AI11" s="44"/>
      <c r="AJ11" s="44"/>
      <c r="AK11" s="44"/>
      <c r="AL11" s="44" t="s">
        <v>143</v>
      </c>
      <c r="AM11" s="44"/>
      <c r="AN11" s="44"/>
      <c r="AO11" s="44"/>
      <c r="AP11" s="44"/>
    </row>
    <row r="12" spans="1:42">
      <c r="A12" s="49">
        <v>-0.9</v>
      </c>
      <c r="B12" s="46">
        <v>2040</v>
      </c>
      <c r="C12" s="48">
        <f t="shared" si="8"/>
        <v>417176.29999999981</v>
      </c>
      <c r="D12" s="77">
        <f t="shared" si="9"/>
        <v>382049.60000000009</v>
      </c>
      <c r="E12" s="48">
        <f t="shared" si="9"/>
        <v>343772.39999999991</v>
      </c>
      <c r="F12" s="48">
        <f t="shared" si="10"/>
        <v>306110.10000000009</v>
      </c>
      <c r="G12" s="44"/>
      <c r="H12" s="83">
        <v>2040</v>
      </c>
      <c r="I12" s="116">
        <f t="shared" si="11"/>
        <v>343772.39999999991</v>
      </c>
      <c r="J12" s="81">
        <f t="shared" si="12"/>
        <v>343772.39999999991</v>
      </c>
      <c r="K12" s="137"/>
      <c r="L12" s="124">
        <f t="shared" si="4"/>
        <v>97530.319573975808</v>
      </c>
      <c r="M12" s="123">
        <v>97530.319573975808</v>
      </c>
      <c r="N12" s="122"/>
      <c r="O12" s="124">
        <f t="shared" si="5"/>
        <v>11196.172262997214</v>
      </c>
      <c r="P12" s="123">
        <v>11196.172262997214</v>
      </c>
      <c r="Q12" s="122"/>
      <c r="R12" s="131">
        <v>0</v>
      </c>
      <c r="S12" s="131">
        <f t="shared" si="1"/>
        <v>468345.60182947753</v>
      </c>
      <c r="T12" s="131">
        <f t="shared" si="2"/>
        <v>52345.601829477528</v>
      </c>
      <c r="U12" s="132">
        <f t="shared" si="3"/>
        <v>158345.6018294775</v>
      </c>
      <c r="V12" s="125">
        <f>V11-($V$8/($H$14-$H$8))*5</f>
        <v>22870.896116851043</v>
      </c>
      <c r="W12" s="125">
        <f>351*1000</f>
        <v>351000</v>
      </c>
      <c r="X12" s="125">
        <f>X10</f>
        <v>-310000</v>
      </c>
      <c r="Y12" s="125">
        <f>65*1000</f>
        <v>65000</v>
      </c>
      <c r="Z12" s="125">
        <f>Z11-($V$8/($H$14-$H$8))*5</f>
        <v>20441.986740772671</v>
      </c>
      <c r="AA12" s="125">
        <f t="shared" si="6"/>
        <v>0</v>
      </c>
      <c r="AB12" s="125">
        <f>AB7+AB7*-0.9</f>
        <v>8659.0345280039182</v>
      </c>
      <c r="AC12" s="125">
        <f t="shared" si="7"/>
        <v>373.6844438498988</v>
      </c>
      <c r="AD12" s="44"/>
      <c r="AE12" s="44"/>
      <c r="AF12" s="44"/>
      <c r="AG12" s="44"/>
      <c r="AH12" s="44"/>
      <c r="AI12" s="44"/>
      <c r="AJ12" s="44"/>
      <c r="AK12" s="44"/>
      <c r="AL12" s="44"/>
      <c r="AM12" s="44"/>
      <c r="AN12" s="44"/>
      <c r="AO12" s="44"/>
      <c r="AP12" s="44"/>
    </row>
    <row r="13" spans="1:42">
      <c r="A13" s="49">
        <f>AVERAGE(A12,A14)</f>
        <v>-0.95</v>
      </c>
      <c r="B13" s="46">
        <v>2045</v>
      </c>
      <c r="C13" s="48">
        <f t="shared" si="8"/>
        <v>208588.15000000037</v>
      </c>
      <c r="D13" s="77">
        <f t="shared" si="9"/>
        <v>191024.80000000028</v>
      </c>
      <c r="E13" s="48">
        <f t="shared" si="9"/>
        <v>171886.20000000019</v>
      </c>
      <c r="F13" s="48">
        <f t="shared" si="10"/>
        <v>153055.05000000028</v>
      </c>
      <c r="G13" s="44"/>
      <c r="H13" s="83">
        <v>2045</v>
      </c>
      <c r="I13" s="116">
        <f t="shared" si="11"/>
        <v>171886.20000000019</v>
      </c>
      <c r="J13" s="81">
        <f t="shared" si="12"/>
        <v>171886.20000000019</v>
      </c>
      <c r="K13" s="137"/>
      <c r="L13" s="124">
        <f t="shared" si="4"/>
        <v>102786.49134772753</v>
      </c>
      <c r="M13" s="123">
        <v>102786.49134772753</v>
      </c>
      <c r="N13" s="122"/>
      <c r="O13" s="124">
        <f t="shared" si="5"/>
        <v>12405.174725920806</v>
      </c>
      <c r="P13" s="123">
        <v>12405.174725920806</v>
      </c>
      <c r="Q13" s="122"/>
      <c r="R13" s="131">
        <v>0</v>
      </c>
      <c r="S13" s="131">
        <f t="shared" si="1"/>
        <v>371645.18844862451</v>
      </c>
      <c r="T13" s="131">
        <f t="shared" si="2"/>
        <v>25145.188448624529</v>
      </c>
      <c r="U13" s="132">
        <f t="shared" si="3"/>
        <v>61645.188448624511</v>
      </c>
      <c r="V13" s="125">
        <f>V12-($V$8/($H$14-$H$8))*5</f>
        <v>11435.448058425522</v>
      </c>
      <c r="W13" s="125">
        <f>AVERAGE(W12,W14)</f>
        <v>300000</v>
      </c>
      <c r="X13" s="125">
        <f>AVERAGE(X12,X14)</f>
        <v>-310000</v>
      </c>
      <c r="Y13" s="125">
        <f>AVERAGE(Y12,Y14)</f>
        <v>46500</v>
      </c>
      <c r="Z13" s="125">
        <f>Z12-($V$8/($H$14-$H$8))*5</f>
        <v>9006.538682347149</v>
      </c>
      <c r="AA13" s="125">
        <f t="shared" si="6"/>
        <v>0</v>
      </c>
      <c r="AB13" s="125">
        <f>AVERAGE(AB12,AB14)</f>
        <v>4329.5172640019591</v>
      </c>
      <c r="AC13" s="125">
        <f t="shared" si="7"/>
        <v>373.6844438498988</v>
      </c>
      <c r="AD13" s="44"/>
      <c r="AE13" s="44"/>
      <c r="AF13" s="44"/>
      <c r="AG13" s="44"/>
      <c r="AH13" s="44"/>
      <c r="AI13" s="44"/>
      <c r="AJ13" s="44"/>
      <c r="AK13" s="44"/>
      <c r="AL13" s="44"/>
      <c r="AM13" s="44"/>
      <c r="AN13" s="44"/>
      <c r="AO13" s="44"/>
      <c r="AP13" s="44"/>
    </row>
    <row r="14" spans="1:42">
      <c r="A14" s="49">
        <v>-1</v>
      </c>
      <c r="B14" s="46">
        <v>2050</v>
      </c>
      <c r="C14" s="48">
        <f t="shared" si="8"/>
        <v>0</v>
      </c>
      <c r="D14" s="77">
        <f t="shared" si="9"/>
        <v>0</v>
      </c>
      <c r="E14" s="48">
        <f t="shared" si="9"/>
        <v>0</v>
      </c>
      <c r="F14" s="48">
        <f t="shared" si="10"/>
        <v>0</v>
      </c>
      <c r="G14" s="44"/>
      <c r="H14" s="83">
        <v>2050</v>
      </c>
      <c r="I14" s="116">
        <f t="shared" si="11"/>
        <v>0</v>
      </c>
      <c r="J14" s="81">
        <f t="shared" si="12"/>
        <v>0</v>
      </c>
      <c r="K14" s="137"/>
      <c r="L14" s="124">
        <f t="shared" si="4"/>
        <v>108770.85718770494</v>
      </c>
      <c r="M14" s="123">
        <v>108770.85718770494</v>
      </c>
      <c r="N14" s="122"/>
      <c r="O14" s="124">
        <f t="shared" si="5"/>
        <v>13904.414354846867</v>
      </c>
      <c r="P14" s="123">
        <v>13904.414354846867</v>
      </c>
      <c r="Q14" s="122"/>
      <c r="R14" s="131">
        <v>0</v>
      </c>
      <c r="S14" s="131">
        <f t="shared" si="1"/>
        <v>277373.6844438499</v>
      </c>
      <c r="T14" s="131">
        <f t="shared" si="2"/>
        <v>373.6844438498988</v>
      </c>
      <c r="U14" s="132">
        <f t="shared" si="3"/>
        <v>-32626.315556150101</v>
      </c>
      <c r="V14" s="126">
        <v>0</v>
      </c>
      <c r="W14" s="125">
        <f>249*1000</f>
        <v>249000</v>
      </c>
      <c r="X14" s="125">
        <f>X12</f>
        <v>-310000</v>
      </c>
      <c r="Y14" s="125">
        <f>28*1000</f>
        <v>28000</v>
      </c>
      <c r="Z14" s="126">
        <v>0</v>
      </c>
      <c r="AA14" s="125">
        <f t="shared" si="6"/>
        <v>0</v>
      </c>
      <c r="AB14" s="125">
        <v>0</v>
      </c>
      <c r="AC14" s="125">
        <f t="shared" si="7"/>
        <v>373.6844438498988</v>
      </c>
      <c r="AD14" s="44"/>
      <c r="AE14" s="44"/>
      <c r="AF14" s="44"/>
      <c r="AG14" s="44"/>
      <c r="AH14" s="44"/>
      <c r="AI14" s="44"/>
      <c r="AJ14" s="44"/>
      <c r="AK14" s="44"/>
      <c r="AL14" s="44"/>
      <c r="AM14" s="44"/>
      <c r="AN14" s="44"/>
      <c r="AO14" s="44"/>
      <c r="AP14" s="44"/>
    </row>
    <row r="15" spans="1:42">
      <c r="A15" s="44"/>
      <c r="B15" s="44"/>
      <c r="C15" s="44"/>
      <c r="D15" s="44"/>
      <c r="E15" s="44"/>
      <c r="F15" s="44"/>
      <c r="G15" s="44"/>
      <c r="H15" s="44"/>
      <c r="I15" s="44"/>
      <c r="J15" s="44"/>
      <c r="K15" s="44"/>
      <c r="L15" s="44" t="s">
        <v>179</v>
      </c>
      <c r="M15" s="44" t="s">
        <v>178</v>
      </c>
      <c r="N15" s="44" t="s">
        <v>176</v>
      </c>
      <c r="O15" s="44" t="s">
        <v>179</v>
      </c>
      <c r="P15" s="44" t="s">
        <v>178</v>
      </c>
      <c r="Q15" s="44" t="s">
        <v>177</v>
      </c>
      <c r="R15" s="44"/>
      <c r="S15" s="44"/>
      <c r="T15" s="44"/>
      <c r="U15" s="101"/>
      <c r="V15" s="44" t="s">
        <v>146</v>
      </c>
      <c r="W15" s="44" t="s">
        <v>163</v>
      </c>
      <c r="X15" s="44" t="s">
        <v>162</v>
      </c>
      <c r="Y15" s="44" t="s">
        <v>163</v>
      </c>
      <c r="Z15" s="44" t="s">
        <v>146</v>
      </c>
      <c r="AA15" s="44" t="s">
        <v>168</v>
      </c>
      <c r="AB15" s="44" t="s">
        <v>163</v>
      </c>
      <c r="AC15" s="44" t="s">
        <v>146</v>
      </c>
      <c r="AD15" s="44"/>
      <c r="AE15" s="44"/>
      <c r="AF15" s="44"/>
      <c r="AG15" s="44"/>
      <c r="AH15" s="44"/>
      <c r="AI15" s="44"/>
      <c r="AJ15" s="44"/>
      <c r="AK15" s="44"/>
      <c r="AL15" s="44"/>
      <c r="AM15" s="44"/>
      <c r="AN15" s="44"/>
      <c r="AO15" s="44"/>
      <c r="AP15" s="44"/>
    </row>
    <row r="16" spans="1:42">
      <c r="A16" s="44"/>
      <c r="B16" s="44"/>
      <c r="C16" s="44"/>
      <c r="D16" s="44"/>
      <c r="E16" s="44"/>
      <c r="F16" s="44"/>
      <c r="G16" s="44"/>
      <c r="H16" s="44"/>
      <c r="I16" s="44"/>
      <c r="J16" s="44"/>
      <c r="K16" s="44"/>
      <c r="L16" s="44"/>
      <c r="M16" s="44"/>
      <c r="N16" s="44"/>
      <c r="O16" s="44"/>
      <c r="P16" s="44"/>
      <c r="Q16" s="44"/>
      <c r="R16" s="44"/>
      <c r="S16" s="44"/>
      <c r="T16" s="44"/>
      <c r="V16" s="44"/>
      <c r="W16" s="44" t="s">
        <v>164</v>
      </c>
      <c r="X16" s="44" t="s">
        <v>165</v>
      </c>
      <c r="Y16" s="44"/>
      <c r="Z16" s="44"/>
      <c r="AA16" s="44"/>
      <c r="AB16" s="44"/>
      <c r="AC16" s="44"/>
      <c r="AD16" s="44"/>
      <c r="AE16" s="44"/>
      <c r="AF16" s="44"/>
      <c r="AG16" s="44"/>
      <c r="AH16" s="44"/>
      <c r="AI16" s="44"/>
      <c r="AJ16" s="44"/>
      <c r="AK16" s="44"/>
      <c r="AL16" s="44"/>
      <c r="AM16" s="44"/>
      <c r="AN16" s="44"/>
      <c r="AO16" s="44"/>
      <c r="AP16" s="44"/>
    </row>
    <row r="17" spans="10:35">
      <c r="W17" s="112"/>
      <c r="X17" s="100" t="s">
        <v>166</v>
      </c>
    </row>
    <row r="18" spans="10:35">
      <c r="W18" s="100" t="s">
        <v>167</v>
      </c>
    </row>
    <row r="19" spans="10:35">
      <c r="J19" s="100" t="s">
        <v>149</v>
      </c>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row>
    <row r="20" spans="10:35">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row>
    <row r="21" spans="10:35">
      <c r="J21" s="101"/>
      <c r="K21" s="100" t="s">
        <v>157</v>
      </c>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row>
    <row r="22" spans="10:35">
      <c r="J22" s="100" t="s">
        <v>151</v>
      </c>
      <c r="K22" s="100" t="s">
        <v>150</v>
      </c>
      <c r="L22" s="100" t="s">
        <v>150</v>
      </c>
      <c r="M22" s="100" t="s">
        <v>159</v>
      </c>
      <c r="N22" s="100" t="s">
        <v>150</v>
      </c>
      <c r="O22" s="100" t="s">
        <v>150</v>
      </c>
      <c r="P22" s="101"/>
      <c r="Q22" s="101"/>
      <c r="R22" s="101"/>
      <c r="S22" s="101"/>
      <c r="T22" s="101"/>
      <c r="U22" s="101"/>
      <c r="Z22" s="101"/>
      <c r="AA22" s="101"/>
      <c r="AB22" s="101"/>
      <c r="AC22" s="101"/>
      <c r="AD22" s="101"/>
      <c r="AE22" s="101"/>
      <c r="AF22" s="101"/>
      <c r="AG22" s="101"/>
      <c r="AH22" s="101"/>
      <c r="AI22" s="101"/>
    </row>
    <row r="23" spans="10:35">
      <c r="J23" s="101" t="s">
        <v>39</v>
      </c>
      <c r="K23" s="101" t="s">
        <v>154</v>
      </c>
      <c r="L23" s="101" t="s">
        <v>155</v>
      </c>
      <c r="M23" s="101" t="s">
        <v>155</v>
      </c>
      <c r="N23" s="101" t="s">
        <v>156</v>
      </c>
      <c r="O23" s="101" t="s">
        <v>160</v>
      </c>
      <c r="P23" s="101" t="s">
        <v>158</v>
      </c>
      <c r="Q23" s="101"/>
      <c r="R23" s="101"/>
      <c r="S23" s="101"/>
      <c r="T23" s="101"/>
      <c r="U23" s="101"/>
      <c r="Z23" s="101"/>
      <c r="AA23" s="101"/>
      <c r="AB23" s="101"/>
      <c r="AC23" s="101"/>
      <c r="AD23" s="101"/>
      <c r="AE23" s="101"/>
      <c r="AF23" s="101"/>
      <c r="AG23" s="101"/>
      <c r="AH23" s="101"/>
      <c r="AI23" s="101"/>
    </row>
    <row r="24" spans="10:35">
      <c r="J24" s="101" t="s">
        <v>152</v>
      </c>
      <c r="K24" s="100">
        <v>0</v>
      </c>
      <c r="L24" s="100">
        <v>50</v>
      </c>
      <c r="M24" s="101">
        <f>L24</f>
        <v>50</v>
      </c>
      <c r="N24" s="101">
        <v>50</v>
      </c>
      <c r="O24" s="101">
        <f>N24</f>
        <v>50</v>
      </c>
      <c r="P24">
        <f>O24</f>
        <v>50</v>
      </c>
      <c r="T24" s="100" t="s">
        <v>153</v>
      </c>
      <c r="Z24" s="101"/>
      <c r="AA24" s="101"/>
      <c r="AB24" s="101"/>
      <c r="AC24" s="101"/>
      <c r="AD24" s="101"/>
      <c r="AE24" s="101"/>
      <c r="AF24" s="101"/>
      <c r="AG24" s="101"/>
      <c r="AH24" s="101"/>
      <c r="AI24" s="101"/>
    </row>
    <row r="25" spans="10:35">
      <c r="J25" s="101">
        <v>2015</v>
      </c>
      <c r="K25" s="101">
        <v>-330</v>
      </c>
      <c r="L25" s="101">
        <f>K25</f>
        <v>-330</v>
      </c>
      <c r="M25" s="101">
        <f>L25</f>
        <v>-330</v>
      </c>
      <c r="N25" s="101">
        <f>L25</f>
        <v>-330</v>
      </c>
      <c r="O25" s="101">
        <f>N25</f>
        <v>-330</v>
      </c>
      <c r="P25" s="101">
        <f>N25</f>
        <v>-330</v>
      </c>
      <c r="Q25" s="101"/>
      <c r="R25" s="101"/>
      <c r="S25" s="101"/>
      <c r="T25" s="101"/>
      <c r="U25" s="101"/>
      <c r="Z25" s="101"/>
      <c r="AA25" s="101"/>
      <c r="AB25" s="101"/>
      <c r="AC25" s="101"/>
      <c r="AD25" s="101"/>
      <c r="AE25" s="101"/>
      <c r="AF25" s="101"/>
      <c r="AG25" s="101"/>
      <c r="AH25" s="101"/>
      <c r="AI25" s="101"/>
    </row>
    <row r="26" spans="10:35">
      <c r="J26" s="101">
        <v>2030</v>
      </c>
      <c r="K26" s="101">
        <v>-310</v>
      </c>
      <c r="L26" s="101">
        <f>K26</f>
        <v>-310</v>
      </c>
      <c r="M26" s="101">
        <v>-334</v>
      </c>
      <c r="N26" s="101">
        <f>K26</f>
        <v>-310</v>
      </c>
      <c r="O26" s="101">
        <f>N26</f>
        <v>-310</v>
      </c>
      <c r="P26" s="101">
        <f>L26</f>
        <v>-310</v>
      </c>
      <c r="Q26" s="101"/>
      <c r="R26" s="101"/>
      <c r="S26" s="101"/>
      <c r="T26" s="101"/>
      <c r="U26" s="101"/>
      <c r="Z26" s="101"/>
      <c r="AA26" s="101"/>
      <c r="AB26" s="101"/>
      <c r="AC26" s="101"/>
      <c r="AD26" s="101"/>
      <c r="AE26" s="101"/>
      <c r="AF26" s="101"/>
      <c r="AG26" s="101"/>
      <c r="AH26" s="101"/>
      <c r="AI26" s="101"/>
    </row>
    <row r="27" spans="10:35">
      <c r="J27" s="101">
        <v>2040</v>
      </c>
      <c r="K27" s="101">
        <v>-220</v>
      </c>
      <c r="L27" s="101">
        <v>-330</v>
      </c>
      <c r="M27" s="101">
        <v>-331</v>
      </c>
      <c r="N27" s="101">
        <v>-330</v>
      </c>
      <c r="O27" s="101">
        <f>N27+100</f>
        <v>-230</v>
      </c>
      <c r="P27" s="101">
        <v>-360</v>
      </c>
      <c r="Q27" s="101"/>
      <c r="R27" s="101"/>
      <c r="S27" s="101"/>
      <c r="T27" s="101"/>
      <c r="U27" s="101"/>
      <c r="Z27" s="101"/>
      <c r="AA27" s="101"/>
      <c r="AB27" s="101"/>
      <c r="AC27" s="101"/>
      <c r="AD27" s="101"/>
      <c r="AE27" s="101"/>
      <c r="AF27" s="101"/>
      <c r="AG27" s="101"/>
      <c r="AH27" s="101"/>
      <c r="AI27" s="101"/>
    </row>
    <row r="28" spans="10:35">
      <c r="J28" s="101">
        <v>2050</v>
      </c>
      <c r="K28" s="101">
        <v>-330</v>
      </c>
      <c r="L28" s="101">
        <v>-340</v>
      </c>
      <c r="M28" s="101">
        <v>-347</v>
      </c>
      <c r="N28" s="101">
        <v>-340</v>
      </c>
      <c r="O28" s="101">
        <f>N28+65</f>
        <v>-275</v>
      </c>
      <c r="P28" s="101">
        <v>-380</v>
      </c>
      <c r="Q28" s="101"/>
      <c r="R28" s="101"/>
      <c r="S28" s="101"/>
      <c r="T28" s="101"/>
      <c r="U28" s="101"/>
      <c r="Z28" s="101"/>
      <c r="AA28" s="101"/>
      <c r="AB28" s="101"/>
      <c r="AC28" s="101"/>
      <c r="AD28" s="101"/>
      <c r="AE28" s="101"/>
      <c r="AF28" s="101"/>
      <c r="AG28" s="101"/>
      <c r="AH28" s="101"/>
      <c r="AI28" s="101"/>
    </row>
    <row r="29" spans="10:35">
      <c r="J29" s="101"/>
      <c r="K29" s="101"/>
      <c r="L29" s="101"/>
      <c r="M29" s="101"/>
      <c r="N29" s="101"/>
      <c r="O29" s="101"/>
      <c r="P29" s="101"/>
      <c r="Q29" s="101"/>
      <c r="R29" s="101"/>
      <c r="S29" s="101"/>
      <c r="T29" s="101"/>
      <c r="U29" s="101"/>
      <c r="V29" s="101"/>
      <c r="X29" s="101"/>
      <c r="Y29" s="101"/>
      <c r="Z29" s="101"/>
      <c r="AA29" s="101"/>
      <c r="AB29" s="101"/>
      <c r="AC29" s="101"/>
      <c r="AD29" s="101"/>
      <c r="AE29" s="101"/>
      <c r="AF29" s="101"/>
      <c r="AG29" s="101"/>
      <c r="AH29" s="101"/>
      <c r="AI29" s="101"/>
    </row>
    <row r="30" spans="10:35">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row>
    <row r="31" spans="10:35">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row>
    <row r="32" spans="10:35">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row>
    <row r="33" spans="10:35">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row>
    <row r="34" spans="10:35">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row>
    <row r="35" spans="10:35">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row>
    <row r="36" spans="10:35">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row>
    <row r="37" spans="10:35">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row>
    <row r="38" spans="10:35">
      <c r="J38" s="100" t="s">
        <v>161</v>
      </c>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row>
    <row r="39" spans="10:35">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row>
    <row r="40" spans="10:35">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row>
    <row r="41" spans="10:35">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row>
    <row r="42" spans="10:35">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row>
    <row r="43" spans="10:35">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row>
  </sheetData>
  <mergeCells count="3">
    <mergeCell ref="K2:O2"/>
    <mergeCell ref="U2:AC2"/>
    <mergeCell ref="K9:K14"/>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POLICY</vt:lpstr>
      <vt:lpstr>historicalGHG</vt:lpstr>
      <vt:lpstr>scenassumptions</vt:lpstr>
    </vt:vector>
  </TitlesOfParts>
  <Company>VTT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Johanna Markkanen</dc:creator>
  <cp:lastModifiedBy>Johanna Markkanen</cp:lastModifiedBy>
  <dcterms:created xsi:type="dcterms:W3CDTF">2024-09-09T11:02:47Z</dcterms:created>
  <dcterms:modified xsi:type="dcterms:W3CDTF">2025-08-27T07:03:45Z</dcterms:modified>
</cp:coreProperties>
</file>