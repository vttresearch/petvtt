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POW\JRC\FIX3\"/>
    </mc:Choice>
  </mc:AlternateContent>
  <xr:revisionPtr revIDLastSave="0" documentId="13_ncr:1_{02B2FA95-44B0-4655-97BC-C67E60761D29}" xr6:coauthVersionLast="47" xr6:coauthVersionMax="47" xr10:uidLastSave="{00000000-0000-0000-0000-000000000000}"/>
  <bookViews>
    <workbookView xWindow="1995" yWindow="165" windowWidth="26610" windowHeight="16380" activeTab="2" xr2:uid="{9FCDBFE1-A384-46C1-80EA-2AE9F0E1BC0A}"/>
  </bookViews>
  <sheets>
    <sheet name="AVAFS" sheetId="1" r:id="rId1"/>
    <sheet name="EFFS" sheetId="2" r:id="rId2"/>
    <sheet name="HPMARK" sheetId="3" r:id="rId3"/>
    <sheet name="TRA_CHAR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Y41" i="3" s="1"/>
  <c r="G17" i="3"/>
  <c r="Z41" i="3" s="1"/>
  <c r="G18" i="3"/>
  <c r="AB41" i="3" s="1"/>
  <c r="G19" i="3"/>
  <c r="AC41" i="3" s="1"/>
  <c r="G20" i="3"/>
  <c r="AD41" i="3" s="1"/>
  <c r="G21" i="3"/>
  <c r="AE41" i="3" s="1"/>
  <c r="G22" i="3"/>
  <c r="AF41" i="3" s="1"/>
  <c r="G23" i="3"/>
  <c r="AG41" i="3" s="1"/>
  <c r="G24" i="3"/>
  <c r="AI41" i="3" s="1"/>
  <c r="G25" i="3"/>
  <c r="AJ41" i="3" s="1"/>
  <c r="G26" i="3"/>
  <c r="AK41" i="3" s="1"/>
  <c r="G27" i="3"/>
  <c r="G28" i="3"/>
  <c r="G29" i="3"/>
  <c r="G30" i="3"/>
  <c r="AH41" i="3" s="1"/>
  <c r="G31" i="3"/>
  <c r="AO41" i="3" s="1"/>
  <c r="G32" i="3"/>
  <c r="N41" i="3" s="1"/>
  <c r="G33" i="3"/>
  <c r="AA41" i="3" s="1"/>
  <c r="AO42" i="3"/>
  <c r="AK42" i="3"/>
  <c r="AJ42" i="3"/>
  <c r="AI42" i="3"/>
  <c r="AG42" i="3"/>
  <c r="AF42" i="3"/>
  <c r="AE42" i="3"/>
  <c r="AD42" i="3"/>
  <c r="AC42" i="3"/>
  <c r="AB42" i="3"/>
  <c r="Z42" i="3"/>
  <c r="Y42" i="3"/>
  <c r="X42" i="3"/>
  <c r="W42" i="3"/>
  <c r="V42" i="3"/>
  <c r="U42" i="3"/>
  <c r="T42" i="3"/>
  <c r="S42" i="3"/>
  <c r="R42" i="3"/>
  <c r="Q42" i="3"/>
  <c r="P42" i="3"/>
  <c r="O42" i="3"/>
  <c r="M42" i="3"/>
  <c r="AN41" i="3"/>
  <c r="AM41" i="3"/>
  <c r="AL41" i="3"/>
  <c r="X41" i="3"/>
  <c r="W41" i="3"/>
  <c r="V41" i="3"/>
  <c r="U41" i="3"/>
  <c r="T41" i="3"/>
  <c r="S41" i="3"/>
  <c r="R41" i="3"/>
  <c r="Q41" i="3"/>
  <c r="P41" i="3"/>
  <c r="O41" i="3"/>
  <c r="M41" i="3"/>
  <c r="K41" i="3"/>
  <c r="L41" i="3"/>
  <c r="H33" i="3"/>
  <c r="AA42" i="3" s="1"/>
  <c r="H32" i="3"/>
  <c r="N42" i="3" s="1"/>
  <c r="H31" i="3"/>
  <c r="H30" i="3"/>
  <c r="AH42" i="3" s="1"/>
  <c r="H29" i="3"/>
  <c r="AN42" i="3" s="1"/>
  <c r="H28" i="3"/>
  <c r="AM42" i="3" s="1"/>
  <c r="H27" i="3"/>
  <c r="AL42" i="3" s="1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L42" i="3" s="1"/>
  <c r="H3" i="3"/>
  <c r="K42" i="3" s="1"/>
  <c r="B20" i="4"/>
  <c r="M15" i="3"/>
  <c r="O15" i="3" s="1"/>
  <c r="J45" i="3" s="1"/>
  <c r="M14" i="3"/>
  <c r="O14" i="3" s="1"/>
  <c r="J44" i="3" s="1"/>
  <c r="M13" i="3"/>
  <c r="O13" i="3" s="1"/>
  <c r="J43" i="3" s="1"/>
  <c r="D45" i="3"/>
  <c r="D44" i="3"/>
  <c r="D43" i="3"/>
  <c r="N13" i="3" l="1"/>
  <c r="I43" i="3" s="1"/>
  <c r="N14" i="3"/>
  <c r="I44" i="3" s="1"/>
  <c r="N15" i="3"/>
  <c r="I45" i="3" s="1"/>
</calcChain>
</file>

<file path=xl/sharedStrings.xml><?xml version="1.0" encoding="utf-8"?>
<sst xmlns="http://schemas.openxmlformats.org/spreadsheetml/2006/main" count="373" uniqueCount="175">
  <si>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</si>
  <si>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</si>
  <si>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</si>
  <si>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</si>
  <si>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</si>
  <si>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</si>
  <si>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</si>
  <si>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</si>
  <si>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</si>
  <si>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</si>
  <si>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</si>
  <si>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</si>
  <si>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</si>
  <si>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</si>
  <si>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</si>
  <si>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</si>
  <si>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SP,WP,RP,FP</t>
  </si>
  <si>
    <t>AF</t>
  </si>
  <si>
    <t>EUHYDDAM00</t>
  </si>
  <si>
    <t>W</t>
  </si>
  <si>
    <t>R</t>
  </si>
  <si>
    <t>S</t>
  </si>
  <si>
    <t>F</t>
  </si>
  <si>
    <t>ACT_EFF</t>
  </si>
  <si>
    <t>Other_Indexes</t>
  </si>
  <si>
    <t>ACT</t>
  </si>
  <si>
    <t>~TFM_DINS-TS</t>
  </si>
  <si>
    <t>AVAILABILITY FACTORS</t>
  </si>
  <si>
    <t>DH HPs</t>
  </si>
  <si>
    <t>Assume same</t>
  </si>
  <si>
    <t>for all regions</t>
  </si>
  <si>
    <t>HHTHPMPA01</t>
  </si>
  <si>
    <t>HHTHPMPE01</t>
  </si>
  <si>
    <t>HHTHPMPW01</t>
  </si>
  <si>
    <t>Hydro peak</t>
  </si>
  <si>
    <t>availability</t>
  </si>
  <si>
    <t>~UC_SETS: R_E: AllRegions</t>
  </si>
  <si>
    <t>~UC_T: UC_COMPRD</t>
  </si>
  <si>
    <t>UC_N</t>
  </si>
  <si>
    <t>UC_ACT</t>
  </si>
  <si>
    <t>UC_UCN~2030</t>
  </si>
  <si>
    <t>UC_UCN~2050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</si>
  <si>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</si>
  <si>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</si>
  <si>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</si>
  <si>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</si>
  <si>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</si>
  <si>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</si>
  <si>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</si>
  <si>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</si>
  <si>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</si>
  <si>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</si>
  <si>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</si>
  <si>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</si>
  <si>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</si>
  <si>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</si>
  <si>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</si>
  <si>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</si>
  <si>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</si>
  <si>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</si>
  <si>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</si>
  <si>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</si>
  <si>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</si>
  <si>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</si>
  <si>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</si>
  <si>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</si>
  <si>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</si>
  <si>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</si>
  <si>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</si>
  <si>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</si>
  <si>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</si>
  <si>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</si>
  <si>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</si>
  <si>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UC_Desc</t>
  </si>
  <si>
    <t>UC_DHTPOT</t>
  </si>
  <si>
    <t>*-Spheat,*-WatHeat</t>
  </si>
  <si>
    <t>N</t>
  </si>
  <si>
    <t>DH Total potential of space heat</t>
  </si>
  <si>
    <t>UC_DHPMPA</t>
  </si>
  <si>
    <t>UP</t>
  </si>
  <si>
    <t>DH Heat Pump potential</t>
  </si>
  <si>
    <t>UC_DHPMPE</t>
  </si>
  <si>
    <t>UC_DHPMPW</t>
  </si>
  <si>
    <t>Country</t>
  </si>
  <si>
    <t>DH_share_2025_pct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</si>
  <si>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</si>
  <si>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</si>
  <si>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</si>
  <si>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</si>
  <si>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</si>
  <si>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</si>
  <si>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</si>
  <si>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</si>
  <si>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</si>
  <si>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</si>
  <si>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</si>
  <si>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</si>
  <si>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</si>
  <si>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</si>
  <si>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</si>
  <si>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</si>
  <si>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</si>
  <si>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</si>
  <si>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</si>
  <si>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</si>
  <si>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</si>
  <si>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</si>
  <si>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</si>
  <si>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</si>
  <si>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</si>
  <si>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</si>
  <si>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</si>
  <si>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</si>
  <si>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</si>
  <si>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</si>
  <si>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Iceland</t>
  </si>
  <si>
    <t>Tech</t>
  </si>
  <si>
    <t>Description</t>
  </si>
  <si>
    <t>Typical, potential share of DH heat supply</t>
  </si>
  <si>
    <t>Max potential share</t>
  </si>
  <si>
    <t>HP_wastewater</t>
  </si>
  <si>
    <t>Large central heat pumps extracting heat from municipal wastewater / WWTP effluent (typically 10–20 °C). High baseload potential in dense cities.</t>
  </si>
  <si>
    <t>HP_water</t>
  </si>
  <si>
    <t>Large seawater / lake / river / aquifer source HPs (5–15 °C). Often coastal or riverside baseload for DH.</t>
  </si>
  <si>
    <t>HP_industrial_excess</t>
  </si>
  <si>
    <t>Heat pumps upgrading industrial / data-centre / commercial waste heat (often 30–60 °C already). Smaller temperature lift → very high COP.</t>
  </si>
  <si>
    <t>HP_air_to_water</t>
  </si>
  <si>
    <t>Large air-to-water HPs feeding DH or low-temp subnetworks. Highly seasonal; winter COP suffers in colder climates.</t>
  </si>
  <si>
    <t>Sytem efficiency</t>
  </si>
  <si>
    <t>ISO-2</t>
  </si>
  <si>
    <t>TechName</t>
  </si>
  <si>
    <t>Seasons</t>
  </si>
  <si>
    <t>N. of Days</t>
  </si>
  <si>
    <t xml:space="preserve">W </t>
  </si>
  <si>
    <t>~TFM_INS</t>
  </si>
  <si>
    <t>NOT USED FOR NOW as we do not use the night storage approach now !</t>
  </si>
  <si>
    <t>Test</t>
  </si>
  <si>
    <t>RD</t>
  </si>
  <si>
    <t>PRC_NSTTS</t>
  </si>
  <si>
    <t>TRABAT_Battery</t>
  </si>
  <si>
    <t>SD</t>
  </si>
  <si>
    <t>WD</t>
  </si>
  <si>
    <t>FD</t>
  </si>
  <si>
    <t>Default charging profile</t>
  </si>
  <si>
    <t>PSET_Set</t>
  </si>
  <si>
    <t>PSET_PN</t>
  </si>
  <si>
    <t>Top_Check</t>
  </si>
  <si>
    <t>COM_FR</t>
  </si>
  <si>
    <t>TRAELC_EV</t>
  </si>
  <si>
    <t>FN</t>
  </si>
  <si>
    <t>FP</t>
  </si>
  <si>
    <t>RN</t>
  </si>
  <si>
    <t>RP</t>
  </si>
  <si>
    <t>SN</t>
  </si>
  <si>
    <t>SP</t>
  </si>
  <si>
    <t>WN</t>
  </si>
  <si>
    <t>WP</t>
  </si>
  <si>
    <t>COPs FOR DH HEAT PUMPS</t>
  </si>
  <si>
    <t>NCAP_PASTI</t>
  </si>
  <si>
    <t>HHTHELC001</t>
  </si>
  <si>
    <t>Region</t>
  </si>
  <si>
    <t>COM_IE</t>
  </si>
  <si>
    <t>AL</t>
  </si>
  <si>
    <t/>
  </si>
  <si>
    <t>region</t>
  </si>
  <si>
    <t>UC_RHSRT~0</t>
  </si>
  <si>
    <t>UC_RHSRT</t>
  </si>
  <si>
    <t>UC_ATTR~RHS</t>
  </si>
  <si>
    <t>UCN,SYNC</t>
  </si>
  <si>
    <t>GEO</t>
  </si>
  <si>
    <t>2050_scenario_pct</t>
  </si>
  <si>
    <t>UC_DHPGEO</t>
  </si>
  <si>
    <t>DH GEO potential</t>
  </si>
  <si>
    <t>HHTHGEO001</t>
  </si>
  <si>
    <t>HETHTH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</si>
</sst>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&quot;$&quot;* #,##0.00_);_(&quot;$&quot;* \(#,##0.00\);_(&quot;$&quot;* &quot;-&quot;??_);_(@_)"/>
    <numFmt numFmtId="166" formatCode="0.0%"/>
    <numFmt numFmtId="167" formatCode="#,##0.0000"/>
    <numFmt numFmtId="168" formatCode="_-* #,##0.00\ _€_-;\-* #,##0.00\ _€_-;_-* &quot;-&quot;??\ _€_-;_-@_-"/>
    <numFmt numFmtId="169" formatCode="_ * #,##0.00_ ;_ * \-#,##0.00_ ;_ * &quot;-&quot;??_ ;_ @_ "/>
    <numFmt numFmtId="170" formatCode="_-[$€-2]* #,##0.00_-;\-[$€-2]* #,##0.00_-;_-[$€-2]* &quot;-&quot;??_-"/>
    <numFmt numFmtId="171" formatCode="_-[$€-2]\ * #,##0.00_-;\-[$€-2]\ * #,##0.00_-;_-[$€-2]\ * &quot;-&quot;??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_-[$€]* #,##0.00_-;\-[$€]* #,##0.00_-;_-[$€]* &quot;-&quot;??_-;_-@_-"/>
    <numFmt numFmtId="175" formatCode="\(##\);\(##\)"/>
    <numFmt numFmtId="176" formatCode="#,##0;\-\ #,##0;_-\ &quot;- &quot;"/>
    <numFmt numFmtId="177" formatCode="_ * #,##0_ ;_ * \-#,##0_ ;_ * &quot;-&quot;_ ;_ @_ "/>
    <numFmt numFmtId="178" formatCode="_ &quot;kr&quot;\ * #,##0_ ;_ &quot;kr&quot;\ * \-#,##0_ ;_ &quot;kr&quot;\ * &quot;-&quot;_ ;_ @_ "/>
    <numFmt numFmtId="179" formatCode="#,##0.0"/>
    <numFmt numFmtId="180" formatCode="_ &quot;kr&quot;\ * #,##0.00_ ;_ &quot;kr&quot;\ * \-#,##0.00_ ;_ &quot;kr&quot;\ * &quot;-&quot;??_ ;_ @_ "/>
    <numFmt numFmtId="181" formatCode="0.0"/>
    <numFmt numFmtId="182" formatCode="0.000"/>
  </numFmts>
  <fonts count="72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name val="Helvetica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b/>
      <sz val="12"/>
      <name val="Arial"/>
      <family val="2"/>
    </font>
    <font>
      <sz val="8"/>
      <color indexed="9"/>
      <name val="Arial"/>
      <family val="2"/>
      <charset val="161"/>
    </font>
    <font>
      <sz val="8"/>
      <color indexed="9"/>
      <name val="Arial"/>
      <family val="2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6100"/>
      <name val="Aptos Narrow"/>
      <family val="3"/>
      <charset val="128"/>
      <scheme val="minor"/>
    </font>
    <font>
      <sz val="11"/>
      <color rgb="FF3F3F76"/>
      <name val="Aptos Narrow"/>
      <family val="2"/>
      <scheme val="minor"/>
    </font>
    <font>
      <sz val="11"/>
      <color rgb="FF3F3F76"/>
      <name val="Aptos Narrow"/>
      <family val="3"/>
      <charset val="128"/>
      <scheme val="minor"/>
    </font>
    <font>
      <sz val="11"/>
      <color rgb="FF9C6500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b/>
      <sz val="11"/>
      <color theme="0"/>
      <name val="Aptos Narrow"/>
      <family val="2"/>
      <scheme val="minor"/>
    </font>
    <font>
      <b/>
      <sz val="11"/>
      <color indexed="12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rgb="FF0070C0"/>
      <name val="Arial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74">
    <xf numFmtId="0" fontId="0" fillId="0" borderId="0"/>
    <xf numFmtId="0" fontId="2" fillId="0" borderId="0"/>
    <xf numFmtId="0" fontId="2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2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49" fontId="26" fillId="0" borderId="3" applyNumberFormat="0" applyFont="0" applyFill="0" applyBorder="0" applyProtection="0">
      <alignment horizontal="left" vertical="center" indent="2"/>
    </xf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27" fillId="26" borderId="0" applyBorder="0" applyAlignment="0"/>
    <xf numFmtId="0" fontId="26" fillId="26" borderId="0" applyBorder="0">
      <alignment horizontal="right" vertical="center"/>
    </xf>
    <xf numFmtId="0" fontId="26" fillId="27" borderId="0" applyBorder="0">
      <alignment horizontal="right" vertical="center"/>
    </xf>
    <xf numFmtId="0" fontId="26" fillId="27" borderId="0" applyBorder="0">
      <alignment horizontal="right" vertical="center"/>
    </xf>
    <xf numFmtId="0" fontId="28" fillId="27" borderId="3">
      <alignment horizontal="right" vertical="center"/>
    </xf>
    <xf numFmtId="0" fontId="29" fillId="27" borderId="3">
      <alignment horizontal="right" vertical="center"/>
    </xf>
    <xf numFmtId="0" fontId="28" fillId="28" borderId="3">
      <alignment horizontal="right" vertical="center"/>
    </xf>
    <xf numFmtId="0" fontId="28" fillId="28" borderId="3">
      <alignment horizontal="right" vertical="center"/>
    </xf>
    <xf numFmtId="0" fontId="28" fillId="28" borderId="4">
      <alignment horizontal="right" vertical="center"/>
    </xf>
    <xf numFmtId="0" fontId="28" fillId="28" borderId="5">
      <alignment horizontal="right" vertical="center"/>
    </xf>
    <xf numFmtId="0" fontId="28" fillId="28" borderId="6">
      <alignment horizontal="right" vertical="center"/>
    </xf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5" borderId="0" applyNumberFormat="0" applyBorder="0" applyAlignment="0" applyProtection="0"/>
    <xf numFmtId="0" fontId="18" fillId="29" borderId="7" applyNumberFormat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58" fillId="3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29" borderId="8" applyNumberFormat="0" applyAlignment="0" applyProtection="0"/>
    <xf numFmtId="4" fontId="27" fillId="0" borderId="9" applyFill="0" applyBorder="0" applyProtection="0">
      <alignment horizontal="right" vertical="center"/>
    </xf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0" fontId="9" fillId="30" borderId="10" applyNumberFormat="0" applyAlignment="0" applyProtection="0"/>
    <xf numFmtId="49" fontId="5" fillId="26" borderId="11">
      <alignment vertical="top" wrapText="1"/>
    </xf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8" fillId="0" borderId="0" applyNumberFormat="0">
      <alignment horizontal="right"/>
    </xf>
    <xf numFmtId="165" fontId="5" fillId="0" borderId="0" applyFont="0" applyFill="0" applyBorder="0" applyAlignment="0" applyProtection="0"/>
    <xf numFmtId="0" fontId="26" fillId="28" borderId="12">
      <alignment horizontal="left" vertical="center" wrapText="1" indent="2"/>
    </xf>
    <xf numFmtId="0" fontId="26" fillId="0" borderId="12">
      <alignment horizontal="left" vertical="center" wrapText="1" indent="2"/>
    </xf>
    <xf numFmtId="0" fontId="26" fillId="27" borderId="5">
      <alignment horizontal="left" vertical="center"/>
    </xf>
    <xf numFmtId="0" fontId="28" fillId="0" borderId="13">
      <alignment horizontal="left" vertical="top" wrapText="1"/>
    </xf>
    <xf numFmtId="3" fontId="30" fillId="0" borderId="11">
      <alignment horizontal="right" vertical="top"/>
    </xf>
    <xf numFmtId="0" fontId="15" fillId="13" borderId="8" applyNumberFormat="0" applyAlignment="0" applyProtection="0"/>
    <xf numFmtId="0" fontId="31" fillId="0" borderId="14"/>
    <xf numFmtId="0" fontId="4" fillId="31" borderId="3">
      <alignment horizontal="centerContinuous" vertical="top" wrapText="1"/>
    </xf>
    <xf numFmtId="0" fontId="32" fillId="0" borderId="0">
      <alignment vertical="top" wrapText="1"/>
    </xf>
    <xf numFmtId="0" fontId="20" fillId="0" borderId="15" applyNumberFormat="0" applyFill="0" applyAlignment="0" applyProtection="0"/>
    <xf numFmtId="0" fontId="10" fillId="0" borderId="0" applyNumberFormat="0" applyFill="0" applyBorder="0" applyAlignment="0" applyProtection="0"/>
    <xf numFmtId="0" fontId="33" fillId="0" borderId="0">
      <alignment vertical="top"/>
    </xf>
    <xf numFmtId="170" fontId="24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24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24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24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24" fillId="0" borderId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60" fillId="2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59" fillId="2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18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61" fillId="5" borderId="1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62" fillId="5" borderId="1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0" fontId="15" fillId="13" borderId="8" applyNumberFormat="0" applyAlignment="0" applyProtection="0"/>
    <xf numFmtId="4" fontId="26" fillId="0" borderId="0" applyBorder="0">
      <alignment horizontal="right" vertical="center"/>
    </xf>
    <xf numFmtId="0" fontId="26" fillId="0" borderId="3">
      <alignment horizontal="right" vertical="center"/>
    </xf>
    <xf numFmtId="1" fontId="36" fillId="27" borderId="0" applyBorder="0">
      <alignment horizontal="right" vertical="center"/>
    </xf>
    <xf numFmtId="0" fontId="34" fillId="0" borderId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6" fillId="0" borderId="19" applyNumberFormat="0" applyFill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3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63" fillId="4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5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3" fillId="0" borderId="0"/>
    <xf numFmtId="0" fontId="5" fillId="0" borderId="0"/>
    <xf numFmtId="0" fontId="5" fillId="0" borderId="0">
      <alignment vertical="top"/>
    </xf>
    <xf numFmtId="0" fontId="5" fillId="0" borderId="0"/>
    <xf numFmtId="0" fontId="2" fillId="0" borderId="0"/>
    <xf numFmtId="0" fontId="5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2" fillId="0" borderId="0"/>
    <xf numFmtId="0" fontId="5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39" fillId="0" borderId="0"/>
    <xf numFmtId="0" fontId="3" fillId="0" borderId="0"/>
    <xf numFmtId="0" fontId="39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5" fillId="0" borderId="0"/>
    <xf numFmtId="0" fontId="3" fillId="0" borderId="0"/>
    <xf numFmtId="0" fontId="64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" fillId="0" borderId="0"/>
    <xf numFmtId="0" fontId="5" fillId="0" borderId="0"/>
    <xf numFmtId="0" fontId="3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2" fillId="0" borderId="0"/>
    <xf numFmtId="0" fontId="41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3" fillId="0" borderId="0"/>
    <xf numFmtId="0" fontId="23" fillId="0" borderId="0"/>
    <xf numFmtId="0" fontId="3" fillId="0" borderId="0"/>
    <xf numFmtId="0" fontId="5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4" fontId="26" fillId="0" borderId="3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6" fillId="0" borderId="3" applyNumberFormat="0" applyFill="0" applyAlignment="0" applyProtection="0"/>
    <xf numFmtId="0" fontId="5" fillId="33" borderId="0" applyNumberFormat="0" applyFont="0" applyBorder="0" applyAlignment="0" applyProtection="0"/>
    <xf numFmtId="0" fontId="22" fillId="0" borderId="0"/>
    <xf numFmtId="0" fontId="2" fillId="6" borderId="2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5" fillId="34" borderId="20" applyNumberFormat="0" applyFont="0" applyAlignment="0" applyProtection="0"/>
    <xf numFmtId="0" fontId="3" fillId="34" borderId="20" applyNumberFormat="0" applyFont="0" applyAlignment="0" applyProtection="0"/>
    <xf numFmtId="0" fontId="5" fillId="34" borderId="20" applyNumberFormat="0" applyFont="0" applyAlignment="0" applyProtection="0"/>
    <xf numFmtId="0" fontId="24" fillId="34" borderId="20" applyNumberFormat="0" applyFont="0" applyAlignment="0" applyProtection="0"/>
    <xf numFmtId="0" fontId="5" fillId="34" borderId="20" applyNumberFormat="0" applyFont="0" applyAlignment="0" applyProtection="0"/>
    <xf numFmtId="0" fontId="24" fillId="34" borderId="20" applyNumberFormat="0" applyFont="0" applyAlignment="0" applyProtection="0"/>
    <xf numFmtId="175" fontId="42" fillId="0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0" fontId="18" fillId="29" borderId="7" applyNumberFormat="0" applyAlignment="0" applyProtection="0"/>
    <xf numFmtId="167" fontId="26" fillId="35" borderId="3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69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7" fillId="9" borderId="0" applyNumberFormat="0" applyBorder="0" applyAlignment="0" applyProtection="0"/>
    <xf numFmtId="0" fontId="26" fillId="33" borderId="3"/>
    <xf numFmtId="0" fontId="32" fillId="0" borderId="0">
      <alignment vertical="top" wrapText="1"/>
    </xf>
    <xf numFmtId="0" fontId="32" fillId="0" borderId="0">
      <alignment vertical="top" wrapText="1"/>
    </xf>
    <xf numFmtId="0" fontId="32" fillId="0" borderId="0">
      <alignment vertical="top" wrapText="1"/>
    </xf>
    <xf numFmtId="0" fontId="44" fillId="0" borderId="0"/>
    <xf numFmtId="0" fontId="5" fillId="0" borderId="0"/>
    <xf numFmtId="0" fontId="5" fillId="0" borderId="0"/>
    <xf numFmtId="0" fontId="5" fillId="0" borderId="0"/>
    <xf numFmtId="0" fontId="33" fillId="0" borderId="0">
      <alignment vertical="top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0" fontId="5" fillId="0" borderId="3" applyNumberFormat="0" applyFill="0" applyProtection="0">
      <alignment horizontal="right"/>
    </xf>
    <xf numFmtId="49" fontId="24" fillId="0" borderId="3" applyFill="0" applyProtection="0">
      <alignment horizontal="right"/>
    </xf>
    <xf numFmtId="0" fontId="5" fillId="0" borderId="3" applyNumberFormat="0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49" fontId="24" fillId="0" borderId="3" applyFill="0" applyProtection="0">
      <alignment horizontal="right"/>
    </xf>
    <xf numFmtId="49" fontId="5" fillId="0" borderId="3" applyFill="0" applyProtection="0">
      <alignment horizontal="right"/>
    </xf>
    <xf numFmtId="49" fontId="24" fillId="0" borderId="3" applyFill="0" applyProtection="0">
      <alignment horizontal="right"/>
    </xf>
    <xf numFmtId="0" fontId="45" fillId="36" borderId="3" applyNumberFormat="0" applyProtection="0">
      <alignment horizontal="right"/>
    </xf>
    <xf numFmtId="0" fontId="4" fillId="36" borderId="3" applyNumberFormat="0" applyProtection="0">
      <alignment horizontal="right"/>
    </xf>
    <xf numFmtId="0" fontId="46" fillId="36" borderId="0" applyNumberFormat="0" applyBorder="0" applyProtection="0">
      <alignment horizontal="left"/>
    </xf>
    <xf numFmtId="0" fontId="47" fillId="36" borderId="0" applyNumberFormat="0" applyBorder="0" applyProtection="0">
      <alignment horizontal="left"/>
    </xf>
    <xf numFmtId="0" fontId="45" fillId="36" borderId="3" applyNumberFormat="0" applyProtection="0">
      <alignment horizontal="left"/>
    </xf>
    <xf numFmtId="0" fontId="4" fillId="36" borderId="3" applyNumberFormat="0" applyProtection="0">
      <alignment horizontal="left"/>
    </xf>
    <xf numFmtId="0" fontId="24" fillId="0" borderId="3" applyNumberFormat="0" applyFill="0" applyProtection="0">
      <alignment horizontal="right"/>
    </xf>
    <xf numFmtId="0" fontId="5" fillId="0" borderId="3" applyNumberFormat="0" applyFill="0" applyProtection="0">
      <alignment horizontal="right"/>
    </xf>
    <xf numFmtId="0" fontId="24" fillId="0" borderId="3" applyNumberFormat="0" applyFill="0" applyProtection="0">
      <alignment horizontal="right"/>
    </xf>
    <xf numFmtId="0" fontId="48" fillId="37" borderId="0" applyNumberFormat="0" applyBorder="0" applyProtection="0">
      <alignment horizontal="left"/>
    </xf>
    <xf numFmtId="0" fontId="49" fillId="37" borderId="0" applyNumberFormat="0" applyBorder="0" applyProtection="0">
      <alignment horizontal="left"/>
    </xf>
    <xf numFmtId="0" fontId="50" fillId="38" borderId="0" applyNumberFormat="0" applyBorder="0" applyProtection="0">
      <alignment horizontal="left"/>
    </xf>
    <xf numFmtId="0" fontId="51" fillId="38" borderId="0" applyNumberFormat="0" applyBorder="0" applyProtection="0">
      <alignment horizontal="left"/>
    </xf>
    <xf numFmtId="179" fontId="52" fillId="39" borderId="21">
      <alignment vertical="center"/>
    </xf>
    <xf numFmtId="166" fontId="53" fillId="39" borderId="21">
      <alignment vertical="center"/>
    </xf>
    <xf numFmtId="179" fontId="54" fillId="40" borderId="21">
      <alignment vertical="center"/>
    </xf>
    <xf numFmtId="0" fontId="5" fillId="41" borderId="22" applyBorder="0">
      <alignment horizontal="left" vertical="center"/>
    </xf>
    <xf numFmtId="49" fontId="5" fillId="42" borderId="3">
      <alignment vertical="center" wrapText="1"/>
    </xf>
    <xf numFmtId="0" fontId="5" fillId="43" borderId="23">
      <alignment horizontal="left" vertical="center" wrapText="1"/>
    </xf>
    <xf numFmtId="0" fontId="55" fillId="44" borderId="3">
      <alignment horizontal="left" vertical="center" wrapText="1"/>
    </xf>
    <xf numFmtId="0" fontId="5" fillId="45" borderId="3">
      <alignment horizontal="left" vertical="center" wrapText="1"/>
    </xf>
    <xf numFmtId="0" fontId="5" fillId="46" borderId="3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4" fillId="0" borderId="0" applyNumberFormat="0" applyFill="0" applyBorder="0" applyAlignment="0" applyProtection="0"/>
    <xf numFmtId="180" fontId="43" fillId="0" borderId="0" applyFont="0" applyFill="0" applyBorder="0" applyAlignment="0" applyProtection="0"/>
    <xf numFmtId="0" fontId="16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30" borderId="10" applyNumberFormat="0" applyAlignment="0" applyProtection="0"/>
    <xf numFmtId="0" fontId="56" fillId="0" borderId="0" applyNumberFormat="0" applyFill="0" applyBorder="0" applyAlignment="0" applyProtection="0"/>
    <xf numFmtId="0" fontId="26" fillId="0" borderId="0"/>
    <xf numFmtId="0" fontId="57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</cellStyleXfs>
  <cellXfs count="31">
    <xf numFmtId="0" fontId="0" fillId="0" borderId="0" xfId="0"/>
    <xf numFmtId="0" fontId="2" fillId="0" borderId="0" xfId="1"/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65" fillId="47" borderId="24" xfId="2048" applyFont="1" applyFill="1" applyBorder="1" applyAlignment="1">
      <alignment vertical="center"/>
    </xf>
    <xf numFmtId="0" fontId="66" fillId="0" borderId="0" xfId="3272" applyFont="1" applyAlignment="1">
      <alignment horizontal="left" vertical="center"/>
    </xf>
    <xf numFmtId="0" fontId="65" fillId="47" borderId="24" xfId="2048" applyFont="1" applyFill="1" applyBorder="1" applyAlignment="1">
      <alignment horizontal="center" vertical="center"/>
    </xf>
    <xf numFmtId="0" fontId="1" fillId="0" borderId="0" xfId="0" applyFont="1"/>
    <xf numFmtId="0" fontId="67" fillId="48" borderId="0" xfId="0" applyFont="1" applyFill="1"/>
    <xf numFmtId="0" fontId="0" fillId="48" borderId="0" xfId="0" applyFill="1"/>
    <xf numFmtId="0" fontId="0" fillId="0" borderId="0" xfId="0" applyAlignment="1">
      <alignment horizontal="center"/>
    </xf>
    <xf numFmtId="0" fontId="68" fillId="0" borderId="0" xfId="0" applyFont="1"/>
    <xf numFmtId="0" fontId="0" fillId="49" borderId="25" xfId="0" applyFill="1" applyBorder="1"/>
    <xf numFmtId="0" fontId="0" fillId="49" borderId="25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50" borderId="0" xfId="0" applyFill="1"/>
    <xf numFmtId="0" fontId="69" fillId="0" borderId="0" xfId="0" applyFont="1"/>
    <xf numFmtId="0" fontId="70" fillId="0" borderId="0" xfId="0" applyFont="1"/>
    <xf numFmtId="0" fontId="0" fillId="0" borderId="0" xfId="0" applyAlignment="1">
      <alignment horizontal="left" vertical="center"/>
    </xf>
    <xf numFmtId="181" fontId="0" fillId="0" borderId="0" xfId="0" applyNumberFormat="1" applyAlignment="1">
      <alignment horizontal="center"/>
    </xf>
    <xf numFmtId="0" fontId="71" fillId="0" borderId="0" xfId="0" applyFont="1"/>
    <xf numFmtId="0" fontId="0" fillId="51" borderId="25" xfId="0" applyFill="1" applyBorder="1"/>
    <xf numFmtId="0" fontId="5" fillId="0" borderId="0" xfId="3273" applyAlignment="1">
      <alignment horizontal="center"/>
    </xf>
    <xf numFmtId="0" fontId="5" fillId="0" borderId="0" xfId="3273"/>
    <xf numFmtId="181" fontId="0" fillId="0" borderId="0" xfId="0" applyNumberFormat="1"/>
    <xf numFmtId="181" fontId="0" fillId="48" borderId="0" xfId="0" applyNumberFormat="1" applyFill="1" applyAlignment="1">
      <alignment horizontal="center"/>
    </xf>
    <xf numFmtId="182" fontId="0" fillId="0" borderId="0" xfId="0" applyNumberFormat="1"/>
    <xf numFmtId="0" fontId="0" fillId="49" borderId="25" xfId="0" applyFill="1" applyBorder="1" applyAlignment="1">
      <alignment horizontal="left"/>
    </xf>
    <xf numFmtId="0" fontId="0" fillId="52" borderId="0" xfId="0" applyFill="1" applyAlignment="1">
      <alignment horizontal="center"/>
    </xf>
    <xf numFmtId="2" fontId="0" fillId="52" borderId="0" xfId="0" applyNumberFormat="1" applyFill="1" applyAlignment="1">
      <alignment horizontal="center"/>
    </xf>
    <xf numFmtId="181" fontId="0" fillId="53" borderId="0" xfId="0" applyNumberFormat="1" applyFill="1" applyAlignment="1">
      <alignment horizontal="center"/>
    </xf>
  </cellXfs>
  <cellStyles count="3274">
    <cellStyle name="???????" xfId="2" xr:uid="{4E1336BD-2D75-4472-9833-5065B30E0E15}"/>
    <cellStyle name="20% - Accent1 10" xfId="3" xr:uid="{57591BA2-02E3-4468-BB11-0AAD172B3E1A}"/>
    <cellStyle name="20% - Accent1 11" xfId="4" xr:uid="{86F2092E-8C89-4733-AEFA-1618F9470B42}"/>
    <cellStyle name="20% - Accent1 12" xfId="5" xr:uid="{5AC8CF4C-83DE-499D-8098-9BFB1BA450D8}"/>
    <cellStyle name="20% - Accent1 13" xfId="6" xr:uid="{BD620CF4-FA0B-4818-8106-6A3C252399A1}"/>
    <cellStyle name="20% - Accent1 14" xfId="7" xr:uid="{F207FC85-D7C4-48EB-8367-1D58D2C278F3}"/>
    <cellStyle name="20% - Accent1 15" xfId="8" xr:uid="{8E6EE4D9-EF7A-4249-846B-0822105D48DE}"/>
    <cellStyle name="20% - Accent1 16" xfId="9" xr:uid="{F2919E58-0910-4E4A-9535-53A496025C91}"/>
    <cellStyle name="20% - Accent1 17" xfId="10" xr:uid="{8701E42D-4DE2-4DEB-B0E5-7D4000A15EB6}"/>
    <cellStyle name="20% - Accent1 18" xfId="11" xr:uid="{ED87B7D5-116C-43B4-9D83-1CA882AC28F4}"/>
    <cellStyle name="20% - Accent1 19" xfId="12" xr:uid="{531562FB-70F8-407D-AF64-6A9DE03C76DD}"/>
    <cellStyle name="20% - Accent1 2" xfId="13" xr:uid="{90EF1F85-0A34-4B49-AB5E-65913121F38F}"/>
    <cellStyle name="20% - Accent1 20" xfId="14" xr:uid="{8185D7A6-4241-4045-9DEE-FFB9BFE1BEA9}"/>
    <cellStyle name="20% - Accent1 21" xfId="15" xr:uid="{BA25F9BC-00B2-4106-8257-5CF50374C471}"/>
    <cellStyle name="20% - Accent1 22" xfId="16" xr:uid="{49E455B8-4D79-4E2C-AC52-AF3073D9F9AD}"/>
    <cellStyle name="20% - Accent1 23" xfId="17" xr:uid="{BAF9848E-09A4-42B0-BE48-71526FA7FBCA}"/>
    <cellStyle name="20% - Accent1 24" xfId="18" xr:uid="{0162F4BD-12E5-4382-8BF3-5617824BA793}"/>
    <cellStyle name="20% - Accent1 25" xfId="19" xr:uid="{8EB52EBA-BBB9-49B9-82DC-75411D8B7E66}"/>
    <cellStyle name="20% - Accent1 26" xfId="20" xr:uid="{1852F0F1-A515-4CB7-BA14-D7E18AF2BCE9}"/>
    <cellStyle name="20% - Accent1 27" xfId="21" xr:uid="{82F57906-BF66-47B4-9C1C-BF54CE1EDED1}"/>
    <cellStyle name="20% - Accent1 28" xfId="22" xr:uid="{8E170C72-36C5-448D-B1A7-E9EE3C6EE969}"/>
    <cellStyle name="20% - Accent1 29" xfId="23" xr:uid="{B0AA4486-BAAC-4C68-8A42-BBF397F48CC9}"/>
    <cellStyle name="20% - Accent1 3" xfId="24" xr:uid="{71F61512-BF3A-4452-90F8-3AD029517DC7}"/>
    <cellStyle name="20% - Accent1 3 2" xfId="25" xr:uid="{0B9179A7-7414-4EF1-AE4B-06FA98CFCCF3}"/>
    <cellStyle name="20% - Accent1 30" xfId="26" xr:uid="{D1DEB398-E7DE-4BBC-8E7E-517762C8F43C}"/>
    <cellStyle name="20% - Accent1 31" xfId="27" xr:uid="{5975FA89-285D-4944-A041-D737DDCA5D31}"/>
    <cellStyle name="20% - Accent1 32" xfId="28" xr:uid="{C82DB4BC-3A79-443C-A641-7F27823F14D8}"/>
    <cellStyle name="20% - Accent1 33" xfId="29" xr:uid="{EF600EB8-4B91-46F1-8292-B4292C1B156B}"/>
    <cellStyle name="20% - Accent1 34" xfId="30" xr:uid="{BAE9A388-A38D-4793-874B-9EC99E445D54}"/>
    <cellStyle name="20% - Accent1 35" xfId="31" xr:uid="{2CA7B0C2-2477-462E-AC12-B0BD9AEA7AD3}"/>
    <cellStyle name="20% - Accent1 36" xfId="32" xr:uid="{6AA5295F-BF4A-41C7-BC36-5679B9FA8FDE}"/>
    <cellStyle name="20% - Accent1 37" xfId="33" xr:uid="{9BD8D400-D248-4C62-8B15-4B190CDD07EA}"/>
    <cellStyle name="20% - Accent1 38" xfId="34" xr:uid="{F722F9BD-50A6-4F84-9577-DA8F8F29B7A7}"/>
    <cellStyle name="20% - Accent1 39" xfId="35" xr:uid="{1A91BAA7-EFE2-4F46-B395-A976A64230AC}"/>
    <cellStyle name="20% - Accent1 4" xfId="36" xr:uid="{B2F86FE0-046A-4710-B714-E3E9B7422389}"/>
    <cellStyle name="20% - Accent1 40" xfId="37" xr:uid="{46024928-E720-44B4-8905-C80121CCC525}"/>
    <cellStyle name="20% - Accent1 41" xfId="38" xr:uid="{49D2BB52-0DAD-490D-B878-E7CB51BC05AC}"/>
    <cellStyle name="20% - Accent1 42" xfId="39" xr:uid="{05F65833-828A-4911-8942-C7D4320C5F57}"/>
    <cellStyle name="20% - Accent1 43" xfId="40" xr:uid="{87025DF6-8361-4711-9E0B-2D9FF09B621A}"/>
    <cellStyle name="20% - Accent1 5" xfId="41" xr:uid="{68C7DB08-B07E-48BB-B407-FEB4831D8FCC}"/>
    <cellStyle name="20% - Accent1 6" xfId="42" xr:uid="{300C95E1-B9A1-4769-8776-3C061F5F4D9E}"/>
    <cellStyle name="20% - Accent1 7" xfId="43" xr:uid="{5F59B531-CA82-402B-8D84-8798F0535FAB}"/>
    <cellStyle name="20% - Accent1 8" xfId="44" xr:uid="{AF170DD8-ED7D-49BD-9FA1-12FD29F3113B}"/>
    <cellStyle name="20% - Accent1 9" xfId="45" xr:uid="{E69DAA83-F92E-46A8-AC2C-B7E0A119FAFF}"/>
    <cellStyle name="20% - Accent2 10" xfId="46" xr:uid="{9B7107AE-C7FC-489F-9C98-A4F719624428}"/>
    <cellStyle name="20% - Accent2 11" xfId="47" xr:uid="{CF9F01FC-9923-45C7-BD7F-294B26D71B02}"/>
    <cellStyle name="20% - Accent2 12" xfId="48" xr:uid="{0E6B0940-7483-412F-A88D-9BF40019F09E}"/>
    <cellStyle name="20% - Accent2 13" xfId="49" xr:uid="{EE7608AE-6F97-4B62-97CA-1BD67C1C44DD}"/>
    <cellStyle name="20% - Accent2 14" xfId="50" xr:uid="{9A15651B-5D77-48C3-AD80-9BE6DB8AF7F5}"/>
    <cellStyle name="20% - Accent2 15" xfId="51" xr:uid="{35568A39-8776-447F-85EC-90B58B2E6AD3}"/>
    <cellStyle name="20% - Accent2 16" xfId="52" xr:uid="{36315E29-CEA3-4552-8AB3-0CC37D7F442B}"/>
    <cellStyle name="20% - Accent2 17" xfId="53" xr:uid="{38349E3F-C257-4FC0-A7C5-DDD455B79E3C}"/>
    <cellStyle name="20% - Accent2 18" xfId="54" xr:uid="{3D437C22-46F6-46C9-B559-5D34C7B17D3B}"/>
    <cellStyle name="20% - Accent2 19" xfId="55" xr:uid="{8407E053-F8EF-48E1-A117-D828C741E232}"/>
    <cellStyle name="20% - Accent2 2" xfId="56" xr:uid="{E68427D2-4691-4890-83CD-5E0A668D5CFC}"/>
    <cellStyle name="20% - Accent2 20" xfId="57" xr:uid="{A42FAFC3-EF1A-4F1E-90B5-B8F2D9E898ED}"/>
    <cellStyle name="20% - Accent2 21" xfId="58" xr:uid="{AD21B81D-2BCC-485D-8767-3B69CCD70BBF}"/>
    <cellStyle name="20% - Accent2 22" xfId="59" xr:uid="{C358A6D5-4E5F-412C-80A7-481F2F47707C}"/>
    <cellStyle name="20% - Accent2 23" xfId="60" xr:uid="{12B480A6-F5EA-4F0B-AA24-3EBEBE200D31}"/>
    <cellStyle name="20% - Accent2 24" xfId="61" xr:uid="{CCDB1F12-CAA8-487A-A8C4-E75E6167B877}"/>
    <cellStyle name="20% - Accent2 25" xfId="62" xr:uid="{D1374A9D-BF13-40AA-B05E-E910D26A268A}"/>
    <cellStyle name="20% - Accent2 26" xfId="63" xr:uid="{06FE6266-B535-425F-88C3-6C932BB78D3E}"/>
    <cellStyle name="20% - Accent2 27" xfId="64" xr:uid="{494406DD-7C7C-4C3D-BA92-CBABDEC18A94}"/>
    <cellStyle name="20% - Accent2 28" xfId="65" xr:uid="{800F50E5-5E5D-4CA5-9053-61AC1E3426F2}"/>
    <cellStyle name="20% - Accent2 29" xfId="66" xr:uid="{F73BD671-9CAE-4017-B89A-E52AC82DF0DE}"/>
    <cellStyle name="20% - Accent2 3" xfId="67" xr:uid="{17F89A99-1C3E-479E-B663-D773E49620E4}"/>
    <cellStyle name="20% - Accent2 3 2" xfId="68" xr:uid="{778E7976-5EC1-4830-ADBE-770347990315}"/>
    <cellStyle name="20% - Accent2 30" xfId="69" xr:uid="{CF7DD6B8-486F-4775-B232-F47606830C0F}"/>
    <cellStyle name="20% - Accent2 31" xfId="70" xr:uid="{2414CA56-BB73-4DD8-8C17-3D3F72180126}"/>
    <cellStyle name="20% - Accent2 32" xfId="71" xr:uid="{95D6B518-5859-4EFF-AD40-3AC1784BA291}"/>
    <cellStyle name="20% - Accent2 33" xfId="72" xr:uid="{7375DE71-A3D2-492C-B2D2-FE4DD0AE2C6D}"/>
    <cellStyle name="20% - Accent2 34" xfId="73" xr:uid="{280883E4-AE93-49B5-9210-B6B82F05331B}"/>
    <cellStyle name="20% - Accent2 35" xfId="74" xr:uid="{AF6FC0D8-43B0-4C57-82A5-FBBA5274FA6C}"/>
    <cellStyle name="20% - Accent2 36" xfId="75" xr:uid="{04D19787-D43C-4815-985C-66DFF56D3D03}"/>
    <cellStyle name="20% - Accent2 37" xfId="76" xr:uid="{B549A3AC-6BD3-4ECE-A27C-9FB5007F2D1B}"/>
    <cellStyle name="20% - Accent2 38" xfId="77" xr:uid="{21363C1E-6D10-474D-A8D1-CEFE5773412D}"/>
    <cellStyle name="20% - Accent2 39" xfId="78" xr:uid="{AEEA3ACA-26CA-42A7-ACDB-01CC63DBA0FA}"/>
    <cellStyle name="20% - Accent2 4" xfId="79" xr:uid="{F7E9A53B-946F-41C8-9482-0BBC6C063638}"/>
    <cellStyle name="20% - Accent2 40" xfId="80" xr:uid="{42502ABD-CD71-4A3A-833D-9BCB14AD23AA}"/>
    <cellStyle name="20% - Accent2 41" xfId="81" xr:uid="{3DDEEB97-7DC9-42B1-BBBE-8A991701BC56}"/>
    <cellStyle name="20% - Accent2 42" xfId="82" xr:uid="{812B1C46-727E-4F5E-853C-E27AFE3C947B}"/>
    <cellStyle name="20% - Accent2 43" xfId="83" xr:uid="{667D94B7-B361-4976-89FB-5F78F8F2B445}"/>
    <cellStyle name="20% - Accent2 5" xfId="84" xr:uid="{AC2A4730-B7B4-48E7-86B8-EA7FBCC5FDFE}"/>
    <cellStyle name="20% - Accent2 6" xfId="85" xr:uid="{0EF6DFA9-1A3B-4CE6-AD9D-F6D53ED2C26E}"/>
    <cellStyle name="20% - Accent2 7" xfId="86" xr:uid="{76AB46A9-4C0A-4881-BE11-90AC7F682B68}"/>
    <cellStyle name="20% - Accent2 8" xfId="87" xr:uid="{72C49205-E615-44AF-9121-D86526B661E4}"/>
    <cellStyle name="20% - Accent2 9" xfId="88" xr:uid="{0747AA7F-3021-483E-8037-7057147C4B0F}"/>
    <cellStyle name="20% - Accent3 10" xfId="89" xr:uid="{DCF898B3-1BF0-45AC-877A-8109C6C50E3B}"/>
    <cellStyle name="20% - Accent3 11" xfId="90" xr:uid="{8E53783D-B052-4103-8982-98C3EC2D774D}"/>
    <cellStyle name="20% - Accent3 12" xfId="91" xr:uid="{79FD268A-2749-400D-B86D-E7882E54A0B5}"/>
    <cellStyle name="20% - Accent3 13" xfId="92" xr:uid="{C329713E-43C2-4E4D-AABB-0A527553E03F}"/>
    <cellStyle name="20% - Accent3 14" xfId="93" xr:uid="{C4DF5C07-6A84-4811-862B-3247019E3894}"/>
    <cellStyle name="20% - Accent3 15" xfId="94" xr:uid="{CF3EA111-68B5-4721-A6C5-BAB503B07469}"/>
    <cellStyle name="20% - Accent3 16" xfId="95" xr:uid="{DEE0AA90-B807-4B06-B096-0670EB799095}"/>
    <cellStyle name="20% - Accent3 17" xfId="96" xr:uid="{07189A66-C65F-4095-AAC8-FA463A35A744}"/>
    <cellStyle name="20% - Accent3 18" xfId="97" xr:uid="{E162FA7B-7693-40CE-ABBD-2D66B7FF2830}"/>
    <cellStyle name="20% - Accent3 19" xfId="98" xr:uid="{74B4E999-50C7-473E-B8E2-87B34791D34F}"/>
    <cellStyle name="20% - Accent3 2" xfId="99" xr:uid="{F999E926-B89E-4491-8D0C-15E9BA03C8AB}"/>
    <cellStyle name="20% - Accent3 20" xfId="100" xr:uid="{8091737B-7D75-45E3-B4B8-22694B01136D}"/>
    <cellStyle name="20% - Accent3 21" xfId="101" xr:uid="{C4B9FB5D-C6A4-4F0B-BC1B-C7B986B6C639}"/>
    <cellStyle name="20% - Accent3 22" xfId="102" xr:uid="{E55BA5EA-179E-471D-86CC-77F2D65FCA8E}"/>
    <cellStyle name="20% - Accent3 23" xfId="103" xr:uid="{C9B762AF-4FBB-48DC-A3C0-1306F3ABA5AA}"/>
    <cellStyle name="20% - Accent3 24" xfId="104" xr:uid="{621D31FE-B282-42C2-9F67-04882FCF5158}"/>
    <cellStyle name="20% - Accent3 25" xfId="105" xr:uid="{9EB59570-D6D0-478E-8CA8-B0D00115EFF0}"/>
    <cellStyle name="20% - Accent3 26" xfId="106" xr:uid="{B16D286F-5AE2-4125-B636-163C52B133D5}"/>
    <cellStyle name="20% - Accent3 27" xfId="107" xr:uid="{DF70C687-C478-4E84-8B39-A0259D7101F9}"/>
    <cellStyle name="20% - Accent3 28" xfId="108" xr:uid="{A471A68A-B0FE-4005-9785-AE6E3201D9CC}"/>
    <cellStyle name="20% - Accent3 29" xfId="109" xr:uid="{E3914707-0512-49F7-8FBC-90C058E77DB5}"/>
    <cellStyle name="20% - Accent3 3" xfId="110" xr:uid="{D0EF73E9-05D7-47D6-B28E-D4ADE7DD8C16}"/>
    <cellStyle name="20% - Accent3 3 2" xfId="111" xr:uid="{8229DD9E-2E98-4CB0-8FA4-8B37E346DE1D}"/>
    <cellStyle name="20% - Accent3 30" xfId="112" xr:uid="{3E5DE72D-90F7-4880-B242-717734422BD7}"/>
    <cellStyle name="20% - Accent3 31" xfId="113" xr:uid="{36F46B8B-C6DB-4473-BC53-0F2249EF0E47}"/>
    <cellStyle name="20% - Accent3 32" xfId="114" xr:uid="{D185E0E4-6F7E-468B-B281-FDA527826588}"/>
    <cellStyle name="20% - Accent3 33" xfId="115" xr:uid="{62EB0A3D-C999-4EC2-8B50-1FBC2BD4F1A3}"/>
    <cellStyle name="20% - Accent3 34" xfId="116" xr:uid="{17FE82B6-AC04-4FA2-BC29-3FE5542C638A}"/>
    <cellStyle name="20% - Accent3 35" xfId="117" xr:uid="{0E91BFCE-3A7B-420E-89AD-4A40424ED196}"/>
    <cellStyle name="20% - Accent3 36" xfId="118" xr:uid="{13FFE1A5-4554-4157-95A2-3CB42D621C3B}"/>
    <cellStyle name="20% - Accent3 37" xfId="119" xr:uid="{6F97537D-F84C-4299-9329-D59FDBBD3602}"/>
    <cellStyle name="20% - Accent3 38" xfId="120" xr:uid="{31F7A324-19A0-4557-9C51-FCA7FC100BD5}"/>
    <cellStyle name="20% - Accent3 39" xfId="121" xr:uid="{7FBC20D0-DFB7-438D-B648-352FEA574C2E}"/>
    <cellStyle name="20% - Accent3 4" xfId="122" xr:uid="{AD3B0117-3683-4478-9E49-475B6689FEF6}"/>
    <cellStyle name="20% - Accent3 40" xfId="123" xr:uid="{DF694027-14BB-49A5-8672-19F0D9BE8176}"/>
    <cellStyle name="20% - Accent3 41" xfId="124" xr:uid="{E62C90E6-2C23-4A76-85FC-58383BA29FE0}"/>
    <cellStyle name="20% - Accent3 42" xfId="125" xr:uid="{5BFF24BC-C8DF-4C8A-9643-1B1C00C8AE57}"/>
    <cellStyle name="20% - Accent3 43" xfId="126" xr:uid="{729453A7-92D1-4751-89AA-D38746A8E6E1}"/>
    <cellStyle name="20% - Accent3 5" xfId="127" xr:uid="{20A88F57-3518-4DE6-857A-4F9D200DED03}"/>
    <cellStyle name="20% - Accent3 6" xfId="128" xr:uid="{8C98D386-5BDC-4E7F-A68C-88507E6A50B8}"/>
    <cellStyle name="20% - Accent3 7" xfId="129" xr:uid="{2DBFBC99-CC7B-4EA6-8AD6-D4F3D304FADE}"/>
    <cellStyle name="20% - Accent3 8" xfId="130" xr:uid="{24E2259F-BD15-4E07-BA80-FC65687B6B31}"/>
    <cellStyle name="20% - Accent3 9" xfId="131" xr:uid="{A8F810E1-7F3E-4212-A1E3-76D26F362D00}"/>
    <cellStyle name="20% - Accent4 10" xfId="132" xr:uid="{67B19BB6-0DD3-40E0-AFE2-362D5D290FE8}"/>
    <cellStyle name="20% - Accent4 11" xfId="133" xr:uid="{C0748A7F-CA13-4B3D-814C-8B11FBDA99D7}"/>
    <cellStyle name="20% - Accent4 12" xfId="134" xr:uid="{52CE5A14-AD21-4FC4-B6B4-70DD6DA9FF53}"/>
    <cellStyle name="20% - Accent4 13" xfId="135" xr:uid="{50EB4CC1-41D3-4DBB-97B4-33C2F3738E87}"/>
    <cellStyle name="20% - Accent4 14" xfId="136" xr:uid="{716F7244-937E-4ED4-882B-A6E3D05E11C4}"/>
    <cellStyle name="20% - Accent4 15" xfId="137" xr:uid="{68D09B59-8958-4343-93A4-4CA7282C24DE}"/>
    <cellStyle name="20% - Accent4 16" xfId="138" xr:uid="{62887409-7FBF-4582-97B6-5A751FCA5B0B}"/>
    <cellStyle name="20% - Accent4 17" xfId="139" xr:uid="{9BE6BF75-0F2B-490B-A7AF-109E61CBA2E6}"/>
    <cellStyle name="20% - Accent4 18" xfId="140" xr:uid="{DABB0329-667D-4624-A7B1-06282B2A150E}"/>
    <cellStyle name="20% - Accent4 19" xfId="141" xr:uid="{B9E816F5-F4CD-4CF8-8BB9-C5B49DB78919}"/>
    <cellStyle name="20% - Accent4 2" xfId="142" xr:uid="{8DD379BA-1FCB-45AC-BE87-6B97FDB5DAEF}"/>
    <cellStyle name="20% - Accent4 20" xfId="143" xr:uid="{036E6D2C-7A81-4B6C-9A42-159DAADE0846}"/>
    <cellStyle name="20% - Accent4 21" xfId="144" xr:uid="{53A78574-942E-4FD2-96F5-923E70AE2224}"/>
    <cellStyle name="20% - Accent4 22" xfId="145" xr:uid="{F3508E01-C28C-4BBF-8D52-404C3EDFC502}"/>
    <cellStyle name="20% - Accent4 23" xfId="146" xr:uid="{53339E6B-3D7A-4F24-86FD-860BA07DC74B}"/>
    <cellStyle name="20% - Accent4 24" xfId="147" xr:uid="{280C024C-CB35-4250-A66D-0DAE334B5338}"/>
    <cellStyle name="20% - Accent4 25" xfId="148" xr:uid="{4922C219-2E9D-47A1-8E07-D62BB2EBA201}"/>
    <cellStyle name="20% - Accent4 26" xfId="149" xr:uid="{9C94677B-690E-425C-A126-8E8D353C394D}"/>
    <cellStyle name="20% - Accent4 27" xfId="150" xr:uid="{A5EA39AC-036D-4A56-BB6B-5D893B4483F4}"/>
    <cellStyle name="20% - Accent4 28" xfId="151" xr:uid="{D4493115-6A65-43B7-9CFD-AD1E4CD3CA7F}"/>
    <cellStyle name="20% - Accent4 29" xfId="152" xr:uid="{C7CACBB7-F416-4061-ADCC-04ECC7DC340F}"/>
    <cellStyle name="20% - Accent4 3" xfId="153" xr:uid="{06415E55-403A-4A76-ADBD-0B752DEB63B6}"/>
    <cellStyle name="20% - Accent4 3 2" xfId="154" xr:uid="{79B7017E-C462-4B6E-9B44-88D20DCD2500}"/>
    <cellStyle name="20% - Accent4 30" xfId="155" xr:uid="{AA9C9656-10C2-4E76-AF97-0D320567B3EB}"/>
    <cellStyle name="20% - Accent4 31" xfId="156" xr:uid="{34136EDC-3A3D-4FDB-B5E4-FBD21762E589}"/>
    <cellStyle name="20% - Accent4 32" xfId="157" xr:uid="{E5862638-4DF1-415A-A05C-E99CCAE555FE}"/>
    <cellStyle name="20% - Accent4 33" xfId="158" xr:uid="{7665FFD4-6E02-4F08-A0C4-6D3E1F429A52}"/>
    <cellStyle name="20% - Accent4 34" xfId="159" xr:uid="{42544107-FCFD-4B0D-A932-EB492C3C9920}"/>
    <cellStyle name="20% - Accent4 35" xfId="160" xr:uid="{7487AA46-4E44-4060-B8AA-CD07F6FA9ACA}"/>
    <cellStyle name="20% - Accent4 36" xfId="161" xr:uid="{D69D0F3E-91B5-4AC2-B5A3-95B233F65A2B}"/>
    <cellStyle name="20% - Accent4 37" xfId="162" xr:uid="{35C4E644-5A78-494B-A63C-E1A1A6F3D42A}"/>
    <cellStyle name="20% - Accent4 38" xfId="163" xr:uid="{305E98BD-AEAA-4BF8-9462-8CABB10E5639}"/>
    <cellStyle name="20% - Accent4 39" xfId="164" xr:uid="{BF02FADC-CE9A-408F-817B-4039D4B9172C}"/>
    <cellStyle name="20% - Accent4 4" xfId="165" xr:uid="{12F034C2-840B-412C-9B85-6ADAF762830E}"/>
    <cellStyle name="20% - Accent4 40" xfId="166" xr:uid="{0C952AA6-E253-4A7E-9649-3759AE74084D}"/>
    <cellStyle name="20% - Accent4 41" xfId="167" xr:uid="{BDD79ACE-59A8-4183-94F1-7DAB8D41E910}"/>
    <cellStyle name="20% - Accent4 42" xfId="168" xr:uid="{D909E761-8267-4439-9D3F-A21470C14479}"/>
    <cellStyle name="20% - Accent4 43" xfId="169" xr:uid="{917B2B5E-6D32-4EAC-8276-B3449CA0D4A3}"/>
    <cellStyle name="20% - Accent4 5" xfId="170" xr:uid="{44B562FB-34C3-4C7A-9199-88462F1599DB}"/>
    <cellStyle name="20% - Accent4 6" xfId="171" xr:uid="{741FAC54-934E-43AA-8907-5F5BE38BB0C6}"/>
    <cellStyle name="20% - Accent4 7" xfId="172" xr:uid="{7E2B98EA-2F37-495E-A9D3-62B69F633BA8}"/>
    <cellStyle name="20% - Accent4 8" xfId="173" xr:uid="{DBAC65F2-721B-4F7C-85FE-74EF366595BA}"/>
    <cellStyle name="20% - Accent4 9" xfId="174" xr:uid="{BDF422AA-B472-4BD3-873A-E54B723FC2D7}"/>
    <cellStyle name="20% - Accent5 10" xfId="175" xr:uid="{CB2D6128-083E-4AF3-AD3E-A51EBAEDCE65}"/>
    <cellStyle name="20% - Accent5 11" xfId="176" xr:uid="{2466277A-78BF-45F8-8F4D-DCDE12AA2147}"/>
    <cellStyle name="20% - Accent5 12" xfId="177" xr:uid="{5CDE9585-47F1-4BB9-AC2E-6E9441F17F6C}"/>
    <cellStyle name="20% - Accent5 13" xfId="178" xr:uid="{B1AB8654-C538-4485-AA9F-0A9F28AEF1B5}"/>
    <cellStyle name="20% - Accent5 14" xfId="179" xr:uid="{59FA9BCB-DE3F-4D60-B82D-7BEB806C5066}"/>
    <cellStyle name="20% - Accent5 15" xfId="180" xr:uid="{16F54110-BAAC-4C46-9101-34D444389AFC}"/>
    <cellStyle name="20% - Accent5 16" xfId="181" xr:uid="{9D7E81B7-A5F2-4E2B-B485-26263BAA616A}"/>
    <cellStyle name="20% - Accent5 17" xfId="182" xr:uid="{FC93A4AD-41FC-4838-9412-3567E4CF31F6}"/>
    <cellStyle name="20% - Accent5 18" xfId="183" xr:uid="{92FDCD61-5EF2-43F6-A51E-FDAD1C69FA10}"/>
    <cellStyle name="20% - Accent5 19" xfId="184" xr:uid="{BEC117C2-E2A7-425B-848F-CA7C75108BFA}"/>
    <cellStyle name="20% - Accent5 2" xfId="185" xr:uid="{8626A74B-0C75-4BC1-8AD7-4F536FDFA6DF}"/>
    <cellStyle name="20% - Accent5 20" xfId="186" xr:uid="{0E4E5494-91FE-4762-B8BA-0C5E8CFCA87F}"/>
    <cellStyle name="20% - Accent5 21" xfId="187" xr:uid="{73009D38-567F-4012-A990-A10B1E785F47}"/>
    <cellStyle name="20% - Accent5 22" xfId="188" xr:uid="{03665C32-EAC8-473F-8B43-7F1843677C8C}"/>
    <cellStyle name="20% - Accent5 23" xfId="189" xr:uid="{AB0F6F97-1A20-4ABF-93E7-9D9ACD9A5924}"/>
    <cellStyle name="20% - Accent5 24" xfId="190" xr:uid="{133CEB26-2F17-4B43-91A2-4F8F9F1E66B6}"/>
    <cellStyle name="20% - Accent5 25" xfId="191" xr:uid="{0973809B-3A14-4985-A47F-001E79CB1ACC}"/>
    <cellStyle name="20% - Accent5 26" xfId="192" xr:uid="{80EECD13-DDD9-4267-A58A-D7EFCB57FB7C}"/>
    <cellStyle name="20% - Accent5 27" xfId="193" xr:uid="{D9D9B86C-F07F-4F6F-A7C1-B206D079D7AB}"/>
    <cellStyle name="20% - Accent5 28" xfId="194" xr:uid="{3D1DB0B8-629B-4F36-95F4-2C06A76A9CDE}"/>
    <cellStyle name="20% - Accent5 29" xfId="195" xr:uid="{424C749B-D40B-4706-AA9A-173C9D003139}"/>
    <cellStyle name="20% - Accent5 3" xfId="196" xr:uid="{82816493-6418-4D31-8D24-EFF85A3D35E9}"/>
    <cellStyle name="20% - Accent5 3 2" xfId="197" xr:uid="{C9C7D385-7523-42D6-A184-374CAED1D9B5}"/>
    <cellStyle name="20% - Accent5 30" xfId="198" xr:uid="{DB51D6A5-253E-452F-B171-E7FBDBFA96D4}"/>
    <cellStyle name="20% - Accent5 31" xfId="199" xr:uid="{A02D1D6C-05E7-4FE3-A1B7-7F6BB99426DD}"/>
    <cellStyle name="20% - Accent5 32" xfId="200" xr:uid="{003921C0-109D-49F3-B827-02F12082C832}"/>
    <cellStyle name="20% - Accent5 33" xfId="201" xr:uid="{D22EB49D-B2EE-4C6B-910D-E967A45D6B24}"/>
    <cellStyle name="20% - Accent5 34" xfId="202" xr:uid="{BBB0A18C-7BD8-4779-8716-4CD85C8BDE74}"/>
    <cellStyle name="20% - Accent5 35" xfId="203" xr:uid="{F19C15F4-A626-4CF2-9772-0496FF7A612D}"/>
    <cellStyle name="20% - Accent5 36" xfId="204" xr:uid="{12B3DFFB-4974-4A5F-B5A1-42206AAA561A}"/>
    <cellStyle name="20% - Accent5 37" xfId="205" xr:uid="{9DDF420B-DBFF-4861-90DE-70489B396821}"/>
    <cellStyle name="20% - Accent5 38" xfId="206" xr:uid="{FEC567B1-9E39-45B3-84DB-08D82AC71829}"/>
    <cellStyle name="20% - Accent5 39" xfId="207" xr:uid="{AD4C583A-3650-41D9-98B6-970F4E0A2513}"/>
    <cellStyle name="20% - Accent5 4" xfId="208" xr:uid="{8EAF5269-55A7-4DF1-8864-0236956E7F9F}"/>
    <cellStyle name="20% - Accent5 40" xfId="209" xr:uid="{260812DE-E90A-4707-84F0-E5BB5EABF42E}"/>
    <cellStyle name="20% - Accent5 41" xfId="210" xr:uid="{A423EFF4-F0E2-4CE0-BF02-29B86C4A2331}"/>
    <cellStyle name="20% - Accent5 42" xfId="211" xr:uid="{AB1C88EF-BBFF-42AF-8FE3-176C09D6C2D1}"/>
    <cellStyle name="20% - Accent5 43" xfId="212" xr:uid="{F638A0FE-B927-4A5A-A049-5C86A800C15D}"/>
    <cellStyle name="20% - Accent5 5" xfId="213" xr:uid="{5FA45AC7-B2F5-4D7B-AB1F-639AA58E0C42}"/>
    <cellStyle name="20% - Accent5 6" xfId="214" xr:uid="{DB610CCE-7451-443F-8C83-2B3090220BF8}"/>
    <cellStyle name="20% - Accent5 7" xfId="215" xr:uid="{DA01878B-CD16-4ED2-A081-F1BD949E418A}"/>
    <cellStyle name="20% - Accent5 8" xfId="216" xr:uid="{04326FD3-FA4F-4156-8366-E6906BAFB860}"/>
    <cellStyle name="20% - Accent5 9" xfId="217" xr:uid="{CD305F4B-1519-4DBD-B140-E1836A59BD0B}"/>
    <cellStyle name="20% - Accent6 10" xfId="218" xr:uid="{F9D58FAB-009B-42C2-B5D6-6D5A2161CD3A}"/>
    <cellStyle name="20% - Accent6 11" xfId="219" xr:uid="{4AD2F546-C2DD-4379-8E25-206E79DC8AA0}"/>
    <cellStyle name="20% - Accent6 12" xfId="220" xr:uid="{6946A04D-4214-4773-8012-93CE6A5FFE60}"/>
    <cellStyle name="20% - Accent6 13" xfId="221" xr:uid="{801A1EB7-E413-4F52-9819-BCCA49AB6EEF}"/>
    <cellStyle name="20% - Accent6 14" xfId="222" xr:uid="{120FA8D7-3B2E-47FD-9FBD-136F9B2F7D14}"/>
    <cellStyle name="20% - Accent6 15" xfId="223" xr:uid="{0A03F153-1429-436E-AA7F-2A4FD6220FD7}"/>
    <cellStyle name="20% - Accent6 16" xfId="224" xr:uid="{BB2B4EAD-3A7B-4EFA-A707-CD94C6DBD8BE}"/>
    <cellStyle name="20% - Accent6 17" xfId="225" xr:uid="{3111A891-E349-4700-8675-C670222CBFCA}"/>
    <cellStyle name="20% - Accent6 18" xfId="226" xr:uid="{825A462D-A3E1-4187-9BE6-D85AF61807A5}"/>
    <cellStyle name="20% - Accent6 19" xfId="227" xr:uid="{BC94E1F0-4AB6-4BBA-9170-4AD7AF4566BB}"/>
    <cellStyle name="20% - Accent6 2" xfId="228" xr:uid="{77D33389-8C89-426F-95EA-F391EA8B66AF}"/>
    <cellStyle name="20% - Accent6 20" xfId="229" xr:uid="{04748410-FCE1-483D-840D-B0D14DE57915}"/>
    <cellStyle name="20% - Accent6 21" xfId="230" xr:uid="{F132581E-5336-4250-A408-6A1A24DF0B26}"/>
    <cellStyle name="20% - Accent6 22" xfId="231" xr:uid="{A59ECA78-04B9-41D1-88EF-743D83346831}"/>
    <cellStyle name="20% - Accent6 23" xfId="232" xr:uid="{DB0839FE-D55E-407B-A22F-91FC652A9D66}"/>
    <cellStyle name="20% - Accent6 24" xfId="233" xr:uid="{AB24F020-D967-4F9D-BFE0-C34405B07FEF}"/>
    <cellStyle name="20% - Accent6 25" xfId="234" xr:uid="{373295E6-5AEE-4330-8E7E-3974357C09FB}"/>
    <cellStyle name="20% - Accent6 26" xfId="235" xr:uid="{F8540B1E-D1C4-4B27-9ED9-0B4E8A7059E0}"/>
    <cellStyle name="20% - Accent6 27" xfId="236" xr:uid="{7AECEC87-2F09-40D5-9383-E527EBAABA20}"/>
    <cellStyle name="20% - Accent6 28" xfId="237" xr:uid="{EABFEED9-2239-491E-9490-F58A38F4A274}"/>
    <cellStyle name="20% - Accent6 29" xfId="238" xr:uid="{4E0E4E05-C71F-4DC3-8C4A-4038C71B2199}"/>
    <cellStyle name="20% - Accent6 3" xfId="239" xr:uid="{7081A123-4B02-4332-B185-5AFF65B06440}"/>
    <cellStyle name="20% - Accent6 3 2" xfId="240" xr:uid="{382224BC-5EA9-4337-BE7B-ECBB4D6B4B94}"/>
    <cellStyle name="20% - Accent6 30" xfId="241" xr:uid="{E12691AB-4157-4938-AB0D-6AC0A8995109}"/>
    <cellStyle name="20% - Accent6 31" xfId="242" xr:uid="{612AB9C6-DEB5-43E6-9DE1-F92770ED4A37}"/>
    <cellStyle name="20% - Accent6 32" xfId="243" xr:uid="{365C5588-FD26-49CA-880C-C2F79913B251}"/>
    <cellStyle name="20% - Accent6 33" xfId="244" xr:uid="{71632159-2C7F-4CB3-AA3B-22595B7E9F5C}"/>
    <cellStyle name="20% - Accent6 34" xfId="245" xr:uid="{FC84C112-3CF7-4474-A9BC-54B45E865D79}"/>
    <cellStyle name="20% - Accent6 35" xfId="246" xr:uid="{BFD005A7-45D1-4D00-94A4-5B1B7D1A3A58}"/>
    <cellStyle name="20% - Accent6 36" xfId="247" xr:uid="{EF9450A5-83CA-41EE-9D72-926751AF445D}"/>
    <cellStyle name="20% - Accent6 37" xfId="248" xr:uid="{0CEED5F1-80C0-4276-9483-32CF9B25C0B8}"/>
    <cellStyle name="20% - Accent6 38" xfId="249" xr:uid="{4918F2DB-CE38-42CD-8775-6D220375E160}"/>
    <cellStyle name="20% - Accent6 39" xfId="250" xr:uid="{A45BA6B3-E238-427B-B9DD-297A671EB391}"/>
    <cellStyle name="20% - Accent6 4" xfId="251" xr:uid="{27EA93AD-0246-4FD8-8893-CD926253638F}"/>
    <cellStyle name="20% - Accent6 40" xfId="252" xr:uid="{129FA349-F629-4428-B7D9-24F3705B07A4}"/>
    <cellStyle name="20% - Accent6 41" xfId="253" xr:uid="{74B33170-702D-4C8F-86B4-61DB7A65A024}"/>
    <cellStyle name="20% - Accent6 42" xfId="254" xr:uid="{5AE35DD5-A035-4E4F-AC08-837D16929486}"/>
    <cellStyle name="20% - Accent6 43" xfId="255" xr:uid="{D68541DA-AA2F-4540-A3A3-D67098CFD75B}"/>
    <cellStyle name="20% - Accent6 44" xfId="256" xr:uid="{4528033B-91F6-4AAB-AE3B-42E71262F1E3}"/>
    <cellStyle name="20% - Accent6 5" xfId="257" xr:uid="{45809222-B238-472C-9DE5-D772479C7985}"/>
    <cellStyle name="20% - Accent6 6" xfId="258" xr:uid="{70D3A132-C44B-4042-B8FD-6D34F4EBC2D4}"/>
    <cellStyle name="20% - Accent6 7" xfId="259" xr:uid="{CC3CEDD6-61FC-48EB-BA0E-563AFCF58451}"/>
    <cellStyle name="20% - Accent6 8" xfId="260" xr:uid="{13CBBB2F-316B-4264-8C17-283E06BF6F75}"/>
    <cellStyle name="20% - Accent6 9" xfId="261" xr:uid="{34EA6C58-276F-433F-9880-68272748EB6B}"/>
    <cellStyle name="20% - Akzent1" xfId="262" xr:uid="{8CCA2146-1AD3-40F6-A733-6A5753BDCB6F}"/>
    <cellStyle name="20% - Akzent2" xfId="263" xr:uid="{A743E031-9C5E-4576-85A6-A4F475AEADC3}"/>
    <cellStyle name="20% - Akzent3" xfId="264" xr:uid="{1778F1BE-D69B-4F8C-9372-D0DB9F91CC8C}"/>
    <cellStyle name="20% - Akzent4" xfId="265" xr:uid="{94CFC7C3-5AB6-47EF-A02C-9907CAA629F0}"/>
    <cellStyle name="20% - Akzent5" xfId="266" xr:uid="{A5A18589-8174-424A-B630-DD2ED0DA968D}"/>
    <cellStyle name="20% - Akzent6" xfId="267" xr:uid="{1B5F6EE3-77D7-455A-8383-3BAD00507BB5}"/>
    <cellStyle name="2x indented GHG Textfiels" xfId="268" xr:uid="{8D84770B-20E7-4851-9DB8-6D6053245D46}"/>
    <cellStyle name="40% - Accent1 10" xfId="269" xr:uid="{F70531B9-AC38-41B8-9DF0-6C77DBED5901}"/>
    <cellStyle name="40% - Accent1 11" xfId="270" xr:uid="{5D1472C9-91FE-41BF-95DC-C008FB4EE048}"/>
    <cellStyle name="40% - Accent1 12" xfId="271" xr:uid="{BC5E901E-CB6F-447D-83DA-6A459240C946}"/>
    <cellStyle name="40% - Accent1 13" xfId="272" xr:uid="{359E3DEC-5EDD-4B70-AD67-A84A64F014E8}"/>
    <cellStyle name="40% - Accent1 14" xfId="273" xr:uid="{ED993BC6-84B2-4E08-BBBB-D9091B6EA519}"/>
    <cellStyle name="40% - Accent1 15" xfId="274" xr:uid="{4A93B92D-91E5-40CA-AF5D-95D4208C078D}"/>
    <cellStyle name="40% - Accent1 16" xfId="275" xr:uid="{2C78EAB4-C39A-4806-8943-9ECC4F0DE117}"/>
    <cellStyle name="40% - Accent1 17" xfId="276" xr:uid="{E0721EE9-F3A1-43D1-8875-1F8414670881}"/>
    <cellStyle name="40% - Accent1 18" xfId="277" xr:uid="{CDDD26CF-BB86-4704-B060-F59575004934}"/>
    <cellStyle name="40% - Accent1 19" xfId="278" xr:uid="{EAE7DB72-E2DE-4237-ACE8-A38E30C6B3CA}"/>
    <cellStyle name="40% - Accent1 2" xfId="279" xr:uid="{17B73F10-3D77-4E96-8B71-6FF6C2ACCE30}"/>
    <cellStyle name="40% - Accent1 20" xfId="280" xr:uid="{E7417A9A-5C6E-4712-833D-5EBBCB201653}"/>
    <cellStyle name="40% - Accent1 21" xfId="281" xr:uid="{73E0B687-7DD9-49F0-AFC9-836B4C5EEB11}"/>
    <cellStyle name="40% - Accent1 22" xfId="282" xr:uid="{4662EC4D-CA0C-45B4-9C60-D5546264C05A}"/>
    <cellStyle name="40% - Accent1 23" xfId="283" xr:uid="{2B322978-FD5D-4090-AE0D-04C0740D5F5A}"/>
    <cellStyle name="40% - Accent1 24" xfId="284" xr:uid="{D4FDCC9B-00ED-4EC0-812D-4DE4D7DFE696}"/>
    <cellStyle name="40% - Accent1 25" xfId="285" xr:uid="{0216C89A-4722-4DC3-B168-809C46BBFD91}"/>
    <cellStyle name="40% - Accent1 26" xfId="286" xr:uid="{3719A4FA-2B73-4E45-AB31-35D0DDD1FF44}"/>
    <cellStyle name="40% - Accent1 27" xfId="287" xr:uid="{DA4DF180-57DA-446C-A3E5-EB3812366E1E}"/>
    <cellStyle name="40% - Accent1 28" xfId="288" xr:uid="{8CE73ADC-4BDC-4F54-B88F-F74FC9ED516D}"/>
    <cellStyle name="40% - Accent1 29" xfId="289" xr:uid="{BCFBFFD1-7E66-42ED-95AF-00576AB84180}"/>
    <cellStyle name="40% - Accent1 3" xfId="290" xr:uid="{2206650C-83C2-416F-817E-1074EBEBCC02}"/>
    <cellStyle name="40% - Accent1 3 2" xfId="291" xr:uid="{9AAE44C0-53D9-46A6-859D-121BC609549E}"/>
    <cellStyle name="40% - Accent1 30" xfId="292" xr:uid="{51E4C1AA-98A5-4D6A-810F-5AA36FE04EB1}"/>
    <cellStyle name="40% - Accent1 31" xfId="293" xr:uid="{5E0C2302-5408-41C1-8FCA-AEF624B1427B}"/>
    <cellStyle name="40% - Accent1 32" xfId="294" xr:uid="{93DA5082-C340-40CD-93BB-9DD1B07884BD}"/>
    <cellStyle name="40% - Accent1 33" xfId="295" xr:uid="{64329AC9-3F2D-45AE-81E5-2A9F928AF3F7}"/>
    <cellStyle name="40% - Accent1 34" xfId="296" xr:uid="{5506726F-DE02-420B-948A-9C274BEB59AC}"/>
    <cellStyle name="40% - Accent1 35" xfId="297" xr:uid="{45FA6671-8702-4A8D-8642-162AE3A89EC1}"/>
    <cellStyle name="40% - Accent1 36" xfId="298" xr:uid="{472BD5B7-F8FB-48E8-A9F3-63DA310D6608}"/>
    <cellStyle name="40% - Accent1 37" xfId="299" xr:uid="{34003ED1-585F-400E-B20D-A78EC9C74418}"/>
    <cellStyle name="40% - Accent1 38" xfId="300" xr:uid="{0B9C604D-120C-4A24-8454-719464B331D1}"/>
    <cellStyle name="40% - Accent1 39" xfId="301" xr:uid="{19323495-5057-478C-926F-BEF52781D8F7}"/>
    <cellStyle name="40% - Accent1 4" xfId="302" xr:uid="{05D2E937-12A3-4BE6-B761-68CC998D7300}"/>
    <cellStyle name="40% - Accent1 40" xfId="303" xr:uid="{92CED0AE-88CF-4709-9ADB-919DCD424DDC}"/>
    <cellStyle name="40% - Accent1 41" xfId="304" xr:uid="{0D038F99-257C-46B0-BC6B-8D0112995EA9}"/>
    <cellStyle name="40% - Accent1 42" xfId="305" xr:uid="{E3AB9BEC-7CE1-4F86-9ACB-A539C3B4F27F}"/>
    <cellStyle name="40% - Accent1 43" xfId="306" xr:uid="{DB1A954B-FE55-4F99-98A2-DFC49B7CC7B7}"/>
    <cellStyle name="40% - Accent1 5" xfId="307" xr:uid="{D75FA9B3-518E-429B-9A4E-E59805C6AA36}"/>
    <cellStyle name="40% - Accent1 6" xfId="308" xr:uid="{B2D18ABA-1215-4096-ACD7-BA0ABF7F37F2}"/>
    <cellStyle name="40% - Accent1 7" xfId="309" xr:uid="{A3453A2C-003B-4D96-9FF0-1DCB436BBF92}"/>
    <cellStyle name="40% - Accent1 8" xfId="310" xr:uid="{1C1971F2-E1DA-4FD3-AECB-3145425C314F}"/>
    <cellStyle name="40% - Accent1 9" xfId="311" xr:uid="{FA5AB89D-7C66-447F-8447-CAF0C4EC4AF8}"/>
    <cellStyle name="40% - Accent2 10" xfId="312" xr:uid="{A9E9A898-5826-42B0-A3F3-F5C9EF9D7307}"/>
    <cellStyle name="40% - Accent2 11" xfId="313" xr:uid="{87D74D48-3F93-4AC1-8FE2-6A3CFE606CB7}"/>
    <cellStyle name="40% - Accent2 12" xfId="314" xr:uid="{68B9F49C-1274-49E2-A5FF-1C9ABB40B78D}"/>
    <cellStyle name="40% - Accent2 13" xfId="315" xr:uid="{13FFBB7B-9BD0-4FDD-9E67-9E2AB9991365}"/>
    <cellStyle name="40% - Accent2 14" xfId="316" xr:uid="{E2122D0B-EA05-42D4-BFAB-1CEAF28E17E4}"/>
    <cellStyle name="40% - Accent2 15" xfId="317" xr:uid="{22375C1A-FDDB-4AB0-99DD-D63B007540D3}"/>
    <cellStyle name="40% - Accent2 16" xfId="318" xr:uid="{11A988DF-D6C9-45FA-B82D-0AD6A4CD9C00}"/>
    <cellStyle name="40% - Accent2 17" xfId="319" xr:uid="{E4605FD4-9F55-43EE-84B9-2EE26D474874}"/>
    <cellStyle name="40% - Accent2 18" xfId="320" xr:uid="{21C43F7C-ADBE-42CB-A8A7-072BEBA83F9D}"/>
    <cellStyle name="40% - Accent2 19" xfId="321" xr:uid="{F2F0D2B6-F461-4859-8A89-71FF7F374EF4}"/>
    <cellStyle name="40% - Accent2 2" xfId="322" xr:uid="{B12F3470-A383-4533-9F61-AF8CE2A35EC5}"/>
    <cellStyle name="40% - Accent2 20" xfId="323" xr:uid="{7DBE6A3F-5571-4AEA-86BF-A095E1380334}"/>
    <cellStyle name="40% - Accent2 21" xfId="324" xr:uid="{4332D199-56EF-4009-ABF3-864CB7BA86C9}"/>
    <cellStyle name="40% - Accent2 22" xfId="325" xr:uid="{BBC000D9-7E90-4435-8D86-E7EE6B91D938}"/>
    <cellStyle name="40% - Accent2 23" xfId="326" xr:uid="{0E05363D-B721-4ABF-AA82-6573A49FBA14}"/>
    <cellStyle name="40% - Accent2 24" xfId="327" xr:uid="{DF30E227-19A9-41B4-882B-9B6A1AD64DED}"/>
    <cellStyle name="40% - Accent2 25" xfId="328" xr:uid="{739B1E56-1803-4879-927A-3DF2D014834F}"/>
    <cellStyle name="40% - Accent2 26" xfId="329" xr:uid="{72CF40D5-D52D-4632-8ED8-7BC3510EC935}"/>
    <cellStyle name="40% - Accent2 27" xfId="330" xr:uid="{C9558731-8C1F-4A8E-B820-B773533E7562}"/>
    <cellStyle name="40% - Accent2 28" xfId="331" xr:uid="{B3012EC9-0D52-47FB-85C7-095223BA7F5B}"/>
    <cellStyle name="40% - Accent2 29" xfId="332" xr:uid="{9A6FBED4-7701-475D-B6AD-9008D2E45857}"/>
    <cellStyle name="40% - Accent2 3" xfId="333" xr:uid="{CF144422-A307-4BAB-A1B9-3E7EE94A1F88}"/>
    <cellStyle name="40% - Accent2 3 2" xfId="334" xr:uid="{6B00D37E-4662-42AF-A507-6FCBC8C14F97}"/>
    <cellStyle name="40% - Accent2 30" xfId="335" xr:uid="{17285C55-DEE8-47DC-85C3-DF7AA239F8D0}"/>
    <cellStyle name="40% - Accent2 31" xfId="336" xr:uid="{B101F99B-3777-420D-9830-52DB6001CF67}"/>
    <cellStyle name="40% - Accent2 32" xfId="337" xr:uid="{BC6F3B47-7079-406D-B7A2-1EC4F6D80851}"/>
    <cellStyle name="40% - Accent2 33" xfId="338" xr:uid="{9E5DF29F-0A2F-49F6-8FB4-43E5E86CE8E6}"/>
    <cellStyle name="40% - Accent2 34" xfId="339" xr:uid="{8E5BEB8F-EACC-4653-B22C-6F078BAE8A41}"/>
    <cellStyle name="40% - Accent2 35" xfId="340" xr:uid="{9E71FDC1-65C9-4F25-A8E1-4610C5D6F0E3}"/>
    <cellStyle name="40% - Accent2 36" xfId="341" xr:uid="{9861A84A-E1C8-4B1D-8466-6AA834A82404}"/>
    <cellStyle name="40% - Accent2 37" xfId="342" xr:uid="{026E2333-56FC-490D-924A-D48D9622E6A3}"/>
    <cellStyle name="40% - Accent2 38" xfId="343" xr:uid="{1FB9DC3B-D2F5-4ECB-873B-1BE78263FBC8}"/>
    <cellStyle name="40% - Accent2 39" xfId="344" xr:uid="{CE0B0262-E1F2-4424-AE19-814E7CB93AEF}"/>
    <cellStyle name="40% - Accent2 4" xfId="345" xr:uid="{F2F2D7B9-AC5D-4418-8FC7-ADA8319DFAA6}"/>
    <cellStyle name="40% - Accent2 40" xfId="346" xr:uid="{5C9E3D1A-EE12-4208-8F2A-5B096B2359A2}"/>
    <cellStyle name="40% - Accent2 41" xfId="347" xr:uid="{BB9F6BB3-C26F-43E7-B247-489924911108}"/>
    <cellStyle name="40% - Accent2 42" xfId="348" xr:uid="{5428F6CD-E310-4BE5-A928-EA7E1072C129}"/>
    <cellStyle name="40% - Accent2 43" xfId="349" xr:uid="{CBE23260-CDF1-489B-A971-26F919C52035}"/>
    <cellStyle name="40% - Accent2 5" xfId="350" xr:uid="{307D76E6-C796-45D3-BB85-1B3875EBE06C}"/>
    <cellStyle name="40% - Accent2 6" xfId="351" xr:uid="{916C9E7B-D593-4279-AE02-066B7B10B5E7}"/>
    <cellStyle name="40% - Accent2 7" xfId="352" xr:uid="{F9DECC7E-F892-44AA-B560-E62398D5D95A}"/>
    <cellStyle name="40% - Accent2 8" xfId="353" xr:uid="{1B5CADBE-9EF2-44E2-8955-71069A4C96D4}"/>
    <cellStyle name="40% - Accent2 9" xfId="354" xr:uid="{3C32CD14-FD4B-4257-964E-04C8B759F889}"/>
    <cellStyle name="40% - Accent3 10" xfId="355" xr:uid="{07B844B1-791D-464F-9B58-21A7E4BD6CBD}"/>
    <cellStyle name="40% - Accent3 11" xfId="356" xr:uid="{698A27F1-3C8D-4E73-90A2-DD60F92D85F9}"/>
    <cellStyle name="40% - Accent3 12" xfId="357" xr:uid="{03A5BE32-5F8C-4F60-A32B-91FF4C758AEE}"/>
    <cellStyle name="40% - Accent3 13" xfId="358" xr:uid="{A330878D-05D3-44B6-95E8-521ED31B13F3}"/>
    <cellStyle name="40% - Accent3 14" xfId="359" xr:uid="{90C2A6DB-8244-4780-A325-80E870B292A2}"/>
    <cellStyle name="40% - Accent3 15" xfId="360" xr:uid="{7FAB8F26-A8EE-4043-85DE-8B8215380342}"/>
    <cellStyle name="40% - Accent3 16" xfId="361" xr:uid="{CBD8DC11-82B1-4DB7-B6B5-AE5945499144}"/>
    <cellStyle name="40% - Accent3 17" xfId="362" xr:uid="{894DE429-4F4D-4BD3-BB8A-A59B1EEA9708}"/>
    <cellStyle name="40% - Accent3 18" xfId="363" xr:uid="{E80B75F6-1E44-4A88-A552-CA68F88EE12D}"/>
    <cellStyle name="40% - Accent3 19" xfId="364" xr:uid="{D89CBAE5-EA80-4D56-83F6-8D2A9A54BD26}"/>
    <cellStyle name="40% - Accent3 2" xfId="365" xr:uid="{6666E06E-FBF7-4C58-B315-8ED475AD6D3D}"/>
    <cellStyle name="40% - Accent3 20" xfId="366" xr:uid="{1366578B-F402-44BE-9FBA-05F21365F966}"/>
    <cellStyle name="40% - Accent3 21" xfId="367" xr:uid="{4CBE77E8-2966-4D27-B720-53E479C47D61}"/>
    <cellStyle name="40% - Accent3 22" xfId="368" xr:uid="{A39181D1-EFD6-4348-BA14-C4A2C6226FE9}"/>
    <cellStyle name="40% - Accent3 23" xfId="369" xr:uid="{EF7FF5AE-7741-4A3F-AA12-10C7BB7DDE96}"/>
    <cellStyle name="40% - Accent3 24" xfId="370" xr:uid="{53CACB57-99F0-4A02-9083-A291BF31AFD3}"/>
    <cellStyle name="40% - Accent3 25" xfId="371" xr:uid="{5A856471-60E8-43A5-911B-5B3DF5B769FB}"/>
    <cellStyle name="40% - Accent3 26" xfId="372" xr:uid="{5C381A7C-EBC5-4186-866A-2C9753DF1FA7}"/>
    <cellStyle name="40% - Accent3 27" xfId="373" xr:uid="{9ECE7922-79AE-4094-B48C-82A832BA7C08}"/>
    <cellStyle name="40% - Accent3 28" xfId="374" xr:uid="{663CCF6F-D706-4849-8856-C816CF94D04C}"/>
    <cellStyle name="40% - Accent3 29" xfId="375" xr:uid="{44393FE1-E0F8-4ADA-8D94-F694535D4226}"/>
    <cellStyle name="40% - Accent3 3" xfId="376" xr:uid="{F83F19C0-A7F4-407D-A468-E9ADCE6D5DDB}"/>
    <cellStyle name="40% - Accent3 3 2" xfId="377" xr:uid="{6E1D5AC0-083F-41D8-B815-78ED5CAF0933}"/>
    <cellStyle name="40% - Accent3 30" xfId="378" xr:uid="{47A9B81E-6B11-4941-962E-F2B8585BD420}"/>
    <cellStyle name="40% - Accent3 31" xfId="379" xr:uid="{591D33F1-99FB-440E-AD45-42892FB118BE}"/>
    <cellStyle name="40% - Accent3 32" xfId="380" xr:uid="{A73AD150-2C34-4316-9A6D-E9A611B49FE5}"/>
    <cellStyle name="40% - Accent3 33" xfId="381" xr:uid="{D708C6DF-610C-441C-B94A-A93D927C75D9}"/>
    <cellStyle name="40% - Accent3 34" xfId="382" xr:uid="{EC46994C-E535-4868-8E79-1472E50E6F86}"/>
    <cellStyle name="40% - Accent3 35" xfId="383" xr:uid="{B3398C0D-CFF4-45EE-A9B2-CEF04484B026}"/>
    <cellStyle name="40% - Accent3 36" xfId="384" xr:uid="{78478CC1-9F65-475F-A8E9-5A202679D363}"/>
    <cellStyle name="40% - Accent3 37" xfId="385" xr:uid="{D12D0748-C153-490C-BC5F-73E7FE5431E3}"/>
    <cellStyle name="40% - Accent3 38" xfId="386" xr:uid="{97171087-4608-4CBF-83C4-7B73A73C9F03}"/>
    <cellStyle name="40% - Accent3 39" xfId="387" xr:uid="{2A96A869-9093-4F0B-A23E-5895019718A3}"/>
    <cellStyle name="40% - Accent3 4" xfId="388" xr:uid="{F0CD3982-3A09-4D04-884E-6054F07DCE56}"/>
    <cellStyle name="40% - Accent3 40" xfId="389" xr:uid="{23339BE2-46C9-4658-BBC0-86667042CEEE}"/>
    <cellStyle name="40% - Accent3 41" xfId="390" xr:uid="{A475AD17-455C-410E-89B3-A1D9E69CC66E}"/>
    <cellStyle name="40% - Accent3 42" xfId="391" xr:uid="{6BE874CC-EBC7-42C8-8E2F-163AB1A97DC4}"/>
    <cellStyle name="40% - Accent3 43" xfId="392" xr:uid="{CBB0893A-8BA9-42CA-9D4F-A35A63202835}"/>
    <cellStyle name="40% - Accent3 5" xfId="393" xr:uid="{AA173114-67A1-491F-8B92-8C70EB17771E}"/>
    <cellStyle name="40% - Accent3 6" xfId="394" xr:uid="{E2E6713E-43FF-4C4E-9DF3-D45B16DB6DEE}"/>
    <cellStyle name="40% - Accent3 7" xfId="395" xr:uid="{EB8F531D-CF0C-47D6-9415-33BFC578B50A}"/>
    <cellStyle name="40% - Accent3 8" xfId="396" xr:uid="{FD7B2B53-025E-4367-977A-214A6A0EC4AB}"/>
    <cellStyle name="40% - Accent3 9" xfId="397" xr:uid="{77F42C9F-2494-4807-A66C-C613A81983F7}"/>
    <cellStyle name="40% - Accent4 10" xfId="398" xr:uid="{9FC705BB-EF5B-4B22-948E-D99F18557C39}"/>
    <cellStyle name="40% - Accent4 11" xfId="399" xr:uid="{E20D854C-1CBE-421F-A325-B758385DBB35}"/>
    <cellStyle name="40% - Accent4 12" xfId="400" xr:uid="{CFD6360B-896D-4142-807D-C85AD40FF107}"/>
    <cellStyle name="40% - Accent4 13" xfId="401" xr:uid="{B7E45524-3131-41A1-BF91-CD0F8A3EDEA6}"/>
    <cellStyle name="40% - Accent4 14" xfId="402" xr:uid="{945FF71F-5073-4163-9315-FBE6646891F6}"/>
    <cellStyle name="40% - Accent4 15" xfId="403" xr:uid="{7E343286-BB43-44A3-ADFA-CE256B2FFA4C}"/>
    <cellStyle name="40% - Accent4 16" xfId="404" xr:uid="{363F960A-45FF-40A7-A03E-15B7F2DE4AF0}"/>
    <cellStyle name="40% - Accent4 17" xfId="405" xr:uid="{1FA2F21E-30ED-429B-B665-D0FCD34BA4FC}"/>
    <cellStyle name="40% - Accent4 18" xfId="406" xr:uid="{A1090BDA-6F64-45EB-8CF7-606D130CDE5A}"/>
    <cellStyle name="40% - Accent4 19" xfId="407" xr:uid="{B8B90AFA-6282-474D-AF7E-F8B7217D13A7}"/>
    <cellStyle name="40% - Accent4 2" xfId="408" xr:uid="{500E0FF0-ED6D-45EF-B97C-197927119256}"/>
    <cellStyle name="40% - Accent4 20" xfId="409" xr:uid="{492CF608-DCF6-4D2A-B5A3-9E3ADD4B4C5E}"/>
    <cellStyle name="40% - Accent4 21" xfId="410" xr:uid="{7CF00E7C-6963-4995-99FC-E3BDE1FE4011}"/>
    <cellStyle name="40% - Accent4 22" xfId="411" xr:uid="{FD712BB7-CF59-4852-B8EE-9BABF6D4656E}"/>
    <cellStyle name="40% - Accent4 23" xfId="412" xr:uid="{620E16C1-356D-43D1-A168-2C17565DA97D}"/>
    <cellStyle name="40% - Accent4 24" xfId="413" xr:uid="{392637FE-0228-485F-8C6F-F377B4872464}"/>
    <cellStyle name="40% - Accent4 25" xfId="414" xr:uid="{3439E0B2-ED21-4E1D-B991-5F4851E7F377}"/>
    <cellStyle name="40% - Accent4 26" xfId="415" xr:uid="{00A89513-B804-4CFF-BAF2-BB0BA4CE9368}"/>
    <cellStyle name="40% - Accent4 27" xfId="416" xr:uid="{1A774832-A33A-4350-BA82-0ED8882C2BDA}"/>
    <cellStyle name="40% - Accent4 28" xfId="417" xr:uid="{4C0C16E7-A0A9-463E-8DB3-E7B1207A680E}"/>
    <cellStyle name="40% - Accent4 29" xfId="418" xr:uid="{4AC163EA-81EC-444C-B043-ACBD09B29B13}"/>
    <cellStyle name="40% - Accent4 3" xfId="419" xr:uid="{4F1626C4-61C5-4E95-ACA0-5F52EE934384}"/>
    <cellStyle name="40% - Accent4 3 2" xfId="420" xr:uid="{5C659342-E3E2-475E-8DD5-1B58417E36B5}"/>
    <cellStyle name="40% - Accent4 30" xfId="421" xr:uid="{978028D2-A7B6-40C9-BA60-5E41B8D3F295}"/>
    <cellStyle name="40% - Accent4 31" xfId="422" xr:uid="{B373A216-0FF0-4145-AB62-22D4E91545D0}"/>
    <cellStyle name="40% - Accent4 32" xfId="423" xr:uid="{47FE0B9F-6AFA-42F4-9516-24F48835615D}"/>
    <cellStyle name="40% - Accent4 33" xfId="424" xr:uid="{CEEC9416-0256-4858-BD4D-8A985D2F5EF6}"/>
    <cellStyle name="40% - Accent4 34" xfId="425" xr:uid="{FA2CAB24-E46D-4AB8-AA58-5C4942854827}"/>
    <cellStyle name="40% - Accent4 35" xfId="426" xr:uid="{138270F9-2C00-434B-A8A5-428C813D56E5}"/>
    <cellStyle name="40% - Accent4 36" xfId="427" xr:uid="{BC9C1001-39B2-47FD-A758-644323DD53FE}"/>
    <cellStyle name="40% - Accent4 37" xfId="428" xr:uid="{216CFD0E-23E0-428F-8925-F210C5CF0736}"/>
    <cellStyle name="40% - Accent4 38" xfId="429" xr:uid="{6EF96E4A-BF57-453A-8B14-B50DBE3C27B9}"/>
    <cellStyle name="40% - Accent4 39" xfId="430" xr:uid="{0EB6F026-5303-4CBC-9141-B7FEBFC7BBD8}"/>
    <cellStyle name="40% - Accent4 4" xfId="431" xr:uid="{37C91B06-9BD4-4A5D-B52B-AB50155DDF1B}"/>
    <cellStyle name="40% - Accent4 40" xfId="432" xr:uid="{85BD5521-0272-4C34-9CB9-D97C33958786}"/>
    <cellStyle name="40% - Accent4 41" xfId="433" xr:uid="{E4EF67FC-5A84-4DFB-B6F6-E5C069473498}"/>
    <cellStyle name="40% - Accent4 42" xfId="434" xr:uid="{CADB303F-BA24-4A5A-87EC-95445606F1A1}"/>
    <cellStyle name="40% - Accent4 43" xfId="435" xr:uid="{8E8472F5-1D6A-4F79-BDCB-F3C0CF09F42A}"/>
    <cellStyle name="40% - Accent4 5" xfId="436" xr:uid="{7714AB1D-80C5-47D6-A4C5-BAB0969E3580}"/>
    <cellStyle name="40% - Accent4 6" xfId="437" xr:uid="{4CC36AA8-8252-4EBE-8898-A0A4FB71EA5E}"/>
    <cellStyle name="40% - Accent4 7" xfId="438" xr:uid="{AA2F6AF7-78DA-4678-B307-60EA47270D56}"/>
    <cellStyle name="40% - Accent4 8" xfId="439" xr:uid="{1683E1D9-D90E-4F13-B845-9D7E5DF4B8B8}"/>
    <cellStyle name="40% - Accent4 9" xfId="440" xr:uid="{3D452404-96C9-438B-B303-8AB9E27946C9}"/>
    <cellStyle name="40% - Accent5 10" xfId="441" xr:uid="{A34330F9-EF83-4606-ABE0-95D5DE6CF90E}"/>
    <cellStyle name="40% - Accent5 11" xfId="442" xr:uid="{AEC09FE0-42AE-4B2E-BA4B-D15FE119A5B1}"/>
    <cellStyle name="40% - Accent5 12" xfId="443" xr:uid="{D6C4A19D-6DA7-4062-8B82-72A4B6142DF4}"/>
    <cellStyle name="40% - Accent5 13" xfId="444" xr:uid="{5A1FE3F0-52A8-461D-B244-76DAA38C9A42}"/>
    <cellStyle name="40% - Accent5 14" xfId="445" xr:uid="{9D5C1B9B-88DB-4058-9F0F-EDC5B25BF52A}"/>
    <cellStyle name="40% - Accent5 15" xfId="446" xr:uid="{7B4D1D9D-C871-4137-99FF-379EDDA80A18}"/>
    <cellStyle name="40% - Accent5 16" xfId="447" xr:uid="{DDF4AD52-2B90-4663-8F37-679B04269CFD}"/>
    <cellStyle name="40% - Accent5 17" xfId="448" xr:uid="{BACD9F6F-4B91-457A-B5B1-29F6FC9529CB}"/>
    <cellStyle name="40% - Accent5 18" xfId="449" xr:uid="{1645414D-B1D0-403A-984E-6795C76A8C80}"/>
    <cellStyle name="40% - Accent5 19" xfId="450" xr:uid="{03838A54-6501-496B-AF13-9B75DA7235B8}"/>
    <cellStyle name="40% - Accent5 2" xfId="451" xr:uid="{476691DE-BD6B-4C48-9706-E8F92BB62188}"/>
    <cellStyle name="40% - Accent5 20" xfId="452" xr:uid="{338EA0B1-A116-48CA-B87D-2E7CC26F2F40}"/>
    <cellStyle name="40% - Accent5 21" xfId="453" xr:uid="{1DB0BA2F-CD1C-4B0B-9B21-5D23D9E3C48D}"/>
    <cellStyle name="40% - Accent5 22" xfId="454" xr:uid="{1446D5D0-6D79-4113-B02D-EA3BA2B99DFF}"/>
    <cellStyle name="40% - Accent5 23" xfId="455" xr:uid="{B926058E-7488-46C9-B6D1-2E06BED7B412}"/>
    <cellStyle name="40% - Accent5 24" xfId="456" xr:uid="{B8D76C3C-F146-439E-913E-2733ADAA58D8}"/>
    <cellStyle name="40% - Accent5 25" xfId="457" xr:uid="{604E176B-7904-48CD-9609-21E68BA1B0C3}"/>
    <cellStyle name="40% - Accent5 26" xfId="458" xr:uid="{452F7A31-CE75-4227-A608-B6D3DD33579D}"/>
    <cellStyle name="40% - Accent5 27" xfId="459" xr:uid="{576ED439-A5D4-4DF3-977D-76A6E1A6669D}"/>
    <cellStyle name="40% - Accent5 28" xfId="460" xr:uid="{B831010C-A8A0-4C0E-8608-C571D484F86B}"/>
    <cellStyle name="40% - Accent5 29" xfId="461" xr:uid="{BA178A8B-E072-4E03-89BD-AC0AFCBF4FA9}"/>
    <cellStyle name="40% - Accent5 3" xfId="462" xr:uid="{D1230AD1-947D-4819-9562-EC68FF90CADC}"/>
    <cellStyle name="40% - Accent5 3 2" xfId="463" xr:uid="{ED297B5B-4677-402D-81E8-C7A5314E4F85}"/>
    <cellStyle name="40% - Accent5 30" xfId="464" xr:uid="{E86ECD95-0067-4B7B-9AA2-B1E73AB49265}"/>
    <cellStyle name="40% - Accent5 31" xfId="465" xr:uid="{83E76A48-0C47-4A6D-A437-40A1653F5CA2}"/>
    <cellStyle name="40% - Accent5 32" xfId="466" xr:uid="{210C69F1-2F8F-4A13-9982-439440C18014}"/>
    <cellStyle name="40% - Accent5 33" xfId="467" xr:uid="{F9BCC05D-3A5C-4598-89E5-C8A7964CCA02}"/>
    <cellStyle name="40% - Accent5 34" xfId="468" xr:uid="{2396E51B-AEA0-462B-8534-D5E0FDAC8146}"/>
    <cellStyle name="40% - Accent5 35" xfId="469" xr:uid="{7C447B2D-BDFB-41CB-BABD-6B5CC40AA846}"/>
    <cellStyle name="40% - Accent5 36" xfId="470" xr:uid="{CD24C32A-E197-414E-BF12-A02F8BB7F4D8}"/>
    <cellStyle name="40% - Accent5 37" xfId="471" xr:uid="{0B142CD0-0D4F-4F97-BF89-EA0D8DCF24E0}"/>
    <cellStyle name="40% - Accent5 38" xfId="472" xr:uid="{7DEF6303-9AB5-4F4B-BB73-9F4BA256CD8F}"/>
    <cellStyle name="40% - Accent5 39" xfId="473" xr:uid="{90E56A02-8836-4301-BBD9-3C9703F2E843}"/>
    <cellStyle name="40% - Accent5 4" xfId="474" xr:uid="{A2F13B24-4E7C-4C5F-8C9B-8ED1A2AC7973}"/>
    <cellStyle name="40% - Accent5 40" xfId="475" xr:uid="{958CFCCB-E1F4-48DB-AA99-2E1436617142}"/>
    <cellStyle name="40% - Accent5 41" xfId="476" xr:uid="{27A3A6DC-2A25-4F50-940F-1BC7752AD887}"/>
    <cellStyle name="40% - Accent5 42" xfId="477" xr:uid="{6E8C0B59-A507-4AC4-B24A-165A6CB066F3}"/>
    <cellStyle name="40% - Accent5 43" xfId="478" xr:uid="{38CBB114-163E-4299-A7F2-EBD58CB788C4}"/>
    <cellStyle name="40% - Accent5 5" xfId="479" xr:uid="{5AD0BA6A-FFF0-44AE-ACBD-36AB4E8F8AA4}"/>
    <cellStyle name="40% - Accent5 6" xfId="480" xr:uid="{D9FDB53E-5D90-47C6-A719-AD1CBEBD48F0}"/>
    <cellStyle name="40% - Accent5 7" xfId="481" xr:uid="{5D77E24A-C6A0-4BB2-BEE3-C69A455FADD0}"/>
    <cellStyle name="40% - Accent5 8" xfId="482" xr:uid="{6ACF7D47-9BED-4FC7-9CE5-65CBDDCFD8BE}"/>
    <cellStyle name="40% - Accent5 9" xfId="483" xr:uid="{94207263-7C66-41BB-841A-3C9417BD6ED2}"/>
    <cellStyle name="40% - Accent6 10" xfId="484" xr:uid="{FE751700-1205-4112-820C-A9EA51C8BB6D}"/>
    <cellStyle name="40% - Accent6 11" xfId="485" xr:uid="{CF14426F-AA72-44E5-AF3C-313D93718798}"/>
    <cellStyle name="40% - Accent6 12" xfId="486" xr:uid="{28F46137-9939-4BB2-860A-72F7187FFA5C}"/>
    <cellStyle name="40% - Accent6 13" xfId="487" xr:uid="{489A5B0E-FA6E-4489-844E-C7D76E631032}"/>
    <cellStyle name="40% - Accent6 14" xfId="488" xr:uid="{0B3AD392-A22F-4AF6-AA98-3F1F70BB33C1}"/>
    <cellStyle name="40% - Accent6 15" xfId="489" xr:uid="{1023441F-DCC3-429D-B88C-3491A9CBDA0D}"/>
    <cellStyle name="40% - Accent6 16" xfId="490" xr:uid="{C09D0C5F-D9EA-4B37-AF10-238328B1A81C}"/>
    <cellStyle name="40% - Accent6 17" xfId="491" xr:uid="{55316492-42C8-427C-BAA6-EF68E0A93DA9}"/>
    <cellStyle name="40% - Accent6 18" xfId="492" xr:uid="{DF36E621-9779-4FA8-B762-0832F04D8ECB}"/>
    <cellStyle name="40% - Accent6 19" xfId="493" xr:uid="{86FA5AEA-828C-4003-AB50-5E596F3CB26A}"/>
    <cellStyle name="40% - Accent6 2" xfId="494" xr:uid="{BE90FB49-02A6-4B47-B367-E22DA04BE1F7}"/>
    <cellStyle name="40% - Accent6 20" xfId="495" xr:uid="{927270FE-9FD4-4988-B1C6-1B28ECB1B3B7}"/>
    <cellStyle name="40% - Accent6 21" xfId="496" xr:uid="{9FB08677-501E-4622-A00E-4B1391DD1E68}"/>
    <cellStyle name="40% - Accent6 22" xfId="497" xr:uid="{85E953C8-9CBA-4DEC-AACD-F140279E1A79}"/>
    <cellStyle name="40% - Accent6 23" xfId="498" xr:uid="{40A0D715-6B74-4066-87B7-EDFB8905DD22}"/>
    <cellStyle name="40% - Accent6 24" xfId="499" xr:uid="{A772D43E-F6D4-4B72-845D-CC4F83C63CD1}"/>
    <cellStyle name="40% - Accent6 25" xfId="500" xr:uid="{A215F5C3-485C-4261-9962-E82E84A3356A}"/>
    <cellStyle name="40% - Accent6 26" xfId="501" xr:uid="{3CAB1BF6-C935-4C2A-A084-123CB6E5C134}"/>
    <cellStyle name="40% - Accent6 27" xfId="502" xr:uid="{7AD2B0DB-231B-44EF-AF34-6B98EAE9AA08}"/>
    <cellStyle name="40% - Accent6 28" xfId="503" xr:uid="{424DF55F-FABC-49F0-A892-5B8F1DFA404E}"/>
    <cellStyle name="40% - Accent6 29" xfId="504" xr:uid="{7547E889-650C-46BA-A5C8-CE6D5EF36105}"/>
    <cellStyle name="40% - Accent6 3" xfId="505" xr:uid="{277A25A3-310C-401F-B59B-4116A45D4E70}"/>
    <cellStyle name="40% - Accent6 3 2" xfId="506" xr:uid="{9E2671E7-BAB5-4E9A-BDF9-E24917AE9E0C}"/>
    <cellStyle name="40% - Accent6 30" xfId="507" xr:uid="{3FD142C0-75E9-4F7D-8D99-5B1923DEFF4A}"/>
    <cellStyle name="40% - Accent6 31" xfId="508" xr:uid="{16DA3A83-495C-4450-AEC7-84F839B0B31F}"/>
    <cellStyle name="40% - Accent6 32" xfId="509" xr:uid="{5D4A5E05-3280-430F-B41B-2EE73184A740}"/>
    <cellStyle name="40% - Accent6 33" xfId="510" xr:uid="{21E3ACB9-D4EE-4063-B561-4163CAC0E9EF}"/>
    <cellStyle name="40% - Accent6 34" xfId="511" xr:uid="{5191D43E-A260-4CBA-B809-37C9826BDCAB}"/>
    <cellStyle name="40% - Accent6 35" xfId="512" xr:uid="{F8597C21-B1FF-4D83-AE33-2BF1F1BDA160}"/>
    <cellStyle name="40% - Accent6 36" xfId="513" xr:uid="{FF0A1312-2AC8-42B0-AA68-4A2D897C1741}"/>
    <cellStyle name="40% - Accent6 37" xfId="514" xr:uid="{79CD2DD0-D1DF-476A-A80D-AFAAFB82BBE7}"/>
    <cellStyle name="40% - Accent6 38" xfId="515" xr:uid="{5C4DD300-E771-4139-8AAD-FE00151050C9}"/>
    <cellStyle name="40% - Accent6 39" xfId="516" xr:uid="{FC2B7C99-BE59-4035-84EA-7A8ADD788CD3}"/>
    <cellStyle name="40% - Accent6 4" xfId="517" xr:uid="{1FF5FBF6-332A-4F50-8324-588383F4B85A}"/>
    <cellStyle name="40% - Accent6 40" xfId="518" xr:uid="{193DF598-0E7A-474D-87BF-41C3A7E4F764}"/>
    <cellStyle name="40% - Accent6 41" xfId="519" xr:uid="{129E2FDA-74E6-441D-8155-B8ED3BDF2CC0}"/>
    <cellStyle name="40% - Accent6 42" xfId="520" xr:uid="{3336C89E-8994-443A-B39F-C39B04DE3F71}"/>
    <cellStyle name="40% - Accent6 43" xfId="521" xr:uid="{A4229C39-2472-45D6-B46F-7FBDC12D14AD}"/>
    <cellStyle name="40% - Accent6 5" xfId="522" xr:uid="{3CF9B47C-BE7F-45A4-9C57-F91F98C46650}"/>
    <cellStyle name="40% - Accent6 6" xfId="523" xr:uid="{91EDA5F9-E051-448B-AEA3-E018C9E0D7A6}"/>
    <cellStyle name="40% - Accent6 7" xfId="524" xr:uid="{240374FD-19C6-4BFC-82E4-06DF9DCB9DF4}"/>
    <cellStyle name="40% - Accent6 8" xfId="525" xr:uid="{BA2CE20B-0169-48A2-9A7A-5601E30F93C1}"/>
    <cellStyle name="40% - Accent6 9" xfId="526" xr:uid="{F6F55550-66ED-408F-8579-8BB60226718D}"/>
    <cellStyle name="40% - Akzent1" xfId="527" xr:uid="{5805559F-9994-4F33-86C1-9459BC106076}"/>
    <cellStyle name="40% - Akzent2" xfId="528" xr:uid="{D9192050-978E-4532-B525-61087911E201}"/>
    <cellStyle name="40% - Akzent3" xfId="529" xr:uid="{B30A0CD5-FF3E-423F-A57C-2CFA44CA9B95}"/>
    <cellStyle name="40% - Akzent4" xfId="530" xr:uid="{5E67B7A9-FDD3-48E5-B63C-2FC7ECFE8A6D}"/>
    <cellStyle name="40% - Akzent5" xfId="531" xr:uid="{7F14C08D-BBDD-4CE4-AE02-A771D66D00C1}"/>
    <cellStyle name="40% - Akzent6" xfId="532" xr:uid="{AEE30768-E256-414A-830C-9284DC63792E}"/>
    <cellStyle name="5x indented GHG Textfiels" xfId="533" xr:uid="{3C8806FD-4151-4A2F-B72A-577C057AB5EC}"/>
    <cellStyle name="60% - Accent1 10" xfId="534" xr:uid="{2E3AD364-B8AB-4CCE-AFA7-37539EA9A016}"/>
    <cellStyle name="60% - Accent1 11" xfId="535" xr:uid="{119FEAEC-BAAA-401B-A10F-B2105BA92BD4}"/>
    <cellStyle name="60% - Accent1 12" xfId="536" xr:uid="{90A22D27-3D98-43ED-B77B-4F667EF5D33F}"/>
    <cellStyle name="60% - Accent1 13" xfId="537" xr:uid="{5F0BA7E3-10A4-421D-815C-CF9B64860576}"/>
    <cellStyle name="60% - Accent1 14" xfId="538" xr:uid="{E2F875E5-06B4-4B31-A7FA-9B09B247B3BE}"/>
    <cellStyle name="60% - Accent1 15" xfId="539" xr:uid="{31CD4859-0DD3-48A2-A0FC-B0D7AADCB5B9}"/>
    <cellStyle name="60% - Accent1 16" xfId="540" xr:uid="{31DA351D-A5F1-40F3-A3C2-B14CE2D6485E}"/>
    <cellStyle name="60% - Accent1 17" xfId="541" xr:uid="{5AFA7026-EC84-4C3F-8A98-725719AB57BD}"/>
    <cellStyle name="60% - Accent1 18" xfId="542" xr:uid="{BC5C0029-DC09-4C81-824B-69158A5D208C}"/>
    <cellStyle name="60% - Accent1 19" xfId="543" xr:uid="{2E2642A3-F25B-4979-A07F-C4715C413F2E}"/>
    <cellStyle name="60% - Accent1 2" xfId="544" xr:uid="{2E2ACC29-CC42-4D47-987F-6F6AE2DD1261}"/>
    <cellStyle name="60% - Accent1 20" xfId="545" xr:uid="{E93A50F3-8B76-439D-976E-A5F6EBFAB918}"/>
    <cellStyle name="60% - Accent1 21" xfId="546" xr:uid="{48978665-FA1A-44C9-AC0E-B25317D820F0}"/>
    <cellStyle name="60% - Accent1 22" xfId="547" xr:uid="{322734F7-C96C-4B74-9933-CD1E7518573E}"/>
    <cellStyle name="60% - Accent1 23" xfId="548" xr:uid="{9FC783FB-82ED-4A6D-9C17-E36187505658}"/>
    <cellStyle name="60% - Accent1 24" xfId="549" xr:uid="{0C7863E9-D756-44A9-B664-876A98526555}"/>
    <cellStyle name="60% - Accent1 25" xfId="550" xr:uid="{74989295-FB74-4362-890F-401029AD9D9C}"/>
    <cellStyle name="60% - Accent1 26" xfId="551" xr:uid="{E1585BBB-0D1C-4B4D-BDAC-6F111AA5FBF7}"/>
    <cellStyle name="60% - Accent1 27" xfId="552" xr:uid="{E7FE48E7-879F-4139-802F-066C0FA41CDC}"/>
    <cellStyle name="60% - Accent1 28" xfId="553" xr:uid="{5EFDA0E2-3E69-4470-98C0-573AC37426DC}"/>
    <cellStyle name="60% - Accent1 29" xfId="554" xr:uid="{B63423CD-4DC1-43F5-989A-4AF62F8CC652}"/>
    <cellStyle name="60% - Accent1 3" xfId="555" xr:uid="{F37F7905-98CB-4B97-9882-63CBE8D37395}"/>
    <cellStyle name="60% - Accent1 3 2" xfId="556" xr:uid="{998B1001-8DC8-427A-9F09-7A0280D1859F}"/>
    <cellStyle name="60% - Accent1 30" xfId="557" xr:uid="{F57F2E1C-3422-4568-8A0D-17F9123C6142}"/>
    <cellStyle name="60% - Accent1 31" xfId="558" xr:uid="{94100398-E3CE-46FD-AA1B-9D7FCFAEF16D}"/>
    <cellStyle name="60% - Accent1 32" xfId="559" xr:uid="{D58EB5D4-54C9-499E-A7CD-908216B43940}"/>
    <cellStyle name="60% - Accent1 33" xfId="560" xr:uid="{7E480B34-FD8A-4A89-8C40-DB267B685686}"/>
    <cellStyle name="60% - Accent1 34" xfId="561" xr:uid="{CDC8D6A7-F2A5-471A-BE8B-5FD679499C79}"/>
    <cellStyle name="60% - Accent1 35" xfId="562" xr:uid="{AC465C45-45E3-4F80-834E-277C6A510F91}"/>
    <cellStyle name="60% - Accent1 36" xfId="563" xr:uid="{F11D2FFB-0F99-498D-A047-9A344E5193AA}"/>
    <cellStyle name="60% - Accent1 37" xfId="564" xr:uid="{D4B093CC-7CC4-4806-8A4A-1B095D23D233}"/>
    <cellStyle name="60% - Accent1 38" xfId="565" xr:uid="{395C0BDC-25D5-467C-A268-C8F44826DF79}"/>
    <cellStyle name="60% - Accent1 39" xfId="566" xr:uid="{6092D751-E4A5-4C4B-8E5F-52ADC318C8A8}"/>
    <cellStyle name="60% - Accent1 4" xfId="567" xr:uid="{288FEC04-4CAA-4BCB-A09E-42DF4B45D235}"/>
    <cellStyle name="60% - Accent1 40" xfId="568" xr:uid="{27B4184B-FD59-410D-B5D8-0242B38A5562}"/>
    <cellStyle name="60% - Accent1 41" xfId="569" xr:uid="{9CB1E79E-4A59-4341-934A-5C4D7A144D66}"/>
    <cellStyle name="60% - Accent1 42" xfId="570" xr:uid="{D99FD88C-915C-4DFC-B720-5E31AEA2FC11}"/>
    <cellStyle name="60% - Accent1 43" xfId="571" xr:uid="{336AD7D3-D83D-478E-8E5C-C47294CA208B}"/>
    <cellStyle name="60% - Accent1 5" xfId="572" xr:uid="{F9A4DAA6-FBF1-4734-ACD6-F885EAE8CCE7}"/>
    <cellStyle name="60% - Accent1 6" xfId="573" xr:uid="{0CD63E0C-A789-4997-A7B3-EDC296120D0C}"/>
    <cellStyle name="60% - Accent1 7" xfId="574" xr:uid="{2F480DFE-EBDA-4B70-A2D0-5E0569B4CA08}"/>
    <cellStyle name="60% - Accent1 8" xfId="575" xr:uid="{8E68D832-FC44-487B-B717-91CBE596C1D4}"/>
    <cellStyle name="60% - Accent1 9" xfId="576" xr:uid="{90DEE255-CBE2-4E7A-8AA9-C95537FD6CCF}"/>
    <cellStyle name="60% - Accent2 10" xfId="577" xr:uid="{160B61E5-FB70-41A0-850C-2FF444D808B0}"/>
    <cellStyle name="60% - Accent2 11" xfId="578" xr:uid="{3CF20A0B-E29F-419E-9A46-788A3D308735}"/>
    <cellStyle name="60% - Accent2 12" xfId="579" xr:uid="{C65E7FF3-6A6C-40C0-A133-EFFD112C9612}"/>
    <cellStyle name="60% - Accent2 13" xfId="580" xr:uid="{CFD6F48C-569D-4F0A-9E21-8E8CD8DB0955}"/>
    <cellStyle name="60% - Accent2 14" xfId="581" xr:uid="{729CF245-091D-4CFF-8211-0DDC4B92DCCA}"/>
    <cellStyle name="60% - Accent2 15" xfId="582" xr:uid="{9D822BFC-C0F7-4DA8-AF79-D864D8CE625F}"/>
    <cellStyle name="60% - Accent2 16" xfId="583" xr:uid="{18F07C62-8144-48DF-82E7-E98132FC0411}"/>
    <cellStyle name="60% - Accent2 17" xfId="584" xr:uid="{41936561-8641-4FB0-A401-012F8EF42278}"/>
    <cellStyle name="60% - Accent2 18" xfId="585" xr:uid="{679A5F62-40D8-41A9-BA31-0042DAB3BB1A}"/>
    <cellStyle name="60% - Accent2 19" xfId="586" xr:uid="{00ED047F-2C74-494F-9607-5DFF32802139}"/>
    <cellStyle name="60% - Accent2 2" xfId="587" xr:uid="{7993B588-1F67-49BD-AD1B-0A4982AFC374}"/>
    <cellStyle name="60% - Accent2 20" xfId="588" xr:uid="{EF6E4B7A-2EE6-448B-9221-771C373C4A8E}"/>
    <cellStyle name="60% - Accent2 21" xfId="589" xr:uid="{A05E842F-4295-4F80-AB28-E9106167EB57}"/>
    <cellStyle name="60% - Accent2 22" xfId="590" xr:uid="{7E48CC81-A19E-4DEF-A1A0-89E9A65070B6}"/>
    <cellStyle name="60% - Accent2 23" xfId="591" xr:uid="{3905BF6D-2626-4142-A970-495FB229F565}"/>
    <cellStyle name="60% - Accent2 24" xfId="592" xr:uid="{472E5B53-A6D3-4140-B67B-F8A8386D402A}"/>
    <cellStyle name="60% - Accent2 25" xfId="593" xr:uid="{A9479ECD-3088-48DC-BE59-1BC4FDC63850}"/>
    <cellStyle name="60% - Accent2 26" xfId="594" xr:uid="{0CA6A9DD-F1A1-487E-998F-B67DDE2FC569}"/>
    <cellStyle name="60% - Accent2 27" xfId="595" xr:uid="{6F598581-0B7E-450E-8D55-767552B0A8FF}"/>
    <cellStyle name="60% - Accent2 28" xfId="596" xr:uid="{35394CAB-72E5-4358-9203-CDCDE66883FD}"/>
    <cellStyle name="60% - Accent2 29" xfId="597" xr:uid="{B3492376-0FFD-4B13-ADD6-717BE82BC104}"/>
    <cellStyle name="60% - Accent2 3" xfId="598" xr:uid="{D1F29CF1-45D1-496F-B7AB-2D7722556DE0}"/>
    <cellStyle name="60% - Accent2 3 2" xfId="599" xr:uid="{6B6190F2-46F1-43A4-9D2C-4A0FB24C2DC8}"/>
    <cellStyle name="60% - Accent2 30" xfId="600" xr:uid="{AC3FB4D3-7EFE-4419-A409-54EF5BEB9AA4}"/>
    <cellStyle name="60% - Accent2 31" xfId="601" xr:uid="{A805F89C-C22C-4C7E-A6A5-E784E9079E3A}"/>
    <cellStyle name="60% - Accent2 32" xfId="602" xr:uid="{2526B50E-A037-4FBF-9B41-D1D52063159D}"/>
    <cellStyle name="60% - Accent2 33" xfId="603" xr:uid="{102530E0-5EDB-4C00-9F6C-44A45781B54B}"/>
    <cellStyle name="60% - Accent2 34" xfId="604" xr:uid="{DE8A49C7-5DEF-4E4D-9BB8-3E2F061151AA}"/>
    <cellStyle name="60% - Accent2 35" xfId="605" xr:uid="{2B2421AB-07E2-48DA-BA8D-06C3CEE211D2}"/>
    <cellStyle name="60% - Accent2 36" xfId="606" xr:uid="{7F26C886-E877-4F0F-84BF-1DCBF2B0C7AE}"/>
    <cellStyle name="60% - Accent2 37" xfId="607" xr:uid="{EA110CB2-7A21-4C60-8DAE-CC004B83E3C7}"/>
    <cellStyle name="60% - Accent2 38" xfId="608" xr:uid="{200B581D-6074-498D-9665-7F50C0520D6E}"/>
    <cellStyle name="60% - Accent2 39" xfId="609" xr:uid="{74DD1F44-4EA7-4FA5-9620-E60FF4A86E75}"/>
    <cellStyle name="60% - Accent2 4" xfId="610" xr:uid="{917DDFD1-EA3B-4408-99DB-AF597B792B96}"/>
    <cellStyle name="60% - Accent2 40" xfId="611" xr:uid="{5D1D6A34-2CCD-4ED3-86E7-3CD0B46F96C8}"/>
    <cellStyle name="60% - Accent2 41" xfId="612" xr:uid="{0B852B26-EBE8-4AD6-98C8-5A11DDCF20CF}"/>
    <cellStyle name="60% - Accent2 42" xfId="613" xr:uid="{F43AD675-77D6-45EA-852F-038F124A3E0B}"/>
    <cellStyle name="60% - Accent2 43" xfId="614" xr:uid="{325EC060-2F1C-4897-81D2-60A88607FD61}"/>
    <cellStyle name="60% - Accent2 5" xfId="615" xr:uid="{462172E7-BD30-4D6A-BD97-8AB6DCEA9266}"/>
    <cellStyle name="60% - Accent2 6" xfId="616" xr:uid="{9315CE0E-7835-4ACA-8CB3-E19F174C04A4}"/>
    <cellStyle name="60% - Accent2 7" xfId="617" xr:uid="{C9F7FD17-AA2A-4BE3-8EDC-197A84D55C1C}"/>
    <cellStyle name="60% - Accent2 8" xfId="618" xr:uid="{9745A48C-BD0D-423F-85E8-3113A1911122}"/>
    <cellStyle name="60% - Accent2 9" xfId="619" xr:uid="{AFD61D76-ABDA-49DD-BC66-7ED27C10FE97}"/>
    <cellStyle name="60% - Accent3 10" xfId="620" xr:uid="{FD5570D2-56ED-4D10-80BC-D217CD8E88C0}"/>
    <cellStyle name="60% - Accent3 11" xfId="621" xr:uid="{F611F799-E620-4FA7-8BBD-483ED822DF8C}"/>
    <cellStyle name="60% - Accent3 12" xfId="622" xr:uid="{EF5F39CE-52EB-4BA2-852F-33A2EC56F263}"/>
    <cellStyle name="60% - Accent3 13" xfId="623" xr:uid="{F35E9496-B4C6-48E9-82F7-B36B8F0CB0D2}"/>
    <cellStyle name="60% - Accent3 14" xfId="624" xr:uid="{9F499CC0-98CE-44DC-A9AB-D6D56726050D}"/>
    <cellStyle name="60% - Accent3 15" xfId="625" xr:uid="{6457FC38-8519-4640-A4C5-6B6AB7F9F92E}"/>
    <cellStyle name="60% - Accent3 16" xfId="626" xr:uid="{B4F1EA02-8951-4D21-879F-43C1AD023D51}"/>
    <cellStyle name="60% - Accent3 17" xfId="627" xr:uid="{4F89C2CF-5CCB-48E9-9E3E-7371AE9D976A}"/>
    <cellStyle name="60% - Accent3 18" xfId="628" xr:uid="{87410101-B6D8-4A33-B727-88605AE7C239}"/>
    <cellStyle name="60% - Accent3 19" xfId="629" xr:uid="{C67EADAC-CB95-43B3-9CB7-8EBA9651866F}"/>
    <cellStyle name="60% - Accent3 2" xfId="630" xr:uid="{32DDDF53-C0A7-4A66-A3A7-AE2EEAAB99FB}"/>
    <cellStyle name="60% - Accent3 20" xfId="631" xr:uid="{D98F9C21-FAA5-473F-AD16-27966E4CA3BC}"/>
    <cellStyle name="60% - Accent3 21" xfId="632" xr:uid="{25E008E6-21CA-4077-81F9-B46064F123D6}"/>
    <cellStyle name="60% - Accent3 22" xfId="633" xr:uid="{ECE700B5-EA42-4531-84CB-01E2E46B9099}"/>
    <cellStyle name="60% - Accent3 23" xfId="634" xr:uid="{F3662D9D-5FF3-4221-873E-26DD2F1F3058}"/>
    <cellStyle name="60% - Accent3 24" xfId="635" xr:uid="{F12514A2-505D-4E04-9886-2FAF14CC6148}"/>
    <cellStyle name="60% - Accent3 25" xfId="636" xr:uid="{13E0E0DF-C02C-4F45-8931-2E84A04CBABA}"/>
    <cellStyle name="60% - Accent3 26" xfId="637" xr:uid="{990D28AC-3FA6-433C-88EF-004978D5769D}"/>
    <cellStyle name="60% - Accent3 27" xfId="638" xr:uid="{4C4E2FAA-EB07-42FB-9CE9-1F33DCEF0BE4}"/>
    <cellStyle name="60% - Accent3 28" xfId="639" xr:uid="{7252A312-991B-48DE-82F9-7FF92D9CCA3F}"/>
    <cellStyle name="60% - Accent3 29" xfId="640" xr:uid="{B909FC22-CDE0-4B91-9C78-CC38C964EAC9}"/>
    <cellStyle name="60% - Accent3 3" xfId="641" xr:uid="{17CC8558-36C1-472D-81C6-02BAF8CE43CC}"/>
    <cellStyle name="60% - Accent3 3 2" xfId="642" xr:uid="{47EE6F1C-1444-47DC-BD58-A19D24E06BC6}"/>
    <cellStyle name="60% - Accent3 30" xfId="643" xr:uid="{E4CC4044-3F97-431B-903D-C00E307CE532}"/>
    <cellStyle name="60% - Accent3 31" xfId="644" xr:uid="{FABDD900-6B10-4226-AFF5-16DF87B27027}"/>
    <cellStyle name="60% - Accent3 32" xfId="645" xr:uid="{FECFCCC0-9E86-4D4B-9812-29EA07A4FF9F}"/>
    <cellStyle name="60% - Accent3 33" xfId="646" xr:uid="{4ED3534F-B0D8-4AD4-87B9-DC4A17C9A3A0}"/>
    <cellStyle name="60% - Accent3 34" xfId="647" xr:uid="{A29FB7E2-B026-4249-95EC-334F8D046537}"/>
    <cellStyle name="60% - Accent3 35" xfId="648" xr:uid="{1048DA36-4E5A-440F-A666-4D28009CD153}"/>
    <cellStyle name="60% - Accent3 36" xfId="649" xr:uid="{72E63242-6F8B-4D12-A167-B4A68F67F390}"/>
    <cellStyle name="60% - Accent3 37" xfId="650" xr:uid="{F8B5B88F-C0B8-43B9-AEEC-8D3BD12C7FCB}"/>
    <cellStyle name="60% - Accent3 38" xfId="651" xr:uid="{C540BA6D-76B5-4550-8395-C64239CA34BB}"/>
    <cellStyle name="60% - Accent3 39" xfId="652" xr:uid="{6066307E-764C-449B-B9D7-03B593C5FDB7}"/>
    <cellStyle name="60% - Accent3 4" xfId="653" xr:uid="{A4A142C3-E879-404D-A4B8-3171DBA21434}"/>
    <cellStyle name="60% - Accent3 40" xfId="654" xr:uid="{0C1BBDB2-2BDD-4F21-9450-E239DEE7397D}"/>
    <cellStyle name="60% - Accent3 41" xfId="655" xr:uid="{F6B3B69A-E292-41A9-8701-1B8A608A0C32}"/>
    <cellStyle name="60% - Accent3 42" xfId="656" xr:uid="{EA87FE21-4E89-47BA-96DF-C6C4ECD880A1}"/>
    <cellStyle name="60% - Accent3 43" xfId="657" xr:uid="{22050AE3-980E-4896-88D8-9F96A5C2F648}"/>
    <cellStyle name="60% - Accent3 5" xfId="658" xr:uid="{B2CBFFD6-2761-4320-96AB-5711C7D92613}"/>
    <cellStyle name="60% - Accent3 6" xfId="659" xr:uid="{019D498F-A995-4E40-BA09-F6A9482F4DE6}"/>
    <cellStyle name="60% - Accent3 7" xfId="660" xr:uid="{80B62508-65EC-4C9D-BB50-80F14A4C7EF8}"/>
    <cellStyle name="60% - Accent3 8" xfId="661" xr:uid="{181C64FB-1723-4E0E-8C63-AED1E47A3501}"/>
    <cellStyle name="60% - Accent3 9" xfId="662" xr:uid="{DE04126A-07D9-4BE5-9926-B6F83B507B15}"/>
    <cellStyle name="60% - Accent4 10" xfId="663" xr:uid="{2CF6478E-902C-47B3-B4CA-CED4B32BB02D}"/>
    <cellStyle name="60% - Accent4 11" xfId="664" xr:uid="{E6EC40AC-B928-4B61-92DA-53AAFA2C327E}"/>
    <cellStyle name="60% - Accent4 12" xfId="665" xr:uid="{4F6F1EF7-F29F-4DFB-81D4-D1D51EFF07BE}"/>
    <cellStyle name="60% - Accent4 13" xfId="666" xr:uid="{C3672F2C-73B5-4CFB-8071-1687ABCDD999}"/>
    <cellStyle name="60% - Accent4 14" xfId="667" xr:uid="{618114B7-AAA1-4336-BABD-849818C875E6}"/>
    <cellStyle name="60% - Accent4 15" xfId="668" xr:uid="{7C027F71-E54E-43CF-9934-00C67F129844}"/>
    <cellStyle name="60% - Accent4 16" xfId="669" xr:uid="{18A75EA5-B7E7-46B1-B645-5E54A9ED171C}"/>
    <cellStyle name="60% - Accent4 17" xfId="670" xr:uid="{D24640BE-8A66-4BF1-9C7D-28A3121AA26E}"/>
    <cellStyle name="60% - Accent4 18" xfId="671" xr:uid="{E47BB39C-CB82-4A07-B652-63BF0B0E7BFC}"/>
    <cellStyle name="60% - Accent4 19" xfId="672" xr:uid="{CAF0969E-B600-4DFC-90D6-3C3D3FFA912F}"/>
    <cellStyle name="60% - Accent4 2" xfId="673" xr:uid="{0A8E3DBB-012F-46E8-9970-1A959AFF7C20}"/>
    <cellStyle name="60% - Accent4 20" xfId="674" xr:uid="{E5CE4D36-E167-4F47-81E7-BA951D100FAD}"/>
    <cellStyle name="60% - Accent4 21" xfId="675" xr:uid="{EFAC54D5-D8ED-4140-BDA8-EE2C75534FBD}"/>
    <cellStyle name="60% - Accent4 22" xfId="676" xr:uid="{C7D56CAA-1010-4E30-BD2F-43A6A8918018}"/>
    <cellStyle name="60% - Accent4 23" xfId="677" xr:uid="{E2B0F52B-8937-4936-97AA-10ED211DB66C}"/>
    <cellStyle name="60% - Accent4 24" xfId="678" xr:uid="{DB4D248D-1F49-4C13-9004-33B90C9F6775}"/>
    <cellStyle name="60% - Accent4 25" xfId="679" xr:uid="{DAF2648F-43C5-4E40-B5FD-38179D90E25C}"/>
    <cellStyle name="60% - Accent4 26" xfId="680" xr:uid="{5FF9B193-79FC-4FF2-B534-B7352CA991DA}"/>
    <cellStyle name="60% - Accent4 27" xfId="681" xr:uid="{AB6F7F6C-F2D2-4457-89CE-F0CD85CFE10B}"/>
    <cellStyle name="60% - Accent4 28" xfId="682" xr:uid="{F5CE5B35-5808-41DA-A098-5C3CE3870774}"/>
    <cellStyle name="60% - Accent4 29" xfId="683" xr:uid="{C36DF47A-6422-4F13-A716-586A3EDA27FA}"/>
    <cellStyle name="60% - Accent4 3" xfId="684" xr:uid="{8BE3D5CA-4252-49AB-812A-E549283C36FA}"/>
    <cellStyle name="60% - Accent4 3 2" xfId="685" xr:uid="{DA45BBE3-72CD-45C0-83AB-C6175B8071D5}"/>
    <cellStyle name="60% - Accent4 30" xfId="686" xr:uid="{B7620B79-AC6B-4315-A177-6DC1FD77149A}"/>
    <cellStyle name="60% - Accent4 31" xfId="687" xr:uid="{77343EF4-8742-4006-A46F-615393E7ED3D}"/>
    <cellStyle name="60% - Accent4 32" xfId="688" xr:uid="{500B0673-8FEF-45F9-9B7A-84B60409D7AE}"/>
    <cellStyle name="60% - Accent4 33" xfId="689" xr:uid="{838ED2E2-4DF0-4D89-9238-BCCBCCA21804}"/>
    <cellStyle name="60% - Accent4 34" xfId="690" xr:uid="{85C41480-8453-4723-B56E-61FA0EDA7D58}"/>
    <cellStyle name="60% - Accent4 35" xfId="691" xr:uid="{640AB661-E29A-4069-B377-CCB375DB4947}"/>
    <cellStyle name="60% - Accent4 36" xfId="692" xr:uid="{3F736FBB-08FE-449D-B7DA-8E1E241564CB}"/>
    <cellStyle name="60% - Accent4 37" xfId="693" xr:uid="{D693BDE3-414F-4F3A-BD48-61122F25979E}"/>
    <cellStyle name="60% - Accent4 38" xfId="694" xr:uid="{1405D23B-24D0-458D-ACA3-F2638F958E6A}"/>
    <cellStyle name="60% - Accent4 39" xfId="695" xr:uid="{F685AA44-78EE-4346-A6FA-103DB68C264D}"/>
    <cellStyle name="60% - Accent4 4" xfId="696" xr:uid="{5017B285-3B69-4F59-B358-F6591D76E475}"/>
    <cellStyle name="60% - Accent4 40" xfId="697" xr:uid="{E0A2F272-CFB3-4E9F-9467-1661DED8C3BC}"/>
    <cellStyle name="60% - Accent4 41" xfId="698" xr:uid="{22EEDF44-5241-4681-AB44-D25053E5B956}"/>
    <cellStyle name="60% - Accent4 42" xfId="699" xr:uid="{B338A1AB-A850-48BB-94BA-2014CB0BBB42}"/>
    <cellStyle name="60% - Accent4 43" xfId="700" xr:uid="{80BFC2EA-5A03-4082-ADE0-36F1BE36B7DE}"/>
    <cellStyle name="60% - Accent4 5" xfId="701" xr:uid="{8212504D-8FDE-472E-A9C4-C8C8579101BA}"/>
    <cellStyle name="60% - Accent4 6" xfId="702" xr:uid="{8FD07A2F-A18E-48BF-9A55-D8C13F70A916}"/>
    <cellStyle name="60% - Accent4 7" xfId="703" xr:uid="{B48AF7B7-02C6-4AB0-9D78-912752C51E85}"/>
    <cellStyle name="60% - Accent4 8" xfId="704" xr:uid="{082554A3-C94E-4DD0-AD4D-77A4ADEE951B}"/>
    <cellStyle name="60% - Accent4 9" xfId="705" xr:uid="{8BD27A55-4B9B-4A89-AB8A-BB41B4386EC0}"/>
    <cellStyle name="60% - Accent5 10" xfId="706" xr:uid="{75571B55-8E58-488B-9799-5EA946AE7147}"/>
    <cellStyle name="60% - Accent5 11" xfId="707" xr:uid="{E6A8B48B-CC85-4772-9644-8516ABE7AB45}"/>
    <cellStyle name="60% - Accent5 12" xfId="708" xr:uid="{94CA76D1-FF6F-40A3-A7A8-F4AB0C62CA19}"/>
    <cellStyle name="60% - Accent5 13" xfId="709" xr:uid="{847B2C1B-C750-4C0B-B4B0-12364330BAAC}"/>
    <cellStyle name="60% - Accent5 14" xfId="710" xr:uid="{DCB7308F-2EAF-465D-AEEB-3F3E7AA3C7F6}"/>
    <cellStyle name="60% - Accent5 15" xfId="711" xr:uid="{92270596-FD0B-45F9-9BE7-E19BE61FA10F}"/>
    <cellStyle name="60% - Accent5 16" xfId="712" xr:uid="{C57C7663-1108-419B-8987-9ECB7322A46D}"/>
    <cellStyle name="60% - Accent5 17" xfId="713" xr:uid="{7BECB295-E606-4279-9CC8-3EC35B3234DE}"/>
    <cellStyle name="60% - Accent5 18" xfId="714" xr:uid="{73E68BE6-BEED-42B9-B004-3FA43E4BAD75}"/>
    <cellStyle name="60% - Accent5 19" xfId="715" xr:uid="{34E2DDB1-B2EE-4506-BEF3-7E98C5B43FE8}"/>
    <cellStyle name="60% - Accent5 2" xfId="716" xr:uid="{6F246F64-90C9-4C07-9D2B-E87626C96D46}"/>
    <cellStyle name="60% - Accent5 20" xfId="717" xr:uid="{CDB9BC03-21FE-4447-86C8-777775A01F4E}"/>
    <cellStyle name="60% - Accent5 21" xfId="718" xr:uid="{9B8CB3B8-4512-4378-B89F-17DCE3599C7D}"/>
    <cellStyle name="60% - Accent5 22" xfId="719" xr:uid="{3DA03272-D484-431E-8B17-C954FAABED92}"/>
    <cellStyle name="60% - Accent5 23" xfId="720" xr:uid="{AA286E70-5724-4641-8689-07FD58BD31D0}"/>
    <cellStyle name="60% - Accent5 24" xfId="721" xr:uid="{BCBA2367-7369-4B42-8D48-809AB4ACD673}"/>
    <cellStyle name="60% - Accent5 25" xfId="722" xr:uid="{48A1F1E8-60AB-42AB-AABD-5731D108F799}"/>
    <cellStyle name="60% - Accent5 26" xfId="723" xr:uid="{FB244901-16C1-424B-AE41-75EB20196745}"/>
    <cellStyle name="60% - Accent5 27" xfId="724" xr:uid="{CF5A1BC4-0747-4017-B2D7-942ADC734D92}"/>
    <cellStyle name="60% - Accent5 28" xfId="725" xr:uid="{35F36259-25BF-4280-8393-BE6EFD08B1B1}"/>
    <cellStyle name="60% - Accent5 29" xfId="726" xr:uid="{C8CA3AA9-6A4C-4BD5-B0ED-BA3EB9A594D9}"/>
    <cellStyle name="60% - Accent5 3" xfId="727" xr:uid="{CF22D6FD-57F3-46C1-863D-DCC6248B2017}"/>
    <cellStyle name="60% - Accent5 3 2" xfId="728" xr:uid="{A1D91DF0-5D1F-4D95-A106-55797F2054C5}"/>
    <cellStyle name="60% - Accent5 30" xfId="729" xr:uid="{39A0495C-232D-47A7-949E-DBEC8011CF19}"/>
    <cellStyle name="60% - Accent5 31" xfId="730" xr:uid="{363B7A7F-61B8-4501-980E-079A05D446BE}"/>
    <cellStyle name="60% - Accent5 32" xfId="731" xr:uid="{815AF924-F571-48B1-9CAC-80DE7BADE0E4}"/>
    <cellStyle name="60% - Accent5 33" xfId="732" xr:uid="{AFDE67E5-B66B-4FE6-8AE0-3B06AAE00F7F}"/>
    <cellStyle name="60% - Accent5 34" xfId="733" xr:uid="{56C5EABB-4772-43D4-8C5E-E1BB27DF4003}"/>
    <cellStyle name="60% - Accent5 35" xfId="734" xr:uid="{C2FF115B-F588-4B79-857E-B0F592863B86}"/>
    <cellStyle name="60% - Accent5 36" xfId="735" xr:uid="{26685202-D0AB-4693-A1B6-48BD7AAAB747}"/>
    <cellStyle name="60% - Accent5 37" xfId="736" xr:uid="{8308DCCF-5FB6-4B50-8C26-2C1AA99CF3BC}"/>
    <cellStyle name="60% - Accent5 38" xfId="737" xr:uid="{C6C4B7C2-D378-4955-B89A-0B24CBEDF420}"/>
    <cellStyle name="60% - Accent5 39" xfId="738" xr:uid="{77F6AE0B-1575-4295-87C5-8A423156D99F}"/>
    <cellStyle name="60% - Accent5 4" xfId="739" xr:uid="{0AD185B4-98B4-4574-A9DB-C34ADFE51264}"/>
    <cellStyle name="60% - Accent5 40" xfId="740" xr:uid="{B42E85CE-01D6-476F-97F0-1181C7019F47}"/>
    <cellStyle name="60% - Accent5 41" xfId="741" xr:uid="{D8D76CBE-3AE9-4E35-BAFD-E6E680CCC8E7}"/>
    <cellStyle name="60% - Accent5 42" xfId="742" xr:uid="{5574C40E-42D7-42FF-9581-54ADBFAE6B53}"/>
    <cellStyle name="60% - Accent5 43" xfId="743" xr:uid="{59CC5BD7-125D-4F86-BD8E-BAD6993E4240}"/>
    <cellStyle name="60% - Accent5 5" xfId="744" xr:uid="{5ED0887F-81A5-49DF-92CE-24EE4B6C9713}"/>
    <cellStyle name="60% - Accent5 6" xfId="745" xr:uid="{1DE367BD-2E82-4F03-946D-22F915D482A4}"/>
    <cellStyle name="60% - Accent5 7" xfId="746" xr:uid="{B878A1CF-A8BA-43BB-8622-3D07A7909894}"/>
    <cellStyle name="60% - Accent5 8" xfId="747" xr:uid="{2A451D5A-484B-479D-8877-F238EE9D145A}"/>
    <cellStyle name="60% - Accent5 9" xfId="748" xr:uid="{9AF98E08-691A-4730-904E-2CE02A4F7DF0}"/>
    <cellStyle name="60% - Accent6 10" xfId="749" xr:uid="{B16117B7-85AA-4D52-8703-920AB60FAEE7}"/>
    <cellStyle name="60% - Accent6 11" xfId="750" xr:uid="{71D665D9-826D-4D18-B4AE-851CD6FF85F7}"/>
    <cellStyle name="60% - Accent6 12" xfId="751" xr:uid="{9810C29D-E842-402A-93D2-F9B53384066F}"/>
    <cellStyle name="60% - Accent6 13" xfId="752" xr:uid="{8287E62A-040F-49F0-8448-0EA31FFF1EB7}"/>
    <cellStyle name="60% - Accent6 14" xfId="753" xr:uid="{4B6093A5-C3AC-4CA3-B2F5-AB424586BA2C}"/>
    <cellStyle name="60% - Accent6 15" xfId="754" xr:uid="{310ED4E9-5318-47CC-9F6C-641B745EE2B8}"/>
    <cellStyle name="60% - Accent6 16" xfId="755" xr:uid="{30B81809-2C8C-4FC2-9D63-A5755EED1B3F}"/>
    <cellStyle name="60% - Accent6 17" xfId="756" xr:uid="{03865C82-756C-40F3-95DD-B6E858BEB124}"/>
    <cellStyle name="60% - Accent6 18" xfId="757" xr:uid="{2F0BC46A-B937-461E-AEDC-E1A5128DBD32}"/>
    <cellStyle name="60% - Accent6 19" xfId="758" xr:uid="{CA0909B8-F4EA-4D67-B570-15A832B4232B}"/>
    <cellStyle name="60% - Accent6 2" xfId="759" xr:uid="{0B69FCB8-B48A-47AE-8124-1A68528AD69D}"/>
    <cellStyle name="60% - Accent6 20" xfId="760" xr:uid="{CA168630-F455-45D0-BA1B-6D93038E3BDA}"/>
    <cellStyle name="60% - Accent6 21" xfId="761" xr:uid="{918A1E2F-5339-49FE-A205-34F06FA69C70}"/>
    <cellStyle name="60% - Accent6 22" xfId="762" xr:uid="{D894C92C-5648-4CB2-AFEF-F68372D51018}"/>
    <cellStyle name="60% - Accent6 23" xfId="763" xr:uid="{B2C4D0E8-743C-4D0F-B347-EABEF790550C}"/>
    <cellStyle name="60% - Accent6 24" xfId="764" xr:uid="{AB1C3124-0D6B-4BCF-8494-13BCD1FF1BDD}"/>
    <cellStyle name="60% - Accent6 25" xfId="765" xr:uid="{F422218E-8376-4493-A80A-2A7649D35FB2}"/>
    <cellStyle name="60% - Accent6 26" xfId="766" xr:uid="{3E681CE6-2257-49ED-A419-6ED10D95FB7A}"/>
    <cellStyle name="60% - Accent6 27" xfId="767" xr:uid="{041C319F-A743-4A04-A2B7-0B0C87427C86}"/>
    <cellStyle name="60% - Accent6 28" xfId="768" xr:uid="{BB3B3CE0-3E46-48BF-83C4-3333B5F89049}"/>
    <cellStyle name="60% - Accent6 29" xfId="769" xr:uid="{3D3DD44B-B75F-4AA2-98D9-76F3ABFDDBE6}"/>
    <cellStyle name="60% - Accent6 3" xfId="770" xr:uid="{E7AAB846-BDCE-4357-8E3B-6ED2F33D47F4}"/>
    <cellStyle name="60% - Accent6 3 2" xfId="771" xr:uid="{D0825D6D-3530-4820-86E6-38559DCC0ABD}"/>
    <cellStyle name="60% - Accent6 30" xfId="772" xr:uid="{5B2C85F2-6451-4445-8A3F-39A8CC2B0CC7}"/>
    <cellStyle name="60% - Accent6 31" xfId="773" xr:uid="{3717888E-F7D6-420D-928B-65605E016A5D}"/>
    <cellStyle name="60% - Accent6 32" xfId="774" xr:uid="{380EA908-044F-4BB9-BCF9-6D2C9DD1DBB8}"/>
    <cellStyle name="60% - Accent6 33" xfId="775" xr:uid="{06AA18AE-018B-4A1A-8D52-C9702FA6178F}"/>
    <cellStyle name="60% - Accent6 34" xfId="776" xr:uid="{72EF3867-78FC-4BBA-9236-25D0B795739E}"/>
    <cellStyle name="60% - Accent6 35" xfId="777" xr:uid="{EA1F5A4A-8A71-4BBF-BE71-E4838DD01F52}"/>
    <cellStyle name="60% - Accent6 36" xfId="778" xr:uid="{5880502D-B9A3-41EA-BED7-9833D55FC2FD}"/>
    <cellStyle name="60% - Accent6 37" xfId="779" xr:uid="{B06A8926-F62A-48A5-B393-FDC8F2BC180D}"/>
    <cellStyle name="60% - Accent6 38" xfId="780" xr:uid="{BA516B77-853C-4DEA-968B-5F9764FD1E15}"/>
    <cellStyle name="60% - Accent6 39" xfId="781" xr:uid="{E61344E3-ACA4-4DBC-BE7C-36A35AFE97C4}"/>
    <cellStyle name="60% - Accent6 4" xfId="782" xr:uid="{1C624682-82CE-48F5-A172-8E57CE2F5379}"/>
    <cellStyle name="60% - Accent6 40" xfId="783" xr:uid="{A23F4BC7-216D-4036-BADE-5C4B44BBDFEB}"/>
    <cellStyle name="60% - Accent6 41" xfId="784" xr:uid="{C86BF5B5-D425-40A2-B1A8-E5FFF8573697}"/>
    <cellStyle name="60% - Accent6 42" xfId="785" xr:uid="{F5931EC0-94A2-4258-9BAC-A9ED719830E8}"/>
    <cellStyle name="60% - Accent6 43" xfId="786" xr:uid="{B0EEB7A4-565A-4721-8D37-67AF0CA6B25C}"/>
    <cellStyle name="60% - Accent6 5" xfId="787" xr:uid="{79686DC7-3E7E-4509-A6BD-532C6F5B4081}"/>
    <cellStyle name="60% - Accent6 6" xfId="788" xr:uid="{B3AA5E36-F93F-47CD-8DFD-319B11C70759}"/>
    <cellStyle name="60% - Accent6 7" xfId="789" xr:uid="{491C539D-141E-426A-9862-310DC01CD619}"/>
    <cellStyle name="60% - Accent6 8" xfId="790" xr:uid="{94C18A5B-FAEA-4FDA-AB91-EBDBE3966E25}"/>
    <cellStyle name="60% - Accent6 9" xfId="791" xr:uid="{713A3848-21A3-4A20-B1D7-F14640EE8267}"/>
    <cellStyle name="60% - Akzent1" xfId="792" xr:uid="{5576C22D-9D2C-476F-B3B9-DD7425E4DD86}"/>
    <cellStyle name="60% - Akzent2" xfId="793" xr:uid="{2FDC536F-CEFA-4F27-8CD3-E74203E91760}"/>
    <cellStyle name="60% - Akzent3" xfId="794" xr:uid="{66EBFE14-549C-4E4C-90AD-C478DA2C65C3}"/>
    <cellStyle name="60% - Akzent4" xfId="795" xr:uid="{983ED662-BEF2-429B-9904-E50F164E0E2C}"/>
    <cellStyle name="60% - Akzent5" xfId="796" xr:uid="{1B7CABFA-BD30-4A9A-8E58-D35487A44196}"/>
    <cellStyle name="60% - Akzent6" xfId="797" xr:uid="{CA3CADC8-880A-4D47-89BC-EA71FFBB6035}"/>
    <cellStyle name="60% - Cor4 2" xfId="798" xr:uid="{6047C67F-F17B-4637-88BE-E0AD1B2EB460}"/>
    <cellStyle name="Accent1 10" xfId="799" xr:uid="{025C6A87-FB0D-4E11-904E-26D6D3F45C9B}"/>
    <cellStyle name="Accent1 11" xfId="800" xr:uid="{E68E9774-F024-4CEB-8BF6-9A0A13634FF9}"/>
    <cellStyle name="Accent1 12" xfId="801" xr:uid="{B771666F-D5A3-42F8-8D68-E929BCE589BB}"/>
    <cellStyle name="Accent1 13" xfId="802" xr:uid="{251E62A1-541C-4A36-AE93-1EF4CE54AE60}"/>
    <cellStyle name="Accent1 14" xfId="803" xr:uid="{FB1521DC-00DA-4101-ADD9-661DD78BD848}"/>
    <cellStyle name="Accent1 15" xfId="804" xr:uid="{41E73FBE-4DDF-4A4E-B761-D79CED034AD2}"/>
    <cellStyle name="Accent1 16" xfId="805" xr:uid="{51BCF857-1D34-4BE6-825F-C11BE09BBDA9}"/>
    <cellStyle name="Accent1 17" xfId="806" xr:uid="{27746A3F-FBEA-4798-A4C9-20D67607CC4E}"/>
    <cellStyle name="Accent1 18" xfId="807" xr:uid="{30CB0130-7A96-4B47-9D0D-791AD64DB487}"/>
    <cellStyle name="Accent1 19" xfId="808" xr:uid="{7B345F35-B5AD-427D-AC1B-843E02C15C86}"/>
    <cellStyle name="Accent1 2" xfId="809" xr:uid="{D06A9675-6BB3-4D1D-B5D4-981394B525F1}"/>
    <cellStyle name="Accent1 20" xfId="810" xr:uid="{A9320042-5578-476F-A92D-4AB4EE98DD24}"/>
    <cellStyle name="Accent1 21" xfId="811" xr:uid="{57686E88-30A4-4340-9E5B-C6C272EF8DCF}"/>
    <cellStyle name="Accent1 22" xfId="812" xr:uid="{B8BA1340-7F8C-4F0B-A57A-6A03D7E90811}"/>
    <cellStyle name="Accent1 23" xfId="813" xr:uid="{6FB6A0F6-B201-43DF-86B3-ED238E85216F}"/>
    <cellStyle name="Accent1 24" xfId="814" xr:uid="{4B946751-EE39-47E2-8DDB-7C7BBAB44880}"/>
    <cellStyle name="Accent1 25" xfId="815" xr:uid="{851A8E45-C4B3-42F2-964C-7BDB83EBBD19}"/>
    <cellStyle name="Accent1 26" xfId="816" xr:uid="{10E4420B-3FDA-4C27-9741-63BF785B85D3}"/>
    <cellStyle name="Accent1 27" xfId="817" xr:uid="{F9353905-5093-4465-9CD2-D0A18C78BE84}"/>
    <cellStyle name="Accent1 28" xfId="818" xr:uid="{68EB155C-9174-4DBE-9663-3EE34BF568CE}"/>
    <cellStyle name="Accent1 29" xfId="819" xr:uid="{9B447CB8-805B-4CF2-B2CB-03EDB7C13A20}"/>
    <cellStyle name="Accent1 3" xfId="820" xr:uid="{4A68BC0C-A072-4FC2-AC7F-C33EE3BBA148}"/>
    <cellStyle name="Accent1 3 2" xfId="821" xr:uid="{A4C35FE1-AC17-42C3-868E-9ABFAE73E01C}"/>
    <cellStyle name="Accent1 30" xfId="822" xr:uid="{1418B670-435E-405A-BEEF-A5BBEC282B12}"/>
    <cellStyle name="Accent1 31" xfId="823" xr:uid="{9B26C6D5-BBCD-4706-BF97-AC776EAB3380}"/>
    <cellStyle name="Accent1 32" xfId="824" xr:uid="{F6621CCB-7FE3-4A0D-BCD2-D64B0A1B9B90}"/>
    <cellStyle name="Accent1 33" xfId="825" xr:uid="{4B067752-814C-4EFD-8CD4-4555C0231584}"/>
    <cellStyle name="Accent1 34" xfId="826" xr:uid="{1A1A3400-A79C-4A20-8E57-A985FEFE321D}"/>
    <cellStyle name="Accent1 35" xfId="827" xr:uid="{710FD0F1-33AE-4A00-BFE5-444EC6ED33F5}"/>
    <cellStyle name="Accent1 36" xfId="828" xr:uid="{9F6B2C65-AB28-4A67-B3D8-DFC324A5766A}"/>
    <cellStyle name="Accent1 37" xfId="829" xr:uid="{18773DEE-8F86-4FEB-B6F8-BA67AEC79AB7}"/>
    <cellStyle name="Accent1 38" xfId="830" xr:uid="{D54759E3-6380-4CDB-972E-2ED1A2DED110}"/>
    <cellStyle name="Accent1 39" xfId="831" xr:uid="{9152F27C-B3E1-4950-9E77-F564093514D1}"/>
    <cellStyle name="Accent1 4" xfId="832" xr:uid="{99838D29-8128-4F8B-86AC-F38ACB8C4602}"/>
    <cellStyle name="Accent1 40" xfId="833" xr:uid="{804854E0-81E9-4E96-851C-1A4C25D94EDB}"/>
    <cellStyle name="Accent1 41" xfId="834" xr:uid="{2D8CC6F4-7F2E-46FF-8CE4-D0CD14C95BED}"/>
    <cellStyle name="Accent1 42" xfId="835" xr:uid="{4BF3B8C2-A184-4620-93B9-443351654C11}"/>
    <cellStyle name="Accent1 43" xfId="836" xr:uid="{2E60AEF1-E03F-424D-B969-D7DB1070DD02}"/>
    <cellStyle name="Accent1 5" xfId="837" xr:uid="{345367F5-785F-4E71-B514-FC94FDFBB368}"/>
    <cellStyle name="Accent1 6" xfId="838" xr:uid="{2DD54C46-5733-431E-9B83-06000E6C38E5}"/>
    <cellStyle name="Accent1 7" xfId="839" xr:uid="{C2A6BFAB-388F-4915-A811-7F26F44BC485}"/>
    <cellStyle name="Accent1 8" xfId="840" xr:uid="{3E909945-E0A8-4B47-84FE-9BAD13BA967B}"/>
    <cellStyle name="Accent1 9" xfId="841" xr:uid="{A9C42615-26A5-40DD-B8B2-36117AE157D6}"/>
    <cellStyle name="Accent2 10" xfId="842" xr:uid="{E2BE2526-0A9C-43FD-895D-149E1B8BB5F8}"/>
    <cellStyle name="Accent2 11" xfId="843" xr:uid="{E53A9B65-D250-47C7-BBE4-6810575DE58E}"/>
    <cellStyle name="Accent2 12" xfId="844" xr:uid="{F1DD9FF4-D1C5-46E7-B92E-DBEF7E0EADCB}"/>
    <cellStyle name="Accent2 13" xfId="845" xr:uid="{55863F01-7677-46D2-AF3E-CA59B92BBAC1}"/>
    <cellStyle name="Accent2 14" xfId="846" xr:uid="{526A3C9F-FCE1-47FA-BADB-2F3C5FFE1DBF}"/>
    <cellStyle name="Accent2 15" xfId="847" xr:uid="{2364CD45-4D8E-402D-8113-F70191A98156}"/>
    <cellStyle name="Accent2 16" xfId="848" xr:uid="{E1F32630-1E9D-4E1D-A9D8-D2B77C1F9B4B}"/>
    <cellStyle name="Accent2 17" xfId="849" xr:uid="{14543FD5-6847-40FB-A366-A428D5F860A0}"/>
    <cellStyle name="Accent2 18" xfId="850" xr:uid="{3F54522E-C88C-4F19-8548-936D420EC63A}"/>
    <cellStyle name="Accent2 19" xfId="851" xr:uid="{C3236E56-EB1D-4340-88DA-517DF8D9FFA2}"/>
    <cellStyle name="Accent2 2" xfId="852" xr:uid="{C8DC308D-84F3-4E24-B158-4B6CF8382CF3}"/>
    <cellStyle name="Accent2 20" xfId="853" xr:uid="{5CC7672A-2C20-4D2B-A2F8-7A7E0B209E96}"/>
    <cellStyle name="Accent2 21" xfId="854" xr:uid="{6A60779B-1BCA-43E6-9E8B-952234889AE9}"/>
    <cellStyle name="Accent2 22" xfId="855" xr:uid="{5A81246C-5455-4B56-B44C-E5ACF1F45251}"/>
    <cellStyle name="Accent2 23" xfId="856" xr:uid="{AF73F0AA-2CAD-47C7-93A2-FF294DBB48EA}"/>
    <cellStyle name="Accent2 24" xfId="857" xr:uid="{3B6D0558-D43D-4B60-AD31-7E3334F5E518}"/>
    <cellStyle name="Accent2 25" xfId="858" xr:uid="{189EF8B2-295D-42D5-A552-2EAD4A2EE43D}"/>
    <cellStyle name="Accent2 26" xfId="859" xr:uid="{4B691CAC-ADC3-410A-B3CB-9F4BAD1C551B}"/>
    <cellStyle name="Accent2 27" xfId="860" xr:uid="{A89EA324-70FE-4B6D-B712-5DBC7290801B}"/>
    <cellStyle name="Accent2 28" xfId="861" xr:uid="{4B336266-2540-4C29-87A2-E148BE263C61}"/>
    <cellStyle name="Accent2 29" xfId="862" xr:uid="{07743869-4022-4DCA-9605-99E9811959CB}"/>
    <cellStyle name="Accent2 3" xfId="863" xr:uid="{08F418EE-B6DF-4E95-8DF1-893BFE2F461C}"/>
    <cellStyle name="Accent2 3 2" xfId="864" xr:uid="{7C024A8B-9729-4D98-9076-64FB4677B5B7}"/>
    <cellStyle name="Accent2 30" xfId="865" xr:uid="{44C43C48-ED68-4908-B095-F20569B317C1}"/>
    <cellStyle name="Accent2 31" xfId="866" xr:uid="{101BD2DD-FCFD-4E49-9D64-A861429AC2E5}"/>
    <cellStyle name="Accent2 32" xfId="867" xr:uid="{9EFE93DA-3078-46FA-B56F-74DD25752F57}"/>
    <cellStyle name="Accent2 33" xfId="868" xr:uid="{2B0F2469-4740-4D97-8ED1-F49677476CBC}"/>
    <cellStyle name="Accent2 34" xfId="869" xr:uid="{49F537A3-E479-4359-A563-A25AFEB294A6}"/>
    <cellStyle name="Accent2 35" xfId="870" xr:uid="{71FCE891-8B8B-4150-A283-0F659EC32065}"/>
    <cellStyle name="Accent2 36" xfId="871" xr:uid="{CDE6A22E-6A73-4470-A509-5BDEAA364436}"/>
    <cellStyle name="Accent2 37" xfId="872" xr:uid="{D182EC1D-74B8-41D8-97F8-328D6B55734B}"/>
    <cellStyle name="Accent2 38" xfId="873" xr:uid="{E7903DC8-E90A-4116-B077-D348CD30D753}"/>
    <cellStyle name="Accent2 39" xfId="874" xr:uid="{9D4E4EC2-BBBD-4570-8553-E1BD4BAA4D9C}"/>
    <cellStyle name="Accent2 4" xfId="875" xr:uid="{56096347-1717-4F5E-9542-11FBCCD3E3F9}"/>
    <cellStyle name="Accent2 40" xfId="876" xr:uid="{0F02EACD-CBA0-4AA2-BD6D-1AF6C2D922DC}"/>
    <cellStyle name="Accent2 41" xfId="877" xr:uid="{D0B550DD-301F-4443-9709-EF06D78D5D5A}"/>
    <cellStyle name="Accent2 42" xfId="878" xr:uid="{68DA9595-8C87-4053-A897-568FA39462C9}"/>
    <cellStyle name="Accent2 43" xfId="879" xr:uid="{F3A44E19-F06C-4F56-9232-655127548D1D}"/>
    <cellStyle name="Accent2 5" xfId="880" xr:uid="{2CB330FB-87F3-4B33-B502-6C62F49316E1}"/>
    <cellStyle name="Accent2 6" xfId="881" xr:uid="{1D1EE152-A9FE-4C1F-802D-73BC42F39E8F}"/>
    <cellStyle name="Accent2 7" xfId="882" xr:uid="{2292FDD2-DEF9-4F42-AE8F-60E42373A538}"/>
    <cellStyle name="Accent2 8" xfId="883" xr:uid="{5037BF3F-B2EA-4579-9D8E-0C55F4CD205B}"/>
    <cellStyle name="Accent2 9" xfId="884" xr:uid="{B829E974-5007-4FA2-BE0B-E6E533EFDA4C}"/>
    <cellStyle name="Accent3 10" xfId="885" xr:uid="{B39B911D-31A8-417B-A198-D96FC3302BF8}"/>
    <cellStyle name="Accent3 11" xfId="886" xr:uid="{2E452367-C433-48C2-B00E-C699C21D2D01}"/>
    <cellStyle name="Accent3 12" xfId="887" xr:uid="{EB3F9638-06DC-4A98-8121-5B759126EAEA}"/>
    <cellStyle name="Accent3 13" xfId="888" xr:uid="{FA35D65C-4ED9-43A9-844A-E699D0D5F483}"/>
    <cellStyle name="Accent3 14" xfId="889" xr:uid="{97CEAE63-344D-41DF-B0D4-FC9988A9A896}"/>
    <cellStyle name="Accent3 15" xfId="890" xr:uid="{2357CC1A-1286-4944-AF94-73AC939E21C7}"/>
    <cellStyle name="Accent3 16" xfId="891" xr:uid="{462D7ACB-0B11-4924-8CF9-313DEE798209}"/>
    <cellStyle name="Accent3 17" xfId="892" xr:uid="{62151440-2EBE-40FA-B050-1F9A1637E9A5}"/>
    <cellStyle name="Accent3 18" xfId="893" xr:uid="{22BD3458-828E-498F-AF62-E63B369315DF}"/>
    <cellStyle name="Accent3 19" xfId="894" xr:uid="{6681270D-56C0-4E07-ACD7-6C9330F33481}"/>
    <cellStyle name="Accent3 2" xfId="895" xr:uid="{B6320894-50C7-4B08-BED9-DDC954864864}"/>
    <cellStyle name="Accent3 20" xfId="896" xr:uid="{3FDCEB87-09B6-4231-9194-872AEB91ADFA}"/>
    <cellStyle name="Accent3 21" xfId="897" xr:uid="{8B179ED8-AE1C-43FB-8060-271628BEE177}"/>
    <cellStyle name="Accent3 22" xfId="898" xr:uid="{AB8050FB-AD30-4A7C-9255-D4AB5E0953E5}"/>
    <cellStyle name="Accent3 23" xfId="899" xr:uid="{AE79ACF4-C455-4059-8015-AC00896D59CA}"/>
    <cellStyle name="Accent3 24" xfId="900" xr:uid="{6F0C99E2-96DD-44D0-83FF-3B84B719FD1E}"/>
    <cellStyle name="Accent3 25" xfId="901" xr:uid="{1B5DB59D-3AC6-40C1-ABBA-0C6A5000F6E2}"/>
    <cellStyle name="Accent3 26" xfId="902" xr:uid="{0888CCE2-C4B6-48BD-B9F1-BD63D39062F1}"/>
    <cellStyle name="Accent3 27" xfId="903" xr:uid="{05D0D301-467D-4F07-A6C7-1E671C1ED86F}"/>
    <cellStyle name="Accent3 28" xfId="904" xr:uid="{C109580A-01DC-4918-9869-CC2730A1F4ED}"/>
    <cellStyle name="Accent3 29" xfId="905" xr:uid="{ED3575A1-B0E4-470E-9214-C2F7B5039C4A}"/>
    <cellStyle name="Accent3 3" xfId="906" xr:uid="{CD6D5469-4B71-40E1-9783-ABA0E057B0FF}"/>
    <cellStyle name="Accent3 3 2" xfId="907" xr:uid="{AE927814-2B74-45F4-9605-FD4627955541}"/>
    <cellStyle name="Accent3 30" xfId="908" xr:uid="{A968A02B-7562-491D-A3FC-F0904FF8DA98}"/>
    <cellStyle name="Accent3 31" xfId="909" xr:uid="{6613B11C-213A-43EE-BCC3-65DB63FB3C95}"/>
    <cellStyle name="Accent3 32" xfId="910" xr:uid="{56571969-41EE-4930-936B-22B8E7206427}"/>
    <cellStyle name="Accent3 33" xfId="911" xr:uid="{D0F0F35A-F80F-4708-A32D-95EF99E433C9}"/>
    <cellStyle name="Accent3 34" xfId="912" xr:uid="{ADC40487-9777-4234-BF19-FCA1E9E50EE1}"/>
    <cellStyle name="Accent3 35" xfId="913" xr:uid="{034AC499-83D0-4389-AA7F-56F4B51ECF34}"/>
    <cellStyle name="Accent3 36" xfId="914" xr:uid="{E03867DE-17F3-444B-8BD2-DBFD5358CF0F}"/>
    <cellStyle name="Accent3 37" xfId="915" xr:uid="{39052A45-55D3-47DF-9511-B6BA4D8B3327}"/>
    <cellStyle name="Accent3 38" xfId="916" xr:uid="{CF96C5D2-603F-4C0B-B404-76C6C6B37F74}"/>
    <cellStyle name="Accent3 39" xfId="917" xr:uid="{D80C811E-9E45-4CB7-B5B3-CBE7705803EB}"/>
    <cellStyle name="Accent3 4" xfId="918" xr:uid="{A845C974-6220-4073-8528-9979CF4510E7}"/>
    <cellStyle name="Accent3 40" xfId="919" xr:uid="{8BA31C4A-D1CE-408B-A43C-030E142AF2F3}"/>
    <cellStyle name="Accent3 41" xfId="920" xr:uid="{64E81C77-D431-4255-8F3E-4E0E8A2333F7}"/>
    <cellStyle name="Accent3 42" xfId="921" xr:uid="{7FED08B0-547C-451C-B698-C5867DA90C60}"/>
    <cellStyle name="Accent3 43" xfId="922" xr:uid="{4ED1482E-438D-46A1-AFF5-B6C1F2091A42}"/>
    <cellStyle name="Accent3 5" xfId="923" xr:uid="{D250B66F-993B-4AB1-8A31-A1D053A82E67}"/>
    <cellStyle name="Accent3 6" xfId="924" xr:uid="{04BB13E7-548B-4855-A2A6-E5BBA3162881}"/>
    <cellStyle name="Accent3 7" xfId="925" xr:uid="{AA145640-89D7-4298-870B-A97BF7513238}"/>
    <cellStyle name="Accent3 8" xfId="926" xr:uid="{0A990DC3-D3D0-4CB8-B4AB-0DB78EE7CBBD}"/>
    <cellStyle name="Accent3 9" xfId="927" xr:uid="{9C1FCB8B-D9F1-40F8-BD97-82CA9D030165}"/>
    <cellStyle name="Accent4 10" xfId="928" xr:uid="{59E34701-7A22-4029-BF16-78E22CE7A694}"/>
    <cellStyle name="Accent4 11" xfId="929" xr:uid="{9111E196-7AC8-4B2B-BC1B-28B20F5D97F2}"/>
    <cellStyle name="Accent4 12" xfId="930" xr:uid="{5007CC68-A19B-4BD4-A5E0-C721E6C88738}"/>
    <cellStyle name="Accent4 13" xfId="931" xr:uid="{90E698CC-E3EE-4F8F-A5EF-7523A73B2EF1}"/>
    <cellStyle name="Accent4 14" xfId="932" xr:uid="{5ECCD8BD-1553-46DD-9C58-A518DCD80A5B}"/>
    <cellStyle name="Accent4 15" xfId="933" xr:uid="{81226A6C-B5DB-4C98-BA9D-BDF7D89BC51E}"/>
    <cellStyle name="Accent4 16" xfId="934" xr:uid="{3A4AA2D5-92BC-4178-98B1-42F2FE810923}"/>
    <cellStyle name="Accent4 17" xfId="935" xr:uid="{B7E06113-18D7-4D31-9229-4814F17EC1AF}"/>
    <cellStyle name="Accent4 18" xfId="936" xr:uid="{FC29AA2E-6568-4099-9E6F-473AF1C733C8}"/>
    <cellStyle name="Accent4 19" xfId="937" xr:uid="{02BFD458-ABC5-4A06-B3CD-B286D97AEEC9}"/>
    <cellStyle name="Accent4 2" xfId="938" xr:uid="{2C0905A4-BE77-4156-8333-EEDDF467332E}"/>
    <cellStyle name="Accent4 20" xfId="939" xr:uid="{35F61D28-508E-4958-B4FA-463862A9FC67}"/>
    <cellStyle name="Accent4 21" xfId="940" xr:uid="{5ACC16B2-35C6-43D4-9110-45D1A7B28B86}"/>
    <cellStyle name="Accent4 22" xfId="941" xr:uid="{128386AA-DF84-4353-ADBE-C977B2D9C513}"/>
    <cellStyle name="Accent4 23" xfId="942" xr:uid="{9DE8716C-5A05-4728-93F4-BC4226B386AA}"/>
    <cellStyle name="Accent4 24" xfId="943" xr:uid="{26FC2229-E586-4C2C-8081-4FA024A0BEC8}"/>
    <cellStyle name="Accent4 25" xfId="944" xr:uid="{23C9DB80-45D0-4126-A888-649311E81BBE}"/>
    <cellStyle name="Accent4 26" xfId="945" xr:uid="{CF4A75A6-6C9B-4599-B73D-7888E64B2169}"/>
    <cellStyle name="Accent4 27" xfId="946" xr:uid="{DFF83D83-93F8-478B-A601-7D8E0F529F53}"/>
    <cellStyle name="Accent4 28" xfId="947" xr:uid="{009C479C-174C-49B9-9627-1D81BEFE5FE9}"/>
    <cellStyle name="Accent4 29" xfId="948" xr:uid="{A3AA147D-7FC5-4C59-BCF9-6C4B2CC7C049}"/>
    <cellStyle name="Accent4 3" xfId="949" xr:uid="{BDC250DF-1F76-44FD-B5F3-8221CE5D6096}"/>
    <cellStyle name="Accent4 3 2" xfId="950" xr:uid="{B18AB844-F072-455D-84E6-DAAB799E20FA}"/>
    <cellStyle name="Accent4 30" xfId="951" xr:uid="{AB425A20-22F8-4222-8B64-5696BF0DBBBC}"/>
    <cellStyle name="Accent4 31" xfId="952" xr:uid="{F53AD97D-FED2-4AF3-B7FB-C4E4DE64EB96}"/>
    <cellStyle name="Accent4 32" xfId="953" xr:uid="{950602E4-7D99-490A-9DE9-3174121C22C2}"/>
    <cellStyle name="Accent4 33" xfId="954" xr:uid="{3EF649A6-8684-4238-98F4-8DD5F448179F}"/>
    <cellStyle name="Accent4 34" xfId="955" xr:uid="{5A0EA7A0-6416-4AF2-9859-49F28C3080B9}"/>
    <cellStyle name="Accent4 35" xfId="956" xr:uid="{E6AA6017-5AFF-49AB-91E7-8423197768A0}"/>
    <cellStyle name="Accent4 36" xfId="957" xr:uid="{E98A293B-9C44-46E2-A3DE-85DFE1A9A14F}"/>
    <cellStyle name="Accent4 37" xfId="958" xr:uid="{C00F1F5F-3F4C-4A84-925A-0F88FCAAC38C}"/>
    <cellStyle name="Accent4 38" xfId="959" xr:uid="{B5E18C71-7664-4E9D-BAE5-B13A7BF62C62}"/>
    <cellStyle name="Accent4 39" xfId="960" xr:uid="{8DFB5D6E-5AAF-4857-B5FF-E5C8D31EFA7B}"/>
    <cellStyle name="Accent4 4" xfId="961" xr:uid="{E68A7C5A-0E91-4EBC-8485-59F1405D9E2B}"/>
    <cellStyle name="Accent4 40" xfId="962" xr:uid="{597404FD-7CFD-4C94-8B22-33A456B23D34}"/>
    <cellStyle name="Accent4 41" xfId="963" xr:uid="{B34CC034-D607-4D80-AE39-62067ECB4D43}"/>
    <cellStyle name="Accent4 42" xfId="964" xr:uid="{2B8F56A9-EB15-4F95-B183-41A5FDECA5D7}"/>
    <cellStyle name="Accent4 43" xfId="965" xr:uid="{25D297DD-6664-4079-809B-AFF05655FC5D}"/>
    <cellStyle name="Accent4 5" xfId="966" xr:uid="{E7E79CB8-2CA1-4C4E-82A0-3A11037148ED}"/>
    <cellStyle name="Accent4 6" xfId="967" xr:uid="{8807D309-3429-4E3E-8E09-FB23DD15E398}"/>
    <cellStyle name="Accent4 7" xfId="968" xr:uid="{21CD522B-1E24-4597-A735-19BE118E1067}"/>
    <cellStyle name="Accent4 8" xfId="969" xr:uid="{089ED778-9729-4888-ACE2-E68E814555C9}"/>
    <cellStyle name="Accent4 9" xfId="970" xr:uid="{03399371-FD12-479B-B898-85CB1D62B4B2}"/>
    <cellStyle name="Accent5 10" xfId="971" xr:uid="{C40CD9C6-3158-4CBC-9B4C-2645B1677C72}"/>
    <cellStyle name="Accent5 11" xfId="972" xr:uid="{FA829ECD-D269-4CF5-9F50-D88411C67C61}"/>
    <cellStyle name="Accent5 12" xfId="973" xr:uid="{42EC31D0-893E-4A38-B140-E6C95394F40A}"/>
    <cellStyle name="Accent5 13" xfId="974" xr:uid="{E655B998-FAEE-49C3-BD5C-10FB91EAB62B}"/>
    <cellStyle name="Accent5 14" xfId="975" xr:uid="{E51D24B6-E6FA-447F-ABCD-CB8E27818F22}"/>
    <cellStyle name="Accent5 15" xfId="976" xr:uid="{6F42D8A3-CC54-4068-BA9B-4733B45E38A7}"/>
    <cellStyle name="Accent5 16" xfId="977" xr:uid="{AA7340EA-C345-4435-B9F4-9752D9FCEB3A}"/>
    <cellStyle name="Accent5 17" xfId="978" xr:uid="{80DACBEA-CB91-48D0-88C0-554ACB39AAC5}"/>
    <cellStyle name="Accent5 18" xfId="979" xr:uid="{0EE3E80D-F7AB-46C6-8A5F-2CB651299F2F}"/>
    <cellStyle name="Accent5 19" xfId="980" xr:uid="{3CE631EF-5D56-45A7-BC29-A145F753FB49}"/>
    <cellStyle name="Accent5 2" xfId="981" xr:uid="{4786A7B9-FA23-483A-AAAD-27EAC7B43B74}"/>
    <cellStyle name="Accent5 20" xfId="982" xr:uid="{B95E6CCC-FC0D-43A5-9B13-F1CDE518E997}"/>
    <cellStyle name="Accent5 21" xfId="983" xr:uid="{1F4E05B4-C6F1-4DAD-AD09-2C84CABCC9D4}"/>
    <cellStyle name="Accent5 22" xfId="984" xr:uid="{78B7518A-3709-47EE-8CB1-B06713E52112}"/>
    <cellStyle name="Accent5 23" xfId="985" xr:uid="{DDBC6DC3-FA28-45E8-90C7-F47016FA12B7}"/>
    <cellStyle name="Accent5 24" xfId="986" xr:uid="{29A7D273-E89A-4BBB-A519-AD0F6E6BE141}"/>
    <cellStyle name="Accent5 25" xfId="987" xr:uid="{C5FEEB0C-75AE-4DFD-919A-5A8D2D00176D}"/>
    <cellStyle name="Accent5 26" xfId="988" xr:uid="{E5FD7BBE-6C90-46E0-B804-4195DB3ABB2B}"/>
    <cellStyle name="Accent5 27" xfId="989" xr:uid="{4948E4F3-5D97-48D7-927B-78C2FC07FA00}"/>
    <cellStyle name="Accent5 28" xfId="990" xr:uid="{8F652119-2AF5-4770-8FB5-892DB421A6D0}"/>
    <cellStyle name="Accent5 29" xfId="991" xr:uid="{CD5D539B-F516-415E-9ACD-955CF9325E18}"/>
    <cellStyle name="Accent5 3" xfId="992" xr:uid="{E63A7E78-A272-4157-B7B7-14C3D6CBB802}"/>
    <cellStyle name="Accent5 3 2" xfId="993" xr:uid="{E3A535DE-85B2-437B-B8AD-C73871FA5E0F}"/>
    <cellStyle name="Accent5 30" xfId="994" xr:uid="{E2A86956-EDB9-4520-A59C-7F9A07E6D177}"/>
    <cellStyle name="Accent5 31" xfId="995" xr:uid="{4B54A3D8-19EC-4C3A-9993-CC242032CFB8}"/>
    <cellStyle name="Accent5 32" xfId="996" xr:uid="{1FAFCBBA-EE66-4A56-B889-B3FEEF4EB398}"/>
    <cellStyle name="Accent5 33" xfId="997" xr:uid="{4562ADC9-1C75-4E0F-8697-27364ED9DDB8}"/>
    <cellStyle name="Accent5 34" xfId="998" xr:uid="{E656318E-01CC-478F-8CAB-5E3AEB25F040}"/>
    <cellStyle name="Accent5 35" xfId="999" xr:uid="{226A5A62-0641-4026-A733-66846A2E79F9}"/>
    <cellStyle name="Accent5 36" xfId="1000" xr:uid="{82466E73-AE15-4042-B1D6-80034E0156E7}"/>
    <cellStyle name="Accent5 37" xfId="1001" xr:uid="{E95B1381-2711-43BC-A8C1-990FE8224637}"/>
    <cellStyle name="Accent5 38" xfId="1002" xr:uid="{51C63A16-E135-47ED-94E4-839139FDD0C1}"/>
    <cellStyle name="Accent5 39" xfId="1003" xr:uid="{80E23F27-A571-455C-BE5C-B5EC8EEC2A55}"/>
    <cellStyle name="Accent5 4" xfId="1004" xr:uid="{B4724B85-DFC4-43D1-A62E-8A84E159C191}"/>
    <cellStyle name="Accent5 40" xfId="1005" xr:uid="{B2785DEF-47B1-475A-B414-62D6CFE0A62D}"/>
    <cellStyle name="Accent5 41" xfId="1006" xr:uid="{3E6B1833-3FE6-49FE-B2F5-C87D57D1E613}"/>
    <cellStyle name="Accent5 42" xfId="1007" xr:uid="{85160F3A-6561-4708-83AC-03515B829759}"/>
    <cellStyle name="Accent5 43" xfId="1008" xr:uid="{5D1505B9-5EF3-4F96-B5A8-B3CFDFFF11AA}"/>
    <cellStyle name="Accent5 5" xfId="1009" xr:uid="{A56CF922-A0F2-4426-BB9A-1D06991B6ECF}"/>
    <cellStyle name="Accent5 6" xfId="1010" xr:uid="{DF857261-F04E-4A50-989F-C6580BCAFE87}"/>
    <cellStyle name="Accent5 7" xfId="1011" xr:uid="{AE25506C-AEBA-4A0A-A410-C22D2928D2F7}"/>
    <cellStyle name="Accent5 8" xfId="1012" xr:uid="{25FE2BDA-C672-4F5D-AD7A-2CCB2C514E39}"/>
    <cellStyle name="Accent5 9" xfId="1013" xr:uid="{19810873-DE82-44C9-838C-C4898A93622C}"/>
    <cellStyle name="Accent6 10" xfId="1014" xr:uid="{534711A8-1371-4066-93C2-8B079278CC16}"/>
    <cellStyle name="Accent6 11" xfId="1015" xr:uid="{49165450-633B-4719-AA61-53A3D833334F}"/>
    <cellStyle name="Accent6 12" xfId="1016" xr:uid="{EE5B04DD-4292-40DA-9D67-2516F4A158FD}"/>
    <cellStyle name="Accent6 13" xfId="1017" xr:uid="{A9BA94E5-FE8B-4E6A-A347-A216A1B7A218}"/>
    <cellStyle name="Accent6 14" xfId="1018" xr:uid="{55258DAD-8EB0-48C9-9727-79E2551326CE}"/>
    <cellStyle name="Accent6 15" xfId="1019" xr:uid="{EF101C8D-BF33-462C-9D09-288BBE9477EC}"/>
    <cellStyle name="Accent6 16" xfId="1020" xr:uid="{A7F8E47A-6F27-4CD2-8768-D4EEB83AA00A}"/>
    <cellStyle name="Accent6 17" xfId="1021" xr:uid="{C3D54C58-7879-4899-91AC-7F4BCD5C8F8D}"/>
    <cellStyle name="Accent6 18" xfId="1022" xr:uid="{04A49FDA-8C72-4C63-AD3C-B71A3C513FFE}"/>
    <cellStyle name="Accent6 19" xfId="1023" xr:uid="{37DE86F2-9273-42ED-BE4B-CD6221B6852A}"/>
    <cellStyle name="Accent6 2" xfId="1024" xr:uid="{289A4D0B-2C59-4BA7-A513-0BC61CEADE17}"/>
    <cellStyle name="Accent6 20" xfId="1025" xr:uid="{2BFE4656-7FC8-46CC-83DD-8AE61F0D30BF}"/>
    <cellStyle name="Accent6 21" xfId="1026" xr:uid="{0AFFEAE7-A768-4372-A76B-FF49030A34C9}"/>
    <cellStyle name="Accent6 22" xfId="1027" xr:uid="{D9A980C4-82B0-46CD-91F0-78D7383B57B8}"/>
    <cellStyle name="Accent6 23" xfId="1028" xr:uid="{277C492C-042F-4DE9-B735-DFF50516A4A2}"/>
    <cellStyle name="Accent6 24" xfId="1029" xr:uid="{59428353-08D4-447F-8E9B-D390B98F9514}"/>
    <cellStyle name="Accent6 25" xfId="1030" xr:uid="{2D4D7E32-5547-4B05-912F-4F5EA65B42D0}"/>
    <cellStyle name="Accent6 26" xfId="1031" xr:uid="{E16FE49E-CDBF-45C7-908C-2FD005A0EA55}"/>
    <cellStyle name="Accent6 27" xfId="1032" xr:uid="{6914F532-118F-4171-A891-7D268363E8E1}"/>
    <cellStyle name="Accent6 28" xfId="1033" xr:uid="{CFBC7A9A-2DE2-4ED6-B1E7-64833E2C8306}"/>
    <cellStyle name="Accent6 29" xfId="1034" xr:uid="{46D1BD22-2338-4ACD-A7D6-2B50B6AC95E3}"/>
    <cellStyle name="Accent6 3" xfId="1035" xr:uid="{305D34EB-314D-4481-BDA5-6912803B7D93}"/>
    <cellStyle name="Accent6 3 2" xfId="1036" xr:uid="{CF83849C-23D2-40E2-813B-024D7249FE3F}"/>
    <cellStyle name="Accent6 30" xfId="1037" xr:uid="{6E85F01C-8E3F-4B69-8144-DDF96CAC1B46}"/>
    <cellStyle name="Accent6 31" xfId="1038" xr:uid="{AE5CFD92-29E2-49DD-AD09-B049FA5B0204}"/>
    <cellStyle name="Accent6 32" xfId="1039" xr:uid="{33CD37F0-A909-4065-89AC-C63F3743035B}"/>
    <cellStyle name="Accent6 33" xfId="1040" xr:uid="{6B714C0F-0876-41AB-A963-E401C0C51958}"/>
    <cellStyle name="Accent6 34" xfId="1041" xr:uid="{E12726DC-0CE3-4CFB-A782-C2CC4C7C20BF}"/>
    <cellStyle name="Accent6 35" xfId="1042" xr:uid="{2319B8A2-03F9-4AEC-84D0-4A00D52680BC}"/>
    <cellStyle name="Accent6 36" xfId="1043" xr:uid="{8993D219-614A-455C-8631-F4F7B36295CD}"/>
    <cellStyle name="Accent6 37" xfId="1044" xr:uid="{81BBB156-63F0-47BE-ABBC-E881221024FD}"/>
    <cellStyle name="Accent6 38" xfId="1045" xr:uid="{C143F761-FE9C-4E20-A2AA-EB8B53E69A9A}"/>
    <cellStyle name="Accent6 39" xfId="1046" xr:uid="{5689E33E-A9AE-4392-9A88-4C6FA3282D3A}"/>
    <cellStyle name="Accent6 4" xfId="1047" xr:uid="{D56FDF9F-8A5E-433B-B68C-25D62909C4BF}"/>
    <cellStyle name="Accent6 40" xfId="1048" xr:uid="{A31B5AD4-6723-416A-9E20-00C3B381F3F3}"/>
    <cellStyle name="Accent6 41" xfId="1049" xr:uid="{1DE1BD64-00D2-4E0D-B59E-EDB7D66AB1EB}"/>
    <cellStyle name="Accent6 42" xfId="1050" xr:uid="{974EFEAD-46EC-4ED3-A996-9A316CD3B962}"/>
    <cellStyle name="Accent6 43" xfId="1051" xr:uid="{179D9223-0A8B-4B80-BDC0-70E718DAA5B7}"/>
    <cellStyle name="Accent6 5" xfId="1052" xr:uid="{F3AE755E-3A0A-4CBE-82C8-D1982043FD7A}"/>
    <cellStyle name="Accent6 6" xfId="1053" xr:uid="{CBA15809-0968-47C5-9CB5-F7F50564228E}"/>
    <cellStyle name="Accent6 7" xfId="1054" xr:uid="{2507418D-076F-49BC-B8F7-5F2D885E487B}"/>
    <cellStyle name="Accent6 8" xfId="1055" xr:uid="{BC53A09D-0B6C-4430-BE1B-A8A81ED6CB82}"/>
    <cellStyle name="Accent6 9" xfId="1056" xr:uid="{D215DDAA-1C42-4ABF-81AF-359BC44606E7}"/>
    <cellStyle name="AggblueBoldCels" xfId="1057" xr:uid="{C7799F4F-6297-420D-BF00-EF9C48380B3C}"/>
    <cellStyle name="AggblueCels" xfId="1058" xr:uid="{671DD1D3-D812-4D5C-86CB-573B4FABDAD2}"/>
    <cellStyle name="AggBoldCells" xfId="1059" xr:uid="{B1BD1684-9745-457F-9690-1DA920759F5F}"/>
    <cellStyle name="AggCels" xfId="1060" xr:uid="{87144D73-C096-4C11-8A89-86EAAE16682A}"/>
    <cellStyle name="AggGreen" xfId="1061" xr:uid="{E7F48EE7-C031-4A63-BB89-3051F568D4EE}"/>
    <cellStyle name="AggGreen12" xfId="1062" xr:uid="{3BB368A9-5014-473B-8461-5ACA720D32D6}"/>
    <cellStyle name="AggOrange" xfId="1063" xr:uid="{C0C6A10A-6EA6-496F-BC55-13DB9ED4B1CC}"/>
    <cellStyle name="AggOrange9" xfId="1064" xr:uid="{4E54529C-7A41-4249-B185-CFE2515041FC}"/>
    <cellStyle name="AggOrangeLB_2x" xfId="1065" xr:uid="{15BE553E-8106-4EE9-A8D9-D5E0AD03C9B3}"/>
    <cellStyle name="AggOrangeLBorder" xfId="1066" xr:uid="{80727F07-A238-4C16-AF3D-94E044C39166}"/>
    <cellStyle name="AggOrangeRBorder" xfId="1067" xr:uid="{FADAA2C3-6FD8-452E-9C97-59296C53FA28}"/>
    <cellStyle name="Akzent1" xfId="1068" xr:uid="{5462D2D3-A665-481A-B906-58D2FECC30EB}"/>
    <cellStyle name="Akzent2" xfId="1069" xr:uid="{AC7B2ED3-6C43-4D93-BE81-55BAF6F022B0}"/>
    <cellStyle name="Akzent3" xfId="1070" xr:uid="{B3786360-E344-4246-B1B8-A86890AE614D}"/>
    <cellStyle name="Akzent4" xfId="1071" xr:uid="{19349F5C-C23D-4656-8786-BB9B52DFAA1D}"/>
    <cellStyle name="Akzent5" xfId="1072" xr:uid="{BB0B4050-CAF1-49B1-8B2F-5E063C613D12}"/>
    <cellStyle name="Akzent6" xfId="1073" xr:uid="{5BAAF298-8930-432C-8BB7-C15CA68C7975}"/>
    <cellStyle name="Ausgabe" xfId="1074" xr:uid="{5AC17C40-445A-4D19-8E60-33428AD776F8}"/>
    <cellStyle name="Bad 10" xfId="1075" xr:uid="{7E289BF4-A675-4044-BBFE-50E5F3349B2D}"/>
    <cellStyle name="Bad 11" xfId="1076" xr:uid="{9037D881-2B6D-4B34-A3B0-BDEF2F9A1E18}"/>
    <cellStyle name="Bad 12" xfId="1077" xr:uid="{DE9B3EEE-2764-49B3-A715-5696A0C7D9B4}"/>
    <cellStyle name="Bad 13" xfId="1078" xr:uid="{072E13EF-53B1-45F7-AE6A-1FE6857F4528}"/>
    <cellStyle name="Bad 14" xfId="1079" xr:uid="{A9BEAEB4-6518-4CC5-9A6E-64256B5432C1}"/>
    <cellStyle name="Bad 15" xfId="1080" xr:uid="{A2902727-16E8-453B-8E46-02713FD5630A}"/>
    <cellStyle name="Bad 16" xfId="1081" xr:uid="{35506EDD-D7B7-4862-9914-E3EDCC2B0D18}"/>
    <cellStyle name="Bad 17" xfId="1082" xr:uid="{66E721BD-7E79-4075-A2CA-5F7691389481}"/>
    <cellStyle name="Bad 18" xfId="1083" xr:uid="{78E20345-FA73-4AE1-A290-D4A0472CA3EB}"/>
    <cellStyle name="Bad 19" xfId="1084" xr:uid="{B3116527-C30D-4041-B503-308D1C22778E}"/>
    <cellStyle name="Bad 2" xfId="1085" xr:uid="{1E6E3FEB-B907-4F75-AF5F-5452DE34BE48}"/>
    <cellStyle name="Bad 20" xfId="1086" xr:uid="{3F9374F9-FE00-4D85-8AF4-E325F9C16F41}"/>
    <cellStyle name="Bad 21" xfId="1087" xr:uid="{C64878CD-F5AC-4672-8CFD-90E8C3658B84}"/>
    <cellStyle name="Bad 22" xfId="1088" xr:uid="{82717F23-47E5-4861-AA2E-889FB8D1DC45}"/>
    <cellStyle name="Bad 23" xfId="1089" xr:uid="{108724A3-9CAE-4BDA-BBCE-C752122C16B4}"/>
    <cellStyle name="Bad 24" xfId="1090" xr:uid="{66E856FE-4373-4E36-87EA-EB5BCDD1C5CE}"/>
    <cellStyle name="Bad 25" xfId="1091" xr:uid="{8C188C07-1542-4066-9A59-A9EEB75D9E61}"/>
    <cellStyle name="Bad 26" xfId="1092" xr:uid="{285162A6-C16E-4541-95CC-95E10F9B37F6}"/>
    <cellStyle name="Bad 27" xfId="1093" xr:uid="{F1688E34-0BE6-4993-946B-3F7C514B95CE}"/>
    <cellStyle name="Bad 28" xfId="1094" xr:uid="{31CD5EA1-FA4E-4C30-A5E3-A250C1DC9FEC}"/>
    <cellStyle name="Bad 29" xfId="1095" xr:uid="{9D9C305C-FB12-4E18-B04A-58856F12E922}"/>
    <cellStyle name="Bad 3" xfId="1096" xr:uid="{1EB48514-DF4A-4A8B-B875-3BE6E30BD6B7}"/>
    <cellStyle name="Bad 3 2" xfId="1097" xr:uid="{19CA3360-CA54-41F5-A33F-8EFB9B10B453}"/>
    <cellStyle name="Bad 30" xfId="1098" xr:uid="{78228825-80F5-4092-B559-ACA40748A0C1}"/>
    <cellStyle name="Bad 31" xfId="1099" xr:uid="{B3154AA3-6F16-41DA-BA3C-ED7E8D9B9370}"/>
    <cellStyle name="Bad 32" xfId="1100" xr:uid="{D5AD4977-2CAC-42FF-9E53-DD338D0E2F64}"/>
    <cellStyle name="Bad 33" xfId="1101" xr:uid="{B5E43AD9-9FF1-47E1-9DA4-335B7DF07BDB}"/>
    <cellStyle name="Bad 34" xfId="1102" xr:uid="{4FBE55AA-E974-44D1-A967-3B8994A3BF15}"/>
    <cellStyle name="Bad 35" xfId="1103" xr:uid="{820925CB-ABAE-4681-8227-697E2C3E580D}"/>
    <cellStyle name="Bad 36" xfId="1104" xr:uid="{8750EF3D-1D3C-4070-82E1-2C153E2A6A48}"/>
    <cellStyle name="Bad 37" xfId="1105" xr:uid="{DCB211B0-06E0-4946-AB59-EA3FCE462F72}"/>
    <cellStyle name="Bad 38" xfId="1106" xr:uid="{2D6FE17E-9618-42E2-A9A4-C5B58B0DB748}"/>
    <cellStyle name="Bad 39" xfId="1107" xr:uid="{7F201EF8-1016-4218-A52B-448FA0A7C63D}"/>
    <cellStyle name="Bad 4" xfId="1108" xr:uid="{A998CD42-72C1-4809-B4FE-BCD8DD922480}"/>
    <cellStyle name="Bad 40" xfId="1109" xr:uid="{84B545B1-74FE-4678-9CCB-E181C206B95C}"/>
    <cellStyle name="Bad 41" xfId="1110" xr:uid="{937D59EA-74A8-4575-8B40-23F41E3EF4F9}"/>
    <cellStyle name="Bad 42" xfId="1111" xr:uid="{C9D60B80-4BD2-4408-9616-AB20D8BF3501}"/>
    <cellStyle name="Bad 43" xfId="1112" xr:uid="{2A6BFD01-94B0-48B2-8A97-11ABA07D050E}"/>
    <cellStyle name="Bad 44" xfId="1113" xr:uid="{F0CA6E16-5B9F-44C3-9D19-B8610C974C0D}"/>
    <cellStyle name="Bad 5" xfId="1114" xr:uid="{4DC7DE00-49C8-44B7-85FB-F35F5C600979}"/>
    <cellStyle name="Bad 6" xfId="1115" xr:uid="{3F676454-36E5-42E1-BB0E-05AC5E1F69DE}"/>
    <cellStyle name="Bad 7" xfId="1116" xr:uid="{1685E7D3-9C35-4B77-9063-C905C915A927}"/>
    <cellStyle name="Bad 8" xfId="1117" xr:uid="{8BBA66A9-072D-4B7E-9EF5-AEC5EE3C4B4C}"/>
    <cellStyle name="Bad 9" xfId="1118" xr:uid="{CC7F3CC1-A5C8-4BA4-B7F1-61CFA775A867}"/>
    <cellStyle name="Berechnung" xfId="1119" xr:uid="{65ED3D38-1707-4BF9-9DEA-B2B3E0A47012}"/>
    <cellStyle name="Bold GHG Numbers (0.00)" xfId="1120" xr:uid="{4E5AA47A-4BE8-4D9C-A1F3-DE117F9C3FA6}"/>
    <cellStyle name="Calculation 10" xfId="1121" xr:uid="{5D2EAE2C-2A3C-4FB6-97BB-39551D0DF4A7}"/>
    <cellStyle name="Calculation 11" xfId="1122" xr:uid="{F27E426B-10C0-46FB-A5DB-A256EA4F289B}"/>
    <cellStyle name="Calculation 12" xfId="1123" xr:uid="{155DAE72-A30A-491D-A657-4E4919946D19}"/>
    <cellStyle name="Calculation 13" xfId="1124" xr:uid="{414B46A4-77C9-4F63-9EBA-D3D7D9B45806}"/>
    <cellStyle name="Calculation 14" xfId="1125" xr:uid="{1CEFA59B-68E0-4824-B291-A0CF972604A1}"/>
    <cellStyle name="Calculation 15" xfId="1126" xr:uid="{8245BD9E-A6ED-46EC-882F-C3F76AF415E0}"/>
    <cellStyle name="Calculation 16" xfId="1127" xr:uid="{CB19F427-0B98-459E-B47B-25018A3E2D29}"/>
    <cellStyle name="Calculation 17" xfId="1128" xr:uid="{6AFA8D2F-C3FB-469E-9A1D-CBACCC151F78}"/>
    <cellStyle name="Calculation 18" xfId="1129" xr:uid="{ABD3036B-6F6F-4591-B1BD-0DE889BF0AF3}"/>
    <cellStyle name="Calculation 19" xfId="1130" xr:uid="{EEF2B95F-1EEE-4EB4-A2E5-FD4FA208FC80}"/>
    <cellStyle name="Calculation 2" xfId="1131" xr:uid="{0584A2D1-78B7-44B0-8DC9-95E2159BE12D}"/>
    <cellStyle name="Calculation 20" xfId="1132" xr:uid="{AC8D17A0-E68B-48E9-8866-9D4BFA5E6BB7}"/>
    <cellStyle name="Calculation 21" xfId="1133" xr:uid="{91F3CAAA-6801-47D1-8F11-11EFC0AD5F7C}"/>
    <cellStyle name="Calculation 22" xfId="1134" xr:uid="{C40A84DD-6052-403C-8FD2-390049A7BB32}"/>
    <cellStyle name="Calculation 23" xfId="1135" xr:uid="{2059625C-06BA-43B5-A4AC-C1F1145EC9BC}"/>
    <cellStyle name="Calculation 24" xfId="1136" xr:uid="{AAA49311-F47F-4511-A3D2-B04FB7EC2F0B}"/>
    <cellStyle name="Calculation 25" xfId="1137" xr:uid="{D1A8173D-7ABB-47BF-9DF0-7EA7127BA384}"/>
    <cellStyle name="Calculation 26" xfId="1138" xr:uid="{380D64B3-6BE1-4FB6-857A-A1EFFB4E03E8}"/>
    <cellStyle name="Calculation 27" xfId="1139" xr:uid="{B09CC13B-3265-4CBB-B3AE-4A6F1E747BE2}"/>
    <cellStyle name="Calculation 28" xfId="1140" xr:uid="{673F978B-1E2B-446F-9A34-49DEF08E4C69}"/>
    <cellStyle name="Calculation 29" xfId="1141" xr:uid="{4A460B73-0ADB-44F9-A010-EE36E1B99389}"/>
    <cellStyle name="Calculation 3" xfId="1142" xr:uid="{215A9834-47C0-40F1-BE5D-B7A3AA1DADB8}"/>
    <cellStyle name="Calculation 3 2" xfId="1143" xr:uid="{7A4EEACA-D1DF-446F-89F4-AC558A12DB37}"/>
    <cellStyle name="Calculation 30" xfId="1144" xr:uid="{336A1E2A-49ED-4985-B6E8-883294242F2C}"/>
    <cellStyle name="Calculation 31" xfId="1145" xr:uid="{D6C16792-286D-46D3-8F71-DCD9DEEE55E9}"/>
    <cellStyle name="Calculation 32" xfId="1146" xr:uid="{1CB861A5-A2F1-437D-91D3-4412E31A1431}"/>
    <cellStyle name="Calculation 33" xfId="1147" xr:uid="{9AB0D405-22D2-4F91-8BEE-22AD9D33E7FB}"/>
    <cellStyle name="Calculation 34" xfId="1148" xr:uid="{C1A62EFB-E877-4E18-9FD7-1586454EB231}"/>
    <cellStyle name="Calculation 35" xfId="1149" xr:uid="{5D88FC42-9ABF-40D3-9EC0-3CA4CDD4769D}"/>
    <cellStyle name="Calculation 36" xfId="1150" xr:uid="{9CDA08FC-E1D9-44BE-86B0-44B987AE05EF}"/>
    <cellStyle name="Calculation 37" xfId="1151" xr:uid="{84627802-93D2-480E-8839-EBADA2A31FA2}"/>
    <cellStyle name="Calculation 38" xfId="1152" xr:uid="{9C61754A-0D91-42BD-AF45-54212D88631B}"/>
    <cellStyle name="Calculation 39" xfId="1153" xr:uid="{AAE611ED-728E-4463-AAE9-803EF3CCF1B5}"/>
    <cellStyle name="Calculation 4" xfId="1154" xr:uid="{3CC55E77-62FE-46DF-8241-1F0BED887127}"/>
    <cellStyle name="Calculation 40" xfId="1155" xr:uid="{848BF424-242A-43B7-9480-7DE917690C33}"/>
    <cellStyle name="Calculation 41" xfId="1156" xr:uid="{3F089588-86AF-40B0-90F4-AEBC2EAA4281}"/>
    <cellStyle name="Calculation 42" xfId="1157" xr:uid="{E709E37D-0606-4E5E-8F7A-450423EEAD52}"/>
    <cellStyle name="Calculation 43" xfId="1158" xr:uid="{9685F133-F38F-4CF0-A827-87981AB34455}"/>
    <cellStyle name="Calculation 5" xfId="1159" xr:uid="{8B7C188C-5DAC-4665-B4CE-0FC9F1E33C71}"/>
    <cellStyle name="Calculation 6" xfId="1160" xr:uid="{471A29F7-0740-4111-988B-C34C18700241}"/>
    <cellStyle name="Calculation 7" xfId="1161" xr:uid="{E9B283DA-9A28-4884-8216-5F7B712D603D}"/>
    <cellStyle name="Calculation 8" xfId="1162" xr:uid="{18033E56-31C8-48FE-BC94-85BC2F1F9D4C}"/>
    <cellStyle name="Calculation 9" xfId="1163" xr:uid="{B6E8578C-2C4B-43E9-962B-5AC34266004D}"/>
    <cellStyle name="Check Cell 10" xfId="1164" xr:uid="{4579870B-1955-47A7-A690-208F56FC0A5A}"/>
    <cellStyle name="Check Cell 11" xfId="1165" xr:uid="{DD486449-EFCD-434E-A857-47B396087DBD}"/>
    <cellStyle name="Check Cell 12" xfId="1166" xr:uid="{D29D5733-0E69-4E53-97E6-8854CB00387C}"/>
    <cellStyle name="Check Cell 13" xfId="1167" xr:uid="{4A94EC44-46D0-43AD-9217-27E989CBB616}"/>
    <cellStyle name="Check Cell 14" xfId="1168" xr:uid="{B845865D-39CF-448C-85D8-56DFAE4BB813}"/>
    <cellStyle name="Check Cell 15" xfId="1169" xr:uid="{17548EEF-D5DA-42FD-A5EC-0D8B7DAF3B03}"/>
    <cellStyle name="Check Cell 16" xfId="1170" xr:uid="{6F28B6E6-0BAE-4948-BA69-734A81873616}"/>
    <cellStyle name="Check Cell 17" xfId="1171" xr:uid="{B9E1A303-E777-4B1B-BDC5-858A5BA43262}"/>
    <cellStyle name="Check Cell 18" xfId="1172" xr:uid="{8F8E85A6-693A-48A3-8F0E-D330505383A6}"/>
    <cellStyle name="Check Cell 19" xfId="1173" xr:uid="{E9D463FC-A2D8-4F63-91A3-32649DCD6708}"/>
    <cellStyle name="Check Cell 2" xfId="1174" xr:uid="{87025B92-BB51-46BE-B212-DB8400F2D536}"/>
    <cellStyle name="Check Cell 20" xfId="1175" xr:uid="{A71E8278-D272-47D2-9CCE-6E7F48E04C4F}"/>
    <cellStyle name="Check Cell 21" xfId="1176" xr:uid="{ECB6F39D-AAD7-45FF-8D40-363EBBC2D668}"/>
    <cellStyle name="Check Cell 22" xfId="1177" xr:uid="{15456449-1E8D-4367-80F1-91DA8E4BA724}"/>
    <cellStyle name="Check Cell 23" xfId="1178" xr:uid="{DCE9D554-E7DD-4025-A297-E3166557AA0A}"/>
    <cellStyle name="Check Cell 24" xfId="1179" xr:uid="{FF0E5D20-78BA-4778-9DE3-9F2664872413}"/>
    <cellStyle name="Check Cell 25" xfId="1180" xr:uid="{DAEC178F-C1FB-4046-9986-A459C467D391}"/>
    <cellStyle name="Check Cell 26" xfId="1181" xr:uid="{D1A47E8A-1FC5-440F-8030-C3723718A928}"/>
    <cellStyle name="Check Cell 27" xfId="1182" xr:uid="{D7B51839-2ED4-43E5-84EB-CDE24A53D66F}"/>
    <cellStyle name="Check Cell 28" xfId="1183" xr:uid="{BDB9D982-ED97-4CC0-BDB8-AC1BDB3B2705}"/>
    <cellStyle name="Check Cell 29" xfId="1184" xr:uid="{19938240-4912-406C-BA03-65C0780E571D}"/>
    <cellStyle name="Check Cell 3" xfId="1185" xr:uid="{03F89471-BEAA-445B-B253-67FA41E759F9}"/>
    <cellStyle name="Check Cell 3 2" xfId="1186" xr:uid="{D37DE1FB-39F1-4358-BECF-908C7FA9311B}"/>
    <cellStyle name="Check Cell 30" xfId="1187" xr:uid="{991FAD22-3724-4BEE-8872-DFDEE377D960}"/>
    <cellStyle name="Check Cell 31" xfId="1188" xr:uid="{C9C0F257-83BD-41EF-AEBA-DC2BF6CFAA69}"/>
    <cellStyle name="Check Cell 32" xfId="1189" xr:uid="{3C100811-6831-4BA3-A74B-0B814D941E1A}"/>
    <cellStyle name="Check Cell 33" xfId="1190" xr:uid="{EC7B47E2-F33D-44DB-86AE-4CDAD4F3F072}"/>
    <cellStyle name="Check Cell 34" xfId="1191" xr:uid="{4C622A09-2011-4608-847E-0BBF4236E397}"/>
    <cellStyle name="Check Cell 35" xfId="1192" xr:uid="{9F729266-F169-4154-90D1-919520D84DED}"/>
    <cellStyle name="Check Cell 36" xfId="1193" xr:uid="{2CFDBED9-079F-4773-8473-A4FC503A5E1C}"/>
    <cellStyle name="Check Cell 37" xfId="1194" xr:uid="{D124259D-4B67-4F12-A040-9834528AE012}"/>
    <cellStyle name="Check Cell 38" xfId="1195" xr:uid="{A9F7383E-18F2-4583-8451-194E64B8BF54}"/>
    <cellStyle name="Check Cell 39" xfId="1196" xr:uid="{BF1E69E6-DE03-4D5A-8FD1-4DA5CA80AD4D}"/>
    <cellStyle name="Check Cell 4" xfId="1197" xr:uid="{8EB0A4E2-AE42-494E-AE45-212DA6ED45D7}"/>
    <cellStyle name="Check Cell 40" xfId="1198" xr:uid="{B5BD470F-FF30-4684-A222-8E8863FF6F16}"/>
    <cellStyle name="Check Cell 41" xfId="1199" xr:uid="{E3EB3DC4-2B59-45AA-8AB3-EFAF76E79BEB}"/>
    <cellStyle name="Check Cell 42" xfId="1200" xr:uid="{40B47BCB-308B-401C-AC73-26AFB061CFCB}"/>
    <cellStyle name="Check Cell 43" xfId="1201" xr:uid="{43777E71-6B3D-48C5-A21B-0D565E5E3A50}"/>
    <cellStyle name="Check Cell 5" xfId="1202" xr:uid="{722D49B2-30FD-423C-93A0-A7354269BFDA}"/>
    <cellStyle name="Check Cell 6" xfId="1203" xr:uid="{5C75C2B4-6543-468E-869A-C4D1FEB86E49}"/>
    <cellStyle name="Check Cell 7" xfId="1204" xr:uid="{3B6A5FBE-E078-425E-817F-8D36291CA088}"/>
    <cellStyle name="Check Cell 8" xfId="1205" xr:uid="{340845CD-FC49-4E8B-A239-AC4995DB17E3}"/>
    <cellStyle name="Check Cell 9" xfId="1206" xr:uid="{1397E1C6-1A63-489B-AFF1-6A513016C30D}"/>
    <cellStyle name="coin" xfId="1207" xr:uid="{62F682E6-372D-4EF9-BE6A-EA470CE064A5}"/>
    <cellStyle name="Comma 14" xfId="1208" xr:uid="{AA5C133F-D121-41A3-B913-862612CF568F}"/>
    <cellStyle name="Comma 2" xfId="1209" xr:uid="{BF0B61D8-7DE5-4F68-AFBA-294A06107802}"/>
    <cellStyle name="Comma 2 10" xfId="1210" xr:uid="{8F6227BD-A572-4D34-BD7C-FBA83DFF1407}"/>
    <cellStyle name="Comma 2 11" xfId="1211" xr:uid="{306C364E-B910-46E2-B32E-19D755CAF117}"/>
    <cellStyle name="Comma 2 12" xfId="1212" xr:uid="{90D38295-B199-403E-BB52-4E8DF1A0C20F}"/>
    <cellStyle name="Comma 2 13" xfId="1213" xr:uid="{77448674-6165-4A35-89BE-AA40F1EBAA56}"/>
    <cellStyle name="Comma 2 2" xfId="1214" xr:uid="{5B629487-D1B5-4248-935E-5C9043217767}"/>
    <cellStyle name="Comma 2 2 2" xfId="1215" xr:uid="{8C1BF6F8-A0EC-47BC-9ADA-B05E152E5BA6}"/>
    <cellStyle name="Comma 2 2 2 2" xfId="1216" xr:uid="{0A0775B6-9536-46D6-B04E-C2D1E0E2392A}"/>
    <cellStyle name="Comma 2 2 2 3" xfId="1217" xr:uid="{DC810073-C35B-4B60-8A52-17DA1EC4C727}"/>
    <cellStyle name="Comma 2 2 2 4" xfId="1218" xr:uid="{FCE0B464-C348-4E28-83A4-3175FCDA02F2}"/>
    <cellStyle name="Comma 2 2 2 4 2" xfId="1219" xr:uid="{CE44028D-FB05-46DE-9C63-E3154B873409}"/>
    <cellStyle name="Comma 2 2 2 4 3" xfId="1220" xr:uid="{851CBE1B-324C-4527-BE68-79635CAB1E54}"/>
    <cellStyle name="Comma 2 2 2 5" xfId="1221" xr:uid="{5CC89A7C-FDD2-4CBD-8A50-7E1161F86633}"/>
    <cellStyle name="Comma 2 2 3" xfId="1222" xr:uid="{DA9DA9B8-89C6-49A3-A865-AE86BCBD0226}"/>
    <cellStyle name="Comma 2 2 3 2" xfId="1223" xr:uid="{FE0FD8A6-5B17-4908-BA89-4D9D3AE7E3E5}"/>
    <cellStyle name="Comma 2 2 3 3" xfId="1224" xr:uid="{A0673336-A291-4EF0-9AC7-9A887078A72F}"/>
    <cellStyle name="Comma 2 2 3 4" xfId="1225" xr:uid="{D8B2C8EE-27BC-4E42-8F5B-64CA2C4B9ABB}"/>
    <cellStyle name="Comma 2 2 4" xfId="1226" xr:uid="{AC995708-FAD7-4BE8-B452-A39C61A02302}"/>
    <cellStyle name="Comma 2 2 4 2" xfId="1227" xr:uid="{47BC7424-2F6E-4E11-B18E-BCB7FB6FCA95}"/>
    <cellStyle name="Comma 2 2 5" xfId="1228" xr:uid="{6F5455AF-6745-4021-A060-470E02BD6619}"/>
    <cellStyle name="Comma 2 2 6" xfId="1229" xr:uid="{3443F549-D2D7-4EA0-81A7-003DD0D5A673}"/>
    <cellStyle name="Comma 2 2 6 2" xfId="1230" xr:uid="{81E0DBDE-7D63-4E72-A700-7CC33EF1DA21}"/>
    <cellStyle name="Comma 2 2 6 3" xfId="1231" xr:uid="{14BA3612-8145-43F4-B35C-927AD9D29FD3}"/>
    <cellStyle name="Comma 2 2 7" xfId="1232" xr:uid="{8DA76A51-0911-45DB-A2AD-153F74BFA5EA}"/>
    <cellStyle name="Comma 2 3" xfId="1233" xr:uid="{A55F5264-2A61-42AE-8CA1-ABFCEEC0A5FF}"/>
    <cellStyle name="Comma 2 3 2" xfId="1234" xr:uid="{243D77DF-ACFE-4279-A74C-FCFEEAD7AE26}"/>
    <cellStyle name="Comma 2 3 2 2" xfId="1235" xr:uid="{50DB80D5-4662-4335-9209-91181DC0611C}"/>
    <cellStyle name="Comma 2 3 2 3" xfId="1236" xr:uid="{96931815-0391-465E-BAA5-EE6C94CA3408}"/>
    <cellStyle name="Comma 2 3 2 4" xfId="1237" xr:uid="{F8F22BF1-07AF-4981-A5CB-FE0730FD1D80}"/>
    <cellStyle name="Comma 2 3 2 4 2" xfId="1238" xr:uid="{01FBCC86-E12A-4AE3-96FE-B6FB97DDF812}"/>
    <cellStyle name="Comma 2 3 2 4 3" xfId="1239" xr:uid="{03546A6B-C211-4597-993F-00525702ACC3}"/>
    <cellStyle name="Comma 2 3 2 5" xfId="1240" xr:uid="{C17FCBA4-FD87-4531-9468-D3EB6E1FA61F}"/>
    <cellStyle name="Comma 2 3 3" xfId="1241" xr:uid="{C38C47A5-9134-4BA2-828C-AB85AD1E377D}"/>
    <cellStyle name="Comma 2 3 3 2" xfId="1242" xr:uid="{DD8936FA-90AC-435B-AB91-42302B8FA117}"/>
    <cellStyle name="Comma 2 3 3 3" xfId="1243" xr:uid="{0B3B9489-50FC-437E-92B1-CC736D57EBB0}"/>
    <cellStyle name="Comma 2 3 3 4" xfId="1244" xr:uid="{2D331D06-1FF4-408D-88E3-BBE4FD108A21}"/>
    <cellStyle name="Comma 2 3 4" xfId="1245" xr:uid="{FBDD67D0-B14B-4A9C-8F0A-B3B396246A53}"/>
    <cellStyle name="Comma 2 3 4 2" xfId="1246" xr:uid="{81671392-3D94-41ED-9E33-DD303FE36B64}"/>
    <cellStyle name="Comma 2 3 5" xfId="1247" xr:uid="{ECD39D7F-9528-4850-AD90-DAE55577F61C}"/>
    <cellStyle name="Comma 2 3 6" xfId="1248" xr:uid="{DDAF2484-E222-4162-B8DC-F4A542083C8D}"/>
    <cellStyle name="Comma 2 4" xfId="1249" xr:uid="{9E081CF9-A565-4014-997E-80B7BEA2473E}"/>
    <cellStyle name="Comma 2 4 2" xfId="1250" xr:uid="{BE14211B-22C6-49E2-A013-423AF472AAE2}"/>
    <cellStyle name="Comma 2 4 3" xfId="1251" xr:uid="{77DC6EB8-17D6-40FC-B4CD-A29C68639253}"/>
    <cellStyle name="Comma 2 4 4" xfId="1252" xr:uid="{C29E6517-7F6D-43B9-97EB-E16F940A3403}"/>
    <cellStyle name="Comma 2 4 4 2" xfId="1253" xr:uid="{DBE704EF-5E90-4422-9A2A-FAF0F462CC8B}"/>
    <cellStyle name="Comma 2 4 4 3" xfId="1254" xr:uid="{87EE44E5-86F3-4589-8B1C-B9D3572CA958}"/>
    <cellStyle name="Comma 2 4 5" xfId="1255" xr:uid="{80E84086-DCCC-46F0-9C00-BE77C7632304}"/>
    <cellStyle name="Comma 2 5" xfId="1256" xr:uid="{1669296E-C063-4E69-B833-154727230D30}"/>
    <cellStyle name="Comma 2 5 2" xfId="1257" xr:uid="{ED331AFF-ADE5-4233-AA2C-83FF41D3C18F}"/>
    <cellStyle name="Comma 2 5 3" xfId="1258" xr:uid="{A64117AD-370A-406B-914C-E099676E9BEC}"/>
    <cellStyle name="Comma 2 5 4" xfId="1259" xr:uid="{682E0BAC-7128-40F1-AB1F-9C6E62BFF145}"/>
    <cellStyle name="Comma 2 6" xfId="1260" xr:uid="{DFDD3247-B900-4959-9AE3-4943BAA5D382}"/>
    <cellStyle name="Comma 2 6 2" xfId="1261" xr:uid="{A77851E7-5174-4C9A-890F-63E1EC158791}"/>
    <cellStyle name="Comma 2 7" xfId="1262" xr:uid="{E2C9A1D5-87A9-4D34-BB97-62EB81B9876B}"/>
    <cellStyle name="Comma 2 7 2" xfId="1263" xr:uid="{8AEC70A2-AED9-4530-972B-475D8AD0BEFE}"/>
    <cellStyle name="Comma 2 8" xfId="1264" xr:uid="{5F7A2465-A40A-443A-BBDB-4A135E5388CD}"/>
    <cellStyle name="Comma 2 8 2" xfId="1265" xr:uid="{188F409E-82F6-4C6C-A71A-173A4048D8C7}"/>
    <cellStyle name="Comma 2 8 3" xfId="1266" xr:uid="{B9BB8020-DF04-4A30-8BE8-A36DB959CB8D}"/>
    <cellStyle name="Comma 2 9" xfId="1267" xr:uid="{ACEC0E26-1C40-4650-8429-A3C978E2CFA6}"/>
    <cellStyle name="Comma 2_PrimaryEnergyPrices_TIMES" xfId="1268" xr:uid="{FC838E50-EAC7-41A6-AB6A-3FA7502A187A}"/>
    <cellStyle name="Comma 3" xfId="1269" xr:uid="{BC6498DF-7C5B-45A4-A021-60C19B10D03C}"/>
    <cellStyle name="Comma 3 2" xfId="1270" xr:uid="{4AFB027F-DCE0-4009-8BDD-238DFEC14765}"/>
    <cellStyle name="Comma 3 2 2" xfId="1271" xr:uid="{35E6DEBB-1992-42E2-BFE5-8D872147C689}"/>
    <cellStyle name="Comma 3 3" xfId="1272" xr:uid="{E39F3250-ADEA-4C2E-AD0F-85C49F750E80}"/>
    <cellStyle name="Comma 3 3 2" xfId="1273" xr:uid="{2B71281F-F2BC-47D1-A1EC-6E430E171DCE}"/>
    <cellStyle name="Comma 3 4" xfId="1274" xr:uid="{CD9A923E-2EAE-4F2F-927D-4182F06ECDA3}"/>
    <cellStyle name="Comma 4" xfId="1275" xr:uid="{F1F879C2-DB56-4F35-A164-1759BDD57C57}"/>
    <cellStyle name="Comma 4 2" xfId="1276" xr:uid="{18DAF3CC-FF08-4EBE-9FB5-80E276858E8B}"/>
    <cellStyle name="Comma 5 2" xfId="1277" xr:uid="{772D29E4-7FB8-4A47-87ED-A3E7A920ED59}"/>
    <cellStyle name="Comma 5 3" xfId="1278" xr:uid="{4CBAF22A-B70B-4127-8141-2660A660DE79}"/>
    <cellStyle name="Comma 5 3 2" xfId="1279" xr:uid="{2D21F765-F6AA-46BA-9F3A-DDE74A3B6B4C}"/>
    <cellStyle name="Comma 8 2" xfId="1280" xr:uid="{CF7D2E83-148E-4CE4-996C-9930137F64D0}"/>
    <cellStyle name="Comma 8 2 2" xfId="1281" xr:uid="{0408BC07-D8EC-4EC1-971B-AD10D9079359}"/>
    <cellStyle name="Constants" xfId="1282" xr:uid="{8E619033-8F57-4AFC-A695-78A9DCE87051}"/>
    <cellStyle name="Currency 2" xfId="1283" xr:uid="{2A43A521-D888-4C71-9B5E-1FE9662F8671}"/>
    <cellStyle name="CustomCellsOrange" xfId="1284" xr:uid="{6621E721-C527-4A14-BB66-501B96535300}"/>
    <cellStyle name="CustomizationCells" xfId="1285" xr:uid="{72FD6922-BD56-48C7-B2C4-D20A25158BB8}"/>
    <cellStyle name="CustomizationGreenCells" xfId="1286" xr:uid="{8AB52DD2-F37A-4B1C-8BA3-0551E04E3A6D}"/>
    <cellStyle name="DocBox_EmptyRow" xfId="1287" xr:uid="{506F8578-1BEB-4E1E-BBB3-0C214CE5758C}"/>
    <cellStyle name="donn_normal" xfId="1288" xr:uid="{56DD0999-713C-46A9-9E18-9FBFB9C14C19}"/>
    <cellStyle name="Eingabe" xfId="1289" xr:uid="{B1E857AA-E024-40E0-AF0A-B66CD6884259}"/>
    <cellStyle name="Empty_B_border" xfId="1290" xr:uid="{7D709BDC-568A-41A8-A10E-9C68705DB783}"/>
    <cellStyle name="ent_col_ser" xfId="1291" xr:uid="{465945DA-28A4-45FD-9EC6-997A28846A26}"/>
    <cellStyle name="entete_source" xfId="1292" xr:uid="{B8EE2FE6-4E78-49C2-994A-0098C4A55643}"/>
    <cellStyle name="Ergebnis" xfId="1293" xr:uid="{211175CF-54F4-4723-80B5-1523AAD983EF}"/>
    <cellStyle name="Erklärender Text" xfId="1294" xr:uid="{CFD4C378-D97A-4B85-9437-96B15DE10942}"/>
    <cellStyle name="Estilo 1" xfId="1295" xr:uid="{24C80D16-853D-4247-8C74-F76AE18B5663}"/>
    <cellStyle name="Euro" xfId="1296" xr:uid="{2D6F6A7C-0CCF-4A6E-9C30-6F2778397801}"/>
    <cellStyle name="Euro 10" xfId="1297" xr:uid="{53FDD71A-8619-4785-9514-F01236FA2607}"/>
    <cellStyle name="Euro 10 2" xfId="1298" xr:uid="{21444F47-C7C4-4FA1-9D66-B54941131CCF}"/>
    <cellStyle name="Euro 11" xfId="1299" xr:uid="{14AAF08B-A17C-4283-B16F-6A57A4F7A0AA}"/>
    <cellStyle name="Euro 11 2" xfId="1300" xr:uid="{A848330B-9FD5-4422-8B9D-BA71D7B4AC9C}"/>
    <cellStyle name="Euro 12" xfId="1301" xr:uid="{CB4B0CBD-9600-4F68-AAD6-8901BB2499C3}"/>
    <cellStyle name="Euro 13" xfId="1302" xr:uid="{01E70C2B-F371-4428-BB91-FEAB06C81C58}"/>
    <cellStyle name="Euro 14" xfId="1303" xr:uid="{3E4661A8-303E-4A87-B949-097C4227741B}"/>
    <cellStyle name="Euro 15" xfId="1304" xr:uid="{E39788E2-6D36-43B8-8298-161A24EDAB46}"/>
    <cellStyle name="Euro 16" xfId="1305" xr:uid="{E0B015D2-E5C8-4A99-A403-BFEE4AF119B0}"/>
    <cellStyle name="Euro 17" xfId="1306" xr:uid="{8C645347-B6D0-4D74-BB1C-660017230F20}"/>
    <cellStyle name="Euro 18" xfId="1307" xr:uid="{9EB0A695-15ED-4B93-8A87-D2C70852C117}"/>
    <cellStyle name="Euro 19" xfId="1308" xr:uid="{21D77C39-6BC6-400C-87B4-626AB1C5FBE3}"/>
    <cellStyle name="Euro 2" xfId="1309" xr:uid="{18F02773-3698-49EF-8BB2-8493271086C0}"/>
    <cellStyle name="Euro 2 2" xfId="1310" xr:uid="{90DE8D60-393D-4581-B245-D79580F93197}"/>
    <cellStyle name="Euro 2 2 2" xfId="1311" xr:uid="{3920A789-1263-41DB-A57F-6AEB9A70CC50}"/>
    <cellStyle name="Euro 2 2 3" xfId="1312" xr:uid="{85402EE1-43FD-4B47-AA34-771A72C20961}"/>
    <cellStyle name="Euro 2 2 4" xfId="1313" xr:uid="{EA19D309-7C98-4E3F-9FF6-1B7F08BCB715}"/>
    <cellStyle name="Euro 2 2 5" xfId="1314" xr:uid="{2CDAF7F0-ECE0-4397-B1C2-666CB8B41A29}"/>
    <cellStyle name="Euro 2 3" xfId="1315" xr:uid="{925ED7EB-2498-4BF5-889F-FF3D619A02BA}"/>
    <cellStyle name="Euro 2 4" xfId="1316" xr:uid="{92486761-205C-4D59-AE00-1453B323A9E4}"/>
    <cellStyle name="Euro 2 5" xfId="1317" xr:uid="{AAB4D937-9102-4C4A-80E1-3A172B4DAA3A}"/>
    <cellStyle name="Euro 2 6" xfId="1318" xr:uid="{2110CC42-3CA3-400B-8070-E51CC38A2A95}"/>
    <cellStyle name="Euro 20" xfId="1319" xr:uid="{4B265913-2AE7-477F-A900-0EEB0965C242}"/>
    <cellStyle name="Euro 21" xfId="1320" xr:uid="{FD4DFF19-D32C-4D5E-813E-794A3CCB9EB8}"/>
    <cellStyle name="Euro 22" xfId="1321" xr:uid="{E9388DE7-BB2C-4435-B720-A620CD5C3052}"/>
    <cellStyle name="Euro 23" xfId="1322" xr:uid="{E6C755AC-4A80-4994-A740-5EBC9E4661C0}"/>
    <cellStyle name="Euro 24" xfId="1323" xr:uid="{C3AB100F-4C08-4445-9C71-1F593CF903A8}"/>
    <cellStyle name="Euro 25" xfId="1324" xr:uid="{4D196BED-9B3F-42B4-B579-6EE51D597C8E}"/>
    <cellStyle name="Euro 26" xfId="1325" xr:uid="{344EA75D-F973-446C-A9A2-D25B13EA231F}"/>
    <cellStyle name="Euro 27" xfId="1326" xr:uid="{D78FD9E5-E0C2-4591-9AA8-2C4FA7FFC7DF}"/>
    <cellStyle name="Euro 28" xfId="1327" xr:uid="{812261AC-09F2-4633-BE80-55B569922269}"/>
    <cellStyle name="Euro 29" xfId="1328" xr:uid="{86C0A97E-4ACD-41A6-B8AD-B506B6722D27}"/>
    <cellStyle name="Euro 3" xfId="1329" xr:uid="{A69CBD9E-50D6-4CC1-BEE8-AC67EE8E9EDF}"/>
    <cellStyle name="Euro 3 2" xfId="1330" xr:uid="{C94C3FD3-9619-497C-9A2D-82412100E030}"/>
    <cellStyle name="Euro 3 2 2" xfId="1331" xr:uid="{85644605-9E81-416A-8AB6-071DE6861991}"/>
    <cellStyle name="Euro 3 3" xfId="1332" xr:uid="{BBC43B51-FB70-4DCB-B139-F110E1829983}"/>
    <cellStyle name="Euro 3 3 2" xfId="1333" xr:uid="{B1896E08-C99B-4EE4-ACF8-796F27A26325}"/>
    <cellStyle name="Euro 3 3 3" xfId="1334" xr:uid="{2A830456-D3FB-4AA6-AFF3-CBD32A6F117C}"/>
    <cellStyle name="Euro 3 3 4" xfId="1335" xr:uid="{96C3A889-81B9-4645-B8CC-1B06666BFCC3}"/>
    <cellStyle name="Euro 3 4" xfId="1336" xr:uid="{E311A0D5-46EA-449F-94D9-BB5828541DB6}"/>
    <cellStyle name="Euro 3 5" xfId="1337" xr:uid="{336BCFD6-2203-402B-8F09-F9D0BE9A1730}"/>
    <cellStyle name="Euro 3 6" xfId="1338" xr:uid="{1D5911BF-A186-4A4A-89EA-9041743C2410}"/>
    <cellStyle name="Euro 3 7" xfId="1339" xr:uid="{8F44B0DF-AC8A-45D8-B57E-A73A15BC25D1}"/>
    <cellStyle name="Euro 3_PrimaryEnergyPrices_TIMES" xfId="1340" xr:uid="{0B70C942-E3E5-4EEB-95D4-6A7EF7A0D529}"/>
    <cellStyle name="Euro 30" xfId="1341" xr:uid="{9A59702C-9AA3-4903-8180-6C717DFF8AD0}"/>
    <cellStyle name="Euro 31" xfId="1342" xr:uid="{9ED63741-E845-4B9F-B112-1A8FD1137EAD}"/>
    <cellStyle name="Euro 32" xfId="1343" xr:uid="{59F564B3-14EA-4AB0-AF2D-50EA44D8D9AF}"/>
    <cellStyle name="Euro 33" xfId="1344" xr:uid="{FAD3A477-7233-43EF-8E06-BBD7E7A447B2}"/>
    <cellStyle name="Euro 34" xfId="1345" xr:uid="{A7FED113-1AC0-4392-8ECD-05EB32883668}"/>
    <cellStyle name="Euro 35" xfId="1346" xr:uid="{4E4F3996-171C-46B6-96D3-D65F2EBD5782}"/>
    <cellStyle name="Euro 36" xfId="1347" xr:uid="{A7E8C0EA-4FAD-45ED-A15A-0EC0F113527A}"/>
    <cellStyle name="Euro 37" xfId="1348" xr:uid="{5041CC5D-D8CD-49A2-A917-A24B1782ADE6}"/>
    <cellStyle name="Euro 38" xfId="1349" xr:uid="{851DFAA1-7243-488C-9835-E04458C95806}"/>
    <cellStyle name="Euro 39" xfId="1350" xr:uid="{6E2B1F6F-8203-4B2B-BBDB-53C3BAEDDE2A}"/>
    <cellStyle name="Euro 4" xfId="1351" xr:uid="{42CAE2A3-1426-4985-AB30-0650626E2BCA}"/>
    <cellStyle name="Euro 4 2" xfId="1352" xr:uid="{15EC450E-92C5-4856-B56A-F47B90CA81C0}"/>
    <cellStyle name="Euro 4 2 2" xfId="1353" xr:uid="{EC48906A-D0A3-4B76-840C-817502039D4A}"/>
    <cellStyle name="Euro 4 3" xfId="1354" xr:uid="{465DF3F2-AB78-4B70-92E5-ED17991B74DE}"/>
    <cellStyle name="Euro 4 3 2" xfId="1355" xr:uid="{302BDCB7-1BFA-4E87-B49D-1497E90CF028}"/>
    <cellStyle name="Euro 4 3 3" xfId="1356" xr:uid="{14041F6C-37F9-4AF5-99E8-EA352F79F642}"/>
    <cellStyle name="Euro 4 3 4" xfId="1357" xr:uid="{FF05D03A-A324-4B0C-BBAB-607153638A31}"/>
    <cellStyle name="Euro 4 4" xfId="1358" xr:uid="{D0E6CC2A-4841-4255-8D40-3228B0A71B58}"/>
    <cellStyle name="Euro 4 5" xfId="1359" xr:uid="{479A2E46-879E-4C07-96B3-387CF48AD4F0}"/>
    <cellStyle name="Euro 40" xfId="1360" xr:uid="{69CECC6F-C2F7-41E5-9126-D121115EA2BC}"/>
    <cellStyle name="Euro 41" xfId="1361" xr:uid="{FA15FD67-926E-46EC-878C-7E61450A9B49}"/>
    <cellStyle name="Euro 42" xfId="1362" xr:uid="{0A5423FE-3B0B-4C96-9168-259FECCDEBC3}"/>
    <cellStyle name="Euro 43" xfId="1363" xr:uid="{B659B577-0081-473C-9CAA-9AA570BB4D50}"/>
    <cellStyle name="Euro 44" xfId="1364" xr:uid="{A0C09112-664E-4576-A7FC-DB69112067D5}"/>
    <cellStyle name="Euro 45" xfId="1365" xr:uid="{BE9F4487-968F-4B15-8130-91136C62FDED}"/>
    <cellStyle name="Euro 46" xfId="1366" xr:uid="{D7754F73-922D-4957-BEAA-AD7DC1B16E64}"/>
    <cellStyle name="Euro 47" xfId="1367" xr:uid="{9F1D9C55-6E8F-472C-96EE-9E31F1549CDE}"/>
    <cellStyle name="Euro 48" xfId="1368" xr:uid="{424F1672-DDF4-4E4E-A821-EBD91F0D0555}"/>
    <cellStyle name="Euro 48 2" xfId="1369" xr:uid="{62BEF145-2FE6-4FB0-BF80-0744FAE8E192}"/>
    <cellStyle name="Euro 49" xfId="1370" xr:uid="{61A223F3-4C9B-4D8A-A64C-33A18CF90F56}"/>
    <cellStyle name="Euro 49 2" xfId="1371" xr:uid="{FB34FEA0-25EE-442A-B95F-D183C88A3573}"/>
    <cellStyle name="Euro 5" xfId="1372" xr:uid="{EBAFD656-04C9-4D1A-91AD-0EC9A459F831}"/>
    <cellStyle name="Euro 5 2" xfId="1373" xr:uid="{610B0B44-95E4-47B4-8EBC-0F556BB60686}"/>
    <cellStyle name="Euro 5 3" xfId="1374" xr:uid="{F7F9D0B2-F813-4327-806C-BF9895818C17}"/>
    <cellStyle name="Euro 5 4" xfId="1375" xr:uid="{1C494291-7854-4B81-BEAB-146611C5222F}"/>
    <cellStyle name="Euro 50" xfId="1376" xr:uid="{D12B4253-7E7B-4499-9306-D1E74F209C9A}"/>
    <cellStyle name="Euro 50 2" xfId="1377" xr:uid="{B399C76A-0EA0-4F4B-BC73-F19B8C1158F4}"/>
    <cellStyle name="Euro 51" xfId="1378" xr:uid="{1BE3BEE2-F730-4AD2-8F90-E14945BE3857}"/>
    <cellStyle name="Euro 51 2" xfId="1379" xr:uid="{AB99B2F2-AC01-4714-90FF-7BBB59E2440A}"/>
    <cellStyle name="Euro 52" xfId="1380" xr:uid="{5509D47F-0C7C-4145-9396-2CB01859D140}"/>
    <cellStyle name="Euro 52 2" xfId="1381" xr:uid="{F0578CF2-E28D-43DD-BA1B-41B89770B756}"/>
    <cellStyle name="Euro 53" xfId="1382" xr:uid="{EDDD4EBE-B86B-449F-A6FC-56927BEADFA6}"/>
    <cellStyle name="Euro 53 2" xfId="1383" xr:uid="{8E0889D7-238A-4D53-8C49-E66331979A49}"/>
    <cellStyle name="Euro 54" xfId="1384" xr:uid="{879308B0-7A3F-4134-AF9A-044EE761FA81}"/>
    <cellStyle name="Euro 54 2" xfId="1385" xr:uid="{D76788FA-6841-4EE6-A7B4-C6CDEDCAB6BC}"/>
    <cellStyle name="Euro 55" xfId="1386" xr:uid="{4331A884-86C7-45A8-93EC-85C9C8ED9D41}"/>
    <cellStyle name="Euro 55 2" xfId="1387" xr:uid="{32DFC651-0D39-4CEB-AB31-185F8CB825E0}"/>
    <cellStyle name="Euro 56" xfId="1388" xr:uid="{D39038F9-608B-40D5-BBFF-7A9600D103A7}"/>
    <cellStyle name="Euro 56 2" xfId="1389" xr:uid="{49B23C2A-12AA-469C-82F4-68409DA5442E}"/>
    <cellStyle name="Euro 57" xfId="1390" xr:uid="{FB39860D-D371-4EF9-8AE8-6EF90DB2E395}"/>
    <cellStyle name="Euro 58" xfId="1391" xr:uid="{88D0AED8-3515-4B4A-8FEA-723A0EDCBAAE}"/>
    <cellStyle name="Euro 59" xfId="1392" xr:uid="{5D39C622-2D25-4C00-A1E3-A29697C44AE7}"/>
    <cellStyle name="Euro 6" xfId="1393" xr:uid="{A554BDCD-F133-4857-A4F1-937EB8631F6D}"/>
    <cellStyle name="Euro 6 2" xfId="1394" xr:uid="{93267F3D-8389-42D5-86E3-A8639E9EB864}"/>
    <cellStyle name="Euro 6 3" xfId="1395" xr:uid="{BEDC3683-6661-4733-B51B-5A7EC7BFB976}"/>
    <cellStyle name="Euro 7" xfId="1396" xr:uid="{0B748A82-9EE0-4556-8E55-5DC6B168C540}"/>
    <cellStyle name="Euro 7 2" xfId="1397" xr:uid="{D032A15C-E69C-449C-A2C6-6D82F0522F84}"/>
    <cellStyle name="Euro 7 3" xfId="1398" xr:uid="{0703D710-2019-45F3-BDE6-4D2A2B4A35E9}"/>
    <cellStyle name="Euro 8" xfId="1399" xr:uid="{C206F65F-B70D-419B-8F8C-4BCF5AC1A845}"/>
    <cellStyle name="Euro 8 2" xfId="1400" xr:uid="{46A2FDDD-6369-4893-AFC0-31623E21BBEC}"/>
    <cellStyle name="Euro 9" xfId="1401" xr:uid="{5640DCC8-7FEF-4905-AB2D-72A00E0A91C5}"/>
    <cellStyle name="Euro 9 2" xfId="1402" xr:uid="{FF3F6C9F-2EE5-4C75-9880-96021450933A}"/>
    <cellStyle name="Euro_Potentials in TIMES" xfId="1403" xr:uid="{27E7BD2C-3220-4DD8-9901-12FD2D914CA1}"/>
    <cellStyle name="Explanatory Text 10" xfId="1404" xr:uid="{446888F7-553D-4DF0-907E-8E871C87A268}"/>
    <cellStyle name="Explanatory Text 11" xfId="1405" xr:uid="{55A5BFEB-BC4C-4715-A2D6-05402B5F78D6}"/>
    <cellStyle name="Explanatory Text 12" xfId="1406" xr:uid="{8931D6F3-A6BB-43F3-93E5-8C94CFE637A4}"/>
    <cellStyle name="Explanatory Text 13" xfId="1407" xr:uid="{A7C06BA6-F639-440E-8EFB-09882BF2C4E9}"/>
    <cellStyle name="Explanatory Text 14" xfId="1408" xr:uid="{0F1EA968-FF99-4EE7-8AA8-1E95475645BE}"/>
    <cellStyle name="Explanatory Text 15" xfId="1409" xr:uid="{86C95F73-75D5-4F45-AEE9-77F8E1C1A906}"/>
    <cellStyle name="Explanatory Text 16" xfId="1410" xr:uid="{7C3DE037-9B77-43B2-AEED-7043F7D9AB15}"/>
    <cellStyle name="Explanatory Text 17" xfId="1411" xr:uid="{C8DE24E1-D191-412B-9885-70FD8B03D1C0}"/>
    <cellStyle name="Explanatory Text 18" xfId="1412" xr:uid="{5C537A66-D6DE-433F-84A8-3A5422AAA702}"/>
    <cellStyle name="Explanatory Text 19" xfId="1413" xr:uid="{CFF09CC3-8CE8-40C5-8EDD-0DDDF937E355}"/>
    <cellStyle name="Explanatory Text 2" xfId="1414" xr:uid="{4EE04784-B69A-4C38-9112-24349724A9B0}"/>
    <cellStyle name="Explanatory Text 20" xfId="1415" xr:uid="{EBF888EF-3EB6-45A1-A285-1AA103B72786}"/>
    <cellStyle name="Explanatory Text 21" xfId="1416" xr:uid="{9F0E2A4A-04F9-4713-946C-C7D50B8973B2}"/>
    <cellStyle name="Explanatory Text 22" xfId="1417" xr:uid="{E6F39E55-D9C3-4AF4-8616-DD3D21DFE95B}"/>
    <cellStyle name="Explanatory Text 23" xfId="1418" xr:uid="{2A4B2D40-0C3A-490B-A570-6A118E5CDBC8}"/>
    <cellStyle name="Explanatory Text 24" xfId="1419" xr:uid="{6DA9F1D0-61DA-495D-A9AA-DEB4A3463BF3}"/>
    <cellStyle name="Explanatory Text 25" xfId="1420" xr:uid="{49D527D2-E9AD-4267-BD49-9BB944473DC0}"/>
    <cellStyle name="Explanatory Text 26" xfId="1421" xr:uid="{59362375-57C4-4693-A01B-D0A498A0CFCE}"/>
    <cellStyle name="Explanatory Text 27" xfId="1422" xr:uid="{F0724865-21EB-478E-9253-A180FC473C5F}"/>
    <cellStyle name="Explanatory Text 28" xfId="1423" xr:uid="{965EEADB-3D57-479B-96F6-8D32DE7F08F4}"/>
    <cellStyle name="Explanatory Text 29" xfId="1424" xr:uid="{D8635112-EFFF-4C17-B468-04AD3C948F71}"/>
    <cellStyle name="Explanatory Text 3" xfId="1425" xr:uid="{478BAAF0-0C5F-4C8D-BA1A-9AE0868C9AF9}"/>
    <cellStyle name="Explanatory Text 3 2" xfId="1426" xr:uid="{9A387623-429F-4AD6-A245-93838590777A}"/>
    <cellStyle name="Explanatory Text 30" xfId="1427" xr:uid="{FDA22C9B-8021-48ED-A69A-684048D963D8}"/>
    <cellStyle name="Explanatory Text 31" xfId="1428" xr:uid="{54F02236-ED10-4299-8D92-62CF8815F691}"/>
    <cellStyle name="Explanatory Text 32" xfId="1429" xr:uid="{E6D3B13C-F4DB-4625-BCE1-F23BE446AE2B}"/>
    <cellStyle name="Explanatory Text 33" xfId="1430" xr:uid="{811BA74F-CCB3-4F71-8DFB-0C35BE864941}"/>
    <cellStyle name="Explanatory Text 34" xfId="1431" xr:uid="{AE7899A2-528C-414B-AC8A-49DCCAF3CC1B}"/>
    <cellStyle name="Explanatory Text 35" xfId="1432" xr:uid="{63561B23-B1D8-476B-B01C-398C3CD9B9BE}"/>
    <cellStyle name="Explanatory Text 36" xfId="1433" xr:uid="{1FC651B6-9770-4CF7-A91A-F8A04806F207}"/>
    <cellStyle name="Explanatory Text 37" xfId="1434" xr:uid="{6D54EE48-1000-42E6-9CD4-CCDFAEF49D2A}"/>
    <cellStyle name="Explanatory Text 38" xfId="1435" xr:uid="{19AAF596-C91F-407E-910B-E55B34E59957}"/>
    <cellStyle name="Explanatory Text 39" xfId="1436" xr:uid="{0AF88022-FEC3-4AA7-83B4-CEC5E671B38B}"/>
    <cellStyle name="Explanatory Text 4" xfId="1437" xr:uid="{3F8A14E8-425B-4500-9305-FA5AFC75D67B}"/>
    <cellStyle name="Explanatory Text 40" xfId="1438" xr:uid="{DE551D04-21AE-469B-BD23-FB579FEE65C8}"/>
    <cellStyle name="Explanatory Text 41" xfId="1439" xr:uid="{00005F72-BF92-4158-9244-BD58FA14850E}"/>
    <cellStyle name="Explanatory Text 42" xfId="1440" xr:uid="{2CF87F52-3DEB-4EA1-B644-EF40D946F1CC}"/>
    <cellStyle name="Explanatory Text 43" xfId="1441" xr:uid="{0294DB70-FE3B-4BEB-AF72-3CC4D50863BD}"/>
    <cellStyle name="Explanatory Text 5" xfId="1442" xr:uid="{6AEBF05A-49FD-4962-827F-6EFE69DF7D2B}"/>
    <cellStyle name="Explanatory Text 6" xfId="1443" xr:uid="{C01AF1A2-F22D-4A01-AFB0-4BE88B401714}"/>
    <cellStyle name="Explanatory Text 7" xfId="1444" xr:uid="{61F39913-FC80-40B1-B991-844D1A933D88}"/>
    <cellStyle name="Explanatory Text 8" xfId="1445" xr:uid="{5ADBC66E-D3BD-4F9B-9485-6E44E87FEFC6}"/>
    <cellStyle name="Explanatory Text 9" xfId="1446" xr:uid="{61D26C70-78F9-4671-ADEE-BD98B6780609}"/>
    <cellStyle name="Float" xfId="1447" xr:uid="{03944823-5743-4C74-BEE3-04A21C9EC879}"/>
    <cellStyle name="Float 2" xfId="1448" xr:uid="{A4055AFA-E468-4CD6-9EF1-FD7A45F0176D}"/>
    <cellStyle name="Float 3" xfId="1449" xr:uid="{7D089E85-8C12-4C82-AEC6-111015F9304E}"/>
    <cellStyle name="Good 10" xfId="1450" xr:uid="{FC3AA082-0396-4D54-AB8D-164B9383DA45}"/>
    <cellStyle name="Good 11" xfId="1451" xr:uid="{960366DB-F68E-4F4E-B380-B23535A0C9DE}"/>
    <cellStyle name="Good 12" xfId="1452" xr:uid="{B7AEAD8C-AEF8-4200-BCAB-C39DF434C890}"/>
    <cellStyle name="Good 13" xfId="1453" xr:uid="{0861D6FE-E7C2-47AF-BE2D-4F8794BF8EB2}"/>
    <cellStyle name="Good 14" xfId="1454" xr:uid="{B25732A1-AF01-41BA-B055-CFDDD15BA092}"/>
    <cellStyle name="Good 15" xfId="1455" xr:uid="{CB626147-9463-4EA1-9F55-F0A43A435965}"/>
    <cellStyle name="Good 16" xfId="1456" xr:uid="{7205F46B-622E-475E-8385-108564DF632D}"/>
    <cellStyle name="Good 17" xfId="1457" xr:uid="{83AED62B-EBDB-48B6-BEF1-ABDEDD2DA00C}"/>
    <cellStyle name="Good 18" xfId="1458" xr:uid="{6AEFA506-8B41-4D7F-800E-E8D3F7CA62E6}"/>
    <cellStyle name="Good 19" xfId="1459" xr:uid="{8A18F3E4-F4BF-4D55-91D9-67D6A1CE7E3C}"/>
    <cellStyle name="Good 2" xfId="1460" xr:uid="{F56585F3-2AA2-449E-90F9-DBAB8106C320}"/>
    <cellStyle name="Good 2 2" xfId="1461" xr:uid="{50F447EB-32CB-4BE4-9FED-2326C43C69EE}"/>
    <cellStyle name="Good 2 3" xfId="1462" xr:uid="{9DC02A4A-4F5E-461C-8F47-3F099DE2DCE6}"/>
    <cellStyle name="Good 20" xfId="1463" xr:uid="{E8C17F49-C1C9-4E71-98D2-3CBDDD0AECFC}"/>
    <cellStyle name="Good 21" xfId="1464" xr:uid="{B95A0029-EEAF-4FED-962D-A814BD842C9C}"/>
    <cellStyle name="Good 22" xfId="1465" xr:uid="{A0E03AE5-4EF1-4F11-81B4-8A6F3946820B}"/>
    <cellStyle name="Good 23" xfId="1466" xr:uid="{B6C2A4BD-2935-4EAB-8217-378D30962B9B}"/>
    <cellStyle name="Good 24" xfId="1467" xr:uid="{D721B28E-C15E-4DB4-A9A3-B0FF8FD4E332}"/>
    <cellStyle name="Good 25" xfId="1468" xr:uid="{E70E2BAB-A6AF-4D7F-AE0A-A6EBDBB09265}"/>
    <cellStyle name="Good 26" xfId="1469" xr:uid="{2A175848-73BB-477A-BF9E-9796D50183D7}"/>
    <cellStyle name="Good 27" xfId="1470" xr:uid="{77EC7AC5-E537-4CFE-924E-AA18556DC31D}"/>
    <cellStyle name="Good 28" xfId="1471" xr:uid="{DF15A86D-B8BD-4F0A-BB22-EC04CACB8992}"/>
    <cellStyle name="Good 29" xfId="1472" xr:uid="{B696D14B-54EE-472C-881E-ACA88E6D07A1}"/>
    <cellStyle name="Good 3" xfId="1473" xr:uid="{75DC278B-E4FA-41B7-9F95-6878F1200ADA}"/>
    <cellStyle name="Good 3 2" xfId="1474" xr:uid="{0F021DF0-4AD5-47B4-8C6C-B80FF3A8D9FD}"/>
    <cellStyle name="Good 30" xfId="1475" xr:uid="{384367EB-ECA3-4E82-BAD6-8DB7DFCFAE9E}"/>
    <cellStyle name="Good 31" xfId="1476" xr:uid="{CFD8FD3A-2F48-41D0-ACD1-FDFE614AD838}"/>
    <cellStyle name="Good 32" xfId="1477" xr:uid="{C0DEA281-66EE-4CD7-8C4D-7AFCB380B96E}"/>
    <cellStyle name="Good 33" xfId="1478" xr:uid="{38D43D6E-8C38-4486-8FB4-8201819C14D8}"/>
    <cellStyle name="Good 34" xfId="1479" xr:uid="{0BFBAD3F-9765-4667-B5E1-823C1B4E14DE}"/>
    <cellStyle name="Good 35" xfId="1480" xr:uid="{3A54BEF4-D448-4050-BDAB-A39C187E50D3}"/>
    <cellStyle name="Good 36" xfId="1481" xr:uid="{ADDC0AB0-712A-4490-9374-0689A06488A9}"/>
    <cellStyle name="Good 37" xfId="1482" xr:uid="{22C82F9E-DFA2-49CC-A407-3E9951223413}"/>
    <cellStyle name="Good 38" xfId="1483" xr:uid="{498E8EED-8F8A-4284-A63B-957DC2432C32}"/>
    <cellStyle name="Good 39" xfId="1484" xr:uid="{79FF824E-891E-4E1B-9A80-60497F3CD149}"/>
    <cellStyle name="Good 4" xfId="1485" xr:uid="{2D55936D-743D-4678-B142-33E06D0BD2B3}"/>
    <cellStyle name="Good 40" xfId="1486" xr:uid="{2D2A71D9-04E6-4E99-88B2-811B97C03CD0}"/>
    <cellStyle name="Good 41" xfId="1487" xr:uid="{5E1592E3-010F-4E51-B171-2F5D7D97A8B8}"/>
    <cellStyle name="Good 42" xfId="1488" xr:uid="{896705C3-125D-4080-8138-42F1EB4EF40C}"/>
    <cellStyle name="Good 5" xfId="1489" xr:uid="{C4F1FD74-C423-470F-86B9-A42D48A2C70B}"/>
    <cellStyle name="Good 6" xfId="1490" xr:uid="{B6305E5F-3163-4097-B980-7372051767D7}"/>
    <cellStyle name="Good 7" xfId="1491" xr:uid="{38922704-401B-47AA-8F9E-DA96A7AF03DA}"/>
    <cellStyle name="Good 8" xfId="1492" xr:uid="{BEF5A0D2-E5CE-4C3D-BB07-E1EFC2EBA917}"/>
    <cellStyle name="Good 9" xfId="1493" xr:uid="{4B91C67D-FF90-41E7-AC16-9227D22F0F63}"/>
    <cellStyle name="Gut" xfId="1494" xr:uid="{6F74CD23-B4E6-4C91-87FA-4844C4CBBD2C}"/>
    <cellStyle name="Heading 1 10" xfId="1495" xr:uid="{F826A914-611A-421B-9515-3DFC15E281DE}"/>
    <cellStyle name="Heading 1 11" xfId="1496" xr:uid="{DBA08558-84D1-4D48-BCCC-B89351CEEFE4}"/>
    <cellStyle name="Heading 1 12" xfId="1497" xr:uid="{34F35E9D-D346-4F2A-832E-A503E1C21097}"/>
    <cellStyle name="Heading 1 13" xfId="1498" xr:uid="{0AC00B61-E03E-47ED-8A6C-26C761FDADA1}"/>
    <cellStyle name="Heading 1 14" xfId="1499" xr:uid="{206AD697-E6B8-4599-B2ED-B86CBFD0C898}"/>
    <cellStyle name="Heading 1 15" xfId="1500" xr:uid="{1865D170-C730-47A9-83B1-44720A9EB2C1}"/>
    <cellStyle name="Heading 1 16" xfId="1501" xr:uid="{22361BA0-A34A-4595-B9F1-050186C60B4C}"/>
    <cellStyle name="Heading 1 17" xfId="1502" xr:uid="{450BE65F-5C45-4C28-B0D2-3FFC75427216}"/>
    <cellStyle name="Heading 1 18" xfId="1503" xr:uid="{8D6D39F1-4116-495B-BB6E-308C87699873}"/>
    <cellStyle name="Heading 1 19" xfId="1504" xr:uid="{0402E2BF-2DF3-45B1-9FD7-8F1721A1F09D}"/>
    <cellStyle name="Heading 1 2" xfId="1505" xr:uid="{94D65829-FD51-4E0A-A96A-D8B3EF0C169C}"/>
    <cellStyle name="Heading 1 20" xfId="1506" xr:uid="{E87C5471-5FE2-41D4-83D5-7131FD76760B}"/>
    <cellStyle name="Heading 1 21" xfId="1507" xr:uid="{54C38D82-41EA-4CDD-A2AD-28CBED3D0A2E}"/>
    <cellStyle name="Heading 1 22" xfId="1508" xr:uid="{D06D6476-0752-4113-A092-42772034DC06}"/>
    <cellStyle name="Heading 1 23" xfId="1509" xr:uid="{D9BC122D-E12B-46EA-8EFD-91464CA70340}"/>
    <cellStyle name="Heading 1 24" xfId="1510" xr:uid="{8FE233C9-9915-4517-9DD2-D8C08E6A231B}"/>
    <cellStyle name="Heading 1 25" xfId="1511" xr:uid="{5FF72A1F-483F-4387-9E08-4D06DA8FB686}"/>
    <cellStyle name="Heading 1 26" xfId="1512" xr:uid="{D2CAA794-B753-45A5-8E52-407BE80FA102}"/>
    <cellStyle name="Heading 1 27" xfId="1513" xr:uid="{E2E2F45A-4448-4728-8388-93CC8995093F}"/>
    <cellStyle name="Heading 1 28" xfId="1514" xr:uid="{6663A1FC-7CAE-4DF0-A8AF-68F37DAB3026}"/>
    <cellStyle name="Heading 1 29" xfId="1515" xr:uid="{B36701C7-4DE2-47B4-8E5F-9FFACB286171}"/>
    <cellStyle name="Heading 1 3" xfId="1516" xr:uid="{31BDAEFE-049D-475F-9C43-F6F848BF282F}"/>
    <cellStyle name="Heading 1 3 2" xfId="1517" xr:uid="{B74EF946-3D1E-4576-AA08-01B673D78412}"/>
    <cellStyle name="Heading 1 30" xfId="1518" xr:uid="{A875774D-445A-4B53-8CD2-916857958125}"/>
    <cellStyle name="Heading 1 31" xfId="1519" xr:uid="{CA3A8EA2-BB78-4324-8505-F098A7CD7BC2}"/>
    <cellStyle name="Heading 1 32" xfId="1520" xr:uid="{ED198AF1-CA03-4AC5-B6D6-D326579AB579}"/>
    <cellStyle name="Heading 1 33" xfId="1521" xr:uid="{34A4A086-6215-47F5-87CD-E4A1FD922023}"/>
    <cellStyle name="Heading 1 34" xfId="1522" xr:uid="{33935B56-F8D5-414D-80C2-0D01E75AE89C}"/>
    <cellStyle name="Heading 1 35" xfId="1523" xr:uid="{B826AC68-566B-4764-9B05-8E3EBCDA6340}"/>
    <cellStyle name="Heading 1 36" xfId="1524" xr:uid="{FB9588D7-652C-4E07-8DD1-0EA547676831}"/>
    <cellStyle name="Heading 1 37" xfId="1525" xr:uid="{DCF992D8-0388-4C1F-A241-E99B0836F632}"/>
    <cellStyle name="Heading 1 38" xfId="1526" xr:uid="{92840DD4-BF50-442B-9911-E9BD089EDEA3}"/>
    <cellStyle name="Heading 1 39" xfId="1527" xr:uid="{0C8BE8EF-A07B-4BB8-B291-76B2F6CE361F}"/>
    <cellStyle name="Heading 1 4" xfId="1528" xr:uid="{31FE1B56-A4DB-4257-AA76-B9979878EB0F}"/>
    <cellStyle name="Heading 1 40" xfId="1529" xr:uid="{394503D2-29CB-4AB5-99C5-5D49F7161CB9}"/>
    <cellStyle name="Heading 1 41" xfId="1530" xr:uid="{5EE0DAF8-A959-49E1-BF8C-136F3D4FA436}"/>
    <cellStyle name="Heading 1 5" xfId="1531" xr:uid="{6BBC86CE-769C-401F-B6B6-D57598885DF3}"/>
    <cellStyle name="Heading 1 6" xfId="1532" xr:uid="{FB82FB44-1050-4D3C-83DE-F8B399FD1267}"/>
    <cellStyle name="Heading 1 7" xfId="1533" xr:uid="{A24A7F3B-9CEC-4215-B72C-54C9285D2129}"/>
    <cellStyle name="Heading 1 8" xfId="1534" xr:uid="{884DF9F4-DDFD-4793-B0B9-6AE45A296282}"/>
    <cellStyle name="Heading 1 9" xfId="1535" xr:uid="{3904C917-13C2-4F9B-8B84-5973B589B7CF}"/>
    <cellStyle name="Heading 2 10" xfId="1536" xr:uid="{3425205C-5DC3-4E60-A126-0B9F164955F9}"/>
    <cellStyle name="Heading 2 11" xfId="1537" xr:uid="{3B25EFF4-F62A-4CA1-8BDC-158BFF7DCEFF}"/>
    <cellStyle name="Heading 2 12" xfId="1538" xr:uid="{57B8DB85-952C-4F8E-86AC-BA067AD9DD10}"/>
    <cellStyle name="Heading 2 13" xfId="1539" xr:uid="{67FD5E58-4CC2-4C88-8EAF-FA88D0644052}"/>
    <cellStyle name="Heading 2 14" xfId="1540" xr:uid="{0568E7D6-79E7-439A-A397-489A6735294D}"/>
    <cellStyle name="Heading 2 15" xfId="1541" xr:uid="{D35C01A0-6756-49C8-AD5B-770575849269}"/>
    <cellStyle name="Heading 2 16" xfId="1542" xr:uid="{86F3B37C-9274-4D69-90BD-1628A3D06592}"/>
    <cellStyle name="Heading 2 17" xfId="1543" xr:uid="{878B4AC9-B35F-43B9-81E9-5FBCF61AE167}"/>
    <cellStyle name="Heading 2 18" xfId="1544" xr:uid="{6FF93DD0-61F7-4FDA-9E37-7B79D1333BCA}"/>
    <cellStyle name="Heading 2 19" xfId="1545" xr:uid="{B20FF3D7-983F-49A4-B297-90E1A96D77D3}"/>
    <cellStyle name="Heading 2 2" xfId="1546" xr:uid="{875A087F-8BFA-4264-81CE-ED51AEE1BF68}"/>
    <cellStyle name="Heading 2 20" xfId="1547" xr:uid="{C4920EBC-7644-4D69-9631-5F2389ADEA63}"/>
    <cellStyle name="Heading 2 21" xfId="1548" xr:uid="{1EAE31AB-F9FB-4AD5-89BB-D83E8552F172}"/>
    <cellStyle name="Heading 2 22" xfId="1549" xr:uid="{BCF39ADE-F3DC-4B4E-B4D0-C1628EF4C336}"/>
    <cellStyle name="Heading 2 23" xfId="1550" xr:uid="{6C020188-18E1-4E94-B9BD-434390ABD105}"/>
    <cellStyle name="Heading 2 24" xfId="1551" xr:uid="{688AE0F7-B484-432A-BE01-9694B7A6D90F}"/>
    <cellStyle name="Heading 2 25" xfId="1552" xr:uid="{AEC67993-46A0-42B0-A7B9-004220171D3A}"/>
    <cellStyle name="Heading 2 26" xfId="1553" xr:uid="{6DD3AEAA-B644-4297-9D1E-B5AC5C0B1020}"/>
    <cellStyle name="Heading 2 27" xfId="1554" xr:uid="{536D873C-04FC-4E31-B82E-03EACDF2F600}"/>
    <cellStyle name="Heading 2 28" xfId="1555" xr:uid="{3A4FC0F7-0927-4E31-B1C2-A5E6E2F9857C}"/>
    <cellStyle name="Heading 2 29" xfId="1556" xr:uid="{0222016E-0581-449F-81F5-0D1D017B84E5}"/>
    <cellStyle name="Heading 2 3" xfId="1557" xr:uid="{F4F54C15-FE0C-4274-BDCF-9C101C979E8B}"/>
    <cellStyle name="Heading 2 3 2" xfId="1558" xr:uid="{17059B18-E4A0-4C1F-B3ED-0702DF23AF5B}"/>
    <cellStyle name="Heading 2 30" xfId="1559" xr:uid="{24EAB52E-C1C6-4B95-BC3F-7A414BF2236C}"/>
    <cellStyle name="Heading 2 31" xfId="1560" xr:uid="{F864FCFD-2B3C-45BB-B627-64201D35E18C}"/>
    <cellStyle name="Heading 2 32" xfId="1561" xr:uid="{B3468427-3C54-4EF3-800C-E315DA34C116}"/>
    <cellStyle name="Heading 2 33" xfId="1562" xr:uid="{09789084-6156-43F9-BF07-41BBE7E7FB5D}"/>
    <cellStyle name="Heading 2 34" xfId="1563" xr:uid="{85C42257-3CB6-4F84-9F61-B920BE1D1ED3}"/>
    <cellStyle name="Heading 2 35" xfId="1564" xr:uid="{AC6A1A69-FD98-4BC5-BC3F-988916A4832B}"/>
    <cellStyle name="Heading 2 36" xfId="1565" xr:uid="{0A525D4B-7CF6-4451-B86F-0766F3053851}"/>
    <cellStyle name="Heading 2 37" xfId="1566" xr:uid="{478A0E03-8029-4F8A-9495-DB2EC94EEE2D}"/>
    <cellStyle name="Heading 2 38" xfId="1567" xr:uid="{58E13EAC-74B5-463D-90FC-70B7DCD8F477}"/>
    <cellStyle name="Heading 2 39" xfId="1568" xr:uid="{46B2B776-0015-452C-A1B4-6CC6A9043451}"/>
    <cellStyle name="Heading 2 4" xfId="1569" xr:uid="{C6F7C917-883D-4CF6-B96D-20C3037539B7}"/>
    <cellStyle name="Heading 2 40" xfId="1570" xr:uid="{8886C27A-FE9C-46C1-9415-20DB90253C2F}"/>
    <cellStyle name="Heading 2 41" xfId="1571" xr:uid="{9EE80A63-2CC1-49AD-95C7-F81A2D6430EE}"/>
    <cellStyle name="Heading 2 5" xfId="1572" xr:uid="{42D68565-43EB-4F86-B00F-FE0A577992BE}"/>
    <cellStyle name="Heading 2 6" xfId="1573" xr:uid="{009AC6AF-072E-45AE-8AA1-8D7489794FD0}"/>
    <cellStyle name="Heading 2 7" xfId="1574" xr:uid="{9366C0EA-17E0-4E47-8376-4F4F7C51E5EA}"/>
    <cellStyle name="Heading 2 8" xfId="1575" xr:uid="{2F3B9867-6F10-4FC9-B1EC-BA880A8EA570}"/>
    <cellStyle name="Heading 2 9" xfId="1576" xr:uid="{2ABA8707-1651-4077-AAEC-0FB7397957CC}"/>
    <cellStyle name="Heading 3 10" xfId="1577" xr:uid="{92CB4660-6BE3-4EC7-A454-66DC2DB78164}"/>
    <cellStyle name="Heading 3 11" xfId="1578" xr:uid="{BF042772-1ABE-4DAE-9662-4A1DC0959F05}"/>
    <cellStyle name="Heading 3 12" xfId="1579" xr:uid="{8DE0AE08-047F-451C-8879-D9182B85D98F}"/>
    <cellStyle name="Heading 3 13" xfId="1580" xr:uid="{CDEA94ED-816B-4701-8CAC-FB08B19904EB}"/>
    <cellStyle name="Heading 3 14" xfId="1581" xr:uid="{1EB6E15E-E0CF-46E4-9CE3-777D3760200E}"/>
    <cellStyle name="Heading 3 15" xfId="1582" xr:uid="{3F8B0E0F-F0D2-4391-9125-EE49136F99AD}"/>
    <cellStyle name="Heading 3 16" xfId="1583" xr:uid="{DF0387AB-DA39-4845-B1DD-E72DF315C280}"/>
    <cellStyle name="Heading 3 17" xfId="1584" xr:uid="{8EE277AE-DD76-490B-A2AF-F8AC5CB0254B}"/>
    <cellStyle name="Heading 3 18" xfId="1585" xr:uid="{99237160-BF97-44AA-92D1-75889103CB4B}"/>
    <cellStyle name="Heading 3 19" xfId="1586" xr:uid="{18A4DF2F-3929-4363-8D5D-07998C2BE1B0}"/>
    <cellStyle name="Heading 3 2" xfId="1587" xr:uid="{AEA4CEC3-D392-4A92-8898-D600AC3E7767}"/>
    <cellStyle name="Heading 3 20" xfId="1588" xr:uid="{66BE29A7-04F6-494C-B2E9-D60A38673A70}"/>
    <cellStyle name="Heading 3 21" xfId="1589" xr:uid="{8C076678-0AC9-470C-994A-C530CD369D82}"/>
    <cellStyle name="Heading 3 22" xfId="1590" xr:uid="{01E36CBF-D561-48FD-AA3F-9B214A4C53AC}"/>
    <cellStyle name="Heading 3 23" xfId="1591" xr:uid="{6765D718-9C65-470A-9C89-87F5F554253F}"/>
    <cellStyle name="Heading 3 24" xfId="1592" xr:uid="{AA3BA958-0FCD-4282-938B-B25B558C9D67}"/>
    <cellStyle name="Heading 3 25" xfId="1593" xr:uid="{983A7645-330A-406D-8F87-4E7F2B5AD62C}"/>
    <cellStyle name="Heading 3 26" xfId="1594" xr:uid="{DD1957BF-1205-4E6F-AF05-42787CFCE059}"/>
    <cellStyle name="Heading 3 27" xfId="1595" xr:uid="{F812F0E2-4C11-46ED-A419-0D95FA397372}"/>
    <cellStyle name="Heading 3 28" xfId="1596" xr:uid="{D1BD3844-01FD-4FE0-B5E2-D88AE0EF5BCF}"/>
    <cellStyle name="Heading 3 29" xfId="1597" xr:uid="{6846097C-02F8-4251-9316-80F9D443886E}"/>
    <cellStyle name="Heading 3 3" xfId="1598" xr:uid="{D9C5FDFF-CC27-4EAA-B94D-5EEDDA5FDF76}"/>
    <cellStyle name="Heading 3 3 2" xfId="1599" xr:uid="{BC294593-2C4C-4D02-9A68-308AFA3CB7E9}"/>
    <cellStyle name="Heading 3 30" xfId="1600" xr:uid="{C0424860-0C6D-4F23-BE7C-9264392136A3}"/>
    <cellStyle name="Heading 3 31" xfId="1601" xr:uid="{937E23C6-1690-4DB2-B242-5FD77616E7E3}"/>
    <cellStyle name="Heading 3 32" xfId="1602" xr:uid="{E79671A8-8972-4C2D-9159-426AA66BE800}"/>
    <cellStyle name="Heading 3 33" xfId="1603" xr:uid="{0493DB35-11F2-4812-87E9-3E5F00C597A1}"/>
    <cellStyle name="Heading 3 34" xfId="1604" xr:uid="{2110C4C5-32B4-4C0B-BAA6-38B48B639FF9}"/>
    <cellStyle name="Heading 3 35" xfId="1605" xr:uid="{BFCEFAA4-6D0B-4670-9E79-A7AB2E1C9102}"/>
    <cellStyle name="Heading 3 36" xfId="1606" xr:uid="{E88383C4-0D60-4BDC-9461-F75B68B38175}"/>
    <cellStyle name="Heading 3 37" xfId="1607" xr:uid="{B0AED571-8E6F-4660-A299-13DA2F166D41}"/>
    <cellStyle name="Heading 3 38" xfId="1608" xr:uid="{02AB4394-7E0C-4EC7-A183-7DBA8796175F}"/>
    <cellStyle name="Heading 3 39" xfId="1609" xr:uid="{58A42A88-49EB-4235-830E-1BBE526A77CC}"/>
    <cellStyle name="Heading 3 4" xfId="1610" xr:uid="{B3898D9D-16E0-42B3-B91A-78BAE172439A}"/>
    <cellStyle name="Heading 3 40" xfId="1611" xr:uid="{BF3D69CF-6B62-4771-ADBF-E3D40EC852ED}"/>
    <cellStyle name="Heading 3 41" xfId="1612" xr:uid="{EF86D4CA-5504-458A-BC01-2563BF9CB2A4}"/>
    <cellStyle name="Heading 3 5" xfId="1613" xr:uid="{753775E7-8CED-42BA-A3BF-4098418214CC}"/>
    <cellStyle name="Heading 3 6" xfId="1614" xr:uid="{A92CFC11-F627-4D77-9921-C05CC0730940}"/>
    <cellStyle name="Heading 3 7" xfId="1615" xr:uid="{33CFC40C-86EF-4DAB-8CE0-9C6055CD23B7}"/>
    <cellStyle name="Heading 3 8" xfId="1616" xr:uid="{CE135612-257D-482F-89CF-E1138E670501}"/>
    <cellStyle name="Heading 3 9" xfId="1617" xr:uid="{53678A19-9304-4459-9E42-7455ECA0AE62}"/>
    <cellStyle name="Heading 4 10" xfId="1618" xr:uid="{087C9FF6-8DDA-4371-86C3-33A4CFED6476}"/>
    <cellStyle name="Heading 4 11" xfId="1619" xr:uid="{A6A950FE-E1E9-4C72-9D7E-5C3041963745}"/>
    <cellStyle name="Heading 4 12" xfId="1620" xr:uid="{4CC3C9DF-9381-48A1-8E70-23B482A9DEDB}"/>
    <cellStyle name="Heading 4 13" xfId="1621" xr:uid="{1CBAB748-06B8-41DF-B871-D3D3541BAD03}"/>
    <cellStyle name="Heading 4 14" xfId="1622" xr:uid="{C27DE996-8AB0-43F6-9951-1B06EF1A9725}"/>
    <cellStyle name="Heading 4 15" xfId="1623" xr:uid="{C19D5733-72EE-4659-AE6F-B5EAF0A55657}"/>
    <cellStyle name="Heading 4 16" xfId="1624" xr:uid="{900DBF32-46C4-4D04-9216-DA4B0B1C5A84}"/>
    <cellStyle name="Heading 4 17" xfId="1625" xr:uid="{85B5BBB1-6781-4294-BC83-25CEDC94E38C}"/>
    <cellStyle name="Heading 4 18" xfId="1626" xr:uid="{4F52DD28-D634-4630-94F1-040FF329D39B}"/>
    <cellStyle name="Heading 4 19" xfId="1627" xr:uid="{5E706642-4D35-4817-B9B7-1F33E9A30619}"/>
    <cellStyle name="Heading 4 2" xfId="1628" xr:uid="{1ACF817F-9126-462D-BEAF-1587296BFEB0}"/>
    <cellStyle name="Heading 4 20" xfId="1629" xr:uid="{9C2F38B7-C6BA-480C-8AE3-630250290427}"/>
    <cellStyle name="Heading 4 21" xfId="1630" xr:uid="{5FC02C9D-EFB7-454C-B11E-FFDA0B333FA8}"/>
    <cellStyle name="Heading 4 22" xfId="1631" xr:uid="{17E7604D-D5EB-4372-8E2F-AF9FD3D0D923}"/>
    <cellStyle name="Heading 4 23" xfId="1632" xr:uid="{18E91F80-8DBE-493D-996C-9073246C6C39}"/>
    <cellStyle name="Heading 4 24" xfId="1633" xr:uid="{017B817B-A9D6-4FDC-B0E3-AD07B47F204D}"/>
    <cellStyle name="Heading 4 25" xfId="1634" xr:uid="{1CE64CC9-1CDB-4AD2-B5E4-447A078FD520}"/>
    <cellStyle name="Heading 4 26" xfId="1635" xr:uid="{BA875092-7DFD-4B6A-AEBD-897E8EF2EE33}"/>
    <cellStyle name="Heading 4 27" xfId="1636" xr:uid="{53DD08B4-41F1-45DB-9A1F-CC97908DCD47}"/>
    <cellStyle name="Heading 4 28" xfId="1637" xr:uid="{174461F4-2B90-4501-B99B-0BF052441BB7}"/>
    <cellStyle name="Heading 4 29" xfId="1638" xr:uid="{3DF3F8BC-9B62-49B5-9667-DE5A1B945528}"/>
    <cellStyle name="Heading 4 3" xfId="1639" xr:uid="{A9E1FA78-7D74-4F68-AC24-CA1B17825B6E}"/>
    <cellStyle name="Heading 4 3 2" xfId="1640" xr:uid="{64E833AC-56C1-4A3F-93F1-F6B78BF1CBDE}"/>
    <cellStyle name="Heading 4 30" xfId="1641" xr:uid="{C6C45242-D854-4B72-A949-10F73DDAF642}"/>
    <cellStyle name="Heading 4 31" xfId="1642" xr:uid="{E4506994-6922-41E6-8536-3EABB88B190B}"/>
    <cellStyle name="Heading 4 32" xfId="1643" xr:uid="{08259C05-E78D-4F0B-93CF-CF9FE7799B07}"/>
    <cellStyle name="Heading 4 33" xfId="1644" xr:uid="{B86A0063-A5C5-448B-B20A-BADC0D8BD360}"/>
    <cellStyle name="Heading 4 34" xfId="1645" xr:uid="{6E5F3A1C-0071-43DC-84F5-FF1013E05504}"/>
    <cellStyle name="Heading 4 35" xfId="1646" xr:uid="{5F0E5AA0-AE78-4D54-9610-A6F0B8611AF7}"/>
    <cellStyle name="Heading 4 36" xfId="1647" xr:uid="{2820B89A-A154-4513-8C0D-D5054230DC2E}"/>
    <cellStyle name="Heading 4 37" xfId="1648" xr:uid="{4019B786-CA1F-4ACE-A2F8-E40F47E9A189}"/>
    <cellStyle name="Heading 4 38" xfId="1649" xr:uid="{DCC93F0E-F506-4BD7-984F-197A858279A8}"/>
    <cellStyle name="Heading 4 39" xfId="1650" xr:uid="{80A347A5-2BC5-40D3-87EF-E08866B7343C}"/>
    <cellStyle name="Heading 4 4" xfId="1651" xr:uid="{AD3A3978-3C8B-49D9-9F27-86308F9A689C}"/>
    <cellStyle name="Heading 4 40" xfId="1652" xr:uid="{7B3FEBB5-0451-447C-A981-9B85E7B2146A}"/>
    <cellStyle name="Heading 4 41" xfId="1653" xr:uid="{F28C96DB-83F0-494D-B4BE-9D071E09FC4C}"/>
    <cellStyle name="Heading 4 5" xfId="1654" xr:uid="{9ADD4729-458F-4AF9-BC5E-3C9E80630585}"/>
    <cellStyle name="Heading 4 6" xfId="1655" xr:uid="{A86606DC-AAFC-42A5-8B9E-FE171B7C7E79}"/>
    <cellStyle name="Heading 4 7" xfId="1656" xr:uid="{9D25B243-96CD-4350-9044-3A35622657CC}"/>
    <cellStyle name="Heading 4 8" xfId="1657" xr:uid="{BBE1A8B1-F26C-4E9E-9354-E8B0A4E874D8}"/>
    <cellStyle name="Heading 4 9" xfId="1658" xr:uid="{6A8625FF-021E-411D-BE37-E151A2A904AF}"/>
    <cellStyle name="Headline" xfId="1659" xr:uid="{AEEEDC90-7F0A-4C96-A419-54860B852A70}"/>
    <cellStyle name="Hyperlink 2" xfId="1660" xr:uid="{89A47525-DAEB-417F-957B-8E745D0A3EBD}"/>
    <cellStyle name="Input 10 2" xfId="1662" xr:uid="{B95510CF-B3F4-40F4-987C-D290621E0868}"/>
    <cellStyle name="Input 11 2" xfId="1663" xr:uid="{20013A93-E57E-427F-9170-04C6760A86D4}"/>
    <cellStyle name="Input 12 2" xfId="1664" xr:uid="{2940EB6D-2EEE-43A5-988B-97D5B1520223}"/>
    <cellStyle name="Input 13 2" xfId="1665" xr:uid="{16BCE2E3-6D52-44C4-ABC8-52741547EEF4}"/>
    <cellStyle name="Input 14 2" xfId="1666" xr:uid="{0AEB264B-6CFC-4E33-AE16-DCDFE8B86894}"/>
    <cellStyle name="Input 15 2" xfId="1667" xr:uid="{32BFECF4-1E4E-4D09-BDBB-AA14E7DC37AE}"/>
    <cellStyle name="Input 16 2" xfId="1668" xr:uid="{D55276CA-6573-47D3-9282-6615359AD401}"/>
    <cellStyle name="Input 17 2" xfId="1669" xr:uid="{2C8CF231-465F-482C-B707-D4431CFD95EE}"/>
    <cellStyle name="Input 18 2" xfId="1670" xr:uid="{4B31142E-E673-4428-B51C-933F5384F018}"/>
    <cellStyle name="Input 19 2" xfId="1671" xr:uid="{527AFB8B-562B-4174-9405-47E247DADE97}"/>
    <cellStyle name="Input 2" xfId="1672" xr:uid="{31342237-3CAE-4BA3-884D-4CEA160AEBFD}"/>
    <cellStyle name="Input 2 2" xfId="1673" xr:uid="{0AEE0976-C0C1-43B8-843C-E71C885E2CF0}"/>
    <cellStyle name="Input 2 3" xfId="1674" xr:uid="{5D6BD9EC-00C3-48EE-A617-A502A4766079}"/>
    <cellStyle name="Input 2_PrimaryEnergyPrices_TIMES" xfId="1675" xr:uid="{0821FD2E-885C-41BC-91FD-BAEFE9703E24}"/>
    <cellStyle name="Input 20 2" xfId="1676" xr:uid="{D2E421C3-1E71-4252-9EDB-7774D6965820}"/>
    <cellStyle name="Input 21 2" xfId="1677" xr:uid="{040DDEC2-B6EB-4990-AFF5-0E71D86C5AF5}"/>
    <cellStyle name="Input 22 2" xfId="1678" xr:uid="{4AB971D9-389D-46FE-97A3-C1056A401758}"/>
    <cellStyle name="Input 23 2" xfId="1679" xr:uid="{EF7D46E6-3750-40DB-B54B-1FAF27574DD4}"/>
    <cellStyle name="Input 24 2" xfId="1680" xr:uid="{5B5459BE-5FDA-4DA1-8772-7F276C27931C}"/>
    <cellStyle name="Input 25 2" xfId="1681" xr:uid="{F0D3152C-22C9-4D1C-907C-0514E08B571A}"/>
    <cellStyle name="Input 26 2" xfId="1682" xr:uid="{466E6858-38D9-40E6-8545-C9F59FBB431F}"/>
    <cellStyle name="Input 27 2" xfId="1683" xr:uid="{30A8FE3E-D14F-4DCE-A010-CECD72F32250}"/>
    <cellStyle name="Input 28 2" xfId="1684" xr:uid="{6C4D3E33-9E87-454B-8195-B066991F4E26}"/>
    <cellStyle name="Input 29 2" xfId="1685" xr:uid="{0E3F7922-4DCC-491E-8C4B-5659AA0BCCB7}"/>
    <cellStyle name="Input 3" xfId="1686" xr:uid="{72067EE3-CCE1-487F-9A1D-574BC8D01775}"/>
    <cellStyle name="Input 3 2" xfId="1687" xr:uid="{1D7417B8-A0CE-4DC0-BB51-34EF687A6F1E}"/>
    <cellStyle name="Input 3 3" xfId="1688" xr:uid="{54B61BAE-CB94-442E-A8C6-B223693251D3}"/>
    <cellStyle name="Input 30 2" xfId="1689" xr:uid="{71876FFE-1F69-463A-8AEC-666C88CFDC5A}"/>
    <cellStyle name="Input 31 2" xfId="1690" xr:uid="{ED0B1159-7E79-420F-88AD-40A574BE832B}"/>
    <cellStyle name="Input 32 2" xfId="1691" xr:uid="{8BF0FB5F-64E6-41A5-8634-61D3EDD6E9BE}"/>
    <cellStyle name="Input 33 2" xfId="1692" xr:uid="{271148C3-DA13-490B-8380-7A8DCDEDB891}"/>
    <cellStyle name="Input 34" xfId="1693" xr:uid="{DA33EED6-80BE-43DF-99DE-1E76E5EA538A}"/>
    <cellStyle name="Input 34 2" xfId="1694" xr:uid="{CF072C2C-0EDA-43E3-904A-59F3DFFE5FA9}"/>
    <cellStyle name="Input 34_ELC_final" xfId="1695" xr:uid="{28B8DB7B-E9A1-4ED8-BF4D-67F48BDB5AD9}"/>
    <cellStyle name="Input 35" xfId="1696" xr:uid="{946B1206-D925-40C7-B82A-E3109C8FF276}"/>
    <cellStyle name="Input 36" xfId="1697" xr:uid="{9746E963-B9BE-44CE-A90A-F516BB59A44C}"/>
    <cellStyle name="Input 37" xfId="1698" xr:uid="{69197993-57CB-418A-B34A-CB416EC16162}"/>
    <cellStyle name="Input 38" xfId="1699" xr:uid="{E430148D-A699-45E8-B495-51BF02CE19CE}"/>
    <cellStyle name="Input 39" xfId="1700" xr:uid="{DD774894-6A39-4EF6-BE8F-01FAFA61B609}"/>
    <cellStyle name="Input 4" xfId="1661" xr:uid="{F9B37F3B-2F54-4765-93C2-B6E4BC44ACE6}"/>
    <cellStyle name="Input 4 2" xfId="1701" xr:uid="{5CBB3979-5B5A-4587-8442-23E97B540723}"/>
    <cellStyle name="Input 40" xfId="1702" xr:uid="{B81A6BA9-01AF-4AE0-BB03-B2C1B8A62992}"/>
    <cellStyle name="Input 5 2" xfId="1703" xr:uid="{A5C83791-F01C-4B3A-8AE6-B50960AAE4B8}"/>
    <cellStyle name="Input 6 2" xfId="1704" xr:uid="{6034B500-0FB0-46A8-A62D-053960D280A8}"/>
    <cellStyle name="Input 7 2" xfId="1705" xr:uid="{309EB26C-1656-4547-9066-FED420E11B68}"/>
    <cellStyle name="Input 8 2" xfId="1706" xr:uid="{004D8E00-3F44-4789-AAE0-F5DF6824B2B8}"/>
    <cellStyle name="Input 9 2" xfId="1707" xr:uid="{A625010A-BCA0-4C6E-989E-8F58900718EB}"/>
    <cellStyle name="InputCells" xfId="1708" xr:uid="{24E0A605-7372-4CB0-811C-A15D8D2ACE05}"/>
    <cellStyle name="InputCells12" xfId="1709" xr:uid="{FB7CCA25-29E4-4B5B-B97C-0F90CEF3534C}"/>
    <cellStyle name="IntCells" xfId="1710" xr:uid="{3ADE31B6-DD39-4D67-B78C-312562C145CC}"/>
    <cellStyle name="ligne_titre_0" xfId="1711" xr:uid="{48016512-CB62-4438-89A7-9705ABA5B689}"/>
    <cellStyle name="Linked Cell 10" xfId="1712" xr:uid="{3D7D1E4D-0B81-432A-90A0-A21F9829604B}"/>
    <cellStyle name="Linked Cell 11" xfId="1713" xr:uid="{21009262-D9C0-4646-A320-3C42E89D28DB}"/>
    <cellStyle name="Linked Cell 12" xfId="1714" xr:uid="{21CCFF5D-6A26-40F0-911A-9C61DB4B0354}"/>
    <cellStyle name="Linked Cell 13" xfId="1715" xr:uid="{9592AE54-4132-46AD-87B2-BD0F31ABF430}"/>
    <cellStyle name="Linked Cell 14" xfId="1716" xr:uid="{87DB0CD5-AF9B-4CAC-B71B-8CF56702DC77}"/>
    <cellStyle name="Linked Cell 15" xfId="1717" xr:uid="{9E952F7D-AAFD-483D-92EB-990E3FB29893}"/>
    <cellStyle name="Linked Cell 16" xfId="1718" xr:uid="{1C322209-11EE-45A4-8D9C-6BEC6E1A1AC6}"/>
    <cellStyle name="Linked Cell 17" xfId="1719" xr:uid="{BF7452A3-4EC9-41A6-9E0D-B96CA403F99E}"/>
    <cellStyle name="Linked Cell 18" xfId="1720" xr:uid="{0BB26F1C-F467-4EC1-AE37-9C7C6EB5684C}"/>
    <cellStyle name="Linked Cell 19" xfId="1721" xr:uid="{5AE7AEA3-B54E-45BF-BB1A-BE8D1957CD31}"/>
    <cellStyle name="Linked Cell 2" xfId="1722" xr:uid="{77D6BE3A-9A67-43FF-8325-5C71D1C9EA80}"/>
    <cellStyle name="Linked Cell 20" xfId="1723" xr:uid="{3F5BE4A4-71D1-48A9-8226-606116F3EB81}"/>
    <cellStyle name="Linked Cell 21" xfId="1724" xr:uid="{D6A453AB-633C-42E9-9303-F9F8302895EE}"/>
    <cellStyle name="Linked Cell 22" xfId="1725" xr:uid="{9727C99D-1CA9-441D-AC08-32A2F6A1A0EC}"/>
    <cellStyle name="Linked Cell 23" xfId="1726" xr:uid="{9A21E26E-3232-45AA-A464-A9A69FD4F5DA}"/>
    <cellStyle name="Linked Cell 24" xfId="1727" xr:uid="{F1586810-BB34-470F-B8F3-6C41AEBC266D}"/>
    <cellStyle name="Linked Cell 25" xfId="1728" xr:uid="{3E2D3C90-4702-46E9-AE2E-B80C9652A002}"/>
    <cellStyle name="Linked Cell 26" xfId="1729" xr:uid="{70728872-6538-4B48-9C85-C1D787DC027B}"/>
    <cellStyle name="Linked Cell 27" xfId="1730" xr:uid="{D0227C4C-D762-4B1D-A751-8B281CD0E9A8}"/>
    <cellStyle name="Linked Cell 28" xfId="1731" xr:uid="{FE7D8CD4-4516-4497-919E-5B169008A75A}"/>
    <cellStyle name="Linked Cell 29" xfId="1732" xr:uid="{A24F0DE7-EA0A-43CE-B760-462E46D24CA1}"/>
    <cellStyle name="Linked Cell 3" xfId="1733" xr:uid="{A1C778E1-4BFE-45F1-B99A-95BD4ABD0FA2}"/>
    <cellStyle name="Linked Cell 3 2" xfId="1734" xr:uid="{5860D3EF-FA5E-45C8-9943-49C293DA021B}"/>
    <cellStyle name="Linked Cell 30" xfId="1735" xr:uid="{EC69A973-2A82-4F23-8EAC-09D3BD51FC06}"/>
    <cellStyle name="Linked Cell 31" xfId="1736" xr:uid="{917C6705-B39E-4460-AC93-B33D8C6641B7}"/>
    <cellStyle name="Linked Cell 32" xfId="1737" xr:uid="{2F4D77F8-5BA0-492B-B886-9F0CC9029F11}"/>
    <cellStyle name="Linked Cell 33" xfId="1738" xr:uid="{124BB724-D3C9-46C7-B011-A7962416D2EC}"/>
    <cellStyle name="Linked Cell 34" xfId="1739" xr:uid="{3F4517FB-8959-434D-B08D-7440B3206B48}"/>
    <cellStyle name="Linked Cell 35" xfId="1740" xr:uid="{87166CF9-1A9D-4CF6-BD66-79A06F27A497}"/>
    <cellStyle name="Linked Cell 36" xfId="1741" xr:uid="{240D7665-C001-4197-925B-170674320390}"/>
    <cellStyle name="Linked Cell 37" xfId="1742" xr:uid="{4121B00B-9E94-4834-8605-69E29D1CB8B4}"/>
    <cellStyle name="Linked Cell 38" xfId="1743" xr:uid="{E3B15B5C-3B77-48F7-80B0-91668E8A1F6B}"/>
    <cellStyle name="Linked Cell 39" xfId="1744" xr:uid="{947803A5-A3C4-4A6E-BED1-F3E64E12E6FA}"/>
    <cellStyle name="Linked Cell 4" xfId="1745" xr:uid="{A0124CC0-3F24-43E6-8884-9A6C7EB59BCD}"/>
    <cellStyle name="Linked Cell 40" xfId="1746" xr:uid="{E4781FFA-EEF0-462A-9198-F408C3669BA0}"/>
    <cellStyle name="Linked Cell 41" xfId="1747" xr:uid="{4375CEF0-DCB8-4369-BBF8-B837D7D0B02B}"/>
    <cellStyle name="Linked Cell 5" xfId="1748" xr:uid="{C3C7880A-A549-4A87-B34F-E39C5C668CC9}"/>
    <cellStyle name="Linked Cell 6" xfId="1749" xr:uid="{5394B82E-66EF-436C-862A-F741E570AD98}"/>
    <cellStyle name="Linked Cell 7" xfId="1750" xr:uid="{FA223850-F762-4A2C-A2BC-75A11EAF6395}"/>
    <cellStyle name="Linked Cell 8" xfId="1751" xr:uid="{C249A436-C801-4262-9498-9A01AFEE67C8}"/>
    <cellStyle name="Linked Cell 9" xfId="1752" xr:uid="{5C2B829C-CF06-452A-993C-ACBC8E2A8251}"/>
    <cellStyle name="Neutral 10" xfId="1753" xr:uid="{8D8D7CD8-71F2-47A4-9ACE-E8CDA68DA118}"/>
    <cellStyle name="Neutral 11" xfId="1754" xr:uid="{3D4F1317-0DAB-4DB2-961E-BEEE808C23B2}"/>
    <cellStyle name="Neutral 12" xfId="1755" xr:uid="{652AF9BE-BE3B-42E2-9252-323D478173A4}"/>
    <cellStyle name="Neutral 13" xfId="1756" xr:uid="{B1C5FBC5-2621-4652-BB98-FFD24EE3A2C1}"/>
    <cellStyle name="Neutral 14" xfId="1757" xr:uid="{816481E3-142B-45D5-9D12-C22CF5AE7FC0}"/>
    <cellStyle name="Neutral 15" xfId="1758" xr:uid="{2B907329-A049-4EBF-A699-97C84B67D581}"/>
    <cellStyle name="Neutral 16" xfId="1759" xr:uid="{DF85AA81-A868-425A-9F66-A0166C85900D}"/>
    <cellStyle name="Neutral 17" xfId="1760" xr:uid="{90CEAB8A-15F0-4C83-A228-6A5BABE53B39}"/>
    <cellStyle name="Neutral 18" xfId="1761" xr:uid="{6173C04A-C94D-41CD-92A8-5A4675A1E0E3}"/>
    <cellStyle name="Neutral 19" xfId="1762" xr:uid="{0D8F7DEE-6503-4B64-B1E4-4E7BB06C216F}"/>
    <cellStyle name="Neutral 2" xfId="1763" xr:uid="{A157C883-4B81-42C7-A006-671773D379D2}"/>
    <cellStyle name="Neutral 20" xfId="1764" xr:uid="{2B33F380-FFDC-49BD-A4AF-90142E0F7BAA}"/>
    <cellStyle name="Neutral 21" xfId="1765" xr:uid="{71E7A0D0-0F16-4463-B807-020254D1BF14}"/>
    <cellStyle name="Neutral 22" xfId="1766" xr:uid="{2E5A718C-D132-4CED-92C5-C67195447EC5}"/>
    <cellStyle name="Neutral 23" xfId="1767" xr:uid="{5870606E-71E3-4025-9D86-DDA2727F3545}"/>
    <cellStyle name="Neutral 24" xfId="1768" xr:uid="{0B6985BE-A600-48CE-98D9-EE4329F8F418}"/>
    <cellStyle name="Neutral 25" xfId="1769" xr:uid="{23DE340F-A5DA-4517-B7FC-1EBC26EE554D}"/>
    <cellStyle name="Neutral 26" xfId="1770" xr:uid="{AF128552-8711-4846-BA62-8B11C70C5749}"/>
    <cellStyle name="Neutral 27" xfId="1771" xr:uid="{111F84B5-976B-43FE-B03E-22F72A28A31A}"/>
    <cellStyle name="Neutral 28" xfId="1772" xr:uid="{4229BF2A-7AD5-4AFD-BE61-4425208D26E9}"/>
    <cellStyle name="Neutral 29" xfId="1773" xr:uid="{22D82D9C-AEFE-4B49-BEC7-B2FE2143D7AA}"/>
    <cellStyle name="Neutral 3" xfId="1774" xr:uid="{43AB8A0F-6CF6-4802-9855-CC7794E86FEE}"/>
    <cellStyle name="Neutral 3 2" xfId="1775" xr:uid="{186BEABC-72C0-4C65-B191-D23532C951B2}"/>
    <cellStyle name="Neutral 3 3" xfId="1776" xr:uid="{B7D3214D-E9FF-4B82-BB1B-E912935195E6}"/>
    <cellStyle name="Neutral 3 4" xfId="1777" xr:uid="{604AA39E-1BA5-48D8-8EAE-DBEC04170B22}"/>
    <cellStyle name="Neutral 30" xfId="1778" xr:uid="{11132FEC-E974-4AE0-8EBB-9E89E9A1994E}"/>
    <cellStyle name="Neutral 31" xfId="1779" xr:uid="{CD8454BE-F692-40C2-A2AC-D5FC585176C8}"/>
    <cellStyle name="Neutral 32" xfId="1780" xr:uid="{B1B1E13E-56C1-4975-A054-0DE369F35803}"/>
    <cellStyle name="Neutral 33" xfId="1781" xr:uid="{E338B9CC-8FAA-4D0D-AB4D-8B2B801A6C41}"/>
    <cellStyle name="Neutral 34" xfId="1782" xr:uid="{4857C902-82C5-40E3-9CC8-1F6467CF88E8}"/>
    <cellStyle name="Neutral 35" xfId="1783" xr:uid="{2A98173E-2850-4780-84D7-559BC71B1373}"/>
    <cellStyle name="Neutral 36" xfId="1784" xr:uid="{8A19F7FF-0D53-4887-B1D8-463682B7B7AE}"/>
    <cellStyle name="Neutral 37" xfId="1785" xr:uid="{74BEA4C9-DE58-490C-A2A9-AE64EF6AC044}"/>
    <cellStyle name="Neutral 38" xfId="1786" xr:uid="{078AB4C1-0255-41A7-BC9F-08092DC788A8}"/>
    <cellStyle name="Neutral 39" xfId="1787" xr:uid="{07B162E0-1FF4-47BB-A174-E91C795CF366}"/>
    <cellStyle name="Neutral 4" xfId="1788" xr:uid="{6EE27D86-D108-47EC-89BB-566D7B7061F9}"/>
    <cellStyle name="Neutral 4 2" xfId="1789" xr:uid="{16F7A308-988E-43DD-A7C8-F066E1CA966B}"/>
    <cellStyle name="Neutral 40" xfId="1790" xr:uid="{27FB5DCA-A214-42EF-9BD8-3D594C42321D}"/>
    <cellStyle name="Neutral 41" xfId="1791" xr:uid="{C0719B3E-32CC-4FBA-95FF-CF8D8125CD71}"/>
    <cellStyle name="Neutral 42" xfId="1792" xr:uid="{E41C1AAD-43A7-4964-A04C-B63FBBA3CCBE}"/>
    <cellStyle name="Neutral 43" xfId="1793" xr:uid="{2860174C-B4E2-40CB-A0F1-0519E7B525C8}"/>
    <cellStyle name="Neutral 5" xfId="1794" xr:uid="{E4003F74-BC99-4326-AD77-47E108C390A7}"/>
    <cellStyle name="Neutral 6" xfId="1795" xr:uid="{1E7EF13D-76A9-4CA6-A5DD-574B2784A9ED}"/>
    <cellStyle name="Neutral 7" xfId="1796" xr:uid="{C5AFBB48-D94F-4031-90B7-954DC9490BDC}"/>
    <cellStyle name="Neutral 8" xfId="1797" xr:uid="{CC280578-361A-4A3E-A459-15109721D735}"/>
    <cellStyle name="Neutral 9" xfId="1798" xr:uid="{8EC03257-EECB-4056-BB38-26E5508DCD55}"/>
    <cellStyle name="Normal" xfId="0" builtinId="0"/>
    <cellStyle name="Normal 10" xfId="1799" xr:uid="{70A56464-942A-421A-BA05-5775D84F5846}"/>
    <cellStyle name="Normal 10 2" xfId="1800" xr:uid="{04CD8EF3-4D4C-4172-B8FB-B02E610D3C58}"/>
    <cellStyle name="Normal 10 2 2" xfId="1801" xr:uid="{B4710448-950D-47FA-9699-8A00A047301A}"/>
    <cellStyle name="Normal 10 2 2 2 2 2" xfId="3272" xr:uid="{88787DDB-2C29-49E0-8E2B-77BE44A340A9}"/>
    <cellStyle name="Normal 11" xfId="1802" xr:uid="{90D92668-2945-4232-88BA-429C5FC31FA8}"/>
    <cellStyle name="Normal 11 2" xfId="1803" xr:uid="{6081A2D8-C539-4C5A-8D24-AD2C55561673}"/>
    <cellStyle name="Normal 11 2 2" xfId="1804" xr:uid="{260D2734-96AD-4152-921F-EF7F105493E2}"/>
    <cellStyle name="Normal 11 3" xfId="1805" xr:uid="{BD3A3FBE-424B-4E11-B896-7F28C0D54818}"/>
    <cellStyle name="Normal 11 4" xfId="1806" xr:uid="{178FC1D2-24F6-4984-96FD-8AE4A4B5C891}"/>
    <cellStyle name="Normal 11 5" xfId="1807" xr:uid="{32276083-BDFF-4135-B5DC-F87C2475D4D9}"/>
    <cellStyle name="Normal 12" xfId="1808" xr:uid="{E0503E03-34DF-4FE3-97D4-45143DF611C9}"/>
    <cellStyle name="Normal 13" xfId="1809" xr:uid="{DEAD40FE-9BE8-4A8F-B070-361E82F9FE50}"/>
    <cellStyle name="Normal 13 2" xfId="1810" xr:uid="{C2DA90A4-3C9D-4F77-AD43-CE2D44BE9429}"/>
    <cellStyle name="Normal 13 3" xfId="1811" xr:uid="{55DFEA62-5187-4CDA-84D3-E255B9BA52C2}"/>
    <cellStyle name="Normal 14" xfId="1812" xr:uid="{A9317ACD-FD05-46B4-9C88-C589C5EA7667}"/>
    <cellStyle name="Normal 14 2" xfId="1813" xr:uid="{F6B07303-2A1E-41F9-AB13-89B9728C0882}"/>
    <cellStyle name="Normal 15" xfId="1814" xr:uid="{B17E515B-C9FB-40E4-845D-E5248C403DB8}"/>
    <cellStyle name="Normal 15 2" xfId="1815" xr:uid="{3E8DF5DF-C07F-4CED-AF33-173E6F222A56}"/>
    <cellStyle name="Normal 16" xfId="1816" xr:uid="{539B73B3-F9FE-48DF-B021-ADEFDC37AF90}"/>
    <cellStyle name="Normal 16 2" xfId="1817" xr:uid="{206391A8-3CC1-42A1-95BC-CD245221434D}"/>
    <cellStyle name="Normal 17" xfId="1818" xr:uid="{086DA49B-888C-48C2-A374-CAF235646D6E}"/>
    <cellStyle name="Normal 17 2" xfId="1819" xr:uid="{07A1956A-0D41-439F-AF10-FE716EB841B9}"/>
    <cellStyle name="Normal 18" xfId="1820" xr:uid="{5966DA07-38A4-49C8-AC11-62A917CE5E2C}"/>
    <cellStyle name="Normal 18 2" xfId="1821" xr:uid="{382A01CD-0D5C-49CE-B2FE-BA1F4631B823}"/>
    <cellStyle name="Normal 19" xfId="1822" xr:uid="{9146F76F-94E2-49E2-B436-719AC5339E42}"/>
    <cellStyle name="Normal 2" xfId="1823" xr:uid="{229BE9D0-CD13-4E0A-90BF-48AB2682A2D5}"/>
    <cellStyle name="Normal 2 10" xfId="1824" xr:uid="{25DFD92C-D18C-4B63-B0E5-A6A510AF393A}"/>
    <cellStyle name="Normal 2 11" xfId="1825" xr:uid="{9DB8FBFB-CF4B-4FDA-A431-1AF202D51EC7}"/>
    <cellStyle name="Normal 2 12" xfId="1826" xr:uid="{68AF28C6-3C9C-4181-A0B4-5CD00DD0AC69}"/>
    <cellStyle name="Normal 2 13" xfId="1827" xr:uid="{C15CE5FF-54FB-4884-A59C-55D2C4190C3B}"/>
    <cellStyle name="Normal 2 14" xfId="1828" xr:uid="{5D8BB8D6-FDDD-41B1-9C8A-78999BE5F7CF}"/>
    <cellStyle name="Normal 2 15" xfId="1829" xr:uid="{239C9D7F-1FCD-4591-B3F7-33363ECD9C54}"/>
    <cellStyle name="Normal 2 16" xfId="1830" xr:uid="{ED318CA6-1CE9-49D6-943A-4E32E5508AAA}"/>
    <cellStyle name="Normal 2 17" xfId="1831" xr:uid="{5164F1A2-2FCA-463F-BACC-0AD50665C1A1}"/>
    <cellStyle name="Normal 2 18" xfId="1832" xr:uid="{54F503DE-0F28-4A8D-A13F-B69E1F96DC6C}"/>
    <cellStyle name="Normal 2 19" xfId="1833" xr:uid="{29E1D241-B298-4294-B8A0-F17400CCE62D}"/>
    <cellStyle name="Normal 2 2" xfId="1834" xr:uid="{85253DF7-8F2D-4351-B2A3-C31799C71177}"/>
    <cellStyle name="Normal 2 2 2" xfId="1835" xr:uid="{4B216B60-2D33-472C-8F82-50B1FBC43564}"/>
    <cellStyle name="Normal 2 2 2 2" xfId="1836" xr:uid="{B954F85B-F069-4601-8F8D-6BF9B2BF412C}"/>
    <cellStyle name="Normal 2 2 2 2 2" xfId="1837" xr:uid="{54564826-B757-45CE-9F10-BC07C5A56AC3}"/>
    <cellStyle name="Normal 2 2 2 3" xfId="1838" xr:uid="{6F721CFE-27B4-4FAD-9DCB-E121C457D970}"/>
    <cellStyle name="Normal 2 2 2 3 2" xfId="1839" xr:uid="{D8A56E04-7D58-4B5D-8126-B68BA8EFB783}"/>
    <cellStyle name="Normal 2 2 2 3 3" xfId="1840" xr:uid="{471C47E7-B71A-4FA1-A918-F75B5018CF00}"/>
    <cellStyle name="Normal 2 2 2 4" xfId="1841" xr:uid="{CC85B913-6B6F-4AB6-8DD6-84CDDCE92894}"/>
    <cellStyle name="Normal 2 2 3" xfId="1842" xr:uid="{3AA4338C-828C-448D-B0DA-D315E130C1D6}"/>
    <cellStyle name="Normal 2 2 4" xfId="1843" xr:uid="{565CD76C-A33F-48BD-A708-C55079205F48}"/>
    <cellStyle name="Normal 2 2 4 2" xfId="1844" xr:uid="{FDC013CC-21A3-4C16-B5CA-4DDEB7C49643}"/>
    <cellStyle name="Normal 2 2 5" xfId="1845" xr:uid="{A73BBF73-DC1C-4776-AFFD-220FD85C3F82}"/>
    <cellStyle name="Normal 2 2 5 2" xfId="1846" xr:uid="{1E970499-0ECE-4723-A93C-0B4423DD37DD}"/>
    <cellStyle name="Normal 2 2 6" xfId="1847" xr:uid="{DEB850C7-D8FF-4F0F-B8E7-73436776308E}"/>
    <cellStyle name="Normal 2 2 7" xfId="1848" xr:uid="{31557FFB-780A-49F8-9A73-B2A6AD328C9A}"/>
    <cellStyle name="Normal 2 2 8" xfId="1849" xr:uid="{B190D7F0-D91B-40D2-8D67-0CFABDDFA176}"/>
    <cellStyle name="Normal 2 2 9" xfId="1850" xr:uid="{59CD43F3-555A-4160-B928-47F9E9CECBD5}"/>
    <cellStyle name="Normal 2 2_ELC" xfId="1851" xr:uid="{00AF4892-3401-41B8-BDC4-1152A48A04AD}"/>
    <cellStyle name="Normal 2 20" xfId="1852" xr:uid="{BEBCEB13-A5D9-4D0C-B791-68A63C9D9186}"/>
    <cellStyle name="Normal 2 21" xfId="1853" xr:uid="{40096581-3B84-4D59-8A4B-5F3E13877C91}"/>
    <cellStyle name="Normal 2 22" xfId="1854" xr:uid="{EEFFA124-803F-4D53-AC86-148FDAF921AB}"/>
    <cellStyle name="Normal 2 23" xfId="1855" xr:uid="{113A83A0-977F-48F4-A4C5-82FC79E250FC}"/>
    <cellStyle name="Normal 2 24" xfId="1856" xr:uid="{BABEF3B3-B444-45AF-A6C9-A2AF69C0FF76}"/>
    <cellStyle name="Normal 2 25" xfId="1857" xr:uid="{7CB03B1E-81B8-4A26-8BE7-4200B2627BAD}"/>
    <cellStyle name="Normal 2 26" xfId="1858" xr:uid="{06A504A7-1927-4AD3-8510-7CE323A12F8C}"/>
    <cellStyle name="Normal 2 27" xfId="1859" xr:uid="{3DF4609A-DFF3-4A2D-9041-1F0AECACDC6F}"/>
    <cellStyle name="Normal 2 28" xfId="1860" xr:uid="{EF688D24-08AB-45B7-B109-E8848C4E60BC}"/>
    <cellStyle name="Normal 2 29" xfId="1861" xr:uid="{36B0EE35-E1B1-4C64-B44A-1F5F9AF599CF}"/>
    <cellStyle name="Normal 2 3" xfId="1862" xr:uid="{EA2C3AAB-D647-4FED-9F2B-63A8F7FC5006}"/>
    <cellStyle name="Normal 2 3 2" xfId="1863" xr:uid="{3F923E74-A876-4430-A8C1-05D505F0961F}"/>
    <cellStyle name="Normal 2 3 2 2" xfId="1864" xr:uid="{0331B0AF-2A64-483B-9460-46DE31BDF106}"/>
    <cellStyle name="Normal 2 3 3" xfId="1865" xr:uid="{83E39D88-0AE9-4F52-912E-5F01941803B2}"/>
    <cellStyle name="Normal 2 3 4" xfId="1866" xr:uid="{7DEA59B0-FD2F-4707-8BCE-775A7F68D48D}"/>
    <cellStyle name="Normal 2 3 5" xfId="1867" xr:uid="{502353A7-4843-48E2-8E18-3A6E803993C8}"/>
    <cellStyle name="Normal 2 3 6" xfId="1868" xr:uid="{8BCDC03B-7AE2-416F-B249-6560E96D7D57}"/>
    <cellStyle name="Normal 2 30" xfId="1869" xr:uid="{965BD604-9DB2-457B-A1A9-6F504010AB44}"/>
    <cellStyle name="Normal 2 31" xfId="1870" xr:uid="{6A429D70-40A0-4467-B580-848D2BF8E4DA}"/>
    <cellStyle name="Normal 2 32" xfId="1871" xr:uid="{5F4020A2-910E-42E3-95D9-FAE29E0F22EC}"/>
    <cellStyle name="Normal 2 33" xfId="1872" xr:uid="{29D2656D-3916-4EC6-BA59-7202E809ABC4}"/>
    <cellStyle name="Normal 2 34" xfId="1873" xr:uid="{116B22C4-EDFE-4431-B7B4-5DCA2B7BDE0C}"/>
    <cellStyle name="Normal 2 35" xfId="1874" xr:uid="{99A06100-E2BB-4EDD-86B1-2BB9600F57E9}"/>
    <cellStyle name="Normal 2 36" xfId="1875" xr:uid="{87F2C58A-CC21-42E6-B324-A442D91E0B82}"/>
    <cellStyle name="Normal 2 37" xfId="1876" xr:uid="{05EEF7B5-6BCF-4BCF-8B5E-F214BB74BFBA}"/>
    <cellStyle name="Normal 2 38" xfId="1877" xr:uid="{4AE0DE32-A879-46E2-A3C3-BB056317CC21}"/>
    <cellStyle name="Normal 2 39" xfId="1878" xr:uid="{F2B90EDB-B601-4EDF-9665-33FBFEA7CDBE}"/>
    <cellStyle name="Normal 2 4" xfId="1879" xr:uid="{72358616-C9ED-4008-8922-6E657521A029}"/>
    <cellStyle name="Normal 2 4 2" xfId="1880" xr:uid="{4E794686-8EDF-4EE9-B688-F78D6921BAB5}"/>
    <cellStyle name="Normal 2 4 3" xfId="1881" xr:uid="{ACF35070-4A0F-4F84-B762-11AC04005993}"/>
    <cellStyle name="Normal 2 4 4" xfId="1882" xr:uid="{C792BC96-08EE-45F0-8EE0-7BF8A982BDAE}"/>
    <cellStyle name="Normal 2 4 5" xfId="1883" xr:uid="{F2B9E30B-9F28-43B5-9314-C30023A4EBF0}"/>
    <cellStyle name="Normal 2 40" xfId="1884" xr:uid="{3D606A44-073C-43BA-9CC7-C45BC624D6C9}"/>
    <cellStyle name="Normal 2 41" xfId="1885" xr:uid="{1BB1758F-C608-4F88-99B5-2D68CDD2D0B8}"/>
    <cellStyle name="Normal 2 42" xfId="1886" xr:uid="{42EC65D6-3766-44D6-AF5B-45A998E5F7C2}"/>
    <cellStyle name="Normal 2 43" xfId="1887" xr:uid="{C2DB0B9E-5913-48EE-8A8E-3A58D7DB33F3}"/>
    <cellStyle name="Normal 2 44" xfId="1888" xr:uid="{48475E8F-0C64-4852-A60A-42E3FAE39C19}"/>
    <cellStyle name="Normal 2 45" xfId="1889" xr:uid="{57FB40FE-BD43-4B91-BC16-47731AA62194}"/>
    <cellStyle name="Normal 2 46" xfId="1890" xr:uid="{CCD9C94B-205C-4560-BE03-F328FE42B8B6}"/>
    <cellStyle name="Normal 2 47" xfId="1891" xr:uid="{9825FA6C-3809-43DA-A6C9-5EF31BB0A18D}"/>
    <cellStyle name="Normal 2 48" xfId="1892" xr:uid="{BC8EB6F4-79D8-44CB-8690-F759D09B050F}"/>
    <cellStyle name="Normal 2 5" xfId="1893" xr:uid="{EE267D24-457A-42DF-B7B4-6DD772B985A5}"/>
    <cellStyle name="Normal 2 5 10" xfId="1894" xr:uid="{0857C10D-C2E3-40EA-A21E-6A4859079CEF}"/>
    <cellStyle name="Normal 2 5 11" xfId="1895" xr:uid="{9254AB27-AC6A-4416-95A0-335C87B38231}"/>
    <cellStyle name="Normal 2 5 12" xfId="1896" xr:uid="{C3FA6362-A9CD-4056-A0D1-FD621E65050A}"/>
    <cellStyle name="Normal 2 5 13" xfId="1897" xr:uid="{163E7CF2-1FAE-4864-B738-F070648C6224}"/>
    <cellStyle name="Normal 2 5 14" xfId="1898" xr:uid="{74DB89D7-EB66-4068-AA3C-45C5B2661740}"/>
    <cellStyle name="Normal 2 5 15" xfId="1899" xr:uid="{24DDE905-3D48-4BE9-B443-A74FB4C41DB6}"/>
    <cellStyle name="Normal 2 5 16" xfId="1900" xr:uid="{B2921023-0B1F-4B77-B8FE-65F628261F54}"/>
    <cellStyle name="Normal 2 5 2" xfId="1901" xr:uid="{0946DE69-7CA2-4E70-A8AE-EEA209C197BC}"/>
    <cellStyle name="Normal 2 5 2 2" xfId="1902" xr:uid="{6E15AD10-0543-4F5C-8C4D-7C0066733C17}"/>
    <cellStyle name="Normal 2 5 3" xfId="1903" xr:uid="{7F326F54-810E-45EA-B928-C232AA850BF3}"/>
    <cellStyle name="Normal 2 5 4" xfId="1904" xr:uid="{679D1C96-FA7B-4025-977E-A35574D227A0}"/>
    <cellStyle name="Normal 2 5 5" xfId="1905" xr:uid="{6A58041D-59CB-4731-916A-3840ED6907D3}"/>
    <cellStyle name="Normal 2 5 6" xfId="1906" xr:uid="{BFA6AC66-DFA8-4BCE-929D-6A540727C881}"/>
    <cellStyle name="Normal 2 5 7" xfId="1907" xr:uid="{7DA40074-F783-4DF3-A8AC-0F77CC4ADABD}"/>
    <cellStyle name="Normal 2 5 8" xfId="1908" xr:uid="{87695CBF-3D9A-4A60-B501-EF8C2BE2EFA6}"/>
    <cellStyle name="Normal 2 5 9" xfId="1909" xr:uid="{E7DD31B3-F434-450D-9BFB-FCC6D8BC4F6A}"/>
    <cellStyle name="Normal 2 6" xfId="1910" xr:uid="{26CD5551-6809-48DB-AC61-973D4C552824}"/>
    <cellStyle name="Normal 2 6 10" xfId="1911" xr:uid="{1F38AA1A-E152-4ACD-847E-29DD3BE5FC86}"/>
    <cellStyle name="Normal 2 6 11" xfId="1912" xr:uid="{D9DACEDE-489B-4ACA-A0FE-F197E7A16A5F}"/>
    <cellStyle name="Normal 2 6 12" xfId="1913" xr:uid="{33D81B50-06EC-4DC6-916C-40C3B7BD3772}"/>
    <cellStyle name="Normal 2 6 13" xfId="1914" xr:uid="{7D112D40-1D11-455F-B6CD-059593C002D9}"/>
    <cellStyle name="Normal 2 6 14" xfId="1915" xr:uid="{3A46780E-3C17-4318-B718-C1BC4B40741F}"/>
    <cellStyle name="Normal 2 6 15" xfId="1916" xr:uid="{472C9FE6-17FD-4C94-A06A-F4CCF6023D0D}"/>
    <cellStyle name="Normal 2 6 16" xfId="1917" xr:uid="{A2B05DD1-B6A0-44E7-AA83-395FD55F1513}"/>
    <cellStyle name="Normal 2 6 2" xfId="1918" xr:uid="{C2858F97-F19E-4A03-8D21-6AB6E5526E04}"/>
    <cellStyle name="Normal 2 6 2 2" xfId="1919" xr:uid="{8E5D2789-8569-4941-808E-70398DBA9C3F}"/>
    <cellStyle name="Normal 2 6 3" xfId="1920" xr:uid="{A7632ACD-8462-4E46-8735-5DC44ACD9513}"/>
    <cellStyle name="Normal 2 6 4" xfId="1921" xr:uid="{8C536B2B-416F-43E4-95D1-BC0C7C5A9E9B}"/>
    <cellStyle name="Normal 2 6 5" xfId="1922" xr:uid="{886741E0-71D9-418D-A015-AFAB47D644A2}"/>
    <cellStyle name="Normal 2 6 6" xfId="1923" xr:uid="{3584DCFD-710D-4521-915B-460A42DBDF92}"/>
    <cellStyle name="Normal 2 6 7" xfId="1924" xr:uid="{81AF7BDF-8FBE-4E3D-B8BE-163D17707DFF}"/>
    <cellStyle name="Normal 2 6 8" xfId="1925" xr:uid="{20E2BE98-1E4D-4D40-8856-8EEBB9567577}"/>
    <cellStyle name="Normal 2 6 9" xfId="1926" xr:uid="{61DB8B33-DF2D-4EEE-AD73-E55FA58434FE}"/>
    <cellStyle name="Normal 2 7" xfId="1927" xr:uid="{AD64F139-D146-4704-A929-1D0D84B4A466}"/>
    <cellStyle name="Normal 2 8" xfId="1928" xr:uid="{426DE52F-672E-4F3E-8214-8E15F49F40DB}"/>
    <cellStyle name="Normal 2 8 2" xfId="1929" xr:uid="{2FCB42D8-F5D5-4943-96CB-C115F0DEE40D}"/>
    <cellStyle name="Normal 2 8 3" xfId="1930" xr:uid="{401A63E7-0853-49A3-8D54-E623B3C5CFE0}"/>
    <cellStyle name="Normal 2 8 4" xfId="1931" xr:uid="{DB1D1BB0-310F-4B02-80BA-D10A0D2D34C6}"/>
    <cellStyle name="Normal 2 9" xfId="1932" xr:uid="{66A7B0E1-3FE1-47C9-8530-26E1910E71FC}"/>
    <cellStyle name="Normal 2 9 2" xfId="1933" xr:uid="{3837A45A-1292-426E-842A-EC62FB7A5745}"/>
    <cellStyle name="Normal 20" xfId="1934" xr:uid="{7B7B3E10-5438-4C30-9C32-BD2C73870986}"/>
    <cellStyle name="Normal 20 2" xfId="1935" xr:uid="{AEF32BD0-8F05-4971-B1D6-329B1A704F8A}"/>
    <cellStyle name="Normal 21" xfId="1936" xr:uid="{DC072037-CC04-4529-B347-F4C944B4A233}"/>
    <cellStyle name="Normal 21 2" xfId="1937" xr:uid="{DC1BE5C3-6F3F-43F7-A243-A8C2C399B51A}"/>
    <cellStyle name="Normal 21_Scen_XBase" xfId="1938" xr:uid="{D6B4C18D-B9A8-4EB9-9FEC-CBBCFFC967ED}"/>
    <cellStyle name="Normal 22" xfId="1939" xr:uid="{B4E542CB-961F-4D12-9964-0B7F8005D214}"/>
    <cellStyle name="Normal 23" xfId="1940" xr:uid="{4905B617-9F31-402A-98C3-979BF8DCB09E}"/>
    <cellStyle name="Normal 23 2" xfId="1941" xr:uid="{8C508C53-DECF-4F9B-BACB-74B297A86A0D}"/>
    <cellStyle name="Normal 23 3" xfId="1942" xr:uid="{FA7DF490-C9BC-4620-9030-DA24FC73014C}"/>
    <cellStyle name="Normal 24" xfId="1943" xr:uid="{CC130536-0FD6-40BF-A6A1-118D6F6A94C2}"/>
    <cellStyle name="Normal 24 10" xfId="1944" xr:uid="{B7C163A3-A601-472C-BED2-EB635CFDE68F}"/>
    <cellStyle name="Normal 24 11" xfId="1945" xr:uid="{38442D0B-9E83-42ED-B162-F46D45C3BD8C}"/>
    <cellStyle name="Normal 24 12" xfId="1946" xr:uid="{DF1940A0-6151-4765-9B23-39B07E4860FC}"/>
    <cellStyle name="Normal 24 13" xfId="1947" xr:uid="{509B52B9-837F-4167-8484-0C5EC4794669}"/>
    <cellStyle name="Normal 24 14" xfId="1948" xr:uid="{AEF7EE00-C211-4C88-AFA6-E83669B78086}"/>
    <cellStyle name="Normal 24 15" xfId="1949" xr:uid="{D89E6E3D-8393-48E9-9615-18A21068D8D1}"/>
    <cellStyle name="Normal 24 16" xfId="1950" xr:uid="{97080A0D-CC13-4AA7-AE5D-74AECF3C890A}"/>
    <cellStyle name="Normal 24 17" xfId="1951" xr:uid="{36695603-2A88-48CC-830F-D06D6EB682B7}"/>
    <cellStyle name="Normal 24 18" xfId="1952" xr:uid="{7547AF21-D9A2-4CB2-8472-E13C7E466D89}"/>
    <cellStyle name="Normal 24 19" xfId="1953" xr:uid="{C33182EA-70D1-4B78-A994-10876332E038}"/>
    <cellStyle name="Normal 24 2" xfId="1954" xr:uid="{8961A51E-9E6D-4A58-A6FF-C954FC923BF8}"/>
    <cellStyle name="Normal 24 20" xfId="1955" xr:uid="{B1641710-6E5D-4A87-80D8-95C7034F1EAC}"/>
    <cellStyle name="Normal 24 21" xfId="1956" xr:uid="{0BC701A0-6E95-4AFC-A9F2-768CD2E86969}"/>
    <cellStyle name="Normal 24 22" xfId="1957" xr:uid="{4ACA3F31-9C11-4EB6-B4AF-903DB3D98B13}"/>
    <cellStyle name="Normal 24 3" xfId="1958" xr:uid="{B006574B-6139-4CE7-8903-8A26EBDE96D4}"/>
    <cellStyle name="Normal 24 4" xfId="1959" xr:uid="{BD5584E3-B495-4D7D-B5FF-15ABE308688A}"/>
    <cellStyle name="Normal 24 5" xfId="1960" xr:uid="{90F1382F-43B6-4350-A74A-3FF9CFE10B56}"/>
    <cellStyle name="Normal 24 6" xfId="1961" xr:uid="{A3F18456-64EE-438E-869F-2FCFC53929DA}"/>
    <cellStyle name="Normal 24 7" xfId="1962" xr:uid="{6A698EED-CC71-4095-AF6C-9CEB5006F9C2}"/>
    <cellStyle name="Normal 24 8" xfId="1963" xr:uid="{C602AABC-07FC-4C74-8897-F56636AA080B}"/>
    <cellStyle name="Normal 24 9" xfId="1964" xr:uid="{5C04984A-AE04-4BB1-B086-668132B1E1AE}"/>
    <cellStyle name="Normal 25" xfId="1965" xr:uid="{EE94F9EC-79B0-4C7D-BF6B-E7570DCE6914}"/>
    <cellStyle name="Normal 26" xfId="1966" xr:uid="{3C61E789-70C5-49CC-8491-C04EBEFDF7C7}"/>
    <cellStyle name="Normal 26 2" xfId="1967" xr:uid="{8C6594DB-D525-44F3-88BC-DA1B673FA7C0}"/>
    <cellStyle name="Normal 27" xfId="1968" xr:uid="{02813883-C0F7-46FD-B3F7-3A3450E20212}"/>
    <cellStyle name="Normal 27 2" xfId="1969" xr:uid="{04E91428-CF0E-4837-A042-59C094402382}"/>
    <cellStyle name="Normal 28" xfId="1970" xr:uid="{1B2BB0B3-5E42-4F77-98BA-90FD9BF8E31A}"/>
    <cellStyle name="Normal 29" xfId="1971" xr:uid="{C0D69FA6-50CD-424D-BE5C-270F9EA4F370}"/>
    <cellStyle name="Normal 3" xfId="1972" xr:uid="{96AF9D49-5AA6-4FB7-978F-65B417D8B6B4}"/>
    <cellStyle name="Normal 3 10" xfId="1973" xr:uid="{500A4FBD-DABB-44C6-BC0A-2FA21363F443}"/>
    <cellStyle name="Normal 3 11" xfId="1974" xr:uid="{6748EB0D-B613-45DD-A70A-345FF752F536}"/>
    <cellStyle name="Normal 3 12" xfId="1975" xr:uid="{65B71858-9757-41F9-870D-F2FD87758243}"/>
    <cellStyle name="Normal 3 13" xfId="1976" xr:uid="{5ACD4F70-C742-4B49-9E1B-185DABB9B1D2}"/>
    <cellStyle name="Normal 3 14" xfId="1977" xr:uid="{89399D6A-2268-4763-BB82-1EC3E34848BC}"/>
    <cellStyle name="Normal 3 15" xfId="1978" xr:uid="{EB90DEC7-D436-4248-8DE6-10EB743F790D}"/>
    <cellStyle name="Normal 3 16" xfId="1979" xr:uid="{DF3EEE99-FFB3-4BA1-969F-F20962F00F7B}"/>
    <cellStyle name="Normal 3 17" xfId="1980" xr:uid="{002BE09C-B799-41A7-8FD6-AE3709573A09}"/>
    <cellStyle name="Normal 3 18" xfId="1981" xr:uid="{82D8C70C-9C5C-4966-9918-49654B1AED88}"/>
    <cellStyle name="Normal 3 19" xfId="1982" xr:uid="{1D00EF8F-65C2-4BFE-8A1B-B68CA0F0B9E2}"/>
    <cellStyle name="Normal 3 2" xfId="1983" xr:uid="{36067320-D73A-4D94-96AE-E3C6F58D422C}"/>
    <cellStyle name="Normal 3 2 2" xfId="1984" xr:uid="{B4221890-4739-4FD7-8FB7-41E722F01CB7}"/>
    <cellStyle name="Normal 3 2 2 2" xfId="1985" xr:uid="{A321B6FE-ABC6-41CE-AE33-A19B6AED29B7}"/>
    <cellStyle name="Normal 3 2 2 3" xfId="1986" xr:uid="{2B89732D-B489-4A70-B489-F2C9F758C174}"/>
    <cellStyle name="Normal 3 2 3" xfId="1987" xr:uid="{1F666B57-CD9B-4DCE-A0E2-9A3F970C4BEA}"/>
    <cellStyle name="Normal 3 2 4" xfId="1988" xr:uid="{F7751316-F3B3-4D6C-B09F-3FA28D16F116}"/>
    <cellStyle name="Normal 3 2 5" xfId="1989" xr:uid="{E165AD38-B312-47BD-9A21-3CB29BE78BC4}"/>
    <cellStyle name="Normal 3 2_ELC" xfId="1990" xr:uid="{E84F56A1-EDF9-4BE5-88A7-7D0C916EFEE3}"/>
    <cellStyle name="Normal 3 20" xfId="1991" xr:uid="{07B88110-8435-46C3-85DE-8E0E33BFA86F}"/>
    <cellStyle name="Normal 3 21" xfId="1992" xr:uid="{60BF1F99-9D6B-44CC-9EB1-3D99205E908F}"/>
    <cellStyle name="Normal 3 22" xfId="1993" xr:uid="{9EFA3F20-8742-4FF4-A065-05E50A97B761}"/>
    <cellStyle name="Normal 3 23" xfId="1994" xr:uid="{44C2458F-182C-4115-ABD4-E2ABBEC9ECA0}"/>
    <cellStyle name="Normal 3 24" xfId="1995" xr:uid="{2EFFD19B-CB34-4576-91C6-27616E9897CE}"/>
    <cellStyle name="Normal 3 25" xfId="1996" xr:uid="{B91CE880-8873-416D-A946-259B46B47FC0}"/>
    <cellStyle name="Normal 3 26" xfId="1997" xr:uid="{81440E99-50D1-45F3-BE0E-4397D33A8636}"/>
    <cellStyle name="Normal 3 27" xfId="1998" xr:uid="{26D7DDAD-0920-4584-A7F9-EDF2F7B1A857}"/>
    <cellStyle name="Normal 3 28" xfId="1999" xr:uid="{1798A3C1-BD14-4B47-8CE0-1197EF64A736}"/>
    <cellStyle name="Normal 3 28 2" xfId="2000" xr:uid="{E6A6301A-2BDD-4AF7-99A2-63C5D9DFEB76}"/>
    <cellStyle name="Normal 3 29" xfId="2001" xr:uid="{2DC68140-BAB8-41F9-98CC-5E9A2ED43095}"/>
    <cellStyle name="Normal 3 3" xfId="2002" xr:uid="{B52473A8-4785-445B-B424-6018539FD4BC}"/>
    <cellStyle name="Normal 3 3 2" xfId="2003" xr:uid="{62763F0D-575A-4B64-91D7-F31D65A3F99D}"/>
    <cellStyle name="Normal 3 30" xfId="2004" xr:uid="{31B0FE90-2F6A-479B-95C5-8FC0E4203BFB}"/>
    <cellStyle name="Normal 3 4" xfId="2005" xr:uid="{ECA7C168-26C0-4607-9C26-6FAD1569DD7B}"/>
    <cellStyle name="Normal 3 4 2" xfId="2006" xr:uid="{3FB554BB-5346-4AB8-890A-C6FDE75B738B}"/>
    <cellStyle name="Normal 3 4 3" xfId="2007" xr:uid="{C75DD703-3E35-4860-819D-E6BCA3A42F9B}"/>
    <cellStyle name="Normal 3 4 4" xfId="2008" xr:uid="{2894FB9F-B4CE-4046-8883-162EEA3DEED4}"/>
    <cellStyle name="Normal 3 5" xfId="2009" xr:uid="{59E58382-D1F9-4D6D-9B6A-10A7AB4414D3}"/>
    <cellStyle name="Normal 3 5 2" xfId="2010" xr:uid="{CEDDE31F-E3F9-4717-9E4A-2C9BAB0B2A08}"/>
    <cellStyle name="Normal 3 5 3" xfId="2011" xr:uid="{672F90CA-7901-46F3-9D4B-7D6C05536204}"/>
    <cellStyle name="Normal 3 6" xfId="2012" xr:uid="{CDA70C21-6D7D-43A6-A4F3-74CE2B43391C}"/>
    <cellStyle name="Normal 3 6 2" xfId="2013" xr:uid="{BF71B80D-C506-4E31-B221-8A610ADB7AD8}"/>
    <cellStyle name="Normal 3 7" xfId="2014" xr:uid="{85D642BA-6290-4947-8BC2-A9CA01C9B5B1}"/>
    <cellStyle name="Normal 3 7 2" xfId="2015" xr:uid="{FB92F9F5-1F93-4B34-9504-6EE2F0B8D2A9}"/>
    <cellStyle name="Normal 3 8" xfId="2016" xr:uid="{1CF929E2-47FA-4F3F-95E2-8CCDBDD577D4}"/>
    <cellStyle name="Normal 3 9" xfId="2017" xr:uid="{AB631F04-7148-4A7D-8742-1B6F6737C75D}"/>
    <cellStyle name="Normal 3_PrimaryEnergyPrices_TIMES" xfId="2018" xr:uid="{D2E5DCBC-8B6D-44F7-9676-784F4AF47197}"/>
    <cellStyle name="Normal 30" xfId="2019" xr:uid="{209D744F-B82D-4BAE-8780-E4FA96A66FC2}"/>
    <cellStyle name="Normal 31" xfId="2020" xr:uid="{4C255A70-7958-4700-ABA9-E83539FFAA93}"/>
    <cellStyle name="Normal 31 2" xfId="2021" xr:uid="{4DDF0052-93D0-44C3-89F3-54B1F4E05EAA}"/>
    <cellStyle name="Normal 32" xfId="2022" xr:uid="{338514B4-6CF4-4ADA-9CC0-95887960BFD1}"/>
    <cellStyle name="Normal 32 2" xfId="2023" xr:uid="{A4C5F31F-7034-47FB-A106-51309ACE0450}"/>
    <cellStyle name="Normal 33" xfId="2024" xr:uid="{077D33BB-607B-40D6-B216-207588E21CD5}"/>
    <cellStyle name="Normal 33 10" xfId="2025" xr:uid="{BB69F4BA-1900-4808-8E60-D7AE3667ADEE}"/>
    <cellStyle name="Normal 33 11" xfId="2026" xr:uid="{FC0A3B93-1F82-4122-98A6-9F392D834836}"/>
    <cellStyle name="Normal 33 12" xfId="2027" xr:uid="{A547D573-F4CC-4A16-8F41-8B4DB75EC253}"/>
    <cellStyle name="Normal 33 13" xfId="2028" xr:uid="{B847C9ED-C72F-4346-820D-FCE36C4A4A60}"/>
    <cellStyle name="Normal 33 2" xfId="2029" xr:uid="{BA6466CA-1721-4A28-985C-F31954936363}"/>
    <cellStyle name="Normal 33 3" xfId="2030" xr:uid="{0C2FBB98-2552-4608-8DBF-B3B29DCFB26B}"/>
    <cellStyle name="Normal 33 4" xfId="2031" xr:uid="{196C51AA-C47D-4107-A61E-6561997802BD}"/>
    <cellStyle name="Normal 33 5" xfId="2032" xr:uid="{C8E92F23-6465-4336-9B12-B85AB9028B61}"/>
    <cellStyle name="Normal 33 6" xfId="2033" xr:uid="{0604AA16-FBD3-4DA9-B557-A2C703CB4E91}"/>
    <cellStyle name="Normal 33 7" xfId="2034" xr:uid="{6E059E8C-701D-48E3-85E7-9CE2180E19AB}"/>
    <cellStyle name="Normal 33 8" xfId="2035" xr:uid="{C153004A-8844-4EA4-9598-9C7A62845CF1}"/>
    <cellStyle name="Normal 33 9" xfId="2036" xr:uid="{8C15C7D1-6709-4F3B-97A7-44BE500295C8}"/>
    <cellStyle name="Normal 33_Scen_XBase" xfId="2037" xr:uid="{94FEA58C-EAE2-4A38-9895-FF853A14457B}"/>
    <cellStyle name="Normal 34" xfId="2038" xr:uid="{D889A1F2-B9DF-40DB-AA40-6460C583D5CE}"/>
    <cellStyle name="Normal 35" xfId="2039" xr:uid="{75E1966F-D491-4844-AC0A-44C7B93F59DE}"/>
    <cellStyle name="Normal 36" xfId="2040" xr:uid="{893C18E8-CEA0-4252-B04E-4EB4AEB75874}"/>
    <cellStyle name="Normal 37" xfId="2041" xr:uid="{38971F73-A174-42A2-86CB-36989A0BCDA9}"/>
    <cellStyle name="Normal 38" xfId="2042" xr:uid="{6FB06E56-D119-4C6D-A5DD-3432CC70A902}"/>
    <cellStyle name="Normal 39" xfId="1" xr:uid="{FEC4C481-83A3-476F-8EA7-703D12FDD6BC}"/>
    <cellStyle name="Normal 4" xfId="2043" xr:uid="{9EDC5E70-1C4F-46A7-B46B-F3938E702BB2}"/>
    <cellStyle name="Normal 4 10" xfId="2044" xr:uid="{F7A6C221-ADEF-4F5F-A3A7-D2EDC77240B9}"/>
    <cellStyle name="Normal 4 2" xfId="2045" xr:uid="{A8C55DDF-24C8-4567-BEA1-FC0C5D6EE193}"/>
    <cellStyle name="Normal 4 2 2" xfId="2046" xr:uid="{FEB3E200-E2EA-41E9-A986-CCEE86503220}"/>
    <cellStyle name="Normal 4 2 2 2" xfId="2047" xr:uid="{5C230408-9D2F-4E75-BA84-EA37EB52B436}"/>
    <cellStyle name="Normal 4 2 3" xfId="2048" xr:uid="{F84B2D39-7CD1-42F2-BA86-46B0740F1B78}"/>
    <cellStyle name="Normal 4 2 3 2" xfId="2049" xr:uid="{7DE2E8CD-1363-4694-8E6C-2C3CF4606EBD}"/>
    <cellStyle name="Normal 4 2_Scen_XBase" xfId="2050" xr:uid="{13828D62-66F9-491C-8E6D-907B08FA586F}"/>
    <cellStyle name="Normal 4 3" xfId="2051" xr:uid="{7F9C97FD-BA3A-4921-88AC-2D8668EA6DCA}"/>
    <cellStyle name="Normal 4 3 2" xfId="2052" xr:uid="{85F381E5-D1A1-425F-AD72-D92694106AD4}"/>
    <cellStyle name="Normal 4 3 2 2" xfId="2053" xr:uid="{431C320E-BD71-40E4-BBAA-80661623D8C6}"/>
    <cellStyle name="Normal 4 3 3" xfId="2054" xr:uid="{4E4ED8A8-EE3C-4656-95CC-C5134CF307F6}"/>
    <cellStyle name="Normal 4 3 4" xfId="2055" xr:uid="{D4B59303-0435-4B78-A457-E68A99E1977A}"/>
    <cellStyle name="Normal 4 3 5" xfId="2056" xr:uid="{595D00C5-877B-470C-A49D-032B2124B054}"/>
    <cellStyle name="Normal 4 3_Scen_XBase" xfId="2057" xr:uid="{B005C409-33B4-4499-8302-865089904C8D}"/>
    <cellStyle name="Normal 4 4" xfId="2058" xr:uid="{7237A77A-6FC5-4E76-A872-08A0454FB473}"/>
    <cellStyle name="Normal 4 4 2" xfId="2059" xr:uid="{45941D56-DD0D-418F-BED2-41DD42CC6F82}"/>
    <cellStyle name="Normal 4 4 3" xfId="2060" xr:uid="{E31AA613-57DF-4A17-AADF-57108F27FE9A}"/>
    <cellStyle name="Normal 4 5" xfId="2061" xr:uid="{EB4041F3-1896-45E7-9643-775C841A0E8C}"/>
    <cellStyle name="Normal 4 5 2" xfId="2062" xr:uid="{D75125AD-B5E0-4983-8A59-24D30B8740C6}"/>
    <cellStyle name="Normal 4 6" xfId="2063" xr:uid="{EF0A9328-A509-4FC9-930C-A61CBE934CEE}"/>
    <cellStyle name="Normal 4 6 2" xfId="2064" xr:uid="{5ADDFF59-22CD-452C-BF32-CCAAEE5F6365}"/>
    <cellStyle name="Normal 4 6 3" xfId="2065" xr:uid="{0C392405-ABD8-4692-9406-ADC34A19D206}"/>
    <cellStyle name="Normal 4 7" xfId="2066" xr:uid="{082CEF97-0F47-46BF-9970-EBF58B070A2F}"/>
    <cellStyle name="Normal 4 8" xfId="2067" xr:uid="{36DFB28B-34AD-4E92-BC89-CB4EF2CF9789}"/>
    <cellStyle name="Normal 4 9" xfId="2068" xr:uid="{949A6DD0-A831-4346-BB6D-71A2A0666657}"/>
    <cellStyle name="Normal 4_ELC" xfId="2069" xr:uid="{7EFC1DE4-59CC-4C06-B1F5-FFA236C2269A}"/>
    <cellStyle name="Normal 40" xfId="2070" xr:uid="{D8226A60-B0EF-40DC-90F1-88B60F00A447}"/>
    <cellStyle name="Normal 5" xfId="2071" xr:uid="{D0DABBFB-DEE1-47CE-8DA5-EF9188A26114}"/>
    <cellStyle name="Normal 5 10" xfId="2072" xr:uid="{1ABA14C9-62A2-493E-985B-F79AC8967AB1}"/>
    <cellStyle name="Normal 5 11" xfId="2073" xr:uid="{5738C5C5-F231-4F0E-9D85-AE9F7D74FCFC}"/>
    <cellStyle name="Normal 5 12" xfId="2074" xr:uid="{9B4E6385-447F-4E92-B42E-EFE57D3B25AE}"/>
    <cellStyle name="Normal 5 2" xfId="2075" xr:uid="{74CFA334-063E-499A-9EDE-7748D6226171}"/>
    <cellStyle name="Normal 5 2 2" xfId="2076" xr:uid="{D79287A6-2283-43C1-A3FE-24FC57457327}"/>
    <cellStyle name="Normal 5 2 2 2" xfId="2077" xr:uid="{948B4355-664B-4085-9A56-EE4FC72520F7}"/>
    <cellStyle name="Normal 5 2 3" xfId="2078" xr:uid="{8CEC0A59-222F-4B9E-985C-4E0ACA70AB6B}"/>
    <cellStyle name="Normal 5 2 4" xfId="2079" xr:uid="{AF0858DE-9A5C-4ABC-9678-E7835ACE605F}"/>
    <cellStyle name="Normal 5 3" xfId="2080" xr:uid="{EF825D4B-88BE-4DCF-BA8F-87A23D90BF98}"/>
    <cellStyle name="Normal 5 3 2" xfId="2081" xr:uid="{DC0BAD56-C5FE-4A61-918E-E96AE6FBDB0D}"/>
    <cellStyle name="Normal 5 3 3" xfId="2082" xr:uid="{74C7D28D-F106-4BB0-B611-483D1A15E013}"/>
    <cellStyle name="Normal 5 4" xfId="2083" xr:uid="{E1C72A74-333E-428B-B872-9807D95022F3}"/>
    <cellStyle name="Normal 5 5" xfId="2084" xr:uid="{8131E8B2-30C7-4BE0-ACF8-4B178AA5DCDF}"/>
    <cellStyle name="Normal 5 5 2" xfId="2085" xr:uid="{5A483D8B-EB67-4E70-BC44-2DAE4E459A55}"/>
    <cellStyle name="Normal 5 5 3" xfId="2086" xr:uid="{2C782041-9117-4028-87C2-84358D86DB1C}"/>
    <cellStyle name="Normal 5 6" xfId="2087" xr:uid="{951F5751-9F91-4E9B-A29F-924C16B14A91}"/>
    <cellStyle name="Normal 5 6 2" xfId="2088" xr:uid="{59A392C8-7424-4A2C-9386-FEBC50F7500E}"/>
    <cellStyle name="Normal 5 7" xfId="2089" xr:uid="{6DCC2360-3967-4C0D-87E4-45A7631E8D64}"/>
    <cellStyle name="Normal 5 8" xfId="2090" xr:uid="{9A0DC3C4-C21E-4FD5-9A17-FAE6E0F0A92B}"/>
    <cellStyle name="Normal 5 9" xfId="2091" xr:uid="{C6B37C64-5924-4B35-9682-D82AFAAB15AF}"/>
    <cellStyle name="Normal 50" xfId="2092" xr:uid="{B5A98266-91D1-427F-A3C5-C79E66F2CEDC}"/>
    <cellStyle name="Normal 51" xfId="2093" xr:uid="{342BF3C0-3BC2-4856-A4E2-0144E9AA5C60}"/>
    <cellStyle name="Normal 52" xfId="2094" xr:uid="{A1D607B1-5CB5-4A23-81FF-C8C51C6798C2}"/>
    <cellStyle name="Normal 53" xfId="2095" xr:uid="{D62822BE-171B-469B-B872-EC025D086422}"/>
    <cellStyle name="Normal 54" xfId="2096" xr:uid="{5F6E0EBC-32D8-4575-95DD-E3F38FBC552D}"/>
    <cellStyle name="Normal 55" xfId="2097" xr:uid="{0C5415CE-D08A-44E5-BA13-3304424D5912}"/>
    <cellStyle name="Normal 6" xfId="2098" xr:uid="{D56DDFD0-438C-49A0-A3BA-24376F498628}"/>
    <cellStyle name="Normal 6 10" xfId="2099" xr:uid="{49F1509D-D7C3-4FDE-8D2C-07D39E6AEA1F}"/>
    <cellStyle name="Normal 6 11" xfId="2100" xr:uid="{E9F94114-98C2-495F-B9B1-C37035B23FE7}"/>
    <cellStyle name="Normal 6 12" xfId="2101" xr:uid="{9DEA1EC3-3B2C-43E3-8F0C-87886E83D651}"/>
    <cellStyle name="Normal 6 13" xfId="2102" xr:uid="{CE52E120-4956-412E-8388-BC208FCA282E}"/>
    <cellStyle name="Normal 6 2" xfId="2103" xr:uid="{653A2301-A9BB-4B1B-8489-4F42BA0520A7}"/>
    <cellStyle name="Normal 6 2 10" xfId="2104" xr:uid="{3B6A5698-AB9D-4EE5-9D77-16088A06679F}"/>
    <cellStyle name="Normal 6 2 11" xfId="2105" xr:uid="{09359510-973F-416C-AC8D-533C83DEC7C4}"/>
    <cellStyle name="Normal 6 2 12" xfId="2106" xr:uid="{6AE0BFE7-21FD-4C93-8031-446FE3F2B9AB}"/>
    <cellStyle name="Normal 6 2 13" xfId="2107" xr:uid="{F38DE732-A850-4FFC-8509-0DB63173C04D}"/>
    <cellStyle name="Normal 6 2 14" xfId="2108" xr:uid="{4D6622C3-CB0D-4EA0-983D-2AD46745F8EF}"/>
    <cellStyle name="Normal 6 2 2" xfId="2109" xr:uid="{1A3BA37C-1F27-4F82-829D-4F20A206839E}"/>
    <cellStyle name="Normal 6 2 3" xfId="2110" xr:uid="{8F121B18-440A-47FB-9C1E-69E0600F94F1}"/>
    <cellStyle name="Normal 6 2 4" xfId="2111" xr:uid="{91ABC8BB-0E4D-43B1-B036-B6B137022695}"/>
    <cellStyle name="Normal 6 2 5" xfId="2112" xr:uid="{CA3B54A4-B25D-41C6-B7FA-BF0F2B1D4D25}"/>
    <cellStyle name="Normal 6 2 6" xfId="2113" xr:uid="{C7E430C7-0C88-4FFD-B748-4791AE748A1C}"/>
    <cellStyle name="Normal 6 2 7" xfId="2114" xr:uid="{1DCB6FF9-BEBA-4C1E-B2DF-C3501D244982}"/>
    <cellStyle name="Normal 6 2 8" xfId="2115" xr:uid="{828C0DC4-D02D-484B-8E74-B4F1AFC03A77}"/>
    <cellStyle name="Normal 6 2 9" xfId="2116" xr:uid="{460E323D-8837-4BC1-95BB-BC4459954FA4}"/>
    <cellStyle name="Normal 6 3" xfId="2117" xr:uid="{DBB56485-2F74-4555-86D4-1A9F043779CE}"/>
    <cellStyle name="Normal 6 3 10" xfId="2118" xr:uid="{84EAC923-C3AA-4103-B0AF-0D45327A1189}"/>
    <cellStyle name="Normal 6 3 11" xfId="2119" xr:uid="{5AC5D816-552A-4CC6-A6CF-024225C0E0D5}"/>
    <cellStyle name="Normal 6 3 12" xfId="2120" xr:uid="{9C22BB79-D18E-44E9-97AB-BE08527CC27A}"/>
    <cellStyle name="Normal 6 3 13" xfId="2121" xr:uid="{4C75D299-C51D-439F-B53F-12BF8AF399BB}"/>
    <cellStyle name="Normal 6 3 14" xfId="2122" xr:uid="{348E2208-E8FE-4D41-95DA-79770220EA8C}"/>
    <cellStyle name="Normal 6 3 15" xfId="2123" xr:uid="{91C1D921-CF42-4609-A18D-498D0F150625}"/>
    <cellStyle name="Normal 6 3 16" xfId="2124" xr:uid="{1D3A526A-0B3E-438A-94F4-D3D14D847E0C}"/>
    <cellStyle name="Normal 6 3 2" xfId="2125" xr:uid="{2D033B95-6911-47A7-950D-2BC2ECEF0760}"/>
    <cellStyle name="Normal 6 3 3" xfId="2126" xr:uid="{4399F37B-291A-42DA-90DF-72F4FA586E17}"/>
    <cellStyle name="Normal 6 3 4" xfId="2127" xr:uid="{3FC6E4B2-71C4-403A-8DB7-D7D96C4DC009}"/>
    <cellStyle name="Normal 6 3 5" xfId="2128" xr:uid="{59D0FFAF-552B-447F-9EAE-9F0C2373601F}"/>
    <cellStyle name="Normal 6 3 6" xfId="2129" xr:uid="{260363C3-9CF0-467D-A259-450B39FB215F}"/>
    <cellStyle name="Normal 6 3 7" xfId="2130" xr:uid="{46E01477-F110-412B-80D0-9B52C41DDDDB}"/>
    <cellStyle name="Normal 6 3 8" xfId="2131" xr:uid="{1D183B3E-620D-433A-B7D4-DB14A0DF0CFD}"/>
    <cellStyle name="Normal 6 3 9" xfId="2132" xr:uid="{DA8B4D9E-8840-406D-B5A4-BFEA3F339BDF}"/>
    <cellStyle name="Normal 6 4" xfId="2133" xr:uid="{CC96EBB9-925A-4767-BCD2-1F3630ED8759}"/>
    <cellStyle name="Normal 6 5" xfId="2134" xr:uid="{148F6336-BF94-4ACE-8036-D2D02E6D1164}"/>
    <cellStyle name="Normal 6 6" xfId="2135" xr:uid="{6A1772D4-1940-4E6C-AD7A-1251FFF951F1}"/>
    <cellStyle name="Normal 6 7" xfId="2136" xr:uid="{167D9993-6C19-4449-921B-1FCBD5363646}"/>
    <cellStyle name="Normal 6 8" xfId="2137" xr:uid="{D30E4C6A-2B03-41F9-91B6-8A3C75B17B97}"/>
    <cellStyle name="Normal 6 9" xfId="2138" xr:uid="{DC19BF18-F324-45DE-BBEE-22D088B54F0D}"/>
    <cellStyle name="Normal 6_ELC" xfId="2139" xr:uid="{AA666EA2-23B1-445D-B1F6-2CB04678B2F3}"/>
    <cellStyle name="Normal 7" xfId="2140" xr:uid="{B86FD9B5-F9C3-468F-A6F6-BBC64220921E}"/>
    <cellStyle name="Normal 7 2" xfId="2141" xr:uid="{7E99E1CC-CC38-4D85-9D1C-44893EF4C8CE}"/>
    <cellStyle name="Normal 7 2 2" xfId="2142" xr:uid="{BC423B97-54DD-4BBD-BBA9-5B4CF80E9793}"/>
    <cellStyle name="Normal 7 2 3" xfId="2143" xr:uid="{01EA0C33-395B-4691-9688-46F4AF18C6D9}"/>
    <cellStyle name="Normal 7 2_Scen_XBase" xfId="2144" xr:uid="{5DE9AB96-0B28-4661-8A65-C9C94D14E738}"/>
    <cellStyle name="Normal 7 3" xfId="2145" xr:uid="{EAF7D8FB-FE01-4371-9613-4E0F6E0DED46}"/>
    <cellStyle name="Normal 7 4" xfId="2146" xr:uid="{ACA6B572-7B3F-4682-9778-59B41D92C079}"/>
    <cellStyle name="Normal 8" xfId="2147" xr:uid="{DC168DAD-2784-4B8E-A9C1-C241825B8BA8}"/>
    <cellStyle name="Normal 8 10" xfId="2148" xr:uid="{2675FCB0-CF6C-4E97-B01F-D2E85FE50F66}"/>
    <cellStyle name="Normal 8 11" xfId="2149" xr:uid="{48F9CD7F-CEF5-4B62-870A-41917C8DD8C2}"/>
    <cellStyle name="Normal 8 2" xfId="2150" xr:uid="{D409208D-A0D4-4155-8436-EE8F61EE7FCD}"/>
    <cellStyle name="Normal 8 3" xfId="2151" xr:uid="{A71FF119-CE91-4317-AA00-DC1024717788}"/>
    <cellStyle name="Normal 8 4" xfId="2152" xr:uid="{0A2B3999-953A-49FC-A63D-43624994BF3E}"/>
    <cellStyle name="Normal 8 5" xfId="2153" xr:uid="{CF207B53-98DA-40AF-85AE-16372AA1636A}"/>
    <cellStyle name="Normal 8 6" xfId="2154" xr:uid="{B69A4798-2235-48AE-829C-0A1ABD8AA68A}"/>
    <cellStyle name="Normal 8 7" xfId="2155" xr:uid="{3B11C228-9E9F-451E-A86F-F88C2D4A3007}"/>
    <cellStyle name="Normal 8 8" xfId="2156" xr:uid="{4E73CA42-7049-41EE-9357-05E76F7F48A6}"/>
    <cellStyle name="Normal 8 9" xfId="2157" xr:uid="{3F38ED17-9C2F-400C-9CAE-5C7BEB5B0722}"/>
    <cellStyle name="Normal 9" xfId="2158" xr:uid="{EF8A9899-540B-4620-AB92-744A82018608}"/>
    <cellStyle name="Normal 9 2" xfId="2159" xr:uid="{DC0E8E3D-072B-4A3C-AD63-BF2ED8B4FA34}"/>
    <cellStyle name="Normal 9 2 2" xfId="2160" xr:uid="{A3B77769-35A3-4B06-8446-AF8BD91E8217}"/>
    <cellStyle name="Normal 9 3" xfId="2161" xr:uid="{26DF877D-210D-41B8-9F76-3F1B44D60E38}"/>
    <cellStyle name="Normal 9 4" xfId="2162" xr:uid="{A2C4086B-4284-4A5F-A7EF-2AC217977BB6}"/>
    <cellStyle name="Normal 9 5" xfId="2163" xr:uid="{9147446E-6014-48EF-B883-1851AF57FBB7}"/>
    <cellStyle name="Normal 9 6" xfId="2164" xr:uid="{2EED255F-F28C-4953-AA26-3F4BC435B40D}"/>
    <cellStyle name="Normal 9 7" xfId="2165" xr:uid="{9588437F-7CFF-4F95-BB52-6BC6642CD798}"/>
    <cellStyle name="Normal 9 8" xfId="2166" xr:uid="{C51B7340-623D-4F27-AA87-6421D2559756}"/>
    <cellStyle name="Normal 9 9" xfId="2167" xr:uid="{2BF1DA57-5033-4AC7-9FF3-28C020C9B658}"/>
    <cellStyle name="Normal GHG Numbers (0.00)" xfId="2168" xr:uid="{581C4D69-7A41-494D-ABE2-D21C886C9971}"/>
    <cellStyle name="Normal GHG Textfiels Bold" xfId="2169" xr:uid="{8DEC694B-67D1-4DCF-8DBC-B72540CC08FB}"/>
    <cellStyle name="Normal GHG whole table" xfId="2170" xr:uid="{166619C2-9D74-4053-A338-B655BA804ABA}"/>
    <cellStyle name="Normal GHG-Shade" xfId="2171" xr:uid="{649E25FC-E153-420D-AC0C-49FA8E29651F}"/>
    <cellStyle name="Normal_Transport Battery" xfId="3273" xr:uid="{3A0B7207-7D05-42AF-9468-AB8309056764}"/>
    <cellStyle name="Normale_B2020" xfId="2172" xr:uid="{9B4F3A4E-EC0D-461D-BF7E-27BC35DCA4A2}"/>
    <cellStyle name="Note 10" xfId="2174" xr:uid="{B3BFE16D-D69B-4E33-94C5-F3F041FBDD06}"/>
    <cellStyle name="Note 10 2" xfId="2175" xr:uid="{41640EA5-464C-4950-86AC-4AE87143B8E5}"/>
    <cellStyle name="Note 10 3" xfId="2176" xr:uid="{7788E9B6-A498-4197-A525-B833901A3001}"/>
    <cellStyle name="Note 10 3 2" xfId="2177" xr:uid="{2F6F84D2-E375-4494-B535-BE18E3814E4D}"/>
    <cellStyle name="Note 10 3_ELC_final" xfId="2178" xr:uid="{092A8A47-7202-4F40-B36F-AEC5F9A42F9E}"/>
    <cellStyle name="Note 10_ELC_final" xfId="2179" xr:uid="{91616D67-7403-447B-8326-33D0D94EE162}"/>
    <cellStyle name="Note 11" xfId="2180" xr:uid="{2001DCC6-68D8-4984-AF66-E953E33B1AE7}"/>
    <cellStyle name="Note 11 2" xfId="2181" xr:uid="{D9CEF7DC-BB29-4111-A195-9E6724886071}"/>
    <cellStyle name="Note 11_ELC_final" xfId="2182" xr:uid="{356444C8-72DE-4ABD-A48B-41C53435ABF3}"/>
    <cellStyle name="Note 12" xfId="2183" xr:uid="{582AC846-A955-4639-A286-0DD9D3D122C9}"/>
    <cellStyle name="Note 12 2" xfId="2184" xr:uid="{504CDFC4-C1C8-4A73-B5BF-E49EEBA42AF8}"/>
    <cellStyle name="Note 12_ELC_final" xfId="2185" xr:uid="{2B32D1DC-65B9-4385-A970-C6F3C5A36421}"/>
    <cellStyle name="Note 13" xfId="2186" xr:uid="{BA30984B-906C-4AD9-B408-E445E14D5551}"/>
    <cellStyle name="Note 13 2" xfId="2187" xr:uid="{4574ED92-82F8-499F-9E8A-D8B4680F9763}"/>
    <cellStyle name="Note 13_ELC_final" xfId="2188" xr:uid="{C47A68BF-D7EF-4265-8AFA-104251784983}"/>
    <cellStyle name="Note 14" xfId="2189" xr:uid="{78D8F3CD-00B1-4F33-975B-053255196DA6}"/>
    <cellStyle name="Note 14 2" xfId="2190" xr:uid="{3BCF8EF6-98E2-4121-8551-135E3E1EBE77}"/>
    <cellStyle name="Note 14_ELC_final" xfId="2191" xr:uid="{6EEAEAD1-271E-4B99-AA9D-5B1AD4C1B0E2}"/>
    <cellStyle name="Note 15" xfId="2192" xr:uid="{524D2458-3E66-4855-8629-04F6F1CBEC5D}"/>
    <cellStyle name="Note 15 2" xfId="2193" xr:uid="{8D579397-BF4C-4FF4-8A0E-8B49D2096BBF}"/>
    <cellStyle name="Note 15_ELC_final" xfId="2194" xr:uid="{672B2B50-51AB-4CBE-B660-0EADF56BF127}"/>
    <cellStyle name="Note 16" xfId="2195" xr:uid="{197C2374-ABFA-4D51-945C-41045116B401}"/>
    <cellStyle name="Note 16 2" xfId="2196" xr:uid="{DEA71A96-0F15-4950-BC3E-F2695F0FE13F}"/>
    <cellStyle name="Note 16_ELC_final" xfId="2197" xr:uid="{BD2BD835-F9B0-4DC8-A2D2-4B91146F54F0}"/>
    <cellStyle name="Note 17" xfId="2198" xr:uid="{238FC1E2-BB85-4435-B68A-70FA9A07AC4C}"/>
    <cellStyle name="Note 17 2" xfId="2199" xr:uid="{C351C7C0-A2FC-4655-85BE-862B30E10E01}"/>
    <cellStyle name="Note 17_ELC_final" xfId="2200" xr:uid="{7D6B650F-EA1B-47E2-BFEA-D57C76CF7E2A}"/>
    <cellStyle name="Note 18" xfId="2201" xr:uid="{4EFAFA11-F9CE-4C5A-B892-35BC579F6680}"/>
    <cellStyle name="Note 18 2" xfId="2202" xr:uid="{31A9053D-CC4E-4A21-AB04-1D635FA06CFF}"/>
    <cellStyle name="Note 18_ELC_final" xfId="2203" xr:uid="{A176D7D7-A419-4942-915E-10416367E3B7}"/>
    <cellStyle name="Note 19" xfId="2204" xr:uid="{DDD74C65-88FD-45F3-82BC-81F202C11751}"/>
    <cellStyle name="Note 2" xfId="2205" xr:uid="{FEEA7BB1-5920-4F43-8210-DBEBE711B1C9}"/>
    <cellStyle name="Note 2 2" xfId="2206" xr:uid="{8A7343D1-FD70-478B-8802-019E16A33612}"/>
    <cellStyle name="Note 2 3" xfId="2207" xr:uid="{07413AC3-E2D7-4C61-B74E-30BE83E649C4}"/>
    <cellStyle name="Note 2 4" xfId="2208" xr:uid="{1031CBBC-AE32-4D42-8B90-D8248665B984}"/>
    <cellStyle name="Note 2 5" xfId="2209" xr:uid="{0EF892D3-E62E-4155-9997-20FBC32E0766}"/>
    <cellStyle name="Note 2_PrimaryEnergyPrices_TIMES" xfId="2210" xr:uid="{E8668ED8-29BC-4BAA-9F3F-A9811D3AC10D}"/>
    <cellStyle name="Note 20" xfId="2211" xr:uid="{14BF60E0-F08F-4405-A81C-61B2A9CBDB3B}"/>
    <cellStyle name="Note 21" xfId="2212" xr:uid="{5346C649-B59E-4E2A-A362-9007C43D8754}"/>
    <cellStyle name="Note 22" xfId="2213" xr:uid="{DB7F2130-CFB1-4D07-9766-A690165AA1B1}"/>
    <cellStyle name="Note 23" xfId="2214" xr:uid="{6E5C18FB-F0C8-4993-9E56-C88B1202D28F}"/>
    <cellStyle name="Note 24" xfId="2215" xr:uid="{AF641EC7-E955-4B74-9370-4DE42020C7EC}"/>
    <cellStyle name="Note 25" xfId="2216" xr:uid="{3DEC388C-4BC4-42AF-88F3-DA1C64A8D516}"/>
    <cellStyle name="Note 26" xfId="2217" xr:uid="{5C9C4E0E-F356-48DA-835A-08740D64C673}"/>
    <cellStyle name="Note 27" xfId="2218" xr:uid="{900C8173-3F78-4D7F-B68A-369438BC2C04}"/>
    <cellStyle name="Note 28" xfId="2219" xr:uid="{FBB17BA3-E9F1-4D67-95A1-482D517A46EE}"/>
    <cellStyle name="Note 29" xfId="2220" xr:uid="{1221AD67-0FEE-4D48-B0EE-B1695D9F83CD}"/>
    <cellStyle name="Note 3" xfId="2221" xr:uid="{ACCABA26-1CD3-4A62-9DB8-7F827CA8E5D9}"/>
    <cellStyle name="Note 3 2" xfId="2222" xr:uid="{B8DFCCA1-84F7-4C9C-BBBA-75BB8E06A67D}"/>
    <cellStyle name="Note 3 2 2" xfId="2223" xr:uid="{71A3BC76-12E6-4058-B3D3-0F7C36B81F3A}"/>
    <cellStyle name="Note 3 3" xfId="2224" xr:uid="{566B4491-62CA-4EEF-979D-6003129EDB80}"/>
    <cellStyle name="Note 3 4" xfId="2225" xr:uid="{738F34F2-C46E-47AF-B673-9720EB6FB849}"/>
    <cellStyle name="Note 3 5" xfId="2226" xr:uid="{95BD0FA1-2232-4C85-BBFC-A47AA28F9B49}"/>
    <cellStyle name="Note 3 6" xfId="2227" xr:uid="{6705B9A9-12C6-4E04-AAF8-EB272A41777D}"/>
    <cellStyle name="Note 3_PrimaryEnergyPrices_TIMES" xfId="2228" xr:uid="{82050C91-718B-4FB1-AD41-22F0F6191C6E}"/>
    <cellStyle name="Note 30" xfId="2229" xr:uid="{0323E122-5506-4CAB-B011-F6632DDA56F6}"/>
    <cellStyle name="Note 31" xfId="2230" xr:uid="{11FD273A-7D16-492F-92FC-03C26F589C74}"/>
    <cellStyle name="Note 32" xfId="2231" xr:uid="{5448DDCB-7891-43C7-83B1-1ED1039DC235}"/>
    <cellStyle name="Note 33" xfId="2232" xr:uid="{5A97035D-1D67-4133-B355-896D8A3A622E}"/>
    <cellStyle name="Note 34" xfId="2233" xr:uid="{50AD9980-E62D-482D-8780-FFA0ADEE77E2}"/>
    <cellStyle name="Note 35" xfId="2234" xr:uid="{D41262A1-138C-46EB-A2D7-32125E4FA15B}"/>
    <cellStyle name="Note 36" xfId="2235" xr:uid="{CDB838F2-FB51-4833-AFCF-5AA0CA5B0329}"/>
    <cellStyle name="Note 37" xfId="2236" xr:uid="{07FB82D3-184E-4A96-8B1B-40C63E460D49}"/>
    <cellStyle name="Note 38" xfId="2237" xr:uid="{A2603651-B351-46E5-9DEF-A534FD87F884}"/>
    <cellStyle name="Note 39" xfId="2238" xr:uid="{E997536F-34F0-4303-8473-02861B9C2AD3}"/>
    <cellStyle name="Note 4" xfId="2239" xr:uid="{80781F56-73E9-4B59-BA42-4684B7DC1E6D}"/>
    <cellStyle name="Note 4 2" xfId="2240" xr:uid="{07D5EAD9-DAB6-46BD-894C-3DB7162E6C1C}"/>
    <cellStyle name="Note 4 3" xfId="2241" xr:uid="{657C0454-9596-4360-BCE7-6F0FEA0E2872}"/>
    <cellStyle name="Note 4 3 2" xfId="2242" xr:uid="{74355FC8-F409-457D-8D29-DFB006EE5A64}"/>
    <cellStyle name="Note 4 3_ELC_final" xfId="2243" xr:uid="{BAB1AC8A-F60A-4268-B195-39EA3B6435F3}"/>
    <cellStyle name="Note 4 4" xfId="2244" xr:uid="{13C7CC77-FDE8-40EB-84C2-6DB62456A461}"/>
    <cellStyle name="Note 4_ELC_final" xfId="2245" xr:uid="{675AACC2-3690-4CF0-A885-98432CCCF6A1}"/>
    <cellStyle name="Note 40" xfId="2246" xr:uid="{5AEAF0D8-9FD9-4704-A459-49223E9C30B4}"/>
    <cellStyle name="Note 41" xfId="2247" xr:uid="{F76DBD4D-B0C5-4873-9FC3-A7C4FB8948D7}"/>
    <cellStyle name="Note 42" xfId="2173" xr:uid="{9D7AC149-29A9-4D6C-A510-C5A2E6D12CA8}"/>
    <cellStyle name="Note 5" xfId="2248" xr:uid="{A24FE67F-23C4-4F07-9755-84E9BD4C7CB3}"/>
    <cellStyle name="Note 5 2" xfId="2249" xr:uid="{860B8179-3652-443B-AD22-D023ADBA7C73}"/>
    <cellStyle name="Note 5 3" xfId="2250" xr:uid="{39B78084-9CAE-4E07-901B-5700F26E7580}"/>
    <cellStyle name="Note 5 3 2" xfId="2251" xr:uid="{C19C7498-18A1-4361-8B3C-D14484608933}"/>
    <cellStyle name="Note 5 3_ELC_final" xfId="2252" xr:uid="{DEB6E9CD-3A03-487C-8DC3-440914C005AF}"/>
    <cellStyle name="Note 5 4" xfId="2253" xr:uid="{6846F449-E839-4340-BCD1-6F92D38CC4DF}"/>
    <cellStyle name="Note 5_ELC_final" xfId="2254" xr:uid="{110B9095-3D9B-48DD-9E28-D93BE204A180}"/>
    <cellStyle name="Note 6" xfId="2255" xr:uid="{1DFAB9AC-B0DD-4217-8171-ED13D64351DF}"/>
    <cellStyle name="Note 6 2" xfId="2256" xr:uid="{F36AC4FB-5DA7-448A-86A7-D9716E783432}"/>
    <cellStyle name="Note 6 3" xfId="2257" xr:uid="{4B194192-F0B7-4B2F-B24D-D873E2FDFAF5}"/>
    <cellStyle name="Note 6 3 2" xfId="2258" xr:uid="{EF4FFECD-0EAF-4E93-B571-E1426A640882}"/>
    <cellStyle name="Note 6 3_ELC_final" xfId="2259" xr:uid="{17E508F1-6756-4571-AFF8-DC876AF8BCD6}"/>
    <cellStyle name="Note 6 4" xfId="2260" xr:uid="{63735F0E-A322-4403-86FC-0AE71CDE6F17}"/>
    <cellStyle name="Note 6_ELC_final" xfId="2261" xr:uid="{5757F12F-B7C5-4D70-B7E1-AA118241C555}"/>
    <cellStyle name="Note 7" xfId="2262" xr:uid="{2E595588-0015-42C6-BFE8-A71984BE5F76}"/>
    <cellStyle name="Note 7 2" xfId="2263" xr:uid="{3170A128-17E1-48BD-96EF-A4138EC1CCFF}"/>
    <cellStyle name="Note 7 3" xfId="2264" xr:uid="{C68EF7C2-E738-4F21-9E7C-B7FF3ACBEC15}"/>
    <cellStyle name="Note 7 3 2" xfId="2265" xr:uid="{E53C82F5-B87D-4967-8F64-5E28919FC811}"/>
    <cellStyle name="Note 7 3_ELC_final" xfId="2266" xr:uid="{2E0B66B4-8F4C-4C81-B5B4-E049130169E8}"/>
    <cellStyle name="Note 7 4" xfId="2267" xr:uid="{79928372-71B8-4280-A692-F984951AD8B0}"/>
    <cellStyle name="Note 7_ELC_final" xfId="2268" xr:uid="{1D27B4D3-26F8-446C-8B73-0CED5C4B15A5}"/>
    <cellStyle name="Note 8" xfId="2269" xr:uid="{B16FF944-B4CC-46F3-8E35-DA26D2EB470B}"/>
    <cellStyle name="Note 8 2" xfId="2270" xr:uid="{CC22A79A-C44B-448E-9DED-79564B416CFA}"/>
    <cellStyle name="Note 8 3" xfId="2271" xr:uid="{2E00A141-E2AE-4605-A309-03C92B1B2F0B}"/>
    <cellStyle name="Note 8 3 2" xfId="2272" xr:uid="{1AB059F3-95E7-4D26-B92C-DB9E1109B999}"/>
    <cellStyle name="Note 8 3_ELC_final" xfId="2273" xr:uid="{E7069B36-7BCA-4F88-9560-65380C48FEFE}"/>
    <cellStyle name="Note 8 4" xfId="2274" xr:uid="{857E7A45-477B-4E84-9431-73D9F856817C}"/>
    <cellStyle name="Note 8_ELC_final" xfId="2275" xr:uid="{CC66893F-F791-461A-817E-AD03B952204D}"/>
    <cellStyle name="Note 9" xfId="2276" xr:uid="{BBF794E7-3D6B-497C-98F2-35CE2CA46002}"/>
    <cellStyle name="Note 9 2" xfId="2277" xr:uid="{A72C902C-94A5-42AD-86EE-8D410DBC6D8A}"/>
    <cellStyle name="Note 9 3" xfId="2278" xr:uid="{3229C533-77E9-4CC1-A4B6-918DB5BDC16B}"/>
    <cellStyle name="Note 9 3 2" xfId="2279" xr:uid="{A664853F-2AB8-43D2-962F-D492F8BE56CB}"/>
    <cellStyle name="Note 9 3_ELC_final" xfId="2280" xr:uid="{08648988-BFDF-44F7-A5B0-E34129AB8EC5}"/>
    <cellStyle name="Note 9 4" xfId="2281" xr:uid="{DF18DC92-3D07-46D5-A56D-22C31115DB47}"/>
    <cellStyle name="Note 9_ELC_final" xfId="2282" xr:uid="{97153795-DE24-42FD-9B36-7F71D997067B}"/>
    <cellStyle name="Notiz" xfId="2283" xr:uid="{ABE12DB3-58FB-4DBF-8F74-AAB448E99B88}"/>
    <cellStyle name="Notiz 2" xfId="2284" xr:uid="{353029F5-E0BF-42EF-B844-D27BFE4009A6}"/>
    <cellStyle name="Notiz 3" xfId="2285" xr:uid="{7BF875D2-F944-4228-A160-CBAA1EA8D41E}"/>
    <cellStyle name="num_note" xfId="2286" xr:uid="{01A8D66F-91B1-4EAF-8819-3C23E8A90DA6}"/>
    <cellStyle name="Nuovo" xfId="2287" xr:uid="{F502D27C-2660-4D83-9A0D-F46D5B448A79}"/>
    <cellStyle name="Nuovo 10" xfId="2288" xr:uid="{4FCC4319-38CF-4C2E-9AEA-BD6B9D5DC5E2}"/>
    <cellStyle name="Nuovo 11" xfId="2289" xr:uid="{B32E8444-E456-4DE8-A315-E7444E991C25}"/>
    <cellStyle name="Nuovo 12" xfId="2290" xr:uid="{01DD5C26-E49E-4636-80D3-DA255640FF8E}"/>
    <cellStyle name="Nuovo 13" xfId="2291" xr:uid="{2543D7ED-2669-4E96-B8B3-6434B4992821}"/>
    <cellStyle name="Nuovo 14" xfId="2292" xr:uid="{DA29C9BE-F85F-4D13-A510-5DBB6666F286}"/>
    <cellStyle name="Nuovo 15" xfId="2293" xr:uid="{8AA23B87-2ADE-4204-ACDE-568FDDF62455}"/>
    <cellStyle name="Nuovo 16" xfId="2294" xr:uid="{2BA9A5B0-1E27-4398-B2B2-F9C612D9B9C6}"/>
    <cellStyle name="Nuovo 17" xfId="2295" xr:uid="{12151649-95E2-48D4-AB47-93135AF449B8}"/>
    <cellStyle name="Nuovo 18" xfId="2296" xr:uid="{60606690-A843-4834-9AD9-AE3632380E94}"/>
    <cellStyle name="Nuovo 19" xfId="2297" xr:uid="{E6C246D3-805F-4C9C-9DE1-EAD2DD7DE71F}"/>
    <cellStyle name="Nuovo 2" xfId="2298" xr:uid="{C43B371C-F9DF-4C68-B0E7-9A9AC1CCC3B4}"/>
    <cellStyle name="Nuovo 20" xfId="2299" xr:uid="{B83F5161-C4F2-4C1F-A5E0-6C0487376E15}"/>
    <cellStyle name="Nuovo 21" xfId="2300" xr:uid="{928A87A1-9631-4A6B-A7A1-E5B6CF255646}"/>
    <cellStyle name="Nuovo 22" xfId="2301" xr:uid="{98858D68-724D-4954-B8CE-4903CEA93859}"/>
    <cellStyle name="Nuovo 23" xfId="2302" xr:uid="{8A9FC0EF-B074-458A-A876-04413F46F2FF}"/>
    <cellStyle name="Nuovo 24" xfId="2303" xr:uid="{64B1C99C-8D1C-440D-BB6A-228E79DBA3BB}"/>
    <cellStyle name="Nuovo 25" xfId="2304" xr:uid="{762E818E-74C4-4638-BB52-B60242D01226}"/>
    <cellStyle name="Nuovo 26" xfId="2305" xr:uid="{41A1DF98-A752-45BB-B992-B2C1EF98CDDF}"/>
    <cellStyle name="Nuovo 27" xfId="2306" xr:uid="{8EB2BFAF-040D-400F-84DF-A2605AF85B6F}"/>
    <cellStyle name="Nuovo 28" xfId="2307" xr:uid="{BDD7FE9E-C596-44E9-BEFB-64A08DB2DC9C}"/>
    <cellStyle name="Nuovo 29" xfId="2308" xr:uid="{250CC4A5-929D-4AED-9E5C-0FA9957F8492}"/>
    <cellStyle name="Nuovo 3" xfId="2309" xr:uid="{82AB4A5F-801A-4595-AEB7-930009BC211B}"/>
    <cellStyle name="Nuovo 30" xfId="2310" xr:uid="{3FAE98FE-B50F-409F-BEFD-F875E1BC1B42}"/>
    <cellStyle name="Nuovo 31" xfId="2311" xr:uid="{409E076F-A12E-4ECF-89B3-D342561C6B22}"/>
    <cellStyle name="Nuovo 32" xfId="2312" xr:uid="{56E8D7BE-8AA2-4451-9163-5B2C7567649E}"/>
    <cellStyle name="Nuovo 33" xfId="2313" xr:uid="{CA396210-AF01-413D-9EF6-3A64D46DC438}"/>
    <cellStyle name="Nuovo 34" xfId="2314" xr:uid="{40981F5F-12DE-4001-B856-D704C39CD1DE}"/>
    <cellStyle name="Nuovo 35" xfId="2315" xr:uid="{AA08529B-80B9-45DA-BB02-639681C409DC}"/>
    <cellStyle name="Nuovo 36" xfId="2316" xr:uid="{E1B08FC3-9DF6-4FAD-A82A-5C65B291C832}"/>
    <cellStyle name="Nuovo 37" xfId="2317" xr:uid="{D86692A4-3016-40C6-8A54-014A4710D20C}"/>
    <cellStyle name="Nuovo 38" xfId="2318" xr:uid="{BB35458C-E458-4F41-9494-953897DB9E16}"/>
    <cellStyle name="Nuovo 4" xfId="2319" xr:uid="{65F6604B-AB00-441F-9061-E4D9C1D28122}"/>
    <cellStyle name="Nuovo 5" xfId="2320" xr:uid="{66354BD4-79F2-4004-9F20-3C9D7383854D}"/>
    <cellStyle name="Nuovo 6" xfId="2321" xr:uid="{138FEE10-7026-4BDF-A073-AE819B2685BD}"/>
    <cellStyle name="Nuovo 7" xfId="2322" xr:uid="{36A6284E-E114-4BA6-8A2A-33F878E6C9A2}"/>
    <cellStyle name="Nuovo 8" xfId="2323" xr:uid="{C5196ED6-808C-47AF-B189-EFBCE12FF3D5}"/>
    <cellStyle name="Nuovo 9" xfId="2324" xr:uid="{78BCCA09-FF58-430B-A135-C7722A80E40E}"/>
    <cellStyle name="Output 10" xfId="2325" xr:uid="{DFAC2CFE-D8C7-4A0D-AD12-72F5CF1D8B44}"/>
    <cellStyle name="Output 11" xfId="2326" xr:uid="{241231CD-CD2C-4001-85CB-D4896ADF1043}"/>
    <cellStyle name="Output 12" xfId="2327" xr:uid="{BAED47D4-401A-4CC2-B5D4-CB971CF0029D}"/>
    <cellStyle name="Output 13" xfId="2328" xr:uid="{3A1CB49C-6A65-48DC-A5E5-38748C889418}"/>
    <cellStyle name="Output 14" xfId="2329" xr:uid="{FC846B8A-0047-4E52-BB42-30AFEC608DD7}"/>
    <cellStyle name="Output 15" xfId="2330" xr:uid="{4B143B15-0D96-40D3-8455-D78676C0C1C4}"/>
    <cellStyle name="Output 16" xfId="2331" xr:uid="{A6FF36E1-B31D-4EE0-B118-7CAB520B6ADA}"/>
    <cellStyle name="Output 17" xfId="2332" xr:uid="{E887B6A3-CE4C-414A-8084-BB20F429BC60}"/>
    <cellStyle name="Output 18" xfId="2333" xr:uid="{B3016E72-0BCA-436A-904D-71F38048CC92}"/>
    <cellStyle name="Output 19" xfId="2334" xr:uid="{761B690D-93AD-45A2-A1F7-BC080EA0AFCA}"/>
    <cellStyle name="Output 2" xfId="2335" xr:uid="{C7FB8E38-438F-4383-AE73-97A1B7B41520}"/>
    <cellStyle name="Output 20" xfId="2336" xr:uid="{961EAF51-8A52-4BE2-8C5A-7B905E4C7023}"/>
    <cellStyle name="Output 21" xfId="2337" xr:uid="{2C54BE8B-81DA-4B64-A4C1-F12666DD5B02}"/>
    <cellStyle name="Output 22" xfId="2338" xr:uid="{D9E94E42-E356-4FF7-BA19-0707797DA7F9}"/>
    <cellStyle name="Output 23" xfId="2339" xr:uid="{4A8829A0-9120-41B3-BE40-2C21FCC3CF3C}"/>
    <cellStyle name="Output 24" xfId="2340" xr:uid="{7620BF75-446C-4B4E-8221-2269F918166F}"/>
    <cellStyle name="Output 25" xfId="2341" xr:uid="{B5903C0C-0450-4B47-BE74-507196ACA7E6}"/>
    <cellStyle name="Output 26" xfId="2342" xr:uid="{8E5639A5-55ED-43AE-B217-D00C82AD1D1D}"/>
    <cellStyle name="Output 27" xfId="2343" xr:uid="{05FD091E-886E-4237-9814-CF8E43B62D48}"/>
    <cellStyle name="Output 28" xfId="2344" xr:uid="{62481D94-B565-4FD8-9CD9-651DA9856738}"/>
    <cellStyle name="Output 29" xfId="2345" xr:uid="{B89AC582-4640-49E7-9EB4-7D3D5BD829AA}"/>
    <cellStyle name="Output 3" xfId="2346" xr:uid="{4B921FB0-81DB-457B-852A-9931F62F8955}"/>
    <cellStyle name="Output 3 2" xfId="2347" xr:uid="{3C351BF6-D95E-4970-A550-1EDABDD377BD}"/>
    <cellStyle name="Output 30" xfId="2348" xr:uid="{279853D0-8CA2-422F-9603-697F3D19181D}"/>
    <cellStyle name="Output 31" xfId="2349" xr:uid="{CF9ED3AC-1D6A-4F5E-9F62-EA933FE0FDBB}"/>
    <cellStyle name="Output 32" xfId="2350" xr:uid="{B016E3A4-3BE2-497F-B215-1743AB8096B9}"/>
    <cellStyle name="Output 33" xfId="2351" xr:uid="{3F8AB428-F518-42DC-9764-06114A2EAB01}"/>
    <cellStyle name="Output 34" xfId="2352" xr:uid="{AA815238-AE45-467C-A029-B819E89580EC}"/>
    <cellStyle name="Output 35" xfId="2353" xr:uid="{525A3441-5F79-48CF-96EB-4EB95D2D2E53}"/>
    <cellStyle name="Output 36" xfId="2354" xr:uid="{69BE77DB-9B12-482F-B988-918D131F9399}"/>
    <cellStyle name="Output 37" xfId="2355" xr:uid="{EF4E8208-BAAC-4769-A0CB-A2652F117B81}"/>
    <cellStyle name="Output 38" xfId="2356" xr:uid="{C64A89BE-DBE1-4D6A-ADAE-5991404F5168}"/>
    <cellStyle name="Output 39" xfId="2357" xr:uid="{AB7D68F4-CE2E-4AF2-B2F0-8105B99D11C4}"/>
    <cellStyle name="Output 4" xfId="2358" xr:uid="{2333C852-B1EA-468B-B056-35DB34A65259}"/>
    <cellStyle name="Output 40" xfId="2359" xr:uid="{B0BD937B-E7B1-49CE-B353-56FFD095833B}"/>
    <cellStyle name="Output 41" xfId="2360" xr:uid="{66E6B03F-4BA8-43DA-9B0C-E4AFC7690BDC}"/>
    <cellStyle name="Output 42" xfId="2361" xr:uid="{BDE00212-1E03-41B6-9BF6-0C7CDC37C015}"/>
    <cellStyle name="Output 43" xfId="2362" xr:uid="{C6A3D965-19F9-4B73-BADC-0BF78E0FE948}"/>
    <cellStyle name="Output 5" xfId="2363" xr:uid="{A3F2E1B6-9722-4EB0-9D37-7E444BA5D0E9}"/>
    <cellStyle name="Output 6" xfId="2364" xr:uid="{FAB5FEBE-CB26-40B1-988F-4F1048599765}"/>
    <cellStyle name="Output 7" xfId="2365" xr:uid="{579EADAE-041E-4EB8-A118-72A395EB6887}"/>
    <cellStyle name="Output 8" xfId="2366" xr:uid="{608FED6A-4D21-47B1-890B-9D8218F4266F}"/>
    <cellStyle name="Output 9" xfId="2367" xr:uid="{7214C20D-218A-4618-ABFA-3FB6021E4FAC}"/>
    <cellStyle name="Pattern" xfId="2368" xr:uid="{14420543-4AA5-459A-91DC-68B6CB86BECE}"/>
    <cellStyle name="Percent 10" xfId="2369" xr:uid="{AEE2B9A8-9DF0-4B4A-90EA-225239668D1B}"/>
    <cellStyle name="Percent 10 10" xfId="2370" xr:uid="{2DA9C5E2-C5A5-49EF-9BA2-18CDF022CF5C}"/>
    <cellStyle name="Percent 10 11" xfId="2371" xr:uid="{C2C1F45E-034D-4745-8A93-D134250EFD43}"/>
    <cellStyle name="Percent 10 12" xfId="2372" xr:uid="{ED688674-2B11-4C2F-8DB5-1246992FD545}"/>
    <cellStyle name="Percent 10 13" xfId="2373" xr:uid="{38B5F526-8DAF-4537-9627-1A145F84C0DB}"/>
    <cellStyle name="Percent 10 14" xfId="2374" xr:uid="{95B53BDC-527D-43DD-B08C-BB5C23E45F93}"/>
    <cellStyle name="Percent 10 15" xfId="2375" xr:uid="{28149261-6EDE-440C-9BEB-B778FEFAA970}"/>
    <cellStyle name="Percent 10 16" xfId="2376" xr:uid="{C24310D7-E88C-45BB-A3D2-D47E191CEBD7}"/>
    <cellStyle name="Percent 10 17" xfId="2377" xr:uid="{2A225162-4AA5-4679-B007-BD96A88A9B49}"/>
    <cellStyle name="Percent 10 18" xfId="2378" xr:uid="{9ADF002E-F46A-485A-A8CD-1E2E7DC626BB}"/>
    <cellStyle name="Percent 10 19" xfId="2379" xr:uid="{C6B80EC6-3AFD-4DF9-87FF-CB2F76C11E40}"/>
    <cellStyle name="Percent 10 2" xfId="2380" xr:uid="{F6BD9977-1D21-467C-9BFC-E7A4C07F9B33}"/>
    <cellStyle name="Percent 10 20" xfId="2381" xr:uid="{6263D9E3-A46E-4D59-BAF6-28CED75B20AD}"/>
    <cellStyle name="Percent 10 3" xfId="2382" xr:uid="{954B1F97-B1FA-428C-829A-DC0FA902934E}"/>
    <cellStyle name="Percent 10 4" xfId="2383" xr:uid="{F44D9DAF-DDCE-40D8-B425-4D3CA9C534CB}"/>
    <cellStyle name="Percent 10 5" xfId="2384" xr:uid="{B16603FC-9614-4177-8CBD-B4AF40A4E388}"/>
    <cellStyle name="Percent 10 6" xfId="2385" xr:uid="{4DDEB88B-69DC-450A-9720-2C3F218DB7EB}"/>
    <cellStyle name="Percent 10 7" xfId="2386" xr:uid="{322455B7-231B-4AF7-9942-A6C86DB01379}"/>
    <cellStyle name="Percent 10 7 2" xfId="2387" xr:uid="{59269DC1-B7F0-4368-A758-C3A65F2A5506}"/>
    <cellStyle name="Percent 10 7 3" xfId="2388" xr:uid="{E691030A-5913-4DB3-81EE-FDA7499F2B26}"/>
    <cellStyle name="Percent 10 8" xfId="2389" xr:uid="{77D1BD02-CC22-4240-819C-89013A89F62D}"/>
    <cellStyle name="Percent 10 9" xfId="2390" xr:uid="{6AB8C8C8-6977-48F8-A4E9-444FAF34DBC5}"/>
    <cellStyle name="Percent 11 10" xfId="2391" xr:uid="{10E155BA-AC2A-409F-B209-FC33AAC3367F}"/>
    <cellStyle name="Percent 11 2" xfId="2392" xr:uid="{D7FADA14-66C4-4B4E-886F-ABE12B390C8F}"/>
    <cellStyle name="Percent 11 3" xfId="2393" xr:uid="{3550AB33-3348-45F5-92B0-F3041D876918}"/>
    <cellStyle name="Percent 11 4" xfId="2394" xr:uid="{6E004E84-40AF-4874-98B8-BA454B6ABDEA}"/>
    <cellStyle name="Percent 11 5" xfId="2395" xr:uid="{D9B9660D-D804-4F05-8010-0750E210DE01}"/>
    <cellStyle name="Percent 11 6" xfId="2396" xr:uid="{2823EE0E-315E-400D-BB99-0A1B73060975}"/>
    <cellStyle name="Percent 11 7" xfId="2397" xr:uid="{5AB036B4-6A9E-4776-A3B2-B4EBBC405232}"/>
    <cellStyle name="Percent 11 7 2" xfId="2398" xr:uid="{7083F525-561D-4016-8617-561C769A6712}"/>
    <cellStyle name="Percent 11 7 3" xfId="2399" xr:uid="{D049ED7D-1DFB-4D0E-9C61-FE570CBAE6D5}"/>
    <cellStyle name="Percent 11 8" xfId="2400" xr:uid="{2C2C22D8-AA77-4444-867C-53FACBD53E66}"/>
    <cellStyle name="Percent 11 9" xfId="2401" xr:uid="{7D8DF9E6-3995-4DB9-AF3F-0D9843C1453C}"/>
    <cellStyle name="Percent 12 10" xfId="2402" xr:uid="{E54203FA-570E-4DDC-979B-8C48538292BF}"/>
    <cellStyle name="Percent 12 2" xfId="2403" xr:uid="{681BE34E-7B4B-40C2-BD12-6F5488546733}"/>
    <cellStyle name="Percent 12 3" xfId="2404" xr:uid="{79B0092E-498B-4D3D-947D-3E91312F8C4C}"/>
    <cellStyle name="Percent 12 4" xfId="2405" xr:uid="{3C20541B-280D-4C99-ADF9-1DC5C0AC9BBC}"/>
    <cellStyle name="Percent 12 5" xfId="2406" xr:uid="{8F5F2E32-4C16-4DE4-9963-94A46931937E}"/>
    <cellStyle name="Percent 12 6" xfId="2407" xr:uid="{4FB07CF9-8B0F-4261-A71E-7A561AB37E22}"/>
    <cellStyle name="Percent 12 7" xfId="2408" xr:uid="{D63F0620-B586-493C-9E84-0EE998B0ECA8}"/>
    <cellStyle name="Percent 12 7 2" xfId="2409" xr:uid="{C8900315-AF92-4403-A7A6-20E98C2F0B7C}"/>
    <cellStyle name="Percent 12 7 3" xfId="2410" xr:uid="{F535A3B1-4E17-42A5-BC3E-EA91F0E4AEAD}"/>
    <cellStyle name="Percent 12 8" xfId="2411" xr:uid="{40931EB7-897D-4982-8D29-63E598C956F5}"/>
    <cellStyle name="Percent 12 9" xfId="2412" xr:uid="{D5C55A7F-E711-4E6E-8047-5D4018F21E9A}"/>
    <cellStyle name="Percent 13 10" xfId="2413" xr:uid="{7113D2C2-61BF-4D79-ACAC-A6F626F78D12}"/>
    <cellStyle name="Percent 13 2" xfId="2414" xr:uid="{AE75E3A8-70A3-496B-9E8F-A2E84055225A}"/>
    <cellStyle name="Percent 13 3" xfId="2415" xr:uid="{16BAD486-9763-4D05-B1EC-1AA99C86A67A}"/>
    <cellStyle name="Percent 13 4" xfId="2416" xr:uid="{6DFA1982-569C-4399-B9B9-C98A6AAC6A1C}"/>
    <cellStyle name="Percent 13 5" xfId="2417" xr:uid="{7E5E7738-A6DD-4B8C-941E-51057D20EE56}"/>
    <cellStyle name="Percent 13 6" xfId="2418" xr:uid="{573C59D3-D1C6-41A8-8622-3E7B5CFD506A}"/>
    <cellStyle name="Percent 13 7" xfId="2419" xr:uid="{8FC627E1-0DFA-4947-BAAE-208987341D39}"/>
    <cellStyle name="Percent 13 7 2" xfId="2420" xr:uid="{FB3668BB-E93B-49AF-B25A-8DBE48C6B3F1}"/>
    <cellStyle name="Percent 13 7 3" xfId="2421" xr:uid="{07FDA39C-1449-4C24-8F4E-AD77A9980251}"/>
    <cellStyle name="Percent 13 8" xfId="2422" xr:uid="{64AF995B-7469-474C-8BA3-D25F44E368E3}"/>
    <cellStyle name="Percent 13 9" xfId="2423" xr:uid="{18C9D6F9-E931-4817-B132-E795A6D4CAFD}"/>
    <cellStyle name="Percent 14 10" xfId="2424" xr:uid="{F8477ED1-9146-4D63-992E-51A3CFC11877}"/>
    <cellStyle name="Percent 14 2" xfId="2425" xr:uid="{9DAB81DB-1C5F-43FF-A240-A96255689C39}"/>
    <cellStyle name="Percent 14 3" xfId="2426" xr:uid="{CA140BD6-CF82-4137-8C3E-0FA68611D910}"/>
    <cellStyle name="Percent 14 4" xfId="2427" xr:uid="{703CAF51-238C-457C-89F5-033738E2E55D}"/>
    <cellStyle name="Percent 14 5" xfId="2428" xr:uid="{71ACA6BA-0F01-4087-A73C-961C96190895}"/>
    <cellStyle name="Percent 14 6" xfId="2429" xr:uid="{BB6F2E26-E513-412D-880F-E6BD54EC55DA}"/>
    <cellStyle name="Percent 14 7" xfId="2430" xr:uid="{792FA5F4-B7C4-4A0C-BAE2-C549458E7C61}"/>
    <cellStyle name="Percent 14 7 2" xfId="2431" xr:uid="{32D7B56F-41C0-45FB-9849-30C50A99B146}"/>
    <cellStyle name="Percent 14 7 3" xfId="2432" xr:uid="{7272D189-B26B-41B1-9388-3B8E6895A6ED}"/>
    <cellStyle name="Percent 14 8" xfId="2433" xr:uid="{5FA36F31-8C11-4733-BCB6-FDB0AF7AF602}"/>
    <cellStyle name="Percent 14 9" xfId="2434" xr:uid="{DC9DF591-7ED7-43A9-B88D-107C018471E0}"/>
    <cellStyle name="Percent 15" xfId="2435" xr:uid="{B01CDD12-A13B-4FE1-9F50-F1B769091C55}"/>
    <cellStyle name="Percent 15 2" xfId="2436" xr:uid="{5F13E977-664B-48EC-9C0E-7777D8EDD6E0}"/>
    <cellStyle name="Percent 15 3" xfId="2437" xr:uid="{8223A6D5-BBBC-456E-9F7E-DD1DA0DC7269}"/>
    <cellStyle name="Percent 15 4" xfId="2438" xr:uid="{F326B57F-5ECE-42C6-B1AF-50C1404BA170}"/>
    <cellStyle name="Percent 15 5" xfId="2439" xr:uid="{CC9F5C4B-25F4-4F22-9B14-AD628A7C2540}"/>
    <cellStyle name="Percent 15 6" xfId="2440" xr:uid="{DBF490B5-9B8E-4D51-8A8E-5942787C6337}"/>
    <cellStyle name="Percent 15 7" xfId="2441" xr:uid="{E981E0C5-8829-4EBC-AC47-1E96172625F5}"/>
    <cellStyle name="Percent 15 7 2" xfId="2442" xr:uid="{F8D42B3A-CDBB-4858-9871-63236BBE2CD1}"/>
    <cellStyle name="Percent 15 7 3" xfId="2443" xr:uid="{FA2382D4-D072-48D9-8283-50D6093DCAC2}"/>
    <cellStyle name="Percent 16 2" xfId="2444" xr:uid="{A29A3192-039E-4F11-BF70-0AACBCC2F452}"/>
    <cellStyle name="Percent 16 3" xfId="2445" xr:uid="{5DF7A07F-224E-46F7-9A73-0CF7C8CF9577}"/>
    <cellStyle name="Percent 16 4" xfId="2446" xr:uid="{67684310-05AE-470F-AC00-B2940B1BD0A8}"/>
    <cellStyle name="Percent 16 5" xfId="2447" xr:uid="{2CB9B937-D760-4DB1-83D6-EB1ECCA04459}"/>
    <cellStyle name="Percent 16 6" xfId="2448" xr:uid="{AA24A4BC-7B95-4DFC-979E-C28C15BD30A4}"/>
    <cellStyle name="Percent 16 7" xfId="2449" xr:uid="{44E66221-1BA3-489E-A856-73F3F9C43BDA}"/>
    <cellStyle name="Percent 16 7 2" xfId="2450" xr:uid="{D1213B45-485F-4AE9-8874-860E613A70B6}"/>
    <cellStyle name="Percent 16 7 3" xfId="2451" xr:uid="{AC041DE5-65FB-4866-B165-5C1A44D76A6E}"/>
    <cellStyle name="Percent 17" xfId="2452" xr:uid="{DC62129A-BE14-4F33-BC69-E37CF1AF2A3B}"/>
    <cellStyle name="Percent 17 2" xfId="2453" xr:uid="{40890F58-4C3D-4928-8013-CFAA99E79B6E}"/>
    <cellStyle name="Percent 17 3" xfId="2454" xr:uid="{89E1862A-3C69-4DC0-8423-403AF6D47510}"/>
    <cellStyle name="Percent 17 4" xfId="2455" xr:uid="{0A5D4388-C84C-4334-93E3-E01AA9AC311E}"/>
    <cellStyle name="Percent 17 5" xfId="2456" xr:uid="{C8749927-7826-4787-AA30-1721DE883F09}"/>
    <cellStyle name="Percent 17 6" xfId="2457" xr:uid="{5A7B434E-9624-49AB-B712-68A3FBAF65D7}"/>
    <cellStyle name="Percent 17 7" xfId="2458" xr:uid="{F221180B-0040-4E75-B98D-FA43E5AA788A}"/>
    <cellStyle name="Percent 17 7 2" xfId="2459" xr:uid="{73EFCAC9-08EC-40CD-A880-6789B18D93FE}"/>
    <cellStyle name="Percent 17 7 3" xfId="2460" xr:uid="{E00B4E16-6EC1-4FE8-BB0B-845D2A4EFADD}"/>
    <cellStyle name="Percent 17 8" xfId="2461" xr:uid="{329FF2FE-14CB-48C2-B167-46EC1EB2E403}"/>
    <cellStyle name="Percent 17 8 2" xfId="2462" xr:uid="{ADAF41FC-D837-42EE-B79E-C1739DED21F2}"/>
    <cellStyle name="Percent 2" xfId="2463" xr:uid="{3399D3FC-DDC2-46ED-ACCB-4A9BB3B475B2}"/>
    <cellStyle name="Percent 2 10" xfId="2464" xr:uid="{35266D67-CE5C-4583-BF72-CA4BBC7E91F7}"/>
    <cellStyle name="Percent 2 10 2" xfId="2465" xr:uid="{D7699E98-03C3-46F1-8028-00FF4CB3781F}"/>
    <cellStyle name="Percent 2 11" xfId="2466" xr:uid="{85CF6FF7-AFA5-43E2-86D3-A85F82A72AD9}"/>
    <cellStyle name="Percent 2 11 2" xfId="2467" xr:uid="{86DD14E9-2EA0-49DB-ADC9-186B82267369}"/>
    <cellStyle name="Percent 2 12" xfId="2468" xr:uid="{7BB3A37B-06A5-4013-BF35-863984A0D45D}"/>
    <cellStyle name="Percent 2 13" xfId="2469" xr:uid="{3C6399C3-3582-4192-BF1F-22DF76F0D23A}"/>
    <cellStyle name="Percent 2 14" xfId="2470" xr:uid="{974044FF-6050-4AD3-95ED-3311C4AC9504}"/>
    <cellStyle name="Percent 2 15" xfId="2471" xr:uid="{32282F7A-8992-4AAB-A993-2ADF43FAB7B6}"/>
    <cellStyle name="Percent 2 16" xfId="2472" xr:uid="{5BCBA4B6-1D78-4E72-9347-9E0743FDAE49}"/>
    <cellStyle name="Percent 2 17" xfId="2473" xr:uid="{6C9A863A-792F-41BC-8987-2D926EB620B6}"/>
    <cellStyle name="Percent 2 18" xfId="2474" xr:uid="{CDA7902C-06F7-433C-AEEC-B049DA0E1FC2}"/>
    <cellStyle name="Percent 2 19" xfId="2475" xr:uid="{AEA0C86A-448A-4E8F-902F-0E8AEC300965}"/>
    <cellStyle name="Percent 2 2" xfId="2476" xr:uid="{8743E59A-5733-44A4-90AD-AAD07D73B0FA}"/>
    <cellStyle name="Percent 2 2 2" xfId="2477" xr:uid="{39C14B1E-5493-42E4-9502-90036C4E3247}"/>
    <cellStyle name="Percent 2 2 3" xfId="2478" xr:uid="{174CA280-EB99-4DD1-9A63-F29559D985E2}"/>
    <cellStyle name="Percent 2 2 3 2" xfId="2479" xr:uid="{21692765-49AC-4894-B554-2CFE1F304543}"/>
    <cellStyle name="Percent 2 2 3 3" xfId="2480" xr:uid="{3B19B11D-A684-4240-AB8C-879FB1B329D3}"/>
    <cellStyle name="Percent 2 2 4" xfId="2481" xr:uid="{48941EB7-12E9-44CE-B60A-4022307E4391}"/>
    <cellStyle name="Percent 2 2 4 2" xfId="2482" xr:uid="{6B1C42A6-7AF3-49F6-80D8-2B7E413031CA}"/>
    <cellStyle name="Percent 2 2 5" xfId="2483" xr:uid="{BB8A2B3D-E620-46AE-9090-AA38589D7CC6}"/>
    <cellStyle name="Percent 2 2 6" xfId="2484" xr:uid="{AA863583-1613-40C6-80FF-B67C7B7D4A55}"/>
    <cellStyle name="Percent 2 20" xfId="2485" xr:uid="{4DA4AA86-97A3-4A4A-9A71-01337209E9B6}"/>
    <cellStyle name="Percent 2 21" xfId="2486" xr:uid="{5994C01D-D8E3-4686-89A9-3B16E8D46911}"/>
    <cellStyle name="Percent 2 22" xfId="2487" xr:uid="{28E07CC7-6AB1-493D-9FCD-44F29A23557B}"/>
    <cellStyle name="Percent 2 23" xfId="2488" xr:uid="{FDF3BBFF-FBE4-4EFB-996C-28F0BDC5E546}"/>
    <cellStyle name="Percent 2 24" xfId="2489" xr:uid="{D26E0B9D-BD63-40F9-A987-1287FA43612A}"/>
    <cellStyle name="Percent 2 25" xfId="2490" xr:uid="{299F9F54-453B-4D3C-86E3-18744AA2D9B6}"/>
    <cellStyle name="Percent 2 26" xfId="2491" xr:uid="{55912D40-48FF-430C-936C-833CBD7EC8A3}"/>
    <cellStyle name="Percent 2 27" xfId="2492" xr:uid="{53956A00-6BE8-4E9D-8EA3-777362901B3F}"/>
    <cellStyle name="Percent 2 28" xfId="2493" xr:uid="{962831D3-E67A-4802-AE71-CF1B56530261}"/>
    <cellStyle name="Percent 2 29" xfId="2494" xr:uid="{BAC67B30-A2B7-4363-A0D8-679DBF2F9CF2}"/>
    <cellStyle name="Percent 2 3" xfId="2495" xr:uid="{5823FEA3-EF56-412D-96A3-58FE56BF89E4}"/>
    <cellStyle name="Percent 2 3 10" xfId="2496" xr:uid="{4EB2F305-256C-484E-A28D-B6DEE50861FB}"/>
    <cellStyle name="Percent 2 3 11" xfId="2497" xr:uid="{5400AAB7-DE13-4E73-A0B9-69776C57DE5B}"/>
    <cellStyle name="Percent 2 3 12" xfId="2498" xr:uid="{F87951DE-8AC0-493A-9F61-9C37C5E1BE23}"/>
    <cellStyle name="Percent 2 3 13" xfId="2499" xr:uid="{ECCC9023-0D9A-4DC3-A935-1A2223FF5FB5}"/>
    <cellStyle name="Percent 2 3 14" xfId="2500" xr:uid="{C2932B8B-C941-42AF-85BE-E3788A6C1DC3}"/>
    <cellStyle name="Percent 2 3 15" xfId="2501" xr:uid="{90835442-D564-4470-9DF7-5F7CDF1F10EE}"/>
    <cellStyle name="Percent 2 3 16" xfId="2502" xr:uid="{EB9D7D38-2781-45AC-BB56-DB3894726408}"/>
    <cellStyle name="Percent 2 3 2" xfId="2503" xr:uid="{9CA3F4DA-13B6-4953-8137-871D84A55CFF}"/>
    <cellStyle name="Percent 2 3 3" xfId="2504" xr:uid="{55D29230-69E7-479F-BB16-F3DF9A5B3B47}"/>
    <cellStyle name="Percent 2 3 3 2" xfId="2505" xr:uid="{9371CA2F-32C6-4FEA-9046-7395C9805712}"/>
    <cellStyle name="Percent 2 3 3 3" xfId="2506" xr:uid="{38F30D51-1874-474E-813D-3D66C256F71E}"/>
    <cellStyle name="Percent 2 3 3 3 2" xfId="2507" xr:uid="{E788355F-7B7F-4EF2-A99E-E1B34F7B0F36}"/>
    <cellStyle name="Percent 2 3 3 3 3" xfId="2508" xr:uid="{BCAF8BCC-9AB8-4E72-AF26-35C8B755AA2C}"/>
    <cellStyle name="Percent 2 3 3 3 4" xfId="2509" xr:uid="{3DBA5D36-6A80-4B17-9512-E2D43139CD57}"/>
    <cellStyle name="Percent 2 3 4" xfId="2510" xr:uid="{07409A89-0CF2-40A8-8BFB-0C7BB92DDFDE}"/>
    <cellStyle name="Percent 2 3 5" xfId="2511" xr:uid="{7C278CC0-36F1-45AA-BAFA-AE995043AF95}"/>
    <cellStyle name="Percent 2 3 6" xfId="2512" xr:uid="{522CCECF-8C75-476B-B77E-482A0D2AAA4A}"/>
    <cellStyle name="Percent 2 3 7" xfId="2513" xr:uid="{656E16AF-BFC2-4EE1-A749-66C9EF3DCC90}"/>
    <cellStyle name="Percent 2 3 8" xfId="2514" xr:uid="{A421A1C9-789D-40F5-98A2-630AD5C9D147}"/>
    <cellStyle name="Percent 2 3 9" xfId="2515" xr:uid="{9F11B9BB-1A74-437B-8A53-794C2B1C3F94}"/>
    <cellStyle name="Percent 2 30" xfId="2516" xr:uid="{EB705BAA-3D33-409C-919A-FAC92CAB2AB2}"/>
    <cellStyle name="Percent 2 31" xfId="2517" xr:uid="{986AB5F5-B17B-4995-BB0B-2CDFE8B3A9E4}"/>
    <cellStyle name="Percent 2 32" xfId="2518" xr:uid="{896BDA02-955F-4D6D-AE0B-1F9D48E47301}"/>
    <cellStyle name="Percent 2 33" xfId="2519" xr:uid="{7F1B638B-5A05-446E-87C2-8F335EBEC506}"/>
    <cellStyle name="Percent 2 34" xfId="2520" xr:uid="{D00E5729-01E4-4384-8281-2D3B1445E7F6}"/>
    <cellStyle name="Percent 2 35" xfId="2521" xr:uid="{3D0BB1E1-2B98-481A-9532-2E9C43C06663}"/>
    <cellStyle name="Percent 2 36" xfId="2522" xr:uid="{E26DD8FF-2595-48D2-8D6C-C7A1F6A2F82A}"/>
    <cellStyle name="Percent 2 37" xfId="2523" xr:uid="{47EC15A3-1821-429E-952B-B4AF7D3F387C}"/>
    <cellStyle name="Percent 2 38" xfId="2524" xr:uid="{6B1F93CE-3756-4F49-99BF-776B80136F0B}"/>
    <cellStyle name="Percent 2 39" xfId="2525" xr:uid="{68BD9788-0028-45EF-B310-7D3699D1BD73}"/>
    <cellStyle name="Percent 2 4" xfId="2526" xr:uid="{1AF4DE1A-A2E8-4BF1-851D-01B2A4144C42}"/>
    <cellStyle name="Percent 2 4 10" xfId="2527" xr:uid="{E1E33AEC-1A8C-4020-8B62-EC7D43A746D2}"/>
    <cellStyle name="Percent 2 4 11" xfId="2528" xr:uid="{7A9BB023-955E-4C51-B8A8-5D40244D522F}"/>
    <cellStyle name="Percent 2 4 12" xfId="2529" xr:uid="{17ECE046-0EDB-45E8-8FB3-E9CA66129A8E}"/>
    <cellStyle name="Percent 2 4 13" xfId="2530" xr:uid="{CA2EC79A-0DB4-44FD-88B6-12E35F37AE6C}"/>
    <cellStyle name="Percent 2 4 14" xfId="2531" xr:uid="{303E7B9F-4AB2-45A5-9C0E-F39935DEF0A5}"/>
    <cellStyle name="Percent 2 4 15" xfId="2532" xr:uid="{E07766ED-E353-47DE-A3BC-231264F443EC}"/>
    <cellStyle name="Percent 2 4 16" xfId="2533" xr:uid="{AF62154E-C723-44EA-A4C6-3C8B625733D8}"/>
    <cellStyle name="Percent 2 4 2" xfId="2534" xr:uid="{2D003F88-0EDD-43BC-BD1D-E5444BB7BF2E}"/>
    <cellStyle name="Percent 2 4 3" xfId="2535" xr:uid="{7EAE42AA-0EC1-4F66-8959-68E55C531BED}"/>
    <cellStyle name="Percent 2 4 4" xfId="2536" xr:uid="{3ABFB252-C59B-4E14-9D3B-3E6F4EC2EDDE}"/>
    <cellStyle name="Percent 2 4 5" xfId="2537" xr:uid="{46A899C3-DD01-4771-8C4D-4322BC7F5122}"/>
    <cellStyle name="Percent 2 4 6" xfId="2538" xr:uid="{7B5CDBD4-315A-4E2D-BFAA-2CE2DD6423CE}"/>
    <cellStyle name="Percent 2 4 7" xfId="2539" xr:uid="{A8AB3A36-8924-4062-A1D0-71D3734555D1}"/>
    <cellStyle name="Percent 2 4 8" xfId="2540" xr:uid="{0773D03E-4769-4831-AB7E-E98C5068F20A}"/>
    <cellStyle name="Percent 2 4 9" xfId="2541" xr:uid="{51EC24D2-6833-4382-90F8-2AB4AB58A10A}"/>
    <cellStyle name="Percent 2 40" xfId="2542" xr:uid="{20C8D01F-166E-4CF2-AA1D-798D80965ED3}"/>
    <cellStyle name="Percent 2 41" xfId="2543" xr:uid="{ACEAE7D5-28ED-42BB-8634-7224B05D521F}"/>
    <cellStyle name="Percent 2 42" xfId="2544" xr:uid="{C1E7B24F-001C-472C-8FE1-C96CE29AE2E9}"/>
    <cellStyle name="Percent 2 43" xfId="2545" xr:uid="{99CDDFE7-D942-4615-93E8-B474BBA2067A}"/>
    <cellStyle name="Percent 2 44" xfId="2546" xr:uid="{55072232-3E88-42B5-B737-A4171DCC1358}"/>
    <cellStyle name="Percent 2 45" xfId="2547" xr:uid="{59BCAE80-41B2-4D08-A59D-94137286F67E}"/>
    <cellStyle name="Percent 2 46" xfId="2548" xr:uid="{5C980071-AA4C-4EBC-91B5-A83264606B1A}"/>
    <cellStyle name="Percent 2 47" xfId="2549" xr:uid="{9CE9805E-D132-453C-9BB9-7C9E82A64FA7}"/>
    <cellStyle name="Percent 2 48" xfId="2550" xr:uid="{0B9BADEB-BBE9-477C-9680-0B5975BDA284}"/>
    <cellStyle name="Percent 2 48 2" xfId="2551" xr:uid="{EAA00376-98DC-48A7-9D4D-AF452A4078EF}"/>
    <cellStyle name="Percent 2 49" xfId="2552" xr:uid="{C4CA16CA-E24A-4883-A012-28CC9671DF3B}"/>
    <cellStyle name="Percent 2 49 2" xfId="2553" xr:uid="{5A36B033-278E-472B-986D-BC3B379D33F5}"/>
    <cellStyle name="Percent 2 5" xfId="2554" xr:uid="{054DBD9F-13AC-4CAF-8E36-195CB7EC8858}"/>
    <cellStyle name="Percent 2 5 10" xfId="2555" xr:uid="{DF6CDD18-75AA-4147-9048-727D69957202}"/>
    <cellStyle name="Percent 2 5 11" xfId="2556" xr:uid="{DC378740-1715-419F-A904-FC59AEFA7939}"/>
    <cellStyle name="Percent 2 5 12" xfId="2557" xr:uid="{B91967A6-29FF-4F08-96DA-FFB97F3B7BBF}"/>
    <cellStyle name="Percent 2 5 13" xfId="2558" xr:uid="{F5F43F5E-CF14-4716-8AAE-D81AEE354368}"/>
    <cellStyle name="Percent 2 5 14" xfId="2559" xr:uid="{99578C58-1754-45B8-BF1E-7F9FEAE776BA}"/>
    <cellStyle name="Percent 2 5 15" xfId="2560" xr:uid="{59E166BB-6CFD-4F0F-9755-242510547E52}"/>
    <cellStyle name="Percent 2 5 2" xfId="2561" xr:uid="{EF00D0B8-E8FD-4450-844E-6418F3764088}"/>
    <cellStyle name="Percent 2 5 3" xfId="2562" xr:uid="{F13AFDEA-6E10-4D4A-9D49-5AE7D20C6358}"/>
    <cellStyle name="Percent 2 5 4" xfId="2563" xr:uid="{20987B9B-7F54-42EF-A05D-144B1408D7CF}"/>
    <cellStyle name="Percent 2 5 5" xfId="2564" xr:uid="{5C95F7A1-2A72-4F7B-B536-CCD1D3F4A657}"/>
    <cellStyle name="Percent 2 5 6" xfId="2565" xr:uid="{78D8C457-C203-45AE-961D-4A588E9190EF}"/>
    <cellStyle name="Percent 2 5 7" xfId="2566" xr:uid="{62338CD3-3D1E-4B73-9A2E-AC1719A90386}"/>
    <cellStyle name="Percent 2 5 8" xfId="2567" xr:uid="{946054E1-8231-4CB5-9328-356084F3258A}"/>
    <cellStyle name="Percent 2 5 9" xfId="2568" xr:uid="{7ACC234E-D85E-4A06-A77F-80A68E050D64}"/>
    <cellStyle name="Percent 2 50" xfId="2569" xr:uid="{F5675283-7659-401A-A70C-BFC94036A865}"/>
    <cellStyle name="Percent 2 51" xfId="2570" xr:uid="{08FED194-D2FD-42F3-BA34-EA8AD8F93DB7}"/>
    <cellStyle name="Percent 2 6" xfId="2571" xr:uid="{6A6C8DB3-0CE3-4810-838C-22E79F2F11B1}"/>
    <cellStyle name="Percent 2 6 10" xfId="2572" xr:uid="{10B8530C-3992-4331-B78B-5B033B25C551}"/>
    <cellStyle name="Percent 2 6 11" xfId="2573" xr:uid="{00796A2E-5DD7-4927-B527-5A02F50CF941}"/>
    <cellStyle name="Percent 2 6 12" xfId="2574" xr:uid="{FB2239D1-C4A6-4494-A8D6-928F82583000}"/>
    <cellStyle name="Percent 2 6 13" xfId="2575" xr:uid="{6D8C8B71-8CB9-4B15-8E21-8BE5C63D593F}"/>
    <cellStyle name="Percent 2 6 14" xfId="2576" xr:uid="{440FE965-20DF-4A23-87F7-BCDE1E86BC2D}"/>
    <cellStyle name="Percent 2 6 15" xfId="2577" xr:uid="{569E9DED-D8EC-441E-A57C-D0BACEE6BE70}"/>
    <cellStyle name="Percent 2 6 2" xfId="2578" xr:uid="{DD1847AF-275D-419A-B5B5-F590CFF56B5D}"/>
    <cellStyle name="Percent 2 6 3" xfId="2579" xr:uid="{1CAAC24D-83DF-4144-AC96-094CF23197CD}"/>
    <cellStyle name="Percent 2 6 4" xfId="2580" xr:uid="{397C52BC-FC8A-4C3C-BBF2-A791DDAE7B6A}"/>
    <cellStyle name="Percent 2 6 5" xfId="2581" xr:uid="{5D91541F-3E70-4A35-9C3A-F11BD8DAD59E}"/>
    <cellStyle name="Percent 2 6 6" xfId="2582" xr:uid="{A652331C-5BB5-4FBA-BD43-BFCC297E214E}"/>
    <cellStyle name="Percent 2 6 7" xfId="2583" xr:uid="{845E5A47-9887-49F2-AA34-23F67F64C91F}"/>
    <cellStyle name="Percent 2 6 8" xfId="2584" xr:uid="{309F3BF8-2BBC-481D-867D-2BE8FDA932CB}"/>
    <cellStyle name="Percent 2 6 9" xfId="2585" xr:uid="{A381F88A-E631-481D-B760-C5F8325EF922}"/>
    <cellStyle name="Percent 2 7" xfId="2586" xr:uid="{FDB698A8-4E7B-4D9D-BD52-E56D8171BEB4}"/>
    <cellStyle name="Percent 2 7 2" xfId="2587" xr:uid="{36DA29E2-8DF1-4D6C-9E17-85D708842AB5}"/>
    <cellStyle name="Percent 2 8" xfId="2588" xr:uid="{26137996-E893-41D2-AA9C-6B82017D25E3}"/>
    <cellStyle name="Percent 2 8 2" xfId="2589" xr:uid="{B54BF3DF-BCDF-4251-8FB3-BAC0BE14ABCC}"/>
    <cellStyle name="Percent 2 9" xfId="2590" xr:uid="{78EC0E34-55B3-4E6C-9202-1718BD1D9EEF}"/>
    <cellStyle name="Percent 2 9 2" xfId="2591" xr:uid="{C10A8F8F-79C8-4F4C-9903-89ACF41EE744}"/>
    <cellStyle name="Percent 20" xfId="2592" xr:uid="{51A5132A-0AB0-4CAB-9B24-0422D222B188}"/>
    <cellStyle name="Percent 20 2" xfId="2593" xr:uid="{EE55C513-1419-474A-A29F-4CC9D54FAD6D}"/>
    <cellStyle name="Percent 20 3" xfId="2594" xr:uid="{0244CB02-9C65-4369-9C72-D280BE1FA625}"/>
    <cellStyle name="Percent 20 4" xfId="2595" xr:uid="{31D21C0C-D31E-4D68-B100-67BD735B1D34}"/>
    <cellStyle name="Percent 20 5" xfId="2596" xr:uid="{A89CA878-C3A3-4B5F-8AEF-5C7AE65A1CED}"/>
    <cellStyle name="Percent 20 6" xfId="2597" xr:uid="{86D0B455-0290-4CC8-89FF-B783CDE4D65E}"/>
    <cellStyle name="Percent 20 7" xfId="2598" xr:uid="{367D8630-FA3A-4CD8-9A8B-14A8A4D8AAB4}"/>
    <cellStyle name="Percent 20 7 2" xfId="2599" xr:uid="{13F26B3F-4C43-44FC-8E36-01CCB08668C8}"/>
    <cellStyle name="Percent 20 7 3" xfId="2600" xr:uid="{62A8E8A3-A8CD-4713-9F61-D96BD0A0590E}"/>
    <cellStyle name="Percent 21" xfId="2601" xr:uid="{2AD7E70A-B93B-4D40-BFF7-DF9D8CC2629A}"/>
    <cellStyle name="Percent 21 2" xfId="2602" xr:uid="{3BEA226F-B8CC-477A-A0BE-D3CD7F86348D}"/>
    <cellStyle name="Percent 21 3" xfId="2603" xr:uid="{CC57ACF3-33A0-4E09-97CC-49AF1943126D}"/>
    <cellStyle name="Percent 21 4" xfId="2604" xr:uid="{F4560F3A-36D8-4E26-97D9-708FD0F8253F}"/>
    <cellStyle name="Percent 21 5" xfId="2605" xr:uid="{E1CB8F1D-4035-48C7-85E2-F9A34F40D0F4}"/>
    <cellStyle name="Percent 21 6" xfId="2606" xr:uid="{37D23582-F9CA-4BA7-9F6C-0FC35A20E366}"/>
    <cellStyle name="Percent 21 7" xfId="2607" xr:uid="{C95791AA-5117-4820-92FB-70516141C063}"/>
    <cellStyle name="Percent 21 7 2" xfId="2608" xr:uid="{E8E7A8D0-699A-4DB2-A2C5-424F9197AAFF}"/>
    <cellStyle name="Percent 21 7 3" xfId="2609" xr:uid="{36F50E5E-B203-44CB-95CB-629D26B9B4DA}"/>
    <cellStyle name="Percent 22" xfId="2610" xr:uid="{514891A7-7642-4E87-804F-09333EEFDFD6}"/>
    <cellStyle name="Percent 22 2" xfId="2611" xr:uid="{2EF0DB18-608C-4F8E-969A-CB9502B606CA}"/>
    <cellStyle name="Percent 22 3" xfId="2612" xr:uid="{FB58EE29-F13F-4D90-AF7A-1A4A2B8DBB8C}"/>
    <cellStyle name="Percent 22 4" xfId="2613" xr:uid="{40FC2CA3-1D45-4F93-8982-205F6B261B71}"/>
    <cellStyle name="Percent 22 5" xfId="2614" xr:uid="{9E7B0167-13DB-4907-B865-F280ADF0C656}"/>
    <cellStyle name="Percent 22 6" xfId="2615" xr:uid="{9BBC6924-E32A-4113-99F1-8011F8BB0CBB}"/>
    <cellStyle name="Percent 22 7" xfId="2616" xr:uid="{89A875CB-2AC7-4DBF-883E-08A8C3EBB294}"/>
    <cellStyle name="Percent 22 7 2" xfId="2617" xr:uid="{549BFFF4-782C-46AB-8C4F-1067D4EC5A42}"/>
    <cellStyle name="Percent 22 7 3" xfId="2618" xr:uid="{4F55A3C7-F438-4CE3-B4AD-B7F4D2FF648F}"/>
    <cellStyle name="Percent 23" xfId="2619" xr:uid="{813A222A-1EA7-461C-8941-D223D9D980B6}"/>
    <cellStyle name="Percent 23 2" xfId="2620" xr:uid="{45396D22-5B85-43F6-BABB-2D90DB082C2F}"/>
    <cellStyle name="Percent 23 3" xfId="2621" xr:uid="{4C0D9816-951D-4AC2-A7AC-E1373BB127C8}"/>
    <cellStyle name="Percent 23 4" xfId="2622" xr:uid="{4187ACE9-7BC2-4D76-B007-1F9B3511300D}"/>
    <cellStyle name="Percent 23 5" xfId="2623" xr:uid="{72CEBD64-9F8F-4676-B24C-5D826B2B8922}"/>
    <cellStyle name="Percent 23 6" xfId="2624" xr:uid="{F29D9D77-C049-4A28-9BA1-1603FB00B689}"/>
    <cellStyle name="Percent 23 7" xfId="2625" xr:uid="{3E002F99-147A-4A68-AF6D-7158DB8FCDB1}"/>
    <cellStyle name="Percent 23 7 2" xfId="2626" xr:uid="{ABAE9F29-B602-4415-9200-D0083874C242}"/>
    <cellStyle name="Percent 23 7 3" xfId="2627" xr:uid="{C622E373-BCAB-4375-91DC-3CA23C1AE662}"/>
    <cellStyle name="Percent 24 2" xfId="2628" xr:uid="{7C49EB94-0A17-48D1-8A14-D16CD443F659}"/>
    <cellStyle name="Percent 24 3" xfId="2629" xr:uid="{C15B6842-3E29-4B2A-8133-8DA8539A78A7}"/>
    <cellStyle name="Percent 24 4" xfId="2630" xr:uid="{BB64D32D-D48C-47AF-9874-D5C0BB78DD5C}"/>
    <cellStyle name="Percent 24 5" xfId="2631" xr:uid="{489188BD-C7B1-4811-BF5C-BC18FBF5371A}"/>
    <cellStyle name="Percent 24 6" xfId="2632" xr:uid="{1E345963-834F-460A-BBE7-3B2C12EE2240}"/>
    <cellStyle name="Percent 24 7" xfId="2633" xr:uid="{CD5F71ED-AB5F-4669-B096-3F45C9640851}"/>
    <cellStyle name="Percent 24 7 2" xfId="2634" xr:uid="{F718DC77-A6DA-4D89-A970-EE1C61389CB2}"/>
    <cellStyle name="Percent 24 7 3" xfId="2635" xr:uid="{68F5E362-F500-4671-B661-0C3C0CA6B909}"/>
    <cellStyle name="Percent 25" xfId="2636" xr:uid="{C08CB73F-8091-403C-A8CB-9B8B5F0E0992}"/>
    <cellStyle name="Percent 25 2" xfId="2637" xr:uid="{D6EC90BA-0437-4389-B3DF-869864CDEB03}"/>
    <cellStyle name="Percent 25 3" xfId="2638" xr:uid="{34CF6C8D-D546-4ADC-9B33-B7D799C307EE}"/>
    <cellStyle name="Percent 25 4" xfId="2639" xr:uid="{874B7490-628E-4478-B6F4-D81882209F65}"/>
    <cellStyle name="Percent 25 5" xfId="2640" xr:uid="{BEA2377D-C6B3-42E9-8575-E0BF7B317C8D}"/>
    <cellStyle name="Percent 25 6" xfId="2641" xr:uid="{A7797F95-86BC-4838-8B0A-61A74239D9B5}"/>
    <cellStyle name="Percent 25 7" xfId="2642" xr:uid="{B3F12ECF-EF37-4871-AEB9-55D11777AAB9}"/>
    <cellStyle name="Percent 25 7 2" xfId="2643" xr:uid="{D4C70084-C5D4-4386-8794-5248678A4C8E}"/>
    <cellStyle name="Percent 25 7 3" xfId="2644" xr:uid="{B79ED06A-80C3-4484-B5C1-032E5893DED6}"/>
    <cellStyle name="Percent 26" xfId="2645" xr:uid="{3649E749-CFCE-43BF-94EA-28719DC845C1}"/>
    <cellStyle name="Percent 26 2" xfId="2646" xr:uid="{E533E5BB-C5E7-411A-93C5-1209AAF11A49}"/>
    <cellStyle name="Percent 26 3" xfId="2647" xr:uid="{F77C64B4-A00E-46BA-80B1-2E101993A566}"/>
    <cellStyle name="Percent 26 4" xfId="2648" xr:uid="{413E1735-4450-4836-9492-D8757F11E6B4}"/>
    <cellStyle name="Percent 26 5" xfId="2649" xr:uid="{6F417F53-03B7-43BB-B7F5-DBEC37EE945B}"/>
    <cellStyle name="Percent 26 6" xfId="2650" xr:uid="{69D12045-AA29-439F-A04E-B799746247B8}"/>
    <cellStyle name="Percent 26 7" xfId="2651" xr:uid="{9EAE1DDC-8B5C-4B60-A4F6-E0D6A5349D1A}"/>
    <cellStyle name="Percent 26 7 2" xfId="2652" xr:uid="{E47A8980-4D4C-4DFB-B13E-BD5EE4B7C59E}"/>
    <cellStyle name="Percent 26 7 3" xfId="2653" xr:uid="{5697489D-714F-42F5-A0EB-352167FC012E}"/>
    <cellStyle name="Percent 27" xfId="2654" xr:uid="{D08E9668-41CB-4E8B-A872-E20E1195D349}"/>
    <cellStyle name="Percent 3" xfId="2655" xr:uid="{FC16B993-BC21-463A-AA49-03E4E234271E}"/>
    <cellStyle name="Percent 3 10" xfId="2656" xr:uid="{1BBFC208-1D20-4A28-8D21-E981546D1E77}"/>
    <cellStyle name="Percent 3 10 10" xfId="2657" xr:uid="{18C688BD-ED83-439E-BD6D-3FD3459EC49F}"/>
    <cellStyle name="Percent 3 10 11" xfId="2658" xr:uid="{BEE35EA5-1919-4B69-8157-46B248C60566}"/>
    <cellStyle name="Percent 3 10 12" xfId="2659" xr:uid="{600440BC-C7F3-4858-AFE8-98F8E34A9124}"/>
    <cellStyle name="Percent 3 10 13" xfId="2660" xr:uid="{1E0789E9-80F8-4EA8-A8E9-81C916680A63}"/>
    <cellStyle name="Percent 3 10 14" xfId="2661" xr:uid="{A3BD043E-6ABA-4322-84C3-BE4A0C41D06B}"/>
    <cellStyle name="Percent 3 10 15" xfId="2662" xr:uid="{5B699029-EB27-453B-A487-87127AD90077}"/>
    <cellStyle name="Percent 3 10 2" xfId="2663" xr:uid="{F446DCEC-A4D7-43A3-9B27-F74AED280D9B}"/>
    <cellStyle name="Percent 3 10 3" xfId="2664" xr:uid="{13A3018E-6D70-46C9-AD55-74A66E83E060}"/>
    <cellStyle name="Percent 3 10 4" xfId="2665" xr:uid="{99E45907-93B2-4A25-B2CB-9EB62AF8741A}"/>
    <cellStyle name="Percent 3 10 5" xfId="2666" xr:uid="{B8A61229-90AA-44C6-A6F2-1D377125BDB8}"/>
    <cellStyle name="Percent 3 10 6" xfId="2667" xr:uid="{956CD914-1C89-4F36-B8CE-7C50185D80DE}"/>
    <cellStyle name="Percent 3 10 7" xfId="2668" xr:uid="{E5C3F8AD-107B-49F9-B5ED-F1C6A11FDD8F}"/>
    <cellStyle name="Percent 3 10 8" xfId="2669" xr:uid="{9CCECA92-793A-4B6A-A1C9-1B15D9D35EB1}"/>
    <cellStyle name="Percent 3 10 9" xfId="2670" xr:uid="{CB85F4B8-4AD6-496F-A481-3F26453E7842}"/>
    <cellStyle name="Percent 3 11" xfId="2671" xr:uid="{666B3AB8-175A-41EF-9A2E-88B9B1AEA8CE}"/>
    <cellStyle name="Percent 3 12" xfId="2672" xr:uid="{6B32A984-A99A-4F3E-AC85-6240FBBFB01B}"/>
    <cellStyle name="Percent 3 13" xfId="2673" xr:uid="{1283B759-F13B-4CCF-9818-B4DD056AF158}"/>
    <cellStyle name="Percent 3 14" xfId="2674" xr:uid="{CE25D2DE-5C98-4202-8DF5-A1BD49F084F6}"/>
    <cellStyle name="Percent 3 15" xfId="2675" xr:uid="{2E97554D-0A77-49E7-BEC9-C9454BAB6907}"/>
    <cellStyle name="Percent 3 16" xfId="2676" xr:uid="{B3CA05BD-EBB7-41C2-BC68-ECB515E0188F}"/>
    <cellStyle name="Percent 3 17" xfId="2677" xr:uid="{FE09DF14-E9BD-427C-BCFD-431E421263B6}"/>
    <cellStyle name="Percent 3 18" xfId="2678" xr:uid="{F2F99243-3DBF-4C17-A50D-3AD2B52D46C9}"/>
    <cellStyle name="Percent 3 19" xfId="2679" xr:uid="{7A534EA5-83E4-4CD5-8F95-06CAAD9CE89D}"/>
    <cellStyle name="Percent 3 2" xfId="2680" xr:uid="{2FE99BBE-B0BF-46E2-AFB5-56F9FDB8FAC2}"/>
    <cellStyle name="Percent 3 2 10" xfId="2681" xr:uid="{09807BD6-30CB-4DA6-A781-A6F7C292EC66}"/>
    <cellStyle name="Percent 3 2 11" xfId="2682" xr:uid="{EE2CC7AC-240A-41F5-8ED4-E19A7EA325BC}"/>
    <cellStyle name="Percent 3 2 12" xfId="2683" xr:uid="{8DDDCD39-A78C-4E74-B233-7F883A6C2B7F}"/>
    <cellStyle name="Percent 3 2 13" xfId="2684" xr:uid="{D78DD9B7-829C-4BE5-9706-41C3A0C0316C}"/>
    <cellStyle name="Percent 3 2 14" xfId="2685" xr:uid="{73D1BD40-0BDC-45C5-9737-052F2244A91E}"/>
    <cellStyle name="Percent 3 2 15" xfId="2686" xr:uid="{7718BFB6-212E-4978-B6C4-27459965685D}"/>
    <cellStyle name="Percent 3 2 16" xfId="2687" xr:uid="{C8694BFD-A55B-4D33-94DD-D0872D9A2133}"/>
    <cellStyle name="Percent 3 2 2" xfId="2688" xr:uid="{3E27020C-9914-4CAA-BC10-EE0F5C212CEA}"/>
    <cellStyle name="Percent 3 2 2 2" xfId="2689" xr:uid="{7D023FB9-14BB-4479-AE43-A4E63A530BE9}"/>
    <cellStyle name="Percent 3 2 3" xfId="2690" xr:uid="{EC7029F4-25BD-4C30-93D7-2AAF2DB0928F}"/>
    <cellStyle name="Percent 3 2 3 2" xfId="2691" xr:uid="{EB483F98-0A7A-408C-91B2-9A173B3E4786}"/>
    <cellStyle name="Percent 3 2 4" xfId="2692" xr:uid="{40CD2309-CE2D-4000-B39B-5E6395B74794}"/>
    <cellStyle name="Percent 3 2 5" xfId="2693" xr:uid="{7AADF075-EEDC-4573-A82E-3482DFF6977E}"/>
    <cellStyle name="Percent 3 2 6" xfId="2694" xr:uid="{04A15BBD-1D15-4AE6-8A6D-B0460683CE7D}"/>
    <cellStyle name="Percent 3 2 7" xfId="2695" xr:uid="{9C4ECC3E-E826-4F0D-AED8-D4F53797C83A}"/>
    <cellStyle name="Percent 3 2 8" xfId="2696" xr:uid="{E9E233A9-33A2-45EB-AB9E-5409A171F68F}"/>
    <cellStyle name="Percent 3 2 9" xfId="2697" xr:uid="{1A8065E8-FAD3-4093-B669-E3C2E3FCE95B}"/>
    <cellStyle name="Percent 3 20" xfId="2698" xr:uid="{FDD9DC51-2B04-468F-B19F-140B14560103}"/>
    <cellStyle name="Percent 3 21" xfId="2699" xr:uid="{F1F552A6-CC1F-438A-A0F8-0AF54D2F33DD}"/>
    <cellStyle name="Percent 3 22" xfId="2700" xr:uid="{4B2590C5-D413-4409-BF1C-0C325F028860}"/>
    <cellStyle name="Percent 3 23" xfId="2701" xr:uid="{B8851E34-6012-444D-9B1A-0771A7EB7A9A}"/>
    <cellStyle name="Percent 3 24" xfId="2702" xr:uid="{6170ED57-5897-453B-B4E1-D86A3F3DA87D}"/>
    <cellStyle name="Percent 3 25" xfId="2703" xr:uid="{A520796B-DF02-4540-AF1E-247E46DDB3F8}"/>
    <cellStyle name="Percent 3 26" xfId="2704" xr:uid="{04E59AC6-265F-4C76-BCC5-29483196FC12}"/>
    <cellStyle name="Percent 3 27" xfId="2705" xr:uid="{F98C8BAA-219D-4448-BDF4-68F1686B9E4A}"/>
    <cellStyle name="Percent 3 28" xfId="2706" xr:uid="{41FF723A-5838-4DBD-AA0E-0379CF0A674C}"/>
    <cellStyle name="Percent 3 29" xfId="2707" xr:uid="{D1457A9B-63BE-434E-9768-74E9CCB040A3}"/>
    <cellStyle name="Percent 3 3" xfId="2708" xr:uid="{5D625CD5-91AE-4D98-87D0-9410FFD2E616}"/>
    <cellStyle name="Percent 3 3 10" xfId="2709" xr:uid="{D669DB32-D560-4620-80A5-E7AEB2EBB226}"/>
    <cellStyle name="Percent 3 3 11" xfId="2710" xr:uid="{ECC2D846-F390-4773-B247-A6B78368A1DF}"/>
    <cellStyle name="Percent 3 3 12" xfId="2711" xr:uid="{7581FA33-6B7C-4E82-B77F-8B7351812D53}"/>
    <cellStyle name="Percent 3 3 13" xfId="2712" xr:uid="{4900A323-72C5-4245-A35B-ED32C075F22A}"/>
    <cellStyle name="Percent 3 3 14" xfId="2713" xr:uid="{C727CF3E-39F6-4C3B-AB13-91655237B371}"/>
    <cellStyle name="Percent 3 3 15" xfId="2714" xr:uid="{93567D07-A348-4F86-935A-20A3773764B4}"/>
    <cellStyle name="Percent 3 3 2" xfId="2715" xr:uid="{65B08899-EAD1-41F2-A3D3-8FFA729348E8}"/>
    <cellStyle name="Percent 3 3 3" xfId="2716" xr:uid="{2C554030-0562-4623-8DC6-B0141BC4C66C}"/>
    <cellStyle name="Percent 3 3 3 2" xfId="2717" xr:uid="{CACD9F11-47DA-450A-A52C-954C93667DD6}"/>
    <cellStyle name="Percent 3 3 3 3" xfId="2718" xr:uid="{8B87FE34-9B64-4E72-8151-71C8EFA5FD57}"/>
    <cellStyle name="Percent 3 3 3 3 2" xfId="2719" xr:uid="{FF5FFA2B-56E3-4213-BCAC-9EA655B044C9}"/>
    <cellStyle name="Percent 3 3 3 3 3" xfId="2720" xr:uid="{38B48777-8CC0-4A7F-BB3A-86759C44F0EE}"/>
    <cellStyle name="Percent 3 3 3 3 4" xfId="2721" xr:uid="{21D922BC-F12C-407F-A96E-38D76EB4D7BD}"/>
    <cellStyle name="Percent 3 3 4" xfId="2722" xr:uid="{81BEF468-7ED7-478C-8C30-154297E30F10}"/>
    <cellStyle name="Percent 3 3 4 2" xfId="2723" xr:uid="{A8FA6062-D17C-48E2-B6FB-6BD710CAE6D7}"/>
    <cellStyle name="Percent 3 3 5" xfId="2724" xr:uid="{F52DFB86-A9DF-465B-9C81-BF1FB2FFE23C}"/>
    <cellStyle name="Percent 3 3 6" xfId="2725" xr:uid="{64E94B01-E47B-4F2F-82EA-67F9D84FC0E4}"/>
    <cellStyle name="Percent 3 3 7" xfId="2726" xr:uid="{CBB7BC2C-5332-476A-B00F-E61C9B19A8A9}"/>
    <cellStyle name="Percent 3 3 8" xfId="2727" xr:uid="{DBEB1C76-1426-4061-8B9F-1DDC950D1E98}"/>
    <cellStyle name="Percent 3 3 9" xfId="2728" xr:uid="{03C9B677-F2FC-4508-AED7-EFD091DDF64F}"/>
    <cellStyle name="Percent 3 4" xfId="2729" xr:uid="{5C7EE52F-09E1-468B-957C-C0A7735CCC3E}"/>
    <cellStyle name="Percent 3 4 10" xfId="2730" xr:uid="{F8E2279B-C3F4-4989-A866-C02F747D2C8A}"/>
    <cellStyle name="Percent 3 4 11" xfId="2731" xr:uid="{C564D46B-EE90-4A94-AD78-9F9AA32C5C06}"/>
    <cellStyle name="Percent 3 4 12" xfId="2732" xr:uid="{257D12E6-65FB-4724-B2EF-4CD5DC5054D7}"/>
    <cellStyle name="Percent 3 4 13" xfId="2733" xr:uid="{D4203580-56F6-464B-8906-0E5A5D24131C}"/>
    <cellStyle name="Percent 3 4 14" xfId="2734" xr:uid="{E22B9B84-16FB-4C94-A9D7-73159CC46927}"/>
    <cellStyle name="Percent 3 4 15" xfId="2735" xr:uid="{51101CB4-C5EC-4E19-AE66-18AE50F475F5}"/>
    <cellStyle name="Percent 3 4 2" xfId="2736" xr:uid="{65D0C74E-C2BC-49E6-83D8-B57BA0C7A303}"/>
    <cellStyle name="Percent 3 4 3" xfId="2737" xr:uid="{60A1469E-33B1-4AC1-A2DD-EBA05989E3A6}"/>
    <cellStyle name="Percent 3 4 4" xfId="2738" xr:uid="{8AD853C8-C8C9-4AFA-B54C-E46E3DE53441}"/>
    <cellStyle name="Percent 3 4 5" xfId="2739" xr:uid="{141E40D5-0A97-4542-91A5-5EB99666A751}"/>
    <cellStyle name="Percent 3 4 6" xfId="2740" xr:uid="{E8E6FEA2-F3AC-42B9-ABAD-042AC95F6F97}"/>
    <cellStyle name="Percent 3 4 7" xfId="2741" xr:uid="{5507FF00-F74F-4B00-AB0A-A46E261B3C72}"/>
    <cellStyle name="Percent 3 4 8" xfId="2742" xr:uid="{36309ACA-8353-4A6E-A2D0-D5DD3895707C}"/>
    <cellStyle name="Percent 3 4 9" xfId="2743" xr:uid="{C9A09457-09D8-44B7-BE06-17FBCF10AC75}"/>
    <cellStyle name="Percent 3 5" xfId="2744" xr:uid="{560BE1FC-25A3-459B-85C8-AFAEA9AA3F8C}"/>
    <cellStyle name="Percent 3 5 10" xfId="2745" xr:uid="{2853169B-8558-4C75-8686-C8FB705797DF}"/>
    <cellStyle name="Percent 3 5 11" xfId="2746" xr:uid="{F13FB53C-2629-450E-B2A3-96BBB6E044C5}"/>
    <cellStyle name="Percent 3 5 12" xfId="2747" xr:uid="{41D3347D-5646-4371-BD57-239BABE175A4}"/>
    <cellStyle name="Percent 3 5 13" xfId="2748" xr:uid="{C7A307B3-87D4-452A-9980-292971E330EC}"/>
    <cellStyle name="Percent 3 5 14" xfId="2749" xr:uid="{5623AD56-35BA-4D4E-BD2C-0850A62AA8D4}"/>
    <cellStyle name="Percent 3 5 15" xfId="2750" xr:uid="{62896072-B1BB-4AF1-AE09-E8D280CDF523}"/>
    <cellStyle name="Percent 3 5 16" xfId="2751" xr:uid="{D65BAFE0-6BFB-4F9D-B653-A04157E822BD}"/>
    <cellStyle name="Percent 3 5 2" xfId="2752" xr:uid="{18595768-DB4D-4E85-A42E-F67744A427A3}"/>
    <cellStyle name="Percent 3 5 3" xfId="2753" xr:uid="{27333F55-E152-4C75-94E9-B8C127D39AD2}"/>
    <cellStyle name="Percent 3 5 4" xfId="2754" xr:uid="{DAFAFC05-50B8-4E19-A862-B4BD935A69BC}"/>
    <cellStyle name="Percent 3 5 5" xfId="2755" xr:uid="{7EF70377-C2D3-4208-B267-A14EB9079B74}"/>
    <cellStyle name="Percent 3 5 6" xfId="2756" xr:uid="{E9DBBA04-075C-4741-815D-7B20A5371479}"/>
    <cellStyle name="Percent 3 5 7" xfId="2757" xr:uid="{CCABBF82-45B6-4FAB-A918-4E941E76C6B7}"/>
    <cellStyle name="Percent 3 5 8" xfId="2758" xr:uid="{A819EC3E-FB71-4C0F-8E3B-DF2E8E02B16C}"/>
    <cellStyle name="Percent 3 5 9" xfId="2759" xr:uid="{E97B81F9-E7E2-4713-9388-D894E638E30D}"/>
    <cellStyle name="Percent 3 6" xfId="2760" xr:uid="{5317F80D-E6C7-476B-8354-76442DEFE51D}"/>
    <cellStyle name="Percent 3 6 10" xfId="2761" xr:uid="{DBEA78BE-DF5C-4627-B093-B8B3CD346755}"/>
    <cellStyle name="Percent 3 6 11" xfId="2762" xr:uid="{81C14B05-B8FA-48E4-BD33-12F76BEB085D}"/>
    <cellStyle name="Percent 3 6 12" xfId="2763" xr:uid="{DCF7B84E-84D0-471A-933E-C15703FC1D2D}"/>
    <cellStyle name="Percent 3 6 13" xfId="2764" xr:uid="{D9BC05CF-4172-492D-9B5D-8B4C8CD2350D}"/>
    <cellStyle name="Percent 3 6 14" xfId="2765" xr:uid="{80A5DEDD-B809-4C89-B99B-8D6EFEE856E1}"/>
    <cellStyle name="Percent 3 6 15" xfId="2766" xr:uid="{7AE129C8-240C-4AFE-8AD2-887EAF7B3443}"/>
    <cellStyle name="Percent 3 6 2" xfId="2767" xr:uid="{2C967296-0615-412B-BCFC-A08B5322D659}"/>
    <cellStyle name="Percent 3 6 3" xfId="2768" xr:uid="{A668F729-0370-4A99-9E4A-35BE07AA193D}"/>
    <cellStyle name="Percent 3 6 4" xfId="2769" xr:uid="{7E97CA3E-EEAB-4344-AA94-35CA5B97A0A1}"/>
    <cellStyle name="Percent 3 6 5" xfId="2770" xr:uid="{B0E26226-A4BE-4393-9083-23A2FF7EAFF6}"/>
    <cellStyle name="Percent 3 6 6" xfId="2771" xr:uid="{C46EAF11-2DC2-4EF2-A7C4-A8A0CF1AF13D}"/>
    <cellStyle name="Percent 3 6 7" xfId="2772" xr:uid="{4267DFAE-153D-4D3F-84C2-5171E74FAD31}"/>
    <cellStyle name="Percent 3 6 8" xfId="2773" xr:uid="{7E51E9C3-D4CB-437B-ABDB-5A4C733B8329}"/>
    <cellStyle name="Percent 3 6 9" xfId="2774" xr:uid="{61E62F67-E2D1-419D-9825-33C5629EA35B}"/>
    <cellStyle name="Percent 3 7" xfId="2775" xr:uid="{81516BAF-B67B-49F3-8FAB-4B6D098FE0AA}"/>
    <cellStyle name="Percent 3 7 10" xfId="2776" xr:uid="{54CFC753-55D3-42EC-B401-234EAEBA64BF}"/>
    <cellStyle name="Percent 3 7 11" xfId="2777" xr:uid="{A349923F-221A-4E11-8E3A-44EF4D7A59F6}"/>
    <cellStyle name="Percent 3 7 12" xfId="2778" xr:uid="{A01D13D2-EFB3-41DD-A3F4-9873DD0B0A66}"/>
    <cellStyle name="Percent 3 7 13" xfId="2779" xr:uid="{58AE23EA-CF37-4D07-8642-3D32465FFAD1}"/>
    <cellStyle name="Percent 3 7 14" xfId="2780" xr:uid="{9B1763C6-DBED-45D5-95A0-2D7CF6F2650F}"/>
    <cellStyle name="Percent 3 7 15" xfId="2781" xr:uid="{55E12F19-4126-40B8-9723-DDDC47D20620}"/>
    <cellStyle name="Percent 3 7 2" xfId="2782" xr:uid="{498C8021-606E-4FD1-BB40-76C27AB99E98}"/>
    <cellStyle name="Percent 3 7 3" xfId="2783" xr:uid="{383EA4E3-8CBF-4B8C-8E6A-B47D4A541DFA}"/>
    <cellStyle name="Percent 3 7 4" xfId="2784" xr:uid="{AF102FA1-91B9-45C4-AFFA-66FB9A71A246}"/>
    <cellStyle name="Percent 3 7 5" xfId="2785" xr:uid="{B0F58042-347A-4F66-8777-0B280986A110}"/>
    <cellStyle name="Percent 3 7 6" xfId="2786" xr:uid="{BB33992A-57C8-4DDE-94AE-5CF9D407CC6D}"/>
    <cellStyle name="Percent 3 7 7" xfId="2787" xr:uid="{35D492F1-350C-4AB6-A2FC-B6CA43790D7E}"/>
    <cellStyle name="Percent 3 7 8" xfId="2788" xr:uid="{370BD90D-1172-4ABA-9821-1A22FF04E556}"/>
    <cellStyle name="Percent 3 7 9" xfId="2789" xr:uid="{64FDE8D8-3FD2-4CA2-8C34-A880C3218619}"/>
    <cellStyle name="Percent 3 8" xfId="2790" xr:uid="{CA7AD954-C790-42F6-A133-9517F46582B5}"/>
    <cellStyle name="Percent 3 8 10" xfId="2791" xr:uid="{CC333A19-F6D3-45F3-817B-5157564D20D0}"/>
    <cellStyle name="Percent 3 8 11" xfId="2792" xr:uid="{64822A64-5416-4B70-8EBF-B7D7E756FE6E}"/>
    <cellStyle name="Percent 3 8 12" xfId="2793" xr:uid="{D599DE88-1517-4EEC-9CC1-D40888498C6A}"/>
    <cellStyle name="Percent 3 8 13" xfId="2794" xr:uid="{E15374CE-F292-40F0-AD6C-A2BAEA298AA1}"/>
    <cellStyle name="Percent 3 8 14" xfId="2795" xr:uid="{734B8086-906C-4C21-AB8F-9FC35A3946AC}"/>
    <cellStyle name="Percent 3 8 15" xfId="2796" xr:uid="{A6234FCA-BFA5-45EC-A110-6985655EC529}"/>
    <cellStyle name="Percent 3 8 2" xfId="2797" xr:uid="{47D30223-0449-42E6-B15F-C854DF295986}"/>
    <cellStyle name="Percent 3 8 3" xfId="2798" xr:uid="{CF1FED4C-FA2B-443A-9502-74F90A4CAAC3}"/>
    <cellStyle name="Percent 3 8 4" xfId="2799" xr:uid="{E7748A42-4136-4976-B026-B765C15952D0}"/>
    <cellStyle name="Percent 3 8 5" xfId="2800" xr:uid="{1DBEB0CD-738D-43DD-A605-E179302A0E53}"/>
    <cellStyle name="Percent 3 8 6" xfId="2801" xr:uid="{5BD19FD8-0F23-4FC8-831B-6E33C21B90AD}"/>
    <cellStyle name="Percent 3 8 7" xfId="2802" xr:uid="{6CA784CE-2651-4625-9130-FC7B754F2D65}"/>
    <cellStyle name="Percent 3 8 8" xfId="2803" xr:uid="{D20BF9F1-DE0F-4CB4-8AD0-75D4C8E117AC}"/>
    <cellStyle name="Percent 3 8 9" xfId="2804" xr:uid="{94431E0F-B5C2-4897-AF82-07AA0F5574A7}"/>
    <cellStyle name="Percent 3 9" xfId="2805" xr:uid="{C82322C1-2EC5-403C-83BC-844EB5C747A8}"/>
    <cellStyle name="Percent 3 9 10" xfId="2806" xr:uid="{6ADFD5E1-C990-4B77-B9DE-8EE76CD67706}"/>
    <cellStyle name="Percent 3 9 11" xfId="2807" xr:uid="{E4A81041-D2BB-43FF-AE22-C77A6D055EF4}"/>
    <cellStyle name="Percent 3 9 12" xfId="2808" xr:uid="{6410C691-94D3-4F95-AA28-957EFFB5102B}"/>
    <cellStyle name="Percent 3 9 13" xfId="2809" xr:uid="{35F3C22D-192F-4773-A0A2-8FDEF0A39EBF}"/>
    <cellStyle name="Percent 3 9 14" xfId="2810" xr:uid="{B6019B67-341A-4608-8853-C0A6DA63A00B}"/>
    <cellStyle name="Percent 3 9 15" xfId="2811" xr:uid="{E623A20A-9B1B-43B2-B2E1-95CD79478A0C}"/>
    <cellStyle name="Percent 3 9 2" xfId="2812" xr:uid="{9F7C0DF6-6C09-4EBC-93B0-44A63A23951C}"/>
    <cellStyle name="Percent 3 9 3" xfId="2813" xr:uid="{F944BDCD-107D-408F-AB2C-F3CD8D9DEE25}"/>
    <cellStyle name="Percent 3 9 4" xfId="2814" xr:uid="{DFFC98E7-72A5-4ECF-B111-DA78095FB48A}"/>
    <cellStyle name="Percent 3 9 5" xfId="2815" xr:uid="{A7E829AD-89F5-4E37-91C8-75627B844337}"/>
    <cellStyle name="Percent 3 9 6" xfId="2816" xr:uid="{5E0C927E-10C4-4F4E-8B27-5D4F5C9BB286}"/>
    <cellStyle name="Percent 3 9 7" xfId="2817" xr:uid="{27AFF4F7-6CC8-4A1F-AA99-5AD03A052DB3}"/>
    <cellStyle name="Percent 3 9 8" xfId="2818" xr:uid="{3922EC1F-A5C9-4AC9-AE08-FAE23E38C62D}"/>
    <cellStyle name="Percent 3 9 9" xfId="2819" xr:uid="{ABCE85E3-2D5F-428F-B4A5-235B9D3503A7}"/>
    <cellStyle name="Percent 31" xfId="2820" xr:uid="{A160BE24-16ED-487A-9C3D-D672DEBCAFE4}"/>
    <cellStyle name="Percent 4" xfId="2821" xr:uid="{21D4FE7F-F70B-487A-BD1D-47C3278E5B85}"/>
    <cellStyle name="Percent 4 10" xfId="2822" xr:uid="{4A5AA426-9445-4C53-AE42-3FEF04BF8234}"/>
    <cellStyle name="Percent 4 11" xfId="2823" xr:uid="{2723AC1C-3272-4F89-92D6-5DFDE5551D15}"/>
    <cellStyle name="Percent 4 12" xfId="2824" xr:uid="{2D27C9B9-E41C-4947-B72D-9C0413CE4008}"/>
    <cellStyle name="Percent 4 13" xfId="2825" xr:uid="{2B324481-FE31-4B1B-B614-FCCB09C3DA16}"/>
    <cellStyle name="Percent 4 14" xfId="2826" xr:uid="{68C95AAA-A9AE-40A4-B19A-F032D8176F03}"/>
    <cellStyle name="Percent 4 15" xfId="2827" xr:uid="{C4E65CC9-CD67-4743-BAD9-43F9EAA07F4D}"/>
    <cellStyle name="Percent 4 16" xfId="2828" xr:uid="{2ED1AFE7-2CDC-44B5-904E-6C231B65145B}"/>
    <cellStyle name="Percent 4 17" xfId="2829" xr:uid="{34A8311D-5A26-4224-803C-8258EE05D2A4}"/>
    <cellStyle name="Percent 4 18" xfId="2830" xr:uid="{EBA4FF6F-8477-41CE-873D-7E04F800CE3D}"/>
    <cellStyle name="Percent 4 19" xfId="2831" xr:uid="{B4CD7011-A720-46C1-9038-D021098AD5E5}"/>
    <cellStyle name="Percent 4 2" xfId="2832" xr:uid="{986F16AF-8A7C-4492-ABBA-BC76F20A64C0}"/>
    <cellStyle name="Percent 4 2 2" xfId="2833" xr:uid="{79A8F5A3-181E-474B-ABBF-F6D80435F0F8}"/>
    <cellStyle name="Percent 4 2 3" xfId="2834" xr:uid="{C5AED18D-BB04-4467-ADA5-05FFAE267043}"/>
    <cellStyle name="Percent 4 2 4" xfId="2835" xr:uid="{43BC5AAC-C7EF-41BA-9963-D6BAE35002E5}"/>
    <cellStyle name="Percent 4 2 5" xfId="2836" xr:uid="{B5DF46E5-C20B-498E-82BA-34C1CE6FCC38}"/>
    <cellStyle name="Percent 4 20" xfId="2837" xr:uid="{AC5DF792-2C22-433C-9E76-8D703FF9D017}"/>
    <cellStyle name="Percent 4 21" xfId="2838" xr:uid="{DC3272F3-B8A6-4186-9672-9002F5352A09}"/>
    <cellStyle name="Percent 4 22" xfId="2839" xr:uid="{AD0E28F4-0546-42A3-8A54-5695597EC740}"/>
    <cellStyle name="Percent 4 23" xfId="2840" xr:uid="{F10BFE26-1FE4-43F2-A245-791A6480EFFF}"/>
    <cellStyle name="Percent 4 24" xfId="2841" xr:uid="{38BDEB97-E358-4956-AF35-D293A2CF80CB}"/>
    <cellStyle name="Percent 4 25" xfId="2842" xr:uid="{772F55FE-A720-429E-BB70-8C9052A9E4CC}"/>
    <cellStyle name="Percent 4 26" xfId="2843" xr:uid="{ECDFB76D-E1E2-459B-9B9D-AACFFBBC59B3}"/>
    <cellStyle name="Percent 4 27" xfId="2844" xr:uid="{483EE57B-AB0C-46E7-9D22-F94AD869E06C}"/>
    <cellStyle name="Percent 4 28" xfId="2845" xr:uid="{B28ED931-45FE-4348-A5A5-64895D1942F7}"/>
    <cellStyle name="Percent 4 29" xfId="2846" xr:uid="{C53E0557-37A7-4B98-AB12-F60BD49B30B1}"/>
    <cellStyle name="Percent 4 29 2" xfId="2847" xr:uid="{EBEE6A53-BDBC-4CB7-9931-425A2A3900D2}"/>
    <cellStyle name="Percent 4 29 3" xfId="2848" xr:uid="{9D2AC6BD-397A-41D9-AC0E-0BD07753504B}"/>
    <cellStyle name="Percent 4 3" xfId="2849" xr:uid="{C368AD5A-E284-43DE-B3D8-B4E40EE14B10}"/>
    <cellStyle name="Percent 4 4" xfId="2850" xr:uid="{359F88A3-B00E-4D03-AD5B-929EEB6BA8F6}"/>
    <cellStyle name="Percent 4 4 2" xfId="2851" xr:uid="{82B6512A-37E7-4E86-AE2C-3707A5154898}"/>
    <cellStyle name="Percent 4 5" xfId="2852" xr:uid="{B1539B53-C292-47E9-AEE8-766F1D76CF40}"/>
    <cellStyle name="Percent 4 5 2" xfId="2853" xr:uid="{D9E424D6-C0D7-4A3C-8CD7-FF760BD04F45}"/>
    <cellStyle name="Percent 4 6" xfId="2854" xr:uid="{A81D10AC-633D-4A39-869F-4A51EC9CC5D6}"/>
    <cellStyle name="Percent 4 7" xfId="2855" xr:uid="{DD184676-B5CC-4F87-82E2-E2F32E2FA186}"/>
    <cellStyle name="Percent 4 8" xfId="2856" xr:uid="{6B5B14A5-8B0E-4B60-98FA-4C3C4FDCB05B}"/>
    <cellStyle name="Percent 4 9" xfId="2857" xr:uid="{50B6DF9F-F38C-4770-8590-3F6F53E29837}"/>
    <cellStyle name="Percent 5" xfId="2858" xr:uid="{36F8ABCD-EBD3-4010-8E19-CB5EEE68C6B3}"/>
    <cellStyle name="Percent 5 2" xfId="2859" xr:uid="{C7950038-7AED-4C59-8A8B-A8C3037DA8E4}"/>
    <cellStyle name="Percent 5 3" xfId="2860" xr:uid="{D2F36796-400D-40DA-9615-E5062D6B8E97}"/>
    <cellStyle name="Percent 5 3 2" xfId="2861" xr:uid="{F7A86245-32E8-423E-9142-C0BE8B1FD135}"/>
    <cellStyle name="Percent 5 4" xfId="2862" xr:uid="{2BEBFEF1-97FD-45CB-99B5-95119F89083E}"/>
    <cellStyle name="Percent 6" xfId="2863" xr:uid="{2B2FCDFA-308B-47E0-9E68-F8CFCA051961}"/>
    <cellStyle name="Percent 6 2" xfId="2864" xr:uid="{8AAC456C-F2A7-4D49-87C9-7D05B2104FE9}"/>
    <cellStyle name="Percent 7" xfId="2865" xr:uid="{D55E63D7-0C7F-40F8-9168-BBD3AB05804F}"/>
    <cellStyle name="Percent 8" xfId="2866" xr:uid="{2B320E54-4F33-4398-914B-DA6FDB248E39}"/>
    <cellStyle name="Percent 8 2" xfId="2867" xr:uid="{7D2B6723-7D1A-4B1A-8A6E-EB68DDE44FB3}"/>
    <cellStyle name="Percent 9" xfId="2868" xr:uid="{1D3B8A9D-4C28-411F-A676-E9AFB5E4BB04}"/>
    <cellStyle name="Percent 9 10" xfId="2869" xr:uid="{75B30464-0A43-4C47-87FF-FC2287316BCA}"/>
    <cellStyle name="Percent 9 11" xfId="2870" xr:uid="{5D9FC13B-8405-404C-BA4D-21201863EF8C}"/>
    <cellStyle name="Percent 9 12" xfId="2871" xr:uid="{6DBCC3EC-4988-4102-B582-9BD7B86EC2F7}"/>
    <cellStyle name="Percent 9 13" xfId="2872" xr:uid="{F4A3E3C5-20C8-493F-A250-69ECA9F673F4}"/>
    <cellStyle name="Percent 9 14" xfId="2873" xr:uid="{25782062-255A-4B0E-B524-9C254AF2EE0C}"/>
    <cellStyle name="Percent 9 15" xfId="2874" xr:uid="{B98C90CD-7678-47F0-8128-B20289C9B86D}"/>
    <cellStyle name="Percent 9 16" xfId="2875" xr:uid="{A7A9A189-6EA0-4A99-A3A4-2A304516436B}"/>
    <cellStyle name="Percent 9 17" xfId="2876" xr:uid="{16DBB01B-B933-4347-89DE-82DB28DACB04}"/>
    <cellStyle name="Percent 9 18" xfId="2877" xr:uid="{373C7ABF-63D6-4EB5-9469-FC71E9CB1C3B}"/>
    <cellStyle name="Percent 9 19" xfId="2878" xr:uid="{1087EBFB-AB2B-4799-A7E5-9B837DFD0449}"/>
    <cellStyle name="Percent 9 2" xfId="2879" xr:uid="{C682F446-6335-4E3D-A66D-18828EB59534}"/>
    <cellStyle name="Percent 9 20" xfId="2880" xr:uid="{F71708F9-41EA-4BA3-8F18-5390FE7359B5}"/>
    <cellStyle name="Percent 9 3" xfId="2881" xr:uid="{C81E237D-D94D-4333-B4AE-235AC5A76DAF}"/>
    <cellStyle name="Percent 9 4" xfId="2882" xr:uid="{231D4EDA-2BFF-4364-904F-5F5C54BFD439}"/>
    <cellStyle name="Percent 9 5" xfId="2883" xr:uid="{E3414E08-603F-4D42-BAD4-E384A9C75473}"/>
    <cellStyle name="Percent 9 6" xfId="2884" xr:uid="{4191C603-B8B8-4ADD-8DA6-F08034BA0035}"/>
    <cellStyle name="Percent 9 7" xfId="2885" xr:uid="{2C52FDDF-CD4C-4331-B06F-6EAA1BFDA0D5}"/>
    <cellStyle name="Percent 9 7 2" xfId="2886" xr:uid="{B4298959-6635-4D2C-BBC0-593ED94FDC1B}"/>
    <cellStyle name="Percent 9 7 3" xfId="2887" xr:uid="{7FF8A674-95FB-404D-B3C9-1F5C1F7B1590}"/>
    <cellStyle name="Percent 9 8" xfId="2888" xr:uid="{B8CFD1E0-94CE-40F0-ABB4-1774E901470C}"/>
    <cellStyle name="Percent 9 9" xfId="2889" xr:uid="{9AC8B858-3D35-4850-913B-D81EC4FC0A8E}"/>
    <cellStyle name="Percentagem 2 2" xfId="2890" xr:uid="{9F6B3C31-93EF-46E5-BC05-60C42B80D326}"/>
    <cellStyle name="Percentagem 2 3" xfId="2891" xr:uid="{04D0D7A6-B31A-4DD6-BCA7-92DA672E1696}"/>
    <cellStyle name="Pilkku_Layo9704" xfId="2892" xr:uid="{91C640EF-11B3-4FA8-9D5D-3F150859B602}"/>
    <cellStyle name="Pyör. luku_Layo9704" xfId="2893" xr:uid="{2AE0795E-176A-4CD1-AB66-EE385529F8AC}"/>
    <cellStyle name="Pyör. valuutta_Layo9704" xfId="2894" xr:uid="{2261E40F-631C-48FE-985A-1B5CE1B4E2B8}"/>
    <cellStyle name="Schlecht" xfId="2895" xr:uid="{AF212883-6FB6-480C-B901-6C590AED24AE}"/>
    <cellStyle name="Shade" xfId="2896" xr:uid="{9F65813D-14C4-403A-B880-5D51AA880BE9}"/>
    <cellStyle name="source" xfId="2897" xr:uid="{0935CB5C-7912-45E1-9B40-C272C79D6301}"/>
    <cellStyle name="source 2" xfId="2898" xr:uid="{14DB9D79-94FA-41AE-AC4D-22F3B3E1C3EF}"/>
    <cellStyle name="source 2 2" xfId="2899" xr:uid="{E60DA144-7702-4F3A-B02D-076216937E9F}"/>
    <cellStyle name="Standaard_Blad1" xfId="2900" xr:uid="{C8307C43-2863-47B7-A475-E1B3CC04B2D9}"/>
    <cellStyle name="Standard 2" xfId="2901" xr:uid="{11A75E69-12D5-48F0-9113-296A15B669AF}"/>
    <cellStyle name="Standard 3" xfId="2902" xr:uid="{D3B159B9-43D3-4474-97D7-ECB50697514D}"/>
    <cellStyle name="Standard_Sce_D_Extraction" xfId="2903" xr:uid="{39FF37F0-1D03-426E-BEAD-29F21F14EB41}"/>
    <cellStyle name="Style 1" xfId="2904" xr:uid="{24431B1A-BC2E-4C30-82FC-DF0219AC5684}"/>
    <cellStyle name="Style 103" xfId="2905" xr:uid="{049EE7C7-3863-4475-BD10-FF7ADD83A8C0}"/>
    <cellStyle name="Style 103 2" xfId="2906" xr:uid="{256E8EB0-160A-419E-8BA9-CF52DD9A6322}"/>
    <cellStyle name="Style 103 3" xfId="2907" xr:uid="{FC55DB2D-248C-4E4D-B7A8-6CA6548A38B8}"/>
    <cellStyle name="Style 104" xfId="2908" xr:uid="{349B6C7A-5F87-4E00-9E45-8B2BF7FE30E1}"/>
    <cellStyle name="Style 104 2" xfId="2909" xr:uid="{313885CB-92B0-4924-89C0-FE56E7F4C6C5}"/>
    <cellStyle name="Style 104 3" xfId="2910" xr:uid="{D4567315-D3E9-43B2-B701-06579E258FEA}"/>
    <cellStyle name="Style 105" xfId="2911" xr:uid="{018EFB2C-EF58-4F77-B8E5-ABDCD23522F2}"/>
    <cellStyle name="Style 105 2" xfId="2912" xr:uid="{619FAD17-3FF5-4EB4-A34A-3A3CE501181E}"/>
    <cellStyle name="Style 106" xfId="2913" xr:uid="{992E7B38-5141-42E4-9D7A-A640D005201A}"/>
    <cellStyle name="Style 106 2" xfId="2914" xr:uid="{D1BC49E5-8195-48EE-9767-121BB2DD316C}"/>
    <cellStyle name="Style 107" xfId="2915" xr:uid="{56141802-37D9-4FD6-9870-325A06EAAAEF}"/>
    <cellStyle name="Style 107 2" xfId="2916" xr:uid="{6B3F4B59-F941-4588-8F76-5D76B71E3E82}"/>
    <cellStyle name="Style 108" xfId="2917" xr:uid="{3EA5864A-0BB1-4D84-B946-A77DA5ECD525}"/>
    <cellStyle name="Style 108 2" xfId="2918" xr:uid="{0853BFCB-4F67-44A2-B2C6-5A702CD677C8}"/>
    <cellStyle name="Style 108 3" xfId="2919" xr:uid="{0679C01F-BEEE-43F9-99E4-B964E01639C3}"/>
    <cellStyle name="Style 109" xfId="2920" xr:uid="{A6E68DEB-5F0A-4FA4-BE66-5F21F66CE51D}"/>
    <cellStyle name="Style 109 2" xfId="2921" xr:uid="{D68CA179-5B25-4330-84C5-44BEE57CD2C2}"/>
    <cellStyle name="Style 110" xfId="2922" xr:uid="{3F4636D5-BCBC-4BCA-A1D3-CA9F07BDCD21}"/>
    <cellStyle name="Style 110 2" xfId="2923" xr:uid="{F6DEB733-328F-4F5A-972F-58B5060F2779}"/>
    <cellStyle name="Style 114" xfId="2924" xr:uid="{DD1FBE22-EEA8-48E6-8046-3CE717207B51}"/>
    <cellStyle name="Style 114 2" xfId="2925" xr:uid="{399BD562-9D89-4C99-9E60-E07993980AE3}"/>
    <cellStyle name="Style 114 3" xfId="2926" xr:uid="{A56A07C0-4C5B-40D2-809D-627A2B5A3058}"/>
    <cellStyle name="Style 115" xfId="2927" xr:uid="{B3E1A77F-4F99-499F-8D12-451D18762544}"/>
    <cellStyle name="Style 115 2" xfId="2928" xr:uid="{29C1C997-5C9E-477D-8159-E4FCB13EE440}"/>
    <cellStyle name="Style 115 3" xfId="2929" xr:uid="{02A7C733-B13F-4289-A820-E8540B0306B3}"/>
    <cellStyle name="Style 116" xfId="2930" xr:uid="{E4831628-1233-417B-A6D9-E6C9E71BF923}"/>
    <cellStyle name="Style 116 2" xfId="2931" xr:uid="{AD90ACAF-539D-47B9-B8E7-394E3E3E0614}"/>
    <cellStyle name="Style 117" xfId="2932" xr:uid="{714396F4-3D7A-49E1-AD8D-4ED4D2358390}"/>
    <cellStyle name="Style 117 2" xfId="2933" xr:uid="{71F7F619-904A-4FDA-B878-14C29F565CAD}"/>
    <cellStyle name="Style 118" xfId="2934" xr:uid="{6615440F-C553-4960-9C50-FB8AC6F16FF8}"/>
    <cellStyle name="Style 118 2" xfId="2935" xr:uid="{65792558-7D41-45A7-BB92-10DE31F8AAE6}"/>
    <cellStyle name="Style 119" xfId="2936" xr:uid="{8A3A65CB-D646-40E6-BC7A-1804923D8152}"/>
    <cellStyle name="Style 119 2" xfId="2937" xr:uid="{3EA4AC11-AA36-430E-B956-DB6CF532EC02}"/>
    <cellStyle name="Style 119 3" xfId="2938" xr:uid="{54CA3AD7-EA79-45D6-A5DA-E47D0DD6BA3C}"/>
    <cellStyle name="Style 120" xfId="2939" xr:uid="{7A3CBAC4-FBD1-40A7-A8D3-7191C05451BE}"/>
    <cellStyle name="Style 120 2" xfId="2940" xr:uid="{2F508BC4-2E70-4F63-89AE-0F4A0F383C00}"/>
    <cellStyle name="Style 121" xfId="2941" xr:uid="{97CB04E6-1D91-49F0-92C7-895E5C121E07}"/>
    <cellStyle name="Style 121 2" xfId="2942" xr:uid="{4A6DD91A-919A-49DC-BC8D-FA7F5226F2FA}"/>
    <cellStyle name="Style 126" xfId="2943" xr:uid="{B41E070F-47D4-490B-B9CB-10FCFC985B4B}"/>
    <cellStyle name="Style 126 2" xfId="2944" xr:uid="{C6D89778-CF2B-4CC5-9197-27755C2F0F76}"/>
    <cellStyle name="Style 126 3" xfId="2945" xr:uid="{47A47E4B-5787-4F3D-B5E9-73B3A418AF4B}"/>
    <cellStyle name="Style 127" xfId="2946" xr:uid="{F7A16993-C10F-4E39-892D-633CFE9DBF45}"/>
    <cellStyle name="Style 127 2" xfId="2947" xr:uid="{3DB1E049-5C6E-4516-8732-373FFC6DEC4B}"/>
    <cellStyle name="Style 128" xfId="2948" xr:uid="{43AB529A-5EBD-4168-9425-4B9CA9F06EAD}"/>
    <cellStyle name="Style 128 2" xfId="2949" xr:uid="{6856079A-5EA5-497B-8373-37CBA791E745}"/>
    <cellStyle name="Style 129" xfId="2950" xr:uid="{A1FF9960-247C-482F-AFD0-376EDAF3F3CC}"/>
    <cellStyle name="Style 129 2" xfId="2951" xr:uid="{F12F5D5B-2355-43E3-A635-ABD9FF8991C4}"/>
    <cellStyle name="Style 130" xfId="2952" xr:uid="{019C2A36-C9C5-43BA-B50B-844CE0DF3CB2}"/>
    <cellStyle name="Style 130 2" xfId="2953" xr:uid="{C763E01F-C194-4BEB-8E73-20FB3A50BB05}"/>
    <cellStyle name="Style 130 3" xfId="2954" xr:uid="{41E7C3AF-7439-4105-9426-061ABC2A8AAD}"/>
    <cellStyle name="Style 131" xfId="2955" xr:uid="{0F78FD8F-0C60-4C54-85CC-C0CD16A0BE00}"/>
    <cellStyle name="Style 131 2" xfId="2956" xr:uid="{21471FAC-4FD7-46CD-9E0F-C9A8B3C77100}"/>
    <cellStyle name="Style 132" xfId="2957" xr:uid="{167D9123-1B9E-415F-ADB5-2469DAB424E0}"/>
    <cellStyle name="Style 132 2" xfId="2958" xr:uid="{3B55F8D8-597C-4AFB-A142-9C6EA3CC158D}"/>
    <cellStyle name="Style 137" xfId="2959" xr:uid="{24EEC363-8800-4E39-9950-C4C0FB323EAA}"/>
    <cellStyle name="Style 137 2" xfId="2960" xr:uid="{01468C67-F18E-473D-97F8-C0414AAD8A0F}"/>
    <cellStyle name="Style 137 3" xfId="2961" xr:uid="{5F99628F-3CA9-4E5A-AACD-CCE3918A7179}"/>
    <cellStyle name="Style 138" xfId="2962" xr:uid="{39DE1CE9-E9F9-4982-81B6-01008D54671A}"/>
    <cellStyle name="Style 138 2" xfId="2963" xr:uid="{37C1C12F-FDCB-4CE5-BA45-0EF09610CED9}"/>
    <cellStyle name="Style 139" xfId="2964" xr:uid="{30441826-9929-49C4-9C72-0FF3954F7052}"/>
    <cellStyle name="Style 139 2" xfId="2965" xr:uid="{AC153ACD-3501-4ABF-9309-7C441D9C29E0}"/>
    <cellStyle name="Style 140" xfId="2966" xr:uid="{CACACF6E-4EDD-4BE5-B35C-1EC4FC4F04A8}"/>
    <cellStyle name="Style 140 2" xfId="2967" xr:uid="{E8FBC49F-7531-4F2F-A2BD-3246127BB852}"/>
    <cellStyle name="Style 141" xfId="2968" xr:uid="{11811786-D09A-480E-87ED-2DAAF9A4D166}"/>
    <cellStyle name="Style 141 2" xfId="2969" xr:uid="{FBE17244-65C0-4E14-A496-3597453E70AB}"/>
    <cellStyle name="Style 141 3" xfId="2970" xr:uid="{D8C95EC5-AF28-48D2-8DCF-B4F04327A8B8}"/>
    <cellStyle name="Style 142" xfId="2971" xr:uid="{513D0AA9-9090-4E4C-B111-ECDD89CCB36D}"/>
    <cellStyle name="Style 142 2" xfId="2972" xr:uid="{5E7B30B5-A4E9-4439-AC62-CAA5BCA7D67F}"/>
    <cellStyle name="Style 143" xfId="2973" xr:uid="{0B38F057-B923-40D9-9154-1F2FC0C447D0}"/>
    <cellStyle name="Style 143 2" xfId="2974" xr:uid="{D6499EC6-12B3-4072-9D5C-D9B43121339A}"/>
    <cellStyle name="Style 148" xfId="2975" xr:uid="{959DF353-2F4C-4153-B12F-3A1C9BAE2B68}"/>
    <cellStyle name="Style 148 2" xfId="2976" xr:uid="{DE664226-19FE-44F0-89FC-F6AD8DC3E932}"/>
    <cellStyle name="Style 148 3" xfId="2977" xr:uid="{E81E2ED3-2F42-4510-B874-C8D49D53D5A0}"/>
    <cellStyle name="Style 149" xfId="2978" xr:uid="{93B68943-319F-4A4D-BA47-63CBFF38D80C}"/>
    <cellStyle name="Style 149 2" xfId="2979" xr:uid="{0A451A31-3E2E-41EB-A5E7-FC6AB6DEFCF5}"/>
    <cellStyle name="Style 150" xfId="2980" xr:uid="{CCA28A9F-5698-4560-8A34-96B172683D9F}"/>
    <cellStyle name="Style 150 2" xfId="2981" xr:uid="{35C9C062-E6EF-4BA7-AA81-39409856FD6C}"/>
    <cellStyle name="Style 151" xfId="2982" xr:uid="{67F8667D-7B91-4590-9EB8-9889087DC0B6}"/>
    <cellStyle name="Style 151 2" xfId="2983" xr:uid="{6C222E0C-9052-4499-9B7A-5DF4C0F76BFE}"/>
    <cellStyle name="Style 152" xfId="2984" xr:uid="{B10F82B6-9348-49AE-8E2B-FDE700BDBD8C}"/>
    <cellStyle name="Style 152 2" xfId="2985" xr:uid="{2FDC9205-8978-481B-B03A-67FDBA38B294}"/>
    <cellStyle name="Style 152 3" xfId="2986" xr:uid="{9C328751-EB72-401A-8AAA-D18FF76C52F3}"/>
    <cellStyle name="Style 153" xfId="2987" xr:uid="{5E844348-108D-45F3-910B-2A85C0811742}"/>
    <cellStyle name="Style 153 2" xfId="2988" xr:uid="{7698CEAC-26D3-47AD-9391-9AEFD0FD9BE0}"/>
    <cellStyle name="Style 154" xfId="2989" xr:uid="{CC595624-B048-4335-B656-B010B942AD48}"/>
    <cellStyle name="Style 154 2" xfId="2990" xr:uid="{200423C2-F9E8-4762-B5DD-97DD971CE308}"/>
    <cellStyle name="Style 159" xfId="2991" xr:uid="{91DB9300-BB1B-4078-BE8F-4DF2444DC090}"/>
    <cellStyle name="Style 159 2" xfId="2992" xr:uid="{CD8630F5-D1B1-4B50-BD7C-AEC31212E75B}"/>
    <cellStyle name="Style 159 3" xfId="2993" xr:uid="{C930C910-1D18-41A3-A790-DB5BF9C315B7}"/>
    <cellStyle name="Style 160" xfId="2994" xr:uid="{A6425044-65A6-4E5B-9CBE-1B48BB606E1A}"/>
    <cellStyle name="Style 160 2" xfId="2995" xr:uid="{69DC6AC6-CAF5-4621-98CB-483FACC393CB}"/>
    <cellStyle name="Style 161" xfId="2996" xr:uid="{9EB3B61C-0171-4700-A109-C937D14F3BE0}"/>
    <cellStyle name="Style 161 2" xfId="2997" xr:uid="{CD93D20C-BA07-4BD2-877D-10981D928BAB}"/>
    <cellStyle name="Style 162" xfId="2998" xr:uid="{B990957E-B0B9-4822-A060-590FF5765647}"/>
    <cellStyle name="Style 162 2" xfId="2999" xr:uid="{3B8DAE5C-02C3-43B4-A7FB-143F795F6226}"/>
    <cellStyle name="Style 163" xfId="3000" xr:uid="{51A67DF6-4D12-4A11-9FBC-51F9D0C87E9C}"/>
    <cellStyle name="Style 163 2" xfId="3001" xr:uid="{C18913D1-D6B3-4FF0-AC10-5FBF446C4F8E}"/>
    <cellStyle name="Style 163 3" xfId="3002" xr:uid="{B49C924D-95B8-4FDA-AB52-CD18B7FDEE1C}"/>
    <cellStyle name="Style 164" xfId="3003" xr:uid="{F7A768C1-0765-43DF-8B11-7C5AFAA2D2AF}"/>
    <cellStyle name="Style 164 2" xfId="3004" xr:uid="{510C31E6-E43D-4D62-94D3-5EBECAEE4112}"/>
    <cellStyle name="Style 165" xfId="3005" xr:uid="{C5EF4809-DDAB-40B5-8B82-4394410417A6}"/>
    <cellStyle name="Style 165 2" xfId="3006" xr:uid="{C425548B-3A56-49DA-88FF-0A61B0968779}"/>
    <cellStyle name="Style 21" xfId="3007" xr:uid="{4713452B-6FD4-4483-9F6A-3C2126BFBC23}"/>
    <cellStyle name="Style 21 2" xfId="3008" xr:uid="{C9E99EAE-7B42-466A-A0BE-C9ECEB7AE322}"/>
    <cellStyle name="Style 21 2 2" xfId="3009" xr:uid="{5B3132A4-3A34-40FB-B01D-97D0E81E3326}"/>
    <cellStyle name="Style 21 3" xfId="3010" xr:uid="{A20EAF8F-3CBD-4395-8C18-18D866D7C9B6}"/>
    <cellStyle name="Style 21 4" xfId="3011" xr:uid="{491319B7-862A-4AA5-AB69-05C0777FBEE3}"/>
    <cellStyle name="Style 22" xfId="3012" xr:uid="{ABFC5297-2F03-420D-A2DA-FD8FCE40E8E8}"/>
    <cellStyle name="Style 22 2" xfId="3013" xr:uid="{4B6D202C-6539-4B58-B075-57F6BDB12160}"/>
    <cellStyle name="Style 23" xfId="3014" xr:uid="{F5557B2A-EFA0-45E1-B328-E2A49F974C7E}"/>
    <cellStyle name="Style 23 2" xfId="3015" xr:uid="{6A9197D8-F794-4FC7-8154-4D21D7C4A370}"/>
    <cellStyle name="Style 24" xfId="3016" xr:uid="{8846BAB2-F04F-48CA-A823-B1B231252621}"/>
    <cellStyle name="Style 24 2" xfId="3017" xr:uid="{31461299-E483-41D0-A98F-1ABA769CD056}"/>
    <cellStyle name="Style 25" xfId="3018" xr:uid="{55A57BB9-3611-43CA-A85B-FFAAC7E09286}"/>
    <cellStyle name="Style 25 2" xfId="3019" xr:uid="{90743945-C89D-4B74-91D8-3C4C1E85C759}"/>
    <cellStyle name="Style 25 3" xfId="3020" xr:uid="{FF00F32F-8EE2-42CF-9826-ABFA3BA903DD}"/>
    <cellStyle name="Style 26" xfId="3021" xr:uid="{564DEE33-C146-4266-AD48-BFBF4F564C12}"/>
    <cellStyle name="Style 26 2" xfId="3022" xr:uid="{37AD6B20-3B33-418B-B80C-C8BB800DD80E}"/>
    <cellStyle name="Style 27" xfId="3023" xr:uid="{8DC5E139-6375-4FDF-ABFB-61003EC430D4}"/>
    <cellStyle name="Style 27 2" xfId="3024" xr:uid="{B88756C1-3DED-4FFB-B3DE-C7FB0E6BB28F}"/>
    <cellStyle name="Style 35" xfId="3025" xr:uid="{0D7C9FC2-0484-4631-A382-95787BE87378}"/>
    <cellStyle name="Style 35 2" xfId="3026" xr:uid="{33DDC435-58C0-47BB-AB55-DBD70327ADAA}"/>
    <cellStyle name="Style 35 3" xfId="3027" xr:uid="{B5C5380F-0C33-447C-BB4E-8D15E024A9B7}"/>
    <cellStyle name="Style 36" xfId="3028" xr:uid="{2346EE42-8675-482F-A28E-2C66AC9A77C3}"/>
    <cellStyle name="Style 36 2" xfId="3029" xr:uid="{39511BDE-E067-400F-8FD3-196240DEA8CA}"/>
    <cellStyle name="Style 37" xfId="3030" xr:uid="{972C9E31-D1B8-45DA-91E6-D35476E2AA26}"/>
    <cellStyle name="Style 37 2" xfId="3031" xr:uid="{6A623001-CBB4-4224-BF06-04EEA4EC13E7}"/>
    <cellStyle name="Style 38" xfId="3032" xr:uid="{07AC7C9F-F724-4378-9E17-7F47DCB9E885}"/>
    <cellStyle name="Style 38 2" xfId="3033" xr:uid="{EBF95E93-14AC-49CC-892F-DBCE93DF89F8}"/>
    <cellStyle name="Style 39" xfId="3034" xr:uid="{6BC9A2BC-0E40-41B7-B7A0-C55540508ED7}"/>
    <cellStyle name="Style 39 2" xfId="3035" xr:uid="{92946EE6-BF6D-47BA-9BFD-405807F00FFA}"/>
    <cellStyle name="Style 39 3" xfId="3036" xr:uid="{445FF890-4FE0-43D7-9D78-EC528B532260}"/>
    <cellStyle name="Style 40" xfId="3037" xr:uid="{A299A4F9-A8E0-426E-BE5A-0F4BA6BE39AA}"/>
    <cellStyle name="Style 40 2" xfId="3038" xr:uid="{1DE0EF80-7795-4487-9054-572FB75EDC9B}"/>
    <cellStyle name="Style 41" xfId="3039" xr:uid="{0B1952CB-3240-437F-9F48-03143FE709B7}"/>
    <cellStyle name="Style 41 2" xfId="3040" xr:uid="{3D6BED94-3C46-4989-9573-E41E153BD914}"/>
    <cellStyle name="Style 46" xfId="3041" xr:uid="{D5279175-39D6-499D-A13A-D4ACEB907A61}"/>
    <cellStyle name="Style 46 2" xfId="3042" xr:uid="{BDCF9CBE-352C-4759-BF1F-74EA146B67FF}"/>
    <cellStyle name="Style 46 3" xfId="3043" xr:uid="{903A8A91-3AFC-4A9B-BB5E-72CE28F007BD}"/>
    <cellStyle name="Style 47" xfId="3044" xr:uid="{92BE78C5-C419-4C69-B416-535E7871AA09}"/>
    <cellStyle name="Style 47 2" xfId="3045" xr:uid="{F1E89DD0-4A79-4621-81CD-50EAC6B6F1F6}"/>
    <cellStyle name="Style 48" xfId="3046" xr:uid="{62EB12A7-97C1-4872-A6AE-45984F35A0AA}"/>
    <cellStyle name="Style 48 2" xfId="3047" xr:uid="{B1BC03D9-0715-47E6-8178-E4E2A1E707C5}"/>
    <cellStyle name="Style 49" xfId="3048" xr:uid="{E1961E72-59A0-4D0D-9EDD-390341EBA686}"/>
    <cellStyle name="Style 49 2" xfId="3049" xr:uid="{4D5A509F-6895-4331-A549-E5E3F62388B9}"/>
    <cellStyle name="Style 50" xfId="3050" xr:uid="{C58219DD-1B33-48CE-85E2-2F6000B3BE39}"/>
    <cellStyle name="Style 50 2" xfId="3051" xr:uid="{E7384018-FEEF-44FB-8330-2FFCD8F5B4B1}"/>
    <cellStyle name="Style 50 3" xfId="3052" xr:uid="{C275FE1B-54A4-4363-A370-98A191BD2807}"/>
    <cellStyle name="Style 51" xfId="3053" xr:uid="{E919626A-47BA-43E4-890D-779EB3D6E445}"/>
    <cellStyle name="Style 51 2" xfId="3054" xr:uid="{4B20A240-3D2A-4897-AF78-1A42A76CC6EC}"/>
    <cellStyle name="Style 52" xfId="3055" xr:uid="{9F884256-A408-401B-A7A9-9CA8600A1999}"/>
    <cellStyle name="Style 52 2" xfId="3056" xr:uid="{F8FA255E-0DA4-4628-8CF9-073F1A8C6BD0}"/>
    <cellStyle name="Style 58" xfId="3057" xr:uid="{6401A783-9761-4F97-B318-0D7E588560C0}"/>
    <cellStyle name="Style 58 2" xfId="3058" xr:uid="{3D8A31DF-A642-41BB-AF7C-8AEBEA3F3489}"/>
    <cellStyle name="Style 58 3" xfId="3059" xr:uid="{6492AE78-3E4C-4E57-A651-F3FD6E11BBE0}"/>
    <cellStyle name="Style 59" xfId="3060" xr:uid="{0F36A33B-1455-47E5-818B-BE620A66CBEC}"/>
    <cellStyle name="Style 59 2" xfId="3061" xr:uid="{456365F6-31B3-49CE-B958-B066C8400A69}"/>
    <cellStyle name="Style 60" xfId="3062" xr:uid="{11AEAEBD-09E5-4E7E-853E-300FDBCC0CD2}"/>
    <cellStyle name="Style 60 2" xfId="3063" xr:uid="{BC9D0EE0-AA16-45B8-AD96-CB3AE57996F2}"/>
    <cellStyle name="Style 61" xfId="3064" xr:uid="{E64CD0F9-A5F9-438F-9674-73773907BAF2}"/>
    <cellStyle name="Style 61 2" xfId="3065" xr:uid="{80CCEF9B-FD2A-49D9-BC62-960E87A7DA83}"/>
    <cellStyle name="Style 62" xfId="3066" xr:uid="{E6FD4C58-C6E3-45D4-8E74-86708C3F8607}"/>
    <cellStyle name="Style 62 2" xfId="3067" xr:uid="{5B5ECC29-8BB3-4650-AF25-F6D704774D9F}"/>
    <cellStyle name="Style 62 3" xfId="3068" xr:uid="{1920C818-04B7-4BD6-B7A2-D82EBFF6B377}"/>
    <cellStyle name="Style 63" xfId="3069" xr:uid="{E16BECCC-501E-4945-9FE0-54562708B42D}"/>
    <cellStyle name="Style 63 2" xfId="3070" xr:uid="{31794DF7-208E-406C-A218-197FC0E6275D}"/>
    <cellStyle name="Style 64" xfId="3071" xr:uid="{D8BECCDD-2679-4115-8EBB-C9C64E84F20D}"/>
    <cellStyle name="Style 64 2" xfId="3072" xr:uid="{9EBC87F0-84C6-4ADD-9C16-EABB3E15739C}"/>
    <cellStyle name="Style 69" xfId="3073" xr:uid="{87F4ABB1-27E3-43CD-8BD7-9BA3A2ABDAE0}"/>
    <cellStyle name="Style 69 2" xfId="3074" xr:uid="{A17B94B0-A68D-4526-B91C-0422DDF2053B}"/>
    <cellStyle name="Style 69 3" xfId="3075" xr:uid="{1061E8F3-D668-4541-829A-E0C6944634B9}"/>
    <cellStyle name="Style 70" xfId="3076" xr:uid="{8CD6F41E-923A-4BCC-AD62-CE5D2E0E0A8F}"/>
    <cellStyle name="Style 70 2" xfId="3077" xr:uid="{AF9B5483-D642-444B-A5CD-5EBD6E7FE3E9}"/>
    <cellStyle name="Style 71" xfId="3078" xr:uid="{BFC3D493-6F08-4F98-A7F3-7E4CCE105E40}"/>
    <cellStyle name="Style 71 2" xfId="3079" xr:uid="{4F3D8716-12B0-4467-9751-A15BA16D3A3C}"/>
    <cellStyle name="Style 72" xfId="3080" xr:uid="{9FD2D2F9-1AAB-4810-981C-35BC30BCE02E}"/>
    <cellStyle name="Style 72 2" xfId="3081" xr:uid="{2CA92ED1-DF4A-4273-994B-E5250C6B8584}"/>
    <cellStyle name="Style 73" xfId="3082" xr:uid="{85701C73-2DD9-47F0-8E29-E1F339D008FF}"/>
    <cellStyle name="Style 73 2" xfId="3083" xr:uid="{E7059B05-47D7-44D1-96EC-F8CA74001631}"/>
    <cellStyle name="Style 73 3" xfId="3084" xr:uid="{6A8E4AA9-9D8B-4E3A-8132-D84296B99025}"/>
    <cellStyle name="Style 74" xfId="3085" xr:uid="{82A1ACCB-86F4-40C8-B596-070E1DEDC88A}"/>
    <cellStyle name="Style 74 2" xfId="3086" xr:uid="{B575AE4A-6F0E-4325-8F8C-B415D4DA20EA}"/>
    <cellStyle name="Style 75" xfId="3087" xr:uid="{557A4313-A1C0-4C3C-A431-4A5A7781B86D}"/>
    <cellStyle name="Style 75 2" xfId="3088" xr:uid="{1E1DA3E6-775C-4826-AEFE-69A62DF73D19}"/>
    <cellStyle name="Style 80" xfId="3089" xr:uid="{3A9FB8AF-D9D2-4BEA-87AB-418CD5D289E6}"/>
    <cellStyle name="Style 80 2" xfId="3090" xr:uid="{22B8C3A1-ECD4-4EB6-B3EA-C2196BA2800C}"/>
    <cellStyle name="Style 80 3" xfId="3091" xr:uid="{81042FEC-7BBC-4F95-A95B-99C58F9067E5}"/>
    <cellStyle name="Style 81" xfId="3092" xr:uid="{47A97601-EC00-4F31-87DE-70FC01CEAE6C}"/>
    <cellStyle name="Style 81 2" xfId="3093" xr:uid="{0332FD40-9C67-4161-A4C7-FA4D363DDFCA}"/>
    <cellStyle name="Style 81 3" xfId="3094" xr:uid="{B2D5F905-4B42-4C05-9424-FF7F258CDA90}"/>
    <cellStyle name="Style 82" xfId="3095" xr:uid="{3A28C6AE-66A1-419E-992C-742F84A2AE67}"/>
    <cellStyle name="Style 82 2" xfId="3096" xr:uid="{76CE6CE0-265C-4602-AA8B-8B22A142A850}"/>
    <cellStyle name="Style 83" xfId="3097" xr:uid="{02F532D3-6624-4A01-9B82-494128079977}"/>
    <cellStyle name="Style 83 2" xfId="3098" xr:uid="{4799AA67-7984-470E-B120-0976E8F48D89}"/>
    <cellStyle name="Style 84" xfId="3099" xr:uid="{3EA6A5C5-086F-41E2-9A6D-9C6C27368B44}"/>
    <cellStyle name="Style 84 2" xfId="3100" xr:uid="{BAFD91B0-648D-4C0B-AC9A-3CD4BACA3102}"/>
    <cellStyle name="Style 85" xfId="3101" xr:uid="{9D735D50-B616-44EB-AA29-03AB4A7EE008}"/>
    <cellStyle name="Style 85 2" xfId="3102" xr:uid="{DFD3D7E7-662E-4914-A936-F26887F031D5}"/>
    <cellStyle name="Style 85 3" xfId="3103" xr:uid="{6D1ED7BD-E6F3-4514-AD05-0BAEEDE0FB78}"/>
    <cellStyle name="Style 86" xfId="3104" xr:uid="{5A8AEB3C-967E-4788-BB03-0895CF61413A}"/>
    <cellStyle name="Style 86 2" xfId="3105" xr:uid="{A94D5FB2-4F21-4433-8213-CF825AC856AA}"/>
    <cellStyle name="Style 87" xfId="3106" xr:uid="{64683C59-38E6-421B-BB52-A0FF9D2EF5F9}"/>
    <cellStyle name="Style 87 2" xfId="3107" xr:uid="{67B923A7-068E-4C7D-9C0B-D832F05408B9}"/>
    <cellStyle name="Style 93" xfId="3108" xr:uid="{7CE545A8-AD73-4563-A69E-6F334F25767D}"/>
    <cellStyle name="Style 93 2" xfId="3109" xr:uid="{9299F6BE-D388-43FB-B332-7486C51FA61C}"/>
    <cellStyle name="Style 93 3" xfId="3110" xr:uid="{4FDEB88E-FF3B-4D7C-A4B8-2BB8CC8F3473}"/>
    <cellStyle name="Style 94" xfId="3111" xr:uid="{F0ADED5C-15A6-4FCF-8592-BCECE96C4AE5}"/>
    <cellStyle name="Style 94 2" xfId="3112" xr:uid="{27CB5401-B302-467D-96FC-415BDC7DAEFF}"/>
    <cellStyle name="Style 95" xfId="3113" xr:uid="{356ACEC3-6CAE-4F15-97C9-8D51C50FC46E}"/>
    <cellStyle name="Style 95 2" xfId="3114" xr:uid="{2C914760-548B-4626-B1E2-5EF6DC813BE5}"/>
    <cellStyle name="Style 96" xfId="3115" xr:uid="{D7CF67C5-5434-442A-A7EA-AE67DF258276}"/>
    <cellStyle name="Style 96 2" xfId="3116" xr:uid="{70921C85-C17C-4F72-A5E3-B6C706471C09}"/>
    <cellStyle name="Style 97" xfId="3117" xr:uid="{21EDA453-A137-4C1E-A8C8-E735DE2F3992}"/>
    <cellStyle name="Style 97 2" xfId="3118" xr:uid="{1094AD43-B01E-4E59-B171-E93E5D3AB588}"/>
    <cellStyle name="Style 97 3" xfId="3119" xr:uid="{44A4D4A7-25B3-465D-8247-78B33E93E9F2}"/>
    <cellStyle name="Style 98" xfId="3120" xr:uid="{2145BAED-D5B6-4DC2-8452-C9C1F574D1AA}"/>
    <cellStyle name="Style 98 2" xfId="3121" xr:uid="{B3546CF6-4450-4E24-9D13-2AB319965C8D}"/>
    <cellStyle name="Style 99" xfId="3122" xr:uid="{62C82151-F4BC-4428-9813-85151361EB86}"/>
    <cellStyle name="Style 99 2" xfId="3123" xr:uid="{5F250805-2348-4789-9F70-68ABFE958AB0}"/>
    <cellStyle name="tableau | cellule | normal | decimal 1" xfId="3124" xr:uid="{0F2CE0BF-B062-495F-9685-57EB4635630A}"/>
    <cellStyle name="tableau | cellule | normal | pourcentage | decimal 1" xfId="3125" xr:uid="{ADCC9C93-05CE-47B0-BE0B-EEB9EE2AD444}"/>
    <cellStyle name="tableau | cellule | total | decimal 1" xfId="3126" xr:uid="{5FDB3489-37E6-428D-B99F-22B359A3EF6E}"/>
    <cellStyle name="tableau | coin superieur gauche" xfId="3127" xr:uid="{5F82F6E3-4DDE-4422-A1F4-14E455345306}"/>
    <cellStyle name="tableau | entete-colonne | series" xfId="3128" xr:uid="{308A7EFB-C5A1-432D-9F79-9B3534D6CF35}"/>
    <cellStyle name="tableau | entete-ligne | normal" xfId="3129" xr:uid="{EDFF76FA-676E-4F1D-8722-E793287895DC}"/>
    <cellStyle name="tableau | entete-ligne | total" xfId="3130" xr:uid="{5FF3DF4B-8A4B-420D-83A9-09627F5EC615}"/>
    <cellStyle name="tableau | ligne-titre | niveau1" xfId="3131" xr:uid="{62203E5E-D018-4E69-9E90-118C64D8727F}"/>
    <cellStyle name="tableau | ligne-titre | niveau2" xfId="3132" xr:uid="{8C6E0AB1-B92C-4649-ABF8-7572945F4ECC}"/>
    <cellStyle name="Title 10" xfId="3133" xr:uid="{30ED43B5-5F73-4BDB-90DE-9653B621E46F}"/>
    <cellStyle name="Title 11" xfId="3134" xr:uid="{818020CC-1310-48C4-949B-BC9D28DE0AD7}"/>
    <cellStyle name="Title 12" xfId="3135" xr:uid="{68AAAC83-6814-4754-ACA8-4DE905421884}"/>
    <cellStyle name="Title 13" xfId="3136" xr:uid="{3ED6ECBA-7A23-4379-8E0E-086D3CFA4072}"/>
    <cellStyle name="Title 14" xfId="3137" xr:uid="{31BE51CF-88B3-43F8-8636-019D7A99D67D}"/>
    <cellStyle name="Title 15" xfId="3138" xr:uid="{1F55AC86-9C72-4899-A237-A68197A46F3A}"/>
    <cellStyle name="Title 16" xfId="3139" xr:uid="{FE2CD2B2-A3AF-4BDA-B1CB-2CEE6B3EA805}"/>
    <cellStyle name="Title 17" xfId="3140" xr:uid="{3714BDEA-A454-479C-A07A-9613011B0758}"/>
    <cellStyle name="Title 18" xfId="3141" xr:uid="{0F324985-4AD3-4EE4-8CC9-360C0DFF9C1C}"/>
    <cellStyle name="Title 19" xfId="3142" xr:uid="{27FF1E85-3714-4F86-BB0C-EF63D364BEB0}"/>
    <cellStyle name="Title 2" xfId="3143" xr:uid="{7132A366-4B22-42A3-8F07-67A9FD7D65EB}"/>
    <cellStyle name="Title 2 2" xfId="3144" xr:uid="{38042D62-AF90-430F-9B02-A0F2FC6B3790}"/>
    <cellStyle name="Title 20" xfId="3145" xr:uid="{35700024-20C5-4A14-B868-5FF5619B05FA}"/>
    <cellStyle name="Title 21" xfId="3146" xr:uid="{41F02202-16C2-4A74-8BCC-3D29C9BCB750}"/>
    <cellStyle name="Title 22" xfId="3147" xr:uid="{749A1A12-BA47-4F35-B9BD-432F4508D037}"/>
    <cellStyle name="Title 23" xfId="3148" xr:uid="{023316E8-F206-4C00-BBF3-B7D6A8D1061B}"/>
    <cellStyle name="Title 24" xfId="3149" xr:uid="{7252A091-B3B1-4A79-93F9-EFB162B73E12}"/>
    <cellStyle name="Title 25" xfId="3150" xr:uid="{16C09848-35D0-4EB5-B24D-9D1537AC8BBF}"/>
    <cellStyle name="Title 26" xfId="3151" xr:uid="{AD96AB24-1A5B-4B86-BFD8-269B4CE90E02}"/>
    <cellStyle name="Title 27" xfId="3152" xr:uid="{C498EE7B-A406-455A-BECD-1136D53CE639}"/>
    <cellStyle name="Title 28" xfId="3153" xr:uid="{2BEDEDC4-F930-4637-B70B-E600AFA7794A}"/>
    <cellStyle name="Title 29" xfId="3154" xr:uid="{CC84F3B1-9F32-4FB4-B6FD-FE5B460385EB}"/>
    <cellStyle name="Title 3" xfId="3155" xr:uid="{7985A072-BDB9-4E6F-9B59-FB3E2D7B8D72}"/>
    <cellStyle name="Title 3 2" xfId="3156" xr:uid="{B94AEB7D-D42C-4A7B-AD6C-8A6CC19CA6FE}"/>
    <cellStyle name="Title 30" xfId="3157" xr:uid="{2F8860E7-DBF2-43BE-B695-C9B6ED85EF48}"/>
    <cellStyle name="Title 31" xfId="3158" xr:uid="{0B160EC1-05E4-472A-8A84-D961BD33F715}"/>
    <cellStyle name="Title 32" xfId="3159" xr:uid="{049145AB-148C-436F-92C4-1D66F0C9BC5F}"/>
    <cellStyle name="Title 33" xfId="3160" xr:uid="{3C9E20DB-4EBC-402A-88B4-8B1A16DED9D4}"/>
    <cellStyle name="Title 34" xfId="3161" xr:uid="{4C538B82-597C-4DED-B91C-75E3111362BE}"/>
    <cellStyle name="Title 35" xfId="3162" xr:uid="{7207C3EB-C558-4CCB-ABF0-8F8D2AF397B6}"/>
    <cellStyle name="Title 36" xfId="3163" xr:uid="{0FF6DA01-5FCA-4900-97FC-E488B5DB7E6B}"/>
    <cellStyle name="Title 37" xfId="3164" xr:uid="{230C81D5-93FF-493D-A72B-86BD712864B5}"/>
    <cellStyle name="Title 38" xfId="3165" xr:uid="{B06F4832-A41D-4A97-96B9-C9C4BF543654}"/>
    <cellStyle name="Title 39" xfId="3166" xr:uid="{EDCAC393-8B13-405B-8667-6C53AE036CF8}"/>
    <cellStyle name="Title 4" xfId="3167" xr:uid="{A1CAB9A9-896D-47C3-8278-B2D4D18E014F}"/>
    <cellStyle name="Title 40" xfId="3168" xr:uid="{89A37EDB-04B2-4426-9D49-0B395CF11A3B}"/>
    <cellStyle name="Title 41" xfId="3169" xr:uid="{E92C643A-1BA2-4458-95E4-E14C69B006AF}"/>
    <cellStyle name="Title 42" xfId="3170" xr:uid="{FF63A731-584A-4C8F-BB5A-223476B30480}"/>
    <cellStyle name="Title 43" xfId="3171" xr:uid="{3E02D7B9-5847-4FCD-B878-619F5297C56B}"/>
    <cellStyle name="Title 5" xfId="3172" xr:uid="{3F7C3A58-941F-4055-9D9D-84AC8A6FAF7B}"/>
    <cellStyle name="Title 6" xfId="3173" xr:uid="{33389231-720A-422E-95EB-7DF72E698FA9}"/>
    <cellStyle name="Title 7" xfId="3174" xr:uid="{21467E34-6896-4B39-8D13-5709FA84657F}"/>
    <cellStyle name="Title 8" xfId="3175" xr:uid="{0AACD5C9-F91F-46D3-8275-358883808A6C}"/>
    <cellStyle name="Title 9" xfId="3176" xr:uid="{679F8412-26CE-4BCD-868F-1D0721454083}"/>
    <cellStyle name="Total 10" xfId="3177" xr:uid="{2F142592-6ECD-44CD-A010-E365B12E8520}"/>
    <cellStyle name="Total 11" xfId="3178" xr:uid="{D0EA18FB-A65B-4A1C-83A0-8EBDC735376D}"/>
    <cellStyle name="Total 12" xfId="3179" xr:uid="{A63A0C99-CBB6-4635-97A5-16CE423672B6}"/>
    <cellStyle name="Total 13" xfId="3180" xr:uid="{C07DED29-438C-43A9-9FCC-7304F35CD4D2}"/>
    <cellStyle name="Total 14" xfId="3181" xr:uid="{F7DF6158-1415-4D34-A236-5E36B6E6EA8B}"/>
    <cellStyle name="Total 15" xfId="3182" xr:uid="{98557FD5-4AF6-437F-8EB4-6C8958472A8A}"/>
    <cellStyle name="Total 16" xfId="3183" xr:uid="{08283250-4D87-409E-998D-6B8249668B9F}"/>
    <cellStyle name="Total 17" xfId="3184" xr:uid="{22902B3B-8170-4160-B78B-EADBA14B3958}"/>
    <cellStyle name="Total 18" xfId="3185" xr:uid="{FA7E3B0B-3F87-4BD5-91D1-71BD669973CA}"/>
    <cellStyle name="Total 19" xfId="3186" xr:uid="{508DF0AF-77E5-49F6-9BA1-8B0DAFDB6522}"/>
    <cellStyle name="Total 2" xfId="3187" xr:uid="{47CC8C0E-F6CF-489D-8A89-5B0F4FD5B430}"/>
    <cellStyle name="Total 20" xfId="3188" xr:uid="{78893337-D5FB-4FCB-B671-789D14AB4F80}"/>
    <cellStyle name="Total 21" xfId="3189" xr:uid="{35906B36-B1AA-4C4D-9ABB-380D1CDAAAC0}"/>
    <cellStyle name="Total 22" xfId="3190" xr:uid="{465D5E89-93E4-48F2-A892-E26B4FC72045}"/>
    <cellStyle name="Total 23" xfId="3191" xr:uid="{DC4B151A-9638-453D-8723-2B1E210863BD}"/>
    <cellStyle name="Total 24" xfId="3192" xr:uid="{AAF6F380-8BE4-43C0-A7F2-FC4E780DC52A}"/>
    <cellStyle name="Total 25" xfId="3193" xr:uid="{2D3B28FC-CE03-49FE-8C71-ECBE519275A4}"/>
    <cellStyle name="Total 26" xfId="3194" xr:uid="{0732118C-1C20-48CB-B4DC-89217291B434}"/>
    <cellStyle name="Total 27" xfId="3195" xr:uid="{1EF160B6-50F4-4798-AD06-B71874D713FD}"/>
    <cellStyle name="Total 28" xfId="3196" xr:uid="{7B46DBB5-AD7E-4383-B2AD-B2468950C1CC}"/>
    <cellStyle name="Total 29" xfId="3197" xr:uid="{9CD3E8B4-B5D9-470F-93A0-93F0D67168A4}"/>
    <cellStyle name="Total 3" xfId="3198" xr:uid="{BB079511-3A63-445F-9FD1-09FA03C88432}"/>
    <cellStyle name="Total 3 2" xfId="3199" xr:uid="{A795C41B-E380-4E2D-A63E-A618601D6FC6}"/>
    <cellStyle name="Total 30" xfId="3200" xr:uid="{DA6C9EE8-B246-44B0-8F09-3F09424CF5F6}"/>
    <cellStyle name="Total 31" xfId="3201" xr:uid="{BD73A28B-36F8-45E6-B362-BE189C71C967}"/>
    <cellStyle name="Total 32" xfId="3202" xr:uid="{811E0B3D-46BB-4049-8BAE-E4023DF1F3F9}"/>
    <cellStyle name="Total 33" xfId="3203" xr:uid="{55EA97CD-98A8-4555-9004-9D562B3085E7}"/>
    <cellStyle name="Total 34" xfId="3204" xr:uid="{D5FC06F0-9518-4E1B-9325-74F05CE109F3}"/>
    <cellStyle name="Total 35" xfId="3205" xr:uid="{563FBE3D-BDFA-4ACF-A5F2-F1FF7633774E}"/>
    <cellStyle name="Total 36" xfId="3206" xr:uid="{6D6006C1-1297-47B9-B1E1-E38A53B4E62B}"/>
    <cellStyle name="Total 37" xfId="3207" xr:uid="{71D0B4D0-5E9F-4868-8B9F-053DA855F614}"/>
    <cellStyle name="Total 38" xfId="3208" xr:uid="{42EB71C0-5071-4BC1-ADFB-C8DFB0208528}"/>
    <cellStyle name="Total 39" xfId="3209" xr:uid="{5ADDF23C-8E12-4A5A-B9F5-A5771F2C91E3}"/>
    <cellStyle name="Total 4" xfId="3210" xr:uid="{0764B2AA-0A72-4E4E-BE15-808E340859C4}"/>
    <cellStyle name="Total 40" xfId="3211" xr:uid="{86A9298C-F428-46C9-8F84-F09DF8588FA6}"/>
    <cellStyle name="Total 41" xfId="3212" xr:uid="{1F4AD3FE-8E2E-4CCF-BDB0-2E39FEC7C87C}"/>
    <cellStyle name="Total 42" xfId="3213" xr:uid="{900F6008-7105-40B5-AA30-F401E24EF9AF}"/>
    <cellStyle name="Total 5" xfId="3214" xr:uid="{8B47C58F-9588-440F-BEA8-BA77B8195ABB}"/>
    <cellStyle name="Total 6" xfId="3215" xr:uid="{3A5229D6-F2E9-4461-9E3F-7BC830911E7C}"/>
    <cellStyle name="Total 7" xfId="3216" xr:uid="{F708C88F-E3AF-429C-BA1D-5BCD743F3047}"/>
    <cellStyle name="Total 8" xfId="3217" xr:uid="{3CD18752-E7B4-40AC-84D8-23D3A3ED45FB}"/>
    <cellStyle name="Total 9" xfId="3218" xr:uid="{95D88F32-FF69-42F3-8DF7-31C9534896FE}"/>
    <cellStyle name="Überschrift" xfId="3219" xr:uid="{6D9DA829-3402-443E-8DFF-E3D066E11639}"/>
    <cellStyle name="Überschrift 1" xfId="3220" xr:uid="{AB255D51-7CF0-411E-9881-94F9DC05D709}"/>
    <cellStyle name="Überschrift 2" xfId="3221" xr:uid="{08B31E6C-E1A7-401D-A7DA-DD373EC467E7}"/>
    <cellStyle name="Überschrift 3" xfId="3222" xr:uid="{66707A34-4913-4B44-86FC-9360890B1EC0}"/>
    <cellStyle name="Überschrift 4" xfId="3223" xr:uid="{8CE0798E-03A2-43D1-B453-7B281E37CF91}"/>
    <cellStyle name="Valuutta_Layo9704" xfId="3224" xr:uid="{9ABE48DA-D7F9-4C74-8C8F-6075D84D7599}"/>
    <cellStyle name="Verknüpfte Zelle" xfId="3225" xr:uid="{25E854D3-0C8B-4964-94C2-209B16D206BD}"/>
    <cellStyle name="Warnender Text" xfId="3226" xr:uid="{E652EC7A-56E4-460F-AC16-32C72E043C4E}"/>
    <cellStyle name="Warning Text 10" xfId="3227" xr:uid="{CB33F957-4314-43F1-A311-4DF2D4753C3D}"/>
    <cellStyle name="Warning Text 11" xfId="3228" xr:uid="{8B1B9F45-02E3-4071-906E-D3F69C567C66}"/>
    <cellStyle name="Warning Text 12" xfId="3229" xr:uid="{921F5519-67A9-4BE9-AE8C-28CEBA73F624}"/>
    <cellStyle name="Warning Text 13" xfId="3230" xr:uid="{FB0E7520-D896-481A-A5B7-865988569ABD}"/>
    <cellStyle name="Warning Text 14" xfId="3231" xr:uid="{B68C6703-6081-439F-8EB2-970D9BDAF8AF}"/>
    <cellStyle name="Warning Text 15" xfId="3232" xr:uid="{D135DD76-C127-4FFF-9617-88862FFE4729}"/>
    <cellStyle name="Warning Text 16" xfId="3233" xr:uid="{22EAD24A-DFDC-459B-B1C0-C4315820B6B4}"/>
    <cellStyle name="Warning Text 17" xfId="3234" xr:uid="{B995BE52-5635-46BF-ACC6-69C9376505D9}"/>
    <cellStyle name="Warning Text 18" xfId="3235" xr:uid="{16E313B1-3033-4FC9-97C5-7D503E578E31}"/>
    <cellStyle name="Warning Text 19" xfId="3236" xr:uid="{3F3685F0-2407-4A8F-B47F-E190FA1EF11C}"/>
    <cellStyle name="Warning Text 2" xfId="3237" xr:uid="{BDC3ACFA-4BB4-4FF2-9643-669F68B36EB1}"/>
    <cellStyle name="Warning Text 20" xfId="3238" xr:uid="{AE628CC8-C24C-4D75-B7AD-25261B624DF1}"/>
    <cellStyle name="Warning Text 21" xfId="3239" xr:uid="{230311D9-8B7A-4F0F-98C1-6F1A455B6010}"/>
    <cellStyle name="Warning Text 22" xfId="3240" xr:uid="{9B8C6ECF-E8DE-476B-955C-BA7A39F70BB6}"/>
    <cellStyle name="Warning Text 23" xfId="3241" xr:uid="{1589ED79-3E6A-4440-A4ED-128811713DE4}"/>
    <cellStyle name="Warning Text 24" xfId="3242" xr:uid="{CEFB1F8E-87B7-47CD-B128-448C152B77F5}"/>
    <cellStyle name="Warning Text 25" xfId="3243" xr:uid="{F2A6FC10-5C03-4DC7-989B-B56F3FCC74B0}"/>
    <cellStyle name="Warning Text 26" xfId="3244" xr:uid="{154E424B-FF5B-4C84-B6F1-16C7002A0FE2}"/>
    <cellStyle name="Warning Text 27" xfId="3245" xr:uid="{2EE25BBE-B931-4870-B997-88F42EADFFA1}"/>
    <cellStyle name="Warning Text 28" xfId="3246" xr:uid="{E1E5F9F0-B7ED-4893-A974-D3CC15F5607D}"/>
    <cellStyle name="Warning Text 29" xfId="3247" xr:uid="{8FE6F83A-1167-457F-9213-9D9DD9418635}"/>
    <cellStyle name="Warning Text 3" xfId="3248" xr:uid="{429BC013-61E2-4EFB-A213-F26B7419E15F}"/>
    <cellStyle name="Warning Text 3 2" xfId="3249" xr:uid="{108512AC-AEE6-4FC9-AC25-2C09134C23D3}"/>
    <cellStyle name="Warning Text 30" xfId="3250" xr:uid="{152D32B4-2B87-4EAD-81B4-C81F0740009A}"/>
    <cellStyle name="Warning Text 31" xfId="3251" xr:uid="{0FF65E34-C257-4E64-9533-B40C1D9A61F4}"/>
    <cellStyle name="Warning Text 32" xfId="3252" xr:uid="{B43423D8-4A5E-4EB4-99F5-148390539FF7}"/>
    <cellStyle name="Warning Text 33" xfId="3253" xr:uid="{406B7741-1B6F-4080-A565-B7714EC87913}"/>
    <cellStyle name="Warning Text 34" xfId="3254" xr:uid="{FAC41E14-AD5D-4F94-A3DD-C97A7C1D314B}"/>
    <cellStyle name="Warning Text 35" xfId="3255" xr:uid="{C53F73A4-0AA4-4F8B-B7CE-FA167BC8A075}"/>
    <cellStyle name="Warning Text 36" xfId="3256" xr:uid="{943F8027-F9BB-4C45-AED9-E4CA29F8CFE7}"/>
    <cellStyle name="Warning Text 37" xfId="3257" xr:uid="{94A56BCC-10E8-41A7-9F18-3C59EA98E2B4}"/>
    <cellStyle name="Warning Text 38" xfId="3258" xr:uid="{A071AED3-B680-4274-B038-4CBD6C068EC3}"/>
    <cellStyle name="Warning Text 39" xfId="3259" xr:uid="{5B238E8B-9131-4BE1-9887-43ABFD387D9D}"/>
    <cellStyle name="Warning Text 4" xfId="3260" xr:uid="{F0F6526A-1359-4BDD-9D65-60267BC30A27}"/>
    <cellStyle name="Warning Text 40" xfId="3261" xr:uid="{E4C532BF-1287-4043-9C21-79F22B7D1FBD}"/>
    <cellStyle name="Warning Text 41" xfId="3262" xr:uid="{ED68706F-27A5-4C26-BF22-0C0196BFD71B}"/>
    <cellStyle name="Warning Text 5" xfId="3263" xr:uid="{1B03BB36-0C27-4F4E-B2C2-0E096484E754}"/>
    <cellStyle name="Warning Text 6" xfId="3264" xr:uid="{5044C501-75D8-43CA-9E2B-0574DC9E6CCF}"/>
    <cellStyle name="Warning Text 7" xfId="3265" xr:uid="{2759FF38-36B6-4628-B65D-28E49FA7C2AC}"/>
    <cellStyle name="Warning Text 8" xfId="3266" xr:uid="{0A54437D-8E50-4C57-B93C-4A8B731EB6D7}"/>
    <cellStyle name="Warning Text 9" xfId="3267" xr:uid="{1A6CA40A-BAA0-4D32-A210-BEF844C8371E}"/>
    <cellStyle name="Zelle überprüfen" xfId="3268" xr:uid="{CD91B9D1-D3FD-423F-BD32-BD20BB87DA49}"/>
    <cellStyle name="Гиперссылка" xfId="3269" xr:uid="{B3984E39-D910-4E8C-9FEE-0066A84F5581}"/>
    <cellStyle name="Обычный_2++" xfId="3270" xr:uid="{1B7DCAEE-8B8B-4B6D-B0D8-A894A4C642E7}"/>
    <cellStyle name="已访问的超链接" xfId="3271" xr:uid="{A45C929A-D511-4079-9DD0-AF49ED8B1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A8C-4FE9-4DC9-845A-C61AB063F286}">
  <dimension ref="A1:Q7"/>
  <sheetViews>
    <sheetView workbookViewId="0">
      <selection activeCell="E6" sqref="E6"/>
    </sheetView>
  </sheetViews>
  <sheetFormatPr defaultRowHeight="14.25"/>
  <cols>
    <col min="2" max="2" width="3.125" customWidth="1"/>
  </cols>
  <sheetData>
    <row r="1" spans="1:17" ht="15.75">
      <c r="C1" s="8" t="s">
        <v>27</v>
      </c>
      <c r="D1" s="9"/>
      <c r="E1" s="9"/>
    </row>
    <row r="4" spans="1:17" ht="15">
      <c r="C4" s="5" t="s">
        <v>0</v>
      </c>
      <c r="D4" s="1"/>
      <c r="E4" s="1"/>
      <c r="F4" s="1"/>
      <c r="G4" s="1"/>
      <c r="H4" s="1"/>
      <c r="I4" s="1"/>
      <c r="J4" s="2"/>
      <c r="K4" s="3"/>
      <c r="L4" s="3"/>
      <c r="M4" s="3"/>
      <c r="N4" s="3"/>
      <c r="O4" s="3"/>
      <c r="P4" s="3"/>
      <c r="Q4" s="3"/>
    </row>
    <row r="5" spans="1:17" ht="15.75" thickBot="1"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4" t="s">
        <v>15</v>
      </c>
    </row>
    <row r="6" spans="1:17" ht="15">
      <c r="A6" t="s">
        <v>34</v>
      </c>
      <c r="C6" s="1" t="s">
        <v>16</v>
      </c>
      <c r="D6" s="1"/>
      <c r="E6" s="1" t="s">
        <v>17</v>
      </c>
      <c r="F6" s="1"/>
      <c r="G6" s="1"/>
      <c r="H6" s="1"/>
      <c r="I6" s="1">
        <v>1</v>
      </c>
      <c r="J6" s="1"/>
      <c r="K6" s="1" t="s">
        <v>18</v>
      </c>
      <c r="L6" s="1"/>
      <c r="M6" s="1"/>
      <c r="N6" s="1"/>
      <c r="O6" s="1"/>
      <c r="P6" s="1"/>
      <c r="Q6" s="1"/>
    </row>
    <row r="7" spans="1:17">
      <c r="A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270B-C1C9-4E05-87E9-36B7055AFCAB}">
  <dimension ref="A1:U23"/>
  <sheetViews>
    <sheetView workbookViewId="0">
      <selection activeCell="B1" sqref="B1"/>
    </sheetView>
  </sheetViews>
  <sheetFormatPr defaultRowHeight="14.25"/>
  <cols>
    <col min="1" max="1" width="14.25" customWidth="1"/>
    <col min="2" max="2" width="2.5" customWidth="1"/>
    <col min="3" max="3" width="8.875" customWidth="1"/>
    <col min="4" max="4" width="8" customWidth="1"/>
    <col min="5" max="5" width="9.125" customWidth="1"/>
  </cols>
  <sheetData>
    <row r="1" spans="1:18" ht="15.75">
      <c r="C1" s="8" t="s">
        <v>157</v>
      </c>
      <c r="D1" s="9"/>
      <c r="E1" s="9"/>
    </row>
    <row r="3" spans="1:18" ht="15">
      <c r="C3" s="5" t="s">
        <v>26</v>
      </c>
      <c r="D3" s="1"/>
      <c r="E3" s="1"/>
      <c r="F3" s="1"/>
      <c r="G3" s="1"/>
      <c r="H3" s="1"/>
      <c r="I3" s="1"/>
      <c r="J3" s="2"/>
      <c r="K3" s="3"/>
      <c r="L3" s="3"/>
      <c r="M3" s="3"/>
      <c r="N3" s="3"/>
      <c r="O3" s="3"/>
      <c r="P3" s="3"/>
      <c r="Q3" s="3"/>
    </row>
    <row r="4" spans="1:18" ht="15.75" thickBot="1">
      <c r="A4" s="7" t="s">
        <v>28</v>
      </c>
      <c r="C4" s="4" t="s">
        <v>1</v>
      </c>
      <c r="D4" s="4" t="s">
        <v>2</v>
      </c>
      <c r="E4" s="4" t="s">
        <v>3</v>
      </c>
      <c r="F4" s="4" t="s">
        <v>24</v>
      </c>
      <c r="G4" s="6">
        <v>2020</v>
      </c>
      <c r="H4" s="6">
        <v>2025</v>
      </c>
      <c r="I4" s="6">
        <v>2030</v>
      </c>
      <c r="J4" s="6">
        <v>2040</v>
      </c>
      <c r="K4" s="6">
        <v>2050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</row>
    <row r="5" spans="1:18">
      <c r="A5" t="s">
        <v>29</v>
      </c>
      <c r="C5" t="s">
        <v>19</v>
      </c>
      <c r="E5" t="s">
        <v>23</v>
      </c>
      <c r="F5" s="10" t="s">
        <v>25</v>
      </c>
      <c r="G5" s="19">
        <v>2.8753720063663999</v>
      </c>
      <c r="H5" s="19">
        <f>SQRT(G5*I5)</f>
        <v>2.8908404127621208</v>
      </c>
      <c r="I5" s="19">
        <v>2.9063920332935758</v>
      </c>
      <c r="J5" s="19">
        <v>3.5493883735998457</v>
      </c>
      <c r="K5" s="19">
        <v>4.0368646107040593</v>
      </c>
      <c r="M5" t="s">
        <v>31</v>
      </c>
    </row>
    <row r="6" spans="1:18">
      <c r="A6" t="s">
        <v>30</v>
      </c>
      <c r="C6" t="s">
        <v>20</v>
      </c>
      <c r="E6" t="s">
        <v>23</v>
      </c>
      <c r="F6" s="10" t="s">
        <v>25</v>
      </c>
      <c r="G6" s="19">
        <v>3.4372502308515318</v>
      </c>
      <c r="H6" s="19">
        <f t="shared" ref="H6:H16" si="0">SQRT(G6*I6)</f>
        <v>3.4556334950762859</v>
      </c>
      <c r="I6" s="19">
        <v>3.4741150775440719</v>
      </c>
      <c r="J6" s="19">
        <v>4.5282585334510577</v>
      </c>
      <c r="K6" s="19">
        <v>5.4399100139529803</v>
      </c>
      <c r="M6" t="s">
        <v>31</v>
      </c>
    </row>
    <row r="7" spans="1:18">
      <c r="C7" t="s">
        <v>21</v>
      </c>
      <c r="E7" t="s">
        <v>23</v>
      </c>
      <c r="F7" s="10" t="s">
        <v>25</v>
      </c>
      <c r="G7" s="19">
        <v>3.9926647757278215</v>
      </c>
      <c r="H7" s="19">
        <f t="shared" si="0"/>
        <v>4.0138947292838516</v>
      </c>
      <c r="I7" s="19">
        <v>4.0352375675806007</v>
      </c>
      <c r="J7" s="19">
        <v>5.487459353544323</v>
      </c>
      <c r="K7" s="19">
        <v>6.8025196850502576</v>
      </c>
      <c r="M7" t="s">
        <v>31</v>
      </c>
    </row>
    <row r="8" spans="1:18">
      <c r="C8" t="s">
        <v>22</v>
      </c>
      <c r="E8" t="s">
        <v>23</v>
      </c>
      <c r="F8" s="10" t="s">
        <v>25</v>
      </c>
      <c r="G8" s="19">
        <v>3.4372502308515318</v>
      </c>
      <c r="H8" s="19">
        <f t="shared" si="0"/>
        <v>3.4556334950762859</v>
      </c>
      <c r="I8" s="19">
        <v>3.4741150775440719</v>
      </c>
      <c r="J8" s="19">
        <v>4.5282585334510577</v>
      </c>
      <c r="K8" s="19">
        <v>5.4399100139529803</v>
      </c>
      <c r="M8" t="s">
        <v>31</v>
      </c>
    </row>
    <row r="9" spans="1:18">
      <c r="C9" t="s">
        <v>19</v>
      </c>
      <c r="E9" t="s">
        <v>23</v>
      </c>
      <c r="F9" s="10" t="s">
        <v>25</v>
      </c>
      <c r="G9" s="19">
        <v>3.922197628674164</v>
      </c>
      <c r="H9" s="19">
        <f t="shared" si="0"/>
        <v>3.9720728386552815</v>
      </c>
      <c r="I9" s="19">
        <v>4.0225822687359862</v>
      </c>
      <c r="J9" s="19">
        <v>5.9764851705244544</v>
      </c>
      <c r="K9" s="19">
        <v>8.0554433455472534</v>
      </c>
      <c r="M9" t="s">
        <v>32</v>
      </c>
    </row>
    <row r="10" spans="1:18">
      <c r="C10" t="s">
        <v>20</v>
      </c>
      <c r="E10" t="s">
        <v>23</v>
      </c>
      <c r="F10" s="10" t="s">
        <v>25</v>
      </c>
      <c r="G10" s="19">
        <v>3.922197628674164</v>
      </c>
      <c r="H10" s="19">
        <f t="shared" si="0"/>
        <v>3.9720728386552815</v>
      </c>
      <c r="I10" s="19">
        <v>4.0225822687359862</v>
      </c>
      <c r="J10" s="19">
        <v>5.9764851705244544</v>
      </c>
      <c r="K10" s="19">
        <v>8.0554433455472534</v>
      </c>
      <c r="M10" t="s">
        <v>32</v>
      </c>
    </row>
    <row r="11" spans="1:18">
      <c r="C11" t="s">
        <v>21</v>
      </c>
      <c r="E11" t="s">
        <v>23</v>
      </c>
      <c r="F11" s="10" t="s">
        <v>25</v>
      </c>
      <c r="G11" s="19">
        <v>3.922197628674164</v>
      </c>
      <c r="H11" s="19">
        <f t="shared" si="0"/>
        <v>3.9720728386552815</v>
      </c>
      <c r="I11" s="19">
        <v>4.0225822687359862</v>
      </c>
      <c r="J11" s="19">
        <v>5.9764851705244544</v>
      </c>
      <c r="K11" s="19">
        <v>8.0554433455472534</v>
      </c>
      <c r="M11" t="s">
        <v>32</v>
      </c>
    </row>
    <row r="12" spans="1:18">
      <c r="C12" t="s">
        <v>22</v>
      </c>
      <c r="E12" t="s">
        <v>23</v>
      </c>
      <c r="F12" s="10" t="s">
        <v>25</v>
      </c>
      <c r="G12" s="19">
        <v>3.922197628674164</v>
      </c>
      <c r="H12" s="19">
        <f t="shared" si="0"/>
        <v>3.9720728386552815</v>
      </c>
      <c r="I12" s="19">
        <v>4.0225822687359862</v>
      </c>
      <c r="J12" s="19">
        <v>5.9764851705244544</v>
      </c>
      <c r="K12" s="19">
        <v>8.0554433455472534</v>
      </c>
      <c r="M12" t="s">
        <v>32</v>
      </c>
    </row>
    <row r="13" spans="1:18">
      <c r="C13" t="s">
        <v>19</v>
      </c>
      <c r="E13" t="s">
        <v>23</v>
      </c>
      <c r="F13" s="10" t="s">
        <v>25</v>
      </c>
      <c r="G13" s="19">
        <v>3.5044388257889376</v>
      </c>
      <c r="H13" s="19">
        <f t="shared" si="0"/>
        <v>3.5222789944846729</v>
      </c>
      <c r="I13" s="19">
        <v>3.5402099827480811</v>
      </c>
      <c r="J13" s="19">
        <v>4.5119364615902695</v>
      </c>
      <c r="K13" s="19">
        <v>5.2990496187977296</v>
      </c>
      <c r="M13" t="s">
        <v>33</v>
      </c>
    </row>
    <row r="14" spans="1:18">
      <c r="C14" t="s">
        <v>20</v>
      </c>
      <c r="E14" t="s">
        <v>23</v>
      </c>
      <c r="F14" s="10" t="s">
        <v>25</v>
      </c>
      <c r="G14" s="19">
        <v>3.6595508560925789</v>
      </c>
      <c r="H14" s="19">
        <f t="shared" si="0"/>
        <v>3.6781504837848269</v>
      </c>
      <c r="I14" s="19">
        <v>3.6968446438838902</v>
      </c>
      <c r="J14" s="19">
        <v>4.7830324556086845</v>
      </c>
      <c r="K14" s="19">
        <v>5.6869847827986737</v>
      </c>
      <c r="M14" t="s">
        <v>33</v>
      </c>
    </row>
    <row r="15" spans="1:18">
      <c r="C15" t="s">
        <v>21</v>
      </c>
      <c r="E15" t="s">
        <v>23</v>
      </c>
      <c r="F15" s="10" t="s">
        <v>25</v>
      </c>
      <c r="G15" s="19">
        <v>3.8141650162594223</v>
      </c>
      <c r="H15" s="19">
        <f t="shared" si="0"/>
        <v>3.8335191203655756</v>
      </c>
      <c r="I15" s="19">
        <v>3.8529714324265907</v>
      </c>
      <c r="J15" s="19">
        <v>5.0525934938415302</v>
      </c>
      <c r="K15" s="19">
        <v>6.0717546201559065</v>
      </c>
      <c r="M15" t="s">
        <v>33</v>
      </c>
    </row>
    <row r="16" spans="1:18">
      <c r="C16" t="s">
        <v>22</v>
      </c>
      <c r="E16" t="s">
        <v>23</v>
      </c>
      <c r="F16" s="10" t="s">
        <v>25</v>
      </c>
      <c r="G16" s="19">
        <v>3.6595508560925789</v>
      </c>
      <c r="H16" s="19">
        <f t="shared" si="0"/>
        <v>3.6781504837848269</v>
      </c>
      <c r="I16" s="19">
        <v>3.6968446438838902</v>
      </c>
      <c r="J16" s="19">
        <v>4.7830324556086845</v>
      </c>
      <c r="K16" s="19">
        <v>5.6869847827986737</v>
      </c>
      <c r="M16" t="s">
        <v>33</v>
      </c>
    </row>
    <row r="18" spans="3:21">
      <c r="U18" s="24"/>
    </row>
    <row r="19" spans="3:21">
      <c r="U19" s="24"/>
    </row>
    <row r="20" spans="3:21" ht="15">
      <c r="C20" s="5" t="s">
        <v>26</v>
      </c>
    </row>
    <row r="21" spans="3:21" ht="15.75" thickBot="1">
      <c r="C21" s="4" t="s">
        <v>1</v>
      </c>
      <c r="D21" s="4" t="s">
        <v>160</v>
      </c>
      <c r="E21" s="4" t="s">
        <v>3</v>
      </c>
      <c r="F21" s="4" t="s">
        <v>24</v>
      </c>
      <c r="G21" s="6">
        <v>2020</v>
      </c>
      <c r="H21" s="6">
        <v>2025</v>
      </c>
      <c r="I21" s="6">
        <v>2030</v>
      </c>
      <c r="J21" s="6">
        <v>2040</v>
      </c>
      <c r="K21" s="6">
        <v>2050</v>
      </c>
      <c r="L21" s="4" t="s">
        <v>8</v>
      </c>
      <c r="M21" s="4" t="s">
        <v>9</v>
      </c>
      <c r="N21" s="4"/>
      <c r="O21" s="4"/>
    </row>
    <row r="22" spans="3:21">
      <c r="C22" s="9"/>
      <c r="D22" s="9" t="s">
        <v>53</v>
      </c>
      <c r="E22" s="9" t="s">
        <v>158</v>
      </c>
      <c r="F22" s="9"/>
      <c r="G22" s="25">
        <v>0.2</v>
      </c>
      <c r="H22" s="25">
        <v>0.2</v>
      </c>
      <c r="I22" s="25">
        <v>0.2</v>
      </c>
      <c r="J22" s="9"/>
      <c r="K22" s="9"/>
      <c r="L22" s="9"/>
      <c r="M22" s="9" t="s">
        <v>33</v>
      </c>
      <c r="N22" s="9"/>
      <c r="O22" s="9"/>
    </row>
    <row r="23" spans="3:21">
      <c r="C23" s="9"/>
      <c r="D23" s="9" t="s">
        <v>53</v>
      </c>
      <c r="E23" s="9" t="s">
        <v>158</v>
      </c>
      <c r="F23" s="9"/>
      <c r="G23" s="25">
        <v>0.5</v>
      </c>
      <c r="H23" s="25">
        <v>0.74</v>
      </c>
      <c r="I23" s="25">
        <v>0.65</v>
      </c>
      <c r="J23" s="9"/>
      <c r="K23" s="9"/>
      <c r="L23" s="9"/>
      <c r="M23" s="9" t="s">
        <v>159</v>
      </c>
      <c r="N23" s="9"/>
      <c r="O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5A7B-430D-4FF6-96B2-D599031109BC}">
  <dimension ref="A1:AT46"/>
  <sheetViews>
    <sheetView tabSelected="1" zoomScale="80" zoomScaleNormal="80" workbookViewId="0">
      <selection activeCell="A43" sqref="A43"/>
    </sheetView>
  </sheetViews>
  <sheetFormatPr defaultRowHeight="14.25"/>
  <cols>
    <col min="1" max="1" width="12.625" customWidth="1"/>
    <col min="5" max="5" width="10.5" customWidth="1"/>
    <col min="8" max="8" width="8.375" customWidth="1"/>
    <col min="9" max="9" width="8.625" customWidth="1"/>
    <col min="10" max="38" width="6.25" customWidth="1"/>
    <col min="39" max="39" width="7.625" customWidth="1"/>
    <col min="40" max="41" width="6.25" customWidth="1"/>
    <col min="42" max="42" width="7" customWidth="1"/>
    <col min="43" max="43" width="8.25" customWidth="1"/>
    <col min="44" max="46" width="6.25" customWidth="1"/>
  </cols>
  <sheetData>
    <row r="1" spans="2:35" ht="15">
      <c r="G1">
        <v>0.9</v>
      </c>
      <c r="H1">
        <v>0.8</v>
      </c>
      <c r="AH1" s="7" t="s">
        <v>161</v>
      </c>
    </row>
    <row r="2" spans="2:35" ht="15">
      <c r="B2" s="7" t="s">
        <v>129</v>
      </c>
      <c r="C2" s="7" t="s">
        <v>83</v>
      </c>
      <c r="D2" s="7" t="s">
        <v>84</v>
      </c>
      <c r="E2" s="7" t="s">
        <v>170</v>
      </c>
      <c r="F2" s="7" t="s">
        <v>169</v>
      </c>
      <c r="G2" s="7">
        <v>2025</v>
      </c>
      <c r="H2" s="7">
        <v>2050</v>
      </c>
      <c r="J2" s="16" t="s">
        <v>116</v>
      </c>
      <c r="L2" s="17" t="s">
        <v>118</v>
      </c>
      <c r="M2" s="17" t="s">
        <v>119</v>
      </c>
      <c r="N2" s="16" t="s">
        <v>117</v>
      </c>
      <c r="AH2" s="7" t="s">
        <v>164</v>
      </c>
      <c r="AI2" s="7">
        <v>2010</v>
      </c>
    </row>
    <row r="3" spans="2:35">
      <c r="B3" s="15" t="s">
        <v>42</v>
      </c>
      <c r="C3" s="15" t="s">
        <v>85</v>
      </c>
      <c r="D3" s="15">
        <v>23</v>
      </c>
      <c r="E3" s="15">
        <v>50</v>
      </c>
      <c r="F3" s="28">
        <v>0.15</v>
      </c>
      <c r="G3" s="26">
        <f t="shared" ref="G3:G33" si="0">D3/100/SUMIF($AH$3:$AH$34,$B3,$AI$3:$AI$34)^G$1</f>
        <v>0.24954545123601099</v>
      </c>
      <c r="H3" s="26">
        <f t="shared" ref="H3:H33" si="1">E3/100/SUMIF($AH$3:$AH$34,$B3,$AI$3:$AI$34)^H$1</f>
        <v>0.53759604892933399</v>
      </c>
      <c r="J3" t="s">
        <v>120</v>
      </c>
      <c r="L3" s="10">
        <v>15</v>
      </c>
      <c r="M3" s="10">
        <v>30</v>
      </c>
      <c r="N3" t="s">
        <v>121</v>
      </c>
      <c r="AH3" t="s">
        <v>162</v>
      </c>
      <c r="AI3">
        <v>0.883274381516859</v>
      </c>
    </row>
    <row r="4" spans="2:35">
      <c r="B4" s="15" t="s">
        <v>43</v>
      </c>
      <c r="C4" s="15" t="s">
        <v>86</v>
      </c>
      <c r="D4" s="15">
        <v>1</v>
      </c>
      <c r="E4" s="15">
        <v>60</v>
      </c>
      <c r="F4" s="28">
        <v>0.05</v>
      </c>
      <c r="G4" s="26">
        <f t="shared" si="0"/>
        <v>1.106930769628417E-2</v>
      </c>
      <c r="H4" s="26">
        <f t="shared" si="1"/>
        <v>0.65670366020194582</v>
      </c>
      <c r="J4" s="18" t="s">
        <v>122</v>
      </c>
      <c r="L4" s="10">
        <v>25</v>
      </c>
      <c r="M4" s="10">
        <v>30</v>
      </c>
      <c r="N4" t="s">
        <v>123</v>
      </c>
      <c r="AH4" t="s">
        <v>42</v>
      </c>
      <c r="AI4">
        <v>0.91336090878602105</v>
      </c>
    </row>
    <row r="5" spans="2:35">
      <c r="B5" s="15" t="s">
        <v>44</v>
      </c>
      <c r="C5" s="15" t="s">
        <v>87</v>
      </c>
      <c r="D5" s="15">
        <v>25</v>
      </c>
      <c r="E5" s="15">
        <v>40</v>
      </c>
      <c r="F5" s="28">
        <v>0.05</v>
      </c>
      <c r="G5" s="26">
        <f t="shared" si="0"/>
        <v>0.28174515110068865</v>
      </c>
      <c r="H5" s="26">
        <f t="shared" si="1"/>
        <v>0.444844207277514</v>
      </c>
      <c r="J5" t="s">
        <v>124</v>
      </c>
      <c r="L5" s="10">
        <v>22.5</v>
      </c>
      <c r="M5" s="10">
        <v>30</v>
      </c>
      <c r="N5" t="s">
        <v>125</v>
      </c>
      <c r="AH5" t="s">
        <v>43</v>
      </c>
      <c r="AI5">
        <v>0.89325872493900504</v>
      </c>
    </row>
    <row r="6" spans="2:35">
      <c r="B6" s="15" t="s">
        <v>46</v>
      </c>
      <c r="C6" s="15" t="s">
        <v>89</v>
      </c>
      <c r="D6" s="15">
        <v>0</v>
      </c>
      <c r="E6" s="15">
        <v>0</v>
      </c>
      <c r="F6" s="28">
        <v>0.05</v>
      </c>
      <c r="G6" s="26">
        <f t="shared" si="0"/>
        <v>0</v>
      </c>
      <c r="H6" s="26">
        <f t="shared" si="1"/>
        <v>0</v>
      </c>
      <c r="J6" t="s">
        <v>126</v>
      </c>
      <c r="L6" s="10">
        <v>10</v>
      </c>
      <c r="M6" s="10">
        <v>20</v>
      </c>
      <c r="N6" t="s">
        <v>127</v>
      </c>
      <c r="AH6" t="s">
        <v>44</v>
      </c>
      <c r="AI6">
        <v>0.87561877406343602</v>
      </c>
    </row>
    <row r="7" spans="2:35">
      <c r="B7" s="15" t="s">
        <v>47</v>
      </c>
      <c r="C7" s="15" t="s">
        <v>90</v>
      </c>
      <c r="D7" s="15">
        <v>21</v>
      </c>
      <c r="E7" s="15">
        <v>40</v>
      </c>
      <c r="F7" s="28">
        <v>0.05</v>
      </c>
      <c r="G7" s="26">
        <f t="shared" si="0"/>
        <v>0.24852514542967433</v>
      </c>
      <c r="H7" s="26">
        <f t="shared" si="1"/>
        <v>0.46460420874576502</v>
      </c>
      <c r="AH7" t="s">
        <v>45</v>
      </c>
      <c r="AI7">
        <v>0.883274381516859</v>
      </c>
    </row>
    <row r="8" spans="2:35">
      <c r="B8" s="15" t="s">
        <v>48</v>
      </c>
      <c r="C8" s="15" t="s">
        <v>95</v>
      </c>
      <c r="D8" s="15">
        <v>9</v>
      </c>
      <c r="E8" s="15">
        <v>60</v>
      </c>
      <c r="F8" s="28">
        <v>0.15</v>
      </c>
      <c r="G8" s="26">
        <f t="shared" si="0"/>
        <v>9.7462706270640423E-2</v>
      </c>
      <c r="H8" s="26">
        <f t="shared" si="1"/>
        <v>0.64402572042205508</v>
      </c>
      <c r="L8" s="10">
        <v>2020</v>
      </c>
      <c r="M8" s="10">
        <v>2050</v>
      </c>
      <c r="AH8" t="s">
        <v>46</v>
      </c>
      <c r="AI8">
        <v>0.883274381516859</v>
      </c>
    </row>
    <row r="9" spans="2:35">
      <c r="B9" s="15" t="s">
        <v>49</v>
      </c>
      <c r="C9" s="15" t="s">
        <v>91</v>
      </c>
      <c r="D9" s="15">
        <v>55</v>
      </c>
      <c r="E9" s="15">
        <v>60</v>
      </c>
      <c r="F9" s="28">
        <v>0.05</v>
      </c>
      <c r="G9" s="26">
        <f t="shared" si="0"/>
        <v>0.67181504197458086</v>
      </c>
      <c r="H9" s="26">
        <f t="shared" si="1"/>
        <v>0.71677717872908975</v>
      </c>
      <c r="J9" t="s">
        <v>128</v>
      </c>
      <c r="L9" s="10">
        <v>0.8594907993465053</v>
      </c>
      <c r="M9" s="10">
        <v>0.95</v>
      </c>
      <c r="AH9" t="s">
        <v>47</v>
      </c>
      <c r="AI9">
        <v>0.82931794829247796</v>
      </c>
    </row>
    <row r="10" spans="2:35">
      <c r="B10" s="15" t="s">
        <v>50</v>
      </c>
      <c r="C10" s="15" t="s">
        <v>92</v>
      </c>
      <c r="D10" s="15">
        <v>48</v>
      </c>
      <c r="E10" s="15">
        <v>50</v>
      </c>
      <c r="F10" s="28">
        <v>0.05</v>
      </c>
      <c r="G10" s="26">
        <f t="shared" si="0"/>
        <v>0.54669185311605084</v>
      </c>
      <c r="H10" s="26">
        <f t="shared" si="1"/>
        <v>0.56129792867881401</v>
      </c>
      <c r="AH10" t="s">
        <v>48</v>
      </c>
      <c r="AI10">
        <v>0.91529280375534094</v>
      </c>
    </row>
    <row r="11" spans="2:35">
      <c r="B11" s="15" t="s">
        <v>51</v>
      </c>
      <c r="C11" s="15" t="s">
        <v>96</v>
      </c>
      <c r="D11" s="15">
        <v>2</v>
      </c>
      <c r="E11" s="15">
        <v>40</v>
      </c>
      <c r="F11" s="28">
        <v>0.05</v>
      </c>
      <c r="G11" s="26">
        <f t="shared" si="0"/>
        <v>2.2363713749605892E-2</v>
      </c>
      <c r="H11" s="26">
        <f t="shared" si="1"/>
        <v>0.44175704462140841</v>
      </c>
      <c r="AH11" t="s">
        <v>49</v>
      </c>
      <c r="AI11">
        <v>0.80067976145794195</v>
      </c>
    </row>
    <row r="12" spans="2:35" ht="15">
      <c r="B12" s="15" t="s">
        <v>52</v>
      </c>
      <c r="C12" s="15" t="s">
        <v>111</v>
      </c>
      <c r="D12" s="15">
        <v>0</v>
      </c>
      <c r="E12" s="15">
        <v>50</v>
      </c>
      <c r="F12" s="28">
        <v>0.05</v>
      </c>
      <c r="G12" s="26">
        <f t="shared" si="0"/>
        <v>0</v>
      </c>
      <c r="H12" s="26">
        <f t="shared" si="1"/>
        <v>0.55219630577676049</v>
      </c>
      <c r="J12" s="7" t="s">
        <v>130</v>
      </c>
      <c r="N12" s="7">
        <v>2030</v>
      </c>
      <c r="O12" s="7">
        <v>2050</v>
      </c>
      <c r="AH12" t="s">
        <v>50</v>
      </c>
      <c r="AI12">
        <v>0.86540760219937796</v>
      </c>
    </row>
    <row r="13" spans="2:35">
      <c r="B13" s="15" t="s">
        <v>53</v>
      </c>
      <c r="C13" s="15" t="s">
        <v>93</v>
      </c>
      <c r="D13" s="15">
        <v>46</v>
      </c>
      <c r="E13" s="15">
        <v>50</v>
      </c>
      <c r="F13" s="28">
        <v>0.05</v>
      </c>
      <c r="G13" s="26">
        <f t="shared" si="0"/>
        <v>0.49527361961827526</v>
      </c>
      <c r="H13" s="26">
        <f t="shared" si="1"/>
        <v>0.53393956846409651</v>
      </c>
      <c r="J13" t="s">
        <v>31</v>
      </c>
      <c r="L13" s="10">
        <v>4</v>
      </c>
      <c r="M13">
        <f ca="1">OFFSET($M$2,$L13,0)/100</f>
        <v>0.2</v>
      </c>
      <c r="N13">
        <f t="shared" ref="N13:O15" ca="1" si="2">-$M13*L$9</f>
        <v>-0.17189815986930107</v>
      </c>
      <c r="O13">
        <f t="shared" ca="1" si="2"/>
        <v>-0.19</v>
      </c>
      <c r="AH13" t="s">
        <v>51</v>
      </c>
      <c r="AI13">
        <v>0.883274381516859</v>
      </c>
    </row>
    <row r="14" spans="2:35">
      <c r="B14" s="15" t="s">
        <v>54</v>
      </c>
      <c r="C14" s="15" t="s">
        <v>94</v>
      </c>
      <c r="D14" s="15">
        <v>6</v>
      </c>
      <c r="E14" s="15">
        <v>40</v>
      </c>
      <c r="F14" s="28">
        <v>0.15</v>
      </c>
      <c r="G14" s="26">
        <f t="shared" si="0"/>
        <v>6.2804219378537446E-2</v>
      </c>
      <c r="H14" s="26">
        <f t="shared" si="1"/>
        <v>0.41657517771837754</v>
      </c>
      <c r="J14" t="s">
        <v>32</v>
      </c>
      <c r="L14" s="10">
        <v>3</v>
      </c>
      <c r="M14">
        <f ca="1">OFFSET($M$2,$L14,0)/100</f>
        <v>0.3</v>
      </c>
      <c r="N14">
        <f t="shared" ca="1" si="2"/>
        <v>-0.25784723980395158</v>
      </c>
      <c r="O14">
        <f t="shared" ca="1" si="2"/>
        <v>-0.28499999999999998</v>
      </c>
      <c r="AH14" t="s">
        <v>52</v>
      </c>
      <c r="AI14">
        <v>0.883274381516859</v>
      </c>
    </row>
    <row r="15" spans="2:35">
      <c r="B15" s="15" t="s">
        <v>55</v>
      </c>
      <c r="C15" s="15" t="s">
        <v>88</v>
      </c>
      <c r="D15" s="15">
        <v>10</v>
      </c>
      <c r="E15" s="15">
        <v>20</v>
      </c>
      <c r="F15" s="28">
        <v>0.15</v>
      </c>
      <c r="G15" s="26">
        <f t="shared" si="0"/>
        <v>0.11325111120592173</v>
      </c>
      <c r="H15" s="26">
        <f t="shared" si="1"/>
        <v>0.22339206799155681</v>
      </c>
      <c r="J15" t="s">
        <v>33</v>
      </c>
      <c r="L15" s="10">
        <v>1</v>
      </c>
      <c r="M15">
        <f ca="1">OFFSET($M$2,$L15,0)/100</f>
        <v>0.3</v>
      </c>
      <c r="N15">
        <f t="shared" ca="1" si="2"/>
        <v>-0.25784723980395158</v>
      </c>
      <c r="O15">
        <f t="shared" ca="1" si="2"/>
        <v>-0.28499999999999998</v>
      </c>
      <c r="AH15" t="s">
        <v>53</v>
      </c>
      <c r="AI15">
        <v>0.92118609270788299</v>
      </c>
    </row>
    <row r="16" spans="2:35">
      <c r="B16" s="15" t="s">
        <v>56</v>
      </c>
      <c r="C16" s="15" t="s">
        <v>97</v>
      </c>
      <c r="D16" s="15">
        <v>11</v>
      </c>
      <c r="E16" s="15">
        <v>40</v>
      </c>
      <c r="F16" s="28">
        <v>0.15</v>
      </c>
      <c r="G16" s="26">
        <f t="shared" si="0"/>
        <v>0.11864475151891739</v>
      </c>
      <c r="H16" s="26">
        <f t="shared" si="1"/>
        <v>0.42782404318473288</v>
      </c>
      <c r="L16" s="10"/>
      <c r="AH16" t="s">
        <v>54</v>
      </c>
      <c r="AI16">
        <v>0.95051342199636901</v>
      </c>
    </row>
    <row r="17" spans="2:35">
      <c r="B17" s="15" t="s">
        <v>57</v>
      </c>
      <c r="C17" s="15" t="s">
        <v>98</v>
      </c>
      <c r="D17" s="15">
        <v>0</v>
      </c>
      <c r="E17" s="15">
        <v>40</v>
      </c>
      <c r="F17" s="28">
        <v>0.05</v>
      </c>
      <c r="G17" s="26">
        <f t="shared" si="0"/>
        <v>0</v>
      </c>
      <c r="H17" s="26">
        <f t="shared" si="1"/>
        <v>0.44175704462140841</v>
      </c>
      <c r="AH17" t="s">
        <v>55</v>
      </c>
      <c r="AI17">
        <v>0.87086895495725403</v>
      </c>
    </row>
    <row r="18" spans="2:35">
      <c r="B18" s="15" t="s">
        <v>59</v>
      </c>
      <c r="C18" s="15" t="s">
        <v>99</v>
      </c>
      <c r="D18" s="15">
        <v>4</v>
      </c>
      <c r="E18" s="15">
        <v>50</v>
      </c>
      <c r="F18" s="28">
        <v>0.25</v>
      </c>
      <c r="G18" s="26">
        <f t="shared" si="0"/>
        <v>4.019668732830934E-2</v>
      </c>
      <c r="H18" s="26">
        <f t="shared" si="1"/>
        <v>0.50218481883872346</v>
      </c>
      <c r="AH18" t="s">
        <v>56</v>
      </c>
      <c r="AI18">
        <v>0.91937672407366</v>
      </c>
    </row>
    <row r="19" spans="2:35">
      <c r="B19" s="15" t="s">
        <v>60</v>
      </c>
      <c r="C19" s="15" t="s">
        <v>101</v>
      </c>
      <c r="D19" s="15">
        <v>46</v>
      </c>
      <c r="E19" s="15">
        <v>50</v>
      </c>
      <c r="F19" s="28">
        <v>0.05</v>
      </c>
      <c r="G19" s="26">
        <f t="shared" si="0"/>
        <v>0.52341151539531516</v>
      </c>
      <c r="H19" s="26">
        <f t="shared" si="1"/>
        <v>0.56082030608710687</v>
      </c>
      <c r="AH19" t="s">
        <v>57</v>
      </c>
      <c r="AI19">
        <v>0.883274381516859</v>
      </c>
    </row>
    <row r="20" spans="2:35">
      <c r="B20" s="15" t="s">
        <v>61</v>
      </c>
      <c r="C20" s="15" t="s">
        <v>102</v>
      </c>
      <c r="D20" s="15">
        <v>12</v>
      </c>
      <c r="E20" s="15">
        <v>60</v>
      </c>
      <c r="F20" s="28">
        <v>0.05</v>
      </c>
      <c r="G20" s="26">
        <f t="shared" si="0"/>
        <v>0.13418228249763534</v>
      </c>
      <c r="H20" s="26">
        <f t="shared" si="1"/>
        <v>0.66263556693211256</v>
      </c>
      <c r="AH20" t="s">
        <v>58</v>
      </c>
      <c r="AI20">
        <v>0.88985678429056503</v>
      </c>
    </row>
    <row r="21" spans="2:35">
      <c r="B21" s="15" t="s">
        <v>62</v>
      </c>
      <c r="C21" s="15" t="s">
        <v>100</v>
      </c>
      <c r="D21" s="15">
        <v>41</v>
      </c>
      <c r="E21" s="15">
        <v>50</v>
      </c>
      <c r="F21" s="28">
        <v>0.05</v>
      </c>
      <c r="G21" s="26">
        <f t="shared" si="0"/>
        <v>0.47120399702246057</v>
      </c>
      <c r="H21" s="26">
        <f t="shared" si="1"/>
        <v>0.56582380169358248</v>
      </c>
      <c r="AH21" t="s">
        <v>59</v>
      </c>
      <c r="AI21">
        <v>0.99456467694874895</v>
      </c>
    </row>
    <row r="22" spans="2:35">
      <c r="B22" s="15" t="s">
        <v>63</v>
      </c>
      <c r="C22" s="15" t="s">
        <v>103</v>
      </c>
      <c r="D22" s="15">
        <v>0</v>
      </c>
      <c r="E22" s="15">
        <v>0</v>
      </c>
      <c r="F22" s="28">
        <v>0.05</v>
      </c>
      <c r="G22" s="26">
        <f t="shared" si="0"/>
        <v>0</v>
      </c>
      <c r="H22" s="26">
        <f t="shared" si="1"/>
        <v>0</v>
      </c>
      <c r="AH22" t="s">
        <v>60</v>
      </c>
      <c r="AI22">
        <v>0.86632898069269504</v>
      </c>
    </row>
    <row r="23" spans="2:35">
      <c r="B23" s="15" t="s">
        <v>64</v>
      </c>
      <c r="C23" s="15" t="s">
        <v>104</v>
      </c>
      <c r="D23" s="15">
        <v>5</v>
      </c>
      <c r="E23" s="15">
        <v>60</v>
      </c>
      <c r="F23" s="28">
        <v>0.05</v>
      </c>
      <c r="G23" s="26">
        <f t="shared" si="0"/>
        <v>5.1420103575275794E-2</v>
      </c>
      <c r="H23" s="26">
        <f t="shared" si="1"/>
        <v>0.61512411763292851</v>
      </c>
      <c r="AH23" t="s">
        <v>61</v>
      </c>
      <c r="AI23">
        <v>0.883274381516859</v>
      </c>
    </row>
    <row r="24" spans="2:35">
      <c r="B24" s="15" t="s">
        <v>66</v>
      </c>
      <c r="C24" s="15" t="s">
        <v>106</v>
      </c>
      <c r="D24" s="15">
        <v>25</v>
      </c>
      <c r="E24" s="15">
        <v>40</v>
      </c>
      <c r="F24" s="28">
        <v>0.05</v>
      </c>
      <c r="G24" s="26">
        <f t="shared" si="0"/>
        <v>0.27346814530651964</v>
      </c>
      <c r="H24" s="26">
        <f t="shared" si="1"/>
        <v>0.4332086208244883</v>
      </c>
      <c r="AH24" t="s">
        <v>62</v>
      </c>
      <c r="AI24">
        <v>0.85676356641651497</v>
      </c>
    </row>
    <row r="25" spans="2:35">
      <c r="B25" s="15" t="s">
        <v>67</v>
      </c>
      <c r="C25" s="15" t="s">
        <v>107</v>
      </c>
      <c r="D25" s="15">
        <v>1</v>
      </c>
      <c r="E25" s="15">
        <v>10</v>
      </c>
      <c r="F25" s="28">
        <v>0.15</v>
      </c>
      <c r="G25" s="26">
        <f t="shared" si="0"/>
        <v>1.1181856874802946E-2</v>
      </c>
      <c r="H25" s="26">
        <f t="shared" si="1"/>
        <v>0.1104392611553521</v>
      </c>
      <c r="AH25" t="s">
        <v>63</v>
      </c>
      <c r="AI25">
        <v>0.883274381516859</v>
      </c>
    </row>
    <row r="26" spans="2:35">
      <c r="B26" s="15" t="s">
        <v>68</v>
      </c>
      <c r="C26" s="15" t="s">
        <v>108</v>
      </c>
      <c r="D26" s="15">
        <v>13</v>
      </c>
      <c r="E26" s="15">
        <v>30</v>
      </c>
      <c r="F26" s="28">
        <v>0.05</v>
      </c>
      <c r="G26" s="26">
        <f t="shared" si="0"/>
        <v>0.16057783095473749</v>
      </c>
      <c r="H26" s="26">
        <f t="shared" si="1"/>
        <v>0.36196777485132342</v>
      </c>
      <c r="AH26" t="s">
        <v>64</v>
      </c>
      <c r="AI26">
        <v>0.96936117017547996</v>
      </c>
    </row>
    <row r="27" spans="2:35">
      <c r="B27" s="15" t="s">
        <v>69</v>
      </c>
      <c r="C27" s="15" t="s">
        <v>112</v>
      </c>
      <c r="D27" s="15">
        <v>48</v>
      </c>
      <c r="E27" s="15">
        <v>60</v>
      </c>
      <c r="F27" s="28">
        <v>0.05</v>
      </c>
      <c r="G27" s="26">
        <f t="shared" si="0"/>
        <v>0.49541538530912843</v>
      </c>
      <c r="H27" s="26">
        <f t="shared" si="1"/>
        <v>0.61709800341479859</v>
      </c>
      <c r="AH27" t="s">
        <v>65</v>
      </c>
      <c r="AI27">
        <v>0.80598750181659595</v>
      </c>
    </row>
    <row r="28" spans="2:35">
      <c r="B28" s="15" t="s">
        <v>70</v>
      </c>
      <c r="C28" s="15" t="s">
        <v>110</v>
      </c>
      <c r="D28" s="15">
        <v>14</v>
      </c>
      <c r="E28" s="15">
        <v>40</v>
      </c>
      <c r="F28" s="28">
        <v>0.05</v>
      </c>
      <c r="G28" s="26">
        <f t="shared" si="0"/>
        <v>0.16262391419615704</v>
      </c>
      <c r="H28" s="26">
        <f t="shared" si="1"/>
        <v>0.45697019978136821</v>
      </c>
      <c r="AH28" t="s">
        <v>66</v>
      </c>
      <c r="AI28">
        <v>0.90511471610074101</v>
      </c>
    </row>
    <row r="29" spans="2:35">
      <c r="B29" s="15" t="s">
        <v>71</v>
      </c>
      <c r="C29" s="15" t="s">
        <v>109</v>
      </c>
      <c r="D29" s="15">
        <v>18</v>
      </c>
      <c r="E29" s="15">
        <v>40</v>
      </c>
      <c r="F29" s="28">
        <v>0.05</v>
      </c>
      <c r="G29" s="26">
        <f t="shared" si="0"/>
        <v>0.20889366224378766</v>
      </c>
      <c r="H29" s="26">
        <f t="shared" si="1"/>
        <v>0.45659285401930366</v>
      </c>
      <c r="AH29" t="s">
        <v>67</v>
      </c>
      <c r="AI29">
        <v>0.883274381516859</v>
      </c>
    </row>
    <row r="30" spans="2:35">
      <c r="B30" s="15" t="s">
        <v>65</v>
      </c>
      <c r="C30" s="15" t="s">
        <v>105</v>
      </c>
      <c r="D30" s="15">
        <v>10</v>
      </c>
      <c r="E30" s="15">
        <v>20</v>
      </c>
      <c r="F30" s="28">
        <v>0.05</v>
      </c>
      <c r="G30" s="26">
        <f t="shared" si="0"/>
        <v>0.12142399660627402</v>
      </c>
      <c r="H30" s="26">
        <f t="shared" si="1"/>
        <v>0.23766616025260009</v>
      </c>
      <c r="AH30" t="s">
        <v>68</v>
      </c>
      <c r="AI30">
        <v>0.79079548918012799</v>
      </c>
    </row>
    <row r="31" spans="2:35">
      <c r="B31" s="15" t="s">
        <v>72</v>
      </c>
      <c r="C31" s="15" t="s">
        <v>114</v>
      </c>
      <c r="D31" s="15">
        <v>3</v>
      </c>
      <c r="E31" s="15">
        <v>20</v>
      </c>
      <c r="F31" s="28">
        <v>0.05</v>
      </c>
      <c r="G31" s="26">
        <f t="shared" si="0"/>
        <v>3.3545570624408834E-2</v>
      </c>
      <c r="H31" s="26">
        <f t="shared" si="1"/>
        <v>0.22087852231070421</v>
      </c>
      <c r="AH31" t="s">
        <v>69</v>
      </c>
      <c r="AI31">
        <v>0.96548690189546904</v>
      </c>
    </row>
    <row r="32" spans="2:35">
      <c r="B32" s="15" t="s">
        <v>45</v>
      </c>
      <c r="C32" s="15" t="s">
        <v>113</v>
      </c>
      <c r="D32" s="15">
        <v>7</v>
      </c>
      <c r="E32" s="15">
        <v>24</v>
      </c>
      <c r="F32" s="28">
        <v>0.05</v>
      </c>
      <c r="G32" s="26">
        <f t="shared" si="0"/>
        <v>7.8272998123620624E-2</v>
      </c>
      <c r="H32" s="26">
        <f t="shared" si="1"/>
        <v>0.26505422677284501</v>
      </c>
      <c r="AH32" t="s">
        <v>70</v>
      </c>
      <c r="AI32">
        <v>0.84667188723570896</v>
      </c>
    </row>
    <row r="33" spans="1:46">
      <c r="B33" s="15" t="s">
        <v>58</v>
      </c>
      <c r="C33" s="15" t="s">
        <v>115</v>
      </c>
      <c r="D33" s="15">
        <v>90</v>
      </c>
      <c r="E33" s="15">
        <v>90</v>
      </c>
      <c r="F33" s="29">
        <v>1.0009999999999999</v>
      </c>
      <c r="G33" s="26">
        <f t="shared" si="0"/>
        <v>0.99966481168900578</v>
      </c>
      <c r="H33" s="26">
        <f t="shared" si="1"/>
        <v>0.98806705009104412</v>
      </c>
      <c r="AG33" s="10"/>
      <c r="AH33" t="s">
        <v>71</v>
      </c>
      <c r="AI33">
        <v>0.84754663002766795</v>
      </c>
    </row>
    <row r="34" spans="1:46">
      <c r="AH34" t="s">
        <v>72</v>
      </c>
      <c r="AI34">
        <v>0.883274381516859</v>
      </c>
    </row>
    <row r="38" spans="1:46" ht="15">
      <c r="A38" s="11" t="s">
        <v>36</v>
      </c>
    </row>
    <row r="39" spans="1:46" ht="15">
      <c r="G39" s="11" t="s">
        <v>37</v>
      </c>
    </row>
    <row r="40" spans="1:46">
      <c r="A40" s="12" t="s">
        <v>38</v>
      </c>
      <c r="B40" s="12" t="s">
        <v>9</v>
      </c>
      <c r="C40" s="12" t="s">
        <v>14</v>
      </c>
      <c r="D40" s="12" t="s">
        <v>24</v>
      </c>
      <c r="E40" s="13" t="s">
        <v>4</v>
      </c>
      <c r="F40" s="27" t="s">
        <v>167</v>
      </c>
      <c r="G40" s="12" t="s">
        <v>2</v>
      </c>
      <c r="H40" s="12" t="s">
        <v>39</v>
      </c>
      <c r="I40" s="12" t="s">
        <v>40</v>
      </c>
      <c r="J40" s="12" t="s">
        <v>41</v>
      </c>
      <c r="K40" s="13" t="s">
        <v>42</v>
      </c>
      <c r="L40" s="13" t="s">
        <v>43</v>
      </c>
      <c r="M40" s="13" t="s">
        <v>44</v>
      </c>
      <c r="N40" s="13" t="s">
        <v>45</v>
      </c>
      <c r="O40" s="13" t="s">
        <v>46</v>
      </c>
      <c r="P40" s="13" t="s">
        <v>47</v>
      </c>
      <c r="Q40" s="13" t="s">
        <v>48</v>
      </c>
      <c r="R40" s="13" t="s">
        <v>49</v>
      </c>
      <c r="S40" s="13" t="s">
        <v>50</v>
      </c>
      <c r="T40" s="13" t="s">
        <v>51</v>
      </c>
      <c r="U40" s="13" t="s">
        <v>52</v>
      </c>
      <c r="V40" s="13" t="s">
        <v>53</v>
      </c>
      <c r="W40" s="13" t="s">
        <v>54</v>
      </c>
      <c r="X40" s="13" t="s">
        <v>55</v>
      </c>
      <c r="Y40" s="13" t="s">
        <v>56</v>
      </c>
      <c r="Z40" s="13" t="s">
        <v>57</v>
      </c>
      <c r="AA40" s="13" t="s">
        <v>58</v>
      </c>
      <c r="AB40" s="13" t="s">
        <v>59</v>
      </c>
      <c r="AC40" s="13" t="s">
        <v>60</v>
      </c>
      <c r="AD40" s="13" t="s">
        <v>61</v>
      </c>
      <c r="AE40" s="13" t="s">
        <v>62</v>
      </c>
      <c r="AF40" s="13" t="s">
        <v>63</v>
      </c>
      <c r="AG40" s="13" t="s">
        <v>64</v>
      </c>
      <c r="AH40" s="13" t="s">
        <v>65</v>
      </c>
      <c r="AI40" s="13" t="s">
        <v>66</v>
      </c>
      <c r="AJ40" s="13" t="s">
        <v>67</v>
      </c>
      <c r="AK40" s="13" t="s">
        <v>68</v>
      </c>
      <c r="AL40" s="13" t="s">
        <v>69</v>
      </c>
      <c r="AM40" s="13" t="s">
        <v>70</v>
      </c>
      <c r="AN40" s="13" t="s">
        <v>71</v>
      </c>
      <c r="AO40" s="13" t="s">
        <v>72</v>
      </c>
      <c r="AP40" s="13" t="s">
        <v>165</v>
      </c>
      <c r="AQ40" s="13" t="s">
        <v>166</v>
      </c>
      <c r="AR40" s="13" t="s">
        <v>73</v>
      </c>
      <c r="AS40" s="10"/>
    </row>
    <row r="41" spans="1:46">
      <c r="A41" t="s">
        <v>74</v>
      </c>
      <c r="C41" t="s">
        <v>75</v>
      </c>
      <c r="E41" s="10">
        <v>2025</v>
      </c>
      <c r="G41" s="10" t="s">
        <v>76</v>
      </c>
      <c r="K41" s="10">
        <f>VLOOKUP(K$40,$B$3:$H$33,6,0)</f>
        <v>0.24954545123601099</v>
      </c>
      <c r="L41" s="10">
        <f>VLOOKUP(L$40,$B$3:$H$33,6,0)</f>
        <v>1.106930769628417E-2</v>
      </c>
      <c r="M41" s="10">
        <f t="shared" ref="M41:AO41" si="3">VLOOKUP(M$40,$B$3:$H$33,6,0)</f>
        <v>0.28174515110068865</v>
      </c>
      <c r="N41" s="10">
        <f t="shared" si="3"/>
        <v>7.8272998123620624E-2</v>
      </c>
      <c r="O41" s="10">
        <f t="shared" si="3"/>
        <v>0</v>
      </c>
      <c r="P41" s="10">
        <f t="shared" si="3"/>
        <v>0.24852514542967433</v>
      </c>
      <c r="Q41" s="10">
        <f t="shared" si="3"/>
        <v>9.7462706270640423E-2</v>
      </c>
      <c r="R41" s="10">
        <f t="shared" si="3"/>
        <v>0.67181504197458086</v>
      </c>
      <c r="S41" s="10">
        <f t="shared" si="3"/>
        <v>0.54669185311605084</v>
      </c>
      <c r="T41" s="10">
        <f t="shared" si="3"/>
        <v>2.2363713749605892E-2</v>
      </c>
      <c r="U41" s="10">
        <f t="shared" si="3"/>
        <v>0</v>
      </c>
      <c r="V41" s="10">
        <f t="shared" si="3"/>
        <v>0.49527361961827526</v>
      </c>
      <c r="W41" s="10">
        <f t="shared" si="3"/>
        <v>6.2804219378537446E-2</v>
      </c>
      <c r="X41" s="10">
        <f t="shared" si="3"/>
        <v>0.11325111120592173</v>
      </c>
      <c r="Y41" s="10">
        <f t="shared" si="3"/>
        <v>0.11864475151891739</v>
      </c>
      <c r="Z41" s="10">
        <f t="shared" si="3"/>
        <v>0</v>
      </c>
      <c r="AA41" s="10">
        <f t="shared" si="3"/>
        <v>0.99966481168900578</v>
      </c>
      <c r="AB41" s="10">
        <f t="shared" si="3"/>
        <v>4.019668732830934E-2</v>
      </c>
      <c r="AC41" s="10">
        <f t="shared" si="3"/>
        <v>0.52341151539531516</v>
      </c>
      <c r="AD41" s="10">
        <f t="shared" si="3"/>
        <v>0.13418228249763534</v>
      </c>
      <c r="AE41" s="10">
        <f t="shared" si="3"/>
        <v>0.47120399702246057</v>
      </c>
      <c r="AF41" s="10">
        <f t="shared" si="3"/>
        <v>0</v>
      </c>
      <c r="AG41" s="10">
        <f t="shared" si="3"/>
        <v>5.1420103575275794E-2</v>
      </c>
      <c r="AH41" s="10">
        <f t="shared" si="3"/>
        <v>0.12142399660627402</v>
      </c>
      <c r="AI41" s="10">
        <f t="shared" si="3"/>
        <v>0.27346814530651964</v>
      </c>
      <c r="AJ41" s="10">
        <f t="shared" si="3"/>
        <v>1.1181856874802946E-2</v>
      </c>
      <c r="AK41" s="10">
        <f t="shared" si="3"/>
        <v>0.16057783095473749</v>
      </c>
      <c r="AL41" s="10">
        <f t="shared" si="3"/>
        <v>0.49541538530912843</v>
      </c>
      <c r="AM41" s="10">
        <f t="shared" si="3"/>
        <v>0.16262391419615704</v>
      </c>
      <c r="AN41" s="10">
        <f t="shared" si="3"/>
        <v>0.20889366224378766</v>
      </c>
      <c r="AO41" s="10">
        <f t="shared" si="3"/>
        <v>3.3545570624408834E-2</v>
      </c>
      <c r="AP41" s="10">
        <v>5</v>
      </c>
      <c r="AQ41" s="10">
        <v>-1</v>
      </c>
      <c r="AR41" t="s">
        <v>77</v>
      </c>
    </row>
    <row r="42" spans="1:46">
      <c r="C42" t="s">
        <v>75</v>
      </c>
      <c r="E42" s="10">
        <v>2050</v>
      </c>
      <c r="G42" s="10"/>
      <c r="K42" s="10">
        <f>VLOOKUP(K$40,$B$3:$H$33,7,0)</f>
        <v>0.53759604892933399</v>
      </c>
      <c r="L42" s="10">
        <f>VLOOKUP(L$40,$B$3:$H$33,7,0)</f>
        <v>0.65670366020194582</v>
      </c>
      <c r="M42" s="10">
        <f t="shared" ref="M42:AO42" si="4">VLOOKUP(M$40,$B$3:$H$33,7,0)</f>
        <v>0.444844207277514</v>
      </c>
      <c r="N42" s="10">
        <f t="shared" si="4"/>
        <v>0.26505422677284501</v>
      </c>
      <c r="O42" s="10">
        <f t="shared" si="4"/>
        <v>0</v>
      </c>
      <c r="P42" s="10">
        <f t="shared" si="4"/>
        <v>0.46460420874576502</v>
      </c>
      <c r="Q42" s="10">
        <f t="shared" si="4"/>
        <v>0.64402572042205508</v>
      </c>
      <c r="R42" s="10">
        <f t="shared" si="4"/>
        <v>0.71677717872908975</v>
      </c>
      <c r="S42" s="10">
        <f t="shared" si="4"/>
        <v>0.56129792867881401</v>
      </c>
      <c r="T42" s="10">
        <f t="shared" si="4"/>
        <v>0.44175704462140841</v>
      </c>
      <c r="U42" s="10">
        <f t="shared" si="4"/>
        <v>0.55219630577676049</v>
      </c>
      <c r="V42" s="10">
        <f t="shared" si="4"/>
        <v>0.53393956846409651</v>
      </c>
      <c r="W42" s="10">
        <f t="shared" si="4"/>
        <v>0.41657517771837754</v>
      </c>
      <c r="X42" s="10">
        <f t="shared" si="4"/>
        <v>0.22339206799155681</v>
      </c>
      <c r="Y42" s="10">
        <f t="shared" si="4"/>
        <v>0.42782404318473288</v>
      </c>
      <c r="Z42" s="10">
        <f t="shared" si="4"/>
        <v>0.44175704462140841</v>
      </c>
      <c r="AA42" s="10">
        <f t="shared" si="4"/>
        <v>0.98806705009104412</v>
      </c>
      <c r="AB42" s="10">
        <f t="shared" si="4"/>
        <v>0.50218481883872346</v>
      </c>
      <c r="AC42" s="10">
        <f t="shared" si="4"/>
        <v>0.56082030608710687</v>
      </c>
      <c r="AD42" s="10">
        <f t="shared" si="4"/>
        <v>0.66263556693211256</v>
      </c>
      <c r="AE42" s="10">
        <f t="shared" si="4"/>
        <v>0.56582380169358248</v>
      </c>
      <c r="AF42" s="10">
        <f t="shared" si="4"/>
        <v>0</v>
      </c>
      <c r="AG42" s="10">
        <f t="shared" si="4"/>
        <v>0.61512411763292851</v>
      </c>
      <c r="AH42" s="10">
        <f t="shared" si="4"/>
        <v>0.23766616025260009</v>
      </c>
      <c r="AI42" s="10">
        <f t="shared" si="4"/>
        <v>0.4332086208244883</v>
      </c>
      <c r="AJ42" s="10">
        <f t="shared" si="4"/>
        <v>0.1104392611553521</v>
      </c>
      <c r="AK42" s="10">
        <f t="shared" si="4"/>
        <v>0.36196777485132342</v>
      </c>
      <c r="AL42" s="10">
        <f t="shared" si="4"/>
        <v>0.61709800341479859</v>
      </c>
      <c r="AM42" s="10">
        <f t="shared" si="4"/>
        <v>0.45697019978136821</v>
      </c>
      <c r="AN42" s="10">
        <f t="shared" si="4"/>
        <v>0.45659285401930366</v>
      </c>
      <c r="AO42" s="10">
        <f t="shared" si="4"/>
        <v>0.22087852231070421</v>
      </c>
      <c r="AP42" s="10"/>
      <c r="AQ42" s="10"/>
    </row>
    <row r="43" spans="1:46">
      <c r="A43" t="s">
        <v>78</v>
      </c>
      <c r="B43" t="s">
        <v>31</v>
      </c>
      <c r="D43" t="str">
        <f>A$41</f>
        <v>UC_DHTPOT</v>
      </c>
      <c r="E43" s="10">
        <v>2025</v>
      </c>
      <c r="F43" t="s">
        <v>168</v>
      </c>
      <c r="G43" s="10" t="s">
        <v>79</v>
      </c>
      <c r="H43" s="10">
        <v>1</v>
      </c>
      <c r="I43" s="14">
        <f t="shared" ref="I43:J45" ca="1" si="5">N13</f>
        <v>-0.17189815986930107</v>
      </c>
      <c r="J43" s="14">
        <f t="shared" ca="1" si="5"/>
        <v>-0.19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>
        <v>5</v>
      </c>
      <c r="AQ43" s="10">
        <v>0</v>
      </c>
      <c r="AR43" t="s">
        <v>80</v>
      </c>
    </row>
    <row r="44" spans="1:46">
      <c r="A44" t="s">
        <v>81</v>
      </c>
      <c r="B44" t="s">
        <v>32</v>
      </c>
      <c r="D44" t="str">
        <f t="shared" ref="D44:D45" si="6">A$41</f>
        <v>UC_DHTPOT</v>
      </c>
      <c r="E44" s="10">
        <v>2025</v>
      </c>
      <c r="F44" t="s">
        <v>168</v>
      </c>
      <c r="G44" s="10" t="s">
        <v>79</v>
      </c>
      <c r="H44" s="10">
        <v>1</v>
      </c>
      <c r="I44" s="14">
        <f t="shared" ca="1" si="5"/>
        <v>-0.25784723980395158</v>
      </c>
      <c r="J44" s="14">
        <f t="shared" ca="1" si="5"/>
        <v>-0.28499999999999998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>
        <v>5</v>
      </c>
      <c r="AQ44" s="10">
        <v>0</v>
      </c>
      <c r="AR44" t="s">
        <v>80</v>
      </c>
      <c r="AT44" t="s">
        <v>163</v>
      </c>
    </row>
    <row r="45" spans="1:46">
      <c r="A45" t="s">
        <v>82</v>
      </c>
      <c r="B45" t="s">
        <v>33</v>
      </c>
      <c r="D45" t="str">
        <f t="shared" si="6"/>
        <v>UC_DHTPOT</v>
      </c>
      <c r="E45" s="10">
        <v>2025</v>
      </c>
      <c r="F45" t="s">
        <v>168</v>
      </c>
      <c r="G45" s="10" t="s">
        <v>79</v>
      </c>
      <c r="H45" s="10">
        <v>1</v>
      </c>
      <c r="I45" s="14">
        <f t="shared" ca="1" si="5"/>
        <v>-0.25784723980395158</v>
      </c>
      <c r="J45" s="14">
        <f t="shared" ca="1" si="5"/>
        <v>-0.28499999999999998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>
        <v>5</v>
      </c>
      <c r="AQ45" s="10">
        <v>0</v>
      </c>
      <c r="AR45" t="s">
        <v>80</v>
      </c>
    </row>
    <row r="46" spans="1:46">
      <c r="A46" s="9" t="s">
        <v>171</v>
      </c>
      <c r="B46" s="9" t="s">
        <v>173</v>
      </c>
      <c r="C46" t="s">
        <v>174</v>
      </c>
      <c r="E46" s="10">
        <v>2030</v>
      </c>
      <c r="G46" s="10" t="s">
        <v>79</v>
      </c>
      <c r="H46" s="10">
        <v>1</v>
      </c>
      <c r="K46" s="10">
        <f>-VLOOKUP(K$40,$B$3:$H$33,5,0)</f>
        <v>-0.15</v>
      </c>
      <c r="L46" s="10">
        <f t="shared" ref="L46:AO46" si="7">-VLOOKUP(L$40,$B$3:$H$33,5,0)</f>
        <v>-0.05</v>
      </c>
      <c r="M46" s="10">
        <f t="shared" si="7"/>
        <v>-0.05</v>
      </c>
      <c r="N46" s="10">
        <f t="shared" si="7"/>
        <v>-0.05</v>
      </c>
      <c r="O46" s="10">
        <f t="shared" si="7"/>
        <v>-0.05</v>
      </c>
      <c r="P46" s="10">
        <f t="shared" si="7"/>
        <v>-0.05</v>
      </c>
      <c r="Q46" s="10">
        <f t="shared" si="7"/>
        <v>-0.15</v>
      </c>
      <c r="R46" s="10">
        <f t="shared" si="7"/>
        <v>-0.05</v>
      </c>
      <c r="S46" s="10">
        <f t="shared" si="7"/>
        <v>-0.05</v>
      </c>
      <c r="T46" s="10">
        <f t="shared" si="7"/>
        <v>-0.05</v>
      </c>
      <c r="U46" s="10">
        <f t="shared" si="7"/>
        <v>-0.05</v>
      </c>
      <c r="V46" s="10">
        <f t="shared" si="7"/>
        <v>-0.05</v>
      </c>
      <c r="W46" s="10">
        <f t="shared" si="7"/>
        <v>-0.15</v>
      </c>
      <c r="X46" s="10">
        <f t="shared" si="7"/>
        <v>-0.15</v>
      </c>
      <c r="Y46" s="10">
        <f t="shared" si="7"/>
        <v>-0.15</v>
      </c>
      <c r="Z46" s="10">
        <f t="shared" si="7"/>
        <v>-0.05</v>
      </c>
      <c r="AA46" s="30">
        <v>-1.01</v>
      </c>
      <c r="AB46" s="10">
        <f t="shared" si="7"/>
        <v>-0.25</v>
      </c>
      <c r="AC46" s="10">
        <f t="shared" si="7"/>
        <v>-0.05</v>
      </c>
      <c r="AD46" s="10">
        <f t="shared" si="7"/>
        <v>-0.05</v>
      </c>
      <c r="AE46" s="10">
        <f t="shared" si="7"/>
        <v>-0.05</v>
      </c>
      <c r="AF46" s="10">
        <f t="shared" si="7"/>
        <v>-0.05</v>
      </c>
      <c r="AG46" s="10">
        <f t="shared" si="7"/>
        <v>-0.05</v>
      </c>
      <c r="AH46" s="10">
        <f t="shared" si="7"/>
        <v>-0.05</v>
      </c>
      <c r="AI46" s="10">
        <f t="shared" si="7"/>
        <v>-0.05</v>
      </c>
      <c r="AJ46" s="10">
        <f t="shared" si="7"/>
        <v>-0.15</v>
      </c>
      <c r="AK46" s="10">
        <f t="shared" si="7"/>
        <v>-0.05</v>
      </c>
      <c r="AL46" s="10">
        <f t="shared" si="7"/>
        <v>-0.05</v>
      </c>
      <c r="AM46" s="10">
        <f t="shared" si="7"/>
        <v>-0.05</v>
      </c>
      <c r="AN46" s="10">
        <f t="shared" si="7"/>
        <v>-0.05</v>
      </c>
      <c r="AO46" s="10">
        <f t="shared" si="7"/>
        <v>-0.05</v>
      </c>
      <c r="AP46" s="10">
        <v>5</v>
      </c>
      <c r="AQ46" s="10">
        <v>0</v>
      </c>
      <c r="AR46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3117-F0C7-478D-A3E6-E60EC93ED51B}">
  <dimension ref="B2:O33"/>
  <sheetViews>
    <sheetView workbookViewId="0">
      <selection activeCell="G22" sqref="G22"/>
    </sheetView>
  </sheetViews>
  <sheetFormatPr defaultRowHeight="14.25"/>
  <sheetData>
    <row r="2" spans="2:15">
      <c r="B2" t="s">
        <v>131</v>
      </c>
      <c r="C2" t="s">
        <v>132</v>
      </c>
    </row>
    <row r="3" spans="2:15">
      <c r="B3" t="s">
        <v>20</v>
      </c>
      <c r="C3">
        <v>75</v>
      </c>
    </row>
    <row r="4" spans="2:15">
      <c r="B4" t="s">
        <v>21</v>
      </c>
      <c r="C4">
        <v>101</v>
      </c>
    </row>
    <row r="5" spans="2:15">
      <c r="B5" t="s">
        <v>22</v>
      </c>
      <c r="C5">
        <v>79</v>
      </c>
    </row>
    <row r="6" spans="2:15">
      <c r="B6" t="s">
        <v>133</v>
      </c>
      <c r="C6">
        <v>110</v>
      </c>
    </row>
    <row r="7" spans="2:15">
      <c r="C7">
        <v>365</v>
      </c>
    </row>
    <row r="9" spans="2:15">
      <c r="B9" t="s">
        <v>134</v>
      </c>
      <c r="C9" t="s">
        <v>135</v>
      </c>
    </row>
    <row r="11" spans="2:15">
      <c r="B11" t="s">
        <v>1</v>
      </c>
      <c r="C11" t="s">
        <v>2</v>
      </c>
      <c r="D11" t="s">
        <v>3</v>
      </c>
      <c r="E11" t="s">
        <v>4</v>
      </c>
      <c r="F11" t="s">
        <v>7</v>
      </c>
      <c r="G11" t="s">
        <v>136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2:15">
      <c r="B12" t="s">
        <v>137</v>
      </c>
      <c r="D12" t="s">
        <v>138</v>
      </c>
      <c r="F12">
        <v>1</v>
      </c>
      <c r="I12" t="s">
        <v>139</v>
      </c>
    </row>
    <row r="13" spans="2:15">
      <c r="B13" t="s">
        <v>140</v>
      </c>
      <c r="D13" t="s">
        <v>138</v>
      </c>
      <c r="F13">
        <v>1</v>
      </c>
      <c r="I13" t="s">
        <v>139</v>
      </c>
    </row>
    <row r="14" spans="2:15">
      <c r="B14" t="s">
        <v>141</v>
      </c>
      <c r="D14" t="s">
        <v>138</v>
      </c>
      <c r="F14">
        <v>1</v>
      </c>
      <c r="I14" t="s">
        <v>139</v>
      </c>
    </row>
    <row r="15" spans="2:15">
      <c r="B15" t="s">
        <v>142</v>
      </c>
      <c r="D15" t="s">
        <v>138</v>
      </c>
      <c r="F15">
        <v>1</v>
      </c>
      <c r="I15" t="s">
        <v>139</v>
      </c>
    </row>
    <row r="18" spans="2:14">
      <c r="B18" t="s">
        <v>143</v>
      </c>
    </row>
    <row r="20" spans="2:14" ht="15">
      <c r="B20" s="20" t="str">
        <f>IF(1,"~TFM_INS","Moved to Scen_SubAnnuals!")</f>
        <v>~TFM_INS</v>
      </c>
    </row>
    <row r="21" spans="2:14">
      <c r="B21" s="21" t="s">
        <v>1</v>
      </c>
      <c r="C21" s="21" t="s">
        <v>2</v>
      </c>
      <c r="D21" s="21" t="s">
        <v>3</v>
      </c>
      <c r="E21" s="21" t="s">
        <v>4</v>
      </c>
      <c r="F21" s="21" t="s">
        <v>24</v>
      </c>
      <c r="G21" s="21" t="s">
        <v>7</v>
      </c>
      <c r="H21" s="21" t="s">
        <v>144</v>
      </c>
      <c r="I21" s="21" t="s">
        <v>145</v>
      </c>
      <c r="J21" s="21" t="s">
        <v>11</v>
      </c>
      <c r="K21" s="21" t="s">
        <v>12</v>
      </c>
      <c r="L21" s="21" t="s">
        <v>13</v>
      </c>
      <c r="M21" s="21" t="s">
        <v>14</v>
      </c>
      <c r="N21" s="21" t="s">
        <v>146</v>
      </c>
    </row>
    <row r="22" spans="2:14">
      <c r="B22" s="22" t="s">
        <v>142</v>
      </c>
      <c r="D22" t="s">
        <v>147</v>
      </c>
      <c r="E22">
        <v>2020</v>
      </c>
      <c r="G22" s="23">
        <v>0.1067047448225632</v>
      </c>
      <c r="M22" t="s">
        <v>148</v>
      </c>
    </row>
    <row r="23" spans="2:14">
      <c r="B23" s="22" t="s">
        <v>149</v>
      </c>
      <c r="D23" t="s">
        <v>147</v>
      </c>
      <c r="E23">
        <v>2020</v>
      </c>
      <c r="G23" s="23">
        <v>9.7189578499622717E-2</v>
      </c>
      <c r="M23" t="s">
        <v>148</v>
      </c>
    </row>
    <row r="24" spans="2:14">
      <c r="B24" s="22" t="s">
        <v>150</v>
      </c>
      <c r="D24" t="s">
        <v>147</v>
      </c>
      <c r="E24">
        <v>2020</v>
      </c>
      <c r="G24" s="23">
        <v>1.2544032842197655E-2</v>
      </c>
      <c r="M24" t="s">
        <v>148</v>
      </c>
    </row>
    <row r="25" spans="2:14">
      <c r="B25" s="22" t="s">
        <v>137</v>
      </c>
      <c r="D25" t="s">
        <v>147</v>
      </c>
      <c r="E25">
        <v>2020</v>
      </c>
      <c r="G25" s="23">
        <v>0.10130197293281318</v>
      </c>
      <c r="M25" t="s">
        <v>148</v>
      </c>
    </row>
    <row r="26" spans="2:14">
      <c r="B26" s="22" t="s">
        <v>151</v>
      </c>
      <c r="D26" t="s">
        <v>147</v>
      </c>
      <c r="E26">
        <v>2020</v>
      </c>
      <c r="G26" s="23">
        <v>9.2268587183185702E-2</v>
      </c>
      <c r="M26" t="s">
        <v>148</v>
      </c>
    </row>
    <row r="27" spans="2:14">
      <c r="B27" s="22" t="s">
        <v>152</v>
      </c>
      <c r="D27" t="s">
        <v>147</v>
      </c>
      <c r="E27">
        <v>2020</v>
      </c>
      <c r="G27" s="23">
        <v>1.1908891938795241E-2</v>
      </c>
      <c r="M27" t="s">
        <v>148</v>
      </c>
    </row>
    <row r="28" spans="2:14">
      <c r="B28" s="22" t="s">
        <v>140</v>
      </c>
      <c r="D28" t="s">
        <v>147</v>
      </c>
      <c r="E28">
        <v>2020</v>
      </c>
      <c r="G28" s="23">
        <v>0.13641999021618859</v>
      </c>
      <c r="M28" t="s">
        <v>148</v>
      </c>
    </row>
    <row r="29" spans="2:14">
      <c r="B29" s="22" t="s">
        <v>153</v>
      </c>
      <c r="D29" t="s">
        <v>147</v>
      </c>
      <c r="E29">
        <v>2020</v>
      </c>
      <c r="G29" s="23">
        <v>0.12425503074002403</v>
      </c>
      <c r="M29" t="s">
        <v>148</v>
      </c>
    </row>
    <row r="30" spans="2:14">
      <c r="B30" s="22" t="s">
        <v>154</v>
      </c>
      <c r="D30" t="s">
        <v>147</v>
      </c>
      <c r="E30">
        <v>2020</v>
      </c>
      <c r="G30" s="23">
        <v>1.6037307810910919E-2</v>
      </c>
      <c r="M30" t="s">
        <v>148</v>
      </c>
    </row>
    <row r="31" spans="2:14">
      <c r="B31" s="22" t="s">
        <v>141</v>
      </c>
      <c r="D31" t="s">
        <v>147</v>
      </c>
      <c r="E31">
        <v>2020</v>
      </c>
      <c r="G31" s="23">
        <v>0.1485762269681265</v>
      </c>
      <c r="M31" t="s">
        <v>148</v>
      </c>
    </row>
    <row r="32" spans="2:14">
      <c r="B32" s="22" t="s">
        <v>155</v>
      </c>
      <c r="D32" t="s">
        <v>147</v>
      </c>
      <c r="E32">
        <v>2020</v>
      </c>
      <c r="G32" s="23">
        <v>0.13532726120200575</v>
      </c>
      <c r="M32" t="s">
        <v>148</v>
      </c>
    </row>
    <row r="33" spans="2:13">
      <c r="B33" s="22" t="s">
        <v>156</v>
      </c>
      <c r="D33" t="s">
        <v>147</v>
      </c>
      <c r="E33">
        <v>2020</v>
      </c>
      <c r="G33" s="23">
        <v>1.7466374843566383E-2</v>
      </c>
      <c r="M3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AVAFS</vt:lpstr>
      <vt:lpstr>EFFS</vt:lpstr>
      <vt:lpstr>HPMARK</vt:lpstr>
      <vt:lpstr>TRA_CHARGE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Lehtilä Antti</dc:creator>
  <cp:lastModifiedBy>Lehtilä Antti</cp:lastModifiedBy>
  <dcterms:created xsi:type="dcterms:W3CDTF">2025-11-04T17:11:29Z</dcterms:created>
  <dcterms:modified xsi:type="dcterms:W3CDTF">2025-12-18T18:03:03Z</dcterms:modified>
</cp:coreProperties>
</file>