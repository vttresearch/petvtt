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PETVTT\SuppXLS\"/>
    </mc:Choice>
  </mc:AlternateContent>
  <xr:revisionPtr revIDLastSave="0" documentId="13_ncr:1_{2DD1651E-B30D-4628-A390-F219FEE19B97}" xr6:coauthVersionLast="47" xr6:coauthVersionMax="47" xr10:uidLastSave="{00000000-0000-0000-0000-000000000000}"/>
  <bookViews>
    <workbookView xWindow="-16320" yWindow="-4635" windowWidth="16440" windowHeight="28320" activeTab="2" xr2:uid="{00000000-000D-0000-FFFF-FFFF00000000}"/>
  </bookViews>
  <sheets>
    <sheet name="FR_UPD" sheetId="17" r:id="rId1"/>
    <sheet name="Background info" sheetId="15" r:id="rId2"/>
    <sheet name="Nuclear plans killing" sheetId="16" r:id="rId3"/>
    <sheet name="Note" sheetId="14" r:id="rId4"/>
    <sheet name="Update" sheetId="13" r:id="rId5"/>
    <sheet name="ShutdownCurve" sheetId="5" r:id="rId6"/>
    <sheet name="Existing plants_SCEN40yrs" sheetId="12" r:id="rId7"/>
    <sheet name="Existing plants_SCEN50yrs" sheetId="11" r:id="rId8"/>
    <sheet name="Existing plants_SCEN60yrs" sheetId="9" r:id="rId9"/>
  </sheets>
  <definedNames>
    <definedName name="_xlnm._FilterDatabase" localSheetId="6" hidden="1">'Existing plants_SCEN40yrs'!$C$1:$M$155</definedName>
    <definedName name="_xlnm._FilterDatabase" localSheetId="7" hidden="1">'Existing plants_SCEN50yrs'!$C$1:$M$155</definedName>
    <definedName name="_xlnm._FilterDatabase" localSheetId="8" hidden="1">'Existing plants_SCEN60yrs'!$C$1:$M$155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5" i="17" l="1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1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F25" i="16"/>
  <c r="C25" i="16"/>
  <c r="E24" i="16"/>
  <c r="D24" i="16"/>
  <c r="C24" i="16"/>
  <c r="B24" i="16"/>
  <c r="B25" i="16" s="1"/>
  <c r="E23" i="16"/>
  <c r="D23" i="16"/>
  <c r="C23" i="16"/>
  <c r="B23" i="16"/>
  <c r="F22" i="16"/>
  <c r="F21" i="16"/>
  <c r="E20" i="16"/>
  <c r="D20" i="16"/>
  <c r="C20" i="16"/>
  <c r="B20" i="16"/>
  <c r="E19" i="16"/>
  <c r="D19" i="16"/>
  <c r="C19" i="16"/>
  <c r="B19" i="16"/>
  <c r="E18" i="16"/>
  <c r="D18" i="16"/>
  <c r="C18" i="16"/>
  <c r="B18" i="16"/>
  <c r="E17" i="16"/>
  <c r="D17" i="16"/>
  <c r="C17" i="16"/>
  <c r="B17" i="16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4" i="13"/>
  <c r="J155" i="12" l="1"/>
  <c r="H155" i="12"/>
  <c r="J154" i="12"/>
  <c r="H154" i="12"/>
  <c r="J153" i="12"/>
  <c r="H153" i="12"/>
  <c r="J152" i="12"/>
  <c r="H152" i="12"/>
  <c r="J151" i="12"/>
  <c r="H151" i="12"/>
  <c r="J150" i="12"/>
  <c r="H150" i="12"/>
  <c r="J149" i="12"/>
  <c r="H149" i="12"/>
  <c r="J148" i="12"/>
  <c r="H148" i="12"/>
  <c r="J147" i="12"/>
  <c r="H147" i="12"/>
  <c r="J146" i="12"/>
  <c r="H146" i="12"/>
  <c r="J145" i="12"/>
  <c r="H145" i="12"/>
  <c r="J144" i="12"/>
  <c r="H144" i="12"/>
  <c r="J143" i="12"/>
  <c r="H143" i="12"/>
  <c r="J142" i="12"/>
  <c r="H142" i="12"/>
  <c r="J141" i="12"/>
  <c r="H141" i="12"/>
  <c r="J140" i="12"/>
  <c r="H140" i="12"/>
  <c r="J139" i="12"/>
  <c r="H139" i="12"/>
  <c r="J138" i="12"/>
  <c r="H138" i="12"/>
  <c r="J137" i="12"/>
  <c r="H137" i="12"/>
  <c r="I137" i="12" s="1"/>
  <c r="J136" i="12"/>
  <c r="H136" i="12"/>
  <c r="I136" i="12" s="1"/>
  <c r="J135" i="12"/>
  <c r="H135" i="12"/>
  <c r="I135" i="12" s="1"/>
  <c r="J134" i="12"/>
  <c r="H134" i="12"/>
  <c r="I134" i="12" s="1"/>
  <c r="J133" i="12"/>
  <c r="H133" i="12"/>
  <c r="J132" i="12"/>
  <c r="H132" i="12"/>
  <c r="J131" i="12"/>
  <c r="H131" i="12"/>
  <c r="I131" i="12" s="1"/>
  <c r="J130" i="12"/>
  <c r="H130" i="12"/>
  <c r="J129" i="12"/>
  <c r="H129" i="12"/>
  <c r="J128" i="12"/>
  <c r="H128" i="12"/>
  <c r="J127" i="12"/>
  <c r="H127" i="12"/>
  <c r="J126" i="12"/>
  <c r="H126" i="12"/>
  <c r="J125" i="12"/>
  <c r="H125" i="12"/>
  <c r="J124" i="12"/>
  <c r="H124" i="12"/>
  <c r="J123" i="12"/>
  <c r="H123" i="12"/>
  <c r="J122" i="12"/>
  <c r="H122" i="12"/>
  <c r="J121" i="12"/>
  <c r="H121" i="12"/>
  <c r="J120" i="12"/>
  <c r="H120" i="12"/>
  <c r="J119" i="12"/>
  <c r="H119" i="12"/>
  <c r="J118" i="12"/>
  <c r="H118" i="12"/>
  <c r="J117" i="12"/>
  <c r="H117" i="12"/>
  <c r="J116" i="12"/>
  <c r="H116" i="12"/>
  <c r="J115" i="12"/>
  <c r="H115" i="12"/>
  <c r="J114" i="12"/>
  <c r="H114" i="12"/>
  <c r="J113" i="12"/>
  <c r="H113" i="12"/>
  <c r="J112" i="12"/>
  <c r="H112" i="12"/>
  <c r="J111" i="12"/>
  <c r="H111" i="12"/>
  <c r="J110" i="12"/>
  <c r="H110" i="12"/>
  <c r="J109" i="12"/>
  <c r="H109" i="12"/>
  <c r="J108" i="12"/>
  <c r="H108" i="12"/>
  <c r="J107" i="12"/>
  <c r="H107" i="12"/>
  <c r="J106" i="12"/>
  <c r="H106" i="12"/>
  <c r="J105" i="12"/>
  <c r="H105" i="12"/>
  <c r="J104" i="12"/>
  <c r="H104" i="12"/>
  <c r="J103" i="12"/>
  <c r="H103" i="12"/>
  <c r="J102" i="12"/>
  <c r="H102" i="12"/>
  <c r="J101" i="12"/>
  <c r="H101" i="12"/>
  <c r="J100" i="12"/>
  <c r="H100" i="12"/>
  <c r="J99" i="12"/>
  <c r="H99" i="12"/>
  <c r="J98" i="12"/>
  <c r="H98" i="12"/>
  <c r="J97" i="12"/>
  <c r="H97" i="12"/>
  <c r="J96" i="12"/>
  <c r="H96" i="12"/>
  <c r="J95" i="12"/>
  <c r="H95" i="12"/>
  <c r="J94" i="12"/>
  <c r="H94" i="12"/>
  <c r="J93" i="12"/>
  <c r="H93" i="12"/>
  <c r="J92" i="12"/>
  <c r="H92" i="12"/>
  <c r="J91" i="12"/>
  <c r="H91" i="12"/>
  <c r="J90" i="12"/>
  <c r="H90" i="12"/>
  <c r="J89" i="12"/>
  <c r="H89" i="12"/>
  <c r="J88" i="12"/>
  <c r="H88" i="12"/>
  <c r="J87" i="12"/>
  <c r="H87" i="12"/>
  <c r="J86" i="12"/>
  <c r="H86" i="12"/>
  <c r="J85" i="12"/>
  <c r="H85" i="12"/>
  <c r="J84" i="12"/>
  <c r="H84" i="12"/>
  <c r="J83" i="12"/>
  <c r="H83" i="12"/>
  <c r="J82" i="12"/>
  <c r="H82" i="12"/>
  <c r="J81" i="12"/>
  <c r="H81" i="12"/>
  <c r="J80" i="12"/>
  <c r="H80" i="12"/>
  <c r="J79" i="12"/>
  <c r="H79" i="12"/>
  <c r="J78" i="12"/>
  <c r="H78" i="12"/>
  <c r="J77" i="12"/>
  <c r="H77" i="12"/>
  <c r="J76" i="12"/>
  <c r="H76" i="12"/>
  <c r="J75" i="12"/>
  <c r="H75" i="12"/>
  <c r="J74" i="12"/>
  <c r="H74" i="12"/>
  <c r="J73" i="12"/>
  <c r="H73" i="12"/>
  <c r="J72" i="12"/>
  <c r="H72" i="12"/>
  <c r="J71" i="12"/>
  <c r="H71" i="12"/>
  <c r="J70" i="12"/>
  <c r="H70" i="12"/>
  <c r="J69" i="12"/>
  <c r="H69" i="12"/>
  <c r="J68" i="12"/>
  <c r="H68" i="12"/>
  <c r="J67" i="12"/>
  <c r="H67" i="12"/>
  <c r="J66" i="12"/>
  <c r="H66" i="12"/>
  <c r="J65" i="12"/>
  <c r="H65" i="12"/>
  <c r="J64" i="12"/>
  <c r="H64" i="12"/>
  <c r="J63" i="12"/>
  <c r="H63" i="12"/>
  <c r="J62" i="12"/>
  <c r="H62" i="12"/>
  <c r="J61" i="12"/>
  <c r="H61" i="12"/>
  <c r="J60" i="12"/>
  <c r="H60" i="12"/>
  <c r="J59" i="12"/>
  <c r="H59" i="12"/>
  <c r="J58" i="12"/>
  <c r="H58" i="12"/>
  <c r="J57" i="12"/>
  <c r="H57" i="12"/>
  <c r="J56" i="12"/>
  <c r="H56" i="12"/>
  <c r="J55" i="12"/>
  <c r="H55" i="12"/>
  <c r="J54" i="12"/>
  <c r="H54" i="12"/>
  <c r="J53" i="12"/>
  <c r="H53" i="12"/>
  <c r="J52" i="12"/>
  <c r="H52" i="12"/>
  <c r="J51" i="12"/>
  <c r="H51" i="12"/>
  <c r="J50" i="12"/>
  <c r="H50" i="12"/>
  <c r="J49" i="12"/>
  <c r="H49" i="12"/>
  <c r="J48" i="12"/>
  <c r="H48" i="12"/>
  <c r="J47" i="12"/>
  <c r="H47" i="12"/>
  <c r="J46" i="12"/>
  <c r="H46" i="12"/>
  <c r="J45" i="12"/>
  <c r="H45" i="12"/>
  <c r="J44" i="12"/>
  <c r="H44" i="12"/>
  <c r="J43" i="12"/>
  <c r="H43" i="12"/>
  <c r="J42" i="12"/>
  <c r="H42" i="12"/>
  <c r="J41" i="12"/>
  <c r="H41" i="12"/>
  <c r="J40" i="12"/>
  <c r="H40" i="12"/>
  <c r="J39" i="12"/>
  <c r="H39" i="12"/>
  <c r="J38" i="12"/>
  <c r="H38" i="12"/>
  <c r="J37" i="12"/>
  <c r="H37" i="12"/>
  <c r="J36" i="12"/>
  <c r="H36" i="12"/>
  <c r="J35" i="12"/>
  <c r="H35" i="12"/>
  <c r="J34" i="12"/>
  <c r="H34" i="12"/>
  <c r="J33" i="12"/>
  <c r="H33" i="12"/>
  <c r="J32" i="12"/>
  <c r="H32" i="12"/>
  <c r="J31" i="12"/>
  <c r="H31" i="12"/>
  <c r="J30" i="12"/>
  <c r="H30" i="12"/>
  <c r="J29" i="12"/>
  <c r="H29" i="12"/>
  <c r="J28" i="12"/>
  <c r="H28" i="12"/>
  <c r="J27" i="12"/>
  <c r="H27" i="12"/>
  <c r="J26" i="12"/>
  <c r="H26" i="12"/>
  <c r="J25" i="12"/>
  <c r="H25" i="12"/>
  <c r="J24" i="12"/>
  <c r="H24" i="12"/>
  <c r="J23" i="12"/>
  <c r="H23" i="12"/>
  <c r="J22" i="12"/>
  <c r="H22" i="12"/>
  <c r="J21" i="12"/>
  <c r="H21" i="12"/>
  <c r="J20" i="12"/>
  <c r="H20" i="12"/>
  <c r="J19" i="12"/>
  <c r="H19" i="12"/>
  <c r="J18" i="12"/>
  <c r="H18" i="12"/>
  <c r="J17" i="12"/>
  <c r="H17" i="12"/>
  <c r="J16" i="12"/>
  <c r="H16" i="12"/>
  <c r="J15" i="12"/>
  <c r="H15" i="12"/>
  <c r="J14" i="12"/>
  <c r="H14" i="12"/>
  <c r="J13" i="12"/>
  <c r="H13" i="12"/>
  <c r="J12" i="12"/>
  <c r="H12" i="12"/>
  <c r="J11" i="12"/>
  <c r="H11" i="12"/>
  <c r="J10" i="12"/>
  <c r="H10" i="12"/>
  <c r="J9" i="12"/>
  <c r="H9" i="12"/>
  <c r="J8" i="12"/>
  <c r="H8" i="12"/>
  <c r="J7" i="12"/>
  <c r="H7" i="12"/>
  <c r="J6" i="12"/>
  <c r="H6" i="12"/>
  <c r="J5" i="12"/>
  <c r="H5" i="12"/>
  <c r="J4" i="12"/>
  <c r="H4" i="12"/>
  <c r="J3" i="12"/>
  <c r="H3" i="12"/>
  <c r="J2" i="12"/>
  <c r="H2" i="12"/>
  <c r="J155" i="11"/>
  <c r="H155" i="11"/>
  <c r="J154" i="11"/>
  <c r="H154" i="11"/>
  <c r="J153" i="11"/>
  <c r="H153" i="11"/>
  <c r="J152" i="11"/>
  <c r="H152" i="11"/>
  <c r="J151" i="11"/>
  <c r="H151" i="11"/>
  <c r="J150" i="11"/>
  <c r="H150" i="11"/>
  <c r="J149" i="11"/>
  <c r="H149" i="11"/>
  <c r="J148" i="11"/>
  <c r="H148" i="11"/>
  <c r="J147" i="11"/>
  <c r="H147" i="11"/>
  <c r="J146" i="11"/>
  <c r="H146" i="11"/>
  <c r="J145" i="11"/>
  <c r="H145" i="11"/>
  <c r="J144" i="11"/>
  <c r="H144" i="11"/>
  <c r="J143" i="11"/>
  <c r="H143" i="11"/>
  <c r="J142" i="11"/>
  <c r="H142" i="11"/>
  <c r="J141" i="11"/>
  <c r="H141" i="11"/>
  <c r="J140" i="11"/>
  <c r="H140" i="11"/>
  <c r="J139" i="11"/>
  <c r="H139" i="11"/>
  <c r="J138" i="11"/>
  <c r="H138" i="11"/>
  <c r="J137" i="11"/>
  <c r="H137" i="11"/>
  <c r="I137" i="11" s="1"/>
  <c r="J136" i="11"/>
  <c r="H136" i="11"/>
  <c r="I136" i="11" s="1"/>
  <c r="J135" i="11"/>
  <c r="H135" i="11"/>
  <c r="I135" i="11" s="1"/>
  <c r="J134" i="11"/>
  <c r="H134" i="11"/>
  <c r="I134" i="11" s="1"/>
  <c r="J133" i="11"/>
  <c r="H133" i="11"/>
  <c r="J132" i="11"/>
  <c r="H132" i="11"/>
  <c r="J131" i="11"/>
  <c r="H131" i="11"/>
  <c r="I131" i="11" s="1"/>
  <c r="J130" i="11"/>
  <c r="H130" i="11"/>
  <c r="J129" i="11"/>
  <c r="H129" i="11"/>
  <c r="J128" i="11"/>
  <c r="H128" i="11"/>
  <c r="J127" i="11"/>
  <c r="H127" i="11"/>
  <c r="J126" i="11"/>
  <c r="H126" i="11"/>
  <c r="J125" i="11"/>
  <c r="H125" i="11"/>
  <c r="J124" i="11"/>
  <c r="H124" i="11"/>
  <c r="J123" i="11"/>
  <c r="H123" i="11"/>
  <c r="J122" i="11"/>
  <c r="H122" i="11"/>
  <c r="J121" i="11"/>
  <c r="H121" i="11"/>
  <c r="J120" i="11"/>
  <c r="H120" i="11"/>
  <c r="J119" i="11"/>
  <c r="H119" i="11"/>
  <c r="J118" i="11"/>
  <c r="H118" i="11"/>
  <c r="J117" i="11"/>
  <c r="H117" i="11"/>
  <c r="J116" i="11"/>
  <c r="H116" i="11"/>
  <c r="J115" i="11"/>
  <c r="H115" i="11"/>
  <c r="J114" i="11"/>
  <c r="H114" i="11"/>
  <c r="J113" i="11"/>
  <c r="H113" i="11"/>
  <c r="J112" i="11"/>
  <c r="H112" i="11"/>
  <c r="J111" i="11"/>
  <c r="H111" i="11"/>
  <c r="J110" i="11"/>
  <c r="H110" i="11"/>
  <c r="J109" i="11"/>
  <c r="H109" i="11"/>
  <c r="J108" i="11"/>
  <c r="H108" i="11"/>
  <c r="J107" i="11"/>
  <c r="H107" i="11"/>
  <c r="J106" i="11"/>
  <c r="H106" i="11"/>
  <c r="J105" i="11"/>
  <c r="H105" i="11"/>
  <c r="J104" i="11"/>
  <c r="H104" i="11"/>
  <c r="J103" i="11"/>
  <c r="H103" i="11"/>
  <c r="J102" i="11"/>
  <c r="H102" i="11"/>
  <c r="J101" i="11"/>
  <c r="H101" i="11"/>
  <c r="J100" i="11"/>
  <c r="H100" i="11"/>
  <c r="J99" i="11"/>
  <c r="H99" i="11"/>
  <c r="J98" i="11"/>
  <c r="H98" i="11"/>
  <c r="J97" i="11"/>
  <c r="H97" i="11"/>
  <c r="J96" i="11"/>
  <c r="H96" i="11"/>
  <c r="J95" i="11"/>
  <c r="H95" i="11"/>
  <c r="J94" i="11"/>
  <c r="H94" i="11"/>
  <c r="J93" i="11"/>
  <c r="H93" i="11"/>
  <c r="J92" i="11"/>
  <c r="H92" i="11"/>
  <c r="J91" i="11"/>
  <c r="H91" i="11"/>
  <c r="J90" i="11"/>
  <c r="H90" i="11"/>
  <c r="J89" i="11"/>
  <c r="H89" i="11"/>
  <c r="J88" i="11"/>
  <c r="H88" i="11"/>
  <c r="J87" i="11"/>
  <c r="H87" i="11"/>
  <c r="J86" i="11"/>
  <c r="H86" i="11"/>
  <c r="J85" i="11"/>
  <c r="H85" i="11"/>
  <c r="J84" i="11"/>
  <c r="H84" i="11"/>
  <c r="J83" i="11"/>
  <c r="H83" i="11"/>
  <c r="J82" i="11"/>
  <c r="H82" i="11"/>
  <c r="J81" i="11"/>
  <c r="H81" i="11"/>
  <c r="J80" i="11"/>
  <c r="H80" i="11"/>
  <c r="J79" i="11"/>
  <c r="H79" i="11"/>
  <c r="J78" i="11"/>
  <c r="H78" i="11"/>
  <c r="J77" i="11"/>
  <c r="H77" i="11"/>
  <c r="J76" i="11"/>
  <c r="H76" i="11"/>
  <c r="J75" i="11"/>
  <c r="H75" i="11"/>
  <c r="J74" i="11"/>
  <c r="H74" i="11"/>
  <c r="J73" i="11"/>
  <c r="H73" i="11"/>
  <c r="J72" i="11"/>
  <c r="H72" i="11"/>
  <c r="J71" i="11"/>
  <c r="H71" i="11"/>
  <c r="J70" i="11"/>
  <c r="H70" i="11"/>
  <c r="J69" i="11"/>
  <c r="H69" i="11"/>
  <c r="J68" i="11"/>
  <c r="H68" i="11"/>
  <c r="J67" i="11"/>
  <c r="H67" i="11"/>
  <c r="J66" i="11"/>
  <c r="H66" i="11"/>
  <c r="J65" i="11"/>
  <c r="H65" i="11"/>
  <c r="J64" i="11"/>
  <c r="H64" i="11"/>
  <c r="J63" i="11"/>
  <c r="H63" i="11"/>
  <c r="J62" i="11"/>
  <c r="H62" i="11"/>
  <c r="J61" i="11"/>
  <c r="H61" i="11"/>
  <c r="J60" i="11"/>
  <c r="H60" i="11"/>
  <c r="J59" i="11"/>
  <c r="H59" i="11"/>
  <c r="J58" i="11"/>
  <c r="H58" i="11"/>
  <c r="J57" i="11"/>
  <c r="H57" i="11"/>
  <c r="J56" i="11"/>
  <c r="H56" i="11"/>
  <c r="J55" i="11"/>
  <c r="H55" i="11"/>
  <c r="J54" i="11"/>
  <c r="H54" i="11"/>
  <c r="J53" i="11"/>
  <c r="H53" i="11"/>
  <c r="J52" i="11"/>
  <c r="H52" i="11"/>
  <c r="J51" i="11"/>
  <c r="H51" i="11"/>
  <c r="J50" i="11"/>
  <c r="H50" i="11"/>
  <c r="J49" i="11"/>
  <c r="H49" i="11"/>
  <c r="J48" i="11"/>
  <c r="H48" i="11"/>
  <c r="J47" i="11"/>
  <c r="H47" i="11"/>
  <c r="J46" i="11"/>
  <c r="H46" i="11"/>
  <c r="J45" i="11"/>
  <c r="H45" i="11"/>
  <c r="J44" i="11"/>
  <c r="H44" i="11"/>
  <c r="J43" i="11"/>
  <c r="H43" i="11"/>
  <c r="J42" i="11"/>
  <c r="H42" i="11"/>
  <c r="J41" i="11"/>
  <c r="H41" i="11"/>
  <c r="J40" i="11"/>
  <c r="H40" i="11"/>
  <c r="J39" i="11"/>
  <c r="H39" i="11"/>
  <c r="J38" i="11"/>
  <c r="H38" i="11"/>
  <c r="J37" i="11"/>
  <c r="H37" i="11"/>
  <c r="J36" i="11"/>
  <c r="H36" i="11"/>
  <c r="J35" i="11"/>
  <c r="H35" i="11"/>
  <c r="J34" i="11"/>
  <c r="H34" i="11"/>
  <c r="J33" i="11"/>
  <c r="H33" i="11"/>
  <c r="J32" i="11"/>
  <c r="H32" i="11"/>
  <c r="J31" i="11"/>
  <c r="H31" i="11"/>
  <c r="J30" i="11"/>
  <c r="H30" i="11"/>
  <c r="J29" i="11"/>
  <c r="H29" i="11"/>
  <c r="J28" i="11"/>
  <c r="H28" i="11"/>
  <c r="J27" i="11"/>
  <c r="H27" i="11"/>
  <c r="J26" i="11"/>
  <c r="H26" i="11"/>
  <c r="J25" i="11"/>
  <c r="H25" i="11"/>
  <c r="J24" i="11"/>
  <c r="H24" i="11"/>
  <c r="J23" i="11"/>
  <c r="H23" i="11"/>
  <c r="J22" i="11"/>
  <c r="H22" i="11"/>
  <c r="J21" i="11"/>
  <c r="H21" i="11"/>
  <c r="J20" i="11"/>
  <c r="H20" i="11"/>
  <c r="J19" i="11"/>
  <c r="H19" i="11"/>
  <c r="J18" i="11"/>
  <c r="H18" i="11"/>
  <c r="J17" i="11"/>
  <c r="H17" i="11"/>
  <c r="J16" i="11"/>
  <c r="H16" i="11"/>
  <c r="J15" i="11"/>
  <c r="H15" i="11"/>
  <c r="J14" i="11"/>
  <c r="H14" i="11"/>
  <c r="J13" i="11"/>
  <c r="H13" i="11"/>
  <c r="J12" i="11"/>
  <c r="H12" i="11"/>
  <c r="J11" i="11"/>
  <c r="H11" i="11"/>
  <c r="J10" i="11"/>
  <c r="H10" i="11"/>
  <c r="J9" i="11"/>
  <c r="H9" i="11"/>
  <c r="J8" i="11"/>
  <c r="H8" i="11"/>
  <c r="J7" i="11"/>
  <c r="H7" i="11"/>
  <c r="J6" i="11"/>
  <c r="H6" i="11"/>
  <c r="J5" i="11"/>
  <c r="H5" i="11"/>
  <c r="J4" i="11"/>
  <c r="H4" i="11"/>
  <c r="J3" i="11"/>
  <c r="H3" i="11"/>
  <c r="J2" i="11"/>
  <c r="H2" i="11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41" i="9"/>
  <c r="J42" i="9"/>
  <c r="J43" i="9"/>
  <c r="J44" i="9"/>
  <c r="J45" i="9"/>
  <c r="J46" i="9"/>
  <c r="J47" i="9"/>
  <c r="J48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H3" i="9"/>
  <c r="D5" i="13" s="1"/>
  <c r="H4" i="9"/>
  <c r="D6" i="13" s="1"/>
  <c r="H5" i="9"/>
  <c r="D7" i="13" s="1"/>
  <c r="H6" i="9"/>
  <c r="D8" i="13" s="1"/>
  <c r="H7" i="9"/>
  <c r="D9" i="13" s="1"/>
  <c r="H8" i="9"/>
  <c r="D10" i="13" s="1"/>
  <c r="H9" i="9"/>
  <c r="D11" i="13" s="1"/>
  <c r="H10" i="9"/>
  <c r="D12" i="13" s="1"/>
  <c r="H11" i="9"/>
  <c r="D13" i="13" s="1"/>
  <c r="H12" i="9"/>
  <c r="D14" i="13" s="1"/>
  <c r="H13" i="9"/>
  <c r="D15" i="13" s="1"/>
  <c r="H14" i="9"/>
  <c r="D16" i="13" s="1"/>
  <c r="H15" i="9"/>
  <c r="D17" i="13" s="1"/>
  <c r="H16" i="9"/>
  <c r="D18" i="13" s="1"/>
  <c r="H17" i="9"/>
  <c r="D19" i="13" s="1"/>
  <c r="H18" i="9"/>
  <c r="D20" i="13" s="1"/>
  <c r="H19" i="9"/>
  <c r="D21" i="13" s="1"/>
  <c r="H20" i="9"/>
  <c r="D22" i="13" s="1"/>
  <c r="H21" i="9"/>
  <c r="D23" i="13" s="1"/>
  <c r="H22" i="9"/>
  <c r="D24" i="13" s="1"/>
  <c r="H23" i="9"/>
  <c r="D25" i="13" s="1"/>
  <c r="H24" i="9"/>
  <c r="D26" i="13" s="1"/>
  <c r="H25" i="9"/>
  <c r="D27" i="13" s="1"/>
  <c r="H26" i="9"/>
  <c r="D28" i="13" s="1"/>
  <c r="H27" i="9"/>
  <c r="D29" i="13" s="1"/>
  <c r="H28" i="9"/>
  <c r="D30" i="13" s="1"/>
  <c r="H29" i="9"/>
  <c r="D31" i="13" s="1"/>
  <c r="H30" i="9"/>
  <c r="D32" i="13" s="1"/>
  <c r="H31" i="9"/>
  <c r="D33" i="13" s="1"/>
  <c r="H32" i="9"/>
  <c r="D34" i="13" s="1"/>
  <c r="H33" i="9"/>
  <c r="D35" i="13" s="1"/>
  <c r="H34" i="9"/>
  <c r="D36" i="13" s="1"/>
  <c r="H35" i="9"/>
  <c r="D37" i="13" s="1"/>
  <c r="H36" i="9"/>
  <c r="D38" i="13" s="1"/>
  <c r="H37" i="9"/>
  <c r="D39" i="13" s="1"/>
  <c r="H38" i="9"/>
  <c r="D40" i="13" s="1"/>
  <c r="H39" i="9"/>
  <c r="D41" i="13" s="1"/>
  <c r="H40" i="9"/>
  <c r="D42" i="13" s="1"/>
  <c r="H41" i="9"/>
  <c r="D43" i="13" s="1"/>
  <c r="H42" i="9"/>
  <c r="D44" i="13" s="1"/>
  <c r="H43" i="9"/>
  <c r="D45" i="13" s="1"/>
  <c r="H44" i="9"/>
  <c r="D46" i="13" s="1"/>
  <c r="H45" i="9"/>
  <c r="D47" i="13" s="1"/>
  <c r="H46" i="9"/>
  <c r="D48" i="13" s="1"/>
  <c r="H47" i="9"/>
  <c r="D49" i="13" s="1"/>
  <c r="H48" i="9"/>
  <c r="D50" i="13" s="1"/>
  <c r="H49" i="9"/>
  <c r="D51" i="13" s="1"/>
  <c r="H50" i="9"/>
  <c r="D52" i="13" s="1"/>
  <c r="H51" i="9"/>
  <c r="D53" i="13" s="1"/>
  <c r="H52" i="9"/>
  <c r="D54" i="13" s="1"/>
  <c r="H53" i="9"/>
  <c r="D55" i="13" s="1"/>
  <c r="H54" i="9"/>
  <c r="D56" i="13" s="1"/>
  <c r="H55" i="9"/>
  <c r="D57" i="13" s="1"/>
  <c r="H56" i="9"/>
  <c r="D58" i="13" s="1"/>
  <c r="H57" i="9"/>
  <c r="D59" i="13" s="1"/>
  <c r="H58" i="9"/>
  <c r="D60" i="13" s="1"/>
  <c r="H59" i="9"/>
  <c r="D61" i="13" s="1"/>
  <c r="H60" i="9"/>
  <c r="D62" i="13" s="1"/>
  <c r="H61" i="9"/>
  <c r="D63" i="13" s="1"/>
  <c r="H62" i="9"/>
  <c r="D64" i="13" s="1"/>
  <c r="H63" i="9"/>
  <c r="D65" i="13" s="1"/>
  <c r="H64" i="9"/>
  <c r="D66" i="13" s="1"/>
  <c r="H65" i="9"/>
  <c r="D67" i="13" s="1"/>
  <c r="H66" i="9"/>
  <c r="D68" i="13" s="1"/>
  <c r="H67" i="9"/>
  <c r="D69" i="13" s="1"/>
  <c r="H68" i="9"/>
  <c r="D70" i="13" s="1"/>
  <c r="H69" i="9"/>
  <c r="D71" i="13" s="1"/>
  <c r="H70" i="9"/>
  <c r="D72" i="13" s="1"/>
  <c r="H71" i="9"/>
  <c r="D73" i="13" s="1"/>
  <c r="H72" i="9"/>
  <c r="D74" i="13" s="1"/>
  <c r="H73" i="9"/>
  <c r="D75" i="13" s="1"/>
  <c r="H74" i="9"/>
  <c r="D76" i="13" s="1"/>
  <c r="H75" i="9"/>
  <c r="D77" i="13" s="1"/>
  <c r="H76" i="9"/>
  <c r="D78" i="13" s="1"/>
  <c r="H77" i="9"/>
  <c r="D79" i="13" s="1"/>
  <c r="H78" i="9"/>
  <c r="D80" i="13" s="1"/>
  <c r="H79" i="9"/>
  <c r="D81" i="13" s="1"/>
  <c r="H80" i="9"/>
  <c r="D82" i="13" s="1"/>
  <c r="H81" i="9"/>
  <c r="D83" i="13" s="1"/>
  <c r="H82" i="9"/>
  <c r="D84" i="13" s="1"/>
  <c r="H83" i="9"/>
  <c r="D85" i="13" s="1"/>
  <c r="H84" i="9"/>
  <c r="D86" i="13" s="1"/>
  <c r="H85" i="9"/>
  <c r="D87" i="13" s="1"/>
  <c r="H86" i="9"/>
  <c r="D88" i="13" s="1"/>
  <c r="H87" i="9"/>
  <c r="D89" i="13" s="1"/>
  <c r="H88" i="9"/>
  <c r="D90" i="13" s="1"/>
  <c r="H89" i="9"/>
  <c r="D91" i="13" s="1"/>
  <c r="H90" i="9"/>
  <c r="D92" i="13" s="1"/>
  <c r="H91" i="9"/>
  <c r="D93" i="13" s="1"/>
  <c r="H92" i="9"/>
  <c r="D94" i="13" s="1"/>
  <c r="H93" i="9"/>
  <c r="D95" i="13" s="1"/>
  <c r="H94" i="9"/>
  <c r="D96" i="13" s="1"/>
  <c r="H95" i="9"/>
  <c r="D97" i="13" s="1"/>
  <c r="H96" i="9"/>
  <c r="D98" i="13" s="1"/>
  <c r="H97" i="9"/>
  <c r="D99" i="13" s="1"/>
  <c r="H98" i="9"/>
  <c r="D100" i="13" s="1"/>
  <c r="H99" i="9"/>
  <c r="D101" i="13" s="1"/>
  <c r="H100" i="9"/>
  <c r="D102" i="13" s="1"/>
  <c r="H101" i="9"/>
  <c r="D103" i="13" s="1"/>
  <c r="H102" i="9"/>
  <c r="D104" i="13" s="1"/>
  <c r="H103" i="9"/>
  <c r="D105" i="13" s="1"/>
  <c r="H104" i="9"/>
  <c r="D106" i="13" s="1"/>
  <c r="H105" i="9"/>
  <c r="D107" i="13" s="1"/>
  <c r="H106" i="9"/>
  <c r="D108" i="13" s="1"/>
  <c r="H107" i="9"/>
  <c r="D109" i="13" s="1"/>
  <c r="H108" i="9"/>
  <c r="D110" i="13" s="1"/>
  <c r="H109" i="9"/>
  <c r="D111" i="13" s="1"/>
  <c r="H110" i="9"/>
  <c r="D112" i="13" s="1"/>
  <c r="H111" i="9"/>
  <c r="D113" i="13" s="1"/>
  <c r="H112" i="9"/>
  <c r="D114" i="13" s="1"/>
  <c r="H113" i="9"/>
  <c r="D115" i="13" s="1"/>
  <c r="H114" i="9"/>
  <c r="D116" i="13" s="1"/>
  <c r="H115" i="9"/>
  <c r="D117" i="13" s="1"/>
  <c r="H116" i="9"/>
  <c r="D118" i="13" s="1"/>
  <c r="H117" i="9"/>
  <c r="D119" i="13" s="1"/>
  <c r="H118" i="9"/>
  <c r="D120" i="13" s="1"/>
  <c r="H119" i="9"/>
  <c r="D121" i="13" s="1"/>
  <c r="H120" i="9"/>
  <c r="D122" i="13" s="1"/>
  <c r="H121" i="9"/>
  <c r="D123" i="13" s="1"/>
  <c r="H122" i="9"/>
  <c r="D124" i="13" s="1"/>
  <c r="H123" i="9"/>
  <c r="D125" i="13" s="1"/>
  <c r="H126" i="9"/>
  <c r="D128" i="13" s="1"/>
  <c r="H127" i="9"/>
  <c r="D129" i="13" s="1"/>
  <c r="H128" i="9"/>
  <c r="D130" i="13" s="1"/>
  <c r="H129" i="9"/>
  <c r="D131" i="13" s="1"/>
  <c r="H130" i="9"/>
  <c r="D132" i="13" s="1"/>
  <c r="H131" i="9"/>
  <c r="D133" i="13" s="1"/>
  <c r="H132" i="9"/>
  <c r="D134" i="13" s="1"/>
  <c r="H133" i="9"/>
  <c r="D135" i="13" s="1"/>
  <c r="H134" i="9"/>
  <c r="D136" i="13" s="1"/>
  <c r="H135" i="9"/>
  <c r="D137" i="13" s="1"/>
  <c r="H136" i="9"/>
  <c r="D138" i="13" s="1"/>
  <c r="H137" i="9"/>
  <c r="D139" i="13" s="1"/>
  <c r="H138" i="9"/>
  <c r="D140" i="13" s="1"/>
  <c r="H139" i="9"/>
  <c r="D141" i="13" s="1"/>
  <c r="H140" i="9"/>
  <c r="D142" i="13" s="1"/>
  <c r="H141" i="9"/>
  <c r="D143" i="13" s="1"/>
  <c r="H142" i="9"/>
  <c r="D144" i="13" s="1"/>
  <c r="H143" i="9"/>
  <c r="D145" i="13" s="1"/>
  <c r="H144" i="9"/>
  <c r="D146" i="13" s="1"/>
  <c r="H145" i="9"/>
  <c r="D147" i="13" s="1"/>
  <c r="H146" i="9"/>
  <c r="D148" i="13" s="1"/>
  <c r="H147" i="9"/>
  <c r="D149" i="13" s="1"/>
  <c r="H148" i="9"/>
  <c r="D150" i="13" s="1"/>
  <c r="H149" i="9"/>
  <c r="D151" i="13" s="1"/>
  <c r="H150" i="9"/>
  <c r="D152" i="13" s="1"/>
  <c r="H151" i="9"/>
  <c r="D153" i="13" s="1"/>
  <c r="H152" i="9"/>
  <c r="D154" i="13" s="1"/>
  <c r="H153" i="9"/>
  <c r="D155" i="13" s="1"/>
  <c r="H154" i="9"/>
  <c r="D156" i="13" s="1"/>
  <c r="H155" i="9"/>
  <c r="D157" i="13" s="1"/>
  <c r="H2" i="9"/>
  <c r="D4" i="13" s="1"/>
  <c r="J18" i="9"/>
  <c r="J19" i="9"/>
  <c r="J20" i="9"/>
  <c r="J21" i="9"/>
  <c r="J22" i="9"/>
  <c r="J23" i="9"/>
  <c r="J13" i="9"/>
  <c r="J14" i="9"/>
  <c r="J15" i="9"/>
  <c r="J16" i="9"/>
  <c r="J17" i="9"/>
  <c r="J3" i="9"/>
  <c r="J4" i="9"/>
  <c r="J5" i="9"/>
  <c r="J6" i="9"/>
  <c r="J7" i="9"/>
  <c r="J8" i="9"/>
  <c r="J9" i="9"/>
  <c r="J10" i="9"/>
  <c r="J11" i="9"/>
  <c r="J12" i="9"/>
  <c r="J2" i="9"/>
  <c r="C4" i="5" l="1"/>
  <c r="D4" i="5"/>
  <c r="D7" i="5"/>
  <c r="D10" i="5"/>
  <c r="C11" i="5"/>
  <c r="D43" i="5"/>
  <c r="C39" i="5"/>
  <c r="C31" i="5"/>
  <c r="C27" i="5"/>
  <c r="C19" i="5"/>
  <c r="C7" i="5"/>
  <c r="C38" i="5"/>
  <c r="C30" i="5"/>
  <c r="C22" i="5"/>
  <c r="C18" i="5"/>
  <c r="C14" i="5"/>
  <c r="C6" i="5"/>
  <c r="C41" i="5"/>
  <c r="C37" i="5"/>
  <c r="C33" i="5"/>
  <c r="C29" i="5"/>
  <c r="C25" i="5"/>
  <c r="C21" i="5"/>
  <c r="C17" i="5"/>
  <c r="C13" i="5"/>
  <c r="C9" i="5"/>
  <c r="C5" i="5"/>
  <c r="C43" i="5"/>
  <c r="C35" i="5"/>
  <c r="C23" i="5"/>
  <c r="C15" i="5"/>
  <c r="C42" i="5"/>
  <c r="C34" i="5"/>
  <c r="C26" i="5"/>
  <c r="C10" i="5"/>
  <c r="C3" i="5"/>
  <c r="C40" i="5"/>
  <c r="C36" i="5"/>
  <c r="C32" i="5"/>
  <c r="C28" i="5"/>
  <c r="C24" i="5"/>
  <c r="C20" i="5"/>
  <c r="C16" i="5"/>
  <c r="C12" i="5"/>
  <c r="C8" i="5"/>
  <c r="D39" i="5"/>
  <c r="D27" i="5"/>
  <c r="D23" i="5"/>
  <c r="D15" i="5"/>
  <c r="D3" i="5"/>
  <c r="D38" i="5"/>
  <c r="D30" i="5"/>
  <c r="D22" i="5"/>
  <c r="D14" i="5"/>
  <c r="D6" i="5"/>
  <c r="D41" i="5"/>
  <c r="D37" i="5"/>
  <c r="D33" i="5"/>
  <c r="D29" i="5"/>
  <c r="D25" i="5"/>
  <c r="D21" i="5"/>
  <c r="D17" i="5"/>
  <c r="D13" i="5"/>
  <c r="D9" i="5"/>
  <c r="D5" i="5"/>
  <c r="D35" i="5"/>
  <c r="D31" i="5"/>
  <c r="D19" i="5"/>
  <c r="D11" i="5"/>
  <c r="D42" i="5"/>
  <c r="D34" i="5"/>
  <c r="D26" i="5"/>
  <c r="D18" i="5"/>
  <c r="D40" i="5"/>
  <c r="D36" i="5"/>
  <c r="D32" i="5"/>
  <c r="D28" i="5"/>
  <c r="D24" i="5"/>
  <c r="D20" i="5"/>
  <c r="D16" i="5"/>
  <c r="D12" i="5"/>
  <c r="D8" i="5"/>
  <c r="I137" i="9"/>
  <c r="I136" i="9"/>
  <c r="I135" i="9"/>
  <c r="I134" i="9"/>
  <c r="I131" i="9"/>
  <c r="J124" i="9" l="1"/>
  <c r="H124" i="9"/>
  <c r="D126" i="13" s="1"/>
  <c r="J125" i="9"/>
  <c r="H125" i="9"/>
  <c r="D127" i="13" s="1"/>
  <c r="E15" i="5" l="1"/>
  <c r="E16" i="5"/>
  <c r="E7" i="5"/>
  <c r="E40" i="5"/>
  <c r="E24" i="5"/>
  <c r="E22" i="5"/>
  <c r="E41" i="5"/>
  <c r="E30" i="5"/>
  <c r="E28" i="5"/>
  <c r="E12" i="5"/>
  <c r="E23" i="5"/>
  <c r="E6" i="5"/>
  <c r="E39" i="5"/>
  <c r="E13" i="5"/>
  <c r="E38" i="5"/>
  <c r="E36" i="5"/>
  <c r="E21" i="5"/>
  <c r="E31" i="5"/>
  <c r="E17" i="5"/>
  <c r="E8" i="5"/>
  <c r="E20" i="5"/>
  <c r="E4" i="5"/>
  <c r="E19" i="5"/>
  <c r="E29" i="5"/>
  <c r="E27" i="5"/>
  <c r="E35" i="5"/>
  <c r="E43" i="5"/>
  <c r="E18" i="5"/>
  <c r="E25" i="5"/>
  <c r="E11" i="5"/>
  <c r="E34" i="5"/>
  <c r="E42" i="5"/>
  <c r="E10" i="5"/>
  <c r="E33" i="5"/>
  <c r="E14" i="5"/>
  <c r="E9" i="5"/>
  <c r="E37" i="5"/>
  <c r="E32" i="5"/>
  <c r="E26" i="5"/>
  <c r="E5" i="5"/>
  <c r="E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</authors>
  <commentList>
    <comment ref="F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I:O, derived from output / input GWh_el/tU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</authors>
  <commentList>
    <comment ref="F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I:O, derived from output / input GWh_el/tU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ese-veda04</author>
  </authors>
  <commentList>
    <comment ref="F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ese-veda04:</t>
        </r>
        <r>
          <rPr>
            <sz val="9"/>
            <color indexed="81"/>
            <rFont val="Tahoma"/>
            <family val="2"/>
          </rPr>
          <t xml:space="preserve">
I:O, derived from output / input GWh_el/tU</t>
        </r>
      </text>
    </comment>
  </commentList>
</comments>
</file>

<file path=xl/sharedStrings.xml><?xml version="1.0" encoding="utf-8"?>
<sst xmlns="http://schemas.openxmlformats.org/spreadsheetml/2006/main" count="2488" uniqueCount="341">
  <si>
    <t>Process</t>
  </si>
  <si>
    <t>DE</t>
  </si>
  <si>
    <t>Start year</t>
  </si>
  <si>
    <t>FR</t>
  </si>
  <si>
    <t>BE</t>
  </si>
  <si>
    <t>ENBE_DOEL-1_00</t>
  </si>
  <si>
    <t>ENBE_DOEL-2_00</t>
  </si>
  <si>
    <t>ENBE_DOEL-3_00</t>
  </si>
  <si>
    <t>ENBE_DOEL-4_00</t>
  </si>
  <si>
    <t>ENBE_TIHANGE-1_00</t>
  </si>
  <si>
    <t>ENBE_TIHANGE-2_00</t>
  </si>
  <si>
    <t>ENBE_TIHANGE-3_00</t>
  </si>
  <si>
    <t>BG</t>
  </si>
  <si>
    <t>ENBG_KOZLODUY-3_00</t>
  </si>
  <si>
    <t>ENBG_KOZLODUY-4_00</t>
  </si>
  <si>
    <t>ENBG_KOZLODUY-5_00</t>
  </si>
  <si>
    <t>ENBG_KOZLODUY-6_00</t>
  </si>
  <si>
    <t>CH</t>
  </si>
  <si>
    <t>ENCH_BEZNAU-1_00</t>
  </si>
  <si>
    <t>ENCH_BEZNAU-2_00</t>
  </si>
  <si>
    <t>ENCH_GOESGEN_00</t>
  </si>
  <si>
    <t>ENCH_LEIBSTADT_00</t>
  </si>
  <si>
    <t>ENCH_MUEHLEBERG_00</t>
  </si>
  <si>
    <t>CZ</t>
  </si>
  <si>
    <t>ENCZ_DUKOVANY-1_00</t>
  </si>
  <si>
    <t>ENCZ_DUKOVANY-2_00</t>
  </si>
  <si>
    <t>ENCZ_DUKOVANY-3_00</t>
  </si>
  <si>
    <t>ENCZ_DUKOVANY-4_00</t>
  </si>
  <si>
    <t>ENCZ_TEMELIN-1_00</t>
  </si>
  <si>
    <t>ENCZ_TEMELIN-2_00</t>
  </si>
  <si>
    <t>ENDE_BIBLIS-A_00</t>
  </si>
  <si>
    <t>ENDE_BIBLIS-B_00</t>
  </si>
  <si>
    <t>ENDE_BROKDORF_KBR_00</t>
  </si>
  <si>
    <t>ENDE_BRUNSBUETTEL_00</t>
  </si>
  <si>
    <t>ENDE_EMSLAND_KKE_00</t>
  </si>
  <si>
    <t>ENDE_GRAFENRHEINFELD_KKG_00</t>
  </si>
  <si>
    <t>ENDE_GROHNDE_KWG_00</t>
  </si>
  <si>
    <t>ENDE_GUNDREM-B_GUN-B_00</t>
  </si>
  <si>
    <t>ENDE_GUNDREM-C_GUN-C_00</t>
  </si>
  <si>
    <t>ENDE_ISAR-1_00</t>
  </si>
  <si>
    <t>ENDE_ISAR-2_KKI2_00</t>
  </si>
  <si>
    <t>ENDE_KRUEMMEL_00</t>
  </si>
  <si>
    <t>ENDE_NECKARWEST-2_GKN2_00</t>
  </si>
  <si>
    <t>ENDE_NECKARWESTHEIM-1_00</t>
  </si>
  <si>
    <t>ENDE_PHILIPPSBURG-1_00</t>
  </si>
  <si>
    <t>ENDE_PHILIPPSBURG-2_KKP2_00</t>
  </si>
  <si>
    <t>ENDE_UNTERWESER_00</t>
  </si>
  <si>
    <t>ES</t>
  </si>
  <si>
    <t>ENES_ALMARAZ-1_00</t>
  </si>
  <si>
    <t>ENES_ALMARAZ-2_00</t>
  </si>
  <si>
    <t>ENES_ASCO-1_00</t>
  </si>
  <si>
    <t>ENES_ASCO-2_00</t>
  </si>
  <si>
    <t>ENES_COFRENTES_00</t>
  </si>
  <si>
    <t>ENES_SANTAMARIADEGARONA_00</t>
  </si>
  <si>
    <t>ENES_TRILLO-1_00</t>
  </si>
  <si>
    <t>ENES_VANDELLOS-2_00</t>
  </si>
  <si>
    <t>FI</t>
  </si>
  <si>
    <t>ENFI_LOVIISA-1_00</t>
  </si>
  <si>
    <t>ENFI_LOVIISA-2_00</t>
  </si>
  <si>
    <t>ENFI_OLKILUOTO-1_00</t>
  </si>
  <si>
    <t>ENFI_OLKILUOTO-2_00</t>
  </si>
  <si>
    <t>ENFR_BELLEVILLE-1_00</t>
  </si>
  <si>
    <t>ENFR_BELLEVILLE-2_00</t>
  </si>
  <si>
    <t>ENFR_BLAYAIS-1_00</t>
  </si>
  <si>
    <t>ENFR_BLAYAIS-2_00</t>
  </si>
  <si>
    <t>ENFR_BLAYAIS-3_00</t>
  </si>
  <si>
    <t>ENFR_BLAYAIS-4_00</t>
  </si>
  <si>
    <t>ENFR_BUGEY-2_00_00</t>
  </si>
  <si>
    <t>ENFR_BUGEY-3_00_00</t>
  </si>
  <si>
    <t>ENFR_BUGEY-4_00_00</t>
  </si>
  <si>
    <t>ENFR_BUGEY-5_00_00</t>
  </si>
  <si>
    <t>ENFR_CATTENOM-1_00</t>
  </si>
  <si>
    <t>ENFR_CATTENOM-2_00</t>
  </si>
  <si>
    <t>ENFR_CATTENOM-3_00</t>
  </si>
  <si>
    <t>ENFR_CATTENOM-4_00</t>
  </si>
  <si>
    <t>ENFR_CHINON-B-1_00</t>
  </si>
  <si>
    <t>ENFR_CHINON-B-2_00</t>
  </si>
  <si>
    <t>ENFR_CHINON-B-3_00</t>
  </si>
  <si>
    <t>ENFR_CHINON-B-4_00</t>
  </si>
  <si>
    <t>ENFR_CHOOZ-B-1_00</t>
  </si>
  <si>
    <t>ENFR_CHOOZ-B-2_00</t>
  </si>
  <si>
    <t>ENFR_CIVAUX-1_00</t>
  </si>
  <si>
    <t>ENFR_CIVAUX-2_00</t>
  </si>
  <si>
    <t>ENFR_CRUAS-1_00</t>
  </si>
  <si>
    <t>ENFR_CRUAS-2_00</t>
  </si>
  <si>
    <t>ENFR_CRUAS-3_00</t>
  </si>
  <si>
    <t>ENFR_CRUAS-4_00</t>
  </si>
  <si>
    <t>ENFR_DAMPIERRE-1_00</t>
  </si>
  <si>
    <t>ENFR_DAMPIERRE-2_00</t>
  </si>
  <si>
    <t>ENFR_DAMPIERRE-3_00</t>
  </si>
  <si>
    <t>ENFR_DAMPIERRE-4_00</t>
  </si>
  <si>
    <t>ENFR_FESSENHEIM-1_00</t>
  </si>
  <si>
    <t>ENFR_FESSENHEIM-2_00</t>
  </si>
  <si>
    <t>ENFR_FLAMANVILLE-1_00</t>
  </si>
  <si>
    <t>ENFR_FLAMANVILLE-2_00</t>
  </si>
  <si>
    <t>ENFR_GOLFECH-1_00</t>
  </si>
  <si>
    <t>ENFR_GOLFECH-2_00</t>
  </si>
  <si>
    <t>ENFR_GRAVELINES-1_00</t>
  </si>
  <si>
    <t>ENFR_GRAVELINES-2_00</t>
  </si>
  <si>
    <t>ENFR_GRAVELINES-3_00</t>
  </si>
  <si>
    <t>ENFR_GRAVELINES-4_00</t>
  </si>
  <si>
    <t>ENFR_GRAVELINES-5_00</t>
  </si>
  <si>
    <t>ENFR_GRAVELINES-6_00</t>
  </si>
  <si>
    <t>ENFR_NOGENT-1_00</t>
  </si>
  <si>
    <t>ENFR_NOGENT-2_00</t>
  </si>
  <si>
    <t>ENFR_PALUEL-1_00</t>
  </si>
  <si>
    <t>ENFR_PALUEL-2_00</t>
  </si>
  <si>
    <t>ENFR_PALUEL-3_00</t>
  </si>
  <si>
    <t>ENFR_PALUEL-4_00</t>
  </si>
  <si>
    <t>ENFR_PENLY-1_00</t>
  </si>
  <si>
    <t>ENFR_PENLY-2_00</t>
  </si>
  <si>
    <t>ENFR_PHENIX_00</t>
  </si>
  <si>
    <t>ENFR_STALBAN-1_00</t>
  </si>
  <si>
    <t>ENFR_STALBAN-2_00</t>
  </si>
  <si>
    <t>ENFR_STLAURENT-B-1_00</t>
  </si>
  <si>
    <t>ENFR_STLAURENT-B-2_00</t>
  </si>
  <si>
    <t>ENFR_TRICASTIN-1_00</t>
  </si>
  <si>
    <t>ENFR_TRICASTIN-2_00</t>
  </si>
  <si>
    <t>ENFR_TRICASTIN-3_00</t>
  </si>
  <si>
    <t>ENFR_TRICASTIN-4_00</t>
  </si>
  <si>
    <t>HU</t>
  </si>
  <si>
    <t>ENHU_PAKS-1_00</t>
  </si>
  <si>
    <t>ENHU_PAKS-2_00</t>
  </si>
  <si>
    <t>ENHU_PAKS-3_00</t>
  </si>
  <si>
    <t>ENHU_PAKS-4_00</t>
  </si>
  <si>
    <t>LT</t>
  </si>
  <si>
    <t>ENLT_IGNALINA-1</t>
  </si>
  <si>
    <t>ENLT_IGNALINA-2</t>
  </si>
  <si>
    <t>NL</t>
  </si>
  <si>
    <t>ENNL_BORSSELE_00</t>
  </si>
  <si>
    <t>RO</t>
  </si>
  <si>
    <t>ENRO_CERNAVODA-1_00</t>
  </si>
  <si>
    <t>ENRO_CERNAVODA-2</t>
  </si>
  <si>
    <t>SE</t>
  </si>
  <si>
    <t>ENSE_FORSMARK-1_00</t>
  </si>
  <si>
    <t>ENSE_FORSMARK-2_00</t>
  </si>
  <si>
    <t>ENSE_FORSMARK-3_00</t>
  </si>
  <si>
    <t>ENSE_OSKARSHAMN-1_00</t>
  </si>
  <si>
    <t>ENSE_OSKARSHAMN-2_00</t>
  </si>
  <si>
    <t>ENSE_OSKARSHAMN-3_00</t>
  </si>
  <si>
    <t>ENSE_RINGHALS-1_00</t>
  </si>
  <si>
    <t>ENSE_RINGHALS-2_00</t>
  </si>
  <si>
    <t>ENSE_RINGHALS-3_00</t>
  </si>
  <si>
    <t>ENSE_RINGHALS-4_00</t>
  </si>
  <si>
    <t>SI</t>
  </si>
  <si>
    <t>ENSI_KRSKO_00</t>
  </si>
  <si>
    <t>SK</t>
  </si>
  <si>
    <t>ENSK_BOHUNICE-1_00</t>
  </si>
  <si>
    <t>ENSK_BOHUNICE-2_00</t>
  </si>
  <si>
    <t>ENSK_BOHUNICE-3_00</t>
  </si>
  <si>
    <t>ENSK_BOHUNICE-4_00</t>
  </si>
  <si>
    <t>ENSK_MOCHOVCE-1_00</t>
  </si>
  <si>
    <t>ENSK_MOCHOVCE-2_00</t>
  </si>
  <si>
    <t>UK</t>
  </si>
  <si>
    <t>ENUK_DUNGENESS-B1_00</t>
  </si>
  <si>
    <t>ENUK_DUNGENESS-B2_00</t>
  </si>
  <si>
    <t>ENUK_HARTLEPOOL-A1_00</t>
  </si>
  <si>
    <t>ENUK_HARTLEPOOL-A2_00</t>
  </si>
  <si>
    <t>ENUK_HEYSHAM-A1_00</t>
  </si>
  <si>
    <t>ENUK_HEYSHAM-A2_00</t>
  </si>
  <si>
    <t>ENUK_HEYSHAM-B1_00</t>
  </si>
  <si>
    <t>ENUK_HEYSHAM-B2_00</t>
  </si>
  <si>
    <t>ENUK_HINKLEYPOINT-B1_00</t>
  </si>
  <si>
    <t>ENUK_HINKLEYPOINT-B2_00</t>
  </si>
  <si>
    <t>ENUK_HUNTERSTON-B1_00</t>
  </si>
  <si>
    <t>ENUK_HUNTERSTON-B2_00</t>
  </si>
  <si>
    <t>ENUK_OLDBURY-A1_00</t>
  </si>
  <si>
    <t>ENUK_SIZEWELL-Bv_00</t>
  </si>
  <si>
    <t>ENUK_TORNESS1_00</t>
  </si>
  <si>
    <t>ENUK_TORNESS2_00</t>
  </si>
  <si>
    <t>ENUK_WYLFA1_00</t>
  </si>
  <si>
    <t>ENUK_WYLFA2_00</t>
  </si>
  <si>
    <t>Comments</t>
  </si>
  <si>
    <t xml:space="preserve">http://www.engie.com/en/journalists/press-releases/agreement-conditions-extending-doel-1-doel-2-new-nuclear-contribution-system/  </t>
  </si>
  <si>
    <t xml:space="preserve">http://economie.fgov.be/fr/consommateurs/Energie/Nucleaire/centrales_nucleaires/sortie_nucleaire/#.Vdb00Y7DVE4 </t>
  </si>
  <si>
    <t xml:space="preserve">http://www.fanc.fgov.be/nl/news/doel-3/tihange-2-next-steps-of-the-review-process/766.aspx  </t>
  </si>
  <si>
    <t xml:space="preserve">http://www.world-nuclear-news.org/C-EOn-supports-early-closure-of-Oskarshamn-units-2306154.html </t>
  </si>
  <si>
    <t xml:space="preserve">http://www.world-nuclear.org/info/Country-Profiles/Countries-A-F/Bulgaria/ </t>
  </si>
  <si>
    <t>Decommissioned</t>
  </si>
  <si>
    <t xml:space="preserve">http://www.developpement-durable.gouv.fr/Renforcer-la-surete-nucleaire-et-l,41397.html </t>
  </si>
  <si>
    <t xml:space="preserve">http://www.oecd-nea.org/ndd/pubs/2014/7197-bb-2014.pdf </t>
  </si>
  <si>
    <t>capacity according to operator website</t>
  </si>
  <si>
    <t xml:space="preserve">http://corporate.vattenfall.se/press-och-media/engelska/vattenfall-changes-direction-for-operational-lifetimes-of-ringhals-1-and-2/ </t>
  </si>
  <si>
    <t>http://www.seas.sk/data/contentlink/cfakepathebofactsen-web.pdf</t>
  </si>
  <si>
    <t>Source</t>
  </si>
  <si>
    <t>uncertain - follow up</t>
  </si>
  <si>
    <t>closed</t>
  </si>
  <si>
    <t>closing date unclear - follow up</t>
  </si>
  <si>
    <t>https://www.iaea.org/NuclearPower/Downloadable/Meetings/2013/2013-11-05-11-08-TM-NPE/10.Skodlar_Slovenia.pdf</t>
  </si>
  <si>
    <t>long term operation implemented</t>
  </si>
  <si>
    <t>LTO programm to run up to 60 years</t>
  </si>
  <si>
    <t>Year</t>
  </si>
  <si>
    <t xml:space="preserve">http://www.edfenergy.com/energy/power-stations/dungeness-b </t>
  </si>
  <si>
    <t xml:space="preserve">https://www.iaea.org/PRIS/CountryStatistics/ReactorDetails.aspx?current=237 </t>
  </si>
  <si>
    <t>majority owners announces to discontinue investments</t>
  </si>
  <si>
    <t>Generic  Lifetime</t>
  </si>
  <si>
    <t>Efficiency
PJ/tU</t>
  </si>
  <si>
    <t>Existing capacity
GW</t>
  </si>
  <si>
    <t>Tlife
yrs</t>
  </si>
  <si>
    <t>End of life</t>
  </si>
  <si>
    <t>Lifetime Option</t>
  </si>
  <si>
    <t>fixed</t>
  </si>
  <si>
    <t>generic</t>
  </si>
  <si>
    <t>End of life (fixed)</t>
  </si>
  <si>
    <t>http://www.world-nuclear.org/info/Country-Profiles/Countries-O-S/Switzerland/</t>
  </si>
  <si>
    <t>need to follow up political developments</t>
  </si>
  <si>
    <t>Member State</t>
  </si>
  <si>
    <t>According to grand carénage</t>
  </si>
  <si>
    <t>situtation unclear - follow up</t>
  </si>
  <si>
    <t>Remaining Capacity
(60 yrs scenario)</t>
  </si>
  <si>
    <t>Remaining Capacity
(40 yrs scenario)</t>
  </si>
  <si>
    <t>Remaining Capacity
(50 yrs scenario)</t>
  </si>
  <si>
    <t>~TFM_UPD</t>
  </si>
  <si>
    <t>Attribute</t>
  </si>
  <si>
    <t>AllRegions</t>
  </si>
  <si>
    <t>Pset_PN</t>
  </si>
  <si>
    <t>This scenario udpates the tlife of existing nuclear power plants</t>
  </si>
  <si>
    <t>The formulas are flexible</t>
  </si>
  <si>
    <t>NCAP_TLIFE</t>
  </si>
  <si>
    <t>LimType</t>
  </si>
  <si>
    <t>FX</t>
  </si>
  <si>
    <t>N</t>
  </si>
  <si>
    <t>UP</t>
  </si>
  <si>
    <t>Plant name</t>
  </si>
  <si>
    <t>Capacity (GW)</t>
  </si>
  <si>
    <t>Comment</t>
  </si>
  <si>
    <t>From NUCEU_Trans</t>
  </si>
  <si>
    <t>TODO</t>
  </si>
  <si>
    <t>Process\Attribute</t>
  </si>
  <si>
    <t>NCAP_BND</t>
  </si>
  <si>
    <t>CAP_BND</t>
  </si>
  <si>
    <t>Bulgaria</t>
  </si>
  <si>
    <t>ENBG_BELENE-1</t>
  </si>
  <si>
    <t>cancelled</t>
  </si>
  <si>
    <t>x with N</t>
  </si>
  <si>
    <t>ENBG_BELENE-2</t>
  </si>
  <si>
    <t>ENBG_KOZLODUY-7</t>
  </si>
  <si>
    <t>ENCZ_TEMELIN-3</t>
  </si>
  <si>
    <t>Czech Rep.</t>
  </si>
  <si>
    <t>ENCZ_DUKOVANY-5</t>
  </si>
  <si>
    <t>ENCZ_TEMELIN-4</t>
  </si>
  <si>
    <t>ENFI_OLKILUOTO-3</t>
  </si>
  <si>
    <t>ENFR_FLAMANVILLE-3</t>
  </si>
  <si>
    <t>Finland</t>
  </si>
  <si>
    <t>ENFR_PENLY-3</t>
  </si>
  <si>
    <t>ENFI_OLKILUOTO-4</t>
  </si>
  <si>
    <t>cancelled?</t>
  </si>
  <si>
    <t>ENHU_PAKS-5</t>
  </si>
  <si>
    <t>ENFI_PYHA-YOKI</t>
  </si>
  <si>
    <t>ENHU_PAKS-6</t>
  </si>
  <si>
    <t>France</t>
  </si>
  <si>
    <t>ENRO_CERNAVODA-3</t>
  </si>
  <si>
    <t>x</t>
  </si>
  <si>
    <t>ENRO_CERNAVODA-4</t>
  </si>
  <si>
    <t>ENLT_VISAGINAS-1</t>
  </si>
  <si>
    <t>Hungary</t>
  </si>
  <si>
    <t>ENSK_MOCHOVCE-3</t>
  </si>
  <si>
    <t>ENNL_BORSSELE-2</t>
  </si>
  <si>
    <t>ENSK_MOCHOVCE-4</t>
  </si>
  <si>
    <t>ENPL_POLAND-1</t>
  </si>
  <si>
    <t>Lithuania</t>
  </si>
  <si>
    <t>ENLT_VISAGINAS</t>
  </si>
  <si>
    <t>ENUK_HINKLEYPOINT-C1</t>
  </si>
  <si>
    <t>ENPL_POLAND-2</t>
  </si>
  <si>
    <t>The Netherlands</t>
  </si>
  <si>
    <t>ENUK_HINKLEYPOINT-C2</t>
  </si>
  <si>
    <t>Poland</t>
  </si>
  <si>
    <t>ENUK_SIZEWELL-C1</t>
  </si>
  <si>
    <t>ENUK_SIZEWELL-C2</t>
  </si>
  <si>
    <t>ENRO_CERNAVODA-5</t>
  </si>
  <si>
    <t>Romania</t>
  </si>
  <si>
    <t>ENSI_KRSKO-2</t>
  </si>
  <si>
    <t>ENSK_BOHUNICE-NEWBLOCK</t>
  </si>
  <si>
    <t>Slovenia</t>
  </si>
  <si>
    <t>ENSK_KECEROVCE</t>
  </si>
  <si>
    <t>Slovakia</t>
  </si>
  <si>
    <t>under construction</t>
  </si>
  <si>
    <t>United Kingdom</t>
  </si>
  <si>
    <t>ENUK_MOORSIDE</t>
  </si>
  <si>
    <t>ENUK_OLDBURY-B</t>
  </si>
  <si>
    <t>ENUK_WYLFA-B</t>
  </si>
  <si>
    <t>~TFM_INS</t>
  </si>
  <si>
    <t>TimeSlice</t>
  </si>
  <si>
    <t>Other_Indexes</t>
  </si>
  <si>
    <t>Attrib_COND</t>
  </si>
  <si>
    <t>Val_COND</t>
  </si>
  <si>
    <t>Allregions</t>
  </si>
  <si>
    <t>OFFEPS</t>
  </si>
  <si>
    <t xml:space="preserve">Ask Andreas which are killed for ever or which come as optional in long term future </t>
  </si>
  <si>
    <t>START</t>
  </si>
  <si>
    <t>From VEDA FE</t>
  </si>
  <si>
    <t>PSET_PN</t>
  </si>
  <si>
    <t>Region</t>
  </si>
  <si>
    <t>LimType\Scenario</t>
  </si>
  <si>
    <t>Nuc-EU</t>
  </si>
  <si>
    <t>IT</t>
  </si>
  <si>
    <t>ENIT_ITALY-1</t>
  </si>
  <si>
    <t>ENIT_ITALY-2</t>
  </si>
  <si>
    <t>ENIT_ITALY-3</t>
  </si>
  <si>
    <t>ENIT_ITALY-4</t>
  </si>
  <si>
    <t>PL</t>
  </si>
  <si>
    <t>Trans - Update</t>
  </si>
  <si>
    <t>Attrib_Cond</t>
  </si>
  <si>
    <t>Val_Cond</t>
  </si>
  <si>
    <t>Pset_Set</t>
  </si>
  <si>
    <t>Pset_PD</t>
  </si>
  <si>
    <t>Pset_CI</t>
  </si>
  <si>
    <t>Pset_CO</t>
  </si>
  <si>
    <t>Cset_Set</t>
  </si>
  <si>
    <t>Cset_CN</t>
  </si>
  <si>
    <t>Cset_CD</t>
  </si>
  <si>
    <t>LIFE</t>
  </si>
  <si>
    <t>+10</t>
  </si>
  <si>
    <t>Following the feedback of Dominique Lafond (EDF) during the JET validation in Nov 2013, an extension of 10 years of all existing nuclear plants in FR should be tested</t>
  </si>
  <si>
    <t>Life time of nuclear power plants in FR as in IAEA data base</t>
  </si>
  <si>
    <t>TechName</t>
  </si>
  <si>
    <t>Comm-IN</t>
  </si>
  <si>
    <t>Comm-OUT</t>
  </si>
  <si>
    <t>*</t>
  </si>
  <si>
    <t>AFA</t>
  </si>
  <si>
    <t>AFA~2005</t>
  </si>
  <si>
    <t>AFA~2010</t>
  </si>
  <si>
    <t>NCAP_PASTI</t>
  </si>
  <si>
    <t>NCAP_BND~UP</t>
  </si>
  <si>
    <t>NCAP_BND~FX</t>
  </si>
  <si>
    <t>END</t>
  </si>
  <si>
    <t>VAROM</t>
  </si>
  <si>
    <t>INVCOST</t>
  </si>
  <si>
    <t>Life</t>
  </si>
  <si>
    <t>EFF</t>
  </si>
  <si>
    <t>Peak</t>
  </si>
  <si>
    <t>Cap2Act</t>
  </si>
  <si>
    <t>*Comment row</t>
  </si>
  <si>
    <t>GW</t>
  </si>
  <si>
    <t>Euro/kW</t>
  </si>
  <si>
    <t>Euro/GJ</t>
  </si>
  <si>
    <t>Years</t>
  </si>
  <si>
    <t>%</t>
  </si>
  <si>
    <t>PJ/GW</t>
  </si>
  <si>
    <t>ELCNUC</t>
  </si>
  <si>
    <t>ELCHIG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</si>
</sst>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b/>
      <i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17"/>
      <name val="Arial"/>
      <family val="2"/>
    </font>
    <font>
      <sz val="10"/>
      <color indexed="8"/>
      <name val="Arial"/>
      <family val="2"/>
    </font>
    <font>
      <b/>
      <sz val="10"/>
      <color indexed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3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4F81BD"/>
      </left>
      <right/>
      <top style="medium">
        <color rgb="FF4F81BD"/>
      </top>
      <bottom/>
      <diagonal/>
    </border>
    <border>
      <left/>
      <right/>
      <top style="medium">
        <color rgb="FF4F81BD"/>
      </top>
      <bottom/>
      <diagonal/>
    </border>
    <border>
      <left/>
      <right style="medium">
        <color rgb="FF4F81BD"/>
      </right>
      <top style="medium">
        <color rgb="FF4F81BD"/>
      </top>
      <bottom/>
      <diagonal/>
    </border>
    <border>
      <left style="medium">
        <color rgb="FF4F81BD"/>
      </left>
      <right/>
      <top style="medium">
        <color rgb="FF4F81BD"/>
      </top>
      <bottom style="medium">
        <color rgb="FF4F81BD"/>
      </bottom>
      <diagonal/>
    </border>
    <border>
      <left/>
      <right/>
      <top style="medium">
        <color rgb="FF4F81BD"/>
      </top>
      <bottom style="medium">
        <color rgb="FF4F81BD"/>
      </bottom>
      <diagonal/>
    </border>
    <border>
      <left/>
      <right style="medium">
        <color rgb="FF4F81BD"/>
      </right>
      <top style="medium">
        <color rgb="FF4F81BD"/>
      </top>
      <bottom style="medium">
        <color rgb="FF4F81BD"/>
      </bottom>
      <diagonal/>
    </border>
    <border>
      <left style="medium">
        <color rgb="FF4F81BD"/>
      </left>
      <right/>
      <top/>
      <bottom/>
      <diagonal/>
    </border>
    <border>
      <left/>
      <right style="medium">
        <color rgb="FF4F81BD"/>
      </right>
      <top/>
      <bottom/>
      <diagonal/>
    </border>
  </borders>
  <cellStyleXfs count="63">
    <xf numFmtId="0" fontId="0" fillId="0" borderId="0"/>
    <xf numFmtId="0" fontId="3" fillId="0" borderId="0">
      <alignment wrapText="1"/>
    </xf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7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21" borderId="0" applyNumberFormat="0" applyBorder="0" applyAlignment="0" applyProtection="0"/>
    <xf numFmtId="0" fontId="7" fillId="5" borderId="0" applyNumberFormat="0" applyBorder="0" applyAlignment="0" applyProtection="0"/>
    <xf numFmtId="0" fontId="8" fillId="22" borderId="2" applyNumberFormat="0" applyAlignment="0" applyProtection="0"/>
    <xf numFmtId="0" fontId="9" fillId="23" borderId="3" applyNumberFormat="0" applyAlignment="0" applyProtection="0"/>
    <xf numFmtId="0" fontId="10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11" fillId="6" borderId="0" applyNumberFormat="0" applyBorder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5" fillId="3" borderId="1" applyNumberFormat="0" applyAlignment="0" applyProtection="0"/>
    <xf numFmtId="0" fontId="15" fillId="9" borderId="2" applyNumberFormat="0" applyAlignment="0" applyProtection="0"/>
    <xf numFmtId="0" fontId="16" fillId="0" borderId="7" applyNumberFormat="0" applyFill="0" applyAlignment="0" applyProtection="0"/>
    <xf numFmtId="0" fontId="17" fillId="24" borderId="0" applyNumberFormat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25" borderId="8" applyNumberFormat="0" applyFont="0" applyAlignment="0" applyProtection="0"/>
    <xf numFmtId="0" fontId="18" fillId="22" borderId="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3" fillId="0" borderId="0">
      <alignment wrapText="1"/>
    </xf>
  </cellStyleXfs>
  <cellXfs count="74">
    <xf numFmtId="0" fontId="0" fillId="0" borderId="0" xfId="0"/>
    <xf numFmtId="4" fontId="0" fillId="0" borderId="0" xfId="0" applyNumberFormat="1"/>
    <xf numFmtId="0" fontId="2" fillId="0" borderId="0" xfId="0" applyFont="1" applyAlignment="1">
      <alignment horizontal="center"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Fill="1" applyBorder="1" applyAlignment="1">
      <alignment vertical="top"/>
    </xf>
    <xf numFmtId="0" fontId="0" fillId="0" borderId="0" xfId="0" applyFill="1" applyBorder="1"/>
    <xf numFmtId="0" fontId="2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/>
    <xf numFmtId="164" fontId="0" fillId="0" borderId="0" xfId="0" applyNumberFormat="1" applyFill="1" applyBorder="1" applyAlignment="1"/>
    <xf numFmtId="0" fontId="5" fillId="0" borderId="0" xfId="36" applyFill="1" applyBorder="1" applyAlignment="1" applyProtection="1">
      <alignment wrapText="1"/>
    </xf>
    <xf numFmtId="0" fontId="0" fillId="0" borderId="0" xfId="0" applyFill="1" applyBorder="1" applyAlignment="1">
      <alignment wrapText="1"/>
    </xf>
    <xf numFmtId="164" fontId="0" fillId="0" borderId="0" xfId="0" applyNumberFormat="1" applyFill="1" applyBorder="1"/>
    <xf numFmtId="0" fontId="5" fillId="0" borderId="0" xfId="36" applyFill="1" applyBorder="1" applyAlignment="1" applyProtection="1"/>
    <xf numFmtId="0" fontId="27" fillId="0" borderId="0" xfId="0" applyFont="1"/>
    <xf numFmtId="0" fontId="28" fillId="26" borderId="11" xfId="0" applyFont="1" applyFill="1" applyBorder="1"/>
    <xf numFmtId="0" fontId="28" fillId="27" borderId="11" xfId="0" applyFont="1" applyFill="1" applyBorder="1"/>
    <xf numFmtId="0" fontId="3" fillId="26" borderId="11" xfId="0" applyFont="1" applyFill="1" applyBorder="1"/>
    <xf numFmtId="0" fontId="29" fillId="28" borderId="12" xfId="0" applyFont="1" applyFill="1" applyBorder="1" applyAlignment="1">
      <alignment horizontal="justify" vertical="center"/>
    </xf>
    <xf numFmtId="0" fontId="29" fillId="28" borderId="13" xfId="0" applyFont="1" applyFill="1" applyBorder="1" applyAlignment="1">
      <alignment horizontal="justify" vertical="center"/>
    </xf>
    <xf numFmtId="0" fontId="29" fillId="28" borderId="14" xfId="0" applyFont="1" applyFill="1" applyBorder="1" applyAlignment="1">
      <alignment horizontal="justify" vertical="center"/>
    </xf>
    <xf numFmtId="0" fontId="29" fillId="28" borderId="0" xfId="0" applyFont="1" applyFill="1" applyAlignment="1">
      <alignment horizontal="justify" vertical="center"/>
    </xf>
    <xf numFmtId="0" fontId="30" fillId="0" borderId="15" xfId="0" applyFont="1" applyBorder="1" applyAlignment="1">
      <alignment horizontal="left" vertical="center"/>
    </xf>
    <xf numFmtId="0" fontId="31" fillId="0" borderId="16" xfId="0" applyFont="1" applyBorder="1" applyAlignment="1">
      <alignment horizontal="justify" vertical="center"/>
    </xf>
    <xf numFmtId="0" fontId="32" fillId="0" borderId="16" xfId="0" applyFont="1" applyBorder="1" applyAlignment="1">
      <alignment horizontal="right" vertical="center"/>
    </xf>
    <xf numFmtId="0" fontId="31" fillId="0" borderId="17" xfId="0" applyFont="1" applyBorder="1" applyAlignment="1">
      <alignment horizontal="justify" vertical="center"/>
    </xf>
    <xf numFmtId="0" fontId="3" fillId="0" borderId="0" xfId="59"/>
    <xf numFmtId="0" fontId="0" fillId="29" borderId="0" xfId="0" applyFill="1"/>
    <xf numFmtId="0" fontId="30" fillId="0" borderId="18" xfId="0" applyFont="1" applyBorder="1" applyAlignment="1">
      <alignment horizontal="left" vertical="center"/>
    </xf>
    <xf numFmtId="0" fontId="31" fillId="0" borderId="0" xfId="0" applyFont="1" applyAlignment="1">
      <alignment horizontal="justify" vertical="center"/>
    </xf>
    <xf numFmtId="0" fontId="32" fillId="0" borderId="0" xfId="0" applyFont="1" applyAlignment="1">
      <alignment horizontal="right" vertical="center"/>
    </xf>
    <xf numFmtId="0" fontId="31" fillId="0" borderId="19" xfId="0" applyFont="1" applyBorder="1" applyAlignment="1">
      <alignment horizontal="justify" vertical="center"/>
    </xf>
    <xf numFmtId="0" fontId="1" fillId="0" borderId="0" xfId="60"/>
    <xf numFmtId="0" fontId="20" fillId="30" borderId="0" xfId="60" applyFont="1" applyFill="1"/>
    <xf numFmtId="0" fontId="20" fillId="31" borderId="0" xfId="61" applyFont="1" applyFill="1"/>
    <xf numFmtId="0" fontId="20" fillId="31" borderId="0" xfId="60" applyFont="1" applyFill="1"/>
    <xf numFmtId="0" fontId="27" fillId="0" borderId="0" xfId="59" applyFont="1"/>
    <xf numFmtId="0" fontId="28" fillId="27" borderId="11" xfId="59" applyFont="1" applyFill="1" applyBorder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0" fillId="0" borderId="0" xfId="0" quotePrefix="1"/>
    <xf numFmtId="0" fontId="26" fillId="0" borderId="0" xfId="45"/>
    <xf numFmtId="0" fontId="20" fillId="0" borderId="0" xfId="0" applyFont="1"/>
    <xf numFmtId="0" fontId="28" fillId="26" borderId="0" xfId="62" applyFont="1" applyFill="1" applyAlignment="1">
      <alignment horizontal="left"/>
    </xf>
    <xf numFmtId="0" fontId="3" fillId="0" borderId="0" xfId="62" applyAlignment="1"/>
    <xf numFmtId="0" fontId="28" fillId="26" borderId="0" xfId="62" applyFont="1" applyFill="1" applyAlignment="1"/>
    <xf numFmtId="0" fontId="3" fillId="32" borderId="0" xfId="62" applyFill="1" applyAlignment="1">
      <alignment horizontal="left"/>
    </xf>
    <xf numFmtId="0" fontId="3" fillId="32" borderId="0" xfId="62" applyFill="1" applyAlignment="1"/>
    <xf numFmtId="0" fontId="33" fillId="33" borderId="0" xfId="62" applyFont="1" applyFill="1" applyAlignment="1">
      <alignment horizontal="left"/>
    </xf>
    <xf numFmtId="0" fontId="3" fillId="33" borderId="0" xfId="62" applyFill="1" applyAlignment="1">
      <alignment horizontal="left"/>
    </xf>
    <xf numFmtId="0" fontId="3" fillId="33" borderId="0" xfId="62" applyFill="1" applyAlignment="1">
      <alignment horizontal="left" vertical="center"/>
    </xf>
    <xf numFmtId="164" fontId="3" fillId="33" borderId="0" xfId="62" applyNumberFormat="1" applyFill="1" applyAlignment="1">
      <alignment horizontal="left"/>
    </xf>
    <xf numFmtId="2" fontId="3" fillId="33" borderId="0" xfId="62" applyNumberFormat="1" applyFill="1" applyAlignment="1">
      <alignment horizontal="left"/>
    </xf>
    <xf numFmtId="0" fontId="3" fillId="33" borderId="0" xfId="62" applyFill="1" applyAlignment="1"/>
    <xf numFmtId="1" fontId="34" fillId="33" borderId="0" xfId="62" applyNumberFormat="1" applyFont="1" applyFill="1" applyAlignment="1">
      <alignment horizontal="left" vertical="top" wrapText="1"/>
    </xf>
    <xf numFmtId="0" fontId="33" fillId="30" borderId="0" xfId="62" applyFont="1" applyFill="1" applyAlignment="1">
      <alignment horizontal="left"/>
    </xf>
    <xf numFmtId="0" fontId="3" fillId="30" borderId="0" xfId="62" applyFill="1" applyAlignment="1">
      <alignment horizontal="left" vertical="center"/>
    </xf>
    <xf numFmtId="164" fontId="3" fillId="34" borderId="0" xfId="62" applyNumberFormat="1" applyFill="1" applyAlignment="1">
      <alignment horizontal="left"/>
    </xf>
    <xf numFmtId="164" fontId="3" fillId="30" borderId="0" xfId="62" applyNumberFormat="1" applyFill="1" applyAlignment="1">
      <alignment horizontal="left"/>
    </xf>
    <xf numFmtId="2" fontId="3" fillId="35" borderId="0" xfId="62" applyNumberFormat="1" applyFill="1" applyAlignment="1">
      <alignment horizontal="left"/>
    </xf>
    <xf numFmtId="2" fontId="3" fillId="30" borderId="0" xfId="62" applyNumberFormat="1" applyFill="1" applyAlignment="1">
      <alignment horizontal="left"/>
    </xf>
    <xf numFmtId="0" fontId="3" fillId="30" borderId="0" xfId="62" applyFill="1" applyAlignment="1">
      <alignment horizontal="left"/>
    </xf>
    <xf numFmtId="0" fontId="28" fillId="30" borderId="0" xfId="62" applyFont="1" applyFill="1" applyAlignment="1">
      <alignment horizontal="left"/>
    </xf>
    <xf numFmtId="1" fontId="34" fillId="30" borderId="0" xfId="62" applyNumberFormat="1" applyFont="1" applyFill="1" applyAlignment="1">
      <alignment horizontal="left" vertical="top" wrapText="1"/>
    </xf>
    <xf numFmtId="1" fontId="3" fillId="30" borderId="0" xfId="62" applyNumberFormat="1" applyFill="1" applyAlignment="1">
      <alignment horizontal="left"/>
    </xf>
    <xf numFmtId="164" fontId="3" fillId="26" borderId="0" xfId="62" applyNumberFormat="1" applyFill="1" applyAlignment="1">
      <alignment horizontal="left"/>
    </xf>
    <xf numFmtId="2" fontId="35" fillId="30" borderId="0" xfId="62" applyNumberFormat="1" applyFont="1" applyFill="1" applyAlignment="1">
      <alignment horizontal="left"/>
    </xf>
    <xf numFmtId="0" fontId="33" fillId="36" borderId="0" xfId="62" applyFont="1" applyFill="1" applyAlignment="1">
      <alignment horizontal="left"/>
    </xf>
    <xf numFmtId="0" fontId="3" fillId="36" borderId="0" xfId="62" applyFill="1" applyAlignment="1">
      <alignment horizontal="left" vertical="center"/>
    </xf>
    <xf numFmtId="164" fontId="3" fillId="36" borderId="0" xfId="62" applyNumberFormat="1" applyFill="1" applyAlignment="1">
      <alignment horizontal="left"/>
    </xf>
    <xf numFmtId="2" fontId="3" fillId="36" borderId="0" xfId="62" applyNumberFormat="1" applyFill="1" applyAlignment="1">
      <alignment horizontal="left"/>
    </xf>
    <xf numFmtId="0" fontId="3" fillId="36" borderId="0" xfId="62" applyFill="1" applyAlignment="1">
      <alignment horizontal="left"/>
    </xf>
    <xf numFmtId="1" fontId="34" fillId="36" borderId="0" xfId="62" applyNumberFormat="1" applyFont="1" applyFill="1" applyAlignment="1">
      <alignment horizontal="left" vertical="top" wrapText="1"/>
    </xf>
    <xf numFmtId="1" fontId="3" fillId="36" borderId="0" xfId="62" applyNumberFormat="1" applyFill="1" applyAlignment="1">
      <alignment horizontal="left"/>
    </xf>
  </cellXfs>
  <cellStyles count="63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Explanatory Text 2" xfId="29" xr:uid="{00000000-0005-0000-0000-00001B000000}"/>
    <cellStyle name="Good 2" xfId="30" xr:uid="{00000000-0005-0000-0000-00001C000000}"/>
    <cellStyle name="Good 2 2" xfId="31" xr:uid="{00000000-0005-0000-0000-00001D000000}"/>
    <cellStyle name="Heading 1 2" xfId="32" xr:uid="{00000000-0005-0000-0000-00001E000000}"/>
    <cellStyle name="Heading 2 2" xfId="33" xr:uid="{00000000-0005-0000-0000-00001F000000}"/>
    <cellStyle name="Heading 3 2" xfId="34" xr:uid="{00000000-0005-0000-0000-000020000000}"/>
    <cellStyle name="Heading 4 2" xfId="35" xr:uid="{00000000-0005-0000-0000-000021000000}"/>
    <cellStyle name="Hyperlink" xfId="36" builtinId="8"/>
    <cellStyle name="Input 2" xfId="37" xr:uid="{00000000-0005-0000-0000-000023000000}"/>
    <cellStyle name="Input 2 2" xfId="38" xr:uid="{00000000-0005-0000-0000-000024000000}"/>
    <cellStyle name="Linked Cell 2" xfId="39" xr:uid="{00000000-0005-0000-0000-000025000000}"/>
    <cellStyle name="Neutral 2" xfId="40" xr:uid="{00000000-0005-0000-0000-000026000000}"/>
    <cellStyle name="Normal" xfId="0" builtinId="0"/>
    <cellStyle name="Normal 10" xfId="41" xr:uid="{00000000-0005-0000-0000-000028000000}"/>
    <cellStyle name="Normal 19" xfId="59" xr:uid="{1BDFE579-827A-4DA9-BF09-DA92AD8EEE00}"/>
    <cellStyle name="Normal 2" xfId="42" xr:uid="{00000000-0005-0000-0000-000029000000}"/>
    <cellStyle name="Normal 2 2" xfId="43" xr:uid="{00000000-0005-0000-0000-00002A000000}"/>
    <cellStyle name="Normal 2 2 14" xfId="61" xr:uid="{B21809A4-A8D5-4A22-A4F5-CB72A8E8411B}"/>
    <cellStyle name="Normal 2 3" xfId="44" xr:uid="{00000000-0005-0000-0000-00002B000000}"/>
    <cellStyle name="Normal 3" xfId="45" xr:uid="{00000000-0005-0000-0000-00002C000000}"/>
    <cellStyle name="Normal 3 2" xfId="46" xr:uid="{00000000-0005-0000-0000-00002D000000}"/>
    <cellStyle name="Normal 3 2 9" xfId="60" xr:uid="{0BB088A5-E65C-486F-BA13-00A951C6AD05}"/>
    <cellStyle name="Normal 31" xfId="62" xr:uid="{A3746CB2-96FE-4497-91F4-00C8456B4884}"/>
    <cellStyle name="Normal 4" xfId="47" xr:uid="{00000000-0005-0000-0000-00002E000000}"/>
    <cellStyle name="Normal 4 2" xfId="48" xr:uid="{00000000-0005-0000-0000-00002F000000}"/>
    <cellStyle name="Normal 5" xfId="1" xr:uid="{00000000-0005-0000-0000-000030000000}"/>
    <cellStyle name="Normal 6" xfId="49" xr:uid="{00000000-0005-0000-0000-000031000000}"/>
    <cellStyle name="Normale_Scen_UC_IND-StrucConst" xfId="50" xr:uid="{00000000-0005-0000-0000-000032000000}"/>
    <cellStyle name="Note 2" xfId="51" xr:uid="{00000000-0005-0000-0000-000033000000}"/>
    <cellStyle name="Output 2" xfId="52" xr:uid="{00000000-0005-0000-0000-000034000000}"/>
    <cellStyle name="Percent 2" xfId="53" xr:uid="{00000000-0005-0000-0000-000035000000}"/>
    <cellStyle name="Percent 3 2" xfId="54" xr:uid="{00000000-0005-0000-0000-000036000000}"/>
    <cellStyle name="Percent 4" xfId="55" xr:uid="{00000000-0005-0000-0000-000037000000}"/>
    <cellStyle name="Title 2" xfId="56" xr:uid="{00000000-0005-0000-0000-000038000000}"/>
    <cellStyle name="Total 2" xfId="57" xr:uid="{00000000-0005-0000-0000-000039000000}"/>
    <cellStyle name="Warning Text 2" xfId="58" xr:uid="{00000000-0005-0000-0000-00003A000000}"/>
  </cellStyles>
  <dxfs count="58"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rgb="FF000000"/>
          <bgColor rgb="FFFFFFFF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left style="medium">
          <color rgb="FF000000"/>
        </left>
        <right style="thin">
          <color rgb="FF000000"/>
        </right>
        <top style="medium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rgb="FF000000"/>
          <bgColor rgb="FFFFFFFF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164" formatCode="0.00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border outline="0">
        <left style="medium">
          <color rgb="FF000000"/>
        </left>
        <right style="thin">
          <color rgb="FF000000"/>
        </right>
        <top style="medium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</dxf>
    <dxf>
      <numFmt numFmtId="4" formatCode="#,##0.00"/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Remaining installed nuclear capacity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ShutdownCurve!$C$2</c:f>
              <c:strCache>
                <c:ptCount val="1"/>
                <c:pt idx="0">
                  <c:v>Remaining Capacity
(40 yrs scenario)</c:v>
                </c:pt>
              </c:strCache>
            </c:strRef>
          </c:tx>
          <c:marker>
            <c:symbol val="none"/>
          </c:marker>
          <c:val>
            <c:numRef>
              <c:f>ShutdownCurve!$C$3:$C$43</c:f>
              <c:numCache>
                <c:formatCode>#,##0.00</c:formatCode>
                <c:ptCount val="41"/>
                <c:pt idx="0">
                  <c:v>134.45500000000007</c:v>
                </c:pt>
                <c:pt idx="1">
                  <c:v>134.45500000000007</c:v>
                </c:pt>
                <c:pt idx="2">
                  <c:v>125.67299999999997</c:v>
                </c:pt>
                <c:pt idx="3">
                  <c:v>124.96599999999998</c:v>
                </c:pt>
                <c:pt idx="4">
                  <c:v>124.83599999999998</c:v>
                </c:pt>
                <c:pt idx="5">
                  <c:v>124.83599999999998</c:v>
                </c:pt>
                <c:pt idx="6">
                  <c:v>123.07099999999996</c:v>
                </c:pt>
                <c:pt idx="7">
                  <c:v>123.07099999999996</c:v>
                </c:pt>
                <c:pt idx="8">
                  <c:v>119.53099999999996</c:v>
                </c:pt>
                <c:pt idx="9">
                  <c:v>116.35799999999999</c:v>
                </c:pt>
                <c:pt idx="10">
                  <c:v>110.11799999999997</c:v>
                </c:pt>
                <c:pt idx="11">
                  <c:v>97.972999999999971</c:v>
                </c:pt>
                <c:pt idx="12">
                  <c:v>84.60599999999998</c:v>
                </c:pt>
                <c:pt idx="13">
                  <c:v>75.311999999999983</c:v>
                </c:pt>
                <c:pt idx="14">
                  <c:v>65.495999999999995</c:v>
                </c:pt>
                <c:pt idx="15">
                  <c:v>57.230000000000011</c:v>
                </c:pt>
                <c:pt idx="16">
                  <c:v>42.841000000000001</c:v>
                </c:pt>
                <c:pt idx="17">
                  <c:v>35.228999999999999</c:v>
                </c:pt>
                <c:pt idx="18">
                  <c:v>27.461999999999993</c:v>
                </c:pt>
                <c:pt idx="19">
                  <c:v>22.798999999999996</c:v>
                </c:pt>
                <c:pt idx="20">
                  <c:v>21.813999999999997</c:v>
                </c:pt>
                <c:pt idx="21">
                  <c:v>17.874000000000002</c:v>
                </c:pt>
                <c:pt idx="22">
                  <c:v>15.621</c:v>
                </c:pt>
                <c:pt idx="23">
                  <c:v>14.291</c:v>
                </c:pt>
                <c:pt idx="24">
                  <c:v>12.981</c:v>
                </c:pt>
                <c:pt idx="25">
                  <c:v>11.279000000000002</c:v>
                </c:pt>
                <c:pt idx="26">
                  <c:v>10.088000000000001</c:v>
                </c:pt>
                <c:pt idx="27">
                  <c:v>7.9380000000000006</c:v>
                </c:pt>
                <c:pt idx="28">
                  <c:v>4.9430000000000005</c:v>
                </c:pt>
                <c:pt idx="29">
                  <c:v>4.5070000000000006</c:v>
                </c:pt>
                <c:pt idx="30">
                  <c:v>2.5760000000000001</c:v>
                </c:pt>
                <c:pt idx="31">
                  <c:v>1.613</c:v>
                </c:pt>
                <c:pt idx="32">
                  <c:v>1.613</c:v>
                </c:pt>
                <c:pt idx="33">
                  <c:v>0.65</c:v>
                </c:pt>
                <c:pt idx="34">
                  <c:v>0.65</c:v>
                </c:pt>
                <c:pt idx="35">
                  <c:v>0.65</c:v>
                </c:pt>
                <c:pt idx="36">
                  <c:v>0.65</c:v>
                </c:pt>
                <c:pt idx="37">
                  <c:v>0.65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18-40C0-A9A3-DC15D9D7A7A7}"/>
            </c:ext>
          </c:extLst>
        </c:ser>
        <c:ser>
          <c:idx val="2"/>
          <c:order val="1"/>
          <c:tx>
            <c:strRef>
              <c:f>ShutdownCurve!$D$2</c:f>
              <c:strCache>
                <c:ptCount val="1"/>
                <c:pt idx="0">
                  <c:v>Remaining Capacity
(50 yrs scenario)</c:v>
                </c:pt>
              </c:strCache>
            </c:strRef>
          </c:tx>
          <c:marker>
            <c:symbol val="none"/>
          </c:marker>
          <c:cat>
            <c:numRef>
              <c:f>ShutdownCurve!$B$3:$B$43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ShutdownCurve!$D$3:$D$43</c:f>
              <c:numCache>
                <c:formatCode>#,##0.00</c:formatCode>
                <c:ptCount val="41"/>
                <c:pt idx="0">
                  <c:v>134.45500000000007</c:v>
                </c:pt>
                <c:pt idx="1">
                  <c:v>134.45500000000007</c:v>
                </c:pt>
                <c:pt idx="2">
                  <c:v>126.11899999999997</c:v>
                </c:pt>
                <c:pt idx="3">
                  <c:v>125.41199999999998</c:v>
                </c:pt>
                <c:pt idx="4">
                  <c:v>125.41199999999998</c:v>
                </c:pt>
                <c:pt idx="5">
                  <c:v>125.41199999999998</c:v>
                </c:pt>
                <c:pt idx="6">
                  <c:v>123.64699999999998</c:v>
                </c:pt>
                <c:pt idx="7">
                  <c:v>123.64699999999998</c:v>
                </c:pt>
                <c:pt idx="8">
                  <c:v>120.60299999999997</c:v>
                </c:pt>
                <c:pt idx="9">
                  <c:v>120.12999999999998</c:v>
                </c:pt>
                <c:pt idx="10">
                  <c:v>115.64999999999998</c:v>
                </c:pt>
                <c:pt idx="11">
                  <c:v>113.26899999999998</c:v>
                </c:pt>
                <c:pt idx="12">
                  <c:v>108.39999999999998</c:v>
                </c:pt>
                <c:pt idx="13">
                  <c:v>102.33099999999999</c:v>
                </c:pt>
                <c:pt idx="14">
                  <c:v>98.030999999999992</c:v>
                </c:pt>
                <c:pt idx="15">
                  <c:v>98.030999999999992</c:v>
                </c:pt>
                <c:pt idx="16">
                  <c:v>94.118000000000009</c:v>
                </c:pt>
                <c:pt idx="17">
                  <c:v>94.118000000000009</c:v>
                </c:pt>
                <c:pt idx="18">
                  <c:v>93.622</c:v>
                </c:pt>
                <c:pt idx="19">
                  <c:v>89.882000000000019</c:v>
                </c:pt>
                <c:pt idx="20">
                  <c:v>87.137000000000015</c:v>
                </c:pt>
                <c:pt idx="21">
                  <c:v>77.373000000000005</c:v>
                </c:pt>
                <c:pt idx="22">
                  <c:v>68.428999999999988</c:v>
                </c:pt>
                <c:pt idx="23">
                  <c:v>65.203999999999994</c:v>
                </c:pt>
                <c:pt idx="24">
                  <c:v>59.557999999999993</c:v>
                </c:pt>
                <c:pt idx="25">
                  <c:v>49.589999999999996</c:v>
                </c:pt>
                <c:pt idx="26">
                  <c:v>37.922999999999995</c:v>
                </c:pt>
                <c:pt idx="27">
                  <c:v>30.310999999999993</c:v>
                </c:pt>
                <c:pt idx="28">
                  <c:v>22.543999999999997</c:v>
                </c:pt>
                <c:pt idx="29">
                  <c:v>18.920999999999999</c:v>
                </c:pt>
                <c:pt idx="30">
                  <c:v>18.920999999999999</c:v>
                </c:pt>
                <c:pt idx="31">
                  <c:v>14.981000000000002</c:v>
                </c:pt>
                <c:pt idx="32">
                  <c:v>12.728000000000002</c:v>
                </c:pt>
                <c:pt idx="33">
                  <c:v>11.398000000000001</c:v>
                </c:pt>
                <c:pt idx="34">
                  <c:v>10.088000000000001</c:v>
                </c:pt>
                <c:pt idx="35">
                  <c:v>10.088000000000001</c:v>
                </c:pt>
                <c:pt idx="36">
                  <c:v>10.088000000000001</c:v>
                </c:pt>
                <c:pt idx="37">
                  <c:v>7.9380000000000006</c:v>
                </c:pt>
                <c:pt idx="38">
                  <c:v>4.9430000000000005</c:v>
                </c:pt>
                <c:pt idx="39">
                  <c:v>4.5070000000000006</c:v>
                </c:pt>
                <c:pt idx="40">
                  <c:v>2.5760000000000001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18-40C0-A9A3-DC15D9D7A7A7}"/>
            </c:ext>
          </c:extLst>
        </c:ser>
        <c:ser>
          <c:idx val="3"/>
          <c:order val="2"/>
          <c:tx>
            <c:strRef>
              <c:f>ShutdownCurve!$E$2</c:f>
              <c:strCache>
                <c:ptCount val="1"/>
                <c:pt idx="0">
                  <c:v>Remaining Capacity
(60 yrs scenario)</c:v>
                </c:pt>
              </c:strCache>
            </c:strRef>
          </c:tx>
          <c:marker>
            <c:symbol val="none"/>
          </c:marker>
          <c:cat>
            <c:numRef>
              <c:f>ShutdownCurve!$B$3:$B$43</c:f>
              <c:numCache>
                <c:formatCode>General</c:formatCode>
                <c:ptCount val="4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</c:numCache>
            </c:numRef>
          </c:cat>
          <c:val>
            <c:numRef>
              <c:f>ShutdownCurve!$E$3:$E$43</c:f>
              <c:numCache>
                <c:formatCode>#,##0.00</c:formatCode>
                <c:ptCount val="41"/>
                <c:pt idx="0">
                  <c:v>134.45500000000007</c:v>
                </c:pt>
                <c:pt idx="1">
                  <c:v>134.45500000000007</c:v>
                </c:pt>
                <c:pt idx="2">
                  <c:v>126.11899999999997</c:v>
                </c:pt>
                <c:pt idx="3">
                  <c:v>125.41199999999998</c:v>
                </c:pt>
                <c:pt idx="4">
                  <c:v>125.41199999999998</c:v>
                </c:pt>
                <c:pt idx="5">
                  <c:v>125.41199999999998</c:v>
                </c:pt>
                <c:pt idx="6">
                  <c:v>123.64699999999998</c:v>
                </c:pt>
                <c:pt idx="7">
                  <c:v>123.64699999999998</c:v>
                </c:pt>
                <c:pt idx="8">
                  <c:v>120.60299999999997</c:v>
                </c:pt>
                <c:pt idx="9">
                  <c:v>120.12999999999998</c:v>
                </c:pt>
                <c:pt idx="10">
                  <c:v>115.64999999999998</c:v>
                </c:pt>
                <c:pt idx="11">
                  <c:v>113.26899999999998</c:v>
                </c:pt>
                <c:pt idx="12">
                  <c:v>108.84599999999998</c:v>
                </c:pt>
                <c:pt idx="13">
                  <c:v>102.77699999999999</c:v>
                </c:pt>
                <c:pt idx="14">
                  <c:v>98.606999999999985</c:v>
                </c:pt>
                <c:pt idx="15">
                  <c:v>98.606999999999985</c:v>
                </c:pt>
                <c:pt idx="16">
                  <c:v>94.694000000000003</c:v>
                </c:pt>
                <c:pt idx="17">
                  <c:v>94.694000000000003</c:v>
                </c:pt>
                <c:pt idx="18">
                  <c:v>94.694000000000003</c:v>
                </c:pt>
                <c:pt idx="19">
                  <c:v>93.654000000000011</c:v>
                </c:pt>
                <c:pt idx="20">
                  <c:v>92.668999999999997</c:v>
                </c:pt>
                <c:pt idx="21">
                  <c:v>92.668999999999997</c:v>
                </c:pt>
                <c:pt idx="22">
                  <c:v>92.222999999999999</c:v>
                </c:pt>
                <c:pt idx="23">
                  <c:v>92.222999999999999</c:v>
                </c:pt>
                <c:pt idx="24">
                  <c:v>92.093000000000004</c:v>
                </c:pt>
                <c:pt idx="25">
                  <c:v>90.391000000000005</c:v>
                </c:pt>
                <c:pt idx="26">
                  <c:v>89.2</c:v>
                </c:pt>
                <c:pt idx="27">
                  <c:v>89.2</c:v>
                </c:pt>
                <c:pt idx="28">
                  <c:v>88.704000000000022</c:v>
                </c:pt>
                <c:pt idx="29">
                  <c:v>86.004000000000005</c:v>
                </c:pt>
                <c:pt idx="30">
                  <c:v>84.244000000000014</c:v>
                </c:pt>
                <c:pt idx="31">
                  <c:v>74.48</c:v>
                </c:pt>
                <c:pt idx="32">
                  <c:v>65.535999999999987</c:v>
                </c:pt>
                <c:pt idx="33">
                  <c:v>62.310999999999993</c:v>
                </c:pt>
                <c:pt idx="34">
                  <c:v>56.664999999999992</c:v>
                </c:pt>
                <c:pt idx="35">
                  <c:v>48.398999999999994</c:v>
                </c:pt>
                <c:pt idx="36">
                  <c:v>37.922999999999995</c:v>
                </c:pt>
                <c:pt idx="37">
                  <c:v>30.310999999999993</c:v>
                </c:pt>
                <c:pt idx="38">
                  <c:v>22.543999999999997</c:v>
                </c:pt>
                <c:pt idx="39">
                  <c:v>18.920999999999999</c:v>
                </c:pt>
                <c:pt idx="40">
                  <c:v>18.920999999999999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18-40C0-A9A3-DC15D9D7A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477760"/>
        <c:axId val="117479296"/>
      </c:lineChart>
      <c:catAx>
        <c:axId val="117477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7479296"/>
        <c:crosses val="autoZero"/>
        <c:auto val="1"/>
        <c:lblAlgn val="ctr"/>
        <c:lblOffset val="100"/>
        <c:tickLblSkip val="5"/>
        <c:noMultiLvlLbl val="0"/>
      </c:catAx>
      <c:valAx>
        <c:axId val="117479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GB"/>
                  <a:t>[GW]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1747776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B2:E43" totalsRowShown="0" headerRowDxfId="57">
  <autoFilter ref="B2:E43" xr:uid="{00000000-0009-0000-0100-000003000000}"/>
  <tableColumns count="4">
    <tableColumn id="1" xr3:uid="{00000000-0010-0000-0000-000001000000}" name="Year"/>
    <tableColumn id="2" xr3:uid="{00000000-0010-0000-0000-000002000000}" name="Remaining Capacity_x000a_(40 yrs scenario)" dataDxfId="56">
      <calculatedColumnFormula>SUMIF(Table157[End of life],"&gt;="&amp;Table3[[#This Row],[Year]],Table157[Existing capacity
GW])</calculatedColumnFormula>
    </tableColumn>
    <tableColumn id="3" xr3:uid="{00000000-0010-0000-0000-000003000000}" name="Remaining Capacity_x000a_(50 yrs scenario)" dataDxfId="55">
      <calculatedColumnFormula>SUMIF(Table15[End of life],"&gt;="&amp;Table3[[#This Row],[Year]],Table15[Existing capacity
GW])</calculatedColumnFormula>
    </tableColumn>
    <tableColumn id="4" xr3:uid="{00000000-0010-0000-0000-000004000000}" name="Remaining Capacity_x000a_(60 yrs scenario)" dataDxfId="54">
      <calculatedColumnFormula>SUMIF(Table1[End of life],"&gt;="&amp;Table3[[#This Row],[Year]],Table1[Existing capacity
GW])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157" displayName="Table157" ref="C1:M155" totalsRowShown="0" headerRowDxfId="53" dataDxfId="51" headerRowBorderDxfId="52" tableBorderDxfId="50">
  <autoFilter ref="C1:M155" xr:uid="{00000000-0009-0000-0100-000006000000}"/>
  <tableColumns count="11">
    <tableColumn id="1" xr3:uid="{00000000-0010-0000-0100-000001000000}" name="Member State" dataDxfId="49"/>
    <tableColumn id="2" xr3:uid="{00000000-0010-0000-0100-000002000000}" name="Process" dataDxfId="48"/>
    <tableColumn id="3" xr3:uid="{00000000-0010-0000-0100-000003000000}" name="Start year" dataDxfId="47"/>
    <tableColumn id="4" xr3:uid="{00000000-0010-0000-0100-000004000000}" name="Efficiency_x000a_PJ/tU" dataDxfId="46"/>
    <tableColumn id="10" xr3:uid="{00000000-0010-0000-0100-00000A000000}" name="Lifetime Option" dataDxfId="45"/>
    <tableColumn id="5" xr3:uid="{00000000-0010-0000-0100-000005000000}" name="Tlife_x000a_yrs" dataDxfId="44">
      <calculatedColumnFormula>IF(Table157[[#This Row],[Lifetime Option]]="fixed",Table157[[#This Row],[End of life (fixed)]]-Table157[[#This Row],[Start year]],Table268[Generic  Lifetime])</calculatedColumnFormula>
    </tableColumn>
    <tableColumn id="6" xr3:uid="{00000000-0010-0000-0100-000006000000}" name="End of life (fixed)" dataDxfId="43"/>
    <tableColumn id="12" xr3:uid="{00000000-0010-0000-0100-00000C000000}" name="End of life" dataDxfId="42">
      <calculatedColumnFormula>IF(Table157[[#This Row],[Lifetime Option]]="fixed",Table157[[#This Row],[End of life (fixed)]],Table157[[#This Row],[Start year]]+Table268[Generic  Lifetime])</calculatedColumnFormula>
    </tableColumn>
    <tableColumn id="7" xr3:uid="{00000000-0010-0000-0100-000007000000}" name="Existing capacity_x000a_GW" dataDxfId="41"/>
    <tableColumn id="8" xr3:uid="{00000000-0010-0000-0100-000008000000}" name="Comments" dataDxfId="40"/>
    <tableColumn id="9" xr3:uid="{00000000-0010-0000-0100-000009000000}" name="Source" dataDxfId="39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e268" displayName="Table268" ref="A1:A2" totalsRowShown="0" headerRowDxfId="38" dataDxfId="37">
  <autoFilter ref="A1:A2" xr:uid="{00000000-0009-0000-0100-000007000000}"/>
  <tableColumns count="1">
    <tableColumn id="1" xr3:uid="{00000000-0010-0000-0200-000001000000}" name="Generic  Lifetime" dataDxfId="36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5" displayName="Table15" ref="C1:M155" totalsRowShown="0" headerRowDxfId="35" dataDxfId="33" headerRowBorderDxfId="34" tableBorderDxfId="32">
  <autoFilter ref="C1:M155" xr:uid="{00000000-0009-0000-0100-000004000000}"/>
  <tableColumns count="11">
    <tableColumn id="1" xr3:uid="{00000000-0010-0000-0300-000001000000}" name="Member State" dataDxfId="31"/>
    <tableColumn id="2" xr3:uid="{00000000-0010-0000-0300-000002000000}" name="Process" dataDxfId="30"/>
    <tableColumn id="3" xr3:uid="{00000000-0010-0000-0300-000003000000}" name="Start year" dataDxfId="29"/>
    <tableColumn id="4" xr3:uid="{00000000-0010-0000-0300-000004000000}" name="Efficiency_x000a_PJ/tU" dataDxfId="28"/>
    <tableColumn id="10" xr3:uid="{00000000-0010-0000-0300-00000A000000}" name="Lifetime Option" dataDxfId="27"/>
    <tableColumn id="5" xr3:uid="{00000000-0010-0000-0300-000005000000}" name="Tlife_x000a_yrs" dataDxfId="26">
      <calculatedColumnFormula>IF(Table15[[#This Row],[Lifetime Option]]="fixed",Table15[[#This Row],[End of life (fixed)]]-Table15[[#This Row],[Start year]],Table26[Generic  Lifetime])</calculatedColumnFormula>
    </tableColumn>
    <tableColumn id="6" xr3:uid="{00000000-0010-0000-0300-000006000000}" name="End of life (fixed)" dataDxfId="25"/>
    <tableColumn id="12" xr3:uid="{00000000-0010-0000-0300-00000C000000}" name="End of life" dataDxfId="24">
      <calculatedColumnFormula>IF(Table15[[#This Row],[Lifetime Option]]="fixed",Table15[[#This Row],[End of life (fixed)]],Table15[[#This Row],[Start year]]+Table26[Generic  Lifetime])</calculatedColumnFormula>
    </tableColumn>
    <tableColumn id="7" xr3:uid="{00000000-0010-0000-0300-000007000000}" name="Existing capacity_x000a_GW" dataDxfId="23"/>
    <tableColumn id="8" xr3:uid="{00000000-0010-0000-0300-000008000000}" name="Comments" dataDxfId="22"/>
    <tableColumn id="9" xr3:uid="{00000000-0010-0000-0300-000009000000}" name="Source" dataDxfId="21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26" displayName="Table26" ref="A1:A2" totalsRowShown="0" headerRowDxfId="20" dataDxfId="19">
  <autoFilter ref="A1:A2" xr:uid="{00000000-0009-0000-0100-000005000000}"/>
  <tableColumns count="1">
    <tableColumn id="1" xr3:uid="{00000000-0010-0000-0400-000001000000}" name="Generic  Lifetime" dataDxfId="18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able1" displayName="Table1" ref="C1:M155" totalsRowShown="0" headerRowDxfId="17" dataDxfId="15" headerRowBorderDxfId="16" tableBorderDxfId="14">
  <autoFilter ref="C1:M155" xr:uid="{00000000-0009-0000-0100-000001000000}"/>
  <tableColumns count="11">
    <tableColumn id="1" xr3:uid="{00000000-0010-0000-0500-000001000000}" name="Member State" dataDxfId="13"/>
    <tableColumn id="2" xr3:uid="{00000000-0010-0000-0500-000002000000}" name="Process" dataDxfId="12"/>
    <tableColumn id="3" xr3:uid="{00000000-0010-0000-0500-000003000000}" name="Start year" dataDxfId="11"/>
    <tableColumn id="4" xr3:uid="{00000000-0010-0000-0500-000004000000}" name="Efficiency_x000a_PJ/tU" dataDxfId="10"/>
    <tableColumn id="10" xr3:uid="{00000000-0010-0000-0500-00000A000000}" name="Lifetime Option" dataDxfId="9"/>
    <tableColumn id="5" xr3:uid="{00000000-0010-0000-0500-000005000000}" name="Tlife_x000a_yrs" dataDxfId="8">
      <calculatedColumnFormula>IF(Table1[[#This Row],[Lifetime Option]]="fixed",Table1[[#This Row],[End of life (fixed)]]-Table1[[#This Row],[Start year]],Table2[Generic  Lifetime])</calculatedColumnFormula>
    </tableColumn>
    <tableColumn id="6" xr3:uid="{00000000-0010-0000-0500-000006000000}" name="End of life (fixed)" dataDxfId="7"/>
    <tableColumn id="12" xr3:uid="{00000000-0010-0000-0500-00000C000000}" name="End of life" dataDxfId="6">
      <calculatedColumnFormula>IF(Table1[[#This Row],[Lifetime Option]]="fixed",Table1[[#This Row],[End of life (fixed)]],Table1[[#This Row],[Start year]]+Table2[Generic  Lifetime])</calculatedColumnFormula>
    </tableColumn>
    <tableColumn id="7" xr3:uid="{00000000-0010-0000-0500-000007000000}" name="Existing capacity_x000a_GW" dataDxfId="5"/>
    <tableColumn id="8" xr3:uid="{00000000-0010-0000-0500-000008000000}" name="Comments" dataDxfId="4"/>
    <tableColumn id="9" xr3:uid="{00000000-0010-0000-0500-000009000000}" name="Source" dataDxfId="3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able2" displayName="Table2" ref="A1:A2" totalsRowShown="0" headerRowDxfId="2" dataDxfId="1">
  <autoFilter ref="A1:A2" xr:uid="{00000000-0009-0000-0100-000002000000}"/>
  <tableColumns count="1">
    <tableColumn id="1" xr3:uid="{00000000-0010-0000-0600-000001000000}" name="Generic  Lifetim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orld-nuclear.org/info/Country-Profiles/Countries-A-F/Bulgaria/" TargetMode="External"/><Relationship Id="rId13" Type="http://schemas.openxmlformats.org/officeDocument/2006/relationships/hyperlink" Target="http://www.seas.sk/data/contentlink/cfakepathebofactsen-web.pdf" TargetMode="External"/><Relationship Id="rId18" Type="http://schemas.openxmlformats.org/officeDocument/2006/relationships/hyperlink" Target="http://corporate.vattenfall.se/press-och-media/engelska/vattenfall-changes-direction-for-operational-lifetimes-of-ringhals-1-and-2/" TargetMode="External"/><Relationship Id="rId26" Type="http://schemas.openxmlformats.org/officeDocument/2006/relationships/comments" Target="../comments1.xml"/><Relationship Id="rId3" Type="http://schemas.openxmlformats.org/officeDocument/2006/relationships/hyperlink" Target="http://www.fanc.fgov.be/nl/news/doel-3/tihange-2-next-steps-of-the-review-process/766.aspx" TargetMode="External"/><Relationship Id="rId21" Type="http://schemas.openxmlformats.org/officeDocument/2006/relationships/hyperlink" Target="http://www.world-nuclear.org/info/Country-Profiles/Countries-O-S/Switzerland/" TargetMode="External"/><Relationship Id="rId7" Type="http://schemas.openxmlformats.org/officeDocument/2006/relationships/hyperlink" Target="http://www.world-nuclear.org/info/Country-Profiles/Countries-A-F/Bulgaria/" TargetMode="External"/><Relationship Id="rId12" Type="http://schemas.openxmlformats.org/officeDocument/2006/relationships/hyperlink" Target="http://corporate.vattenfall.se/press-och-media/engelska/vattenfall-changes-direction-for-operational-lifetimes-of-ringhals-1-and-2/" TargetMode="External"/><Relationship Id="rId17" Type="http://schemas.openxmlformats.org/officeDocument/2006/relationships/hyperlink" Target="https://www.iaea.org/PRIS/CountryStatistics/ReactorDetails.aspx?current=237" TargetMode="External"/><Relationship Id="rId25" Type="http://schemas.openxmlformats.org/officeDocument/2006/relationships/table" Target="../tables/table3.xml"/><Relationship Id="rId2" Type="http://schemas.openxmlformats.org/officeDocument/2006/relationships/hyperlink" Target="http://www.engie.com/en/journalists/press-releases/agreement-conditions-extending-doel-1-doel-2-new-nuclear-contribution-system/" TargetMode="External"/><Relationship Id="rId16" Type="http://schemas.openxmlformats.org/officeDocument/2006/relationships/hyperlink" Target="http://www.edfenergy.com/energy/power-stations/dungeness-b" TargetMode="External"/><Relationship Id="rId20" Type="http://schemas.openxmlformats.org/officeDocument/2006/relationships/hyperlink" Target="http://www.world-nuclear.org/info/Country-Profiles/Countries-O-S/Switzerland/" TargetMode="External"/><Relationship Id="rId1" Type="http://schemas.openxmlformats.org/officeDocument/2006/relationships/hyperlink" Target="http://www.engie.com/en/journalists/press-releases/agreement-conditions-extending-doel-1-doel-2-new-nuclear-contribution-system/" TargetMode="External"/><Relationship Id="rId6" Type="http://schemas.openxmlformats.org/officeDocument/2006/relationships/hyperlink" Target="http://www.world-nuclear-news.org/C-EOn-supports-early-closure-of-Oskarshamn-units-2306154.html" TargetMode="External"/><Relationship Id="rId11" Type="http://schemas.openxmlformats.org/officeDocument/2006/relationships/hyperlink" Target="http://corporate.vattenfall.se/press-och-media/engelska/vattenfall-changes-direction-for-operational-lifetimes-of-ringhals-1-and-2/" TargetMode="External"/><Relationship Id="rId24" Type="http://schemas.openxmlformats.org/officeDocument/2006/relationships/table" Target="../tables/table2.xml"/><Relationship Id="rId5" Type="http://schemas.openxmlformats.org/officeDocument/2006/relationships/hyperlink" Target="http://economie.fgov.be/fr/consommateurs/Energie/Nucleaire/centrales_nucleaires/sortie_nucleaire/" TargetMode="External"/><Relationship Id="rId15" Type="http://schemas.openxmlformats.org/officeDocument/2006/relationships/hyperlink" Target="https://www.iaea.org/NuclearPower/Downloadable/Meetings/2013/2013-11-05-11-08-TM-NPE/10.Skodlar_Slovenia.pdf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http://www.oecd-nea.org/ndd/pubs/2014/7197-bb-2014.pdf" TargetMode="External"/><Relationship Id="rId19" Type="http://schemas.openxmlformats.org/officeDocument/2006/relationships/hyperlink" Target="http://corporate.vattenfall.se/press-och-media/engelska/vattenfall-changes-direction-for-operational-lifetimes-of-ringhals-1-and-2/" TargetMode="External"/><Relationship Id="rId4" Type="http://schemas.openxmlformats.org/officeDocument/2006/relationships/hyperlink" Target="http://www.fanc.fgov.be/nl/news/doel-3/tihange-2-next-steps-of-the-review-process/766.aspx" TargetMode="External"/><Relationship Id="rId9" Type="http://schemas.openxmlformats.org/officeDocument/2006/relationships/hyperlink" Target="http://www.developpement-durable.gouv.fr/Renforcer-la-surete-nucleaire-et-l,41397.html" TargetMode="External"/><Relationship Id="rId14" Type="http://schemas.openxmlformats.org/officeDocument/2006/relationships/hyperlink" Target="http://www.seas.sk/data/contentlink/cfakepathebofactsen-web.pdf" TargetMode="External"/><Relationship Id="rId22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orld-nuclear.org/info/Country-Profiles/Countries-A-F/Bulgaria/" TargetMode="External"/><Relationship Id="rId13" Type="http://schemas.openxmlformats.org/officeDocument/2006/relationships/hyperlink" Target="http://www.seas.sk/data/contentlink/cfakepathebofactsen-web.pdf" TargetMode="External"/><Relationship Id="rId18" Type="http://schemas.openxmlformats.org/officeDocument/2006/relationships/hyperlink" Target="http://corporate.vattenfall.se/press-och-media/engelska/vattenfall-changes-direction-for-operational-lifetimes-of-ringhals-1-and-2/" TargetMode="External"/><Relationship Id="rId26" Type="http://schemas.openxmlformats.org/officeDocument/2006/relationships/comments" Target="../comments2.xml"/><Relationship Id="rId3" Type="http://schemas.openxmlformats.org/officeDocument/2006/relationships/hyperlink" Target="http://www.fanc.fgov.be/nl/news/doel-3/tihange-2-next-steps-of-the-review-process/766.aspx" TargetMode="External"/><Relationship Id="rId21" Type="http://schemas.openxmlformats.org/officeDocument/2006/relationships/hyperlink" Target="http://www.world-nuclear.org/info/Country-Profiles/Countries-O-S/Switzerland/" TargetMode="External"/><Relationship Id="rId7" Type="http://schemas.openxmlformats.org/officeDocument/2006/relationships/hyperlink" Target="http://www.world-nuclear.org/info/Country-Profiles/Countries-A-F/Bulgaria/" TargetMode="External"/><Relationship Id="rId12" Type="http://schemas.openxmlformats.org/officeDocument/2006/relationships/hyperlink" Target="http://corporate.vattenfall.se/press-och-media/engelska/vattenfall-changes-direction-for-operational-lifetimes-of-ringhals-1-and-2/" TargetMode="External"/><Relationship Id="rId17" Type="http://schemas.openxmlformats.org/officeDocument/2006/relationships/hyperlink" Target="https://www.iaea.org/PRIS/CountryStatistics/ReactorDetails.aspx?current=237" TargetMode="External"/><Relationship Id="rId25" Type="http://schemas.openxmlformats.org/officeDocument/2006/relationships/table" Target="../tables/table5.xml"/><Relationship Id="rId2" Type="http://schemas.openxmlformats.org/officeDocument/2006/relationships/hyperlink" Target="http://www.engie.com/en/journalists/press-releases/agreement-conditions-extending-doel-1-doel-2-new-nuclear-contribution-system/" TargetMode="External"/><Relationship Id="rId16" Type="http://schemas.openxmlformats.org/officeDocument/2006/relationships/hyperlink" Target="http://www.edfenergy.com/energy/power-stations/dungeness-b" TargetMode="External"/><Relationship Id="rId20" Type="http://schemas.openxmlformats.org/officeDocument/2006/relationships/hyperlink" Target="http://www.world-nuclear.org/info/Country-Profiles/Countries-O-S/Switzerland/" TargetMode="External"/><Relationship Id="rId1" Type="http://schemas.openxmlformats.org/officeDocument/2006/relationships/hyperlink" Target="http://www.engie.com/en/journalists/press-releases/agreement-conditions-extending-doel-1-doel-2-new-nuclear-contribution-system/" TargetMode="External"/><Relationship Id="rId6" Type="http://schemas.openxmlformats.org/officeDocument/2006/relationships/hyperlink" Target="http://www.world-nuclear-news.org/C-EOn-supports-early-closure-of-Oskarshamn-units-2306154.html" TargetMode="External"/><Relationship Id="rId11" Type="http://schemas.openxmlformats.org/officeDocument/2006/relationships/hyperlink" Target="http://corporate.vattenfall.se/press-och-media/engelska/vattenfall-changes-direction-for-operational-lifetimes-of-ringhals-1-and-2/" TargetMode="External"/><Relationship Id="rId24" Type="http://schemas.openxmlformats.org/officeDocument/2006/relationships/table" Target="../tables/table4.xml"/><Relationship Id="rId5" Type="http://schemas.openxmlformats.org/officeDocument/2006/relationships/hyperlink" Target="http://economie.fgov.be/fr/consommateurs/Energie/Nucleaire/centrales_nucleaires/sortie_nucleaire/" TargetMode="External"/><Relationship Id="rId15" Type="http://schemas.openxmlformats.org/officeDocument/2006/relationships/hyperlink" Target="https://www.iaea.org/NuclearPower/Downloadable/Meetings/2013/2013-11-05-11-08-TM-NPE/10.Skodlar_Slovenia.pdf" TargetMode="External"/><Relationship Id="rId23" Type="http://schemas.openxmlformats.org/officeDocument/2006/relationships/vmlDrawing" Target="../drawings/vmlDrawing2.vml"/><Relationship Id="rId10" Type="http://schemas.openxmlformats.org/officeDocument/2006/relationships/hyperlink" Target="http://www.oecd-nea.org/ndd/pubs/2014/7197-bb-2014.pdf" TargetMode="External"/><Relationship Id="rId19" Type="http://schemas.openxmlformats.org/officeDocument/2006/relationships/hyperlink" Target="http://corporate.vattenfall.se/press-och-media/engelska/vattenfall-changes-direction-for-operational-lifetimes-of-ringhals-1-and-2/" TargetMode="External"/><Relationship Id="rId4" Type="http://schemas.openxmlformats.org/officeDocument/2006/relationships/hyperlink" Target="http://www.fanc.fgov.be/nl/news/doel-3/tihange-2-next-steps-of-the-review-process/766.aspx" TargetMode="External"/><Relationship Id="rId9" Type="http://schemas.openxmlformats.org/officeDocument/2006/relationships/hyperlink" Target="http://www.developpement-durable.gouv.fr/Renforcer-la-surete-nucleaire-et-l,41397.html" TargetMode="External"/><Relationship Id="rId14" Type="http://schemas.openxmlformats.org/officeDocument/2006/relationships/hyperlink" Target="http://www.seas.sk/data/contentlink/cfakepathebofactsen-web.pdf" TargetMode="External"/><Relationship Id="rId22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://www.world-nuclear.org/info/Country-Profiles/Countries-A-F/Bulgaria/" TargetMode="External"/><Relationship Id="rId13" Type="http://schemas.openxmlformats.org/officeDocument/2006/relationships/hyperlink" Target="http://www.seas.sk/data/contentlink/cfakepathebofactsen-web.pdf" TargetMode="External"/><Relationship Id="rId18" Type="http://schemas.openxmlformats.org/officeDocument/2006/relationships/hyperlink" Target="http://corporate.vattenfall.se/press-och-media/engelska/vattenfall-changes-direction-for-operational-lifetimes-of-ringhals-1-and-2/" TargetMode="External"/><Relationship Id="rId26" Type="http://schemas.openxmlformats.org/officeDocument/2006/relationships/comments" Target="../comments3.xml"/><Relationship Id="rId3" Type="http://schemas.openxmlformats.org/officeDocument/2006/relationships/hyperlink" Target="http://www.fanc.fgov.be/nl/news/doel-3/tihange-2-next-steps-of-the-review-process/766.aspx" TargetMode="External"/><Relationship Id="rId21" Type="http://schemas.openxmlformats.org/officeDocument/2006/relationships/hyperlink" Target="http://www.world-nuclear.org/info/Country-Profiles/Countries-O-S/Switzerland/" TargetMode="External"/><Relationship Id="rId7" Type="http://schemas.openxmlformats.org/officeDocument/2006/relationships/hyperlink" Target="http://www.world-nuclear.org/info/Country-Profiles/Countries-A-F/Bulgaria/" TargetMode="External"/><Relationship Id="rId12" Type="http://schemas.openxmlformats.org/officeDocument/2006/relationships/hyperlink" Target="http://corporate.vattenfall.se/press-och-media/engelska/vattenfall-changes-direction-for-operational-lifetimes-of-ringhals-1-and-2/" TargetMode="External"/><Relationship Id="rId17" Type="http://schemas.openxmlformats.org/officeDocument/2006/relationships/hyperlink" Target="https://www.iaea.org/PRIS/CountryStatistics/ReactorDetails.aspx?current=237" TargetMode="External"/><Relationship Id="rId25" Type="http://schemas.openxmlformats.org/officeDocument/2006/relationships/table" Target="../tables/table7.xml"/><Relationship Id="rId2" Type="http://schemas.openxmlformats.org/officeDocument/2006/relationships/hyperlink" Target="http://www.engie.com/en/journalists/press-releases/agreement-conditions-extending-doel-1-doel-2-new-nuclear-contribution-system/" TargetMode="External"/><Relationship Id="rId16" Type="http://schemas.openxmlformats.org/officeDocument/2006/relationships/hyperlink" Target="http://www.edfenergy.com/energy/power-stations/dungeness-b" TargetMode="External"/><Relationship Id="rId20" Type="http://schemas.openxmlformats.org/officeDocument/2006/relationships/hyperlink" Target="http://www.world-nuclear.org/info/Country-Profiles/Countries-O-S/Switzerland/" TargetMode="External"/><Relationship Id="rId1" Type="http://schemas.openxmlformats.org/officeDocument/2006/relationships/hyperlink" Target="http://www.engie.com/en/journalists/press-releases/agreement-conditions-extending-doel-1-doel-2-new-nuclear-contribution-system/" TargetMode="External"/><Relationship Id="rId6" Type="http://schemas.openxmlformats.org/officeDocument/2006/relationships/hyperlink" Target="http://www.world-nuclear-news.org/C-EOn-supports-early-closure-of-Oskarshamn-units-2306154.html" TargetMode="External"/><Relationship Id="rId11" Type="http://schemas.openxmlformats.org/officeDocument/2006/relationships/hyperlink" Target="http://corporate.vattenfall.se/press-och-media/engelska/vattenfall-changes-direction-for-operational-lifetimes-of-ringhals-1-and-2/" TargetMode="External"/><Relationship Id="rId24" Type="http://schemas.openxmlformats.org/officeDocument/2006/relationships/table" Target="../tables/table6.xml"/><Relationship Id="rId5" Type="http://schemas.openxmlformats.org/officeDocument/2006/relationships/hyperlink" Target="http://economie.fgov.be/fr/consommateurs/Energie/Nucleaire/centrales_nucleaires/sortie_nucleaire/" TargetMode="External"/><Relationship Id="rId15" Type="http://schemas.openxmlformats.org/officeDocument/2006/relationships/hyperlink" Target="https://www.iaea.org/NuclearPower/Downloadable/Meetings/2013/2013-11-05-11-08-TM-NPE/10.Skodlar_Slovenia.pdf" TargetMode="External"/><Relationship Id="rId23" Type="http://schemas.openxmlformats.org/officeDocument/2006/relationships/vmlDrawing" Target="../drawings/vmlDrawing3.vml"/><Relationship Id="rId10" Type="http://schemas.openxmlformats.org/officeDocument/2006/relationships/hyperlink" Target="http://www.oecd-nea.org/ndd/pubs/2014/7197-bb-2014.pdf" TargetMode="External"/><Relationship Id="rId19" Type="http://schemas.openxmlformats.org/officeDocument/2006/relationships/hyperlink" Target="http://corporate.vattenfall.se/press-och-media/engelska/vattenfall-changes-direction-for-operational-lifetimes-of-ringhals-1-and-2/" TargetMode="External"/><Relationship Id="rId4" Type="http://schemas.openxmlformats.org/officeDocument/2006/relationships/hyperlink" Target="http://www.fanc.fgov.be/nl/news/doel-3/tihange-2-next-steps-of-the-review-process/766.aspx" TargetMode="External"/><Relationship Id="rId9" Type="http://schemas.openxmlformats.org/officeDocument/2006/relationships/hyperlink" Target="http://www.developpement-durable.gouv.fr/Renforcer-la-surete-nucleaire-et-l,41397.html" TargetMode="External"/><Relationship Id="rId14" Type="http://schemas.openxmlformats.org/officeDocument/2006/relationships/hyperlink" Target="http://www.seas.sk/data/contentlink/cfakepathebofactsen-web.pdf" TargetMode="External"/><Relationship Id="rId22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6486E-3AB8-4196-9158-216B3B0349C7}">
  <dimension ref="A1:W134"/>
  <sheetViews>
    <sheetView zoomScale="80" zoomScaleNormal="80" workbookViewId="0">
      <selection activeCell="B37" sqref="B37"/>
    </sheetView>
  </sheetViews>
  <sheetFormatPr defaultRowHeight="15"/>
  <cols>
    <col min="2" max="2" width="10.140625" bestFit="1" customWidth="1"/>
    <col min="3" max="3" width="26.85546875" customWidth="1"/>
    <col min="4" max="4" width="8.7109375" bestFit="1" customWidth="1"/>
    <col min="5" max="5" width="7.85546875" customWidth="1"/>
    <col min="6" max="6" width="14.85546875" customWidth="1"/>
    <col min="7" max="7" width="12.42578125" customWidth="1"/>
    <col min="8" max="8" width="10.7109375" bestFit="1" customWidth="1"/>
    <col min="9" max="9" width="10.7109375" customWidth="1"/>
    <col min="10" max="10" width="17.28515625" bestFit="1" customWidth="1"/>
    <col min="11" max="38" width="10.7109375" customWidth="1"/>
    <col min="39" max="39" width="8.7109375" bestFit="1" customWidth="1"/>
    <col min="40" max="41" width="8.42578125" bestFit="1" customWidth="1"/>
    <col min="42" max="42" width="7.5703125" bestFit="1" customWidth="1"/>
    <col min="43" max="43" width="8.5703125" bestFit="1" customWidth="1"/>
    <col min="44" max="44" width="8.7109375" bestFit="1" customWidth="1"/>
    <col min="45" max="46" width="8.42578125" bestFit="1" customWidth="1"/>
  </cols>
  <sheetData>
    <row r="1" spans="1:18">
      <c r="A1" t="s">
        <v>301</v>
      </c>
    </row>
    <row r="5" spans="1:18">
      <c r="B5" s="14" t="s">
        <v>212</v>
      </c>
      <c r="I5" s="38"/>
      <c r="J5" s="39"/>
      <c r="K5" s="39"/>
      <c r="L5" s="39"/>
      <c r="M5" s="39"/>
      <c r="N5" s="39"/>
      <c r="O5" s="39"/>
      <c r="P5" s="39"/>
    </row>
    <row r="6" spans="1:18" ht="15.75" thickBot="1">
      <c r="B6" s="15" t="s">
        <v>282</v>
      </c>
      <c r="C6" s="15" t="s">
        <v>219</v>
      </c>
      <c r="D6" s="15" t="s">
        <v>213</v>
      </c>
      <c r="E6" s="15" t="s">
        <v>191</v>
      </c>
      <c r="F6" s="15" t="s">
        <v>302</v>
      </c>
      <c r="G6" s="15" t="s">
        <v>303</v>
      </c>
      <c r="H6" s="16" t="s">
        <v>214</v>
      </c>
      <c r="I6" s="17" t="s">
        <v>304</v>
      </c>
      <c r="J6" s="17" t="s">
        <v>215</v>
      </c>
      <c r="K6" s="17" t="s">
        <v>305</v>
      </c>
      <c r="L6" s="17" t="s">
        <v>306</v>
      </c>
      <c r="M6" s="17" t="s">
        <v>307</v>
      </c>
      <c r="N6" s="17" t="s">
        <v>308</v>
      </c>
      <c r="O6" s="17" t="s">
        <v>309</v>
      </c>
      <c r="P6" s="17" t="s">
        <v>310</v>
      </c>
    </row>
    <row r="7" spans="1:18">
      <c r="D7" t="s">
        <v>311</v>
      </c>
      <c r="H7" s="40" t="s">
        <v>312</v>
      </c>
      <c r="J7" s="40" t="str">
        <f t="shared" ref="J7:J65" si="0">C74</f>
        <v>ENFR_PHENIX_00</v>
      </c>
      <c r="R7" t="s">
        <v>313</v>
      </c>
    </row>
    <row r="8" spans="1:18">
      <c r="D8" t="s">
        <v>311</v>
      </c>
      <c r="H8" s="40" t="s">
        <v>312</v>
      </c>
      <c r="J8" s="40" t="str">
        <f t="shared" si="0"/>
        <v>ENFR_BELLEVILLE-1_00</v>
      </c>
    </row>
    <row r="9" spans="1:18">
      <c r="D9" t="s">
        <v>311</v>
      </c>
      <c r="H9" s="40" t="s">
        <v>312</v>
      </c>
      <c r="J9" s="40" t="str">
        <f t="shared" si="0"/>
        <v>ENFR_BELLEVILLE-2_00</v>
      </c>
    </row>
    <row r="10" spans="1:18">
      <c r="D10" t="s">
        <v>311</v>
      </c>
      <c r="H10" s="40" t="s">
        <v>312</v>
      </c>
      <c r="J10" s="40" t="str">
        <f t="shared" si="0"/>
        <v>ENFR_BLAYAIS-1_00</v>
      </c>
    </row>
    <row r="11" spans="1:18">
      <c r="D11" t="s">
        <v>311</v>
      </c>
      <c r="H11" s="40" t="s">
        <v>312</v>
      </c>
      <c r="J11" s="40" t="str">
        <f t="shared" si="0"/>
        <v>ENFR_BLAYAIS-2_00</v>
      </c>
    </row>
    <row r="12" spans="1:18">
      <c r="D12" t="s">
        <v>311</v>
      </c>
      <c r="H12" s="40" t="s">
        <v>312</v>
      </c>
      <c r="J12" s="40" t="str">
        <f t="shared" si="0"/>
        <v>ENFR_BLAYAIS-3_00</v>
      </c>
    </row>
    <row r="13" spans="1:18">
      <c r="D13" t="s">
        <v>311</v>
      </c>
      <c r="F13" s="41"/>
      <c r="G13" s="41"/>
      <c r="H13" s="40" t="s">
        <v>312</v>
      </c>
      <c r="J13" s="40" t="str">
        <f t="shared" si="0"/>
        <v>ENFR_BLAYAIS-4_00</v>
      </c>
    </row>
    <row r="14" spans="1:18">
      <c r="D14" t="s">
        <v>311</v>
      </c>
      <c r="F14" s="41"/>
      <c r="G14" s="41"/>
      <c r="H14" s="40" t="s">
        <v>312</v>
      </c>
      <c r="J14" s="40" t="str">
        <f t="shared" si="0"/>
        <v>ENFR_BUGEY-2_00_00</v>
      </c>
    </row>
    <row r="15" spans="1:18">
      <c r="D15" t="s">
        <v>311</v>
      </c>
      <c r="F15" s="41"/>
      <c r="G15" s="41"/>
      <c r="H15" s="40" t="s">
        <v>312</v>
      </c>
      <c r="J15" s="40" t="str">
        <f t="shared" si="0"/>
        <v>ENFR_BUGEY-3_00_00</v>
      </c>
    </row>
    <row r="16" spans="1:18">
      <c r="D16" t="s">
        <v>311</v>
      </c>
      <c r="F16" s="41"/>
      <c r="G16" s="41"/>
      <c r="H16" s="40" t="s">
        <v>312</v>
      </c>
      <c r="J16" s="40" t="str">
        <f t="shared" si="0"/>
        <v>ENFR_BUGEY-4_00_00</v>
      </c>
    </row>
    <row r="17" spans="4:10">
      <c r="D17" t="s">
        <v>311</v>
      </c>
      <c r="F17" s="41"/>
      <c r="G17" s="41"/>
      <c r="H17" s="40" t="s">
        <v>312</v>
      </c>
      <c r="J17" s="40" t="str">
        <f t="shared" si="0"/>
        <v>ENFR_BUGEY-5_00_00</v>
      </c>
    </row>
    <row r="18" spans="4:10">
      <c r="D18" t="s">
        <v>311</v>
      </c>
      <c r="F18" s="41"/>
      <c r="G18" s="41"/>
      <c r="H18" s="40" t="s">
        <v>312</v>
      </c>
      <c r="J18" s="40" t="str">
        <f t="shared" si="0"/>
        <v>ENFR_CATTENOM-1_00</v>
      </c>
    </row>
    <row r="19" spans="4:10">
      <c r="D19" t="s">
        <v>311</v>
      </c>
      <c r="F19" s="41"/>
      <c r="G19" s="41"/>
      <c r="H19" s="40" t="s">
        <v>312</v>
      </c>
      <c r="J19" s="40" t="str">
        <f t="shared" si="0"/>
        <v>ENFR_CATTENOM-2_00</v>
      </c>
    </row>
    <row r="20" spans="4:10">
      <c r="D20" t="s">
        <v>311</v>
      </c>
      <c r="F20" s="41"/>
      <c r="G20" s="41"/>
      <c r="H20" s="40" t="s">
        <v>312</v>
      </c>
      <c r="J20" s="40" t="str">
        <f t="shared" si="0"/>
        <v>ENFR_CATTENOM-3_00</v>
      </c>
    </row>
    <row r="21" spans="4:10">
      <c r="D21" t="s">
        <v>311</v>
      </c>
      <c r="F21" s="41"/>
      <c r="G21" s="41"/>
      <c r="H21" s="40" t="s">
        <v>312</v>
      </c>
      <c r="J21" s="40" t="str">
        <f t="shared" si="0"/>
        <v>ENFR_CATTENOM-4_00</v>
      </c>
    </row>
    <row r="22" spans="4:10">
      <c r="D22" t="s">
        <v>311</v>
      </c>
      <c r="F22" s="41"/>
      <c r="G22" s="41"/>
      <c r="H22" s="40" t="s">
        <v>312</v>
      </c>
      <c r="J22" s="40" t="str">
        <f t="shared" si="0"/>
        <v>ENFR_CHINON-B-1_00</v>
      </c>
    </row>
    <row r="23" spans="4:10">
      <c r="D23" t="s">
        <v>311</v>
      </c>
      <c r="F23" s="41"/>
      <c r="G23" s="41"/>
      <c r="H23" s="40" t="s">
        <v>312</v>
      </c>
      <c r="J23" s="40" t="str">
        <f t="shared" si="0"/>
        <v>ENFR_CHINON-B-2_00</v>
      </c>
    </row>
    <row r="24" spans="4:10">
      <c r="D24" t="s">
        <v>311</v>
      </c>
      <c r="F24" s="41"/>
      <c r="G24" s="41"/>
      <c r="H24" s="40" t="s">
        <v>312</v>
      </c>
      <c r="J24" s="40" t="str">
        <f t="shared" si="0"/>
        <v>ENFR_CHINON-B-3_00</v>
      </c>
    </row>
    <row r="25" spans="4:10">
      <c r="D25" t="s">
        <v>311</v>
      </c>
      <c r="F25" s="41"/>
      <c r="G25" s="41"/>
      <c r="H25" s="40" t="s">
        <v>312</v>
      </c>
      <c r="J25" s="40" t="str">
        <f t="shared" si="0"/>
        <v>ENFR_CHINON-B-4_00</v>
      </c>
    </row>
    <row r="26" spans="4:10">
      <c r="D26" t="s">
        <v>311</v>
      </c>
      <c r="F26" s="41"/>
      <c r="G26" s="41"/>
      <c r="H26" s="40" t="s">
        <v>312</v>
      </c>
      <c r="J26" s="40" t="str">
        <f t="shared" si="0"/>
        <v>ENFR_CHOOZ-B-1_00</v>
      </c>
    </row>
    <row r="27" spans="4:10">
      <c r="D27" t="s">
        <v>311</v>
      </c>
      <c r="F27" s="41"/>
      <c r="G27" s="41"/>
      <c r="H27" s="40" t="s">
        <v>312</v>
      </c>
      <c r="J27" s="40" t="str">
        <f t="shared" si="0"/>
        <v>ENFR_CHOOZ-B-2_00</v>
      </c>
    </row>
    <row r="28" spans="4:10">
      <c r="D28" t="s">
        <v>311</v>
      </c>
      <c r="F28" s="41"/>
      <c r="G28" s="41"/>
      <c r="H28" s="40" t="s">
        <v>312</v>
      </c>
      <c r="J28" s="40" t="str">
        <f t="shared" si="0"/>
        <v>ENFR_CIVAUX-1_00</v>
      </c>
    </row>
    <row r="29" spans="4:10">
      <c r="D29" t="s">
        <v>311</v>
      </c>
      <c r="F29" s="41"/>
      <c r="G29" s="41"/>
      <c r="H29" s="40" t="s">
        <v>312</v>
      </c>
      <c r="J29" s="40" t="str">
        <f t="shared" si="0"/>
        <v>ENFR_CIVAUX-2_00</v>
      </c>
    </row>
    <row r="30" spans="4:10">
      <c r="D30" t="s">
        <v>311</v>
      </c>
      <c r="F30" s="41"/>
      <c r="G30" s="41"/>
      <c r="H30" s="40" t="s">
        <v>312</v>
      </c>
      <c r="J30" s="40" t="str">
        <f t="shared" si="0"/>
        <v>ENFR_CRUAS-1_00</v>
      </c>
    </row>
    <row r="31" spans="4:10">
      <c r="D31" t="s">
        <v>311</v>
      </c>
      <c r="F31" s="41"/>
      <c r="G31" s="41"/>
      <c r="H31" s="40" t="s">
        <v>312</v>
      </c>
      <c r="J31" s="40" t="str">
        <f t="shared" si="0"/>
        <v>ENFR_CRUAS-2_00</v>
      </c>
    </row>
    <row r="32" spans="4:10">
      <c r="D32" t="s">
        <v>311</v>
      </c>
      <c r="F32" s="41"/>
      <c r="G32" s="41"/>
      <c r="H32" s="40" t="s">
        <v>312</v>
      </c>
      <c r="J32" s="40" t="str">
        <f t="shared" si="0"/>
        <v>ENFR_CRUAS-3_00</v>
      </c>
    </row>
    <row r="33" spans="4:10">
      <c r="D33" t="s">
        <v>311</v>
      </c>
      <c r="F33" s="41"/>
      <c r="G33" s="41"/>
      <c r="H33" s="40" t="s">
        <v>312</v>
      </c>
      <c r="J33" s="40" t="str">
        <f t="shared" si="0"/>
        <v>ENFR_CRUAS-4_00</v>
      </c>
    </row>
    <row r="34" spans="4:10">
      <c r="D34" t="s">
        <v>311</v>
      </c>
      <c r="F34" s="41"/>
      <c r="G34" s="41"/>
      <c r="H34" s="40" t="s">
        <v>312</v>
      </c>
      <c r="J34" s="40" t="str">
        <f t="shared" si="0"/>
        <v>ENFR_DAMPIERRE-1_00</v>
      </c>
    </row>
    <row r="35" spans="4:10">
      <c r="D35" t="s">
        <v>311</v>
      </c>
      <c r="F35" s="41"/>
      <c r="G35" s="41"/>
      <c r="H35" s="40" t="s">
        <v>312</v>
      </c>
      <c r="J35" s="40" t="str">
        <f t="shared" si="0"/>
        <v>ENFR_DAMPIERRE-2_00</v>
      </c>
    </row>
    <row r="36" spans="4:10">
      <c r="D36" t="s">
        <v>311</v>
      </c>
      <c r="F36" s="41"/>
      <c r="G36" s="41"/>
      <c r="H36" s="40" t="s">
        <v>312</v>
      </c>
      <c r="J36" s="40" t="str">
        <f t="shared" si="0"/>
        <v>ENFR_DAMPIERRE-3_00</v>
      </c>
    </row>
    <row r="37" spans="4:10">
      <c r="D37" t="s">
        <v>311</v>
      </c>
      <c r="F37" s="41"/>
      <c r="G37" s="41"/>
      <c r="H37" s="40" t="s">
        <v>312</v>
      </c>
      <c r="J37" s="40" t="str">
        <f t="shared" si="0"/>
        <v>ENFR_DAMPIERRE-4_00</v>
      </c>
    </row>
    <row r="38" spans="4:10">
      <c r="D38" t="s">
        <v>311</v>
      </c>
      <c r="F38" s="41"/>
      <c r="G38" s="41"/>
      <c r="H38" s="40" t="s">
        <v>312</v>
      </c>
      <c r="J38" s="40" t="str">
        <f t="shared" si="0"/>
        <v>ENFR_FESSENHEIM-1_00</v>
      </c>
    </row>
    <row r="39" spans="4:10">
      <c r="D39" t="s">
        <v>311</v>
      </c>
      <c r="F39" s="41"/>
      <c r="G39" s="41"/>
      <c r="H39" s="40" t="s">
        <v>312</v>
      </c>
      <c r="J39" s="40" t="str">
        <f t="shared" si="0"/>
        <v>ENFR_FESSENHEIM-2_00</v>
      </c>
    </row>
    <row r="40" spans="4:10">
      <c r="D40" t="s">
        <v>311</v>
      </c>
      <c r="F40" s="41"/>
      <c r="G40" s="41"/>
      <c r="H40" s="40" t="s">
        <v>312</v>
      </c>
      <c r="J40" s="40" t="str">
        <f t="shared" si="0"/>
        <v>ENFR_FLAMANVILLE-1_00</v>
      </c>
    </row>
    <row r="41" spans="4:10">
      <c r="D41" t="s">
        <v>311</v>
      </c>
      <c r="F41" s="41"/>
      <c r="G41" s="41"/>
      <c r="H41" s="40" t="s">
        <v>312</v>
      </c>
      <c r="J41" s="40" t="str">
        <f t="shared" si="0"/>
        <v>ENFR_FLAMANVILLE-2_00</v>
      </c>
    </row>
    <row r="42" spans="4:10">
      <c r="D42" t="s">
        <v>311</v>
      </c>
      <c r="F42" s="41"/>
      <c r="G42" s="41"/>
      <c r="H42" s="40" t="s">
        <v>312</v>
      </c>
      <c r="J42" s="40" t="str">
        <f t="shared" si="0"/>
        <v>ENFR_GOLFECH-1_00</v>
      </c>
    </row>
    <row r="43" spans="4:10">
      <c r="D43" t="s">
        <v>311</v>
      </c>
      <c r="F43" s="41"/>
      <c r="G43" s="41"/>
      <c r="H43" s="40" t="s">
        <v>312</v>
      </c>
      <c r="J43" s="40" t="str">
        <f t="shared" si="0"/>
        <v>ENFR_GOLFECH-2_00</v>
      </c>
    </row>
    <row r="44" spans="4:10">
      <c r="D44" t="s">
        <v>311</v>
      </c>
      <c r="F44" s="41"/>
      <c r="G44" s="41"/>
      <c r="H44" s="40" t="s">
        <v>312</v>
      </c>
      <c r="J44" s="40" t="str">
        <f t="shared" si="0"/>
        <v>ENFR_GRAVELINES-1_00</v>
      </c>
    </row>
    <row r="45" spans="4:10">
      <c r="D45" t="s">
        <v>311</v>
      </c>
      <c r="F45" s="41"/>
      <c r="G45" s="41"/>
      <c r="H45" s="40" t="s">
        <v>312</v>
      </c>
      <c r="J45" s="40" t="str">
        <f t="shared" si="0"/>
        <v>ENFR_GRAVELINES-2_00</v>
      </c>
    </row>
    <row r="46" spans="4:10">
      <c r="D46" t="s">
        <v>311</v>
      </c>
      <c r="F46" s="41"/>
      <c r="G46" s="41"/>
      <c r="H46" s="40" t="s">
        <v>312</v>
      </c>
      <c r="J46" s="40" t="str">
        <f t="shared" si="0"/>
        <v>ENFR_GRAVELINES-3_00</v>
      </c>
    </row>
    <row r="47" spans="4:10">
      <c r="D47" t="s">
        <v>311</v>
      </c>
      <c r="F47" s="41"/>
      <c r="G47" s="41"/>
      <c r="H47" s="40" t="s">
        <v>312</v>
      </c>
      <c r="J47" s="40" t="str">
        <f t="shared" si="0"/>
        <v>ENFR_GRAVELINES-4_00</v>
      </c>
    </row>
    <row r="48" spans="4:10">
      <c r="D48" t="s">
        <v>311</v>
      </c>
      <c r="F48" s="41"/>
      <c r="G48" s="41"/>
      <c r="H48" s="40" t="s">
        <v>312</v>
      </c>
      <c r="J48" s="40" t="str">
        <f t="shared" si="0"/>
        <v>ENFR_GRAVELINES-5_00</v>
      </c>
    </row>
    <row r="49" spans="4:10">
      <c r="D49" t="s">
        <v>311</v>
      </c>
      <c r="F49" s="41"/>
      <c r="G49" s="41"/>
      <c r="H49" s="40" t="s">
        <v>312</v>
      </c>
      <c r="J49" s="40" t="str">
        <f t="shared" si="0"/>
        <v>ENFR_GRAVELINES-6_00</v>
      </c>
    </row>
    <row r="50" spans="4:10">
      <c r="D50" t="s">
        <v>311</v>
      </c>
      <c r="F50" s="41"/>
      <c r="G50" s="41"/>
      <c r="H50" s="40" t="s">
        <v>312</v>
      </c>
      <c r="J50" s="40" t="str">
        <f t="shared" si="0"/>
        <v>ENFR_NOGENT-1_00</v>
      </c>
    </row>
    <row r="51" spans="4:10">
      <c r="D51" t="s">
        <v>311</v>
      </c>
      <c r="F51" s="41"/>
      <c r="G51" s="41"/>
      <c r="H51" s="40" t="s">
        <v>312</v>
      </c>
      <c r="J51" s="40" t="str">
        <f t="shared" si="0"/>
        <v>ENFR_NOGENT-2_00</v>
      </c>
    </row>
    <row r="52" spans="4:10">
      <c r="D52" t="s">
        <v>311</v>
      </c>
      <c r="F52" s="41"/>
      <c r="G52" s="41"/>
      <c r="H52" s="40" t="s">
        <v>312</v>
      </c>
      <c r="J52" s="40" t="str">
        <f t="shared" si="0"/>
        <v>ENFR_PALUEL-1_00</v>
      </c>
    </row>
    <row r="53" spans="4:10">
      <c r="D53" t="s">
        <v>311</v>
      </c>
      <c r="F53" s="41"/>
      <c r="G53" s="41"/>
      <c r="H53" s="40" t="s">
        <v>312</v>
      </c>
      <c r="J53" s="40" t="str">
        <f t="shared" si="0"/>
        <v>ENFR_PALUEL-2_00</v>
      </c>
    </row>
    <row r="54" spans="4:10">
      <c r="D54" t="s">
        <v>311</v>
      </c>
      <c r="F54" s="41"/>
      <c r="G54" s="41"/>
      <c r="H54" s="40" t="s">
        <v>312</v>
      </c>
      <c r="J54" s="40" t="str">
        <f t="shared" si="0"/>
        <v>ENFR_PALUEL-3_00</v>
      </c>
    </row>
    <row r="55" spans="4:10">
      <c r="D55" t="s">
        <v>311</v>
      </c>
      <c r="F55" s="41"/>
      <c r="G55" s="41"/>
      <c r="H55" s="40" t="s">
        <v>312</v>
      </c>
      <c r="J55" s="40" t="str">
        <f t="shared" si="0"/>
        <v>ENFR_PALUEL-4_00</v>
      </c>
    </row>
    <row r="56" spans="4:10">
      <c r="D56" t="s">
        <v>311</v>
      </c>
      <c r="F56" s="41"/>
      <c r="G56" s="41"/>
      <c r="H56" s="40" t="s">
        <v>312</v>
      </c>
      <c r="J56" s="40" t="str">
        <f t="shared" si="0"/>
        <v>ENFR_PENLY-1_00</v>
      </c>
    </row>
    <row r="57" spans="4:10">
      <c r="D57" t="s">
        <v>311</v>
      </c>
      <c r="F57" s="41"/>
      <c r="G57" s="41"/>
      <c r="H57" s="40" t="s">
        <v>312</v>
      </c>
      <c r="J57" s="40" t="str">
        <f t="shared" si="0"/>
        <v>ENFR_PENLY-2_00</v>
      </c>
    </row>
    <row r="58" spans="4:10">
      <c r="D58" t="s">
        <v>311</v>
      </c>
      <c r="F58" s="41"/>
      <c r="G58" s="41"/>
      <c r="H58" s="40" t="s">
        <v>312</v>
      </c>
      <c r="J58" s="40" t="str">
        <f t="shared" si="0"/>
        <v>ENFR_STALBAN-1_00</v>
      </c>
    </row>
    <row r="59" spans="4:10">
      <c r="D59" t="s">
        <v>311</v>
      </c>
      <c r="F59" s="41"/>
      <c r="G59" s="41"/>
      <c r="H59" s="40" t="s">
        <v>312</v>
      </c>
      <c r="J59" s="40" t="str">
        <f t="shared" si="0"/>
        <v>ENFR_STALBAN-2_00</v>
      </c>
    </row>
    <row r="60" spans="4:10">
      <c r="D60" t="s">
        <v>311</v>
      </c>
      <c r="F60" s="41"/>
      <c r="G60" s="41"/>
      <c r="H60" s="40" t="s">
        <v>312</v>
      </c>
      <c r="J60" s="40" t="str">
        <f t="shared" si="0"/>
        <v>ENFR_STLAURENT-B-1_00</v>
      </c>
    </row>
    <row r="61" spans="4:10">
      <c r="D61" t="s">
        <v>311</v>
      </c>
      <c r="F61" s="41"/>
      <c r="G61" s="41"/>
      <c r="H61" s="40" t="s">
        <v>312</v>
      </c>
      <c r="J61" s="40" t="str">
        <f t="shared" si="0"/>
        <v>ENFR_STLAURENT-B-2_00</v>
      </c>
    </row>
    <row r="62" spans="4:10">
      <c r="D62" t="s">
        <v>311</v>
      </c>
      <c r="F62" s="41"/>
      <c r="G62" s="41"/>
      <c r="H62" s="40" t="s">
        <v>312</v>
      </c>
      <c r="J62" s="40" t="str">
        <f t="shared" si="0"/>
        <v>ENFR_TRICASTIN-1_00</v>
      </c>
    </row>
    <row r="63" spans="4:10">
      <c r="D63" t="s">
        <v>311</v>
      </c>
      <c r="F63" s="41"/>
      <c r="G63" s="41"/>
      <c r="H63" s="40" t="s">
        <v>312</v>
      </c>
      <c r="J63" s="40" t="str">
        <f t="shared" si="0"/>
        <v>ENFR_TRICASTIN-2_00</v>
      </c>
    </row>
    <row r="64" spans="4:10">
      <c r="D64" t="s">
        <v>311</v>
      </c>
      <c r="F64" s="41"/>
      <c r="G64" s="41"/>
      <c r="H64" s="40" t="s">
        <v>312</v>
      </c>
      <c r="J64" s="40" t="str">
        <f t="shared" si="0"/>
        <v>ENFR_TRICASTIN-3_00</v>
      </c>
    </row>
    <row r="65" spans="3:23">
      <c r="D65" t="s">
        <v>311</v>
      </c>
      <c r="F65" s="41"/>
      <c r="G65" s="41"/>
      <c r="H65" s="40" t="s">
        <v>312</v>
      </c>
      <c r="J65" s="40" t="str">
        <f t="shared" si="0"/>
        <v>ENFR_TRICASTIN-4_00</v>
      </c>
    </row>
    <row r="66" spans="3:23">
      <c r="F66" s="41"/>
      <c r="G66" s="41"/>
      <c r="J66" s="40"/>
    </row>
    <row r="67" spans="3:23">
      <c r="F67" s="41"/>
      <c r="G67" s="41"/>
      <c r="J67" s="40"/>
    </row>
    <row r="68" spans="3:23">
      <c r="F68" s="41"/>
      <c r="G68" s="41"/>
      <c r="J68" s="40"/>
    </row>
    <row r="71" spans="3:23">
      <c r="C71" s="42" t="s">
        <v>314</v>
      </c>
      <c r="D71" s="41"/>
      <c r="E71" s="41"/>
    </row>
    <row r="72" spans="3:23">
      <c r="C72" s="43" t="s">
        <v>315</v>
      </c>
      <c r="D72" s="43" t="s">
        <v>316</v>
      </c>
      <c r="E72" s="43" t="s">
        <v>317</v>
      </c>
      <c r="F72" s="43" t="s">
        <v>191</v>
      </c>
      <c r="G72" s="44" t="s">
        <v>318</v>
      </c>
      <c r="H72" s="44" t="s">
        <v>318</v>
      </c>
      <c r="I72" s="45" t="s">
        <v>319</v>
      </c>
      <c r="J72" s="45" t="s">
        <v>320</v>
      </c>
      <c r="K72" s="45" t="s">
        <v>321</v>
      </c>
      <c r="L72" s="43" t="s">
        <v>322</v>
      </c>
      <c r="M72" s="45" t="s">
        <v>323</v>
      </c>
      <c r="N72" s="45" t="s">
        <v>324</v>
      </c>
      <c r="O72" s="45" t="s">
        <v>289</v>
      </c>
      <c r="P72" s="45" t="s">
        <v>325</v>
      </c>
      <c r="Q72" s="45" t="s">
        <v>326</v>
      </c>
      <c r="R72" s="45" t="s">
        <v>327</v>
      </c>
      <c r="S72" s="44" t="s">
        <v>318</v>
      </c>
      <c r="T72" s="43" t="s">
        <v>328</v>
      </c>
      <c r="U72" s="43" t="s">
        <v>329</v>
      </c>
      <c r="V72" s="45" t="s">
        <v>330</v>
      </c>
      <c r="W72" s="45" t="s">
        <v>331</v>
      </c>
    </row>
    <row r="73" spans="3:23">
      <c r="C73" s="46"/>
      <c r="D73" s="46" t="s">
        <v>332</v>
      </c>
      <c r="E73" s="46"/>
      <c r="F73" s="46"/>
      <c r="G73" s="47" t="s">
        <v>333</v>
      </c>
      <c r="H73" s="47" t="s">
        <v>333</v>
      </c>
      <c r="I73" s="47"/>
      <c r="J73" s="47"/>
      <c r="K73" s="47"/>
      <c r="L73" s="47" t="s">
        <v>333</v>
      </c>
      <c r="M73" s="47" t="s">
        <v>333</v>
      </c>
      <c r="N73" s="47" t="s">
        <v>333</v>
      </c>
      <c r="O73" s="47"/>
      <c r="P73" s="47" t="s">
        <v>334</v>
      </c>
      <c r="Q73" s="47" t="s">
        <v>335</v>
      </c>
      <c r="R73" s="47" t="s">
        <v>334</v>
      </c>
      <c r="S73" s="47"/>
      <c r="T73" s="47" t="s">
        <v>336</v>
      </c>
      <c r="U73" s="47" t="s">
        <v>337</v>
      </c>
      <c r="V73" s="47"/>
      <c r="W73" s="47" t="s">
        <v>338</v>
      </c>
    </row>
    <row r="74" spans="3:23">
      <c r="C74" s="48" t="s">
        <v>111</v>
      </c>
      <c r="D74" s="49" t="s">
        <v>339</v>
      </c>
      <c r="E74" s="49" t="s">
        <v>340</v>
      </c>
      <c r="F74" s="50">
        <v>1973</v>
      </c>
      <c r="G74" s="51">
        <v>0.13</v>
      </c>
      <c r="H74" s="51">
        <v>0.14000000000000001</v>
      </c>
      <c r="I74" s="52">
        <v>0.7056</v>
      </c>
      <c r="J74" s="52">
        <v>0.7056</v>
      </c>
      <c r="K74" s="52">
        <v>0.71020000000000005</v>
      </c>
      <c r="L74" s="51">
        <v>0.13</v>
      </c>
      <c r="M74" s="53"/>
      <c r="N74" s="53"/>
      <c r="O74" s="53"/>
      <c r="P74" s="49"/>
      <c r="Q74" s="49"/>
      <c r="R74" s="49"/>
      <c r="S74" s="54">
        <v>2009</v>
      </c>
      <c r="T74" s="49">
        <v>36</v>
      </c>
      <c r="U74" s="49">
        <v>2.85</v>
      </c>
      <c r="V74" s="49">
        <v>1</v>
      </c>
      <c r="W74" s="49">
        <v>31.536000000000001</v>
      </c>
    </row>
    <row r="75" spans="3:23">
      <c r="C75" s="55" t="s">
        <v>61</v>
      </c>
      <c r="D75" s="56" t="s">
        <v>339</v>
      </c>
      <c r="E75" s="56" t="s">
        <v>340</v>
      </c>
      <c r="F75" s="56">
        <v>1987</v>
      </c>
      <c r="G75" s="57">
        <v>1.31</v>
      </c>
      <c r="H75" s="58">
        <v>1.363</v>
      </c>
      <c r="I75" s="59">
        <v>0.76300000000000001</v>
      </c>
      <c r="J75" s="60">
        <v>0.89190000000000003</v>
      </c>
      <c r="K75" s="60">
        <v>0.57950000000000002</v>
      </c>
      <c r="L75" s="58">
        <v>1.31</v>
      </c>
      <c r="M75" s="61"/>
      <c r="N75" s="62"/>
      <c r="O75" s="62"/>
      <c r="P75" s="61"/>
      <c r="Q75" s="61"/>
      <c r="R75" s="61"/>
      <c r="S75" s="63">
        <v>2017</v>
      </c>
      <c r="T75" s="64">
        <v>30</v>
      </c>
      <c r="U75" s="60">
        <v>1.0181256484149857</v>
      </c>
      <c r="V75" s="61">
        <v>1</v>
      </c>
      <c r="W75" s="58">
        <v>31.536000000000001</v>
      </c>
    </row>
    <row r="76" spans="3:23">
      <c r="C76" s="55" t="s">
        <v>62</v>
      </c>
      <c r="D76" s="56" t="s">
        <v>339</v>
      </c>
      <c r="E76" s="56" t="s">
        <v>340</v>
      </c>
      <c r="F76" s="56">
        <v>1988</v>
      </c>
      <c r="G76" s="57">
        <v>1.31</v>
      </c>
      <c r="H76" s="58">
        <v>1.363</v>
      </c>
      <c r="I76" s="59">
        <v>0.79700000000000004</v>
      </c>
      <c r="J76" s="60">
        <v>0.80530000000000002</v>
      </c>
      <c r="K76" s="60">
        <v>0.68579999999999997</v>
      </c>
      <c r="L76" s="58">
        <v>1.31</v>
      </c>
      <c r="M76" s="61"/>
      <c r="N76" s="62"/>
      <c r="O76" s="62"/>
      <c r="P76" s="61"/>
      <c r="Q76" s="61"/>
      <c r="R76" s="61"/>
      <c r="S76" s="63">
        <v>2018</v>
      </c>
      <c r="T76" s="64">
        <v>30</v>
      </c>
      <c r="U76" s="60">
        <v>1.0181256484149857</v>
      </c>
      <c r="V76" s="61">
        <v>1</v>
      </c>
      <c r="W76" s="58">
        <v>31.536000000000001</v>
      </c>
    </row>
    <row r="77" spans="3:23">
      <c r="C77" s="55" t="s">
        <v>63</v>
      </c>
      <c r="D77" s="56" t="s">
        <v>339</v>
      </c>
      <c r="E77" s="56" t="s">
        <v>340</v>
      </c>
      <c r="F77" s="56">
        <v>1981</v>
      </c>
      <c r="G77" s="65">
        <v>0.91</v>
      </c>
      <c r="H77" s="58">
        <v>0.95099999999999996</v>
      </c>
      <c r="I77" s="59">
        <v>0.79599999999999993</v>
      </c>
      <c r="J77" s="60">
        <v>0.86340000000000006</v>
      </c>
      <c r="K77" s="60">
        <v>0.83230000000000004</v>
      </c>
      <c r="L77" s="58">
        <v>0.91</v>
      </c>
      <c r="M77" s="61"/>
      <c r="N77" s="62"/>
      <c r="O77" s="62"/>
      <c r="P77" s="61"/>
      <c r="Q77" s="61"/>
      <c r="R77" s="61"/>
      <c r="S77" s="63">
        <v>2021</v>
      </c>
      <c r="T77" s="64">
        <v>40</v>
      </c>
      <c r="U77" s="60">
        <v>0.99529030664272888</v>
      </c>
      <c r="V77" s="61">
        <v>1</v>
      </c>
      <c r="W77" s="58">
        <v>31.536000000000001</v>
      </c>
    </row>
    <row r="78" spans="3:23">
      <c r="C78" s="55" t="s">
        <v>64</v>
      </c>
      <c r="D78" s="56" t="s">
        <v>339</v>
      </c>
      <c r="E78" s="56" t="s">
        <v>340</v>
      </c>
      <c r="F78" s="56">
        <v>1982</v>
      </c>
      <c r="G78" s="65">
        <v>0.91</v>
      </c>
      <c r="H78" s="58">
        <v>0.95099999999999996</v>
      </c>
      <c r="I78" s="59">
        <v>0.82400000000000007</v>
      </c>
      <c r="J78" s="60">
        <v>0.86780000000000002</v>
      </c>
      <c r="K78" s="60">
        <v>0.79549999999999998</v>
      </c>
      <c r="L78" s="58">
        <v>0.91</v>
      </c>
      <c r="M78" s="61"/>
      <c r="N78" s="62"/>
      <c r="O78" s="62"/>
      <c r="P78" s="61"/>
      <c r="Q78" s="61"/>
      <c r="R78" s="61"/>
      <c r="S78" s="63">
        <v>2022</v>
      </c>
      <c r="T78" s="64">
        <v>40</v>
      </c>
      <c r="U78" s="60">
        <v>0.99529030664272888</v>
      </c>
      <c r="V78" s="61">
        <v>1</v>
      </c>
      <c r="W78" s="58">
        <v>31.536000000000001</v>
      </c>
    </row>
    <row r="79" spans="3:23">
      <c r="C79" s="55" t="s">
        <v>65</v>
      </c>
      <c r="D79" s="56" t="s">
        <v>339</v>
      </c>
      <c r="E79" s="56" t="s">
        <v>340</v>
      </c>
      <c r="F79" s="56">
        <v>1983</v>
      </c>
      <c r="G79" s="65">
        <v>0.91</v>
      </c>
      <c r="H79" s="58">
        <v>0.95099999999999996</v>
      </c>
      <c r="I79" s="59">
        <v>0.82900000000000007</v>
      </c>
      <c r="J79" s="60">
        <v>0.73609999999999998</v>
      </c>
      <c r="K79" s="60">
        <v>0.83790000000000009</v>
      </c>
      <c r="L79" s="58">
        <v>0.91</v>
      </c>
      <c r="M79" s="61"/>
      <c r="N79" s="62"/>
      <c r="O79" s="62"/>
      <c r="P79" s="61"/>
      <c r="Q79" s="61"/>
      <c r="R79" s="61"/>
      <c r="S79" s="63">
        <v>2023</v>
      </c>
      <c r="T79" s="64">
        <v>40</v>
      </c>
      <c r="U79" s="60">
        <v>0.99529030664272888</v>
      </c>
      <c r="V79" s="61">
        <v>1</v>
      </c>
      <c r="W79" s="58">
        <v>31.536000000000001</v>
      </c>
    </row>
    <row r="80" spans="3:23">
      <c r="C80" s="55" t="s">
        <v>66</v>
      </c>
      <c r="D80" s="56" t="s">
        <v>339</v>
      </c>
      <c r="E80" s="56" t="s">
        <v>340</v>
      </c>
      <c r="F80" s="56">
        <v>1983</v>
      </c>
      <c r="G80" s="65">
        <v>0.91</v>
      </c>
      <c r="H80" s="58">
        <v>0.95099999999999996</v>
      </c>
      <c r="I80" s="59">
        <v>0.82</v>
      </c>
      <c r="J80" s="60">
        <v>0.68430000000000002</v>
      </c>
      <c r="K80" s="60">
        <v>0.84349999999999992</v>
      </c>
      <c r="L80" s="58">
        <v>0.91</v>
      </c>
      <c r="M80" s="61"/>
      <c r="N80" s="62"/>
      <c r="O80" s="62"/>
      <c r="P80" s="61"/>
      <c r="Q80" s="61"/>
      <c r="R80" s="61"/>
      <c r="S80" s="63">
        <v>2023</v>
      </c>
      <c r="T80" s="64">
        <v>40</v>
      </c>
      <c r="U80" s="60">
        <v>0.99529030664272888</v>
      </c>
      <c r="V80" s="61">
        <v>1</v>
      </c>
      <c r="W80" s="58">
        <v>31.536000000000001</v>
      </c>
    </row>
    <row r="81" spans="3:23">
      <c r="C81" s="55" t="s">
        <v>67</v>
      </c>
      <c r="D81" s="56" t="s">
        <v>339</v>
      </c>
      <c r="E81" s="56" t="s">
        <v>340</v>
      </c>
      <c r="F81" s="56">
        <v>1978</v>
      </c>
      <c r="G81" s="65">
        <v>0.91</v>
      </c>
      <c r="H81" s="58">
        <v>0.94499999999999995</v>
      </c>
      <c r="I81" s="59">
        <v>0.7390000000000001</v>
      </c>
      <c r="J81" s="60">
        <v>0.79959999999999998</v>
      </c>
      <c r="K81" s="60">
        <v>0.2782</v>
      </c>
      <c r="L81" s="58">
        <v>0.91</v>
      </c>
      <c r="M81" s="61"/>
      <c r="N81" s="62"/>
      <c r="O81" s="62"/>
      <c r="P81" s="61"/>
      <c r="Q81" s="61"/>
      <c r="R81" s="61"/>
      <c r="S81" s="63">
        <v>2018</v>
      </c>
      <c r="T81" s="64">
        <v>40</v>
      </c>
      <c r="U81" s="60">
        <v>0.98901087253141839</v>
      </c>
      <c r="V81" s="61">
        <v>1</v>
      </c>
      <c r="W81" s="58">
        <v>31.536000000000001</v>
      </c>
    </row>
    <row r="82" spans="3:23">
      <c r="C82" s="55" t="s">
        <v>68</v>
      </c>
      <c r="D82" s="56" t="s">
        <v>339</v>
      </c>
      <c r="E82" s="56" t="s">
        <v>340</v>
      </c>
      <c r="F82" s="56">
        <v>1978</v>
      </c>
      <c r="G82" s="65">
        <v>0.91</v>
      </c>
      <c r="H82" s="58">
        <v>0.94499999999999995</v>
      </c>
      <c r="I82" s="59">
        <v>0.72799999999999998</v>
      </c>
      <c r="J82" s="60">
        <v>0.72829999999999995</v>
      </c>
      <c r="K82" s="66">
        <v>0.72829999999999995</v>
      </c>
      <c r="L82" s="58">
        <v>0.91</v>
      </c>
      <c r="M82" s="61"/>
      <c r="N82" s="62"/>
      <c r="O82" s="62"/>
      <c r="P82" s="61"/>
      <c r="Q82" s="61"/>
      <c r="R82" s="61"/>
      <c r="S82" s="63">
        <v>2018</v>
      </c>
      <c r="T82" s="64">
        <v>40</v>
      </c>
      <c r="U82" s="60">
        <v>0.98901087253141862</v>
      </c>
      <c r="V82" s="61">
        <v>1</v>
      </c>
      <c r="W82" s="58">
        <v>31.536000000000001</v>
      </c>
    </row>
    <row r="83" spans="3:23">
      <c r="C83" s="55" t="s">
        <v>69</v>
      </c>
      <c r="D83" s="56" t="s">
        <v>339</v>
      </c>
      <c r="E83" s="56" t="s">
        <v>340</v>
      </c>
      <c r="F83" s="56">
        <v>1979</v>
      </c>
      <c r="G83" s="65">
        <v>0.88</v>
      </c>
      <c r="H83" s="58">
        <v>0.91700000000000004</v>
      </c>
      <c r="I83" s="59">
        <v>0.754</v>
      </c>
      <c r="J83" s="60">
        <v>0.78780000000000006</v>
      </c>
      <c r="K83" s="60">
        <v>0.95660000000000001</v>
      </c>
      <c r="L83" s="58">
        <v>0.88</v>
      </c>
      <c r="M83" s="61"/>
      <c r="N83" s="62"/>
      <c r="O83" s="62"/>
      <c r="P83" s="61"/>
      <c r="Q83" s="61"/>
      <c r="R83" s="61"/>
      <c r="S83" s="63">
        <v>2019</v>
      </c>
      <c r="T83" s="64">
        <v>40</v>
      </c>
      <c r="U83" s="60">
        <v>0.95970684667863537</v>
      </c>
      <c r="V83" s="61">
        <v>1</v>
      </c>
      <c r="W83" s="58">
        <v>31.536000000000001</v>
      </c>
    </row>
    <row r="84" spans="3:23">
      <c r="C84" s="55" t="s">
        <v>70</v>
      </c>
      <c r="D84" s="56" t="s">
        <v>339</v>
      </c>
      <c r="E84" s="56" t="s">
        <v>340</v>
      </c>
      <c r="F84" s="56">
        <v>1979</v>
      </c>
      <c r="G84" s="65">
        <v>0.88</v>
      </c>
      <c r="H84" s="58">
        <v>0.91700000000000004</v>
      </c>
      <c r="I84" s="59">
        <v>0.77599999999999991</v>
      </c>
      <c r="J84" s="60">
        <v>0.91090000000000004</v>
      </c>
      <c r="K84" s="60">
        <v>0.76890000000000003</v>
      </c>
      <c r="L84" s="58">
        <v>0.88</v>
      </c>
      <c r="M84" s="61"/>
      <c r="N84" s="62"/>
      <c r="O84" s="62"/>
      <c r="P84" s="61"/>
      <c r="Q84" s="61"/>
      <c r="R84" s="61"/>
      <c r="S84" s="63">
        <v>2019</v>
      </c>
      <c r="T84" s="64">
        <v>40</v>
      </c>
      <c r="U84" s="60">
        <v>0.95970684667863559</v>
      </c>
      <c r="V84" s="61">
        <v>1</v>
      </c>
      <c r="W84" s="58">
        <v>31.536000000000001</v>
      </c>
    </row>
    <row r="85" spans="3:23">
      <c r="C85" s="55" t="s">
        <v>71</v>
      </c>
      <c r="D85" s="56" t="s">
        <v>339</v>
      </c>
      <c r="E85" s="56" t="s">
        <v>340</v>
      </c>
      <c r="F85" s="56">
        <v>1986</v>
      </c>
      <c r="G85" s="57">
        <v>1.3</v>
      </c>
      <c r="H85" s="58">
        <v>1.3620000000000001</v>
      </c>
      <c r="I85" s="59">
        <v>0.75800000000000001</v>
      </c>
      <c r="J85" s="60">
        <v>0.81859999999999999</v>
      </c>
      <c r="K85" s="60">
        <v>0.86620000000000008</v>
      </c>
      <c r="L85" s="58">
        <v>1.3</v>
      </c>
      <c r="M85" s="61"/>
      <c r="N85" s="62"/>
      <c r="O85" s="62"/>
      <c r="P85" s="61"/>
      <c r="Q85" s="61"/>
      <c r="R85" s="61"/>
      <c r="S85" s="63">
        <v>2016</v>
      </c>
      <c r="T85" s="64">
        <v>30</v>
      </c>
      <c r="U85" s="60">
        <v>1.0173786743515849</v>
      </c>
      <c r="V85" s="61">
        <v>1</v>
      </c>
      <c r="W85" s="58">
        <v>31.536000000000001</v>
      </c>
    </row>
    <row r="86" spans="3:23">
      <c r="C86" s="55" t="s">
        <v>72</v>
      </c>
      <c r="D86" s="56" t="s">
        <v>339</v>
      </c>
      <c r="E86" s="56" t="s">
        <v>340</v>
      </c>
      <c r="F86" s="56">
        <v>1987</v>
      </c>
      <c r="G86" s="57">
        <v>1.3</v>
      </c>
      <c r="H86" s="58">
        <v>1.3620000000000001</v>
      </c>
      <c r="I86" s="59">
        <v>0.80200000000000005</v>
      </c>
      <c r="J86" s="60">
        <v>0.81209999999999993</v>
      </c>
      <c r="K86" s="60">
        <v>0.77859999999999996</v>
      </c>
      <c r="L86" s="58">
        <v>1.3</v>
      </c>
      <c r="M86" s="61"/>
      <c r="N86" s="62"/>
      <c r="O86" s="62"/>
      <c r="P86" s="61"/>
      <c r="Q86" s="61"/>
      <c r="R86" s="61"/>
      <c r="S86" s="63">
        <v>2017</v>
      </c>
      <c r="T86" s="64">
        <v>30</v>
      </c>
      <c r="U86" s="60">
        <v>1.0173786743515851</v>
      </c>
      <c r="V86" s="61">
        <v>1</v>
      </c>
      <c r="W86" s="58">
        <v>31.536000000000001</v>
      </c>
    </row>
    <row r="87" spans="3:23">
      <c r="C87" s="55" t="s">
        <v>73</v>
      </c>
      <c r="D87" s="56" t="s">
        <v>339</v>
      </c>
      <c r="E87" s="56" t="s">
        <v>340</v>
      </c>
      <c r="F87" s="56">
        <v>1990</v>
      </c>
      <c r="G87" s="57">
        <v>1.3</v>
      </c>
      <c r="H87" s="58">
        <v>1.3620000000000001</v>
      </c>
      <c r="I87" s="59">
        <v>0.81099999999999994</v>
      </c>
      <c r="J87" s="60">
        <v>0.85670000000000002</v>
      </c>
      <c r="K87" s="60">
        <v>0.76900000000000002</v>
      </c>
      <c r="L87" s="58">
        <v>1.3</v>
      </c>
      <c r="M87" s="61"/>
      <c r="N87" s="62"/>
      <c r="O87" s="62"/>
      <c r="P87" s="61"/>
      <c r="Q87" s="61"/>
      <c r="R87" s="61"/>
      <c r="S87" s="63">
        <v>2020</v>
      </c>
      <c r="T87" s="64">
        <v>30</v>
      </c>
      <c r="U87" s="60">
        <v>1.0173786743515851</v>
      </c>
      <c r="V87" s="61">
        <v>1</v>
      </c>
      <c r="W87" s="58">
        <v>31.536000000000001</v>
      </c>
    </row>
    <row r="88" spans="3:23">
      <c r="C88" s="55" t="s">
        <v>74</v>
      </c>
      <c r="D88" s="56" t="s">
        <v>339</v>
      </c>
      <c r="E88" s="56" t="s">
        <v>340</v>
      </c>
      <c r="F88" s="56">
        <v>1991</v>
      </c>
      <c r="G88" s="57">
        <v>1.3</v>
      </c>
      <c r="H88" s="58">
        <v>1.3620000000000001</v>
      </c>
      <c r="I88" s="59">
        <v>0.85699999999999998</v>
      </c>
      <c r="J88" s="60">
        <v>0.87060000000000004</v>
      </c>
      <c r="K88" s="60">
        <v>0.65879999999999994</v>
      </c>
      <c r="L88" s="58">
        <v>1.3</v>
      </c>
      <c r="M88" s="61"/>
      <c r="N88" s="62"/>
      <c r="O88" s="62"/>
      <c r="P88" s="61"/>
      <c r="Q88" s="61"/>
      <c r="R88" s="61"/>
      <c r="S88" s="63">
        <v>2021</v>
      </c>
      <c r="T88" s="64">
        <v>30</v>
      </c>
      <c r="U88" s="60">
        <v>1.0173786743515851</v>
      </c>
      <c r="V88" s="61">
        <v>1</v>
      </c>
      <c r="W88" s="58">
        <v>31.536000000000001</v>
      </c>
    </row>
    <row r="89" spans="3:23">
      <c r="C89" s="55" t="s">
        <v>75</v>
      </c>
      <c r="D89" s="56" t="s">
        <v>339</v>
      </c>
      <c r="E89" s="56" t="s">
        <v>340</v>
      </c>
      <c r="F89" s="56">
        <v>1982</v>
      </c>
      <c r="G89" s="65">
        <v>0.90500000000000003</v>
      </c>
      <c r="H89" s="58">
        <v>0.95399999999999996</v>
      </c>
      <c r="I89" s="59">
        <v>0.78599999999999992</v>
      </c>
      <c r="J89" s="60">
        <v>0.8155</v>
      </c>
      <c r="K89" s="60">
        <v>0.52549999999999997</v>
      </c>
      <c r="L89" s="58">
        <v>0.90500000000000003</v>
      </c>
      <c r="M89" s="61"/>
      <c r="N89" s="62"/>
      <c r="O89" s="62"/>
      <c r="P89" s="61"/>
      <c r="Q89" s="61"/>
      <c r="R89" s="61"/>
      <c r="S89" s="63">
        <v>2022</v>
      </c>
      <c r="T89" s="64">
        <v>40</v>
      </c>
      <c r="U89" s="60">
        <v>0.99843002369838407</v>
      </c>
      <c r="V89" s="61">
        <v>1</v>
      </c>
      <c r="W89" s="58">
        <v>31.536000000000001</v>
      </c>
    </row>
    <row r="90" spans="3:23">
      <c r="C90" s="55" t="s">
        <v>76</v>
      </c>
      <c r="D90" s="56" t="s">
        <v>339</v>
      </c>
      <c r="E90" s="56" t="s">
        <v>340</v>
      </c>
      <c r="F90" s="56">
        <v>1983</v>
      </c>
      <c r="G90" s="65">
        <v>0.90500000000000003</v>
      </c>
      <c r="H90" s="58">
        <v>0.95399999999999996</v>
      </c>
      <c r="I90" s="59">
        <v>0.79700000000000004</v>
      </c>
      <c r="J90" s="60">
        <v>0.84</v>
      </c>
      <c r="K90" s="60">
        <v>0.72340000000000004</v>
      </c>
      <c r="L90" s="58">
        <v>0.90500000000000003</v>
      </c>
      <c r="M90" s="61"/>
      <c r="N90" s="62"/>
      <c r="O90" s="62"/>
      <c r="P90" s="61"/>
      <c r="Q90" s="61"/>
      <c r="R90" s="61"/>
      <c r="S90" s="63">
        <v>2023</v>
      </c>
      <c r="T90" s="64">
        <v>40</v>
      </c>
      <c r="U90" s="60">
        <v>0.99843002369838429</v>
      </c>
      <c r="V90" s="61">
        <v>1</v>
      </c>
      <c r="W90" s="58">
        <v>31.536000000000001</v>
      </c>
    </row>
    <row r="91" spans="3:23">
      <c r="C91" s="55" t="s">
        <v>77</v>
      </c>
      <c r="D91" s="56" t="s">
        <v>339</v>
      </c>
      <c r="E91" s="56" t="s">
        <v>340</v>
      </c>
      <c r="F91" s="56">
        <v>1986</v>
      </c>
      <c r="G91" s="65">
        <v>0.90500000000000003</v>
      </c>
      <c r="H91" s="58">
        <v>0.95399999999999996</v>
      </c>
      <c r="I91" s="59">
        <v>0.79799999999999993</v>
      </c>
      <c r="J91" s="60">
        <v>0.70579999999999998</v>
      </c>
      <c r="K91" s="60">
        <v>0.81849999999999989</v>
      </c>
      <c r="L91" s="58">
        <v>0.90500000000000003</v>
      </c>
      <c r="M91" s="61"/>
      <c r="N91" s="62"/>
      <c r="O91" s="62"/>
      <c r="P91" s="61"/>
      <c r="Q91" s="61"/>
      <c r="R91" s="61"/>
      <c r="S91" s="63">
        <v>2026</v>
      </c>
      <c r="T91" s="64">
        <v>40</v>
      </c>
      <c r="U91" s="60">
        <v>0.99843002369838429</v>
      </c>
      <c r="V91" s="61">
        <v>1</v>
      </c>
      <c r="W91" s="58">
        <v>31.536000000000001</v>
      </c>
    </row>
    <row r="92" spans="3:23">
      <c r="C92" s="55" t="s">
        <v>78</v>
      </c>
      <c r="D92" s="56" t="s">
        <v>339</v>
      </c>
      <c r="E92" s="56" t="s">
        <v>340</v>
      </c>
      <c r="F92" s="56">
        <v>1987</v>
      </c>
      <c r="G92" s="65">
        <v>0.90500000000000003</v>
      </c>
      <c r="H92" s="58">
        <v>0.95399999999999996</v>
      </c>
      <c r="I92" s="59">
        <v>0.81299999999999994</v>
      </c>
      <c r="J92" s="60">
        <v>0.67569999999999997</v>
      </c>
      <c r="K92" s="60">
        <v>0.54270000000000007</v>
      </c>
      <c r="L92" s="58">
        <v>0.90500000000000003</v>
      </c>
      <c r="M92" s="61"/>
      <c r="N92" s="62"/>
      <c r="O92" s="62"/>
      <c r="P92" s="61"/>
      <c r="Q92" s="61"/>
      <c r="R92" s="61"/>
      <c r="S92" s="63">
        <v>2027</v>
      </c>
      <c r="T92" s="64">
        <v>40</v>
      </c>
      <c r="U92" s="60">
        <v>0.99843002369838429</v>
      </c>
      <c r="V92" s="61">
        <v>1</v>
      </c>
      <c r="W92" s="58">
        <v>31.536000000000001</v>
      </c>
    </row>
    <row r="93" spans="3:23">
      <c r="C93" s="55" t="s">
        <v>79</v>
      </c>
      <c r="D93" s="56" t="s">
        <v>339</v>
      </c>
      <c r="E93" s="56" t="s">
        <v>340</v>
      </c>
      <c r="F93" s="56">
        <v>1996</v>
      </c>
      <c r="G93" s="57">
        <v>1.5</v>
      </c>
      <c r="H93" s="58">
        <v>1.56</v>
      </c>
      <c r="I93" s="59">
        <v>0.80700000000000005</v>
      </c>
      <c r="J93" s="60">
        <v>0.68849999999999989</v>
      </c>
      <c r="K93" s="60">
        <v>0.65930000000000011</v>
      </c>
      <c r="L93" s="58">
        <v>1.5</v>
      </c>
      <c r="M93" s="61"/>
      <c r="N93" s="62"/>
      <c r="O93" s="62"/>
      <c r="P93" s="61"/>
      <c r="Q93" s="61"/>
      <c r="R93" s="61"/>
      <c r="S93" s="63">
        <v>2026</v>
      </c>
      <c r="T93" s="64">
        <v>30</v>
      </c>
      <c r="U93" s="60">
        <v>1.2310482435597192</v>
      </c>
      <c r="V93" s="61">
        <v>1</v>
      </c>
      <c r="W93" s="58">
        <v>31.536000000000001</v>
      </c>
    </row>
    <row r="94" spans="3:23">
      <c r="C94" s="55" t="s">
        <v>80</v>
      </c>
      <c r="D94" s="56" t="s">
        <v>339</v>
      </c>
      <c r="E94" s="56" t="s">
        <v>340</v>
      </c>
      <c r="F94" s="56">
        <v>1997</v>
      </c>
      <c r="G94" s="57">
        <v>1.5</v>
      </c>
      <c r="H94" s="58">
        <v>1.56</v>
      </c>
      <c r="I94" s="59">
        <v>0.84499999999999997</v>
      </c>
      <c r="J94" s="60">
        <v>0.78549999999999998</v>
      </c>
      <c r="K94" s="60">
        <v>0.81730000000000003</v>
      </c>
      <c r="L94" s="58">
        <v>1.5</v>
      </c>
      <c r="M94" s="61"/>
      <c r="N94" s="62"/>
      <c r="O94" s="62"/>
      <c r="P94" s="61"/>
      <c r="Q94" s="61"/>
      <c r="R94" s="61"/>
      <c r="S94" s="63">
        <v>2027</v>
      </c>
      <c r="T94" s="64">
        <v>30</v>
      </c>
      <c r="U94" s="60">
        <v>1.231048243559719</v>
      </c>
      <c r="V94" s="61">
        <v>1</v>
      </c>
      <c r="W94" s="58">
        <v>31.536000000000001</v>
      </c>
    </row>
    <row r="95" spans="3:23">
      <c r="C95" s="55" t="s">
        <v>81</v>
      </c>
      <c r="D95" s="56" t="s">
        <v>339</v>
      </c>
      <c r="E95" s="56" t="s">
        <v>340</v>
      </c>
      <c r="F95" s="56">
        <v>1997</v>
      </c>
      <c r="G95" s="57">
        <v>1.4950000000000001</v>
      </c>
      <c r="H95" s="58">
        <v>1.5609999999999999</v>
      </c>
      <c r="I95" s="59">
        <v>0.78500000000000003</v>
      </c>
      <c r="J95" s="60">
        <v>0.73849999999999993</v>
      </c>
      <c r="K95" s="60">
        <v>0.80859999999999999</v>
      </c>
      <c r="L95" s="58">
        <v>1.4950000000000001</v>
      </c>
      <c r="M95" s="61"/>
      <c r="N95" s="62"/>
      <c r="O95" s="62"/>
      <c r="P95" s="61"/>
      <c r="Q95" s="61"/>
      <c r="R95" s="61"/>
      <c r="S95" s="63">
        <v>2027</v>
      </c>
      <c r="T95" s="64">
        <v>30</v>
      </c>
      <c r="U95" s="60">
        <v>1.1054950819672131</v>
      </c>
      <c r="V95" s="61">
        <v>1</v>
      </c>
      <c r="W95" s="58">
        <v>31.536000000000001</v>
      </c>
    </row>
    <row r="96" spans="3:23">
      <c r="C96" s="55" t="s">
        <v>82</v>
      </c>
      <c r="D96" s="56" t="s">
        <v>339</v>
      </c>
      <c r="E96" s="56" t="s">
        <v>340</v>
      </c>
      <c r="F96" s="56">
        <v>1999</v>
      </c>
      <c r="G96" s="57">
        <v>1.4950000000000001</v>
      </c>
      <c r="H96" s="58">
        <v>1.5609999999999999</v>
      </c>
      <c r="I96" s="59">
        <v>0.85599999999999998</v>
      </c>
      <c r="J96" s="60">
        <v>0.73470000000000002</v>
      </c>
      <c r="K96" s="60">
        <v>0.84709999999999996</v>
      </c>
      <c r="L96" s="58">
        <v>1.4950000000000001</v>
      </c>
      <c r="M96" s="61"/>
      <c r="N96" s="62"/>
      <c r="O96" s="62"/>
      <c r="P96" s="61"/>
      <c r="Q96" s="61"/>
      <c r="R96" s="61"/>
      <c r="S96" s="63">
        <v>2029</v>
      </c>
      <c r="T96" s="64">
        <v>30</v>
      </c>
      <c r="U96" s="60">
        <v>1.1054950819672129</v>
      </c>
      <c r="V96" s="61">
        <v>1</v>
      </c>
      <c r="W96" s="58">
        <v>31.536000000000001</v>
      </c>
    </row>
    <row r="97" spans="3:23">
      <c r="C97" s="55" t="s">
        <v>83</v>
      </c>
      <c r="D97" s="56" t="s">
        <v>339</v>
      </c>
      <c r="E97" s="56" t="s">
        <v>340</v>
      </c>
      <c r="F97" s="56">
        <v>1983</v>
      </c>
      <c r="G97" s="65">
        <v>0.91500000000000004</v>
      </c>
      <c r="H97" s="58">
        <v>0.95599999999999996</v>
      </c>
      <c r="I97" s="59">
        <v>0.80700000000000005</v>
      </c>
      <c r="J97" s="60">
        <v>0.66689999999999994</v>
      </c>
      <c r="K97" s="60">
        <v>0.81459999999999999</v>
      </c>
      <c r="L97" s="58">
        <v>0.91500000000000004</v>
      </c>
      <c r="M97" s="61"/>
      <c r="N97" s="62"/>
      <c r="O97" s="62"/>
      <c r="P97" s="61"/>
      <c r="Q97" s="61"/>
      <c r="R97" s="61"/>
      <c r="S97" s="63">
        <v>2023</v>
      </c>
      <c r="T97" s="64">
        <v>40</v>
      </c>
      <c r="U97" s="60">
        <v>1.0005231684021543</v>
      </c>
      <c r="V97" s="61">
        <v>1</v>
      </c>
      <c r="W97" s="58">
        <v>31.536000000000001</v>
      </c>
    </row>
    <row r="98" spans="3:23">
      <c r="C98" s="55" t="s">
        <v>84</v>
      </c>
      <c r="D98" s="56" t="s">
        <v>339</v>
      </c>
      <c r="E98" s="56" t="s">
        <v>340</v>
      </c>
      <c r="F98" s="56">
        <v>1984</v>
      </c>
      <c r="G98" s="65">
        <v>0.91500000000000004</v>
      </c>
      <c r="H98" s="58">
        <v>0.95599999999999996</v>
      </c>
      <c r="I98" s="59">
        <v>0.80099999999999993</v>
      </c>
      <c r="J98" s="60">
        <v>0.81140000000000001</v>
      </c>
      <c r="K98" s="60">
        <v>0.66189999999999993</v>
      </c>
      <c r="L98" s="58">
        <v>0.91500000000000004</v>
      </c>
      <c r="M98" s="61"/>
      <c r="N98" s="62"/>
      <c r="O98" s="62"/>
      <c r="P98" s="61"/>
      <c r="Q98" s="61"/>
      <c r="R98" s="61"/>
      <c r="S98" s="63">
        <v>2024</v>
      </c>
      <c r="T98" s="64">
        <v>40</v>
      </c>
      <c r="U98" s="60">
        <v>1.0005231684021545</v>
      </c>
      <c r="V98" s="61">
        <v>1</v>
      </c>
      <c r="W98" s="58">
        <v>31.536000000000001</v>
      </c>
    </row>
    <row r="99" spans="3:23">
      <c r="C99" s="55" t="s">
        <v>85</v>
      </c>
      <c r="D99" s="56" t="s">
        <v>339</v>
      </c>
      <c r="E99" s="56" t="s">
        <v>340</v>
      </c>
      <c r="F99" s="56">
        <v>1984</v>
      </c>
      <c r="G99" s="65">
        <v>0.91500000000000004</v>
      </c>
      <c r="H99" s="58">
        <v>0.95599999999999996</v>
      </c>
      <c r="I99" s="59">
        <v>0.82200000000000006</v>
      </c>
      <c r="J99" s="60">
        <v>0.8659</v>
      </c>
      <c r="K99" s="60">
        <v>0.7831999999999999</v>
      </c>
      <c r="L99" s="58">
        <v>0.91500000000000004</v>
      </c>
      <c r="M99" s="61"/>
      <c r="N99" s="62"/>
      <c r="O99" s="62"/>
      <c r="P99" s="61"/>
      <c r="Q99" s="61"/>
      <c r="R99" s="61"/>
      <c r="S99" s="63">
        <v>2024</v>
      </c>
      <c r="T99" s="64">
        <v>40</v>
      </c>
      <c r="U99" s="60">
        <v>1.0005231684021543</v>
      </c>
      <c r="V99" s="61">
        <v>1</v>
      </c>
      <c r="W99" s="58">
        <v>31.536000000000001</v>
      </c>
    </row>
    <row r="100" spans="3:23">
      <c r="C100" s="55" t="s">
        <v>86</v>
      </c>
      <c r="D100" s="56" t="s">
        <v>339</v>
      </c>
      <c r="E100" s="56" t="s">
        <v>340</v>
      </c>
      <c r="F100" s="56">
        <v>1984</v>
      </c>
      <c r="G100" s="65">
        <v>0.91500000000000004</v>
      </c>
      <c r="H100" s="58">
        <v>0.95599999999999996</v>
      </c>
      <c r="I100" s="59">
        <v>0.80200000000000005</v>
      </c>
      <c r="J100" s="60">
        <v>0.78040000000000009</v>
      </c>
      <c r="K100" s="60">
        <v>0.63719999999999999</v>
      </c>
      <c r="L100" s="58">
        <v>0.91500000000000004</v>
      </c>
      <c r="M100" s="61"/>
      <c r="N100" s="62"/>
      <c r="O100" s="62"/>
      <c r="P100" s="61"/>
      <c r="Q100" s="61"/>
      <c r="R100" s="61"/>
      <c r="S100" s="63">
        <v>2024</v>
      </c>
      <c r="T100" s="64">
        <v>40</v>
      </c>
      <c r="U100" s="60">
        <v>1.0005231684021545</v>
      </c>
      <c r="V100" s="61">
        <v>1</v>
      </c>
      <c r="W100" s="58">
        <v>31.536000000000001</v>
      </c>
    </row>
    <row r="101" spans="3:23">
      <c r="C101" s="55" t="s">
        <v>87</v>
      </c>
      <c r="D101" s="56" t="s">
        <v>339</v>
      </c>
      <c r="E101" s="56" t="s">
        <v>340</v>
      </c>
      <c r="F101" s="56">
        <v>1980</v>
      </c>
      <c r="G101" s="65">
        <v>0.89</v>
      </c>
      <c r="H101" s="58">
        <v>0.93700000000000006</v>
      </c>
      <c r="I101" s="59">
        <v>0.77400000000000002</v>
      </c>
      <c r="J101" s="60">
        <v>0.74890000000000001</v>
      </c>
      <c r="K101" s="60">
        <v>0.81540000000000001</v>
      </c>
      <c r="L101" s="58">
        <v>0.89</v>
      </c>
      <c r="M101" s="61"/>
      <c r="N101" s="62"/>
      <c r="O101" s="62"/>
      <c r="P101" s="61"/>
      <c r="Q101" s="61"/>
      <c r="R101" s="61"/>
      <c r="S101" s="63">
        <v>2020</v>
      </c>
      <c r="T101" s="64">
        <v>40</v>
      </c>
      <c r="U101" s="60">
        <v>0.98063829371633726</v>
      </c>
      <c r="V101" s="61">
        <v>1</v>
      </c>
      <c r="W101" s="58">
        <v>31.536000000000001</v>
      </c>
    </row>
    <row r="102" spans="3:23">
      <c r="C102" s="55" t="s">
        <v>88</v>
      </c>
      <c r="D102" s="56" t="s">
        <v>339</v>
      </c>
      <c r="E102" s="56" t="s">
        <v>340</v>
      </c>
      <c r="F102" s="56">
        <v>1980</v>
      </c>
      <c r="G102" s="65">
        <v>0.89</v>
      </c>
      <c r="H102" s="58">
        <v>0.93700000000000006</v>
      </c>
      <c r="I102" s="59">
        <v>0.79200000000000004</v>
      </c>
      <c r="J102" s="60">
        <v>0.67409999999999992</v>
      </c>
      <c r="K102" s="60">
        <v>0.6926000000000001</v>
      </c>
      <c r="L102" s="58">
        <v>0.89</v>
      </c>
      <c r="M102" s="61"/>
      <c r="N102" s="62"/>
      <c r="O102" s="62"/>
      <c r="P102" s="61"/>
      <c r="Q102" s="61"/>
      <c r="R102" s="61"/>
      <c r="S102" s="63">
        <v>2020</v>
      </c>
      <c r="T102" s="64">
        <v>40</v>
      </c>
      <c r="U102" s="60">
        <v>0.98063829371633726</v>
      </c>
      <c r="V102" s="61">
        <v>1</v>
      </c>
      <c r="W102" s="58">
        <v>31.536000000000001</v>
      </c>
    </row>
    <row r="103" spans="3:23">
      <c r="C103" s="55" t="s">
        <v>89</v>
      </c>
      <c r="D103" s="56" t="s">
        <v>339</v>
      </c>
      <c r="E103" s="56" t="s">
        <v>340</v>
      </c>
      <c r="F103" s="56">
        <v>1981</v>
      </c>
      <c r="G103" s="65">
        <v>0.89</v>
      </c>
      <c r="H103" s="58">
        <v>0.93700000000000006</v>
      </c>
      <c r="I103" s="59">
        <v>0.79400000000000004</v>
      </c>
      <c r="J103" s="60">
        <v>0.80059999999999998</v>
      </c>
      <c r="K103" s="60">
        <v>0.85199999999999998</v>
      </c>
      <c r="L103" s="58">
        <v>0.89</v>
      </c>
      <c r="M103" s="61"/>
      <c r="N103" s="62"/>
      <c r="O103" s="62"/>
      <c r="P103" s="61"/>
      <c r="Q103" s="61"/>
      <c r="R103" s="61"/>
      <c r="S103" s="63">
        <v>2021</v>
      </c>
      <c r="T103" s="64">
        <v>40</v>
      </c>
      <c r="U103" s="60">
        <v>0.98063829371633748</v>
      </c>
      <c r="V103" s="61">
        <v>1</v>
      </c>
      <c r="W103" s="58">
        <v>31.536000000000001</v>
      </c>
    </row>
    <row r="104" spans="3:23">
      <c r="C104" s="55" t="s">
        <v>90</v>
      </c>
      <c r="D104" s="56" t="s">
        <v>339</v>
      </c>
      <c r="E104" s="56" t="s">
        <v>340</v>
      </c>
      <c r="F104" s="56">
        <v>1981</v>
      </c>
      <c r="G104" s="65">
        <v>0.89</v>
      </c>
      <c r="H104" s="58">
        <v>0.93700000000000006</v>
      </c>
      <c r="I104" s="59">
        <v>0.78700000000000003</v>
      </c>
      <c r="J104" s="60">
        <v>0.84219999999999995</v>
      </c>
      <c r="K104" s="60">
        <v>0.83019999999999994</v>
      </c>
      <c r="L104" s="58">
        <v>0.89</v>
      </c>
      <c r="M104" s="61"/>
      <c r="N104" s="62"/>
      <c r="O104" s="62"/>
      <c r="P104" s="61"/>
      <c r="Q104" s="61"/>
      <c r="R104" s="61"/>
      <c r="S104" s="63">
        <v>2021</v>
      </c>
      <c r="T104" s="64">
        <v>40</v>
      </c>
      <c r="U104" s="60">
        <v>0.98063829371633748</v>
      </c>
      <c r="V104" s="61">
        <v>1</v>
      </c>
      <c r="W104" s="58">
        <v>31.536000000000001</v>
      </c>
    </row>
    <row r="105" spans="3:23">
      <c r="C105" s="55" t="s">
        <v>91</v>
      </c>
      <c r="D105" s="56" t="s">
        <v>339</v>
      </c>
      <c r="E105" s="56" t="s">
        <v>340</v>
      </c>
      <c r="F105" s="56">
        <v>1977</v>
      </c>
      <c r="G105" s="65">
        <v>0.88</v>
      </c>
      <c r="H105" s="58">
        <v>0.92</v>
      </c>
      <c r="I105" s="59">
        <v>0.71799999999999997</v>
      </c>
      <c r="J105" s="60">
        <v>0.70680000000000009</v>
      </c>
      <c r="K105" s="60">
        <v>0.67220000000000002</v>
      </c>
      <c r="L105" s="58">
        <v>0.88</v>
      </c>
      <c r="M105" s="61"/>
      <c r="N105" s="62"/>
      <c r="O105" s="62"/>
      <c r="P105" s="61"/>
      <c r="Q105" s="61"/>
      <c r="R105" s="61"/>
      <c r="S105" s="63">
        <v>2017</v>
      </c>
      <c r="T105" s="64">
        <v>40</v>
      </c>
      <c r="U105" s="60">
        <v>1.3148390977443607</v>
      </c>
      <c r="V105" s="61">
        <v>1</v>
      </c>
      <c r="W105" s="58">
        <v>31.536000000000001</v>
      </c>
    </row>
    <row r="106" spans="3:23">
      <c r="C106" s="55" t="s">
        <v>92</v>
      </c>
      <c r="D106" s="56" t="s">
        <v>339</v>
      </c>
      <c r="E106" s="56" t="s">
        <v>340</v>
      </c>
      <c r="F106" s="56">
        <v>1977</v>
      </c>
      <c r="G106" s="65">
        <v>0.88</v>
      </c>
      <c r="H106" s="58">
        <v>0.92</v>
      </c>
      <c r="I106" s="59">
        <v>0.73599999999999999</v>
      </c>
      <c r="J106" s="60">
        <v>0.82769999999999999</v>
      </c>
      <c r="K106" s="60">
        <v>0.85270000000000001</v>
      </c>
      <c r="L106" s="58">
        <v>0.88</v>
      </c>
      <c r="M106" s="61"/>
      <c r="N106" s="62"/>
      <c r="O106" s="62"/>
      <c r="P106" s="61"/>
      <c r="Q106" s="61"/>
      <c r="R106" s="61"/>
      <c r="S106" s="63">
        <v>2017</v>
      </c>
      <c r="T106" s="64">
        <v>40</v>
      </c>
      <c r="U106" s="60">
        <v>1.3148390977443609</v>
      </c>
      <c r="V106" s="61">
        <v>1</v>
      </c>
      <c r="W106" s="58">
        <v>31.536000000000001</v>
      </c>
    </row>
    <row r="107" spans="3:23">
      <c r="C107" s="55" t="s">
        <v>93</v>
      </c>
      <c r="D107" s="56" t="s">
        <v>339</v>
      </c>
      <c r="E107" s="56" t="s">
        <v>340</v>
      </c>
      <c r="F107" s="56">
        <v>1985</v>
      </c>
      <c r="G107" s="57">
        <v>1.33</v>
      </c>
      <c r="H107" s="58">
        <v>1.3819999999999999</v>
      </c>
      <c r="I107" s="59">
        <v>0.76200000000000001</v>
      </c>
      <c r="J107" s="60">
        <v>0.78099999999999992</v>
      </c>
      <c r="K107" s="60">
        <v>0.73129999999999995</v>
      </c>
      <c r="L107" s="58">
        <v>1.33</v>
      </c>
      <c r="M107" s="61"/>
      <c r="N107" s="62"/>
      <c r="O107" s="62"/>
      <c r="P107" s="61"/>
      <c r="Q107" s="61"/>
      <c r="R107" s="61"/>
      <c r="S107" s="63">
        <v>2015</v>
      </c>
      <c r="T107" s="64">
        <v>30</v>
      </c>
      <c r="U107" s="60">
        <v>1.0323181556195966</v>
      </c>
      <c r="V107" s="61">
        <v>1</v>
      </c>
      <c r="W107" s="58">
        <v>31.536000000000001</v>
      </c>
    </row>
    <row r="108" spans="3:23">
      <c r="C108" s="55" t="s">
        <v>94</v>
      </c>
      <c r="D108" s="56" t="s">
        <v>339</v>
      </c>
      <c r="E108" s="56" t="s">
        <v>340</v>
      </c>
      <c r="F108" s="56">
        <v>1986</v>
      </c>
      <c r="G108" s="57">
        <v>1.33</v>
      </c>
      <c r="H108" s="58">
        <v>1.3819999999999999</v>
      </c>
      <c r="I108" s="59">
        <v>0.78099999999999992</v>
      </c>
      <c r="J108" s="60">
        <v>0.83939999999999992</v>
      </c>
      <c r="K108" s="60">
        <v>0.65180000000000005</v>
      </c>
      <c r="L108" s="58">
        <v>1.33</v>
      </c>
      <c r="M108" s="61"/>
      <c r="N108" s="62"/>
      <c r="O108" s="62"/>
      <c r="P108" s="61"/>
      <c r="Q108" s="61"/>
      <c r="R108" s="61"/>
      <c r="S108" s="63">
        <v>2016</v>
      </c>
      <c r="T108" s="64">
        <v>30</v>
      </c>
      <c r="U108" s="60">
        <v>1.0323181556195964</v>
      </c>
      <c r="V108" s="61">
        <v>1</v>
      </c>
      <c r="W108" s="58">
        <v>31.536000000000001</v>
      </c>
    </row>
    <row r="109" spans="3:23">
      <c r="C109" s="55" t="s">
        <v>95</v>
      </c>
      <c r="D109" s="56" t="s">
        <v>339</v>
      </c>
      <c r="E109" s="56" t="s">
        <v>340</v>
      </c>
      <c r="F109" s="56">
        <v>1990</v>
      </c>
      <c r="G109" s="57">
        <v>1.31</v>
      </c>
      <c r="H109" s="58">
        <v>1.363</v>
      </c>
      <c r="I109" s="59">
        <v>0.86</v>
      </c>
      <c r="J109" s="60">
        <v>0.754</v>
      </c>
      <c r="K109" s="60">
        <v>0.77459999999999996</v>
      </c>
      <c r="L109" s="58">
        <v>1.31</v>
      </c>
      <c r="M109" s="61"/>
      <c r="N109" s="62"/>
      <c r="O109" s="62"/>
      <c r="P109" s="61"/>
      <c r="Q109" s="61"/>
      <c r="R109" s="61"/>
      <c r="S109" s="63">
        <v>2020</v>
      </c>
      <c r="T109" s="64">
        <v>30</v>
      </c>
      <c r="U109" s="60">
        <v>1.0181256484149859</v>
      </c>
      <c r="V109" s="61">
        <v>1</v>
      </c>
      <c r="W109" s="58">
        <v>31.536000000000001</v>
      </c>
    </row>
    <row r="110" spans="3:23">
      <c r="C110" s="55" t="s">
        <v>96</v>
      </c>
      <c r="D110" s="56" t="s">
        <v>339</v>
      </c>
      <c r="E110" s="56" t="s">
        <v>340</v>
      </c>
      <c r="F110" s="56">
        <v>1993</v>
      </c>
      <c r="G110" s="57">
        <v>1.31</v>
      </c>
      <c r="H110" s="58">
        <v>1.363</v>
      </c>
      <c r="I110" s="59">
        <v>0.8590000000000001</v>
      </c>
      <c r="J110" s="60">
        <v>0.86580000000000001</v>
      </c>
      <c r="K110" s="60">
        <v>0.79090000000000005</v>
      </c>
      <c r="L110" s="58">
        <v>1.31</v>
      </c>
      <c r="M110" s="61"/>
      <c r="N110" s="62"/>
      <c r="O110" s="62"/>
      <c r="P110" s="61"/>
      <c r="Q110" s="61"/>
      <c r="R110" s="61"/>
      <c r="S110" s="63">
        <v>2023</v>
      </c>
      <c r="T110" s="64">
        <v>30</v>
      </c>
      <c r="U110" s="60">
        <v>1.0181256484149857</v>
      </c>
      <c r="V110" s="61">
        <v>1</v>
      </c>
      <c r="W110" s="58">
        <v>31.536000000000001</v>
      </c>
    </row>
    <row r="111" spans="3:23">
      <c r="C111" s="55" t="s">
        <v>97</v>
      </c>
      <c r="D111" s="56" t="s">
        <v>339</v>
      </c>
      <c r="E111" s="56" t="s">
        <v>340</v>
      </c>
      <c r="F111" s="56">
        <v>1980</v>
      </c>
      <c r="G111" s="65">
        <v>0.91</v>
      </c>
      <c r="H111" s="58">
        <v>0.95099999999999996</v>
      </c>
      <c r="I111" s="59">
        <v>0.77300000000000002</v>
      </c>
      <c r="J111" s="60">
        <v>0.77629999999999999</v>
      </c>
      <c r="K111" s="60">
        <v>0.79469999999999996</v>
      </c>
      <c r="L111" s="58">
        <v>0.91</v>
      </c>
      <c r="M111" s="61"/>
      <c r="N111" s="62"/>
      <c r="O111" s="62"/>
      <c r="P111" s="61"/>
      <c r="Q111" s="61"/>
      <c r="R111" s="61"/>
      <c r="S111" s="63">
        <v>2020</v>
      </c>
      <c r="T111" s="64">
        <v>40</v>
      </c>
      <c r="U111" s="60">
        <v>0.99529030664272888</v>
      </c>
      <c r="V111" s="61">
        <v>1</v>
      </c>
      <c r="W111" s="58">
        <v>31.536000000000001</v>
      </c>
    </row>
    <row r="112" spans="3:23">
      <c r="C112" s="55" t="s">
        <v>98</v>
      </c>
      <c r="D112" s="56" t="s">
        <v>339</v>
      </c>
      <c r="E112" s="56" t="s">
        <v>340</v>
      </c>
      <c r="F112" s="56">
        <v>1980</v>
      </c>
      <c r="G112" s="65">
        <v>0.91</v>
      </c>
      <c r="H112" s="58">
        <v>0.95099999999999996</v>
      </c>
      <c r="I112" s="59">
        <v>0.80700000000000005</v>
      </c>
      <c r="J112" s="60">
        <v>0.83069999999999988</v>
      </c>
      <c r="K112" s="60">
        <v>0.6552</v>
      </c>
      <c r="L112" s="58">
        <v>0.91</v>
      </c>
      <c r="M112" s="61"/>
      <c r="N112" s="62"/>
      <c r="O112" s="62"/>
      <c r="P112" s="61"/>
      <c r="Q112" s="61"/>
      <c r="R112" s="61"/>
      <c r="S112" s="63">
        <v>2020</v>
      </c>
      <c r="T112" s="64">
        <v>40</v>
      </c>
      <c r="U112" s="60">
        <v>0.99529030664272888</v>
      </c>
      <c r="V112" s="61">
        <v>1</v>
      </c>
      <c r="W112" s="58">
        <v>31.536000000000001</v>
      </c>
    </row>
    <row r="113" spans="3:23">
      <c r="C113" s="55" t="s">
        <v>99</v>
      </c>
      <c r="D113" s="56" t="s">
        <v>339</v>
      </c>
      <c r="E113" s="56" t="s">
        <v>340</v>
      </c>
      <c r="F113" s="56">
        <v>1980</v>
      </c>
      <c r="G113" s="65">
        <v>0.91</v>
      </c>
      <c r="H113" s="58">
        <v>0.95099999999999996</v>
      </c>
      <c r="I113" s="59">
        <v>0.80099999999999993</v>
      </c>
      <c r="J113" s="60">
        <v>0.76209999999999989</v>
      </c>
      <c r="K113" s="60">
        <v>0.7137</v>
      </c>
      <c r="L113" s="58">
        <v>0.91</v>
      </c>
      <c r="M113" s="61"/>
      <c r="N113" s="62"/>
      <c r="O113" s="62"/>
      <c r="P113" s="61"/>
      <c r="Q113" s="61"/>
      <c r="R113" s="61"/>
      <c r="S113" s="63">
        <v>2020</v>
      </c>
      <c r="T113" s="64">
        <v>40</v>
      </c>
      <c r="U113" s="60">
        <v>0.99529030664272888</v>
      </c>
      <c r="V113" s="61">
        <v>1</v>
      </c>
      <c r="W113" s="58">
        <v>31.536000000000001</v>
      </c>
    </row>
    <row r="114" spans="3:23">
      <c r="C114" s="55" t="s">
        <v>100</v>
      </c>
      <c r="D114" s="56" t="s">
        <v>339</v>
      </c>
      <c r="E114" s="56" t="s">
        <v>340</v>
      </c>
      <c r="F114" s="56">
        <v>1981</v>
      </c>
      <c r="G114" s="65">
        <v>0.91</v>
      </c>
      <c r="H114" s="58">
        <v>0.95099999999999996</v>
      </c>
      <c r="I114" s="59">
        <v>0.81</v>
      </c>
      <c r="J114" s="60">
        <v>0.8075</v>
      </c>
      <c r="K114" s="60">
        <v>0.85120000000000007</v>
      </c>
      <c r="L114" s="58">
        <v>0.91</v>
      </c>
      <c r="M114" s="61"/>
      <c r="N114" s="62"/>
      <c r="O114" s="62"/>
      <c r="P114" s="61"/>
      <c r="Q114" s="61"/>
      <c r="R114" s="61"/>
      <c r="S114" s="63">
        <v>2021</v>
      </c>
      <c r="T114" s="64">
        <v>40</v>
      </c>
      <c r="U114" s="60">
        <v>0.99529030664272888</v>
      </c>
      <c r="V114" s="61">
        <v>1</v>
      </c>
      <c r="W114" s="58">
        <v>31.536000000000001</v>
      </c>
    </row>
    <row r="115" spans="3:23">
      <c r="C115" s="55" t="s">
        <v>101</v>
      </c>
      <c r="D115" s="56" t="s">
        <v>339</v>
      </c>
      <c r="E115" s="56" t="s">
        <v>340</v>
      </c>
      <c r="F115" s="56">
        <v>1984</v>
      </c>
      <c r="G115" s="65">
        <v>0.91</v>
      </c>
      <c r="H115" s="58">
        <v>0.95099999999999996</v>
      </c>
      <c r="I115" s="59">
        <v>0.82599999999999996</v>
      </c>
      <c r="J115" s="60">
        <v>0.80400000000000005</v>
      </c>
      <c r="K115" s="60">
        <v>0.78129999999999999</v>
      </c>
      <c r="L115" s="58">
        <v>0.91</v>
      </c>
      <c r="M115" s="61"/>
      <c r="N115" s="62"/>
      <c r="O115" s="62"/>
      <c r="P115" s="61"/>
      <c r="Q115" s="61"/>
      <c r="R115" s="61"/>
      <c r="S115" s="63">
        <v>2024</v>
      </c>
      <c r="T115" s="64">
        <v>40</v>
      </c>
      <c r="U115" s="60">
        <v>1.3866501974865353</v>
      </c>
      <c r="V115" s="61">
        <v>1</v>
      </c>
      <c r="W115" s="58">
        <v>31.536000000000001</v>
      </c>
    </row>
    <row r="116" spans="3:23">
      <c r="C116" s="55" t="s">
        <v>102</v>
      </c>
      <c r="D116" s="56" t="s">
        <v>339</v>
      </c>
      <c r="E116" s="56" t="s">
        <v>340</v>
      </c>
      <c r="F116" s="56">
        <v>1985</v>
      </c>
      <c r="G116" s="65">
        <v>0.91</v>
      </c>
      <c r="H116" s="58">
        <v>0.95099999999999996</v>
      </c>
      <c r="I116" s="59">
        <v>0.81900000000000006</v>
      </c>
      <c r="J116" s="60">
        <v>0.82</v>
      </c>
      <c r="K116" s="60">
        <v>0.79830000000000001</v>
      </c>
      <c r="L116" s="58">
        <v>0.91</v>
      </c>
      <c r="M116" s="61"/>
      <c r="N116" s="62"/>
      <c r="O116" s="62"/>
      <c r="P116" s="61"/>
      <c r="Q116" s="61"/>
      <c r="R116" s="61"/>
      <c r="S116" s="63">
        <v>2025</v>
      </c>
      <c r="T116" s="64">
        <v>40</v>
      </c>
      <c r="U116" s="60">
        <v>1.3866501974865346</v>
      </c>
      <c r="V116" s="61">
        <v>1</v>
      </c>
      <c r="W116" s="58">
        <v>31.536000000000001</v>
      </c>
    </row>
    <row r="117" spans="3:23">
      <c r="C117" s="55" t="s">
        <v>103</v>
      </c>
      <c r="D117" s="56" t="s">
        <v>339</v>
      </c>
      <c r="E117" s="56" t="s">
        <v>340</v>
      </c>
      <c r="F117" s="56">
        <v>1987</v>
      </c>
      <c r="G117" s="57">
        <v>1.31</v>
      </c>
      <c r="H117" s="58">
        <v>1.363</v>
      </c>
      <c r="I117" s="59">
        <v>0.79299999999999993</v>
      </c>
      <c r="J117" s="60">
        <v>0.74370000000000003</v>
      </c>
      <c r="K117" s="60">
        <v>0.90469999999999995</v>
      </c>
      <c r="L117" s="58">
        <v>1.31</v>
      </c>
      <c r="M117" s="61"/>
      <c r="N117" s="62"/>
      <c r="O117" s="62"/>
      <c r="P117" s="61"/>
      <c r="Q117" s="61"/>
      <c r="R117" s="61"/>
      <c r="S117" s="63">
        <v>2017</v>
      </c>
      <c r="T117" s="64">
        <v>30</v>
      </c>
      <c r="U117" s="60">
        <v>1.0181256484149859</v>
      </c>
      <c r="V117" s="61">
        <v>1</v>
      </c>
      <c r="W117" s="58">
        <v>31.536000000000001</v>
      </c>
    </row>
    <row r="118" spans="3:23">
      <c r="C118" s="55" t="s">
        <v>104</v>
      </c>
      <c r="D118" s="56" t="s">
        <v>339</v>
      </c>
      <c r="E118" s="56" t="s">
        <v>340</v>
      </c>
      <c r="F118" s="56">
        <v>1988</v>
      </c>
      <c r="G118" s="57">
        <v>1.31</v>
      </c>
      <c r="H118" s="58">
        <v>1.363</v>
      </c>
      <c r="I118" s="59">
        <v>0.81900000000000006</v>
      </c>
      <c r="J118" s="60">
        <v>0.73140000000000005</v>
      </c>
      <c r="K118" s="60">
        <v>0.70189999999999997</v>
      </c>
      <c r="L118" s="58">
        <v>1.31</v>
      </c>
      <c r="M118" s="61"/>
      <c r="N118" s="62"/>
      <c r="O118" s="62"/>
      <c r="P118" s="61"/>
      <c r="Q118" s="61"/>
      <c r="R118" s="61"/>
      <c r="S118" s="63">
        <v>2018</v>
      </c>
      <c r="T118" s="64">
        <v>30</v>
      </c>
      <c r="U118" s="60">
        <v>1.0181256484149857</v>
      </c>
      <c r="V118" s="61">
        <v>1</v>
      </c>
      <c r="W118" s="58">
        <v>31.536000000000001</v>
      </c>
    </row>
    <row r="119" spans="3:23">
      <c r="C119" s="55" t="s">
        <v>105</v>
      </c>
      <c r="D119" s="56" t="s">
        <v>339</v>
      </c>
      <c r="E119" s="56" t="s">
        <v>340</v>
      </c>
      <c r="F119" s="56">
        <v>1984</v>
      </c>
      <c r="G119" s="57">
        <v>1.33</v>
      </c>
      <c r="H119" s="58">
        <v>1.3819999999999999</v>
      </c>
      <c r="I119" s="59">
        <v>0.79099999999999993</v>
      </c>
      <c r="J119" s="60">
        <v>0.90689999999999993</v>
      </c>
      <c r="K119" s="60">
        <v>0.71200000000000008</v>
      </c>
      <c r="L119" s="58">
        <v>1.33</v>
      </c>
      <c r="M119" s="61"/>
      <c r="N119" s="62"/>
      <c r="O119" s="62"/>
      <c r="P119" s="61"/>
      <c r="Q119" s="61"/>
      <c r="R119" s="61"/>
      <c r="S119" s="63">
        <v>2014</v>
      </c>
      <c r="T119" s="64">
        <v>30</v>
      </c>
      <c r="U119" s="60">
        <v>1.0323181556195964</v>
      </c>
      <c r="V119" s="61">
        <v>1</v>
      </c>
      <c r="W119" s="58">
        <v>31.536000000000001</v>
      </c>
    </row>
    <row r="120" spans="3:23">
      <c r="C120" s="55" t="s">
        <v>106</v>
      </c>
      <c r="D120" s="56" t="s">
        <v>339</v>
      </c>
      <c r="E120" s="56" t="s">
        <v>340</v>
      </c>
      <c r="F120" s="56">
        <v>1984</v>
      </c>
      <c r="G120" s="57">
        <v>1.33</v>
      </c>
      <c r="H120" s="58">
        <v>1.3819999999999999</v>
      </c>
      <c r="I120" s="59">
        <v>0.77200000000000002</v>
      </c>
      <c r="J120" s="60">
        <v>0.62190000000000001</v>
      </c>
      <c r="K120" s="60">
        <v>0.87629999999999997</v>
      </c>
      <c r="L120" s="58">
        <v>1.33</v>
      </c>
      <c r="M120" s="61"/>
      <c r="N120" s="62"/>
      <c r="O120" s="62"/>
      <c r="P120" s="61"/>
      <c r="Q120" s="61"/>
      <c r="R120" s="61"/>
      <c r="S120" s="63">
        <v>2014</v>
      </c>
      <c r="T120" s="64">
        <v>30</v>
      </c>
      <c r="U120" s="60">
        <v>1.0323181556195964</v>
      </c>
      <c r="V120" s="61">
        <v>1</v>
      </c>
      <c r="W120" s="58">
        <v>31.536000000000001</v>
      </c>
    </row>
    <row r="121" spans="3:23">
      <c r="C121" s="55" t="s">
        <v>107</v>
      </c>
      <c r="D121" s="56" t="s">
        <v>339</v>
      </c>
      <c r="E121" s="56" t="s">
        <v>340</v>
      </c>
      <c r="F121" s="56">
        <v>1985</v>
      </c>
      <c r="G121" s="57">
        <v>1.33</v>
      </c>
      <c r="H121" s="58">
        <v>1.3819999999999999</v>
      </c>
      <c r="I121" s="59">
        <v>0.74299999999999999</v>
      </c>
      <c r="J121" s="60">
        <v>0.70019999999999993</v>
      </c>
      <c r="K121" s="60">
        <v>0.58789999999999998</v>
      </c>
      <c r="L121" s="58">
        <v>1.33</v>
      </c>
      <c r="M121" s="61"/>
      <c r="N121" s="62"/>
      <c r="O121" s="62"/>
      <c r="P121" s="61"/>
      <c r="Q121" s="61"/>
      <c r="R121" s="61"/>
      <c r="S121" s="63">
        <v>2015</v>
      </c>
      <c r="T121" s="64">
        <v>30</v>
      </c>
      <c r="U121" s="60">
        <v>1.0323181556195964</v>
      </c>
      <c r="V121" s="61">
        <v>1</v>
      </c>
      <c r="W121" s="58">
        <v>31.536000000000001</v>
      </c>
    </row>
    <row r="122" spans="3:23">
      <c r="C122" s="55" t="s">
        <v>108</v>
      </c>
      <c r="D122" s="56" t="s">
        <v>339</v>
      </c>
      <c r="E122" s="56" t="s">
        <v>340</v>
      </c>
      <c r="F122" s="56">
        <v>1986</v>
      </c>
      <c r="G122" s="57">
        <v>1.33</v>
      </c>
      <c r="H122" s="58">
        <v>1.3819999999999999</v>
      </c>
      <c r="I122" s="59">
        <v>0.78299999999999992</v>
      </c>
      <c r="J122" s="60">
        <v>0.83090000000000008</v>
      </c>
      <c r="K122" s="60">
        <v>0.66170000000000007</v>
      </c>
      <c r="L122" s="58">
        <v>1.33</v>
      </c>
      <c r="M122" s="61"/>
      <c r="N122" s="62"/>
      <c r="O122" s="62"/>
      <c r="P122" s="61"/>
      <c r="Q122" s="61"/>
      <c r="R122" s="61"/>
      <c r="S122" s="63">
        <v>2016</v>
      </c>
      <c r="T122" s="64">
        <v>30</v>
      </c>
      <c r="U122" s="60">
        <v>1.0323181556195966</v>
      </c>
      <c r="V122" s="61">
        <v>1</v>
      </c>
      <c r="W122" s="58">
        <v>31.536000000000001</v>
      </c>
    </row>
    <row r="123" spans="3:23">
      <c r="C123" s="55" t="s">
        <v>109</v>
      </c>
      <c r="D123" s="56" t="s">
        <v>339</v>
      </c>
      <c r="E123" s="56" t="s">
        <v>340</v>
      </c>
      <c r="F123" s="56">
        <v>1990</v>
      </c>
      <c r="G123" s="57">
        <v>1.33</v>
      </c>
      <c r="H123" s="58">
        <v>1.3819999999999999</v>
      </c>
      <c r="I123" s="59">
        <v>0.81599999999999995</v>
      </c>
      <c r="J123" s="60">
        <v>0.7288</v>
      </c>
      <c r="K123" s="60">
        <v>0.56879999999999997</v>
      </c>
      <c r="L123" s="58">
        <v>1.33</v>
      </c>
      <c r="M123" s="61"/>
      <c r="N123" s="62"/>
      <c r="O123" s="62"/>
      <c r="P123" s="61"/>
      <c r="Q123" s="61"/>
      <c r="R123" s="61"/>
      <c r="S123" s="63">
        <v>2020</v>
      </c>
      <c r="T123" s="64">
        <v>30</v>
      </c>
      <c r="U123" s="60">
        <v>1.0323181556195964</v>
      </c>
      <c r="V123" s="61">
        <v>1</v>
      </c>
      <c r="W123" s="58">
        <v>31.536000000000001</v>
      </c>
    </row>
    <row r="124" spans="3:23">
      <c r="C124" s="55" t="s">
        <v>110</v>
      </c>
      <c r="D124" s="56" t="s">
        <v>339</v>
      </c>
      <c r="E124" s="56" t="s">
        <v>340</v>
      </c>
      <c r="F124" s="56">
        <v>1992</v>
      </c>
      <c r="G124" s="57">
        <v>1.33</v>
      </c>
      <c r="H124" s="58">
        <v>1.3819999999999999</v>
      </c>
      <c r="I124" s="59">
        <v>0.84900000000000009</v>
      </c>
      <c r="J124" s="60">
        <v>0.78129999999999999</v>
      </c>
      <c r="K124" s="60">
        <v>0.85719999999999996</v>
      </c>
      <c r="L124" s="58">
        <v>1.33</v>
      </c>
      <c r="M124" s="61"/>
      <c r="N124" s="62"/>
      <c r="O124" s="62"/>
      <c r="P124" s="61"/>
      <c r="Q124" s="61"/>
      <c r="R124" s="61"/>
      <c r="S124" s="63">
        <v>2022</v>
      </c>
      <c r="T124" s="64">
        <v>30</v>
      </c>
      <c r="U124" s="60">
        <v>1.0323181556195966</v>
      </c>
      <c r="V124" s="61">
        <v>1</v>
      </c>
      <c r="W124" s="58">
        <v>31.536000000000001</v>
      </c>
    </row>
    <row r="125" spans="3:23">
      <c r="C125" s="55" t="s">
        <v>112</v>
      </c>
      <c r="D125" s="56" t="s">
        <v>339</v>
      </c>
      <c r="E125" s="56" t="s">
        <v>340</v>
      </c>
      <c r="F125" s="56">
        <v>1985</v>
      </c>
      <c r="G125" s="57">
        <v>1.335</v>
      </c>
      <c r="H125" s="58">
        <v>1.381</v>
      </c>
      <c r="I125" s="59">
        <v>0.754</v>
      </c>
      <c r="J125" s="60">
        <v>0.82909999999999995</v>
      </c>
      <c r="K125" s="60">
        <v>0.92010000000000003</v>
      </c>
      <c r="L125" s="58">
        <v>1.335</v>
      </c>
      <c r="M125" s="61"/>
      <c r="N125" s="62"/>
      <c r="O125" s="62"/>
      <c r="P125" s="61"/>
      <c r="Q125" s="61"/>
      <c r="R125" s="61"/>
      <c r="S125" s="63">
        <v>2015</v>
      </c>
      <c r="T125" s="64">
        <v>30</v>
      </c>
      <c r="U125" s="60">
        <v>1.0315711815561959</v>
      </c>
      <c r="V125" s="61">
        <v>1</v>
      </c>
      <c r="W125" s="58">
        <v>31.536000000000001</v>
      </c>
    </row>
    <row r="126" spans="3:23">
      <c r="C126" s="55" t="s">
        <v>113</v>
      </c>
      <c r="D126" s="56" t="s">
        <v>339</v>
      </c>
      <c r="E126" s="56" t="s">
        <v>340</v>
      </c>
      <c r="F126" s="56">
        <v>1986</v>
      </c>
      <c r="G126" s="57">
        <v>1.335</v>
      </c>
      <c r="H126" s="58">
        <v>1.381</v>
      </c>
      <c r="I126" s="59">
        <v>0.77200000000000002</v>
      </c>
      <c r="J126" s="60">
        <v>0.61880000000000002</v>
      </c>
      <c r="K126" s="60">
        <v>0.70950000000000002</v>
      </c>
      <c r="L126" s="58">
        <v>1.335</v>
      </c>
      <c r="M126" s="61"/>
      <c r="N126" s="62"/>
      <c r="O126" s="62"/>
      <c r="P126" s="61"/>
      <c r="Q126" s="61"/>
      <c r="R126" s="61"/>
      <c r="S126" s="63">
        <v>2016</v>
      </c>
      <c r="T126" s="64">
        <v>30</v>
      </c>
      <c r="U126" s="60">
        <v>1.0315711815561959</v>
      </c>
      <c r="V126" s="61">
        <v>1</v>
      </c>
      <c r="W126" s="58">
        <v>31.536000000000001</v>
      </c>
    </row>
    <row r="127" spans="3:23">
      <c r="C127" s="55" t="s">
        <v>114</v>
      </c>
      <c r="D127" s="56" t="s">
        <v>339</v>
      </c>
      <c r="E127" s="56" t="s">
        <v>340</v>
      </c>
      <c r="F127" s="56">
        <v>1981</v>
      </c>
      <c r="G127" s="65">
        <v>0.91500000000000004</v>
      </c>
      <c r="H127" s="58">
        <v>0.95599999999999996</v>
      </c>
      <c r="I127" s="59">
        <v>0.78599999999999992</v>
      </c>
      <c r="J127" s="60">
        <v>0.67159999999999997</v>
      </c>
      <c r="K127" s="60">
        <v>0.84860000000000002</v>
      </c>
      <c r="L127" s="58">
        <v>0.91500000000000004</v>
      </c>
      <c r="M127" s="61"/>
      <c r="N127" s="62"/>
      <c r="O127" s="62"/>
      <c r="P127" s="61"/>
      <c r="Q127" s="61"/>
      <c r="R127" s="61"/>
      <c r="S127" s="63">
        <v>2021</v>
      </c>
      <c r="T127" s="64">
        <v>40</v>
      </c>
      <c r="U127" s="60">
        <v>1.0005231684021543</v>
      </c>
      <c r="V127" s="61">
        <v>1</v>
      </c>
      <c r="W127" s="58">
        <v>31.536000000000001</v>
      </c>
    </row>
    <row r="128" spans="3:23">
      <c r="C128" s="55" t="s">
        <v>115</v>
      </c>
      <c r="D128" s="56" t="s">
        <v>339</v>
      </c>
      <c r="E128" s="56" t="s">
        <v>340</v>
      </c>
      <c r="F128" s="56">
        <v>1981</v>
      </c>
      <c r="G128" s="65">
        <v>0.91500000000000004</v>
      </c>
      <c r="H128" s="58">
        <v>0.95599999999999996</v>
      </c>
      <c r="I128" s="59">
        <v>0.78599999999999992</v>
      </c>
      <c r="J128" s="60">
        <v>0.71450000000000002</v>
      </c>
      <c r="K128" s="60">
        <v>0.83519999999999994</v>
      </c>
      <c r="L128" s="58">
        <v>0.91500000000000004</v>
      </c>
      <c r="M128" s="61"/>
      <c r="N128" s="62"/>
      <c r="O128" s="62"/>
      <c r="P128" s="61"/>
      <c r="Q128" s="61"/>
      <c r="R128" s="61"/>
      <c r="S128" s="63">
        <v>2021</v>
      </c>
      <c r="T128" s="64">
        <v>40</v>
      </c>
      <c r="U128" s="60">
        <v>1.0005231684021543</v>
      </c>
      <c r="V128" s="61">
        <v>1</v>
      </c>
      <c r="W128" s="58">
        <v>31.536000000000001</v>
      </c>
    </row>
    <row r="129" spans="3:23">
      <c r="C129" s="55" t="s">
        <v>116</v>
      </c>
      <c r="D129" s="56" t="s">
        <v>339</v>
      </c>
      <c r="E129" s="56" t="s">
        <v>340</v>
      </c>
      <c r="F129" s="56">
        <v>1980</v>
      </c>
      <c r="G129" s="65">
        <v>0.91500000000000004</v>
      </c>
      <c r="H129" s="58">
        <v>0.95499999999999996</v>
      </c>
      <c r="I129" s="59">
        <v>0.79700000000000004</v>
      </c>
      <c r="J129" s="60">
        <v>0.72739999999999994</v>
      </c>
      <c r="K129" s="60">
        <v>0.83440000000000003</v>
      </c>
      <c r="L129" s="58">
        <v>0.91500000000000004</v>
      </c>
      <c r="M129" s="61"/>
      <c r="N129" s="62"/>
      <c r="O129" s="62"/>
      <c r="P129" s="61"/>
      <c r="Q129" s="61"/>
      <c r="R129" s="61"/>
      <c r="S129" s="63">
        <v>2020</v>
      </c>
      <c r="T129" s="64">
        <v>40</v>
      </c>
      <c r="U129" s="60">
        <v>1.2443461400359064</v>
      </c>
      <c r="V129" s="61">
        <v>1</v>
      </c>
      <c r="W129" s="58">
        <v>31.536000000000001</v>
      </c>
    </row>
    <row r="130" spans="3:23">
      <c r="C130" s="55" t="s">
        <v>117</v>
      </c>
      <c r="D130" s="56" t="s">
        <v>339</v>
      </c>
      <c r="E130" s="56" t="s">
        <v>340</v>
      </c>
      <c r="F130" s="56">
        <v>1980</v>
      </c>
      <c r="G130" s="65">
        <v>0.91500000000000004</v>
      </c>
      <c r="H130" s="58">
        <v>0.95499999999999996</v>
      </c>
      <c r="I130" s="59">
        <v>0.78799999999999992</v>
      </c>
      <c r="J130" s="60">
        <v>0.73329999999999995</v>
      </c>
      <c r="K130" s="60">
        <v>0.80689999999999995</v>
      </c>
      <c r="L130" s="58">
        <v>0.91500000000000004</v>
      </c>
      <c r="M130" s="61"/>
      <c r="N130" s="62"/>
      <c r="O130" s="62"/>
      <c r="P130" s="61"/>
      <c r="Q130" s="61"/>
      <c r="R130" s="61"/>
      <c r="S130" s="63">
        <v>2020</v>
      </c>
      <c r="T130" s="64">
        <v>40</v>
      </c>
      <c r="U130" s="60">
        <v>0.99947659605026917</v>
      </c>
      <c r="V130" s="61">
        <v>1</v>
      </c>
      <c r="W130" s="58">
        <v>31.536000000000001</v>
      </c>
    </row>
    <row r="131" spans="3:23">
      <c r="C131" s="55" t="s">
        <v>118</v>
      </c>
      <c r="D131" s="56" t="s">
        <v>339</v>
      </c>
      <c r="E131" s="56" t="s">
        <v>340</v>
      </c>
      <c r="F131" s="56">
        <v>1981</v>
      </c>
      <c r="G131" s="65">
        <v>0.91500000000000004</v>
      </c>
      <c r="H131" s="58">
        <v>0.95499999999999996</v>
      </c>
      <c r="I131" s="59">
        <v>0.80900000000000005</v>
      </c>
      <c r="J131" s="60">
        <v>0.81870000000000009</v>
      </c>
      <c r="K131" s="60">
        <v>0.78069999999999995</v>
      </c>
      <c r="L131" s="58">
        <v>0.91500000000000004</v>
      </c>
      <c r="M131" s="61"/>
      <c r="N131" s="62"/>
      <c r="O131" s="62"/>
      <c r="P131" s="61"/>
      <c r="Q131" s="61"/>
      <c r="R131" s="61"/>
      <c r="S131" s="63">
        <v>2021</v>
      </c>
      <c r="T131" s="64">
        <v>40</v>
      </c>
      <c r="U131" s="60">
        <v>0.99947659605026917</v>
      </c>
      <c r="V131" s="61">
        <v>1</v>
      </c>
      <c r="W131" s="58">
        <v>31.536000000000001</v>
      </c>
    </row>
    <row r="132" spans="3:23">
      <c r="C132" s="55" t="s">
        <v>119</v>
      </c>
      <c r="D132" s="56" t="s">
        <v>339</v>
      </c>
      <c r="E132" s="56" t="s">
        <v>340</v>
      </c>
      <c r="F132" s="56">
        <v>1981</v>
      </c>
      <c r="G132" s="65">
        <v>0.91500000000000004</v>
      </c>
      <c r="H132" s="58">
        <v>0.95499999999999996</v>
      </c>
      <c r="I132" s="59">
        <v>0.82200000000000006</v>
      </c>
      <c r="J132" s="60">
        <v>0.81099999999999994</v>
      </c>
      <c r="K132" s="60">
        <v>0.78150000000000008</v>
      </c>
      <c r="L132" s="58">
        <v>0.91500000000000004</v>
      </c>
      <c r="M132" s="61"/>
      <c r="N132" s="62"/>
      <c r="O132" s="62"/>
      <c r="P132" s="61"/>
      <c r="Q132" s="61"/>
      <c r="R132" s="61"/>
      <c r="S132" s="63">
        <v>2021</v>
      </c>
      <c r="T132" s="64">
        <v>40</v>
      </c>
      <c r="U132" s="60">
        <v>0.99947659605026895</v>
      </c>
      <c r="V132" s="61">
        <v>1</v>
      </c>
      <c r="W132" s="58">
        <v>31.536000000000001</v>
      </c>
    </row>
    <row r="133" spans="3:23">
      <c r="C133" s="67" t="s">
        <v>242</v>
      </c>
      <c r="D133" s="68" t="s">
        <v>339</v>
      </c>
      <c r="E133" s="68" t="s">
        <v>340</v>
      </c>
      <c r="F133" s="68">
        <v>2016</v>
      </c>
      <c r="G133" s="69">
        <v>1.63</v>
      </c>
      <c r="H133" s="69">
        <v>1.75</v>
      </c>
      <c r="I133" s="70">
        <v>0.85</v>
      </c>
      <c r="J133" s="70">
        <v>0.85</v>
      </c>
      <c r="K133" s="70"/>
      <c r="L133" s="70"/>
      <c r="M133" s="71"/>
      <c r="N133" s="69">
        <v>1.63</v>
      </c>
      <c r="O133" s="71">
        <v>2016</v>
      </c>
      <c r="P133" s="71">
        <v>2016</v>
      </c>
      <c r="Q133" s="71"/>
      <c r="R133" s="71"/>
      <c r="S133" s="72">
        <v>2066</v>
      </c>
      <c r="T133" s="73">
        <v>50</v>
      </c>
      <c r="U133" s="70">
        <v>1.8532799999999996</v>
      </c>
      <c r="V133" s="71">
        <v>1</v>
      </c>
      <c r="W133" s="69">
        <v>31.536000000000001</v>
      </c>
    </row>
    <row r="134" spans="3:23">
      <c r="C134" s="67" t="s">
        <v>244</v>
      </c>
      <c r="D134" s="68" t="s">
        <v>339</v>
      </c>
      <c r="E134" s="68" t="s">
        <v>340</v>
      </c>
      <c r="F134" s="68">
        <v>2017</v>
      </c>
      <c r="G134" s="69">
        <v>1.63</v>
      </c>
      <c r="H134" s="69">
        <v>1.75</v>
      </c>
      <c r="I134" s="71">
        <v>0.85</v>
      </c>
      <c r="J134" s="71">
        <v>0.85</v>
      </c>
      <c r="K134" s="70"/>
      <c r="L134" s="70"/>
      <c r="M134" s="71"/>
      <c r="N134" s="69">
        <v>1.63</v>
      </c>
      <c r="O134" s="71">
        <v>2017</v>
      </c>
      <c r="P134" s="71">
        <v>2017</v>
      </c>
      <c r="Q134" s="71"/>
      <c r="R134" s="71"/>
      <c r="S134" s="72">
        <v>2067</v>
      </c>
      <c r="T134" s="73">
        <v>50</v>
      </c>
      <c r="U134" s="70">
        <v>1.8532799999999996</v>
      </c>
      <c r="V134" s="71">
        <v>1</v>
      </c>
      <c r="W134" s="69">
        <v>31.536000000000001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C578-D64A-440E-A50A-98703CEA6A1E}">
  <dimension ref="A1:N40"/>
  <sheetViews>
    <sheetView workbookViewId="0">
      <selection activeCell="I10" sqref="I10"/>
    </sheetView>
  </sheetViews>
  <sheetFormatPr defaultRowHeight="15"/>
  <cols>
    <col min="2" max="2" width="27.140625" bestFit="1" customWidth="1"/>
    <col min="3" max="3" width="11" bestFit="1" customWidth="1"/>
    <col min="4" max="4" width="10.85546875" bestFit="1" customWidth="1"/>
    <col min="9" max="9" width="22.7109375" customWidth="1"/>
    <col min="13" max="13" width="23.7109375" bestFit="1" customWidth="1"/>
  </cols>
  <sheetData>
    <row r="1" spans="1:14" ht="15.75" thickBot="1"/>
    <row r="2" spans="1:14" ht="26.25" thickBot="1">
      <c r="B2" t="s">
        <v>219</v>
      </c>
      <c r="C2" t="s">
        <v>220</v>
      </c>
      <c r="D2" t="s">
        <v>221</v>
      </c>
      <c r="E2" t="s">
        <v>222</v>
      </c>
      <c r="H2" s="18" t="s">
        <v>206</v>
      </c>
      <c r="I2" s="19" t="s">
        <v>223</v>
      </c>
      <c r="J2" s="19" t="s">
        <v>224</v>
      </c>
      <c r="K2" s="20" t="s">
        <v>225</v>
      </c>
      <c r="M2" s="21" t="s">
        <v>226</v>
      </c>
    </row>
    <row r="3" spans="1:14" ht="12.95" customHeight="1" thickBot="1">
      <c r="A3" t="s">
        <v>227</v>
      </c>
      <c r="B3" t="s">
        <v>228</v>
      </c>
      <c r="C3" t="s">
        <v>229</v>
      </c>
      <c r="D3" t="s">
        <v>229</v>
      </c>
      <c r="E3" t="s">
        <v>230</v>
      </c>
      <c r="H3" s="22" t="s">
        <v>231</v>
      </c>
      <c r="I3" s="23" t="s">
        <v>232</v>
      </c>
      <c r="J3" s="24"/>
      <c r="K3" s="25" t="s">
        <v>233</v>
      </c>
      <c r="M3" s="26" t="s">
        <v>232</v>
      </c>
      <c r="N3" s="26">
        <v>2013</v>
      </c>
    </row>
    <row r="4" spans="1:14" ht="12.95" customHeight="1" thickBot="1">
      <c r="A4" t="s">
        <v>234</v>
      </c>
      <c r="B4" s="27" t="s">
        <v>232</v>
      </c>
      <c r="C4" s="27">
        <v>1.06</v>
      </c>
      <c r="D4" s="27">
        <v>2012</v>
      </c>
      <c r="E4" s="27"/>
      <c r="H4" s="28" t="s">
        <v>231</v>
      </c>
      <c r="I4" s="29" t="s">
        <v>235</v>
      </c>
      <c r="J4" s="30"/>
      <c r="K4" s="31" t="s">
        <v>233</v>
      </c>
      <c r="M4" s="26" t="s">
        <v>235</v>
      </c>
      <c r="N4" s="26">
        <v>2014</v>
      </c>
    </row>
    <row r="5" spans="1:14" ht="12.95" customHeight="1" thickBot="1">
      <c r="A5" t="s">
        <v>234</v>
      </c>
      <c r="B5" s="27" t="s">
        <v>235</v>
      </c>
      <c r="C5" s="27">
        <v>1.06</v>
      </c>
      <c r="D5" s="27">
        <v>2013</v>
      </c>
      <c r="E5" s="27"/>
      <c r="H5" s="22" t="s">
        <v>231</v>
      </c>
      <c r="I5" s="23" t="s">
        <v>236</v>
      </c>
      <c r="J5" s="24">
        <v>1</v>
      </c>
      <c r="K5" s="25"/>
      <c r="M5" s="26" t="s">
        <v>237</v>
      </c>
      <c r="N5" s="26">
        <v>2023</v>
      </c>
    </row>
    <row r="6" spans="1:14" ht="12.95" customHeight="1" thickBot="1">
      <c r="B6" t="s">
        <v>236</v>
      </c>
      <c r="E6">
        <v>1</v>
      </c>
      <c r="H6" s="28" t="s">
        <v>238</v>
      </c>
      <c r="I6" s="29" t="s">
        <v>239</v>
      </c>
      <c r="J6" s="30">
        <v>1.1399999999999999</v>
      </c>
      <c r="K6" s="31"/>
      <c r="M6" s="26" t="s">
        <v>240</v>
      </c>
      <c r="N6" s="26">
        <v>2024</v>
      </c>
    </row>
    <row r="7" spans="1:14" ht="12.95" customHeight="1" thickBot="1">
      <c r="B7" t="s">
        <v>239</v>
      </c>
      <c r="E7">
        <v>1.1407699901283299</v>
      </c>
      <c r="H7" s="22" t="s">
        <v>238</v>
      </c>
      <c r="I7" s="23" t="s">
        <v>237</v>
      </c>
      <c r="J7" s="24">
        <v>1.1399999999999999</v>
      </c>
      <c r="K7" s="25"/>
      <c r="M7" s="26" t="s">
        <v>241</v>
      </c>
      <c r="N7" s="26">
        <v>2013</v>
      </c>
    </row>
    <row r="8" spans="1:14" ht="12.95" customHeight="1" thickBot="1">
      <c r="B8" t="s">
        <v>237</v>
      </c>
      <c r="C8">
        <v>1.1407699901283299</v>
      </c>
      <c r="D8">
        <v>2022</v>
      </c>
      <c r="H8" s="28" t="s">
        <v>238</v>
      </c>
      <c r="I8" s="29" t="s">
        <v>240</v>
      </c>
      <c r="J8" s="30">
        <v>1.1399999999999999</v>
      </c>
      <c r="K8" s="31"/>
      <c r="M8" s="26" t="s">
        <v>242</v>
      </c>
      <c r="N8" s="26">
        <v>2016</v>
      </c>
    </row>
    <row r="9" spans="1:14" ht="12.95" customHeight="1" thickBot="1">
      <c r="B9" t="s">
        <v>240</v>
      </c>
      <c r="C9">
        <v>1.1407699901283299</v>
      </c>
      <c r="D9">
        <v>2023</v>
      </c>
      <c r="H9" s="22" t="s">
        <v>243</v>
      </c>
      <c r="I9" s="23" t="s">
        <v>241</v>
      </c>
      <c r="J9" s="24">
        <v>1.6</v>
      </c>
      <c r="K9" s="25"/>
      <c r="M9" s="26" t="s">
        <v>244</v>
      </c>
      <c r="N9" s="26">
        <v>2017</v>
      </c>
    </row>
    <row r="10" spans="1:14" ht="12.95" customHeight="1" thickBot="1">
      <c r="B10" t="s">
        <v>241</v>
      </c>
      <c r="C10">
        <v>1.6</v>
      </c>
      <c r="D10">
        <v>2012</v>
      </c>
      <c r="H10" s="28" t="s">
        <v>243</v>
      </c>
      <c r="I10" s="29" t="s">
        <v>245</v>
      </c>
      <c r="J10" s="30">
        <v>1.5</v>
      </c>
      <c r="K10" s="31" t="s">
        <v>246</v>
      </c>
      <c r="M10" s="26" t="s">
        <v>247</v>
      </c>
      <c r="N10" s="26">
        <v>2026</v>
      </c>
    </row>
    <row r="11" spans="1:14" ht="12.95" customHeight="1" thickBot="1">
      <c r="B11" t="s">
        <v>242</v>
      </c>
      <c r="C11">
        <v>1.63</v>
      </c>
      <c r="D11">
        <v>2015</v>
      </c>
      <c r="H11" s="22" t="s">
        <v>243</v>
      </c>
      <c r="I11" s="23" t="s">
        <v>248</v>
      </c>
      <c r="J11" s="24">
        <v>1.5</v>
      </c>
      <c r="K11" s="25"/>
      <c r="M11" s="26" t="s">
        <v>249</v>
      </c>
      <c r="N11" s="26">
        <v>2031</v>
      </c>
    </row>
    <row r="12" spans="1:14" ht="12.95" customHeight="1" thickBot="1">
      <c r="B12" t="s">
        <v>247</v>
      </c>
      <c r="C12">
        <v>1.3953500000000001</v>
      </c>
      <c r="D12">
        <v>2025</v>
      </c>
      <c r="H12" s="28" t="s">
        <v>250</v>
      </c>
      <c r="I12" s="29" t="s">
        <v>242</v>
      </c>
      <c r="J12" s="30">
        <v>1.63</v>
      </c>
      <c r="K12" s="31"/>
      <c r="M12" s="26" t="s">
        <v>251</v>
      </c>
      <c r="N12" s="26">
        <v>2016</v>
      </c>
    </row>
    <row r="13" spans="1:14" ht="12.95" customHeight="1" thickBot="1">
      <c r="A13" t="s">
        <v>252</v>
      </c>
      <c r="B13" t="s">
        <v>249</v>
      </c>
      <c r="C13">
        <v>1.3953500000000001</v>
      </c>
      <c r="D13">
        <v>2030</v>
      </c>
      <c r="H13" s="22" t="s">
        <v>250</v>
      </c>
      <c r="I13" s="23" t="s">
        <v>244</v>
      </c>
      <c r="J13" s="24"/>
      <c r="K13" s="25" t="s">
        <v>233</v>
      </c>
      <c r="M13" s="26" t="s">
        <v>253</v>
      </c>
      <c r="N13" s="26">
        <v>2017</v>
      </c>
    </row>
    <row r="14" spans="1:14" ht="12.95" customHeight="1" thickBot="1">
      <c r="B14" t="s">
        <v>254</v>
      </c>
      <c r="E14">
        <v>1.35</v>
      </c>
      <c r="H14" s="28" t="s">
        <v>255</v>
      </c>
      <c r="I14" s="29" t="s">
        <v>247</v>
      </c>
      <c r="J14" s="30">
        <v>1.39</v>
      </c>
      <c r="K14" s="31"/>
      <c r="M14" s="26" t="s">
        <v>256</v>
      </c>
      <c r="N14" s="26">
        <v>2012</v>
      </c>
    </row>
    <row r="15" spans="1:14" ht="12.95" customHeight="1" thickBot="1">
      <c r="B15" s="27" t="s">
        <v>257</v>
      </c>
      <c r="C15" s="27"/>
      <c r="D15" s="27"/>
      <c r="E15" s="27">
        <v>1.2</v>
      </c>
      <c r="H15" s="22" t="s">
        <v>255</v>
      </c>
      <c r="I15" s="23" t="s">
        <v>249</v>
      </c>
      <c r="J15" s="24">
        <v>1.39</v>
      </c>
      <c r="K15" s="25"/>
      <c r="M15" s="26" t="s">
        <v>258</v>
      </c>
      <c r="N15" s="26">
        <v>2013</v>
      </c>
    </row>
    <row r="16" spans="1:14" ht="12.95" customHeight="1" thickBot="1">
      <c r="B16" t="s">
        <v>259</v>
      </c>
      <c r="E16">
        <v>3</v>
      </c>
      <c r="H16" s="28" t="s">
        <v>260</v>
      </c>
      <c r="I16" s="29" t="s">
        <v>261</v>
      </c>
      <c r="J16" s="30">
        <v>1.35</v>
      </c>
      <c r="K16" s="31"/>
      <c r="M16" s="26" t="s">
        <v>262</v>
      </c>
      <c r="N16" s="26">
        <v>2018</v>
      </c>
    </row>
    <row r="17" spans="1:14" ht="12.95" customHeight="1" thickBot="1">
      <c r="B17" t="s">
        <v>263</v>
      </c>
      <c r="E17">
        <v>3</v>
      </c>
      <c r="H17" s="22" t="s">
        <v>264</v>
      </c>
      <c r="I17" s="23" t="s">
        <v>257</v>
      </c>
      <c r="J17" s="24"/>
      <c r="K17" s="25" t="s">
        <v>233</v>
      </c>
      <c r="M17" s="26" t="s">
        <v>265</v>
      </c>
      <c r="N17" s="26">
        <v>2019</v>
      </c>
    </row>
    <row r="18" spans="1:14" ht="12.95" customHeight="1" thickBot="1">
      <c r="B18" t="s">
        <v>251</v>
      </c>
      <c r="D18">
        <v>2015</v>
      </c>
      <c r="E18">
        <v>0.72</v>
      </c>
      <c r="H18" s="28" t="s">
        <v>266</v>
      </c>
      <c r="I18" s="29" t="s">
        <v>259</v>
      </c>
      <c r="J18" s="30">
        <v>3</v>
      </c>
      <c r="K18" s="31"/>
      <c r="M18" s="26" t="s">
        <v>267</v>
      </c>
      <c r="N18" s="26">
        <v>2020</v>
      </c>
    </row>
    <row r="19" spans="1:14" ht="12.95" customHeight="1" thickBot="1">
      <c r="B19" t="s">
        <v>253</v>
      </c>
      <c r="D19">
        <v>2016</v>
      </c>
      <c r="E19">
        <v>0.72</v>
      </c>
      <c r="H19" s="22" t="s">
        <v>266</v>
      </c>
      <c r="I19" s="23" t="s">
        <v>263</v>
      </c>
      <c r="J19" s="24">
        <v>3</v>
      </c>
      <c r="K19" s="25"/>
      <c r="M19" s="26" t="s">
        <v>268</v>
      </c>
      <c r="N19" s="26">
        <v>2022</v>
      </c>
    </row>
    <row r="20" spans="1:14" ht="12.95" customHeight="1" thickBot="1">
      <c r="B20" s="27" t="s">
        <v>269</v>
      </c>
      <c r="C20" s="27"/>
      <c r="D20" s="27"/>
      <c r="E20" s="27">
        <v>1</v>
      </c>
      <c r="H20" s="28" t="s">
        <v>270</v>
      </c>
      <c r="I20" s="29" t="s">
        <v>251</v>
      </c>
      <c r="J20" s="30">
        <v>0.72</v>
      </c>
      <c r="K20" s="31"/>
    </row>
    <row r="21" spans="1:14" ht="12.95" customHeight="1" thickBot="1">
      <c r="A21" t="s">
        <v>252</v>
      </c>
      <c r="B21" t="s">
        <v>271</v>
      </c>
      <c r="E21">
        <v>1.6</v>
      </c>
      <c r="H21" s="22" t="s">
        <v>270</v>
      </c>
      <c r="I21" s="23" t="s">
        <v>253</v>
      </c>
      <c r="J21" s="24">
        <v>0.72</v>
      </c>
      <c r="K21" s="25"/>
    </row>
    <row r="22" spans="1:14" ht="12.95" customHeight="1" thickBot="1">
      <c r="B22" t="s">
        <v>272</v>
      </c>
      <c r="E22">
        <v>1</v>
      </c>
      <c r="H22" s="28" t="s">
        <v>273</v>
      </c>
      <c r="I22" s="29" t="s">
        <v>271</v>
      </c>
      <c r="J22" s="30">
        <v>1.6</v>
      </c>
      <c r="K22" s="31"/>
    </row>
    <row r="23" spans="1:14" ht="12.95" customHeight="1" thickBot="1">
      <c r="B23" t="s">
        <v>274</v>
      </c>
      <c r="E23">
        <v>1.2</v>
      </c>
      <c r="H23" s="22" t="s">
        <v>275</v>
      </c>
      <c r="I23" s="23" t="s">
        <v>272</v>
      </c>
      <c r="J23" s="24">
        <v>1</v>
      </c>
      <c r="K23" s="25"/>
    </row>
    <row r="24" spans="1:14" ht="12.95" customHeight="1" thickBot="1">
      <c r="B24" t="s">
        <v>256</v>
      </c>
      <c r="C24">
        <v>0.39100000000000001</v>
      </c>
      <c r="D24">
        <v>2011</v>
      </c>
      <c r="H24" s="28" t="s">
        <v>275</v>
      </c>
      <c r="I24" s="29" t="s">
        <v>274</v>
      </c>
      <c r="J24" s="30">
        <v>1.2</v>
      </c>
      <c r="K24" s="31"/>
    </row>
    <row r="25" spans="1:14" ht="12.95" customHeight="1" thickBot="1">
      <c r="B25" t="s">
        <v>258</v>
      </c>
      <c r="C25">
        <v>0.39100000000000001</v>
      </c>
      <c r="D25">
        <v>2012</v>
      </c>
      <c r="H25" s="22" t="s">
        <v>275</v>
      </c>
      <c r="I25" s="23" t="s">
        <v>256</v>
      </c>
      <c r="J25" s="24">
        <v>0.39</v>
      </c>
      <c r="K25" s="25" t="s">
        <v>276</v>
      </c>
    </row>
    <row r="26" spans="1:14" ht="12.95" customHeight="1" thickBot="1">
      <c r="A26" t="s">
        <v>252</v>
      </c>
      <c r="B26" t="s">
        <v>262</v>
      </c>
      <c r="C26">
        <v>1.51537037037037</v>
      </c>
      <c r="D26">
        <v>2017</v>
      </c>
      <c r="H26" s="28" t="s">
        <v>275</v>
      </c>
      <c r="I26" s="29" t="s">
        <v>258</v>
      </c>
      <c r="J26" s="30">
        <v>0.39</v>
      </c>
      <c r="K26" s="31" t="s">
        <v>276</v>
      </c>
    </row>
    <row r="27" spans="1:14" ht="12.95" customHeight="1" thickBot="1">
      <c r="B27" t="s">
        <v>265</v>
      </c>
      <c r="C27">
        <v>1.51537037037037</v>
      </c>
      <c r="D27">
        <v>2018</v>
      </c>
      <c r="H27" s="22" t="s">
        <v>277</v>
      </c>
      <c r="I27" s="23" t="s">
        <v>262</v>
      </c>
      <c r="J27" s="24">
        <v>1.52</v>
      </c>
      <c r="K27" s="25"/>
    </row>
    <row r="28" spans="1:14" ht="12.95" customHeight="1" thickBot="1">
      <c r="B28" t="s">
        <v>278</v>
      </c>
      <c r="E28">
        <v>3.6</v>
      </c>
      <c r="H28" s="28" t="s">
        <v>277</v>
      </c>
      <c r="I28" s="29" t="s">
        <v>265</v>
      </c>
      <c r="J28" s="30">
        <v>1.52</v>
      </c>
      <c r="K28" s="31"/>
    </row>
    <row r="29" spans="1:14" ht="12.95" customHeight="1" thickBot="1">
      <c r="B29" t="s">
        <v>279</v>
      </c>
      <c r="E29">
        <v>3.5</v>
      </c>
      <c r="H29" s="22" t="s">
        <v>277</v>
      </c>
      <c r="I29" s="23" t="s">
        <v>278</v>
      </c>
      <c r="J29" s="24">
        <v>3.6</v>
      </c>
      <c r="K29" s="25"/>
    </row>
    <row r="30" spans="1:14" ht="12.95" customHeight="1" thickBot="1">
      <c r="B30" t="s">
        <v>267</v>
      </c>
      <c r="C30">
        <v>1.51537037037037</v>
      </c>
      <c r="D30">
        <v>2019</v>
      </c>
      <c r="H30" s="28" t="s">
        <v>277</v>
      </c>
      <c r="I30" s="29" t="s">
        <v>279</v>
      </c>
      <c r="J30" s="30">
        <v>3.5</v>
      </c>
      <c r="K30" s="31"/>
    </row>
    <row r="31" spans="1:14" ht="12.95" customHeight="1" thickBot="1">
      <c r="B31" t="s">
        <v>268</v>
      </c>
      <c r="C31">
        <v>1.51537037037037</v>
      </c>
      <c r="D31">
        <v>2021</v>
      </c>
      <c r="H31" s="22" t="s">
        <v>277</v>
      </c>
      <c r="I31" s="23" t="s">
        <v>267</v>
      </c>
      <c r="J31" s="24">
        <v>1.52</v>
      </c>
      <c r="K31" s="25"/>
    </row>
    <row r="32" spans="1:14" ht="12.95" customHeight="1" thickBot="1">
      <c r="B32" t="s">
        <v>280</v>
      </c>
      <c r="E32">
        <v>5</v>
      </c>
      <c r="H32" s="28" t="s">
        <v>277</v>
      </c>
      <c r="I32" s="29" t="s">
        <v>268</v>
      </c>
      <c r="J32" s="30">
        <v>1.52</v>
      </c>
      <c r="K32" s="31"/>
    </row>
    <row r="33" spans="8:11" ht="12.95" customHeight="1" thickBot="1">
      <c r="H33" s="22" t="s">
        <v>277</v>
      </c>
      <c r="I33" s="23" t="s">
        <v>280</v>
      </c>
      <c r="J33" s="24">
        <v>5</v>
      </c>
      <c r="K33" s="25"/>
    </row>
    <row r="34" spans="8:11" ht="12.95" customHeight="1"/>
    <row r="35" spans="8:11" ht="12.95" customHeight="1"/>
    <row r="36" spans="8:11" ht="12.95" customHeight="1"/>
    <row r="37" spans="8:11" ht="12.95" customHeight="1"/>
    <row r="38" spans="8:11" ht="12.95" customHeight="1"/>
    <row r="39" spans="8:11" ht="12.95" customHeight="1"/>
    <row r="40" spans="8:11" ht="12.9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D15F-6874-454F-94D2-25BB2169A465}">
  <dimension ref="B2:M67"/>
  <sheetViews>
    <sheetView tabSelected="1" workbookViewId="0">
      <selection activeCell="D39" sqref="D39"/>
    </sheetView>
  </sheetViews>
  <sheetFormatPr defaultRowHeight="15"/>
  <cols>
    <col min="2" max="2" width="21.28515625" customWidth="1"/>
    <col min="3" max="4" width="20.85546875" bestFit="1" customWidth="1"/>
    <col min="5" max="5" width="13.5703125" customWidth="1"/>
    <col min="6" max="6" width="13.28515625" bestFit="1" customWidth="1"/>
    <col min="7" max="7" width="16.5703125" customWidth="1"/>
    <col min="9" max="9" width="27.140625" bestFit="1" customWidth="1"/>
    <col min="10" max="10" width="10.85546875" bestFit="1" customWidth="1"/>
  </cols>
  <sheetData>
    <row r="2" spans="2:13">
      <c r="B2" s="32" t="s">
        <v>281</v>
      </c>
      <c r="C2" s="32"/>
      <c r="D2" s="32"/>
      <c r="E2" s="32"/>
      <c r="F2" s="32"/>
      <c r="G2" s="32"/>
      <c r="H2" s="32"/>
      <c r="I2" s="32"/>
      <c r="J2" s="32"/>
    </row>
    <row r="3" spans="2:13">
      <c r="B3" s="33" t="s">
        <v>282</v>
      </c>
      <c r="C3" s="33" t="s">
        <v>219</v>
      </c>
      <c r="D3" s="33" t="s">
        <v>213</v>
      </c>
      <c r="E3" s="33" t="s">
        <v>191</v>
      </c>
      <c r="F3" s="33" t="s">
        <v>283</v>
      </c>
      <c r="G3" s="33" t="s">
        <v>284</v>
      </c>
      <c r="H3" s="33" t="s">
        <v>285</v>
      </c>
      <c r="I3" s="34" t="s">
        <v>215</v>
      </c>
      <c r="J3" s="35" t="s">
        <v>286</v>
      </c>
    </row>
    <row r="4" spans="2:13">
      <c r="D4" t="s">
        <v>287</v>
      </c>
      <c r="J4">
        <v>1</v>
      </c>
    </row>
    <row r="8" spans="2:13">
      <c r="B8" s="14" t="s">
        <v>212</v>
      </c>
      <c r="I8" t="s">
        <v>288</v>
      </c>
    </row>
    <row r="9" spans="2:13" ht="15.75" thickBot="1">
      <c r="B9" s="15" t="s">
        <v>282</v>
      </c>
      <c r="C9" s="15" t="s">
        <v>219</v>
      </c>
      <c r="D9" s="15" t="s">
        <v>213</v>
      </c>
      <c r="E9" s="16" t="s">
        <v>214</v>
      </c>
      <c r="F9" s="17" t="s">
        <v>215</v>
      </c>
    </row>
    <row r="10" spans="2:13">
      <c r="D10" t="s">
        <v>289</v>
      </c>
      <c r="E10">
        <v>2100</v>
      </c>
      <c r="F10" s="26" t="s">
        <v>269</v>
      </c>
    </row>
    <row r="12" spans="2:13">
      <c r="C12" s="26"/>
      <c r="E12" s="26"/>
    </row>
    <row r="15" spans="2:13">
      <c r="B15" s="36" t="s">
        <v>281</v>
      </c>
      <c r="H15" t="s">
        <v>290</v>
      </c>
    </row>
    <row r="16" spans="2:13" ht="15.75" thickBot="1">
      <c r="B16" s="37" t="s">
        <v>291</v>
      </c>
      <c r="C16" s="37" t="s">
        <v>213</v>
      </c>
      <c r="D16" s="37" t="s">
        <v>191</v>
      </c>
      <c r="E16" s="37" t="s">
        <v>219</v>
      </c>
      <c r="F16" s="37" t="s">
        <v>286</v>
      </c>
      <c r="H16" t="s">
        <v>292</v>
      </c>
      <c r="I16" t="s">
        <v>0</v>
      </c>
      <c r="J16" t="s">
        <v>213</v>
      </c>
      <c r="K16" t="s">
        <v>191</v>
      </c>
      <c r="L16" t="s">
        <v>293</v>
      </c>
      <c r="M16" t="s">
        <v>294</v>
      </c>
    </row>
    <row r="17" spans="2:13">
      <c r="B17" t="str">
        <f>I17</f>
        <v>ENBG_BELENE-1</v>
      </c>
      <c r="C17" t="str">
        <f t="shared" ref="C17:E20" si="0">J17</f>
        <v>NCAP_BND</v>
      </c>
      <c r="D17">
        <f t="shared" si="0"/>
        <v>2013</v>
      </c>
      <c r="E17" t="str">
        <f t="shared" si="0"/>
        <v>FX</v>
      </c>
      <c r="F17">
        <v>0</v>
      </c>
      <c r="H17" t="s">
        <v>12</v>
      </c>
      <c r="I17" t="s">
        <v>232</v>
      </c>
      <c r="J17" t="s">
        <v>229</v>
      </c>
      <c r="K17">
        <v>2013</v>
      </c>
      <c r="L17" t="s">
        <v>220</v>
      </c>
      <c r="M17">
        <v>1.06</v>
      </c>
    </row>
    <row r="18" spans="2:13">
      <c r="B18" t="str">
        <f t="shared" ref="B18:B20" si="1">I18</f>
        <v>ENBG_BELENE-1</v>
      </c>
      <c r="C18" t="str">
        <f t="shared" si="0"/>
        <v>NCAP_BND</v>
      </c>
      <c r="D18">
        <f t="shared" si="0"/>
        <v>2013</v>
      </c>
      <c r="E18" t="str">
        <f t="shared" si="0"/>
        <v>N</v>
      </c>
      <c r="F18">
        <v>0</v>
      </c>
      <c r="H18" t="s">
        <v>12</v>
      </c>
      <c r="I18" t="s">
        <v>232</v>
      </c>
      <c r="J18" t="s">
        <v>229</v>
      </c>
      <c r="K18">
        <v>2013</v>
      </c>
      <c r="L18" t="s">
        <v>221</v>
      </c>
      <c r="M18">
        <v>2012</v>
      </c>
    </row>
    <row r="19" spans="2:13">
      <c r="B19" t="str">
        <f t="shared" si="1"/>
        <v>ENBG_BELENE-2</v>
      </c>
      <c r="C19" t="str">
        <f t="shared" si="0"/>
        <v>NCAP_BND</v>
      </c>
      <c r="D19">
        <f t="shared" si="0"/>
        <v>2014</v>
      </c>
      <c r="E19" t="str">
        <f t="shared" si="0"/>
        <v>FX</v>
      </c>
      <c r="F19">
        <v>0</v>
      </c>
      <c r="H19" t="s">
        <v>12</v>
      </c>
      <c r="I19" t="s">
        <v>235</v>
      </c>
      <c r="J19" t="s">
        <v>229</v>
      </c>
      <c r="K19">
        <v>2014</v>
      </c>
      <c r="L19" t="s">
        <v>220</v>
      </c>
      <c r="M19">
        <v>1.06</v>
      </c>
    </row>
    <row r="20" spans="2:13">
      <c r="B20" t="str">
        <f t="shared" si="1"/>
        <v>ENBG_BELENE-2</v>
      </c>
      <c r="C20" t="str">
        <f t="shared" si="0"/>
        <v>NCAP_BND</v>
      </c>
      <c r="D20">
        <f t="shared" si="0"/>
        <v>2014</v>
      </c>
      <c r="E20" t="str">
        <f t="shared" si="0"/>
        <v>N</v>
      </c>
      <c r="F20">
        <v>0</v>
      </c>
      <c r="H20" t="s">
        <v>12</v>
      </c>
      <c r="I20" t="s">
        <v>235</v>
      </c>
      <c r="J20" t="s">
        <v>229</v>
      </c>
      <c r="K20">
        <v>2014</v>
      </c>
      <c r="L20" t="s">
        <v>221</v>
      </c>
      <c r="M20">
        <v>2013</v>
      </c>
    </row>
    <row r="21" spans="2:13">
      <c r="B21" t="s">
        <v>232</v>
      </c>
      <c r="C21" t="s">
        <v>230</v>
      </c>
      <c r="E21" t="s">
        <v>222</v>
      </c>
      <c r="F21">
        <f>M17</f>
        <v>1.06</v>
      </c>
      <c r="H21" t="s">
        <v>12</v>
      </c>
      <c r="I21" t="s">
        <v>236</v>
      </c>
      <c r="J21" t="s">
        <v>230</v>
      </c>
      <c r="K21">
        <v>2026</v>
      </c>
      <c r="L21" t="s">
        <v>222</v>
      </c>
      <c r="M21">
        <v>1</v>
      </c>
    </row>
    <row r="22" spans="2:13">
      <c r="B22" t="s">
        <v>235</v>
      </c>
      <c r="C22" t="s">
        <v>230</v>
      </c>
      <c r="E22" t="s">
        <v>222</v>
      </c>
      <c r="F22">
        <f>M19</f>
        <v>1.06</v>
      </c>
      <c r="H22" t="s">
        <v>23</v>
      </c>
      <c r="I22" t="s">
        <v>239</v>
      </c>
      <c r="J22" t="s">
        <v>230</v>
      </c>
      <c r="K22">
        <v>2025</v>
      </c>
      <c r="L22" t="s">
        <v>222</v>
      </c>
      <c r="M22">
        <v>1.1407699901283299</v>
      </c>
    </row>
    <row r="23" spans="2:13">
      <c r="B23" t="str">
        <f t="shared" ref="B23:E24" si="2">I31</f>
        <v>ENFR_FLAMANVILLE-3</v>
      </c>
      <c r="C23" t="str">
        <f t="shared" si="2"/>
        <v>NCAP_BND</v>
      </c>
      <c r="D23">
        <f t="shared" si="2"/>
        <v>2016</v>
      </c>
      <c r="E23" t="str">
        <f t="shared" si="2"/>
        <v>FX</v>
      </c>
      <c r="F23">
        <v>0</v>
      </c>
      <c r="H23" t="s">
        <v>23</v>
      </c>
      <c r="I23" t="s">
        <v>237</v>
      </c>
      <c r="J23" t="s">
        <v>229</v>
      </c>
      <c r="K23">
        <v>2023</v>
      </c>
      <c r="L23" t="s">
        <v>220</v>
      </c>
      <c r="M23">
        <v>1.1407699901283299</v>
      </c>
    </row>
    <row r="24" spans="2:13">
      <c r="B24" t="str">
        <f t="shared" si="2"/>
        <v>ENFR_FLAMANVILLE-3</v>
      </c>
      <c r="C24" t="str">
        <f t="shared" si="2"/>
        <v>NCAP_BND</v>
      </c>
      <c r="D24">
        <f t="shared" si="2"/>
        <v>2016</v>
      </c>
      <c r="E24" t="str">
        <f t="shared" si="2"/>
        <v>N</v>
      </c>
      <c r="F24">
        <v>0</v>
      </c>
      <c r="H24" t="s">
        <v>23</v>
      </c>
      <c r="I24" t="s">
        <v>237</v>
      </c>
      <c r="J24" t="s">
        <v>229</v>
      </c>
      <c r="K24">
        <v>2023</v>
      </c>
      <c r="L24" t="s">
        <v>221</v>
      </c>
      <c r="M24">
        <v>2022</v>
      </c>
    </row>
    <row r="25" spans="2:13">
      <c r="B25" t="str">
        <f>B24</f>
        <v>ENFR_FLAMANVILLE-3</v>
      </c>
      <c r="C25" t="str">
        <f>C22</f>
        <v>CAP_BND</v>
      </c>
      <c r="E25" t="s">
        <v>222</v>
      </c>
      <c r="F25">
        <f>M31</f>
        <v>1.63</v>
      </c>
      <c r="H25" t="s">
        <v>23</v>
      </c>
      <c r="I25" t="s">
        <v>240</v>
      </c>
      <c r="J25" t="s">
        <v>229</v>
      </c>
      <c r="K25">
        <v>2024</v>
      </c>
      <c r="L25" t="s">
        <v>220</v>
      </c>
      <c r="M25">
        <v>1.1407699901283299</v>
      </c>
    </row>
    <row r="26" spans="2:13">
      <c r="H26" t="s">
        <v>23</v>
      </c>
      <c r="I26" t="s">
        <v>240</v>
      </c>
      <c r="J26" t="s">
        <v>229</v>
      </c>
      <c r="K26">
        <v>2024</v>
      </c>
      <c r="L26" t="s">
        <v>221</v>
      </c>
      <c r="M26">
        <v>2023</v>
      </c>
    </row>
    <row r="27" spans="2:13">
      <c r="H27" t="s">
        <v>56</v>
      </c>
      <c r="I27" t="s">
        <v>241</v>
      </c>
      <c r="J27" t="s">
        <v>229</v>
      </c>
      <c r="K27">
        <v>2013</v>
      </c>
      <c r="L27" t="s">
        <v>220</v>
      </c>
      <c r="M27">
        <v>1.6</v>
      </c>
    </row>
    <row r="28" spans="2:13">
      <c r="H28" t="s">
        <v>56</v>
      </c>
      <c r="I28" t="s">
        <v>241</v>
      </c>
      <c r="J28" t="s">
        <v>229</v>
      </c>
      <c r="K28">
        <v>2013</v>
      </c>
      <c r="L28" t="s">
        <v>221</v>
      </c>
      <c r="M28">
        <v>2012</v>
      </c>
    </row>
    <row r="29" spans="2:13">
      <c r="H29" t="s">
        <v>56</v>
      </c>
      <c r="I29" t="s">
        <v>245</v>
      </c>
      <c r="J29" t="s">
        <v>230</v>
      </c>
      <c r="K29">
        <v>2020</v>
      </c>
      <c r="L29" t="s">
        <v>222</v>
      </c>
      <c r="M29">
        <v>1.5</v>
      </c>
    </row>
    <row r="30" spans="2:13">
      <c r="H30" t="s">
        <v>56</v>
      </c>
      <c r="I30" t="s">
        <v>248</v>
      </c>
      <c r="J30" t="s">
        <v>230</v>
      </c>
      <c r="K30">
        <v>2020</v>
      </c>
      <c r="L30" t="s">
        <v>222</v>
      </c>
      <c r="M30">
        <v>1.5</v>
      </c>
    </row>
    <row r="31" spans="2:13">
      <c r="H31" t="s">
        <v>3</v>
      </c>
      <c r="I31" t="s">
        <v>242</v>
      </c>
      <c r="J31" t="s">
        <v>229</v>
      </c>
      <c r="K31">
        <v>2016</v>
      </c>
      <c r="L31" t="s">
        <v>220</v>
      </c>
      <c r="M31">
        <v>1.63</v>
      </c>
    </row>
    <row r="32" spans="2:13">
      <c r="H32" t="s">
        <v>3</v>
      </c>
      <c r="I32" t="s">
        <v>242</v>
      </c>
      <c r="J32" t="s">
        <v>229</v>
      </c>
      <c r="K32">
        <v>2016</v>
      </c>
      <c r="L32" t="s">
        <v>221</v>
      </c>
      <c r="M32">
        <v>2015</v>
      </c>
    </row>
    <row r="33" spans="8:13">
      <c r="H33" t="s">
        <v>120</v>
      </c>
      <c r="I33" t="s">
        <v>247</v>
      </c>
      <c r="J33" t="s">
        <v>229</v>
      </c>
      <c r="K33">
        <v>2026</v>
      </c>
      <c r="L33" t="s">
        <v>220</v>
      </c>
      <c r="M33">
        <v>1.3953500000000001</v>
      </c>
    </row>
    <row r="34" spans="8:13">
      <c r="H34" t="s">
        <v>120</v>
      </c>
      <c r="I34" t="s">
        <v>247</v>
      </c>
      <c r="J34" t="s">
        <v>229</v>
      </c>
      <c r="K34">
        <v>2026</v>
      </c>
      <c r="L34" t="s">
        <v>221</v>
      </c>
      <c r="M34">
        <v>2025</v>
      </c>
    </row>
    <row r="35" spans="8:13">
      <c r="H35" t="s">
        <v>120</v>
      </c>
      <c r="I35" t="s">
        <v>249</v>
      </c>
      <c r="J35" t="s">
        <v>229</v>
      </c>
      <c r="K35">
        <v>2031</v>
      </c>
      <c r="L35" t="s">
        <v>220</v>
      </c>
      <c r="M35">
        <v>1.3953500000000001</v>
      </c>
    </row>
    <row r="36" spans="8:13">
      <c r="H36" t="s">
        <v>120</v>
      </c>
      <c r="I36" t="s">
        <v>249</v>
      </c>
      <c r="J36" t="s">
        <v>229</v>
      </c>
      <c r="K36">
        <v>2031</v>
      </c>
      <c r="L36" t="s">
        <v>221</v>
      </c>
      <c r="M36">
        <v>2030</v>
      </c>
    </row>
    <row r="37" spans="8:13">
      <c r="H37" t="s">
        <v>295</v>
      </c>
      <c r="I37" t="s">
        <v>296</v>
      </c>
      <c r="J37" t="s">
        <v>230</v>
      </c>
      <c r="K37">
        <v>2020</v>
      </c>
      <c r="L37" t="s">
        <v>222</v>
      </c>
      <c r="M37">
        <v>1.65</v>
      </c>
    </row>
    <row r="38" spans="8:13">
      <c r="H38" t="s">
        <v>295</v>
      </c>
      <c r="I38" t="s">
        <v>297</v>
      </c>
      <c r="J38" t="s">
        <v>230</v>
      </c>
      <c r="K38">
        <v>2020</v>
      </c>
      <c r="L38" t="s">
        <v>222</v>
      </c>
      <c r="M38">
        <v>1.65</v>
      </c>
    </row>
    <row r="39" spans="8:13">
      <c r="H39" t="s">
        <v>295</v>
      </c>
      <c r="I39" t="s">
        <v>298</v>
      </c>
      <c r="J39" t="s">
        <v>230</v>
      </c>
      <c r="K39">
        <v>2020</v>
      </c>
      <c r="L39" t="s">
        <v>222</v>
      </c>
      <c r="M39">
        <v>1.65</v>
      </c>
    </row>
    <row r="40" spans="8:13">
      <c r="H40" t="s">
        <v>295</v>
      </c>
      <c r="I40" t="s">
        <v>299</v>
      </c>
      <c r="J40" t="s">
        <v>230</v>
      </c>
      <c r="K40">
        <v>2020</v>
      </c>
      <c r="L40" t="s">
        <v>222</v>
      </c>
      <c r="M40">
        <v>1.65</v>
      </c>
    </row>
    <row r="41" spans="8:13">
      <c r="H41" t="s">
        <v>125</v>
      </c>
      <c r="I41" t="s">
        <v>254</v>
      </c>
      <c r="J41" t="s">
        <v>230</v>
      </c>
      <c r="K41">
        <v>2020</v>
      </c>
      <c r="L41" t="s">
        <v>222</v>
      </c>
      <c r="M41">
        <v>1.35</v>
      </c>
    </row>
    <row r="42" spans="8:13">
      <c r="H42" t="s">
        <v>128</v>
      </c>
      <c r="I42" t="s">
        <v>257</v>
      </c>
      <c r="J42" t="s">
        <v>230</v>
      </c>
      <c r="K42">
        <v>2018</v>
      </c>
      <c r="L42" t="s">
        <v>222</v>
      </c>
      <c r="M42">
        <v>1.2</v>
      </c>
    </row>
    <row r="43" spans="8:13">
      <c r="H43" t="s">
        <v>300</v>
      </c>
      <c r="I43" t="s">
        <v>259</v>
      </c>
      <c r="J43" t="s">
        <v>230</v>
      </c>
      <c r="K43">
        <v>2020</v>
      </c>
      <c r="L43" t="s">
        <v>222</v>
      </c>
      <c r="M43">
        <v>3</v>
      </c>
    </row>
    <row r="44" spans="8:13">
      <c r="H44" t="s">
        <v>300</v>
      </c>
      <c r="I44" t="s">
        <v>263</v>
      </c>
      <c r="J44" t="s">
        <v>230</v>
      </c>
      <c r="K44">
        <v>2020</v>
      </c>
      <c r="L44" t="s">
        <v>222</v>
      </c>
      <c r="M44">
        <v>3</v>
      </c>
    </row>
    <row r="45" spans="8:13">
      <c r="H45" t="s">
        <v>130</v>
      </c>
      <c r="I45" t="s">
        <v>251</v>
      </c>
      <c r="J45" t="s">
        <v>230</v>
      </c>
      <c r="K45">
        <v>2016</v>
      </c>
      <c r="L45" t="s">
        <v>222</v>
      </c>
      <c r="M45">
        <v>0.72</v>
      </c>
    </row>
    <row r="46" spans="8:13">
      <c r="H46" t="s">
        <v>130</v>
      </c>
      <c r="I46" t="s">
        <v>251</v>
      </c>
      <c r="J46" t="s">
        <v>229</v>
      </c>
      <c r="K46">
        <v>2016</v>
      </c>
      <c r="L46" t="s">
        <v>221</v>
      </c>
      <c r="M46">
        <v>2015</v>
      </c>
    </row>
    <row r="47" spans="8:13">
      <c r="H47" t="s">
        <v>130</v>
      </c>
      <c r="I47" t="s">
        <v>253</v>
      </c>
      <c r="J47" t="s">
        <v>230</v>
      </c>
      <c r="K47">
        <v>2017</v>
      </c>
      <c r="L47" t="s">
        <v>222</v>
      </c>
      <c r="M47">
        <v>0.72</v>
      </c>
    </row>
    <row r="48" spans="8:13">
      <c r="H48" t="s">
        <v>130</v>
      </c>
      <c r="I48" t="s">
        <v>253</v>
      </c>
      <c r="J48" t="s">
        <v>229</v>
      </c>
      <c r="K48">
        <v>2017</v>
      </c>
      <c r="L48" t="s">
        <v>221</v>
      </c>
      <c r="M48">
        <v>2016</v>
      </c>
    </row>
    <row r="49" spans="8:13">
      <c r="H49" t="s">
        <v>130</v>
      </c>
      <c r="I49" t="s">
        <v>269</v>
      </c>
      <c r="J49" t="s">
        <v>230</v>
      </c>
      <c r="K49">
        <v>2030</v>
      </c>
      <c r="L49" t="s">
        <v>222</v>
      </c>
      <c r="M49">
        <v>1</v>
      </c>
    </row>
    <row r="50" spans="8:13">
      <c r="H50" t="s">
        <v>144</v>
      </c>
      <c r="I50" t="s">
        <v>271</v>
      </c>
      <c r="J50" t="s">
        <v>230</v>
      </c>
      <c r="K50">
        <v>2026</v>
      </c>
      <c r="L50" t="s">
        <v>222</v>
      </c>
      <c r="M50">
        <v>1.6</v>
      </c>
    </row>
    <row r="51" spans="8:13">
      <c r="H51" t="s">
        <v>146</v>
      </c>
      <c r="I51" t="s">
        <v>272</v>
      </c>
      <c r="J51" t="s">
        <v>230</v>
      </c>
      <c r="K51">
        <v>2025</v>
      </c>
      <c r="L51" t="s">
        <v>222</v>
      </c>
      <c r="M51">
        <v>1</v>
      </c>
    </row>
    <row r="52" spans="8:13">
      <c r="H52" t="s">
        <v>146</v>
      </c>
      <c r="I52" t="s">
        <v>274</v>
      </c>
      <c r="J52" t="s">
        <v>230</v>
      </c>
      <c r="K52">
        <v>2025</v>
      </c>
      <c r="L52" t="s">
        <v>222</v>
      </c>
      <c r="M52">
        <v>1.2</v>
      </c>
    </row>
    <row r="53" spans="8:13">
      <c r="H53" t="s">
        <v>146</v>
      </c>
      <c r="I53" t="s">
        <v>256</v>
      </c>
      <c r="J53" t="s">
        <v>229</v>
      </c>
      <c r="K53">
        <v>2012</v>
      </c>
      <c r="L53" t="s">
        <v>220</v>
      </c>
      <c r="M53">
        <v>0.39100000000000001</v>
      </c>
    </row>
    <row r="54" spans="8:13">
      <c r="H54" t="s">
        <v>146</v>
      </c>
      <c r="I54" t="s">
        <v>256</v>
      </c>
      <c r="J54" t="s">
        <v>229</v>
      </c>
      <c r="K54">
        <v>2012</v>
      </c>
      <c r="L54" t="s">
        <v>221</v>
      </c>
      <c r="M54">
        <v>2011</v>
      </c>
    </row>
    <row r="55" spans="8:13">
      <c r="H55" t="s">
        <v>146</v>
      </c>
      <c r="I55" t="s">
        <v>258</v>
      </c>
      <c r="J55" t="s">
        <v>229</v>
      </c>
      <c r="K55">
        <v>2013</v>
      </c>
      <c r="L55" t="s">
        <v>220</v>
      </c>
      <c r="M55">
        <v>0.39100000000000001</v>
      </c>
    </row>
    <row r="56" spans="8:13">
      <c r="H56" t="s">
        <v>146</v>
      </c>
      <c r="I56" t="s">
        <v>258</v>
      </c>
      <c r="J56" t="s">
        <v>229</v>
      </c>
      <c r="K56">
        <v>2013</v>
      </c>
      <c r="L56" t="s">
        <v>221</v>
      </c>
      <c r="M56">
        <v>2012</v>
      </c>
    </row>
    <row r="57" spans="8:13">
      <c r="H57" t="s">
        <v>153</v>
      </c>
      <c r="I57" t="s">
        <v>262</v>
      </c>
      <c r="J57" t="s">
        <v>229</v>
      </c>
      <c r="K57">
        <v>2018</v>
      </c>
      <c r="L57" t="s">
        <v>221</v>
      </c>
      <c r="M57">
        <v>2017</v>
      </c>
    </row>
    <row r="58" spans="8:13">
      <c r="H58" t="s">
        <v>153</v>
      </c>
      <c r="I58" t="s">
        <v>262</v>
      </c>
      <c r="J58" t="s">
        <v>229</v>
      </c>
      <c r="K58">
        <v>2023</v>
      </c>
      <c r="L58" t="s">
        <v>220</v>
      </c>
      <c r="M58">
        <v>1.51537037037037</v>
      </c>
    </row>
    <row r="59" spans="8:13">
      <c r="H59" t="s">
        <v>153</v>
      </c>
      <c r="I59" t="s">
        <v>265</v>
      </c>
      <c r="J59" t="s">
        <v>229</v>
      </c>
      <c r="K59">
        <v>2019</v>
      </c>
      <c r="L59" t="s">
        <v>221</v>
      </c>
      <c r="M59">
        <v>2018</v>
      </c>
    </row>
    <row r="60" spans="8:13">
      <c r="H60" t="s">
        <v>153</v>
      </c>
      <c r="I60" t="s">
        <v>265</v>
      </c>
      <c r="J60" t="s">
        <v>229</v>
      </c>
      <c r="K60">
        <v>2023</v>
      </c>
      <c r="L60" t="s">
        <v>220</v>
      </c>
      <c r="M60">
        <v>1.51537037037037</v>
      </c>
    </row>
    <row r="61" spans="8:13">
      <c r="H61" t="s">
        <v>153</v>
      </c>
      <c r="I61" t="s">
        <v>278</v>
      </c>
      <c r="J61" t="s">
        <v>230</v>
      </c>
      <c r="K61">
        <v>2023</v>
      </c>
      <c r="L61" t="s">
        <v>222</v>
      </c>
      <c r="M61">
        <v>3.6</v>
      </c>
    </row>
    <row r="62" spans="8:13">
      <c r="H62" t="s">
        <v>153</v>
      </c>
      <c r="I62" t="s">
        <v>279</v>
      </c>
      <c r="J62" t="s">
        <v>230</v>
      </c>
      <c r="K62">
        <v>2023</v>
      </c>
      <c r="L62" t="s">
        <v>222</v>
      </c>
      <c r="M62">
        <v>3.5</v>
      </c>
    </row>
    <row r="63" spans="8:13">
      <c r="H63" t="s">
        <v>153</v>
      </c>
      <c r="I63" t="s">
        <v>267</v>
      </c>
      <c r="J63" t="s">
        <v>229</v>
      </c>
      <c r="K63">
        <v>2020</v>
      </c>
      <c r="L63" t="s">
        <v>221</v>
      </c>
      <c r="M63">
        <v>2019</v>
      </c>
    </row>
    <row r="64" spans="8:13">
      <c r="H64" t="s">
        <v>153</v>
      </c>
      <c r="I64" t="s">
        <v>267</v>
      </c>
      <c r="J64" t="s">
        <v>229</v>
      </c>
      <c r="K64">
        <v>2023</v>
      </c>
      <c r="L64" t="s">
        <v>220</v>
      </c>
      <c r="M64">
        <v>1.51537037037037</v>
      </c>
    </row>
    <row r="65" spans="8:13">
      <c r="H65" t="s">
        <v>153</v>
      </c>
      <c r="I65" t="s">
        <v>268</v>
      </c>
      <c r="J65" t="s">
        <v>229</v>
      </c>
      <c r="K65">
        <v>2022</v>
      </c>
      <c r="L65" t="s">
        <v>221</v>
      </c>
      <c r="M65">
        <v>2021</v>
      </c>
    </row>
    <row r="66" spans="8:13">
      <c r="H66" t="s">
        <v>153</v>
      </c>
      <c r="I66" t="s">
        <v>268</v>
      </c>
      <c r="J66" t="s">
        <v>229</v>
      </c>
      <c r="K66">
        <v>2023</v>
      </c>
      <c r="L66" t="s">
        <v>220</v>
      </c>
      <c r="M66">
        <v>1.51537037037037</v>
      </c>
    </row>
    <row r="67" spans="8:13">
      <c r="H67" t="s">
        <v>153</v>
      </c>
      <c r="I67" t="s">
        <v>280</v>
      </c>
      <c r="J67" t="s">
        <v>230</v>
      </c>
      <c r="K67">
        <v>2023</v>
      </c>
      <c r="L67" t="s">
        <v>222</v>
      </c>
      <c r="M67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4"/>
  <sheetViews>
    <sheetView workbookViewId="0">
      <selection activeCell="B5" sqref="B5"/>
    </sheetView>
  </sheetViews>
  <sheetFormatPr defaultRowHeight="15"/>
  <sheetData>
    <row r="3" spans="2:2">
      <c r="B3" t="s">
        <v>216</v>
      </c>
    </row>
    <row r="4" spans="2:2">
      <c r="B4" t="s">
        <v>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57"/>
  <sheetViews>
    <sheetView workbookViewId="0">
      <selection activeCell="H60" sqref="H60"/>
    </sheetView>
  </sheetViews>
  <sheetFormatPr defaultRowHeight="15"/>
  <cols>
    <col min="2" max="2" width="15.28515625" customWidth="1"/>
    <col min="3" max="3" width="25" customWidth="1"/>
  </cols>
  <sheetData>
    <row r="2" spans="2:4">
      <c r="B2" s="14" t="s">
        <v>212</v>
      </c>
    </row>
    <row r="3" spans="2:4" ht="15.75" thickBot="1">
      <c r="B3" s="15" t="s">
        <v>213</v>
      </c>
      <c r="C3" s="17" t="s">
        <v>215</v>
      </c>
      <c r="D3" s="16" t="s">
        <v>214</v>
      </c>
    </row>
    <row r="4" spans="2:4">
      <c r="B4" t="s">
        <v>218</v>
      </c>
      <c r="C4" t="str">
        <f>'Existing plants_SCEN50yrs'!D2</f>
        <v>ENBE_DOEL-1_00</v>
      </c>
      <c r="D4">
        <f>'Existing plants_SCEN60yrs'!H2</f>
        <v>51</v>
      </c>
    </row>
    <row r="5" spans="2:4">
      <c r="B5" t="s">
        <v>218</v>
      </c>
      <c r="C5" t="str">
        <f>'Existing plants_SCEN50yrs'!D3</f>
        <v>ENBE_DOEL-2_00</v>
      </c>
      <c r="D5">
        <f>'Existing plants_SCEN60yrs'!H3</f>
        <v>50</v>
      </c>
    </row>
    <row r="6" spans="2:4">
      <c r="B6" t="s">
        <v>218</v>
      </c>
      <c r="C6" t="str">
        <f>'Existing plants_SCEN50yrs'!D4</f>
        <v>ENBE_DOEL-3_00</v>
      </c>
      <c r="D6">
        <f>'Existing plants_SCEN60yrs'!H4</f>
        <v>40</v>
      </c>
    </row>
    <row r="7" spans="2:4">
      <c r="B7" t="s">
        <v>218</v>
      </c>
      <c r="C7" t="str">
        <f>'Existing plants_SCEN50yrs'!D5</f>
        <v>ENBE_DOEL-4_00</v>
      </c>
      <c r="D7">
        <f>'Existing plants_SCEN60yrs'!H5</f>
        <v>40</v>
      </c>
    </row>
    <row r="8" spans="2:4">
      <c r="B8" t="s">
        <v>218</v>
      </c>
      <c r="C8" t="str">
        <f>'Existing plants_SCEN50yrs'!D6</f>
        <v>ENBE_TIHANGE-1_00</v>
      </c>
      <c r="D8">
        <f>'Existing plants_SCEN60yrs'!H6</f>
        <v>50</v>
      </c>
    </row>
    <row r="9" spans="2:4">
      <c r="B9" t="s">
        <v>218</v>
      </c>
      <c r="C9" t="str">
        <f>'Existing plants_SCEN50yrs'!D7</f>
        <v>ENBE_TIHANGE-2_00</v>
      </c>
      <c r="D9">
        <f>'Existing plants_SCEN60yrs'!H7</f>
        <v>40</v>
      </c>
    </row>
    <row r="10" spans="2:4">
      <c r="B10" t="s">
        <v>218</v>
      </c>
      <c r="C10" t="str">
        <f>'Existing plants_SCEN50yrs'!D8</f>
        <v>ENBE_TIHANGE-3_00</v>
      </c>
      <c r="D10">
        <f>'Existing plants_SCEN60yrs'!H8</f>
        <v>40</v>
      </c>
    </row>
    <row r="11" spans="2:4">
      <c r="B11" t="s">
        <v>218</v>
      </c>
      <c r="C11" t="str">
        <f>'Existing plants_SCEN50yrs'!D9</f>
        <v>ENBG_KOZLODUY-3_00</v>
      </c>
      <c r="D11">
        <f>'Existing plants_SCEN60yrs'!H9</f>
        <v>26</v>
      </c>
    </row>
    <row r="12" spans="2:4">
      <c r="B12" t="s">
        <v>218</v>
      </c>
      <c r="C12" t="str">
        <f>'Existing plants_SCEN50yrs'!D10</f>
        <v>ENBG_KOZLODUY-4_00</v>
      </c>
      <c r="D12">
        <f>'Existing plants_SCEN60yrs'!H10</f>
        <v>24</v>
      </c>
    </row>
    <row r="13" spans="2:4">
      <c r="B13" t="s">
        <v>218</v>
      </c>
      <c r="C13" t="str">
        <f>'Existing plants_SCEN50yrs'!D11</f>
        <v>ENBG_KOZLODUY-5_00</v>
      </c>
      <c r="D13">
        <f>'Existing plants_SCEN60yrs'!H11</f>
        <v>60</v>
      </c>
    </row>
    <row r="14" spans="2:4">
      <c r="B14" t="s">
        <v>218</v>
      </c>
      <c r="C14" t="str">
        <f>'Existing plants_SCEN50yrs'!D12</f>
        <v>ENBG_KOZLODUY-6_00</v>
      </c>
      <c r="D14">
        <f>'Existing plants_SCEN60yrs'!H12</f>
        <v>60</v>
      </c>
    </row>
    <row r="15" spans="2:4">
      <c r="B15" t="s">
        <v>218</v>
      </c>
      <c r="C15" t="str">
        <f>'Existing plants_SCEN50yrs'!D13</f>
        <v>ENCH_BEZNAU-1_00</v>
      </c>
      <c r="D15">
        <f>'Existing plants_SCEN60yrs'!H13</f>
        <v>50</v>
      </c>
    </row>
    <row r="16" spans="2:4">
      <c r="B16" t="s">
        <v>218</v>
      </c>
      <c r="C16" t="str">
        <f>'Existing plants_SCEN50yrs'!D14</f>
        <v>ENCH_BEZNAU-2_00</v>
      </c>
      <c r="D16">
        <f>'Existing plants_SCEN60yrs'!H14</f>
        <v>50</v>
      </c>
    </row>
    <row r="17" spans="2:4">
      <c r="B17" t="s">
        <v>218</v>
      </c>
      <c r="C17" t="str">
        <f>'Existing plants_SCEN50yrs'!D15</f>
        <v>ENCH_GOESGEN_00</v>
      </c>
      <c r="D17">
        <f>'Existing plants_SCEN60yrs'!H15</f>
        <v>50</v>
      </c>
    </row>
    <row r="18" spans="2:4">
      <c r="B18" t="s">
        <v>218</v>
      </c>
      <c r="C18" t="str">
        <f>'Existing plants_SCEN50yrs'!D16</f>
        <v>ENCH_LEIBSTADT_00</v>
      </c>
      <c r="D18">
        <f>'Existing plants_SCEN60yrs'!H16</f>
        <v>50</v>
      </c>
    </row>
    <row r="19" spans="2:4">
      <c r="B19" t="s">
        <v>218</v>
      </c>
      <c r="C19" t="str">
        <f>'Existing plants_SCEN50yrs'!D17</f>
        <v>ENCH_MUEHLEBERG_00</v>
      </c>
      <c r="D19">
        <f>'Existing plants_SCEN60yrs'!H17</f>
        <v>48</v>
      </c>
    </row>
    <row r="20" spans="2:4">
      <c r="B20" t="s">
        <v>218</v>
      </c>
      <c r="C20" t="str">
        <f>'Existing plants_SCEN50yrs'!D18</f>
        <v>ENCZ_DUKOVANY-1_00</v>
      </c>
      <c r="D20">
        <f>'Existing plants_SCEN60yrs'!H18</f>
        <v>60</v>
      </c>
    </row>
    <row r="21" spans="2:4">
      <c r="B21" t="s">
        <v>218</v>
      </c>
      <c r="C21" t="str">
        <f>'Existing plants_SCEN50yrs'!D19</f>
        <v>ENCZ_DUKOVANY-2_00</v>
      </c>
      <c r="D21">
        <f>'Existing plants_SCEN60yrs'!H19</f>
        <v>60</v>
      </c>
    </row>
    <row r="22" spans="2:4">
      <c r="B22" t="s">
        <v>218</v>
      </c>
      <c r="C22" t="str">
        <f>'Existing plants_SCEN50yrs'!D20</f>
        <v>ENCZ_DUKOVANY-3_00</v>
      </c>
      <c r="D22">
        <f>'Existing plants_SCEN60yrs'!H20</f>
        <v>60</v>
      </c>
    </row>
    <row r="23" spans="2:4">
      <c r="B23" t="s">
        <v>218</v>
      </c>
      <c r="C23" t="str">
        <f>'Existing plants_SCEN50yrs'!D21</f>
        <v>ENCZ_DUKOVANY-4_00</v>
      </c>
      <c r="D23">
        <f>'Existing plants_SCEN60yrs'!H21</f>
        <v>60</v>
      </c>
    </row>
    <row r="24" spans="2:4">
      <c r="B24" t="s">
        <v>218</v>
      </c>
      <c r="C24" t="str">
        <f>'Existing plants_SCEN50yrs'!D22</f>
        <v>ENCZ_TEMELIN-1_00</v>
      </c>
      <c r="D24">
        <f>'Existing plants_SCEN60yrs'!H22</f>
        <v>60</v>
      </c>
    </row>
    <row r="25" spans="2:4">
      <c r="B25" t="s">
        <v>218</v>
      </c>
      <c r="C25" t="str">
        <f>'Existing plants_SCEN50yrs'!D23</f>
        <v>ENCZ_TEMELIN-2_00</v>
      </c>
      <c r="D25">
        <f>'Existing plants_SCEN60yrs'!H23</f>
        <v>60</v>
      </c>
    </row>
    <row r="26" spans="2:4">
      <c r="B26" t="s">
        <v>218</v>
      </c>
      <c r="C26" t="str">
        <f>'Existing plants_SCEN50yrs'!D24</f>
        <v>ENDE_BIBLIS-A_00</v>
      </c>
      <c r="D26">
        <f>'Existing plants_SCEN60yrs'!H24</f>
        <v>37</v>
      </c>
    </row>
    <row r="27" spans="2:4">
      <c r="B27" t="s">
        <v>218</v>
      </c>
      <c r="C27" t="str">
        <f>'Existing plants_SCEN50yrs'!D25</f>
        <v>ENDE_BIBLIS-B_00</v>
      </c>
      <c r="D27">
        <f>'Existing plants_SCEN60yrs'!H25</f>
        <v>35</v>
      </c>
    </row>
    <row r="28" spans="2:4">
      <c r="B28" t="s">
        <v>218</v>
      </c>
      <c r="C28" t="str">
        <f>'Existing plants_SCEN50yrs'!D26</f>
        <v>ENDE_BROKDORF_KBR_00</v>
      </c>
      <c r="D28">
        <f>'Existing plants_SCEN60yrs'!H26</f>
        <v>35</v>
      </c>
    </row>
    <row r="29" spans="2:4">
      <c r="B29" t="s">
        <v>218</v>
      </c>
      <c r="C29" t="str">
        <f>'Existing plants_SCEN50yrs'!D27</f>
        <v>ENDE_BRUNSBUETTEL_00</v>
      </c>
      <c r="D29">
        <f>'Existing plants_SCEN60yrs'!H27</f>
        <v>35</v>
      </c>
    </row>
    <row r="30" spans="2:4">
      <c r="B30" t="s">
        <v>218</v>
      </c>
      <c r="C30" t="str">
        <f>'Existing plants_SCEN50yrs'!D28</f>
        <v>ENDE_EMSLAND_KKE_00</v>
      </c>
      <c r="D30">
        <f>'Existing plants_SCEN60yrs'!H28</f>
        <v>34</v>
      </c>
    </row>
    <row r="31" spans="2:4">
      <c r="B31" t="s">
        <v>218</v>
      </c>
      <c r="C31" t="str">
        <f>'Existing plants_SCEN50yrs'!D29</f>
        <v>ENDE_GRAFENRHEINFELD_KKG_00</v>
      </c>
      <c r="D31">
        <f>'Existing plants_SCEN60yrs'!H29</f>
        <v>34</v>
      </c>
    </row>
    <row r="32" spans="2:4">
      <c r="B32" t="s">
        <v>218</v>
      </c>
      <c r="C32" t="str">
        <f>'Existing plants_SCEN50yrs'!D30</f>
        <v>ENDE_GROHNDE_KWG_00</v>
      </c>
      <c r="D32">
        <f>'Existing plants_SCEN60yrs'!H30</f>
        <v>37</v>
      </c>
    </row>
    <row r="33" spans="2:4">
      <c r="B33" t="s">
        <v>218</v>
      </c>
      <c r="C33" t="str">
        <f>'Existing plants_SCEN50yrs'!D31</f>
        <v>ENDE_GUNDREM-B_GUN-B_00</v>
      </c>
      <c r="D33">
        <f>'Existing plants_SCEN60yrs'!H31</f>
        <v>33</v>
      </c>
    </row>
    <row r="34" spans="2:4">
      <c r="B34" t="s">
        <v>218</v>
      </c>
      <c r="C34" t="str">
        <f>'Existing plants_SCEN50yrs'!D32</f>
        <v>ENDE_GUNDREM-C_GUN-C_00</v>
      </c>
      <c r="D34">
        <f>'Existing plants_SCEN60yrs'!H32</f>
        <v>37</v>
      </c>
    </row>
    <row r="35" spans="2:4">
      <c r="B35" t="s">
        <v>218</v>
      </c>
      <c r="C35" t="str">
        <f>'Existing plants_SCEN50yrs'!D33</f>
        <v>ENDE_ISAR-1_00</v>
      </c>
      <c r="D35">
        <f>'Existing plants_SCEN60yrs'!H33</f>
        <v>23</v>
      </c>
    </row>
    <row r="36" spans="2:4">
      <c r="B36" t="s">
        <v>218</v>
      </c>
      <c r="C36" t="str">
        <f>'Existing plants_SCEN50yrs'!D34</f>
        <v>ENDE_ISAR-2_KKI2_00</v>
      </c>
      <c r="D36">
        <f>'Existing plants_SCEN60yrs'!H34</f>
        <v>34</v>
      </c>
    </row>
    <row r="37" spans="2:4">
      <c r="B37" t="s">
        <v>218</v>
      </c>
      <c r="C37" t="str">
        <f>'Existing plants_SCEN50yrs'!D35</f>
        <v>ENDE_KRUEMMEL_00</v>
      </c>
      <c r="D37">
        <f>'Existing plants_SCEN60yrs'!H35</f>
        <v>28</v>
      </c>
    </row>
    <row r="38" spans="2:4">
      <c r="B38" t="s">
        <v>218</v>
      </c>
      <c r="C38" t="str">
        <f>'Existing plants_SCEN50yrs'!D36</f>
        <v>ENDE_NECKARWEST-2_GKN2_00</v>
      </c>
      <c r="D38">
        <f>'Existing plants_SCEN60yrs'!H36</f>
        <v>33</v>
      </c>
    </row>
    <row r="39" spans="2:4">
      <c r="B39" t="s">
        <v>218</v>
      </c>
      <c r="C39" t="str">
        <f>'Existing plants_SCEN50yrs'!D37</f>
        <v>ENDE_NECKARWESTHEIM-1_00</v>
      </c>
      <c r="D39">
        <f>'Existing plants_SCEN60yrs'!H37</f>
        <v>35</v>
      </c>
    </row>
    <row r="40" spans="2:4">
      <c r="B40" t="s">
        <v>218</v>
      </c>
      <c r="C40" t="str">
        <f>'Existing plants_SCEN50yrs'!D38</f>
        <v>ENDE_PHILIPPSBURG-1_00</v>
      </c>
      <c r="D40">
        <f>'Existing plants_SCEN60yrs'!H38</f>
        <v>32</v>
      </c>
    </row>
    <row r="41" spans="2:4">
      <c r="B41" t="s">
        <v>218</v>
      </c>
      <c r="C41" t="str">
        <f>'Existing plants_SCEN50yrs'!D39</f>
        <v>ENDE_PHILIPPSBURG-2_KKP2_00</v>
      </c>
      <c r="D41">
        <f>'Existing plants_SCEN60yrs'!H39</f>
        <v>35</v>
      </c>
    </row>
    <row r="42" spans="2:4">
      <c r="B42" t="s">
        <v>218</v>
      </c>
      <c r="C42" t="str">
        <f>'Existing plants_SCEN50yrs'!D40</f>
        <v>ENDE_UNTERWESER_00</v>
      </c>
      <c r="D42">
        <f>'Existing plants_SCEN60yrs'!H40</f>
        <v>33</v>
      </c>
    </row>
    <row r="43" spans="2:4">
      <c r="B43" t="s">
        <v>218</v>
      </c>
      <c r="C43" t="str">
        <f>'Existing plants_SCEN50yrs'!D41</f>
        <v>ENES_ALMARAZ-1_00</v>
      </c>
      <c r="D43">
        <f>'Existing plants_SCEN60yrs'!H41</f>
        <v>60</v>
      </c>
    </row>
    <row r="44" spans="2:4">
      <c r="B44" t="s">
        <v>218</v>
      </c>
      <c r="C44" t="str">
        <f>'Existing plants_SCEN50yrs'!D42</f>
        <v>ENES_ALMARAZ-2_00</v>
      </c>
      <c r="D44">
        <f>'Existing plants_SCEN60yrs'!H42</f>
        <v>60</v>
      </c>
    </row>
    <row r="45" spans="2:4">
      <c r="B45" t="s">
        <v>218</v>
      </c>
      <c r="C45" t="str">
        <f>'Existing plants_SCEN50yrs'!D43</f>
        <v>ENES_ASCO-1_00</v>
      </c>
      <c r="D45">
        <f>'Existing plants_SCEN60yrs'!H43</f>
        <v>60</v>
      </c>
    </row>
    <row r="46" spans="2:4">
      <c r="B46" t="s">
        <v>218</v>
      </c>
      <c r="C46" t="str">
        <f>'Existing plants_SCEN50yrs'!D44</f>
        <v>ENES_ASCO-2_00</v>
      </c>
      <c r="D46">
        <f>'Existing plants_SCEN60yrs'!H44</f>
        <v>60</v>
      </c>
    </row>
    <row r="47" spans="2:4">
      <c r="B47" t="s">
        <v>218</v>
      </c>
      <c r="C47" t="str">
        <f>'Existing plants_SCEN50yrs'!D45</f>
        <v>ENES_COFRENTES_00</v>
      </c>
      <c r="D47">
        <f>'Existing plants_SCEN60yrs'!H45</f>
        <v>60</v>
      </c>
    </row>
    <row r="48" spans="2:4">
      <c r="B48" t="s">
        <v>218</v>
      </c>
      <c r="C48" t="str">
        <f>'Existing plants_SCEN50yrs'!D46</f>
        <v>ENES_SANTAMARIADEGARONA_00</v>
      </c>
      <c r="D48">
        <f>'Existing plants_SCEN60yrs'!H46</f>
        <v>60</v>
      </c>
    </row>
    <row r="49" spans="2:4">
      <c r="B49" t="s">
        <v>218</v>
      </c>
      <c r="C49" t="str">
        <f>'Existing plants_SCEN50yrs'!D47</f>
        <v>ENES_TRILLO-1_00</v>
      </c>
      <c r="D49">
        <f>'Existing plants_SCEN60yrs'!H47</f>
        <v>60</v>
      </c>
    </row>
    <row r="50" spans="2:4">
      <c r="B50" t="s">
        <v>218</v>
      </c>
      <c r="C50" t="str">
        <f>'Existing plants_SCEN50yrs'!D48</f>
        <v>ENES_VANDELLOS-2_00</v>
      </c>
      <c r="D50">
        <f>'Existing plants_SCEN60yrs'!H48</f>
        <v>60</v>
      </c>
    </row>
    <row r="51" spans="2:4">
      <c r="B51" t="s">
        <v>218</v>
      </c>
      <c r="C51" t="str">
        <f>'Existing plants_SCEN50yrs'!D49</f>
        <v>ENFI_LOVIISA-1_00</v>
      </c>
      <c r="D51">
        <f>'Existing plants_SCEN60yrs'!H49</f>
        <v>60</v>
      </c>
    </row>
    <row r="52" spans="2:4">
      <c r="B52" t="s">
        <v>218</v>
      </c>
      <c r="C52" t="str">
        <f>'Existing plants_SCEN50yrs'!D50</f>
        <v>ENFI_LOVIISA-2_00</v>
      </c>
      <c r="D52">
        <f>'Existing plants_SCEN60yrs'!H50</f>
        <v>60</v>
      </c>
    </row>
    <row r="53" spans="2:4">
      <c r="B53" t="s">
        <v>218</v>
      </c>
      <c r="C53" t="str">
        <f>'Existing plants_SCEN50yrs'!D51</f>
        <v>ENFI_OLKILUOTO-1_00</v>
      </c>
      <c r="D53">
        <f>'Existing plants_SCEN60yrs'!H51</f>
        <v>60</v>
      </c>
    </row>
    <row r="54" spans="2:4">
      <c r="B54" t="s">
        <v>218</v>
      </c>
      <c r="C54" t="str">
        <f>'Existing plants_SCEN50yrs'!D52</f>
        <v>ENFI_OLKILUOTO-2_00</v>
      </c>
      <c r="D54">
        <f>'Existing plants_SCEN60yrs'!H52</f>
        <v>60</v>
      </c>
    </row>
    <row r="55" spans="2:4">
      <c r="B55" t="s">
        <v>218</v>
      </c>
      <c r="C55" t="str">
        <f>'Existing plants_SCEN50yrs'!D53</f>
        <v>ENFR_BELLEVILLE-1_00</v>
      </c>
      <c r="D55">
        <f>'Existing plants_SCEN60yrs'!H53</f>
        <v>60</v>
      </c>
    </row>
    <row r="56" spans="2:4">
      <c r="B56" t="s">
        <v>218</v>
      </c>
      <c r="C56" t="str">
        <f>'Existing plants_SCEN50yrs'!D54</f>
        <v>ENFR_BELLEVILLE-2_00</v>
      </c>
      <c r="D56">
        <f>'Existing plants_SCEN60yrs'!H54</f>
        <v>60</v>
      </c>
    </row>
    <row r="57" spans="2:4">
      <c r="B57" t="s">
        <v>218</v>
      </c>
      <c r="C57" t="str">
        <f>'Existing plants_SCEN50yrs'!D55</f>
        <v>ENFR_BLAYAIS-1_00</v>
      </c>
      <c r="D57">
        <f>'Existing plants_SCEN60yrs'!H55</f>
        <v>60</v>
      </c>
    </row>
    <row r="58" spans="2:4">
      <c r="B58" t="s">
        <v>218</v>
      </c>
      <c r="C58" t="str">
        <f>'Existing plants_SCEN50yrs'!D56</f>
        <v>ENFR_BLAYAIS-2_00</v>
      </c>
      <c r="D58">
        <f>'Existing plants_SCEN60yrs'!H56</f>
        <v>60</v>
      </c>
    </row>
    <row r="59" spans="2:4">
      <c r="B59" t="s">
        <v>218</v>
      </c>
      <c r="C59" t="str">
        <f>'Existing plants_SCEN50yrs'!D57</f>
        <v>ENFR_BLAYAIS-3_00</v>
      </c>
      <c r="D59">
        <f>'Existing plants_SCEN60yrs'!H57</f>
        <v>60</v>
      </c>
    </row>
    <row r="60" spans="2:4">
      <c r="B60" t="s">
        <v>218</v>
      </c>
      <c r="C60" t="str">
        <f>'Existing plants_SCEN50yrs'!D58</f>
        <v>ENFR_BLAYAIS-4_00</v>
      </c>
      <c r="D60">
        <f>'Existing plants_SCEN60yrs'!H58</f>
        <v>60</v>
      </c>
    </row>
    <row r="61" spans="2:4">
      <c r="B61" t="s">
        <v>218</v>
      </c>
      <c r="C61" t="str">
        <f>'Existing plants_SCEN50yrs'!D59</f>
        <v>ENFR_BUGEY-2_00_00</v>
      </c>
      <c r="D61">
        <f>'Existing plants_SCEN60yrs'!H59</f>
        <v>60</v>
      </c>
    </row>
    <row r="62" spans="2:4">
      <c r="B62" t="s">
        <v>218</v>
      </c>
      <c r="C62" t="str">
        <f>'Existing plants_SCEN50yrs'!D60</f>
        <v>ENFR_BUGEY-3_00_00</v>
      </c>
      <c r="D62">
        <f>'Existing plants_SCEN60yrs'!H60</f>
        <v>60</v>
      </c>
    </row>
    <row r="63" spans="2:4">
      <c r="B63" t="s">
        <v>218</v>
      </c>
      <c r="C63" t="str">
        <f>'Existing plants_SCEN50yrs'!D61</f>
        <v>ENFR_BUGEY-4_00_00</v>
      </c>
      <c r="D63">
        <f>'Existing plants_SCEN60yrs'!H61</f>
        <v>60</v>
      </c>
    </row>
    <row r="64" spans="2:4">
      <c r="B64" t="s">
        <v>218</v>
      </c>
      <c r="C64" t="str">
        <f>'Existing plants_SCEN50yrs'!D62</f>
        <v>ENFR_BUGEY-5_00_00</v>
      </c>
      <c r="D64">
        <f>'Existing plants_SCEN60yrs'!H62</f>
        <v>60</v>
      </c>
    </row>
    <row r="65" spans="2:4">
      <c r="B65" t="s">
        <v>218</v>
      </c>
      <c r="C65" t="str">
        <f>'Existing plants_SCEN50yrs'!D63</f>
        <v>ENFR_CATTENOM-1_00</v>
      </c>
      <c r="D65">
        <f>'Existing plants_SCEN60yrs'!H63</f>
        <v>60</v>
      </c>
    </row>
    <row r="66" spans="2:4">
      <c r="B66" t="s">
        <v>218</v>
      </c>
      <c r="C66" t="str">
        <f>'Existing plants_SCEN50yrs'!D64</f>
        <v>ENFR_CATTENOM-2_00</v>
      </c>
      <c r="D66">
        <f>'Existing plants_SCEN60yrs'!H64</f>
        <v>60</v>
      </c>
    </row>
    <row r="67" spans="2:4">
      <c r="B67" t="s">
        <v>218</v>
      </c>
      <c r="C67" t="str">
        <f>'Existing plants_SCEN50yrs'!D65</f>
        <v>ENFR_CATTENOM-3_00</v>
      </c>
      <c r="D67">
        <f>'Existing plants_SCEN60yrs'!H65</f>
        <v>60</v>
      </c>
    </row>
    <row r="68" spans="2:4">
      <c r="B68" t="s">
        <v>218</v>
      </c>
      <c r="C68" t="str">
        <f>'Existing plants_SCEN50yrs'!D66</f>
        <v>ENFR_CATTENOM-4_00</v>
      </c>
      <c r="D68">
        <f>'Existing plants_SCEN60yrs'!H66</f>
        <v>60</v>
      </c>
    </row>
    <row r="69" spans="2:4">
      <c r="B69" t="s">
        <v>218</v>
      </c>
      <c r="C69" t="str">
        <f>'Existing plants_SCEN50yrs'!D67</f>
        <v>ENFR_CHINON-B-1_00</v>
      </c>
      <c r="D69">
        <f>'Existing plants_SCEN60yrs'!H67</f>
        <v>60</v>
      </c>
    </row>
    <row r="70" spans="2:4">
      <c r="B70" t="s">
        <v>218</v>
      </c>
      <c r="C70" t="str">
        <f>'Existing plants_SCEN50yrs'!D68</f>
        <v>ENFR_CHINON-B-2_00</v>
      </c>
      <c r="D70">
        <f>'Existing plants_SCEN60yrs'!H68</f>
        <v>60</v>
      </c>
    </row>
    <row r="71" spans="2:4">
      <c r="B71" t="s">
        <v>218</v>
      </c>
      <c r="C71" t="str">
        <f>'Existing plants_SCEN50yrs'!D69</f>
        <v>ENFR_CHINON-B-3_00</v>
      </c>
      <c r="D71">
        <f>'Existing plants_SCEN60yrs'!H69</f>
        <v>60</v>
      </c>
    </row>
    <row r="72" spans="2:4">
      <c r="B72" t="s">
        <v>218</v>
      </c>
      <c r="C72" t="str">
        <f>'Existing plants_SCEN50yrs'!D70</f>
        <v>ENFR_CHINON-B-4_00</v>
      </c>
      <c r="D72">
        <f>'Existing plants_SCEN60yrs'!H70</f>
        <v>60</v>
      </c>
    </row>
    <row r="73" spans="2:4">
      <c r="B73" t="s">
        <v>218</v>
      </c>
      <c r="C73" t="str">
        <f>'Existing plants_SCEN50yrs'!D71</f>
        <v>ENFR_CHOOZ-B-1_00</v>
      </c>
      <c r="D73">
        <f>'Existing plants_SCEN60yrs'!H71</f>
        <v>60</v>
      </c>
    </row>
    <row r="74" spans="2:4">
      <c r="B74" t="s">
        <v>218</v>
      </c>
      <c r="C74" t="str">
        <f>'Existing plants_SCEN50yrs'!D72</f>
        <v>ENFR_CHOOZ-B-2_00</v>
      </c>
      <c r="D74">
        <f>'Existing plants_SCEN60yrs'!H72</f>
        <v>60</v>
      </c>
    </row>
    <row r="75" spans="2:4">
      <c r="B75" t="s">
        <v>218</v>
      </c>
      <c r="C75" t="str">
        <f>'Existing plants_SCEN50yrs'!D73</f>
        <v>ENFR_CIVAUX-1_00</v>
      </c>
      <c r="D75">
        <f>'Existing plants_SCEN60yrs'!H73</f>
        <v>60</v>
      </c>
    </row>
    <row r="76" spans="2:4">
      <c r="B76" t="s">
        <v>218</v>
      </c>
      <c r="C76" t="str">
        <f>'Existing plants_SCEN50yrs'!D74</f>
        <v>ENFR_CIVAUX-2_00</v>
      </c>
      <c r="D76">
        <f>'Existing plants_SCEN60yrs'!H74</f>
        <v>60</v>
      </c>
    </row>
    <row r="77" spans="2:4">
      <c r="B77" t="s">
        <v>218</v>
      </c>
      <c r="C77" t="str">
        <f>'Existing plants_SCEN50yrs'!D75</f>
        <v>ENFR_CRUAS-1_00</v>
      </c>
      <c r="D77">
        <f>'Existing plants_SCEN60yrs'!H75</f>
        <v>60</v>
      </c>
    </row>
    <row r="78" spans="2:4">
      <c r="B78" t="s">
        <v>218</v>
      </c>
      <c r="C78" t="str">
        <f>'Existing plants_SCEN50yrs'!D76</f>
        <v>ENFR_CRUAS-2_00</v>
      </c>
      <c r="D78">
        <f>'Existing plants_SCEN60yrs'!H76</f>
        <v>60</v>
      </c>
    </row>
    <row r="79" spans="2:4">
      <c r="B79" t="s">
        <v>218</v>
      </c>
      <c r="C79" t="str">
        <f>'Existing plants_SCEN50yrs'!D77</f>
        <v>ENFR_CRUAS-3_00</v>
      </c>
      <c r="D79">
        <f>'Existing plants_SCEN60yrs'!H77</f>
        <v>60</v>
      </c>
    </row>
    <row r="80" spans="2:4">
      <c r="B80" t="s">
        <v>218</v>
      </c>
      <c r="C80" t="str">
        <f>'Existing plants_SCEN50yrs'!D78</f>
        <v>ENFR_CRUAS-4_00</v>
      </c>
      <c r="D80">
        <f>'Existing plants_SCEN60yrs'!H78</f>
        <v>60</v>
      </c>
    </row>
    <row r="81" spans="2:4">
      <c r="B81" t="s">
        <v>218</v>
      </c>
      <c r="C81" t="str">
        <f>'Existing plants_SCEN50yrs'!D79</f>
        <v>ENFR_DAMPIERRE-1_00</v>
      </c>
      <c r="D81">
        <f>'Existing plants_SCEN60yrs'!H79</f>
        <v>60</v>
      </c>
    </row>
    <row r="82" spans="2:4">
      <c r="B82" t="s">
        <v>218</v>
      </c>
      <c r="C82" t="str">
        <f>'Existing plants_SCEN50yrs'!D80</f>
        <v>ENFR_DAMPIERRE-2_00</v>
      </c>
      <c r="D82">
        <f>'Existing plants_SCEN60yrs'!H80</f>
        <v>60</v>
      </c>
    </row>
    <row r="83" spans="2:4">
      <c r="B83" t="s">
        <v>218</v>
      </c>
      <c r="C83" t="str">
        <f>'Existing plants_SCEN50yrs'!D81</f>
        <v>ENFR_DAMPIERRE-3_00</v>
      </c>
      <c r="D83">
        <f>'Existing plants_SCEN60yrs'!H81</f>
        <v>60</v>
      </c>
    </row>
    <row r="84" spans="2:4">
      <c r="B84" t="s">
        <v>218</v>
      </c>
      <c r="C84" t="str">
        <f>'Existing plants_SCEN50yrs'!D82</f>
        <v>ENFR_DAMPIERRE-4_00</v>
      </c>
      <c r="D84">
        <f>'Existing plants_SCEN60yrs'!H82</f>
        <v>60</v>
      </c>
    </row>
    <row r="85" spans="2:4">
      <c r="B85" t="s">
        <v>218</v>
      </c>
      <c r="C85" t="str">
        <f>'Existing plants_SCEN50yrs'!D83</f>
        <v>ENFR_FESSENHEIM-1_00</v>
      </c>
      <c r="D85">
        <f>'Existing plants_SCEN60yrs'!H83</f>
        <v>40</v>
      </c>
    </row>
    <row r="86" spans="2:4">
      <c r="B86" t="s">
        <v>218</v>
      </c>
      <c r="C86" t="str">
        <f>'Existing plants_SCEN50yrs'!D84</f>
        <v>ENFR_FESSENHEIM-2_00</v>
      </c>
      <c r="D86">
        <f>'Existing plants_SCEN60yrs'!H84</f>
        <v>40</v>
      </c>
    </row>
    <row r="87" spans="2:4">
      <c r="B87" t="s">
        <v>218</v>
      </c>
      <c r="C87" t="str">
        <f>'Existing plants_SCEN50yrs'!D85</f>
        <v>ENFR_FLAMANVILLE-1_00</v>
      </c>
      <c r="D87">
        <f>'Existing plants_SCEN60yrs'!H85</f>
        <v>60</v>
      </c>
    </row>
    <row r="88" spans="2:4">
      <c r="B88" t="s">
        <v>218</v>
      </c>
      <c r="C88" t="str">
        <f>'Existing plants_SCEN50yrs'!D86</f>
        <v>ENFR_FLAMANVILLE-2_00</v>
      </c>
      <c r="D88">
        <f>'Existing plants_SCEN60yrs'!H86</f>
        <v>60</v>
      </c>
    </row>
    <row r="89" spans="2:4">
      <c r="B89" t="s">
        <v>218</v>
      </c>
      <c r="C89" t="str">
        <f>'Existing plants_SCEN50yrs'!D87</f>
        <v>ENFR_GOLFECH-1_00</v>
      </c>
      <c r="D89">
        <f>'Existing plants_SCEN60yrs'!H87</f>
        <v>60</v>
      </c>
    </row>
    <row r="90" spans="2:4">
      <c r="B90" t="s">
        <v>218</v>
      </c>
      <c r="C90" t="str">
        <f>'Existing plants_SCEN50yrs'!D88</f>
        <v>ENFR_GOLFECH-2_00</v>
      </c>
      <c r="D90">
        <f>'Existing plants_SCEN60yrs'!H88</f>
        <v>60</v>
      </c>
    </row>
    <row r="91" spans="2:4">
      <c r="B91" t="s">
        <v>218</v>
      </c>
      <c r="C91" t="str">
        <f>'Existing plants_SCEN50yrs'!D89</f>
        <v>ENFR_GRAVELINES-1_00</v>
      </c>
      <c r="D91">
        <f>'Existing plants_SCEN60yrs'!H89</f>
        <v>60</v>
      </c>
    </row>
    <row r="92" spans="2:4">
      <c r="B92" t="s">
        <v>218</v>
      </c>
      <c r="C92" t="str">
        <f>'Existing plants_SCEN50yrs'!D90</f>
        <v>ENFR_GRAVELINES-2_00</v>
      </c>
      <c r="D92">
        <f>'Existing plants_SCEN60yrs'!H90</f>
        <v>60</v>
      </c>
    </row>
    <row r="93" spans="2:4">
      <c r="B93" t="s">
        <v>218</v>
      </c>
      <c r="C93" t="str">
        <f>'Existing plants_SCEN50yrs'!D91</f>
        <v>ENFR_GRAVELINES-3_00</v>
      </c>
      <c r="D93">
        <f>'Existing plants_SCEN60yrs'!H91</f>
        <v>60</v>
      </c>
    </row>
    <row r="94" spans="2:4">
      <c r="B94" t="s">
        <v>218</v>
      </c>
      <c r="C94" t="str">
        <f>'Existing plants_SCEN50yrs'!D92</f>
        <v>ENFR_GRAVELINES-4_00</v>
      </c>
      <c r="D94">
        <f>'Existing plants_SCEN60yrs'!H92</f>
        <v>60</v>
      </c>
    </row>
    <row r="95" spans="2:4">
      <c r="B95" t="s">
        <v>218</v>
      </c>
      <c r="C95" t="str">
        <f>'Existing plants_SCEN50yrs'!D93</f>
        <v>ENFR_GRAVELINES-5_00</v>
      </c>
      <c r="D95">
        <f>'Existing plants_SCEN60yrs'!H93</f>
        <v>60</v>
      </c>
    </row>
    <row r="96" spans="2:4">
      <c r="B96" t="s">
        <v>218</v>
      </c>
      <c r="C96" t="str">
        <f>'Existing plants_SCEN50yrs'!D94</f>
        <v>ENFR_GRAVELINES-6_00</v>
      </c>
      <c r="D96">
        <f>'Existing plants_SCEN60yrs'!H94</f>
        <v>60</v>
      </c>
    </row>
    <row r="97" spans="2:4">
      <c r="B97" t="s">
        <v>218</v>
      </c>
      <c r="C97" t="str">
        <f>'Existing plants_SCEN50yrs'!D95</f>
        <v>ENFR_NOGENT-1_00</v>
      </c>
      <c r="D97">
        <f>'Existing plants_SCEN60yrs'!H95</f>
        <v>60</v>
      </c>
    </row>
    <row r="98" spans="2:4">
      <c r="B98" t="s">
        <v>218</v>
      </c>
      <c r="C98" t="str">
        <f>'Existing plants_SCEN50yrs'!D96</f>
        <v>ENFR_NOGENT-2_00</v>
      </c>
      <c r="D98">
        <f>'Existing plants_SCEN60yrs'!H96</f>
        <v>60</v>
      </c>
    </row>
    <row r="99" spans="2:4">
      <c r="B99" t="s">
        <v>218</v>
      </c>
      <c r="C99" t="str">
        <f>'Existing plants_SCEN50yrs'!D97</f>
        <v>ENFR_PALUEL-1_00</v>
      </c>
      <c r="D99">
        <f>'Existing plants_SCEN60yrs'!H97</f>
        <v>60</v>
      </c>
    </row>
    <row r="100" spans="2:4">
      <c r="B100" t="s">
        <v>218</v>
      </c>
      <c r="C100" t="str">
        <f>'Existing plants_SCEN50yrs'!D98</f>
        <v>ENFR_PALUEL-2_00</v>
      </c>
      <c r="D100">
        <f>'Existing plants_SCEN60yrs'!H98</f>
        <v>60</v>
      </c>
    </row>
    <row r="101" spans="2:4">
      <c r="B101" t="s">
        <v>218</v>
      </c>
      <c r="C101" t="str">
        <f>'Existing plants_SCEN50yrs'!D99</f>
        <v>ENFR_PALUEL-3_00</v>
      </c>
      <c r="D101">
        <f>'Existing plants_SCEN60yrs'!H99</f>
        <v>60</v>
      </c>
    </row>
    <row r="102" spans="2:4">
      <c r="B102" t="s">
        <v>218</v>
      </c>
      <c r="C102" t="str">
        <f>'Existing plants_SCEN50yrs'!D100</f>
        <v>ENFR_PALUEL-4_00</v>
      </c>
      <c r="D102">
        <f>'Existing plants_SCEN60yrs'!H100</f>
        <v>60</v>
      </c>
    </row>
    <row r="103" spans="2:4">
      <c r="B103" t="s">
        <v>218</v>
      </c>
      <c r="C103" t="str">
        <f>'Existing plants_SCEN50yrs'!D101</f>
        <v>ENFR_PENLY-1_00</v>
      </c>
      <c r="D103">
        <f>'Existing plants_SCEN60yrs'!H101</f>
        <v>60</v>
      </c>
    </row>
    <row r="104" spans="2:4">
      <c r="B104" t="s">
        <v>218</v>
      </c>
      <c r="C104" t="str">
        <f>'Existing plants_SCEN50yrs'!D102</f>
        <v>ENFR_PENLY-2_00</v>
      </c>
      <c r="D104">
        <f>'Existing plants_SCEN60yrs'!H102</f>
        <v>60</v>
      </c>
    </row>
    <row r="105" spans="2:4">
      <c r="B105" t="s">
        <v>218</v>
      </c>
      <c r="C105" t="str">
        <f>'Existing plants_SCEN50yrs'!D103</f>
        <v>ENFR_PHENIX_00</v>
      </c>
      <c r="D105">
        <f>'Existing plants_SCEN60yrs'!H103</f>
        <v>60</v>
      </c>
    </row>
    <row r="106" spans="2:4">
      <c r="B106" t="s">
        <v>218</v>
      </c>
      <c r="C106" t="str">
        <f>'Existing plants_SCEN50yrs'!D104</f>
        <v>ENFR_STALBAN-1_00</v>
      </c>
      <c r="D106">
        <f>'Existing plants_SCEN60yrs'!H104</f>
        <v>60</v>
      </c>
    </row>
    <row r="107" spans="2:4">
      <c r="B107" t="s">
        <v>218</v>
      </c>
      <c r="C107" t="str">
        <f>'Existing plants_SCEN50yrs'!D105</f>
        <v>ENFR_STALBAN-2_00</v>
      </c>
      <c r="D107">
        <f>'Existing plants_SCEN60yrs'!H105</f>
        <v>60</v>
      </c>
    </row>
    <row r="108" spans="2:4">
      <c r="B108" t="s">
        <v>218</v>
      </c>
      <c r="C108" t="str">
        <f>'Existing plants_SCEN50yrs'!D106</f>
        <v>ENFR_STLAURENT-B-1_00</v>
      </c>
      <c r="D108">
        <f>'Existing plants_SCEN60yrs'!H106</f>
        <v>60</v>
      </c>
    </row>
    <row r="109" spans="2:4">
      <c r="B109" t="s">
        <v>218</v>
      </c>
      <c r="C109" t="str">
        <f>'Existing plants_SCEN50yrs'!D107</f>
        <v>ENFR_STLAURENT-B-2_00</v>
      </c>
      <c r="D109">
        <f>'Existing plants_SCEN60yrs'!H107</f>
        <v>60</v>
      </c>
    </row>
    <row r="110" spans="2:4">
      <c r="B110" t="s">
        <v>218</v>
      </c>
      <c r="C110" t="str">
        <f>'Existing plants_SCEN50yrs'!D108</f>
        <v>ENFR_TRICASTIN-1_00</v>
      </c>
      <c r="D110">
        <f>'Existing plants_SCEN60yrs'!H108</f>
        <v>60</v>
      </c>
    </row>
    <row r="111" spans="2:4">
      <c r="B111" t="s">
        <v>218</v>
      </c>
      <c r="C111" t="str">
        <f>'Existing plants_SCEN50yrs'!D109</f>
        <v>ENFR_TRICASTIN-2_00</v>
      </c>
      <c r="D111">
        <f>'Existing plants_SCEN60yrs'!H109</f>
        <v>60</v>
      </c>
    </row>
    <row r="112" spans="2:4">
      <c r="B112" t="s">
        <v>218</v>
      </c>
      <c r="C112" t="str">
        <f>'Existing plants_SCEN50yrs'!D110</f>
        <v>ENFR_TRICASTIN-3_00</v>
      </c>
      <c r="D112">
        <f>'Existing plants_SCEN60yrs'!H110</f>
        <v>60</v>
      </c>
    </row>
    <row r="113" spans="2:4">
      <c r="B113" t="s">
        <v>218</v>
      </c>
      <c r="C113" t="str">
        <f>'Existing plants_SCEN50yrs'!D111</f>
        <v>ENFR_TRICASTIN-4_00</v>
      </c>
      <c r="D113">
        <f>'Existing plants_SCEN60yrs'!H111</f>
        <v>60</v>
      </c>
    </row>
    <row r="114" spans="2:4">
      <c r="B114" t="s">
        <v>218</v>
      </c>
      <c r="C114" t="str">
        <f>'Existing plants_SCEN50yrs'!D112</f>
        <v>ENHU_PAKS-1_00</v>
      </c>
      <c r="D114">
        <f>'Existing plants_SCEN60yrs'!H112</f>
        <v>60</v>
      </c>
    </row>
    <row r="115" spans="2:4">
      <c r="B115" t="s">
        <v>218</v>
      </c>
      <c r="C115" t="str">
        <f>'Existing plants_SCEN50yrs'!D113</f>
        <v>ENHU_PAKS-2_00</v>
      </c>
      <c r="D115">
        <f>'Existing plants_SCEN60yrs'!H113</f>
        <v>60</v>
      </c>
    </row>
    <row r="116" spans="2:4">
      <c r="B116" t="s">
        <v>218</v>
      </c>
      <c r="C116" t="str">
        <f>'Existing plants_SCEN50yrs'!D114</f>
        <v>ENHU_PAKS-3_00</v>
      </c>
      <c r="D116">
        <f>'Existing plants_SCEN60yrs'!H114</f>
        <v>60</v>
      </c>
    </row>
    <row r="117" spans="2:4">
      <c r="B117" t="s">
        <v>218</v>
      </c>
      <c r="C117" t="str">
        <f>'Existing plants_SCEN50yrs'!D115</f>
        <v>ENHU_PAKS-4_00</v>
      </c>
      <c r="D117">
        <f>'Existing plants_SCEN60yrs'!H115</f>
        <v>60</v>
      </c>
    </row>
    <row r="118" spans="2:4">
      <c r="B118" t="s">
        <v>218</v>
      </c>
      <c r="C118" t="str">
        <f>'Existing plants_SCEN50yrs'!D116</f>
        <v>ENLT_IGNALINA-1</v>
      </c>
      <c r="D118">
        <f>'Existing plants_SCEN60yrs'!H116</f>
        <v>21</v>
      </c>
    </row>
    <row r="119" spans="2:4">
      <c r="B119" t="s">
        <v>218</v>
      </c>
      <c r="C119" t="str">
        <f>'Existing plants_SCEN50yrs'!D117</f>
        <v>ENLT_IGNALINA-2</v>
      </c>
      <c r="D119">
        <f>'Existing plants_SCEN60yrs'!H117</f>
        <v>22</v>
      </c>
    </row>
    <row r="120" spans="2:4">
      <c r="B120" t="s">
        <v>218</v>
      </c>
      <c r="C120" t="str">
        <f>'Existing plants_SCEN50yrs'!D118</f>
        <v>ENNL_BORSSELE_00</v>
      </c>
      <c r="D120">
        <f>'Existing plants_SCEN60yrs'!H118</f>
        <v>61</v>
      </c>
    </row>
    <row r="121" spans="2:4">
      <c r="B121" t="s">
        <v>218</v>
      </c>
      <c r="C121" t="str">
        <f>'Existing plants_SCEN50yrs'!D119</f>
        <v>ENRO_CERNAVODA-1_00</v>
      </c>
      <c r="D121">
        <f>'Existing plants_SCEN60yrs'!H119</f>
        <v>60</v>
      </c>
    </row>
    <row r="122" spans="2:4">
      <c r="B122" t="s">
        <v>218</v>
      </c>
      <c r="C122" t="str">
        <f>'Existing plants_SCEN50yrs'!D120</f>
        <v>ENRO_CERNAVODA-2</v>
      </c>
      <c r="D122">
        <f>'Existing plants_SCEN60yrs'!H120</f>
        <v>60</v>
      </c>
    </row>
    <row r="123" spans="2:4">
      <c r="B123" t="s">
        <v>218</v>
      </c>
      <c r="C123" t="str">
        <f>'Existing plants_SCEN50yrs'!D121</f>
        <v>ENSE_FORSMARK-1_00</v>
      </c>
      <c r="D123">
        <f>'Existing plants_SCEN60yrs'!H121</f>
        <v>60</v>
      </c>
    </row>
    <row r="124" spans="2:4">
      <c r="B124" t="s">
        <v>218</v>
      </c>
      <c r="C124" t="str">
        <f>'Existing plants_SCEN50yrs'!D122</f>
        <v>ENSE_FORSMARK-2_00</v>
      </c>
      <c r="D124">
        <f>'Existing plants_SCEN60yrs'!H122</f>
        <v>60</v>
      </c>
    </row>
    <row r="125" spans="2:4">
      <c r="B125" t="s">
        <v>218</v>
      </c>
      <c r="C125" t="str">
        <f>'Existing plants_SCEN50yrs'!D123</f>
        <v>ENSE_FORSMARK-3_00</v>
      </c>
      <c r="D125">
        <f>'Existing plants_SCEN60yrs'!H123</f>
        <v>60</v>
      </c>
    </row>
    <row r="126" spans="2:4">
      <c r="B126" t="s">
        <v>218</v>
      </c>
      <c r="C126" t="str">
        <f>'Existing plants_SCEN50yrs'!D124</f>
        <v>ENSE_OSKARSHAMN-1_00</v>
      </c>
      <c r="D126">
        <f>'Existing plants_SCEN60yrs'!H124</f>
        <v>47</v>
      </c>
    </row>
    <row r="127" spans="2:4">
      <c r="B127" t="s">
        <v>218</v>
      </c>
      <c r="C127" t="str">
        <f>'Existing plants_SCEN50yrs'!D125</f>
        <v>ENSE_OSKARSHAMN-2_00</v>
      </c>
      <c r="D127">
        <f>'Existing plants_SCEN60yrs'!H125</f>
        <v>46</v>
      </c>
    </row>
    <row r="128" spans="2:4">
      <c r="B128" t="s">
        <v>218</v>
      </c>
      <c r="C128" t="str">
        <f>'Existing plants_SCEN50yrs'!D126</f>
        <v>ENSE_OSKARSHAMN-3_00</v>
      </c>
      <c r="D128">
        <f>'Existing plants_SCEN60yrs'!H126</f>
        <v>60</v>
      </c>
    </row>
    <row r="129" spans="2:4">
      <c r="B129" t="s">
        <v>218</v>
      </c>
      <c r="C129" t="str">
        <f>'Existing plants_SCEN50yrs'!D127</f>
        <v>ENSE_RINGHALS-1_00</v>
      </c>
      <c r="D129">
        <f>'Existing plants_SCEN60yrs'!H127</f>
        <v>46</v>
      </c>
    </row>
    <row r="130" spans="2:4">
      <c r="B130" t="s">
        <v>218</v>
      </c>
      <c r="C130" t="str">
        <f>'Existing plants_SCEN50yrs'!D128</f>
        <v>ENSE_RINGHALS-2_00</v>
      </c>
      <c r="D130">
        <f>'Existing plants_SCEN60yrs'!H128</f>
        <v>46</v>
      </c>
    </row>
    <row r="131" spans="2:4">
      <c r="B131" t="s">
        <v>218</v>
      </c>
      <c r="C131" t="str">
        <f>'Existing plants_SCEN50yrs'!D129</f>
        <v>ENSE_RINGHALS-3_00</v>
      </c>
      <c r="D131">
        <f>'Existing plants_SCEN60yrs'!H129</f>
        <v>60</v>
      </c>
    </row>
    <row r="132" spans="2:4">
      <c r="B132" t="s">
        <v>218</v>
      </c>
      <c r="C132" t="str">
        <f>'Existing plants_SCEN50yrs'!D130</f>
        <v>ENSE_RINGHALS-4_00</v>
      </c>
      <c r="D132">
        <f>'Existing plants_SCEN60yrs'!H130</f>
        <v>60</v>
      </c>
    </row>
    <row r="133" spans="2:4">
      <c r="B133" t="s">
        <v>218</v>
      </c>
      <c r="C133" t="str">
        <f>'Existing plants_SCEN50yrs'!D131</f>
        <v>ENSI_KRSKO_00</v>
      </c>
      <c r="D133">
        <f>'Existing plants_SCEN60yrs'!H131</f>
        <v>60</v>
      </c>
    </row>
    <row r="134" spans="2:4">
      <c r="B134" t="s">
        <v>218</v>
      </c>
      <c r="C134" t="str">
        <f>'Existing plants_SCEN50yrs'!D132</f>
        <v>ENSK_BOHUNICE-1_00</v>
      </c>
      <c r="D134">
        <f>'Existing plants_SCEN60yrs'!H132</f>
        <v>28</v>
      </c>
    </row>
    <row r="135" spans="2:4">
      <c r="B135" t="s">
        <v>218</v>
      </c>
      <c r="C135" t="str">
        <f>'Existing plants_SCEN50yrs'!D133</f>
        <v>ENSK_BOHUNICE-2_00</v>
      </c>
      <c r="D135">
        <f>'Existing plants_SCEN60yrs'!H133</f>
        <v>28</v>
      </c>
    </row>
    <row r="136" spans="2:4">
      <c r="B136" t="s">
        <v>218</v>
      </c>
      <c r="C136" t="str">
        <f>'Existing plants_SCEN50yrs'!D134</f>
        <v>ENSK_BOHUNICE-3_00</v>
      </c>
      <c r="D136">
        <f>'Existing plants_SCEN60yrs'!H134</f>
        <v>60</v>
      </c>
    </row>
    <row r="137" spans="2:4">
      <c r="B137" t="s">
        <v>218</v>
      </c>
      <c r="C137" t="str">
        <f>'Existing plants_SCEN50yrs'!D135</f>
        <v>ENSK_BOHUNICE-4_00</v>
      </c>
      <c r="D137">
        <f>'Existing plants_SCEN60yrs'!H135</f>
        <v>60</v>
      </c>
    </row>
    <row r="138" spans="2:4">
      <c r="B138" t="s">
        <v>218</v>
      </c>
      <c r="C138" t="str">
        <f>'Existing plants_SCEN50yrs'!D136</f>
        <v>ENSK_MOCHOVCE-1_00</v>
      </c>
      <c r="D138">
        <f>'Existing plants_SCEN60yrs'!H136</f>
        <v>60</v>
      </c>
    </row>
    <row r="139" spans="2:4">
      <c r="B139" t="s">
        <v>218</v>
      </c>
      <c r="C139" t="str">
        <f>'Existing plants_SCEN50yrs'!D137</f>
        <v>ENSK_MOCHOVCE-2_00</v>
      </c>
      <c r="D139">
        <f>'Existing plants_SCEN60yrs'!H137</f>
        <v>60</v>
      </c>
    </row>
    <row r="140" spans="2:4">
      <c r="B140" t="s">
        <v>218</v>
      </c>
      <c r="C140" t="str">
        <f>'Existing plants_SCEN50yrs'!D138</f>
        <v>ENUK_DUNGENESS-B1_00</v>
      </c>
      <c r="D140">
        <f>'Existing plants_SCEN60yrs'!H138</f>
        <v>45</v>
      </c>
    </row>
    <row r="141" spans="2:4">
      <c r="B141" t="s">
        <v>218</v>
      </c>
      <c r="C141" t="str">
        <f>'Existing plants_SCEN50yrs'!D139</f>
        <v>ENUK_DUNGENESS-B2_00</v>
      </c>
      <c r="D141">
        <f>'Existing plants_SCEN60yrs'!H139</f>
        <v>43</v>
      </c>
    </row>
    <row r="142" spans="2:4">
      <c r="B142" t="s">
        <v>218</v>
      </c>
      <c r="C142" t="str">
        <f>'Existing plants_SCEN50yrs'!D140</f>
        <v>ENUK_HARTLEPOOL-A1_00</v>
      </c>
      <c r="D142">
        <f>'Existing plants_SCEN60yrs'!H140</f>
        <v>36</v>
      </c>
    </row>
    <row r="143" spans="2:4">
      <c r="B143" t="s">
        <v>218</v>
      </c>
      <c r="C143" t="str">
        <f>'Existing plants_SCEN50yrs'!D141</f>
        <v>ENUK_HARTLEPOOL-A2_00</v>
      </c>
      <c r="D143">
        <f>'Existing plants_SCEN60yrs'!H141</f>
        <v>35</v>
      </c>
    </row>
    <row r="144" spans="2:4">
      <c r="B144" t="s">
        <v>218</v>
      </c>
      <c r="C144" t="str">
        <f>'Existing plants_SCEN50yrs'!D142</f>
        <v>ENUK_HEYSHAM-A1_00</v>
      </c>
      <c r="D144">
        <f>'Existing plants_SCEN60yrs'!H142</f>
        <v>36</v>
      </c>
    </row>
    <row r="145" spans="2:4">
      <c r="B145" t="s">
        <v>218</v>
      </c>
      <c r="C145" t="str">
        <f>'Existing plants_SCEN50yrs'!D143</f>
        <v>ENUK_HEYSHAM-A2_00</v>
      </c>
      <c r="D145">
        <f>'Existing plants_SCEN60yrs'!H143</f>
        <v>35</v>
      </c>
    </row>
    <row r="146" spans="2:4">
      <c r="B146" t="s">
        <v>218</v>
      </c>
      <c r="C146" t="str">
        <f>'Existing plants_SCEN50yrs'!D144</f>
        <v>ENUK_HEYSHAM-B1_00</v>
      </c>
      <c r="D146">
        <f>'Existing plants_SCEN60yrs'!H144</f>
        <v>35</v>
      </c>
    </row>
    <row r="147" spans="2:4">
      <c r="B147" t="s">
        <v>218</v>
      </c>
      <c r="C147" t="str">
        <f>'Existing plants_SCEN50yrs'!D145</f>
        <v>ENUK_HEYSHAM-B2_00</v>
      </c>
      <c r="D147">
        <f>'Existing plants_SCEN60yrs'!H145</f>
        <v>35</v>
      </c>
    </row>
    <row r="148" spans="2:4">
      <c r="B148" t="s">
        <v>218</v>
      </c>
      <c r="C148" t="str">
        <f>'Existing plants_SCEN50yrs'!D146</f>
        <v>ENUK_HINKLEYPOINT-B1_00</v>
      </c>
      <c r="D148">
        <f>'Existing plants_SCEN60yrs'!H146</f>
        <v>47</v>
      </c>
    </row>
    <row r="149" spans="2:4">
      <c r="B149" t="s">
        <v>218</v>
      </c>
      <c r="C149" t="str">
        <f>'Existing plants_SCEN50yrs'!D147</f>
        <v>ENUK_HINKLEYPOINT-B2_00</v>
      </c>
      <c r="D149">
        <f>'Existing plants_SCEN60yrs'!H147</f>
        <v>47</v>
      </c>
    </row>
    <row r="150" spans="2:4">
      <c r="B150" t="s">
        <v>218</v>
      </c>
      <c r="C150" t="str">
        <f>'Existing plants_SCEN50yrs'!D148</f>
        <v>ENUK_HUNTERSTON-B1_00</v>
      </c>
      <c r="D150">
        <f>'Existing plants_SCEN60yrs'!H148</f>
        <v>47</v>
      </c>
    </row>
    <row r="151" spans="2:4">
      <c r="B151" t="s">
        <v>218</v>
      </c>
      <c r="C151" t="str">
        <f>'Existing plants_SCEN50yrs'!D149</f>
        <v>ENUK_HUNTERSTON-B2_00</v>
      </c>
      <c r="D151">
        <f>'Existing plants_SCEN60yrs'!H149</f>
        <v>46</v>
      </c>
    </row>
    <row r="152" spans="2:4">
      <c r="B152" t="s">
        <v>218</v>
      </c>
      <c r="C152" t="str">
        <f>'Existing plants_SCEN50yrs'!D150</f>
        <v>ENUK_OLDBURY-A1_00</v>
      </c>
      <c r="D152">
        <f>'Existing plants_SCEN60yrs'!H150</f>
        <v>45</v>
      </c>
    </row>
    <row r="153" spans="2:4">
      <c r="B153" t="s">
        <v>218</v>
      </c>
      <c r="C153" t="str">
        <f>'Existing plants_SCEN50yrs'!D151</f>
        <v>ENUK_SIZEWELL-Bv_00</v>
      </c>
      <c r="D153">
        <f>'Existing plants_SCEN60yrs'!H151</f>
        <v>40</v>
      </c>
    </row>
    <row r="154" spans="2:4">
      <c r="B154" t="s">
        <v>218</v>
      </c>
      <c r="C154" t="str">
        <f>'Existing plants_SCEN50yrs'!D152</f>
        <v>ENUK_TORNESS1_00</v>
      </c>
      <c r="D154">
        <f>'Existing plants_SCEN60yrs'!H152</f>
        <v>35</v>
      </c>
    </row>
    <row r="155" spans="2:4">
      <c r="B155" t="s">
        <v>218</v>
      </c>
      <c r="C155" t="str">
        <f>'Existing plants_SCEN50yrs'!D153</f>
        <v>ENUK_TORNESS2_00</v>
      </c>
      <c r="D155">
        <f>'Existing plants_SCEN60yrs'!H153</f>
        <v>34</v>
      </c>
    </row>
    <row r="156" spans="2:4">
      <c r="B156" t="s">
        <v>218</v>
      </c>
      <c r="C156" t="str">
        <f>'Existing plants_SCEN50yrs'!D154</f>
        <v>ENUK_WYLFA1_00</v>
      </c>
      <c r="D156">
        <f>'Existing plants_SCEN60yrs'!H154</f>
        <v>44</v>
      </c>
    </row>
    <row r="157" spans="2:4">
      <c r="B157" t="s">
        <v>218</v>
      </c>
      <c r="C157" t="str">
        <f>'Existing plants_SCEN50yrs'!D155</f>
        <v>ENUK_WYLFA2_00</v>
      </c>
      <c r="D157">
        <f>'Existing plants_SCEN60yrs'!H155</f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theme="3" tint="-0.499984740745262"/>
  </sheetPr>
  <dimension ref="B2:E43"/>
  <sheetViews>
    <sheetView workbookViewId="0">
      <selection activeCell="J32" sqref="J32"/>
    </sheetView>
  </sheetViews>
  <sheetFormatPr defaultRowHeight="15"/>
  <cols>
    <col min="2" max="5" width="17.140625" customWidth="1"/>
  </cols>
  <sheetData>
    <row r="2" spans="2:5" s="2" customFormat="1" ht="45">
      <c r="B2" s="2" t="s">
        <v>191</v>
      </c>
      <c r="C2" s="2" t="s">
        <v>210</v>
      </c>
      <c r="D2" s="2" t="s">
        <v>211</v>
      </c>
      <c r="E2" s="2" t="s">
        <v>209</v>
      </c>
    </row>
    <row r="3" spans="2:5">
      <c r="B3">
        <v>2010</v>
      </c>
      <c r="C3" s="1">
        <f>SUMIF(Table157[End of life],"&gt;="&amp;Table3[[#This Row],[Year]],Table157[Existing capacity
GW])</f>
        <v>134.45500000000007</v>
      </c>
      <c r="D3" s="1">
        <f>SUMIF(Table15[End of life],"&gt;="&amp;Table3[[#This Row],[Year]],Table15[Existing capacity
GW])</f>
        <v>134.45500000000007</v>
      </c>
      <c r="E3" s="1">
        <f>SUMIF(Table1[End of life],"&gt;="&amp;Table3[[#This Row],[Year]],Table1[Existing capacity
GW])</f>
        <v>134.45500000000007</v>
      </c>
    </row>
    <row r="4" spans="2:5">
      <c r="B4">
        <v>2011</v>
      </c>
      <c r="C4" s="1">
        <f>SUMIF(Table157[End of life],"&gt;="&amp;Table3[[#This Row],[Year]],Table157[Existing capacity
GW])</f>
        <v>134.45500000000007</v>
      </c>
      <c r="D4" s="1">
        <f>SUMIF(Table15[End of life],"&gt;="&amp;Table3[[#This Row],[Year]],Table15[Existing capacity
GW])</f>
        <v>134.45500000000007</v>
      </c>
      <c r="E4" s="1">
        <f>SUMIF(Table1[End of life],"&gt;="&amp;Table3[[#This Row],[Year]],Table1[Existing capacity
GW])</f>
        <v>134.45500000000007</v>
      </c>
    </row>
    <row r="5" spans="2:5">
      <c r="B5">
        <v>2012</v>
      </c>
      <c r="C5" s="1">
        <f>SUMIF(Table157[End of life],"&gt;="&amp;Table3[[#This Row],[Year]],Table157[Existing capacity
GW])</f>
        <v>125.67299999999997</v>
      </c>
      <c r="D5" s="1">
        <f>SUMIF(Table15[End of life],"&gt;="&amp;Table3[[#This Row],[Year]],Table15[Existing capacity
GW])</f>
        <v>126.11899999999997</v>
      </c>
      <c r="E5" s="1">
        <f>SUMIF(Table1[End of life],"&gt;="&amp;Table3[[#This Row],[Year]],Table1[Existing capacity
GW])</f>
        <v>126.11899999999997</v>
      </c>
    </row>
    <row r="6" spans="2:5">
      <c r="B6">
        <v>2013</v>
      </c>
      <c r="C6" s="1">
        <f>SUMIF(Table157[End of life],"&gt;="&amp;Table3[[#This Row],[Year]],Table157[Existing capacity
GW])</f>
        <v>124.96599999999998</v>
      </c>
      <c r="D6" s="1">
        <f>SUMIF(Table15[End of life],"&gt;="&amp;Table3[[#This Row],[Year]],Table15[Existing capacity
GW])</f>
        <v>125.41199999999998</v>
      </c>
      <c r="E6" s="1">
        <f>SUMIF(Table1[End of life],"&gt;="&amp;Table3[[#This Row],[Year]],Table1[Existing capacity
GW])</f>
        <v>125.41199999999998</v>
      </c>
    </row>
    <row r="7" spans="2:5">
      <c r="B7">
        <v>2014</v>
      </c>
      <c r="C7" s="1">
        <f>SUMIF(Table157[End of life],"&gt;="&amp;Table3[[#This Row],[Year]],Table157[Existing capacity
GW])</f>
        <v>124.83599999999998</v>
      </c>
      <c r="D7" s="1">
        <f>SUMIF(Table15[End of life],"&gt;="&amp;Table3[[#This Row],[Year]],Table15[Existing capacity
GW])</f>
        <v>125.41199999999998</v>
      </c>
      <c r="E7" s="1">
        <f>SUMIF(Table1[End of life],"&gt;="&amp;Table3[[#This Row],[Year]],Table1[Existing capacity
GW])</f>
        <v>125.41199999999998</v>
      </c>
    </row>
    <row r="8" spans="2:5">
      <c r="B8">
        <v>2015</v>
      </c>
      <c r="C8" s="1">
        <f>SUMIF(Table157[End of life],"&gt;="&amp;Table3[[#This Row],[Year]],Table157[Existing capacity
GW])</f>
        <v>124.83599999999998</v>
      </c>
      <c r="D8" s="1">
        <f>SUMIF(Table15[End of life],"&gt;="&amp;Table3[[#This Row],[Year]],Table15[Existing capacity
GW])</f>
        <v>125.41199999999998</v>
      </c>
      <c r="E8" s="1">
        <f>SUMIF(Table1[End of life],"&gt;="&amp;Table3[[#This Row],[Year]],Table1[Existing capacity
GW])</f>
        <v>125.41199999999998</v>
      </c>
    </row>
    <row r="9" spans="2:5">
      <c r="B9">
        <v>2016</v>
      </c>
      <c r="C9" s="1">
        <f>SUMIF(Table157[End of life],"&gt;="&amp;Table3[[#This Row],[Year]],Table157[Existing capacity
GW])</f>
        <v>123.07099999999996</v>
      </c>
      <c r="D9" s="1">
        <f>SUMIF(Table15[End of life],"&gt;="&amp;Table3[[#This Row],[Year]],Table15[Existing capacity
GW])</f>
        <v>123.64699999999998</v>
      </c>
      <c r="E9" s="1">
        <f>SUMIF(Table1[End of life],"&gt;="&amp;Table3[[#This Row],[Year]],Table1[Existing capacity
GW])</f>
        <v>123.64699999999998</v>
      </c>
    </row>
    <row r="10" spans="2:5">
      <c r="B10">
        <v>2017</v>
      </c>
      <c r="C10" s="1">
        <f>SUMIF(Table157[End of life],"&gt;="&amp;Table3[[#This Row],[Year]],Table157[Existing capacity
GW])</f>
        <v>123.07099999999996</v>
      </c>
      <c r="D10" s="1">
        <f>SUMIF(Table15[End of life],"&gt;="&amp;Table3[[#This Row],[Year]],Table15[Existing capacity
GW])</f>
        <v>123.64699999999998</v>
      </c>
      <c r="E10" s="1">
        <f>SUMIF(Table1[End of life],"&gt;="&amp;Table3[[#This Row],[Year]],Table1[Existing capacity
GW])</f>
        <v>123.64699999999998</v>
      </c>
    </row>
    <row r="11" spans="2:5">
      <c r="B11">
        <v>2018</v>
      </c>
      <c r="C11" s="1">
        <f>SUMIF(Table157[End of life],"&gt;="&amp;Table3[[#This Row],[Year]],Table157[Existing capacity
GW])</f>
        <v>119.53099999999996</v>
      </c>
      <c r="D11" s="1">
        <f>SUMIF(Table15[End of life],"&gt;="&amp;Table3[[#This Row],[Year]],Table15[Existing capacity
GW])</f>
        <v>120.60299999999997</v>
      </c>
      <c r="E11" s="1">
        <f>SUMIF(Table1[End of life],"&gt;="&amp;Table3[[#This Row],[Year]],Table1[Existing capacity
GW])</f>
        <v>120.60299999999997</v>
      </c>
    </row>
    <row r="12" spans="2:5">
      <c r="B12">
        <v>2019</v>
      </c>
      <c r="C12" s="1">
        <f>SUMIF(Table157[End of life],"&gt;="&amp;Table3[[#This Row],[Year]],Table157[Existing capacity
GW])</f>
        <v>116.35799999999999</v>
      </c>
      <c r="D12" s="1">
        <f>SUMIF(Table15[End of life],"&gt;="&amp;Table3[[#This Row],[Year]],Table15[Existing capacity
GW])</f>
        <v>120.12999999999998</v>
      </c>
      <c r="E12" s="1">
        <f>SUMIF(Table1[End of life],"&gt;="&amp;Table3[[#This Row],[Year]],Table1[Existing capacity
GW])</f>
        <v>120.12999999999998</v>
      </c>
    </row>
    <row r="13" spans="2:5">
      <c r="B13">
        <v>2020</v>
      </c>
      <c r="C13" s="1">
        <f>SUMIF(Table157[End of life],"&gt;="&amp;Table3[[#This Row],[Year]],Table157[Existing capacity
GW])</f>
        <v>110.11799999999997</v>
      </c>
      <c r="D13" s="1">
        <f>SUMIF(Table15[End of life],"&gt;="&amp;Table3[[#This Row],[Year]],Table15[Existing capacity
GW])</f>
        <v>115.64999999999998</v>
      </c>
      <c r="E13" s="1">
        <f>SUMIF(Table1[End of life],"&gt;="&amp;Table3[[#This Row],[Year]],Table1[Existing capacity
GW])</f>
        <v>115.64999999999998</v>
      </c>
    </row>
    <row r="14" spans="2:5">
      <c r="B14">
        <v>2021</v>
      </c>
      <c r="C14" s="1">
        <f>SUMIF(Table157[End of life],"&gt;="&amp;Table3[[#This Row],[Year]],Table157[Existing capacity
GW])</f>
        <v>97.972999999999971</v>
      </c>
      <c r="D14" s="1">
        <f>SUMIF(Table15[End of life],"&gt;="&amp;Table3[[#This Row],[Year]],Table15[Existing capacity
GW])</f>
        <v>113.26899999999998</v>
      </c>
      <c r="E14" s="1">
        <f>SUMIF(Table1[End of life],"&gt;="&amp;Table3[[#This Row],[Year]],Table1[Existing capacity
GW])</f>
        <v>113.26899999999998</v>
      </c>
    </row>
    <row r="15" spans="2:5">
      <c r="B15">
        <v>2022</v>
      </c>
      <c r="C15" s="1">
        <f>SUMIF(Table157[End of life],"&gt;="&amp;Table3[[#This Row],[Year]],Table157[Existing capacity
GW])</f>
        <v>84.60599999999998</v>
      </c>
      <c r="D15" s="1">
        <f>SUMIF(Table15[End of life],"&gt;="&amp;Table3[[#This Row],[Year]],Table15[Existing capacity
GW])</f>
        <v>108.39999999999998</v>
      </c>
      <c r="E15" s="1">
        <f>SUMIF(Table1[End of life],"&gt;="&amp;Table3[[#This Row],[Year]],Table1[Existing capacity
GW])</f>
        <v>108.84599999999998</v>
      </c>
    </row>
    <row r="16" spans="2:5">
      <c r="B16">
        <v>2023</v>
      </c>
      <c r="C16" s="1">
        <f>SUMIF(Table157[End of life],"&gt;="&amp;Table3[[#This Row],[Year]],Table157[Existing capacity
GW])</f>
        <v>75.311999999999983</v>
      </c>
      <c r="D16" s="1">
        <f>SUMIF(Table15[End of life],"&gt;="&amp;Table3[[#This Row],[Year]],Table15[Existing capacity
GW])</f>
        <v>102.33099999999999</v>
      </c>
      <c r="E16" s="1">
        <f>SUMIF(Table1[End of life],"&gt;="&amp;Table3[[#This Row],[Year]],Table1[Existing capacity
GW])</f>
        <v>102.77699999999999</v>
      </c>
    </row>
    <row r="17" spans="2:5">
      <c r="B17">
        <v>2024</v>
      </c>
      <c r="C17" s="1">
        <f>SUMIF(Table157[End of life],"&gt;="&amp;Table3[[#This Row],[Year]],Table157[Existing capacity
GW])</f>
        <v>65.495999999999995</v>
      </c>
      <c r="D17" s="1">
        <f>SUMIF(Table15[End of life],"&gt;="&amp;Table3[[#This Row],[Year]],Table15[Existing capacity
GW])</f>
        <v>98.030999999999992</v>
      </c>
      <c r="E17" s="1">
        <f>SUMIF(Table1[End of life],"&gt;="&amp;Table3[[#This Row],[Year]],Table1[Existing capacity
GW])</f>
        <v>98.606999999999985</v>
      </c>
    </row>
    <row r="18" spans="2:5">
      <c r="B18">
        <v>2025</v>
      </c>
      <c r="C18" s="1">
        <f>SUMIF(Table157[End of life],"&gt;="&amp;Table3[[#This Row],[Year]],Table157[Existing capacity
GW])</f>
        <v>57.230000000000011</v>
      </c>
      <c r="D18" s="1">
        <f>SUMIF(Table15[End of life],"&gt;="&amp;Table3[[#This Row],[Year]],Table15[Existing capacity
GW])</f>
        <v>98.030999999999992</v>
      </c>
      <c r="E18" s="1">
        <f>SUMIF(Table1[End of life],"&gt;="&amp;Table3[[#This Row],[Year]],Table1[Existing capacity
GW])</f>
        <v>98.606999999999985</v>
      </c>
    </row>
    <row r="19" spans="2:5">
      <c r="B19">
        <v>2026</v>
      </c>
      <c r="C19" s="1">
        <f>SUMIF(Table157[End of life],"&gt;="&amp;Table3[[#This Row],[Year]],Table157[Existing capacity
GW])</f>
        <v>42.841000000000001</v>
      </c>
      <c r="D19" s="1">
        <f>SUMIF(Table15[End of life],"&gt;="&amp;Table3[[#This Row],[Year]],Table15[Existing capacity
GW])</f>
        <v>94.118000000000009</v>
      </c>
      <c r="E19" s="1">
        <f>SUMIF(Table1[End of life],"&gt;="&amp;Table3[[#This Row],[Year]],Table1[Existing capacity
GW])</f>
        <v>94.694000000000003</v>
      </c>
    </row>
    <row r="20" spans="2:5">
      <c r="B20">
        <v>2027</v>
      </c>
      <c r="C20" s="1">
        <f>SUMIF(Table157[End of life],"&gt;="&amp;Table3[[#This Row],[Year]],Table157[Existing capacity
GW])</f>
        <v>35.228999999999999</v>
      </c>
      <c r="D20" s="1">
        <f>SUMIF(Table15[End of life],"&gt;="&amp;Table3[[#This Row],[Year]],Table15[Existing capacity
GW])</f>
        <v>94.118000000000009</v>
      </c>
      <c r="E20" s="1">
        <f>SUMIF(Table1[End of life],"&gt;="&amp;Table3[[#This Row],[Year]],Table1[Existing capacity
GW])</f>
        <v>94.694000000000003</v>
      </c>
    </row>
    <row r="21" spans="2:5">
      <c r="B21">
        <v>2028</v>
      </c>
      <c r="C21" s="1">
        <f>SUMIF(Table157[End of life],"&gt;="&amp;Table3[[#This Row],[Year]],Table157[Existing capacity
GW])</f>
        <v>27.461999999999993</v>
      </c>
      <c r="D21" s="1">
        <f>SUMIF(Table15[End of life],"&gt;="&amp;Table3[[#This Row],[Year]],Table15[Existing capacity
GW])</f>
        <v>93.622</v>
      </c>
      <c r="E21" s="1">
        <f>SUMIF(Table1[End of life],"&gt;="&amp;Table3[[#This Row],[Year]],Table1[Existing capacity
GW])</f>
        <v>94.694000000000003</v>
      </c>
    </row>
    <row r="22" spans="2:5">
      <c r="B22">
        <v>2029</v>
      </c>
      <c r="C22" s="1">
        <f>SUMIF(Table157[End of life],"&gt;="&amp;Table3[[#This Row],[Year]],Table157[Existing capacity
GW])</f>
        <v>22.798999999999996</v>
      </c>
      <c r="D22" s="1">
        <f>SUMIF(Table15[End of life],"&gt;="&amp;Table3[[#This Row],[Year]],Table15[Existing capacity
GW])</f>
        <v>89.882000000000019</v>
      </c>
      <c r="E22" s="1">
        <f>SUMIF(Table1[End of life],"&gt;="&amp;Table3[[#This Row],[Year]],Table1[Existing capacity
GW])</f>
        <v>93.654000000000011</v>
      </c>
    </row>
    <row r="23" spans="2:5">
      <c r="B23">
        <v>2030</v>
      </c>
      <c r="C23" s="1">
        <f>SUMIF(Table157[End of life],"&gt;="&amp;Table3[[#This Row],[Year]],Table157[Existing capacity
GW])</f>
        <v>21.813999999999997</v>
      </c>
      <c r="D23" s="1">
        <f>SUMIF(Table15[End of life],"&gt;="&amp;Table3[[#This Row],[Year]],Table15[Existing capacity
GW])</f>
        <v>87.137000000000015</v>
      </c>
      <c r="E23" s="1">
        <f>SUMIF(Table1[End of life],"&gt;="&amp;Table3[[#This Row],[Year]],Table1[Existing capacity
GW])</f>
        <v>92.668999999999997</v>
      </c>
    </row>
    <row r="24" spans="2:5">
      <c r="B24">
        <v>2031</v>
      </c>
      <c r="C24" s="1">
        <f>SUMIF(Table157[End of life],"&gt;="&amp;Table3[[#This Row],[Year]],Table157[Existing capacity
GW])</f>
        <v>17.874000000000002</v>
      </c>
      <c r="D24" s="1">
        <f>SUMIF(Table15[End of life],"&gt;="&amp;Table3[[#This Row],[Year]],Table15[Existing capacity
GW])</f>
        <v>77.373000000000005</v>
      </c>
      <c r="E24" s="1">
        <f>SUMIF(Table1[End of life],"&gt;="&amp;Table3[[#This Row],[Year]],Table1[Existing capacity
GW])</f>
        <v>92.668999999999997</v>
      </c>
    </row>
    <row r="25" spans="2:5">
      <c r="B25">
        <v>2032</v>
      </c>
      <c r="C25" s="1">
        <f>SUMIF(Table157[End of life],"&gt;="&amp;Table3[[#This Row],[Year]],Table157[Existing capacity
GW])</f>
        <v>15.621</v>
      </c>
      <c r="D25" s="1">
        <f>SUMIF(Table15[End of life],"&gt;="&amp;Table3[[#This Row],[Year]],Table15[Existing capacity
GW])</f>
        <v>68.428999999999988</v>
      </c>
      <c r="E25" s="1">
        <f>SUMIF(Table1[End of life],"&gt;="&amp;Table3[[#This Row],[Year]],Table1[Existing capacity
GW])</f>
        <v>92.222999999999999</v>
      </c>
    </row>
    <row r="26" spans="2:5">
      <c r="B26">
        <v>2033</v>
      </c>
      <c r="C26" s="1">
        <f>SUMIF(Table157[End of life],"&gt;="&amp;Table3[[#This Row],[Year]],Table157[Existing capacity
GW])</f>
        <v>14.291</v>
      </c>
      <c r="D26" s="1">
        <f>SUMIF(Table15[End of life],"&gt;="&amp;Table3[[#This Row],[Year]],Table15[Existing capacity
GW])</f>
        <v>65.203999999999994</v>
      </c>
      <c r="E26" s="1">
        <f>SUMIF(Table1[End of life],"&gt;="&amp;Table3[[#This Row],[Year]],Table1[Existing capacity
GW])</f>
        <v>92.222999999999999</v>
      </c>
    </row>
    <row r="27" spans="2:5">
      <c r="B27">
        <v>2034</v>
      </c>
      <c r="C27" s="1">
        <f>SUMIF(Table157[End of life],"&gt;="&amp;Table3[[#This Row],[Year]],Table157[Existing capacity
GW])</f>
        <v>12.981</v>
      </c>
      <c r="D27" s="1">
        <f>SUMIF(Table15[End of life],"&gt;="&amp;Table3[[#This Row],[Year]],Table15[Existing capacity
GW])</f>
        <v>59.557999999999993</v>
      </c>
      <c r="E27" s="1">
        <f>SUMIF(Table1[End of life],"&gt;="&amp;Table3[[#This Row],[Year]],Table1[Existing capacity
GW])</f>
        <v>92.093000000000004</v>
      </c>
    </row>
    <row r="28" spans="2:5">
      <c r="B28">
        <v>2035</v>
      </c>
      <c r="C28" s="1">
        <f>SUMIF(Table157[End of life],"&gt;="&amp;Table3[[#This Row],[Year]],Table157[Existing capacity
GW])</f>
        <v>11.279000000000002</v>
      </c>
      <c r="D28" s="1">
        <f>SUMIF(Table15[End of life],"&gt;="&amp;Table3[[#This Row],[Year]],Table15[Existing capacity
GW])</f>
        <v>49.589999999999996</v>
      </c>
      <c r="E28" s="1">
        <f>SUMIF(Table1[End of life],"&gt;="&amp;Table3[[#This Row],[Year]],Table1[Existing capacity
GW])</f>
        <v>90.391000000000005</v>
      </c>
    </row>
    <row r="29" spans="2:5">
      <c r="B29">
        <v>2036</v>
      </c>
      <c r="C29" s="1">
        <f>SUMIF(Table157[End of life],"&gt;="&amp;Table3[[#This Row],[Year]],Table157[Existing capacity
GW])</f>
        <v>10.088000000000001</v>
      </c>
      <c r="D29" s="1">
        <f>SUMIF(Table15[End of life],"&gt;="&amp;Table3[[#This Row],[Year]],Table15[Existing capacity
GW])</f>
        <v>37.922999999999995</v>
      </c>
      <c r="E29" s="1">
        <f>SUMIF(Table1[End of life],"&gt;="&amp;Table3[[#This Row],[Year]],Table1[Existing capacity
GW])</f>
        <v>89.2</v>
      </c>
    </row>
    <row r="30" spans="2:5">
      <c r="B30">
        <v>2037</v>
      </c>
      <c r="C30" s="1">
        <f>SUMIF(Table157[End of life],"&gt;="&amp;Table3[[#This Row],[Year]],Table157[Existing capacity
GW])</f>
        <v>7.9380000000000006</v>
      </c>
      <c r="D30" s="1">
        <f>SUMIF(Table15[End of life],"&gt;="&amp;Table3[[#This Row],[Year]],Table15[Existing capacity
GW])</f>
        <v>30.310999999999993</v>
      </c>
      <c r="E30" s="1">
        <f>SUMIF(Table1[End of life],"&gt;="&amp;Table3[[#This Row],[Year]],Table1[Existing capacity
GW])</f>
        <v>89.2</v>
      </c>
    </row>
    <row r="31" spans="2:5">
      <c r="B31">
        <v>2038</v>
      </c>
      <c r="C31" s="1">
        <f>SUMIF(Table157[End of life],"&gt;="&amp;Table3[[#This Row],[Year]],Table157[Existing capacity
GW])</f>
        <v>4.9430000000000005</v>
      </c>
      <c r="D31" s="1">
        <f>SUMIF(Table15[End of life],"&gt;="&amp;Table3[[#This Row],[Year]],Table15[Existing capacity
GW])</f>
        <v>22.543999999999997</v>
      </c>
      <c r="E31" s="1">
        <f>SUMIF(Table1[End of life],"&gt;="&amp;Table3[[#This Row],[Year]],Table1[Existing capacity
GW])</f>
        <v>88.704000000000022</v>
      </c>
    </row>
    <row r="32" spans="2:5">
      <c r="B32">
        <v>2039</v>
      </c>
      <c r="C32" s="1">
        <f>SUMIF(Table157[End of life],"&gt;="&amp;Table3[[#This Row],[Year]],Table157[Existing capacity
GW])</f>
        <v>4.5070000000000006</v>
      </c>
      <c r="D32" s="1">
        <f>SUMIF(Table15[End of life],"&gt;="&amp;Table3[[#This Row],[Year]],Table15[Existing capacity
GW])</f>
        <v>18.920999999999999</v>
      </c>
      <c r="E32" s="1">
        <f>SUMIF(Table1[End of life],"&gt;="&amp;Table3[[#This Row],[Year]],Table1[Existing capacity
GW])</f>
        <v>86.004000000000005</v>
      </c>
    </row>
    <row r="33" spans="2:5">
      <c r="B33">
        <v>2040</v>
      </c>
      <c r="C33" s="1">
        <f>SUMIF(Table157[End of life],"&gt;="&amp;Table3[[#This Row],[Year]],Table157[Existing capacity
GW])</f>
        <v>2.5760000000000001</v>
      </c>
      <c r="D33" s="1">
        <f>SUMIF(Table15[End of life],"&gt;="&amp;Table3[[#This Row],[Year]],Table15[Existing capacity
GW])</f>
        <v>18.920999999999999</v>
      </c>
      <c r="E33" s="1">
        <f>SUMIF(Table1[End of life],"&gt;="&amp;Table3[[#This Row],[Year]],Table1[Existing capacity
GW])</f>
        <v>84.244000000000014</v>
      </c>
    </row>
    <row r="34" spans="2:5">
      <c r="B34">
        <v>2041</v>
      </c>
      <c r="C34" s="1">
        <f>SUMIF(Table157[End of life],"&gt;="&amp;Table3[[#This Row],[Year]],Table157[Existing capacity
GW])</f>
        <v>1.613</v>
      </c>
      <c r="D34" s="1">
        <f>SUMIF(Table15[End of life],"&gt;="&amp;Table3[[#This Row],[Year]],Table15[Existing capacity
GW])</f>
        <v>14.981000000000002</v>
      </c>
      <c r="E34" s="1">
        <f>SUMIF(Table1[End of life],"&gt;="&amp;Table3[[#This Row],[Year]],Table1[Existing capacity
GW])</f>
        <v>74.48</v>
      </c>
    </row>
    <row r="35" spans="2:5">
      <c r="B35">
        <v>2042</v>
      </c>
      <c r="C35" s="1">
        <f>SUMIF(Table157[End of life],"&gt;="&amp;Table3[[#This Row],[Year]],Table157[Existing capacity
GW])</f>
        <v>1.613</v>
      </c>
      <c r="D35" s="1">
        <f>SUMIF(Table15[End of life],"&gt;="&amp;Table3[[#This Row],[Year]],Table15[Existing capacity
GW])</f>
        <v>12.728000000000002</v>
      </c>
      <c r="E35" s="1">
        <f>SUMIF(Table1[End of life],"&gt;="&amp;Table3[[#This Row],[Year]],Table1[Existing capacity
GW])</f>
        <v>65.535999999999987</v>
      </c>
    </row>
    <row r="36" spans="2:5">
      <c r="B36">
        <v>2043</v>
      </c>
      <c r="C36" s="1">
        <f>SUMIF(Table157[End of life],"&gt;="&amp;Table3[[#This Row],[Year]],Table157[Existing capacity
GW])</f>
        <v>0.65</v>
      </c>
      <c r="D36" s="1">
        <f>SUMIF(Table15[End of life],"&gt;="&amp;Table3[[#This Row],[Year]],Table15[Existing capacity
GW])</f>
        <v>11.398000000000001</v>
      </c>
      <c r="E36" s="1">
        <f>SUMIF(Table1[End of life],"&gt;="&amp;Table3[[#This Row],[Year]],Table1[Existing capacity
GW])</f>
        <v>62.310999999999993</v>
      </c>
    </row>
    <row r="37" spans="2:5">
      <c r="B37">
        <v>2044</v>
      </c>
      <c r="C37" s="1">
        <f>SUMIF(Table157[End of life],"&gt;="&amp;Table3[[#This Row],[Year]],Table157[Existing capacity
GW])</f>
        <v>0.65</v>
      </c>
      <c r="D37" s="1">
        <f>SUMIF(Table15[End of life],"&gt;="&amp;Table3[[#This Row],[Year]],Table15[Existing capacity
GW])</f>
        <v>10.088000000000001</v>
      </c>
      <c r="E37" s="1">
        <f>SUMIF(Table1[End of life],"&gt;="&amp;Table3[[#This Row],[Year]],Table1[Existing capacity
GW])</f>
        <v>56.664999999999992</v>
      </c>
    </row>
    <row r="38" spans="2:5">
      <c r="B38">
        <v>2045</v>
      </c>
      <c r="C38" s="1">
        <f>SUMIF(Table157[End of life],"&gt;="&amp;Table3[[#This Row],[Year]],Table157[Existing capacity
GW])</f>
        <v>0.65</v>
      </c>
      <c r="D38" s="1">
        <f>SUMIF(Table15[End of life],"&gt;="&amp;Table3[[#This Row],[Year]],Table15[Existing capacity
GW])</f>
        <v>10.088000000000001</v>
      </c>
      <c r="E38" s="1">
        <f>SUMIF(Table1[End of life],"&gt;="&amp;Table3[[#This Row],[Year]],Table1[Existing capacity
GW])</f>
        <v>48.398999999999994</v>
      </c>
    </row>
    <row r="39" spans="2:5">
      <c r="B39">
        <v>2046</v>
      </c>
      <c r="C39" s="1">
        <f>SUMIF(Table157[End of life],"&gt;="&amp;Table3[[#This Row],[Year]],Table157[Existing capacity
GW])</f>
        <v>0.65</v>
      </c>
      <c r="D39" s="1">
        <f>SUMIF(Table15[End of life],"&gt;="&amp;Table3[[#This Row],[Year]],Table15[Existing capacity
GW])</f>
        <v>10.088000000000001</v>
      </c>
      <c r="E39" s="1">
        <f>SUMIF(Table1[End of life],"&gt;="&amp;Table3[[#This Row],[Year]],Table1[Existing capacity
GW])</f>
        <v>37.922999999999995</v>
      </c>
    </row>
    <row r="40" spans="2:5">
      <c r="B40">
        <v>2047</v>
      </c>
      <c r="C40" s="1">
        <f>SUMIF(Table157[End of life],"&gt;="&amp;Table3[[#This Row],[Year]],Table157[Existing capacity
GW])</f>
        <v>0.65</v>
      </c>
      <c r="D40" s="1">
        <f>SUMIF(Table15[End of life],"&gt;="&amp;Table3[[#This Row],[Year]],Table15[Existing capacity
GW])</f>
        <v>7.9380000000000006</v>
      </c>
      <c r="E40" s="1">
        <f>SUMIF(Table1[End of life],"&gt;="&amp;Table3[[#This Row],[Year]],Table1[Existing capacity
GW])</f>
        <v>30.310999999999993</v>
      </c>
    </row>
    <row r="41" spans="2:5">
      <c r="B41">
        <v>2048</v>
      </c>
      <c r="C41" s="1">
        <f>SUMIF(Table157[End of life],"&gt;="&amp;Table3[[#This Row],[Year]],Table157[Existing capacity
GW])</f>
        <v>0</v>
      </c>
      <c r="D41" s="1">
        <f>SUMIF(Table15[End of life],"&gt;="&amp;Table3[[#This Row],[Year]],Table15[Existing capacity
GW])</f>
        <v>4.9430000000000005</v>
      </c>
      <c r="E41" s="1">
        <f>SUMIF(Table1[End of life],"&gt;="&amp;Table3[[#This Row],[Year]],Table1[Existing capacity
GW])</f>
        <v>22.543999999999997</v>
      </c>
    </row>
    <row r="42" spans="2:5">
      <c r="B42">
        <v>2049</v>
      </c>
      <c r="C42" s="1">
        <f>SUMIF(Table157[End of life],"&gt;="&amp;Table3[[#This Row],[Year]],Table157[Existing capacity
GW])</f>
        <v>0</v>
      </c>
      <c r="D42" s="1">
        <f>SUMIF(Table15[End of life],"&gt;="&amp;Table3[[#This Row],[Year]],Table15[Existing capacity
GW])</f>
        <v>4.5070000000000006</v>
      </c>
      <c r="E42" s="1">
        <f>SUMIF(Table1[End of life],"&gt;="&amp;Table3[[#This Row],[Year]],Table1[Existing capacity
GW])</f>
        <v>18.920999999999999</v>
      </c>
    </row>
    <row r="43" spans="2:5">
      <c r="B43">
        <v>2050</v>
      </c>
      <c r="C43" s="1">
        <f>SUMIF(Table157[End of life],"&gt;="&amp;Table3[[#This Row],[Year]],Table157[Existing capacity
GW])</f>
        <v>0</v>
      </c>
      <c r="D43" s="1">
        <f>SUMIF(Table15[End of life],"&gt;="&amp;Table3[[#This Row],[Year]],Table15[Existing capacity
GW])</f>
        <v>2.5760000000000001</v>
      </c>
      <c r="E43" s="1">
        <f>SUMIF(Table1[End of life],"&gt;="&amp;Table3[[#This Row],[Year]],Table1[Existing capacity
GW])</f>
        <v>18.920999999999999</v>
      </c>
    </row>
  </sheetData>
  <pageMargins left="0.7" right="0.7" top="0.75" bottom="0.75" header="0.3" footer="0.3"/>
  <pageSetup orientation="portrait" horizontalDpi="1200" verticalDpi="1200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>
    <tabColor theme="5" tint="-0.249977111117893"/>
    <pageSetUpPr fitToPage="1"/>
  </sheetPr>
  <dimension ref="A1:M155"/>
  <sheetViews>
    <sheetView zoomScaleNormal="100" workbookViewId="0">
      <pane xSplit="3" ySplit="1" topLeftCell="D2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RowHeight="15"/>
  <cols>
    <col min="1" max="1" width="10.7109375" style="5" bestFit="1" customWidth="1"/>
    <col min="2" max="2" width="9.140625" style="5"/>
    <col min="3" max="3" width="11.7109375" style="5" bestFit="1" customWidth="1"/>
    <col min="4" max="4" width="32.28515625" style="5" bestFit="1" customWidth="1"/>
    <col min="5" max="5" width="14" style="5" bestFit="1" customWidth="1"/>
    <col min="6" max="6" width="14.140625" style="5" bestFit="1" customWidth="1"/>
    <col min="7" max="7" width="14.140625" style="5" customWidth="1"/>
    <col min="8" max="8" width="9.5703125" style="5" bestFit="1" customWidth="1"/>
    <col min="9" max="10" width="14.5703125" style="5" bestFit="1" customWidth="1"/>
    <col min="11" max="11" width="20.140625" style="5" bestFit="1" customWidth="1"/>
    <col min="12" max="12" width="43.42578125" style="5" customWidth="1"/>
    <col min="13" max="13" width="108.85546875" style="5" bestFit="1" customWidth="1"/>
    <col min="14" max="16384" width="9.140625" style="5"/>
  </cols>
  <sheetData>
    <row r="1" spans="1:13" s="7" customFormat="1" ht="44.25" customHeight="1">
      <c r="A1" s="3" t="s">
        <v>195</v>
      </c>
      <c r="C1" s="6" t="s">
        <v>206</v>
      </c>
      <c r="D1" s="6" t="s">
        <v>0</v>
      </c>
      <c r="E1" s="6" t="s">
        <v>2</v>
      </c>
      <c r="F1" s="6" t="s">
        <v>196</v>
      </c>
      <c r="G1" s="6" t="s">
        <v>200</v>
      </c>
      <c r="H1" s="6" t="s">
        <v>198</v>
      </c>
      <c r="I1" s="6" t="s">
        <v>203</v>
      </c>
      <c r="J1" s="6" t="s">
        <v>199</v>
      </c>
      <c r="K1" s="6" t="s">
        <v>197</v>
      </c>
      <c r="L1" s="6" t="s">
        <v>172</v>
      </c>
      <c r="M1" s="6" t="s">
        <v>184</v>
      </c>
    </row>
    <row r="2" spans="1:13" ht="26.25">
      <c r="A2" s="4">
        <v>40</v>
      </c>
      <c r="C2" s="8" t="s">
        <v>4</v>
      </c>
      <c r="D2" s="8" t="s">
        <v>5</v>
      </c>
      <c r="E2" s="8">
        <v>1974</v>
      </c>
      <c r="F2" s="9">
        <v>1.3464164759725401</v>
      </c>
      <c r="G2" s="9" t="s">
        <v>201</v>
      </c>
      <c r="H2" s="8">
        <f>IF(Table157[[#This Row],[Lifetime Option]]="fixed",Table157[[#This Row],[End of life (fixed)]]-Table157[[#This Row],[Start year]],Table268[Generic  Lifetime])</f>
        <v>51</v>
      </c>
      <c r="I2" s="8">
        <v>2025</v>
      </c>
      <c r="J2" s="8">
        <f>IF(Table157[[#This Row],[Lifetime Option]]="fixed",Table157[[#This Row],[End of life (fixed)]],Table157[[#This Row],[Start year]]+Table268[Generic  Lifetime])</f>
        <v>2025</v>
      </c>
      <c r="K2" s="8">
        <v>0.433</v>
      </c>
      <c r="L2" s="8"/>
      <c r="M2" s="10" t="s">
        <v>173</v>
      </c>
    </row>
    <row r="3" spans="1:13" ht="26.25">
      <c r="C3" s="8" t="s">
        <v>4</v>
      </c>
      <c r="D3" s="8" t="s">
        <v>6</v>
      </c>
      <c r="E3" s="8">
        <v>1975</v>
      </c>
      <c r="F3" s="9">
        <v>1.3464164759725401</v>
      </c>
      <c r="G3" s="9" t="s">
        <v>201</v>
      </c>
      <c r="H3" s="8">
        <f>IF(Table157[[#This Row],[Lifetime Option]]="fixed",Table157[[#This Row],[End of life (fixed)]]-Table157[[#This Row],[Start year]],Table268[Generic  Lifetime])</f>
        <v>50</v>
      </c>
      <c r="I3" s="8">
        <v>2025</v>
      </c>
      <c r="J3" s="8">
        <f>IF(Table157[[#This Row],[Lifetime Option]]="fixed",Table157[[#This Row],[End of life (fixed)]],Table157[[#This Row],[Start year]]+Table268[Generic  Lifetime])</f>
        <v>2025</v>
      </c>
      <c r="K3" s="8">
        <v>0.433</v>
      </c>
      <c r="L3" s="8"/>
      <c r="M3" s="10" t="s">
        <v>173</v>
      </c>
    </row>
    <row r="4" spans="1:13">
      <c r="C4" s="8" t="s">
        <v>4</v>
      </c>
      <c r="D4" s="8" t="s">
        <v>7</v>
      </c>
      <c r="E4" s="8">
        <v>1982</v>
      </c>
      <c r="F4" s="9">
        <v>1.46387740667976</v>
      </c>
      <c r="G4" s="9" t="s">
        <v>201</v>
      </c>
      <c r="H4" s="8">
        <f>IF(Table157[[#This Row],[Lifetime Option]]="fixed",Table157[[#This Row],[End of life (fixed)]]-Table157[[#This Row],[Start year]],Table268[Generic  Lifetime])</f>
        <v>40</v>
      </c>
      <c r="I4" s="8">
        <v>2022</v>
      </c>
      <c r="J4" s="8">
        <f>IF(Table157[[#This Row],[Lifetime Option]]="fixed",Table157[[#This Row],[End of life (fixed)]],Table157[[#This Row],[Start year]]+Table268[Generic  Lifetime])</f>
        <v>2022</v>
      </c>
      <c r="K4" s="8">
        <v>1.006</v>
      </c>
      <c r="L4" s="8" t="s">
        <v>185</v>
      </c>
      <c r="M4" s="10" t="s">
        <v>175</v>
      </c>
    </row>
    <row r="5" spans="1:13">
      <c r="C5" s="8" t="s">
        <v>4</v>
      </c>
      <c r="D5" s="8" t="s">
        <v>8</v>
      </c>
      <c r="E5" s="8">
        <v>1985</v>
      </c>
      <c r="F5" s="9">
        <v>1.4183132530120499</v>
      </c>
      <c r="G5" s="9" t="s">
        <v>201</v>
      </c>
      <c r="H5" s="8">
        <f>IF(Table157[[#This Row],[Lifetime Option]]="fixed",Table157[[#This Row],[End of life (fixed)]]-Table157[[#This Row],[Start year]],Table268[Generic  Lifetime])</f>
        <v>40</v>
      </c>
      <c r="I5" s="8">
        <v>2025</v>
      </c>
      <c r="J5" s="8">
        <f>IF(Table157[[#This Row],[Lifetime Option]]="fixed",Table157[[#This Row],[End of life (fixed)]],Table157[[#This Row],[Start year]]+Table268[Generic  Lifetime])</f>
        <v>2025</v>
      </c>
      <c r="K5" s="8">
        <v>1.0389999999999999</v>
      </c>
      <c r="L5" s="8"/>
      <c r="M5" s="11"/>
    </row>
    <row r="6" spans="1:13">
      <c r="C6" s="8" t="s">
        <v>4</v>
      </c>
      <c r="D6" s="8" t="s">
        <v>9</v>
      </c>
      <c r="E6" s="8">
        <v>1975</v>
      </c>
      <c r="F6" s="9">
        <v>1.3654688478941901</v>
      </c>
      <c r="G6" s="9" t="s">
        <v>201</v>
      </c>
      <c r="H6" s="8">
        <f>IF(Table157[[#This Row],[Lifetime Option]]="fixed",Table157[[#This Row],[End of life (fixed)]]-Table157[[#This Row],[Start year]],Table268[Generic  Lifetime])</f>
        <v>50</v>
      </c>
      <c r="I6" s="8">
        <v>2025</v>
      </c>
      <c r="J6" s="8">
        <f>IF(Table157[[#This Row],[Lifetime Option]]="fixed",Table157[[#This Row],[End of life (fixed)]],Table157[[#This Row],[Start year]]+Table268[Generic  Lifetime])</f>
        <v>2025</v>
      </c>
      <c r="K6" s="8">
        <v>0.96199999999999997</v>
      </c>
      <c r="L6" s="8"/>
      <c r="M6" s="10" t="s">
        <v>174</v>
      </c>
    </row>
    <row r="7" spans="1:13">
      <c r="C7" s="8" t="s">
        <v>4</v>
      </c>
      <c r="D7" s="8" t="s">
        <v>10</v>
      </c>
      <c r="E7" s="8">
        <v>1982</v>
      </c>
      <c r="F7" s="9">
        <v>1.3387206266318501</v>
      </c>
      <c r="G7" s="9" t="s">
        <v>201</v>
      </c>
      <c r="H7" s="8">
        <f>IF(Table157[[#This Row],[Lifetime Option]]="fixed",Table157[[#This Row],[End of life (fixed)]]-Table157[[#This Row],[Start year]],Table268[Generic  Lifetime])</f>
        <v>40</v>
      </c>
      <c r="I7" s="8">
        <v>2022</v>
      </c>
      <c r="J7" s="8">
        <f>IF(Table157[[#This Row],[Lifetime Option]]="fixed",Table157[[#This Row],[End of life (fixed)]],Table157[[#This Row],[Start year]]+Table268[Generic  Lifetime])</f>
        <v>2022</v>
      </c>
      <c r="K7" s="8">
        <v>1.008</v>
      </c>
      <c r="L7" s="8" t="s">
        <v>185</v>
      </c>
      <c r="M7" s="10" t="s">
        <v>175</v>
      </c>
    </row>
    <row r="8" spans="1:13">
      <c r="C8" s="8" t="s">
        <v>4</v>
      </c>
      <c r="D8" s="8" t="s">
        <v>11</v>
      </c>
      <c r="E8" s="8">
        <v>1985</v>
      </c>
      <c r="F8" s="9">
        <v>1.417824</v>
      </c>
      <c r="G8" s="9" t="s">
        <v>201</v>
      </c>
      <c r="H8" s="8">
        <f>IF(Table157[[#This Row],[Lifetime Option]]="fixed",Table157[[#This Row],[End of life (fixed)]]-Table157[[#This Row],[Start year]],Table268[Generic  Lifetime])</f>
        <v>40</v>
      </c>
      <c r="I8" s="8">
        <v>2025</v>
      </c>
      <c r="J8" s="8">
        <f>IF(Table157[[#This Row],[Lifetime Option]]="fixed",Table157[[#This Row],[End of life (fixed)]],Table157[[#This Row],[Start year]]+Table268[Generic  Lifetime])</f>
        <v>2025</v>
      </c>
      <c r="K8" s="8">
        <v>1.046</v>
      </c>
      <c r="L8" s="8"/>
      <c r="M8" s="11"/>
    </row>
    <row r="9" spans="1:13">
      <c r="C9" s="8" t="s">
        <v>12</v>
      </c>
      <c r="D9" s="8" t="s">
        <v>13</v>
      </c>
      <c r="E9" s="8">
        <v>1980</v>
      </c>
      <c r="F9" s="9">
        <v>0.77</v>
      </c>
      <c r="G9" s="9" t="s">
        <v>201</v>
      </c>
      <c r="H9" s="8">
        <f>IF(Table157[[#This Row],[Lifetime Option]]="fixed",Table157[[#This Row],[End of life (fixed)]]-Table157[[#This Row],[Start year]],Table268[Generic  Lifetime])</f>
        <v>26</v>
      </c>
      <c r="I9" s="8">
        <v>2006</v>
      </c>
      <c r="J9" s="8">
        <f>IF(Table157[[#This Row],[Lifetime Option]]="fixed",Table157[[#This Row],[End of life (fixed)]],Table157[[#This Row],[Start year]]+Table268[Generic  Lifetime])</f>
        <v>2006</v>
      </c>
      <c r="K9" s="8">
        <v>0.40799999999999997</v>
      </c>
      <c r="L9" s="8" t="s">
        <v>186</v>
      </c>
      <c r="M9" s="11"/>
    </row>
    <row r="10" spans="1:13">
      <c r="C10" s="8" t="s">
        <v>12</v>
      </c>
      <c r="D10" s="8" t="s">
        <v>14</v>
      </c>
      <c r="E10" s="8">
        <v>1982</v>
      </c>
      <c r="F10" s="9">
        <v>0.77</v>
      </c>
      <c r="G10" s="9" t="s">
        <v>201</v>
      </c>
      <c r="H10" s="8">
        <f>IF(Table157[[#This Row],[Lifetime Option]]="fixed",Table157[[#This Row],[End of life (fixed)]]-Table157[[#This Row],[Start year]],Table268[Generic  Lifetime])</f>
        <v>24</v>
      </c>
      <c r="I10" s="8">
        <v>2006</v>
      </c>
      <c r="J10" s="8">
        <f>IF(Table157[[#This Row],[Lifetime Option]]="fixed",Table157[[#This Row],[End of life (fixed)]],Table157[[#This Row],[Start year]]+Table268[Generic  Lifetime])</f>
        <v>2006</v>
      </c>
      <c r="K10" s="8">
        <v>0.40799999999999997</v>
      </c>
      <c r="L10" s="8" t="s">
        <v>186</v>
      </c>
      <c r="M10" s="11"/>
    </row>
    <row r="11" spans="1:13">
      <c r="C11" s="8" t="s">
        <v>12</v>
      </c>
      <c r="D11" s="8" t="s">
        <v>15</v>
      </c>
      <c r="E11" s="8">
        <v>1987</v>
      </c>
      <c r="F11" s="9">
        <v>0.77759999999999996</v>
      </c>
      <c r="G11" s="9" t="s">
        <v>202</v>
      </c>
      <c r="H11" s="8">
        <f>IF(Table157[[#This Row],[Lifetime Option]]="fixed",Table157[[#This Row],[End of life (fixed)]]-Table157[[#This Row],[Start year]],Table268[Generic  Lifetime])</f>
        <v>40</v>
      </c>
      <c r="I11" s="8"/>
      <c r="J11" s="8">
        <f>IF(Table157[[#This Row],[Lifetime Option]]="fixed",Table157[[#This Row],[End of life (fixed)]],Table157[[#This Row],[Start year]]+Table268[Generic  Lifetime])</f>
        <v>2027</v>
      </c>
      <c r="K11" s="8">
        <v>0.95299999999999996</v>
      </c>
      <c r="L11" s="8"/>
      <c r="M11" s="10" t="s">
        <v>177</v>
      </c>
    </row>
    <row r="12" spans="1:13">
      <c r="C12" s="8" t="s">
        <v>12</v>
      </c>
      <c r="D12" s="8" t="s">
        <v>16</v>
      </c>
      <c r="E12" s="8">
        <v>1991</v>
      </c>
      <c r="F12" s="9">
        <v>0.77759999999999996</v>
      </c>
      <c r="G12" s="9" t="s">
        <v>202</v>
      </c>
      <c r="H12" s="8">
        <f>IF(Table157[[#This Row],[Lifetime Option]]="fixed",Table157[[#This Row],[End of life (fixed)]]-Table157[[#This Row],[Start year]],Table268[Generic  Lifetime])</f>
        <v>40</v>
      </c>
      <c r="I12" s="8"/>
      <c r="J12" s="8">
        <f>IF(Table157[[#This Row],[Lifetime Option]]="fixed",Table157[[#This Row],[End of life (fixed)]],Table157[[#This Row],[Start year]]+Table268[Generic  Lifetime])</f>
        <v>2031</v>
      </c>
      <c r="K12" s="8">
        <v>0.95299999999999996</v>
      </c>
      <c r="L12" s="8"/>
      <c r="M12" s="10" t="s">
        <v>177</v>
      </c>
    </row>
    <row r="13" spans="1:13">
      <c r="C13" s="8" t="s">
        <v>17</v>
      </c>
      <c r="D13" s="8" t="s">
        <v>18</v>
      </c>
      <c r="E13" s="8">
        <v>1969</v>
      </c>
      <c r="F13" s="9">
        <v>1.22030442477876</v>
      </c>
      <c r="G13" s="9" t="s">
        <v>201</v>
      </c>
      <c r="H13" s="8">
        <f>IF(Table157[[#This Row],[Lifetime Option]]="fixed",Table157[[#This Row],[End of life (fixed)]]-Table157[[#This Row],[Start year]],Table268[Generic  Lifetime])</f>
        <v>50</v>
      </c>
      <c r="I13" s="8">
        <v>2019</v>
      </c>
      <c r="J13" s="8">
        <f>IF(Table157[[#This Row],[Lifetime Option]]="fixed",Table157[[#This Row],[End of life (fixed)]],Table157[[#This Row],[Start year]]+Table268[Generic  Lifetime])</f>
        <v>2019</v>
      </c>
      <c r="K13" s="8">
        <v>0.36499999999999999</v>
      </c>
      <c r="L13" s="8" t="s">
        <v>205</v>
      </c>
      <c r="M13" s="10" t="s">
        <v>204</v>
      </c>
    </row>
    <row r="14" spans="1:13">
      <c r="C14" s="8" t="s">
        <v>17</v>
      </c>
      <c r="D14" s="8" t="s">
        <v>19</v>
      </c>
      <c r="E14" s="8">
        <v>1971</v>
      </c>
      <c r="F14" s="9">
        <v>1.22030442477876</v>
      </c>
      <c r="G14" s="9" t="s">
        <v>201</v>
      </c>
      <c r="H14" s="8">
        <f>IF(Table157[[#This Row],[Lifetime Option]]="fixed",Table157[[#This Row],[End of life (fixed)]]-Table157[[#This Row],[Start year]],Table268[Generic  Lifetime])</f>
        <v>50</v>
      </c>
      <c r="I14" s="8">
        <v>2021</v>
      </c>
      <c r="J14" s="8">
        <f>IF(Table157[[#This Row],[Lifetime Option]]="fixed",Table157[[#This Row],[End of life (fixed)]],Table157[[#This Row],[Start year]]+Table268[Generic  Lifetime])</f>
        <v>2021</v>
      </c>
      <c r="K14" s="8">
        <v>0.36499999999999999</v>
      </c>
      <c r="L14" s="8" t="s">
        <v>205</v>
      </c>
      <c r="M14" s="10" t="s">
        <v>204</v>
      </c>
    </row>
    <row r="15" spans="1:13">
      <c r="C15" s="8" t="s">
        <v>17</v>
      </c>
      <c r="D15" s="8" t="s">
        <v>20</v>
      </c>
      <c r="E15" s="8">
        <v>1979</v>
      </c>
      <c r="F15" s="9">
        <v>1.54898334443704</v>
      </c>
      <c r="G15" s="9" t="s">
        <v>201</v>
      </c>
      <c r="H15" s="8">
        <f>IF(Table157[[#This Row],[Lifetime Option]]="fixed",Table157[[#This Row],[End of life (fixed)]]-Table157[[#This Row],[Start year]],Table268[Generic  Lifetime])</f>
        <v>50</v>
      </c>
      <c r="I15" s="8">
        <v>2029</v>
      </c>
      <c r="J15" s="8">
        <f>IF(Table157[[#This Row],[Lifetime Option]]="fixed",Table157[[#This Row],[End of life (fixed)]],Table157[[#This Row],[Start year]]+Table268[Generic  Lifetime])</f>
        <v>2029</v>
      </c>
      <c r="K15" s="8">
        <v>0.98499999999999999</v>
      </c>
      <c r="L15" s="8" t="s">
        <v>205</v>
      </c>
      <c r="M15" s="10" t="s">
        <v>204</v>
      </c>
    </row>
    <row r="16" spans="1:13">
      <c r="C16" s="8" t="s">
        <v>17</v>
      </c>
      <c r="D16" s="8" t="s">
        <v>21</v>
      </c>
      <c r="E16" s="8">
        <v>1984</v>
      </c>
      <c r="F16" s="9">
        <v>1.28484</v>
      </c>
      <c r="G16" s="9" t="s">
        <v>201</v>
      </c>
      <c r="H16" s="8">
        <f>IF(Table157[[#This Row],[Lifetime Option]]="fixed",Table157[[#This Row],[End of life (fixed)]]-Table157[[#This Row],[Start year]],Table268[Generic  Lifetime])</f>
        <v>50</v>
      </c>
      <c r="I16" s="8">
        <v>2034</v>
      </c>
      <c r="J16" s="8">
        <f>IF(Table157[[#This Row],[Lifetime Option]]="fixed",Table157[[#This Row],[End of life (fixed)]],Table157[[#This Row],[Start year]]+Table268[Generic  Lifetime])</f>
        <v>2034</v>
      </c>
      <c r="K16" s="8">
        <v>1.22</v>
      </c>
      <c r="L16" s="8" t="s">
        <v>205</v>
      </c>
      <c r="M16" s="10" t="s">
        <v>204</v>
      </c>
    </row>
    <row r="17" spans="3:13">
      <c r="C17" s="8" t="s">
        <v>17</v>
      </c>
      <c r="D17" s="8" t="s">
        <v>22</v>
      </c>
      <c r="E17" s="8">
        <v>1971</v>
      </c>
      <c r="F17" s="9">
        <v>1.4743919781221499</v>
      </c>
      <c r="G17" s="9" t="s">
        <v>201</v>
      </c>
      <c r="H17" s="8">
        <f>IF(Table157[[#This Row],[Lifetime Option]]="fixed",Table157[[#This Row],[End of life (fixed)]]-Table157[[#This Row],[Start year]],Table268[Generic  Lifetime])</f>
        <v>48</v>
      </c>
      <c r="I17" s="8">
        <v>2019</v>
      </c>
      <c r="J17" s="8">
        <f>IF(Table157[[#This Row],[Lifetime Option]]="fixed",Table157[[#This Row],[End of life (fixed)]],Table157[[#This Row],[Start year]]+Table268[Generic  Lifetime])</f>
        <v>2019</v>
      </c>
      <c r="K17" s="8">
        <v>0.373</v>
      </c>
      <c r="L17" s="8" t="s">
        <v>205</v>
      </c>
      <c r="M17" s="10" t="s">
        <v>204</v>
      </c>
    </row>
    <row r="18" spans="3:13">
      <c r="C18" s="8" t="s">
        <v>23</v>
      </c>
      <c r="D18" s="8" t="s">
        <v>24</v>
      </c>
      <c r="E18" s="8">
        <v>1985</v>
      </c>
      <c r="F18" s="9">
        <v>1.2607488</v>
      </c>
      <c r="G18" s="9" t="s">
        <v>202</v>
      </c>
      <c r="H18" s="8">
        <f>IF(Table157[[#This Row],[Lifetime Option]]="fixed",Table157[[#This Row],[End of life (fixed)]]-Table157[[#This Row],[Start year]],Table268[Generic  Lifetime])</f>
        <v>40</v>
      </c>
      <c r="I18" s="8"/>
      <c r="J18" s="8">
        <f>IF(Table157[[#This Row],[Lifetime Option]]="fixed",Table157[[#This Row],[End of life (fixed)]],Table157[[#This Row],[Start year]]+Table268[Generic  Lifetime])</f>
        <v>2025</v>
      </c>
      <c r="K18" s="8">
        <v>0.46800000000000003</v>
      </c>
      <c r="L18" s="8"/>
      <c r="M18" s="10" t="s">
        <v>180</v>
      </c>
    </row>
    <row r="19" spans="3:13">
      <c r="C19" s="8" t="s">
        <v>23</v>
      </c>
      <c r="D19" s="8" t="s">
        <v>25</v>
      </c>
      <c r="E19" s="8">
        <v>1986</v>
      </c>
      <c r="F19" s="9">
        <v>1.2607488</v>
      </c>
      <c r="G19" s="9" t="s">
        <v>202</v>
      </c>
      <c r="H19" s="8">
        <f>IF(Table157[[#This Row],[Lifetime Option]]="fixed",Table157[[#This Row],[End of life (fixed)]]-Table157[[#This Row],[Start year]],Table268[Generic  Lifetime])</f>
        <v>40</v>
      </c>
      <c r="I19" s="8"/>
      <c r="J19" s="8">
        <f>IF(Table157[[#This Row],[Lifetime Option]]="fixed",Table157[[#This Row],[End of life (fixed)]],Table157[[#This Row],[Start year]]+Table268[Generic  Lifetime])</f>
        <v>2026</v>
      </c>
      <c r="K19" s="8">
        <v>0.47099999999999997</v>
      </c>
      <c r="L19" s="8"/>
      <c r="M19" s="11"/>
    </row>
    <row r="20" spans="3:13">
      <c r="C20" s="8" t="s">
        <v>23</v>
      </c>
      <c r="D20" s="8" t="s">
        <v>26</v>
      </c>
      <c r="E20" s="8">
        <v>1986</v>
      </c>
      <c r="F20" s="9">
        <v>1.3110781163434899</v>
      </c>
      <c r="G20" s="9" t="s">
        <v>202</v>
      </c>
      <c r="H20" s="8">
        <f>IF(Table157[[#This Row],[Lifetime Option]]="fixed",Table157[[#This Row],[End of life (fixed)]]-Table157[[#This Row],[Start year]],Table268[Generic  Lifetime])</f>
        <v>40</v>
      </c>
      <c r="I20" s="8"/>
      <c r="J20" s="8">
        <f>IF(Table157[[#This Row],[Lifetime Option]]="fixed",Table157[[#This Row],[End of life (fixed)]],Table157[[#This Row],[Start year]]+Table268[Generic  Lifetime])</f>
        <v>2026</v>
      </c>
      <c r="K20" s="8">
        <v>0.46800000000000003</v>
      </c>
      <c r="L20" s="8"/>
      <c r="M20" s="11"/>
    </row>
    <row r="21" spans="3:13">
      <c r="C21" s="8" t="s">
        <v>23</v>
      </c>
      <c r="D21" s="8" t="s">
        <v>27</v>
      </c>
      <c r="E21" s="8">
        <v>1987</v>
      </c>
      <c r="F21" s="9">
        <v>1.2607488</v>
      </c>
      <c r="G21" s="9" t="s">
        <v>202</v>
      </c>
      <c r="H21" s="8">
        <f>IF(Table157[[#This Row],[Lifetime Option]]="fixed",Table157[[#This Row],[End of life (fixed)]]-Table157[[#This Row],[Start year]],Table268[Generic  Lifetime])</f>
        <v>40</v>
      </c>
      <c r="I21" s="8"/>
      <c r="J21" s="8">
        <f>IF(Table157[[#This Row],[Lifetime Option]]="fixed",Table157[[#This Row],[End of life (fixed)]],Table157[[#This Row],[Start year]]+Table268[Generic  Lifetime])</f>
        <v>2027</v>
      </c>
      <c r="K21" s="8">
        <v>0.47099999999999997</v>
      </c>
      <c r="L21" s="8"/>
      <c r="M21" s="11"/>
    </row>
    <row r="22" spans="3:13">
      <c r="C22" s="8" t="s">
        <v>23</v>
      </c>
      <c r="D22" s="8" t="s">
        <v>28</v>
      </c>
      <c r="E22" s="8">
        <v>2000</v>
      </c>
      <c r="F22" s="9">
        <v>1.312848</v>
      </c>
      <c r="G22" s="9" t="s">
        <v>202</v>
      </c>
      <c r="H22" s="8">
        <f>IF(Table157[[#This Row],[Lifetime Option]]="fixed",Table157[[#This Row],[End of life (fixed)]]-Table157[[#This Row],[Start year]],Table268[Generic  Lifetime])</f>
        <v>40</v>
      </c>
      <c r="I22" s="8"/>
      <c r="J22" s="8">
        <f>IF(Table157[[#This Row],[Lifetime Option]]="fixed",Table157[[#This Row],[End of life (fixed)]],Table157[[#This Row],[Start year]]+Table268[Generic  Lifetime])</f>
        <v>2040</v>
      </c>
      <c r="K22" s="8">
        <v>0.96299999999999997</v>
      </c>
      <c r="L22" s="8"/>
      <c r="M22" s="11"/>
    </row>
    <row r="23" spans="3:13">
      <c r="C23" s="8" t="s">
        <v>23</v>
      </c>
      <c r="D23" s="8" t="s">
        <v>29</v>
      </c>
      <c r="E23" s="8">
        <v>2002</v>
      </c>
      <c r="F23" s="9">
        <v>1.312848</v>
      </c>
      <c r="G23" s="9" t="s">
        <v>202</v>
      </c>
      <c r="H23" s="8">
        <f>IF(Table157[[#This Row],[Lifetime Option]]="fixed",Table157[[#This Row],[End of life (fixed)]]-Table157[[#This Row],[Start year]],Table268[Generic  Lifetime])</f>
        <v>40</v>
      </c>
      <c r="I23" s="8"/>
      <c r="J23" s="8">
        <f>IF(Table157[[#This Row],[Lifetime Option]]="fixed",Table157[[#This Row],[End of life (fixed)]],Table157[[#This Row],[Start year]]+Table268[Generic  Lifetime])</f>
        <v>2042</v>
      </c>
      <c r="K23" s="8">
        <v>0.96299999999999997</v>
      </c>
      <c r="L23" s="8"/>
      <c r="M23" s="11"/>
    </row>
    <row r="24" spans="3:13">
      <c r="C24" s="8" t="s">
        <v>1</v>
      </c>
      <c r="D24" s="8" t="s">
        <v>30</v>
      </c>
      <c r="E24" s="8">
        <v>1974</v>
      </c>
      <c r="F24" s="9">
        <v>0.94089599999999995</v>
      </c>
      <c r="G24" s="9" t="s">
        <v>201</v>
      </c>
      <c r="H24" s="8">
        <f>IF(Table157[[#This Row],[Lifetime Option]]="fixed",Table157[[#This Row],[End of life (fixed)]]-Table157[[#This Row],[Start year]],Table268[Generic  Lifetime])</f>
        <v>37</v>
      </c>
      <c r="I24" s="8">
        <v>2011</v>
      </c>
      <c r="J24" s="8">
        <f>IF(Table157[[#This Row],[Lifetime Option]]="fixed",Table157[[#This Row],[End of life (fixed)]],Table157[[#This Row],[Start year]]+Table268[Generic  Lifetime])</f>
        <v>2011</v>
      </c>
      <c r="K24" s="8">
        <v>1.167</v>
      </c>
      <c r="L24" s="8" t="s">
        <v>186</v>
      </c>
      <c r="M24" s="11"/>
    </row>
    <row r="25" spans="3:13">
      <c r="C25" s="8" t="s">
        <v>1</v>
      </c>
      <c r="D25" s="8" t="s">
        <v>31</v>
      </c>
      <c r="E25" s="8">
        <v>1976</v>
      </c>
      <c r="F25" s="9">
        <v>0.94089599999999995</v>
      </c>
      <c r="G25" s="9" t="s">
        <v>201</v>
      </c>
      <c r="H25" s="8">
        <f>IF(Table157[[#This Row],[Lifetime Option]]="fixed",Table157[[#This Row],[End of life (fixed)]]-Table157[[#This Row],[Start year]],Table268[Generic  Lifetime])</f>
        <v>35</v>
      </c>
      <c r="I25" s="8">
        <v>2011</v>
      </c>
      <c r="J25" s="8">
        <f>IF(Table157[[#This Row],[Lifetime Option]]="fixed",Table157[[#This Row],[End of life (fixed)]],Table157[[#This Row],[Start year]]+Table268[Generic  Lifetime])</f>
        <v>2011</v>
      </c>
      <c r="K25" s="8">
        <v>1.24</v>
      </c>
      <c r="L25" s="8" t="s">
        <v>186</v>
      </c>
      <c r="M25" s="11"/>
    </row>
    <row r="26" spans="3:13">
      <c r="C26" s="8" t="s">
        <v>1</v>
      </c>
      <c r="D26" s="8" t="s">
        <v>32</v>
      </c>
      <c r="E26" s="8">
        <v>1986</v>
      </c>
      <c r="F26" s="9">
        <v>1.11478153846154</v>
      </c>
      <c r="G26" s="9" t="s">
        <v>201</v>
      </c>
      <c r="H26" s="8">
        <f>IF(Table157[[#This Row],[Lifetime Option]]="fixed",Table157[[#This Row],[End of life (fixed)]]-Table157[[#This Row],[Start year]],Table268[Generic  Lifetime])</f>
        <v>35</v>
      </c>
      <c r="I26" s="8">
        <v>2021</v>
      </c>
      <c r="J26" s="8">
        <f>IF(Table157[[#This Row],[Lifetime Option]]="fixed",Table157[[#This Row],[End of life (fixed)]],Table157[[#This Row],[Start year]]+Table268[Generic  Lifetime])</f>
        <v>2021</v>
      </c>
      <c r="K26" s="8">
        <v>1.41</v>
      </c>
      <c r="L26" s="8"/>
      <c r="M26" s="11"/>
    </row>
    <row r="27" spans="3:13">
      <c r="C27" s="8" t="s">
        <v>1</v>
      </c>
      <c r="D27" s="8" t="s">
        <v>33</v>
      </c>
      <c r="E27" s="8">
        <v>1976</v>
      </c>
      <c r="F27" s="9">
        <v>0.91238399999999997</v>
      </c>
      <c r="G27" s="9" t="s">
        <v>201</v>
      </c>
      <c r="H27" s="8">
        <f>IF(Table157[[#This Row],[Lifetime Option]]="fixed",Table157[[#This Row],[End of life (fixed)]]-Table157[[#This Row],[Start year]],Table268[Generic  Lifetime])</f>
        <v>35</v>
      </c>
      <c r="I27" s="8">
        <v>2011</v>
      </c>
      <c r="J27" s="8">
        <f>IF(Table157[[#This Row],[Lifetime Option]]="fixed",Table157[[#This Row],[End of life (fixed)]],Table157[[#This Row],[Start year]]+Table268[Generic  Lifetime])</f>
        <v>2011</v>
      </c>
      <c r="K27" s="8">
        <v>0.77100000000000002</v>
      </c>
      <c r="L27" s="8" t="s">
        <v>186</v>
      </c>
      <c r="M27" s="11"/>
    </row>
    <row r="28" spans="3:13">
      <c r="C28" s="8" t="s">
        <v>1</v>
      </c>
      <c r="D28" s="8" t="s">
        <v>34</v>
      </c>
      <c r="E28" s="8">
        <v>1988</v>
      </c>
      <c r="F28" s="9">
        <v>1.0053818181818199</v>
      </c>
      <c r="G28" s="9" t="s">
        <v>201</v>
      </c>
      <c r="H28" s="8">
        <f>IF(Table157[[#This Row],[Lifetime Option]]="fixed",Table157[[#This Row],[End of life (fixed)]]-Table157[[#This Row],[Start year]],Table268[Generic  Lifetime])</f>
        <v>34</v>
      </c>
      <c r="I28" s="8">
        <v>2022</v>
      </c>
      <c r="J28" s="8">
        <f>IF(Table157[[#This Row],[Lifetime Option]]="fixed",Table157[[#This Row],[End of life (fixed)]],Table157[[#This Row],[Start year]]+Table268[Generic  Lifetime])</f>
        <v>2022</v>
      </c>
      <c r="K28" s="8">
        <v>1.335</v>
      </c>
      <c r="L28" s="8"/>
      <c r="M28" s="11" t="s">
        <v>181</v>
      </c>
    </row>
    <row r="29" spans="3:13">
      <c r="C29" s="8" t="s">
        <v>1</v>
      </c>
      <c r="D29" s="8" t="s">
        <v>35</v>
      </c>
      <c r="E29" s="8">
        <v>1981</v>
      </c>
      <c r="F29" s="9">
        <v>1.04942151394422</v>
      </c>
      <c r="G29" s="9" t="s">
        <v>201</v>
      </c>
      <c r="H29" s="8">
        <f>IF(Table157[[#This Row],[Lifetime Option]]="fixed",Table157[[#This Row],[End of life (fixed)]]-Table157[[#This Row],[Start year]],Table268[Generic  Lifetime])</f>
        <v>34</v>
      </c>
      <c r="I29" s="8">
        <v>2015</v>
      </c>
      <c r="J29" s="8">
        <f>IF(Table157[[#This Row],[Lifetime Option]]="fixed",Table157[[#This Row],[End of life (fixed)]],Table157[[#This Row],[Start year]]+Table268[Generic  Lifetime])</f>
        <v>2015</v>
      </c>
      <c r="K29" s="8">
        <v>1.2749999999999999</v>
      </c>
      <c r="L29" s="8" t="s">
        <v>186</v>
      </c>
      <c r="M29" s="11"/>
    </row>
    <row r="30" spans="3:13">
      <c r="C30" s="8" t="s">
        <v>1</v>
      </c>
      <c r="D30" s="8" t="s">
        <v>36</v>
      </c>
      <c r="E30" s="8">
        <v>1984</v>
      </c>
      <c r="F30" s="9">
        <v>1.0771200000000001</v>
      </c>
      <c r="G30" s="9" t="s">
        <v>201</v>
      </c>
      <c r="H30" s="8">
        <f>IF(Table157[[#This Row],[Lifetime Option]]="fixed",Table157[[#This Row],[End of life (fixed)]]-Table157[[#This Row],[Start year]],Table268[Generic  Lifetime])</f>
        <v>37</v>
      </c>
      <c r="I30" s="8">
        <v>2021</v>
      </c>
      <c r="J30" s="8">
        <f>IF(Table157[[#This Row],[Lifetime Option]]="fixed",Table157[[#This Row],[End of life (fixed)]],Table157[[#This Row],[Start year]]+Table268[Generic  Lifetime])</f>
        <v>2021</v>
      </c>
      <c r="K30" s="8">
        <v>1.36</v>
      </c>
      <c r="L30" s="8"/>
      <c r="M30" s="11"/>
    </row>
    <row r="31" spans="3:13">
      <c r="C31" s="8" t="s">
        <v>1</v>
      </c>
      <c r="D31" s="8" t="s">
        <v>37</v>
      </c>
      <c r="E31" s="8">
        <v>1984</v>
      </c>
      <c r="F31" s="9">
        <v>0.83160000000000001</v>
      </c>
      <c r="G31" s="9" t="s">
        <v>201</v>
      </c>
      <c r="H31" s="8">
        <f>IF(Table157[[#This Row],[Lifetime Option]]="fixed",Table157[[#This Row],[End of life (fixed)]]-Table157[[#This Row],[Start year]],Table268[Generic  Lifetime])</f>
        <v>33</v>
      </c>
      <c r="I31" s="8">
        <v>2017</v>
      </c>
      <c r="J31" s="8">
        <f>IF(Table157[[#This Row],[Lifetime Option]]="fixed",Table157[[#This Row],[End of life (fixed)]],Table157[[#This Row],[Start year]]+Table268[Generic  Lifetime])</f>
        <v>2017</v>
      </c>
      <c r="K31" s="8">
        <v>1.284</v>
      </c>
      <c r="L31" s="8"/>
      <c r="M31" s="11"/>
    </row>
    <row r="32" spans="3:13">
      <c r="C32" s="8" t="s">
        <v>1</v>
      </c>
      <c r="D32" s="8" t="s">
        <v>38</v>
      </c>
      <c r="E32" s="8">
        <v>1984</v>
      </c>
      <c r="F32" s="9">
        <v>0.83160000000000001</v>
      </c>
      <c r="G32" s="9" t="s">
        <v>201</v>
      </c>
      <c r="H32" s="8">
        <f>IF(Table157[[#This Row],[Lifetime Option]]="fixed",Table157[[#This Row],[End of life (fixed)]]-Table157[[#This Row],[Start year]],Table268[Generic  Lifetime])</f>
        <v>37</v>
      </c>
      <c r="I32" s="8">
        <v>2021</v>
      </c>
      <c r="J32" s="8">
        <f>IF(Table157[[#This Row],[Lifetime Option]]="fixed",Table157[[#This Row],[End of life (fixed)]],Table157[[#This Row],[Start year]]+Table268[Generic  Lifetime])</f>
        <v>2021</v>
      </c>
      <c r="K32" s="8">
        <v>1.288</v>
      </c>
      <c r="L32" s="8"/>
      <c r="M32" s="11"/>
    </row>
    <row r="33" spans="3:13">
      <c r="C33" s="8" t="s">
        <v>1</v>
      </c>
      <c r="D33" s="8" t="s">
        <v>39</v>
      </c>
      <c r="E33" s="8">
        <v>1988</v>
      </c>
      <c r="F33" s="9">
        <v>1.28304</v>
      </c>
      <c r="G33" s="9" t="s">
        <v>201</v>
      </c>
      <c r="H33" s="8">
        <f>IF(Table157[[#This Row],[Lifetime Option]]="fixed",Table157[[#This Row],[End of life (fixed)]]-Table157[[#This Row],[Start year]],Table268[Generic  Lifetime])</f>
        <v>23</v>
      </c>
      <c r="I33" s="8">
        <v>2011</v>
      </c>
      <c r="J33" s="8">
        <f>IF(Table157[[#This Row],[Lifetime Option]]="fixed",Table157[[#This Row],[End of life (fixed)]],Table157[[#This Row],[Start year]]+Table268[Generic  Lifetime])</f>
        <v>2011</v>
      </c>
      <c r="K33" s="8">
        <v>0.878</v>
      </c>
      <c r="L33" s="8" t="s">
        <v>186</v>
      </c>
      <c r="M33" s="11"/>
    </row>
    <row r="34" spans="3:13">
      <c r="C34" s="8" t="s">
        <v>1</v>
      </c>
      <c r="D34" s="8" t="s">
        <v>40</v>
      </c>
      <c r="E34" s="8">
        <v>1988</v>
      </c>
      <c r="F34" s="9">
        <v>1.0394248101265799</v>
      </c>
      <c r="G34" s="9" t="s">
        <v>201</v>
      </c>
      <c r="H34" s="8">
        <f>IF(Table157[[#This Row],[Lifetime Option]]="fixed",Table157[[#This Row],[End of life (fixed)]]-Table157[[#This Row],[Start year]],Table268[Generic  Lifetime])</f>
        <v>34</v>
      </c>
      <c r="I34" s="8">
        <v>2022</v>
      </c>
      <c r="J34" s="8">
        <f>IF(Table157[[#This Row],[Lifetime Option]]="fixed",Table157[[#This Row],[End of life (fixed)]],Table157[[#This Row],[Start year]]+Table268[Generic  Lifetime])</f>
        <v>2022</v>
      </c>
      <c r="K34" s="8">
        <v>1.41</v>
      </c>
      <c r="L34" s="8"/>
      <c r="M34" s="11"/>
    </row>
    <row r="35" spans="3:13">
      <c r="C35" s="8" t="s">
        <v>1</v>
      </c>
      <c r="D35" s="8" t="s">
        <v>41</v>
      </c>
      <c r="E35" s="8">
        <v>1983</v>
      </c>
      <c r="F35" s="9">
        <v>0.91238399999999997</v>
      </c>
      <c r="G35" s="9" t="s">
        <v>201</v>
      </c>
      <c r="H35" s="8">
        <f>IF(Table157[[#This Row],[Lifetime Option]]="fixed",Table157[[#This Row],[End of life (fixed)]]-Table157[[#This Row],[Start year]],Table268[Generic  Lifetime])</f>
        <v>28</v>
      </c>
      <c r="I35" s="8">
        <v>2011</v>
      </c>
      <c r="J35" s="8">
        <f>IF(Table157[[#This Row],[Lifetime Option]]="fixed",Table157[[#This Row],[End of life (fixed)]],Table157[[#This Row],[Start year]]+Table268[Generic  Lifetime])</f>
        <v>2011</v>
      </c>
      <c r="K35" s="8">
        <v>1.26</v>
      </c>
      <c r="L35" s="8"/>
      <c r="M35" s="11"/>
    </row>
    <row r="36" spans="3:13">
      <c r="C36" s="8" t="s">
        <v>1</v>
      </c>
      <c r="D36" s="8" t="s">
        <v>42</v>
      </c>
      <c r="E36" s="8">
        <v>1989</v>
      </c>
      <c r="F36" s="9">
        <v>1.4452363636363601</v>
      </c>
      <c r="G36" s="9" t="s">
        <v>201</v>
      </c>
      <c r="H36" s="8">
        <f>IF(Table157[[#This Row],[Lifetime Option]]="fixed",Table157[[#This Row],[End of life (fixed)]]-Table157[[#This Row],[Start year]],Table268[Generic  Lifetime])</f>
        <v>33</v>
      </c>
      <c r="I36" s="8">
        <v>2022</v>
      </c>
      <c r="J36" s="8">
        <f>IF(Table157[[#This Row],[Lifetime Option]]="fixed",Table157[[#This Row],[End of life (fixed)]],Table157[[#This Row],[Start year]]+Table268[Generic  Lifetime])</f>
        <v>2022</v>
      </c>
      <c r="K36" s="8">
        <v>1.31</v>
      </c>
      <c r="L36" s="8"/>
      <c r="M36" s="11"/>
    </row>
    <row r="37" spans="3:13">
      <c r="C37" s="8" t="s">
        <v>1</v>
      </c>
      <c r="D37" s="8" t="s">
        <v>43</v>
      </c>
      <c r="E37" s="8">
        <v>1976</v>
      </c>
      <c r="F37" s="9">
        <v>1.0463903999999999</v>
      </c>
      <c r="G37" s="9" t="s">
        <v>201</v>
      </c>
      <c r="H37" s="8">
        <f>IF(Table157[[#This Row],[Lifetime Option]]="fixed",Table157[[#This Row],[End of life (fixed)]]-Table157[[#This Row],[Start year]],Table268[Generic  Lifetime])</f>
        <v>35</v>
      </c>
      <c r="I37" s="8">
        <v>2011</v>
      </c>
      <c r="J37" s="8">
        <f>IF(Table157[[#This Row],[Lifetime Option]]="fixed",Table157[[#This Row],[End of life (fixed)]],Table157[[#This Row],[Start year]]+Table268[Generic  Lifetime])</f>
        <v>2011</v>
      </c>
      <c r="K37" s="8">
        <v>0.78500000000000003</v>
      </c>
      <c r="L37" s="8" t="s">
        <v>186</v>
      </c>
      <c r="M37" s="11"/>
    </row>
    <row r="38" spans="3:13">
      <c r="C38" s="8" t="s">
        <v>1</v>
      </c>
      <c r="D38" s="8" t="s">
        <v>44</v>
      </c>
      <c r="E38" s="8">
        <v>1979</v>
      </c>
      <c r="F38" s="9">
        <v>1.1376288000000001</v>
      </c>
      <c r="G38" s="9" t="s">
        <v>201</v>
      </c>
      <c r="H38" s="8">
        <f>IF(Table157[[#This Row],[Lifetime Option]]="fixed",Table157[[#This Row],[End of life (fixed)]]-Table157[[#This Row],[Start year]],Table268[Generic  Lifetime])</f>
        <v>32</v>
      </c>
      <c r="I38" s="8">
        <v>2011</v>
      </c>
      <c r="J38" s="8">
        <f>IF(Table157[[#This Row],[Lifetime Option]]="fixed",Table157[[#This Row],[End of life (fixed)]],Table157[[#This Row],[Start year]]+Table268[Generic  Lifetime])</f>
        <v>2011</v>
      </c>
      <c r="K38" s="8">
        <v>0.89</v>
      </c>
      <c r="L38" s="8" t="s">
        <v>186</v>
      </c>
      <c r="M38" s="11"/>
    </row>
    <row r="39" spans="3:13">
      <c r="C39" s="8" t="s">
        <v>1</v>
      </c>
      <c r="D39" s="8" t="s">
        <v>45</v>
      </c>
      <c r="E39" s="8">
        <v>1984</v>
      </c>
      <c r="F39" s="9">
        <v>1.05963584810127</v>
      </c>
      <c r="G39" s="9" t="s">
        <v>201</v>
      </c>
      <c r="H39" s="8">
        <f>IF(Table157[[#This Row],[Lifetime Option]]="fixed",Table157[[#This Row],[End of life (fixed)]]-Table157[[#This Row],[Start year]],Table268[Generic  Lifetime])</f>
        <v>35</v>
      </c>
      <c r="I39" s="8">
        <v>2019</v>
      </c>
      <c r="J39" s="8">
        <f>IF(Table157[[#This Row],[Lifetime Option]]="fixed",Table157[[#This Row],[End of life (fixed)]],Table157[[#This Row],[Start year]]+Table268[Generic  Lifetime])</f>
        <v>2019</v>
      </c>
      <c r="K39" s="8">
        <v>1.4019999999999999</v>
      </c>
      <c r="L39" s="8"/>
      <c r="M39" s="11"/>
    </row>
    <row r="40" spans="3:13">
      <c r="C40" s="8" t="s">
        <v>1</v>
      </c>
      <c r="D40" s="8" t="s">
        <v>46</v>
      </c>
      <c r="E40" s="8">
        <v>1978</v>
      </c>
      <c r="F40" s="9">
        <v>1.0093247999999999</v>
      </c>
      <c r="G40" s="9" t="s">
        <v>201</v>
      </c>
      <c r="H40" s="8">
        <f>IF(Table157[[#This Row],[Lifetime Option]]="fixed",Table157[[#This Row],[End of life (fixed)]]-Table157[[#This Row],[Start year]],Table268[Generic  Lifetime])</f>
        <v>33</v>
      </c>
      <c r="I40" s="8">
        <v>2011</v>
      </c>
      <c r="J40" s="8">
        <f>IF(Table157[[#This Row],[Lifetime Option]]="fixed",Table157[[#This Row],[End of life (fixed)]],Table157[[#This Row],[Start year]]+Table268[Generic  Lifetime])</f>
        <v>2011</v>
      </c>
      <c r="K40" s="8">
        <v>1.345</v>
      </c>
      <c r="L40" s="8" t="s">
        <v>186</v>
      </c>
      <c r="M40" s="11"/>
    </row>
    <row r="41" spans="3:13">
      <c r="C41" s="8" t="s">
        <v>47</v>
      </c>
      <c r="D41" s="8" t="s">
        <v>48</v>
      </c>
      <c r="E41" s="8">
        <v>1983</v>
      </c>
      <c r="F41" s="9">
        <v>1.7769609772650199</v>
      </c>
      <c r="G41" s="9" t="s">
        <v>202</v>
      </c>
      <c r="H41" s="8">
        <f>IF(Table157[[#This Row],[Lifetime Option]]="fixed",Table157[[#This Row],[End of life (fixed)]]-Table157[[#This Row],[Start year]],Table268[Generic  Lifetime])</f>
        <v>40</v>
      </c>
      <c r="I41" s="8"/>
      <c r="J41" s="8">
        <f>IF(Table157[[#This Row],[Lifetime Option]]="fixed",Table157[[#This Row],[End of life (fixed)]],Table157[[#This Row],[Start year]]+Table268[Generic  Lifetime])</f>
        <v>2023</v>
      </c>
      <c r="K41" s="8">
        <v>1.0109999999999999</v>
      </c>
      <c r="L41" s="8"/>
      <c r="M41" s="11"/>
    </row>
    <row r="42" spans="3:13">
      <c r="C42" s="8" t="s">
        <v>47</v>
      </c>
      <c r="D42" s="8" t="s">
        <v>49</v>
      </c>
      <c r="E42" s="8">
        <v>1984</v>
      </c>
      <c r="F42" s="9">
        <v>1.37735731252121</v>
      </c>
      <c r="G42" s="9" t="s">
        <v>202</v>
      </c>
      <c r="H42" s="8">
        <f>IF(Table157[[#This Row],[Lifetime Option]]="fixed",Table157[[#This Row],[End of life (fixed)]]-Table157[[#This Row],[Start year]],Table268[Generic  Lifetime])</f>
        <v>40</v>
      </c>
      <c r="I42" s="8"/>
      <c r="J42" s="8">
        <f>IF(Table157[[#This Row],[Lifetime Option]]="fixed",Table157[[#This Row],[End of life (fixed)]],Table157[[#This Row],[Start year]]+Table268[Generic  Lifetime])</f>
        <v>2024</v>
      </c>
      <c r="K42" s="8">
        <v>1.006</v>
      </c>
      <c r="L42" s="8"/>
      <c r="M42" s="11"/>
    </row>
    <row r="43" spans="3:13">
      <c r="C43" s="8" t="s">
        <v>47</v>
      </c>
      <c r="D43" s="8" t="s">
        <v>50</v>
      </c>
      <c r="E43" s="8">
        <v>1983</v>
      </c>
      <c r="F43" s="9">
        <v>1.5325350561033699</v>
      </c>
      <c r="G43" s="9" t="s">
        <v>202</v>
      </c>
      <c r="H43" s="8">
        <f>IF(Table157[[#This Row],[Lifetime Option]]="fixed",Table157[[#This Row],[End of life (fixed)]]-Table157[[#This Row],[Start year]],Table268[Generic  Lifetime])</f>
        <v>40</v>
      </c>
      <c r="I43" s="8"/>
      <c r="J43" s="8">
        <f>IF(Table157[[#This Row],[Lifetime Option]]="fixed",Table157[[#This Row],[End of life (fixed)]],Table157[[#This Row],[Start year]]+Table268[Generic  Lifetime])</f>
        <v>2023</v>
      </c>
      <c r="K43" s="8">
        <v>0.995</v>
      </c>
      <c r="L43" s="8"/>
      <c r="M43" s="11"/>
    </row>
    <row r="44" spans="3:13">
      <c r="C44" s="8" t="s">
        <v>47</v>
      </c>
      <c r="D44" s="8" t="s">
        <v>51</v>
      </c>
      <c r="E44" s="8">
        <v>1985</v>
      </c>
      <c r="F44" s="9">
        <v>1.52363359401564</v>
      </c>
      <c r="G44" s="9" t="s">
        <v>202</v>
      </c>
      <c r="H44" s="8">
        <f>IF(Table157[[#This Row],[Lifetime Option]]="fixed",Table157[[#This Row],[End of life (fixed)]]-Table157[[#This Row],[Start year]],Table268[Generic  Lifetime])</f>
        <v>40</v>
      </c>
      <c r="I44" s="8"/>
      <c r="J44" s="8">
        <f>IF(Table157[[#This Row],[Lifetime Option]]="fixed",Table157[[#This Row],[End of life (fixed)]],Table157[[#This Row],[Start year]]+Table268[Generic  Lifetime])</f>
        <v>2025</v>
      </c>
      <c r="K44" s="8">
        <v>0.997</v>
      </c>
      <c r="L44" s="8"/>
      <c r="M44" s="11"/>
    </row>
    <row r="45" spans="3:13">
      <c r="C45" s="8" t="s">
        <v>47</v>
      </c>
      <c r="D45" s="8" t="s">
        <v>52</v>
      </c>
      <c r="E45" s="8">
        <v>1985</v>
      </c>
      <c r="F45" s="9">
        <v>1.1658795180722901</v>
      </c>
      <c r="G45" s="9" t="s">
        <v>202</v>
      </c>
      <c r="H45" s="8">
        <f>IF(Table157[[#This Row],[Lifetime Option]]="fixed",Table157[[#This Row],[End of life (fixed)]]-Table157[[#This Row],[Start year]],Table268[Generic  Lifetime])</f>
        <v>40</v>
      </c>
      <c r="I45" s="8"/>
      <c r="J45" s="8">
        <f>IF(Table157[[#This Row],[Lifetime Option]]="fixed",Table157[[#This Row],[End of life (fixed)]],Table157[[#This Row],[Start year]]+Table268[Generic  Lifetime])</f>
        <v>2025</v>
      </c>
      <c r="K45" s="8">
        <v>1.0640000000000001</v>
      </c>
      <c r="L45" s="8"/>
      <c r="M45" s="11"/>
    </row>
    <row r="46" spans="3:13">
      <c r="C46" s="8" t="s">
        <v>47</v>
      </c>
      <c r="D46" s="8" t="s">
        <v>53</v>
      </c>
      <c r="E46" s="8">
        <v>1971</v>
      </c>
      <c r="F46" s="9">
        <v>0.90379029688631396</v>
      </c>
      <c r="G46" s="9" t="s">
        <v>202</v>
      </c>
      <c r="H46" s="8">
        <f>IF(Table157[[#This Row],[Lifetime Option]]="fixed",Table157[[#This Row],[End of life (fixed)]]-Table157[[#This Row],[Start year]],Table268[Generic  Lifetime])</f>
        <v>40</v>
      </c>
      <c r="I46" s="8"/>
      <c r="J46" s="8">
        <f>IF(Table157[[#This Row],[Lifetime Option]]="fixed",Table157[[#This Row],[End of life (fixed)]],Table157[[#This Row],[Start year]]+Table268[Generic  Lifetime])</f>
        <v>2011</v>
      </c>
      <c r="K46" s="8">
        <v>0.44600000000000001</v>
      </c>
      <c r="L46" s="8"/>
      <c r="M46" s="11"/>
    </row>
    <row r="47" spans="3:13">
      <c r="C47" s="8" t="s">
        <v>47</v>
      </c>
      <c r="D47" s="8" t="s">
        <v>54</v>
      </c>
      <c r="E47" s="8">
        <v>1988</v>
      </c>
      <c r="F47" s="9">
        <v>1.00976053156146</v>
      </c>
      <c r="G47" s="9" t="s">
        <v>202</v>
      </c>
      <c r="H47" s="8">
        <f>IF(Table157[[#This Row],[Lifetime Option]]="fixed",Table157[[#This Row],[End of life (fixed)]]-Table157[[#This Row],[Start year]],Table268[Generic  Lifetime])</f>
        <v>40</v>
      </c>
      <c r="I47" s="8"/>
      <c r="J47" s="8">
        <f>IF(Table157[[#This Row],[Lifetime Option]]="fixed",Table157[[#This Row],[End of life (fixed)]],Table157[[#This Row],[Start year]]+Table268[Generic  Lifetime])</f>
        <v>2028</v>
      </c>
      <c r="K47" s="8">
        <v>1.0029999999999999</v>
      </c>
      <c r="L47" s="8"/>
      <c r="M47" s="11"/>
    </row>
    <row r="48" spans="3:13">
      <c r="C48" s="8" t="s">
        <v>47</v>
      </c>
      <c r="D48" s="8" t="s">
        <v>55</v>
      </c>
      <c r="E48" s="8">
        <v>1987</v>
      </c>
      <c r="F48" s="9">
        <v>1.61264821489289</v>
      </c>
      <c r="G48" s="9" t="s">
        <v>202</v>
      </c>
      <c r="H48" s="8">
        <f>IF(Table157[[#This Row],[Lifetime Option]]="fixed",Table157[[#This Row],[End of life (fixed)]]-Table157[[#This Row],[Start year]],Table268[Generic  Lifetime])</f>
        <v>40</v>
      </c>
      <c r="I48" s="8"/>
      <c r="J48" s="8">
        <f>IF(Table157[[#This Row],[Lifetime Option]]="fixed",Table157[[#This Row],[End of life (fixed)]],Table157[[#This Row],[Start year]]+Table268[Generic  Lifetime])</f>
        <v>2027</v>
      </c>
      <c r="K48" s="8">
        <v>1.0449999999999999</v>
      </c>
      <c r="L48" s="8"/>
      <c r="M48" s="11"/>
    </row>
    <row r="49" spans="3:13">
      <c r="C49" s="8" t="s">
        <v>56</v>
      </c>
      <c r="D49" s="8" t="s">
        <v>57</v>
      </c>
      <c r="E49" s="8">
        <v>1977</v>
      </c>
      <c r="F49" s="9">
        <v>1.1750400000000001</v>
      </c>
      <c r="G49" s="9" t="s">
        <v>202</v>
      </c>
      <c r="H49" s="8">
        <f>IF(Table157[[#This Row],[Lifetime Option]]="fixed",Table157[[#This Row],[End of life (fixed)]]-Table157[[#This Row],[Start year]],Table268[Generic  Lifetime])</f>
        <v>40</v>
      </c>
      <c r="I49" s="8"/>
      <c r="J49" s="8">
        <f>IF(Table157[[#This Row],[Lifetime Option]]="fixed",Table157[[#This Row],[End of life (fixed)]],Table157[[#This Row],[Start year]]+Table268[Generic  Lifetime])</f>
        <v>2017</v>
      </c>
      <c r="K49" s="8">
        <v>0.496</v>
      </c>
      <c r="L49" s="8"/>
      <c r="M49" s="11"/>
    </row>
    <row r="50" spans="3:13">
      <c r="C50" s="8" t="s">
        <v>56</v>
      </c>
      <c r="D50" s="8" t="s">
        <v>58</v>
      </c>
      <c r="E50" s="8">
        <v>1980</v>
      </c>
      <c r="F50" s="9">
        <v>1.1750400000000001</v>
      </c>
      <c r="G50" s="9" t="s">
        <v>202</v>
      </c>
      <c r="H50" s="8">
        <f>IF(Table157[[#This Row],[Lifetime Option]]="fixed",Table157[[#This Row],[End of life (fixed)]]-Table157[[#This Row],[Start year]],Table268[Generic  Lifetime])</f>
        <v>40</v>
      </c>
      <c r="I50" s="8"/>
      <c r="J50" s="8">
        <f>IF(Table157[[#This Row],[Lifetime Option]]="fixed",Table157[[#This Row],[End of life (fixed)]],Table157[[#This Row],[Start year]]+Table268[Generic  Lifetime])</f>
        <v>2020</v>
      </c>
      <c r="K50" s="8">
        <v>0.496</v>
      </c>
      <c r="L50" s="8"/>
      <c r="M50" s="11"/>
    </row>
    <row r="51" spans="3:13">
      <c r="C51" s="8" t="s">
        <v>56</v>
      </c>
      <c r="D51" s="8" t="s">
        <v>59</v>
      </c>
      <c r="E51" s="8">
        <v>1978</v>
      </c>
      <c r="F51" s="9">
        <v>1.1636352000000001</v>
      </c>
      <c r="G51" s="9" t="s">
        <v>202</v>
      </c>
      <c r="H51" s="8">
        <f>IF(Table157[[#This Row],[Lifetime Option]]="fixed",Table157[[#This Row],[End of life (fixed)]]-Table157[[#This Row],[Start year]],Table268[Generic  Lifetime])</f>
        <v>40</v>
      </c>
      <c r="I51" s="8"/>
      <c r="J51" s="8">
        <f>IF(Table157[[#This Row],[Lifetime Option]]="fixed",Table157[[#This Row],[End of life (fixed)]],Table157[[#This Row],[Start year]]+Table268[Generic  Lifetime])</f>
        <v>2018</v>
      </c>
      <c r="K51" s="8">
        <v>0.88</v>
      </c>
      <c r="L51" s="8"/>
      <c r="M51" s="11"/>
    </row>
    <row r="52" spans="3:13">
      <c r="C52" s="8" t="s">
        <v>56</v>
      </c>
      <c r="D52" s="8" t="s">
        <v>60</v>
      </c>
      <c r="E52" s="8">
        <v>1980</v>
      </c>
      <c r="F52" s="9">
        <v>1.1380608000000001</v>
      </c>
      <c r="G52" s="9" t="s">
        <v>202</v>
      </c>
      <c r="H52" s="8">
        <f>IF(Table157[[#This Row],[Lifetime Option]]="fixed",Table157[[#This Row],[End of life (fixed)]]-Table157[[#This Row],[Start year]],Table268[Generic  Lifetime])</f>
        <v>40</v>
      </c>
      <c r="I52" s="8"/>
      <c r="J52" s="8">
        <f>IF(Table157[[#This Row],[Lifetime Option]]="fixed",Table157[[#This Row],[End of life (fixed)]],Table157[[#This Row],[Start year]]+Table268[Generic  Lifetime])</f>
        <v>2020</v>
      </c>
      <c r="K52" s="8">
        <v>0.88</v>
      </c>
      <c r="L52" s="8"/>
      <c r="M52" s="11"/>
    </row>
    <row r="53" spans="3:13">
      <c r="C53" s="8" t="s">
        <v>3</v>
      </c>
      <c r="D53" s="8" t="s">
        <v>61</v>
      </c>
      <c r="E53" s="8">
        <v>1987</v>
      </c>
      <c r="F53" s="9">
        <v>1.0181256484149901</v>
      </c>
      <c r="G53" s="9" t="s">
        <v>202</v>
      </c>
      <c r="H53" s="8">
        <f>IF(Table157[[#This Row],[Lifetime Option]]="fixed",Table157[[#This Row],[End of life (fixed)]]-Table157[[#This Row],[Start year]],Table268[Generic  Lifetime])</f>
        <v>40</v>
      </c>
      <c r="I53" s="8"/>
      <c r="J53" s="8">
        <f>IF(Table157[[#This Row],[Lifetime Option]]="fixed",Table157[[#This Row],[End of life (fixed)]],Table157[[#This Row],[Start year]]+Table268[Generic  Lifetime])</f>
        <v>2027</v>
      </c>
      <c r="K53" s="8">
        <v>1.31</v>
      </c>
      <c r="L53" s="8" t="s">
        <v>207</v>
      </c>
      <c r="M53" s="10" t="s">
        <v>179</v>
      </c>
    </row>
    <row r="54" spans="3:13">
      <c r="C54" s="8" t="s">
        <v>3</v>
      </c>
      <c r="D54" s="8" t="s">
        <v>62</v>
      </c>
      <c r="E54" s="8">
        <v>1988</v>
      </c>
      <c r="F54" s="9">
        <v>1.0181256484149901</v>
      </c>
      <c r="G54" s="9" t="s">
        <v>202</v>
      </c>
      <c r="H54" s="8">
        <f>IF(Table157[[#This Row],[Lifetime Option]]="fixed",Table157[[#This Row],[End of life (fixed)]]-Table157[[#This Row],[Start year]],Table268[Generic  Lifetime])</f>
        <v>40</v>
      </c>
      <c r="I54" s="8"/>
      <c r="J54" s="8">
        <f>IF(Table157[[#This Row],[Lifetime Option]]="fixed",Table157[[#This Row],[End of life (fixed)]],Table157[[#This Row],[Start year]]+Table268[Generic  Lifetime])</f>
        <v>2028</v>
      </c>
      <c r="K54" s="8">
        <v>1.31</v>
      </c>
      <c r="L54" s="8"/>
      <c r="M54" s="10"/>
    </row>
    <row r="55" spans="3:13">
      <c r="C55" s="8" t="s">
        <v>3</v>
      </c>
      <c r="D55" s="8" t="s">
        <v>63</v>
      </c>
      <c r="E55" s="8">
        <v>1981</v>
      </c>
      <c r="F55" s="9">
        <v>0.99529030664272899</v>
      </c>
      <c r="G55" s="9" t="s">
        <v>202</v>
      </c>
      <c r="H55" s="8">
        <f>IF(Table157[[#This Row],[Lifetime Option]]="fixed",Table157[[#This Row],[End of life (fixed)]]-Table157[[#This Row],[Start year]],Table268[Generic  Lifetime])</f>
        <v>40</v>
      </c>
      <c r="I55" s="8"/>
      <c r="J55" s="8">
        <f>IF(Table157[[#This Row],[Lifetime Option]]="fixed",Table157[[#This Row],[End of life (fixed)]],Table157[[#This Row],[Start year]]+Table268[Generic  Lifetime])</f>
        <v>2021</v>
      </c>
      <c r="K55" s="8">
        <v>0.91</v>
      </c>
      <c r="L55" s="8"/>
      <c r="M55" s="11"/>
    </row>
    <row r="56" spans="3:13">
      <c r="C56" s="8" t="s">
        <v>3</v>
      </c>
      <c r="D56" s="8" t="s">
        <v>64</v>
      </c>
      <c r="E56" s="8">
        <v>1982</v>
      </c>
      <c r="F56" s="9">
        <v>0.99529030664272899</v>
      </c>
      <c r="G56" s="9" t="s">
        <v>202</v>
      </c>
      <c r="H56" s="8">
        <f>IF(Table157[[#This Row],[Lifetime Option]]="fixed",Table157[[#This Row],[End of life (fixed)]]-Table157[[#This Row],[Start year]],Table268[Generic  Lifetime])</f>
        <v>40</v>
      </c>
      <c r="I56" s="8"/>
      <c r="J56" s="8">
        <f>IF(Table157[[#This Row],[Lifetime Option]]="fixed",Table157[[#This Row],[End of life (fixed)]],Table157[[#This Row],[Start year]]+Table268[Generic  Lifetime])</f>
        <v>2022</v>
      </c>
      <c r="K56" s="8">
        <v>0.91</v>
      </c>
      <c r="L56" s="8"/>
      <c r="M56" s="11"/>
    </row>
    <row r="57" spans="3:13">
      <c r="C57" s="8" t="s">
        <v>3</v>
      </c>
      <c r="D57" s="8" t="s">
        <v>65</v>
      </c>
      <c r="E57" s="8">
        <v>1983</v>
      </c>
      <c r="F57" s="9">
        <v>0.99529030664272899</v>
      </c>
      <c r="G57" s="9" t="s">
        <v>202</v>
      </c>
      <c r="H57" s="8">
        <f>IF(Table157[[#This Row],[Lifetime Option]]="fixed",Table157[[#This Row],[End of life (fixed)]]-Table157[[#This Row],[Start year]],Table268[Generic  Lifetime])</f>
        <v>40</v>
      </c>
      <c r="I57" s="8"/>
      <c r="J57" s="8">
        <f>IF(Table157[[#This Row],[Lifetime Option]]="fixed",Table157[[#This Row],[End of life (fixed)]],Table157[[#This Row],[Start year]]+Table268[Generic  Lifetime])</f>
        <v>2023</v>
      </c>
      <c r="K57" s="8">
        <v>0.91</v>
      </c>
      <c r="L57" s="8"/>
      <c r="M57" s="11"/>
    </row>
    <row r="58" spans="3:13">
      <c r="C58" s="8" t="s">
        <v>3</v>
      </c>
      <c r="D58" s="8" t="s">
        <v>66</v>
      </c>
      <c r="E58" s="8">
        <v>1983</v>
      </c>
      <c r="F58" s="9">
        <v>0.99529030664272899</v>
      </c>
      <c r="G58" s="9" t="s">
        <v>202</v>
      </c>
      <c r="H58" s="8">
        <f>IF(Table157[[#This Row],[Lifetime Option]]="fixed",Table157[[#This Row],[End of life (fixed)]]-Table157[[#This Row],[Start year]],Table268[Generic  Lifetime])</f>
        <v>40</v>
      </c>
      <c r="I58" s="8"/>
      <c r="J58" s="8">
        <f>IF(Table157[[#This Row],[Lifetime Option]]="fixed",Table157[[#This Row],[End of life (fixed)]],Table157[[#This Row],[Start year]]+Table268[Generic  Lifetime])</f>
        <v>2023</v>
      </c>
      <c r="K58" s="8">
        <v>0.91</v>
      </c>
      <c r="L58" s="8"/>
      <c r="M58" s="11"/>
    </row>
    <row r="59" spans="3:13">
      <c r="C59" s="8" t="s">
        <v>3</v>
      </c>
      <c r="D59" s="8" t="s">
        <v>67</v>
      </c>
      <c r="E59" s="8">
        <v>1978</v>
      </c>
      <c r="F59" s="9">
        <v>0.98901087253141795</v>
      </c>
      <c r="G59" s="9" t="s">
        <v>202</v>
      </c>
      <c r="H59" s="8">
        <f>IF(Table157[[#This Row],[Lifetime Option]]="fixed",Table157[[#This Row],[End of life (fixed)]]-Table157[[#This Row],[Start year]],Table268[Generic  Lifetime])</f>
        <v>40</v>
      </c>
      <c r="I59" s="8"/>
      <c r="J59" s="8">
        <f>IF(Table157[[#This Row],[Lifetime Option]]="fixed",Table157[[#This Row],[End of life (fixed)]],Table157[[#This Row],[Start year]]+Table268[Generic  Lifetime])</f>
        <v>2018</v>
      </c>
      <c r="K59" s="8">
        <v>0.91</v>
      </c>
      <c r="L59" s="8"/>
      <c r="M59" s="11"/>
    </row>
    <row r="60" spans="3:13">
      <c r="C60" s="8" t="s">
        <v>3</v>
      </c>
      <c r="D60" s="8" t="s">
        <v>68</v>
      </c>
      <c r="E60" s="8">
        <v>1978</v>
      </c>
      <c r="F60" s="9">
        <v>0.98901087253141895</v>
      </c>
      <c r="G60" s="9" t="s">
        <v>202</v>
      </c>
      <c r="H60" s="8">
        <f>IF(Table157[[#This Row],[Lifetime Option]]="fixed",Table157[[#This Row],[End of life (fixed)]]-Table157[[#This Row],[Start year]],Table268[Generic  Lifetime])</f>
        <v>40</v>
      </c>
      <c r="I60" s="8"/>
      <c r="J60" s="8">
        <f>IF(Table157[[#This Row],[Lifetime Option]]="fixed",Table157[[#This Row],[End of life (fixed)]],Table157[[#This Row],[Start year]]+Table268[Generic  Lifetime])</f>
        <v>2018</v>
      </c>
      <c r="K60" s="8">
        <v>0.91</v>
      </c>
      <c r="L60" s="8"/>
      <c r="M60" s="11"/>
    </row>
    <row r="61" spans="3:13">
      <c r="C61" s="8" t="s">
        <v>3</v>
      </c>
      <c r="D61" s="8" t="s">
        <v>69</v>
      </c>
      <c r="E61" s="8">
        <v>1979</v>
      </c>
      <c r="F61" s="9">
        <v>0.95970684667863504</v>
      </c>
      <c r="G61" s="9" t="s">
        <v>202</v>
      </c>
      <c r="H61" s="8">
        <f>IF(Table157[[#This Row],[Lifetime Option]]="fixed",Table157[[#This Row],[End of life (fixed)]]-Table157[[#This Row],[Start year]],Table268[Generic  Lifetime])</f>
        <v>40</v>
      </c>
      <c r="I61" s="8"/>
      <c r="J61" s="8">
        <f>IF(Table157[[#This Row],[Lifetime Option]]="fixed",Table157[[#This Row],[End of life (fixed)]],Table157[[#This Row],[Start year]]+Table268[Generic  Lifetime])</f>
        <v>2019</v>
      </c>
      <c r="K61" s="8">
        <v>0.88</v>
      </c>
      <c r="L61" s="8"/>
      <c r="M61" s="11"/>
    </row>
    <row r="62" spans="3:13">
      <c r="C62" s="8" t="s">
        <v>3</v>
      </c>
      <c r="D62" s="8" t="s">
        <v>70</v>
      </c>
      <c r="E62" s="8">
        <v>1979</v>
      </c>
      <c r="F62" s="9">
        <v>0.95970684667863604</v>
      </c>
      <c r="G62" s="9" t="s">
        <v>202</v>
      </c>
      <c r="H62" s="8">
        <f>IF(Table157[[#This Row],[Lifetime Option]]="fixed",Table157[[#This Row],[End of life (fixed)]]-Table157[[#This Row],[Start year]],Table268[Generic  Lifetime])</f>
        <v>40</v>
      </c>
      <c r="I62" s="8"/>
      <c r="J62" s="8">
        <f>IF(Table157[[#This Row],[Lifetime Option]]="fixed",Table157[[#This Row],[End of life (fixed)]],Table157[[#This Row],[Start year]]+Table268[Generic  Lifetime])</f>
        <v>2019</v>
      </c>
      <c r="K62" s="8">
        <v>0.88</v>
      </c>
      <c r="L62" s="8"/>
      <c r="M62" s="11"/>
    </row>
    <row r="63" spans="3:13">
      <c r="C63" s="8" t="s">
        <v>3</v>
      </c>
      <c r="D63" s="8" t="s">
        <v>71</v>
      </c>
      <c r="E63" s="8">
        <v>1986</v>
      </c>
      <c r="F63" s="9">
        <v>1.01737867435158</v>
      </c>
      <c r="G63" s="9" t="s">
        <v>202</v>
      </c>
      <c r="H63" s="8">
        <f>IF(Table157[[#This Row],[Lifetime Option]]="fixed",Table157[[#This Row],[End of life (fixed)]]-Table157[[#This Row],[Start year]],Table268[Generic  Lifetime])</f>
        <v>40</v>
      </c>
      <c r="I63" s="8"/>
      <c r="J63" s="8">
        <f>IF(Table157[[#This Row],[Lifetime Option]]="fixed",Table157[[#This Row],[End of life (fixed)]],Table157[[#This Row],[Start year]]+Table268[Generic  Lifetime])</f>
        <v>2026</v>
      </c>
      <c r="K63" s="8">
        <v>1.3</v>
      </c>
      <c r="L63" s="8"/>
      <c r="M63" s="11"/>
    </row>
    <row r="64" spans="3:13">
      <c r="C64" s="8" t="s">
        <v>3</v>
      </c>
      <c r="D64" s="8" t="s">
        <v>72</v>
      </c>
      <c r="E64" s="8">
        <v>1987</v>
      </c>
      <c r="F64" s="9">
        <v>1.01737867435159</v>
      </c>
      <c r="G64" s="9" t="s">
        <v>202</v>
      </c>
      <c r="H64" s="8">
        <f>IF(Table157[[#This Row],[Lifetime Option]]="fixed",Table157[[#This Row],[End of life (fixed)]]-Table157[[#This Row],[Start year]],Table268[Generic  Lifetime])</f>
        <v>40</v>
      </c>
      <c r="I64" s="8"/>
      <c r="J64" s="8">
        <f>IF(Table157[[#This Row],[Lifetime Option]]="fixed",Table157[[#This Row],[End of life (fixed)]],Table157[[#This Row],[Start year]]+Table268[Generic  Lifetime])</f>
        <v>2027</v>
      </c>
      <c r="K64" s="8">
        <v>1.3</v>
      </c>
      <c r="L64" s="8"/>
      <c r="M64" s="11"/>
    </row>
    <row r="65" spans="3:13">
      <c r="C65" s="8" t="s">
        <v>3</v>
      </c>
      <c r="D65" s="8" t="s">
        <v>73</v>
      </c>
      <c r="E65" s="8">
        <v>1990</v>
      </c>
      <c r="F65" s="9">
        <v>1.01737867435159</v>
      </c>
      <c r="G65" s="9" t="s">
        <v>202</v>
      </c>
      <c r="H65" s="8">
        <f>IF(Table157[[#This Row],[Lifetime Option]]="fixed",Table157[[#This Row],[End of life (fixed)]]-Table157[[#This Row],[Start year]],Table268[Generic  Lifetime])</f>
        <v>40</v>
      </c>
      <c r="I65" s="8"/>
      <c r="J65" s="8">
        <f>IF(Table157[[#This Row],[Lifetime Option]]="fixed",Table157[[#This Row],[End of life (fixed)]],Table157[[#This Row],[Start year]]+Table268[Generic  Lifetime])</f>
        <v>2030</v>
      </c>
      <c r="K65" s="8">
        <v>1.3</v>
      </c>
      <c r="L65" s="8"/>
      <c r="M65" s="11"/>
    </row>
    <row r="66" spans="3:13">
      <c r="C66" s="8" t="s">
        <v>3</v>
      </c>
      <c r="D66" s="8" t="s">
        <v>74</v>
      </c>
      <c r="E66" s="8">
        <v>1991</v>
      </c>
      <c r="F66" s="9">
        <v>1.01737867435159</v>
      </c>
      <c r="G66" s="9" t="s">
        <v>202</v>
      </c>
      <c r="H66" s="8">
        <f>IF(Table157[[#This Row],[Lifetime Option]]="fixed",Table157[[#This Row],[End of life (fixed)]]-Table157[[#This Row],[Start year]],Table268[Generic  Lifetime])</f>
        <v>40</v>
      </c>
      <c r="I66" s="8"/>
      <c r="J66" s="8">
        <f>IF(Table157[[#This Row],[Lifetime Option]]="fixed",Table157[[#This Row],[End of life (fixed)]],Table157[[#This Row],[Start year]]+Table268[Generic  Lifetime])</f>
        <v>2031</v>
      </c>
      <c r="K66" s="8">
        <v>1.3</v>
      </c>
      <c r="L66" s="8"/>
      <c r="M66" s="11"/>
    </row>
    <row r="67" spans="3:13">
      <c r="C67" s="8" t="s">
        <v>3</v>
      </c>
      <c r="D67" s="8" t="s">
        <v>75</v>
      </c>
      <c r="E67" s="8">
        <v>1982</v>
      </c>
      <c r="F67" s="9">
        <v>0.99843002369838396</v>
      </c>
      <c r="G67" s="9" t="s">
        <v>202</v>
      </c>
      <c r="H67" s="8">
        <f>IF(Table157[[#This Row],[Lifetime Option]]="fixed",Table157[[#This Row],[End of life (fixed)]]-Table157[[#This Row],[Start year]],Table268[Generic  Lifetime])</f>
        <v>40</v>
      </c>
      <c r="I67" s="8"/>
      <c r="J67" s="8">
        <f>IF(Table157[[#This Row],[Lifetime Option]]="fixed",Table157[[#This Row],[End of life (fixed)]],Table157[[#This Row],[Start year]]+Table268[Generic  Lifetime])</f>
        <v>2022</v>
      </c>
      <c r="K67" s="8">
        <v>0.90500000000000003</v>
      </c>
      <c r="L67" s="8"/>
      <c r="M67" s="11"/>
    </row>
    <row r="68" spans="3:13">
      <c r="C68" s="8" t="s">
        <v>3</v>
      </c>
      <c r="D68" s="8" t="s">
        <v>76</v>
      </c>
      <c r="E68" s="8">
        <v>1983</v>
      </c>
      <c r="F68" s="9">
        <v>0.99843002369838396</v>
      </c>
      <c r="G68" s="9" t="s">
        <v>202</v>
      </c>
      <c r="H68" s="8">
        <f>IF(Table157[[#This Row],[Lifetime Option]]="fixed",Table157[[#This Row],[End of life (fixed)]]-Table157[[#This Row],[Start year]],Table268[Generic  Lifetime])</f>
        <v>40</v>
      </c>
      <c r="I68" s="8"/>
      <c r="J68" s="8">
        <f>IF(Table157[[#This Row],[Lifetime Option]]="fixed",Table157[[#This Row],[End of life (fixed)]],Table157[[#This Row],[Start year]]+Table268[Generic  Lifetime])</f>
        <v>2023</v>
      </c>
      <c r="K68" s="8">
        <v>0.90500000000000003</v>
      </c>
      <c r="L68" s="8"/>
      <c r="M68" s="11"/>
    </row>
    <row r="69" spans="3:13">
      <c r="C69" s="8" t="s">
        <v>3</v>
      </c>
      <c r="D69" s="8" t="s">
        <v>77</v>
      </c>
      <c r="E69" s="8">
        <v>1986</v>
      </c>
      <c r="F69" s="9">
        <v>0.99843002369838396</v>
      </c>
      <c r="G69" s="9" t="s">
        <v>202</v>
      </c>
      <c r="H69" s="8">
        <f>IF(Table157[[#This Row],[Lifetime Option]]="fixed",Table157[[#This Row],[End of life (fixed)]]-Table157[[#This Row],[Start year]],Table268[Generic  Lifetime])</f>
        <v>40</v>
      </c>
      <c r="I69" s="8"/>
      <c r="J69" s="8">
        <f>IF(Table157[[#This Row],[Lifetime Option]]="fixed",Table157[[#This Row],[End of life (fixed)]],Table157[[#This Row],[Start year]]+Table268[Generic  Lifetime])</f>
        <v>2026</v>
      </c>
      <c r="K69" s="8">
        <v>0.90500000000000003</v>
      </c>
      <c r="L69" s="8"/>
      <c r="M69" s="11"/>
    </row>
    <row r="70" spans="3:13">
      <c r="C70" s="8" t="s">
        <v>3</v>
      </c>
      <c r="D70" s="8" t="s">
        <v>78</v>
      </c>
      <c r="E70" s="8">
        <v>1987</v>
      </c>
      <c r="F70" s="9">
        <v>0.99843002369838396</v>
      </c>
      <c r="G70" s="9" t="s">
        <v>202</v>
      </c>
      <c r="H70" s="8">
        <f>IF(Table157[[#This Row],[Lifetime Option]]="fixed",Table157[[#This Row],[End of life (fixed)]]-Table157[[#This Row],[Start year]],Table268[Generic  Lifetime])</f>
        <v>40</v>
      </c>
      <c r="I70" s="8"/>
      <c r="J70" s="8">
        <f>IF(Table157[[#This Row],[Lifetime Option]]="fixed",Table157[[#This Row],[End of life (fixed)]],Table157[[#This Row],[Start year]]+Table268[Generic  Lifetime])</f>
        <v>2027</v>
      </c>
      <c r="K70" s="8">
        <v>0.90500000000000003</v>
      </c>
      <c r="L70" s="8"/>
      <c r="M70" s="11"/>
    </row>
    <row r="71" spans="3:13">
      <c r="C71" s="8" t="s">
        <v>3</v>
      </c>
      <c r="D71" s="8" t="s">
        <v>79</v>
      </c>
      <c r="E71" s="8">
        <v>1996</v>
      </c>
      <c r="F71" s="9">
        <v>1.2310482435597201</v>
      </c>
      <c r="G71" s="9" t="s">
        <v>202</v>
      </c>
      <c r="H71" s="8">
        <f>IF(Table157[[#This Row],[Lifetime Option]]="fixed",Table157[[#This Row],[End of life (fixed)]]-Table157[[#This Row],[Start year]],Table268[Generic  Lifetime])</f>
        <v>40</v>
      </c>
      <c r="I71" s="8"/>
      <c r="J71" s="8">
        <f>IF(Table157[[#This Row],[Lifetime Option]]="fixed",Table157[[#This Row],[End of life (fixed)]],Table157[[#This Row],[Start year]]+Table268[Generic  Lifetime])</f>
        <v>2036</v>
      </c>
      <c r="K71" s="8">
        <v>1.5</v>
      </c>
      <c r="L71" s="8"/>
      <c r="M71" s="11"/>
    </row>
    <row r="72" spans="3:13">
      <c r="C72" s="8" t="s">
        <v>3</v>
      </c>
      <c r="D72" s="8" t="s">
        <v>80</v>
      </c>
      <c r="E72" s="8">
        <v>1997</v>
      </c>
      <c r="F72" s="9">
        <v>1.2310482435597201</v>
      </c>
      <c r="G72" s="9" t="s">
        <v>202</v>
      </c>
      <c r="H72" s="8">
        <f>IF(Table157[[#This Row],[Lifetime Option]]="fixed",Table157[[#This Row],[End of life (fixed)]]-Table157[[#This Row],[Start year]],Table268[Generic  Lifetime])</f>
        <v>40</v>
      </c>
      <c r="I72" s="8"/>
      <c r="J72" s="8">
        <f>IF(Table157[[#This Row],[Lifetime Option]]="fixed",Table157[[#This Row],[End of life (fixed)]],Table157[[#This Row],[Start year]]+Table268[Generic  Lifetime])</f>
        <v>2037</v>
      </c>
      <c r="K72" s="8">
        <v>1.5</v>
      </c>
      <c r="L72" s="8"/>
      <c r="M72" s="11"/>
    </row>
    <row r="73" spans="3:13">
      <c r="C73" s="8" t="s">
        <v>3</v>
      </c>
      <c r="D73" s="8" t="s">
        <v>81</v>
      </c>
      <c r="E73" s="8">
        <v>1997</v>
      </c>
      <c r="F73" s="9">
        <v>1.10549508196721</v>
      </c>
      <c r="G73" s="9" t="s">
        <v>202</v>
      </c>
      <c r="H73" s="8">
        <f>IF(Table157[[#This Row],[Lifetime Option]]="fixed",Table157[[#This Row],[End of life (fixed)]]-Table157[[#This Row],[Start year]],Table268[Generic  Lifetime])</f>
        <v>40</v>
      </c>
      <c r="I73" s="8"/>
      <c r="J73" s="8">
        <f>IF(Table157[[#This Row],[Lifetime Option]]="fixed",Table157[[#This Row],[End of life (fixed)]],Table157[[#This Row],[Start year]]+Table268[Generic  Lifetime])</f>
        <v>2037</v>
      </c>
      <c r="K73" s="8">
        <v>1.4950000000000001</v>
      </c>
      <c r="L73" s="8"/>
      <c r="M73" s="11"/>
    </row>
    <row r="74" spans="3:13">
      <c r="C74" s="8" t="s">
        <v>3</v>
      </c>
      <c r="D74" s="8" t="s">
        <v>82</v>
      </c>
      <c r="E74" s="8">
        <v>1999</v>
      </c>
      <c r="F74" s="9">
        <v>1.10549508196721</v>
      </c>
      <c r="G74" s="9" t="s">
        <v>202</v>
      </c>
      <c r="H74" s="8">
        <f>IF(Table157[[#This Row],[Lifetime Option]]="fixed",Table157[[#This Row],[End of life (fixed)]]-Table157[[#This Row],[Start year]],Table268[Generic  Lifetime])</f>
        <v>40</v>
      </c>
      <c r="I74" s="8"/>
      <c r="J74" s="8">
        <f>IF(Table157[[#This Row],[Lifetime Option]]="fixed",Table157[[#This Row],[End of life (fixed)]],Table157[[#This Row],[Start year]]+Table268[Generic  Lifetime])</f>
        <v>2039</v>
      </c>
      <c r="K74" s="8">
        <v>1.4950000000000001</v>
      </c>
      <c r="L74" s="8"/>
      <c r="M74" s="11"/>
    </row>
    <row r="75" spans="3:13">
      <c r="C75" s="8" t="s">
        <v>3</v>
      </c>
      <c r="D75" s="8" t="s">
        <v>83</v>
      </c>
      <c r="E75" s="8">
        <v>1983</v>
      </c>
      <c r="F75" s="9">
        <v>1.0005231684021501</v>
      </c>
      <c r="G75" s="9" t="s">
        <v>202</v>
      </c>
      <c r="H75" s="8">
        <f>IF(Table157[[#This Row],[Lifetime Option]]="fixed",Table157[[#This Row],[End of life (fixed)]]-Table157[[#This Row],[Start year]],Table268[Generic  Lifetime])</f>
        <v>40</v>
      </c>
      <c r="I75" s="8"/>
      <c r="J75" s="8">
        <f>IF(Table157[[#This Row],[Lifetime Option]]="fixed",Table157[[#This Row],[End of life (fixed)]],Table157[[#This Row],[Start year]]+Table268[Generic  Lifetime])</f>
        <v>2023</v>
      </c>
      <c r="K75" s="8">
        <v>0.91500000000000004</v>
      </c>
      <c r="L75" s="8"/>
      <c r="M75" s="11"/>
    </row>
    <row r="76" spans="3:13">
      <c r="C76" s="8" t="s">
        <v>3</v>
      </c>
      <c r="D76" s="8" t="s">
        <v>84</v>
      </c>
      <c r="E76" s="8">
        <v>1984</v>
      </c>
      <c r="F76" s="9">
        <v>1.0005231684021501</v>
      </c>
      <c r="G76" s="9" t="s">
        <v>202</v>
      </c>
      <c r="H76" s="8">
        <f>IF(Table157[[#This Row],[Lifetime Option]]="fixed",Table157[[#This Row],[End of life (fixed)]]-Table157[[#This Row],[Start year]],Table268[Generic  Lifetime])</f>
        <v>40</v>
      </c>
      <c r="I76" s="8"/>
      <c r="J76" s="8">
        <f>IF(Table157[[#This Row],[Lifetime Option]]="fixed",Table157[[#This Row],[End of life (fixed)]],Table157[[#This Row],[Start year]]+Table268[Generic  Lifetime])</f>
        <v>2024</v>
      </c>
      <c r="K76" s="8">
        <v>0.91500000000000004</v>
      </c>
      <c r="L76" s="8"/>
      <c r="M76" s="11"/>
    </row>
    <row r="77" spans="3:13">
      <c r="C77" s="8" t="s">
        <v>3</v>
      </c>
      <c r="D77" s="8" t="s">
        <v>85</v>
      </c>
      <c r="E77" s="8">
        <v>1984</v>
      </c>
      <c r="F77" s="9">
        <v>1.0005231684021501</v>
      </c>
      <c r="G77" s="9" t="s">
        <v>202</v>
      </c>
      <c r="H77" s="8">
        <f>IF(Table157[[#This Row],[Lifetime Option]]="fixed",Table157[[#This Row],[End of life (fixed)]]-Table157[[#This Row],[Start year]],Table268[Generic  Lifetime])</f>
        <v>40</v>
      </c>
      <c r="I77" s="8"/>
      <c r="J77" s="8">
        <f>IF(Table157[[#This Row],[Lifetime Option]]="fixed",Table157[[#This Row],[End of life (fixed)]],Table157[[#This Row],[Start year]]+Table268[Generic  Lifetime])</f>
        <v>2024</v>
      </c>
      <c r="K77" s="8">
        <v>0.91500000000000004</v>
      </c>
      <c r="L77" s="8"/>
      <c r="M77" s="11"/>
    </row>
    <row r="78" spans="3:13">
      <c r="C78" s="8" t="s">
        <v>3</v>
      </c>
      <c r="D78" s="8" t="s">
        <v>86</v>
      </c>
      <c r="E78" s="8">
        <v>1984</v>
      </c>
      <c r="F78" s="9">
        <v>1.0005231684021501</v>
      </c>
      <c r="G78" s="9" t="s">
        <v>202</v>
      </c>
      <c r="H78" s="8">
        <f>IF(Table157[[#This Row],[Lifetime Option]]="fixed",Table157[[#This Row],[End of life (fixed)]]-Table157[[#This Row],[Start year]],Table268[Generic  Lifetime])</f>
        <v>40</v>
      </c>
      <c r="I78" s="8"/>
      <c r="J78" s="8">
        <f>IF(Table157[[#This Row],[Lifetime Option]]="fixed",Table157[[#This Row],[End of life (fixed)]],Table157[[#This Row],[Start year]]+Table268[Generic  Lifetime])</f>
        <v>2024</v>
      </c>
      <c r="K78" s="8">
        <v>0.91500000000000004</v>
      </c>
      <c r="L78" s="8"/>
      <c r="M78" s="11"/>
    </row>
    <row r="79" spans="3:13">
      <c r="C79" s="8" t="s">
        <v>3</v>
      </c>
      <c r="D79" s="8" t="s">
        <v>87</v>
      </c>
      <c r="E79" s="8">
        <v>1980</v>
      </c>
      <c r="F79" s="9">
        <v>0.98063829371633704</v>
      </c>
      <c r="G79" s="9" t="s">
        <v>202</v>
      </c>
      <c r="H79" s="8">
        <f>IF(Table157[[#This Row],[Lifetime Option]]="fixed",Table157[[#This Row],[End of life (fixed)]]-Table157[[#This Row],[Start year]],Table268[Generic  Lifetime])</f>
        <v>40</v>
      </c>
      <c r="I79" s="8"/>
      <c r="J79" s="8">
        <f>IF(Table157[[#This Row],[Lifetime Option]]="fixed",Table157[[#This Row],[End of life (fixed)]],Table157[[#This Row],[Start year]]+Table268[Generic  Lifetime])</f>
        <v>2020</v>
      </c>
      <c r="K79" s="8">
        <v>0.89</v>
      </c>
      <c r="L79" s="8"/>
      <c r="M79" s="11"/>
    </row>
    <row r="80" spans="3:13">
      <c r="C80" s="8" t="s">
        <v>3</v>
      </c>
      <c r="D80" s="8" t="s">
        <v>88</v>
      </c>
      <c r="E80" s="8">
        <v>1980</v>
      </c>
      <c r="F80" s="9">
        <v>0.98063829371633704</v>
      </c>
      <c r="G80" s="9" t="s">
        <v>202</v>
      </c>
      <c r="H80" s="8">
        <f>IF(Table157[[#This Row],[Lifetime Option]]="fixed",Table157[[#This Row],[End of life (fixed)]]-Table157[[#This Row],[Start year]],Table268[Generic  Lifetime])</f>
        <v>40</v>
      </c>
      <c r="I80" s="8"/>
      <c r="J80" s="8">
        <f>IF(Table157[[#This Row],[Lifetime Option]]="fixed",Table157[[#This Row],[End of life (fixed)]],Table157[[#This Row],[Start year]]+Table268[Generic  Lifetime])</f>
        <v>2020</v>
      </c>
      <c r="K80" s="8">
        <v>0.89</v>
      </c>
      <c r="L80" s="8"/>
      <c r="M80" s="11"/>
    </row>
    <row r="81" spans="3:13">
      <c r="C81" s="8" t="s">
        <v>3</v>
      </c>
      <c r="D81" s="8" t="s">
        <v>89</v>
      </c>
      <c r="E81" s="8">
        <v>1981</v>
      </c>
      <c r="F81" s="9">
        <v>0.98063829371633704</v>
      </c>
      <c r="G81" s="9" t="s">
        <v>202</v>
      </c>
      <c r="H81" s="8">
        <f>IF(Table157[[#This Row],[Lifetime Option]]="fixed",Table157[[#This Row],[End of life (fixed)]]-Table157[[#This Row],[Start year]],Table268[Generic  Lifetime])</f>
        <v>40</v>
      </c>
      <c r="I81" s="8"/>
      <c r="J81" s="8">
        <f>IF(Table157[[#This Row],[Lifetime Option]]="fixed",Table157[[#This Row],[End of life (fixed)]],Table157[[#This Row],[Start year]]+Table268[Generic  Lifetime])</f>
        <v>2021</v>
      </c>
      <c r="K81" s="8">
        <v>0.89</v>
      </c>
      <c r="L81" s="8"/>
      <c r="M81" s="11"/>
    </row>
    <row r="82" spans="3:13">
      <c r="C82" s="8" t="s">
        <v>3</v>
      </c>
      <c r="D82" s="8" t="s">
        <v>90</v>
      </c>
      <c r="E82" s="8">
        <v>1981</v>
      </c>
      <c r="F82" s="9">
        <v>0.98063829371633704</v>
      </c>
      <c r="G82" s="9" t="s">
        <v>202</v>
      </c>
      <c r="H82" s="8">
        <f>IF(Table157[[#This Row],[Lifetime Option]]="fixed",Table157[[#This Row],[End of life (fixed)]]-Table157[[#This Row],[Start year]],Table268[Generic  Lifetime])</f>
        <v>40</v>
      </c>
      <c r="I82" s="8"/>
      <c r="J82" s="8">
        <f>IF(Table157[[#This Row],[Lifetime Option]]="fixed",Table157[[#This Row],[End of life (fixed)]],Table157[[#This Row],[Start year]]+Table268[Generic  Lifetime])</f>
        <v>2021</v>
      </c>
      <c r="K82" s="8">
        <v>0.89</v>
      </c>
      <c r="L82" s="8"/>
      <c r="M82" s="11"/>
    </row>
    <row r="83" spans="3:13">
      <c r="C83" s="8" t="s">
        <v>3</v>
      </c>
      <c r="D83" s="8" t="s">
        <v>91</v>
      </c>
      <c r="E83" s="8">
        <v>1977</v>
      </c>
      <c r="F83" s="9">
        <v>1.31483909774436</v>
      </c>
      <c r="G83" s="9" t="s">
        <v>201</v>
      </c>
      <c r="H83" s="8">
        <f>IF(Table157[[#This Row],[Lifetime Option]]="fixed",Table157[[#This Row],[End of life (fixed)]]-Table157[[#This Row],[Start year]],Table268[Generic  Lifetime])</f>
        <v>40</v>
      </c>
      <c r="I83" s="8">
        <v>2017</v>
      </c>
      <c r="J83" s="8">
        <f>IF(Table157[[#This Row],[Lifetime Option]]="fixed",Table157[[#This Row],[End of life (fixed)]],Table157[[#This Row],[Start year]]+Table268[Generic  Lifetime])</f>
        <v>2017</v>
      </c>
      <c r="K83" s="8">
        <v>0.88</v>
      </c>
      <c r="L83" s="8" t="s">
        <v>187</v>
      </c>
      <c r="M83" s="11"/>
    </row>
    <row r="84" spans="3:13">
      <c r="C84" s="8" t="s">
        <v>3</v>
      </c>
      <c r="D84" s="8" t="s">
        <v>92</v>
      </c>
      <c r="E84" s="8">
        <v>1977</v>
      </c>
      <c r="F84" s="9">
        <v>1.31483909774436</v>
      </c>
      <c r="G84" s="9" t="s">
        <v>201</v>
      </c>
      <c r="H84" s="8">
        <f>IF(Table157[[#This Row],[Lifetime Option]]="fixed",Table157[[#This Row],[End of life (fixed)]]-Table157[[#This Row],[Start year]],Table268[Generic  Lifetime])</f>
        <v>40</v>
      </c>
      <c r="I84" s="8">
        <v>2017</v>
      </c>
      <c r="J84" s="8">
        <f>IF(Table157[[#This Row],[Lifetime Option]]="fixed",Table157[[#This Row],[End of life (fixed)]],Table157[[#This Row],[Start year]]+Table268[Generic  Lifetime])</f>
        <v>2017</v>
      </c>
      <c r="K84" s="8">
        <v>0.88</v>
      </c>
      <c r="L84" s="8" t="s">
        <v>187</v>
      </c>
      <c r="M84" s="11"/>
    </row>
    <row r="85" spans="3:13">
      <c r="C85" s="8" t="s">
        <v>3</v>
      </c>
      <c r="D85" s="8" t="s">
        <v>93</v>
      </c>
      <c r="E85" s="8">
        <v>1985</v>
      </c>
      <c r="F85" s="9">
        <v>1.0323181556195999</v>
      </c>
      <c r="G85" s="9" t="s">
        <v>202</v>
      </c>
      <c r="H85" s="8">
        <f>IF(Table157[[#This Row],[Lifetime Option]]="fixed",Table157[[#This Row],[End of life (fixed)]]-Table157[[#This Row],[Start year]],Table268[Generic  Lifetime])</f>
        <v>40</v>
      </c>
      <c r="I85" s="8"/>
      <c r="J85" s="8">
        <f>IF(Table157[[#This Row],[Lifetime Option]]="fixed",Table157[[#This Row],[End of life (fixed)]],Table157[[#This Row],[Start year]]+Table268[Generic  Lifetime])</f>
        <v>2025</v>
      </c>
      <c r="K85" s="8">
        <v>1.33</v>
      </c>
      <c r="L85" s="8"/>
      <c r="M85" s="11"/>
    </row>
    <row r="86" spans="3:13">
      <c r="C86" s="8" t="s">
        <v>3</v>
      </c>
      <c r="D86" s="8" t="s">
        <v>94</v>
      </c>
      <c r="E86" s="8">
        <v>1986</v>
      </c>
      <c r="F86" s="9">
        <v>1.0323181556195999</v>
      </c>
      <c r="G86" s="9" t="s">
        <v>202</v>
      </c>
      <c r="H86" s="8">
        <f>IF(Table157[[#This Row],[Lifetime Option]]="fixed",Table157[[#This Row],[End of life (fixed)]]-Table157[[#This Row],[Start year]],Table268[Generic  Lifetime])</f>
        <v>40</v>
      </c>
      <c r="I86" s="8"/>
      <c r="J86" s="8">
        <f>IF(Table157[[#This Row],[Lifetime Option]]="fixed",Table157[[#This Row],[End of life (fixed)]],Table157[[#This Row],[Start year]]+Table268[Generic  Lifetime])</f>
        <v>2026</v>
      </c>
      <c r="K86" s="8">
        <v>1.33</v>
      </c>
      <c r="L86" s="8"/>
      <c r="M86" s="11"/>
    </row>
    <row r="87" spans="3:13">
      <c r="C87" s="8" t="s">
        <v>3</v>
      </c>
      <c r="D87" s="8" t="s">
        <v>95</v>
      </c>
      <c r="E87" s="8">
        <v>1990</v>
      </c>
      <c r="F87" s="9">
        <v>1.0181256484149901</v>
      </c>
      <c r="G87" s="9" t="s">
        <v>202</v>
      </c>
      <c r="H87" s="8">
        <f>IF(Table157[[#This Row],[Lifetime Option]]="fixed",Table157[[#This Row],[End of life (fixed)]]-Table157[[#This Row],[Start year]],Table268[Generic  Lifetime])</f>
        <v>40</v>
      </c>
      <c r="I87" s="8"/>
      <c r="J87" s="8">
        <f>IF(Table157[[#This Row],[Lifetime Option]]="fixed",Table157[[#This Row],[End of life (fixed)]],Table157[[#This Row],[Start year]]+Table268[Generic  Lifetime])</f>
        <v>2030</v>
      </c>
      <c r="K87" s="8">
        <v>1.31</v>
      </c>
      <c r="L87" s="8"/>
      <c r="M87" s="11"/>
    </row>
    <row r="88" spans="3:13">
      <c r="C88" s="8" t="s">
        <v>3</v>
      </c>
      <c r="D88" s="8" t="s">
        <v>96</v>
      </c>
      <c r="E88" s="8">
        <v>1993</v>
      </c>
      <c r="F88" s="9">
        <v>1.0181256484149901</v>
      </c>
      <c r="G88" s="9" t="s">
        <v>202</v>
      </c>
      <c r="H88" s="8">
        <f>IF(Table157[[#This Row],[Lifetime Option]]="fixed",Table157[[#This Row],[End of life (fixed)]]-Table157[[#This Row],[Start year]],Table268[Generic  Lifetime])</f>
        <v>40</v>
      </c>
      <c r="I88" s="8"/>
      <c r="J88" s="8">
        <f>IF(Table157[[#This Row],[Lifetime Option]]="fixed",Table157[[#This Row],[End of life (fixed)]],Table157[[#This Row],[Start year]]+Table268[Generic  Lifetime])</f>
        <v>2033</v>
      </c>
      <c r="K88" s="8">
        <v>1.31</v>
      </c>
      <c r="L88" s="8"/>
      <c r="M88" s="11"/>
    </row>
    <row r="89" spans="3:13">
      <c r="C89" s="8" t="s">
        <v>3</v>
      </c>
      <c r="D89" s="8" t="s">
        <v>97</v>
      </c>
      <c r="E89" s="8">
        <v>1980</v>
      </c>
      <c r="F89" s="9">
        <v>0.99529030664272899</v>
      </c>
      <c r="G89" s="9" t="s">
        <v>202</v>
      </c>
      <c r="H89" s="8">
        <f>IF(Table157[[#This Row],[Lifetime Option]]="fixed",Table157[[#This Row],[End of life (fixed)]]-Table157[[#This Row],[Start year]],Table268[Generic  Lifetime])</f>
        <v>40</v>
      </c>
      <c r="I89" s="8"/>
      <c r="J89" s="8">
        <f>IF(Table157[[#This Row],[Lifetime Option]]="fixed",Table157[[#This Row],[End of life (fixed)]],Table157[[#This Row],[Start year]]+Table268[Generic  Lifetime])</f>
        <v>2020</v>
      </c>
      <c r="K89" s="8">
        <v>0.91</v>
      </c>
      <c r="L89" s="8"/>
      <c r="M89" s="11"/>
    </row>
    <row r="90" spans="3:13">
      <c r="C90" s="8" t="s">
        <v>3</v>
      </c>
      <c r="D90" s="8" t="s">
        <v>98</v>
      </c>
      <c r="E90" s="8">
        <v>1980</v>
      </c>
      <c r="F90" s="9">
        <v>0.99529030664272899</v>
      </c>
      <c r="G90" s="9" t="s">
        <v>202</v>
      </c>
      <c r="H90" s="8">
        <f>IF(Table157[[#This Row],[Lifetime Option]]="fixed",Table157[[#This Row],[End of life (fixed)]]-Table157[[#This Row],[Start year]],Table268[Generic  Lifetime])</f>
        <v>40</v>
      </c>
      <c r="I90" s="8"/>
      <c r="J90" s="8">
        <f>IF(Table157[[#This Row],[Lifetime Option]]="fixed",Table157[[#This Row],[End of life (fixed)]],Table157[[#This Row],[Start year]]+Table268[Generic  Lifetime])</f>
        <v>2020</v>
      </c>
      <c r="K90" s="8">
        <v>0.91</v>
      </c>
      <c r="L90" s="8"/>
      <c r="M90" s="11"/>
    </row>
    <row r="91" spans="3:13">
      <c r="C91" s="8" t="s">
        <v>3</v>
      </c>
      <c r="D91" s="8" t="s">
        <v>99</v>
      </c>
      <c r="E91" s="8">
        <v>1980</v>
      </c>
      <c r="F91" s="9">
        <v>0.99529030664272899</v>
      </c>
      <c r="G91" s="9" t="s">
        <v>202</v>
      </c>
      <c r="H91" s="8">
        <f>IF(Table157[[#This Row],[Lifetime Option]]="fixed",Table157[[#This Row],[End of life (fixed)]]-Table157[[#This Row],[Start year]],Table268[Generic  Lifetime])</f>
        <v>40</v>
      </c>
      <c r="I91" s="8"/>
      <c r="J91" s="8">
        <f>IF(Table157[[#This Row],[Lifetime Option]]="fixed",Table157[[#This Row],[End of life (fixed)]],Table157[[#This Row],[Start year]]+Table268[Generic  Lifetime])</f>
        <v>2020</v>
      </c>
      <c r="K91" s="8">
        <v>0.91</v>
      </c>
      <c r="L91" s="8"/>
      <c r="M91" s="11"/>
    </row>
    <row r="92" spans="3:13">
      <c r="C92" s="8" t="s">
        <v>3</v>
      </c>
      <c r="D92" s="8" t="s">
        <v>100</v>
      </c>
      <c r="E92" s="8">
        <v>1981</v>
      </c>
      <c r="F92" s="9">
        <v>0.99529030664272899</v>
      </c>
      <c r="G92" s="9" t="s">
        <v>202</v>
      </c>
      <c r="H92" s="8">
        <f>IF(Table157[[#This Row],[Lifetime Option]]="fixed",Table157[[#This Row],[End of life (fixed)]]-Table157[[#This Row],[Start year]],Table268[Generic  Lifetime])</f>
        <v>40</v>
      </c>
      <c r="I92" s="8"/>
      <c r="J92" s="8">
        <f>IF(Table157[[#This Row],[Lifetime Option]]="fixed",Table157[[#This Row],[End of life (fixed)]],Table157[[#This Row],[Start year]]+Table268[Generic  Lifetime])</f>
        <v>2021</v>
      </c>
      <c r="K92" s="8">
        <v>0.91</v>
      </c>
      <c r="L92" s="8"/>
      <c r="M92" s="11"/>
    </row>
    <row r="93" spans="3:13">
      <c r="C93" s="8" t="s">
        <v>3</v>
      </c>
      <c r="D93" s="8" t="s">
        <v>101</v>
      </c>
      <c r="E93" s="8">
        <v>1984</v>
      </c>
      <c r="F93" s="9">
        <v>1.3866501974865399</v>
      </c>
      <c r="G93" s="9" t="s">
        <v>202</v>
      </c>
      <c r="H93" s="8">
        <f>IF(Table157[[#This Row],[Lifetime Option]]="fixed",Table157[[#This Row],[End of life (fixed)]]-Table157[[#This Row],[Start year]],Table268[Generic  Lifetime])</f>
        <v>40</v>
      </c>
      <c r="I93" s="8"/>
      <c r="J93" s="8">
        <f>IF(Table157[[#This Row],[Lifetime Option]]="fixed",Table157[[#This Row],[End of life (fixed)]],Table157[[#This Row],[Start year]]+Table268[Generic  Lifetime])</f>
        <v>2024</v>
      </c>
      <c r="K93" s="8">
        <v>0.91</v>
      </c>
      <c r="L93" s="8"/>
      <c r="M93" s="11"/>
    </row>
    <row r="94" spans="3:13">
      <c r="C94" s="8" t="s">
        <v>3</v>
      </c>
      <c r="D94" s="8" t="s">
        <v>102</v>
      </c>
      <c r="E94" s="8">
        <v>1985</v>
      </c>
      <c r="F94" s="9">
        <v>1.38665019748653</v>
      </c>
      <c r="G94" s="9" t="s">
        <v>202</v>
      </c>
      <c r="H94" s="8">
        <f>IF(Table157[[#This Row],[Lifetime Option]]="fixed",Table157[[#This Row],[End of life (fixed)]]-Table157[[#This Row],[Start year]],Table268[Generic  Lifetime])</f>
        <v>40</v>
      </c>
      <c r="I94" s="8"/>
      <c r="J94" s="8">
        <f>IF(Table157[[#This Row],[Lifetime Option]]="fixed",Table157[[#This Row],[End of life (fixed)]],Table157[[#This Row],[Start year]]+Table268[Generic  Lifetime])</f>
        <v>2025</v>
      </c>
      <c r="K94" s="8">
        <v>0.91</v>
      </c>
      <c r="L94" s="8"/>
      <c r="M94" s="11"/>
    </row>
    <row r="95" spans="3:13">
      <c r="C95" s="8" t="s">
        <v>3</v>
      </c>
      <c r="D95" s="8" t="s">
        <v>103</v>
      </c>
      <c r="E95" s="8">
        <v>1987</v>
      </c>
      <c r="F95" s="9">
        <v>1.0181256484149901</v>
      </c>
      <c r="G95" s="9" t="s">
        <v>202</v>
      </c>
      <c r="H95" s="8">
        <f>IF(Table157[[#This Row],[Lifetime Option]]="fixed",Table157[[#This Row],[End of life (fixed)]]-Table157[[#This Row],[Start year]],Table268[Generic  Lifetime])</f>
        <v>40</v>
      </c>
      <c r="I95" s="8"/>
      <c r="J95" s="8">
        <f>IF(Table157[[#This Row],[Lifetime Option]]="fixed",Table157[[#This Row],[End of life (fixed)]],Table157[[#This Row],[Start year]]+Table268[Generic  Lifetime])</f>
        <v>2027</v>
      </c>
      <c r="K95" s="8">
        <v>1.31</v>
      </c>
      <c r="L95" s="8"/>
      <c r="M95" s="11"/>
    </row>
    <row r="96" spans="3:13">
      <c r="C96" s="8" t="s">
        <v>3</v>
      </c>
      <c r="D96" s="8" t="s">
        <v>104</v>
      </c>
      <c r="E96" s="8">
        <v>1988</v>
      </c>
      <c r="F96" s="9">
        <v>1.0181256484149901</v>
      </c>
      <c r="G96" s="9" t="s">
        <v>202</v>
      </c>
      <c r="H96" s="8">
        <f>IF(Table157[[#This Row],[Lifetime Option]]="fixed",Table157[[#This Row],[End of life (fixed)]]-Table157[[#This Row],[Start year]],Table268[Generic  Lifetime])</f>
        <v>40</v>
      </c>
      <c r="I96" s="8"/>
      <c r="J96" s="8">
        <f>IF(Table157[[#This Row],[Lifetime Option]]="fixed",Table157[[#This Row],[End of life (fixed)]],Table157[[#This Row],[Start year]]+Table268[Generic  Lifetime])</f>
        <v>2028</v>
      </c>
      <c r="K96" s="8">
        <v>1.31</v>
      </c>
      <c r="L96" s="8"/>
      <c r="M96" s="11"/>
    </row>
    <row r="97" spans="3:13">
      <c r="C97" s="8" t="s">
        <v>3</v>
      </c>
      <c r="D97" s="8" t="s">
        <v>105</v>
      </c>
      <c r="E97" s="8">
        <v>1984</v>
      </c>
      <c r="F97" s="9">
        <v>1.0323181556195999</v>
      </c>
      <c r="G97" s="9" t="s">
        <v>202</v>
      </c>
      <c r="H97" s="8">
        <f>IF(Table157[[#This Row],[Lifetime Option]]="fixed",Table157[[#This Row],[End of life (fixed)]]-Table157[[#This Row],[Start year]],Table268[Generic  Lifetime])</f>
        <v>40</v>
      </c>
      <c r="I97" s="8"/>
      <c r="J97" s="8">
        <f>IF(Table157[[#This Row],[Lifetime Option]]="fixed",Table157[[#This Row],[End of life (fixed)]],Table157[[#This Row],[Start year]]+Table268[Generic  Lifetime])</f>
        <v>2024</v>
      </c>
      <c r="K97" s="8">
        <v>1.33</v>
      </c>
      <c r="L97" s="8"/>
      <c r="M97" s="11"/>
    </row>
    <row r="98" spans="3:13">
      <c r="C98" s="8" t="s">
        <v>3</v>
      </c>
      <c r="D98" s="8" t="s">
        <v>106</v>
      </c>
      <c r="E98" s="8">
        <v>1984</v>
      </c>
      <c r="F98" s="9">
        <v>1.0323181556195999</v>
      </c>
      <c r="G98" s="9" t="s">
        <v>202</v>
      </c>
      <c r="H98" s="8">
        <f>IF(Table157[[#This Row],[Lifetime Option]]="fixed",Table157[[#This Row],[End of life (fixed)]]-Table157[[#This Row],[Start year]],Table268[Generic  Lifetime])</f>
        <v>40</v>
      </c>
      <c r="I98" s="8"/>
      <c r="J98" s="8">
        <f>IF(Table157[[#This Row],[Lifetime Option]]="fixed",Table157[[#This Row],[End of life (fixed)]],Table157[[#This Row],[Start year]]+Table268[Generic  Lifetime])</f>
        <v>2024</v>
      </c>
      <c r="K98" s="8">
        <v>1.33</v>
      </c>
      <c r="L98" s="8"/>
      <c r="M98" s="11"/>
    </row>
    <row r="99" spans="3:13">
      <c r="C99" s="8" t="s">
        <v>3</v>
      </c>
      <c r="D99" s="8" t="s">
        <v>107</v>
      </c>
      <c r="E99" s="8">
        <v>1985</v>
      </c>
      <c r="F99" s="9">
        <v>1.0323181556195999</v>
      </c>
      <c r="G99" s="9" t="s">
        <v>202</v>
      </c>
      <c r="H99" s="8">
        <f>IF(Table157[[#This Row],[Lifetime Option]]="fixed",Table157[[#This Row],[End of life (fixed)]]-Table157[[#This Row],[Start year]],Table268[Generic  Lifetime])</f>
        <v>40</v>
      </c>
      <c r="I99" s="8"/>
      <c r="J99" s="8">
        <f>IF(Table157[[#This Row],[Lifetime Option]]="fixed",Table157[[#This Row],[End of life (fixed)]],Table157[[#This Row],[Start year]]+Table268[Generic  Lifetime])</f>
        <v>2025</v>
      </c>
      <c r="K99" s="8">
        <v>1.33</v>
      </c>
      <c r="L99" s="8"/>
      <c r="M99" s="11"/>
    </row>
    <row r="100" spans="3:13">
      <c r="C100" s="8" t="s">
        <v>3</v>
      </c>
      <c r="D100" s="8" t="s">
        <v>108</v>
      </c>
      <c r="E100" s="8">
        <v>1986</v>
      </c>
      <c r="F100" s="9">
        <v>1.0323181556195999</v>
      </c>
      <c r="G100" s="9" t="s">
        <v>202</v>
      </c>
      <c r="H100" s="8">
        <f>IF(Table157[[#This Row],[Lifetime Option]]="fixed",Table157[[#This Row],[End of life (fixed)]]-Table157[[#This Row],[Start year]],Table268[Generic  Lifetime])</f>
        <v>40</v>
      </c>
      <c r="I100" s="8"/>
      <c r="J100" s="8">
        <f>IF(Table157[[#This Row],[Lifetime Option]]="fixed",Table157[[#This Row],[End of life (fixed)]],Table157[[#This Row],[Start year]]+Table268[Generic  Lifetime])</f>
        <v>2026</v>
      </c>
      <c r="K100" s="8">
        <v>1.33</v>
      </c>
      <c r="L100" s="8"/>
      <c r="M100" s="11"/>
    </row>
    <row r="101" spans="3:13">
      <c r="C101" s="8" t="s">
        <v>3</v>
      </c>
      <c r="D101" s="8" t="s">
        <v>109</v>
      </c>
      <c r="E101" s="8">
        <v>1990</v>
      </c>
      <c r="F101" s="9">
        <v>1.0323181556195999</v>
      </c>
      <c r="G101" s="9" t="s">
        <v>202</v>
      </c>
      <c r="H101" s="8">
        <f>IF(Table157[[#This Row],[Lifetime Option]]="fixed",Table157[[#This Row],[End of life (fixed)]]-Table157[[#This Row],[Start year]],Table268[Generic  Lifetime])</f>
        <v>40</v>
      </c>
      <c r="I101" s="8"/>
      <c r="J101" s="8">
        <f>IF(Table157[[#This Row],[Lifetime Option]]="fixed",Table157[[#This Row],[End of life (fixed)]],Table157[[#This Row],[Start year]]+Table268[Generic  Lifetime])</f>
        <v>2030</v>
      </c>
      <c r="K101" s="8">
        <v>1.33</v>
      </c>
      <c r="L101" s="8"/>
      <c r="M101" s="11"/>
    </row>
    <row r="102" spans="3:13">
      <c r="C102" s="8" t="s">
        <v>3</v>
      </c>
      <c r="D102" s="8" t="s">
        <v>110</v>
      </c>
      <c r="E102" s="8">
        <v>1992</v>
      </c>
      <c r="F102" s="9">
        <v>1.0323181556195999</v>
      </c>
      <c r="G102" s="9" t="s">
        <v>202</v>
      </c>
      <c r="H102" s="8">
        <f>IF(Table157[[#This Row],[Lifetime Option]]="fixed",Table157[[#This Row],[End of life (fixed)]]-Table157[[#This Row],[Start year]],Table268[Generic  Lifetime])</f>
        <v>40</v>
      </c>
      <c r="I102" s="8"/>
      <c r="J102" s="8">
        <f>IF(Table157[[#This Row],[Lifetime Option]]="fixed",Table157[[#This Row],[End of life (fixed)]],Table157[[#This Row],[Start year]]+Table268[Generic  Lifetime])</f>
        <v>2032</v>
      </c>
      <c r="K102" s="8">
        <v>1.33</v>
      </c>
      <c r="L102" s="8"/>
      <c r="M102" s="11"/>
    </row>
    <row r="103" spans="3:13">
      <c r="C103" s="8" t="s">
        <v>3</v>
      </c>
      <c r="D103" s="8" t="s">
        <v>111</v>
      </c>
      <c r="E103" s="8">
        <v>1973</v>
      </c>
      <c r="F103" s="9">
        <v>2.85</v>
      </c>
      <c r="G103" s="9" t="s">
        <v>202</v>
      </c>
      <c r="H103" s="8">
        <f>IF(Table157[[#This Row],[Lifetime Option]]="fixed",Table157[[#This Row],[End of life (fixed)]]-Table157[[#This Row],[Start year]],Table268[Generic  Lifetime])</f>
        <v>40</v>
      </c>
      <c r="I103" s="8"/>
      <c r="J103" s="8">
        <f>IF(Table157[[#This Row],[Lifetime Option]]="fixed",Table157[[#This Row],[End of life (fixed)]],Table157[[#This Row],[Start year]]+Table268[Generic  Lifetime])</f>
        <v>2013</v>
      </c>
      <c r="K103" s="8">
        <v>0.13</v>
      </c>
      <c r="L103" s="8"/>
      <c r="M103" s="11"/>
    </row>
    <row r="104" spans="3:13">
      <c r="C104" s="8" t="s">
        <v>3</v>
      </c>
      <c r="D104" s="8" t="s">
        <v>112</v>
      </c>
      <c r="E104" s="8">
        <v>1985</v>
      </c>
      <c r="F104" s="9">
        <v>1.0315711815562001</v>
      </c>
      <c r="G104" s="9" t="s">
        <v>202</v>
      </c>
      <c r="H104" s="8">
        <f>IF(Table157[[#This Row],[Lifetime Option]]="fixed",Table157[[#This Row],[End of life (fixed)]]-Table157[[#This Row],[Start year]],Table268[Generic  Lifetime])</f>
        <v>40</v>
      </c>
      <c r="I104" s="8"/>
      <c r="J104" s="8">
        <f>IF(Table157[[#This Row],[Lifetime Option]]="fixed",Table157[[#This Row],[End of life (fixed)]],Table157[[#This Row],[Start year]]+Table268[Generic  Lifetime])</f>
        <v>2025</v>
      </c>
      <c r="K104" s="8">
        <v>1.335</v>
      </c>
      <c r="L104" s="8"/>
      <c r="M104" s="11"/>
    </row>
    <row r="105" spans="3:13">
      <c r="C105" s="8" t="s">
        <v>3</v>
      </c>
      <c r="D105" s="8" t="s">
        <v>113</v>
      </c>
      <c r="E105" s="8">
        <v>1986</v>
      </c>
      <c r="F105" s="9">
        <v>1.0315711815562001</v>
      </c>
      <c r="G105" s="9" t="s">
        <v>202</v>
      </c>
      <c r="H105" s="8">
        <f>IF(Table157[[#This Row],[Lifetime Option]]="fixed",Table157[[#This Row],[End of life (fixed)]]-Table157[[#This Row],[Start year]],Table268[Generic  Lifetime])</f>
        <v>40</v>
      </c>
      <c r="I105" s="8"/>
      <c r="J105" s="8">
        <f>IF(Table157[[#This Row],[Lifetime Option]]="fixed",Table157[[#This Row],[End of life (fixed)]],Table157[[#This Row],[Start year]]+Table268[Generic  Lifetime])</f>
        <v>2026</v>
      </c>
      <c r="K105" s="8">
        <v>1.335</v>
      </c>
      <c r="L105" s="8"/>
      <c r="M105" s="11"/>
    </row>
    <row r="106" spans="3:13">
      <c r="C106" s="8" t="s">
        <v>3</v>
      </c>
      <c r="D106" s="8" t="s">
        <v>114</v>
      </c>
      <c r="E106" s="8">
        <v>1981</v>
      </c>
      <c r="F106" s="9">
        <v>1.0005231684021501</v>
      </c>
      <c r="G106" s="9" t="s">
        <v>202</v>
      </c>
      <c r="H106" s="8">
        <f>IF(Table157[[#This Row],[Lifetime Option]]="fixed",Table157[[#This Row],[End of life (fixed)]]-Table157[[#This Row],[Start year]],Table268[Generic  Lifetime])</f>
        <v>40</v>
      </c>
      <c r="I106" s="8"/>
      <c r="J106" s="8">
        <f>IF(Table157[[#This Row],[Lifetime Option]]="fixed",Table157[[#This Row],[End of life (fixed)]],Table157[[#This Row],[Start year]]+Table268[Generic  Lifetime])</f>
        <v>2021</v>
      </c>
      <c r="K106" s="8">
        <v>0.91500000000000004</v>
      </c>
      <c r="L106" s="8"/>
      <c r="M106" s="11"/>
    </row>
    <row r="107" spans="3:13">
      <c r="C107" s="8" t="s">
        <v>3</v>
      </c>
      <c r="D107" s="8" t="s">
        <v>115</v>
      </c>
      <c r="E107" s="8">
        <v>1981</v>
      </c>
      <c r="F107" s="9">
        <v>1.0005231684021501</v>
      </c>
      <c r="G107" s="9" t="s">
        <v>202</v>
      </c>
      <c r="H107" s="8">
        <f>IF(Table157[[#This Row],[Lifetime Option]]="fixed",Table157[[#This Row],[End of life (fixed)]]-Table157[[#This Row],[Start year]],Table268[Generic  Lifetime])</f>
        <v>40</v>
      </c>
      <c r="I107" s="8"/>
      <c r="J107" s="8">
        <f>IF(Table157[[#This Row],[Lifetime Option]]="fixed",Table157[[#This Row],[End of life (fixed)]],Table157[[#This Row],[Start year]]+Table268[Generic  Lifetime])</f>
        <v>2021</v>
      </c>
      <c r="K107" s="8">
        <v>0.91500000000000004</v>
      </c>
      <c r="L107" s="8"/>
      <c r="M107" s="11"/>
    </row>
    <row r="108" spans="3:13">
      <c r="C108" s="8" t="s">
        <v>3</v>
      </c>
      <c r="D108" s="8" t="s">
        <v>116</v>
      </c>
      <c r="E108" s="8">
        <v>1980</v>
      </c>
      <c r="F108" s="9">
        <v>1.2443461400359099</v>
      </c>
      <c r="G108" s="9" t="s">
        <v>202</v>
      </c>
      <c r="H108" s="8">
        <f>IF(Table157[[#This Row],[Lifetime Option]]="fixed",Table157[[#This Row],[End of life (fixed)]]-Table157[[#This Row],[Start year]],Table268[Generic  Lifetime])</f>
        <v>40</v>
      </c>
      <c r="I108" s="8"/>
      <c r="J108" s="8">
        <f>IF(Table157[[#This Row],[Lifetime Option]]="fixed",Table157[[#This Row],[End of life (fixed)]],Table157[[#This Row],[Start year]]+Table268[Generic  Lifetime])</f>
        <v>2020</v>
      </c>
      <c r="K108" s="8">
        <v>0.91500000000000004</v>
      </c>
      <c r="L108" s="8"/>
      <c r="M108" s="11"/>
    </row>
    <row r="109" spans="3:13">
      <c r="C109" s="8" t="s">
        <v>3</v>
      </c>
      <c r="D109" s="8" t="s">
        <v>117</v>
      </c>
      <c r="E109" s="8">
        <v>1980</v>
      </c>
      <c r="F109" s="9">
        <v>0.99947659605026895</v>
      </c>
      <c r="G109" s="9" t="s">
        <v>202</v>
      </c>
      <c r="H109" s="8">
        <f>IF(Table157[[#This Row],[Lifetime Option]]="fixed",Table157[[#This Row],[End of life (fixed)]]-Table157[[#This Row],[Start year]],Table268[Generic  Lifetime])</f>
        <v>40</v>
      </c>
      <c r="I109" s="8"/>
      <c r="J109" s="8">
        <f>IF(Table157[[#This Row],[Lifetime Option]]="fixed",Table157[[#This Row],[End of life (fixed)]],Table157[[#This Row],[Start year]]+Table268[Generic  Lifetime])</f>
        <v>2020</v>
      </c>
      <c r="K109" s="8">
        <v>0.91500000000000004</v>
      </c>
      <c r="L109" s="8"/>
      <c r="M109" s="11"/>
    </row>
    <row r="110" spans="3:13">
      <c r="C110" s="8" t="s">
        <v>3</v>
      </c>
      <c r="D110" s="8" t="s">
        <v>118</v>
      </c>
      <c r="E110" s="8">
        <v>1981</v>
      </c>
      <c r="F110" s="9">
        <v>0.99947659605026895</v>
      </c>
      <c r="G110" s="9" t="s">
        <v>202</v>
      </c>
      <c r="H110" s="8">
        <f>IF(Table157[[#This Row],[Lifetime Option]]="fixed",Table157[[#This Row],[End of life (fixed)]]-Table157[[#This Row],[Start year]],Table268[Generic  Lifetime])</f>
        <v>40</v>
      </c>
      <c r="I110" s="8"/>
      <c r="J110" s="8">
        <f>IF(Table157[[#This Row],[Lifetime Option]]="fixed",Table157[[#This Row],[End of life (fixed)]],Table157[[#This Row],[Start year]]+Table268[Generic  Lifetime])</f>
        <v>2021</v>
      </c>
      <c r="K110" s="8">
        <v>0.91500000000000004</v>
      </c>
      <c r="L110" s="8"/>
      <c r="M110" s="11"/>
    </row>
    <row r="111" spans="3:13">
      <c r="C111" s="8" t="s">
        <v>3</v>
      </c>
      <c r="D111" s="8" t="s">
        <v>119</v>
      </c>
      <c r="E111" s="8">
        <v>1981</v>
      </c>
      <c r="F111" s="9">
        <v>0.99947659605026895</v>
      </c>
      <c r="G111" s="9" t="s">
        <v>202</v>
      </c>
      <c r="H111" s="8">
        <f>IF(Table157[[#This Row],[Lifetime Option]]="fixed",Table157[[#This Row],[End of life (fixed)]]-Table157[[#This Row],[Start year]],Table268[Generic  Lifetime])</f>
        <v>40</v>
      </c>
      <c r="I111" s="8"/>
      <c r="J111" s="8">
        <f>IF(Table157[[#This Row],[Lifetime Option]]="fixed",Table157[[#This Row],[End of life (fixed)]],Table157[[#This Row],[Start year]]+Table268[Generic  Lifetime])</f>
        <v>2021</v>
      </c>
      <c r="K111" s="8">
        <v>0.91500000000000004</v>
      </c>
      <c r="L111" s="8"/>
      <c r="M111" s="11"/>
    </row>
    <row r="112" spans="3:13">
      <c r="C112" s="8" t="s">
        <v>120</v>
      </c>
      <c r="D112" s="8" t="s">
        <v>121</v>
      </c>
      <c r="E112" s="8">
        <v>1982</v>
      </c>
      <c r="F112" s="9">
        <v>1.07636363636364</v>
      </c>
      <c r="G112" s="9" t="s">
        <v>202</v>
      </c>
      <c r="H112" s="8">
        <f>IF(Table157[[#This Row],[Lifetime Option]]="fixed",Table157[[#This Row],[End of life (fixed)]]-Table157[[#This Row],[Start year]],Table268[Generic  Lifetime])</f>
        <v>40</v>
      </c>
      <c r="I112" s="8"/>
      <c r="J112" s="8">
        <f>IF(Table157[[#This Row],[Lifetime Option]]="fixed",Table157[[#This Row],[End of life (fixed)]],Table157[[#This Row],[Start year]]+Table268[Generic  Lifetime])</f>
        <v>2022</v>
      </c>
      <c r="K112" s="8">
        <v>0.47</v>
      </c>
      <c r="L112" s="8"/>
      <c r="M112" s="11"/>
    </row>
    <row r="113" spans="3:13">
      <c r="C113" s="8" t="s">
        <v>120</v>
      </c>
      <c r="D113" s="8" t="s">
        <v>122</v>
      </c>
      <c r="E113" s="8">
        <v>1984</v>
      </c>
      <c r="F113" s="9">
        <v>1.07636363636364</v>
      </c>
      <c r="G113" s="9" t="s">
        <v>202</v>
      </c>
      <c r="H113" s="8">
        <f>IF(Table157[[#This Row],[Lifetime Option]]="fixed",Table157[[#This Row],[End of life (fixed)]]-Table157[[#This Row],[Start year]],Table268[Generic  Lifetime])</f>
        <v>40</v>
      </c>
      <c r="I113" s="8"/>
      <c r="J113" s="8">
        <f>IF(Table157[[#This Row],[Lifetime Option]]="fixed",Table157[[#This Row],[End of life (fixed)]],Table157[[#This Row],[Start year]]+Table268[Generic  Lifetime])</f>
        <v>2024</v>
      </c>
      <c r="K113" s="8">
        <v>0.47299999999999998</v>
      </c>
      <c r="L113" s="8"/>
      <c r="M113" s="11"/>
    </row>
    <row r="114" spans="3:13">
      <c r="C114" s="8" t="s">
        <v>120</v>
      </c>
      <c r="D114" s="8" t="s">
        <v>123</v>
      </c>
      <c r="E114" s="8">
        <v>1986</v>
      </c>
      <c r="F114" s="9">
        <v>1.07636363636364</v>
      </c>
      <c r="G114" s="9" t="s">
        <v>202</v>
      </c>
      <c r="H114" s="8">
        <f>IF(Table157[[#This Row],[Lifetime Option]]="fixed",Table157[[#This Row],[End of life (fixed)]]-Table157[[#This Row],[Start year]],Table268[Generic  Lifetime])</f>
        <v>40</v>
      </c>
      <c r="I114" s="8"/>
      <c r="J114" s="8">
        <f>IF(Table157[[#This Row],[Lifetime Option]]="fixed",Table157[[#This Row],[End of life (fixed)]],Table157[[#This Row],[Start year]]+Table268[Generic  Lifetime])</f>
        <v>2026</v>
      </c>
      <c r="K114" s="8">
        <v>0.47299999999999998</v>
      </c>
      <c r="L114" s="8"/>
      <c r="M114" s="11"/>
    </row>
    <row r="115" spans="3:13">
      <c r="C115" s="8" t="s">
        <v>120</v>
      </c>
      <c r="D115" s="8" t="s">
        <v>124</v>
      </c>
      <c r="E115" s="8">
        <v>1987</v>
      </c>
      <c r="F115" s="9">
        <v>1.07636363636364</v>
      </c>
      <c r="G115" s="9" t="s">
        <v>202</v>
      </c>
      <c r="H115" s="8">
        <f>IF(Table157[[#This Row],[Lifetime Option]]="fixed",Table157[[#This Row],[End of life (fixed)]]-Table157[[#This Row],[Start year]],Table268[Generic  Lifetime])</f>
        <v>40</v>
      </c>
      <c r="I115" s="8"/>
      <c r="J115" s="8">
        <f>IF(Table157[[#This Row],[Lifetime Option]]="fixed",Table157[[#This Row],[End of life (fixed)]],Table157[[#This Row],[Start year]]+Table268[Generic  Lifetime])</f>
        <v>2027</v>
      </c>
      <c r="K115" s="8">
        <v>0.47299999999999998</v>
      </c>
      <c r="L115" s="8"/>
      <c r="M115" s="11"/>
    </row>
    <row r="116" spans="3:13">
      <c r="C116" s="8" t="s">
        <v>125</v>
      </c>
      <c r="D116" s="8" t="s">
        <v>126</v>
      </c>
      <c r="E116" s="8">
        <v>1983</v>
      </c>
      <c r="F116" s="9">
        <v>0.66</v>
      </c>
      <c r="G116" s="9" t="s">
        <v>201</v>
      </c>
      <c r="H116" s="8">
        <f>IF(Table157[[#This Row],[Lifetime Option]]="fixed",Table157[[#This Row],[End of life (fixed)]]-Table157[[#This Row],[Start year]],Table268[Generic  Lifetime])</f>
        <v>21</v>
      </c>
      <c r="I116" s="8">
        <v>2004</v>
      </c>
      <c r="J116" s="8">
        <f>IF(Table157[[#This Row],[Lifetime Option]]="fixed",Table157[[#This Row],[End of life (fixed)]],Table157[[#This Row],[Start year]]+Table268[Generic  Lifetime])</f>
        <v>2004</v>
      </c>
      <c r="K116" s="8">
        <v>1.1850000000000001</v>
      </c>
      <c r="L116" s="8" t="s">
        <v>186</v>
      </c>
      <c r="M116" s="11"/>
    </row>
    <row r="117" spans="3:13">
      <c r="C117" s="8" t="s">
        <v>125</v>
      </c>
      <c r="D117" s="8" t="s">
        <v>127</v>
      </c>
      <c r="E117" s="8">
        <v>1987</v>
      </c>
      <c r="F117" s="9">
        <v>0.66</v>
      </c>
      <c r="G117" s="9" t="s">
        <v>201</v>
      </c>
      <c r="H117" s="8">
        <f>IF(Table157[[#This Row],[Lifetime Option]]="fixed",Table157[[#This Row],[End of life (fixed)]]-Table157[[#This Row],[Start year]],Table268[Generic  Lifetime])</f>
        <v>22</v>
      </c>
      <c r="I117" s="8">
        <v>2009</v>
      </c>
      <c r="J117" s="8">
        <f>IF(Table157[[#This Row],[Lifetime Option]]="fixed",Table157[[#This Row],[End of life (fixed)]],Table157[[#This Row],[Start year]]+Table268[Generic  Lifetime])</f>
        <v>2009</v>
      </c>
      <c r="K117" s="8">
        <v>1.1850000000000001</v>
      </c>
      <c r="L117" s="8" t="s">
        <v>186</v>
      </c>
      <c r="M117" s="11"/>
    </row>
    <row r="118" spans="3:13">
      <c r="C118" s="8" t="s">
        <v>128</v>
      </c>
      <c r="D118" s="8" t="s">
        <v>129</v>
      </c>
      <c r="E118" s="8">
        <v>1973</v>
      </c>
      <c r="F118" s="9">
        <v>1.2703836017569501</v>
      </c>
      <c r="G118" s="9" t="s">
        <v>201</v>
      </c>
      <c r="H118" s="8">
        <f>IF(Table157[[#This Row],[Lifetime Option]]="fixed",Table157[[#This Row],[End of life (fixed)]]-Table157[[#This Row],[Start year]],Table268[Generic  Lifetime])</f>
        <v>61</v>
      </c>
      <c r="I118" s="8">
        <v>2034</v>
      </c>
      <c r="J118" s="8">
        <f>IF(Table157[[#This Row],[Lifetime Option]]="fixed",Table157[[#This Row],[End of life (fixed)]],Table157[[#This Row],[Start year]]+Table268[Generic  Lifetime])</f>
        <v>2034</v>
      </c>
      <c r="K118" s="8">
        <v>0.48199999999999998</v>
      </c>
      <c r="L118" s="8"/>
      <c r="M118" s="11"/>
    </row>
    <row r="119" spans="3:13">
      <c r="C119" s="8" t="s">
        <v>130</v>
      </c>
      <c r="D119" s="8" t="s">
        <v>131</v>
      </c>
      <c r="E119" s="8">
        <v>1996</v>
      </c>
      <c r="F119" s="9">
        <v>0.19866451376146799</v>
      </c>
      <c r="G119" s="9" t="s">
        <v>202</v>
      </c>
      <c r="H119" s="8">
        <f>IF(Table157[[#This Row],[Lifetime Option]]="fixed",Table157[[#This Row],[End of life (fixed)]]-Table157[[#This Row],[Start year]],Table268[Generic  Lifetime])</f>
        <v>40</v>
      </c>
      <c r="I119" s="8"/>
      <c r="J119" s="8">
        <f>IF(Table157[[#This Row],[Lifetime Option]]="fixed",Table157[[#This Row],[End of life (fixed)]],Table157[[#This Row],[Start year]]+Table268[Generic  Lifetime])</f>
        <v>2036</v>
      </c>
      <c r="K119" s="8">
        <v>0.65</v>
      </c>
      <c r="L119" s="8"/>
      <c r="M119" s="11"/>
    </row>
    <row r="120" spans="3:13">
      <c r="C120" s="8" t="s">
        <v>130</v>
      </c>
      <c r="D120" s="8" t="s">
        <v>132</v>
      </c>
      <c r="E120" s="8">
        <v>2007</v>
      </c>
      <c r="F120" s="9">
        <v>0.19866451376146799</v>
      </c>
      <c r="G120" s="9" t="s">
        <v>202</v>
      </c>
      <c r="H120" s="8">
        <f>IF(Table157[[#This Row],[Lifetime Option]]="fixed",Table157[[#This Row],[End of life (fixed)]]-Table157[[#This Row],[Start year]],Table268[Generic  Lifetime])</f>
        <v>40</v>
      </c>
      <c r="I120" s="8"/>
      <c r="J120" s="8">
        <f>IF(Table157[[#This Row],[Lifetime Option]]="fixed",Table157[[#This Row],[End of life (fixed)]],Table157[[#This Row],[Start year]]+Table268[Generic  Lifetime])</f>
        <v>2047</v>
      </c>
      <c r="K120" s="8">
        <v>0.65</v>
      </c>
      <c r="L120" s="8"/>
      <c r="M120" s="11"/>
    </row>
    <row r="121" spans="3:13">
      <c r="C121" s="8" t="s">
        <v>133</v>
      </c>
      <c r="D121" s="8" t="s">
        <v>134</v>
      </c>
      <c r="E121" s="8">
        <v>1980</v>
      </c>
      <c r="F121" s="9">
        <v>1.2802426229508199</v>
      </c>
      <c r="G121" s="9" t="s">
        <v>202</v>
      </c>
      <c r="H121" s="8">
        <f>IF(Table157[[#This Row],[Lifetime Option]]="fixed",Table157[[#This Row],[End of life (fixed)]]-Table157[[#This Row],[Start year]],Table268[Generic  Lifetime])</f>
        <v>40</v>
      </c>
      <c r="I121" s="8"/>
      <c r="J121" s="8">
        <f>IF(Table157[[#This Row],[Lifetime Option]]="fixed",Table157[[#This Row],[End of life (fixed)]],Table157[[#This Row],[Start year]]+Table268[Generic  Lifetime])</f>
        <v>2020</v>
      </c>
      <c r="K121" s="8">
        <v>0.98399999999999999</v>
      </c>
      <c r="L121" s="8"/>
      <c r="M121" s="11"/>
    </row>
    <row r="122" spans="3:13">
      <c r="C122" s="8" t="s">
        <v>133</v>
      </c>
      <c r="D122" s="8" t="s">
        <v>135</v>
      </c>
      <c r="E122" s="8">
        <v>1981</v>
      </c>
      <c r="F122" s="9">
        <v>1.27404590163934</v>
      </c>
      <c r="G122" s="9" t="s">
        <v>202</v>
      </c>
      <c r="H122" s="8">
        <f>IF(Table157[[#This Row],[Lifetime Option]]="fixed",Table157[[#This Row],[End of life (fixed)]]-Table157[[#This Row],[Start year]],Table268[Generic  Lifetime])</f>
        <v>40</v>
      </c>
      <c r="I122" s="8"/>
      <c r="J122" s="8">
        <f>IF(Table157[[#This Row],[Lifetime Option]]="fixed",Table157[[#This Row],[End of life (fixed)]],Table157[[#This Row],[Start year]]+Table268[Generic  Lifetime])</f>
        <v>2021</v>
      </c>
      <c r="K122" s="8">
        <v>0.996</v>
      </c>
      <c r="L122" s="8"/>
      <c r="M122" s="11"/>
    </row>
    <row r="123" spans="3:13">
      <c r="C123" s="8" t="s">
        <v>133</v>
      </c>
      <c r="D123" s="8" t="s">
        <v>136</v>
      </c>
      <c r="E123" s="8">
        <v>1985</v>
      </c>
      <c r="F123" s="9">
        <v>1.3327592727272699</v>
      </c>
      <c r="G123" s="9" t="s">
        <v>202</v>
      </c>
      <c r="H123" s="8">
        <f>IF(Table157[[#This Row],[Lifetime Option]]="fixed",Table157[[#This Row],[End of life (fixed)]]-Table157[[#This Row],[Start year]],Table268[Generic  Lifetime])</f>
        <v>40</v>
      </c>
      <c r="I123" s="8"/>
      <c r="J123" s="8">
        <f>IF(Table157[[#This Row],[Lifetime Option]]="fixed",Table157[[#This Row],[End of life (fixed)]],Table157[[#This Row],[Start year]]+Table268[Generic  Lifetime])</f>
        <v>2025</v>
      </c>
      <c r="K123" s="8">
        <v>1.17</v>
      </c>
      <c r="L123" s="8"/>
      <c r="M123" s="11"/>
    </row>
    <row r="124" spans="3:13">
      <c r="C124" s="8" t="s">
        <v>133</v>
      </c>
      <c r="D124" s="8" t="s">
        <v>137</v>
      </c>
      <c r="E124" s="8">
        <v>1971</v>
      </c>
      <c r="F124" s="9">
        <v>1.3911970909090901</v>
      </c>
      <c r="G124" s="9" t="s">
        <v>201</v>
      </c>
      <c r="H124" s="8">
        <f>IF(Table157[[#This Row],[Lifetime Option]]="fixed",Table157[[#This Row],[End of life (fixed)]]-Table157[[#This Row],[Start year]],Table268[Generic  Lifetime])</f>
        <v>47</v>
      </c>
      <c r="I124" s="8">
        <v>2018</v>
      </c>
      <c r="J124" s="8">
        <f>IF(Table157[[#This Row],[Lifetime Option]]="fixed",Table157[[#This Row],[End of life (fixed)]],Table157[[#This Row],[Start year]]+Table268[Generic  Lifetime])</f>
        <v>2018</v>
      </c>
      <c r="K124" s="8">
        <v>0.47299999999999998</v>
      </c>
      <c r="L124" s="8" t="s">
        <v>208</v>
      </c>
      <c r="M124" s="10" t="s">
        <v>176</v>
      </c>
    </row>
    <row r="125" spans="3:13">
      <c r="C125" s="8" t="s">
        <v>133</v>
      </c>
      <c r="D125" s="8" t="s">
        <v>138</v>
      </c>
      <c r="E125" s="8">
        <v>1974</v>
      </c>
      <c r="F125" s="9">
        <v>1.4277599999999999</v>
      </c>
      <c r="G125" s="9" t="s">
        <v>201</v>
      </c>
      <c r="H125" s="8">
        <f>IF(Table157[[#This Row],[Lifetime Option]]="fixed",Table157[[#This Row],[End of life (fixed)]]-Table157[[#This Row],[Start year]],Table268[Generic  Lifetime])</f>
        <v>46</v>
      </c>
      <c r="I125" s="8">
        <v>2020</v>
      </c>
      <c r="J125" s="8">
        <f>IF(Table157[[#This Row],[Lifetime Option]]="fixed",Table157[[#This Row],[End of life (fixed)]],Table157[[#This Row],[Start year]]+Table268[Generic  Lifetime])</f>
        <v>2020</v>
      </c>
      <c r="K125" s="8">
        <v>0.63800000000000001</v>
      </c>
      <c r="L125" s="8" t="s">
        <v>208</v>
      </c>
      <c r="M125" s="11"/>
    </row>
    <row r="126" spans="3:13">
      <c r="C126" s="8" t="s">
        <v>133</v>
      </c>
      <c r="D126" s="8" t="s">
        <v>139</v>
      </c>
      <c r="E126" s="8">
        <v>1985</v>
      </c>
      <c r="F126" s="9">
        <v>1.0279384615384599</v>
      </c>
      <c r="G126" s="9" t="s">
        <v>202</v>
      </c>
      <c r="H126" s="8">
        <f>IF(Table157[[#This Row],[Lifetime Option]]="fixed",Table157[[#This Row],[End of life (fixed)]]-Table157[[#This Row],[Start year]],Table268[Generic  Lifetime])</f>
        <v>40</v>
      </c>
      <c r="I126" s="8"/>
      <c r="J126" s="8">
        <f>IF(Table157[[#This Row],[Lifetime Option]]="fixed",Table157[[#This Row],[End of life (fixed)]],Table157[[#This Row],[Start year]]+Table268[Generic  Lifetime])</f>
        <v>2025</v>
      </c>
      <c r="K126" s="8">
        <v>1.4</v>
      </c>
      <c r="L126" s="8"/>
      <c r="M126" s="11"/>
    </row>
    <row r="127" spans="3:13">
      <c r="C127" s="5" t="s">
        <v>133</v>
      </c>
      <c r="D127" s="5" t="s">
        <v>140</v>
      </c>
      <c r="E127" s="5">
        <v>1974</v>
      </c>
      <c r="F127" s="12">
        <v>1.24541858267717</v>
      </c>
      <c r="G127" s="12" t="s">
        <v>201</v>
      </c>
      <c r="H127" s="8">
        <f>IF(Table157[[#This Row],[Lifetime Option]]="fixed",Table157[[#This Row],[End of life (fixed)]]-Table157[[#This Row],[Start year]],Table268[Generic  Lifetime])</f>
        <v>46</v>
      </c>
      <c r="I127" s="5">
        <v>2020</v>
      </c>
      <c r="J127" s="8">
        <f>IF(Table157[[#This Row],[Lifetime Option]]="fixed",Table157[[#This Row],[End of life (fixed)]],Table157[[#This Row],[Start year]]+Table268[Generic  Lifetime])</f>
        <v>2020</v>
      </c>
      <c r="K127" s="5">
        <v>0.878</v>
      </c>
      <c r="L127" s="5" t="s">
        <v>194</v>
      </c>
      <c r="M127" s="13" t="s">
        <v>182</v>
      </c>
    </row>
    <row r="128" spans="3:13">
      <c r="C128" s="5" t="s">
        <v>133</v>
      </c>
      <c r="D128" s="5" t="s">
        <v>141</v>
      </c>
      <c r="E128" s="5">
        <v>1974</v>
      </c>
      <c r="F128" s="12">
        <v>1.3999073684210499</v>
      </c>
      <c r="G128" s="12" t="s">
        <v>201</v>
      </c>
      <c r="H128" s="8">
        <f>IF(Table157[[#This Row],[Lifetime Option]]="fixed",Table157[[#This Row],[End of life (fixed)]]-Table157[[#This Row],[Start year]],Table268[Generic  Lifetime])</f>
        <v>46</v>
      </c>
      <c r="I128" s="5">
        <v>2020</v>
      </c>
      <c r="J128" s="8">
        <f>IF(Table157[[#This Row],[Lifetime Option]]="fixed",Table157[[#This Row],[End of life (fixed)]],Table157[[#This Row],[Start year]]+Table268[Generic  Lifetime])</f>
        <v>2020</v>
      </c>
      <c r="K128" s="5">
        <v>0.86499999999999999</v>
      </c>
      <c r="L128" s="5" t="s">
        <v>194</v>
      </c>
      <c r="M128" s="13" t="s">
        <v>182</v>
      </c>
    </row>
    <row r="129" spans="3:13">
      <c r="C129" s="8" t="s">
        <v>133</v>
      </c>
      <c r="D129" s="8" t="s">
        <v>142</v>
      </c>
      <c r="E129" s="8">
        <v>1980</v>
      </c>
      <c r="F129" s="9">
        <v>1.39706181818182</v>
      </c>
      <c r="G129" s="9" t="s">
        <v>202</v>
      </c>
      <c r="H129" s="8">
        <f>IF(Table157[[#This Row],[Lifetime Option]]="fixed",Table157[[#This Row],[End of life (fixed)]]-Table157[[#This Row],[Start year]],Table268[Generic  Lifetime])</f>
        <v>40</v>
      </c>
      <c r="I129" s="8"/>
      <c r="J129" s="8">
        <f>IF(Table157[[#This Row],[Lifetime Option]]="fixed",Table157[[#This Row],[End of life (fixed)]],Table157[[#This Row],[Start year]]+Table268[Generic  Lifetime])</f>
        <v>2020</v>
      </c>
      <c r="K129" s="8">
        <v>1.0640000000000001</v>
      </c>
      <c r="L129" s="8"/>
      <c r="M129" s="10" t="s">
        <v>182</v>
      </c>
    </row>
    <row r="130" spans="3:13">
      <c r="C130" s="8" t="s">
        <v>133</v>
      </c>
      <c r="D130" s="8" t="s">
        <v>143</v>
      </c>
      <c r="E130" s="8">
        <v>1982</v>
      </c>
      <c r="F130" s="9">
        <v>1.4050041081081099</v>
      </c>
      <c r="G130" s="9" t="s">
        <v>202</v>
      </c>
      <c r="H130" s="8">
        <f>IF(Table157[[#This Row],[Lifetime Option]]="fixed",Table157[[#This Row],[End of life (fixed)]]-Table157[[#This Row],[Start year]],Table268[Generic  Lifetime])</f>
        <v>40</v>
      </c>
      <c r="I130" s="8"/>
      <c r="J130" s="8">
        <f>IF(Table157[[#This Row],[Lifetime Option]]="fixed",Table157[[#This Row],[End of life (fixed)]],Table157[[#This Row],[Start year]]+Table268[Generic  Lifetime])</f>
        <v>2022</v>
      </c>
      <c r="K130" s="8">
        <v>0.94</v>
      </c>
      <c r="L130" s="8"/>
      <c r="M130" s="10" t="s">
        <v>182</v>
      </c>
    </row>
    <row r="131" spans="3:13">
      <c r="C131" s="8" t="s">
        <v>144</v>
      </c>
      <c r="D131" s="8" t="s">
        <v>145</v>
      </c>
      <c r="E131" s="8">
        <v>1981</v>
      </c>
      <c r="F131" s="9">
        <v>1.3869532453360101</v>
      </c>
      <c r="G131" s="9" t="s">
        <v>202</v>
      </c>
      <c r="H131" s="8">
        <f>IF(Table157[[#This Row],[Lifetime Option]]="fixed",Table157[[#This Row],[End of life (fixed)]]-Table157[[#This Row],[Start year]],Table268[Generic  Lifetime])</f>
        <v>40</v>
      </c>
      <c r="I131" s="8">
        <f t="shared" ref="I131" si="0">E131+H131</f>
        <v>2021</v>
      </c>
      <c r="J131" s="8">
        <f>IF(Table157[[#This Row],[Lifetime Option]]="fixed",Table157[[#This Row],[End of life (fixed)]],Table157[[#This Row],[Start year]]+Table268[Generic  Lifetime])</f>
        <v>2021</v>
      </c>
      <c r="K131" s="8">
        <v>0.68799999999999994</v>
      </c>
      <c r="L131" s="8" t="s">
        <v>189</v>
      </c>
      <c r="M131" s="10" t="s">
        <v>188</v>
      </c>
    </row>
    <row r="132" spans="3:13">
      <c r="C132" s="8" t="s">
        <v>146</v>
      </c>
      <c r="D132" s="8" t="s">
        <v>147</v>
      </c>
      <c r="E132" s="8">
        <v>1978</v>
      </c>
      <c r="F132" s="9">
        <v>1</v>
      </c>
      <c r="G132" s="9" t="s">
        <v>201</v>
      </c>
      <c r="H132" s="8">
        <f>IF(Table157[[#This Row],[Lifetime Option]]="fixed",Table157[[#This Row],[End of life (fixed)]]-Table157[[#This Row],[Start year]],Table268[Generic  Lifetime])</f>
        <v>28</v>
      </c>
      <c r="I132" s="8">
        <v>2006</v>
      </c>
      <c r="J132" s="8">
        <f>IF(Table157[[#This Row],[Lifetime Option]]="fixed",Table157[[#This Row],[End of life (fixed)]],Table157[[#This Row],[Start year]]+Table268[Generic  Lifetime])</f>
        <v>2006</v>
      </c>
      <c r="K132" s="8">
        <v>0.40799999999999997</v>
      </c>
      <c r="L132" s="8" t="s">
        <v>178</v>
      </c>
      <c r="M132" s="11"/>
    </row>
    <row r="133" spans="3:13">
      <c r="C133" s="8" t="s">
        <v>146</v>
      </c>
      <c r="D133" s="8" t="s">
        <v>148</v>
      </c>
      <c r="E133" s="8">
        <v>1980</v>
      </c>
      <c r="F133" s="9">
        <v>1</v>
      </c>
      <c r="G133" s="9" t="s">
        <v>201</v>
      </c>
      <c r="H133" s="8">
        <f>IF(Table157[[#This Row],[Lifetime Option]]="fixed",Table157[[#This Row],[End of life (fixed)]]-Table157[[#This Row],[Start year]],Table268[Generic  Lifetime])</f>
        <v>28</v>
      </c>
      <c r="I133" s="8">
        <v>2008</v>
      </c>
      <c r="J133" s="8">
        <f>IF(Table157[[#This Row],[Lifetime Option]]="fixed",Table157[[#This Row],[End of life (fixed)]],Table157[[#This Row],[Start year]]+Table268[Generic  Lifetime])</f>
        <v>2008</v>
      </c>
      <c r="K133" s="8">
        <v>0.40799999999999997</v>
      </c>
      <c r="L133" s="8" t="s">
        <v>178</v>
      </c>
      <c r="M133" s="11"/>
    </row>
    <row r="134" spans="3:13">
      <c r="C134" s="8" t="s">
        <v>146</v>
      </c>
      <c r="D134" s="8" t="s">
        <v>149</v>
      </c>
      <c r="E134" s="8">
        <v>1984</v>
      </c>
      <c r="F134" s="9">
        <v>1.3644269204622701</v>
      </c>
      <c r="G134" s="9" t="s">
        <v>202</v>
      </c>
      <c r="H134" s="8">
        <f>IF(Table157[[#This Row],[Lifetime Option]]="fixed",Table157[[#This Row],[End of life (fixed)]]-Table157[[#This Row],[Start year]],Table268[Generic  Lifetime])</f>
        <v>40</v>
      </c>
      <c r="I134" s="8">
        <f>E134+H134</f>
        <v>2024</v>
      </c>
      <c r="J134" s="8">
        <f>IF(Table157[[#This Row],[Lifetime Option]]="fixed",Table157[[#This Row],[End of life (fixed)]],Table157[[#This Row],[Start year]]+Table268[Generic  Lifetime])</f>
        <v>2024</v>
      </c>
      <c r="K134" s="8">
        <v>0.47199999999999998</v>
      </c>
      <c r="L134" s="8" t="s">
        <v>190</v>
      </c>
      <c r="M134" s="10" t="s">
        <v>183</v>
      </c>
    </row>
    <row r="135" spans="3:13">
      <c r="C135" s="8" t="s">
        <v>146</v>
      </c>
      <c r="D135" s="8" t="s">
        <v>150</v>
      </c>
      <c r="E135" s="8">
        <v>1985</v>
      </c>
      <c r="F135" s="9">
        <v>1.3644269204622701</v>
      </c>
      <c r="G135" s="9" t="s">
        <v>202</v>
      </c>
      <c r="H135" s="8">
        <f>IF(Table157[[#This Row],[Lifetime Option]]="fixed",Table157[[#This Row],[End of life (fixed)]]-Table157[[#This Row],[Start year]],Table268[Generic  Lifetime])</f>
        <v>40</v>
      </c>
      <c r="I135" s="8">
        <f t="shared" ref="I135:I137" si="1">E135+H135</f>
        <v>2025</v>
      </c>
      <c r="J135" s="8">
        <f>IF(Table157[[#This Row],[Lifetime Option]]="fixed",Table157[[#This Row],[End of life (fixed)]],Table157[[#This Row],[Start year]]+Table268[Generic  Lifetime])</f>
        <v>2025</v>
      </c>
      <c r="K135" s="8">
        <v>0.47199999999999998</v>
      </c>
      <c r="L135" s="8" t="s">
        <v>190</v>
      </c>
      <c r="M135" s="10" t="s">
        <v>183</v>
      </c>
    </row>
    <row r="136" spans="3:13">
      <c r="C136" s="8" t="s">
        <v>146</v>
      </c>
      <c r="D136" s="8" t="s">
        <v>151</v>
      </c>
      <c r="E136" s="8">
        <v>1998</v>
      </c>
      <c r="F136" s="9">
        <v>1.2146512576478601</v>
      </c>
      <c r="G136" s="9" t="s">
        <v>202</v>
      </c>
      <c r="H136" s="8">
        <f>IF(Table157[[#This Row],[Lifetime Option]]="fixed",Table157[[#This Row],[End of life (fixed)]]-Table157[[#This Row],[Start year]],Table268[Generic  Lifetime])</f>
        <v>40</v>
      </c>
      <c r="I136" s="8">
        <f t="shared" si="1"/>
        <v>2038</v>
      </c>
      <c r="J136" s="8">
        <f>IF(Table157[[#This Row],[Lifetime Option]]="fixed",Table157[[#This Row],[End of life (fixed)]],Table157[[#This Row],[Start year]]+Table268[Generic  Lifetime])</f>
        <v>2038</v>
      </c>
      <c r="K136" s="8">
        <v>0.436</v>
      </c>
      <c r="L136" s="8"/>
      <c r="M136" s="11"/>
    </row>
    <row r="137" spans="3:13">
      <c r="C137" s="8" t="s">
        <v>146</v>
      </c>
      <c r="D137" s="8" t="s">
        <v>152</v>
      </c>
      <c r="E137" s="8">
        <v>1999</v>
      </c>
      <c r="F137" s="9">
        <v>1.2146512576478601</v>
      </c>
      <c r="G137" s="9" t="s">
        <v>202</v>
      </c>
      <c r="H137" s="8">
        <f>IF(Table157[[#This Row],[Lifetime Option]]="fixed",Table157[[#This Row],[End of life (fixed)]]-Table157[[#This Row],[Start year]],Table268[Generic  Lifetime])</f>
        <v>40</v>
      </c>
      <c r="I137" s="8">
        <f t="shared" si="1"/>
        <v>2039</v>
      </c>
      <c r="J137" s="8">
        <f>IF(Table157[[#This Row],[Lifetime Option]]="fixed",Table157[[#This Row],[End of life (fixed)]],Table157[[#This Row],[Start year]]+Table268[Generic  Lifetime])</f>
        <v>2039</v>
      </c>
      <c r="K137" s="8">
        <v>0.436</v>
      </c>
      <c r="L137" s="8"/>
      <c r="M137" s="11"/>
    </row>
    <row r="138" spans="3:13">
      <c r="C138" s="8" t="s">
        <v>153</v>
      </c>
      <c r="D138" s="8" t="s">
        <v>154</v>
      </c>
      <c r="E138" s="8">
        <v>1983</v>
      </c>
      <c r="F138" s="9">
        <v>0.67305599999999999</v>
      </c>
      <c r="G138" s="9" t="s">
        <v>201</v>
      </c>
      <c r="H138" s="8">
        <f>IF(Table157[[#This Row],[Lifetime Option]]="fixed",Table157[[#This Row],[End of life (fixed)]]-Table157[[#This Row],[Start year]],Table268[Generic  Lifetime])</f>
        <v>45</v>
      </c>
      <c r="I138" s="8">
        <v>2028</v>
      </c>
      <c r="J138" s="8">
        <f>IF(Table157[[#This Row],[Lifetime Option]]="fixed",Table157[[#This Row],[End of life (fixed)]],Table157[[#This Row],[Start year]]+Table268[Generic  Lifetime])</f>
        <v>2028</v>
      </c>
      <c r="K138" s="8">
        <v>0.52</v>
      </c>
      <c r="L138" s="8"/>
      <c r="M138" s="10" t="s">
        <v>192</v>
      </c>
    </row>
    <row r="139" spans="3:13">
      <c r="C139" s="8" t="s">
        <v>153</v>
      </c>
      <c r="D139" s="8" t="s">
        <v>155</v>
      </c>
      <c r="E139" s="8">
        <v>1985</v>
      </c>
      <c r="F139" s="9">
        <v>0.63763199999999998</v>
      </c>
      <c r="G139" s="9" t="s">
        <v>201</v>
      </c>
      <c r="H139" s="8">
        <f>IF(Table157[[#This Row],[Lifetime Option]]="fixed",Table157[[#This Row],[End of life (fixed)]]-Table157[[#This Row],[Start year]],Table268[Generic  Lifetime])</f>
        <v>43</v>
      </c>
      <c r="I139" s="8">
        <v>2028</v>
      </c>
      <c r="J139" s="8">
        <f>IF(Table157[[#This Row],[Lifetime Option]]="fixed",Table157[[#This Row],[End of life (fixed)]],Table157[[#This Row],[Start year]]+Table268[Generic  Lifetime])</f>
        <v>2028</v>
      </c>
      <c r="K139" s="8">
        <v>0.52</v>
      </c>
      <c r="L139" s="8"/>
      <c r="M139" s="11"/>
    </row>
    <row r="140" spans="3:13">
      <c r="C140" s="8" t="s">
        <v>153</v>
      </c>
      <c r="D140" s="8" t="s">
        <v>156</v>
      </c>
      <c r="E140" s="8">
        <v>1983</v>
      </c>
      <c r="F140" s="9">
        <v>0.90547200000000005</v>
      </c>
      <c r="G140" s="9" t="s">
        <v>201</v>
      </c>
      <c r="H140" s="8">
        <f>IF(Table157[[#This Row],[Lifetime Option]]="fixed",Table157[[#This Row],[End of life (fixed)]]-Table157[[#This Row],[Start year]],Table268[Generic  Lifetime])</f>
        <v>36</v>
      </c>
      <c r="I140" s="8">
        <v>2019</v>
      </c>
      <c r="J140" s="8">
        <f>IF(Table157[[#This Row],[Lifetime Option]]="fixed",Table157[[#This Row],[End of life (fixed)]],Table157[[#This Row],[Start year]]+Table268[Generic  Lifetime])</f>
        <v>2019</v>
      </c>
      <c r="K140" s="8">
        <v>0.59499999999999997</v>
      </c>
      <c r="L140" s="8"/>
      <c r="M140" s="11"/>
    </row>
    <row r="141" spans="3:13">
      <c r="C141" s="8" t="s">
        <v>153</v>
      </c>
      <c r="D141" s="8" t="s">
        <v>157</v>
      </c>
      <c r="E141" s="8">
        <v>1984</v>
      </c>
      <c r="F141" s="9">
        <v>0.90547200000000005</v>
      </c>
      <c r="G141" s="9" t="s">
        <v>201</v>
      </c>
      <c r="H141" s="8">
        <f>IF(Table157[[#This Row],[Lifetime Option]]="fixed",Table157[[#This Row],[End of life (fixed)]]-Table157[[#This Row],[Start year]],Table268[Generic  Lifetime])</f>
        <v>35</v>
      </c>
      <c r="I141" s="8">
        <v>2019</v>
      </c>
      <c r="J141" s="8">
        <f>IF(Table157[[#This Row],[Lifetime Option]]="fixed",Table157[[#This Row],[End of life (fixed)]],Table157[[#This Row],[Start year]]+Table268[Generic  Lifetime])</f>
        <v>2019</v>
      </c>
      <c r="K141" s="8">
        <v>0.58499999999999996</v>
      </c>
      <c r="L141" s="8"/>
      <c r="M141" s="11"/>
    </row>
    <row r="142" spans="3:13">
      <c r="C142" s="8" t="s">
        <v>153</v>
      </c>
      <c r="D142" s="8" t="s">
        <v>158</v>
      </c>
      <c r="E142" s="8">
        <v>1983</v>
      </c>
      <c r="F142" s="9">
        <v>0.86399999999999999</v>
      </c>
      <c r="G142" s="9" t="s">
        <v>201</v>
      </c>
      <c r="H142" s="8">
        <f>IF(Table157[[#This Row],[Lifetime Option]]="fixed",Table157[[#This Row],[End of life (fixed)]]-Table157[[#This Row],[Start year]],Table268[Generic  Lifetime])</f>
        <v>36</v>
      </c>
      <c r="I142" s="8">
        <v>2019</v>
      </c>
      <c r="J142" s="8">
        <f>IF(Table157[[#This Row],[Lifetime Option]]="fixed",Table157[[#This Row],[End of life (fixed)]],Table157[[#This Row],[Start year]]+Table268[Generic  Lifetime])</f>
        <v>2019</v>
      </c>
      <c r="K142" s="8">
        <v>0.58499999999999996</v>
      </c>
      <c r="L142" s="8"/>
      <c r="M142" s="11"/>
    </row>
    <row r="143" spans="3:13">
      <c r="C143" s="8" t="s">
        <v>153</v>
      </c>
      <c r="D143" s="8" t="s">
        <v>159</v>
      </c>
      <c r="E143" s="8">
        <v>1984</v>
      </c>
      <c r="F143" s="9">
        <v>0.86399999999999999</v>
      </c>
      <c r="G143" s="9" t="s">
        <v>201</v>
      </c>
      <c r="H143" s="8">
        <f>IF(Table157[[#This Row],[Lifetime Option]]="fixed",Table157[[#This Row],[End of life (fixed)]]-Table157[[#This Row],[Start year]],Table268[Generic  Lifetime])</f>
        <v>35</v>
      </c>
      <c r="I143" s="8">
        <v>2019</v>
      </c>
      <c r="J143" s="8">
        <f>IF(Table157[[#This Row],[Lifetime Option]]="fixed",Table157[[#This Row],[End of life (fixed)]],Table157[[#This Row],[Start year]]+Table268[Generic  Lifetime])</f>
        <v>2019</v>
      </c>
      <c r="K143" s="8">
        <v>0.57499999999999996</v>
      </c>
      <c r="L143" s="8"/>
      <c r="M143" s="11"/>
    </row>
    <row r="144" spans="3:13">
      <c r="C144" s="8" t="s">
        <v>153</v>
      </c>
      <c r="D144" s="8" t="s">
        <v>160</v>
      </c>
      <c r="E144" s="8">
        <v>1988</v>
      </c>
      <c r="F144" s="9">
        <v>1.0234219354838701</v>
      </c>
      <c r="G144" s="9" t="s">
        <v>201</v>
      </c>
      <c r="H144" s="8">
        <f>IF(Table157[[#This Row],[Lifetime Option]]="fixed",Table157[[#This Row],[End of life (fixed)]]-Table157[[#This Row],[Start year]],Table268[Generic  Lifetime])</f>
        <v>35</v>
      </c>
      <c r="I144" s="8">
        <v>2023</v>
      </c>
      <c r="J144" s="8">
        <f>IF(Table157[[#This Row],[Lifetime Option]]="fixed",Table157[[#This Row],[End of life (fixed)]],Table157[[#This Row],[Start year]]+Table268[Generic  Lifetime])</f>
        <v>2023</v>
      </c>
      <c r="K144" s="8">
        <v>0.61</v>
      </c>
      <c r="L144" s="8"/>
      <c r="M144" s="11"/>
    </row>
    <row r="145" spans="3:13">
      <c r="C145" s="8" t="s">
        <v>153</v>
      </c>
      <c r="D145" s="8" t="s">
        <v>161</v>
      </c>
      <c r="E145" s="8">
        <v>1988</v>
      </c>
      <c r="F145" s="9">
        <v>1.0234219354838701</v>
      </c>
      <c r="G145" s="9" t="s">
        <v>201</v>
      </c>
      <c r="H145" s="8">
        <f>IF(Table157[[#This Row],[Lifetime Option]]="fixed",Table157[[#This Row],[End of life (fixed)]]-Table157[[#This Row],[Start year]],Table268[Generic  Lifetime])</f>
        <v>35</v>
      </c>
      <c r="I145" s="8">
        <v>2023</v>
      </c>
      <c r="J145" s="8">
        <f>IF(Table157[[#This Row],[Lifetime Option]]="fixed",Table157[[#This Row],[End of life (fixed)]],Table157[[#This Row],[Start year]]+Table268[Generic  Lifetime])</f>
        <v>2023</v>
      </c>
      <c r="K145" s="8">
        <v>0.61</v>
      </c>
      <c r="L145" s="8"/>
      <c r="M145" s="11"/>
    </row>
    <row r="146" spans="3:13">
      <c r="C146" s="8" t="s">
        <v>153</v>
      </c>
      <c r="D146" s="8" t="s">
        <v>162</v>
      </c>
      <c r="E146" s="8">
        <v>1976</v>
      </c>
      <c r="F146" s="9">
        <v>1.0227469879518101</v>
      </c>
      <c r="G146" s="9" t="s">
        <v>201</v>
      </c>
      <c r="H146" s="8">
        <f>IF(Table157[[#This Row],[Lifetime Option]]="fixed",Table157[[#This Row],[End of life (fixed)]]-Table157[[#This Row],[Start year]],Table268[Generic  Lifetime])</f>
        <v>47</v>
      </c>
      <c r="I146" s="8">
        <v>2023</v>
      </c>
      <c r="J146" s="8">
        <f>IF(Table157[[#This Row],[Lifetime Option]]="fixed",Table157[[#This Row],[End of life (fixed)]],Table157[[#This Row],[Start year]]+Table268[Generic  Lifetime])</f>
        <v>2023</v>
      </c>
      <c r="K146" s="8">
        <v>0.435</v>
      </c>
      <c r="L146" s="8"/>
      <c r="M146" s="11"/>
    </row>
    <row r="147" spans="3:13">
      <c r="C147" s="8" t="s">
        <v>153</v>
      </c>
      <c r="D147" s="8" t="s">
        <v>163</v>
      </c>
      <c r="E147" s="8">
        <v>1976</v>
      </c>
      <c r="F147" s="9">
        <v>1.0227469879518101</v>
      </c>
      <c r="G147" s="9" t="s">
        <v>201</v>
      </c>
      <c r="H147" s="8">
        <f>IF(Table157[[#This Row],[Lifetime Option]]="fixed",Table157[[#This Row],[End of life (fixed)]]-Table157[[#This Row],[Start year]],Table268[Generic  Lifetime])</f>
        <v>47</v>
      </c>
      <c r="I147" s="8">
        <v>2023</v>
      </c>
      <c r="J147" s="8">
        <f>IF(Table157[[#This Row],[Lifetime Option]]="fixed",Table157[[#This Row],[End of life (fixed)]],Table157[[#This Row],[Start year]]+Table268[Generic  Lifetime])</f>
        <v>2023</v>
      </c>
      <c r="K147" s="8">
        <v>0.435</v>
      </c>
      <c r="L147" s="8"/>
      <c r="M147" s="11"/>
    </row>
    <row r="148" spans="3:13">
      <c r="C148" s="8" t="s">
        <v>153</v>
      </c>
      <c r="D148" s="8" t="s">
        <v>164</v>
      </c>
      <c r="E148" s="8">
        <v>1976</v>
      </c>
      <c r="F148" s="9">
        <v>0.78106524064171101</v>
      </c>
      <c r="G148" s="9" t="s">
        <v>201</v>
      </c>
      <c r="H148" s="8">
        <f>IF(Table157[[#This Row],[Lifetime Option]]="fixed",Table157[[#This Row],[End of life (fixed)]]-Table157[[#This Row],[Start year]],Table268[Generic  Lifetime])</f>
        <v>47</v>
      </c>
      <c r="I148" s="8">
        <v>2023</v>
      </c>
      <c r="J148" s="8">
        <f>IF(Table157[[#This Row],[Lifetime Option]]="fixed",Table157[[#This Row],[End of life (fixed)]],Table157[[#This Row],[Start year]]+Table268[Generic  Lifetime])</f>
        <v>2023</v>
      </c>
      <c r="K148" s="8">
        <v>0.46</v>
      </c>
      <c r="L148" s="8"/>
      <c r="M148" s="11"/>
    </row>
    <row r="149" spans="3:13">
      <c r="C149" s="8" t="s">
        <v>153</v>
      </c>
      <c r="D149" s="8" t="s">
        <v>165</v>
      </c>
      <c r="E149" s="8">
        <v>1977</v>
      </c>
      <c r="F149" s="9">
        <v>0.78106524064171101</v>
      </c>
      <c r="G149" s="9" t="s">
        <v>201</v>
      </c>
      <c r="H149" s="8">
        <f>IF(Table157[[#This Row],[Lifetime Option]]="fixed",Table157[[#This Row],[End of life (fixed)]]-Table157[[#This Row],[Start year]],Table268[Generic  Lifetime])</f>
        <v>46</v>
      </c>
      <c r="I149" s="8">
        <v>2023</v>
      </c>
      <c r="J149" s="8">
        <f>IF(Table157[[#This Row],[Lifetime Option]]="fixed",Table157[[#This Row],[End of life (fixed)]],Table157[[#This Row],[Start year]]+Table268[Generic  Lifetime])</f>
        <v>2023</v>
      </c>
      <c r="K149" s="8">
        <v>0.43</v>
      </c>
      <c r="L149" s="8"/>
      <c r="M149" s="11"/>
    </row>
    <row r="150" spans="3:13">
      <c r="C150" s="8" t="s">
        <v>153</v>
      </c>
      <c r="D150" s="8" t="s">
        <v>166</v>
      </c>
      <c r="E150" s="8">
        <v>1967</v>
      </c>
      <c r="F150" s="9">
        <v>0.14781501369863001</v>
      </c>
      <c r="G150" s="9" t="s">
        <v>201</v>
      </c>
      <c r="H150" s="8">
        <f>IF(Table157[[#This Row],[Lifetime Option]]="fixed",Table157[[#This Row],[End of life (fixed)]]-Table157[[#This Row],[Start year]],Table268[Generic  Lifetime])</f>
        <v>45</v>
      </c>
      <c r="I150" s="8">
        <v>2012</v>
      </c>
      <c r="J150" s="8">
        <f>IF(Table157[[#This Row],[Lifetime Option]]="fixed",Table157[[#This Row],[End of life (fixed)]],Table157[[#This Row],[Start year]]+Table268[Generic  Lifetime])</f>
        <v>2012</v>
      </c>
      <c r="K150" s="8">
        <v>0.217</v>
      </c>
      <c r="L150" s="8" t="s">
        <v>186</v>
      </c>
      <c r="M150" s="10" t="s">
        <v>193</v>
      </c>
    </row>
    <row r="151" spans="3:13">
      <c r="C151" s="8" t="s">
        <v>153</v>
      </c>
      <c r="D151" s="8" t="s">
        <v>167</v>
      </c>
      <c r="E151" s="8">
        <v>1995</v>
      </c>
      <c r="F151" s="9">
        <v>1.04058394160584</v>
      </c>
      <c r="G151" s="9" t="s">
        <v>201</v>
      </c>
      <c r="H151" s="8">
        <f>IF(Table157[[#This Row],[Lifetime Option]]="fixed",Table157[[#This Row],[End of life (fixed)]]-Table157[[#This Row],[Start year]],Table268[Generic  Lifetime])</f>
        <v>40</v>
      </c>
      <c r="I151" s="8">
        <v>2035</v>
      </c>
      <c r="J151" s="8">
        <f>IF(Table157[[#This Row],[Lifetime Option]]="fixed",Table157[[#This Row],[End of life (fixed)]],Table157[[#This Row],[Start year]]+Table268[Generic  Lifetime])</f>
        <v>2035</v>
      </c>
      <c r="K151" s="8">
        <v>1.1910000000000001</v>
      </c>
      <c r="L151" s="8"/>
      <c r="M151" s="11"/>
    </row>
    <row r="152" spans="3:13">
      <c r="C152" s="8" t="s">
        <v>153</v>
      </c>
      <c r="D152" s="8" t="s">
        <v>168</v>
      </c>
      <c r="E152" s="8">
        <v>1988</v>
      </c>
      <c r="F152" s="9">
        <v>1.0710299445471301</v>
      </c>
      <c r="G152" s="9" t="s">
        <v>201</v>
      </c>
      <c r="H152" s="8">
        <f>IF(Table157[[#This Row],[Lifetime Option]]="fixed",Table157[[#This Row],[End of life (fixed)]]-Table157[[#This Row],[Start year]],Table268[Generic  Lifetime])</f>
        <v>35</v>
      </c>
      <c r="I152" s="8">
        <v>2023</v>
      </c>
      <c r="J152" s="8">
        <f>IF(Table157[[#This Row],[Lifetime Option]]="fixed",Table157[[#This Row],[End of life (fixed)]],Table157[[#This Row],[Start year]]+Table268[Generic  Lifetime])</f>
        <v>2023</v>
      </c>
      <c r="K152" s="8">
        <v>0.59499999999999997</v>
      </c>
      <c r="L152" s="8"/>
      <c r="M152" s="11"/>
    </row>
    <row r="153" spans="3:13">
      <c r="C153" s="8" t="s">
        <v>153</v>
      </c>
      <c r="D153" s="8" t="s">
        <v>169</v>
      </c>
      <c r="E153" s="8">
        <v>1989</v>
      </c>
      <c r="F153" s="9">
        <v>1.0710299445471401</v>
      </c>
      <c r="G153" s="9" t="s">
        <v>201</v>
      </c>
      <c r="H153" s="8">
        <f>IF(Table157[[#This Row],[Lifetime Option]]="fixed",Table157[[#This Row],[End of life (fixed)]]-Table157[[#This Row],[Start year]],Table268[Generic  Lifetime])</f>
        <v>34</v>
      </c>
      <c r="I153" s="8">
        <v>2023</v>
      </c>
      <c r="J153" s="8">
        <f>IF(Table157[[#This Row],[Lifetime Option]]="fixed",Table157[[#This Row],[End of life (fixed)]],Table157[[#This Row],[Start year]]+Table268[Generic  Lifetime])</f>
        <v>2023</v>
      </c>
      <c r="K153" s="8">
        <v>0.59499999999999997</v>
      </c>
      <c r="L153" s="8"/>
      <c r="M153" s="11"/>
    </row>
    <row r="154" spans="3:13">
      <c r="C154" s="8" t="s">
        <v>153</v>
      </c>
      <c r="D154" s="8" t="s">
        <v>170</v>
      </c>
      <c r="E154" s="8">
        <v>1971</v>
      </c>
      <c r="F154" s="9">
        <v>1.3122</v>
      </c>
      <c r="G154" s="9" t="s">
        <v>201</v>
      </c>
      <c r="H154" s="8">
        <f>IF(Table157[[#This Row],[Lifetime Option]]="fixed",Table157[[#This Row],[End of life (fixed)]]-Table157[[#This Row],[Start year]],Table268[Generic  Lifetime])</f>
        <v>44</v>
      </c>
      <c r="I154" s="8">
        <v>2015</v>
      </c>
      <c r="J154" s="8">
        <f>IF(Table157[[#This Row],[Lifetime Option]]="fixed",Table157[[#This Row],[End of life (fixed)]],Table157[[#This Row],[Start year]]+Table268[Generic  Lifetime])</f>
        <v>2015</v>
      </c>
      <c r="K154" s="8">
        <v>0.49</v>
      </c>
      <c r="L154" s="8"/>
      <c r="M154" s="11"/>
    </row>
    <row r="155" spans="3:13">
      <c r="C155" s="8" t="s">
        <v>153</v>
      </c>
      <c r="D155" s="8" t="s">
        <v>171</v>
      </c>
      <c r="E155" s="8">
        <v>1971</v>
      </c>
      <c r="F155" s="9">
        <v>1.3122</v>
      </c>
      <c r="G155" s="9" t="s">
        <v>201</v>
      </c>
      <c r="H155" s="8">
        <f>IF(Table157[[#This Row],[Lifetime Option]]="fixed",Table157[[#This Row],[End of life (fixed)]]-Table157[[#This Row],[Start year]],Table268[Generic  Lifetime])</f>
        <v>41</v>
      </c>
      <c r="I155" s="8">
        <v>2012</v>
      </c>
      <c r="J155" s="8">
        <f>IF(Table157[[#This Row],[Lifetime Option]]="fixed",Table157[[#This Row],[End of life (fixed)]],Table157[[#This Row],[Start year]]+Table268[Generic  Lifetime])</f>
        <v>2012</v>
      </c>
      <c r="K155" s="8">
        <v>0.49</v>
      </c>
      <c r="L155" s="8"/>
      <c r="M155" s="11"/>
    </row>
  </sheetData>
  <hyperlinks>
    <hyperlink ref="M2" r:id="rId1" xr:uid="{00000000-0004-0000-0300-000000000000}"/>
    <hyperlink ref="M3" r:id="rId2" xr:uid="{00000000-0004-0000-0300-000001000000}"/>
    <hyperlink ref="M4" r:id="rId3" xr:uid="{00000000-0004-0000-0300-000002000000}"/>
    <hyperlink ref="M7" r:id="rId4" xr:uid="{00000000-0004-0000-0300-000003000000}"/>
    <hyperlink ref="M6" r:id="rId5" location=".Vdb00Y7DVE4 " xr:uid="{00000000-0004-0000-0300-000004000000}"/>
    <hyperlink ref="M124" r:id="rId6" xr:uid="{00000000-0004-0000-0300-000005000000}"/>
    <hyperlink ref="M11" r:id="rId7" xr:uid="{00000000-0004-0000-0300-000006000000}"/>
    <hyperlink ref="M12" r:id="rId8" xr:uid="{00000000-0004-0000-0300-000007000000}"/>
    <hyperlink ref="M53" r:id="rId9" xr:uid="{00000000-0004-0000-0300-000008000000}"/>
    <hyperlink ref="M18" r:id="rId10" xr:uid="{00000000-0004-0000-0300-000009000000}"/>
    <hyperlink ref="M129" r:id="rId11" xr:uid="{00000000-0004-0000-0300-00000A000000}"/>
    <hyperlink ref="M130" r:id="rId12" xr:uid="{00000000-0004-0000-0300-00000B000000}"/>
    <hyperlink ref="M134" r:id="rId13" xr:uid="{00000000-0004-0000-0300-00000C000000}"/>
    <hyperlink ref="M135" r:id="rId14" xr:uid="{00000000-0004-0000-0300-00000D000000}"/>
    <hyperlink ref="M131" r:id="rId15" xr:uid="{00000000-0004-0000-0300-00000E000000}"/>
    <hyperlink ref="M138" r:id="rId16" xr:uid="{00000000-0004-0000-0300-00000F000000}"/>
    <hyperlink ref="M150" r:id="rId17" xr:uid="{00000000-0004-0000-0300-000010000000}"/>
    <hyperlink ref="M127" r:id="rId18" xr:uid="{00000000-0004-0000-0300-000011000000}"/>
    <hyperlink ref="M128" r:id="rId19" xr:uid="{00000000-0004-0000-0300-000012000000}"/>
    <hyperlink ref="M13" r:id="rId20" xr:uid="{00000000-0004-0000-0300-000013000000}"/>
    <hyperlink ref="M14:M17" r:id="rId21" display="http://www.world-nuclear.org/info/Country-Profiles/Countries-O-S/Switzerland/" xr:uid="{00000000-0004-0000-0300-000014000000}"/>
  </hyperlinks>
  <pageMargins left="0.70866141732283472" right="0.70866141732283472" top="0.74803149606299213" bottom="0.74803149606299213" header="0.31496062992125984" footer="0.31496062992125984"/>
  <pageSetup paperSize="9" scale="53" fitToHeight="0" orientation="landscape" horizontalDpi="1200" verticalDpi="1200" r:id="rId22"/>
  <legacyDrawing r:id="rId23"/>
  <tableParts count="2">
    <tablePart r:id="rId24"/>
    <tablePart r:id="rId25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tabColor theme="5" tint="-0.249977111117893"/>
    <pageSetUpPr fitToPage="1"/>
  </sheetPr>
  <dimension ref="A1:M155"/>
  <sheetViews>
    <sheetView zoomScaleNormal="100" workbookViewId="0">
      <pane xSplit="3" ySplit="1" topLeftCell="D2" activePane="bottomRight" state="frozen"/>
      <selection pane="topRight" activeCell="C1" sqref="C1"/>
      <selection pane="bottomLeft" activeCell="A5" sqref="A5"/>
      <selection pane="bottomRight" activeCell="H2" sqref="H2"/>
    </sheetView>
  </sheetViews>
  <sheetFormatPr defaultRowHeight="15"/>
  <cols>
    <col min="1" max="1" width="10.7109375" style="5" bestFit="1" customWidth="1"/>
    <col min="2" max="2" width="9.140625" style="5"/>
    <col min="3" max="3" width="11.7109375" style="5" bestFit="1" customWidth="1"/>
    <col min="4" max="4" width="32.28515625" style="5" bestFit="1" customWidth="1"/>
    <col min="5" max="5" width="14" style="5" bestFit="1" customWidth="1"/>
    <col min="6" max="7" width="14.140625" style="5" customWidth="1"/>
    <col min="8" max="8" width="9.5703125" style="5" customWidth="1"/>
    <col min="9" max="9" width="14.5703125" style="5" customWidth="1"/>
    <col min="10" max="10" width="14.5703125" style="5" bestFit="1" customWidth="1"/>
    <col min="11" max="11" width="20.140625" style="5" bestFit="1" customWidth="1"/>
    <col min="12" max="12" width="43.42578125" style="5" customWidth="1"/>
    <col min="13" max="13" width="108.85546875" style="5" bestFit="1" customWidth="1"/>
    <col min="14" max="16384" width="9.140625" style="5"/>
  </cols>
  <sheetData>
    <row r="1" spans="1:13" s="7" customFormat="1" ht="44.25" customHeight="1">
      <c r="A1" s="3" t="s">
        <v>195</v>
      </c>
      <c r="C1" s="6" t="s">
        <v>206</v>
      </c>
      <c r="D1" s="6" t="s">
        <v>0</v>
      </c>
      <c r="E1" s="6" t="s">
        <v>2</v>
      </c>
      <c r="F1" s="6" t="s">
        <v>196</v>
      </c>
      <c r="G1" s="6" t="s">
        <v>200</v>
      </c>
      <c r="H1" s="6" t="s">
        <v>198</v>
      </c>
      <c r="I1" s="6" t="s">
        <v>203</v>
      </c>
      <c r="J1" s="6" t="s">
        <v>199</v>
      </c>
      <c r="K1" s="6" t="s">
        <v>197</v>
      </c>
      <c r="L1" s="6" t="s">
        <v>172</v>
      </c>
      <c r="M1" s="6" t="s">
        <v>184</v>
      </c>
    </row>
    <row r="2" spans="1:13" ht="26.25">
      <c r="A2" s="4">
        <v>50</v>
      </c>
      <c r="C2" s="8" t="s">
        <v>4</v>
      </c>
      <c r="D2" s="8" t="s">
        <v>5</v>
      </c>
      <c r="E2" s="8">
        <v>1974</v>
      </c>
      <c r="F2" s="9">
        <v>1.3464164759725401</v>
      </c>
      <c r="G2" s="9" t="s">
        <v>201</v>
      </c>
      <c r="H2" s="8">
        <f>IF(Table15[[#This Row],[Lifetime Option]]="fixed",Table15[[#This Row],[End of life (fixed)]]-Table15[[#This Row],[Start year]],Table26[Generic  Lifetime])</f>
        <v>51</v>
      </c>
      <c r="I2" s="8">
        <v>2025</v>
      </c>
      <c r="J2" s="8">
        <f>IF(Table15[[#This Row],[Lifetime Option]]="fixed",Table15[[#This Row],[End of life (fixed)]],Table15[[#This Row],[Start year]]+Table26[Generic  Lifetime])</f>
        <v>2025</v>
      </c>
      <c r="K2" s="8">
        <v>0.433</v>
      </c>
      <c r="L2" s="8"/>
      <c r="M2" s="10" t="s">
        <v>173</v>
      </c>
    </row>
    <row r="3" spans="1:13" ht="26.25">
      <c r="C3" s="8" t="s">
        <v>4</v>
      </c>
      <c r="D3" s="8" t="s">
        <v>6</v>
      </c>
      <c r="E3" s="8">
        <v>1975</v>
      </c>
      <c r="F3" s="9">
        <v>1.3464164759725401</v>
      </c>
      <c r="G3" s="9" t="s">
        <v>201</v>
      </c>
      <c r="H3" s="8">
        <f>IF(Table15[[#This Row],[Lifetime Option]]="fixed",Table15[[#This Row],[End of life (fixed)]]-Table15[[#This Row],[Start year]],Table26[Generic  Lifetime])</f>
        <v>50</v>
      </c>
      <c r="I3" s="8">
        <v>2025</v>
      </c>
      <c r="J3" s="8">
        <f>IF(Table15[[#This Row],[Lifetime Option]]="fixed",Table15[[#This Row],[End of life (fixed)]],Table15[[#This Row],[Start year]]+Table26[Generic  Lifetime])</f>
        <v>2025</v>
      </c>
      <c r="K3" s="8">
        <v>0.433</v>
      </c>
      <c r="L3" s="8"/>
      <c r="M3" s="10" t="s">
        <v>173</v>
      </c>
    </row>
    <row r="4" spans="1:13">
      <c r="C4" s="8" t="s">
        <v>4</v>
      </c>
      <c r="D4" s="8" t="s">
        <v>7</v>
      </c>
      <c r="E4" s="8">
        <v>1982</v>
      </c>
      <c r="F4" s="9">
        <v>1.46387740667976</v>
      </c>
      <c r="G4" s="9" t="s">
        <v>201</v>
      </c>
      <c r="H4" s="8">
        <f>IF(Table15[[#This Row],[Lifetime Option]]="fixed",Table15[[#This Row],[End of life (fixed)]]-Table15[[#This Row],[Start year]],Table26[Generic  Lifetime])</f>
        <v>40</v>
      </c>
      <c r="I4" s="8">
        <v>2022</v>
      </c>
      <c r="J4" s="8">
        <f>IF(Table15[[#This Row],[Lifetime Option]]="fixed",Table15[[#This Row],[End of life (fixed)]],Table15[[#This Row],[Start year]]+Table26[Generic  Lifetime])</f>
        <v>2022</v>
      </c>
      <c r="K4" s="8">
        <v>1.006</v>
      </c>
      <c r="L4" s="8" t="s">
        <v>185</v>
      </c>
      <c r="M4" s="10" t="s">
        <v>175</v>
      </c>
    </row>
    <row r="5" spans="1:13">
      <c r="C5" s="8" t="s">
        <v>4</v>
      </c>
      <c r="D5" s="8" t="s">
        <v>8</v>
      </c>
      <c r="E5" s="8">
        <v>1985</v>
      </c>
      <c r="F5" s="9">
        <v>1.4183132530120499</v>
      </c>
      <c r="G5" s="9" t="s">
        <v>201</v>
      </c>
      <c r="H5" s="8">
        <f>IF(Table15[[#This Row],[Lifetime Option]]="fixed",Table15[[#This Row],[End of life (fixed)]]-Table15[[#This Row],[Start year]],Table26[Generic  Lifetime])</f>
        <v>40</v>
      </c>
      <c r="I5" s="8">
        <v>2025</v>
      </c>
      <c r="J5" s="8">
        <f>IF(Table15[[#This Row],[Lifetime Option]]="fixed",Table15[[#This Row],[End of life (fixed)]],Table15[[#This Row],[Start year]]+Table26[Generic  Lifetime])</f>
        <v>2025</v>
      </c>
      <c r="K5" s="8">
        <v>1.0389999999999999</v>
      </c>
      <c r="L5" s="8"/>
      <c r="M5" s="11"/>
    </row>
    <row r="6" spans="1:13">
      <c r="C6" s="8" t="s">
        <v>4</v>
      </c>
      <c r="D6" s="8" t="s">
        <v>9</v>
      </c>
      <c r="E6" s="8">
        <v>1975</v>
      </c>
      <c r="F6" s="9">
        <v>1.3654688478941901</v>
      </c>
      <c r="G6" s="9" t="s">
        <v>201</v>
      </c>
      <c r="H6" s="8">
        <f>IF(Table15[[#This Row],[Lifetime Option]]="fixed",Table15[[#This Row],[End of life (fixed)]]-Table15[[#This Row],[Start year]],Table26[Generic  Lifetime])</f>
        <v>50</v>
      </c>
      <c r="I6" s="8">
        <v>2025</v>
      </c>
      <c r="J6" s="8">
        <f>IF(Table15[[#This Row],[Lifetime Option]]="fixed",Table15[[#This Row],[End of life (fixed)]],Table15[[#This Row],[Start year]]+Table26[Generic  Lifetime])</f>
        <v>2025</v>
      </c>
      <c r="K6" s="8">
        <v>0.96199999999999997</v>
      </c>
      <c r="L6" s="8"/>
      <c r="M6" s="10" t="s">
        <v>174</v>
      </c>
    </row>
    <row r="7" spans="1:13">
      <c r="C7" s="8" t="s">
        <v>4</v>
      </c>
      <c r="D7" s="8" t="s">
        <v>10</v>
      </c>
      <c r="E7" s="8">
        <v>1982</v>
      </c>
      <c r="F7" s="9">
        <v>1.3387206266318501</v>
      </c>
      <c r="G7" s="9" t="s">
        <v>201</v>
      </c>
      <c r="H7" s="8">
        <f>IF(Table15[[#This Row],[Lifetime Option]]="fixed",Table15[[#This Row],[End of life (fixed)]]-Table15[[#This Row],[Start year]],Table26[Generic  Lifetime])</f>
        <v>40</v>
      </c>
      <c r="I7" s="8">
        <v>2022</v>
      </c>
      <c r="J7" s="8">
        <f>IF(Table15[[#This Row],[Lifetime Option]]="fixed",Table15[[#This Row],[End of life (fixed)]],Table15[[#This Row],[Start year]]+Table26[Generic  Lifetime])</f>
        <v>2022</v>
      </c>
      <c r="K7" s="8">
        <v>1.008</v>
      </c>
      <c r="L7" s="8" t="s">
        <v>185</v>
      </c>
      <c r="M7" s="10" t="s">
        <v>175</v>
      </c>
    </row>
    <row r="8" spans="1:13">
      <c r="C8" s="8" t="s">
        <v>4</v>
      </c>
      <c r="D8" s="8" t="s">
        <v>11</v>
      </c>
      <c r="E8" s="8">
        <v>1985</v>
      </c>
      <c r="F8" s="9">
        <v>1.417824</v>
      </c>
      <c r="G8" s="9" t="s">
        <v>201</v>
      </c>
      <c r="H8" s="8">
        <f>IF(Table15[[#This Row],[Lifetime Option]]="fixed",Table15[[#This Row],[End of life (fixed)]]-Table15[[#This Row],[Start year]],Table26[Generic  Lifetime])</f>
        <v>40</v>
      </c>
      <c r="I8" s="8">
        <v>2025</v>
      </c>
      <c r="J8" s="8">
        <f>IF(Table15[[#This Row],[Lifetime Option]]="fixed",Table15[[#This Row],[End of life (fixed)]],Table15[[#This Row],[Start year]]+Table26[Generic  Lifetime])</f>
        <v>2025</v>
      </c>
      <c r="K8" s="8">
        <v>1.046</v>
      </c>
      <c r="L8" s="8"/>
      <c r="M8" s="11"/>
    </row>
    <row r="9" spans="1:13">
      <c r="C9" s="8" t="s">
        <v>12</v>
      </c>
      <c r="D9" s="8" t="s">
        <v>13</v>
      </c>
      <c r="E9" s="8">
        <v>1980</v>
      </c>
      <c r="F9" s="9">
        <v>0.77</v>
      </c>
      <c r="G9" s="9" t="s">
        <v>201</v>
      </c>
      <c r="H9" s="8">
        <f>IF(Table15[[#This Row],[Lifetime Option]]="fixed",Table15[[#This Row],[End of life (fixed)]]-Table15[[#This Row],[Start year]],Table26[Generic  Lifetime])</f>
        <v>26</v>
      </c>
      <c r="I9" s="8">
        <v>2006</v>
      </c>
      <c r="J9" s="8">
        <f>IF(Table15[[#This Row],[Lifetime Option]]="fixed",Table15[[#This Row],[End of life (fixed)]],Table15[[#This Row],[Start year]]+Table26[Generic  Lifetime])</f>
        <v>2006</v>
      </c>
      <c r="K9" s="8">
        <v>0.40799999999999997</v>
      </c>
      <c r="L9" s="8" t="s">
        <v>186</v>
      </c>
      <c r="M9" s="11"/>
    </row>
    <row r="10" spans="1:13">
      <c r="C10" s="8" t="s">
        <v>12</v>
      </c>
      <c r="D10" s="8" t="s">
        <v>14</v>
      </c>
      <c r="E10" s="8">
        <v>1982</v>
      </c>
      <c r="F10" s="9">
        <v>0.77</v>
      </c>
      <c r="G10" s="9" t="s">
        <v>201</v>
      </c>
      <c r="H10" s="8">
        <f>IF(Table15[[#This Row],[Lifetime Option]]="fixed",Table15[[#This Row],[End of life (fixed)]]-Table15[[#This Row],[Start year]],Table26[Generic  Lifetime])</f>
        <v>24</v>
      </c>
      <c r="I10" s="8">
        <v>2006</v>
      </c>
      <c r="J10" s="8">
        <f>IF(Table15[[#This Row],[Lifetime Option]]="fixed",Table15[[#This Row],[End of life (fixed)]],Table15[[#This Row],[Start year]]+Table26[Generic  Lifetime])</f>
        <v>2006</v>
      </c>
      <c r="K10" s="8">
        <v>0.40799999999999997</v>
      </c>
      <c r="L10" s="8" t="s">
        <v>186</v>
      </c>
      <c r="M10" s="11"/>
    </row>
    <row r="11" spans="1:13">
      <c r="C11" s="8" t="s">
        <v>12</v>
      </c>
      <c r="D11" s="8" t="s">
        <v>15</v>
      </c>
      <c r="E11" s="8">
        <v>1987</v>
      </c>
      <c r="F11" s="9">
        <v>0.77759999999999996</v>
      </c>
      <c r="G11" s="9" t="s">
        <v>202</v>
      </c>
      <c r="H11" s="8">
        <f>IF(Table15[[#This Row],[Lifetime Option]]="fixed",Table15[[#This Row],[End of life (fixed)]]-Table15[[#This Row],[Start year]],Table26[Generic  Lifetime])</f>
        <v>50</v>
      </c>
      <c r="I11" s="8"/>
      <c r="J11" s="8">
        <f>IF(Table15[[#This Row],[Lifetime Option]]="fixed",Table15[[#This Row],[End of life (fixed)]],Table15[[#This Row],[Start year]]+Table26[Generic  Lifetime])</f>
        <v>2037</v>
      </c>
      <c r="K11" s="8">
        <v>0.95299999999999996</v>
      </c>
      <c r="L11" s="8"/>
      <c r="M11" s="10" t="s">
        <v>177</v>
      </c>
    </row>
    <row r="12" spans="1:13">
      <c r="C12" s="8" t="s">
        <v>12</v>
      </c>
      <c r="D12" s="8" t="s">
        <v>16</v>
      </c>
      <c r="E12" s="8">
        <v>1991</v>
      </c>
      <c r="F12" s="9">
        <v>0.77759999999999996</v>
      </c>
      <c r="G12" s="9" t="s">
        <v>202</v>
      </c>
      <c r="H12" s="8">
        <f>IF(Table15[[#This Row],[Lifetime Option]]="fixed",Table15[[#This Row],[End of life (fixed)]]-Table15[[#This Row],[Start year]],Table26[Generic  Lifetime])</f>
        <v>50</v>
      </c>
      <c r="I12" s="8"/>
      <c r="J12" s="8">
        <f>IF(Table15[[#This Row],[Lifetime Option]]="fixed",Table15[[#This Row],[End of life (fixed)]],Table15[[#This Row],[Start year]]+Table26[Generic  Lifetime])</f>
        <v>2041</v>
      </c>
      <c r="K12" s="8">
        <v>0.95299999999999996</v>
      </c>
      <c r="L12" s="8"/>
      <c r="M12" s="10" t="s">
        <v>177</v>
      </c>
    </row>
    <row r="13" spans="1:13">
      <c r="C13" s="8" t="s">
        <v>17</v>
      </c>
      <c r="D13" s="8" t="s">
        <v>18</v>
      </c>
      <c r="E13" s="8">
        <v>1969</v>
      </c>
      <c r="F13" s="9">
        <v>1.22030442477876</v>
      </c>
      <c r="G13" s="9" t="s">
        <v>201</v>
      </c>
      <c r="H13" s="8">
        <f>IF(Table15[[#This Row],[Lifetime Option]]="fixed",Table15[[#This Row],[End of life (fixed)]]-Table15[[#This Row],[Start year]],Table26[Generic  Lifetime])</f>
        <v>50</v>
      </c>
      <c r="I13" s="8">
        <v>2019</v>
      </c>
      <c r="J13" s="8">
        <f>IF(Table15[[#This Row],[Lifetime Option]]="fixed",Table15[[#This Row],[End of life (fixed)]],Table15[[#This Row],[Start year]]+Table26[Generic  Lifetime])</f>
        <v>2019</v>
      </c>
      <c r="K13" s="8">
        <v>0.36499999999999999</v>
      </c>
      <c r="L13" s="8" t="s">
        <v>205</v>
      </c>
      <c r="M13" s="10" t="s">
        <v>204</v>
      </c>
    </row>
    <row r="14" spans="1:13">
      <c r="C14" s="8" t="s">
        <v>17</v>
      </c>
      <c r="D14" s="8" t="s">
        <v>19</v>
      </c>
      <c r="E14" s="8">
        <v>1971</v>
      </c>
      <c r="F14" s="9">
        <v>1.22030442477876</v>
      </c>
      <c r="G14" s="9" t="s">
        <v>201</v>
      </c>
      <c r="H14" s="8">
        <f>IF(Table15[[#This Row],[Lifetime Option]]="fixed",Table15[[#This Row],[End of life (fixed)]]-Table15[[#This Row],[Start year]],Table26[Generic  Lifetime])</f>
        <v>50</v>
      </c>
      <c r="I14" s="8">
        <v>2021</v>
      </c>
      <c r="J14" s="8">
        <f>IF(Table15[[#This Row],[Lifetime Option]]="fixed",Table15[[#This Row],[End of life (fixed)]],Table15[[#This Row],[Start year]]+Table26[Generic  Lifetime])</f>
        <v>2021</v>
      </c>
      <c r="K14" s="8">
        <v>0.36499999999999999</v>
      </c>
      <c r="L14" s="8" t="s">
        <v>205</v>
      </c>
      <c r="M14" s="10" t="s">
        <v>204</v>
      </c>
    </row>
    <row r="15" spans="1:13">
      <c r="C15" s="8" t="s">
        <v>17</v>
      </c>
      <c r="D15" s="8" t="s">
        <v>20</v>
      </c>
      <c r="E15" s="8">
        <v>1979</v>
      </c>
      <c r="F15" s="9">
        <v>1.54898334443704</v>
      </c>
      <c r="G15" s="9" t="s">
        <v>201</v>
      </c>
      <c r="H15" s="8">
        <f>IF(Table15[[#This Row],[Lifetime Option]]="fixed",Table15[[#This Row],[End of life (fixed)]]-Table15[[#This Row],[Start year]],Table26[Generic  Lifetime])</f>
        <v>50</v>
      </c>
      <c r="I15" s="8">
        <v>2029</v>
      </c>
      <c r="J15" s="8">
        <f>IF(Table15[[#This Row],[Lifetime Option]]="fixed",Table15[[#This Row],[End of life (fixed)]],Table15[[#This Row],[Start year]]+Table26[Generic  Lifetime])</f>
        <v>2029</v>
      </c>
      <c r="K15" s="8">
        <v>0.98499999999999999</v>
      </c>
      <c r="L15" s="8" t="s">
        <v>205</v>
      </c>
      <c r="M15" s="10" t="s">
        <v>204</v>
      </c>
    </row>
    <row r="16" spans="1:13">
      <c r="C16" s="8" t="s">
        <v>17</v>
      </c>
      <c r="D16" s="8" t="s">
        <v>21</v>
      </c>
      <c r="E16" s="8">
        <v>1984</v>
      </c>
      <c r="F16" s="9">
        <v>1.28484</v>
      </c>
      <c r="G16" s="9" t="s">
        <v>201</v>
      </c>
      <c r="H16" s="8">
        <f>IF(Table15[[#This Row],[Lifetime Option]]="fixed",Table15[[#This Row],[End of life (fixed)]]-Table15[[#This Row],[Start year]],Table26[Generic  Lifetime])</f>
        <v>50</v>
      </c>
      <c r="I16" s="8">
        <v>2034</v>
      </c>
      <c r="J16" s="8">
        <f>IF(Table15[[#This Row],[Lifetime Option]]="fixed",Table15[[#This Row],[End of life (fixed)]],Table15[[#This Row],[Start year]]+Table26[Generic  Lifetime])</f>
        <v>2034</v>
      </c>
      <c r="K16" s="8">
        <v>1.22</v>
      </c>
      <c r="L16" s="8" t="s">
        <v>205</v>
      </c>
      <c r="M16" s="10" t="s">
        <v>204</v>
      </c>
    </row>
    <row r="17" spans="3:13">
      <c r="C17" s="8" t="s">
        <v>17</v>
      </c>
      <c r="D17" s="8" t="s">
        <v>22</v>
      </c>
      <c r="E17" s="8">
        <v>1971</v>
      </c>
      <c r="F17" s="9">
        <v>1.4743919781221499</v>
      </c>
      <c r="G17" s="9" t="s">
        <v>201</v>
      </c>
      <c r="H17" s="8">
        <f>IF(Table15[[#This Row],[Lifetime Option]]="fixed",Table15[[#This Row],[End of life (fixed)]]-Table15[[#This Row],[Start year]],Table26[Generic  Lifetime])</f>
        <v>48</v>
      </c>
      <c r="I17" s="8">
        <v>2019</v>
      </c>
      <c r="J17" s="8">
        <f>IF(Table15[[#This Row],[Lifetime Option]]="fixed",Table15[[#This Row],[End of life (fixed)]],Table15[[#This Row],[Start year]]+Table26[Generic  Lifetime])</f>
        <v>2019</v>
      </c>
      <c r="K17" s="8">
        <v>0.373</v>
      </c>
      <c r="L17" s="8" t="s">
        <v>205</v>
      </c>
      <c r="M17" s="10" t="s">
        <v>204</v>
      </c>
    </row>
    <row r="18" spans="3:13">
      <c r="C18" s="8" t="s">
        <v>23</v>
      </c>
      <c r="D18" s="8" t="s">
        <v>24</v>
      </c>
      <c r="E18" s="8">
        <v>1985</v>
      </c>
      <c r="F18" s="9">
        <v>1.2607488</v>
      </c>
      <c r="G18" s="9" t="s">
        <v>202</v>
      </c>
      <c r="H18" s="8">
        <f>IF(Table15[[#This Row],[Lifetime Option]]="fixed",Table15[[#This Row],[End of life (fixed)]]-Table15[[#This Row],[Start year]],Table26[Generic  Lifetime])</f>
        <v>50</v>
      </c>
      <c r="I18" s="8"/>
      <c r="J18" s="8">
        <f>IF(Table15[[#This Row],[Lifetime Option]]="fixed",Table15[[#This Row],[End of life (fixed)]],Table15[[#This Row],[Start year]]+Table26[Generic  Lifetime])</f>
        <v>2035</v>
      </c>
      <c r="K18" s="8">
        <v>0.46800000000000003</v>
      </c>
      <c r="L18" s="8"/>
      <c r="M18" s="10" t="s">
        <v>180</v>
      </c>
    </row>
    <row r="19" spans="3:13">
      <c r="C19" s="8" t="s">
        <v>23</v>
      </c>
      <c r="D19" s="8" t="s">
        <v>25</v>
      </c>
      <c r="E19" s="8">
        <v>1986</v>
      </c>
      <c r="F19" s="9">
        <v>1.2607488</v>
      </c>
      <c r="G19" s="9" t="s">
        <v>202</v>
      </c>
      <c r="H19" s="8">
        <f>IF(Table15[[#This Row],[Lifetime Option]]="fixed",Table15[[#This Row],[End of life (fixed)]]-Table15[[#This Row],[Start year]],Table26[Generic  Lifetime])</f>
        <v>50</v>
      </c>
      <c r="I19" s="8"/>
      <c r="J19" s="8">
        <f>IF(Table15[[#This Row],[Lifetime Option]]="fixed",Table15[[#This Row],[End of life (fixed)]],Table15[[#This Row],[Start year]]+Table26[Generic  Lifetime])</f>
        <v>2036</v>
      </c>
      <c r="K19" s="8">
        <v>0.47099999999999997</v>
      </c>
      <c r="L19" s="8"/>
      <c r="M19" s="11"/>
    </row>
    <row r="20" spans="3:13">
      <c r="C20" s="8" t="s">
        <v>23</v>
      </c>
      <c r="D20" s="8" t="s">
        <v>26</v>
      </c>
      <c r="E20" s="8">
        <v>1986</v>
      </c>
      <c r="F20" s="9">
        <v>1.3110781163434899</v>
      </c>
      <c r="G20" s="9" t="s">
        <v>202</v>
      </c>
      <c r="H20" s="8">
        <f>IF(Table15[[#This Row],[Lifetime Option]]="fixed",Table15[[#This Row],[End of life (fixed)]]-Table15[[#This Row],[Start year]],Table26[Generic  Lifetime])</f>
        <v>50</v>
      </c>
      <c r="I20" s="8"/>
      <c r="J20" s="8">
        <f>IF(Table15[[#This Row],[Lifetime Option]]="fixed",Table15[[#This Row],[End of life (fixed)]],Table15[[#This Row],[Start year]]+Table26[Generic  Lifetime])</f>
        <v>2036</v>
      </c>
      <c r="K20" s="8">
        <v>0.46800000000000003</v>
      </c>
      <c r="L20" s="8"/>
      <c r="M20" s="11"/>
    </row>
    <row r="21" spans="3:13">
      <c r="C21" s="8" t="s">
        <v>23</v>
      </c>
      <c r="D21" s="8" t="s">
        <v>27</v>
      </c>
      <c r="E21" s="8">
        <v>1987</v>
      </c>
      <c r="F21" s="9">
        <v>1.2607488</v>
      </c>
      <c r="G21" s="9" t="s">
        <v>202</v>
      </c>
      <c r="H21" s="8">
        <f>IF(Table15[[#This Row],[Lifetime Option]]="fixed",Table15[[#This Row],[End of life (fixed)]]-Table15[[#This Row],[Start year]],Table26[Generic  Lifetime])</f>
        <v>50</v>
      </c>
      <c r="I21" s="8"/>
      <c r="J21" s="8">
        <f>IF(Table15[[#This Row],[Lifetime Option]]="fixed",Table15[[#This Row],[End of life (fixed)]],Table15[[#This Row],[Start year]]+Table26[Generic  Lifetime])</f>
        <v>2037</v>
      </c>
      <c r="K21" s="8">
        <v>0.47099999999999997</v>
      </c>
      <c r="L21" s="8"/>
      <c r="M21" s="11"/>
    </row>
    <row r="22" spans="3:13">
      <c r="C22" s="8" t="s">
        <v>23</v>
      </c>
      <c r="D22" s="8" t="s">
        <v>28</v>
      </c>
      <c r="E22" s="8">
        <v>2000</v>
      </c>
      <c r="F22" s="9">
        <v>1.312848</v>
      </c>
      <c r="G22" s="9" t="s">
        <v>202</v>
      </c>
      <c r="H22" s="8">
        <f>IF(Table15[[#This Row],[Lifetime Option]]="fixed",Table15[[#This Row],[End of life (fixed)]]-Table15[[#This Row],[Start year]],Table26[Generic  Lifetime])</f>
        <v>50</v>
      </c>
      <c r="I22" s="8"/>
      <c r="J22" s="8">
        <f>IF(Table15[[#This Row],[Lifetime Option]]="fixed",Table15[[#This Row],[End of life (fixed)]],Table15[[#This Row],[Start year]]+Table26[Generic  Lifetime])</f>
        <v>2050</v>
      </c>
      <c r="K22" s="8">
        <v>0.96299999999999997</v>
      </c>
      <c r="L22" s="8"/>
      <c r="M22" s="11"/>
    </row>
    <row r="23" spans="3:13">
      <c r="C23" s="8" t="s">
        <v>23</v>
      </c>
      <c r="D23" s="8" t="s">
        <v>29</v>
      </c>
      <c r="E23" s="8">
        <v>2002</v>
      </c>
      <c r="F23" s="9">
        <v>1.312848</v>
      </c>
      <c r="G23" s="9" t="s">
        <v>202</v>
      </c>
      <c r="H23" s="8">
        <f>IF(Table15[[#This Row],[Lifetime Option]]="fixed",Table15[[#This Row],[End of life (fixed)]]-Table15[[#This Row],[Start year]],Table26[Generic  Lifetime])</f>
        <v>50</v>
      </c>
      <c r="I23" s="8"/>
      <c r="J23" s="8">
        <f>IF(Table15[[#This Row],[Lifetime Option]]="fixed",Table15[[#This Row],[End of life (fixed)]],Table15[[#This Row],[Start year]]+Table26[Generic  Lifetime])</f>
        <v>2052</v>
      </c>
      <c r="K23" s="8">
        <v>0.96299999999999997</v>
      </c>
      <c r="L23" s="8"/>
      <c r="M23" s="11"/>
    </row>
    <row r="24" spans="3:13">
      <c r="C24" s="8" t="s">
        <v>1</v>
      </c>
      <c r="D24" s="8" t="s">
        <v>30</v>
      </c>
      <c r="E24" s="8">
        <v>1974</v>
      </c>
      <c r="F24" s="9">
        <v>0.94089599999999995</v>
      </c>
      <c r="G24" s="9" t="s">
        <v>201</v>
      </c>
      <c r="H24" s="8">
        <f>IF(Table15[[#This Row],[Lifetime Option]]="fixed",Table15[[#This Row],[End of life (fixed)]]-Table15[[#This Row],[Start year]],Table26[Generic  Lifetime])</f>
        <v>37</v>
      </c>
      <c r="I24" s="8">
        <v>2011</v>
      </c>
      <c r="J24" s="8">
        <f>IF(Table15[[#This Row],[Lifetime Option]]="fixed",Table15[[#This Row],[End of life (fixed)]],Table15[[#This Row],[Start year]]+Table26[Generic  Lifetime])</f>
        <v>2011</v>
      </c>
      <c r="K24" s="8">
        <v>1.167</v>
      </c>
      <c r="L24" s="8" t="s">
        <v>186</v>
      </c>
      <c r="M24" s="11"/>
    </row>
    <row r="25" spans="3:13">
      <c r="C25" s="8" t="s">
        <v>1</v>
      </c>
      <c r="D25" s="8" t="s">
        <v>31</v>
      </c>
      <c r="E25" s="8">
        <v>1976</v>
      </c>
      <c r="F25" s="9">
        <v>0.94089599999999995</v>
      </c>
      <c r="G25" s="9" t="s">
        <v>201</v>
      </c>
      <c r="H25" s="8">
        <f>IF(Table15[[#This Row],[Lifetime Option]]="fixed",Table15[[#This Row],[End of life (fixed)]]-Table15[[#This Row],[Start year]],Table26[Generic  Lifetime])</f>
        <v>35</v>
      </c>
      <c r="I25" s="8">
        <v>2011</v>
      </c>
      <c r="J25" s="8">
        <f>IF(Table15[[#This Row],[Lifetime Option]]="fixed",Table15[[#This Row],[End of life (fixed)]],Table15[[#This Row],[Start year]]+Table26[Generic  Lifetime])</f>
        <v>2011</v>
      </c>
      <c r="K25" s="8">
        <v>1.24</v>
      </c>
      <c r="L25" s="8" t="s">
        <v>186</v>
      </c>
      <c r="M25" s="11"/>
    </row>
    <row r="26" spans="3:13">
      <c r="C26" s="8" t="s">
        <v>1</v>
      </c>
      <c r="D26" s="8" t="s">
        <v>32</v>
      </c>
      <c r="E26" s="8">
        <v>1986</v>
      </c>
      <c r="F26" s="9">
        <v>1.11478153846154</v>
      </c>
      <c r="G26" s="9" t="s">
        <v>201</v>
      </c>
      <c r="H26" s="8">
        <f>IF(Table15[[#This Row],[Lifetime Option]]="fixed",Table15[[#This Row],[End of life (fixed)]]-Table15[[#This Row],[Start year]],Table26[Generic  Lifetime])</f>
        <v>35</v>
      </c>
      <c r="I26" s="8">
        <v>2021</v>
      </c>
      <c r="J26" s="8">
        <f>IF(Table15[[#This Row],[Lifetime Option]]="fixed",Table15[[#This Row],[End of life (fixed)]],Table15[[#This Row],[Start year]]+Table26[Generic  Lifetime])</f>
        <v>2021</v>
      </c>
      <c r="K26" s="8">
        <v>1.41</v>
      </c>
      <c r="L26" s="8"/>
      <c r="M26" s="11"/>
    </row>
    <row r="27" spans="3:13">
      <c r="C27" s="8" t="s">
        <v>1</v>
      </c>
      <c r="D27" s="8" t="s">
        <v>33</v>
      </c>
      <c r="E27" s="8">
        <v>1976</v>
      </c>
      <c r="F27" s="9">
        <v>0.91238399999999997</v>
      </c>
      <c r="G27" s="9" t="s">
        <v>201</v>
      </c>
      <c r="H27" s="8">
        <f>IF(Table15[[#This Row],[Lifetime Option]]="fixed",Table15[[#This Row],[End of life (fixed)]]-Table15[[#This Row],[Start year]],Table26[Generic  Lifetime])</f>
        <v>35</v>
      </c>
      <c r="I27" s="8">
        <v>2011</v>
      </c>
      <c r="J27" s="8">
        <f>IF(Table15[[#This Row],[Lifetime Option]]="fixed",Table15[[#This Row],[End of life (fixed)]],Table15[[#This Row],[Start year]]+Table26[Generic  Lifetime])</f>
        <v>2011</v>
      </c>
      <c r="K27" s="8">
        <v>0.77100000000000002</v>
      </c>
      <c r="L27" s="8" t="s">
        <v>186</v>
      </c>
      <c r="M27" s="11"/>
    </row>
    <row r="28" spans="3:13">
      <c r="C28" s="8" t="s">
        <v>1</v>
      </c>
      <c r="D28" s="8" t="s">
        <v>34</v>
      </c>
      <c r="E28" s="8">
        <v>1988</v>
      </c>
      <c r="F28" s="9">
        <v>1.0053818181818199</v>
      </c>
      <c r="G28" s="9" t="s">
        <v>201</v>
      </c>
      <c r="H28" s="8">
        <f>IF(Table15[[#This Row],[Lifetime Option]]="fixed",Table15[[#This Row],[End of life (fixed)]]-Table15[[#This Row],[Start year]],Table26[Generic  Lifetime])</f>
        <v>34</v>
      </c>
      <c r="I28" s="8">
        <v>2022</v>
      </c>
      <c r="J28" s="8">
        <f>IF(Table15[[#This Row],[Lifetime Option]]="fixed",Table15[[#This Row],[End of life (fixed)]],Table15[[#This Row],[Start year]]+Table26[Generic  Lifetime])</f>
        <v>2022</v>
      </c>
      <c r="K28" s="8">
        <v>1.335</v>
      </c>
      <c r="L28" s="8"/>
      <c r="M28" s="11" t="s">
        <v>181</v>
      </c>
    </row>
    <row r="29" spans="3:13">
      <c r="C29" s="8" t="s">
        <v>1</v>
      </c>
      <c r="D29" s="8" t="s">
        <v>35</v>
      </c>
      <c r="E29" s="8">
        <v>1981</v>
      </c>
      <c r="F29" s="9">
        <v>1.04942151394422</v>
      </c>
      <c r="G29" s="9" t="s">
        <v>201</v>
      </c>
      <c r="H29" s="8">
        <f>IF(Table15[[#This Row],[Lifetime Option]]="fixed",Table15[[#This Row],[End of life (fixed)]]-Table15[[#This Row],[Start year]],Table26[Generic  Lifetime])</f>
        <v>34</v>
      </c>
      <c r="I29" s="8">
        <v>2015</v>
      </c>
      <c r="J29" s="8">
        <f>IF(Table15[[#This Row],[Lifetime Option]]="fixed",Table15[[#This Row],[End of life (fixed)]],Table15[[#This Row],[Start year]]+Table26[Generic  Lifetime])</f>
        <v>2015</v>
      </c>
      <c r="K29" s="8">
        <v>1.2749999999999999</v>
      </c>
      <c r="L29" s="8" t="s">
        <v>186</v>
      </c>
      <c r="M29" s="11"/>
    </row>
    <row r="30" spans="3:13">
      <c r="C30" s="8" t="s">
        <v>1</v>
      </c>
      <c r="D30" s="8" t="s">
        <v>36</v>
      </c>
      <c r="E30" s="8">
        <v>1984</v>
      </c>
      <c r="F30" s="9">
        <v>1.0771200000000001</v>
      </c>
      <c r="G30" s="9" t="s">
        <v>201</v>
      </c>
      <c r="H30" s="8">
        <f>IF(Table15[[#This Row],[Lifetime Option]]="fixed",Table15[[#This Row],[End of life (fixed)]]-Table15[[#This Row],[Start year]],Table26[Generic  Lifetime])</f>
        <v>37</v>
      </c>
      <c r="I30" s="8">
        <v>2021</v>
      </c>
      <c r="J30" s="8">
        <f>IF(Table15[[#This Row],[Lifetime Option]]="fixed",Table15[[#This Row],[End of life (fixed)]],Table15[[#This Row],[Start year]]+Table26[Generic  Lifetime])</f>
        <v>2021</v>
      </c>
      <c r="K30" s="8">
        <v>1.36</v>
      </c>
      <c r="L30" s="8"/>
      <c r="M30" s="11"/>
    </row>
    <row r="31" spans="3:13">
      <c r="C31" s="8" t="s">
        <v>1</v>
      </c>
      <c r="D31" s="8" t="s">
        <v>37</v>
      </c>
      <c r="E31" s="8">
        <v>1984</v>
      </c>
      <c r="F31" s="9">
        <v>0.83160000000000001</v>
      </c>
      <c r="G31" s="9" t="s">
        <v>201</v>
      </c>
      <c r="H31" s="8">
        <f>IF(Table15[[#This Row],[Lifetime Option]]="fixed",Table15[[#This Row],[End of life (fixed)]]-Table15[[#This Row],[Start year]],Table26[Generic  Lifetime])</f>
        <v>33</v>
      </c>
      <c r="I31" s="8">
        <v>2017</v>
      </c>
      <c r="J31" s="8">
        <f>IF(Table15[[#This Row],[Lifetime Option]]="fixed",Table15[[#This Row],[End of life (fixed)]],Table15[[#This Row],[Start year]]+Table26[Generic  Lifetime])</f>
        <v>2017</v>
      </c>
      <c r="K31" s="8">
        <v>1.284</v>
      </c>
      <c r="L31" s="8"/>
      <c r="M31" s="11"/>
    </row>
    <row r="32" spans="3:13">
      <c r="C32" s="8" t="s">
        <v>1</v>
      </c>
      <c r="D32" s="8" t="s">
        <v>38</v>
      </c>
      <c r="E32" s="8">
        <v>1984</v>
      </c>
      <c r="F32" s="9">
        <v>0.83160000000000001</v>
      </c>
      <c r="G32" s="9" t="s">
        <v>201</v>
      </c>
      <c r="H32" s="8">
        <f>IF(Table15[[#This Row],[Lifetime Option]]="fixed",Table15[[#This Row],[End of life (fixed)]]-Table15[[#This Row],[Start year]],Table26[Generic  Lifetime])</f>
        <v>37</v>
      </c>
      <c r="I32" s="8">
        <v>2021</v>
      </c>
      <c r="J32" s="8">
        <f>IF(Table15[[#This Row],[Lifetime Option]]="fixed",Table15[[#This Row],[End of life (fixed)]],Table15[[#This Row],[Start year]]+Table26[Generic  Lifetime])</f>
        <v>2021</v>
      </c>
      <c r="K32" s="8">
        <v>1.288</v>
      </c>
      <c r="L32" s="8"/>
      <c r="M32" s="11"/>
    </row>
    <row r="33" spans="3:13">
      <c r="C33" s="8" t="s">
        <v>1</v>
      </c>
      <c r="D33" s="8" t="s">
        <v>39</v>
      </c>
      <c r="E33" s="8">
        <v>1988</v>
      </c>
      <c r="F33" s="9">
        <v>1.28304</v>
      </c>
      <c r="G33" s="9" t="s">
        <v>201</v>
      </c>
      <c r="H33" s="8">
        <f>IF(Table15[[#This Row],[Lifetime Option]]="fixed",Table15[[#This Row],[End of life (fixed)]]-Table15[[#This Row],[Start year]],Table26[Generic  Lifetime])</f>
        <v>23</v>
      </c>
      <c r="I33" s="8">
        <v>2011</v>
      </c>
      <c r="J33" s="8">
        <f>IF(Table15[[#This Row],[Lifetime Option]]="fixed",Table15[[#This Row],[End of life (fixed)]],Table15[[#This Row],[Start year]]+Table26[Generic  Lifetime])</f>
        <v>2011</v>
      </c>
      <c r="K33" s="8">
        <v>0.878</v>
      </c>
      <c r="L33" s="8" t="s">
        <v>186</v>
      </c>
      <c r="M33" s="11"/>
    </row>
    <row r="34" spans="3:13">
      <c r="C34" s="8" t="s">
        <v>1</v>
      </c>
      <c r="D34" s="8" t="s">
        <v>40</v>
      </c>
      <c r="E34" s="8">
        <v>1988</v>
      </c>
      <c r="F34" s="9">
        <v>1.0394248101265799</v>
      </c>
      <c r="G34" s="9" t="s">
        <v>201</v>
      </c>
      <c r="H34" s="8">
        <f>IF(Table15[[#This Row],[Lifetime Option]]="fixed",Table15[[#This Row],[End of life (fixed)]]-Table15[[#This Row],[Start year]],Table26[Generic  Lifetime])</f>
        <v>34</v>
      </c>
      <c r="I34" s="8">
        <v>2022</v>
      </c>
      <c r="J34" s="8">
        <f>IF(Table15[[#This Row],[Lifetime Option]]="fixed",Table15[[#This Row],[End of life (fixed)]],Table15[[#This Row],[Start year]]+Table26[Generic  Lifetime])</f>
        <v>2022</v>
      </c>
      <c r="K34" s="8">
        <v>1.41</v>
      </c>
      <c r="L34" s="8"/>
      <c r="M34" s="11"/>
    </row>
    <row r="35" spans="3:13">
      <c r="C35" s="8" t="s">
        <v>1</v>
      </c>
      <c r="D35" s="8" t="s">
        <v>41</v>
      </c>
      <c r="E35" s="8">
        <v>1983</v>
      </c>
      <c r="F35" s="9">
        <v>0.91238399999999997</v>
      </c>
      <c r="G35" s="9" t="s">
        <v>201</v>
      </c>
      <c r="H35" s="8">
        <f>IF(Table15[[#This Row],[Lifetime Option]]="fixed",Table15[[#This Row],[End of life (fixed)]]-Table15[[#This Row],[Start year]],Table26[Generic  Lifetime])</f>
        <v>28</v>
      </c>
      <c r="I35" s="8">
        <v>2011</v>
      </c>
      <c r="J35" s="8">
        <f>IF(Table15[[#This Row],[Lifetime Option]]="fixed",Table15[[#This Row],[End of life (fixed)]],Table15[[#This Row],[Start year]]+Table26[Generic  Lifetime])</f>
        <v>2011</v>
      </c>
      <c r="K35" s="8">
        <v>1.26</v>
      </c>
      <c r="L35" s="8"/>
      <c r="M35" s="11"/>
    </row>
    <row r="36" spans="3:13">
      <c r="C36" s="8" t="s">
        <v>1</v>
      </c>
      <c r="D36" s="8" t="s">
        <v>42</v>
      </c>
      <c r="E36" s="8">
        <v>1989</v>
      </c>
      <c r="F36" s="9">
        <v>1.4452363636363601</v>
      </c>
      <c r="G36" s="9" t="s">
        <v>201</v>
      </c>
      <c r="H36" s="8">
        <f>IF(Table15[[#This Row],[Lifetime Option]]="fixed",Table15[[#This Row],[End of life (fixed)]]-Table15[[#This Row],[Start year]],Table26[Generic  Lifetime])</f>
        <v>33</v>
      </c>
      <c r="I36" s="8">
        <v>2022</v>
      </c>
      <c r="J36" s="8">
        <f>IF(Table15[[#This Row],[Lifetime Option]]="fixed",Table15[[#This Row],[End of life (fixed)]],Table15[[#This Row],[Start year]]+Table26[Generic  Lifetime])</f>
        <v>2022</v>
      </c>
      <c r="K36" s="8">
        <v>1.31</v>
      </c>
      <c r="L36" s="8"/>
      <c r="M36" s="11"/>
    </row>
    <row r="37" spans="3:13">
      <c r="C37" s="8" t="s">
        <v>1</v>
      </c>
      <c r="D37" s="8" t="s">
        <v>43</v>
      </c>
      <c r="E37" s="8">
        <v>1976</v>
      </c>
      <c r="F37" s="9">
        <v>1.0463903999999999</v>
      </c>
      <c r="G37" s="9" t="s">
        <v>201</v>
      </c>
      <c r="H37" s="8">
        <f>IF(Table15[[#This Row],[Lifetime Option]]="fixed",Table15[[#This Row],[End of life (fixed)]]-Table15[[#This Row],[Start year]],Table26[Generic  Lifetime])</f>
        <v>35</v>
      </c>
      <c r="I37" s="8">
        <v>2011</v>
      </c>
      <c r="J37" s="8">
        <f>IF(Table15[[#This Row],[Lifetime Option]]="fixed",Table15[[#This Row],[End of life (fixed)]],Table15[[#This Row],[Start year]]+Table26[Generic  Lifetime])</f>
        <v>2011</v>
      </c>
      <c r="K37" s="8">
        <v>0.78500000000000003</v>
      </c>
      <c r="L37" s="8" t="s">
        <v>186</v>
      </c>
      <c r="M37" s="11"/>
    </row>
    <row r="38" spans="3:13">
      <c r="C38" s="8" t="s">
        <v>1</v>
      </c>
      <c r="D38" s="8" t="s">
        <v>44</v>
      </c>
      <c r="E38" s="8">
        <v>1979</v>
      </c>
      <c r="F38" s="9">
        <v>1.1376288000000001</v>
      </c>
      <c r="G38" s="9" t="s">
        <v>201</v>
      </c>
      <c r="H38" s="8">
        <f>IF(Table15[[#This Row],[Lifetime Option]]="fixed",Table15[[#This Row],[End of life (fixed)]]-Table15[[#This Row],[Start year]],Table26[Generic  Lifetime])</f>
        <v>32</v>
      </c>
      <c r="I38" s="8">
        <v>2011</v>
      </c>
      <c r="J38" s="8">
        <f>IF(Table15[[#This Row],[Lifetime Option]]="fixed",Table15[[#This Row],[End of life (fixed)]],Table15[[#This Row],[Start year]]+Table26[Generic  Lifetime])</f>
        <v>2011</v>
      </c>
      <c r="K38" s="8">
        <v>0.89</v>
      </c>
      <c r="L38" s="8" t="s">
        <v>186</v>
      </c>
      <c r="M38" s="11"/>
    </row>
    <row r="39" spans="3:13">
      <c r="C39" s="8" t="s">
        <v>1</v>
      </c>
      <c r="D39" s="8" t="s">
        <v>45</v>
      </c>
      <c r="E39" s="8">
        <v>1984</v>
      </c>
      <c r="F39" s="9">
        <v>1.05963584810127</v>
      </c>
      <c r="G39" s="9" t="s">
        <v>201</v>
      </c>
      <c r="H39" s="8">
        <f>IF(Table15[[#This Row],[Lifetime Option]]="fixed",Table15[[#This Row],[End of life (fixed)]]-Table15[[#This Row],[Start year]],Table26[Generic  Lifetime])</f>
        <v>35</v>
      </c>
      <c r="I39" s="8">
        <v>2019</v>
      </c>
      <c r="J39" s="8">
        <f>IF(Table15[[#This Row],[Lifetime Option]]="fixed",Table15[[#This Row],[End of life (fixed)]],Table15[[#This Row],[Start year]]+Table26[Generic  Lifetime])</f>
        <v>2019</v>
      </c>
      <c r="K39" s="8">
        <v>1.4019999999999999</v>
      </c>
      <c r="L39" s="8"/>
      <c r="M39" s="11"/>
    </row>
    <row r="40" spans="3:13">
      <c r="C40" s="8" t="s">
        <v>1</v>
      </c>
      <c r="D40" s="8" t="s">
        <v>46</v>
      </c>
      <c r="E40" s="8">
        <v>1978</v>
      </c>
      <c r="F40" s="9">
        <v>1.0093247999999999</v>
      </c>
      <c r="G40" s="9" t="s">
        <v>201</v>
      </c>
      <c r="H40" s="8">
        <f>IF(Table15[[#This Row],[Lifetime Option]]="fixed",Table15[[#This Row],[End of life (fixed)]]-Table15[[#This Row],[Start year]],Table26[Generic  Lifetime])</f>
        <v>33</v>
      </c>
      <c r="I40" s="8">
        <v>2011</v>
      </c>
      <c r="J40" s="8">
        <f>IF(Table15[[#This Row],[Lifetime Option]]="fixed",Table15[[#This Row],[End of life (fixed)]],Table15[[#This Row],[Start year]]+Table26[Generic  Lifetime])</f>
        <v>2011</v>
      </c>
      <c r="K40" s="8">
        <v>1.345</v>
      </c>
      <c r="L40" s="8" t="s">
        <v>186</v>
      </c>
      <c r="M40" s="11"/>
    </row>
    <row r="41" spans="3:13">
      <c r="C41" s="8" t="s">
        <v>47</v>
      </c>
      <c r="D41" s="8" t="s">
        <v>48</v>
      </c>
      <c r="E41" s="8">
        <v>1983</v>
      </c>
      <c r="F41" s="9">
        <v>1.7769609772650199</v>
      </c>
      <c r="G41" s="9" t="s">
        <v>202</v>
      </c>
      <c r="H41" s="8">
        <f>IF(Table15[[#This Row],[Lifetime Option]]="fixed",Table15[[#This Row],[End of life (fixed)]]-Table15[[#This Row],[Start year]],Table26[Generic  Lifetime])</f>
        <v>50</v>
      </c>
      <c r="I41" s="8"/>
      <c r="J41" s="8">
        <f>IF(Table15[[#This Row],[Lifetime Option]]="fixed",Table15[[#This Row],[End of life (fixed)]],Table15[[#This Row],[Start year]]+Table26[Generic  Lifetime])</f>
        <v>2033</v>
      </c>
      <c r="K41" s="8">
        <v>1.0109999999999999</v>
      </c>
      <c r="L41" s="8"/>
      <c r="M41" s="11"/>
    </row>
    <row r="42" spans="3:13">
      <c r="C42" s="8" t="s">
        <v>47</v>
      </c>
      <c r="D42" s="8" t="s">
        <v>49</v>
      </c>
      <c r="E42" s="8">
        <v>1984</v>
      </c>
      <c r="F42" s="9">
        <v>1.37735731252121</v>
      </c>
      <c r="G42" s="9" t="s">
        <v>202</v>
      </c>
      <c r="H42" s="8">
        <f>IF(Table15[[#This Row],[Lifetime Option]]="fixed",Table15[[#This Row],[End of life (fixed)]]-Table15[[#This Row],[Start year]],Table26[Generic  Lifetime])</f>
        <v>50</v>
      </c>
      <c r="I42" s="8"/>
      <c r="J42" s="8">
        <f>IF(Table15[[#This Row],[Lifetime Option]]="fixed",Table15[[#This Row],[End of life (fixed)]],Table15[[#This Row],[Start year]]+Table26[Generic  Lifetime])</f>
        <v>2034</v>
      </c>
      <c r="K42" s="8">
        <v>1.006</v>
      </c>
      <c r="L42" s="8"/>
      <c r="M42" s="11"/>
    </row>
    <row r="43" spans="3:13">
      <c r="C43" s="8" t="s">
        <v>47</v>
      </c>
      <c r="D43" s="8" t="s">
        <v>50</v>
      </c>
      <c r="E43" s="8">
        <v>1983</v>
      </c>
      <c r="F43" s="9">
        <v>1.5325350561033699</v>
      </c>
      <c r="G43" s="9" t="s">
        <v>202</v>
      </c>
      <c r="H43" s="8">
        <f>IF(Table15[[#This Row],[Lifetime Option]]="fixed",Table15[[#This Row],[End of life (fixed)]]-Table15[[#This Row],[Start year]],Table26[Generic  Lifetime])</f>
        <v>50</v>
      </c>
      <c r="I43" s="8"/>
      <c r="J43" s="8">
        <f>IF(Table15[[#This Row],[Lifetime Option]]="fixed",Table15[[#This Row],[End of life (fixed)]],Table15[[#This Row],[Start year]]+Table26[Generic  Lifetime])</f>
        <v>2033</v>
      </c>
      <c r="K43" s="8">
        <v>0.995</v>
      </c>
      <c r="L43" s="8"/>
      <c r="M43" s="11"/>
    </row>
    <row r="44" spans="3:13">
      <c r="C44" s="8" t="s">
        <v>47</v>
      </c>
      <c r="D44" s="8" t="s">
        <v>51</v>
      </c>
      <c r="E44" s="8">
        <v>1985</v>
      </c>
      <c r="F44" s="9">
        <v>1.52363359401564</v>
      </c>
      <c r="G44" s="9" t="s">
        <v>202</v>
      </c>
      <c r="H44" s="8">
        <f>IF(Table15[[#This Row],[Lifetime Option]]="fixed",Table15[[#This Row],[End of life (fixed)]]-Table15[[#This Row],[Start year]],Table26[Generic  Lifetime])</f>
        <v>50</v>
      </c>
      <c r="I44" s="8"/>
      <c r="J44" s="8">
        <f>IF(Table15[[#This Row],[Lifetime Option]]="fixed",Table15[[#This Row],[End of life (fixed)]],Table15[[#This Row],[Start year]]+Table26[Generic  Lifetime])</f>
        <v>2035</v>
      </c>
      <c r="K44" s="8">
        <v>0.997</v>
      </c>
      <c r="L44" s="8"/>
      <c r="M44" s="11"/>
    </row>
    <row r="45" spans="3:13">
      <c r="C45" s="8" t="s">
        <v>47</v>
      </c>
      <c r="D45" s="8" t="s">
        <v>52</v>
      </c>
      <c r="E45" s="8">
        <v>1985</v>
      </c>
      <c r="F45" s="9">
        <v>1.1658795180722901</v>
      </c>
      <c r="G45" s="9" t="s">
        <v>202</v>
      </c>
      <c r="H45" s="8">
        <f>IF(Table15[[#This Row],[Lifetime Option]]="fixed",Table15[[#This Row],[End of life (fixed)]]-Table15[[#This Row],[Start year]],Table26[Generic  Lifetime])</f>
        <v>50</v>
      </c>
      <c r="I45" s="8"/>
      <c r="J45" s="8">
        <f>IF(Table15[[#This Row],[Lifetime Option]]="fixed",Table15[[#This Row],[End of life (fixed)]],Table15[[#This Row],[Start year]]+Table26[Generic  Lifetime])</f>
        <v>2035</v>
      </c>
      <c r="K45" s="8">
        <v>1.0640000000000001</v>
      </c>
      <c r="L45" s="8"/>
      <c r="M45" s="11"/>
    </row>
    <row r="46" spans="3:13">
      <c r="C46" s="8" t="s">
        <v>47</v>
      </c>
      <c r="D46" s="8" t="s">
        <v>53</v>
      </c>
      <c r="E46" s="8">
        <v>1971</v>
      </c>
      <c r="F46" s="9">
        <v>0.90379029688631396</v>
      </c>
      <c r="G46" s="9" t="s">
        <v>202</v>
      </c>
      <c r="H46" s="8">
        <f>IF(Table15[[#This Row],[Lifetime Option]]="fixed",Table15[[#This Row],[End of life (fixed)]]-Table15[[#This Row],[Start year]],Table26[Generic  Lifetime])</f>
        <v>50</v>
      </c>
      <c r="I46" s="8"/>
      <c r="J46" s="8">
        <f>IF(Table15[[#This Row],[Lifetime Option]]="fixed",Table15[[#This Row],[End of life (fixed)]],Table15[[#This Row],[Start year]]+Table26[Generic  Lifetime])</f>
        <v>2021</v>
      </c>
      <c r="K46" s="8">
        <v>0.44600000000000001</v>
      </c>
      <c r="L46" s="8"/>
      <c r="M46" s="11"/>
    </row>
    <row r="47" spans="3:13">
      <c r="C47" s="8" t="s">
        <v>47</v>
      </c>
      <c r="D47" s="8" t="s">
        <v>54</v>
      </c>
      <c r="E47" s="8">
        <v>1988</v>
      </c>
      <c r="F47" s="9">
        <v>1.00976053156146</v>
      </c>
      <c r="G47" s="9" t="s">
        <v>202</v>
      </c>
      <c r="H47" s="8">
        <f>IF(Table15[[#This Row],[Lifetime Option]]="fixed",Table15[[#This Row],[End of life (fixed)]]-Table15[[#This Row],[Start year]],Table26[Generic  Lifetime])</f>
        <v>50</v>
      </c>
      <c r="I47" s="8"/>
      <c r="J47" s="8">
        <f>IF(Table15[[#This Row],[Lifetime Option]]="fixed",Table15[[#This Row],[End of life (fixed)]],Table15[[#This Row],[Start year]]+Table26[Generic  Lifetime])</f>
        <v>2038</v>
      </c>
      <c r="K47" s="8">
        <v>1.0029999999999999</v>
      </c>
      <c r="L47" s="8"/>
      <c r="M47" s="11"/>
    </row>
    <row r="48" spans="3:13">
      <c r="C48" s="8" t="s">
        <v>47</v>
      </c>
      <c r="D48" s="8" t="s">
        <v>55</v>
      </c>
      <c r="E48" s="8">
        <v>1987</v>
      </c>
      <c r="F48" s="9">
        <v>1.61264821489289</v>
      </c>
      <c r="G48" s="9" t="s">
        <v>202</v>
      </c>
      <c r="H48" s="8">
        <f>IF(Table15[[#This Row],[Lifetime Option]]="fixed",Table15[[#This Row],[End of life (fixed)]]-Table15[[#This Row],[Start year]],Table26[Generic  Lifetime])</f>
        <v>50</v>
      </c>
      <c r="I48" s="8"/>
      <c r="J48" s="8">
        <f>IF(Table15[[#This Row],[Lifetime Option]]="fixed",Table15[[#This Row],[End of life (fixed)]],Table15[[#This Row],[Start year]]+Table26[Generic  Lifetime])</f>
        <v>2037</v>
      </c>
      <c r="K48" s="8">
        <v>1.0449999999999999</v>
      </c>
      <c r="L48" s="8"/>
      <c r="M48" s="11"/>
    </row>
    <row r="49" spans="3:13">
      <c r="C49" s="8" t="s">
        <v>56</v>
      </c>
      <c r="D49" s="8" t="s">
        <v>57</v>
      </c>
      <c r="E49" s="8">
        <v>1977</v>
      </c>
      <c r="F49" s="9">
        <v>1.1750400000000001</v>
      </c>
      <c r="G49" s="9" t="s">
        <v>202</v>
      </c>
      <c r="H49" s="8">
        <f>IF(Table15[[#This Row],[Lifetime Option]]="fixed",Table15[[#This Row],[End of life (fixed)]]-Table15[[#This Row],[Start year]],Table26[Generic  Lifetime])</f>
        <v>50</v>
      </c>
      <c r="I49" s="8"/>
      <c r="J49" s="8">
        <f>IF(Table15[[#This Row],[Lifetime Option]]="fixed",Table15[[#This Row],[End of life (fixed)]],Table15[[#This Row],[Start year]]+Table26[Generic  Lifetime])</f>
        <v>2027</v>
      </c>
      <c r="K49" s="8">
        <v>0.496</v>
      </c>
      <c r="L49" s="8"/>
      <c r="M49" s="11"/>
    </row>
    <row r="50" spans="3:13">
      <c r="C50" s="8" t="s">
        <v>56</v>
      </c>
      <c r="D50" s="8" t="s">
        <v>58</v>
      </c>
      <c r="E50" s="8">
        <v>1980</v>
      </c>
      <c r="F50" s="9">
        <v>1.1750400000000001</v>
      </c>
      <c r="G50" s="9" t="s">
        <v>202</v>
      </c>
      <c r="H50" s="8">
        <f>IF(Table15[[#This Row],[Lifetime Option]]="fixed",Table15[[#This Row],[End of life (fixed)]]-Table15[[#This Row],[Start year]],Table26[Generic  Lifetime])</f>
        <v>50</v>
      </c>
      <c r="I50" s="8"/>
      <c r="J50" s="8">
        <f>IF(Table15[[#This Row],[Lifetime Option]]="fixed",Table15[[#This Row],[End of life (fixed)]],Table15[[#This Row],[Start year]]+Table26[Generic  Lifetime])</f>
        <v>2030</v>
      </c>
      <c r="K50" s="8">
        <v>0.496</v>
      </c>
      <c r="L50" s="8"/>
      <c r="M50" s="11"/>
    </row>
    <row r="51" spans="3:13">
      <c r="C51" s="8" t="s">
        <v>56</v>
      </c>
      <c r="D51" s="8" t="s">
        <v>59</v>
      </c>
      <c r="E51" s="8">
        <v>1978</v>
      </c>
      <c r="F51" s="9">
        <v>1.1636352000000001</v>
      </c>
      <c r="G51" s="9" t="s">
        <v>202</v>
      </c>
      <c r="H51" s="8">
        <f>IF(Table15[[#This Row],[Lifetime Option]]="fixed",Table15[[#This Row],[End of life (fixed)]]-Table15[[#This Row],[Start year]],Table26[Generic  Lifetime])</f>
        <v>50</v>
      </c>
      <c r="I51" s="8"/>
      <c r="J51" s="8">
        <f>IF(Table15[[#This Row],[Lifetime Option]]="fixed",Table15[[#This Row],[End of life (fixed)]],Table15[[#This Row],[Start year]]+Table26[Generic  Lifetime])</f>
        <v>2028</v>
      </c>
      <c r="K51" s="8">
        <v>0.88</v>
      </c>
      <c r="L51" s="8"/>
      <c r="M51" s="11"/>
    </row>
    <row r="52" spans="3:13">
      <c r="C52" s="8" t="s">
        <v>56</v>
      </c>
      <c r="D52" s="8" t="s">
        <v>60</v>
      </c>
      <c r="E52" s="8">
        <v>1980</v>
      </c>
      <c r="F52" s="9">
        <v>1.1380608000000001</v>
      </c>
      <c r="G52" s="9" t="s">
        <v>202</v>
      </c>
      <c r="H52" s="8">
        <f>IF(Table15[[#This Row],[Lifetime Option]]="fixed",Table15[[#This Row],[End of life (fixed)]]-Table15[[#This Row],[Start year]],Table26[Generic  Lifetime])</f>
        <v>50</v>
      </c>
      <c r="I52" s="8"/>
      <c r="J52" s="8">
        <f>IF(Table15[[#This Row],[Lifetime Option]]="fixed",Table15[[#This Row],[End of life (fixed)]],Table15[[#This Row],[Start year]]+Table26[Generic  Lifetime])</f>
        <v>2030</v>
      </c>
      <c r="K52" s="8">
        <v>0.88</v>
      </c>
      <c r="L52" s="8"/>
      <c r="M52" s="11"/>
    </row>
    <row r="53" spans="3:13">
      <c r="C53" s="8" t="s">
        <v>3</v>
      </c>
      <c r="D53" s="8" t="s">
        <v>61</v>
      </c>
      <c r="E53" s="8">
        <v>1987</v>
      </c>
      <c r="F53" s="9">
        <v>1.0181256484149901</v>
      </c>
      <c r="G53" s="9" t="s">
        <v>202</v>
      </c>
      <c r="H53" s="8">
        <f>IF(Table15[[#This Row],[Lifetime Option]]="fixed",Table15[[#This Row],[End of life (fixed)]]-Table15[[#This Row],[Start year]],Table26[Generic  Lifetime])</f>
        <v>50</v>
      </c>
      <c r="I53" s="8"/>
      <c r="J53" s="8">
        <f>IF(Table15[[#This Row],[Lifetime Option]]="fixed",Table15[[#This Row],[End of life (fixed)]],Table15[[#This Row],[Start year]]+Table26[Generic  Lifetime])</f>
        <v>2037</v>
      </c>
      <c r="K53" s="8">
        <v>1.31</v>
      </c>
      <c r="L53" s="8" t="s">
        <v>207</v>
      </c>
      <c r="M53" s="10" t="s">
        <v>179</v>
      </c>
    </row>
    <row r="54" spans="3:13">
      <c r="C54" s="8" t="s">
        <v>3</v>
      </c>
      <c r="D54" s="8" t="s">
        <v>62</v>
      </c>
      <c r="E54" s="8">
        <v>1988</v>
      </c>
      <c r="F54" s="9">
        <v>1.0181256484149901</v>
      </c>
      <c r="G54" s="9" t="s">
        <v>202</v>
      </c>
      <c r="H54" s="8">
        <f>IF(Table15[[#This Row],[Lifetime Option]]="fixed",Table15[[#This Row],[End of life (fixed)]]-Table15[[#This Row],[Start year]],Table26[Generic  Lifetime])</f>
        <v>50</v>
      </c>
      <c r="I54" s="8"/>
      <c r="J54" s="8">
        <f>IF(Table15[[#This Row],[Lifetime Option]]="fixed",Table15[[#This Row],[End of life (fixed)]],Table15[[#This Row],[Start year]]+Table26[Generic  Lifetime])</f>
        <v>2038</v>
      </c>
      <c r="K54" s="8">
        <v>1.31</v>
      </c>
      <c r="L54" s="8"/>
      <c r="M54" s="10"/>
    </row>
    <row r="55" spans="3:13">
      <c r="C55" s="8" t="s">
        <v>3</v>
      </c>
      <c r="D55" s="8" t="s">
        <v>63</v>
      </c>
      <c r="E55" s="8">
        <v>1981</v>
      </c>
      <c r="F55" s="9">
        <v>0.99529030664272899</v>
      </c>
      <c r="G55" s="9" t="s">
        <v>202</v>
      </c>
      <c r="H55" s="8">
        <f>IF(Table15[[#This Row],[Lifetime Option]]="fixed",Table15[[#This Row],[End of life (fixed)]]-Table15[[#This Row],[Start year]],Table26[Generic  Lifetime])</f>
        <v>50</v>
      </c>
      <c r="I55" s="8"/>
      <c r="J55" s="8">
        <f>IF(Table15[[#This Row],[Lifetime Option]]="fixed",Table15[[#This Row],[End of life (fixed)]],Table15[[#This Row],[Start year]]+Table26[Generic  Lifetime])</f>
        <v>2031</v>
      </c>
      <c r="K55" s="8">
        <v>0.91</v>
      </c>
      <c r="L55" s="8"/>
      <c r="M55" s="11"/>
    </row>
    <row r="56" spans="3:13">
      <c r="C56" s="8" t="s">
        <v>3</v>
      </c>
      <c r="D56" s="8" t="s">
        <v>64</v>
      </c>
      <c r="E56" s="8">
        <v>1982</v>
      </c>
      <c r="F56" s="9">
        <v>0.99529030664272899</v>
      </c>
      <c r="G56" s="9" t="s">
        <v>202</v>
      </c>
      <c r="H56" s="8">
        <f>IF(Table15[[#This Row],[Lifetime Option]]="fixed",Table15[[#This Row],[End of life (fixed)]]-Table15[[#This Row],[Start year]],Table26[Generic  Lifetime])</f>
        <v>50</v>
      </c>
      <c r="I56" s="8"/>
      <c r="J56" s="8">
        <f>IF(Table15[[#This Row],[Lifetime Option]]="fixed",Table15[[#This Row],[End of life (fixed)]],Table15[[#This Row],[Start year]]+Table26[Generic  Lifetime])</f>
        <v>2032</v>
      </c>
      <c r="K56" s="8">
        <v>0.91</v>
      </c>
      <c r="L56" s="8"/>
      <c r="M56" s="11"/>
    </row>
    <row r="57" spans="3:13">
      <c r="C57" s="8" t="s">
        <v>3</v>
      </c>
      <c r="D57" s="8" t="s">
        <v>65</v>
      </c>
      <c r="E57" s="8">
        <v>1983</v>
      </c>
      <c r="F57" s="9">
        <v>0.99529030664272899</v>
      </c>
      <c r="G57" s="9" t="s">
        <v>202</v>
      </c>
      <c r="H57" s="8">
        <f>IF(Table15[[#This Row],[Lifetime Option]]="fixed",Table15[[#This Row],[End of life (fixed)]]-Table15[[#This Row],[Start year]],Table26[Generic  Lifetime])</f>
        <v>50</v>
      </c>
      <c r="I57" s="8"/>
      <c r="J57" s="8">
        <f>IF(Table15[[#This Row],[Lifetime Option]]="fixed",Table15[[#This Row],[End of life (fixed)]],Table15[[#This Row],[Start year]]+Table26[Generic  Lifetime])</f>
        <v>2033</v>
      </c>
      <c r="K57" s="8">
        <v>0.91</v>
      </c>
      <c r="L57" s="8"/>
      <c r="M57" s="11"/>
    </row>
    <row r="58" spans="3:13">
      <c r="C58" s="8" t="s">
        <v>3</v>
      </c>
      <c r="D58" s="8" t="s">
        <v>66</v>
      </c>
      <c r="E58" s="8">
        <v>1983</v>
      </c>
      <c r="F58" s="9">
        <v>0.99529030664272899</v>
      </c>
      <c r="G58" s="9" t="s">
        <v>202</v>
      </c>
      <c r="H58" s="8">
        <f>IF(Table15[[#This Row],[Lifetime Option]]="fixed",Table15[[#This Row],[End of life (fixed)]]-Table15[[#This Row],[Start year]],Table26[Generic  Lifetime])</f>
        <v>50</v>
      </c>
      <c r="I58" s="8"/>
      <c r="J58" s="8">
        <f>IF(Table15[[#This Row],[Lifetime Option]]="fixed",Table15[[#This Row],[End of life (fixed)]],Table15[[#This Row],[Start year]]+Table26[Generic  Lifetime])</f>
        <v>2033</v>
      </c>
      <c r="K58" s="8">
        <v>0.91</v>
      </c>
      <c r="L58" s="8"/>
      <c r="M58" s="11"/>
    </row>
    <row r="59" spans="3:13">
      <c r="C59" s="8" t="s">
        <v>3</v>
      </c>
      <c r="D59" s="8" t="s">
        <v>67</v>
      </c>
      <c r="E59" s="8">
        <v>1978</v>
      </c>
      <c r="F59" s="9">
        <v>0.98901087253141795</v>
      </c>
      <c r="G59" s="9" t="s">
        <v>202</v>
      </c>
      <c r="H59" s="8">
        <f>IF(Table15[[#This Row],[Lifetime Option]]="fixed",Table15[[#This Row],[End of life (fixed)]]-Table15[[#This Row],[Start year]],Table26[Generic  Lifetime])</f>
        <v>50</v>
      </c>
      <c r="I59" s="8"/>
      <c r="J59" s="8">
        <f>IF(Table15[[#This Row],[Lifetime Option]]="fixed",Table15[[#This Row],[End of life (fixed)]],Table15[[#This Row],[Start year]]+Table26[Generic  Lifetime])</f>
        <v>2028</v>
      </c>
      <c r="K59" s="8">
        <v>0.91</v>
      </c>
      <c r="L59" s="8"/>
      <c r="M59" s="11"/>
    </row>
    <row r="60" spans="3:13">
      <c r="C60" s="8" t="s">
        <v>3</v>
      </c>
      <c r="D60" s="8" t="s">
        <v>68</v>
      </c>
      <c r="E60" s="8">
        <v>1978</v>
      </c>
      <c r="F60" s="9">
        <v>0.98901087253141895</v>
      </c>
      <c r="G60" s="9" t="s">
        <v>202</v>
      </c>
      <c r="H60" s="8">
        <f>IF(Table15[[#This Row],[Lifetime Option]]="fixed",Table15[[#This Row],[End of life (fixed)]]-Table15[[#This Row],[Start year]],Table26[Generic  Lifetime])</f>
        <v>50</v>
      </c>
      <c r="I60" s="8"/>
      <c r="J60" s="8">
        <f>IF(Table15[[#This Row],[Lifetime Option]]="fixed",Table15[[#This Row],[End of life (fixed)]],Table15[[#This Row],[Start year]]+Table26[Generic  Lifetime])</f>
        <v>2028</v>
      </c>
      <c r="K60" s="8">
        <v>0.91</v>
      </c>
      <c r="L60" s="8"/>
      <c r="M60" s="11"/>
    </row>
    <row r="61" spans="3:13">
      <c r="C61" s="8" t="s">
        <v>3</v>
      </c>
      <c r="D61" s="8" t="s">
        <v>69</v>
      </c>
      <c r="E61" s="8">
        <v>1979</v>
      </c>
      <c r="F61" s="9">
        <v>0.95970684667863504</v>
      </c>
      <c r="G61" s="9" t="s">
        <v>202</v>
      </c>
      <c r="H61" s="8">
        <f>IF(Table15[[#This Row],[Lifetime Option]]="fixed",Table15[[#This Row],[End of life (fixed)]]-Table15[[#This Row],[Start year]],Table26[Generic  Lifetime])</f>
        <v>50</v>
      </c>
      <c r="I61" s="8"/>
      <c r="J61" s="8">
        <f>IF(Table15[[#This Row],[Lifetime Option]]="fixed",Table15[[#This Row],[End of life (fixed)]],Table15[[#This Row],[Start year]]+Table26[Generic  Lifetime])</f>
        <v>2029</v>
      </c>
      <c r="K61" s="8">
        <v>0.88</v>
      </c>
      <c r="L61" s="8"/>
      <c r="M61" s="11"/>
    </row>
    <row r="62" spans="3:13">
      <c r="C62" s="8" t="s">
        <v>3</v>
      </c>
      <c r="D62" s="8" t="s">
        <v>70</v>
      </c>
      <c r="E62" s="8">
        <v>1979</v>
      </c>
      <c r="F62" s="9">
        <v>0.95970684667863604</v>
      </c>
      <c r="G62" s="9" t="s">
        <v>202</v>
      </c>
      <c r="H62" s="8">
        <f>IF(Table15[[#This Row],[Lifetime Option]]="fixed",Table15[[#This Row],[End of life (fixed)]]-Table15[[#This Row],[Start year]],Table26[Generic  Lifetime])</f>
        <v>50</v>
      </c>
      <c r="I62" s="8"/>
      <c r="J62" s="8">
        <f>IF(Table15[[#This Row],[Lifetime Option]]="fixed",Table15[[#This Row],[End of life (fixed)]],Table15[[#This Row],[Start year]]+Table26[Generic  Lifetime])</f>
        <v>2029</v>
      </c>
      <c r="K62" s="8">
        <v>0.88</v>
      </c>
      <c r="L62" s="8"/>
      <c r="M62" s="11"/>
    </row>
    <row r="63" spans="3:13">
      <c r="C63" s="8" t="s">
        <v>3</v>
      </c>
      <c r="D63" s="8" t="s">
        <v>71</v>
      </c>
      <c r="E63" s="8">
        <v>1986</v>
      </c>
      <c r="F63" s="9">
        <v>1.01737867435158</v>
      </c>
      <c r="G63" s="9" t="s">
        <v>202</v>
      </c>
      <c r="H63" s="8">
        <f>IF(Table15[[#This Row],[Lifetime Option]]="fixed",Table15[[#This Row],[End of life (fixed)]]-Table15[[#This Row],[Start year]],Table26[Generic  Lifetime])</f>
        <v>50</v>
      </c>
      <c r="I63" s="8"/>
      <c r="J63" s="8">
        <f>IF(Table15[[#This Row],[Lifetime Option]]="fixed",Table15[[#This Row],[End of life (fixed)]],Table15[[#This Row],[Start year]]+Table26[Generic  Lifetime])</f>
        <v>2036</v>
      </c>
      <c r="K63" s="8">
        <v>1.3</v>
      </c>
      <c r="L63" s="8"/>
      <c r="M63" s="11"/>
    </row>
    <row r="64" spans="3:13">
      <c r="C64" s="8" t="s">
        <v>3</v>
      </c>
      <c r="D64" s="8" t="s">
        <v>72</v>
      </c>
      <c r="E64" s="8">
        <v>1987</v>
      </c>
      <c r="F64" s="9">
        <v>1.01737867435159</v>
      </c>
      <c r="G64" s="9" t="s">
        <v>202</v>
      </c>
      <c r="H64" s="8">
        <f>IF(Table15[[#This Row],[Lifetime Option]]="fixed",Table15[[#This Row],[End of life (fixed)]]-Table15[[#This Row],[Start year]],Table26[Generic  Lifetime])</f>
        <v>50</v>
      </c>
      <c r="I64" s="8"/>
      <c r="J64" s="8">
        <f>IF(Table15[[#This Row],[Lifetime Option]]="fixed",Table15[[#This Row],[End of life (fixed)]],Table15[[#This Row],[Start year]]+Table26[Generic  Lifetime])</f>
        <v>2037</v>
      </c>
      <c r="K64" s="8">
        <v>1.3</v>
      </c>
      <c r="L64" s="8"/>
      <c r="M64" s="11"/>
    </row>
    <row r="65" spans="3:13">
      <c r="C65" s="8" t="s">
        <v>3</v>
      </c>
      <c r="D65" s="8" t="s">
        <v>73</v>
      </c>
      <c r="E65" s="8">
        <v>1990</v>
      </c>
      <c r="F65" s="9">
        <v>1.01737867435159</v>
      </c>
      <c r="G65" s="9" t="s">
        <v>202</v>
      </c>
      <c r="H65" s="8">
        <f>IF(Table15[[#This Row],[Lifetime Option]]="fixed",Table15[[#This Row],[End of life (fixed)]]-Table15[[#This Row],[Start year]],Table26[Generic  Lifetime])</f>
        <v>50</v>
      </c>
      <c r="I65" s="8"/>
      <c r="J65" s="8">
        <f>IF(Table15[[#This Row],[Lifetime Option]]="fixed",Table15[[#This Row],[End of life (fixed)]],Table15[[#This Row],[Start year]]+Table26[Generic  Lifetime])</f>
        <v>2040</v>
      </c>
      <c r="K65" s="8">
        <v>1.3</v>
      </c>
      <c r="L65" s="8"/>
      <c r="M65" s="11"/>
    </row>
    <row r="66" spans="3:13">
      <c r="C66" s="8" t="s">
        <v>3</v>
      </c>
      <c r="D66" s="8" t="s">
        <v>74</v>
      </c>
      <c r="E66" s="8">
        <v>1991</v>
      </c>
      <c r="F66" s="9">
        <v>1.01737867435159</v>
      </c>
      <c r="G66" s="9" t="s">
        <v>202</v>
      </c>
      <c r="H66" s="8">
        <f>IF(Table15[[#This Row],[Lifetime Option]]="fixed",Table15[[#This Row],[End of life (fixed)]]-Table15[[#This Row],[Start year]],Table26[Generic  Lifetime])</f>
        <v>50</v>
      </c>
      <c r="I66" s="8"/>
      <c r="J66" s="8">
        <f>IF(Table15[[#This Row],[Lifetime Option]]="fixed",Table15[[#This Row],[End of life (fixed)]],Table15[[#This Row],[Start year]]+Table26[Generic  Lifetime])</f>
        <v>2041</v>
      </c>
      <c r="K66" s="8">
        <v>1.3</v>
      </c>
      <c r="L66" s="8"/>
      <c r="M66" s="11"/>
    </row>
    <row r="67" spans="3:13">
      <c r="C67" s="8" t="s">
        <v>3</v>
      </c>
      <c r="D67" s="8" t="s">
        <v>75</v>
      </c>
      <c r="E67" s="8">
        <v>1982</v>
      </c>
      <c r="F67" s="9">
        <v>0.99843002369838396</v>
      </c>
      <c r="G67" s="9" t="s">
        <v>202</v>
      </c>
      <c r="H67" s="8">
        <f>IF(Table15[[#This Row],[Lifetime Option]]="fixed",Table15[[#This Row],[End of life (fixed)]]-Table15[[#This Row],[Start year]],Table26[Generic  Lifetime])</f>
        <v>50</v>
      </c>
      <c r="I67" s="8"/>
      <c r="J67" s="8">
        <f>IF(Table15[[#This Row],[Lifetime Option]]="fixed",Table15[[#This Row],[End of life (fixed)]],Table15[[#This Row],[Start year]]+Table26[Generic  Lifetime])</f>
        <v>2032</v>
      </c>
      <c r="K67" s="8">
        <v>0.90500000000000003</v>
      </c>
      <c r="L67" s="8"/>
      <c r="M67" s="11"/>
    </row>
    <row r="68" spans="3:13">
      <c r="C68" s="8" t="s">
        <v>3</v>
      </c>
      <c r="D68" s="8" t="s">
        <v>76</v>
      </c>
      <c r="E68" s="8">
        <v>1983</v>
      </c>
      <c r="F68" s="9">
        <v>0.99843002369838396</v>
      </c>
      <c r="G68" s="9" t="s">
        <v>202</v>
      </c>
      <c r="H68" s="8">
        <f>IF(Table15[[#This Row],[Lifetime Option]]="fixed",Table15[[#This Row],[End of life (fixed)]]-Table15[[#This Row],[Start year]],Table26[Generic  Lifetime])</f>
        <v>50</v>
      </c>
      <c r="I68" s="8"/>
      <c r="J68" s="8">
        <f>IF(Table15[[#This Row],[Lifetime Option]]="fixed",Table15[[#This Row],[End of life (fixed)]],Table15[[#This Row],[Start year]]+Table26[Generic  Lifetime])</f>
        <v>2033</v>
      </c>
      <c r="K68" s="8">
        <v>0.90500000000000003</v>
      </c>
      <c r="L68" s="8"/>
      <c r="M68" s="11"/>
    </row>
    <row r="69" spans="3:13">
      <c r="C69" s="8" t="s">
        <v>3</v>
      </c>
      <c r="D69" s="8" t="s">
        <v>77</v>
      </c>
      <c r="E69" s="8">
        <v>1986</v>
      </c>
      <c r="F69" s="9">
        <v>0.99843002369838396</v>
      </c>
      <c r="G69" s="9" t="s">
        <v>202</v>
      </c>
      <c r="H69" s="8">
        <f>IF(Table15[[#This Row],[Lifetime Option]]="fixed",Table15[[#This Row],[End of life (fixed)]]-Table15[[#This Row],[Start year]],Table26[Generic  Lifetime])</f>
        <v>50</v>
      </c>
      <c r="I69" s="8"/>
      <c r="J69" s="8">
        <f>IF(Table15[[#This Row],[Lifetime Option]]="fixed",Table15[[#This Row],[End of life (fixed)]],Table15[[#This Row],[Start year]]+Table26[Generic  Lifetime])</f>
        <v>2036</v>
      </c>
      <c r="K69" s="8">
        <v>0.90500000000000003</v>
      </c>
      <c r="L69" s="8"/>
      <c r="M69" s="11"/>
    </row>
    <row r="70" spans="3:13">
      <c r="C70" s="8" t="s">
        <v>3</v>
      </c>
      <c r="D70" s="8" t="s">
        <v>78</v>
      </c>
      <c r="E70" s="8">
        <v>1987</v>
      </c>
      <c r="F70" s="9">
        <v>0.99843002369838396</v>
      </c>
      <c r="G70" s="9" t="s">
        <v>202</v>
      </c>
      <c r="H70" s="8">
        <f>IF(Table15[[#This Row],[Lifetime Option]]="fixed",Table15[[#This Row],[End of life (fixed)]]-Table15[[#This Row],[Start year]],Table26[Generic  Lifetime])</f>
        <v>50</v>
      </c>
      <c r="I70" s="8"/>
      <c r="J70" s="8">
        <f>IF(Table15[[#This Row],[Lifetime Option]]="fixed",Table15[[#This Row],[End of life (fixed)]],Table15[[#This Row],[Start year]]+Table26[Generic  Lifetime])</f>
        <v>2037</v>
      </c>
      <c r="K70" s="8">
        <v>0.90500000000000003</v>
      </c>
      <c r="L70" s="8"/>
      <c r="M70" s="11"/>
    </row>
    <row r="71" spans="3:13">
      <c r="C71" s="8" t="s">
        <v>3</v>
      </c>
      <c r="D71" s="8" t="s">
        <v>79</v>
      </c>
      <c r="E71" s="8">
        <v>1996</v>
      </c>
      <c r="F71" s="9">
        <v>1.2310482435597201</v>
      </c>
      <c r="G71" s="9" t="s">
        <v>202</v>
      </c>
      <c r="H71" s="8">
        <f>IF(Table15[[#This Row],[Lifetime Option]]="fixed",Table15[[#This Row],[End of life (fixed)]]-Table15[[#This Row],[Start year]],Table26[Generic  Lifetime])</f>
        <v>50</v>
      </c>
      <c r="I71" s="8"/>
      <c r="J71" s="8">
        <f>IF(Table15[[#This Row],[Lifetime Option]]="fixed",Table15[[#This Row],[End of life (fixed)]],Table15[[#This Row],[Start year]]+Table26[Generic  Lifetime])</f>
        <v>2046</v>
      </c>
      <c r="K71" s="8">
        <v>1.5</v>
      </c>
      <c r="L71" s="8"/>
      <c r="M71" s="11"/>
    </row>
    <row r="72" spans="3:13">
      <c r="C72" s="8" t="s">
        <v>3</v>
      </c>
      <c r="D72" s="8" t="s">
        <v>80</v>
      </c>
      <c r="E72" s="8">
        <v>1997</v>
      </c>
      <c r="F72" s="9">
        <v>1.2310482435597201</v>
      </c>
      <c r="G72" s="9" t="s">
        <v>202</v>
      </c>
      <c r="H72" s="8">
        <f>IF(Table15[[#This Row],[Lifetime Option]]="fixed",Table15[[#This Row],[End of life (fixed)]]-Table15[[#This Row],[Start year]],Table26[Generic  Lifetime])</f>
        <v>50</v>
      </c>
      <c r="I72" s="8"/>
      <c r="J72" s="8">
        <f>IF(Table15[[#This Row],[Lifetime Option]]="fixed",Table15[[#This Row],[End of life (fixed)]],Table15[[#This Row],[Start year]]+Table26[Generic  Lifetime])</f>
        <v>2047</v>
      </c>
      <c r="K72" s="8">
        <v>1.5</v>
      </c>
      <c r="L72" s="8"/>
      <c r="M72" s="11"/>
    </row>
    <row r="73" spans="3:13">
      <c r="C73" s="8" t="s">
        <v>3</v>
      </c>
      <c r="D73" s="8" t="s">
        <v>81</v>
      </c>
      <c r="E73" s="8">
        <v>1997</v>
      </c>
      <c r="F73" s="9">
        <v>1.10549508196721</v>
      </c>
      <c r="G73" s="9" t="s">
        <v>202</v>
      </c>
      <c r="H73" s="8">
        <f>IF(Table15[[#This Row],[Lifetime Option]]="fixed",Table15[[#This Row],[End of life (fixed)]]-Table15[[#This Row],[Start year]],Table26[Generic  Lifetime])</f>
        <v>50</v>
      </c>
      <c r="I73" s="8"/>
      <c r="J73" s="8">
        <f>IF(Table15[[#This Row],[Lifetime Option]]="fixed",Table15[[#This Row],[End of life (fixed)]],Table15[[#This Row],[Start year]]+Table26[Generic  Lifetime])</f>
        <v>2047</v>
      </c>
      <c r="K73" s="8">
        <v>1.4950000000000001</v>
      </c>
      <c r="L73" s="8"/>
      <c r="M73" s="11"/>
    </row>
    <row r="74" spans="3:13">
      <c r="C74" s="8" t="s">
        <v>3</v>
      </c>
      <c r="D74" s="8" t="s">
        <v>82</v>
      </c>
      <c r="E74" s="8">
        <v>1999</v>
      </c>
      <c r="F74" s="9">
        <v>1.10549508196721</v>
      </c>
      <c r="G74" s="9" t="s">
        <v>202</v>
      </c>
      <c r="H74" s="8">
        <f>IF(Table15[[#This Row],[Lifetime Option]]="fixed",Table15[[#This Row],[End of life (fixed)]]-Table15[[#This Row],[Start year]],Table26[Generic  Lifetime])</f>
        <v>50</v>
      </c>
      <c r="I74" s="8"/>
      <c r="J74" s="8">
        <f>IF(Table15[[#This Row],[Lifetime Option]]="fixed",Table15[[#This Row],[End of life (fixed)]],Table15[[#This Row],[Start year]]+Table26[Generic  Lifetime])</f>
        <v>2049</v>
      </c>
      <c r="K74" s="8">
        <v>1.4950000000000001</v>
      </c>
      <c r="L74" s="8"/>
      <c r="M74" s="11"/>
    </row>
    <row r="75" spans="3:13">
      <c r="C75" s="8" t="s">
        <v>3</v>
      </c>
      <c r="D75" s="8" t="s">
        <v>83</v>
      </c>
      <c r="E75" s="8">
        <v>1983</v>
      </c>
      <c r="F75" s="9">
        <v>1.0005231684021501</v>
      </c>
      <c r="G75" s="9" t="s">
        <v>202</v>
      </c>
      <c r="H75" s="8">
        <f>IF(Table15[[#This Row],[Lifetime Option]]="fixed",Table15[[#This Row],[End of life (fixed)]]-Table15[[#This Row],[Start year]],Table26[Generic  Lifetime])</f>
        <v>50</v>
      </c>
      <c r="I75" s="8"/>
      <c r="J75" s="8">
        <f>IF(Table15[[#This Row],[Lifetime Option]]="fixed",Table15[[#This Row],[End of life (fixed)]],Table15[[#This Row],[Start year]]+Table26[Generic  Lifetime])</f>
        <v>2033</v>
      </c>
      <c r="K75" s="8">
        <v>0.91500000000000004</v>
      </c>
      <c r="L75" s="8"/>
      <c r="M75" s="11"/>
    </row>
    <row r="76" spans="3:13">
      <c r="C76" s="8" t="s">
        <v>3</v>
      </c>
      <c r="D76" s="8" t="s">
        <v>84</v>
      </c>
      <c r="E76" s="8">
        <v>1984</v>
      </c>
      <c r="F76" s="9">
        <v>1.0005231684021501</v>
      </c>
      <c r="G76" s="9" t="s">
        <v>202</v>
      </c>
      <c r="H76" s="8">
        <f>IF(Table15[[#This Row],[Lifetime Option]]="fixed",Table15[[#This Row],[End of life (fixed)]]-Table15[[#This Row],[Start year]],Table26[Generic  Lifetime])</f>
        <v>50</v>
      </c>
      <c r="I76" s="8"/>
      <c r="J76" s="8">
        <f>IF(Table15[[#This Row],[Lifetime Option]]="fixed",Table15[[#This Row],[End of life (fixed)]],Table15[[#This Row],[Start year]]+Table26[Generic  Lifetime])</f>
        <v>2034</v>
      </c>
      <c r="K76" s="8">
        <v>0.91500000000000004</v>
      </c>
      <c r="L76" s="8"/>
      <c r="M76" s="11"/>
    </row>
    <row r="77" spans="3:13">
      <c r="C77" s="8" t="s">
        <v>3</v>
      </c>
      <c r="D77" s="8" t="s">
        <v>85</v>
      </c>
      <c r="E77" s="8">
        <v>1984</v>
      </c>
      <c r="F77" s="9">
        <v>1.0005231684021501</v>
      </c>
      <c r="G77" s="9" t="s">
        <v>202</v>
      </c>
      <c r="H77" s="8">
        <f>IF(Table15[[#This Row],[Lifetime Option]]="fixed",Table15[[#This Row],[End of life (fixed)]]-Table15[[#This Row],[Start year]],Table26[Generic  Lifetime])</f>
        <v>50</v>
      </c>
      <c r="I77" s="8"/>
      <c r="J77" s="8">
        <f>IF(Table15[[#This Row],[Lifetime Option]]="fixed",Table15[[#This Row],[End of life (fixed)]],Table15[[#This Row],[Start year]]+Table26[Generic  Lifetime])</f>
        <v>2034</v>
      </c>
      <c r="K77" s="8">
        <v>0.91500000000000004</v>
      </c>
      <c r="L77" s="8"/>
      <c r="M77" s="11"/>
    </row>
    <row r="78" spans="3:13">
      <c r="C78" s="8" t="s">
        <v>3</v>
      </c>
      <c r="D78" s="8" t="s">
        <v>86</v>
      </c>
      <c r="E78" s="8">
        <v>1984</v>
      </c>
      <c r="F78" s="9">
        <v>1.0005231684021501</v>
      </c>
      <c r="G78" s="9" t="s">
        <v>202</v>
      </c>
      <c r="H78" s="8">
        <f>IF(Table15[[#This Row],[Lifetime Option]]="fixed",Table15[[#This Row],[End of life (fixed)]]-Table15[[#This Row],[Start year]],Table26[Generic  Lifetime])</f>
        <v>50</v>
      </c>
      <c r="I78" s="8"/>
      <c r="J78" s="8">
        <f>IF(Table15[[#This Row],[Lifetime Option]]="fixed",Table15[[#This Row],[End of life (fixed)]],Table15[[#This Row],[Start year]]+Table26[Generic  Lifetime])</f>
        <v>2034</v>
      </c>
      <c r="K78" s="8">
        <v>0.91500000000000004</v>
      </c>
      <c r="L78" s="8"/>
      <c r="M78" s="11"/>
    </row>
    <row r="79" spans="3:13">
      <c r="C79" s="8" t="s">
        <v>3</v>
      </c>
      <c r="D79" s="8" t="s">
        <v>87</v>
      </c>
      <c r="E79" s="8">
        <v>1980</v>
      </c>
      <c r="F79" s="9">
        <v>0.98063829371633704</v>
      </c>
      <c r="G79" s="9" t="s">
        <v>202</v>
      </c>
      <c r="H79" s="8">
        <f>IF(Table15[[#This Row],[Lifetime Option]]="fixed",Table15[[#This Row],[End of life (fixed)]]-Table15[[#This Row],[Start year]],Table26[Generic  Lifetime])</f>
        <v>50</v>
      </c>
      <c r="I79" s="8"/>
      <c r="J79" s="8">
        <f>IF(Table15[[#This Row],[Lifetime Option]]="fixed",Table15[[#This Row],[End of life (fixed)]],Table15[[#This Row],[Start year]]+Table26[Generic  Lifetime])</f>
        <v>2030</v>
      </c>
      <c r="K79" s="8">
        <v>0.89</v>
      </c>
      <c r="L79" s="8"/>
      <c r="M79" s="11"/>
    </row>
    <row r="80" spans="3:13">
      <c r="C80" s="8" t="s">
        <v>3</v>
      </c>
      <c r="D80" s="8" t="s">
        <v>88</v>
      </c>
      <c r="E80" s="8">
        <v>1980</v>
      </c>
      <c r="F80" s="9">
        <v>0.98063829371633704</v>
      </c>
      <c r="G80" s="9" t="s">
        <v>202</v>
      </c>
      <c r="H80" s="8">
        <f>IF(Table15[[#This Row],[Lifetime Option]]="fixed",Table15[[#This Row],[End of life (fixed)]]-Table15[[#This Row],[Start year]],Table26[Generic  Lifetime])</f>
        <v>50</v>
      </c>
      <c r="I80" s="8"/>
      <c r="J80" s="8">
        <f>IF(Table15[[#This Row],[Lifetime Option]]="fixed",Table15[[#This Row],[End of life (fixed)]],Table15[[#This Row],[Start year]]+Table26[Generic  Lifetime])</f>
        <v>2030</v>
      </c>
      <c r="K80" s="8">
        <v>0.89</v>
      </c>
      <c r="L80" s="8"/>
      <c r="M80" s="11"/>
    </row>
    <row r="81" spans="3:13">
      <c r="C81" s="8" t="s">
        <v>3</v>
      </c>
      <c r="D81" s="8" t="s">
        <v>89</v>
      </c>
      <c r="E81" s="8">
        <v>1981</v>
      </c>
      <c r="F81" s="9">
        <v>0.98063829371633704</v>
      </c>
      <c r="G81" s="9" t="s">
        <v>202</v>
      </c>
      <c r="H81" s="8">
        <f>IF(Table15[[#This Row],[Lifetime Option]]="fixed",Table15[[#This Row],[End of life (fixed)]]-Table15[[#This Row],[Start year]],Table26[Generic  Lifetime])</f>
        <v>50</v>
      </c>
      <c r="I81" s="8"/>
      <c r="J81" s="8">
        <f>IF(Table15[[#This Row],[Lifetime Option]]="fixed",Table15[[#This Row],[End of life (fixed)]],Table15[[#This Row],[Start year]]+Table26[Generic  Lifetime])</f>
        <v>2031</v>
      </c>
      <c r="K81" s="8">
        <v>0.89</v>
      </c>
      <c r="L81" s="8"/>
      <c r="M81" s="11"/>
    </row>
    <row r="82" spans="3:13">
      <c r="C82" s="8" t="s">
        <v>3</v>
      </c>
      <c r="D82" s="8" t="s">
        <v>90</v>
      </c>
      <c r="E82" s="8">
        <v>1981</v>
      </c>
      <c r="F82" s="9">
        <v>0.98063829371633704</v>
      </c>
      <c r="G82" s="9" t="s">
        <v>202</v>
      </c>
      <c r="H82" s="8">
        <f>IF(Table15[[#This Row],[Lifetime Option]]="fixed",Table15[[#This Row],[End of life (fixed)]]-Table15[[#This Row],[Start year]],Table26[Generic  Lifetime])</f>
        <v>50</v>
      </c>
      <c r="I82" s="8"/>
      <c r="J82" s="8">
        <f>IF(Table15[[#This Row],[Lifetime Option]]="fixed",Table15[[#This Row],[End of life (fixed)]],Table15[[#This Row],[Start year]]+Table26[Generic  Lifetime])</f>
        <v>2031</v>
      </c>
      <c r="K82" s="8">
        <v>0.89</v>
      </c>
      <c r="L82" s="8"/>
      <c r="M82" s="11"/>
    </row>
    <row r="83" spans="3:13">
      <c r="C83" s="8" t="s">
        <v>3</v>
      </c>
      <c r="D83" s="8" t="s">
        <v>91</v>
      </c>
      <c r="E83" s="8">
        <v>1977</v>
      </c>
      <c r="F83" s="9">
        <v>1.31483909774436</v>
      </c>
      <c r="G83" s="9" t="s">
        <v>201</v>
      </c>
      <c r="H83" s="8">
        <f>IF(Table15[[#This Row],[Lifetime Option]]="fixed",Table15[[#This Row],[End of life (fixed)]]-Table15[[#This Row],[Start year]],Table26[Generic  Lifetime])</f>
        <v>40</v>
      </c>
      <c r="I83" s="8">
        <v>2017</v>
      </c>
      <c r="J83" s="8">
        <f>IF(Table15[[#This Row],[Lifetime Option]]="fixed",Table15[[#This Row],[End of life (fixed)]],Table15[[#This Row],[Start year]]+Table26[Generic  Lifetime])</f>
        <v>2017</v>
      </c>
      <c r="K83" s="8">
        <v>0.88</v>
      </c>
      <c r="L83" s="8" t="s">
        <v>187</v>
      </c>
      <c r="M83" s="11"/>
    </row>
    <row r="84" spans="3:13">
      <c r="C84" s="8" t="s">
        <v>3</v>
      </c>
      <c r="D84" s="8" t="s">
        <v>92</v>
      </c>
      <c r="E84" s="8">
        <v>1977</v>
      </c>
      <c r="F84" s="9">
        <v>1.31483909774436</v>
      </c>
      <c r="G84" s="9" t="s">
        <v>201</v>
      </c>
      <c r="H84" s="8">
        <f>IF(Table15[[#This Row],[Lifetime Option]]="fixed",Table15[[#This Row],[End of life (fixed)]]-Table15[[#This Row],[Start year]],Table26[Generic  Lifetime])</f>
        <v>40</v>
      </c>
      <c r="I84" s="8">
        <v>2017</v>
      </c>
      <c r="J84" s="8">
        <f>IF(Table15[[#This Row],[Lifetime Option]]="fixed",Table15[[#This Row],[End of life (fixed)]],Table15[[#This Row],[Start year]]+Table26[Generic  Lifetime])</f>
        <v>2017</v>
      </c>
      <c r="K84" s="8">
        <v>0.88</v>
      </c>
      <c r="L84" s="8" t="s">
        <v>187</v>
      </c>
      <c r="M84" s="11"/>
    </row>
    <row r="85" spans="3:13">
      <c r="C85" s="8" t="s">
        <v>3</v>
      </c>
      <c r="D85" s="8" t="s">
        <v>93</v>
      </c>
      <c r="E85" s="8">
        <v>1985</v>
      </c>
      <c r="F85" s="9">
        <v>1.0323181556195999</v>
      </c>
      <c r="G85" s="9" t="s">
        <v>202</v>
      </c>
      <c r="H85" s="8">
        <f>IF(Table15[[#This Row],[Lifetime Option]]="fixed",Table15[[#This Row],[End of life (fixed)]]-Table15[[#This Row],[Start year]],Table26[Generic  Lifetime])</f>
        <v>50</v>
      </c>
      <c r="I85" s="8"/>
      <c r="J85" s="8">
        <f>IF(Table15[[#This Row],[Lifetime Option]]="fixed",Table15[[#This Row],[End of life (fixed)]],Table15[[#This Row],[Start year]]+Table26[Generic  Lifetime])</f>
        <v>2035</v>
      </c>
      <c r="K85" s="8">
        <v>1.33</v>
      </c>
      <c r="L85" s="8"/>
      <c r="M85" s="11"/>
    </row>
    <row r="86" spans="3:13">
      <c r="C86" s="8" t="s">
        <v>3</v>
      </c>
      <c r="D86" s="8" t="s">
        <v>94</v>
      </c>
      <c r="E86" s="8">
        <v>1986</v>
      </c>
      <c r="F86" s="9">
        <v>1.0323181556195999</v>
      </c>
      <c r="G86" s="9" t="s">
        <v>202</v>
      </c>
      <c r="H86" s="8">
        <f>IF(Table15[[#This Row],[Lifetime Option]]="fixed",Table15[[#This Row],[End of life (fixed)]]-Table15[[#This Row],[Start year]],Table26[Generic  Lifetime])</f>
        <v>50</v>
      </c>
      <c r="I86" s="8"/>
      <c r="J86" s="8">
        <f>IF(Table15[[#This Row],[Lifetime Option]]="fixed",Table15[[#This Row],[End of life (fixed)]],Table15[[#This Row],[Start year]]+Table26[Generic  Lifetime])</f>
        <v>2036</v>
      </c>
      <c r="K86" s="8">
        <v>1.33</v>
      </c>
      <c r="L86" s="8"/>
      <c r="M86" s="11"/>
    </row>
    <row r="87" spans="3:13">
      <c r="C87" s="8" t="s">
        <v>3</v>
      </c>
      <c r="D87" s="8" t="s">
        <v>95</v>
      </c>
      <c r="E87" s="8">
        <v>1990</v>
      </c>
      <c r="F87" s="9">
        <v>1.0181256484149901</v>
      </c>
      <c r="G87" s="9" t="s">
        <v>202</v>
      </c>
      <c r="H87" s="8">
        <f>IF(Table15[[#This Row],[Lifetime Option]]="fixed",Table15[[#This Row],[End of life (fixed)]]-Table15[[#This Row],[Start year]],Table26[Generic  Lifetime])</f>
        <v>50</v>
      </c>
      <c r="I87" s="8"/>
      <c r="J87" s="8">
        <f>IF(Table15[[#This Row],[Lifetime Option]]="fixed",Table15[[#This Row],[End of life (fixed)]],Table15[[#This Row],[Start year]]+Table26[Generic  Lifetime])</f>
        <v>2040</v>
      </c>
      <c r="K87" s="8">
        <v>1.31</v>
      </c>
      <c r="L87" s="8"/>
      <c r="M87" s="11"/>
    </row>
    <row r="88" spans="3:13">
      <c r="C88" s="8" t="s">
        <v>3</v>
      </c>
      <c r="D88" s="8" t="s">
        <v>96</v>
      </c>
      <c r="E88" s="8">
        <v>1993</v>
      </c>
      <c r="F88" s="9">
        <v>1.0181256484149901</v>
      </c>
      <c r="G88" s="9" t="s">
        <v>202</v>
      </c>
      <c r="H88" s="8">
        <f>IF(Table15[[#This Row],[Lifetime Option]]="fixed",Table15[[#This Row],[End of life (fixed)]]-Table15[[#This Row],[Start year]],Table26[Generic  Lifetime])</f>
        <v>50</v>
      </c>
      <c r="I88" s="8"/>
      <c r="J88" s="8">
        <f>IF(Table15[[#This Row],[Lifetime Option]]="fixed",Table15[[#This Row],[End of life (fixed)]],Table15[[#This Row],[Start year]]+Table26[Generic  Lifetime])</f>
        <v>2043</v>
      </c>
      <c r="K88" s="8">
        <v>1.31</v>
      </c>
      <c r="L88" s="8"/>
      <c r="M88" s="11"/>
    </row>
    <row r="89" spans="3:13">
      <c r="C89" s="8" t="s">
        <v>3</v>
      </c>
      <c r="D89" s="8" t="s">
        <v>97</v>
      </c>
      <c r="E89" s="8">
        <v>1980</v>
      </c>
      <c r="F89" s="9">
        <v>0.99529030664272899</v>
      </c>
      <c r="G89" s="9" t="s">
        <v>202</v>
      </c>
      <c r="H89" s="8">
        <f>IF(Table15[[#This Row],[Lifetime Option]]="fixed",Table15[[#This Row],[End of life (fixed)]]-Table15[[#This Row],[Start year]],Table26[Generic  Lifetime])</f>
        <v>50</v>
      </c>
      <c r="I89" s="8"/>
      <c r="J89" s="8">
        <f>IF(Table15[[#This Row],[Lifetime Option]]="fixed",Table15[[#This Row],[End of life (fixed)]],Table15[[#This Row],[Start year]]+Table26[Generic  Lifetime])</f>
        <v>2030</v>
      </c>
      <c r="K89" s="8">
        <v>0.91</v>
      </c>
      <c r="L89" s="8"/>
      <c r="M89" s="11"/>
    </row>
    <row r="90" spans="3:13">
      <c r="C90" s="8" t="s">
        <v>3</v>
      </c>
      <c r="D90" s="8" t="s">
        <v>98</v>
      </c>
      <c r="E90" s="8">
        <v>1980</v>
      </c>
      <c r="F90" s="9">
        <v>0.99529030664272899</v>
      </c>
      <c r="G90" s="9" t="s">
        <v>202</v>
      </c>
      <c r="H90" s="8">
        <f>IF(Table15[[#This Row],[Lifetime Option]]="fixed",Table15[[#This Row],[End of life (fixed)]]-Table15[[#This Row],[Start year]],Table26[Generic  Lifetime])</f>
        <v>50</v>
      </c>
      <c r="I90" s="8"/>
      <c r="J90" s="8">
        <f>IF(Table15[[#This Row],[Lifetime Option]]="fixed",Table15[[#This Row],[End of life (fixed)]],Table15[[#This Row],[Start year]]+Table26[Generic  Lifetime])</f>
        <v>2030</v>
      </c>
      <c r="K90" s="8">
        <v>0.91</v>
      </c>
      <c r="L90" s="8"/>
      <c r="M90" s="11"/>
    </row>
    <row r="91" spans="3:13">
      <c r="C91" s="8" t="s">
        <v>3</v>
      </c>
      <c r="D91" s="8" t="s">
        <v>99</v>
      </c>
      <c r="E91" s="8">
        <v>1980</v>
      </c>
      <c r="F91" s="9">
        <v>0.99529030664272899</v>
      </c>
      <c r="G91" s="9" t="s">
        <v>202</v>
      </c>
      <c r="H91" s="8">
        <f>IF(Table15[[#This Row],[Lifetime Option]]="fixed",Table15[[#This Row],[End of life (fixed)]]-Table15[[#This Row],[Start year]],Table26[Generic  Lifetime])</f>
        <v>50</v>
      </c>
      <c r="I91" s="8"/>
      <c r="J91" s="8">
        <f>IF(Table15[[#This Row],[Lifetime Option]]="fixed",Table15[[#This Row],[End of life (fixed)]],Table15[[#This Row],[Start year]]+Table26[Generic  Lifetime])</f>
        <v>2030</v>
      </c>
      <c r="K91" s="8">
        <v>0.91</v>
      </c>
      <c r="L91" s="8"/>
      <c r="M91" s="11"/>
    </row>
    <row r="92" spans="3:13">
      <c r="C92" s="8" t="s">
        <v>3</v>
      </c>
      <c r="D92" s="8" t="s">
        <v>100</v>
      </c>
      <c r="E92" s="8">
        <v>1981</v>
      </c>
      <c r="F92" s="9">
        <v>0.99529030664272899</v>
      </c>
      <c r="G92" s="9" t="s">
        <v>202</v>
      </c>
      <c r="H92" s="8">
        <f>IF(Table15[[#This Row],[Lifetime Option]]="fixed",Table15[[#This Row],[End of life (fixed)]]-Table15[[#This Row],[Start year]],Table26[Generic  Lifetime])</f>
        <v>50</v>
      </c>
      <c r="I92" s="8"/>
      <c r="J92" s="8">
        <f>IF(Table15[[#This Row],[Lifetime Option]]="fixed",Table15[[#This Row],[End of life (fixed)]],Table15[[#This Row],[Start year]]+Table26[Generic  Lifetime])</f>
        <v>2031</v>
      </c>
      <c r="K92" s="8">
        <v>0.91</v>
      </c>
      <c r="L92" s="8"/>
      <c r="M92" s="11"/>
    </row>
    <row r="93" spans="3:13">
      <c r="C93" s="8" t="s">
        <v>3</v>
      </c>
      <c r="D93" s="8" t="s">
        <v>101</v>
      </c>
      <c r="E93" s="8">
        <v>1984</v>
      </c>
      <c r="F93" s="9">
        <v>1.3866501974865399</v>
      </c>
      <c r="G93" s="9" t="s">
        <v>202</v>
      </c>
      <c r="H93" s="8">
        <f>IF(Table15[[#This Row],[Lifetime Option]]="fixed",Table15[[#This Row],[End of life (fixed)]]-Table15[[#This Row],[Start year]],Table26[Generic  Lifetime])</f>
        <v>50</v>
      </c>
      <c r="I93" s="8"/>
      <c r="J93" s="8">
        <f>IF(Table15[[#This Row],[Lifetime Option]]="fixed",Table15[[#This Row],[End of life (fixed)]],Table15[[#This Row],[Start year]]+Table26[Generic  Lifetime])</f>
        <v>2034</v>
      </c>
      <c r="K93" s="8">
        <v>0.91</v>
      </c>
      <c r="L93" s="8"/>
      <c r="M93" s="11"/>
    </row>
    <row r="94" spans="3:13">
      <c r="C94" s="8" t="s">
        <v>3</v>
      </c>
      <c r="D94" s="8" t="s">
        <v>102</v>
      </c>
      <c r="E94" s="8">
        <v>1985</v>
      </c>
      <c r="F94" s="9">
        <v>1.38665019748653</v>
      </c>
      <c r="G94" s="9" t="s">
        <v>202</v>
      </c>
      <c r="H94" s="8">
        <f>IF(Table15[[#This Row],[Lifetime Option]]="fixed",Table15[[#This Row],[End of life (fixed)]]-Table15[[#This Row],[Start year]],Table26[Generic  Lifetime])</f>
        <v>50</v>
      </c>
      <c r="I94" s="8"/>
      <c r="J94" s="8">
        <f>IF(Table15[[#This Row],[Lifetime Option]]="fixed",Table15[[#This Row],[End of life (fixed)]],Table15[[#This Row],[Start year]]+Table26[Generic  Lifetime])</f>
        <v>2035</v>
      </c>
      <c r="K94" s="8">
        <v>0.91</v>
      </c>
      <c r="L94" s="8"/>
      <c r="M94" s="11"/>
    </row>
    <row r="95" spans="3:13">
      <c r="C95" s="8" t="s">
        <v>3</v>
      </c>
      <c r="D95" s="8" t="s">
        <v>103</v>
      </c>
      <c r="E95" s="8">
        <v>1987</v>
      </c>
      <c r="F95" s="9">
        <v>1.0181256484149901</v>
      </c>
      <c r="G95" s="9" t="s">
        <v>202</v>
      </c>
      <c r="H95" s="8">
        <f>IF(Table15[[#This Row],[Lifetime Option]]="fixed",Table15[[#This Row],[End of life (fixed)]]-Table15[[#This Row],[Start year]],Table26[Generic  Lifetime])</f>
        <v>50</v>
      </c>
      <c r="I95" s="8"/>
      <c r="J95" s="8">
        <f>IF(Table15[[#This Row],[Lifetime Option]]="fixed",Table15[[#This Row],[End of life (fixed)]],Table15[[#This Row],[Start year]]+Table26[Generic  Lifetime])</f>
        <v>2037</v>
      </c>
      <c r="K95" s="8">
        <v>1.31</v>
      </c>
      <c r="L95" s="8"/>
      <c r="M95" s="11"/>
    </row>
    <row r="96" spans="3:13">
      <c r="C96" s="8" t="s">
        <v>3</v>
      </c>
      <c r="D96" s="8" t="s">
        <v>104</v>
      </c>
      <c r="E96" s="8">
        <v>1988</v>
      </c>
      <c r="F96" s="9">
        <v>1.0181256484149901</v>
      </c>
      <c r="G96" s="9" t="s">
        <v>202</v>
      </c>
      <c r="H96" s="8">
        <f>IF(Table15[[#This Row],[Lifetime Option]]="fixed",Table15[[#This Row],[End of life (fixed)]]-Table15[[#This Row],[Start year]],Table26[Generic  Lifetime])</f>
        <v>50</v>
      </c>
      <c r="I96" s="8"/>
      <c r="J96" s="8">
        <f>IF(Table15[[#This Row],[Lifetime Option]]="fixed",Table15[[#This Row],[End of life (fixed)]],Table15[[#This Row],[Start year]]+Table26[Generic  Lifetime])</f>
        <v>2038</v>
      </c>
      <c r="K96" s="8">
        <v>1.31</v>
      </c>
      <c r="L96" s="8"/>
      <c r="M96" s="11"/>
    </row>
    <row r="97" spans="3:13">
      <c r="C97" s="8" t="s">
        <v>3</v>
      </c>
      <c r="D97" s="8" t="s">
        <v>105</v>
      </c>
      <c r="E97" s="8">
        <v>1984</v>
      </c>
      <c r="F97" s="9">
        <v>1.0323181556195999</v>
      </c>
      <c r="G97" s="9" t="s">
        <v>202</v>
      </c>
      <c r="H97" s="8">
        <f>IF(Table15[[#This Row],[Lifetime Option]]="fixed",Table15[[#This Row],[End of life (fixed)]]-Table15[[#This Row],[Start year]],Table26[Generic  Lifetime])</f>
        <v>50</v>
      </c>
      <c r="I97" s="8"/>
      <c r="J97" s="8">
        <f>IF(Table15[[#This Row],[Lifetime Option]]="fixed",Table15[[#This Row],[End of life (fixed)]],Table15[[#This Row],[Start year]]+Table26[Generic  Lifetime])</f>
        <v>2034</v>
      </c>
      <c r="K97" s="8">
        <v>1.33</v>
      </c>
      <c r="L97" s="8"/>
      <c r="M97" s="11"/>
    </row>
    <row r="98" spans="3:13">
      <c r="C98" s="8" t="s">
        <v>3</v>
      </c>
      <c r="D98" s="8" t="s">
        <v>106</v>
      </c>
      <c r="E98" s="8">
        <v>1984</v>
      </c>
      <c r="F98" s="9">
        <v>1.0323181556195999</v>
      </c>
      <c r="G98" s="9" t="s">
        <v>202</v>
      </c>
      <c r="H98" s="8">
        <f>IF(Table15[[#This Row],[Lifetime Option]]="fixed",Table15[[#This Row],[End of life (fixed)]]-Table15[[#This Row],[Start year]],Table26[Generic  Lifetime])</f>
        <v>50</v>
      </c>
      <c r="I98" s="8"/>
      <c r="J98" s="8">
        <f>IF(Table15[[#This Row],[Lifetime Option]]="fixed",Table15[[#This Row],[End of life (fixed)]],Table15[[#This Row],[Start year]]+Table26[Generic  Lifetime])</f>
        <v>2034</v>
      </c>
      <c r="K98" s="8">
        <v>1.33</v>
      </c>
      <c r="L98" s="8"/>
      <c r="M98" s="11"/>
    </row>
    <row r="99" spans="3:13">
      <c r="C99" s="8" t="s">
        <v>3</v>
      </c>
      <c r="D99" s="8" t="s">
        <v>107</v>
      </c>
      <c r="E99" s="8">
        <v>1985</v>
      </c>
      <c r="F99" s="9">
        <v>1.0323181556195999</v>
      </c>
      <c r="G99" s="9" t="s">
        <v>202</v>
      </c>
      <c r="H99" s="8">
        <f>IF(Table15[[#This Row],[Lifetime Option]]="fixed",Table15[[#This Row],[End of life (fixed)]]-Table15[[#This Row],[Start year]],Table26[Generic  Lifetime])</f>
        <v>50</v>
      </c>
      <c r="I99" s="8"/>
      <c r="J99" s="8">
        <f>IF(Table15[[#This Row],[Lifetime Option]]="fixed",Table15[[#This Row],[End of life (fixed)]],Table15[[#This Row],[Start year]]+Table26[Generic  Lifetime])</f>
        <v>2035</v>
      </c>
      <c r="K99" s="8">
        <v>1.33</v>
      </c>
      <c r="L99" s="8"/>
      <c r="M99" s="11"/>
    </row>
    <row r="100" spans="3:13">
      <c r="C100" s="8" t="s">
        <v>3</v>
      </c>
      <c r="D100" s="8" t="s">
        <v>108</v>
      </c>
      <c r="E100" s="8">
        <v>1986</v>
      </c>
      <c r="F100" s="9">
        <v>1.0323181556195999</v>
      </c>
      <c r="G100" s="9" t="s">
        <v>202</v>
      </c>
      <c r="H100" s="8">
        <f>IF(Table15[[#This Row],[Lifetime Option]]="fixed",Table15[[#This Row],[End of life (fixed)]]-Table15[[#This Row],[Start year]],Table26[Generic  Lifetime])</f>
        <v>50</v>
      </c>
      <c r="I100" s="8"/>
      <c r="J100" s="8">
        <f>IF(Table15[[#This Row],[Lifetime Option]]="fixed",Table15[[#This Row],[End of life (fixed)]],Table15[[#This Row],[Start year]]+Table26[Generic  Lifetime])</f>
        <v>2036</v>
      </c>
      <c r="K100" s="8">
        <v>1.33</v>
      </c>
      <c r="L100" s="8"/>
      <c r="M100" s="11"/>
    </row>
    <row r="101" spans="3:13">
      <c r="C101" s="8" t="s">
        <v>3</v>
      </c>
      <c r="D101" s="8" t="s">
        <v>109</v>
      </c>
      <c r="E101" s="8">
        <v>1990</v>
      </c>
      <c r="F101" s="9">
        <v>1.0323181556195999</v>
      </c>
      <c r="G101" s="9" t="s">
        <v>202</v>
      </c>
      <c r="H101" s="8">
        <f>IF(Table15[[#This Row],[Lifetime Option]]="fixed",Table15[[#This Row],[End of life (fixed)]]-Table15[[#This Row],[Start year]],Table26[Generic  Lifetime])</f>
        <v>50</v>
      </c>
      <c r="I101" s="8"/>
      <c r="J101" s="8">
        <f>IF(Table15[[#This Row],[Lifetime Option]]="fixed",Table15[[#This Row],[End of life (fixed)]],Table15[[#This Row],[Start year]]+Table26[Generic  Lifetime])</f>
        <v>2040</v>
      </c>
      <c r="K101" s="8">
        <v>1.33</v>
      </c>
      <c r="L101" s="8"/>
      <c r="M101" s="11"/>
    </row>
    <row r="102" spans="3:13">
      <c r="C102" s="8" t="s">
        <v>3</v>
      </c>
      <c r="D102" s="8" t="s">
        <v>110</v>
      </c>
      <c r="E102" s="8">
        <v>1992</v>
      </c>
      <c r="F102" s="9">
        <v>1.0323181556195999</v>
      </c>
      <c r="G102" s="9" t="s">
        <v>202</v>
      </c>
      <c r="H102" s="8">
        <f>IF(Table15[[#This Row],[Lifetime Option]]="fixed",Table15[[#This Row],[End of life (fixed)]]-Table15[[#This Row],[Start year]],Table26[Generic  Lifetime])</f>
        <v>50</v>
      </c>
      <c r="I102" s="8"/>
      <c r="J102" s="8">
        <f>IF(Table15[[#This Row],[Lifetime Option]]="fixed",Table15[[#This Row],[End of life (fixed)]],Table15[[#This Row],[Start year]]+Table26[Generic  Lifetime])</f>
        <v>2042</v>
      </c>
      <c r="K102" s="8">
        <v>1.33</v>
      </c>
      <c r="L102" s="8"/>
      <c r="M102" s="11"/>
    </row>
    <row r="103" spans="3:13">
      <c r="C103" s="8" t="s">
        <v>3</v>
      </c>
      <c r="D103" s="8" t="s">
        <v>111</v>
      </c>
      <c r="E103" s="8">
        <v>1973</v>
      </c>
      <c r="F103" s="9">
        <v>2.85</v>
      </c>
      <c r="G103" s="9" t="s">
        <v>202</v>
      </c>
      <c r="H103" s="8">
        <f>IF(Table15[[#This Row],[Lifetime Option]]="fixed",Table15[[#This Row],[End of life (fixed)]]-Table15[[#This Row],[Start year]],Table26[Generic  Lifetime])</f>
        <v>50</v>
      </c>
      <c r="I103" s="8"/>
      <c r="J103" s="8">
        <f>IF(Table15[[#This Row],[Lifetime Option]]="fixed",Table15[[#This Row],[End of life (fixed)]],Table15[[#This Row],[Start year]]+Table26[Generic  Lifetime])</f>
        <v>2023</v>
      </c>
      <c r="K103" s="8">
        <v>0.13</v>
      </c>
      <c r="L103" s="8"/>
      <c r="M103" s="11"/>
    </row>
    <row r="104" spans="3:13">
      <c r="C104" s="8" t="s">
        <v>3</v>
      </c>
      <c r="D104" s="8" t="s">
        <v>112</v>
      </c>
      <c r="E104" s="8">
        <v>1985</v>
      </c>
      <c r="F104" s="9">
        <v>1.0315711815562001</v>
      </c>
      <c r="G104" s="9" t="s">
        <v>202</v>
      </c>
      <c r="H104" s="8">
        <f>IF(Table15[[#This Row],[Lifetime Option]]="fixed",Table15[[#This Row],[End of life (fixed)]]-Table15[[#This Row],[Start year]],Table26[Generic  Lifetime])</f>
        <v>50</v>
      </c>
      <c r="I104" s="8"/>
      <c r="J104" s="8">
        <f>IF(Table15[[#This Row],[Lifetime Option]]="fixed",Table15[[#This Row],[End of life (fixed)]],Table15[[#This Row],[Start year]]+Table26[Generic  Lifetime])</f>
        <v>2035</v>
      </c>
      <c r="K104" s="8">
        <v>1.335</v>
      </c>
      <c r="L104" s="8"/>
      <c r="M104" s="11"/>
    </row>
    <row r="105" spans="3:13">
      <c r="C105" s="8" t="s">
        <v>3</v>
      </c>
      <c r="D105" s="8" t="s">
        <v>113</v>
      </c>
      <c r="E105" s="8">
        <v>1986</v>
      </c>
      <c r="F105" s="9">
        <v>1.0315711815562001</v>
      </c>
      <c r="G105" s="9" t="s">
        <v>202</v>
      </c>
      <c r="H105" s="8">
        <f>IF(Table15[[#This Row],[Lifetime Option]]="fixed",Table15[[#This Row],[End of life (fixed)]]-Table15[[#This Row],[Start year]],Table26[Generic  Lifetime])</f>
        <v>50</v>
      </c>
      <c r="I105" s="8"/>
      <c r="J105" s="8">
        <f>IF(Table15[[#This Row],[Lifetime Option]]="fixed",Table15[[#This Row],[End of life (fixed)]],Table15[[#This Row],[Start year]]+Table26[Generic  Lifetime])</f>
        <v>2036</v>
      </c>
      <c r="K105" s="8">
        <v>1.335</v>
      </c>
      <c r="L105" s="8"/>
      <c r="M105" s="11"/>
    </row>
    <row r="106" spans="3:13">
      <c r="C106" s="8" t="s">
        <v>3</v>
      </c>
      <c r="D106" s="8" t="s">
        <v>114</v>
      </c>
      <c r="E106" s="8">
        <v>1981</v>
      </c>
      <c r="F106" s="9">
        <v>1.0005231684021501</v>
      </c>
      <c r="G106" s="9" t="s">
        <v>202</v>
      </c>
      <c r="H106" s="8">
        <f>IF(Table15[[#This Row],[Lifetime Option]]="fixed",Table15[[#This Row],[End of life (fixed)]]-Table15[[#This Row],[Start year]],Table26[Generic  Lifetime])</f>
        <v>50</v>
      </c>
      <c r="I106" s="8"/>
      <c r="J106" s="8">
        <f>IF(Table15[[#This Row],[Lifetime Option]]="fixed",Table15[[#This Row],[End of life (fixed)]],Table15[[#This Row],[Start year]]+Table26[Generic  Lifetime])</f>
        <v>2031</v>
      </c>
      <c r="K106" s="8">
        <v>0.91500000000000004</v>
      </c>
      <c r="L106" s="8"/>
      <c r="M106" s="11"/>
    </row>
    <row r="107" spans="3:13">
      <c r="C107" s="8" t="s">
        <v>3</v>
      </c>
      <c r="D107" s="8" t="s">
        <v>115</v>
      </c>
      <c r="E107" s="8">
        <v>1981</v>
      </c>
      <c r="F107" s="9">
        <v>1.0005231684021501</v>
      </c>
      <c r="G107" s="9" t="s">
        <v>202</v>
      </c>
      <c r="H107" s="8">
        <f>IF(Table15[[#This Row],[Lifetime Option]]="fixed",Table15[[#This Row],[End of life (fixed)]]-Table15[[#This Row],[Start year]],Table26[Generic  Lifetime])</f>
        <v>50</v>
      </c>
      <c r="I107" s="8"/>
      <c r="J107" s="8">
        <f>IF(Table15[[#This Row],[Lifetime Option]]="fixed",Table15[[#This Row],[End of life (fixed)]],Table15[[#This Row],[Start year]]+Table26[Generic  Lifetime])</f>
        <v>2031</v>
      </c>
      <c r="K107" s="8">
        <v>0.91500000000000004</v>
      </c>
      <c r="L107" s="8"/>
      <c r="M107" s="11"/>
    </row>
    <row r="108" spans="3:13">
      <c r="C108" s="8" t="s">
        <v>3</v>
      </c>
      <c r="D108" s="8" t="s">
        <v>116</v>
      </c>
      <c r="E108" s="8">
        <v>1980</v>
      </c>
      <c r="F108" s="9">
        <v>1.2443461400359099</v>
      </c>
      <c r="G108" s="9" t="s">
        <v>202</v>
      </c>
      <c r="H108" s="8">
        <f>IF(Table15[[#This Row],[Lifetime Option]]="fixed",Table15[[#This Row],[End of life (fixed)]]-Table15[[#This Row],[Start year]],Table26[Generic  Lifetime])</f>
        <v>50</v>
      </c>
      <c r="I108" s="8"/>
      <c r="J108" s="8">
        <f>IF(Table15[[#This Row],[Lifetime Option]]="fixed",Table15[[#This Row],[End of life (fixed)]],Table15[[#This Row],[Start year]]+Table26[Generic  Lifetime])</f>
        <v>2030</v>
      </c>
      <c r="K108" s="8">
        <v>0.91500000000000004</v>
      </c>
      <c r="L108" s="8"/>
      <c r="M108" s="11"/>
    </row>
    <row r="109" spans="3:13">
      <c r="C109" s="8" t="s">
        <v>3</v>
      </c>
      <c r="D109" s="8" t="s">
        <v>117</v>
      </c>
      <c r="E109" s="8">
        <v>1980</v>
      </c>
      <c r="F109" s="9">
        <v>0.99947659605026895</v>
      </c>
      <c r="G109" s="9" t="s">
        <v>202</v>
      </c>
      <c r="H109" s="8">
        <f>IF(Table15[[#This Row],[Lifetime Option]]="fixed",Table15[[#This Row],[End of life (fixed)]]-Table15[[#This Row],[Start year]],Table26[Generic  Lifetime])</f>
        <v>50</v>
      </c>
      <c r="I109" s="8"/>
      <c r="J109" s="8">
        <f>IF(Table15[[#This Row],[Lifetime Option]]="fixed",Table15[[#This Row],[End of life (fixed)]],Table15[[#This Row],[Start year]]+Table26[Generic  Lifetime])</f>
        <v>2030</v>
      </c>
      <c r="K109" s="8">
        <v>0.91500000000000004</v>
      </c>
      <c r="L109" s="8"/>
      <c r="M109" s="11"/>
    </row>
    <row r="110" spans="3:13">
      <c r="C110" s="8" t="s">
        <v>3</v>
      </c>
      <c r="D110" s="8" t="s">
        <v>118</v>
      </c>
      <c r="E110" s="8">
        <v>1981</v>
      </c>
      <c r="F110" s="9">
        <v>0.99947659605026895</v>
      </c>
      <c r="G110" s="9" t="s">
        <v>202</v>
      </c>
      <c r="H110" s="8">
        <f>IF(Table15[[#This Row],[Lifetime Option]]="fixed",Table15[[#This Row],[End of life (fixed)]]-Table15[[#This Row],[Start year]],Table26[Generic  Lifetime])</f>
        <v>50</v>
      </c>
      <c r="I110" s="8"/>
      <c r="J110" s="8">
        <f>IF(Table15[[#This Row],[Lifetime Option]]="fixed",Table15[[#This Row],[End of life (fixed)]],Table15[[#This Row],[Start year]]+Table26[Generic  Lifetime])</f>
        <v>2031</v>
      </c>
      <c r="K110" s="8">
        <v>0.91500000000000004</v>
      </c>
      <c r="L110" s="8"/>
      <c r="M110" s="11"/>
    </row>
    <row r="111" spans="3:13">
      <c r="C111" s="8" t="s">
        <v>3</v>
      </c>
      <c r="D111" s="8" t="s">
        <v>119</v>
      </c>
      <c r="E111" s="8">
        <v>1981</v>
      </c>
      <c r="F111" s="9">
        <v>0.99947659605026895</v>
      </c>
      <c r="G111" s="9" t="s">
        <v>202</v>
      </c>
      <c r="H111" s="8">
        <f>IF(Table15[[#This Row],[Lifetime Option]]="fixed",Table15[[#This Row],[End of life (fixed)]]-Table15[[#This Row],[Start year]],Table26[Generic  Lifetime])</f>
        <v>50</v>
      </c>
      <c r="I111" s="8"/>
      <c r="J111" s="8">
        <f>IF(Table15[[#This Row],[Lifetime Option]]="fixed",Table15[[#This Row],[End of life (fixed)]],Table15[[#This Row],[Start year]]+Table26[Generic  Lifetime])</f>
        <v>2031</v>
      </c>
      <c r="K111" s="8">
        <v>0.91500000000000004</v>
      </c>
      <c r="L111" s="8"/>
      <c r="M111" s="11"/>
    </row>
    <row r="112" spans="3:13">
      <c r="C112" s="8" t="s">
        <v>120</v>
      </c>
      <c r="D112" s="8" t="s">
        <v>121</v>
      </c>
      <c r="E112" s="8">
        <v>1982</v>
      </c>
      <c r="F112" s="9">
        <v>1.07636363636364</v>
      </c>
      <c r="G112" s="9" t="s">
        <v>202</v>
      </c>
      <c r="H112" s="8">
        <f>IF(Table15[[#This Row],[Lifetime Option]]="fixed",Table15[[#This Row],[End of life (fixed)]]-Table15[[#This Row],[Start year]],Table26[Generic  Lifetime])</f>
        <v>50</v>
      </c>
      <c r="I112" s="8"/>
      <c r="J112" s="8">
        <f>IF(Table15[[#This Row],[Lifetime Option]]="fixed",Table15[[#This Row],[End of life (fixed)]],Table15[[#This Row],[Start year]]+Table26[Generic  Lifetime])</f>
        <v>2032</v>
      </c>
      <c r="K112" s="8">
        <v>0.47</v>
      </c>
      <c r="L112" s="8"/>
      <c r="M112" s="11"/>
    </row>
    <row r="113" spans="3:13">
      <c r="C113" s="8" t="s">
        <v>120</v>
      </c>
      <c r="D113" s="8" t="s">
        <v>122</v>
      </c>
      <c r="E113" s="8">
        <v>1984</v>
      </c>
      <c r="F113" s="9">
        <v>1.07636363636364</v>
      </c>
      <c r="G113" s="9" t="s">
        <v>202</v>
      </c>
      <c r="H113" s="8">
        <f>IF(Table15[[#This Row],[Lifetime Option]]="fixed",Table15[[#This Row],[End of life (fixed)]]-Table15[[#This Row],[Start year]],Table26[Generic  Lifetime])</f>
        <v>50</v>
      </c>
      <c r="I113" s="8"/>
      <c r="J113" s="8">
        <f>IF(Table15[[#This Row],[Lifetime Option]]="fixed",Table15[[#This Row],[End of life (fixed)]],Table15[[#This Row],[Start year]]+Table26[Generic  Lifetime])</f>
        <v>2034</v>
      </c>
      <c r="K113" s="8">
        <v>0.47299999999999998</v>
      </c>
      <c r="L113" s="8"/>
      <c r="M113" s="11"/>
    </row>
    <row r="114" spans="3:13">
      <c r="C114" s="8" t="s">
        <v>120</v>
      </c>
      <c r="D114" s="8" t="s">
        <v>123</v>
      </c>
      <c r="E114" s="8">
        <v>1986</v>
      </c>
      <c r="F114" s="9">
        <v>1.07636363636364</v>
      </c>
      <c r="G114" s="9" t="s">
        <v>202</v>
      </c>
      <c r="H114" s="8">
        <f>IF(Table15[[#This Row],[Lifetime Option]]="fixed",Table15[[#This Row],[End of life (fixed)]]-Table15[[#This Row],[Start year]],Table26[Generic  Lifetime])</f>
        <v>50</v>
      </c>
      <c r="I114" s="8"/>
      <c r="J114" s="8">
        <f>IF(Table15[[#This Row],[Lifetime Option]]="fixed",Table15[[#This Row],[End of life (fixed)]],Table15[[#This Row],[Start year]]+Table26[Generic  Lifetime])</f>
        <v>2036</v>
      </c>
      <c r="K114" s="8">
        <v>0.47299999999999998</v>
      </c>
      <c r="L114" s="8"/>
      <c r="M114" s="11"/>
    </row>
    <row r="115" spans="3:13">
      <c r="C115" s="8" t="s">
        <v>120</v>
      </c>
      <c r="D115" s="8" t="s">
        <v>124</v>
      </c>
      <c r="E115" s="8">
        <v>1987</v>
      </c>
      <c r="F115" s="9">
        <v>1.07636363636364</v>
      </c>
      <c r="G115" s="9" t="s">
        <v>202</v>
      </c>
      <c r="H115" s="8">
        <f>IF(Table15[[#This Row],[Lifetime Option]]="fixed",Table15[[#This Row],[End of life (fixed)]]-Table15[[#This Row],[Start year]],Table26[Generic  Lifetime])</f>
        <v>50</v>
      </c>
      <c r="I115" s="8"/>
      <c r="J115" s="8">
        <f>IF(Table15[[#This Row],[Lifetime Option]]="fixed",Table15[[#This Row],[End of life (fixed)]],Table15[[#This Row],[Start year]]+Table26[Generic  Lifetime])</f>
        <v>2037</v>
      </c>
      <c r="K115" s="8">
        <v>0.47299999999999998</v>
      </c>
      <c r="L115" s="8"/>
      <c r="M115" s="11"/>
    </row>
    <row r="116" spans="3:13">
      <c r="C116" s="8" t="s">
        <v>125</v>
      </c>
      <c r="D116" s="8" t="s">
        <v>126</v>
      </c>
      <c r="E116" s="8">
        <v>1983</v>
      </c>
      <c r="F116" s="9">
        <v>0.66</v>
      </c>
      <c r="G116" s="9" t="s">
        <v>201</v>
      </c>
      <c r="H116" s="8">
        <f>IF(Table15[[#This Row],[Lifetime Option]]="fixed",Table15[[#This Row],[End of life (fixed)]]-Table15[[#This Row],[Start year]],Table26[Generic  Lifetime])</f>
        <v>21</v>
      </c>
      <c r="I116" s="8">
        <v>2004</v>
      </c>
      <c r="J116" s="8">
        <f>IF(Table15[[#This Row],[Lifetime Option]]="fixed",Table15[[#This Row],[End of life (fixed)]],Table15[[#This Row],[Start year]]+Table26[Generic  Lifetime])</f>
        <v>2004</v>
      </c>
      <c r="K116" s="8">
        <v>1.1850000000000001</v>
      </c>
      <c r="L116" s="8" t="s">
        <v>186</v>
      </c>
      <c r="M116" s="11"/>
    </row>
    <row r="117" spans="3:13">
      <c r="C117" s="8" t="s">
        <v>125</v>
      </c>
      <c r="D117" s="8" t="s">
        <v>127</v>
      </c>
      <c r="E117" s="8">
        <v>1987</v>
      </c>
      <c r="F117" s="9">
        <v>0.66</v>
      </c>
      <c r="G117" s="9" t="s">
        <v>201</v>
      </c>
      <c r="H117" s="8">
        <f>IF(Table15[[#This Row],[Lifetime Option]]="fixed",Table15[[#This Row],[End of life (fixed)]]-Table15[[#This Row],[Start year]],Table26[Generic  Lifetime])</f>
        <v>22</v>
      </c>
      <c r="I117" s="8">
        <v>2009</v>
      </c>
      <c r="J117" s="8">
        <f>IF(Table15[[#This Row],[Lifetime Option]]="fixed",Table15[[#This Row],[End of life (fixed)]],Table15[[#This Row],[Start year]]+Table26[Generic  Lifetime])</f>
        <v>2009</v>
      </c>
      <c r="K117" s="8">
        <v>1.1850000000000001</v>
      </c>
      <c r="L117" s="8" t="s">
        <v>186</v>
      </c>
      <c r="M117" s="11"/>
    </row>
    <row r="118" spans="3:13">
      <c r="C118" s="8" t="s">
        <v>128</v>
      </c>
      <c r="D118" s="8" t="s">
        <v>129</v>
      </c>
      <c r="E118" s="8">
        <v>1973</v>
      </c>
      <c r="F118" s="9">
        <v>1.2703836017569501</v>
      </c>
      <c r="G118" s="9" t="s">
        <v>201</v>
      </c>
      <c r="H118" s="8">
        <f>IF(Table15[[#This Row],[Lifetime Option]]="fixed",Table15[[#This Row],[End of life (fixed)]]-Table15[[#This Row],[Start year]],Table26[Generic  Lifetime])</f>
        <v>61</v>
      </c>
      <c r="I118" s="8">
        <v>2034</v>
      </c>
      <c r="J118" s="8">
        <f>IF(Table15[[#This Row],[Lifetime Option]]="fixed",Table15[[#This Row],[End of life (fixed)]],Table15[[#This Row],[Start year]]+Table26[Generic  Lifetime])</f>
        <v>2034</v>
      </c>
      <c r="K118" s="8">
        <v>0.48199999999999998</v>
      </c>
      <c r="L118" s="8"/>
      <c r="M118" s="11"/>
    </row>
    <row r="119" spans="3:13">
      <c r="C119" s="8" t="s">
        <v>130</v>
      </c>
      <c r="D119" s="8" t="s">
        <v>131</v>
      </c>
      <c r="E119" s="8">
        <v>1996</v>
      </c>
      <c r="F119" s="9">
        <v>0.19866451376146799</v>
      </c>
      <c r="G119" s="9" t="s">
        <v>202</v>
      </c>
      <c r="H119" s="8">
        <f>IF(Table15[[#This Row],[Lifetime Option]]="fixed",Table15[[#This Row],[End of life (fixed)]]-Table15[[#This Row],[Start year]],Table26[Generic  Lifetime])</f>
        <v>50</v>
      </c>
      <c r="I119" s="8"/>
      <c r="J119" s="8">
        <f>IF(Table15[[#This Row],[Lifetime Option]]="fixed",Table15[[#This Row],[End of life (fixed)]],Table15[[#This Row],[Start year]]+Table26[Generic  Lifetime])</f>
        <v>2046</v>
      </c>
      <c r="K119" s="8">
        <v>0.65</v>
      </c>
      <c r="L119" s="8"/>
      <c r="M119" s="11"/>
    </row>
    <row r="120" spans="3:13">
      <c r="C120" s="8" t="s">
        <v>130</v>
      </c>
      <c r="D120" s="8" t="s">
        <v>132</v>
      </c>
      <c r="E120" s="8">
        <v>2007</v>
      </c>
      <c r="F120" s="9">
        <v>0.19866451376146799</v>
      </c>
      <c r="G120" s="9" t="s">
        <v>202</v>
      </c>
      <c r="H120" s="8">
        <f>IF(Table15[[#This Row],[Lifetime Option]]="fixed",Table15[[#This Row],[End of life (fixed)]]-Table15[[#This Row],[Start year]],Table26[Generic  Lifetime])</f>
        <v>50</v>
      </c>
      <c r="I120" s="8"/>
      <c r="J120" s="8">
        <f>IF(Table15[[#This Row],[Lifetime Option]]="fixed",Table15[[#This Row],[End of life (fixed)]],Table15[[#This Row],[Start year]]+Table26[Generic  Lifetime])</f>
        <v>2057</v>
      </c>
      <c r="K120" s="8">
        <v>0.65</v>
      </c>
      <c r="L120" s="8"/>
      <c r="M120" s="11"/>
    </row>
    <row r="121" spans="3:13">
      <c r="C121" s="8" t="s">
        <v>133</v>
      </c>
      <c r="D121" s="8" t="s">
        <v>134</v>
      </c>
      <c r="E121" s="8">
        <v>1980</v>
      </c>
      <c r="F121" s="9">
        <v>1.2802426229508199</v>
      </c>
      <c r="G121" s="9" t="s">
        <v>202</v>
      </c>
      <c r="H121" s="8">
        <f>IF(Table15[[#This Row],[Lifetime Option]]="fixed",Table15[[#This Row],[End of life (fixed)]]-Table15[[#This Row],[Start year]],Table26[Generic  Lifetime])</f>
        <v>50</v>
      </c>
      <c r="I121" s="8"/>
      <c r="J121" s="8">
        <f>IF(Table15[[#This Row],[Lifetime Option]]="fixed",Table15[[#This Row],[End of life (fixed)]],Table15[[#This Row],[Start year]]+Table26[Generic  Lifetime])</f>
        <v>2030</v>
      </c>
      <c r="K121" s="8">
        <v>0.98399999999999999</v>
      </c>
      <c r="L121" s="8"/>
      <c r="M121" s="11"/>
    </row>
    <row r="122" spans="3:13">
      <c r="C122" s="8" t="s">
        <v>133</v>
      </c>
      <c r="D122" s="8" t="s">
        <v>135</v>
      </c>
      <c r="E122" s="8">
        <v>1981</v>
      </c>
      <c r="F122" s="9">
        <v>1.27404590163934</v>
      </c>
      <c r="G122" s="9" t="s">
        <v>202</v>
      </c>
      <c r="H122" s="8">
        <f>IF(Table15[[#This Row],[Lifetime Option]]="fixed",Table15[[#This Row],[End of life (fixed)]]-Table15[[#This Row],[Start year]],Table26[Generic  Lifetime])</f>
        <v>50</v>
      </c>
      <c r="I122" s="8"/>
      <c r="J122" s="8">
        <f>IF(Table15[[#This Row],[Lifetime Option]]="fixed",Table15[[#This Row],[End of life (fixed)]],Table15[[#This Row],[Start year]]+Table26[Generic  Lifetime])</f>
        <v>2031</v>
      </c>
      <c r="K122" s="8">
        <v>0.996</v>
      </c>
      <c r="L122" s="8"/>
      <c r="M122" s="11"/>
    </row>
    <row r="123" spans="3:13">
      <c r="C123" s="8" t="s">
        <v>133</v>
      </c>
      <c r="D123" s="8" t="s">
        <v>136</v>
      </c>
      <c r="E123" s="8">
        <v>1985</v>
      </c>
      <c r="F123" s="9">
        <v>1.3327592727272699</v>
      </c>
      <c r="G123" s="9" t="s">
        <v>202</v>
      </c>
      <c r="H123" s="8">
        <f>IF(Table15[[#This Row],[Lifetime Option]]="fixed",Table15[[#This Row],[End of life (fixed)]]-Table15[[#This Row],[Start year]],Table26[Generic  Lifetime])</f>
        <v>50</v>
      </c>
      <c r="I123" s="8"/>
      <c r="J123" s="8">
        <f>IF(Table15[[#This Row],[Lifetime Option]]="fixed",Table15[[#This Row],[End of life (fixed)]],Table15[[#This Row],[Start year]]+Table26[Generic  Lifetime])</f>
        <v>2035</v>
      </c>
      <c r="K123" s="8">
        <v>1.17</v>
      </c>
      <c r="L123" s="8"/>
      <c r="M123" s="11"/>
    </row>
    <row r="124" spans="3:13">
      <c r="C124" s="8" t="s">
        <v>133</v>
      </c>
      <c r="D124" s="8" t="s">
        <v>137</v>
      </c>
      <c r="E124" s="8">
        <v>1971</v>
      </c>
      <c r="F124" s="9">
        <v>1.3911970909090901</v>
      </c>
      <c r="G124" s="9" t="s">
        <v>201</v>
      </c>
      <c r="H124" s="8">
        <f>IF(Table15[[#This Row],[Lifetime Option]]="fixed",Table15[[#This Row],[End of life (fixed)]]-Table15[[#This Row],[Start year]],Table26[Generic  Lifetime])</f>
        <v>47</v>
      </c>
      <c r="I124" s="8">
        <v>2018</v>
      </c>
      <c r="J124" s="8">
        <f>IF(Table15[[#This Row],[Lifetime Option]]="fixed",Table15[[#This Row],[End of life (fixed)]],Table15[[#This Row],[Start year]]+Table26[Generic  Lifetime])</f>
        <v>2018</v>
      </c>
      <c r="K124" s="8">
        <v>0.47299999999999998</v>
      </c>
      <c r="L124" s="8" t="s">
        <v>208</v>
      </c>
      <c r="M124" s="10" t="s">
        <v>176</v>
      </c>
    </row>
    <row r="125" spans="3:13">
      <c r="C125" s="8" t="s">
        <v>133</v>
      </c>
      <c r="D125" s="8" t="s">
        <v>138</v>
      </c>
      <c r="E125" s="8">
        <v>1974</v>
      </c>
      <c r="F125" s="9">
        <v>1.4277599999999999</v>
      </c>
      <c r="G125" s="9" t="s">
        <v>201</v>
      </c>
      <c r="H125" s="8">
        <f>IF(Table15[[#This Row],[Lifetime Option]]="fixed",Table15[[#This Row],[End of life (fixed)]]-Table15[[#This Row],[Start year]],Table26[Generic  Lifetime])</f>
        <v>46</v>
      </c>
      <c r="I125" s="8">
        <v>2020</v>
      </c>
      <c r="J125" s="8">
        <f>IF(Table15[[#This Row],[Lifetime Option]]="fixed",Table15[[#This Row],[End of life (fixed)]],Table15[[#This Row],[Start year]]+Table26[Generic  Lifetime])</f>
        <v>2020</v>
      </c>
      <c r="K125" s="8">
        <v>0.63800000000000001</v>
      </c>
      <c r="L125" s="8" t="s">
        <v>208</v>
      </c>
      <c r="M125" s="11"/>
    </row>
    <row r="126" spans="3:13">
      <c r="C126" s="8" t="s">
        <v>133</v>
      </c>
      <c r="D126" s="8" t="s">
        <v>139</v>
      </c>
      <c r="E126" s="8">
        <v>1985</v>
      </c>
      <c r="F126" s="9">
        <v>1.0279384615384599</v>
      </c>
      <c r="G126" s="9" t="s">
        <v>202</v>
      </c>
      <c r="H126" s="8">
        <f>IF(Table15[[#This Row],[Lifetime Option]]="fixed",Table15[[#This Row],[End of life (fixed)]]-Table15[[#This Row],[Start year]],Table26[Generic  Lifetime])</f>
        <v>50</v>
      </c>
      <c r="I126" s="8"/>
      <c r="J126" s="8">
        <f>IF(Table15[[#This Row],[Lifetime Option]]="fixed",Table15[[#This Row],[End of life (fixed)]],Table15[[#This Row],[Start year]]+Table26[Generic  Lifetime])</f>
        <v>2035</v>
      </c>
      <c r="K126" s="8">
        <v>1.4</v>
      </c>
      <c r="L126" s="8"/>
      <c r="M126" s="11"/>
    </row>
    <row r="127" spans="3:13">
      <c r="C127" s="5" t="s">
        <v>133</v>
      </c>
      <c r="D127" s="5" t="s">
        <v>140</v>
      </c>
      <c r="E127" s="5">
        <v>1974</v>
      </c>
      <c r="F127" s="12">
        <v>1.24541858267717</v>
      </c>
      <c r="G127" s="12" t="s">
        <v>201</v>
      </c>
      <c r="H127" s="8">
        <f>IF(Table15[[#This Row],[Lifetime Option]]="fixed",Table15[[#This Row],[End of life (fixed)]]-Table15[[#This Row],[Start year]],Table26[Generic  Lifetime])</f>
        <v>46</v>
      </c>
      <c r="I127" s="5">
        <v>2020</v>
      </c>
      <c r="J127" s="8">
        <f>IF(Table15[[#This Row],[Lifetime Option]]="fixed",Table15[[#This Row],[End of life (fixed)]],Table15[[#This Row],[Start year]]+Table26[Generic  Lifetime])</f>
        <v>2020</v>
      </c>
      <c r="K127" s="5">
        <v>0.878</v>
      </c>
      <c r="L127" s="5" t="s">
        <v>194</v>
      </c>
      <c r="M127" s="13" t="s">
        <v>182</v>
      </c>
    </row>
    <row r="128" spans="3:13">
      <c r="C128" s="5" t="s">
        <v>133</v>
      </c>
      <c r="D128" s="5" t="s">
        <v>141</v>
      </c>
      <c r="E128" s="5">
        <v>1974</v>
      </c>
      <c r="F128" s="12">
        <v>1.3999073684210499</v>
      </c>
      <c r="G128" s="12" t="s">
        <v>201</v>
      </c>
      <c r="H128" s="8">
        <f>IF(Table15[[#This Row],[Lifetime Option]]="fixed",Table15[[#This Row],[End of life (fixed)]]-Table15[[#This Row],[Start year]],Table26[Generic  Lifetime])</f>
        <v>46</v>
      </c>
      <c r="I128" s="5">
        <v>2020</v>
      </c>
      <c r="J128" s="8">
        <f>IF(Table15[[#This Row],[Lifetime Option]]="fixed",Table15[[#This Row],[End of life (fixed)]],Table15[[#This Row],[Start year]]+Table26[Generic  Lifetime])</f>
        <v>2020</v>
      </c>
      <c r="K128" s="5">
        <v>0.86499999999999999</v>
      </c>
      <c r="L128" s="5" t="s">
        <v>194</v>
      </c>
      <c r="M128" s="13" t="s">
        <v>182</v>
      </c>
    </row>
    <row r="129" spans="3:13">
      <c r="C129" s="8" t="s">
        <v>133</v>
      </c>
      <c r="D129" s="8" t="s">
        <v>142</v>
      </c>
      <c r="E129" s="8">
        <v>1980</v>
      </c>
      <c r="F129" s="9">
        <v>1.39706181818182</v>
      </c>
      <c r="G129" s="9" t="s">
        <v>202</v>
      </c>
      <c r="H129" s="8">
        <f>IF(Table15[[#This Row],[Lifetime Option]]="fixed",Table15[[#This Row],[End of life (fixed)]]-Table15[[#This Row],[Start year]],Table26[Generic  Lifetime])</f>
        <v>50</v>
      </c>
      <c r="I129" s="8"/>
      <c r="J129" s="8">
        <f>IF(Table15[[#This Row],[Lifetime Option]]="fixed",Table15[[#This Row],[End of life (fixed)]],Table15[[#This Row],[Start year]]+Table26[Generic  Lifetime])</f>
        <v>2030</v>
      </c>
      <c r="K129" s="8">
        <v>1.0640000000000001</v>
      </c>
      <c r="L129" s="8"/>
      <c r="M129" s="10" t="s">
        <v>182</v>
      </c>
    </row>
    <row r="130" spans="3:13">
      <c r="C130" s="8" t="s">
        <v>133</v>
      </c>
      <c r="D130" s="8" t="s">
        <v>143</v>
      </c>
      <c r="E130" s="8">
        <v>1982</v>
      </c>
      <c r="F130" s="9">
        <v>1.4050041081081099</v>
      </c>
      <c r="G130" s="9" t="s">
        <v>202</v>
      </c>
      <c r="H130" s="8">
        <f>IF(Table15[[#This Row],[Lifetime Option]]="fixed",Table15[[#This Row],[End of life (fixed)]]-Table15[[#This Row],[Start year]],Table26[Generic  Lifetime])</f>
        <v>50</v>
      </c>
      <c r="I130" s="8"/>
      <c r="J130" s="8">
        <f>IF(Table15[[#This Row],[Lifetime Option]]="fixed",Table15[[#This Row],[End of life (fixed)]],Table15[[#This Row],[Start year]]+Table26[Generic  Lifetime])</f>
        <v>2032</v>
      </c>
      <c r="K130" s="8">
        <v>0.94</v>
      </c>
      <c r="L130" s="8"/>
      <c r="M130" s="10" t="s">
        <v>182</v>
      </c>
    </row>
    <row r="131" spans="3:13">
      <c r="C131" s="8" t="s">
        <v>144</v>
      </c>
      <c r="D131" s="8" t="s">
        <v>145</v>
      </c>
      <c r="E131" s="8">
        <v>1981</v>
      </c>
      <c r="F131" s="9">
        <v>1.3869532453360101</v>
      </c>
      <c r="G131" s="9" t="s">
        <v>202</v>
      </c>
      <c r="H131" s="8">
        <f>IF(Table15[[#This Row],[Lifetime Option]]="fixed",Table15[[#This Row],[End of life (fixed)]]-Table15[[#This Row],[Start year]],Table26[Generic  Lifetime])</f>
        <v>50</v>
      </c>
      <c r="I131" s="8">
        <f t="shared" ref="I131" si="0">E131+H131</f>
        <v>2031</v>
      </c>
      <c r="J131" s="8">
        <f>IF(Table15[[#This Row],[Lifetime Option]]="fixed",Table15[[#This Row],[End of life (fixed)]],Table15[[#This Row],[Start year]]+Table26[Generic  Lifetime])</f>
        <v>2031</v>
      </c>
      <c r="K131" s="8">
        <v>0.68799999999999994</v>
      </c>
      <c r="L131" s="8" t="s">
        <v>189</v>
      </c>
      <c r="M131" s="10" t="s">
        <v>188</v>
      </c>
    </row>
    <row r="132" spans="3:13">
      <c r="C132" s="8" t="s">
        <v>146</v>
      </c>
      <c r="D132" s="8" t="s">
        <v>147</v>
      </c>
      <c r="E132" s="8">
        <v>1978</v>
      </c>
      <c r="F132" s="9">
        <v>1</v>
      </c>
      <c r="G132" s="9" t="s">
        <v>201</v>
      </c>
      <c r="H132" s="8">
        <f>IF(Table15[[#This Row],[Lifetime Option]]="fixed",Table15[[#This Row],[End of life (fixed)]]-Table15[[#This Row],[Start year]],Table26[Generic  Lifetime])</f>
        <v>28</v>
      </c>
      <c r="I132" s="8">
        <v>2006</v>
      </c>
      <c r="J132" s="8">
        <f>IF(Table15[[#This Row],[Lifetime Option]]="fixed",Table15[[#This Row],[End of life (fixed)]],Table15[[#This Row],[Start year]]+Table26[Generic  Lifetime])</f>
        <v>2006</v>
      </c>
      <c r="K132" s="8">
        <v>0.40799999999999997</v>
      </c>
      <c r="L132" s="8" t="s">
        <v>178</v>
      </c>
      <c r="M132" s="11"/>
    </row>
    <row r="133" spans="3:13">
      <c r="C133" s="8" t="s">
        <v>146</v>
      </c>
      <c r="D133" s="8" t="s">
        <v>148</v>
      </c>
      <c r="E133" s="8">
        <v>1980</v>
      </c>
      <c r="F133" s="9">
        <v>1</v>
      </c>
      <c r="G133" s="9" t="s">
        <v>201</v>
      </c>
      <c r="H133" s="8">
        <f>IF(Table15[[#This Row],[Lifetime Option]]="fixed",Table15[[#This Row],[End of life (fixed)]]-Table15[[#This Row],[Start year]],Table26[Generic  Lifetime])</f>
        <v>28</v>
      </c>
      <c r="I133" s="8">
        <v>2008</v>
      </c>
      <c r="J133" s="8">
        <f>IF(Table15[[#This Row],[Lifetime Option]]="fixed",Table15[[#This Row],[End of life (fixed)]],Table15[[#This Row],[Start year]]+Table26[Generic  Lifetime])</f>
        <v>2008</v>
      </c>
      <c r="K133" s="8">
        <v>0.40799999999999997</v>
      </c>
      <c r="L133" s="8" t="s">
        <v>178</v>
      </c>
      <c r="M133" s="11"/>
    </row>
    <row r="134" spans="3:13">
      <c r="C134" s="8" t="s">
        <v>146</v>
      </c>
      <c r="D134" s="8" t="s">
        <v>149</v>
      </c>
      <c r="E134" s="8">
        <v>1984</v>
      </c>
      <c r="F134" s="9">
        <v>1.3644269204622701</v>
      </c>
      <c r="G134" s="9" t="s">
        <v>202</v>
      </c>
      <c r="H134" s="8">
        <f>IF(Table15[[#This Row],[Lifetime Option]]="fixed",Table15[[#This Row],[End of life (fixed)]]-Table15[[#This Row],[Start year]],Table26[Generic  Lifetime])</f>
        <v>50</v>
      </c>
      <c r="I134" s="8">
        <f>E134+H134</f>
        <v>2034</v>
      </c>
      <c r="J134" s="8">
        <f>IF(Table15[[#This Row],[Lifetime Option]]="fixed",Table15[[#This Row],[End of life (fixed)]],Table15[[#This Row],[Start year]]+Table26[Generic  Lifetime])</f>
        <v>2034</v>
      </c>
      <c r="K134" s="8">
        <v>0.47199999999999998</v>
      </c>
      <c r="L134" s="8" t="s">
        <v>190</v>
      </c>
      <c r="M134" s="10" t="s">
        <v>183</v>
      </c>
    </row>
    <row r="135" spans="3:13">
      <c r="C135" s="8" t="s">
        <v>146</v>
      </c>
      <c r="D135" s="8" t="s">
        <v>150</v>
      </c>
      <c r="E135" s="8">
        <v>1985</v>
      </c>
      <c r="F135" s="9">
        <v>1.3644269204622701</v>
      </c>
      <c r="G135" s="9" t="s">
        <v>202</v>
      </c>
      <c r="H135" s="8">
        <f>IF(Table15[[#This Row],[Lifetime Option]]="fixed",Table15[[#This Row],[End of life (fixed)]]-Table15[[#This Row],[Start year]],Table26[Generic  Lifetime])</f>
        <v>50</v>
      </c>
      <c r="I135" s="8">
        <f t="shared" ref="I135:I137" si="1">E135+H135</f>
        <v>2035</v>
      </c>
      <c r="J135" s="8">
        <f>IF(Table15[[#This Row],[Lifetime Option]]="fixed",Table15[[#This Row],[End of life (fixed)]],Table15[[#This Row],[Start year]]+Table26[Generic  Lifetime])</f>
        <v>2035</v>
      </c>
      <c r="K135" s="8">
        <v>0.47199999999999998</v>
      </c>
      <c r="L135" s="8" t="s">
        <v>190</v>
      </c>
      <c r="M135" s="10" t="s">
        <v>183</v>
      </c>
    </row>
    <row r="136" spans="3:13">
      <c r="C136" s="8" t="s">
        <v>146</v>
      </c>
      <c r="D136" s="8" t="s">
        <v>151</v>
      </c>
      <c r="E136" s="8">
        <v>1998</v>
      </c>
      <c r="F136" s="9">
        <v>1.2146512576478601</v>
      </c>
      <c r="G136" s="9" t="s">
        <v>202</v>
      </c>
      <c r="H136" s="8">
        <f>IF(Table15[[#This Row],[Lifetime Option]]="fixed",Table15[[#This Row],[End of life (fixed)]]-Table15[[#This Row],[Start year]],Table26[Generic  Lifetime])</f>
        <v>50</v>
      </c>
      <c r="I136" s="8">
        <f t="shared" si="1"/>
        <v>2048</v>
      </c>
      <c r="J136" s="8">
        <f>IF(Table15[[#This Row],[Lifetime Option]]="fixed",Table15[[#This Row],[End of life (fixed)]],Table15[[#This Row],[Start year]]+Table26[Generic  Lifetime])</f>
        <v>2048</v>
      </c>
      <c r="K136" s="8">
        <v>0.436</v>
      </c>
      <c r="L136" s="8"/>
      <c r="M136" s="11"/>
    </row>
    <row r="137" spans="3:13">
      <c r="C137" s="8" t="s">
        <v>146</v>
      </c>
      <c r="D137" s="8" t="s">
        <v>152</v>
      </c>
      <c r="E137" s="8">
        <v>1999</v>
      </c>
      <c r="F137" s="9">
        <v>1.2146512576478601</v>
      </c>
      <c r="G137" s="9" t="s">
        <v>202</v>
      </c>
      <c r="H137" s="8">
        <f>IF(Table15[[#This Row],[Lifetime Option]]="fixed",Table15[[#This Row],[End of life (fixed)]]-Table15[[#This Row],[Start year]],Table26[Generic  Lifetime])</f>
        <v>50</v>
      </c>
      <c r="I137" s="8">
        <f t="shared" si="1"/>
        <v>2049</v>
      </c>
      <c r="J137" s="8">
        <f>IF(Table15[[#This Row],[Lifetime Option]]="fixed",Table15[[#This Row],[End of life (fixed)]],Table15[[#This Row],[Start year]]+Table26[Generic  Lifetime])</f>
        <v>2049</v>
      </c>
      <c r="K137" s="8">
        <v>0.436</v>
      </c>
      <c r="L137" s="8"/>
      <c r="M137" s="11"/>
    </row>
    <row r="138" spans="3:13">
      <c r="C138" s="8" t="s">
        <v>153</v>
      </c>
      <c r="D138" s="8" t="s">
        <v>154</v>
      </c>
      <c r="E138" s="8">
        <v>1983</v>
      </c>
      <c r="F138" s="9">
        <v>0.67305599999999999</v>
      </c>
      <c r="G138" s="9" t="s">
        <v>201</v>
      </c>
      <c r="H138" s="8">
        <f>IF(Table15[[#This Row],[Lifetime Option]]="fixed",Table15[[#This Row],[End of life (fixed)]]-Table15[[#This Row],[Start year]],Table26[Generic  Lifetime])</f>
        <v>45</v>
      </c>
      <c r="I138" s="8">
        <v>2028</v>
      </c>
      <c r="J138" s="8">
        <f>IF(Table15[[#This Row],[Lifetime Option]]="fixed",Table15[[#This Row],[End of life (fixed)]],Table15[[#This Row],[Start year]]+Table26[Generic  Lifetime])</f>
        <v>2028</v>
      </c>
      <c r="K138" s="8">
        <v>0.52</v>
      </c>
      <c r="L138" s="8"/>
      <c r="M138" s="10" t="s">
        <v>192</v>
      </c>
    </row>
    <row r="139" spans="3:13">
      <c r="C139" s="8" t="s">
        <v>153</v>
      </c>
      <c r="D139" s="8" t="s">
        <v>155</v>
      </c>
      <c r="E139" s="8">
        <v>1985</v>
      </c>
      <c r="F139" s="9">
        <v>0.63763199999999998</v>
      </c>
      <c r="G139" s="9" t="s">
        <v>201</v>
      </c>
      <c r="H139" s="8">
        <f>IF(Table15[[#This Row],[Lifetime Option]]="fixed",Table15[[#This Row],[End of life (fixed)]]-Table15[[#This Row],[Start year]],Table26[Generic  Lifetime])</f>
        <v>43</v>
      </c>
      <c r="I139" s="8">
        <v>2028</v>
      </c>
      <c r="J139" s="8">
        <f>IF(Table15[[#This Row],[Lifetime Option]]="fixed",Table15[[#This Row],[End of life (fixed)]],Table15[[#This Row],[Start year]]+Table26[Generic  Lifetime])</f>
        <v>2028</v>
      </c>
      <c r="K139" s="8">
        <v>0.52</v>
      </c>
      <c r="L139" s="8"/>
      <c r="M139" s="11"/>
    </row>
    <row r="140" spans="3:13">
      <c r="C140" s="8" t="s">
        <v>153</v>
      </c>
      <c r="D140" s="8" t="s">
        <v>156</v>
      </c>
      <c r="E140" s="8">
        <v>1983</v>
      </c>
      <c r="F140" s="9">
        <v>0.90547200000000005</v>
      </c>
      <c r="G140" s="9" t="s">
        <v>201</v>
      </c>
      <c r="H140" s="8">
        <f>IF(Table15[[#This Row],[Lifetime Option]]="fixed",Table15[[#This Row],[End of life (fixed)]]-Table15[[#This Row],[Start year]],Table26[Generic  Lifetime])</f>
        <v>36</v>
      </c>
      <c r="I140" s="8">
        <v>2019</v>
      </c>
      <c r="J140" s="8">
        <f>IF(Table15[[#This Row],[Lifetime Option]]="fixed",Table15[[#This Row],[End of life (fixed)]],Table15[[#This Row],[Start year]]+Table26[Generic  Lifetime])</f>
        <v>2019</v>
      </c>
      <c r="K140" s="8">
        <v>0.59499999999999997</v>
      </c>
      <c r="L140" s="8"/>
      <c r="M140" s="11"/>
    </row>
    <row r="141" spans="3:13">
      <c r="C141" s="8" t="s">
        <v>153</v>
      </c>
      <c r="D141" s="8" t="s">
        <v>157</v>
      </c>
      <c r="E141" s="8">
        <v>1984</v>
      </c>
      <c r="F141" s="9">
        <v>0.90547200000000005</v>
      </c>
      <c r="G141" s="9" t="s">
        <v>201</v>
      </c>
      <c r="H141" s="8">
        <f>IF(Table15[[#This Row],[Lifetime Option]]="fixed",Table15[[#This Row],[End of life (fixed)]]-Table15[[#This Row],[Start year]],Table26[Generic  Lifetime])</f>
        <v>35</v>
      </c>
      <c r="I141" s="8">
        <v>2019</v>
      </c>
      <c r="J141" s="8">
        <f>IF(Table15[[#This Row],[Lifetime Option]]="fixed",Table15[[#This Row],[End of life (fixed)]],Table15[[#This Row],[Start year]]+Table26[Generic  Lifetime])</f>
        <v>2019</v>
      </c>
      <c r="K141" s="8">
        <v>0.58499999999999996</v>
      </c>
      <c r="L141" s="8"/>
      <c r="M141" s="11"/>
    </row>
    <row r="142" spans="3:13">
      <c r="C142" s="8" t="s">
        <v>153</v>
      </c>
      <c r="D142" s="8" t="s">
        <v>158</v>
      </c>
      <c r="E142" s="8">
        <v>1983</v>
      </c>
      <c r="F142" s="9">
        <v>0.86399999999999999</v>
      </c>
      <c r="G142" s="9" t="s">
        <v>201</v>
      </c>
      <c r="H142" s="8">
        <f>IF(Table15[[#This Row],[Lifetime Option]]="fixed",Table15[[#This Row],[End of life (fixed)]]-Table15[[#This Row],[Start year]],Table26[Generic  Lifetime])</f>
        <v>36</v>
      </c>
      <c r="I142" s="8">
        <v>2019</v>
      </c>
      <c r="J142" s="8">
        <f>IF(Table15[[#This Row],[Lifetime Option]]="fixed",Table15[[#This Row],[End of life (fixed)]],Table15[[#This Row],[Start year]]+Table26[Generic  Lifetime])</f>
        <v>2019</v>
      </c>
      <c r="K142" s="8">
        <v>0.58499999999999996</v>
      </c>
      <c r="L142" s="8"/>
      <c r="M142" s="11"/>
    </row>
    <row r="143" spans="3:13">
      <c r="C143" s="8" t="s">
        <v>153</v>
      </c>
      <c r="D143" s="8" t="s">
        <v>159</v>
      </c>
      <c r="E143" s="8">
        <v>1984</v>
      </c>
      <c r="F143" s="9">
        <v>0.86399999999999999</v>
      </c>
      <c r="G143" s="9" t="s">
        <v>201</v>
      </c>
      <c r="H143" s="8">
        <f>IF(Table15[[#This Row],[Lifetime Option]]="fixed",Table15[[#This Row],[End of life (fixed)]]-Table15[[#This Row],[Start year]],Table26[Generic  Lifetime])</f>
        <v>35</v>
      </c>
      <c r="I143" s="8">
        <v>2019</v>
      </c>
      <c r="J143" s="8">
        <f>IF(Table15[[#This Row],[Lifetime Option]]="fixed",Table15[[#This Row],[End of life (fixed)]],Table15[[#This Row],[Start year]]+Table26[Generic  Lifetime])</f>
        <v>2019</v>
      </c>
      <c r="K143" s="8">
        <v>0.57499999999999996</v>
      </c>
      <c r="L143" s="8"/>
      <c r="M143" s="11"/>
    </row>
    <row r="144" spans="3:13">
      <c r="C144" s="8" t="s">
        <v>153</v>
      </c>
      <c r="D144" s="8" t="s">
        <v>160</v>
      </c>
      <c r="E144" s="8">
        <v>1988</v>
      </c>
      <c r="F144" s="9">
        <v>1.0234219354838701</v>
      </c>
      <c r="G144" s="9" t="s">
        <v>201</v>
      </c>
      <c r="H144" s="8">
        <f>IF(Table15[[#This Row],[Lifetime Option]]="fixed",Table15[[#This Row],[End of life (fixed)]]-Table15[[#This Row],[Start year]],Table26[Generic  Lifetime])</f>
        <v>35</v>
      </c>
      <c r="I144" s="8">
        <v>2023</v>
      </c>
      <c r="J144" s="8">
        <f>IF(Table15[[#This Row],[Lifetime Option]]="fixed",Table15[[#This Row],[End of life (fixed)]],Table15[[#This Row],[Start year]]+Table26[Generic  Lifetime])</f>
        <v>2023</v>
      </c>
      <c r="K144" s="8">
        <v>0.61</v>
      </c>
      <c r="L144" s="8"/>
      <c r="M144" s="11"/>
    </row>
    <row r="145" spans="3:13">
      <c r="C145" s="8" t="s">
        <v>153</v>
      </c>
      <c r="D145" s="8" t="s">
        <v>161</v>
      </c>
      <c r="E145" s="8">
        <v>1988</v>
      </c>
      <c r="F145" s="9">
        <v>1.0234219354838701</v>
      </c>
      <c r="G145" s="9" t="s">
        <v>201</v>
      </c>
      <c r="H145" s="8">
        <f>IF(Table15[[#This Row],[Lifetime Option]]="fixed",Table15[[#This Row],[End of life (fixed)]]-Table15[[#This Row],[Start year]],Table26[Generic  Lifetime])</f>
        <v>35</v>
      </c>
      <c r="I145" s="8">
        <v>2023</v>
      </c>
      <c r="J145" s="8">
        <f>IF(Table15[[#This Row],[Lifetime Option]]="fixed",Table15[[#This Row],[End of life (fixed)]],Table15[[#This Row],[Start year]]+Table26[Generic  Lifetime])</f>
        <v>2023</v>
      </c>
      <c r="K145" s="8">
        <v>0.61</v>
      </c>
      <c r="L145" s="8"/>
      <c r="M145" s="11"/>
    </row>
    <row r="146" spans="3:13">
      <c r="C146" s="8" t="s">
        <v>153</v>
      </c>
      <c r="D146" s="8" t="s">
        <v>162</v>
      </c>
      <c r="E146" s="8">
        <v>1976</v>
      </c>
      <c r="F146" s="9">
        <v>1.0227469879518101</v>
      </c>
      <c r="G146" s="9" t="s">
        <v>201</v>
      </c>
      <c r="H146" s="8">
        <f>IF(Table15[[#This Row],[Lifetime Option]]="fixed",Table15[[#This Row],[End of life (fixed)]]-Table15[[#This Row],[Start year]],Table26[Generic  Lifetime])</f>
        <v>47</v>
      </c>
      <c r="I146" s="8">
        <v>2023</v>
      </c>
      <c r="J146" s="8">
        <f>IF(Table15[[#This Row],[Lifetime Option]]="fixed",Table15[[#This Row],[End of life (fixed)]],Table15[[#This Row],[Start year]]+Table26[Generic  Lifetime])</f>
        <v>2023</v>
      </c>
      <c r="K146" s="8">
        <v>0.435</v>
      </c>
      <c r="L146" s="8"/>
      <c r="M146" s="11"/>
    </row>
    <row r="147" spans="3:13">
      <c r="C147" s="8" t="s">
        <v>153</v>
      </c>
      <c r="D147" s="8" t="s">
        <v>163</v>
      </c>
      <c r="E147" s="8">
        <v>1976</v>
      </c>
      <c r="F147" s="9">
        <v>1.0227469879518101</v>
      </c>
      <c r="G147" s="9" t="s">
        <v>201</v>
      </c>
      <c r="H147" s="8">
        <f>IF(Table15[[#This Row],[Lifetime Option]]="fixed",Table15[[#This Row],[End of life (fixed)]]-Table15[[#This Row],[Start year]],Table26[Generic  Lifetime])</f>
        <v>47</v>
      </c>
      <c r="I147" s="8">
        <v>2023</v>
      </c>
      <c r="J147" s="8">
        <f>IF(Table15[[#This Row],[Lifetime Option]]="fixed",Table15[[#This Row],[End of life (fixed)]],Table15[[#This Row],[Start year]]+Table26[Generic  Lifetime])</f>
        <v>2023</v>
      </c>
      <c r="K147" s="8">
        <v>0.435</v>
      </c>
      <c r="L147" s="8"/>
      <c r="M147" s="11"/>
    </row>
    <row r="148" spans="3:13">
      <c r="C148" s="8" t="s">
        <v>153</v>
      </c>
      <c r="D148" s="8" t="s">
        <v>164</v>
      </c>
      <c r="E148" s="8">
        <v>1976</v>
      </c>
      <c r="F148" s="9">
        <v>0.78106524064171101</v>
      </c>
      <c r="G148" s="9" t="s">
        <v>201</v>
      </c>
      <c r="H148" s="8">
        <f>IF(Table15[[#This Row],[Lifetime Option]]="fixed",Table15[[#This Row],[End of life (fixed)]]-Table15[[#This Row],[Start year]],Table26[Generic  Lifetime])</f>
        <v>47</v>
      </c>
      <c r="I148" s="8">
        <v>2023</v>
      </c>
      <c r="J148" s="8">
        <f>IF(Table15[[#This Row],[Lifetime Option]]="fixed",Table15[[#This Row],[End of life (fixed)]],Table15[[#This Row],[Start year]]+Table26[Generic  Lifetime])</f>
        <v>2023</v>
      </c>
      <c r="K148" s="8">
        <v>0.46</v>
      </c>
      <c r="L148" s="8"/>
      <c r="M148" s="11"/>
    </row>
    <row r="149" spans="3:13">
      <c r="C149" s="8" t="s">
        <v>153</v>
      </c>
      <c r="D149" s="8" t="s">
        <v>165</v>
      </c>
      <c r="E149" s="8">
        <v>1977</v>
      </c>
      <c r="F149" s="9">
        <v>0.78106524064171101</v>
      </c>
      <c r="G149" s="9" t="s">
        <v>201</v>
      </c>
      <c r="H149" s="8">
        <f>IF(Table15[[#This Row],[Lifetime Option]]="fixed",Table15[[#This Row],[End of life (fixed)]]-Table15[[#This Row],[Start year]],Table26[Generic  Lifetime])</f>
        <v>46</v>
      </c>
      <c r="I149" s="8">
        <v>2023</v>
      </c>
      <c r="J149" s="8">
        <f>IF(Table15[[#This Row],[Lifetime Option]]="fixed",Table15[[#This Row],[End of life (fixed)]],Table15[[#This Row],[Start year]]+Table26[Generic  Lifetime])</f>
        <v>2023</v>
      </c>
      <c r="K149" s="8">
        <v>0.43</v>
      </c>
      <c r="L149" s="8"/>
      <c r="M149" s="11"/>
    </row>
    <row r="150" spans="3:13">
      <c r="C150" s="8" t="s">
        <v>153</v>
      </c>
      <c r="D150" s="8" t="s">
        <v>166</v>
      </c>
      <c r="E150" s="8">
        <v>1967</v>
      </c>
      <c r="F150" s="9">
        <v>0.14781501369863001</v>
      </c>
      <c r="G150" s="9" t="s">
        <v>201</v>
      </c>
      <c r="H150" s="8">
        <f>IF(Table15[[#This Row],[Lifetime Option]]="fixed",Table15[[#This Row],[End of life (fixed)]]-Table15[[#This Row],[Start year]],Table26[Generic  Lifetime])</f>
        <v>45</v>
      </c>
      <c r="I150" s="8">
        <v>2012</v>
      </c>
      <c r="J150" s="8">
        <f>IF(Table15[[#This Row],[Lifetime Option]]="fixed",Table15[[#This Row],[End of life (fixed)]],Table15[[#This Row],[Start year]]+Table26[Generic  Lifetime])</f>
        <v>2012</v>
      </c>
      <c r="K150" s="8">
        <v>0.217</v>
      </c>
      <c r="L150" s="8" t="s">
        <v>186</v>
      </c>
      <c r="M150" s="10" t="s">
        <v>193</v>
      </c>
    </row>
    <row r="151" spans="3:13">
      <c r="C151" s="8" t="s">
        <v>153</v>
      </c>
      <c r="D151" s="8" t="s">
        <v>167</v>
      </c>
      <c r="E151" s="8">
        <v>1995</v>
      </c>
      <c r="F151" s="9">
        <v>1.04058394160584</v>
      </c>
      <c r="G151" s="9" t="s">
        <v>201</v>
      </c>
      <c r="H151" s="8">
        <f>IF(Table15[[#This Row],[Lifetime Option]]="fixed",Table15[[#This Row],[End of life (fixed)]]-Table15[[#This Row],[Start year]],Table26[Generic  Lifetime])</f>
        <v>40</v>
      </c>
      <c r="I151" s="8">
        <v>2035</v>
      </c>
      <c r="J151" s="8">
        <f>IF(Table15[[#This Row],[Lifetime Option]]="fixed",Table15[[#This Row],[End of life (fixed)]],Table15[[#This Row],[Start year]]+Table26[Generic  Lifetime])</f>
        <v>2035</v>
      </c>
      <c r="K151" s="8">
        <v>1.1910000000000001</v>
      </c>
      <c r="L151" s="8"/>
      <c r="M151" s="11"/>
    </row>
    <row r="152" spans="3:13">
      <c r="C152" s="8" t="s">
        <v>153</v>
      </c>
      <c r="D152" s="8" t="s">
        <v>168</v>
      </c>
      <c r="E152" s="8">
        <v>1988</v>
      </c>
      <c r="F152" s="9">
        <v>1.0710299445471301</v>
      </c>
      <c r="G152" s="9" t="s">
        <v>201</v>
      </c>
      <c r="H152" s="8">
        <f>IF(Table15[[#This Row],[Lifetime Option]]="fixed",Table15[[#This Row],[End of life (fixed)]]-Table15[[#This Row],[Start year]],Table26[Generic  Lifetime])</f>
        <v>35</v>
      </c>
      <c r="I152" s="8">
        <v>2023</v>
      </c>
      <c r="J152" s="8">
        <f>IF(Table15[[#This Row],[Lifetime Option]]="fixed",Table15[[#This Row],[End of life (fixed)]],Table15[[#This Row],[Start year]]+Table26[Generic  Lifetime])</f>
        <v>2023</v>
      </c>
      <c r="K152" s="8">
        <v>0.59499999999999997</v>
      </c>
      <c r="L152" s="8"/>
      <c r="M152" s="11"/>
    </row>
    <row r="153" spans="3:13">
      <c r="C153" s="8" t="s">
        <v>153</v>
      </c>
      <c r="D153" s="8" t="s">
        <v>169</v>
      </c>
      <c r="E153" s="8">
        <v>1989</v>
      </c>
      <c r="F153" s="9">
        <v>1.0710299445471401</v>
      </c>
      <c r="G153" s="9" t="s">
        <v>201</v>
      </c>
      <c r="H153" s="8">
        <f>IF(Table15[[#This Row],[Lifetime Option]]="fixed",Table15[[#This Row],[End of life (fixed)]]-Table15[[#This Row],[Start year]],Table26[Generic  Lifetime])</f>
        <v>34</v>
      </c>
      <c r="I153" s="8">
        <v>2023</v>
      </c>
      <c r="J153" s="8">
        <f>IF(Table15[[#This Row],[Lifetime Option]]="fixed",Table15[[#This Row],[End of life (fixed)]],Table15[[#This Row],[Start year]]+Table26[Generic  Lifetime])</f>
        <v>2023</v>
      </c>
      <c r="K153" s="8">
        <v>0.59499999999999997</v>
      </c>
      <c r="L153" s="8"/>
      <c r="M153" s="11"/>
    </row>
    <row r="154" spans="3:13">
      <c r="C154" s="8" t="s">
        <v>153</v>
      </c>
      <c r="D154" s="8" t="s">
        <v>170</v>
      </c>
      <c r="E154" s="8">
        <v>1971</v>
      </c>
      <c r="F154" s="9">
        <v>1.3122</v>
      </c>
      <c r="G154" s="9" t="s">
        <v>201</v>
      </c>
      <c r="H154" s="8">
        <f>IF(Table15[[#This Row],[Lifetime Option]]="fixed",Table15[[#This Row],[End of life (fixed)]]-Table15[[#This Row],[Start year]],Table26[Generic  Lifetime])</f>
        <v>44</v>
      </c>
      <c r="I154" s="8">
        <v>2015</v>
      </c>
      <c r="J154" s="8">
        <f>IF(Table15[[#This Row],[Lifetime Option]]="fixed",Table15[[#This Row],[End of life (fixed)]],Table15[[#This Row],[Start year]]+Table26[Generic  Lifetime])</f>
        <v>2015</v>
      </c>
      <c r="K154" s="8">
        <v>0.49</v>
      </c>
      <c r="L154" s="8"/>
      <c r="M154" s="11"/>
    </row>
    <row r="155" spans="3:13">
      <c r="C155" s="8" t="s">
        <v>153</v>
      </c>
      <c r="D155" s="8" t="s">
        <v>171</v>
      </c>
      <c r="E155" s="8">
        <v>1971</v>
      </c>
      <c r="F155" s="9">
        <v>1.3122</v>
      </c>
      <c r="G155" s="9" t="s">
        <v>201</v>
      </c>
      <c r="H155" s="8">
        <f>IF(Table15[[#This Row],[Lifetime Option]]="fixed",Table15[[#This Row],[End of life (fixed)]]-Table15[[#This Row],[Start year]],Table26[Generic  Lifetime])</f>
        <v>41</v>
      </c>
      <c r="I155" s="8">
        <v>2012</v>
      </c>
      <c r="J155" s="8">
        <f>IF(Table15[[#This Row],[Lifetime Option]]="fixed",Table15[[#This Row],[End of life (fixed)]],Table15[[#This Row],[Start year]]+Table26[Generic  Lifetime])</f>
        <v>2012</v>
      </c>
      <c r="K155" s="8">
        <v>0.49</v>
      </c>
      <c r="L155" s="8"/>
      <c r="M155" s="11"/>
    </row>
  </sheetData>
  <hyperlinks>
    <hyperlink ref="M2" r:id="rId1" xr:uid="{00000000-0004-0000-0400-000000000000}"/>
    <hyperlink ref="M3" r:id="rId2" xr:uid="{00000000-0004-0000-0400-000001000000}"/>
    <hyperlink ref="M4" r:id="rId3" xr:uid="{00000000-0004-0000-0400-000002000000}"/>
    <hyperlink ref="M7" r:id="rId4" xr:uid="{00000000-0004-0000-0400-000003000000}"/>
    <hyperlink ref="M6" r:id="rId5" location=".Vdb00Y7DVE4 " xr:uid="{00000000-0004-0000-0400-000004000000}"/>
    <hyperlink ref="M124" r:id="rId6" xr:uid="{00000000-0004-0000-0400-000005000000}"/>
    <hyperlink ref="M11" r:id="rId7" xr:uid="{00000000-0004-0000-0400-000006000000}"/>
    <hyperlink ref="M12" r:id="rId8" xr:uid="{00000000-0004-0000-0400-000007000000}"/>
    <hyperlink ref="M53" r:id="rId9" xr:uid="{00000000-0004-0000-0400-000008000000}"/>
    <hyperlink ref="M18" r:id="rId10" xr:uid="{00000000-0004-0000-0400-000009000000}"/>
    <hyperlink ref="M129" r:id="rId11" xr:uid="{00000000-0004-0000-0400-00000A000000}"/>
    <hyperlink ref="M130" r:id="rId12" xr:uid="{00000000-0004-0000-0400-00000B000000}"/>
    <hyperlink ref="M134" r:id="rId13" xr:uid="{00000000-0004-0000-0400-00000C000000}"/>
    <hyperlink ref="M135" r:id="rId14" xr:uid="{00000000-0004-0000-0400-00000D000000}"/>
    <hyperlink ref="M131" r:id="rId15" xr:uid="{00000000-0004-0000-0400-00000E000000}"/>
    <hyperlink ref="M138" r:id="rId16" xr:uid="{00000000-0004-0000-0400-00000F000000}"/>
    <hyperlink ref="M150" r:id="rId17" xr:uid="{00000000-0004-0000-0400-000010000000}"/>
    <hyperlink ref="M127" r:id="rId18" xr:uid="{00000000-0004-0000-0400-000011000000}"/>
    <hyperlink ref="M128" r:id="rId19" xr:uid="{00000000-0004-0000-0400-000012000000}"/>
    <hyperlink ref="M13" r:id="rId20" xr:uid="{00000000-0004-0000-0400-000013000000}"/>
    <hyperlink ref="M14:M17" r:id="rId21" display="http://www.world-nuclear.org/info/Country-Profiles/Countries-O-S/Switzerland/" xr:uid="{00000000-0004-0000-0400-000014000000}"/>
  </hyperlinks>
  <pageMargins left="0.70866141732283472" right="0.70866141732283472" top="0.74803149606299213" bottom="0.74803149606299213" header="0.31496062992125984" footer="0.31496062992125984"/>
  <pageSetup paperSize="9" scale="53" fitToHeight="0" orientation="landscape" horizontalDpi="1200" verticalDpi="1200" r:id="rId22"/>
  <legacyDrawing r:id="rId23"/>
  <tableParts count="2">
    <tablePart r:id="rId24"/>
    <tablePart r:id="rId25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theme="5" tint="-0.499984740745262"/>
    <pageSetUpPr fitToPage="1"/>
  </sheetPr>
  <dimension ref="A1:M155"/>
  <sheetViews>
    <sheetView zoomScaleNormal="100" workbookViewId="0">
      <pane xSplit="3" ySplit="1" topLeftCell="D118" activePane="bottomRight" state="frozen"/>
      <selection pane="topRight" activeCell="C1" sqref="C1"/>
      <selection pane="bottomLeft" activeCell="A5" sqref="A5"/>
      <selection pane="bottomRight" activeCell="E159" sqref="E159"/>
    </sheetView>
  </sheetViews>
  <sheetFormatPr defaultRowHeight="15"/>
  <cols>
    <col min="1" max="1" width="10.7109375" style="5" bestFit="1" customWidth="1"/>
    <col min="2" max="2" width="9.140625" style="5"/>
    <col min="3" max="3" width="11.7109375" style="5" bestFit="1" customWidth="1"/>
    <col min="4" max="4" width="32.28515625" style="5" bestFit="1" customWidth="1"/>
    <col min="5" max="5" width="14" style="5" bestFit="1" customWidth="1"/>
    <col min="6" max="6" width="14.140625" style="5" bestFit="1" customWidth="1"/>
    <col min="7" max="7" width="14.140625" style="5" customWidth="1"/>
    <col min="8" max="8" width="9.5703125" style="5" bestFit="1" customWidth="1"/>
    <col min="9" max="10" width="14.5703125" style="5" bestFit="1" customWidth="1"/>
    <col min="11" max="11" width="20.140625" style="5" bestFit="1" customWidth="1"/>
    <col min="12" max="12" width="43.42578125" style="5" customWidth="1"/>
    <col min="13" max="13" width="108.85546875" style="5" bestFit="1" customWidth="1"/>
    <col min="14" max="16384" width="9.140625" style="5"/>
  </cols>
  <sheetData>
    <row r="1" spans="1:13" s="7" customFormat="1" ht="44.25" customHeight="1">
      <c r="A1" s="3" t="s">
        <v>195</v>
      </c>
      <c r="C1" s="6" t="s">
        <v>206</v>
      </c>
      <c r="D1" s="6" t="s">
        <v>0</v>
      </c>
      <c r="E1" s="6" t="s">
        <v>2</v>
      </c>
      <c r="F1" s="6" t="s">
        <v>196</v>
      </c>
      <c r="G1" s="6" t="s">
        <v>200</v>
      </c>
      <c r="H1" s="6" t="s">
        <v>198</v>
      </c>
      <c r="I1" s="6" t="s">
        <v>203</v>
      </c>
      <c r="J1" s="6" t="s">
        <v>199</v>
      </c>
      <c r="K1" s="6" t="s">
        <v>197</v>
      </c>
      <c r="L1" s="6" t="s">
        <v>172</v>
      </c>
      <c r="M1" s="6" t="s">
        <v>184</v>
      </c>
    </row>
    <row r="2" spans="1:13" ht="26.25">
      <c r="A2" s="4">
        <v>60</v>
      </c>
      <c r="C2" s="8" t="s">
        <v>4</v>
      </c>
      <c r="D2" s="8" t="s">
        <v>5</v>
      </c>
      <c r="E2" s="8">
        <v>1974</v>
      </c>
      <c r="F2" s="9">
        <v>1.3464164759725401</v>
      </c>
      <c r="G2" s="9" t="s">
        <v>201</v>
      </c>
      <c r="H2" s="8">
        <f>IF(Table1[[#This Row],[Lifetime Option]]="fixed",Table1[[#This Row],[End of life (fixed)]]-Table1[[#This Row],[Start year]],Table2[Generic  Lifetime])</f>
        <v>51</v>
      </c>
      <c r="I2" s="8">
        <v>2025</v>
      </c>
      <c r="J2" s="8">
        <f>IF(Table1[[#This Row],[Lifetime Option]]="fixed",Table1[[#This Row],[End of life (fixed)]],Table1[[#This Row],[Start year]]+Table2[Generic  Lifetime])</f>
        <v>2025</v>
      </c>
      <c r="K2" s="8">
        <v>0.433</v>
      </c>
      <c r="L2" s="8"/>
      <c r="M2" s="10" t="s">
        <v>173</v>
      </c>
    </row>
    <row r="3" spans="1:13" ht="26.25">
      <c r="C3" s="8" t="s">
        <v>4</v>
      </c>
      <c r="D3" s="8" t="s">
        <v>6</v>
      </c>
      <c r="E3" s="8">
        <v>1975</v>
      </c>
      <c r="F3" s="9">
        <v>1.3464164759725401</v>
      </c>
      <c r="G3" s="9" t="s">
        <v>201</v>
      </c>
      <c r="H3" s="8">
        <f>IF(Table1[[#This Row],[Lifetime Option]]="fixed",Table1[[#This Row],[End of life (fixed)]]-Table1[[#This Row],[Start year]],Table2[Generic  Lifetime])</f>
        <v>50</v>
      </c>
      <c r="I3" s="8">
        <v>2025</v>
      </c>
      <c r="J3" s="8">
        <f>IF(Table1[[#This Row],[Lifetime Option]]="fixed",Table1[[#This Row],[End of life (fixed)]],Table1[[#This Row],[Start year]]+Table2[Generic  Lifetime])</f>
        <v>2025</v>
      </c>
      <c r="K3" s="8">
        <v>0.433</v>
      </c>
      <c r="L3" s="8"/>
      <c r="M3" s="10" t="s">
        <v>173</v>
      </c>
    </row>
    <row r="4" spans="1:13">
      <c r="C4" s="8" t="s">
        <v>4</v>
      </c>
      <c r="D4" s="8" t="s">
        <v>7</v>
      </c>
      <c r="E4" s="8">
        <v>1982</v>
      </c>
      <c r="F4" s="9">
        <v>1.46387740667976</v>
      </c>
      <c r="G4" s="9" t="s">
        <v>201</v>
      </c>
      <c r="H4" s="8">
        <f>IF(Table1[[#This Row],[Lifetime Option]]="fixed",Table1[[#This Row],[End of life (fixed)]]-Table1[[#This Row],[Start year]],Table2[Generic  Lifetime])</f>
        <v>40</v>
      </c>
      <c r="I4" s="8">
        <v>2022</v>
      </c>
      <c r="J4" s="8">
        <f>IF(Table1[[#This Row],[Lifetime Option]]="fixed",Table1[[#This Row],[End of life (fixed)]],Table1[[#This Row],[Start year]]+Table2[Generic  Lifetime])</f>
        <v>2022</v>
      </c>
      <c r="K4" s="8">
        <v>1.006</v>
      </c>
      <c r="L4" s="8" t="s">
        <v>185</v>
      </c>
      <c r="M4" s="10" t="s">
        <v>175</v>
      </c>
    </row>
    <row r="5" spans="1:13">
      <c r="C5" s="8" t="s">
        <v>4</v>
      </c>
      <c r="D5" s="8" t="s">
        <v>8</v>
      </c>
      <c r="E5" s="8">
        <v>1985</v>
      </c>
      <c r="F5" s="9">
        <v>1.4183132530120499</v>
      </c>
      <c r="G5" s="9" t="s">
        <v>201</v>
      </c>
      <c r="H5" s="8">
        <f>IF(Table1[[#This Row],[Lifetime Option]]="fixed",Table1[[#This Row],[End of life (fixed)]]-Table1[[#This Row],[Start year]],Table2[Generic  Lifetime])</f>
        <v>40</v>
      </c>
      <c r="I5" s="8">
        <v>2025</v>
      </c>
      <c r="J5" s="8">
        <f>IF(Table1[[#This Row],[Lifetime Option]]="fixed",Table1[[#This Row],[End of life (fixed)]],Table1[[#This Row],[Start year]]+Table2[Generic  Lifetime])</f>
        <v>2025</v>
      </c>
      <c r="K5" s="8">
        <v>1.0389999999999999</v>
      </c>
      <c r="L5" s="8"/>
      <c r="M5" s="11"/>
    </row>
    <row r="6" spans="1:13">
      <c r="C6" s="8" t="s">
        <v>4</v>
      </c>
      <c r="D6" s="8" t="s">
        <v>9</v>
      </c>
      <c r="E6" s="8">
        <v>1975</v>
      </c>
      <c r="F6" s="9">
        <v>1.3654688478941901</v>
      </c>
      <c r="G6" s="9" t="s">
        <v>201</v>
      </c>
      <c r="H6" s="8">
        <f>IF(Table1[[#This Row],[Lifetime Option]]="fixed",Table1[[#This Row],[End of life (fixed)]]-Table1[[#This Row],[Start year]],Table2[Generic  Lifetime])</f>
        <v>50</v>
      </c>
      <c r="I6" s="8">
        <v>2025</v>
      </c>
      <c r="J6" s="8">
        <f>IF(Table1[[#This Row],[Lifetime Option]]="fixed",Table1[[#This Row],[End of life (fixed)]],Table1[[#This Row],[Start year]]+Table2[Generic  Lifetime])</f>
        <v>2025</v>
      </c>
      <c r="K6" s="8">
        <v>0.96199999999999997</v>
      </c>
      <c r="L6" s="8"/>
      <c r="M6" s="10" t="s">
        <v>174</v>
      </c>
    </row>
    <row r="7" spans="1:13">
      <c r="C7" s="8" t="s">
        <v>4</v>
      </c>
      <c r="D7" s="8" t="s">
        <v>10</v>
      </c>
      <c r="E7" s="8">
        <v>1982</v>
      </c>
      <c r="F7" s="9">
        <v>1.3387206266318501</v>
      </c>
      <c r="G7" s="9" t="s">
        <v>201</v>
      </c>
      <c r="H7" s="8">
        <f>IF(Table1[[#This Row],[Lifetime Option]]="fixed",Table1[[#This Row],[End of life (fixed)]]-Table1[[#This Row],[Start year]],Table2[Generic  Lifetime])</f>
        <v>40</v>
      </c>
      <c r="I7" s="8">
        <v>2022</v>
      </c>
      <c r="J7" s="8">
        <f>IF(Table1[[#This Row],[Lifetime Option]]="fixed",Table1[[#This Row],[End of life (fixed)]],Table1[[#This Row],[Start year]]+Table2[Generic  Lifetime])</f>
        <v>2022</v>
      </c>
      <c r="K7" s="8">
        <v>1.008</v>
      </c>
      <c r="L7" s="8" t="s">
        <v>185</v>
      </c>
      <c r="M7" s="10" t="s">
        <v>175</v>
      </c>
    </row>
    <row r="8" spans="1:13">
      <c r="C8" s="8" t="s">
        <v>4</v>
      </c>
      <c r="D8" s="8" t="s">
        <v>11</v>
      </c>
      <c r="E8" s="8">
        <v>1985</v>
      </c>
      <c r="F8" s="9">
        <v>1.417824</v>
      </c>
      <c r="G8" s="9" t="s">
        <v>201</v>
      </c>
      <c r="H8" s="8">
        <f>IF(Table1[[#This Row],[Lifetime Option]]="fixed",Table1[[#This Row],[End of life (fixed)]]-Table1[[#This Row],[Start year]],Table2[Generic  Lifetime])</f>
        <v>40</v>
      </c>
      <c r="I8" s="8">
        <v>2025</v>
      </c>
      <c r="J8" s="8">
        <f>IF(Table1[[#This Row],[Lifetime Option]]="fixed",Table1[[#This Row],[End of life (fixed)]],Table1[[#This Row],[Start year]]+Table2[Generic  Lifetime])</f>
        <v>2025</v>
      </c>
      <c r="K8" s="8">
        <v>1.046</v>
      </c>
      <c r="L8" s="8"/>
      <c r="M8" s="11"/>
    </row>
    <row r="9" spans="1:13">
      <c r="C9" s="8" t="s">
        <v>12</v>
      </c>
      <c r="D9" s="8" t="s">
        <v>13</v>
      </c>
      <c r="E9" s="8">
        <v>1980</v>
      </c>
      <c r="F9" s="9">
        <v>0.77</v>
      </c>
      <c r="G9" s="9" t="s">
        <v>201</v>
      </c>
      <c r="H9" s="8">
        <f>IF(Table1[[#This Row],[Lifetime Option]]="fixed",Table1[[#This Row],[End of life (fixed)]]-Table1[[#This Row],[Start year]],Table2[Generic  Lifetime])</f>
        <v>26</v>
      </c>
      <c r="I9" s="8">
        <v>2006</v>
      </c>
      <c r="J9" s="8">
        <f>IF(Table1[[#This Row],[Lifetime Option]]="fixed",Table1[[#This Row],[End of life (fixed)]],Table1[[#This Row],[Start year]]+Table2[Generic  Lifetime])</f>
        <v>2006</v>
      </c>
      <c r="K9" s="8">
        <v>0.40799999999999997</v>
      </c>
      <c r="L9" s="8" t="s">
        <v>186</v>
      </c>
      <c r="M9" s="11"/>
    </row>
    <row r="10" spans="1:13">
      <c r="C10" s="8" t="s">
        <v>12</v>
      </c>
      <c r="D10" s="8" t="s">
        <v>14</v>
      </c>
      <c r="E10" s="8">
        <v>1982</v>
      </c>
      <c r="F10" s="9">
        <v>0.77</v>
      </c>
      <c r="G10" s="9" t="s">
        <v>201</v>
      </c>
      <c r="H10" s="8">
        <f>IF(Table1[[#This Row],[Lifetime Option]]="fixed",Table1[[#This Row],[End of life (fixed)]]-Table1[[#This Row],[Start year]],Table2[Generic  Lifetime])</f>
        <v>24</v>
      </c>
      <c r="I10" s="8">
        <v>2006</v>
      </c>
      <c r="J10" s="8">
        <f>IF(Table1[[#This Row],[Lifetime Option]]="fixed",Table1[[#This Row],[End of life (fixed)]],Table1[[#This Row],[Start year]]+Table2[Generic  Lifetime])</f>
        <v>2006</v>
      </c>
      <c r="K10" s="8">
        <v>0.40799999999999997</v>
      </c>
      <c r="L10" s="8" t="s">
        <v>186</v>
      </c>
      <c r="M10" s="11"/>
    </row>
    <row r="11" spans="1:13">
      <c r="C11" s="8" t="s">
        <v>12</v>
      </c>
      <c r="D11" s="8" t="s">
        <v>15</v>
      </c>
      <c r="E11" s="8">
        <v>1987</v>
      </c>
      <c r="F11" s="9">
        <v>0.77759999999999996</v>
      </c>
      <c r="G11" s="9" t="s">
        <v>202</v>
      </c>
      <c r="H11" s="8">
        <f>IF(Table1[[#This Row],[Lifetime Option]]="fixed",Table1[[#This Row],[End of life (fixed)]]-Table1[[#This Row],[Start year]],Table2[Generic  Lifetime])</f>
        <v>60</v>
      </c>
      <c r="I11" s="8"/>
      <c r="J11" s="8">
        <f>IF(Table1[[#This Row],[Lifetime Option]]="fixed",Table1[[#This Row],[End of life (fixed)]],Table1[[#This Row],[Start year]]+Table2[Generic  Lifetime])</f>
        <v>2047</v>
      </c>
      <c r="K11" s="8">
        <v>0.95299999999999996</v>
      </c>
      <c r="L11" s="8"/>
      <c r="M11" s="10" t="s">
        <v>177</v>
      </c>
    </row>
    <row r="12" spans="1:13">
      <c r="C12" s="8" t="s">
        <v>12</v>
      </c>
      <c r="D12" s="8" t="s">
        <v>16</v>
      </c>
      <c r="E12" s="8">
        <v>1991</v>
      </c>
      <c r="F12" s="9">
        <v>0.77759999999999996</v>
      </c>
      <c r="G12" s="9" t="s">
        <v>202</v>
      </c>
      <c r="H12" s="8">
        <f>IF(Table1[[#This Row],[Lifetime Option]]="fixed",Table1[[#This Row],[End of life (fixed)]]-Table1[[#This Row],[Start year]],Table2[Generic  Lifetime])</f>
        <v>60</v>
      </c>
      <c r="I12" s="8"/>
      <c r="J12" s="8">
        <f>IF(Table1[[#This Row],[Lifetime Option]]="fixed",Table1[[#This Row],[End of life (fixed)]],Table1[[#This Row],[Start year]]+Table2[Generic  Lifetime])</f>
        <v>2051</v>
      </c>
      <c r="K12" s="8">
        <v>0.95299999999999996</v>
      </c>
      <c r="L12" s="8"/>
      <c r="M12" s="10" t="s">
        <v>177</v>
      </c>
    </row>
    <row r="13" spans="1:13">
      <c r="C13" s="8" t="s">
        <v>17</v>
      </c>
      <c r="D13" s="8" t="s">
        <v>18</v>
      </c>
      <c r="E13" s="8">
        <v>1969</v>
      </c>
      <c r="F13" s="9">
        <v>1.22030442477876</v>
      </c>
      <c r="G13" s="9" t="s">
        <v>201</v>
      </c>
      <c r="H13" s="8">
        <f>IF(Table1[[#This Row],[Lifetime Option]]="fixed",Table1[[#This Row],[End of life (fixed)]]-Table1[[#This Row],[Start year]],Table2[Generic  Lifetime])</f>
        <v>50</v>
      </c>
      <c r="I13" s="8">
        <v>2019</v>
      </c>
      <c r="J13" s="8">
        <f>IF(Table1[[#This Row],[Lifetime Option]]="fixed",Table1[[#This Row],[End of life (fixed)]],Table1[[#This Row],[Start year]]+Table2[Generic  Lifetime])</f>
        <v>2019</v>
      </c>
      <c r="K13" s="8">
        <v>0.36499999999999999</v>
      </c>
      <c r="L13" s="8" t="s">
        <v>205</v>
      </c>
      <c r="M13" s="10" t="s">
        <v>204</v>
      </c>
    </row>
    <row r="14" spans="1:13">
      <c r="C14" s="8" t="s">
        <v>17</v>
      </c>
      <c r="D14" s="8" t="s">
        <v>19</v>
      </c>
      <c r="E14" s="8">
        <v>1971</v>
      </c>
      <c r="F14" s="9">
        <v>1.22030442477876</v>
      </c>
      <c r="G14" s="9" t="s">
        <v>201</v>
      </c>
      <c r="H14" s="8">
        <f>IF(Table1[[#This Row],[Lifetime Option]]="fixed",Table1[[#This Row],[End of life (fixed)]]-Table1[[#This Row],[Start year]],Table2[Generic  Lifetime])</f>
        <v>50</v>
      </c>
      <c r="I14" s="8">
        <v>2021</v>
      </c>
      <c r="J14" s="8">
        <f>IF(Table1[[#This Row],[Lifetime Option]]="fixed",Table1[[#This Row],[End of life (fixed)]],Table1[[#This Row],[Start year]]+Table2[Generic  Lifetime])</f>
        <v>2021</v>
      </c>
      <c r="K14" s="8">
        <v>0.36499999999999999</v>
      </c>
      <c r="L14" s="8" t="s">
        <v>205</v>
      </c>
      <c r="M14" s="10" t="s">
        <v>204</v>
      </c>
    </row>
    <row r="15" spans="1:13">
      <c r="C15" s="8" t="s">
        <v>17</v>
      </c>
      <c r="D15" s="8" t="s">
        <v>20</v>
      </c>
      <c r="E15" s="8">
        <v>1979</v>
      </c>
      <c r="F15" s="9">
        <v>1.54898334443704</v>
      </c>
      <c r="G15" s="9" t="s">
        <v>201</v>
      </c>
      <c r="H15" s="8">
        <f>IF(Table1[[#This Row],[Lifetime Option]]="fixed",Table1[[#This Row],[End of life (fixed)]]-Table1[[#This Row],[Start year]],Table2[Generic  Lifetime])</f>
        <v>50</v>
      </c>
      <c r="I15" s="8">
        <v>2029</v>
      </c>
      <c r="J15" s="8">
        <f>IF(Table1[[#This Row],[Lifetime Option]]="fixed",Table1[[#This Row],[End of life (fixed)]],Table1[[#This Row],[Start year]]+Table2[Generic  Lifetime])</f>
        <v>2029</v>
      </c>
      <c r="K15" s="8">
        <v>0.98499999999999999</v>
      </c>
      <c r="L15" s="8" t="s">
        <v>205</v>
      </c>
      <c r="M15" s="10" t="s">
        <v>204</v>
      </c>
    </row>
    <row r="16" spans="1:13">
      <c r="C16" s="8" t="s">
        <v>17</v>
      </c>
      <c r="D16" s="8" t="s">
        <v>21</v>
      </c>
      <c r="E16" s="8">
        <v>1984</v>
      </c>
      <c r="F16" s="9">
        <v>1.28484</v>
      </c>
      <c r="G16" s="9" t="s">
        <v>201</v>
      </c>
      <c r="H16" s="8">
        <f>IF(Table1[[#This Row],[Lifetime Option]]="fixed",Table1[[#This Row],[End of life (fixed)]]-Table1[[#This Row],[Start year]],Table2[Generic  Lifetime])</f>
        <v>50</v>
      </c>
      <c r="I16" s="8">
        <v>2034</v>
      </c>
      <c r="J16" s="8">
        <f>IF(Table1[[#This Row],[Lifetime Option]]="fixed",Table1[[#This Row],[End of life (fixed)]],Table1[[#This Row],[Start year]]+Table2[Generic  Lifetime])</f>
        <v>2034</v>
      </c>
      <c r="K16" s="8">
        <v>1.22</v>
      </c>
      <c r="L16" s="8" t="s">
        <v>205</v>
      </c>
      <c r="M16" s="10" t="s">
        <v>204</v>
      </c>
    </row>
    <row r="17" spans="3:13">
      <c r="C17" s="8" t="s">
        <v>17</v>
      </c>
      <c r="D17" s="8" t="s">
        <v>22</v>
      </c>
      <c r="E17" s="8">
        <v>1971</v>
      </c>
      <c r="F17" s="9">
        <v>1.4743919781221499</v>
      </c>
      <c r="G17" s="9" t="s">
        <v>201</v>
      </c>
      <c r="H17" s="8">
        <f>IF(Table1[[#This Row],[Lifetime Option]]="fixed",Table1[[#This Row],[End of life (fixed)]]-Table1[[#This Row],[Start year]],Table2[Generic  Lifetime])</f>
        <v>48</v>
      </c>
      <c r="I17" s="8">
        <v>2019</v>
      </c>
      <c r="J17" s="8">
        <f>IF(Table1[[#This Row],[Lifetime Option]]="fixed",Table1[[#This Row],[End of life (fixed)]],Table1[[#This Row],[Start year]]+Table2[Generic  Lifetime])</f>
        <v>2019</v>
      </c>
      <c r="K17" s="8">
        <v>0.373</v>
      </c>
      <c r="L17" s="8" t="s">
        <v>205</v>
      </c>
      <c r="M17" s="10" t="s">
        <v>204</v>
      </c>
    </row>
    <row r="18" spans="3:13">
      <c r="C18" s="8" t="s">
        <v>23</v>
      </c>
      <c r="D18" s="8" t="s">
        <v>24</v>
      </c>
      <c r="E18" s="8">
        <v>1985</v>
      </c>
      <c r="F18" s="9">
        <v>1.2607488</v>
      </c>
      <c r="G18" s="9" t="s">
        <v>202</v>
      </c>
      <c r="H18" s="8">
        <f>IF(Table1[[#This Row],[Lifetime Option]]="fixed",Table1[[#This Row],[End of life (fixed)]]-Table1[[#This Row],[Start year]],Table2[Generic  Lifetime])</f>
        <v>60</v>
      </c>
      <c r="I18" s="8"/>
      <c r="J18" s="8">
        <f>IF(Table1[[#This Row],[Lifetime Option]]="fixed",Table1[[#This Row],[End of life (fixed)]],Table1[[#This Row],[Start year]]+Table2[Generic  Lifetime])</f>
        <v>2045</v>
      </c>
      <c r="K18" s="8">
        <v>0.46800000000000003</v>
      </c>
      <c r="L18" s="8"/>
      <c r="M18" s="10" t="s">
        <v>180</v>
      </c>
    </row>
    <row r="19" spans="3:13">
      <c r="C19" s="8" t="s">
        <v>23</v>
      </c>
      <c r="D19" s="8" t="s">
        <v>25</v>
      </c>
      <c r="E19" s="8">
        <v>1986</v>
      </c>
      <c r="F19" s="9">
        <v>1.2607488</v>
      </c>
      <c r="G19" s="9" t="s">
        <v>202</v>
      </c>
      <c r="H19" s="8">
        <f>IF(Table1[[#This Row],[Lifetime Option]]="fixed",Table1[[#This Row],[End of life (fixed)]]-Table1[[#This Row],[Start year]],Table2[Generic  Lifetime])</f>
        <v>60</v>
      </c>
      <c r="I19" s="8"/>
      <c r="J19" s="8">
        <f>IF(Table1[[#This Row],[Lifetime Option]]="fixed",Table1[[#This Row],[End of life (fixed)]],Table1[[#This Row],[Start year]]+Table2[Generic  Lifetime])</f>
        <v>2046</v>
      </c>
      <c r="K19" s="8">
        <v>0.47099999999999997</v>
      </c>
      <c r="L19" s="8"/>
      <c r="M19" s="11"/>
    </row>
    <row r="20" spans="3:13">
      <c r="C20" s="8" t="s">
        <v>23</v>
      </c>
      <c r="D20" s="8" t="s">
        <v>26</v>
      </c>
      <c r="E20" s="8">
        <v>1986</v>
      </c>
      <c r="F20" s="9">
        <v>1.3110781163434899</v>
      </c>
      <c r="G20" s="9" t="s">
        <v>202</v>
      </c>
      <c r="H20" s="8">
        <f>IF(Table1[[#This Row],[Lifetime Option]]="fixed",Table1[[#This Row],[End of life (fixed)]]-Table1[[#This Row],[Start year]],Table2[Generic  Lifetime])</f>
        <v>60</v>
      </c>
      <c r="I20" s="8"/>
      <c r="J20" s="8">
        <f>IF(Table1[[#This Row],[Lifetime Option]]="fixed",Table1[[#This Row],[End of life (fixed)]],Table1[[#This Row],[Start year]]+Table2[Generic  Lifetime])</f>
        <v>2046</v>
      </c>
      <c r="K20" s="8">
        <v>0.46800000000000003</v>
      </c>
      <c r="L20" s="8"/>
      <c r="M20" s="11"/>
    </row>
    <row r="21" spans="3:13">
      <c r="C21" s="8" t="s">
        <v>23</v>
      </c>
      <c r="D21" s="8" t="s">
        <v>27</v>
      </c>
      <c r="E21" s="8">
        <v>1987</v>
      </c>
      <c r="F21" s="9">
        <v>1.2607488</v>
      </c>
      <c r="G21" s="9" t="s">
        <v>202</v>
      </c>
      <c r="H21" s="8">
        <f>IF(Table1[[#This Row],[Lifetime Option]]="fixed",Table1[[#This Row],[End of life (fixed)]]-Table1[[#This Row],[Start year]],Table2[Generic  Lifetime])</f>
        <v>60</v>
      </c>
      <c r="I21" s="8"/>
      <c r="J21" s="8">
        <f>IF(Table1[[#This Row],[Lifetime Option]]="fixed",Table1[[#This Row],[End of life (fixed)]],Table1[[#This Row],[Start year]]+Table2[Generic  Lifetime])</f>
        <v>2047</v>
      </c>
      <c r="K21" s="8">
        <v>0.47099999999999997</v>
      </c>
      <c r="L21" s="8"/>
      <c r="M21" s="11"/>
    </row>
    <row r="22" spans="3:13">
      <c r="C22" s="8" t="s">
        <v>23</v>
      </c>
      <c r="D22" s="8" t="s">
        <v>28</v>
      </c>
      <c r="E22" s="8">
        <v>2000</v>
      </c>
      <c r="F22" s="9">
        <v>1.312848</v>
      </c>
      <c r="G22" s="9" t="s">
        <v>202</v>
      </c>
      <c r="H22" s="8">
        <f>IF(Table1[[#This Row],[Lifetime Option]]="fixed",Table1[[#This Row],[End of life (fixed)]]-Table1[[#This Row],[Start year]],Table2[Generic  Lifetime])</f>
        <v>60</v>
      </c>
      <c r="I22" s="8"/>
      <c r="J22" s="8">
        <f>IF(Table1[[#This Row],[Lifetime Option]]="fixed",Table1[[#This Row],[End of life (fixed)]],Table1[[#This Row],[Start year]]+Table2[Generic  Lifetime])</f>
        <v>2060</v>
      </c>
      <c r="K22" s="8">
        <v>0.96299999999999997</v>
      </c>
      <c r="L22" s="8"/>
      <c r="M22" s="11"/>
    </row>
    <row r="23" spans="3:13">
      <c r="C23" s="8" t="s">
        <v>23</v>
      </c>
      <c r="D23" s="8" t="s">
        <v>29</v>
      </c>
      <c r="E23" s="8">
        <v>2002</v>
      </c>
      <c r="F23" s="9">
        <v>1.312848</v>
      </c>
      <c r="G23" s="9" t="s">
        <v>202</v>
      </c>
      <c r="H23" s="8">
        <f>IF(Table1[[#This Row],[Lifetime Option]]="fixed",Table1[[#This Row],[End of life (fixed)]]-Table1[[#This Row],[Start year]],Table2[Generic  Lifetime])</f>
        <v>60</v>
      </c>
      <c r="I23" s="8"/>
      <c r="J23" s="8">
        <f>IF(Table1[[#This Row],[Lifetime Option]]="fixed",Table1[[#This Row],[End of life (fixed)]],Table1[[#This Row],[Start year]]+Table2[Generic  Lifetime])</f>
        <v>2062</v>
      </c>
      <c r="K23" s="8">
        <v>0.96299999999999997</v>
      </c>
      <c r="L23" s="8"/>
      <c r="M23" s="11"/>
    </row>
    <row r="24" spans="3:13">
      <c r="C24" s="8" t="s">
        <v>1</v>
      </c>
      <c r="D24" s="8" t="s">
        <v>30</v>
      </c>
      <c r="E24" s="8">
        <v>1974</v>
      </c>
      <c r="F24" s="9">
        <v>0.94089599999999995</v>
      </c>
      <c r="G24" s="9" t="s">
        <v>201</v>
      </c>
      <c r="H24" s="8">
        <f>IF(Table1[[#This Row],[Lifetime Option]]="fixed",Table1[[#This Row],[End of life (fixed)]]-Table1[[#This Row],[Start year]],Table2[Generic  Lifetime])</f>
        <v>37</v>
      </c>
      <c r="I24" s="8">
        <v>2011</v>
      </c>
      <c r="J24" s="8">
        <f>IF(Table1[[#This Row],[Lifetime Option]]="fixed",Table1[[#This Row],[End of life (fixed)]],Table1[[#This Row],[Start year]]+Table2[Generic  Lifetime])</f>
        <v>2011</v>
      </c>
      <c r="K24" s="8">
        <v>1.167</v>
      </c>
      <c r="L24" s="8" t="s">
        <v>186</v>
      </c>
      <c r="M24" s="11"/>
    </row>
    <row r="25" spans="3:13">
      <c r="C25" s="8" t="s">
        <v>1</v>
      </c>
      <c r="D25" s="8" t="s">
        <v>31</v>
      </c>
      <c r="E25" s="8">
        <v>1976</v>
      </c>
      <c r="F25" s="9">
        <v>0.94089599999999995</v>
      </c>
      <c r="G25" s="9" t="s">
        <v>201</v>
      </c>
      <c r="H25" s="8">
        <f>IF(Table1[[#This Row],[Lifetime Option]]="fixed",Table1[[#This Row],[End of life (fixed)]]-Table1[[#This Row],[Start year]],Table2[Generic  Lifetime])</f>
        <v>35</v>
      </c>
      <c r="I25" s="8">
        <v>2011</v>
      </c>
      <c r="J25" s="8">
        <f>IF(Table1[[#This Row],[Lifetime Option]]="fixed",Table1[[#This Row],[End of life (fixed)]],Table1[[#This Row],[Start year]]+Table2[Generic  Lifetime])</f>
        <v>2011</v>
      </c>
      <c r="K25" s="8">
        <v>1.24</v>
      </c>
      <c r="L25" s="8" t="s">
        <v>186</v>
      </c>
      <c r="M25" s="11"/>
    </row>
    <row r="26" spans="3:13">
      <c r="C26" s="8" t="s">
        <v>1</v>
      </c>
      <c r="D26" s="8" t="s">
        <v>32</v>
      </c>
      <c r="E26" s="8">
        <v>1986</v>
      </c>
      <c r="F26" s="9">
        <v>1.11478153846154</v>
      </c>
      <c r="G26" s="9" t="s">
        <v>201</v>
      </c>
      <c r="H26" s="8">
        <f>IF(Table1[[#This Row],[Lifetime Option]]="fixed",Table1[[#This Row],[End of life (fixed)]]-Table1[[#This Row],[Start year]],Table2[Generic  Lifetime])</f>
        <v>35</v>
      </c>
      <c r="I26" s="8">
        <v>2021</v>
      </c>
      <c r="J26" s="8">
        <f>IF(Table1[[#This Row],[Lifetime Option]]="fixed",Table1[[#This Row],[End of life (fixed)]],Table1[[#This Row],[Start year]]+Table2[Generic  Lifetime])</f>
        <v>2021</v>
      </c>
      <c r="K26" s="8">
        <v>1.41</v>
      </c>
      <c r="L26" s="8"/>
      <c r="M26" s="11"/>
    </row>
    <row r="27" spans="3:13">
      <c r="C27" s="8" t="s">
        <v>1</v>
      </c>
      <c r="D27" s="8" t="s">
        <v>33</v>
      </c>
      <c r="E27" s="8">
        <v>1976</v>
      </c>
      <c r="F27" s="9">
        <v>0.91238399999999997</v>
      </c>
      <c r="G27" s="9" t="s">
        <v>201</v>
      </c>
      <c r="H27" s="8">
        <f>IF(Table1[[#This Row],[Lifetime Option]]="fixed",Table1[[#This Row],[End of life (fixed)]]-Table1[[#This Row],[Start year]],Table2[Generic  Lifetime])</f>
        <v>35</v>
      </c>
      <c r="I27" s="8">
        <v>2011</v>
      </c>
      <c r="J27" s="8">
        <f>IF(Table1[[#This Row],[Lifetime Option]]="fixed",Table1[[#This Row],[End of life (fixed)]],Table1[[#This Row],[Start year]]+Table2[Generic  Lifetime])</f>
        <v>2011</v>
      </c>
      <c r="K27" s="8">
        <v>0.77100000000000002</v>
      </c>
      <c r="L27" s="8" t="s">
        <v>186</v>
      </c>
      <c r="M27" s="11"/>
    </row>
    <row r="28" spans="3:13">
      <c r="C28" s="8" t="s">
        <v>1</v>
      </c>
      <c r="D28" s="8" t="s">
        <v>34</v>
      </c>
      <c r="E28" s="8">
        <v>1988</v>
      </c>
      <c r="F28" s="9">
        <v>1.0053818181818199</v>
      </c>
      <c r="G28" s="9" t="s">
        <v>201</v>
      </c>
      <c r="H28" s="8">
        <f>IF(Table1[[#This Row],[Lifetime Option]]="fixed",Table1[[#This Row],[End of life (fixed)]]-Table1[[#This Row],[Start year]],Table2[Generic  Lifetime])</f>
        <v>34</v>
      </c>
      <c r="I28" s="8">
        <v>2022</v>
      </c>
      <c r="J28" s="8">
        <f>IF(Table1[[#This Row],[Lifetime Option]]="fixed",Table1[[#This Row],[End of life (fixed)]],Table1[[#This Row],[Start year]]+Table2[Generic  Lifetime])</f>
        <v>2022</v>
      </c>
      <c r="K28" s="8">
        <v>1.335</v>
      </c>
      <c r="L28" s="8"/>
      <c r="M28" s="11" t="s">
        <v>181</v>
      </c>
    </row>
    <row r="29" spans="3:13">
      <c r="C29" s="8" t="s">
        <v>1</v>
      </c>
      <c r="D29" s="8" t="s">
        <v>35</v>
      </c>
      <c r="E29" s="8">
        <v>1981</v>
      </c>
      <c r="F29" s="9">
        <v>1.04942151394422</v>
      </c>
      <c r="G29" s="9" t="s">
        <v>201</v>
      </c>
      <c r="H29" s="8">
        <f>IF(Table1[[#This Row],[Lifetime Option]]="fixed",Table1[[#This Row],[End of life (fixed)]]-Table1[[#This Row],[Start year]],Table2[Generic  Lifetime])</f>
        <v>34</v>
      </c>
      <c r="I29" s="8">
        <v>2015</v>
      </c>
      <c r="J29" s="8">
        <f>IF(Table1[[#This Row],[Lifetime Option]]="fixed",Table1[[#This Row],[End of life (fixed)]],Table1[[#This Row],[Start year]]+Table2[Generic  Lifetime])</f>
        <v>2015</v>
      </c>
      <c r="K29" s="8">
        <v>1.2749999999999999</v>
      </c>
      <c r="L29" s="8" t="s">
        <v>186</v>
      </c>
      <c r="M29" s="11"/>
    </row>
    <row r="30" spans="3:13">
      <c r="C30" s="8" t="s">
        <v>1</v>
      </c>
      <c r="D30" s="8" t="s">
        <v>36</v>
      </c>
      <c r="E30" s="8">
        <v>1984</v>
      </c>
      <c r="F30" s="9">
        <v>1.0771200000000001</v>
      </c>
      <c r="G30" s="9" t="s">
        <v>201</v>
      </c>
      <c r="H30" s="8">
        <f>IF(Table1[[#This Row],[Lifetime Option]]="fixed",Table1[[#This Row],[End of life (fixed)]]-Table1[[#This Row],[Start year]],Table2[Generic  Lifetime])</f>
        <v>37</v>
      </c>
      <c r="I30" s="8">
        <v>2021</v>
      </c>
      <c r="J30" s="8">
        <f>IF(Table1[[#This Row],[Lifetime Option]]="fixed",Table1[[#This Row],[End of life (fixed)]],Table1[[#This Row],[Start year]]+Table2[Generic  Lifetime])</f>
        <v>2021</v>
      </c>
      <c r="K30" s="8">
        <v>1.36</v>
      </c>
      <c r="L30" s="8"/>
      <c r="M30" s="11"/>
    </row>
    <row r="31" spans="3:13">
      <c r="C31" s="8" t="s">
        <v>1</v>
      </c>
      <c r="D31" s="8" t="s">
        <v>37</v>
      </c>
      <c r="E31" s="8">
        <v>1984</v>
      </c>
      <c r="F31" s="9">
        <v>0.83160000000000001</v>
      </c>
      <c r="G31" s="9" t="s">
        <v>201</v>
      </c>
      <c r="H31" s="8">
        <f>IF(Table1[[#This Row],[Lifetime Option]]="fixed",Table1[[#This Row],[End of life (fixed)]]-Table1[[#This Row],[Start year]],Table2[Generic  Lifetime])</f>
        <v>33</v>
      </c>
      <c r="I31" s="8">
        <v>2017</v>
      </c>
      <c r="J31" s="8">
        <f>IF(Table1[[#This Row],[Lifetime Option]]="fixed",Table1[[#This Row],[End of life (fixed)]],Table1[[#This Row],[Start year]]+Table2[Generic  Lifetime])</f>
        <v>2017</v>
      </c>
      <c r="K31" s="8">
        <v>1.284</v>
      </c>
      <c r="L31" s="8"/>
      <c r="M31" s="11"/>
    </row>
    <row r="32" spans="3:13">
      <c r="C32" s="8" t="s">
        <v>1</v>
      </c>
      <c r="D32" s="8" t="s">
        <v>38</v>
      </c>
      <c r="E32" s="8">
        <v>1984</v>
      </c>
      <c r="F32" s="9">
        <v>0.83160000000000001</v>
      </c>
      <c r="G32" s="9" t="s">
        <v>201</v>
      </c>
      <c r="H32" s="8">
        <f>IF(Table1[[#This Row],[Lifetime Option]]="fixed",Table1[[#This Row],[End of life (fixed)]]-Table1[[#This Row],[Start year]],Table2[Generic  Lifetime])</f>
        <v>37</v>
      </c>
      <c r="I32" s="8">
        <v>2021</v>
      </c>
      <c r="J32" s="8">
        <f>IF(Table1[[#This Row],[Lifetime Option]]="fixed",Table1[[#This Row],[End of life (fixed)]],Table1[[#This Row],[Start year]]+Table2[Generic  Lifetime])</f>
        <v>2021</v>
      </c>
      <c r="K32" s="8">
        <v>1.288</v>
      </c>
      <c r="L32" s="8"/>
      <c r="M32" s="11"/>
    </row>
    <row r="33" spans="3:13">
      <c r="C33" s="8" t="s">
        <v>1</v>
      </c>
      <c r="D33" s="8" t="s">
        <v>39</v>
      </c>
      <c r="E33" s="8">
        <v>1988</v>
      </c>
      <c r="F33" s="9">
        <v>1.28304</v>
      </c>
      <c r="G33" s="9" t="s">
        <v>201</v>
      </c>
      <c r="H33" s="8">
        <f>IF(Table1[[#This Row],[Lifetime Option]]="fixed",Table1[[#This Row],[End of life (fixed)]]-Table1[[#This Row],[Start year]],Table2[Generic  Lifetime])</f>
        <v>23</v>
      </c>
      <c r="I33" s="8">
        <v>2011</v>
      </c>
      <c r="J33" s="8">
        <f>IF(Table1[[#This Row],[Lifetime Option]]="fixed",Table1[[#This Row],[End of life (fixed)]],Table1[[#This Row],[Start year]]+Table2[Generic  Lifetime])</f>
        <v>2011</v>
      </c>
      <c r="K33" s="8">
        <v>0.878</v>
      </c>
      <c r="L33" s="8" t="s">
        <v>186</v>
      </c>
      <c r="M33" s="11"/>
    </row>
    <row r="34" spans="3:13">
      <c r="C34" s="8" t="s">
        <v>1</v>
      </c>
      <c r="D34" s="8" t="s">
        <v>40</v>
      </c>
      <c r="E34" s="8">
        <v>1988</v>
      </c>
      <c r="F34" s="9">
        <v>1.0394248101265799</v>
      </c>
      <c r="G34" s="9" t="s">
        <v>201</v>
      </c>
      <c r="H34" s="8">
        <f>IF(Table1[[#This Row],[Lifetime Option]]="fixed",Table1[[#This Row],[End of life (fixed)]]-Table1[[#This Row],[Start year]],Table2[Generic  Lifetime])</f>
        <v>34</v>
      </c>
      <c r="I34" s="8">
        <v>2022</v>
      </c>
      <c r="J34" s="8">
        <f>IF(Table1[[#This Row],[Lifetime Option]]="fixed",Table1[[#This Row],[End of life (fixed)]],Table1[[#This Row],[Start year]]+Table2[Generic  Lifetime])</f>
        <v>2022</v>
      </c>
      <c r="K34" s="8">
        <v>1.41</v>
      </c>
      <c r="L34" s="8"/>
      <c r="M34" s="11"/>
    </row>
    <row r="35" spans="3:13">
      <c r="C35" s="8" t="s">
        <v>1</v>
      </c>
      <c r="D35" s="8" t="s">
        <v>41</v>
      </c>
      <c r="E35" s="8">
        <v>1983</v>
      </c>
      <c r="F35" s="9">
        <v>0.91238399999999997</v>
      </c>
      <c r="G35" s="9" t="s">
        <v>201</v>
      </c>
      <c r="H35" s="8">
        <f>IF(Table1[[#This Row],[Lifetime Option]]="fixed",Table1[[#This Row],[End of life (fixed)]]-Table1[[#This Row],[Start year]],Table2[Generic  Lifetime])</f>
        <v>28</v>
      </c>
      <c r="I35" s="8">
        <v>2011</v>
      </c>
      <c r="J35" s="8">
        <f>IF(Table1[[#This Row],[Lifetime Option]]="fixed",Table1[[#This Row],[End of life (fixed)]],Table1[[#This Row],[Start year]]+Table2[Generic  Lifetime])</f>
        <v>2011</v>
      </c>
      <c r="K35" s="8">
        <v>1.26</v>
      </c>
      <c r="L35" s="8"/>
      <c r="M35" s="11"/>
    </row>
    <row r="36" spans="3:13">
      <c r="C36" s="8" t="s">
        <v>1</v>
      </c>
      <c r="D36" s="8" t="s">
        <v>42</v>
      </c>
      <c r="E36" s="8">
        <v>1989</v>
      </c>
      <c r="F36" s="9">
        <v>1.4452363636363601</v>
      </c>
      <c r="G36" s="9" t="s">
        <v>201</v>
      </c>
      <c r="H36" s="8">
        <f>IF(Table1[[#This Row],[Lifetime Option]]="fixed",Table1[[#This Row],[End of life (fixed)]]-Table1[[#This Row],[Start year]],Table2[Generic  Lifetime])</f>
        <v>33</v>
      </c>
      <c r="I36" s="8">
        <v>2022</v>
      </c>
      <c r="J36" s="8">
        <f>IF(Table1[[#This Row],[Lifetime Option]]="fixed",Table1[[#This Row],[End of life (fixed)]],Table1[[#This Row],[Start year]]+Table2[Generic  Lifetime])</f>
        <v>2022</v>
      </c>
      <c r="K36" s="8">
        <v>1.31</v>
      </c>
      <c r="L36" s="8"/>
      <c r="M36" s="11"/>
    </row>
    <row r="37" spans="3:13">
      <c r="C37" s="8" t="s">
        <v>1</v>
      </c>
      <c r="D37" s="8" t="s">
        <v>43</v>
      </c>
      <c r="E37" s="8">
        <v>1976</v>
      </c>
      <c r="F37" s="9">
        <v>1.0463903999999999</v>
      </c>
      <c r="G37" s="9" t="s">
        <v>201</v>
      </c>
      <c r="H37" s="8">
        <f>IF(Table1[[#This Row],[Lifetime Option]]="fixed",Table1[[#This Row],[End of life (fixed)]]-Table1[[#This Row],[Start year]],Table2[Generic  Lifetime])</f>
        <v>35</v>
      </c>
      <c r="I37" s="8">
        <v>2011</v>
      </c>
      <c r="J37" s="8">
        <f>IF(Table1[[#This Row],[Lifetime Option]]="fixed",Table1[[#This Row],[End of life (fixed)]],Table1[[#This Row],[Start year]]+Table2[Generic  Lifetime])</f>
        <v>2011</v>
      </c>
      <c r="K37" s="8">
        <v>0.78500000000000003</v>
      </c>
      <c r="L37" s="8" t="s">
        <v>186</v>
      </c>
      <c r="M37" s="11"/>
    </row>
    <row r="38" spans="3:13">
      <c r="C38" s="8" t="s">
        <v>1</v>
      </c>
      <c r="D38" s="8" t="s">
        <v>44</v>
      </c>
      <c r="E38" s="8">
        <v>1979</v>
      </c>
      <c r="F38" s="9">
        <v>1.1376288000000001</v>
      </c>
      <c r="G38" s="9" t="s">
        <v>201</v>
      </c>
      <c r="H38" s="8">
        <f>IF(Table1[[#This Row],[Lifetime Option]]="fixed",Table1[[#This Row],[End of life (fixed)]]-Table1[[#This Row],[Start year]],Table2[Generic  Lifetime])</f>
        <v>32</v>
      </c>
      <c r="I38" s="8">
        <v>2011</v>
      </c>
      <c r="J38" s="8">
        <f>IF(Table1[[#This Row],[Lifetime Option]]="fixed",Table1[[#This Row],[End of life (fixed)]],Table1[[#This Row],[Start year]]+Table2[Generic  Lifetime])</f>
        <v>2011</v>
      </c>
      <c r="K38" s="8">
        <v>0.89</v>
      </c>
      <c r="L38" s="8" t="s">
        <v>186</v>
      </c>
      <c r="M38" s="11"/>
    </row>
    <row r="39" spans="3:13">
      <c r="C39" s="8" t="s">
        <v>1</v>
      </c>
      <c r="D39" s="8" t="s">
        <v>45</v>
      </c>
      <c r="E39" s="8">
        <v>1984</v>
      </c>
      <c r="F39" s="9">
        <v>1.05963584810127</v>
      </c>
      <c r="G39" s="9" t="s">
        <v>201</v>
      </c>
      <c r="H39" s="8">
        <f>IF(Table1[[#This Row],[Lifetime Option]]="fixed",Table1[[#This Row],[End of life (fixed)]]-Table1[[#This Row],[Start year]],Table2[Generic  Lifetime])</f>
        <v>35</v>
      </c>
      <c r="I39" s="8">
        <v>2019</v>
      </c>
      <c r="J39" s="8">
        <f>IF(Table1[[#This Row],[Lifetime Option]]="fixed",Table1[[#This Row],[End of life (fixed)]],Table1[[#This Row],[Start year]]+Table2[Generic  Lifetime])</f>
        <v>2019</v>
      </c>
      <c r="K39" s="8">
        <v>1.4019999999999999</v>
      </c>
      <c r="L39" s="8"/>
      <c r="M39" s="11"/>
    </row>
    <row r="40" spans="3:13">
      <c r="C40" s="8" t="s">
        <v>1</v>
      </c>
      <c r="D40" s="8" t="s">
        <v>46</v>
      </c>
      <c r="E40" s="8">
        <v>1978</v>
      </c>
      <c r="F40" s="9">
        <v>1.0093247999999999</v>
      </c>
      <c r="G40" s="9" t="s">
        <v>201</v>
      </c>
      <c r="H40" s="8">
        <f>IF(Table1[[#This Row],[Lifetime Option]]="fixed",Table1[[#This Row],[End of life (fixed)]]-Table1[[#This Row],[Start year]],Table2[Generic  Lifetime])</f>
        <v>33</v>
      </c>
      <c r="I40" s="8">
        <v>2011</v>
      </c>
      <c r="J40" s="8">
        <f>IF(Table1[[#This Row],[Lifetime Option]]="fixed",Table1[[#This Row],[End of life (fixed)]],Table1[[#This Row],[Start year]]+Table2[Generic  Lifetime])</f>
        <v>2011</v>
      </c>
      <c r="K40" s="8">
        <v>1.345</v>
      </c>
      <c r="L40" s="8" t="s">
        <v>186</v>
      </c>
      <c r="M40" s="11"/>
    </row>
    <row r="41" spans="3:13">
      <c r="C41" s="8" t="s">
        <v>47</v>
      </c>
      <c r="D41" s="8" t="s">
        <v>48</v>
      </c>
      <c r="E41" s="8">
        <v>1983</v>
      </c>
      <c r="F41" s="9">
        <v>1.7769609772650199</v>
      </c>
      <c r="G41" s="9" t="s">
        <v>202</v>
      </c>
      <c r="H41" s="8">
        <f>IF(Table1[[#This Row],[Lifetime Option]]="fixed",Table1[[#This Row],[End of life (fixed)]]-Table1[[#This Row],[Start year]],Table2[Generic  Lifetime])</f>
        <v>60</v>
      </c>
      <c r="I41" s="8"/>
      <c r="J41" s="8">
        <f>IF(Table1[[#This Row],[Lifetime Option]]="fixed",Table1[[#This Row],[End of life (fixed)]],Table1[[#This Row],[Start year]]+Table2[Generic  Lifetime])</f>
        <v>2043</v>
      </c>
      <c r="K41" s="8">
        <v>1.0109999999999999</v>
      </c>
      <c r="L41" s="8"/>
      <c r="M41" s="11"/>
    </row>
    <row r="42" spans="3:13">
      <c r="C42" s="8" t="s">
        <v>47</v>
      </c>
      <c r="D42" s="8" t="s">
        <v>49</v>
      </c>
      <c r="E42" s="8">
        <v>1984</v>
      </c>
      <c r="F42" s="9">
        <v>1.37735731252121</v>
      </c>
      <c r="G42" s="9" t="s">
        <v>202</v>
      </c>
      <c r="H42" s="8">
        <f>IF(Table1[[#This Row],[Lifetime Option]]="fixed",Table1[[#This Row],[End of life (fixed)]]-Table1[[#This Row],[Start year]],Table2[Generic  Lifetime])</f>
        <v>60</v>
      </c>
      <c r="I42" s="8"/>
      <c r="J42" s="8">
        <f>IF(Table1[[#This Row],[Lifetime Option]]="fixed",Table1[[#This Row],[End of life (fixed)]],Table1[[#This Row],[Start year]]+Table2[Generic  Lifetime])</f>
        <v>2044</v>
      </c>
      <c r="K42" s="8">
        <v>1.006</v>
      </c>
      <c r="L42" s="8"/>
      <c r="M42" s="11"/>
    </row>
    <row r="43" spans="3:13">
      <c r="C43" s="8" t="s">
        <v>47</v>
      </c>
      <c r="D43" s="8" t="s">
        <v>50</v>
      </c>
      <c r="E43" s="8">
        <v>1983</v>
      </c>
      <c r="F43" s="9">
        <v>1.5325350561033699</v>
      </c>
      <c r="G43" s="9" t="s">
        <v>202</v>
      </c>
      <c r="H43" s="8">
        <f>IF(Table1[[#This Row],[Lifetime Option]]="fixed",Table1[[#This Row],[End of life (fixed)]]-Table1[[#This Row],[Start year]],Table2[Generic  Lifetime])</f>
        <v>60</v>
      </c>
      <c r="I43" s="8"/>
      <c r="J43" s="8">
        <f>IF(Table1[[#This Row],[Lifetime Option]]="fixed",Table1[[#This Row],[End of life (fixed)]],Table1[[#This Row],[Start year]]+Table2[Generic  Lifetime])</f>
        <v>2043</v>
      </c>
      <c r="K43" s="8">
        <v>0.995</v>
      </c>
      <c r="L43" s="8"/>
      <c r="M43" s="11"/>
    </row>
    <row r="44" spans="3:13">
      <c r="C44" s="8" t="s">
        <v>47</v>
      </c>
      <c r="D44" s="8" t="s">
        <v>51</v>
      </c>
      <c r="E44" s="8">
        <v>1985</v>
      </c>
      <c r="F44" s="9">
        <v>1.52363359401564</v>
      </c>
      <c r="G44" s="9" t="s">
        <v>202</v>
      </c>
      <c r="H44" s="8">
        <f>IF(Table1[[#This Row],[Lifetime Option]]="fixed",Table1[[#This Row],[End of life (fixed)]]-Table1[[#This Row],[Start year]],Table2[Generic  Lifetime])</f>
        <v>60</v>
      </c>
      <c r="I44" s="8"/>
      <c r="J44" s="8">
        <f>IF(Table1[[#This Row],[Lifetime Option]]="fixed",Table1[[#This Row],[End of life (fixed)]],Table1[[#This Row],[Start year]]+Table2[Generic  Lifetime])</f>
        <v>2045</v>
      </c>
      <c r="K44" s="8">
        <v>0.997</v>
      </c>
      <c r="L44" s="8"/>
      <c r="M44" s="11"/>
    </row>
    <row r="45" spans="3:13">
      <c r="C45" s="8" t="s">
        <v>47</v>
      </c>
      <c r="D45" s="8" t="s">
        <v>52</v>
      </c>
      <c r="E45" s="8">
        <v>1985</v>
      </c>
      <c r="F45" s="9">
        <v>1.1658795180722901</v>
      </c>
      <c r="G45" s="9" t="s">
        <v>202</v>
      </c>
      <c r="H45" s="8">
        <f>IF(Table1[[#This Row],[Lifetime Option]]="fixed",Table1[[#This Row],[End of life (fixed)]]-Table1[[#This Row],[Start year]],Table2[Generic  Lifetime])</f>
        <v>60</v>
      </c>
      <c r="I45" s="8"/>
      <c r="J45" s="8">
        <f>IF(Table1[[#This Row],[Lifetime Option]]="fixed",Table1[[#This Row],[End of life (fixed)]],Table1[[#This Row],[Start year]]+Table2[Generic  Lifetime])</f>
        <v>2045</v>
      </c>
      <c r="K45" s="8">
        <v>1.0640000000000001</v>
      </c>
      <c r="L45" s="8"/>
      <c r="M45" s="11"/>
    </row>
    <row r="46" spans="3:13">
      <c r="C46" s="8" t="s">
        <v>47</v>
      </c>
      <c r="D46" s="8" t="s">
        <v>53</v>
      </c>
      <c r="E46" s="8">
        <v>1971</v>
      </c>
      <c r="F46" s="9">
        <v>0.90379029688631396</v>
      </c>
      <c r="G46" s="9" t="s">
        <v>202</v>
      </c>
      <c r="H46" s="8">
        <f>IF(Table1[[#This Row],[Lifetime Option]]="fixed",Table1[[#This Row],[End of life (fixed)]]-Table1[[#This Row],[Start year]],Table2[Generic  Lifetime])</f>
        <v>60</v>
      </c>
      <c r="I46" s="8"/>
      <c r="J46" s="8">
        <f>IF(Table1[[#This Row],[Lifetime Option]]="fixed",Table1[[#This Row],[End of life (fixed)]],Table1[[#This Row],[Start year]]+Table2[Generic  Lifetime])</f>
        <v>2031</v>
      </c>
      <c r="K46" s="8">
        <v>0.44600000000000001</v>
      </c>
      <c r="L46" s="8"/>
      <c r="M46" s="11"/>
    </row>
    <row r="47" spans="3:13">
      <c r="C47" s="8" t="s">
        <v>47</v>
      </c>
      <c r="D47" s="8" t="s">
        <v>54</v>
      </c>
      <c r="E47" s="8">
        <v>1988</v>
      </c>
      <c r="F47" s="9">
        <v>1.00976053156146</v>
      </c>
      <c r="G47" s="9" t="s">
        <v>202</v>
      </c>
      <c r="H47" s="8">
        <f>IF(Table1[[#This Row],[Lifetime Option]]="fixed",Table1[[#This Row],[End of life (fixed)]]-Table1[[#This Row],[Start year]],Table2[Generic  Lifetime])</f>
        <v>60</v>
      </c>
      <c r="I47" s="8"/>
      <c r="J47" s="8">
        <f>IF(Table1[[#This Row],[Lifetime Option]]="fixed",Table1[[#This Row],[End of life (fixed)]],Table1[[#This Row],[Start year]]+Table2[Generic  Lifetime])</f>
        <v>2048</v>
      </c>
      <c r="K47" s="8">
        <v>1.0029999999999999</v>
      </c>
      <c r="L47" s="8"/>
      <c r="M47" s="11"/>
    </row>
    <row r="48" spans="3:13">
      <c r="C48" s="8" t="s">
        <v>47</v>
      </c>
      <c r="D48" s="8" t="s">
        <v>55</v>
      </c>
      <c r="E48" s="8">
        <v>1987</v>
      </c>
      <c r="F48" s="9">
        <v>1.61264821489289</v>
      </c>
      <c r="G48" s="9" t="s">
        <v>202</v>
      </c>
      <c r="H48" s="8">
        <f>IF(Table1[[#This Row],[Lifetime Option]]="fixed",Table1[[#This Row],[End of life (fixed)]]-Table1[[#This Row],[Start year]],Table2[Generic  Lifetime])</f>
        <v>60</v>
      </c>
      <c r="I48" s="8"/>
      <c r="J48" s="8">
        <f>IF(Table1[[#This Row],[Lifetime Option]]="fixed",Table1[[#This Row],[End of life (fixed)]],Table1[[#This Row],[Start year]]+Table2[Generic  Lifetime])</f>
        <v>2047</v>
      </c>
      <c r="K48" s="8">
        <v>1.0449999999999999</v>
      </c>
      <c r="L48" s="8"/>
      <c r="M48" s="11"/>
    </row>
    <row r="49" spans="3:13">
      <c r="C49" s="8" t="s">
        <v>56</v>
      </c>
      <c r="D49" s="8" t="s">
        <v>57</v>
      </c>
      <c r="E49" s="8">
        <v>1977</v>
      </c>
      <c r="F49" s="9">
        <v>1.1750400000000001</v>
      </c>
      <c r="G49" s="9" t="s">
        <v>202</v>
      </c>
      <c r="H49" s="8">
        <f>IF(Table1[[#This Row],[Lifetime Option]]="fixed",Table1[[#This Row],[End of life (fixed)]]-Table1[[#This Row],[Start year]],Table2[Generic  Lifetime])</f>
        <v>60</v>
      </c>
      <c r="I49" s="8"/>
      <c r="J49" s="8">
        <f>IF(Table1[[#This Row],[Lifetime Option]]="fixed",Table1[[#This Row],[End of life (fixed)]],Table1[[#This Row],[Start year]]+Table2[Generic  Lifetime])</f>
        <v>2037</v>
      </c>
      <c r="K49" s="8">
        <v>0.496</v>
      </c>
      <c r="L49" s="8"/>
      <c r="M49" s="11"/>
    </row>
    <row r="50" spans="3:13">
      <c r="C50" s="8" t="s">
        <v>56</v>
      </c>
      <c r="D50" s="8" t="s">
        <v>58</v>
      </c>
      <c r="E50" s="8">
        <v>1980</v>
      </c>
      <c r="F50" s="9">
        <v>1.1750400000000001</v>
      </c>
      <c r="G50" s="9" t="s">
        <v>202</v>
      </c>
      <c r="H50" s="8">
        <f>IF(Table1[[#This Row],[Lifetime Option]]="fixed",Table1[[#This Row],[End of life (fixed)]]-Table1[[#This Row],[Start year]],Table2[Generic  Lifetime])</f>
        <v>60</v>
      </c>
      <c r="I50" s="8"/>
      <c r="J50" s="8">
        <f>IF(Table1[[#This Row],[Lifetime Option]]="fixed",Table1[[#This Row],[End of life (fixed)]],Table1[[#This Row],[Start year]]+Table2[Generic  Lifetime])</f>
        <v>2040</v>
      </c>
      <c r="K50" s="8">
        <v>0.496</v>
      </c>
      <c r="L50" s="8"/>
      <c r="M50" s="11"/>
    </row>
    <row r="51" spans="3:13">
      <c r="C51" s="8" t="s">
        <v>56</v>
      </c>
      <c r="D51" s="8" t="s">
        <v>59</v>
      </c>
      <c r="E51" s="8">
        <v>1978</v>
      </c>
      <c r="F51" s="9">
        <v>1.1636352000000001</v>
      </c>
      <c r="G51" s="9" t="s">
        <v>202</v>
      </c>
      <c r="H51" s="8">
        <f>IF(Table1[[#This Row],[Lifetime Option]]="fixed",Table1[[#This Row],[End of life (fixed)]]-Table1[[#This Row],[Start year]],Table2[Generic  Lifetime])</f>
        <v>60</v>
      </c>
      <c r="I51" s="8"/>
      <c r="J51" s="8">
        <f>IF(Table1[[#This Row],[Lifetime Option]]="fixed",Table1[[#This Row],[End of life (fixed)]],Table1[[#This Row],[Start year]]+Table2[Generic  Lifetime])</f>
        <v>2038</v>
      </c>
      <c r="K51" s="8">
        <v>0.88</v>
      </c>
      <c r="L51" s="8"/>
      <c r="M51" s="11"/>
    </row>
    <row r="52" spans="3:13">
      <c r="C52" s="8" t="s">
        <v>56</v>
      </c>
      <c r="D52" s="8" t="s">
        <v>60</v>
      </c>
      <c r="E52" s="8">
        <v>1980</v>
      </c>
      <c r="F52" s="9">
        <v>1.1380608000000001</v>
      </c>
      <c r="G52" s="9" t="s">
        <v>202</v>
      </c>
      <c r="H52" s="8">
        <f>IF(Table1[[#This Row],[Lifetime Option]]="fixed",Table1[[#This Row],[End of life (fixed)]]-Table1[[#This Row],[Start year]],Table2[Generic  Lifetime])</f>
        <v>60</v>
      </c>
      <c r="I52" s="8"/>
      <c r="J52" s="8">
        <f>IF(Table1[[#This Row],[Lifetime Option]]="fixed",Table1[[#This Row],[End of life (fixed)]],Table1[[#This Row],[Start year]]+Table2[Generic  Lifetime])</f>
        <v>2040</v>
      </c>
      <c r="K52" s="8">
        <v>0.88</v>
      </c>
      <c r="L52" s="8"/>
      <c r="M52" s="11"/>
    </row>
    <row r="53" spans="3:13">
      <c r="C53" s="8" t="s">
        <v>3</v>
      </c>
      <c r="D53" s="8" t="s">
        <v>61</v>
      </c>
      <c r="E53" s="8">
        <v>1987</v>
      </c>
      <c r="F53" s="9">
        <v>1.0181256484149901</v>
      </c>
      <c r="G53" s="9" t="s">
        <v>202</v>
      </c>
      <c r="H53" s="8">
        <f>IF(Table1[[#This Row],[Lifetime Option]]="fixed",Table1[[#This Row],[End of life (fixed)]]-Table1[[#This Row],[Start year]],Table2[Generic  Lifetime])</f>
        <v>60</v>
      </c>
      <c r="I53" s="8"/>
      <c r="J53" s="8">
        <f>IF(Table1[[#This Row],[Lifetime Option]]="fixed",Table1[[#This Row],[End of life (fixed)]],Table1[[#This Row],[Start year]]+Table2[Generic  Lifetime])</f>
        <v>2047</v>
      </c>
      <c r="K53" s="8">
        <v>1.31</v>
      </c>
      <c r="L53" s="8" t="s">
        <v>207</v>
      </c>
      <c r="M53" s="10" t="s">
        <v>179</v>
      </c>
    </row>
    <row r="54" spans="3:13">
      <c r="C54" s="8" t="s">
        <v>3</v>
      </c>
      <c r="D54" s="8" t="s">
        <v>62</v>
      </c>
      <c r="E54" s="8">
        <v>1988</v>
      </c>
      <c r="F54" s="9">
        <v>1.0181256484149901</v>
      </c>
      <c r="G54" s="9" t="s">
        <v>202</v>
      </c>
      <c r="H54" s="8">
        <f>IF(Table1[[#This Row],[Lifetime Option]]="fixed",Table1[[#This Row],[End of life (fixed)]]-Table1[[#This Row],[Start year]],Table2[Generic  Lifetime])</f>
        <v>60</v>
      </c>
      <c r="I54" s="8"/>
      <c r="J54" s="8">
        <f>IF(Table1[[#This Row],[Lifetime Option]]="fixed",Table1[[#This Row],[End of life (fixed)]],Table1[[#This Row],[Start year]]+Table2[Generic  Lifetime])</f>
        <v>2048</v>
      </c>
      <c r="K54" s="8">
        <v>1.31</v>
      </c>
      <c r="L54" s="8"/>
      <c r="M54" s="10"/>
    </row>
    <row r="55" spans="3:13">
      <c r="C55" s="8" t="s">
        <v>3</v>
      </c>
      <c r="D55" s="8" t="s">
        <v>63</v>
      </c>
      <c r="E55" s="8">
        <v>1981</v>
      </c>
      <c r="F55" s="9">
        <v>0.99529030664272899</v>
      </c>
      <c r="G55" s="9" t="s">
        <v>202</v>
      </c>
      <c r="H55" s="8">
        <f>IF(Table1[[#This Row],[Lifetime Option]]="fixed",Table1[[#This Row],[End of life (fixed)]]-Table1[[#This Row],[Start year]],Table2[Generic  Lifetime])</f>
        <v>60</v>
      </c>
      <c r="I55" s="8"/>
      <c r="J55" s="8">
        <f>IF(Table1[[#This Row],[Lifetime Option]]="fixed",Table1[[#This Row],[End of life (fixed)]],Table1[[#This Row],[Start year]]+Table2[Generic  Lifetime])</f>
        <v>2041</v>
      </c>
      <c r="K55" s="8">
        <v>0.91</v>
      </c>
      <c r="L55" s="8"/>
      <c r="M55" s="11"/>
    </row>
    <row r="56" spans="3:13">
      <c r="C56" s="8" t="s">
        <v>3</v>
      </c>
      <c r="D56" s="8" t="s">
        <v>64</v>
      </c>
      <c r="E56" s="8">
        <v>1982</v>
      </c>
      <c r="F56" s="9">
        <v>0.99529030664272899</v>
      </c>
      <c r="G56" s="9" t="s">
        <v>202</v>
      </c>
      <c r="H56" s="8">
        <f>IF(Table1[[#This Row],[Lifetime Option]]="fixed",Table1[[#This Row],[End of life (fixed)]]-Table1[[#This Row],[Start year]],Table2[Generic  Lifetime])</f>
        <v>60</v>
      </c>
      <c r="I56" s="8"/>
      <c r="J56" s="8">
        <f>IF(Table1[[#This Row],[Lifetime Option]]="fixed",Table1[[#This Row],[End of life (fixed)]],Table1[[#This Row],[Start year]]+Table2[Generic  Lifetime])</f>
        <v>2042</v>
      </c>
      <c r="K56" s="8">
        <v>0.91</v>
      </c>
      <c r="L56" s="8"/>
      <c r="M56" s="11"/>
    </row>
    <row r="57" spans="3:13">
      <c r="C57" s="8" t="s">
        <v>3</v>
      </c>
      <c r="D57" s="8" t="s">
        <v>65</v>
      </c>
      <c r="E57" s="8">
        <v>1983</v>
      </c>
      <c r="F57" s="9">
        <v>0.99529030664272899</v>
      </c>
      <c r="G57" s="9" t="s">
        <v>202</v>
      </c>
      <c r="H57" s="8">
        <f>IF(Table1[[#This Row],[Lifetime Option]]="fixed",Table1[[#This Row],[End of life (fixed)]]-Table1[[#This Row],[Start year]],Table2[Generic  Lifetime])</f>
        <v>60</v>
      </c>
      <c r="I57" s="8"/>
      <c r="J57" s="8">
        <f>IF(Table1[[#This Row],[Lifetime Option]]="fixed",Table1[[#This Row],[End of life (fixed)]],Table1[[#This Row],[Start year]]+Table2[Generic  Lifetime])</f>
        <v>2043</v>
      </c>
      <c r="K57" s="8">
        <v>0.91</v>
      </c>
      <c r="L57" s="8"/>
      <c r="M57" s="11"/>
    </row>
    <row r="58" spans="3:13">
      <c r="C58" s="8" t="s">
        <v>3</v>
      </c>
      <c r="D58" s="8" t="s">
        <v>66</v>
      </c>
      <c r="E58" s="8">
        <v>1983</v>
      </c>
      <c r="F58" s="9">
        <v>0.99529030664272899</v>
      </c>
      <c r="G58" s="9" t="s">
        <v>202</v>
      </c>
      <c r="H58" s="8">
        <f>IF(Table1[[#This Row],[Lifetime Option]]="fixed",Table1[[#This Row],[End of life (fixed)]]-Table1[[#This Row],[Start year]],Table2[Generic  Lifetime])</f>
        <v>60</v>
      </c>
      <c r="I58" s="8"/>
      <c r="J58" s="8">
        <f>IF(Table1[[#This Row],[Lifetime Option]]="fixed",Table1[[#This Row],[End of life (fixed)]],Table1[[#This Row],[Start year]]+Table2[Generic  Lifetime])</f>
        <v>2043</v>
      </c>
      <c r="K58" s="8">
        <v>0.91</v>
      </c>
      <c r="L58" s="8"/>
      <c r="M58" s="11"/>
    </row>
    <row r="59" spans="3:13">
      <c r="C59" s="8" t="s">
        <v>3</v>
      </c>
      <c r="D59" s="8" t="s">
        <v>67</v>
      </c>
      <c r="E59" s="8">
        <v>1978</v>
      </c>
      <c r="F59" s="9">
        <v>0.98901087253141795</v>
      </c>
      <c r="G59" s="9" t="s">
        <v>202</v>
      </c>
      <c r="H59" s="8">
        <f>IF(Table1[[#This Row],[Lifetime Option]]="fixed",Table1[[#This Row],[End of life (fixed)]]-Table1[[#This Row],[Start year]],Table2[Generic  Lifetime])</f>
        <v>60</v>
      </c>
      <c r="I59" s="8"/>
      <c r="J59" s="8">
        <f>IF(Table1[[#This Row],[Lifetime Option]]="fixed",Table1[[#This Row],[End of life (fixed)]],Table1[[#This Row],[Start year]]+Table2[Generic  Lifetime])</f>
        <v>2038</v>
      </c>
      <c r="K59" s="8">
        <v>0.91</v>
      </c>
      <c r="L59" s="8"/>
      <c r="M59" s="11"/>
    </row>
    <row r="60" spans="3:13">
      <c r="C60" s="8" t="s">
        <v>3</v>
      </c>
      <c r="D60" s="8" t="s">
        <v>68</v>
      </c>
      <c r="E60" s="8">
        <v>1978</v>
      </c>
      <c r="F60" s="9">
        <v>0.98901087253141895</v>
      </c>
      <c r="G60" s="9" t="s">
        <v>202</v>
      </c>
      <c r="H60" s="8">
        <f>IF(Table1[[#This Row],[Lifetime Option]]="fixed",Table1[[#This Row],[End of life (fixed)]]-Table1[[#This Row],[Start year]],Table2[Generic  Lifetime])</f>
        <v>60</v>
      </c>
      <c r="I60" s="8"/>
      <c r="J60" s="8">
        <f>IF(Table1[[#This Row],[Lifetime Option]]="fixed",Table1[[#This Row],[End of life (fixed)]],Table1[[#This Row],[Start year]]+Table2[Generic  Lifetime])</f>
        <v>2038</v>
      </c>
      <c r="K60" s="8">
        <v>0.91</v>
      </c>
      <c r="L60" s="8"/>
      <c r="M60" s="11"/>
    </row>
    <row r="61" spans="3:13">
      <c r="C61" s="8" t="s">
        <v>3</v>
      </c>
      <c r="D61" s="8" t="s">
        <v>69</v>
      </c>
      <c r="E61" s="8">
        <v>1979</v>
      </c>
      <c r="F61" s="9">
        <v>0.95970684667863504</v>
      </c>
      <c r="G61" s="9" t="s">
        <v>202</v>
      </c>
      <c r="H61" s="8">
        <f>IF(Table1[[#This Row],[Lifetime Option]]="fixed",Table1[[#This Row],[End of life (fixed)]]-Table1[[#This Row],[Start year]],Table2[Generic  Lifetime])</f>
        <v>60</v>
      </c>
      <c r="I61" s="8"/>
      <c r="J61" s="8">
        <f>IF(Table1[[#This Row],[Lifetime Option]]="fixed",Table1[[#This Row],[End of life (fixed)]],Table1[[#This Row],[Start year]]+Table2[Generic  Lifetime])</f>
        <v>2039</v>
      </c>
      <c r="K61" s="8">
        <v>0.88</v>
      </c>
      <c r="L61" s="8"/>
      <c r="M61" s="11"/>
    </row>
    <row r="62" spans="3:13">
      <c r="C62" s="8" t="s">
        <v>3</v>
      </c>
      <c r="D62" s="8" t="s">
        <v>70</v>
      </c>
      <c r="E62" s="8">
        <v>1979</v>
      </c>
      <c r="F62" s="9">
        <v>0.95970684667863604</v>
      </c>
      <c r="G62" s="9" t="s">
        <v>202</v>
      </c>
      <c r="H62" s="8">
        <f>IF(Table1[[#This Row],[Lifetime Option]]="fixed",Table1[[#This Row],[End of life (fixed)]]-Table1[[#This Row],[Start year]],Table2[Generic  Lifetime])</f>
        <v>60</v>
      </c>
      <c r="I62" s="8"/>
      <c r="J62" s="8">
        <f>IF(Table1[[#This Row],[Lifetime Option]]="fixed",Table1[[#This Row],[End of life (fixed)]],Table1[[#This Row],[Start year]]+Table2[Generic  Lifetime])</f>
        <v>2039</v>
      </c>
      <c r="K62" s="8">
        <v>0.88</v>
      </c>
      <c r="L62" s="8"/>
      <c r="M62" s="11"/>
    </row>
    <row r="63" spans="3:13">
      <c r="C63" s="8" t="s">
        <v>3</v>
      </c>
      <c r="D63" s="8" t="s">
        <v>71</v>
      </c>
      <c r="E63" s="8">
        <v>1986</v>
      </c>
      <c r="F63" s="9">
        <v>1.01737867435158</v>
      </c>
      <c r="G63" s="9" t="s">
        <v>202</v>
      </c>
      <c r="H63" s="8">
        <f>IF(Table1[[#This Row],[Lifetime Option]]="fixed",Table1[[#This Row],[End of life (fixed)]]-Table1[[#This Row],[Start year]],Table2[Generic  Lifetime])</f>
        <v>60</v>
      </c>
      <c r="I63" s="8"/>
      <c r="J63" s="8">
        <f>IF(Table1[[#This Row],[Lifetime Option]]="fixed",Table1[[#This Row],[End of life (fixed)]],Table1[[#This Row],[Start year]]+Table2[Generic  Lifetime])</f>
        <v>2046</v>
      </c>
      <c r="K63" s="8">
        <v>1.3</v>
      </c>
      <c r="L63" s="8"/>
      <c r="M63" s="11"/>
    </row>
    <row r="64" spans="3:13">
      <c r="C64" s="8" t="s">
        <v>3</v>
      </c>
      <c r="D64" s="8" t="s">
        <v>72</v>
      </c>
      <c r="E64" s="8">
        <v>1987</v>
      </c>
      <c r="F64" s="9">
        <v>1.01737867435159</v>
      </c>
      <c r="G64" s="9" t="s">
        <v>202</v>
      </c>
      <c r="H64" s="8">
        <f>IF(Table1[[#This Row],[Lifetime Option]]="fixed",Table1[[#This Row],[End of life (fixed)]]-Table1[[#This Row],[Start year]],Table2[Generic  Lifetime])</f>
        <v>60</v>
      </c>
      <c r="I64" s="8"/>
      <c r="J64" s="8">
        <f>IF(Table1[[#This Row],[Lifetime Option]]="fixed",Table1[[#This Row],[End of life (fixed)]],Table1[[#This Row],[Start year]]+Table2[Generic  Lifetime])</f>
        <v>2047</v>
      </c>
      <c r="K64" s="8">
        <v>1.3</v>
      </c>
      <c r="L64" s="8"/>
      <c r="M64" s="11"/>
    </row>
    <row r="65" spans="3:13">
      <c r="C65" s="8" t="s">
        <v>3</v>
      </c>
      <c r="D65" s="8" t="s">
        <v>73</v>
      </c>
      <c r="E65" s="8">
        <v>1990</v>
      </c>
      <c r="F65" s="9">
        <v>1.01737867435159</v>
      </c>
      <c r="G65" s="9" t="s">
        <v>202</v>
      </c>
      <c r="H65" s="8">
        <f>IF(Table1[[#This Row],[Lifetime Option]]="fixed",Table1[[#This Row],[End of life (fixed)]]-Table1[[#This Row],[Start year]],Table2[Generic  Lifetime])</f>
        <v>60</v>
      </c>
      <c r="I65" s="8"/>
      <c r="J65" s="8">
        <f>IF(Table1[[#This Row],[Lifetime Option]]="fixed",Table1[[#This Row],[End of life (fixed)]],Table1[[#This Row],[Start year]]+Table2[Generic  Lifetime])</f>
        <v>2050</v>
      </c>
      <c r="K65" s="8">
        <v>1.3</v>
      </c>
      <c r="L65" s="8"/>
      <c r="M65" s="11"/>
    </row>
    <row r="66" spans="3:13">
      <c r="C66" s="8" t="s">
        <v>3</v>
      </c>
      <c r="D66" s="8" t="s">
        <v>74</v>
      </c>
      <c r="E66" s="8">
        <v>1991</v>
      </c>
      <c r="F66" s="9">
        <v>1.01737867435159</v>
      </c>
      <c r="G66" s="9" t="s">
        <v>202</v>
      </c>
      <c r="H66" s="8">
        <f>IF(Table1[[#This Row],[Lifetime Option]]="fixed",Table1[[#This Row],[End of life (fixed)]]-Table1[[#This Row],[Start year]],Table2[Generic  Lifetime])</f>
        <v>60</v>
      </c>
      <c r="I66" s="8"/>
      <c r="J66" s="8">
        <f>IF(Table1[[#This Row],[Lifetime Option]]="fixed",Table1[[#This Row],[End of life (fixed)]],Table1[[#This Row],[Start year]]+Table2[Generic  Lifetime])</f>
        <v>2051</v>
      </c>
      <c r="K66" s="8">
        <v>1.3</v>
      </c>
      <c r="L66" s="8"/>
      <c r="M66" s="11"/>
    </row>
    <row r="67" spans="3:13">
      <c r="C67" s="8" t="s">
        <v>3</v>
      </c>
      <c r="D67" s="8" t="s">
        <v>75</v>
      </c>
      <c r="E67" s="8">
        <v>1982</v>
      </c>
      <c r="F67" s="9">
        <v>0.99843002369838396</v>
      </c>
      <c r="G67" s="9" t="s">
        <v>202</v>
      </c>
      <c r="H67" s="8">
        <f>IF(Table1[[#This Row],[Lifetime Option]]="fixed",Table1[[#This Row],[End of life (fixed)]]-Table1[[#This Row],[Start year]],Table2[Generic  Lifetime])</f>
        <v>60</v>
      </c>
      <c r="I67" s="8"/>
      <c r="J67" s="8">
        <f>IF(Table1[[#This Row],[Lifetime Option]]="fixed",Table1[[#This Row],[End of life (fixed)]],Table1[[#This Row],[Start year]]+Table2[Generic  Lifetime])</f>
        <v>2042</v>
      </c>
      <c r="K67" s="8">
        <v>0.90500000000000003</v>
      </c>
      <c r="L67" s="8"/>
      <c r="M67" s="11"/>
    </row>
    <row r="68" spans="3:13">
      <c r="C68" s="8" t="s">
        <v>3</v>
      </c>
      <c r="D68" s="8" t="s">
        <v>76</v>
      </c>
      <c r="E68" s="8">
        <v>1983</v>
      </c>
      <c r="F68" s="9">
        <v>0.99843002369838396</v>
      </c>
      <c r="G68" s="9" t="s">
        <v>202</v>
      </c>
      <c r="H68" s="8">
        <f>IF(Table1[[#This Row],[Lifetime Option]]="fixed",Table1[[#This Row],[End of life (fixed)]]-Table1[[#This Row],[Start year]],Table2[Generic  Lifetime])</f>
        <v>60</v>
      </c>
      <c r="I68" s="8"/>
      <c r="J68" s="8">
        <f>IF(Table1[[#This Row],[Lifetime Option]]="fixed",Table1[[#This Row],[End of life (fixed)]],Table1[[#This Row],[Start year]]+Table2[Generic  Lifetime])</f>
        <v>2043</v>
      </c>
      <c r="K68" s="8">
        <v>0.90500000000000003</v>
      </c>
      <c r="L68" s="8"/>
      <c r="M68" s="11"/>
    </row>
    <row r="69" spans="3:13">
      <c r="C69" s="8" t="s">
        <v>3</v>
      </c>
      <c r="D69" s="8" t="s">
        <v>77</v>
      </c>
      <c r="E69" s="8">
        <v>1986</v>
      </c>
      <c r="F69" s="9">
        <v>0.99843002369838396</v>
      </c>
      <c r="G69" s="9" t="s">
        <v>202</v>
      </c>
      <c r="H69" s="8">
        <f>IF(Table1[[#This Row],[Lifetime Option]]="fixed",Table1[[#This Row],[End of life (fixed)]]-Table1[[#This Row],[Start year]],Table2[Generic  Lifetime])</f>
        <v>60</v>
      </c>
      <c r="I69" s="8"/>
      <c r="J69" s="8">
        <f>IF(Table1[[#This Row],[Lifetime Option]]="fixed",Table1[[#This Row],[End of life (fixed)]],Table1[[#This Row],[Start year]]+Table2[Generic  Lifetime])</f>
        <v>2046</v>
      </c>
      <c r="K69" s="8">
        <v>0.90500000000000003</v>
      </c>
      <c r="L69" s="8"/>
      <c r="M69" s="11"/>
    </row>
    <row r="70" spans="3:13">
      <c r="C70" s="8" t="s">
        <v>3</v>
      </c>
      <c r="D70" s="8" t="s">
        <v>78</v>
      </c>
      <c r="E70" s="8">
        <v>1987</v>
      </c>
      <c r="F70" s="9">
        <v>0.99843002369838396</v>
      </c>
      <c r="G70" s="9" t="s">
        <v>202</v>
      </c>
      <c r="H70" s="8">
        <f>IF(Table1[[#This Row],[Lifetime Option]]="fixed",Table1[[#This Row],[End of life (fixed)]]-Table1[[#This Row],[Start year]],Table2[Generic  Lifetime])</f>
        <v>60</v>
      </c>
      <c r="I70" s="8"/>
      <c r="J70" s="8">
        <f>IF(Table1[[#This Row],[Lifetime Option]]="fixed",Table1[[#This Row],[End of life (fixed)]],Table1[[#This Row],[Start year]]+Table2[Generic  Lifetime])</f>
        <v>2047</v>
      </c>
      <c r="K70" s="8">
        <v>0.90500000000000003</v>
      </c>
      <c r="L70" s="8"/>
      <c r="M70" s="11"/>
    </row>
    <row r="71" spans="3:13">
      <c r="C71" s="8" t="s">
        <v>3</v>
      </c>
      <c r="D71" s="8" t="s">
        <v>79</v>
      </c>
      <c r="E71" s="8">
        <v>1996</v>
      </c>
      <c r="F71" s="9">
        <v>1.2310482435597201</v>
      </c>
      <c r="G71" s="9" t="s">
        <v>202</v>
      </c>
      <c r="H71" s="8">
        <f>IF(Table1[[#This Row],[Lifetime Option]]="fixed",Table1[[#This Row],[End of life (fixed)]]-Table1[[#This Row],[Start year]],Table2[Generic  Lifetime])</f>
        <v>60</v>
      </c>
      <c r="I71" s="8"/>
      <c r="J71" s="8">
        <f>IF(Table1[[#This Row],[Lifetime Option]]="fixed",Table1[[#This Row],[End of life (fixed)]],Table1[[#This Row],[Start year]]+Table2[Generic  Lifetime])</f>
        <v>2056</v>
      </c>
      <c r="K71" s="8">
        <v>1.5</v>
      </c>
      <c r="L71" s="8"/>
      <c r="M71" s="11"/>
    </row>
    <row r="72" spans="3:13">
      <c r="C72" s="8" t="s">
        <v>3</v>
      </c>
      <c r="D72" s="8" t="s">
        <v>80</v>
      </c>
      <c r="E72" s="8">
        <v>1997</v>
      </c>
      <c r="F72" s="9">
        <v>1.2310482435597201</v>
      </c>
      <c r="G72" s="9" t="s">
        <v>202</v>
      </c>
      <c r="H72" s="8">
        <f>IF(Table1[[#This Row],[Lifetime Option]]="fixed",Table1[[#This Row],[End of life (fixed)]]-Table1[[#This Row],[Start year]],Table2[Generic  Lifetime])</f>
        <v>60</v>
      </c>
      <c r="I72" s="8"/>
      <c r="J72" s="8">
        <f>IF(Table1[[#This Row],[Lifetime Option]]="fixed",Table1[[#This Row],[End of life (fixed)]],Table1[[#This Row],[Start year]]+Table2[Generic  Lifetime])</f>
        <v>2057</v>
      </c>
      <c r="K72" s="8">
        <v>1.5</v>
      </c>
      <c r="L72" s="8"/>
      <c r="M72" s="11"/>
    </row>
    <row r="73" spans="3:13">
      <c r="C73" s="8" t="s">
        <v>3</v>
      </c>
      <c r="D73" s="8" t="s">
        <v>81</v>
      </c>
      <c r="E73" s="8">
        <v>1997</v>
      </c>
      <c r="F73" s="9">
        <v>1.10549508196721</v>
      </c>
      <c r="G73" s="9" t="s">
        <v>202</v>
      </c>
      <c r="H73" s="8">
        <f>IF(Table1[[#This Row],[Lifetime Option]]="fixed",Table1[[#This Row],[End of life (fixed)]]-Table1[[#This Row],[Start year]],Table2[Generic  Lifetime])</f>
        <v>60</v>
      </c>
      <c r="I73" s="8"/>
      <c r="J73" s="8">
        <f>IF(Table1[[#This Row],[Lifetime Option]]="fixed",Table1[[#This Row],[End of life (fixed)]],Table1[[#This Row],[Start year]]+Table2[Generic  Lifetime])</f>
        <v>2057</v>
      </c>
      <c r="K73" s="8">
        <v>1.4950000000000001</v>
      </c>
      <c r="L73" s="8"/>
      <c r="M73" s="11"/>
    </row>
    <row r="74" spans="3:13">
      <c r="C74" s="8" t="s">
        <v>3</v>
      </c>
      <c r="D74" s="8" t="s">
        <v>82</v>
      </c>
      <c r="E74" s="8">
        <v>1999</v>
      </c>
      <c r="F74" s="9">
        <v>1.10549508196721</v>
      </c>
      <c r="G74" s="9" t="s">
        <v>202</v>
      </c>
      <c r="H74" s="8">
        <f>IF(Table1[[#This Row],[Lifetime Option]]="fixed",Table1[[#This Row],[End of life (fixed)]]-Table1[[#This Row],[Start year]],Table2[Generic  Lifetime])</f>
        <v>60</v>
      </c>
      <c r="I74" s="8"/>
      <c r="J74" s="8">
        <f>IF(Table1[[#This Row],[Lifetime Option]]="fixed",Table1[[#This Row],[End of life (fixed)]],Table1[[#This Row],[Start year]]+Table2[Generic  Lifetime])</f>
        <v>2059</v>
      </c>
      <c r="K74" s="8">
        <v>1.4950000000000001</v>
      </c>
      <c r="L74" s="8"/>
      <c r="M74" s="11"/>
    </row>
    <row r="75" spans="3:13">
      <c r="C75" s="8" t="s">
        <v>3</v>
      </c>
      <c r="D75" s="8" t="s">
        <v>83</v>
      </c>
      <c r="E75" s="8">
        <v>1983</v>
      </c>
      <c r="F75" s="9">
        <v>1.0005231684021501</v>
      </c>
      <c r="G75" s="9" t="s">
        <v>202</v>
      </c>
      <c r="H75" s="8">
        <f>IF(Table1[[#This Row],[Lifetime Option]]="fixed",Table1[[#This Row],[End of life (fixed)]]-Table1[[#This Row],[Start year]],Table2[Generic  Lifetime])</f>
        <v>60</v>
      </c>
      <c r="I75" s="8"/>
      <c r="J75" s="8">
        <f>IF(Table1[[#This Row],[Lifetime Option]]="fixed",Table1[[#This Row],[End of life (fixed)]],Table1[[#This Row],[Start year]]+Table2[Generic  Lifetime])</f>
        <v>2043</v>
      </c>
      <c r="K75" s="8">
        <v>0.91500000000000004</v>
      </c>
      <c r="L75" s="8"/>
      <c r="M75" s="11"/>
    </row>
    <row r="76" spans="3:13">
      <c r="C76" s="8" t="s">
        <v>3</v>
      </c>
      <c r="D76" s="8" t="s">
        <v>84</v>
      </c>
      <c r="E76" s="8">
        <v>1984</v>
      </c>
      <c r="F76" s="9">
        <v>1.0005231684021501</v>
      </c>
      <c r="G76" s="9" t="s">
        <v>202</v>
      </c>
      <c r="H76" s="8">
        <f>IF(Table1[[#This Row],[Lifetime Option]]="fixed",Table1[[#This Row],[End of life (fixed)]]-Table1[[#This Row],[Start year]],Table2[Generic  Lifetime])</f>
        <v>60</v>
      </c>
      <c r="I76" s="8"/>
      <c r="J76" s="8">
        <f>IF(Table1[[#This Row],[Lifetime Option]]="fixed",Table1[[#This Row],[End of life (fixed)]],Table1[[#This Row],[Start year]]+Table2[Generic  Lifetime])</f>
        <v>2044</v>
      </c>
      <c r="K76" s="8">
        <v>0.91500000000000004</v>
      </c>
      <c r="L76" s="8"/>
      <c r="M76" s="11"/>
    </row>
    <row r="77" spans="3:13">
      <c r="C77" s="8" t="s">
        <v>3</v>
      </c>
      <c r="D77" s="8" t="s">
        <v>85</v>
      </c>
      <c r="E77" s="8">
        <v>1984</v>
      </c>
      <c r="F77" s="9">
        <v>1.0005231684021501</v>
      </c>
      <c r="G77" s="9" t="s">
        <v>202</v>
      </c>
      <c r="H77" s="8">
        <f>IF(Table1[[#This Row],[Lifetime Option]]="fixed",Table1[[#This Row],[End of life (fixed)]]-Table1[[#This Row],[Start year]],Table2[Generic  Lifetime])</f>
        <v>60</v>
      </c>
      <c r="I77" s="8"/>
      <c r="J77" s="8">
        <f>IF(Table1[[#This Row],[Lifetime Option]]="fixed",Table1[[#This Row],[End of life (fixed)]],Table1[[#This Row],[Start year]]+Table2[Generic  Lifetime])</f>
        <v>2044</v>
      </c>
      <c r="K77" s="8">
        <v>0.91500000000000004</v>
      </c>
      <c r="L77" s="8"/>
      <c r="M77" s="11"/>
    </row>
    <row r="78" spans="3:13">
      <c r="C78" s="8" t="s">
        <v>3</v>
      </c>
      <c r="D78" s="8" t="s">
        <v>86</v>
      </c>
      <c r="E78" s="8">
        <v>1984</v>
      </c>
      <c r="F78" s="9">
        <v>1.0005231684021501</v>
      </c>
      <c r="G78" s="9" t="s">
        <v>202</v>
      </c>
      <c r="H78" s="8">
        <f>IF(Table1[[#This Row],[Lifetime Option]]="fixed",Table1[[#This Row],[End of life (fixed)]]-Table1[[#This Row],[Start year]],Table2[Generic  Lifetime])</f>
        <v>60</v>
      </c>
      <c r="I78" s="8"/>
      <c r="J78" s="8">
        <f>IF(Table1[[#This Row],[Lifetime Option]]="fixed",Table1[[#This Row],[End of life (fixed)]],Table1[[#This Row],[Start year]]+Table2[Generic  Lifetime])</f>
        <v>2044</v>
      </c>
      <c r="K78" s="8">
        <v>0.91500000000000004</v>
      </c>
      <c r="L78" s="8"/>
      <c r="M78" s="11"/>
    </row>
    <row r="79" spans="3:13">
      <c r="C79" s="8" t="s">
        <v>3</v>
      </c>
      <c r="D79" s="8" t="s">
        <v>87</v>
      </c>
      <c r="E79" s="8">
        <v>1980</v>
      </c>
      <c r="F79" s="9">
        <v>0.98063829371633704</v>
      </c>
      <c r="G79" s="9" t="s">
        <v>202</v>
      </c>
      <c r="H79" s="8">
        <f>IF(Table1[[#This Row],[Lifetime Option]]="fixed",Table1[[#This Row],[End of life (fixed)]]-Table1[[#This Row],[Start year]],Table2[Generic  Lifetime])</f>
        <v>60</v>
      </c>
      <c r="I79" s="8"/>
      <c r="J79" s="8">
        <f>IF(Table1[[#This Row],[Lifetime Option]]="fixed",Table1[[#This Row],[End of life (fixed)]],Table1[[#This Row],[Start year]]+Table2[Generic  Lifetime])</f>
        <v>2040</v>
      </c>
      <c r="K79" s="8">
        <v>0.89</v>
      </c>
      <c r="L79" s="8"/>
      <c r="M79" s="11"/>
    </row>
    <row r="80" spans="3:13">
      <c r="C80" s="8" t="s">
        <v>3</v>
      </c>
      <c r="D80" s="8" t="s">
        <v>88</v>
      </c>
      <c r="E80" s="8">
        <v>1980</v>
      </c>
      <c r="F80" s="9">
        <v>0.98063829371633704</v>
      </c>
      <c r="G80" s="9" t="s">
        <v>202</v>
      </c>
      <c r="H80" s="8">
        <f>IF(Table1[[#This Row],[Lifetime Option]]="fixed",Table1[[#This Row],[End of life (fixed)]]-Table1[[#This Row],[Start year]],Table2[Generic  Lifetime])</f>
        <v>60</v>
      </c>
      <c r="I80" s="8"/>
      <c r="J80" s="8">
        <f>IF(Table1[[#This Row],[Lifetime Option]]="fixed",Table1[[#This Row],[End of life (fixed)]],Table1[[#This Row],[Start year]]+Table2[Generic  Lifetime])</f>
        <v>2040</v>
      </c>
      <c r="K80" s="8">
        <v>0.89</v>
      </c>
      <c r="L80" s="8"/>
      <c r="M80" s="11"/>
    </row>
    <row r="81" spans="3:13">
      <c r="C81" s="8" t="s">
        <v>3</v>
      </c>
      <c r="D81" s="8" t="s">
        <v>89</v>
      </c>
      <c r="E81" s="8">
        <v>1981</v>
      </c>
      <c r="F81" s="9">
        <v>0.98063829371633704</v>
      </c>
      <c r="G81" s="9" t="s">
        <v>202</v>
      </c>
      <c r="H81" s="8">
        <f>IF(Table1[[#This Row],[Lifetime Option]]="fixed",Table1[[#This Row],[End of life (fixed)]]-Table1[[#This Row],[Start year]],Table2[Generic  Lifetime])</f>
        <v>60</v>
      </c>
      <c r="I81" s="8"/>
      <c r="J81" s="8">
        <f>IF(Table1[[#This Row],[Lifetime Option]]="fixed",Table1[[#This Row],[End of life (fixed)]],Table1[[#This Row],[Start year]]+Table2[Generic  Lifetime])</f>
        <v>2041</v>
      </c>
      <c r="K81" s="8">
        <v>0.89</v>
      </c>
      <c r="L81" s="8"/>
      <c r="M81" s="11"/>
    </row>
    <row r="82" spans="3:13">
      <c r="C82" s="8" t="s">
        <v>3</v>
      </c>
      <c r="D82" s="8" t="s">
        <v>90</v>
      </c>
      <c r="E82" s="8">
        <v>1981</v>
      </c>
      <c r="F82" s="9">
        <v>0.98063829371633704</v>
      </c>
      <c r="G82" s="9" t="s">
        <v>202</v>
      </c>
      <c r="H82" s="8">
        <f>IF(Table1[[#This Row],[Lifetime Option]]="fixed",Table1[[#This Row],[End of life (fixed)]]-Table1[[#This Row],[Start year]],Table2[Generic  Lifetime])</f>
        <v>60</v>
      </c>
      <c r="I82" s="8"/>
      <c r="J82" s="8">
        <f>IF(Table1[[#This Row],[Lifetime Option]]="fixed",Table1[[#This Row],[End of life (fixed)]],Table1[[#This Row],[Start year]]+Table2[Generic  Lifetime])</f>
        <v>2041</v>
      </c>
      <c r="K82" s="8">
        <v>0.89</v>
      </c>
      <c r="L82" s="8"/>
      <c r="M82" s="11"/>
    </row>
    <row r="83" spans="3:13">
      <c r="C83" s="8" t="s">
        <v>3</v>
      </c>
      <c r="D83" s="8" t="s">
        <v>91</v>
      </c>
      <c r="E83" s="8">
        <v>1977</v>
      </c>
      <c r="F83" s="9">
        <v>1.31483909774436</v>
      </c>
      <c r="G83" s="9" t="s">
        <v>201</v>
      </c>
      <c r="H83" s="8">
        <f>IF(Table1[[#This Row],[Lifetime Option]]="fixed",Table1[[#This Row],[End of life (fixed)]]-Table1[[#This Row],[Start year]],Table2[Generic  Lifetime])</f>
        <v>40</v>
      </c>
      <c r="I83" s="8">
        <v>2017</v>
      </c>
      <c r="J83" s="8">
        <f>IF(Table1[[#This Row],[Lifetime Option]]="fixed",Table1[[#This Row],[End of life (fixed)]],Table1[[#This Row],[Start year]]+Table2[Generic  Lifetime])</f>
        <v>2017</v>
      </c>
      <c r="K83" s="8">
        <v>0.88</v>
      </c>
      <c r="L83" s="8" t="s">
        <v>187</v>
      </c>
      <c r="M83" s="11"/>
    </row>
    <row r="84" spans="3:13">
      <c r="C84" s="8" t="s">
        <v>3</v>
      </c>
      <c r="D84" s="8" t="s">
        <v>92</v>
      </c>
      <c r="E84" s="8">
        <v>1977</v>
      </c>
      <c r="F84" s="9">
        <v>1.31483909774436</v>
      </c>
      <c r="G84" s="9" t="s">
        <v>201</v>
      </c>
      <c r="H84" s="8">
        <f>IF(Table1[[#This Row],[Lifetime Option]]="fixed",Table1[[#This Row],[End of life (fixed)]]-Table1[[#This Row],[Start year]],Table2[Generic  Lifetime])</f>
        <v>40</v>
      </c>
      <c r="I84" s="8">
        <v>2017</v>
      </c>
      <c r="J84" s="8">
        <f>IF(Table1[[#This Row],[Lifetime Option]]="fixed",Table1[[#This Row],[End of life (fixed)]],Table1[[#This Row],[Start year]]+Table2[Generic  Lifetime])</f>
        <v>2017</v>
      </c>
      <c r="K84" s="8">
        <v>0.88</v>
      </c>
      <c r="L84" s="8" t="s">
        <v>187</v>
      </c>
      <c r="M84" s="11"/>
    </row>
    <row r="85" spans="3:13">
      <c r="C85" s="8" t="s">
        <v>3</v>
      </c>
      <c r="D85" s="8" t="s">
        <v>93</v>
      </c>
      <c r="E85" s="8">
        <v>1985</v>
      </c>
      <c r="F85" s="9">
        <v>1.0323181556195999</v>
      </c>
      <c r="G85" s="9" t="s">
        <v>202</v>
      </c>
      <c r="H85" s="8">
        <f>IF(Table1[[#This Row],[Lifetime Option]]="fixed",Table1[[#This Row],[End of life (fixed)]]-Table1[[#This Row],[Start year]],Table2[Generic  Lifetime])</f>
        <v>60</v>
      </c>
      <c r="I85" s="8"/>
      <c r="J85" s="8">
        <f>IF(Table1[[#This Row],[Lifetime Option]]="fixed",Table1[[#This Row],[End of life (fixed)]],Table1[[#This Row],[Start year]]+Table2[Generic  Lifetime])</f>
        <v>2045</v>
      </c>
      <c r="K85" s="8">
        <v>1.33</v>
      </c>
      <c r="L85" s="8"/>
      <c r="M85" s="11"/>
    </row>
    <row r="86" spans="3:13">
      <c r="C86" s="8" t="s">
        <v>3</v>
      </c>
      <c r="D86" s="8" t="s">
        <v>94</v>
      </c>
      <c r="E86" s="8">
        <v>1986</v>
      </c>
      <c r="F86" s="9">
        <v>1.0323181556195999</v>
      </c>
      <c r="G86" s="9" t="s">
        <v>202</v>
      </c>
      <c r="H86" s="8">
        <f>IF(Table1[[#This Row],[Lifetime Option]]="fixed",Table1[[#This Row],[End of life (fixed)]]-Table1[[#This Row],[Start year]],Table2[Generic  Lifetime])</f>
        <v>60</v>
      </c>
      <c r="I86" s="8"/>
      <c r="J86" s="8">
        <f>IF(Table1[[#This Row],[Lifetime Option]]="fixed",Table1[[#This Row],[End of life (fixed)]],Table1[[#This Row],[Start year]]+Table2[Generic  Lifetime])</f>
        <v>2046</v>
      </c>
      <c r="K86" s="8">
        <v>1.33</v>
      </c>
      <c r="L86" s="8"/>
      <c r="M86" s="11"/>
    </row>
    <row r="87" spans="3:13">
      <c r="C87" s="8" t="s">
        <v>3</v>
      </c>
      <c r="D87" s="8" t="s">
        <v>95</v>
      </c>
      <c r="E87" s="8">
        <v>1990</v>
      </c>
      <c r="F87" s="9">
        <v>1.0181256484149901</v>
      </c>
      <c r="G87" s="9" t="s">
        <v>202</v>
      </c>
      <c r="H87" s="8">
        <f>IF(Table1[[#This Row],[Lifetime Option]]="fixed",Table1[[#This Row],[End of life (fixed)]]-Table1[[#This Row],[Start year]],Table2[Generic  Lifetime])</f>
        <v>60</v>
      </c>
      <c r="I87" s="8"/>
      <c r="J87" s="8">
        <f>IF(Table1[[#This Row],[Lifetime Option]]="fixed",Table1[[#This Row],[End of life (fixed)]],Table1[[#This Row],[Start year]]+Table2[Generic  Lifetime])</f>
        <v>2050</v>
      </c>
      <c r="K87" s="8">
        <v>1.31</v>
      </c>
      <c r="L87" s="8"/>
      <c r="M87" s="11"/>
    </row>
    <row r="88" spans="3:13">
      <c r="C88" s="8" t="s">
        <v>3</v>
      </c>
      <c r="D88" s="8" t="s">
        <v>96</v>
      </c>
      <c r="E88" s="8">
        <v>1993</v>
      </c>
      <c r="F88" s="9">
        <v>1.0181256484149901</v>
      </c>
      <c r="G88" s="9" t="s">
        <v>202</v>
      </c>
      <c r="H88" s="8">
        <f>IF(Table1[[#This Row],[Lifetime Option]]="fixed",Table1[[#This Row],[End of life (fixed)]]-Table1[[#This Row],[Start year]],Table2[Generic  Lifetime])</f>
        <v>60</v>
      </c>
      <c r="I88" s="8"/>
      <c r="J88" s="8">
        <f>IF(Table1[[#This Row],[Lifetime Option]]="fixed",Table1[[#This Row],[End of life (fixed)]],Table1[[#This Row],[Start year]]+Table2[Generic  Lifetime])</f>
        <v>2053</v>
      </c>
      <c r="K88" s="8">
        <v>1.31</v>
      </c>
      <c r="L88" s="8"/>
      <c r="M88" s="11"/>
    </row>
    <row r="89" spans="3:13">
      <c r="C89" s="8" t="s">
        <v>3</v>
      </c>
      <c r="D89" s="8" t="s">
        <v>97</v>
      </c>
      <c r="E89" s="8">
        <v>1980</v>
      </c>
      <c r="F89" s="9">
        <v>0.99529030664272899</v>
      </c>
      <c r="G89" s="9" t="s">
        <v>202</v>
      </c>
      <c r="H89" s="8">
        <f>IF(Table1[[#This Row],[Lifetime Option]]="fixed",Table1[[#This Row],[End of life (fixed)]]-Table1[[#This Row],[Start year]],Table2[Generic  Lifetime])</f>
        <v>60</v>
      </c>
      <c r="I89" s="8"/>
      <c r="J89" s="8">
        <f>IF(Table1[[#This Row],[Lifetime Option]]="fixed",Table1[[#This Row],[End of life (fixed)]],Table1[[#This Row],[Start year]]+Table2[Generic  Lifetime])</f>
        <v>2040</v>
      </c>
      <c r="K89" s="8">
        <v>0.91</v>
      </c>
      <c r="L89" s="8"/>
      <c r="M89" s="11"/>
    </row>
    <row r="90" spans="3:13">
      <c r="C90" s="8" t="s">
        <v>3</v>
      </c>
      <c r="D90" s="8" t="s">
        <v>98</v>
      </c>
      <c r="E90" s="8">
        <v>1980</v>
      </c>
      <c r="F90" s="9">
        <v>0.99529030664272899</v>
      </c>
      <c r="G90" s="9" t="s">
        <v>202</v>
      </c>
      <c r="H90" s="8">
        <f>IF(Table1[[#This Row],[Lifetime Option]]="fixed",Table1[[#This Row],[End of life (fixed)]]-Table1[[#This Row],[Start year]],Table2[Generic  Lifetime])</f>
        <v>60</v>
      </c>
      <c r="I90" s="8"/>
      <c r="J90" s="8">
        <f>IF(Table1[[#This Row],[Lifetime Option]]="fixed",Table1[[#This Row],[End of life (fixed)]],Table1[[#This Row],[Start year]]+Table2[Generic  Lifetime])</f>
        <v>2040</v>
      </c>
      <c r="K90" s="8">
        <v>0.91</v>
      </c>
      <c r="L90" s="8"/>
      <c r="M90" s="11"/>
    </row>
    <row r="91" spans="3:13">
      <c r="C91" s="8" t="s">
        <v>3</v>
      </c>
      <c r="D91" s="8" t="s">
        <v>99</v>
      </c>
      <c r="E91" s="8">
        <v>1980</v>
      </c>
      <c r="F91" s="9">
        <v>0.99529030664272899</v>
      </c>
      <c r="G91" s="9" t="s">
        <v>202</v>
      </c>
      <c r="H91" s="8">
        <f>IF(Table1[[#This Row],[Lifetime Option]]="fixed",Table1[[#This Row],[End of life (fixed)]]-Table1[[#This Row],[Start year]],Table2[Generic  Lifetime])</f>
        <v>60</v>
      </c>
      <c r="I91" s="8"/>
      <c r="J91" s="8">
        <f>IF(Table1[[#This Row],[Lifetime Option]]="fixed",Table1[[#This Row],[End of life (fixed)]],Table1[[#This Row],[Start year]]+Table2[Generic  Lifetime])</f>
        <v>2040</v>
      </c>
      <c r="K91" s="8">
        <v>0.91</v>
      </c>
      <c r="L91" s="8"/>
      <c r="M91" s="11"/>
    </row>
    <row r="92" spans="3:13">
      <c r="C92" s="8" t="s">
        <v>3</v>
      </c>
      <c r="D92" s="8" t="s">
        <v>100</v>
      </c>
      <c r="E92" s="8">
        <v>1981</v>
      </c>
      <c r="F92" s="9">
        <v>0.99529030664272899</v>
      </c>
      <c r="G92" s="9" t="s">
        <v>202</v>
      </c>
      <c r="H92" s="8">
        <f>IF(Table1[[#This Row],[Lifetime Option]]="fixed",Table1[[#This Row],[End of life (fixed)]]-Table1[[#This Row],[Start year]],Table2[Generic  Lifetime])</f>
        <v>60</v>
      </c>
      <c r="I92" s="8"/>
      <c r="J92" s="8">
        <f>IF(Table1[[#This Row],[Lifetime Option]]="fixed",Table1[[#This Row],[End of life (fixed)]],Table1[[#This Row],[Start year]]+Table2[Generic  Lifetime])</f>
        <v>2041</v>
      </c>
      <c r="K92" s="8">
        <v>0.91</v>
      </c>
      <c r="L92" s="8"/>
      <c r="M92" s="11"/>
    </row>
    <row r="93" spans="3:13">
      <c r="C93" s="8" t="s">
        <v>3</v>
      </c>
      <c r="D93" s="8" t="s">
        <v>101</v>
      </c>
      <c r="E93" s="8">
        <v>1984</v>
      </c>
      <c r="F93" s="9">
        <v>1.3866501974865399</v>
      </c>
      <c r="G93" s="9" t="s">
        <v>202</v>
      </c>
      <c r="H93" s="8">
        <f>IF(Table1[[#This Row],[Lifetime Option]]="fixed",Table1[[#This Row],[End of life (fixed)]]-Table1[[#This Row],[Start year]],Table2[Generic  Lifetime])</f>
        <v>60</v>
      </c>
      <c r="I93" s="8"/>
      <c r="J93" s="8">
        <f>IF(Table1[[#This Row],[Lifetime Option]]="fixed",Table1[[#This Row],[End of life (fixed)]],Table1[[#This Row],[Start year]]+Table2[Generic  Lifetime])</f>
        <v>2044</v>
      </c>
      <c r="K93" s="8">
        <v>0.91</v>
      </c>
      <c r="L93" s="8"/>
      <c r="M93" s="11"/>
    </row>
    <row r="94" spans="3:13">
      <c r="C94" s="8" t="s">
        <v>3</v>
      </c>
      <c r="D94" s="8" t="s">
        <v>102</v>
      </c>
      <c r="E94" s="8">
        <v>1985</v>
      </c>
      <c r="F94" s="9">
        <v>1.38665019748653</v>
      </c>
      <c r="G94" s="9" t="s">
        <v>202</v>
      </c>
      <c r="H94" s="8">
        <f>IF(Table1[[#This Row],[Lifetime Option]]="fixed",Table1[[#This Row],[End of life (fixed)]]-Table1[[#This Row],[Start year]],Table2[Generic  Lifetime])</f>
        <v>60</v>
      </c>
      <c r="I94" s="8"/>
      <c r="J94" s="8">
        <f>IF(Table1[[#This Row],[Lifetime Option]]="fixed",Table1[[#This Row],[End of life (fixed)]],Table1[[#This Row],[Start year]]+Table2[Generic  Lifetime])</f>
        <v>2045</v>
      </c>
      <c r="K94" s="8">
        <v>0.91</v>
      </c>
      <c r="L94" s="8"/>
      <c r="M94" s="11"/>
    </row>
    <row r="95" spans="3:13">
      <c r="C95" s="8" t="s">
        <v>3</v>
      </c>
      <c r="D95" s="8" t="s">
        <v>103</v>
      </c>
      <c r="E95" s="8">
        <v>1987</v>
      </c>
      <c r="F95" s="9">
        <v>1.0181256484149901</v>
      </c>
      <c r="G95" s="9" t="s">
        <v>202</v>
      </c>
      <c r="H95" s="8">
        <f>IF(Table1[[#This Row],[Lifetime Option]]="fixed",Table1[[#This Row],[End of life (fixed)]]-Table1[[#This Row],[Start year]],Table2[Generic  Lifetime])</f>
        <v>60</v>
      </c>
      <c r="I95" s="8"/>
      <c r="J95" s="8">
        <f>IF(Table1[[#This Row],[Lifetime Option]]="fixed",Table1[[#This Row],[End of life (fixed)]],Table1[[#This Row],[Start year]]+Table2[Generic  Lifetime])</f>
        <v>2047</v>
      </c>
      <c r="K95" s="8">
        <v>1.31</v>
      </c>
      <c r="L95" s="8"/>
      <c r="M95" s="11"/>
    </row>
    <row r="96" spans="3:13">
      <c r="C96" s="8" t="s">
        <v>3</v>
      </c>
      <c r="D96" s="8" t="s">
        <v>104</v>
      </c>
      <c r="E96" s="8">
        <v>1988</v>
      </c>
      <c r="F96" s="9">
        <v>1.0181256484149901</v>
      </c>
      <c r="G96" s="9" t="s">
        <v>202</v>
      </c>
      <c r="H96" s="8">
        <f>IF(Table1[[#This Row],[Lifetime Option]]="fixed",Table1[[#This Row],[End of life (fixed)]]-Table1[[#This Row],[Start year]],Table2[Generic  Lifetime])</f>
        <v>60</v>
      </c>
      <c r="I96" s="8"/>
      <c r="J96" s="8">
        <f>IF(Table1[[#This Row],[Lifetime Option]]="fixed",Table1[[#This Row],[End of life (fixed)]],Table1[[#This Row],[Start year]]+Table2[Generic  Lifetime])</f>
        <v>2048</v>
      </c>
      <c r="K96" s="8">
        <v>1.31</v>
      </c>
      <c r="L96" s="8"/>
      <c r="M96" s="11"/>
    </row>
    <row r="97" spans="3:13">
      <c r="C97" s="8" t="s">
        <v>3</v>
      </c>
      <c r="D97" s="8" t="s">
        <v>105</v>
      </c>
      <c r="E97" s="8">
        <v>1984</v>
      </c>
      <c r="F97" s="9">
        <v>1.0323181556195999</v>
      </c>
      <c r="G97" s="9" t="s">
        <v>202</v>
      </c>
      <c r="H97" s="8">
        <f>IF(Table1[[#This Row],[Lifetime Option]]="fixed",Table1[[#This Row],[End of life (fixed)]]-Table1[[#This Row],[Start year]],Table2[Generic  Lifetime])</f>
        <v>60</v>
      </c>
      <c r="I97" s="8"/>
      <c r="J97" s="8">
        <f>IF(Table1[[#This Row],[Lifetime Option]]="fixed",Table1[[#This Row],[End of life (fixed)]],Table1[[#This Row],[Start year]]+Table2[Generic  Lifetime])</f>
        <v>2044</v>
      </c>
      <c r="K97" s="8">
        <v>1.33</v>
      </c>
      <c r="L97" s="8"/>
      <c r="M97" s="11"/>
    </row>
    <row r="98" spans="3:13">
      <c r="C98" s="8" t="s">
        <v>3</v>
      </c>
      <c r="D98" s="8" t="s">
        <v>106</v>
      </c>
      <c r="E98" s="8">
        <v>1984</v>
      </c>
      <c r="F98" s="9">
        <v>1.0323181556195999</v>
      </c>
      <c r="G98" s="9" t="s">
        <v>202</v>
      </c>
      <c r="H98" s="8">
        <f>IF(Table1[[#This Row],[Lifetime Option]]="fixed",Table1[[#This Row],[End of life (fixed)]]-Table1[[#This Row],[Start year]],Table2[Generic  Lifetime])</f>
        <v>60</v>
      </c>
      <c r="I98" s="8"/>
      <c r="J98" s="8">
        <f>IF(Table1[[#This Row],[Lifetime Option]]="fixed",Table1[[#This Row],[End of life (fixed)]],Table1[[#This Row],[Start year]]+Table2[Generic  Lifetime])</f>
        <v>2044</v>
      </c>
      <c r="K98" s="8">
        <v>1.33</v>
      </c>
      <c r="L98" s="8"/>
      <c r="M98" s="11"/>
    </row>
    <row r="99" spans="3:13">
      <c r="C99" s="8" t="s">
        <v>3</v>
      </c>
      <c r="D99" s="8" t="s">
        <v>107</v>
      </c>
      <c r="E99" s="8">
        <v>1985</v>
      </c>
      <c r="F99" s="9">
        <v>1.0323181556195999</v>
      </c>
      <c r="G99" s="9" t="s">
        <v>202</v>
      </c>
      <c r="H99" s="8">
        <f>IF(Table1[[#This Row],[Lifetime Option]]="fixed",Table1[[#This Row],[End of life (fixed)]]-Table1[[#This Row],[Start year]],Table2[Generic  Lifetime])</f>
        <v>60</v>
      </c>
      <c r="I99" s="8"/>
      <c r="J99" s="8">
        <f>IF(Table1[[#This Row],[Lifetime Option]]="fixed",Table1[[#This Row],[End of life (fixed)]],Table1[[#This Row],[Start year]]+Table2[Generic  Lifetime])</f>
        <v>2045</v>
      </c>
      <c r="K99" s="8">
        <v>1.33</v>
      </c>
      <c r="L99" s="8"/>
      <c r="M99" s="11"/>
    </row>
    <row r="100" spans="3:13">
      <c r="C100" s="8" t="s">
        <v>3</v>
      </c>
      <c r="D100" s="8" t="s">
        <v>108</v>
      </c>
      <c r="E100" s="8">
        <v>1986</v>
      </c>
      <c r="F100" s="9">
        <v>1.0323181556195999</v>
      </c>
      <c r="G100" s="9" t="s">
        <v>202</v>
      </c>
      <c r="H100" s="8">
        <f>IF(Table1[[#This Row],[Lifetime Option]]="fixed",Table1[[#This Row],[End of life (fixed)]]-Table1[[#This Row],[Start year]],Table2[Generic  Lifetime])</f>
        <v>60</v>
      </c>
      <c r="I100" s="8"/>
      <c r="J100" s="8">
        <f>IF(Table1[[#This Row],[Lifetime Option]]="fixed",Table1[[#This Row],[End of life (fixed)]],Table1[[#This Row],[Start year]]+Table2[Generic  Lifetime])</f>
        <v>2046</v>
      </c>
      <c r="K100" s="8">
        <v>1.33</v>
      </c>
      <c r="L100" s="8"/>
      <c r="M100" s="11"/>
    </row>
    <row r="101" spans="3:13">
      <c r="C101" s="8" t="s">
        <v>3</v>
      </c>
      <c r="D101" s="8" t="s">
        <v>109</v>
      </c>
      <c r="E101" s="8">
        <v>1990</v>
      </c>
      <c r="F101" s="9">
        <v>1.0323181556195999</v>
      </c>
      <c r="G101" s="9" t="s">
        <v>202</v>
      </c>
      <c r="H101" s="8">
        <f>IF(Table1[[#This Row],[Lifetime Option]]="fixed",Table1[[#This Row],[End of life (fixed)]]-Table1[[#This Row],[Start year]],Table2[Generic  Lifetime])</f>
        <v>60</v>
      </c>
      <c r="I101" s="8"/>
      <c r="J101" s="8">
        <f>IF(Table1[[#This Row],[Lifetime Option]]="fixed",Table1[[#This Row],[End of life (fixed)]],Table1[[#This Row],[Start year]]+Table2[Generic  Lifetime])</f>
        <v>2050</v>
      </c>
      <c r="K101" s="8">
        <v>1.33</v>
      </c>
      <c r="L101" s="8"/>
      <c r="M101" s="11"/>
    </row>
    <row r="102" spans="3:13">
      <c r="C102" s="8" t="s">
        <v>3</v>
      </c>
      <c r="D102" s="8" t="s">
        <v>110</v>
      </c>
      <c r="E102" s="8">
        <v>1992</v>
      </c>
      <c r="F102" s="9">
        <v>1.0323181556195999</v>
      </c>
      <c r="G102" s="9" t="s">
        <v>202</v>
      </c>
      <c r="H102" s="8">
        <f>IF(Table1[[#This Row],[Lifetime Option]]="fixed",Table1[[#This Row],[End of life (fixed)]]-Table1[[#This Row],[Start year]],Table2[Generic  Lifetime])</f>
        <v>60</v>
      </c>
      <c r="I102" s="8"/>
      <c r="J102" s="8">
        <f>IF(Table1[[#This Row],[Lifetime Option]]="fixed",Table1[[#This Row],[End of life (fixed)]],Table1[[#This Row],[Start year]]+Table2[Generic  Lifetime])</f>
        <v>2052</v>
      </c>
      <c r="K102" s="8">
        <v>1.33</v>
      </c>
      <c r="L102" s="8"/>
      <c r="M102" s="11"/>
    </row>
    <row r="103" spans="3:13">
      <c r="C103" s="8" t="s">
        <v>3</v>
      </c>
      <c r="D103" s="8" t="s">
        <v>111</v>
      </c>
      <c r="E103" s="8">
        <v>1973</v>
      </c>
      <c r="F103" s="9">
        <v>2.85</v>
      </c>
      <c r="G103" s="9" t="s">
        <v>202</v>
      </c>
      <c r="H103" s="8">
        <f>IF(Table1[[#This Row],[Lifetime Option]]="fixed",Table1[[#This Row],[End of life (fixed)]]-Table1[[#This Row],[Start year]],Table2[Generic  Lifetime])</f>
        <v>60</v>
      </c>
      <c r="I103" s="8"/>
      <c r="J103" s="8">
        <f>IF(Table1[[#This Row],[Lifetime Option]]="fixed",Table1[[#This Row],[End of life (fixed)]],Table1[[#This Row],[Start year]]+Table2[Generic  Lifetime])</f>
        <v>2033</v>
      </c>
      <c r="K103" s="8">
        <v>0.13</v>
      </c>
      <c r="L103" s="8"/>
      <c r="M103" s="11"/>
    </row>
    <row r="104" spans="3:13">
      <c r="C104" s="8" t="s">
        <v>3</v>
      </c>
      <c r="D104" s="8" t="s">
        <v>112</v>
      </c>
      <c r="E104" s="8">
        <v>1985</v>
      </c>
      <c r="F104" s="9">
        <v>1.0315711815562001</v>
      </c>
      <c r="G104" s="9" t="s">
        <v>202</v>
      </c>
      <c r="H104" s="8">
        <f>IF(Table1[[#This Row],[Lifetime Option]]="fixed",Table1[[#This Row],[End of life (fixed)]]-Table1[[#This Row],[Start year]],Table2[Generic  Lifetime])</f>
        <v>60</v>
      </c>
      <c r="I104" s="8"/>
      <c r="J104" s="8">
        <f>IF(Table1[[#This Row],[Lifetime Option]]="fixed",Table1[[#This Row],[End of life (fixed)]],Table1[[#This Row],[Start year]]+Table2[Generic  Lifetime])</f>
        <v>2045</v>
      </c>
      <c r="K104" s="8">
        <v>1.335</v>
      </c>
      <c r="L104" s="8"/>
      <c r="M104" s="11"/>
    </row>
    <row r="105" spans="3:13">
      <c r="C105" s="8" t="s">
        <v>3</v>
      </c>
      <c r="D105" s="8" t="s">
        <v>113</v>
      </c>
      <c r="E105" s="8">
        <v>1986</v>
      </c>
      <c r="F105" s="9">
        <v>1.0315711815562001</v>
      </c>
      <c r="G105" s="9" t="s">
        <v>202</v>
      </c>
      <c r="H105" s="8">
        <f>IF(Table1[[#This Row],[Lifetime Option]]="fixed",Table1[[#This Row],[End of life (fixed)]]-Table1[[#This Row],[Start year]],Table2[Generic  Lifetime])</f>
        <v>60</v>
      </c>
      <c r="I105" s="8"/>
      <c r="J105" s="8">
        <f>IF(Table1[[#This Row],[Lifetime Option]]="fixed",Table1[[#This Row],[End of life (fixed)]],Table1[[#This Row],[Start year]]+Table2[Generic  Lifetime])</f>
        <v>2046</v>
      </c>
      <c r="K105" s="8">
        <v>1.335</v>
      </c>
      <c r="L105" s="8"/>
      <c r="M105" s="11"/>
    </row>
    <row r="106" spans="3:13">
      <c r="C106" s="8" t="s">
        <v>3</v>
      </c>
      <c r="D106" s="8" t="s">
        <v>114</v>
      </c>
      <c r="E106" s="8">
        <v>1981</v>
      </c>
      <c r="F106" s="9">
        <v>1.0005231684021501</v>
      </c>
      <c r="G106" s="9" t="s">
        <v>202</v>
      </c>
      <c r="H106" s="8">
        <f>IF(Table1[[#This Row],[Lifetime Option]]="fixed",Table1[[#This Row],[End of life (fixed)]]-Table1[[#This Row],[Start year]],Table2[Generic  Lifetime])</f>
        <v>60</v>
      </c>
      <c r="I106" s="8"/>
      <c r="J106" s="8">
        <f>IF(Table1[[#This Row],[Lifetime Option]]="fixed",Table1[[#This Row],[End of life (fixed)]],Table1[[#This Row],[Start year]]+Table2[Generic  Lifetime])</f>
        <v>2041</v>
      </c>
      <c r="K106" s="8">
        <v>0.91500000000000004</v>
      </c>
      <c r="L106" s="8"/>
      <c r="M106" s="11"/>
    </row>
    <row r="107" spans="3:13">
      <c r="C107" s="8" t="s">
        <v>3</v>
      </c>
      <c r="D107" s="8" t="s">
        <v>115</v>
      </c>
      <c r="E107" s="8">
        <v>1981</v>
      </c>
      <c r="F107" s="9">
        <v>1.0005231684021501</v>
      </c>
      <c r="G107" s="9" t="s">
        <v>202</v>
      </c>
      <c r="H107" s="8">
        <f>IF(Table1[[#This Row],[Lifetime Option]]="fixed",Table1[[#This Row],[End of life (fixed)]]-Table1[[#This Row],[Start year]],Table2[Generic  Lifetime])</f>
        <v>60</v>
      </c>
      <c r="I107" s="8"/>
      <c r="J107" s="8">
        <f>IF(Table1[[#This Row],[Lifetime Option]]="fixed",Table1[[#This Row],[End of life (fixed)]],Table1[[#This Row],[Start year]]+Table2[Generic  Lifetime])</f>
        <v>2041</v>
      </c>
      <c r="K107" s="8">
        <v>0.91500000000000004</v>
      </c>
      <c r="L107" s="8"/>
      <c r="M107" s="11"/>
    </row>
    <row r="108" spans="3:13">
      <c r="C108" s="8" t="s">
        <v>3</v>
      </c>
      <c r="D108" s="8" t="s">
        <v>116</v>
      </c>
      <c r="E108" s="8">
        <v>1980</v>
      </c>
      <c r="F108" s="9">
        <v>1.2443461400359099</v>
      </c>
      <c r="G108" s="9" t="s">
        <v>202</v>
      </c>
      <c r="H108" s="8">
        <f>IF(Table1[[#This Row],[Lifetime Option]]="fixed",Table1[[#This Row],[End of life (fixed)]]-Table1[[#This Row],[Start year]],Table2[Generic  Lifetime])</f>
        <v>60</v>
      </c>
      <c r="I108" s="8"/>
      <c r="J108" s="8">
        <f>IF(Table1[[#This Row],[Lifetime Option]]="fixed",Table1[[#This Row],[End of life (fixed)]],Table1[[#This Row],[Start year]]+Table2[Generic  Lifetime])</f>
        <v>2040</v>
      </c>
      <c r="K108" s="8">
        <v>0.91500000000000004</v>
      </c>
      <c r="L108" s="8"/>
      <c r="M108" s="11"/>
    </row>
    <row r="109" spans="3:13">
      <c r="C109" s="8" t="s">
        <v>3</v>
      </c>
      <c r="D109" s="8" t="s">
        <v>117</v>
      </c>
      <c r="E109" s="8">
        <v>1980</v>
      </c>
      <c r="F109" s="9">
        <v>0.99947659605026895</v>
      </c>
      <c r="G109" s="9" t="s">
        <v>202</v>
      </c>
      <c r="H109" s="8">
        <f>IF(Table1[[#This Row],[Lifetime Option]]="fixed",Table1[[#This Row],[End of life (fixed)]]-Table1[[#This Row],[Start year]],Table2[Generic  Lifetime])</f>
        <v>60</v>
      </c>
      <c r="I109" s="8"/>
      <c r="J109" s="8">
        <f>IF(Table1[[#This Row],[Lifetime Option]]="fixed",Table1[[#This Row],[End of life (fixed)]],Table1[[#This Row],[Start year]]+Table2[Generic  Lifetime])</f>
        <v>2040</v>
      </c>
      <c r="K109" s="8">
        <v>0.91500000000000004</v>
      </c>
      <c r="L109" s="8"/>
      <c r="M109" s="11"/>
    </row>
    <row r="110" spans="3:13">
      <c r="C110" s="8" t="s">
        <v>3</v>
      </c>
      <c r="D110" s="8" t="s">
        <v>118</v>
      </c>
      <c r="E110" s="8">
        <v>1981</v>
      </c>
      <c r="F110" s="9">
        <v>0.99947659605026895</v>
      </c>
      <c r="G110" s="9" t="s">
        <v>202</v>
      </c>
      <c r="H110" s="8">
        <f>IF(Table1[[#This Row],[Lifetime Option]]="fixed",Table1[[#This Row],[End of life (fixed)]]-Table1[[#This Row],[Start year]],Table2[Generic  Lifetime])</f>
        <v>60</v>
      </c>
      <c r="I110" s="8"/>
      <c r="J110" s="8">
        <f>IF(Table1[[#This Row],[Lifetime Option]]="fixed",Table1[[#This Row],[End of life (fixed)]],Table1[[#This Row],[Start year]]+Table2[Generic  Lifetime])</f>
        <v>2041</v>
      </c>
      <c r="K110" s="8">
        <v>0.91500000000000004</v>
      </c>
      <c r="L110" s="8"/>
      <c r="M110" s="11"/>
    </row>
    <row r="111" spans="3:13">
      <c r="C111" s="8" t="s">
        <v>3</v>
      </c>
      <c r="D111" s="8" t="s">
        <v>119</v>
      </c>
      <c r="E111" s="8">
        <v>1981</v>
      </c>
      <c r="F111" s="9">
        <v>0.99947659605026895</v>
      </c>
      <c r="G111" s="9" t="s">
        <v>202</v>
      </c>
      <c r="H111" s="8">
        <f>IF(Table1[[#This Row],[Lifetime Option]]="fixed",Table1[[#This Row],[End of life (fixed)]]-Table1[[#This Row],[Start year]],Table2[Generic  Lifetime])</f>
        <v>60</v>
      </c>
      <c r="I111" s="8"/>
      <c r="J111" s="8">
        <f>IF(Table1[[#This Row],[Lifetime Option]]="fixed",Table1[[#This Row],[End of life (fixed)]],Table1[[#This Row],[Start year]]+Table2[Generic  Lifetime])</f>
        <v>2041</v>
      </c>
      <c r="K111" s="8">
        <v>0.91500000000000004</v>
      </c>
      <c r="L111" s="8"/>
      <c r="M111" s="11"/>
    </row>
    <row r="112" spans="3:13">
      <c r="C112" s="8" t="s">
        <v>120</v>
      </c>
      <c r="D112" s="8" t="s">
        <v>121</v>
      </c>
      <c r="E112" s="8">
        <v>1982</v>
      </c>
      <c r="F112" s="9">
        <v>1.07636363636364</v>
      </c>
      <c r="G112" s="9" t="s">
        <v>202</v>
      </c>
      <c r="H112" s="8">
        <f>IF(Table1[[#This Row],[Lifetime Option]]="fixed",Table1[[#This Row],[End of life (fixed)]]-Table1[[#This Row],[Start year]],Table2[Generic  Lifetime])</f>
        <v>60</v>
      </c>
      <c r="I112" s="8"/>
      <c r="J112" s="8">
        <f>IF(Table1[[#This Row],[Lifetime Option]]="fixed",Table1[[#This Row],[End of life (fixed)]],Table1[[#This Row],[Start year]]+Table2[Generic  Lifetime])</f>
        <v>2042</v>
      </c>
      <c r="K112" s="8">
        <v>0.47</v>
      </c>
      <c r="L112" s="8"/>
      <c r="M112" s="11"/>
    </row>
    <row r="113" spans="3:13">
      <c r="C113" s="8" t="s">
        <v>120</v>
      </c>
      <c r="D113" s="8" t="s">
        <v>122</v>
      </c>
      <c r="E113" s="8">
        <v>1984</v>
      </c>
      <c r="F113" s="9">
        <v>1.07636363636364</v>
      </c>
      <c r="G113" s="9" t="s">
        <v>202</v>
      </c>
      <c r="H113" s="8">
        <f>IF(Table1[[#This Row],[Lifetime Option]]="fixed",Table1[[#This Row],[End of life (fixed)]]-Table1[[#This Row],[Start year]],Table2[Generic  Lifetime])</f>
        <v>60</v>
      </c>
      <c r="I113" s="8"/>
      <c r="J113" s="8">
        <f>IF(Table1[[#This Row],[Lifetime Option]]="fixed",Table1[[#This Row],[End of life (fixed)]],Table1[[#This Row],[Start year]]+Table2[Generic  Lifetime])</f>
        <v>2044</v>
      </c>
      <c r="K113" s="8">
        <v>0.47299999999999998</v>
      </c>
      <c r="L113" s="8"/>
      <c r="M113" s="11"/>
    </row>
    <row r="114" spans="3:13">
      <c r="C114" s="8" t="s">
        <v>120</v>
      </c>
      <c r="D114" s="8" t="s">
        <v>123</v>
      </c>
      <c r="E114" s="8">
        <v>1986</v>
      </c>
      <c r="F114" s="9">
        <v>1.07636363636364</v>
      </c>
      <c r="G114" s="9" t="s">
        <v>202</v>
      </c>
      <c r="H114" s="8">
        <f>IF(Table1[[#This Row],[Lifetime Option]]="fixed",Table1[[#This Row],[End of life (fixed)]]-Table1[[#This Row],[Start year]],Table2[Generic  Lifetime])</f>
        <v>60</v>
      </c>
      <c r="I114" s="8"/>
      <c r="J114" s="8">
        <f>IF(Table1[[#This Row],[Lifetime Option]]="fixed",Table1[[#This Row],[End of life (fixed)]],Table1[[#This Row],[Start year]]+Table2[Generic  Lifetime])</f>
        <v>2046</v>
      </c>
      <c r="K114" s="8">
        <v>0.47299999999999998</v>
      </c>
      <c r="L114" s="8"/>
      <c r="M114" s="11"/>
    </row>
    <row r="115" spans="3:13">
      <c r="C115" s="8" t="s">
        <v>120</v>
      </c>
      <c r="D115" s="8" t="s">
        <v>124</v>
      </c>
      <c r="E115" s="8">
        <v>1987</v>
      </c>
      <c r="F115" s="9">
        <v>1.07636363636364</v>
      </c>
      <c r="G115" s="9" t="s">
        <v>202</v>
      </c>
      <c r="H115" s="8">
        <f>IF(Table1[[#This Row],[Lifetime Option]]="fixed",Table1[[#This Row],[End of life (fixed)]]-Table1[[#This Row],[Start year]],Table2[Generic  Lifetime])</f>
        <v>60</v>
      </c>
      <c r="I115" s="8"/>
      <c r="J115" s="8">
        <f>IF(Table1[[#This Row],[Lifetime Option]]="fixed",Table1[[#This Row],[End of life (fixed)]],Table1[[#This Row],[Start year]]+Table2[Generic  Lifetime])</f>
        <v>2047</v>
      </c>
      <c r="K115" s="8">
        <v>0.47299999999999998</v>
      </c>
      <c r="L115" s="8"/>
      <c r="M115" s="11"/>
    </row>
    <row r="116" spans="3:13">
      <c r="C116" s="8" t="s">
        <v>125</v>
      </c>
      <c r="D116" s="8" t="s">
        <v>126</v>
      </c>
      <c r="E116" s="8">
        <v>1983</v>
      </c>
      <c r="F116" s="9">
        <v>0.66</v>
      </c>
      <c r="G116" s="9" t="s">
        <v>201</v>
      </c>
      <c r="H116" s="8">
        <f>IF(Table1[[#This Row],[Lifetime Option]]="fixed",Table1[[#This Row],[End of life (fixed)]]-Table1[[#This Row],[Start year]],Table2[Generic  Lifetime])</f>
        <v>21</v>
      </c>
      <c r="I116" s="8">
        <v>2004</v>
      </c>
      <c r="J116" s="8">
        <f>IF(Table1[[#This Row],[Lifetime Option]]="fixed",Table1[[#This Row],[End of life (fixed)]],Table1[[#This Row],[Start year]]+Table2[Generic  Lifetime])</f>
        <v>2004</v>
      </c>
      <c r="K116" s="8">
        <v>1.1850000000000001</v>
      </c>
      <c r="L116" s="8" t="s">
        <v>186</v>
      </c>
      <c r="M116" s="11"/>
    </row>
    <row r="117" spans="3:13">
      <c r="C117" s="8" t="s">
        <v>125</v>
      </c>
      <c r="D117" s="8" t="s">
        <v>127</v>
      </c>
      <c r="E117" s="8">
        <v>1987</v>
      </c>
      <c r="F117" s="9">
        <v>0.66</v>
      </c>
      <c r="G117" s="9" t="s">
        <v>201</v>
      </c>
      <c r="H117" s="8">
        <f>IF(Table1[[#This Row],[Lifetime Option]]="fixed",Table1[[#This Row],[End of life (fixed)]]-Table1[[#This Row],[Start year]],Table2[Generic  Lifetime])</f>
        <v>22</v>
      </c>
      <c r="I117" s="8">
        <v>2009</v>
      </c>
      <c r="J117" s="8">
        <f>IF(Table1[[#This Row],[Lifetime Option]]="fixed",Table1[[#This Row],[End of life (fixed)]],Table1[[#This Row],[Start year]]+Table2[Generic  Lifetime])</f>
        <v>2009</v>
      </c>
      <c r="K117" s="8">
        <v>1.1850000000000001</v>
      </c>
      <c r="L117" s="8" t="s">
        <v>186</v>
      </c>
      <c r="M117" s="11"/>
    </row>
    <row r="118" spans="3:13">
      <c r="C118" s="8" t="s">
        <v>128</v>
      </c>
      <c r="D118" s="8" t="s">
        <v>129</v>
      </c>
      <c r="E118" s="8">
        <v>1973</v>
      </c>
      <c r="F118" s="9">
        <v>1.2703836017569501</v>
      </c>
      <c r="G118" s="9" t="s">
        <v>201</v>
      </c>
      <c r="H118" s="8">
        <f>IF(Table1[[#This Row],[Lifetime Option]]="fixed",Table1[[#This Row],[End of life (fixed)]]-Table1[[#This Row],[Start year]],Table2[Generic  Lifetime])</f>
        <v>61</v>
      </c>
      <c r="I118" s="8">
        <v>2034</v>
      </c>
      <c r="J118" s="8">
        <f>IF(Table1[[#This Row],[Lifetime Option]]="fixed",Table1[[#This Row],[End of life (fixed)]],Table1[[#This Row],[Start year]]+Table2[Generic  Lifetime])</f>
        <v>2034</v>
      </c>
      <c r="K118" s="8">
        <v>0.48199999999999998</v>
      </c>
      <c r="L118" s="8"/>
      <c r="M118" s="11"/>
    </row>
    <row r="119" spans="3:13">
      <c r="C119" s="8" t="s">
        <v>130</v>
      </c>
      <c r="D119" s="8" t="s">
        <v>131</v>
      </c>
      <c r="E119" s="8">
        <v>1996</v>
      </c>
      <c r="F119" s="9">
        <v>0.19866451376146799</v>
      </c>
      <c r="G119" s="9" t="s">
        <v>202</v>
      </c>
      <c r="H119" s="8">
        <f>IF(Table1[[#This Row],[Lifetime Option]]="fixed",Table1[[#This Row],[End of life (fixed)]]-Table1[[#This Row],[Start year]],Table2[Generic  Lifetime])</f>
        <v>60</v>
      </c>
      <c r="I119" s="8"/>
      <c r="J119" s="8">
        <f>IF(Table1[[#This Row],[Lifetime Option]]="fixed",Table1[[#This Row],[End of life (fixed)]],Table1[[#This Row],[Start year]]+Table2[Generic  Lifetime])</f>
        <v>2056</v>
      </c>
      <c r="K119" s="8">
        <v>0.65</v>
      </c>
      <c r="L119" s="8"/>
      <c r="M119" s="11"/>
    </row>
    <row r="120" spans="3:13">
      <c r="C120" s="8" t="s">
        <v>130</v>
      </c>
      <c r="D120" s="8" t="s">
        <v>132</v>
      </c>
      <c r="E120" s="8">
        <v>2007</v>
      </c>
      <c r="F120" s="9">
        <v>0.19866451376146799</v>
      </c>
      <c r="G120" s="9" t="s">
        <v>202</v>
      </c>
      <c r="H120" s="8">
        <f>IF(Table1[[#This Row],[Lifetime Option]]="fixed",Table1[[#This Row],[End of life (fixed)]]-Table1[[#This Row],[Start year]],Table2[Generic  Lifetime])</f>
        <v>60</v>
      </c>
      <c r="I120" s="8"/>
      <c r="J120" s="8">
        <f>IF(Table1[[#This Row],[Lifetime Option]]="fixed",Table1[[#This Row],[End of life (fixed)]],Table1[[#This Row],[Start year]]+Table2[Generic  Lifetime])</f>
        <v>2067</v>
      </c>
      <c r="K120" s="8">
        <v>0.65</v>
      </c>
      <c r="L120" s="8"/>
      <c r="M120" s="11"/>
    </row>
    <row r="121" spans="3:13">
      <c r="C121" s="8" t="s">
        <v>133</v>
      </c>
      <c r="D121" s="8" t="s">
        <v>134</v>
      </c>
      <c r="E121" s="8">
        <v>1980</v>
      </c>
      <c r="F121" s="9">
        <v>1.2802426229508199</v>
      </c>
      <c r="G121" s="9" t="s">
        <v>202</v>
      </c>
      <c r="H121" s="8">
        <f>IF(Table1[[#This Row],[Lifetime Option]]="fixed",Table1[[#This Row],[End of life (fixed)]]-Table1[[#This Row],[Start year]],Table2[Generic  Lifetime])</f>
        <v>60</v>
      </c>
      <c r="I121" s="8"/>
      <c r="J121" s="8">
        <f>IF(Table1[[#This Row],[Lifetime Option]]="fixed",Table1[[#This Row],[End of life (fixed)]],Table1[[#This Row],[Start year]]+Table2[Generic  Lifetime])</f>
        <v>2040</v>
      </c>
      <c r="K121" s="8">
        <v>0.98399999999999999</v>
      </c>
      <c r="L121" s="8"/>
      <c r="M121" s="11"/>
    </row>
    <row r="122" spans="3:13">
      <c r="C122" s="8" t="s">
        <v>133</v>
      </c>
      <c r="D122" s="8" t="s">
        <v>135</v>
      </c>
      <c r="E122" s="8">
        <v>1981</v>
      </c>
      <c r="F122" s="9">
        <v>1.27404590163934</v>
      </c>
      <c r="G122" s="9" t="s">
        <v>202</v>
      </c>
      <c r="H122" s="8">
        <f>IF(Table1[[#This Row],[Lifetime Option]]="fixed",Table1[[#This Row],[End of life (fixed)]]-Table1[[#This Row],[Start year]],Table2[Generic  Lifetime])</f>
        <v>60</v>
      </c>
      <c r="I122" s="8"/>
      <c r="J122" s="8">
        <f>IF(Table1[[#This Row],[Lifetime Option]]="fixed",Table1[[#This Row],[End of life (fixed)]],Table1[[#This Row],[Start year]]+Table2[Generic  Lifetime])</f>
        <v>2041</v>
      </c>
      <c r="K122" s="8">
        <v>0.996</v>
      </c>
      <c r="L122" s="8"/>
      <c r="M122" s="11"/>
    </row>
    <row r="123" spans="3:13">
      <c r="C123" s="8" t="s">
        <v>133</v>
      </c>
      <c r="D123" s="8" t="s">
        <v>136</v>
      </c>
      <c r="E123" s="8">
        <v>1985</v>
      </c>
      <c r="F123" s="9">
        <v>1.3327592727272699</v>
      </c>
      <c r="G123" s="9" t="s">
        <v>202</v>
      </c>
      <c r="H123" s="8">
        <f>IF(Table1[[#This Row],[Lifetime Option]]="fixed",Table1[[#This Row],[End of life (fixed)]]-Table1[[#This Row],[Start year]],Table2[Generic  Lifetime])</f>
        <v>60</v>
      </c>
      <c r="I123" s="8"/>
      <c r="J123" s="8">
        <f>IF(Table1[[#This Row],[Lifetime Option]]="fixed",Table1[[#This Row],[End of life (fixed)]],Table1[[#This Row],[Start year]]+Table2[Generic  Lifetime])</f>
        <v>2045</v>
      </c>
      <c r="K123" s="8">
        <v>1.17</v>
      </c>
      <c r="L123" s="8"/>
      <c r="M123" s="11"/>
    </row>
    <row r="124" spans="3:13">
      <c r="C124" s="8" t="s">
        <v>133</v>
      </c>
      <c r="D124" s="8" t="s">
        <v>137</v>
      </c>
      <c r="E124" s="8">
        <v>1971</v>
      </c>
      <c r="F124" s="9">
        <v>1.3911970909090901</v>
      </c>
      <c r="G124" s="9" t="s">
        <v>201</v>
      </c>
      <c r="H124" s="8">
        <f>IF(Table1[[#This Row],[Lifetime Option]]="fixed",Table1[[#This Row],[End of life (fixed)]]-Table1[[#This Row],[Start year]],Table2[Generic  Lifetime])</f>
        <v>47</v>
      </c>
      <c r="I124" s="8">
        <v>2018</v>
      </c>
      <c r="J124" s="8">
        <f>IF(Table1[[#This Row],[Lifetime Option]]="fixed",Table1[[#This Row],[End of life (fixed)]],Table1[[#This Row],[Start year]]+Table2[Generic  Lifetime])</f>
        <v>2018</v>
      </c>
      <c r="K124" s="8">
        <v>0.47299999999999998</v>
      </c>
      <c r="L124" s="8" t="s">
        <v>208</v>
      </c>
      <c r="M124" s="10" t="s">
        <v>176</v>
      </c>
    </row>
    <row r="125" spans="3:13">
      <c r="C125" s="8" t="s">
        <v>133</v>
      </c>
      <c r="D125" s="8" t="s">
        <v>138</v>
      </c>
      <c r="E125" s="8">
        <v>1974</v>
      </c>
      <c r="F125" s="9">
        <v>1.4277599999999999</v>
      </c>
      <c r="G125" s="9" t="s">
        <v>201</v>
      </c>
      <c r="H125" s="8">
        <f>IF(Table1[[#This Row],[Lifetime Option]]="fixed",Table1[[#This Row],[End of life (fixed)]]-Table1[[#This Row],[Start year]],Table2[Generic  Lifetime])</f>
        <v>46</v>
      </c>
      <c r="I125" s="8">
        <v>2020</v>
      </c>
      <c r="J125" s="8">
        <f>IF(Table1[[#This Row],[Lifetime Option]]="fixed",Table1[[#This Row],[End of life (fixed)]],Table1[[#This Row],[Start year]]+Table2[Generic  Lifetime])</f>
        <v>2020</v>
      </c>
      <c r="K125" s="8">
        <v>0.63800000000000001</v>
      </c>
      <c r="L125" s="8" t="s">
        <v>208</v>
      </c>
      <c r="M125" s="11"/>
    </row>
    <row r="126" spans="3:13">
      <c r="C126" s="8" t="s">
        <v>133</v>
      </c>
      <c r="D126" s="8" t="s">
        <v>139</v>
      </c>
      <c r="E126" s="8">
        <v>1985</v>
      </c>
      <c r="F126" s="9">
        <v>1.0279384615384599</v>
      </c>
      <c r="G126" s="9" t="s">
        <v>202</v>
      </c>
      <c r="H126" s="8">
        <f>IF(Table1[[#This Row],[Lifetime Option]]="fixed",Table1[[#This Row],[End of life (fixed)]]-Table1[[#This Row],[Start year]],Table2[Generic  Lifetime])</f>
        <v>60</v>
      </c>
      <c r="I126" s="8"/>
      <c r="J126" s="8">
        <f>IF(Table1[[#This Row],[Lifetime Option]]="fixed",Table1[[#This Row],[End of life (fixed)]],Table1[[#This Row],[Start year]]+Table2[Generic  Lifetime])</f>
        <v>2045</v>
      </c>
      <c r="K126" s="8">
        <v>1.4</v>
      </c>
      <c r="L126" s="8"/>
      <c r="M126" s="11"/>
    </row>
    <row r="127" spans="3:13">
      <c r="C127" s="5" t="s">
        <v>133</v>
      </c>
      <c r="D127" s="5" t="s">
        <v>140</v>
      </c>
      <c r="E127" s="5">
        <v>1974</v>
      </c>
      <c r="F127" s="12">
        <v>1.24541858267717</v>
      </c>
      <c r="G127" s="12" t="s">
        <v>201</v>
      </c>
      <c r="H127" s="8">
        <f>IF(Table1[[#This Row],[Lifetime Option]]="fixed",Table1[[#This Row],[End of life (fixed)]]-Table1[[#This Row],[Start year]],Table2[Generic  Lifetime])</f>
        <v>46</v>
      </c>
      <c r="I127" s="5">
        <v>2020</v>
      </c>
      <c r="J127" s="8">
        <f>IF(Table1[[#This Row],[Lifetime Option]]="fixed",Table1[[#This Row],[End of life (fixed)]],Table1[[#This Row],[Start year]]+Table2[Generic  Lifetime])</f>
        <v>2020</v>
      </c>
      <c r="K127" s="5">
        <v>0.878</v>
      </c>
      <c r="L127" s="5" t="s">
        <v>194</v>
      </c>
      <c r="M127" s="13" t="s">
        <v>182</v>
      </c>
    </row>
    <row r="128" spans="3:13">
      <c r="C128" s="5" t="s">
        <v>133</v>
      </c>
      <c r="D128" s="5" t="s">
        <v>141</v>
      </c>
      <c r="E128" s="5">
        <v>1974</v>
      </c>
      <c r="F128" s="12">
        <v>1.3999073684210499</v>
      </c>
      <c r="G128" s="12" t="s">
        <v>201</v>
      </c>
      <c r="H128" s="8">
        <f>IF(Table1[[#This Row],[Lifetime Option]]="fixed",Table1[[#This Row],[End of life (fixed)]]-Table1[[#This Row],[Start year]],Table2[Generic  Lifetime])</f>
        <v>46</v>
      </c>
      <c r="I128" s="5">
        <v>2020</v>
      </c>
      <c r="J128" s="8">
        <f>IF(Table1[[#This Row],[Lifetime Option]]="fixed",Table1[[#This Row],[End of life (fixed)]],Table1[[#This Row],[Start year]]+Table2[Generic  Lifetime])</f>
        <v>2020</v>
      </c>
      <c r="K128" s="5">
        <v>0.86499999999999999</v>
      </c>
      <c r="L128" s="5" t="s">
        <v>194</v>
      </c>
      <c r="M128" s="13" t="s">
        <v>182</v>
      </c>
    </row>
    <row r="129" spans="3:13">
      <c r="C129" s="8" t="s">
        <v>133</v>
      </c>
      <c r="D129" s="8" t="s">
        <v>142</v>
      </c>
      <c r="E129" s="8">
        <v>1980</v>
      </c>
      <c r="F129" s="9">
        <v>1.39706181818182</v>
      </c>
      <c r="G129" s="9" t="s">
        <v>202</v>
      </c>
      <c r="H129" s="8">
        <f>IF(Table1[[#This Row],[Lifetime Option]]="fixed",Table1[[#This Row],[End of life (fixed)]]-Table1[[#This Row],[Start year]],Table2[Generic  Lifetime])</f>
        <v>60</v>
      </c>
      <c r="I129" s="8"/>
      <c r="J129" s="8">
        <f>IF(Table1[[#This Row],[Lifetime Option]]="fixed",Table1[[#This Row],[End of life (fixed)]],Table1[[#This Row],[Start year]]+Table2[Generic  Lifetime])</f>
        <v>2040</v>
      </c>
      <c r="K129" s="8">
        <v>1.0640000000000001</v>
      </c>
      <c r="L129" s="8"/>
      <c r="M129" s="10" t="s">
        <v>182</v>
      </c>
    </row>
    <row r="130" spans="3:13">
      <c r="C130" s="8" t="s">
        <v>133</v>
      </c>
      <c r="D130" s="8" t="s">
        <v>143</v>
      </c>
      <c r="E130" s="8">
        <v>1982</v>
      </c>
      <c r="F130" s="9">
        <v>1.4050041081081099</v>
      </c>
      <c r="G130" s="9" t="s">
        <v>202</v>
      </c>
      <c r="H130" s="8">
        <f>IF(Table1[[#This Row],[Lifetime Option]]="fixed",Table1[[#This Row],[End of life (fixed)]]-Table1[[#This Row],[Start year]],Table2[Generic  Lifetime])</f>
        <v>60</v>
      </c>
      <c r="I130" s="8"/>
      <c r="J130" s="8">
        <f>IF(Table1[[#This Row],[Lifetime Option]]="fixed",Table1[[#This Row],[End of life (fixed)]],Table1[[#This Row],[Start year]]+Table2[Generic  Lifetime])</f>
        <v>2042</v>
      </c>
      <c r="K130" s="8">
        <v>0.94</v>
      </c>
      <c r="L130" s="8"/>
      <c r="M130" s="10" t="s">
        <v>182</v>
      </c>
    </row>
    <row r="131" spans="3:13">
      <c r="C131" s="8" t="s">
        <v>144</v>
      </c>
      <c r="D131" s="8" t="s">
        <v>145</v>
      </c>
      <c r="E131" s="8">
        <v>1981</v>
      </c>
      <c r="F131" s="9">
        <v>1.3869532453360101</v>
      </c>
      <c r="G131" s="9" t="s">
        <v>202</v>
      </c>
      <c r="H131" s="8">
        <f>IF(Table1[[#This Row],[Lifetime Option]]="fixed",Table1[[#This Row],[End of life (fixed)]]-Table1[[#This Row],[Start year]],Table2[Generic  Lifetime])</f>
        <v>60</v>
      </c>
      <c r="I131" s="8">
        <f t="shared" ref="I131" si="0">E131+H131</f>
        <v>2041</v>
      </c>
      <c r="J131" s="8">
        <f>IF(Table1[[#This Row],[Lifetime Option]]="fixed",Table1[[#This Row],[End of life (fixed)]],Table1[[#This Row],[Start year]]+Table2[Generic  Lifetime])</f>
        <v>2041</v>
      </c>
      <c r="K131" s="8">
        <v>0.68799999999999994</v>
      </c>
      <c r="L131" s="8" t="s">
        <v>189</v>
      </c>
      <c r="M131" s="10" t="s">
        <v>188</v>
      </c>
    </row>
    <row r="132" spans="3:13">
      <c r="C132" s="8" t="s">
        <v>146</v>
      </c>
      <c r="D132" s="8" t="s">
        <v>147</v>
      </c>
      <c r="E132" s="8">
        <v>1978</v>
      </c>
      <c r="F132" s="9">
        <v>1</v>
      </c>
      <c r="G132" s="9" t="s">
        <v>201</v>
      </c>
      <c r="H132" s="8">
        <f>IF(Table1[[#This Row],[Lifetime Option]]="fixed",Table1[[#This Row],[End of life (fixed)]]-Table1[[#This Row],[Start year]],Table2[Generic  Lifetime])</f>
        <v>28</v>
      </c>
      <c r="I132" s="8">
        <v>2006</v>
      </c>
      <c r="J132" s="8">
        <f>IF(Table1[[#This Row],[Lifetime Option]]="fixed",Table1[[#This Row],[End of life (fixed)]],Table1[[#This Row],[Start year]]+Table2[Generic  Lifetime])</f>
        <v>2006</v>
      </c>
      <c r="K132" s="8">
        <v>0.40799999999999997</v>
      </c>
      <c r="L132" s="8" t="s">
        <v>178</v>
      </c>
      <c r="M132" s="11"/>
    </row>
    <row r="133" spans="3:13">
      <c r="C133" s="8" t="s">
        <v>146</v>
      </c>
      <c r="D133" s="8" t="s">
        <v>148</v>
      </c>
      <c r="E133" s="8">
        <v>1980</v>
      </c>
      <c r="F133" s="9">
        <v>1</v>
      </c>
      <c r="G133" s="9" t="s">
        <v>201</v>
      </c>
      <c r="H133" s="8">
        <f>IF(Table1[[#This Row],[Lifetime Option]]="fixed",Table1[[#This Row],[End of life (fixed)]]-Table1[[#This Row],[Start year]],Table2[Generic  Lifetime])</f>
        <v>28</v>
      </c>
      <c r="I133" s="8">
        <v>2008</v>
      </c>
      <c r="J133" s="8">
        <f>IF(Table1[[#This Row],[Lifetime Option]]="fixed",Table1[[#This Row],[End of life (fixed)]],Table1[[#This Row],[Start year]]+Table2[Generic  Lifetime])</f>
        <v>2008</v>
      </c>
      <c r="K133" s="8">
        <v>0.40799999999999997</v>
      </c>
      <c r="L133" s="8" t="s">
        <v>178</v>
      </c>
      <c r="M133" s="11"/>
    </row>
    <row r="134" spans="3:13">
      <c r="C134" s="8" t="s">
        <v>146</v>
      </c>
      <c r="D134" s="8" t="s">
        <v>149</v>
      </c>
      <c r="E134" s="8">
        <v>1984</v>
      </c>
      <c r="F134" s="9">
        <v>1.3644269204622701</v>
      </c>
      <c r="G134" s="9" t="s">
        <v>202</v>
      </c>
      <c r="H134" s="8">
        <f>IF(Table1[[#This Row],[Lifetime Option]]="fixed",Table1[[#This Row],[End of life (fixed)]]-Table1[[#This Row],[Start year]],Table2[Generic  Lifetime])</f>
        <v>60</v>
      </c>
      <c r="I134" s="8">
        <f>E134+H134</f>
        <v>2044</v>
      </c>
      <c r="J134" s="8">
        <f>IF(Table1[[#This Row],[Lifetime Option]]="fixed",Table1[[#This Row],[End of life (fixed)]],Table1[[#This Row],[Start year]]+Table2[Generic  Lifetime])</f>
        <v>2044</v>
      </c>
      <c r="K134" s="8">
        <v>0.47199999999999998</v>
      </c>
      <c r="L134" s="8" t="s">
        <v>190</v>
      </c>
      <c r="M134" s="10" t="s">
        <v>183</v>
      </c>
    </row>
    <row r="135" spans="3:13">
      <c r="C135" s="8" t="s">
        <v>146</v>
      </c>
      <c r="D135" s="8" t="s">
        <v>150</v>
      </c>
      <c r="E135" s="8">
        <v>1985</v>
      </c>
      <c r="F135" s="9">
        <v>1.3644269204622701</v>
      </c>
      <c r="G135" s="9" t="s">
        <v>202</v>
      </c>
      <c r="H135" s="8">
        <f>IF(Table1[[#This Row],[Lifetime Option]]="fixed",Table1[[#This Row],[End of life (fixed)]]-Table1[[#This Row],[Start year]],Table2[Generic  Lifetime])</f>
        <v>60</v>
      </c>
      <c r="I135" s="8">
        <f t="shared" ref="I135:I137" si="1">E135+H135</f>
        <v>2045</v>
      </c>
      <c r="J135" s="8">
        <f>IF(Table1[[#This Row],[Lifetime Option]]="fixed",Table1[[#This Row],[End of life (fixed)]],Table1[[#This Row],[Start year]]+Table2[Generic  Lifetime])</f>
        <v>2045</v>
      </c>
      <c r="K135" s="8">
        <v>0.47199999999999998</v>
      </c>
      <c r="L135" s="8" t="s">
        <v>190</v>
      </c>
      <c r="M135" s="10" t="s">
        <v>183</v>
      </c>
    </row>
    <row r="136" spans="3:13">
      <c r="C136" s="8" t="s">
        <v>146</v>
      </c>
      <c r="D136" s="8" t="s">
        <v>151</v>
      </c>
      <c r="E136" s="8">
        <v>1998</v>
      </c>
      <c r="F136" s="9">
        <v>1.2146512576478601</v>
      </c>
      <c r="G136" s="9" t="s">
        <v>202</v>
      </c>
      <c r="H136" s="8">
        <f>IF(Table1[[#This Row],[Lifetime Option]]="fixed",Table1[[#This Row],[End of life (fixed)]]-Table1[[#This Row],[Start year]],Table2[Generic  Lifetime])</f>
        <v>60</v>
      </c>
      <c r="I136" s="8">
        <f t="shared" si="1"/>
        <v>2058</v>
      </c>
      <c r="J136" s="8">
        <f>IF(Table1[[#This Row],[Lifetime Option]]="fixed",Table1[[#This Row],[End of life (fixed)]],Table1[[#This Row],[Start year]]+Table2[Generic  Lifetime])</f>
        <v>2058</v>
      </c>
      <c r="K136" s="8">
        <v>0.436</v>
      </c>
      <c r="L136" s="8"/>
      <c r="M136" s="11"/>
    </row>
    <row r="137" spans="3:13">
      <c r="C137" s="8" t="s">
        <v>146</v>
      </c>
      <c r="D137" s="8" t="s">
        <v>152</v>
      </c>
      <c r="E137" s="8">
        <v>1999</v>
      </c>
      <c r="F137" s="9">
        <v>1.2146512576478601</v>
      </c>
      <c r="G137" s="9" t="s">
        <v>202</v>
      </c>
      <c r="H137" s="8">
        <f>IF(Table1[[#This Row],[Lifetime Option]]="fixed",Table1[[#This Row],[End of life (fixed)]]-Table1[[#This Row],[Start year]],Table2[Generic  Lifetime])</f>
        <v>60</v>
      </c>
      <c r="I137" s="8">
        <f t="shared" si="1"/>
        <v>2059</v>
      </c>
      <c r="J137" s="8">
        <f>IF(Table1[[#This Row],[Lifetime Option]]="fixed",Table1[[#This Row],[End of life (fixed)]],Table1[[#This Row],[Start year]]+Table2[Generic  Lifetime])</f>
        <v>2059</v>
      </c>
      <c r="K137" s="8">
        <v>0.436</v>
      </c>
      <c r="L137" s="8"/>
      <c r="M137" s="11"/>
    </row>
    <row r="138" spans="3:13">
      <c r="C138" s="8" t="s">
        <v>153</v>
      </c>
      <c r="D138" s="8" t="s">
        <v>154</v>
      </c>
      <c r="E138" s="8">
        <v>1983</v>
      </c>
      <c r="F138" s="9">
        <v>0.67305599999999999</v>
      </c>
      <c r="G138" s="9" t="s">
        <v>201</v>
      </c>
      <c r="H138" s="8">
        <f>IF(Table1[[#This Row],[Lifetime Option]]="fixed",Table1[[#This Row],[End of life (fixed)]]-Table1[[#This Row],[Start year]],Table2[Generic  Lifetime])</f>
        <v>45</v>
      </c>
      <c r="I138" s="8">
        <v>2028</v>
      </c>
      <c r="J138" s="8">
        <f>IF(Table1[[#This Row],[Lifetime Option]]="fixed",Table1[[#This Row],[End of life (fixed)]],Table1[[#This Row],[Start year]]+Table2[Generic  Lifetime])</f>
        <v>2028</v>
      </c>
      <c r="K138" s="8">
        <v>0.52</v>
      </c>
      <c r="L138" s="8"/>
      <c r="M138" s="10" t="s">
        <v>192</v>
      </c>
    </row>
    <row r="139" spans="3:13">
      <c r="C139" s="8" t="s">
        <v>153</v>
      </c>
      <c r="D139" s="8" t="s">
        <v>155</v>
      </c>
      <c r="E139" s="8">
        <v>1985</v>
      </c>
      <c r="F139" s="9">
        <v>0.63763199999999998</v>
      </c>
      <c r="G139" s="9" t="s">
        <v>201</v>
      </c>
      <c r="H139" s="8">
        <f>IF(Table1[[#This Row],[Lifetime Option]]="fixed",Table1[[#This Row],[End of life (fixed)]]-Table1[[#This Row],[Start year]],Table2[Generic  Lifetime])</f>
        <v>43</v>
      </c>
      <c r="I139" s="8">
        <v>2028</v>
      </c>
      <c r="J139" s="8">
        <f>IF(Table1[[#This Row],[Lifetime Option]]="fixed",Table1[[#This Row],[End of life (fixed)]],Table1[[#This Row],[Start year]]+Table2[Generic  Lifetime])</f>
        <v>2028</v>
      </c>
      <c r="K139" s="8">
        <v>0.52</v>
      </c>
      <c r="L139" s="8"/>
      <c r="M139" s="11"/>
    </row>
    <row r="140" spans="3:13">
      <c r="C140" s="8" t="s">
        <v>153</v>
      </c>
      <c r="D140" s="8" t="s">
        <v>156</v>
      </c>
      <c r="E140" s="8">
        <v>1983</v>
      </c>
      <c r="F140" s="9">
        <v>0.90547200000000005</v>
      </c>
      <c r="G140" s="9" t="s">
        <v>201</v>
      </c>
      <c r="H140" s="8">
        <f>IF(Table1[[#This Row],[Lifetime Option]]="fixed",Table1[[#This Row],[End of life (fixed)]]-Table1[[#This Row],[Start year]],Table2[Generic  Lifetime])</f>
        <v>36</v>
      </c>
      <c r="I140" s="8">
        <v>2019</v>
      </c>
      <c r="J140" s="8">
        <f>IF(Table1[[#This Row],[Lifetime Option]]="fixed",Table1[[#This Row],[End of life (fixed)]],Table1[[#This Row],[Start year]]+Table2[Generic  Lifetime])</f>
        <v>2019</v>
      </c>
      <c r="K140" s="8">
        <v>0.59499999999999997</v>
      </c>
      <c r="L140" s="8"/>
      <c r="M140" s="11"/>
    </row>
    <row r="141" spans="3:13">
      <c r="C141" s="8" t="s">
        <v>153</v>
      </c>
      <c r="D141" s="8" t="s">
        <v>157</v>
      </c>
      <c r="E141" s="8">
        <v>1984</v>
      </c>
      <c r="F141" s="9">
        <v>0.90547200000000005</v>
      </c>
      <c r="G141" s="9" t="s">
        <v>201</v>
      </c>
      <c r="H141" s="8">
        <f>IF(Table1[[#This Row],[Lifetime Option]]="fixed",Table1[[#This Row],[End of life (fixed)]]-Table1[[#This Row],[Start year]],Table2[Generic  Lifetime])</f>
        <v>35</v>
      </c>
      <c r="I141" s="8">
        <v>2019</v>
      </c>
      <c r="J141" s="8">
        <f>IF(Table1[[#This Row],[Lifetime Option]]="fixed",Table1[[#This Row],[End of life (fixed)]],Table1[[#This Row],[Start year]]+Table2[Generic  Lifetime])</f>
        <v>2019</v>
      </c>
      <c r="K141" s="8">
        <v>0.58499999999999996</v>
      </c>
      <c r="L141" s="8"/>
      <c r="M141" s="11"/>
    </row>
    <row r="142" spans="3:13">
      <c r="C142" s="8" t="s">
        <v>153</v>
      </c>
      <c r="D142" s="8" t="s">
        <v>158</v>
      </c>
      <c r="E142" s="8">
        <v>1983</v>
      </c>
      <c r="F142" s="9">
        <v>0.86399999999999999</v>
      </c>
      <c r="G142" s="9" t="s">
        <v>201</v>
      </c>
      <c r="H142" s="8">
        <f>IF(Table1[[#This Row],[Lifetime Option]]="fixed",Table1[[#This Row],[End of life (fixed)]]-Table1[[#This Row],[Start year]],Table2[Generic  Lifetime])</f>
        <v>36</v>
      </c>
      <c r="I142" s="8">
        <v>2019</v>
      </c>
      <c r="J142" s="8">
        <f>IF(Table1[[#This Row],[Lifetime Option]]="fixed",Table1[[#This Row],[End of life (fixed)]],Table1[[#This Row],[Start year]]+Table2[Generic  Lifetime])</f>
        <v>2019</v>
      </c>
      <c r="K142" s="8">
        <v>0.58499999999999996</v>
      </c>
      <c r="L142" s="8"/>
      <c r="M142" s="11"/>
    </row>
    <row r="143" spans="3:13">
      <c r="C143" s="8" t="s">
        <v>153</v>
      </c>
      <c r="D143" s="8" t="s">
        <v>159</v>
      </c>
      <c r="E143" s="8">
        <v>1984</v>
      </c>
      <c r="F143" s="9">
        <v>0.86399999999999999</v>
      </c>
      <c r="G143" s="9" t="s">
        <v>201</v>
      </c>
      <c r="H143" s="8">
        <f>IF(Table1[[#This Row],[Lifetime Option]]="fixed",Table1[[#This Row],[End of life (fixed)]]-Table1[[#This Row],[Start year]],Table2[Generic  Lifetime])</f>
        <v>35</v>
      </c>
      <c r="I143" s="8">
        <v>2019</v>
      </c>
      <c r="J143" s="8">
        <f>IF(Table1[[#This Row],[Lifetime Option]]="fixed",Table1[[#This Row],[End of life (fixed)]],Table1[[#This Row],[Start year]]+Table2[Generic  Lifetime])</f>
        <v>2019</v>
      </c>
      <c r="K143" s="8">
        <v>0.57499999999999996</v>
      </c>
      <c r="L143" s="8"/>
      <c r="M143" s="11"/>
    </row>
    <row r="144" spans="3:13">
      <c r="C144" s="8" t="s">
        <v>153</v>
      </c>
      <c r="D144" s="8" t="s">
        <v>160</v>
      </c>
      <c r="E144" s="8">
        <v>1988</v>
      </c>
      <c r="F144" s="9">
        <v>1.0234219354838701</v>
      </c>
      <c r="G144" s="9" t="s">
        <v>201</v>
      </c>
      <c r="H144" s="8">
        <f>IF(Table1[[#This Row],[Lifetime Option]]="fixed",Table1[[#This Row],[End of life (fixed)]]-Table1[[#This Row],[Start year]],Table2[Generic  Lifetime])</f>
        <v>35</v>
      </c>
      <c r="I144" s="8">
        <v>2023</v>
      </c>
      <c r="J144" s="8">
        <f>IF(Table1[[#This Row],[Lifetime Option]]="fixed",Table1[[#This Row],[End of life (fixed)]],Table1[[#This Row],[Start year]]+Table2[Generic  Lifetime])</f>
        <v>2023</v>
      </c>
      <c r="K144" s="8">
        <v>0.61</v>
      </c>
      <c r="L144" s="8"/>
      <c r="M144" s="11"/>
    </row>
    <row r="145" spans="3:13">
      <c r="C145" s="8" t="s">
        <v>153</v>
      </c>
      <c r="D145" s="8" t="s">
        <v>161</v>
      </c>
      <c r="E145" s="8">
        <v>1988</v>
      </c>
      <c r="F145" s="9">
        <v>1.0234219354838701</v>
      </c>
      <c r="G145" s="9" t="s">
        <v>201</v>
      </c>
      <c r="H145" s="8">
        <f>IF(Table1[[#This Row],[Lifetime Option]]="fixed",Table1[[#This Row],[End of life (fixed)]]-Table1[[#This Row],[Start year]],Table2[Generic  Lifetime])</f>
        <v>35</v>
      </c>
      <c r="I145" s="8">
        <v>2023</v>
      </c>
      <c r="J145" s="8">
        <f>IF(Table1[[#This Row],[Lifetime Option]]="fixed",Table1[[#This Row],[End of life (fixed)]],Table1[[#This Row],[Start year]]+Table2[Generic  Lifetime])</f>
        <v>2023</v>
      </c>
      <c r="K145" s="8">
        <v>0.61</v>
      </c>
      <c r="L145" s="8"/>
      <c r="M145" s="11"/>
    </row>
    <row r="146" spans="3:13">
      <c r="C146" s="8" t="s">
        <v>153</v>
      </c>
      <c r="D146" s="8" t="s">
        <v>162</v>
      </c>
      <c r="E146" s="8">
        <v>1976</v>
      </c>
      <c r="F146" s="9">
        <v>1.0227469879518101</v>
      </c>
      <c r="G146" s="9" t="s">
        <v>201</v>
      </c>
      <c r="H146" s="8">
        <f>IF(Table1[[#This Row],[Lifetime Option]]="fixed",Table1[[#This Row],[End of life (fixed)]]-Table1[[#This Row],[Start year]],Table2[Generic  Lifetime])</f>
        <v>47</v>
      </c>
      <c r="I146" s="8">
        <v>2023</v>
      </c>
      <c r="J146" s="8">
        <f>IF(Table1[[#This Row],[Lifetime Option]]="fixed",Table1[[#This Row],[End of life (fixed)]],Table1[[#This Row],[Start year]]+Table2[Generic  Lifetime])</f>
        <v>2023</v>
      </c>
      <c r="K146" s="8">
        <v>0.435</v>
      </c>
      <c r="L146" s="8"/>
      <c r="M146" s="11"/>
    </row>
    <row r="147" spans="3:13">
      <c r="C147" s="8" t="s">
        <v>153</v>
      </c>
      <c r="D147" s="8" t="s">
        <v>163</v>
      </c>
      <c r="E147" s="8">
        <v>1976</v>
      </c>
      <c r="F147" s="9">
        <v>1.0227469879518101</v>
      </c>
      <c r="G147" s="9" t="s">
        <v>201</v>
      </c>
      <c r="H147" s="8">
        <f>IF(Table1[[#This Row],[Lifetime Option]]="fixed",Table1[[#This Row],[End of life (fixed)]]-Table1[[#This Row],[Start year]],Table2[Generic  Lifetime])</f>
        <v>47</v>
      </c>
      <c r="I147" s="8">
        <v>2023</v>
      </c>
      <c r="J147" s="8">
        <f>IF(Table1[[#This Row],[Lifetime Option]]="fixed",Table1[[#This Row],[End of life (fixed)]],Table1[[#This Row],[Start year]]+Table2[Generic  Lifetime])</f>
        <v>2023</v>
      </c>
      <c r="K147" s="8">
        <v>0.435</v>
      </c>
      <c r="L147" s="8"/>
      <c r="M147" s="11"/>
    </row>
    <row r="148" spans="3:13">
      <c r="C148" s="8" t="s">
        <v>153</v>
      </c>
      <c r="D148" s="8" t="s">
        <v>164</v>
      </c>
      <c r="E148" s="8">
        <v>1976</v>
      </c>
      <c r="F148" s="9">
        <v>0.78106524064171101</v>
      </c>
      <c r="G148" s="9" t="s">
        <v>201</v>
      </c>
      <c r="H148" s="8">
        <f>IF(Table1[[#This Row],[Lifetime Option]]="fixed",Table1[[#This Row],[End of life (fixed)]]-Table1[[#This Row],[Start year]],Table2[Generic  Lifetime])</f>
        <v>47</v>
      </c>
      <c r="I148" s="8">
        <v>2023</v>
      </c>
      <c r="J148" s="8">
        <f>IF(Table1[[#This Row],[Lifetime Option]]="fixed",Table1[[#This Row],[End of life (fixed)]],Table1[[#This Row],[Start year]]+Table2[Generic  Lifetime])</f>
        <v>2023</v>
      </c>
      <c r="K148" s="8">
        <v>0.46</v>
      </c>
      <c r="L148" s="8"/>
      <c r="M148" s="11"/>
    </row>
    <row r="149" spans="3:13">
      <c r="C149" s="8" t="s">
        <v>153</v>
      </c>
      <c r="D149" s="8" t="s">
        <v>165</v>
      </c>
      <c r="E149" s="8">
        <v>1977</v>
      </c>
      <c r="F149" s="9">
        <v>0.78106524064171101</v>
      </c>
      <c r="G149" s="9" t="s">
        <v>201</v>
      </c>
      <c r="H149" s="8">
        <f>IF(Table1[[#This Row],[Lifetime Option]]="fixed",Table1[[#This Row],[End of life (fixed)]]-Table1[[#This Row],[Start year]],Table2[Generic  Lifetime])</f>
        <v>46</v>
      </c>
      <c r="I149" s="8">
        <v>2023</v>
      </c>
      <c r="J149" s="8">
        <f>IF(Table1[[#This Row],[Lifetime Option]]="fixed",Table1[[#This Row],[End of life (fixed)]],Table1[[#This Row],[Start year]]+Table2[Generic  Lifetime])</f>
        <v>2023</v>
      </c>
      <c r="K149" s="8">
        <v>0.43</v>
      </c>
      <c r="L149" s="8"/>
      <c r="M149" s="11"/>
    </row>
    <row r="150" spans="3:13">
      <c r="C150" s="8" t="s">
        <v>153</v>
      </c>
      <c r="D150" s="8" t="s">
        <v>166</v>
      </c>
      <c r="E150" s="8">
        <v>1967</v>
      </c>
      <c r="F150" s="9">
        <v>0.14781501369863001</v>
      </c>
      <c r="G150" s="9" t="s">
        <v>201</v>
      </c>
      <c r="H150" s="8">
        <f>IF(Table1[[#This Row],[Lifetime Option]]="fixed",Table1[[#This Row],[End of life (fixed)]]-Table1[[#This Row],[Start year]],Table2[Generic  Lifetime])</f>
        <v>45</v>
      </c>
      <c r="I150" s="8">
        <v>2012</v>
      </c>
      <c r="J150" s="8">
        <f>IF(Table1[[#This Row],[Lifetime Option]]="fixed",Table1[[#This Row],[End of life (fixed)]],Table1[[#This Row],[Start year]]+Table2[Generic  Lifetime])</f>
        <v>2012</v>
      </c>
      <c r="K150" s="8">
        <v>0.217</v>
      </c>
      <c r="L150" s="8" t="s">
        <v>186</v>
      </c>
      <c r="M150" s="10" t="s">
        <v>193</v>
      </c>
    </row>
    <row r="151" spans="3:13">
      <c r="C151" s="8" t="s">
        <v>153</v>
      </c>
      <c r="D151" s="8" t="s">
        <v>167</v>
      </c>
      <c r="E151" s="8">
        <v>1995</v>
      </c>
      <c r="F151" s="9">
        <v>1.04058394160584</v>
      </c>
      <c r="G151" s="9" t="s">
        <v>201</v>
      </c>
      <c r="H151" s="8">
        <f>IF(Table1[[#This Row],[Lifetime Option]]="fixed",Table1[[#This Row],[End of life (fixed)]]-Table1[[#This Row],[Start year]],Table2[Generic  Lifetime])</f>
        <v>40</v>
      </c>
      <c r="I151" s="8">
        <v>2035</v>
      </c>
      <c r="J151" s="8">
        <f>IF(Table1[[#This Row],[Lifetime Option]]="fixed",Table1[[#This Row],[End of life (fixed)]],Table1[[#This Row],[Start year]]+Table2[Generic  Lifetime])</f>
        <v>2035</v>
      </c>
      <c r="K151" s="8">
        <v>1.1910000000000001</v>
      </c>
      <c r="L151" s="8"/>
      <c r="M151" s="11"/>
    </row>
    <row r="152" spans="3:13">
      <c r="C152" s="8" t="s">
        <v>153</v>
      </c>
      <c r="D152" s="8" t="s">
        <v>168</v>
      </c>
      <c r="E152" s="8">
        <v>1988</v>
      </c>
      <c r="F152" s="9">
        <v>1.0710299445471301</v>
      </c>
      <c r="G152" s="9" t="s">
        <v>201</v>
      </c>
      <c r="H152" s="8">
        <f>IF(Table1[[#This Row],[Lifetime Option]]="fixed",Table1[[#This Row],[End of life (fixed)]]-Table1[[#This Row],[Start year]],Table2[Generic  Lifetime])</f>
        <v>35</v>
      </c>
      <c r="I152" s="8">
        <v>2023</v>
      </c>
      <c r="J152" s="8">
        <f>IF(Table1[[#This Row],[Lifetime Option]]="fixed",Table1[[#This Row],[End of life (fixed)]],Table1[[#This Row],[Start year]]+Table2[Generic  Lifetime])</f>
        <v>2023</v>
      </c>
      <c r="K152" s="8">
        <v>0.59499999999999997</v>
      </c>
      <c r="L152" s="8"/>
      <c r="M152" s="11"/>
    </row>
    <row r="153" spans="3:13">
      <c r="C153" s="8" t="s">
        <v>153</v>
      </c>
      <c r="D153" s="8" t="s">
        <v>169</v>
      </c>
      <c r="E153" s="8">
        <v>1989</v>
      </c>
      <c r="F153" s="9">
        <v>1.0710299445471401</v>
      </c>
      <c r="G153" s="9" t="s">
        <v>201</v>
      </c>
      <c r="H153" s="8">
        <f>IF(Table1[[#This Row],[Lifetime Option]]="fixed",Table1[[#This Row],[End of life (fixed)]]-Table1[[#This Row],[Start year]],Table2[Generic  Lifetime])</f>
        <v>34</v>
      </c>
      <c r="I153" s="8">
        <v>2023</v>
      </c>
      <c r="J153" s="8">
        <f>IF(Table1[[#This Row],[Lifetime Option]]="fixed",Table1[[#This Row],[End of life (fixed)]],Table1[[#This Row],[Start year]]+Table2[Generic  Lifetime])</f>
        <v>2023</v>
      </c>
      <c r="K153" s="8">
        <v>0.59499999999999997</v>
      </c>
      <c r="L153" s="8"/>
      <c r="M153" s="11"/>
    </row>
    <row r="154" spans="3:13">
      <c r="C154" s="8" t="s">
        <v>153</v>
      </c>
      <c r="D154" s="8" t="s">
        <v>170</v>
      </c>
      <c r="E154" s="8">
        <v>1971</v>
      </c>
      <c r="F154" s="9">
        <v>1.3122</v>
      </c>
      <c r="G154" s="9" t="s">
        <v>201</v>
      </c>
      <c r="H154" s="8">
        <f>IF(Table1[[#This Row],[Lifetime Option]]="fixed",Table1[[#This Row],[End of life (fixed)]]-Table1[[#This Row],[Start year]],Table2[Generic  Lifetime])</f>
        <v>44</v>
      </c>
      <c r="I154" s="8">
        <v>2015</v>
      </c>
      <c r="J154" s="8">
        <f>IF(Table1[[#This Row],[Lifetime Option]]="fixed",Table1[[#This Row],[End of life (fixed)]],Table1[[#This Row],[Start year]]+Table2[Generic  Lifetime])</f>
        <v>2015</v>
      </c>
      <c r="K154" s="8">
        <v>0.49</v>
      </c>
      <c r="L154" s="8"/>
      <c r="M154" s="11"/>
    </row>
    <row r="155" spans="3:13">
      <c r="C155" s="8" t="s">
        <v>153</v>
      </c>
      <c r="D155" s="8" t="s">
        <v>171</v>
      </c>
      <c r="E155" s="8">
        <v>1971</v>
      </c>
      <c r="F155" s="9">
        <v>1.3122</v>
      </c>
      <c r="G155" s="9" t="s">
        <v>201</v>
      </c>
      <c r="H155" s="8">
        <f>IF(Table1[[#This Row],[Lifetime Option]]="fixed",Table1[[#This Row],[End of life (fixed)]]-Table1[[#This Row],[Start year]],Table2[Generic  Lifetime])</f>
        <v>41</v>
      </c>
      <c r="I155" s="8">
        <v>2012</v>
      </c>
      <c r="J155" s="8">
        <f>IF(Table1[[#This Row],[Lifetime Option]]="fixed",Table1[[#This Row],[End of life (fixed)]],Table1[[#This Row],[Start year]]+Table2[Generic  Lifetime])</f>
        <v>2012</v>
      </c>
      <c r="K155" s="8">
        <v>0.49</v>
      </c>
      <c r="L155" s="8"/>
      <c r="M155" s="11"/>
    </row>
  </sheetData>
  <hyperlinks>
    <hyperlink ref="M2" r:id="rId1" xr:uid="{00000000-0004-0000-0500-000000000000}"/>
    <hyperlink ref="M3" r:id="rId2" xr:uid="{00000000-0004-0000-0500-000001000000}"/>
    <hyperlink ref="M4" r:id="rId3" xr:uid="{00000000-0004-0000-0500-000002000000}"/>
    <hyperlink ref="M7" r:id="rId4" xr:uid="{00000000-0004-0000-0500-000003000000}"/>
    <hyperlink ref="M6" r:id="rId5" location=".Vdb00Y7DVE4 " xr:uid="{00000000-0004-0000-0500-000004000000}"/>
    <hyperlink ref="M124" r:id="rId6" xr:uid="{00000000-0004-0000-0500-000005000000}"/>
    <hyperlink ref="M11" r:id="rId7" xr:uid="{00000000-0004-0000-0500-000006000000}"/>
    <hyperlink ref="M12" r:id="rId8" xr:uid="{00000000-0004-0000-0500-000007000000}"/>
    <hyperlink ref="M53" r:id="rId9" xr:uid="{00000000-0004-0000-0500-000008000000}"/>
    <hyperlink ref="M18" r:id="rId10" xr:uid="{00000000-0004-0000-0500-000009000000}"/>
    <hyperlink ref="M129" r:id="rId11" xr:uid="{00000000-0004-0000-0500-00000A000000}"/>
    <hyperlink ref="M130" r:id="rId12" xr:uid="{00000000-0004-0000-0500-00000B000000}"/>
    <hyperlink ref="M134" r:id="rId13" xr:uid="{00000000-0004-0000-0500-00000C000000}"/>
    <hyperlink ref="M135" r:id="rId14" xr:uid="{00000000-0004-0000-0500-00000D000000}"/>
    <hyperlink ref="M131" r:id="rId15" xr:uid="{00000000-0004-0000-0500-00000E000000}"/>
    <hyperlink ref="M138" r:id="rId16" xr:uid="{00000000-0004-0000-0500-00000F000000}"/>
    <hyperlink ref="M150" r:id="rId17" xr:uid="{00000000-0004-0000-0500-000010000000}"/>
    <hyperlink ref="M127" r:id="rId18" xr:uid="{00000000-0004-0000-0500-000011000000}"/>
    <hyperlink ref="M128" r:id="rId19" xr:uid="{00000000-0004-0000-0500-000012000000}"/>
    <hyperlink ref="M13" r:id="rId20" xr:uid="{00000000-0004-0000-0500-000013000000}"/>
    <hyperlink ref="M14:M17" r:id="rId21" display="http://www.world-nuclear.org/info/Country-Profiles/Countries-O-S/Switzerland/" xr:uid="{00000000-0004-0000-0500-000014000000}"/>
  </hyperlinks>
  <pageMargins left="0.70866141732283472" right="0.70866141732283472" top="0.74803149606299213" bottom="0.74803149606299213" header="0.31496062992125984" footer="0.31496062992125984"/>
  <pageSetup paperSize="9" scale="53" fitToHeight="0" orientation="landscape" horizontalDpi="1200" verticalDpi="1200" r:id="rId22"/>
  <legacyDrawing r:id="rId23"/>
  <tableParts count="2">
    <tablePart r:id="rId24"/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FR_UPD</vt:lpstr>
      <vt:lpstr>Background info</vt:lpstr>
      <vt:lpstr>Nuclear plans killing</vt:lpstr>
      <vt:lpstr>Note</vt:lpstr>
      <vt:lpstr>Update</vt:lpstr>
      <vt:lpstr>ShutdownCurve</vt:lpstr>
      <vt:lpstr>Existing plants_SCEN40yrs</vt:lpstr>
      <vt:lpstr>Existing plants_SCEN50yrs</vt:lpstr>
      <vt:lpstr>Existing plants_SCEN60yrs</vt:lpstr>
    </vt:vector>
  </TitlesOfParts>
  <Company>JRC Petten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ese-veda04</dc:creator>
  <cp:lastModifiedBy>Johanna Markkanen</cp:lastModifiedBy>
  <cp:lastPrinted>2015-09-09T09:04:40Z</cp:lastPrinted>
  <dcterms:created xsi:type="dcterms:W3CDTF">2015-08-06T10:02:28Z</dcterms:created>
  <dcterms:modified xsi:type="dcterms:W3CDTF">2025-12-05T11:02:30Z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39922595024108</vt:r8>
  </property>
</Properties>
</file>