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C:\Veda\Veda_models\PETVTT\SuppXLS\"/>
    </mc:Choice>
  </mc:AlternateContent>
  <xr:revisionPtr revIDLastSave="0" documentId="13_ncr:1_{A6745E61-C20D-4CC1-9162-2095DB7C6C2D}" xr6:coauthVersionLast="47" xr6:coauthVersionMax="47" xr10:uidLastSave="{00000000-0000-0000-0000-000000000000}"/>
  <bookViews>
    <workbookView xWindow="-16320" yWindow="-4635" windowWidth="16440" windowHeight="28320" activeTab="1" xr2:uid="{00000000-000D-0000-FFFF-FFFF00000000}"/>
  </bookViews>
  <sheets>
    <sheet name="ETS1CO2bound" sheetId="1" r:id="rId1"/>
    <sheet name="ETS1CO2price" sheetId="4" r:id="rId2"/>
    <sheet name="Cap trajectories"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0" i="4" l="1"/>
  <c r="F59" i="4"/>
  <c r="F58" i="4"/>
  <c r="F57" i="4"/>
  <c r="F56" i="4"/>
  <c r="F55" i="4"/>
  <c r="F54" i="4"/>
  <c r="F53" i="4"/>
  <c r="F10" i="4"/>
  <c r="F9" i="4"/>
  <c r="F8" i="4"/>
  <c r="F138" i="4"/>
  <c r="F137" i="4"/>
  <c r="F136" i="4"/>
  <c r="F135" i="4"/>
  <c r="F134" i="4"/>
  <c r="F130" i="4"/>
  <c r="F129" i="4"/>
  <c r="F128" i="4"/>
  <c r="F127" i="4"/>
  <c r="F126" i="4"/>
  <c r="F120" i="4"/>
  <c r="F119" i="4"/>
  <c r="F118" i="4"/>
  <c r="F117" i="4"/>
  <c r="F116" i="4"/>
  <c r="Z53" i="1" l="1"/>
  <c r="AP58" i="1"/>
  <c r="H45" i="1"/>
  <c r="H53" i="1" s="1"/>
  <c r="I45" i="1"/>
  <c r="I53" i="1" s="1"/>
  <c r="J45" i="1"/>
  <c r="J53" i="1" s="1"/>
  <c r="K45" i="1"/>
  <c r="K53" i="1" s="1"/>
  <c r="L45" i="1"/>
  <c r="L53" i="1" s="1"/>
  <c r="M45" i="1"/>
  <c r="M53" i="1" s="1"/>
  <c r="N45" i="1"/>
  <c r="N53" i="1" s="1"/>
  <c r="O45" i="1"/>
  <c r="O53" i="1" s="1"/>
  <c r="P45" i="1"/>
  <c r="P53" i="1" s="1"/>
  <c r="Q45" i="1"/>
  <c r="Q53" i="1" s="1"/>
  <c r="R45" i="1"/>
  <c r="R53" i="1" s="1"/>
  <c r="S45" i="1"/>
  <c r="S53" i="1" s="1"/>
  <c r="T45" i="1"/>
  <c r="T53" i="1" s="1"/>
  <c r="U45" i="1"/>
  <c r="U53" i="1" s="1"/>
  <c r="V45" i="1"/>
  <c r="V53" i="1" s="1"/>
  <c r="W45" i="1"/>
  <c r="W53" i="1" s="1"/>
  <c r="X45" i="1"/>
  <c r="X53" i="1" s="1"/>
  <c r="Y45" i="1"/>
  <c r="Y53" i="1" s="1"/>
  <c r="Z45" i="1"/>
  <c r="AA45" i="1"/>
  <c r="AA53" i="1" s="1"/>
  <c r="AB45" i="1"/>
  <c r="AB53" i="1" s="1"/>
  <c r="AC45" i="1"/>
  <c r="AC53" i="1" s="1"/>
  <c r="AD45" i="1"/>
  <c r="AD53" i="1" s="1"/>
  <c r="AE45" i="1"/>
  <c r="AE53" i="1" s="1"/>
  <c r="AF45" i="1"/>
  <c r="AF53" i="1" s="1"/>
  <c r="AG45" i="1"/>
  <c r="AG53" i="1" s="1"/>
  <c r="AH45" i="1"/>
  <c r="AH53" i="1" s="1"/>
  <c r="AI45" i="1"/>
  <c r="AI53" i="1" s="1"/>
  <c r="AJ45" i="1"/>
  <c r="AJ53" i="1" s="1"/>
  <c r="AK45" i="1"/>
  <c r="AK53" i="1" s="1"/>
  <c r="G45" i="1"/>
  <c r="G53" i="1" s="1"/>
  <c r="G8" i="4"/>
  <c r="G9" i="4"/>
  <c r="G10" i="4"/>
  <c r="G11" i="4"/>
  <c r="G12" i="4"/>
  <c r="G13" i="4"/>
  <c r="G14" i="4"/>
  <c r="G15" i="4"/>
  <c r="G16" i="4"/>
  <c r="G17" i="4"/>
  <c r="G18" i="4"/>
  <c r="G21" i="4"/>
  <c r="G22" i="4"/>
  <c r="G23" i="4"/>
  <c r="G24" i="4"/>
  <c r="G25" i="4"/>
  <c r="G26" i="4"/>
  <c r="G31" i="4"/>
  <c r="G32" i="4"/>
  <c r="G33" i="4"/>
  <c r="G34" i="4"/>
  <c r="G35" i="4"/>
  <c r="G36" i="4"/>
  <c r="G39" i="4"/>
  <c r="G40" i="4"/>
  <c r="G41" i="4"/>
  <c r="G42" i="4"/>
  <c r="G43" i="4"/>
  <c r="G44" i="4"/>
  <c r="G7" i="4"/>
  <c r="AP60" i="1"/>
  <c r="AP61" i="1"/>
  <c r="AP62" i="1"/>
  <c r="AP63" i="1"/>
  <c r="AP64" i="1"/>
  <c r="AP65" i="1"/>
  <c r="AP66" i="1"/>
  <c r="AP67" i="1"/>
  <c r="AP68" i="1"/>
  <c r="AP59" i="1"/>
  <c r="F15" i="4"/>
  <c r="F14" i="4"/>
  <c r="F13" i="4"/>
  <c r="F12" i="4"/>
  <c r="F11" i="4"/>
  <c r="J53" i="4"/>
  <c r="J54" i="4"/>
  <c r="J55" i="4"/>
  <c r="J56" i="4"/>
  <c r="J57" i="4"/>
  <c r="J58" i="4"/>
  <c r="J59" i="4"/>
  <c r="J60" i="4"/>
  <c r="J61" i="4"/>
  <c r="J52" i="4"/>
  <c r="H63" i="4"/>
  <c r="H64" i="4"/>
  <c r="H65" i="4"/>
  <c r="H66" i="4"/>
  <c r="H67" i="4"/>
  <c r="H68" i="4"/>
  <c r="H69" i="4"/>
  <c r="H70" i="4"/>
  <c r="H71" i="4"/>
  <c r="H72" i="4"/>
  <c r="H73" i="4"/>
  <c r="H74" i="4"/>
  <c r="H75" i="4"/>
  <c r="H76" i="4"/>
  <c r="H77" i="4"/>
  <c r="H78" i="4"/>
  <c r="H79" i="4"/>
  <c r="H80" i="4"/>
  <c r="H81" i="4"/>
  <c r="H82" i="4"/>
  <c r="H83" i="4"/>
  <c r="H84" i="4"/>
  <c r="H85" i="4"/>
  <c r="H86" i="4"/>
  <c r="H87" i="4"/>
  <c r="H88" i="4"/>
  <c r="H89" i="4"/>
  <c r="H62" i="4"/>
  <c r="H29" i="4"/>
  <c r="H30" i="4"/>
  <c r="H31" i="4"/>
  <c r="H32" i="4"/>
  <c r="H33" i="4" s="1"/>
  <c r="H34" i="4" s="1"/>
  <c r="H35" i="4" s="1"/>
  <c r="H36" i="4" s="1"/>
  <c r="H28" i="4"/>
  <c r="H19" i="4"/>
  <c r="H20" i="4"/>
  <c r="H21" i="4"/>
  <c r="H22" i="4"/>
  <c r="H23" i="4" s="1"/>
  <c r="H24" i="4" s="1"/>
  <c r="H25" i="4" s="1"/>
  <c r="H26" i="4" s="1"/>
  <c r="H18" i="4"/>
  <c r="J9" i="4"/>
  <c r="J10" i="4" s="1"/>
  <c r="J11" i="4" s="1"/>
  <c r="J12" i="4" s="1"/>
  <c r="J13" i="4" s="1"/>
  <c r="J14" i="4" s="1"/>
  <c r="J15" i="4" s="1"/>
  <c r="J16" i="4" s="1"/>
  <c r="J8" i="4"/>
  <c r="G29" i="1"/>
  <c r="AP53" i="1" l="1"/>
  <c r="S10" i="1"/>
  <c r="S9" i="1"/>
  <c r="S8" i="1"/>
  <c r="G30" i="1" l="1"/>
  <c r="H9" i="1"/>
  <c r="H8" i="1"/>
  <c r="G32" i="1" l="1"/>
  <c r="G31" i="1"/>
  <c r="E5" i="6"/>
  <c r="H10" i="1" s="1"/>
  <c r="G5" i="6"/>
  <c r="E6" i="6"/>
  <c r="G26" i="1" s="1"/>
  <c r="G6" i="6"/>
  <c r="E7" i="6"/>
  <c r="G7" i="6"/>
  <c r="E8" i="6"/>
  <c r="G8" i="6"/>
  <c r="G9" i="6"/>
  <c r="I9" i="6"/>
  <c r="D9" i="6" s="1"/>
  <c r="K9" i="6"/>
  <c r="G10" i="6"/>
  <c r="I10" i="6" s="1"/>
  <c r="D10" i="6" s="1"/>
  <c r="G27" i="1" s="1"/>
  <c r="G39" i="1" s="1"/>
  <c r="J10" i="6"/>
  <c r="K10" i="6"/>
  <c r="J11" i="6" s="1"/>
  <c r="M10" i="6"/>
  <c r="O10" i="6" s="1"/>
  <c r="N1" i="6" s="1"/>
  <c r="G11" i="6"/>
  <c r="K11" i="6"/>
  <c r="G12" i="6"/>
  <c r="K12" i="6"/>
  <c r="M12" i="6"/>
  <c r="N12" i="6"/>
  <c r="G13" i="6"/>
  <c r="K13" i="6"/>
  <c r="G14" i="6"/>
  <c r="K14" i="6"/>
  <c r="N14" i="6"/>
  <c r="N15" i="6" s="1"/>
  <c r="N16" i="6" s="1"/>
  <c r="G15" i="6"/>
  <c r="K15" i="6"/>
  <c r="F16" i="6"/>
  <c r="G16" i="6"/>
  <c r="K16" i="6"/>
  <c r="F17" i="6"/>
  <c r="K17" i="6" s="1"/>
  <c r="F18" i="6" l="1"/>
  <c r="G18" i="6" s="1"/>
  <c r="G17" i="6"/>
  <c r="J12" i="6"/>
  <c r="J13" i="6" s="1"/>
  <c r="J14" i="6" s="1"/>
  <c r="J15" i="6" s="1"/>
  <c r="J16" i="6" s="1"/>
  <c r="J17" i="6" s="1"/>
  <c r="J18" i="6" s="1"/>
  <c r="I11" i="6"/>
  <c r="O12" i="6"/>
  <c r="O15" i="6"/>
  <c r="O13" i="6"/>
  <c r="M13" i="6" s="1"/>
  <c r="N17" i="6"/>
  <c r="O16" i="6"/>
  <c r="I12" i="6"/>
  <c r="D11" i="6"/>
  <c r="O14" i="6"/>
  <c r="M14" i="6" s="1"/>
  <c r="M15" i="6" s="1"/>
  <c r="M16" i="6" s="1"/>
  <c r="O11" i="6"/>
  <c r="M11" i="6" s="1"/>
  <c r="N18" i="6"/>
  <c r="O17" i="6"/>
  <c r="K18" i="6" l="1"/>
  <c r="J19" i="6" s="1"/>
  <c r="F19" i="6"/>
  <c r="D12" i="6"/>
  <c r="I13" i="6"/>
  <c r="G19" i="6"/>
  <c r="K19" i="6"/>
  <c r="F20" i="6"/>
  <c r="O18" i="6"/>
  <c r="N19" i="6"/>
  <c r="M17" i="6"/>
  <c r="M18" i="6" s="1"/>
  <c r="J20" i="6" l="1"/>
  <c r="G20" i="6"/>
  <c r="K20" i="6"/>
  <c r="J21" i="6" s="1"/>
  <c r="F21" i="6"/>
  <c r="D13" i="6"/>
  <c r="I14" i="6"/>
  <c r="O19" i="6"/>
  <c r="M19" i="6" s="1"/>
  <c r="N20" i="6"/>
  <c r="D14" i="6" l="1"/>
  <c r="I15" i="6"/>
  <c r="G21" i="6"/>
  <c r="K21" i="6"/>
  <c r="J22" i="6" s="1"/>
  <c r="F22" i="6"/>
  <c r="N21" i="6"/>
  <c r="O20" i="6"/>
  <c r="M20" i="6" s="1"/>
  <c r="K22" i="6" l="1"/>
  <c r="J23" i="6" s="1"/>
  <c r="G22" i="6"/>
  <c r="F23" i="6"/>
  <c r="D15" i="6"/>
  <c r="G28" i="1" s="1"/>
  <c r="G40" i="1" s="1"/>
  <c r="I16" i="6"/>
  <c r="N22" i="6"/>
  <c r="O21" i="6"/>
  <c r="M21" i="6" s="1"/>
  <c r="D16" i="6" l="1"/>
  <c r="I17" i="6"/>
  <c r="F24" i="6"/>
  <c r="K23" i="6"/>
  <c r="J24" i="6" s="1"/>
  <c r="G23" i="6"/>
  <c r="O22" i="6"/>
  <c r="M22" i="6" s="1"/>
  <c r="N23" i="6"/>
  <c r="G24" i="6" l="1"/>
  <c r="F25" i="6"/>
  <c r="K24" i="6"/>
  <c r="J25" i="6" s="1"/>
  <c r="D17" i="6"/>
  <c r="I18" i="6"/>
  <c r="O23" i="6"/>
  <c r="M23" i="6" s="1"/>
  <c r="N24" i="6"/>
  <c r="I19" i="6" l="1"/>
  <c r="D18" i="6"/>
  <c r="G25" i="6"/>
  <c r="F26" i="6"/>
  <c r="K25" i="6"/>
  <c r="J26" i="6" s="1"/>
  <c r="O24" i="6"/>
  <c r="M24" i="6" s="1"/>
  <c r="N25" i="6"/>
  <c r="G26" i="6" l="1"/>
  <c r="F27" i="6"/>
  <c r="K26" i="6"/>
  <c r="J27" i="6" s="1"/>
  <c r="D19" i="6"/>
  <c r="I20" i="6"/>
  <c r="N26" i="6"/>
  <c r="O25" i="6"/>
  <c r="M25" i="6" s="1"/>
  <c r="C20" i="6" l="1"/>
  <c r="I21" i="6"/>
  <c r="G27" i="6"/>
  <c r="F28" i="6"/>
  <c r="K27" i="6"/>
  <c r="J28" i="6" s="1"/>
  <c r="N27" i="6"/>
  <c r="O26" i="6"/>
  <c r="M26" i="6" s="1"/>
  <c r="G28" i="6" l="1"/>
  <c r="F29" i="6"/>
  <c r="K28" i="6"/>
  <c r="J29" i="6" s="1"/>
  <c r="C21" i="6"/>
  <c r="I22" i="6"/>
  <c r="O27" i="6"/>
  <c r="M27" i="6" s="1"/>
  <c r="N28" i="6"/>
  <c r="I23" i="6" l="1"/>
  <c r="C22" i="6"/>
  <c r="K29" i="6"/>
  <c r="J30" i="6" s="1"/>
  <c r="F30" i="6"/>
  <c r="G29" i="6"/>
  <c r="N29" i="6"/>
  <c r="O28" i="6"/>
  <c r="M28" i="6" s="1"/>
  <c r="K30" i="6" l="1"/>
  <c r="J31" i="6" s="1"/>
  <c r="F31" i="6"/>
  <c r="G30" i="6"/>
  <c r="I24" i="6"/>
  <c r="C23" i="6"/>
  <c r="O29" i="6"/>
  <c r="M29" i="6" s="1"/>
  <c r="N30" i="6"/>
  <c r="I25" i="6" l="1"/>
  <c r="C24" i="6"/>
  <c r="G31" i="6"/>
  <c r="F32" i="6"/>
  <c r="K31" i="6"/>
  <c r="O30" i="6"/>
  <c r="M30" i="6" s="1"/>
  <c r="N31" i="6"/>
  <c r="N32" i="6" s="1"/>
  <c r="N33" i="6" s="1"/>
  <c r="N34" i="6" s="1"/>
  <c r="N35" i="6" s="1"/>
  <c r="N36" i="6" s="1"/>
  <c r="N37" i="6" s="1"/>
  <c r="N38" i="6" s="1"/>
  <c r="N39" i="6" s="1"/>
  <c r="N40" i="6" s="1"/>
  <c r="N41" i="6" s="1"/>
  <c r="N42" i="6" s="1"/>
  <c r="N43" i="6" s="1"/>
  <c r="N44" i="6" s="1"/>
  <c r="N45" i="6" s="1"/>
  <c r="F33" i="6" l="1"/>
  <c r="G32" i="6"/>
  <c r="I26" i="6"/>
  <c r="C25" i="6"/>
  <c r="I27" i="6" l="1"/>
  <c r="C26" i="6"/>
  <c r="F34" i="6"/>
  <c r="G33" i="6"/>
  <c r="F35" i="6" l="1"/>
  <c r="G34" i="6"/>
  <c r="C27" i="6"/>
  <c r="I28" i="6"/>
  <c r="I29" i="6" l="1"/>
  <c r="C28" i="6"/>
  <c r="G35" i="6"/>
  <c r="F36" i="6"/>
  <c r="F37" i="6" l="1"/>
  <c r="G36" i="6"/>
  <c r="C29" i="6"/>
  <c r="I30" i="6"/>
  <c r="C30" i="6" l="1"/>
  <c r="I31" i="6"/>
  <c r="C31" i="6" s="1"/>
  <c r="G37" i="6"/>
  <c r="F38" i="6"/>
  <c r="K19" i="4"/>
  <c r="K20" i="4"/>
  <c r="K29" i="4" s="1"/>
  <c r="K38" i="4" s="1"/>
  <c r="K21" i="4"/>
  <c r="K22" i="4"/>
  <c r="K23" i="4"/>
  <c r="K32" i="4" s="1"/>
  <c r="K41" i="4" s="1"/>
  <c r="K24" i="4"/>
  <c r="K33" i="4" s="1"/>
  <c r="K42" i="4" s="1"/>
  <c r="K25" i="4"/>
  <c r="K34" i="4" s="1"/>
  <c r="K43" i="4" s="1"/>
  <c r="K26" i="4"/>
  <c r="K28" i="4"/>
  <c r="K37" i="4" s="1"/>
  <c r="K30" i="4"/>
  <c r="K39" i="4" s="1"/>
  <c r="K31" i="4"/>
  <c r="K40" i="4" s="1"/>
  <c r="K35" i="4"/>
  <c r="K44" i="4" s="1"/>
  <c r="K18" i="4"/>
  <c r="K27" i="4" s="1"/>
  <c r="K36" i="4" s="1"/>
  <c r="K64" i="4"/>
  <c r="K73" i="4" s="1"/>
  <c r="K82" i="4" s="1"/>
  <c r="K65" i="4"/>
  <c r="K74" i="4" s="1"/>
  <c r="K83" i="4" s="1"/>
  <c r="K66" i="4"/>
  <c r="K75" i="4" s="1"/>
  <c r="K84" i="4" s="1"/>
  <c r="K67" i="4"/>
  <c r="K76" i="4" s="1"/>
  <c r="K85" i="4" s="1"/>
  <c r="K68" i="4"/>
  <c r="K77" i="4" s="1"/>
  <c r="K86" i="4" s="1"/>
  <c r="K69" i="4"/>
  <c r="K78" i="4" s="1"/>
  <c r="K87" i="4" s="1"/>
  <c r="K70" i="4"/>
  <c r="K79" i="4" s="1"/>
  <c r="K88" i="4" s="1"/>
  <c r="K71" i="4"/>
  <c r="K80" i="4" s="1"/>
  <c r="K89" i="4" s="1"/>
  <c r="K63" i="4"/>
  <c r="K72" i="4" s="1"/>
  <c r="K81" i="4" s="1"/>
  <c r="G38" i="6" l="1"/>
  <c r="F39" i="6"/>
  <c r="F64" i="4"/>
  <c r="F65" i="4"/>
  <c r="F75" i="4" s="1"/>
  <c r="F83" i="4" s="1"/>
  <c r="F71" i="4"/>
  <c r="F81" i="4" s="1"/>
  <c r="F89" i="4" s="1"/>
  <c r="F26" i="4"/>
  <c r="F36" i="4" s="1"/>
  <c r="F44" i="4" s="1"/>
  <c r="G39" i="6" l="1"/>
  <c r="F40" i="6"/>
  <c r="F74" i="4"/>
  <c r="F82" i="4"/>
  <c r="F72" i="4"/>
  <c r="F73" i="4"/>
  <c r="F19" i="4"/>
  <c r="G19" i="4" s="1"/>
  <c r="F41" i="6" l="1"/>
  <c r="G40" i="6"/>
  <c r="F29" i="4"/>
  <c r="G29" i="4" s="1"/>
  <c r="F37" i="4"/>
  <c r="G37" i="4" s="1"/>
  <c r="F27" i="4"/>
  <c r="G27" i="4" s="1"/>
  <c r="F28" i="4"/>
  <c r="G28" i="4" s="1"/>
  <c r="F68" i="4"/>
  <c r="F78" i="4" s="1"/>
  <c r="F86" i="4" s="1"/>
  <c r="F67" i="4"/>
  <c r="F77" i="4" s="1"/>
  <c r="F85" i="4" s="1"/>
  <c r="F66" i="4"/>
  <c r="F76" i="4" s="1"/>
  <c r="F84" i="4" s="1"/>
  <c r="F23" i="4"/>
  <c r="F33" i="4" s="1"/>
  <c r="F41" i="4" s="1"/>
  <c r="F22" i="4"/>
  <c r="F32" i="4" s="1"/>
  <c r="F40" i="4" s="1"/>
  <c r="F21" i="4"/>
  <c r="F31" i="4" s="1"/>
  <c r="F39" i="4" s="1"/>
  <c r="F20" i="4"/>
  <c r="F30" i="4" l="1"/>
  <c r="G20" i="4"/>
  <c r="G41" i="6"/>
  <c r="F42" i="6"/>
  <c r="F25" i="4"/>
  <c r="F35" i="4" s="1"/>
  <c r="F43" i="4" s="1"/>
  <c r="F24" i="4"/>
  <c r="F34" i="4" s="1"/>
  <c r="F42" i="4" s="1"/>
  <c r="F70" i="4"/>
  <c r="F80" i="4" s="1"/>
  <c r="F88" i="4" s="1"/>
  <c r="F69" i="4"/>
  <c r="F79" i="4" s="1"/>
  <c r="F87" i="4" s="1"/>
  <c r="H51" i="1"/>
  <c r="I51" i="1"/>
  <c r="J51" i="1"/>
  <c r="K51" i="1"/>
  <c r="L51" i="1"/>
  <c r="M51" i="1"/>
  <c r="N51" i="1"/>
  <c r="O51" i="1"/>
  <c r="P51" i="1"/>
  <c r="Q51" i="1"/>
  <c r="R51" i="1"/>
  <c r="S51" i="1"/>
  <c r="T51" i="1"/>
  <c r="U51" i="1"/>
  <c r="V51" i="1"/>
  <c r="W51" i="1"/>
  <c r="X51" i="1"/>
  <c r="Y51" i="1"/>
  <c r="Z51" i="1"/>
  <c r="AA51" i="1"/>
  <c r="AB51" i="1"/>
  <c r="AC51" i="1"/>
  <c r="AD51" i="1"/>
  <c r="AE51" i="1"/>
  <c r="AF51" i="1"/>
  <c r="AG51" i="1"/>
  <c r="AH51" i="1"/>
  <c r="AI51" i="1"/>
  <c r="AJ51" i="1"/>
  <c r="AK51" i="1"/>
  <c r="H52" i="1"/>
  <c r="I52" i="1"/>
  <c r="J52" i="1"/>
  <c r="K52" i="1"/>
  <c r="L52" i="1"/>
  <c r="M52" i="1"/>
  <c r="N52" i="1"/>
  <c r="O52" i="1"/>
  <c r="P52" i="1"/>
  <c r="Q52" i="1"/>
  <c r="R52" i="1"/>
  <c r="S52" i="1"/>
  <c r="T52" i="1"/>
  <c r="U52" i="1"/>
  <c r="V52" i="1"/>
  <c r="W52" i="1"/>
  <c r="X52" i="1"/>
  <c r="Y52" i="1"/>
  <c r="Z52" i="1"/>
  <c r="AA52" i="1"/>
  <c r="AB52" i="1"/>
  <c r="AC52" i="1"/>
  <c r="AD52" i="1"/>
  <c r="AE52" i="1"/>
  <c r="AF52" i="1"/>
  <c r="AG52" i="1"/>
  <c r="AH52" i="1"/>
  <c r="AI52" i="1"/>
  <c r="AJ52" i="1"/>
  <c r="AK52" i="1"/>
  <c r="G51" i="1"/>
  <c r="G52" i="1"/>
  <c r="AP52" i="1" l="1"/>
  <c r="F38" i="4"/>
  <c r="G38" i="4" s="1"/>
  <c r="G30" i="4"/>
  <c r="AP51" i="1"/>
  <c r="G42" i="6"/>
  <c r="F43" i="6"/>
  <c r="H48" i="1"/>
  <c r="I48" i="1"/>
  <c r="J48" i="1"/>
  <c r="K48" i="1"/>
  <c r="L48" i="1"/>
  <c r="M48" i="1"/>
  <c r="N48" i="1"/>
  <c r="O48" i="1"/>
  <c r="P48" i="1"/>
  <c r="Q48" i="1"/>
  <c r="R48" i="1"/>
  <c r="S48" i="1"/>
  <c r="T48" i="1"/>
  <c r="U48" i="1"/>
  <c r="V48" i="1"/>
  <c r="W48" i="1"/>
  <c r="X48" i="1"/>
  <c r="Y48" i="1"/>
  <c r="Z48" i="1"/>
  <c r="AA48" i="1"/>
  <c r="AB48" i="1"/>
  <c r="AC48" i="1"/>
  <c r="AD48" i="1"/>
  <c r="AE48" i="1"/>
  <c r="AF48" i="1"/>
  <c r="AG48" i="1"/>
  <c r="AH48" i="1"/>
  <c r="AI48" i="1"/>
  <c r="AJ48" i="1"/>
  <c r="AK48" i="1"/>
  <c r="H49" i="1"/>
  <c r="I49" i="1"/>
  <c r="J49" i="1"/>
  <c r="K49" i="1"/>
  <c r="L49" i="1"/>
  <c r="M49" i="1"/>
  <c r="N49" i="1"/>
  <c r="O49" i="1"/>
  <c r="P49" i="1"/>
  <c r="Q49" i="1"/>
  <c r="R49" i="1"/>
  <c r="S49" i="1"/>
  <c r="T49" i="1"/>
  <c r="U49" i="1"/>
  <c r="V49" i="1"/>
  <c r="W49" i="1"/>
  <c r="X49" i="1"/>
  <c r="Y49" i="1"/>
  <c r="Z49" i="1"/>
  <c r="AA49" i="1"/>
  <c r="AB49" i="1"/>
  <c r="AC49" i="1"/>
  <c r="AD49" i="1"/>
  <c r="AE49" i="1"/>
  <c r="AF49" i="1"/>
  <c r="AG49" i="1"/>
  <c r="AH49" i="1"/>
  <c r="AI49" i="1"/>
  <c r="AJ49" i="1"/>
  <c r="AK49" i="1"/>
  <c r="H50" i="1"/>
  <c r="I50" i="1"/>
  <c r="J50" i="1"/>
  <c r="K50" i="1"/>
  <c r="L50" i="1"/>
  <c r="M50" i="1"/>
  <c r="N50" i="1"/>
  <c r="O50" i="1"/>
  <c r="P50" i="1"/>
  <c r="Q50" i="1"/>
  <c r="R50" i="1"/>
  <c r="S50" i="1"/>
  <c r="T50" i="1"/>
  <c r="U50" i="1"/>
  <c r="V50" i="1"/>
  <c r="W50" i="1"/>
  <c r="X50" i="1"/>
  <c r="Y50" i="1"/>
  <c r="Z50" i="1"/>
  <c r="AA50" i="1"/>
  <c r="AB50" i="1"/>
  <c r="AC50" i="1"/>
  <c r="AD50" i="1"/>
  <c r="AE50" i="1"/>
  <c r="AF50" i="1"/>
  <c r="AG50" i="1"/>
  <c r="AH50" i="1"/>
  <c r="AI50" i="1"/>
  <c r="AJ50" i="1"/>
  <c r="AK50" i="1"/>
  <c r="G49" i="1"/>
  <c r="G50" i="1"/>
  <c r="G48" i="1"/>
  <c r="AP48" i="1" l="1"/>
  <c r="AP50" i="1"/>
  <c r="AP49" i="1"/>
  <c r="F44" i="6"/>
  <c r="G43" i="6"/>
  <c r="G44" i="6" l="1"/>
  <c r="F45" i="6"/>
  <c r="G45"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Johanna Markkanen</author>
  </authors>
  <commentList>
    <comment ref="B4" authorId="0" shapeId="0" xr:uid="{00000000-0006-0000-0000-000001000000}">
      <text>
        <r>
          <rPr>
            <b/>
            <sz val="9"/>
            <color indexed="81"/>
            <rFont val="Tahoma"/>
            <family val="2"/>
          </rPr>
          <t>Johanna Markkanen:</t>
        </r>
        <r>
          <rPr>
            <sz val="9"/>
            <color indexed="81"/>
            <rFont val="Tahoma"/>
            <family val="2"/>
          </rPr>
          <t xml:space="preserve">
IS, NO, CH added 20.11.2024</t>
        </r>
      </text>
    </comment>
    <comment ref="S9" authorId="0" shapeId="0" xr:uid="{00000000-0006-0000-0000-000004000000}">
      <text>
        <r>
          <rPr>
            <b/>
            <sz val="9"/>
            <color indexed="81"/>
            <rFont val="Tahoma"/>
            <family val="2"/>
          </rPr>
          <t>Johanna Markkanen:</t>
        </r>
        <r>
          <rPr>
            <sz val="9"/>
            <color indexed="81"/>
            <rFont val="Tahoma"/>
            <family val="2"/>
          </rPr>
          <t xml:space="preserve">
estimate: https://www.gov.uk/government/publications/uk-emissions-trading-scheme-markets/uk-emissions-trading-scheme-markets</t>
        </r>
      </text>
    </comment>
    <comment ref="B22" authorId="0" shapeId="0" xr:uid="{00000000-0006-0000-0000-000006000000}">
      <text>
        <r>
          <rPr>
            <b/>
            <sz val="9"/>
            <color indexed="81"/>
            <rFont val="Tahoma"/>
            <family val="2"/>
          </rPr>
          <t>Johanna Markkanen:</t>
        </r>
        <r>
          <rPr>
            <sz val="9"/>
            <color indexed="81"/>
            <rFont val="Tahoma"/>
            <family val="2"/>
          </rPr>
          <t xml:space="preserve">
UK deleted 17.2.2025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Johanna Markkanen</author>
  </authors>
  <commentList>
    <comment ref="G6" authorId="0" shapeId="0" xr:uid="{00000000-0006-0000-0100-000001000000}">
      <text>
        <r>
          <rPr>
            <b/>
            <sz val="9"/>
            <color indexed="81"/>
            <rFont val="Tahoma"/>
            <family val="2"/>
          </rPr>
          <t>Johanna Markkanen:</t>
        </r>
        <r>
          <rPr>
            <sz val="9"/>
            <color indexed="81"/>
            <rFont val="Tahoma"/>
            <family val="2"/>
          </rPr>
          <t xml:space="preserve">
no data, EU price data is applied</t>
        </r>
      </text>
    </comment>
    <comment ref="A17" authorId="0" shapeId="0" xr:uid="{00000000-0006-0000-0100-000002000000}">
      <text>
        <r>
          <rPr>
            <b/>
            <sz val="9"/>
            <color indexed="81"/>
            <rFont val="Tahoma"/>
            <family val="2"/>
          </rPr>
          <t>Johanna Markkanen:</t>
        </r>
        <r>
          <rPr>
            <sz val="9"/>
            <color indexed="81"/>
            <rFont val="Tahoma"/>
            <family val="2"/>
          </rPr>
          <t xml:space="preserve">
How to exclude Extra-EU-Aviation from this? Now included in it..</t>
        </r>
      </text>
    </comment>
    <comment ref="D19" authorId="0" shapeId="0" xr:uid="{00000000-0006-0000-0100-000003000000}">
      <text>
        <r>
          <rPr>
            <b/>
            <sz val="9"/>
            <color indexed="81"/>
            <rFont val="Tahoma"/>
            <family val="2"/>
          </rPr>
          <t>Johanna Markkanen:</t>
        </r>
        <r>
          <rPr>
            <sz val="9"/>
            <color indexed="81"/>
            <rFont val="Tahoma"/>
            <family val="2"/>
          </rPr>
          <t xml:space="preserve">
In light of the launch of CORSIA, this limitation has been extended several times. During the latest revision, it was extended one last time, until the start of 2027. By July 2026, the Commission will carry out an assessment of whether more action is required for flights to and from Europe, in line with criteria set in the EU ETS Directive. Subject to the outcome of this assessment, the Commission will make a legislative proposal that could extend the scope of EU emissions trading to departing flights and exempt incoming flights. Alternatively, the proposal could be to maintain the intra-European scope if CORSIA is strengthened and has a high level of global participation and implementation.</t>
        </r>
      </text>
    </comment>
    <comment ref="D20" authorId="0" shapeId="0" xr:uid="{00000000-0006-0000-0100-000004000000}">
      <text>
        <r>
          <rPr>
            <b/>
            <sz val="9"/>
            <color indexed="81"/>
            <rFont val="Tahoma"/>
            <family val="2"/>
          </rPr>
          <t>Johanna Markkanen:</t>
        </r>
        <r>
          <rPr>
            <sz val="9"/>
            <color indexed="81"/>
            <rFont val="Tahoma"/>
            <family val="2"/>
          </rPr>
          <t xml:space="preserve">
I could set the start for pricing to 2027?</t>
        </r>
      </text>
    </comment>
    <comment ref="F27" authorId="0" shapeId="0" xr:uid="{00000000-0006-0000-0100-000005000000}">
      <text>
        <r>
          <rPr>
            <b/>
            <sz val="9"/>
            <color indexed="81"/>
            <rFont val="Tahoma"/>
            <family val="2"/>
          </rPr>
          <t>Johanna Markkanen:</t>
        </r>
        <r>
          <rPr>
            <sz val="9"/>
            <color indexed="81"/>
            <rFont val="Tahoma"/>
            <family val="2"/>
          </rPr>
          <t xml:space="preserve">
40% emissions reported must be covered by allowances. Assume that this reflects on the price</t>
        </r>
      </text>
    </comment>
    <comment ref="H27" authorId="0" shapeId="0" xr:uid="{00000000-0006-0000-0100-000006000000}">
      <text>
        <r>
          <rPr>
            <b/>
            <sz val="9"/>
            <color indexed="81"/>
            <rFont val="Tahoma"/>
            <family val="2"/>
          </rPr>
          <t>Johanna Markkanen:</t>
        </r>
        <r>
          <rPr>
            <sz val="9"/>
            <color indexed="81"/>
            <rFont val="Tahoma"/>
            <family val="2"/>
          </rPr>
          <t xml:space="preserve">
Add LFO here</t>
        </r>
      </text>
    </comment>
    <comment ref="F28" authorId="0" shapeId="0" xr:uid="{00000000-0006-0000-0100-000007000000}">
      <text>
        <r>
          <rPr>
            <b/>
            <sz val="9"/>
            <color indexed="81"/>
            <rFont val="Tahoma"/>
            <family val="2"/>
          </rPr>
          <t>Johanna Markkanen:</t>
        </r>
        <r>
          <rPr>
            <sz val="9"/>
            <color indexed="81"/>
            <rFont val="Tahoma"/>
            <family val="2"/>
          </rPr>
          <t xml:space="preserve">
70% emissions reported must be covered by allowances. Assume that this reflects on the price</t>
        </r>
      </text>
    </comment>
    <comment ref="F37" authorId="0" shapeId="0" xr:uid="{00000000-0006-0000-0100-000008000000}">
      <text>
        <r>
          <rPr>
            <b/>
            <sz val="9"/>
            <color indexed="81"/>
            <rFont val="Tahoma"/>
            <family val="2"/>
          </rPr>
          <t>Johanna Markkanen:</t>
        </r>
        <r>
          <rPr>
            <sz val="9"/>
            <color indexed="81"/>
            <rFont val="Tahoma"/>
            <family val="2"/>
          </rPr>
          <t xml:space="preserve">
Assume LFO is used in smaller vessels, for which full price applies from 2024 onwards</t>
        </r>
      </text>
    </comment>
    <comment ref="F72" authorId="0" shapeId="0" xr:uid="{00000000-0006-0000-0100-000009000000}">
      <text>
        <r>
          <rPr>
            <b/>
            <sz val="9"/>
            <color indexed="81"/>
            <rFont val="Tahoma"/>
            <family val="2"/>
          </rPr>
          <t>Johanna Markkanen:</t>
        </r>
        <r>
          <rPr>
            <sz val="9"/>
            <color indexed="81"/>
            <rFont val="Tahoma"/>
            <family val="2"/>
          </rPr>
          <t xml:space="preserve">
40% emissions reported must be covered by allowances. Assume that this reflects on the price</t>
        </r>
      </text>
    </comment>
    <comment ref="H72" authorId="0" shapeId="0" xr:uid="{00000000-0006-0000-0100-00000A000000}">
      <text>
        <r>
          <rPr>
            <b/>
            <sz val="9"/>
            <color indexed="81"/>
            <rFont val="Tahoma"/>
            <family val="2"/>
          </rPr>
          <t>Johanna Markkanen:</t>
        </r>
        <r>
          <rPr>
            <sz val="9"/>
            <color indexed="81"/>
            <rFont val="Tahoma"/>
            <family val="2"/>
          </rPr>
          <t xml:space="preserve">
Add LFO here</t>
        </r>
      </text>
    </comment>
    <comment ref="F73" authorId="0" shapeId="0" xr:uid="{00000000-0006-0000-0100-00000B000000}">
      <text>
        <r>
          <rPr>
            <b/>
            <sz val="9"/>
            <color indexed="81"/>
            <rFont val="Tahoma"/>
            <family val="2"/>
          </rPr>
          <t>Johanna Markkanen:</t>
        </r>
        <r>
          <rPr>
            <sz val="9"/>
            <color indexed="81"/>
            <rFont val="Tahoma"/>
            <family val="2"/>
          </rPr>
          <t xml:space="preserve">
70% emissions reported must be covered by allowances. Assume that this reflects on the price</t>
        </r>
      </text>
    </comment>
    <comment ref="F82" authorId="0" shapeId="0" xr:uid="{00000000-0006-0000-0100-00000C000000}">
      <text>
        <r>
          <rPr>
            <b/>
            <sz val="9"/>
            <color indexed="81"/>
            <rFont val="Tahoma"/>
            <family val="2"/>
          </rPr>
          <t>Johanna Markkanen:</t>
        </r>
        <r>
          <rPr>
            <sz val="9"/>
            <color indexed="81"/>
            <rFont val="Tahoma"/>
            <family val="2"/>
          </rPr>
          <t xml:space="preserve">
Assume LFO is used in smaller vessels, for which full price applies from 2024 onwards</t>
        </r>
      </text>
    </comment>
  </commentList>
</comments>
</file>

<file path=xl/sharedStrings.xml><?xml version="1.0" encoding="utf-8"?>
<sst xmlns="http://schemas.openxmlformats.org/spreadsheetml/2006/main" count="560" uniqueCount="123">
  <si>
    <t>BE</t>
  </si>
  <si>
    <t>DE</t>
  </si>
  <si>
    <t>ES</t>
  </si>
  <si>
    <t>FI</t>
  </si>
  <si>
    <t>FR</t>
  </si>
  <si>
    <t>UK</t>
  </si>
  <si>
    <t>Year</t>
  </si>
  <si>
    <t>Cset_CN</t>
  </si>
  <si>
    <t>UC_N</t>
  </si>
  <si>
    <t>UC_COMNET</t>
  </si>
  <si>
    <t>UC_RHSTS</t>
  </si>
  <si>
    <t>AT</t>
  </si>
  <si>
    <t>BG</t>
  </si>
  <si>
    <t>CY</t>
  </si>
  <si>
    <t>CZ</t>
  </si>
  <si>
    <t>DK</t>
  </si>
  <si>
    <t>EE</t>
  </si>
  <si>
    <t>HU</t>
  </si>
  <si>
    <t>IE</t>
  </si>
  <si>
    <t>IT</t>
  </si>
  <si>
    <t>LT</t>
  </si>
  <si>
    <t>LU</t>
  </si>
  <si>
    <t>LV</t>
  </si>
  <si>
    <t>MT</t>
  </si>
  <si>
    <t>NL</t>
  </si>
  <si>
    <t>PL</t>
  </si>
  <si>
    <t>PT</t>
  </si>
  <si>
    <t>RO</t>
  </si>
  <si>
    <t>SE</t>
  </si>
  <si>
    <t>SI</t>
  </si>
  <si>
    <t>SK</t>
  </si>
  <si>
    <t>ETSCO2</t>
  </si>
  <si>
    <t>HR</t>
  </si>
  <si>
    <t>UC_COMPRD</t>
  </si>
  <si>
    <t>Pset_PN</t>
  </si>
  <si>
    <t>SE_TRACO2N</t>
  </si>
  <si>
    <t>TimeSlice</t>
  </si>
  <si>
    <t>LimType</t>
  </si>
  <si>
    <t>Attribute</t>
  </si>
  <si>
    <t>CH</t>
  </si>
  <si>
    <t>EL</t>
  </si>
  <si>
    <t>IS</t>
  </si>
  <si>
    <t>NO</t>
  </si>
  <si>
    <t>multiplicator</t>
  </si>
  <si>
    <t>ANNUAL</t>
  </si>
  <si>
    <t>UP</t>
  </si>
  <si>
    <t>COM_BNDNET</t>
  </si>
  <si>
    <t>The table above makes sure that ETS emissions do not increase when negative emission technologies are deployed after 2035</t>
  </si>
  <si>
    <t>Country shares are adjusted to match the total for EU-31 which is calculated in another excel file with certain assumptions for the decrease of emission allowances in EU ETS</t>
  </si>
  <si>
    <t>Other_indexes</t>
  </si>
  <si>
    <t>AllRegions</t>
  </si>
  <si>
    <t>Pset_Set</t>
  </si>
  <si>
    <t>Curr</t>
  </si>
  <si>
    <t>COM_TAXPRD</t>
  </si>
  <si>
    <t>EUR15</t>
  </si>
  <si>
    <t>Values used in NEGEM</t>
  </si>
  <si>
    <t>EUR20</t>
  </si>
  <si>
    <t>Harmonised trajectory for the carbon price/value (EUR2020/tCO2)</t>
  </si>
  <si>
    <t>WEM-trajectory</t>
  </si>
  <si>
    <t>WAM-trajectory</t>
  </si>
  <si>
    <t xml:space="preserve">The indicative post_x0002_2030 “WAM” trajectory is a modelling driver to reach the EU 2050 climate neutrality in the FF55 package analysis. It is </t>
  </si>
  <si>
    <t xml:space="preserve">acknowledged that national analyses projecting economy-wide GHG emissions compatible with the EU 2050 climate </t>
  </si>
  <si>
    <t>neutrality objective may provide a different carbon value trajectory</t>
  </si>
  <si>
    <t>Aviation</t>
  </si>
  <si>
    <t>Energy sector (CDR excluded)</t>
  </si>
  <si>
    <t>TRALFO00</t>
  </si>
  <si>
    <t>Maritime transport: HFO</t>
  </si>
  <si>
    <t>Maritime transport: LFO</t>
  </si>
  <si>
    <t>EUR10</t>
  </si>
  <si>
    <t>CO2CapETSold</t>
  </si>
  <si>
    <t>CO2CapUKETS</t>
  </si>
  <si>
    <t>UK ETS 2021-</t>
  </si>
  <si>
    <t>EU ETS1 2021-</t>
  </si>
  <si>
    <t>EU ETS1 2010-2020</t>
  </si>
  <si>
    <t>https://www.umweltbundesamt.de/sites/default/files/medien/11850/publikationen/factsheet_cap_msr_2023_en_v2.pdf</t>
  </si>
  <si>
    <t>https://climate.ec.europa.eu/news-your-voice/news/emissions-trading-system-buildings-road-transport-and-small-industry-ets2-cap-adopted-2027-2024-12-03_en</t>
  </si>
  <si>
    <t>ETS1 Total Cap (new)</t>
  </si>
  <si>
    <t>Cap according to previous directive (without UK)</t>
  </si>
  <si>
    <t>LFR</t>
  </si>
  <si>
    <t>Annual cap reduction through LRFs (stationary)</t>
  </si>
  <si>
    <t>Rebasing the cap</t>
  </si>
  <si>
    <t>Cap stationary installations (new)</t>
  </si>
  <si>
    <t>Cap maritime transport</t>
  </si>
  <si>
    <t>Maritime cap reduction</t>
  </si>
  <si>
    <t>ETS2 Total Cap</t>
  </si>
  <si>
    <t>Annual cap reduction through LFRs</t>
  </si>
  <si>
    <t>ETS1 and 2 merge in 2035?</t>
  </si>
  <si>
    <t>We cannot really implement an emission cap that far</t>
  </si>
  <si>
    <t>With these assumptions</t>
  </si>
  <si>
    <t>the emission cap becomes negative before 2040</t>
  </si>
  <si>
    <t>We have the price mechanism in place</t>
  </si>
  <si>
    <t>we can first try to set emission cap to 2030</t>
  </si>
  <si>
    <t>Sum of ETS1 and ETS2</t>
  </si>
  <si>
    <t>NOTE!</t>
  </si>
  <si>
    <t>ETS Covers CH4 and N2O from 2026 onwards. How to include in calculation?</t>
  </si>
  <si>
    <t>UC_FLO</t>
  </si>
  <si>
    <t>TRAHFO00,TRALFO00</t>
  </si>
  <si>
    <t>CO2 from extra-EU flights</t>
  </si>
  <si>
    <t>Applies to ETS2:</t>
  </si>
  <si>
    <t>DeAct~UC_T: UP</t>
  </si>
  <si>
    <t>DeAct~UC_SETS: R_S: UK</t>
  </si>
  <si>
    <t>~TFM_INS</t>
  </si>
  <si>
    <t>https://cdn.catf.us/wp-content/uploads/2024/11/26174743/carbon-removals-eu-ets.pdf</t>
  </si>
  <si>
    <t>CO2CapETS1UP</t>
  </si>
  <si>
    <t>CO2CapETS1LO</t>
  </si>
  <si>
    <t>DeAct**UC_T: UP</t>
  </si>
  <si>
    <t>DeAct**UC_SETS: R_S: AT,BE,BG,CY,CH,CZ,DE,DK,EE,ES,FI,FR,EL,HR,HU,IE,IT,IS,LT,LU,LV,MT,NL,NO,PL,PT,RO,SE,SI,SK</t>
  </si>
  <si>
    <t>DeAct**UC_T: LO</t>
  </si>
  <si>
    <t>DeActTFM_INS</t>
  </si>
  <si>
    <t>ELCCO2N,INDCO2N,SUPCO2N,INDCO2P,-*SCO2P,-*SCO2N</t>
  </si>
  <si>
    <t>BLDJET,BLD_RFNBO_JET</t>
  </si>
  <si>
    <t>TRAHFO00,BLD_RFNBO_NAV</t>
  </si>
  <si>
    <t>updated 08/2025</t>
  </si>
  <si>
    <t>EUR23-&gt;EUR20</t>
  </si>
  <si>
    <t>Row Labels</t>
  </si>
  <si>
    <t>COUNTRY-SPECIFIC-LIMITS</t>
  </si>
  <si>
    <t>The country shares are based on model runs in REPower-CEST EU project before limiting the annual upper shares</t>
  </si>
  <si>
    <t>EU27+NO</t>
  </si>
  <si>
    <t>values from S1 model run 14.10.2025 for year 2035: the year until union-wide ETS emissions decreased, before starting to increase again</t>
  </si>
  <si>
    <t>In between WEM/WAM</t>
  </si>
  <si>
    <r>
      <t>~UC_SETS: R_S: AT,BE,BG,CY,CH,CZ,DE,DK,EE,ES,FI,FR,EL,HR,HU,IE,IT,IS,LT,LU,LV,MT,NL,NO,PL,PT,RO,SE,SI,SK,</t>
    </r>
    <r>
      <rPr>
        <b/>
        <sz val="9"/>
        <color rgb="FFFF0000"/>
        <rFont val="Arial"/>
        <family val="2"/>
      </rPr>
      <t>UK</t>
    </r>
  </si>
  <si>
    <t>~UC_T: UP</t>
  </si>
  <si>
    <t>deactivated, using regional limits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</si>
</sst>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_);_(* \(#,##0\);_(* &quot;-&quot;_);_(@_)"/>
    <numFmt numFmtId="165" formatCode="_(* #,##0.00_);_(* \(#,##0.00\);_(* &quot;-&quot;??_);_(@_)"/>
    <numFmt numFmtId="166" formatCode="_-* #,##0.00\ _€_-;\-* #,##0.00\ _€_-;_-* &quot;-&quot;??\ _€_-;_-@_-"/>
    <numFmt numFmtId="167" formatCode="_([$€]* #,##0.00_);_([$€]* \(#,##0.00\);_([$€]* &quot;-&quot;??_);_(@_)"/>
    <numFmt numFmtId="168" formatCode="_ &quot;kr&quot;\ * #,##0_ ;_ &quot;kr&quot;\ * \-#,##0_ ;_ &quot;kr&quot;\ * &quot;-&quot;_ ;_ @_ "/>
    <numFmt numFmtId="169" formatCode="_ &quot;kr&quot;\ * #,##0.00_ ;_ &quot;kr&quot;\ * \-#,##0.00_ ;_ &quot;kr&quot;\ * &quot;-&quot;??_ ;_ @_ "/>
    <numFmt numFmtId="170" formatCode="#,##0.0000"/>
    <numFmt numFmtId="171" formatCode="_-* #,##0\ _€_-;\-* #,##0\ _€_-;_-* &quot;-&quot;??\ _€_-;_-@_-"/>
    <numFmt numFmtId="172" formatCode="0.0\ %"/>
    <numFmt numFmtId="173" formatCode="0.0"/>
    <numFmt numFmtId="174" formatCode="0.0000"/>
    <numFmt numFmtId="175" formatCode="0.000"/>
  </numFmts>
  <fonts count="63"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0"/>
      <name val="Courier"/>
      <family val="3"/>
    </font>
    <font>
      <sz val="10"/>
      <name val="Arial"/>
      <family val="2"/>
    </font>
    <font>
      <sz val="10"/>
      <name val="Helvetica"/>
      <family val="2"/>
    </font>
    <font>
      <b/>
      <sz val="12"/>
      <name val="Arial"/>
      <family val="2"/>
    </font>
    <font>
      <sz val="8"/>
      <color indexed="9"/>
      <name val="Arial"/>
      <family val="2"/>
    </font>
    <font>
      <b/>
      <sz val="12"/>
      <name val="Times New Roman"/>
      <family val="1"/>
    </font>
    <font>
      <sz val="9"/>
      <name val="Times New Roman"/>
      <family val="1"/>
    </font>
    <font>
      <sz val="9"/>
      <color indexed="8"/>
      <name val="Times New Roman"/>
      <family val="1"/>
    </font>
    <font>
      <b/>
      <sz val="9"/>
      <name val="Times New Roman"/>
      <family val="1"/>
    </font>
    <font>
      <sz val="12"/>
      <color indexed="8"/>
      <name val="Times New Roman"/>
      <family val="1"/>
    </font>
    <font>
      <b/>
      <sz val="12"/>
      <color indexed="8"/>
      <name val="Times New Roman"/>
      <family val="1"/>
    </font>
    <font>
      <sz val="10"/>
      <name val="Arial"/>
      <family val="2"/>
      <charset val="238"/>
    </font>
    <font>
      <u/>
      <sz val="10"/>
      <color indexed="12"/>
      <name val="Times New Roman"/>
      <family val="1"/>
      <charset val="238"/>
    </font>
    <font>
      <sz val="11"/>
      <name val="Arial"/>
      <family val="2"/>
    </font>
    <font>
      <sz val="11"/>
      <color theme="1"/>
      <name val="Calibri"/>
      <family val="2"/>
      <scheme val="minor"/>
    </font>
    <font>
      <u/>
      <sz val="11"/>
      <color theme="10"/>
      <name val="Calibri"/>
      <family val="2"/>
      <scheme val="minor"/>
    </font>
    <font>
      <b/>
      <sz val="9"/>
      <color indexed="81"/>
      <name val="Tahoma"/>
      <family val="2"/>
    </font>
    <font>
      <sz val="9"/>
      <color indexed="81"/>
      <name val="Tahoma"/>
      <family val="2"/>
    </font>
    <font>
      <b/>
      <sz val="9"/>
      <color indexed="12"/>
      <name val="Arial"/>
      <family val="2"/>
    </font>
    <font>
      <b/>
      <sz val="10"/>
      <color indexed="12"/>
      <name val="Arial"/>
      <family val="2"/>
    </font>
    <font>
      <sz val="10"/>
      <color indexed="8"/>
      <name val="Arial"/>
      <family val="2"/>
    </font>
    <font>
      <b/>
      <sz val="10"/>
      <color indexed="8"/>
      <name val="Arial"/>
      <family val="2"/>
    </font>
    <font>
      <sz val="9"/>
      <name val="Arial"/>
      <family val="2"/>
    </font>
    <font>
      <sz val="9"/>
      <color indexed="8"/>
      <name val="Arial"/>
      <family val="2"/>
    </font>
    <font>
      <i/>
      <sz val="9"/>
      <name val="Arial"/>
      <family val="2"/>
    </font>
    <font>
      <b/>
      <sz val="9"/>
      <name val="Arial"/>
      <family val="2"/>
    </font>
    <font>
      <i/>
      <sz val="9"/>
      <color rgb="FFFF0000"/>
      <name val="Arial"/>
      <family val="2"/>
    </font>
    <font>
      <b/>
      <sz val="9"/>
      <color indexed="8"/>
      <name val="Arial"/>
      <family val="2"/>
    </font>
    <font>
      <b/>
      <sz val="12"/>
      <color indexed="8"/>
      <name val="Arial"/>
      <family val="2"/>
    </font>
    <font>
      <sz val="10"/>
      <color theme="1"/>
      <name val="Calibri"/>
      <family val="2"/>
      <scheme val="minor"/>
    </font>
    <font>
      <b/>
      <sz val="10"/>
      <color theme="1"/>
      <name val="Calibri"/>
      <family val="2"/>
      <scheme val="minor"/>
    </font>
    <font>
      <sz val="10"/>
      <color rgb="FFFF0000"/>
      <name val="Calibri"/>
      <family val="2"/>
      <scheme val="minor"/>
    </font>
    <font>
      <b/>
      <sz val="10"/>
      <color rgb="FFFF0000"/>
      <name val="Calibri"/>
      <family val="2"/>
      <scheme val="minor"/>
    </font>
    <font>
      <sz val="8"/>
      <color indexed="8"/>
      <name val="Arial"/>
      <family val="2"/>
    </font>
    <font>
      <sz val="9"/>
      <color indexed="8"/>
      <name val="Calibri"/>
      <family val="2"/>
    </font>
    <font>
      <b/>
      <sz val="9"/>
      <color rgb="FFFF0000"/>
      <name val="Arial"/>
      <family val="2"/>
    </font>
    <font>
      <sz val="7"/>
      <color rgb="FFFFFFFF"/>
      <name val="Segoe UI"/>
      <family val="2"/>
    </font>
    <font>
      <u/>
      <sz val="10"/>
      <color theme="10"/>
      <name val="Arial"/>
      <family val="2"/>
    </font>
  </fonts>
  <fills count="4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23"/>
        <bgColor indexed="64"/>
      </patternFill>
    </fill>
    <fill>
      <patternFill patternType="solid">
        <fgColor indexed="43"/>
      </patternFill>
    </fill>
    <fill>
      <patternFill patternType="solid">
        <fgColor indexed="55"/>
        <bgColor indexed="64"/>
      </patternFill>
    </fill>
    <fill>
      <patternFill patternType="solid">
        <fgColor indexed="26"/>
      </patternFill>
    </fill>
    <fill>
      <patternFill patternType="darkTrellis"/>
    </fill>
    <fill>
      <patternFill patternType="solid">
        <fgColor indexed="63"/>
        <bgColor indexed="64"/>
      </patternFill>
    </fill>
    <fill>
      <patternFill patternType="solid">
        <fgColor indexed="62"/>
        <bgColor indexed="64"/>
      </patternFill>
    </fill>
    <fill>
      <patternFill patternType="solid">
        <fgColor indexed="13"/>
        <bgColor indexed="64"/>
      </patternFill>
    </fill>
    <fill>
      <patternFill patternType="solid">
        <fgColor rgb="FFFFFF00"/>
        <bgColor indexed="64"/>
      </patternFill>
    </fill>
    <fill>
      <patternFill patternType="solid">
        <fgColor indexed="51"/>
        <bgColor indexed="64"/>
      </patternFill>
    </fill>
    <fill>
      <patternFill patternType="solid">
        <fgColor rgb="FFFFCCFF"/>
        <bgColor indexed="64"/>
      </patternFill>
    </fill>
    <fill>
      <patternFill patternType="solid">
        <fgColor indexed="43"/>
        <bgColor indexed="64"/>
      </patternFill>
    </fill>
    <fill>
      <patternFill patternType="solid">
        <fgColor rgb="FFFF99CC"/>
        <bgColor indexed="64"/>
      </patternFill>
    </fill>
    <fill>
      <patternFill patternType="solid">
        <fgColor indexed="44"/>
        <bgColor indexed="64"/>
      </patternFill>
    </fill>
    <fill>
      <patternFill patternType="solid">
        <fgColor indexed="52"/>
        <bgColor indexed="64"/>
      </patternFill>
    </fill>
    <fill>
      <patternFill patternType="solid">
        <fgColor rgb="FFCCCCF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9"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top style="thin">
        <color indexed="64"/>
      </top>
      <bottom style="medium">
        <color indexed="64"/>
      </bottom>
      <diagonal/>
    </border>
    <border>
      <left/>
      <right/>
      <top style="thin">
        <color indexed="64"/>
      </top>
      <bottom/>
      <diagonal/>
    </border>
    <border>
      <left/>
      <right/>
      <top/>
      <bottom style="thin">
        <color indexed="64"/>
      </bottom>
      <diagonal/>
    </border>
  </borders>
  <cellStyleXfs count="201">
    <xf numFmtId="0" fontId="0" fillId="0" borderId="0"/>
    <xf numFmtId="0" fontId="7" fillId="2" borderId="0" applyNumberFormat="0" applyBorder="0" applyAlignment="0" applyProtection="0"/>
    <xf numFmtId="0" fontId="7" fillId="2"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6" fillId="0" borderId="0" applyNumberFormat="0" applyFont="0" applyFill="0" applyBorder="0" applyProtection="0">
      <alignment horizontal="left" vertical="center" indent="2"/>
    </xf>
    <xf numFmtId="0" fontId="7" fillId="8"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6" fillId="0" borderId="0" applyNumberFormat="0" applyFont="0" applyFill="0" applyBorder="0" applyProtection="0">
      <alignment horizontal="left" vertical="center" indent="5"/>
    </xf>
    <xf numFmtId="0" fontId="8" fillId="12"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33" fillId="20" borderId="0" applyBorder="0" applyAlignment="0"/>
    <xf numFmtId="4" fontId="33" fillId="20" borderId="0" applyBorder="0" applyAlignment="0"/>
    <xf numFmtId="0" fontId="31" fillId="20" borderId="0" applyBorder="0">
      <alignment horizontal="right" vertical="center"/>
    </xf>
    <xf numFmtId="4" fontId="31" fillId="20" borderId="0" applyBorder="0">
      <alignment horizontal="right" vertical="center"/>
    </xf>
    <xf numFmtId="0" fontId="31" fillId="20" borderId="1">
      <alignment horizontal="right" vertical="center"/>
    </xf>
    <xf numFmtId="4" fontId="31" fillId="21" borderId="0" applyBorder="0">
      <alignment horizontal="right" vertical="center"/>
    </xf>
    <xf numFmtId="4" fontId="31" fillId="21" borderId="0" applyBorder="0">
      <alignment horizontal="right" vertical="center"/>
    </xf>
    <xf numFmtId="0" fontId="32" fillId="21" borderId="1">
      <alignment horizontal="right" vertical="center"/>
    </xf>
    <xf numFmtId="4" fontId="32" fillId="21" borderId="1">
      <alignment horizontal="right" vertical="center"/>
    </xf>
    <xf numFmtId="0" fontId="32" fillId="21" borderId="2">
      <alignment horizontal="right" vertical="center"/>
    </xf>
    <xf numFmtId="0" fontId="34" fillId="21" borderId="1">
      <alignment horizontal="right" vertical="center"/>
    </xf>
    <xf numFmtId="4" fontId="34" fillId="21" borderId="1">
      <alignment horizontal="right" vertical="center"/>
    </xf>
    <xf numFmtId="0" fontId="32" fillId="22" borderId="1">
      <alignment horizontal="right" vertical="center"/>
    </xf>
    <xf numFmtId="4" fontId="32" fillId="22" borderId="1">
      <alignment horizontal="right" vertical="center"/>
    </xf>
    <xf numFmtId="0" fontId="32" fillId="22" borderId="2">
      <alignment horizontal="right" vertical="center"/>
    </xf>
    <xf numFmtId="0" fontId="32" fillId="22" borderId="1">
      <alignment horizontal="right" vertical="center"/>
    </xf>
    <xf numFmtId="4" fontId="32" fillId="22" borderId="1">
      <alignment horizontal="right" vertical="center"/>
    </xf>
    <xf numFmtId="0" fontId="32" fillId="22" borderId="3">
      <alignment horizontal="right" vertical="center"/>
    </xf>
    <xf numFmtId="0" fontId="32" fillId="22" borderId="4">
      <alignment horizontal="right" vertical="center"/>
    </xf>
    <xf numFmtId="4" fontId="32" fillId="22" borderId="4">
      <alignment horizontal="right" vertical="center"/>
    </xf>
    <xf numFmtId="0" fontId="32" fillId="22" borderId="5">
      <alignment horizontal="right" vertical="center"/>
    </xf>
    <xf numFmtId="4" fontId="32" fillId="22" borderId="5">
      <alignment horizontal="right" vertical="center"/>
    </xf>
    <xf numFmtId="0" fontId="9" fillId="3" borderId="0" applyNumberFormat="0" applyBorder="0" applyAlignment="0" applyProtection="0"/>
    <xf numFmtId="0" fontId="9" fillId="3" borderId="0" applyNumberFormat="0" applyBorder="0" applyAlignment="0" applyProtection="0"/>
    <xf numFmtId="4" fontId="33" fillId="0" borderId="6" applyFill="0" applyBorder="0" applyProtection="0">
      <alignment horizontal="right" vertical="center"/>
    </xf>
    <xf numFmtId="0" fontId="10" fillId="23" borderId="7" applyNumberFormat="0" applyAlignment="0" applyProtection="0"/>
    <xf numFmtId="0" fontId="10" fillId="23" borderId="7" applyNumberFormat="0" applyAlignment="0" applyProtection="0"/>
    <xf numFmtId="0" fontId="11" fillId="24" borderId="8" applyNumberFormat="0" applyAlignment="0" applyProtection="0"/>
    <xf numFmtId="0" fontId="11" fillId="24" borderId="8" applyNumberFormat="0" applyAlignment="0" applyProtection="0"/>
    <xf numFmtId="165" fontId="3" fillId="0" borderId="0" applyFont="0" applyFill="0" applyBorder="0" applyAlignment="0" applyProtection="0"/>
    <xf numFmtId="165" fontId="26" fillId="0" borderId="0" applyFont="0" applyFill="0" applyBorder="0" applyAlignment="0" applyProtection="0"/>
    <xf numFmtId="165" fontId="6" fillId="0" borderId="0" applyFont="0" applyFill="0" applyBorder="0" applyAlignment="0" applyProtection="0"/>
    <xf numFmtId="165" fontId="2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6" fillId="0" borderId="0" applyFont="0" applyFill="0" applyBorder="0" applyAlignment="0" applyProtection="0"/>
    <xf numFmtId="166" fontId="26" fillId="0" borderId="0" applyFont="0" applyFill="0" applyBorder="0" applyAlignment="0" applyProtection="0"/>
    <xf numFmtId="0" fontId="32" fillId="0" borderId="0" applyNumberFormat="0">
      <alignment horizontal="right"/>
    </xf>
    <xf numFmtId="0" fontId="31" fillId="22" borderId="9">
      <alignment horizontal="left" vertical="center" wrapText="1" indent="2"/>
    </xf>
    <xf numFmtId="0" fontId="31" fillId="0" borderId="9">
      <alignment horizontal="left" vertical="center" wrapText="1" indent="2"/>
    </xf>
    <xf numFmtId="0" fontId="31" fillId="21" borderId="4">
      <alignment horizontal="left" vertical="center"/>
    </xf>
    <xf numFmtId="0" fontId="32" fillId="0" borderId="10">
      <alignment horizontal="left" vertical="top" wrapText="1"/>
    </xf>
    <xf numFmtId="0" fontId="6" fillId="0" borderId="11"/>
    <xf numFmtId="167" fontId="6"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11" fontId="6" fillId="0" borderId="0" applyFont="0" applyFill="0" applyBorder="0" applyAlignment="0" applyProtection="0"/>
    <xf numFmtId="11" fontId="6" fillId="0" borderId="0" applyFont="0" applyFill="0" applyBorder="0" applyAlignment="0" applyProtection="0"/>
    <xf numFmtId="0" fontId="13" fillId="4" borderId="0" applyNumberFormat="0" applyBorder="0" applyAlignment="0" applyProtection="0"/>
    <xf numFmtId="0" fontId="13" fillId="4" borderId="0" applyNumberFormat="0" applyBorder="0" applyAlignment="0" applyProtection="0"/>
    <xf numFmtId="0" fontId="14" fillId="0" borderId="12" applyNumberFormat="0" applyFill="0" applyAlignment="0" applyProtection="0"/>
    <xf numFmtId="0" fontId="14" fillId="0" borderId="12" applyNumberFormat="0" applyFill="0" applyAlignment="0" applyProtection="0"/>
    <xf numFmtId="0" fontId="15" fillId="0" borderId="13" applyNumberFormat="0" applyFill="0" applyAlignment="0" applyProtection="0"/>
    <xf numFmtId="0" fontId="15" fillId="0" borderId="13"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30" fillId="0" borderId="0" applyNumberFormat="0" applyFill="0" applyBorder="0" applyAlignment="0" applyProtection="0"/>
    <xf numFmtId="0" fontId="40" fillId="0" borderId="0" applyNumberFormat="0" applyFill="0" applyBorder="0" applyAlignment="0" applyProtection="0"/>
    <xf numFmtId="0" fontId="17" fillId="7" borderId="7" applyNumberFormat="0" applyAlignment="0" applyProtection="0"/>
    <xf numFmtId="0" fontId="17" fillId="7" borderId="7" applyNumberFormat="0" applyAlignment="0" applyProtection="0"/>
    <xf numFmtId="4" fontId="31" fillId="0" borderId="0" applyBorder="0">
      <alignment horizontal="right" vertical="center"/>
    </xf>
    <xf numFmtId="0" fontId="31" fillId="0" borderId="1">
      <alignment horizontal="right" vertical="center"/>
    </xf>
    <xf numFmtId="4" fontId="31" fillId="0" borderId="1">
      <alignment horizontal="right" vertical="center"/>
    </xf>
    <xf numFmtId="0" fontId="31" fillId="0" borderId="2">
      <alignment horizontal="right" vertical="center"/>
    </xf>
    <xf numFmtId="1" fontId="35" fillId="21" borderId="0" applyBorder="0">
      <alignment horizontal="right" vertical="center"/>
    </xf>
    <xf numFmtId="0" fontId="6" fillId="25" borderId="1"/>
    <xf numFmtId="0" fontId="18" fillId="0" borderId="15" applyNumberFormat="0" applyFill="0" applyAlignment="0" applyProtection="0"/>
    <xf numFmtId="0" fontId="18" fillId="0" borderId="15" applyNumberFormat="0" applyFill="0" applyAlignment="0" applyProtection="0"/>
    <xf numFmtId="0" fontId="19" fillId="26" borderId="0" applyNumberFormat="0" applyBorder="0" applyAlignment="0" applyProtection="0"/>
    <xf numFmtId="0" fontId="19" fillId="26" borderId="0" applyNumberFormat="0" applyBorder="0" applyAlignment="0" applyProtection="0"/>
    <xf numFmtId="0" fontId="7" fillId="0" borderId="0"/>
    <xf numFmtId="0" fontId="7" fillId="0" borderId="0"/>
    <xf numFmtId="0" fontId="38" fillId="0" borderId="0"/>
    <xf numFmtId="0" fontId="6" fillId="0" borderId="0"/>
    <xf numFmtId="0" fontId="6" fillId="0" borderId="0"/>
    <xf numFmtId="4" fontId="6" fillId="0" borderId="0"/>
    <xf numFmtId="0" fontId="6" fillId="0" borderId="0"/>
    <xf numFmtId="0" fontId="7" fillId="0" borderId="0"/>
    <xf numFmtId="0" fontId="7" fillId="0" borderId="0"/>
    <xf numFmtId="0" fontId="6" fillId="0" borderId="0"/>
    <xf numFmtId="0" fontId="4" fillId="0" borderId="0"/>
    <xf numFmtId="0" fontId="6" fillId="0" borderId="0"/>
    <xf numFmtId="0" fontId="7" fillId="0" borderId="0"/>
    <xf numFmtId="0" fontId="26" fillId="0" borderId="0"/>
    <xf numFmtId="0" fontId="6" fillId="0" borderId="0"/>
    <xf numFmtId="0" fontId="26" fillId="0" borderId="0"/>
    <xf numFmtId="0" fontId="6" fillId="0" borderId="0"/>
    <xf numFmtId="0" fontId="7" fillId="0" borderId="0"/>
    <xf numFmtId="0" fontId="4" fillId="0" borderId="0"/>
    <xf numFmtId="0" fontId="7" fillId="0" borderId="0"/>
    <xf numFmtId="0" fontId="24" fillId="0" borderId="0"/>
    <xf numFmtId="0" fontId="6" fillId="0" borderId="0"/>
    <xf numFmtId="0" fontId="6" fillId="0" borderId="0"/>
    <xf numFmtId="0" fontId="6" fillId="0" borderId="0"/>
    <xf numFmtId="0" fontId="6" fillId="0" borderId="0"/>
    <xf numFmtId="0" fontId="6" fillId="0" borderId="0"/>
    <xf numFmtId="0" fontId="39" fillId="0" borderId="0"/>
    <xf numFmtId="4" fontId="31" fillId="0" borderId="0" applyFill="0" applyBorder="0" applyProtection="0">
      <alignment horizontal="right" vertical="center"/>
    </xf>
    <xf numFmtId="0" fontId="33" fillId="0" borderId="0" applyNumberFormat="0" applyFill="0" applyBorder="0" applyProtection="0">
      <alignment horizontal="left" vertical="center"/>
    </xf>
    <xf numFmtId="0" fontId="31" fillId="0" borderId="1" applyNumberFormat="0" applyFill="0" applyAlignment="0" applyProtection="0"/>
    <xf numFmtId="0" fontId="6" fillId="27" borderId="0" applyNumberFormat="0" applyFont="0" applyBorder="0" applyAlignment="0" applyProtection="0"/>
    <xf numFmtId="4" fontId="6" fillId="27" borderId="0" applyNumberFormat="0" applyFont="0" applyBorder="0" applyAlignment="0" applyProtection="0"/>
    <xf numFmtId="0" fontId="36" fillId="0" borderId="0"/>
    <xf numFmtId="0" fontId="25" fillId="0" borderId="0"/>
    <xf numFmtId="0" fontId="7" fillId="0" borderId="0"/>
    <xf numFmtId="0" fontId="7" fillId="28" borderId="16" applyNumberFormat="0" applyFont="0" applyAlignment="0" applyProtection="0"/>
    <xf numFmtId="0" fontId="7" fillId="28" borderId="16" applyNumberFormat="0" applyFont="0" applyAlignment="0" applyProtection="0"/>
    <xf numFmtId="0" fontId="20" fillId="23" borderId="17" applyNumberFormat="0" applyAlignment="0" applyProtection="0"/>
    <xf numFmtId="0" fontId="20" fillId="23" borderId="17" applyNumberFormat="0" applyAlignment="0" applyProtection="0"/>
    <xf numFmtId="170" fontId="31" fillId="29" borderId="1" applyNumberFormat="0" applyFont="0" applyBorder="0" applyAlignment="0" applyProtection="0">
      <alignment horizontal="right" vertical="center"/>
    </xf>
    <xf numFmtId="9" fontId="7" fillId="0" borderId="0" applyFont="0" applyFill="0" applyBorder="0" applyAlignment="0" applyProtection="0"/>
    <xf numFmtId="9" fontId="6" fillId="0" borderId="0" applyFont="0" applyFill="0" applyBorder="0" applyAlignment="0" applyProtection="0"/>
    <xf numFmtId="9" fontId="24"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39"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68" fontId="27" fillId="0" borderId="0" applyFont="0" applyFill="0" applyBorder="0" applyAlignment="0" applyProtection="0"/>
    <xf numFmtId="0" fontId="31" fillId="27" borderId="1"/>
    <xf numFmtId="0" fontId="6" fillId="0" borderId="0"/>
    <xf numFmtId="0" fontId="6" fillId="0" borderId="1" applyNumberFormat="0" applyFill="0" applyProtection="0">
      <alignment horizontal="right"/>
    </xf>
    <xf numFmtId="0" fontId="6" fillId="0" borderId="1" applyNumberFormat="0" applyFill="0" applyProtection="0">
      <alignment horizontal="right"/>
    </xf>
    <xf numFmtId="0" fontId="5" fillId="30" borderId="1" applyNumberFormat="0" applyProtection="0">
      <alignment horizontal="right"/>
    </xf>
    <xf numFmtId="0" fontId="28" fillId="30" borderId="0" applyNumberFormat="0" applyBorder="0" applyProtection="0">
      <alignment horizontal="left"/>
    </xf>
    <xf numFmtId="0" fontId="5" fillId="30" borderId="1" applyNumberFormat="0" applyProtection="0">
      <alignment horizontal="left"/>
    </xf>
    <xf numFmtId="0" fontId="6" fillId="0" borderId="1" applyNumberFormat="0" applyFill="0" applyProtection="0">
      <alignment horizontal="right"/>
    </xf>
    <xf numFmtId="0" fontId="6" fillId="0" borderId="1" applyNumberFormat="0" applyFill="0" applyProtection="0">
      <alignment horizontal="right"/>
    </xf>
    <xf numFmtId="0" fontId="29" fillId="31" borderId="0" applyNumberFormat="0" applyBorder="0" applyProtection="0">
      <alignment horizontal="left"/>
    </xf>
    <xf numFmtId="0" fontId="21" fillId="0" borderId="0" applyNumberFormat="0" applyFill="0" applyBorder="0" applyAlignment="0" applyProtection="0"/>
    <xf numFmtId="0" fontId="21" fillId="0" borderId="0" applyNumberFormat="0" applyFill="0" applyBorder="0" applyAlignment="0" applyProtection="0"/>
    <xf numFmtId="0" fontId="22" fillId="0" borderId="18" applyNumberFormat="0" applyFill="0" applyAlignment="0" applyProtection="0"/>
    <xf numFmtId="0" fontId="22" fillId="0" borderId="18" applyNumberFormat="0" applyFill="0" applyAlignment="0" applyProtection="0"/>
    <xf numFmtId="169" fontId="27"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7" fillId="0" borderId="0" applyNumberFormat="0" applyFill="0" applyBorder="0" applyAlignment="0" applyProtection="0"/>
    <xf numFmtId="0" fontId="31" fillId="0" borderId="0"/>
    <xf numFmtId="0" fontId="2" fillId="0" borderId="0"/>
    <xf numFmtId="0" fontId="3" fillId="0" borderId="0"/>
    <xf numFmtId="0" fontId="3" fillId="0" borderId="0"/>
    <xf numFmtId="0" fontId="1" fillId="0" borderId="0"/>
    <xf numFmtId="9" fontId="1" fillId="0" borderId="0" applyFont="0" applyFill="0" applyBorder="0" applyAlignment="0" applyProtection="0"/>
    <xf numFmtId="0" fontId="1" fillId="0" borderId="0"/>
    <xf numFmtId="0" fontId="1" fillId="0" borderId="0"/>
    <xf numFmtId="0" fontId="4" fillId="0" borderId="0"/>
    <xf numFmtId="0" fontId="7" fillId="0" borderId="0"/>
    <xf numFmtId="0" fontId="62" fillId="0" borderId="0" applyNumberFormat="0" applyFill="0" applyBorder="0" applyAlignment="0" applyProtection="0"/>
  </cellStyleXfs>
  <cellXfs count="202">
    <xf numFmtId="0" fontId="0" fillId="0" borderId="0" xfId="0"/>
    <xf numFmtId="0" fontId="0" fillId="0" borderId="0" xfId="0" applyFill="1"/>
    <xf numFmtId="0" fontId="22" fillId="32" borderId="0" xfId="157" applyFont="1" applyFill="1"/>
    <xf numFmtId="0" fontId="5" fillId="0" borderId="0" xfId="0" applyFont="1"/>
    <xf numFmtId="0" fontId="3" fillId="0" borderId="0" xfId="0" applyFont="1"/>
    <xf numFmtId="0" fontId="7" fillId="0" borderId="0" xfId="123"/>
    <xf numFmtId="3" fontId="7" fillId="0" borderId="0" xfId="123" applyNumberFormat="1"/>
    <xf numFmtId="0" fontId="7" fillId="0" borderId="0" xfId="123" applyFill="1"/>
    <xf numFmtId="0" fontId="44" fillId="0" borderId="0" xfId="191" applyFont="1"/>
    <xf numFmtId="0" fontId="2" fillId="0" borderId="0" xfId="191"/>
    <xf numFmtId="0" fontId="5" fillId="36" borderId="20" xfId="191" applyFont="1" applyFill="1" applyBorder="1"/>
    <xf numFmtId="0" fontId="5" fillId="36" borderId="20" xfId="191" applyFont="1" applyFill="1" applyBorder="1" applyAlignment="1">
      <alignment horizontal="center"/>
    </xf>
    <xf numFmtId="0" fontId="3" fillId="36" borderId="20" xfId="191" applyFont="1" applyFill="1" applyBorder="1"/>
    <xf numFmtId="0" fontId="5" fillId="36" borderId="20" xfId="192" applyFont="1" applyFill="1" applyBorder="1" applyAlignment="1">
      <alignment horizontal="center"/>
    </xf>
    <xf numFmtId="0" fontId="7" fillId="0" borderId="0" xfId="124"/>
    <xf numFmtId="0" fontId="2" fillId="0" borderId="0" xfId="191" applyFont="1" applyFill="1"/>
    <xf numFmtId="0" fontId="2" fillId="0" borderId="0" xfId="191" applyFill="1" applyAlignment="1">
      <alignment horizontal="center"/>
    </xf>
    <xf numFmtId="0" fontId="2" fillId="0" borderId="0" xfId="191" applyFill="1"/>
    <xf numFmtId="4" fontId="5" fillId="37" borderId="0" xfId="191" applyNumberFormat="1" applyFont="1" applyFill="1" applyBorder="1" applyAlignment="1">
      <alignment horizontal="right"/>
    </xf>
    <xf numFmtId="0" fontId="2" fillId="0" borderId="0" xfId="191" applyAlignment="1">
      <alignment horizontal="center"/>
    </xf>
    <xf numFmtId="0" fontId="2" fillId="37" borderId="0" xfId="191" applyFill="1"/>
    <xf numFmtId="3" fontId="7" fillId="37" borderId="0" xfId="123" applyNumberFormat="1" applyFill="1"/>
    <xf numFmtId="171" fontId="7" fillId="0" borderId="0" xfId="123" applyNumberFormat="1"/>
    <xf numFmtId="0" fontId="44" fillId="0" borderId="0" xfId="192" applyFont="1" applyFill="1" applyBorder="1" applyAlignment="1">
      <alignment horizontal="left"/>
    </xf>
    <xf numFmtId="0" fontId="5" fillId="40" borderId="0" xfId="0" applyFont="1" applyFill="1"/>
    <xf numFmtId="0" fontId="5" fillId="35" borderId="0" xfId="0" applyFont="1" applyFill="1"/>
    <xf numFmtId="1" fontId="3" fillId="0" borderId="0" xfId="193" applyNumberFormat="1" applyFont="1"/>
    <xf numFmtId="0" fontId="3" fillId="35" borderId="0" xfId="0" applyFont="1" applyFill="1"/>
    <xf numFmtId="0" fontId="3" fillId="0" borderId="0" xfId="193" applyFont="1"/>
    <xf numFmtId="0" fontId="3" fillId="40" borderId="0" xfId="0" applyFont="1" applyFill="1"/>
    <xf numFmtId="2" fontId="3" fillId="0" borderId="0" xfId="193" applyNumberFormat="1" applyFont="1" applyFill="1"/>
    <xf numFmtId="0" fontId="45" fillId="0" borderId="0" xfId="123" applyFont="1"/>
    <xf numFmtId="0" fontId="46" fillId="0" borderId="0" xfId="123" applyFont="1" applyFill="1"/>
    <xf numFmtId="0" fontId="47" fillId="0" borderId="0" xfId="193" applyFont="1" applyFill="1"/>
    <xf numFmtId="0" fontId="48" fillId="0" borderId="0" xfId="123" applyFont="1" applyFill="1"/>
    <xf numFmtId="1" fontId="47" fillId="0" borderId="0" xfId="193" applyNumberFormat="1" applyFont="1" applyFill="1"/>
    <xf numFmtId="0" fontId="47" fillId="0" borderId="0" xfId="0" applyFont="1" applyFill="1"/>
    <xf numFmtId="0" fontId="48" fillId="0" borderId="0" xfId="123" quotePrefix="1" applyFont="1" applyFill="1"/>
    <xf numFmtId="0" fontId="47" fillId="40" borderId="0" xfId="193" applyFont="1" applyFill="1"/>
    <xf numFmtId="2" fontId="47" fillId="40" borderId="0" xfId="193" applyNumberFormat="1" applyFont="1" applyFill="1"/>
    <xf numFmtId="0" fontId="47" fillId="40" borderId="0" xfId="0" applyFont="1" applyFill="1"/>
    <xf numFmtId="1" fontId="47" fillId="40" borderId="0" xfId="193" applyNumberFormat="1" applyFont="1" applyFill="1"/>
    <xf numFmtId="0" fontId="47" fillId="0" borderId="0" xfId="193" applyFont="1"/>
    <xf numFmtId="0" fontId="48" fillId="0" borderId="0" xfId="123" applyFont="1"/>
    <xf numFmtId="1" fontId="47" fillId="0" borderId="0" xfId="193" applyNumberFormat="1" applyFont="1"/>
    <xf numFmtId="0" fontId="49" fillId="40" borderId="0" xfId="193" applyFont="1" applyFill="1"/>
    <xf numFmtId="0" fontId="47" fillId="0" borderId="21" xfId="193" applyFont="1" applyFill="1" applyBorder="1"/>
    <xf numFmtId="0" fontId="48" fillId="0" borderId="21" xfId="123" applyFont="1" applyFill="1" applyBorder="1"/>
    <xf numFmtId="0" fontId="49" fillId="40" borderId="21" xfId="193" applyFont="1" applyFill="1" applyBorder="1"/>
    <xf numFmtId="0" fontId="48" fillId="0" borderId="21" xfId="123" quotePrefix="1" applyFont="1" applyFill="1" applyBorder="1"/>
    <xf numFmtId="1" fontId="47" fillId="0" borderId="21" xfId="193" applyNumberFormat="1" applyFont="1" applyFill="1" applyBorder="1"/>
    <xf numFmtId="0" fontId="47" fillId="40" borderId="21" xfId="193" applyFont="1" applyFill="1" applyBorder="1"/>
    <xf numFmtId="0" fontId="3" fillId="0" borderId="21" xfId="0" applyFont="1" applyBorder="1"/>
    <xf numFmtId="0" fontId="3" fillId="0" borderId="0" xfId="0" applyFont="1" applyBorder="1"/>
    <xf numFmtId="0" fontId="3" fillId="0" borderId="22" xfId="0" applyFont="1" applyBorder="1"/>
    <xf numFmtId="0" fontId="5" fillId="38" borderId="21" xfId="192" applyFont="1" applyFill="1" applyBorder="1"/>
    <xf numFmtId="0" fontId="46" fillId="34" borderId="21" xfId="123" applyFont="1" applyFill="1" applyBorder="1"/>
    <xf numFmtId="0" fontId="3" fillId="0" borderId="21" xfId="193" applyFont="1" applyBorder="1"/>
    <xf numFmtId="0" fontId="45" fillId="0" borderId="21" xfId="123" applyFont="1" applyBorder="1"/>
    <xf numFmtId="2" fontId="3" fillId="0" borderId="21" xfId="193" applyNumberFormat="1" applyFont="1" applyFill="1" applyBorder="1"/>
    <xf numFmtId="1" fontId="3" fillId="0" borderId="21" xfId="193" applyNumberFormat="1" applyFont="1" applyBorder="1"/>
    <xf numFmtId="0" fontId="47" fillId="0" borderId="22" xfId="193" applyFont="1" applyBorder="1"/>
    <xf numFmtId="0" fontId="48" fillId="0" borderId="22" xfId="123" applyFont="1" applyBorder="1"/>
    <xf numFmtId="1" fontId="47" fillId="40" borderId="22" xfId="193" applyNumberFormat="1" applyFont="1" applyFill="1" applyBorder="1"/>
    <xf numFmtId="1" fontId="47" fillId="0" borderId="22" xfId="193" applyNumberFormat="1" applyFont="1" applyBorder="1"/>
    <xf numFmtId="0" fontId="46" fillId="33" borderId="19" xfId="123" applyFont="1" applyFill="1" applyBorder="1" applyAlignment="1">
      <alignment horizontal="center"/>
    </xf>
    <xf numFmtId="0" fontId="5" fillId="0" borderId="19" xfId="0" applyFont="1" applyBorder="1"/>
    <xf numFmtId="0" fontId="5" fillId="38" borderId="19" xfId="192" applyFont="1" applyFill="1" applyBorder="1"/>
    <xf numFmtId="0" fontId="5" fillId="39" borderId="19" xfId="192" applyFont="1" applyFill="1" applyBorder="1" applyAlignment="1">
      <alignment horizontal="center"/>
    </xf>
    <xf numFmtId="0" fontId="46" fillId="34" borderId="19" xfId="123" applyFont="1" applyFill="1" applyBorder="1"/>
    <xf numFmtId="0" fontId="46" fillId="0" borderId="19" xfId="123" applyFont="1" applyFill="1" applyBorder="1"/>
    <xf numFmtId="0" fontId="5" fillId="0" borderId="21" xfId="0" applyFont="1" applyBorder="1"/>
    <xf numFmtId="0" fontId="5" fillId="39" borderId="21" xfId="192" applyFont="1" applyFill="1" applyBorder="1" applyAlignment="1">
      <alignment horizontal="center"/>
    </xf>
    <xf numFmtId="0" fontId="45" fillId="0" borderId="0" xfId="123" applyFont="1" applyBorder="1"/>
    <xf numFmtId="0" fontId="48" fillId="0" borderId="0" xfId="123" quotePrefix="1" applyFont="1" applyFill="1" applyBorder="1"/>
    <xf numFmtId="0" fontId="48" fillId="0" borderId="22" xfId="123" quotePrefix="1" applyFont="1" applyFill="1" applyBorder="1"/>
    <xf numFmtId="0" fontId="50" fillId="34" borderId="0" xfId="123" applyFont="1" applyFill="1" applyBorder="1"/>
    <xf numFmtId="171" fontId="47" fillId="35" borderId="0" xfId="80" applyNumberFormat="1" applyFont="1" applyFill="1"/>
    <xf numFmtId="0" fontId="48" fillId="33" borderId="19" xfId="123" applyFont="1" applyFill="1" applyBorder="1"/>
    <xf numFmtId="0" fontId="48" fillId="35" borderId="0" xfId="123" applyFont="1" applyFill="1"/>
    <xf numFmtId="0" fontId="51" fillId="40" borderId="21" xfId="193" applyFont="1" applyFill="1" applyBorder="1"/>
    <xf numFmtId="0" fontId="51" fillId="40" borderId="0" xfId="193" applyFont="1" applyFill="1"/>
    <xf numFmtId="0" fontId="50" fillId="0" borderId="0" xfId="193" applyFont="1" applyFill="1"/>
    <xf numFmtId="171" fontId="47" fillId="0" borderId="0" xfId="80" applyNumberFormat="1" applyFont="1" applyFill="1"/>
    <xf numFmtId="0" fontId="43" fillId="0" borderId="0" xfId="123" applyFont="1" applyFill="1"/>
    <xf numFmtId="0" fontId="0" fillId="35" borderId="0" xfId="0" applyFill="1"/>
    <xf numFmtId="0" fontId="28" fillId="35" borderId="0" xfId="0" applyFont="1" applyFill="1"/>
    <xf numFmtId="0" fontId="7" fillId="35" borderId="0" xfId="123" applyFill="1"/>
    <xf numFmtId="0" fontId="53" fillId="35" borderId="0" xfId="123" applyFont="1" applyFill="1"/>
    <xf numFmtId="0" fontId="48" fillId="41" borderId="0" xfId="123" applyFont="1" applyFill="1"/>
    <xf numFmtId="0" fontId="50" fillId="41" borderId="0" xfId="123" applyFont="1" applyFill="1"/>
    <xf numFmtId="171" fontId="47" fillId="41" borderId="0" xfId="80" applyNumberFormat="1" applyFont="1" applyFill="1"/>
    <xf numFmtId="0" fontId="48" fillId="41" borderId="0" xfId="123" applyFont="1" applyFill="1" applyAlignment="1">
      <alignment horizontal="center"/>
    </xf>
    <xf numFmtId="0" fontId="50" fillId="0" borderId="0" xfId="123" applyFont="1" applyFill="1"/>
    <xf numFmtId="3" fontId="48" fillId="0" borderId="0" xfId="123" applyNumberFormat="1" applyFont="1" applyFill="1"/>
    <xf numFmtId="0" fontId="52" fillId="41" borderId="0" xfId="123" applyFont="1" applyFill="1"/>
    <xf numFmtId="10" fontId="54" fillId="0" borderId="0" xfId="195" applyNumberFormat="1" applyFont="1"/>
    <xf numFmtId="10" fontId="55" fillId="0" borderId="22" xfId="195" applyNumberFormat="1" applyFont="1" applyBorder="1"/>
    <xf numFmtId="1" fontId="55" fillId="0" borderId="22" xfId="195" applyNumberFormat="1" applyFont="1" applyBorder="1"/>
    <xf numFmtId="172" fontId="55" fillId="0" borderId="22" xfId="195" applyNumberFormat="1" applyFont="1" applyBorder="1"/>
    <xf numFmtId="1" fontId="54" fillId="0" borderId="0" xfId="195" applyNumberFormat="1" applyFont="1"/>
    <xf numFmtId="172" fontId="54" fillId="0" borderId="0" xfId="195" applyNumberFormat="1" applyFont="1"/>
    <xf numFmtId="10" fontId="54" fillId="0" borderId="22" xfId="195" applyNumberFormat="1" applyFont="1" applyBorder="1"/>
    <xf numFmtId="1" fontId="54" fillId="0" borderId="22" xfId="195" applyNumberFormat="1" applyFont="1" applyBorder="1"/>
    <xf numFmtId="172" fontId="54" fillId="41" borderId="22" xfId="195" applyNumberFormat="1" applyFont="1" applyFill="1" applyBorder="1"/>
    <xf numFmtId="10" fontId="54" fillId="41" borderId="0" xfId="195" applyNumberFormat="1" applyFont="1" applyFill="1"/>
    <xf numFmtId="10" fontId="55" fillId="41" borderId="0" xfId="195" applyNumberFormat="1" applyFont="1" applyFill="1"/>
    <xf numFmtId="0" fontId="54" fillId="0" borderId="0" xfId="0" applyFont="1"/>
    <xf numFmtId="0" fontId="55" fillId="0" borderId="0" xfId="0" applyFont="1"/>
    <xf numFmtId="1" fontId="56" fillId="0" borderId="0" xfId="0" applyNumberFormat="1" applyFont="1" applyFill="1" applyBorder="1"/>
    <xf numFmtId="0" fontId="57" fillId="0" borderId="0" xfId="0" applyFont="1" applyFill="1" applyBorder="1"/>
    <xf numFmtId="0" fontId="57" fillId="0" borderId="0" xfId="0" applyFont="1" applyFill="1"/>
    <xf numFmtId="3" fontId="56" fillId="0" borderId="22" xfId="0" applyNumberFormat="1" applyFont="1" applyFill="1" applyBorder="1"/>
    <xf numFmtId="0" fontId="57" fillId="0" borderId="22" xfId="0" applyFont="1" applyFill="1" applyBorder="1"/>
    <xf numFmtId="0" fontId="55" fillId="43" borderId="22" xfId="0" applyFont="1" applyFill="1" applyBorder="1" applyAlignment="1">
      <alignment wrapText="1"/>
    </xf>
    <xf numFmtId="0" fontId="55" fillId="0" borderId="22" xfId="0" applyFont="1" applyBorder="1" applyAlignment="1">
      <alignment wrapText="1"/>
    </xf>
    <xf numFmtId="0" fontId="54" fillId="0" borderId="22" xfId="0" applyFont="1" applyBorder="1" applyAlignment="1">
      <alignment wrapText="1"/>
    </xf>
    <xf numFmtId="0" fontId="55" fillId="44" borderId="22" xfId="0" applyFont="1" applyFill="1" applyBorder="1" applyAlignment="1">
      <alignment wrapText="1"/>
    </xf>
    <xf numFmtId="0" fontId="54" fillId="43" borderId="0" xfId="0" applyFont="1" applyFill="1"/>
    <xf numFmtId="0" fontId="54" fillId="45" borderId="0" xfId="0" applyFont="1" applyFill="1"/>
    <xf numFmtId="3" fontId="54" fillId="0" borderId="0" xfId="0" applyNumberFormat="1" applyFont="1"/>
    <xf numFmtId="0" fontId="55" fillId="0" borderId="22" xfId="0" applyFont="1" applyBorder="1"/>
    <xf numFmtId="0" fontId="55" fillId="43" borderId="22" xfId="0" applyFont="1" applyFill="1" applyBorder="1"/>
    <xf numFmtId="3" fontId="55" fillId="45" borderId="22" xfId="0" applyNumberFormat="1" applyFont="1" applyFill="1" applyBorder="1"/>
    <xf numFmtId="3" fontId="55" fillId="0" borderId="22" xfId="0" applyNumberFormat="1" applyFont="1" applyBorder="1"/>
    <xf numFmtId="3" fontId="54" fillId="45" borderId="0" xfId="0" applyNumberFormat="1" applyFont="1" applyFill="1"/>
    <xf numFmtId="3" fontId="54" fillId="43" borderId="0" xfId="0" applyNumberFormat="1" applyFont="1" applyFill="1"/>
    <xf numFmtId="3" fontId="54" fillId="42" borderId="0" xfId="0" applyNumberFormat="1" applyFont="1" applyFill="1"/>
    <xf numFmtId="3" fontId="54" fillId="0" borderId="0" xfId="0" quotePrefix="1" applyNumberFormat="1" applyFont="1"/>
    <xf numFmtId="173" fontId="54" fillId="0" borderId="0" xfId="0" applyNumberFormat="1" applyFont="1" applyAlignment="1">
      <alignment wrapText="1"/>
    </xf>
    <xf numFmtId="3" fontId="55" fillId="43" borderId="22" xfId="0" applyNumberFormat="1" applyFont="1" applyFill="1" applyBorder="1"/>
    <xf numFmtId="3" fontId="55" fillId="42" borderId="22" xfId="0" applyNumberFormat="1" applyFont="1" applyFill="1" applyBorder="1"/>
    <xf numFmtId="173" fontId="55" fillId="0" borderId="22" xfId="0" applyNumberFormat="1" applyFont="1" applyBorder="1" applyAlignment="1">
      <alignment wrapText="1"/>
    </xf>
    <xf numFmtId="0" fontId="54" fillId="0" borderId="22" xfId="0" applyFont="1" applyBorder="1"/>
    <xf numFmtId="3" fontId="54" fillId="43" borderId="22" xfId="0" applyNumberFormat="1" applyFont="1" applyFill="1" applyBorder="1"/>
    <xf numFmtId="3" fontId="54" fillId="42" borderId="22" xfId="0" applyNumberFormat="1" applyFont="1" applyFill="1" applyBorder="1"/>
    <xf numFmtId="3" fontId="54" fillId="0" borderId="22" xfId="0" applyNumberFormat="1" applyFont="1" applyBorder="1"/>
    <xf numFmtId="3" fontId="54" fillId="45" borderId="22" xfId="0" applyNumberFormat="1" applyFont="1" applyFill="1" applyBorder="1"/>
    <xf numFmtId="173" fontId="54" fillId="0" borderId="22" xfId="0" applyNumberFormat="1" applyFont="1" applyBorder="1" applyAlignment="1">
      <alignment wrapText="1"/>
    </xf>
    <xf numFmtId="3" fontId="54" fillId="41" borderId="0" xfId="0" applyNumberFormat="1" applyFont="1" applyFill="1"/>
    <xf numFmtId="172" fontId="54" fillId="41" borderId="0" xfId="0" applyNumberFormat="1" applyFont="1" applyFill="1"/>
    <xf numFmtId="3" fontId="55" fillId="41" borderId="22" xfId="0" applyNumberFormat="1" applyFont="1" applyFill="1" applyBorder="1"/>
    <xf numFmtId="172" fontId="55" fillId="41" borderId="22" xfId="0" applyNumberFormat="1" applyFont="1" applyFill="1" applyBorder="1"/>
    <xf numFmtId="1" fontId="54" fillId="41" borderId="0" xfId="0" applyNumberFormat="1" applyFont="1" applyFill="1"/>
    <xf numFmtId="0" fontId="54" fillId="41" borderId="0" xfId="0" applyFont="1" applyFill="1"/>
    <xf numFmtId="1" fontId="55" fillId="0" borderId="0" xfId="0" applyNumberFormat="1" applyFont="1"/>
    <xf numFmtId="1" fontId="55" fillId="41" borderId="0" xfId="0" applyNumberFormat="1" applyFont="1" applyFill="1"/>
    <xf numFmtId="0" fontId="55" fillId="41" borderId="0" xfId="0" applyFont="1" applyFill="1"/>
    <xf numFmtId="3" fontId="55" fillId="41" borderId="0" xfId="0" applyNumberFormat="1" applyFont="1" applyFill="1"/>
    <xf numFmtId="3" fontId="55" fillId="0" borderId="0" xfId="0" applyNumberFormat="1" applyFont="1"/>
    <xf numFmtId="172" fontId="55" fillId="41" borderId="0" xfId="0" applyNumberFormat="1" applyFont="1" applyFill="1"/>
    <xf numFmtId="0" fontId="54" fillId="0" borderId="0" xfId="0" applyFont="1" applyAlignment="1">
      <alignment wrapText="1"/>
    </xf>
    <xf numFmtId="0" fontId="55" fillId="0" borderId="0" xfId="0" applyFont="1" applyAlignment="1">
      <alignment wrapText="1"/>
    </xf>
    <xf numFmtId="0" fontId="0" fillId="0" borderId="0" xfId="0" applyAlignment="1">
      <alignment wrapText="1"/>
    </xf>
    <xf numFmtId="0" fontId="0" fillId="41" borderId="0" xfId="0" applyFill="1"/>
    <xf numFmtId="0" fontId="4" fillId="0" borderId="0" xfId="0" applyFont="1"/>
    <xf numFmtId="3" fontId="58" fillId="0" borderId="0" xfId="123" applyNumberFormat="1" applyFont="1"/>
    <xf numFmtId="3" fontId="59" fillId="0" borderId="0" xfId="123" applyNumberFormat="1" applyFont="1"/>
    <xf numFmtId="174" fontId="47" fillId="40" borderId="0" xfId="193" applyNumberFormat="1" applyFont="1" applyFill="1"/>
    <xf numFmtId="175" fontId="47" fillId="40" borderId="0" xfId="193" applyNumberFormat="1" applyFont="1" applyFill="1"/>
    <xf numFmtId="171" fontId="47" fillId="41" borderId="0" xfId="80" applyNumberFormat="1" applyFont="1" applyFill="1" applyAlignment="1"/>
    <xf numFmtId="3" fontId="48" fillId="41" borderId="0" xfId="123" applyNumberFormat="1" applyFont="1" applyFill="1"/>
    <xf numFmtId="0" fontId="52" fillId="0" borderId="0" xfId="123" applyFont="1" applyFill="1"/>
    <xf numFmtId="0" fontId="0" fillId="0" borderId="0" xfId="0" applyFill="1" applyBorder="1"/>
    <xf numFmtId="0" fontId="7" fillId="0" borderId="0" xfId="123" applyFill="1" applyBorder="1"/>
    <xf numFmtId="3" fontId="7" fillId="0" borderId="0" xfId="123" applyNumberFormat="1" applyFill="1" applyBorder="1"/>
    <xf numFmtId="171" fontId="7" fillId="0" borderId="0" xfId="123" applyNumberFormat="1" applyFill="1" applyBorder="1"/>
    <xf numFmtId="0" fontId="61" fillId="0" borderId="0" xfId="0" applyFont="1" applyFill="1" applyBorder="1" applyAlignment="1">
      <alignment horizontal="right" vertical="center"/>
    </xf>
    <xf numFmtId="0" fontId="61" fillId="0" borderId="0" xfId="0" applyFont="1" applyFill="1" applyBorder="1" applyAlignment="1">
      <alignment vertical="center"/>
    </xf>
    <xf numFmtId="0" fontId="4" fillId="0" borderId="0" xfId="0" applyFont="1" applyFill="1"/>
    <xf numFmtId="3" fontId="58" fillId="0" borderId="0" xfId="123" applyNumberFormat="1" applyFont="1" applyFill="1"/>
    <xf numFmtId="0" fontId="59" fillId="0" borderId="0" xfId="123" applyFont="1" applyFill="1"/>
    <xf numFmtId="3" fontId="7" fillId="0" borderId="0" xfId="123" applyNumberFormat="1" applyFill="1"/>
    <xf numFmtId="0" fontId="22" fillId="35" borderId="0" xfId="123" applyFont="1" applyFill="1"/>
    <xf numFmtId="0" fontId="5" fillId="35" borderId="0" xfId="123" applyFont="1" applyFill="1"/>
    <xf numFmtId="0" fontId="44" fillId="0" borderId="0" xfId="192" applyFont="1" applyAlignment="1">
      <alignment horizontal="left"/>
    </xf>
    <xf numFmtId="0" fontId="46" fillId="34" borderId="19" xfId="199" applyFont="1" applyFill="1" applyBorder="1"/>
    <xf numFmtId="0" fontId="46" fillId="33" borderId="19" xfId="199" applyFont="1" applyFill="1" applyBorder="1" applyAlignment="1">
      <alignment horizontal="center"/>
    </xf>
    <xf numFmtId="0" fontId="48" fillId="0" borderId="0" xfId="199" applyFont="1"/>
    <xf numFmtId="0" fontId="48" fillId="0" borderId="22" xfId="199" applyFont="1" applyBorder="1"/>
    <xf numFmtId="0" fontId="47" fillId="0" borderId="21" xfId="193" applyFont="1" applyBorder="1"/>
    <xf numFmtId="0" fontId="48" fillId="0" borderId="21" xfId="199" applyFont="1" applyBorder="1"/>
    <xf numFmtId="0" fontId="48" fillId="0" borderId="21" xfId="199" quotePrefix="1" applyFont="1" applyBorder="1"/>
    <xf numFmtId="1" fontId="47" fillId="0" borderId="21" xfId="193" applyNumberFormat="1" applyFont="1" applyBorder="1"/>
    <xf numFmtId="0" fontId="48" fillId="0" borderId="0" xfId="199" quotePrefix="1" applyFont="1"/>
    <xf numFmtId="0" fontId="48" fillId="0" borderId="22" xfId="199" quotePrefix="1" applyFont="1" applyBorder="1"/>
    <xf numFmtId="0" fontId="47" fillId="0" borderId="0" xfId="193" applyFont="1" applyBorder="1"/>
    <xf numFmtId="0" fontId="48" fillId="0" borderId="0" xfId="199" applyFont="1" applyBorder="1"/>
    <xf numFmtId="0" fontId="47" fillId="40" borderId="0" xfId="193" applyFont="1" applyFill="1" applyBorder="1"/>
    <xf numFmtId="0" fontId="48" fillId="0" borderId="0" xfId="199" quotePrefix="1" applyFont="1" applyBorder="1"/>
    <xf numFmtId="1" fontId="47" fillId="0" borderId="0" xfId="193" applyNumberFormat="1" applyFont="1" applyBorder="1"/>
    <xf numFmtId="2" fontId="47" fillId="40" borderId="0" xfId="193" applyNumberFormat="1" applyFont="1" applyFill="1" applyBorder="1"/>
    <xf numFmtId="0" fontId="47" fillId="40" borderId="22" xfId="193" applyFont="1" applyFill="1" applyBorder="1"/>
    <xf numFmtId="0" fontId="62" fillId="0" borderId="0" xfId="200"/>
    <xf numFmtId="0" fontId="3" fillId="0" borderId="21" xfId="0" applyFont="1" applyBorder="1" applyAlignment="1">
      <alignment horizontal="center" vertical="center" wrapText="1"/>
    </xf>
    <xf numFmtId="0" fontId="3" fillId="0" borderId="0"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1" xfId="0" applyFont="1" applyBorder="1" applyAlignment="1">
      <alignment horizontal="center" vertical="center"/>
    </xf>
    <xf numFmtId="0" fontId="3" fillId="0" borderId="0" xfId="0" applyFont="1" applyBorder="1" applyAlignment="1">
      <alignment horizontal="center" vertical="center"/>
    </xf>
    <xf numFmtId="0" fontId="3" fillId="0" borderId="22" xfId="0" applyFont="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cellXfs>
  <cellStyles count="201">
    <cellStyle name="20% - Accent1 2" xfId="1" xr:uid="{00000000-0005-0000-0000-000000000000}"/>
    <cellStyle name="20% - Accent1 2 2" xfId="2" xr:uid="{00000000-0005-0000-0000-000001000000}"/>
    <cellStyle name="20% - Accent2 2" xfId="3" xr:uid="{00000000-0005-0000-0000-000002000000}"/>
    <cellStyle name="20% - Accent2 2 2" xfId="4" xr:uid="{00000000-0005-0000-0000-000003000000}"/>
    <cellStyle name="20% - Accent3 2" xfId="5" xr:uid="{00000000-0005-0000-0000-000004000000}"/>
    <cellStyle name="20% - Accent3 2 2" xfId="6" xr:uid="{00000000-0005-0000-0000-000005000000}"/>
    <cellStyle name="20% - Accent4 2" xfId="7" xr:uid="{00000000-0005-0000-0000-000006000000}"/>
    <cellStyle name="20% - Accent4 2 2" xfId="8" xr:uid="{00000000-0005-0000-0000-000007000000}"/>
    <cellStyle name="20% - Accent5 2" xfId="9" xr:uid="{00000000-0005-0000-0000-000008000000}"/>
    <cellStyle name="20% - Accent5 2 2" xfId="10" xr:uid="{00000000-0005-0000-0000-000009000000}"/>
    <cellStyle name="20% - Accent6 2" xfId="11" xr:uid="{00000000-0005-0000-0000-00000A000000}"/>
    <cellStyle name="20% - Accent6 2 2" xfId="12" xr:uid="{00000000-0005-0000-0000-00000B000000}"/>
    <cellStyle name="2x indented GHG Textfiels" xfId="13" xr:uid="{00000000-0005-0000-0000-00000C000000}"/>
    <cellStyle name="40% - Accent1 2" xfId="14" xr:uid="{00000000-0005-0000-0000-00000D000000}"/>
    <cellStyle name="40% - Accent1 2 2" xfId="15" xr:uid="{00000000-0005-0000-0000-00000E000000}"/>
    <cellStyle name="40% - Accent2 2" xfId="16" xr:uid="{00000000-0005-0000-0000-00000F000000}"/>
    <cellStyle name="40% - Accent2 2 2" xfId="17" xr:uid="{00000000-0005-0000-0000-000010000000}"/>
    <cellStyle name="40% - Accent3 2" xfId="18" xr:uid="{00000000-0005-0000-0000-000011000000}"/>
    <cellStyle name="40% - Accent3 2 2" xfId="19" xr:uid="{00000000-0005-0000-0000-000012000000}"/>
    <cellStyle name="40% - Accent4 2" xfId="20" xr:uid="{00000000-0005-0000-0000-000013000000}"/>
    <cellStyle name="40% - Accent4 2 2" xfId="21" xr:uid="{00000000-0005-0000-0000-000014000000}"/>
    <cellStyle name="40% - Accent5 2" xfId="22" xr:uid="{00000000-0005-0000-0000-000015000000}"/>
    <cellStyle name="40% - Accent5 2 2" xfId="23" xr:uid="{00000000-0005-0000-0000-000016000000}"/>
    <cellStyle name="40% - Accent6 2" xfId="24" xr:uid="{00000000-0005-0000-0000-000017000000}"/>
    <cellStyle name="40% - Accent6 2 2" xfId="25" xr:uid="{00000000-0005-0000-0000-000018000000}"/>
    <cellStyle name="5x indented GHG Textfiels" xfId="26" xr:uid="{00000000-0005-0000-0000-000019000000}"/>
    <cellStyle name="60% - Accent1 2" xfId="27" xr:uid="{00000000-0005-0000-0000-00001A000000}"/>
    <cellStyle name="60% - Accent1 2 2" xfId="28" xr:uid="{00000000-0005-0000-0000-00001B000000}"/>
    <cellStyle name="60% - Accent2 2" xfId="29" xr:uid="{00000000-0005-0000-0000-00001C000000}"/>
    <cellStyle name="60% - Accent2 2 2" xfId="30" xr:uid="{00000000-0005-0000-0000-00001D000000}"/>
    <cellStyle name="60% - Accent3 2" xfId="31" xr:uid="{00000000-0005-0000-0000-00001E000000}"/>
    <cellStyle name="60% - Accent3 2 2" xfId="32" xr:uid="{00000000-0005-0000-0000-00001F000000}"/>
    <cellStyle name="60% - Accent4 2" xfId="33" xr:uid="{00000000-0005-0000-0000-000020000000}"/>
    <cellStyle name="60% - Accent4 2 2" xfId="34" xr:uid="{00000000-0005-0000-0000-000021000000}"/>
    <cellStyle name="60% - Accent5 2" xfId="35" xr:uid="{00000000-0005-0000-0000-000022000000}"/>
    <cellStyle name="60% - Accent5 2 2" xfId="36" xr:uid="{00000000-0005-0000-0000-000023000000}"/>
    <cellStyle name="60% - Accent6 2" xfId="37" xr:uid="{00000000-0005-0000-0000-000024000000}"/>
    <cellStyle name="60% - Accent6 2 2" xfId="38" xr:uid="{00000000-0005-0000-0000-000025000000}"/>
    <cellStyle name="Accent1 2" xfId="39" xr:uid="{00000000-0005-0000-0000-000026000000}"/>
    <cellStyle name="Accent1 2 2" xfId="40" xr:uid="{00000000-0005-0000-0000-000027000000}"/>
    <cellStyle name="Accent2 2" xfId="41" xr:uid="{00000000-0005-0000-0000-000028000000}"/>
    <cellStyle name="Accent2 2 2" xfId="42" xr:uid="{00000000-0005-0000-0000-000029000000}"/>
    <cellStyle name="Accent3 2" xfId="43" xr:uid="{00000000-0005-0000-0000-00002A000000}"/>
    <cellStyle name="Accent3 2 2" xfId="44" xr:uid="{00000000-0005-0000-0000-00002B000000}"/>
    <cellStyle name="Accent4 2" xfId="45" xr:uid="{00000000-0005-0000-0000-00002C000000}"/>
    <cellStyle name="Accent4 2 2" xfId="46" xr:uid="{00000000-0005-0000-0000-00002D000000}"/>
    <cellStyle name="Accent5 2" xfId="47" xr:uid="{00000000-0005-0000-0000-00002E000000}"/>
    <cellStyle name="Accent5 2 2" xfId="48" xr:uid="{00000000-0005-0000-0000-00002F000000}"/>
    <cellStyle name="Accent6 2" xfId="49" xr:uid="{00000000-0005-0000-0000-000030000000}"/>
    <cellStyle name="Accent6 2 2" xfId="50" xr:uid="{00000000-0005-0000-0000-000031000000}"/>
    <cellStyle name="AggblueBoldCels" xfId="51" xr:uid="{00000000-0005-0000-0000-000032000000}"/>
    <cellStyle name="AggblueBoldCels 2" xfId="52" xr:uid="{00000000-0005-0000-0000-000033000000}"/>
    <cellStyle name="AggblueCels" xfId="53" xr:uid="{00000000-0005-0000-0000-000034000000}"/>
    <cellStyle name="AggblueCels 2" xfId="54" xr:uid="{00000000-0005-0000-0000-000035000000}"/>
    <cellStyle name="AggblueCels_1x" xfId="55" xr:uid="{00000000-0005-0000-0000-000036000000}"/>
    <cellStyle name="AggBoldCells" xfId="56" xr:uid="{00000000-0005-0000-0000-000037000000}"/>
    <cellStyle name="AggCels" xfId="57" xr:uid="{00000000-0005-0000-0000-000038000000}"/>
    <cellStyle name="AggGreen" xfId="58" xr:uid="{00000000-0005-0000-0000-000039000000}"/>
    <cellStyle name="AggGreen 2" xfId="59" xr:uid="{00000000-0005-0000-0000-00003A000000}"/>
    <cellStyle name="AggGreen_Bbdr" xfId="60" xr:uid="{00000000-0005-0000-0000-00003B000000}"/>
    <cellStyle name="AggGreen12" xfId="61" xr:uid="{00000000-0005-0000-0000-00003C000000}"/>
    <cellStyle name="AggGreen12 2" xfId="62" xr:uid="{00000000-0005-0000-0000-00003D000000}"/>
    <cellStyle name="AggOrange" xfId="63" xr:uid="{00000000-0005-0000-0000-00003E000000}"/>
    <cellStyle name="AggOrange 2" xfId="64" xr:uid="{00000000-0005-0000-0000-00003F000000}"/>
    <cellStyle name="AggOrange_B_border" xfId="65" xr:uid="{00000000-0005-0000-0000-000040000000}"/>
    <cellStyle name="AggOrange9" xfId="66" xr:uid="{00000000-0005-0000-0000-000041000000}"/>
    <cellStyle name="AggOrange9 2" xfId="67" xr:uid="{00000000-0005-0000-0000-000042000000}"/>
    <cellStyle name="AggOrangeLB_2x" xfId="68" xr:uid="{00000000-0005-0000-0000-000043000000}"/>
    <cellStyle name="AggOrangeLBorder" xfId="69" xr:uid="{00000000-0005-0000-0000-000044000000}"/>
    <cellStyle name="AggOrangeLBorder 2" xfId="70" xr:uid="{00000000-0005-0000-0000-000045000000}"/>
    <cellStyle name="AggOrangeRBorder" xfId="71" xr:uid="{00000000-0005-0000-0000-000046000000}"/>
    <cellStyle name="AggOrangeRBorder 2" xfId="72" xr:uid="{00000000-0005-0000-0000-000047000000}"/>
    <cellStyle name="Bad 2" xfId="73" xr:uid="{00000000-0005-0000-0000-000048000000}"/>
    <cellStyle name="Bad 2 2" xfId="74" xr:uid="{00000000-0005-0000-0000-000049000000}"/>
    <cellStyle name="Bold GHG Numbers (0.00)" xfId="75" xr:uid="{00000000-0005-0000-0000-00004A000000}"/>
    <cellStyle name="Calculation 2" xfId="76" xr:uid="{00000000-0005-0000-0000-00004B000000}"/>
    <cellStyle name="Calculation 2 2" xfId="77" xr:uid="{00000000-0005-0000-0000-00004C000000}"/>
    <cellStyle name="Check Cell 2" xfId="78" xr:uid="{00000000-0005-0000-0000-00004D000000}"/>
    <cellStyle name="Check Cell 2 2" xfId="79" xr:uid="{00000000-0005-0000-0000-00004E000000}"/>
    <cellStyle name="Comma 2" xfId="80" xr:uid="{00000000-0005-0000-0000-000050000000}"/>
    <cellStyle name="Comma 2 2" xfId="81" xr:uid="{00000000-0005-0000-0000-000051000000}"/>
    <cellStyle name="Comma 2 2 2" xfId="82" xr:uid="{00000000-0005-0000-0000-000052000000}"/>
    <cellStyle name="Comma 2 2 3" xfId="83" xr:uid="{00000000-0005-0000-0000-000053000000}"/>
    <cellStyle name="Comma 2 2 4" xfId="84" xr:uid="{00000000-0005-0000-0000-000054000000}"/>
    <cellStyle name="Comma 2 3" xfId="85" xr:uid="{00000000-0005-0000-0000-000055000000}"/>
    <cellStyle name="Comma 2 4" xfId="86" xr:uid="{00000000-0005-0000-0000-000056000000}"/>
    <cellStyle name="Comma 3" xfId="87" xr:uid="{00000000-0005-0000-0000-000057000000}"/>
    <cellStyle name="Constants" xfId="88" xr:uid="{00000000-0005-0000-0000-000058000000}"/>
    <cellStyle name="CustomCellsOrange" xfId="89" xr:uid="{00000000-0005-0000-0000-000059000000}"/>
    <cellStyle name="CustomizationCells" xfId="90" xr:uid="{00000000-0005-0000-0000-00005A000000}"/>
    <cellStyle name="CustomizationGreenCells" xfId="91" xr:uid="{00000000-0005-0000-0000-00005B000000}"/>
    <cellStyle name="DocBox_EmptyRow" xfId="92" xr:uid="{00000000-0005-0000-0000-00005C000000}"/>
    <cellStyle name="Empty_B_border" xfId="93" xr:uid="{00000000-0005-0000-0000-00005D000000}"/>
    <cellStyle name="Euro" xfId="94" xr:uid="{00000000-0005-0000-0000-00005E000000}"/>
    <cellStyle name="Explanatory Text 2" xfId="95" xr:uid="{00000000-0005-0000-0000-00005F000000}"/>
    <cellStyle name="Explanatory Text 2 2" xfId="96" xr:uid="{00000000-0005-0000-0000-000060000000}"/>
    <cellStyle name="Float" xfId="97" xr:uid="{00000000-0005-0000-0000-000061000000}"/>
    <cellStyle name="Float 2" xfId="98" xr:uid="{00000000-0005-0000-0000-000062000000}"/>
    <cellStyle name="Good 2" xfId="99" xr:uid="{00000000-0005-0000-0000-000063000000}"/>
    <cellStyle name="Good 2 2" xfId="100" xr:uid="{00000000-0005-0000-0000-000064000000}"/>
    <cellStyle name="Heading 1 2" xfId="101" xr:uid="{00000000-0005-0000-0000-000065000000}"/>
    <cellStyle name="Heading 1 2 2" xfId="102" xr:uid="{00000000-0005-0000-0000-000066000000}"/>
    <cellStyle name="Heading 2 2" xfId="103" xr:uid="{00000000-0005-0000-0000-000067000000}"/>
    <cellStyle name="Heading 2 2 2" xfId="104" xr:uid="{00000000-0005-0000-0000-000068000000}"/>
    <cellStyle name="Heading 3 2" xfId="105" xr:uid="{00000000-0005-0000-0000-000069000000}"/>
    <cellStyle name="Heading 3 2 2" xfId="106" xr:uid="{00000000-0005-0000-0000-00006A000000}"/>
    <cellStyle name="Heading 4 2" xfId="107" xr:uid="{00000000-0005-0000-0000-00006B000000}"/>
    <cellStyle name="Heading 4 2 2" xfId="108" xr:uid="{00000000-0005-0000-0000-00006C000000}"/>
    <cellStyle name="Headline" xfId="109" xr:uid="{00000000-0005-0000-0000-00006D000000}"/>
    <cellStyle name="Hyperlink" xfId="200" builtinId="8"/>
    <cellStyle name="Hyperlink 2" xfId="110" xr:uid="{00000000-0005-0000-0000-00006E000000}"/>
    <cellStyle name="Input 2" xfId="111" xr:uid="{00000000-0005-0000-0000-00006F000000}"/>
    <cellStyle name="Input 2 2" xfId="112" xr:uid="{00000000-0005-0000-0000-000070000000}"/>
    <cellStyle name="InputCells" xfId="113" xr:uid="{00000000-0005-0000-0000-000071000000}"/>
    <cellStyle name="InputCells12" xfId="114" xr:uid="{00000000-0005-0000-0000-000072000000}"/>
    <cellStyle name="InputCells12 2" xfId="115" xr:uid="{00000000-0005-0000-0000-000073000000}"/>
    <cellStyle name="InputCells12_BBorder" xfId="116" xr:uid="{00000000-0005-0000-0000-000074000000}"/>
    <cellStyle name="IntCells" xfId="117" xr:uid="{00000000-0005-0000-0000-000075000000}"/>
    <cellStyle name="KP_thin_border_dark_grey" xfId="118" xr:uid="{00000000-0005-0000-0000-000076000000}"/>
    <cellStyle name="Linked Cell 2" xfId="119" xr:uid="{00000000-0005-0000-0000-000077000000}"/>
    <cellStyle name="Linked Cell 2 2" xfId="120" xr:uid="{00000000-0005-0000-0000-000078000000}"/>
    <cellStyle name="Neutral 2" xfId="121" xr:uid="{00000000-0005-0000-0000-000079000000}"/>
    <cellStyle name="Neutral 2 2" xfId="122" xr:uid="{00000000-0005-0000-0000-00007A000000}"/>
    <cellStyle name="Normal" xfId="0" builtinId="0"/>
    <cellStyle name="Normal 10" xfId="192" xr:uid="{00000000-0005-0000-0000-00007C000000}"/>
    <cellStyle name="Normal 11" xfId="194" xr:uid="{00000000-0005-0000-0000-00007D000000}"/>
    <cellStyle name="Normal 11 2 2" xfId="191" xr:uid="{00000000-0005-0000-0000-00007E000000}"/>
    <cellStyle name="Normal 11 2 2 2" xfId="196" xr:uid="{00000000-0005-0000-0000-00007F000000}"/>
    <cellStyle name="Normal 11 2 3" xfId="197" xr:uid="{00000000-0005-0000-0000-000080000000}"/>
    <cellStyle name="Normal 2" xfId="123" xr:uid="{00000000-0005-0000-0000-000081000000}"/>
    <cellStyle name="Normal 2 18" xfId="199" xr:uid="{ACA8821F-255D-4071-87EF-0146C97D1A07}"/>
    <cellStyle name="Normal 2 2" xfId="124" xr:uid="{00000000-0005-0000-0000-000082000000}"/>
    <cellStyle name="Normal 2 2 2" xfId="125" xr:uid="{00000000-0005-0000-0000-000083000000}"/>
    <cellStyle name="Normal 2 3" xfId="126" xr:uid="{00000000-0005-0000-0000-000084000000}"/>
    <cellStyle name="Normal 2 4" xfId="127" xr:uid="{00000000-0005-0000-0000-000085000000}"/>
    <cellStyle name="Normal 2 5" xfId="128" xr:uid="{00000000-0005-0000-0000-000086000000}"/>
    <cellStyle name="Normal 2 6" xfId="198" xr:uid="{00000000-0005-0000-0000-000087000000}"/>
    <cellStyle name="Normal 2_bound" xfId="129" xr:uid="{00000000-0005-0000-0000-000088000000}"/>
    <cellStyle name="Normal 3" xfId="130" xr:uid="{00000000-0005-0000-0000-000089000000}"/>
    <cellStyle name="Normal 3 2" xfId="131" xr:uid="{00000000-0005-0000-0000-00008A000000}"/>
    <cellStyle name="Normal 3 3" xfId="132" xr:uid="{00000000-0005-0000-0000-00008B000000}"/>
    <cellStyle name="Normal 3 4" xfId="133" xr:uid="{00000000-0005-0000-0000-00008C000000}"/>
    <cellStyle name="Normal 3_Heating-COM" xfId="134" xr:uid="{00000000-0005-0000-0000-00008D000000}"/>
    <cellStyle name="Normal 4" xfId="135" xr:uid="{00000000-0005-0000-0000-00008E000000}"/>
    <cellStyle name="Normal 4 13 2" xfId="136" xr:uid="{00000000-0005-0000-0000-00008F000000}"/>
    <cellStyle name="Normal 4 13 2 2" xfId="137" xr:uid="{00000000-0005-0000-0000-000090000000}"/>
    <cellStyle name="Normal 4 13 2 3" xfId="138" xr:uid="{00000000-0005-0000-0000-000091000000}"/>
    <cellStyle name="Normal 4 13 2 4" xfId="139" xr:uid="{00000000-0005-0000-0000-000092000000}"/>
    <cellStyle name="Normal 4 2" xfId="140" xr:uid="{00000000-0005-0000-0000-000093000000}"/>
    <cellStyle name="Normal 4 3" xfId="141" xr:uid="{00000000-0005-0000-0000-000094000000}"/>
    <cellStyle name="Normal 5" xfId="142" xr:uid="{00000000-0005-0000-0000-000095000000}"/>
    <cellStyle name="Normal 6" xfId="143" xr:uid="{00000000-0005-0000-0000-000096000000}"/>
    <cellStyle name="Normal 6 2" xfId="144" xr:uid="{00000000-0005-0000-0000-000097000000}"/>
    <cellStyle name="Normal 7" xfId="145" xr:uid="{00000000-0005-0000-0000-000098000000}"/>
    <cellStyle name="Normal 7 2" xfId="146" xr:uid="{00000000-0005-0000-0000-000099000000}"/>
    <cellStyle name="Normal 8" xfId="147" xr:uid="{00000000-0005-0000-0000-00009A000000}"/>
    <cellStyle name="Normal 8 2" xfId="148" xr:uid="{00000000-0005-0000-0000-00009B000000}"/>
    <cellStyle name="Normal 9" xfId="149" xr:uid="{00000000-0005-0000-0000-00009C000000}"/>
    <cellStyle name="Normal GHG Numbers (0.00)" xfId="150" xr:uid="{00000000-0005-0000-0000-00009D000000}"/>
    <cellStyle name="Normal GHG Textfiels Bold" xfId="151" xr:uid="{00000000-0005-0000-0000-00009E000000}"/>
    <cellStyle name="Normal GHG whole table" xfId="152" xr:uid="{00000000-0005-0000-0000-00009F000000}"/>
    <cellStyle name="Normal GHG-Shade" xfId="153" xr:uid="{00000000-0005-0000-0000-0000A0000000}"/>
    <cellStyle name="Normal GHG-Shade 2" xfId="154" xr:uid="{00000000-0005-0000-0000-0000A1000000}"/>
    <cellStyle name="Normál_Munka1" xfId="155" xr:uid="{00000000-0005-0000-0000-0000A2000000}"/>
    <cellStyle name="Normal_TECH" xfId="193" xr:uid="{00000000-0005-0000-0000-0000A3000000}"/>
    <cellStyle name="Normale_B2020" xfId="156" xr:uid="{00000000-0005-0000-0000-0000A4000000}"/>
    <cellStyle name="Normale_Scen_UC_IND-StrucConst" xfId="157" xr:uid="{00000000-0005-0000-0000-0000A5000000}"/>
    <cellStyle name="Note 2" xfId="158" xr:uid="{00000000-0005-0000-0000-0000A6000000}"/>
    <cellStyle name="Note 2 2" xfId="159" xr:uid="{00000000-0005-0000-0000-0000A7000000}"/>
    <cellStyle name="Output 2" xfId="160" xr:uid="{00000000-0005-0000-0000-0000A8000000}"/>
    <cellStyle name="Output 2 2" xfId="161" xr:uid="{00000000-0005-0000-0000-0000A9000000}"/>
    <cellStyle name="Pattern" xfId="162" xr:uid="{00000000-0005-0000-0000-0000AA000000}"/>
    <cellStyle name="Percent 2" xfId="163" xr:uid="{00000000-0005-0000-0000-0000AB000000}"/>
    <cellStyle name="Percent 2 2" xfId="164" xr:uid="{00000000-0005-0000-0000-0000AC000000}"/>
    <cellStyle name="Percent 3" xfId="165" xr:uid="{00000000-0005-0000-0000-0000AD000000}"/>
    <cellStyle name="Percent 3 2" xfId="166" xr:uid="{00000000-0005-0000-0000-0000AE000000}"/>
    <cellStyle name="Percent 3 3" xfId="167" xr:uid="{00000000-0005-0000-0000-0000AF000000}"/>
    <cellStyle name="Percent 4" xfId="168" xr:uid="{00000000-0005-0000-0000-0000B0000000}"/>
    <cellStyle name="Percent 5" xfId="195" xr:uid="{00000000-0005-0000-0000-0000B1000000}"/>
    <cellStyle name="Pilkku_Layo9704" xfId="169" xr:uid="{00000000-0005-0000-0000-0000B2000000}"/>
    <cellStyle name="Pyör. luku_Layo9704" xfId="170" xr:uid="{00000000-0005-0000-0000-0000B3000000}"/>
    <cellStyle name="Pyör. valuutta_Layo9704" xfId="171" xr:uid="{00000000-0005-0000-0000-0000B4000000}"/>
    <cellStyle name="Shade" xfId="172" xr:uid="{00000000-0005-0000-0000-0000B5000000}"/>
    <cellStyle name="Standard 2" xfId="173" xr:uid="{00000000-0005-0000-0000-0000B6000000}"/>
    <cellStyle name="Style 21" xfId="174" xr:uid="{00000000-0005-0000-0000-0000B7000000}"/>
    <cellStyle name="Style 21 2" xfId="175" xr:uid="{00000000-0005-0000-0000-0000B8000000}"/>
    <cellStyle name="Style 22" xfId="176" xr:uid="{00000000-0005-0000-0000-0000B9000000}"/>
    <cellStyle name="Style 23" xfId="177" xr:uid="{00000000-0005-0000-0000-0000BA000000}"/>
    <cellStyle name="Style 24" xfId="178" xr:uid="{00000000-0005-0000-0000-0000BB000000}"/>
    <cellStyle name="Style 25" xfId="179" xr:uid="{00000000-0005-0000-0000-0000BC000000}"/>
    <cellStyle name="Style 25 2" xfId="180" xr:uid="{00000000-0005-0000-0000-0000BD000000}"/>
    <cellStyle name="Style 26" xfId="181" xr:uid="{00000000-0005-0000-0000-0000BE000000}"/>
    <cellStyle name="Title 2" xfId="182" xr:uid="{00000000-0005-0000-0000-0000BF000000}"/>
    <cellStyle name="Title 2 2" xfId="183" xr:uid="{00000000-0005-0000-0000-0000C0000000}"/>
    <cellStyle name="Total 2" xfId="184" xr:uid="{00000000-0005-0000-0000-0000C1000000}"/>
    <cellStyle name="Total 2 2" xfId="185" xr:uid="{00000000-0005-0000-0000-0000C2000000}"/>
    <cellStyle name="Valuutta_Layo9704" xfId="186" xr:uid="{00000000-0005-0000-0000-0000C3000000}"/>
    <cellStyle name="Warning Text 2" xfId="187" xr:uid="{00000000-0005-0000-0000-0000C4000000}"/>
    <cellStyle name="Warning Text 2 2" xfId="188" xr:uid="{00000000-0005-0000-0000-0000C5000000}"/>
    <cellStyle name="Гиперссылка" xfId="189" xr:uid="{00000000-0005-0000-0000-0000C6000000}"/>
    <cellStyle name="Обычный_2++" xfId="190" xr:uid="{00000000-0005-0000-0000-0000C7000000}"/>
  </cellStyles>
  <dxfs count="0"/>
  <tableStyles count="0" defaultTableStyle="TableStyleMedium9" defaultPivotStyle="PivotStyleLight16"/>
  <colors>
    <mruColors>
      <color rgb="FFFFC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22860</xdr:colOff>
      <xdr:row>47</xdr:row>
      <xdr:rowOff>83820</xdr:rowOff>
    </xdr:from>
    <xdr:to>
      <xdr:col>22</xdr:col>
      <xdr:colOff>294376</xdr:colOff>
      <xdr:row>72</xdr:row>
      <xdr:rowOff>64249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2405360" y="8831580"/>
          <a:ext cx="7190476" cy="4171429"/>
        </a:xfrm>
        <a:prstGeom prst="rect">
          <a:avLst/>
        </a:prstGeom>
      </xdr:spPr>
    </xdr:pic>
    <xdr:clientData/>
  </xdr:twoCellAnchor>
  <xdr:twoCellAnchor editAs="oneCell">
    <xdr:from>
      <xdr:col>12</xdr:col>
      <xdr:colOff>15240</xdr:colOff>
      <xdr:row>72</xdr:row>
      <xdr:rowOff>114300</xdr:rowOff>
    </xdr:from>
    <xdr:to>
      <xdr:col>22</xdr:col>
      <xdr:colOff>172470</xdr:colOff>
      <xdr:row>89</xdr:row>
      <xdr:rowOff>121563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12397740" y="13053060"/>
          <a:ext cx="7076190" cy="2857143"/>
        </a:xfrm>
        <a:prstGeom prst="rect">
          <a:avLst/>
        </a:prstGeom>
      </xdr:spPr>
    </xdr:pic>
    <xdr:clientData/>
  </xdr:twoCellAnchor>
  <xdr:twoCellAnchor editAs="oneCell">
    <xdr:from>
      <xdr:col>0</xdr:col>
      <xdr:colOff>0</xdr:colOff>
      <xdr:row>47</xdr:row>
      <xdr:rowOff>0</xdr:rowOff>
    </xdr:from>
    <xdr:to>
      <xdr:col>8</xdr:col>
      <xdr:colOff>408473</xdr:colOff>
      <xdr:row>70</xdr:row>
      <xdr:rowOff>49876</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8591550"/>
          <a:ext cx="9266723" cy="399322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dn.catf.us/wp-content/uploads/2024/11/26174743/carbon-removals-eu-ets.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74"/>
  <sheetViews>
    <sheetView workbookViewId="0"/>
  </sheetViews>
  <sheetFormatPr defaultRowHeight="12.75" x14ac:dyDescent="0.2"/>
  <cols>
    <col min="2" max="2" width="14.28515625" customWidth="1"/>
    <col min="3" max="3" width="18.85546875" customWidth="1"/>
    <col min="4" max="4" width="11.140625" customWidth="1"/>
    <col min="5" max="5" width="14.42578125" customWidth="1"/>
    <col min="6" max="6" width="17" bestFit="1" customWidth="1"/>
    <col min="7" max="7" width="13.28515625" customWidth="1"/>
    <col min="8" max="8" width="11.7109375" customWidth="1"/>
    <col min="9" max="9" width="14.5703125" bestFit="1" customWidth="1"/>
    <col min="10" max="10" width="9.7109375" customWidth="1"/>
    <col min="11" max="11" width="12.7109375" bestFit="1" customWidth="1"/>
    <col min="14" max="14" width="10.42578125" customWidth="1"/>
    <col min="19" max="19" width="10.28515625" bestFit="1" customWidth="1"/>
    <col min="38" max="38" width="3.140625" customWidth="1"/>
    <col min="39" max="39" width="1.85546875" customWidth="1"/>
  </cols>
  <sheetData>
    <row r="1" spans="1:41" s="85" customFormat="1" ht="15.75" x14ac:dyDescent="0.25">
      <c r="B1" s="86" t="s">
        <v>73</v>
      </c>
      <c r="L1" s="86"/>
      <c r="N1" s="86" t="s">
        <v>71</v>
      </c>
    </row>
    <row r="4" spans="1:41" ht="15" x14ac:dyDescent="0.25">
      <c r="A4" s="5"/>
      <c r="B4" s="84" t="s">
        <v>120</v>
      </c>
      <c r="C4" s="5"/>
      <c r="D4" s="5"/>
      <c r="E4" s="5"/>
      <c r="F4" s="5"/>
      <c r="G4" s="5"/>
      <c r="H4" s="5"/>
      <c r="I4" s="5"/>
      <c r="N4" s="84" t="s">
        <v>100</v>
      </c>
      <c r="O4" s="5"/>
      <c r="P4" s="5"/>
      <c r="Q4" s="5"/>
      <c r="R4" s="5"/>
      <c r="S4" s="5"/>
      <c r="T4" s="5"/>
      <c r="U4" s="5"/>
      <c r="V4" s="5"/>
      <c r="W4" s="5"/>
      <c r="X4" s="5"/>
      <c r="Y4" s="5"/>
      <c r="Z4" s="5"/>
      <c r="AA4" s="5"/>
      <c r="AB4" s="5"/>
      <c r="AC4" s="5"/>
      <c r="AD4" s="5"/>
      <c r="AE4" s="5"/>
      <c r="AF4" s="5"/>
      <c r="AG4" s="5"/>
      <c r="AH4" s="5"/>
      <c r="AI4" s="5"/>
      <c r="AJ4" s="5"/>
      <c r="AK4" s="5"/>
      <c r="AL4" s="5"/>
      <c r="AM4" s="5"/>
      <c r="AN4" s="5"/>
      <c r="AO4" s="5"/>
    </row>
    <row r="5" spans="1:41" ht="15" x14ac:dyDescent="0.25">
      <c r="A5" s="5"/>
      <c r="B5" s="5"/>
      <c r="C5" s="5"/>
      <c r="D5" s="5"/>
      <c r="E5" s="5"/>
      <c r="F5" s="5"/>
      <c r="G5" s="5"/>
      <c r="H5" s="5"/>
      <c r="I5" s="5"/>
      <c r="N5" s="5"/>
      <c r="O5" s="5"/>
      <c r="P5" s="5"/>
      <c r="Q5" s="5"/>
      <c r="R5" s="5"/>
      <c r="S5" s="5"/>
      <c r="T5" s="5"/>
      <c r="U5" s="5"/>
      <c r="V5" s="5"/>
      <c r="W5" s="5"/>
      <c r="X5" s="5"/>
      <c r="Y5" s="5"/>
      <c r="Z5" s="5"/>
      <c r="AA5" s="5"/>
      <c r="AB5" s="5"/>
      <c r="AC5" s="5"/>
      <c r="AD5" s="5"/>
      <c r="AE5" s="5"/>
      <c r="AF5" s="5"/>
      <c r="AG5" s="5"/>
      <c r="AH5" s="5"/>
      <c r="AI5" s="5"/>
      <c r="AJ5" s="5"/>
      <c r="AK5" s="5"/>
      <c r="AL5" s="5"/>
      <c r="AM5" s="5"/>
      <c r="AN5" s="5"/>
      <c r="AO5" s="5"/>
    </row>
    <row r="6" spans="1:41" ht="15" x14ac:dyDescent="0.25">
      <c r="A6" s="5"/>
      <c r="B6" s="5"/>
      <c r="C6" s="5"/>
      <c r="D6" s="5"/>
      <c r="E6" s="2" t="s">
        <v>121</v>
      </c>
      <c r="F6" s="5"/>
      <c r="G6" s="5"/>
      <c r="H6" s="5"/>
      <c r="I6" s="5"/>
      <c r="K6" s="155"/>
      <c r="N6" s="5"/>
      <c r="O6" s="5"/>
      <c r="P6" s="5"/>
      <c r="Q6" s="2" t="s">
        <v>99</v>
      </c>
      <c r="R6" s="5"/>
      <c r="S6" s="5"/>
      <c r="T6" s="5"/>
      <c r="U6" s="5"/>
      <c r="W6" s="5"/>
      <c r="X6" s="5"/>
      <c r="Y6" s="5"/>
      <c r="Z6" s="5"/>
      <c r="AA6" s="5"/>
      <c r="AB6" s="5"/>
      <c r="AC6" s="5"/>
      <c r="AD6" s="5"/>
      <c r="AE6" s="5"/>
      <c r="AF6" s="5"/>
      <c r="AG6" s="5"/>
      <c r="AH6" s="5"/>
      <c r="AI6" s="5"/>
      <c r="AJ6" s="5"/>
      <c r="AK6" s="5"/>
      <c r="AL6" s="5"/>
      <c r="AM6" s="5"/>
      <c r="AN6" s="5"/>
      <c r="AO6" s="5"/>
    </row>
    <row r="7" spans="1:41" ht="15" x14ac:dyDescent="0.25">
      <c r="A7" s="5"/>
      <c r="B7" s="78" t="s">
        <v>8</v>
      </c>
      <c r="C7" s="76" t="s">
        <v>34</v>
      </c>
      <c r="D7" s="78" t="s">
        <v>7</v>
      </c>
      <c r="E7" s="78" t="s">
        <v>6</v>
      </c>
      <c r="F7" s="78" t="s">
        <v>95</v>
      </c>
      <c r="G7" s="78" t="s">
        <v>9</v>
      </c>
      <c r="H7" s="78" t="s">
        <v>10</v>
      </c>
      <c r="I7" s="78" t="s">
        <v>33</v>
      </c>
      <c r="K7" s="155"/>
      <c r="N7" s="78" t="s">
        <v>8</v>
      </c>
      <c r="O7" s="76" t="s">
        <v>34</v>
      </c>
      <c r="P7" s="78" t="s">
        <v>7</v>
      </c>
      <c r="Q7" s="78" t="s">
        <v>6</v>
      </c>
      <c r="R7" s="78" t="s">
        <v>9</v>
      </c>
      <c r="S7" s="78" t="s">
        <v>10</v>
      </c>
      <c r="T7" s="78" t="s">
        <v>33</v>
      </c>
      <c r="U7" s="5"/>
      <c r="V7" s="155" t="s">
        <v>97</v>
      </c>
      <c r="W7" s="5"/>
      <c r="X7" s="5"/>
      <c r="Y7" s="5"/>
      <c r="Z7" s="5"/>
      <c r="AA7" s="5"/>
      <c r="AB7" s="5"/>
      <c r="AC7" s="5"/>
      <c r="AD7" s="5"/>
      <c r="AE7" s="5"/>
      <c r="AF7" s="5"/>
      <c r="AG7" s="5"/>
      <c r="AH7" s="5"/>
      <c r="AI7" s="5"/>
      <c r="AJ7" s="5"/>
      <c r="AK7" s="5"/>
      <c r="AL7" s="5"/>
      <c r="AM7" s="5"/>
      <c r="AN7" s="5"/>
      <c r="AO7" s="5"/>
    </row>
    <row r="8" spans="1:41" ht="15" x14ac:dyDescent="0.25">
      <c r="A8" s="5"/>
      <c r="B8" s="95" t="s">
        <v>69</v>
      </c>
      <c r="C8" s="89"/>
      <c r="D8" s="90" t="s">
        <v>31</v>
      </c>
      <c r="E8" s="89">
        <v>2010</v>
      </c>
      <c r="F8" s="154"/>
      <c r="G8" s="89">
        <v>1</v>
      </c>
      <c r="H8" s="91">
        <f>1971657.255+K8</f>
        <v>1971657.2549999999</v>
      </c>
      <c r="I8" s="89"/>
      <c r="K8" s="156"/>
      <c r="N8" s="95" t="s">
        <v>70</v>
      </c>
      <c r="O8" s="89"/>
      <c r="P8" s="90" t="s">
        <v>31</v>
      </c>
      <c r="Q8" s="89">
        <v>2021</v>
      </c>
      <c r="R8" s="89">
        <v>1</v>
      </c>
      <c r="S8" s="160">
        <f>155671.581+V8</f>
        <v>180582.0047456178</v>
      </c>
      <c r="T8" s="89"/>
      <c r="U8" s="5"/>
      <c r="V8" s="157">
        <v>24910.423745617802</v>
      </c>
      <c r="W8" s="5"/>
      <c r="X8" s="5"/>
      <c r="Y8" s="5"/>
      <c r="Z8" s="5"/>
      <c r="AA8" s="5"/>
      <c r="AB8" s="5"/>
      <c r="AC8" s="5"/>
      <c r="AD8" s="5"/>
      <c r="AE8" s="5"/>
      <c r="AF8" s="5"/>
      <c r="AG8" s="5"/>
      <c r="AH8" s="5"/>
      <c r="AI8" s="5"/>
      <c r="AJ8" s="5"/>
      <c r="AK8" s="5"/>
      <c r="AL8" s="5"/>
      <c r="AM8" s="5"/>
      <c r="AN8" s="5"/>
      <c r="AO8" s="5"/>
    </row>
    <row r="9" spans="1:41" ht="15" x14ac:dyDescent="0.25">
      <c r="A9" s="5"/>
      <c r="B9" s="89"/>
      <c r="C9" s="89"/>
      <c r="D9" s="90" t="s">
        <v>31</v>
      </c>
      <c r="E9" s="89">
        <v>2015</v>
      </c>
      <c r="F9" s="154"/>
      <c r="G9" s="89"/>
      <c r="H9" s="91">
        <f>1856001.3825+K9</f>
        <v>1856001.3825000001</v>
      </c>
      <c r="I9" s="92"/>
      <c r="K9" s="156"/>
      <c r="N9" s="89"/>
      <c r="O9" s="89"/>
      <c r="P9" s="89"/>
      <c r="Q9" s="89">
        <v>2025</v>
      </c>
      <c r="R9" s="89"/>
      <c r="S9" s="91">
        <f>69000+V9</f>
        <v>95837.172235021702</v>
      </c>
      <c r="T9" s="92"/>
      <c r="U9" s="5"/>
      <c r="V9" s="157">
        <v>26837.172235021699</v>
      </c>
      <c r="W9" s="5"/>
      <c r="X9" s="5"/>
      <c r="Y9" s="5"/>
      <c r="Z9" s="5"/>
      <c r="AA9" s="5"/>
      <c r="AB9" s="5"/>
      <c r="AC9" s="5"/>
      <c r="AD9" s="5"/>
      <c r="AE9" s="5"/>
      <c r="AF9" s="5"/>
      <c r="AG9" s="5"/>
      <c r="AH9" s="5"/>
      <c r="AI9" s="5"/>
      <c r="AJ9" s="5"/>
      <c r="AK9" s="5"/>
      <c r="AL9" s="5"/>
      <c r="AM9" s="5"/>
      <c r="AN9" s="5"/>
      <c r="AO9" s="5"/>
    </row>
    <row r="10" spans="1:41" ht="15" x14ac:dyDescent="0.25">
      <c r="A10" s="5"/>
      <c r="B10" s="89"/>
      <c r="C10" s="89"/>
      <c r="D10" s="90" t="s">
        <v>31</v>
      </c>
      <c r="E10" s="89">
        <v>2020</v>
      </c>
      <c r="F10" s="154"/>
      <c r="G10" s="89"/>
      <c r="H10" s="91">
        <f>'Cap trajectories'!E5*1000+K10</f>
        <v>1615000</v>
      </c>
      <c r="I10" s="92"/>
      <c r="K10" s="156"/>
      <c r="N10" s="89"/>
      <c r="O10" s="89"/>
      <c r="P10" s="89"/>
      <c r="Q10" s="89">
        <v>2030</v>
      </c>
      <c r="R10" s="89"/>
      <c r="S10" s="91">
        <f>69000+V10</f>
        <v>97601.581480681096</v>
      </c>
      <c r="T10" s="92"/>
      <c r="U10" s="5"/>
      <c r="V10" s="157">
        <v>28601.581480681099</v>
      </c>
      <c r="W10" s="5"/>
      <c r="X10" s="5"/>
      <c r="Y10" s="5"/>
      <c r="Z10" s="5"/>
      <c r="AA10" s="5"/>
      <c r="AB10" s="5"/>
      <c r="AC10" s="5"/>
      <c r="AD10" s="5"/>
      <c r="AE10" s="5"/>
      <c r="AF10" s="5"/>
      <c r="AG10" s="5"/>
      <c r="AH10" s="5"/>
      <c r="AI10" s="5"/>
      <c r="AJ10" s="5"/>
      <c r="AK10" s="5"/>
      <c r="AL10" s="5"/>
      <c r="AM10" s="5"/>
      <c r="AN10" s="5"/>
      <c r="AO10" s="5"/>
    </row>
    <row r="11" spans="1:41" ht="15" x14ac:dyDescent="0.25">
      <c r="A11" s="5"/>
      <c r="B11" s="89"/>
      <c r="C11" s="89"/>
      <c r="D11" s="90" t="s">
        <v>31</v>
      </c>
      <c r="E11" s="89">
        <v>0</v>
      </c>
      <c r="F11" s="154"/>
      <c r="G11" s="89"/>
      <c r="H11" s="91">
        <v>1</v>
      </c>
      <c r="I11" s="89"/>
      <c r="N11" s="89"/>
      <c r="O11" s="89"/>
      <c r="P11" s="89"/>
      <c r="Q11" s="89">
        <v>0</v>
      </c>
      <c r="R11" s="89"/>
      <c r="S11" s="89">
        <v>5</v>
      </c>
      <c r="T11" s="91"/>
      <c r="U11" s="5"/>
      <c r="V11" s="5"/>
      <c r="W11" s="5"/>
      <c r="X11" s="5"/>
      <c r="Y11" s="5"/>
      <c r="Z11" s="5"/>
      <c r="AA11" s="5"/>
      <c r="AB11" s="5"/>
      <c r="AC11" s="5"/>
      <c r="AD11" s="5"/>
      <c r="AE11" s="5"/>
      <c r="AF11" s="5"/>
      <c r="AG11" s="5"/>
      <c r="AH11" s="5"/>
      <c r="AI11" s="5"/>
      <c r="AJ11" s="5"/>
      <c r="AK11" s="5"/>
      <c r="AL11" s="5"/>
      <c r="AM11" s="5"/>
      <c r="AN11" s="5"/>
      <c r="AO11" s="5"/>
    </row>
    <row r="12" spans="1:41" ht="15" x14ac:dyDescent="0.25">
      <c r="A12" s="5"/>
      <c r="B12" s="89"/>
      <c r="C12" s="95" t="s">
        <v>96</v>
      </c>
      <c r="D12" s="90" t="s">
        <v>31</v>
      </c>
      <c r="E12" s="89">
        <v>2010</v>
      </c>
      <c r="F12" s="154">
        <v>-1</v>
      </c>
      <c r="G12" s="89"/>
      <c r="H12" s="91"/>
      <c r="I12" s="92"/>
      <c r="N12" s="34"/>
      <c r="O12" s="34"/>
      <c r="P12" s="93"/>
      <c r="Q12" s="34"/>
      <c r="R12" s="34"/>
      <c r="S12" s="83"/>
      <c r="T12" s="34"/>
      <c r="U12" s="5"/>
      <c r="V12" s="5"/>
      <c r="W12" s="5"/>
      <c r="X12" s="5"/>
      <c r="Y12" s="5"/>
      <c r="Z12" s="5"/>
      <c r="AA12" s="5"/>
      <c r="AB12" s="5"/>
      <c r="AC12" s="5"/>
      <c r="AD12" s="5"/>
      <c r="AE12" s="5"/>
      <c r="AF12" s="5"/>
      <c r="AG12" s="5"/>
      <c r="AH12" s="5"/>
      <c r="AI12" s="5"/>
      <c r="AJ12" s="5"/>
      <c r="AK12" s="5"/>
      <c r="AL12" s="5"/>
      <c r="AM12" s="5"/>
      <c r="AN12" s="5"/>
      <c r="AO12" s="5"/>
    </row>
    <row r="13" spans="1:41" ht="15" x14ac:dyDescent="0.25">
      <c r="A13" s="5"/>
      <c r="B13" s="89"/>
      <c r="C13" s="95" t="s">
        <v>96</v>
      </c>
      <c r="D13" s="90" t="s">
        <v>31</v>
      </c>
      <c r="E13" s="89">
        <v>2020</v>
      </c>
      <c r="F13" s="154">
        <v>-1</v>
      </c>
      <c r="G13" s="89"/>
      <c r="H13" s="91"/>
      <c r="I13" s="92"/>
      <c r="N13" s="34"/>
      <c r="O13" s="34"/>
      <c r="P13" s="93"/>
      <c r="Q13" s="34"/>
      <c r="R13" s="34"/>
      <c r="S13" s="83"/>
      <c r="T13" s="34"/>
      <c r="U13" s="5"/>
      <c r="V13" s="5"/>
      <c r="W13" s="5"/>
      <c r="X13" s="5"/>
      <c r="Y13" s="5"/>
      <c r="Z13" s="5"/>
      <c r="AA13" s="5"/>
      <c r="AB13" s="5"/>
      <c r="AC13" s="5"/>
      <c r="AD13" s="5"/>
      <c r="AE13" s="5"/>
      <c r="AF13" s="5"/>
      <c r="AG13" s="5"/>
      <c r="AH13" s="5"/>
      <c r="AI13" s="5"/>
      <c r="AJ13" s="5"/>
      <c r="AK13" s="5"/>
      <c r="AL13" s="5"/>
      <c r="AM13" s="5"/>
      <c r="AN13" s="5"/>
      <c r="AO13" s="5"/>
    </row>
    <row r="14" spans="1:41" ht="15" x14ac:dyDescent="0.25">
      <c r="A14" s="5"/>
      <c r="B14" s="154"/>
      <c r="C14" s="95" t="s">
        <v>96</v>
      </c>
      <c r="D14" s="90" t="s">
        <v>31</v>
      </c>
      <c r="E14" s="89">
        <v>0</v>
      </c>
      <c r="F14" s="154">
        <v>1</v>
      </c>
      <c r="G14" s="89"/>
      <c r="H14" s="91"/>
      <c r="I14" s="89"/>
      <c r="N14" s="34"/>
      <c r="O14" s="34"/>
      <c r="P14" s="93"/>
      <c r="Q14" s="34"/>
      <c r="R14" s="34"/>
      <c r="S14" s="83"/>
      <c r="T14" s="94"/>
      <c r="U14" s="5"/>
      <c r="V14" s="5"/>
      <c r="W14" s="5"/>
      <c r="X14" s="5"/>
      <c r="Y14" s="5"/>
      <c r="Z14" s="5"/>
      <c r="AA14" s="5"/>
      <c r="AB14" s="5"/>
      <c r="AC14" s="5"/>
      <c r="AD14" s="5"/>
      <c r="AE14" s="5"/>
      <c r="AF14" s="5"/>
      <c r="AG14" s="5"/>
      <c r="AH14" s="5"/>
      <c r="AI14" s="5"/>
      <c r="AJ14" s="5"/>
      <c r="AK14" s="5"/>
      <c r="AL14" s="5"/>
      <c r="AM14" s="5"/>
      <c r="AN14" s="5"/>
      <c r="AO14" s="5"/>
    </row>
    <row r="15" spans="1:41" ht="15" x14ac:dyDescent="0.25">
      <c r="A15" s="5"/>
      <c r="C15" s="34"/>
      <c r="D15" s="93"/>
      <c r="G15" s="34"/>
      <c r="H15" s="83"/>
      <c r="I15" s="34"/>
      <c r="N15" s="34"/>
      <c r="O15" s="34"/>
      <c r="P15" s="93"/>
      <c r="Q15" s="34"/>
      <c r="R15" s="34"/>
      <c r="S15" s="83"/>
      <c r="T15" s="94"/>
      <c r="U15" s="5"/>
      <c r="V15" s="5"/>
      <c r="W15" s="5"/>
      <c r="X15" s="5"/>
      <c r="Y15" s="5"/>
      <c r="Z15" s="5"/>
      <c r="AA15" s="5"/>
      <c r="AB15" s="5"/>
      <c r="AC15" s="5"/>
      <c r="AD15" s="5"/>
      <c r="AE15" s="5"/>
      <c r="AF15" s="5"/>
      <c r="AG15" s="5"/>
      <c r="AH15" s="5"/>
      <c r="AI15" s="5"/>
      <c r="AJ15" s="5"/>
      <c r="AK15" s="5"/>
      <c r="AL15" s="5"/>
      <c r="AM15" s="5"/>
      <c r="AN15" s="5"/>
      <c r="AO15" s="5"/>
    </row>
    <row r="16" spans="1:41" ht="15" x14ac:dyDescent="0.25">
      <c r="A16" s="5"/>
      <c r="C16" s="34"/>
      <c r="D16" s="93"/>
      <c r="G16" s="34"/>
      <c r="H16" s="83"/>
      <c r="I16" s="34"/>
      <c r="N16" s="34"/>
      <c r="O16" s="34"/>
      <c r="P16" s="93"/>
      <c r="Q16" s="34"/>
      <c r="R16" s="34"/>
      <c r="S16" s="83"/>
      <c r="T16" s="94"/>
      <c r="U16" s="5"/>
      <c r="V16" s="5"/>
      <c r="W16" s="5"/>
      <c r="X16" s="5"/>
      <c r="Y16" s="5"/>
      <c r="Z16" s="5"/>
      <c r="AA16" s="5"/>
      <c r="AB16" s="5"/>
      <c r="AC16" s="5"/>
      <c r="AD16" s="5"/>
      <c r="AE16" s="5"/>
      <c r="AF16" s="5"/>
      <c r="AG16" s="5"/>
      <c r="AH16" s="5"/>
      <c r="AI16" s="5"/>
      <c r="AJ16" s="5"/>
      <c r="AK16" s="5"/>
      <c r="AL16" s="5"/>
      <c r="AM16" s="5"/>
      <c r="AN16" s="5"/>
      <c r="AO16" s="5"/>
    </row>
    <row r="17" spans="1:41" ht="15" x14ac:dyDescent="0.25">
      <c r="A17" s="5"/>
      <c r="B17" s="34" t="s">
        <v>93</v>
      </c>
      <c r="C17" s="34"/>
      <c r="D17" s="93"/>
      <c r="E17" s="34"/>
      <c r="F17" s="34"/>
      <c r="G17" s="83"/>
      <c r="H17" s="94"/>
      <c r="I17" s="5"/>
      <c r="U17" s="5"/>
      <c r="V17" s="5"/>
      <c r="W17" s="5"/>
      <c r="X17" s="5"/>
      <c r="Y17" s="5"/>
      <c r="Z17" s="5"/>
      <c r="AA17" s="5"/>
      <c r="AB17" s="5"/>
      <c r="AC17" s="5"/>
      <c r="AD17" s="5"/>
      <c r="AE17" s="5"/>
      <c r="AF17" s="5"/>
      <c r="AG17" s="5"/>
      <c r="AH17" s="5"/>
      <c r="AI17" s="5"/>
      <c r="AJ17" s="5"/>
      <c r="AK17" s="5"/>
      <c r="AL17" s="5"/>
      <c r="AM17" s="5"/>
      <c r="AN17" s="5"/>
      <c r="AO17" s="5"/>
    </row>
    <row r="18" spans="1:41" ht="15" x14ac:dyDescent="0.25">
      <c r="A18" s="5"/>
      <c r="B18" s="34" t="s">
        <v>94</v>
      </c>
      <c r="C18" s="34"/>
      <c r="D18" s="93"/>
      <c r="E18" s="34"/>
      <c r="F18" s="34"/>
      <c r="G18" s="83"/>
      <c r="H18" s="94"/>
      <c r="I18" s="5"/>
      <c r="L18" s="1"/>
      <c r="M18" s="1"/>
      <c r="N18" s="1"/>
      <c r="O18" s="1"/>
      <c r="P18" s="1"/>
      <c r="Q18" s="1"/>
      <c r="R18" s="1"/>
      <c r="S18" s="7"/>
      <c r="T18" s="5"/>
      <c r="U18" s="5"/>
      <c r="V18" s="5"/>
      <c r="W18" s="5"/>
      <c r="X18" s="5"/>
      <c r="Y18" s="5"/>
      <c r="Z18" s="5"/>
      <c r="AA18" s="5"/>
      <c r="AB18" s="5"/>
      <c r="AC18" s="5"/>
      <c r="AD18" s="5"/>
      <c r="AE18" s="5"/>
      <c r="AF18" s="5"/>
      <c r="AG18" s="5"/>
      <c r="AH18" s="5"/>
      <c r="AI18" s="5"/>
      <c r="AJ18" s="5"/>
      <c r="AK18" s="5"/>
      <c r="AL18" s="5"/>
      <c r="AM18" s="5"/>
      <c r="AN18" s="5"/>
      <c r="AO18" s="5"/>
    </row>
    <row r="19" spans="1:41" ht="15" x14ac:dyDescent="0.25">
      <c r="A19" s="5"/>
      <c r="B19" s="34"/>
      <c r="C19" s="34"/>
      <c r="D19" s="34"/>
      <c r="E19" s="34"/>
      <c r="F19" s="34"/>
      <c r="G19" s="34"/>
      <c r="H19" s="83"/>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row>
    <row r="20" spans="1:41" s="85" customFormat="1" ht="15.75" x14ac:dyDescent="0.25">
      <c r="A20" s="87"/>
      <c r="B20" s="88" t="s">
        <v>72</v>
      </c>
      <c r="C20" s="79"/>
      <c r="D20" s="79" t="s">
        <v>122</v>
      </c>
      <c r="E20" s="79"/>
      <c r="F20" s="79"/>
      <c r="G20" s="79"/>
      <c r="H20" s="7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row>
    <row r="21" spans="1:41" ht="15" x14ac:dyDescent="0.25">
      <c r="A21" s="5"/>
      <c r="B21" s="34"/>
      <c r="C21" s="34"/>
      <c r="D21" s="34"/>
      <c r="E21" s="34"/>
      <c r="F21" s="34"/>
      <c r="G21" s="34"/>
      <c r="H21" s="83"/>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spans="1:41" ht="15" x14ac:dyDescent="0.25">
      <c r="A22" s="5"/>
      <c r="B22" s="84" t="s">
        <v>106</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row>
    <row r="23" spans="1:41" ht="15" x14ac:dyDescent="0.25">
      <c r="A23" s="5"/>
      <c r="B23" s="5"/>
      <c r="C23" s="5"/>
      <c r="D23" s="5"/>
      <c r="E23" s="5"/>
      <c r="F23" s="5"/>
      <c r="G23" s="5"/>
      <c r="H23" s="5"/>
      <c r="I23" s="5"/>
      <c r="J23" s="5"/>
      <c r="K23" s="7"/>
      <c r="L23" s="7"/>
      <c r="M23" s="7"/>
      <c r="N23" s="7"/>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row>
    <row r="24" spans="1:41" ht="15" x14ac:dyDescent="0.25">
      <c r="A24" s="5"/>
      <c r="B24" s="5"/>
      <c r="C24" s="5"/>
      <c r="D24" s="5"/>
      <c r="E24" s="2" t="s">
        <v>105</v>
      </c>
      <c r="F24" s="5"/>
      <c r="G24" s="5"/>
      <c r="H24" s="5"/>
      <c r="I24" s="5"/>
      <c r="J24" s="5"/>
      <c r="K24" s="169"/>
      <c r="L24" s="7"/>
      <c r="M24" s="7"/>
      <c r="N24" s="7"/>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spans="1:41" ht="15" x14ac:dyDescent="0.25">
      <c r="A25" s="5"/>
      <c r="B25" s="78" t="s">
        <v>8</v>
      </c>
      <c r="C25" s="76" t="s">
        <v>34</v>
      </c>
      <c r="D25" s="78" t="s">
        <v>7</v>
      </c>
      <c r="E25" s="78" t="s">
        <v>6</v>
      </c>
      <c r="F25" s="78" t="s">
        <v>9</v>
      </c>
      <c r="G25" s="78" t="s">
        <v>10</v>
      </c>
      <c r="H25" s="78" t="s">
        <v>33</v>
      </c>
      <c r="I25" s="5"/>
      <c r="J25" s="5"/>
      <c r="K25" s="169"/>
      <c r="L25" s="7"/>
      <c r="M25" s="7"/>
      <c r="N25" s="7"/>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spans="1:41" ht="15" x14ac:dyDescent="0.25">
      <c r="A26" s="5"/>
      <c r="B26" s="95" t="s">
        <v>103</v>
      </c>
      <c r="C26" s="89"/>
      <c r="D26" s="90" t="s">
        <v>31</v>
      </c>
      <c r="E26" s="89">
        <v>2021</v>
      </c>
      <c r="F26" s="89">
        <v>1</v>
      </c>
      <c r="G26" s="91">
        <f>'Cap trajectories'!E6*1000+K26</f>
        <v>1572000</v>
      </c>
      <c r="H26" s="89"/>
      <c r="I26" s="5"/>
      <c r="J26" s="6"/>
      <c r="K26" s="170"/>
      <c r="L26" s="7"/>
      <c r="M26" s="171"/>
      <c r="N26" s="7"/>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spans="1:41" ht="15" x14ac:dyDescent="0.25">
      <c r="A27" s="5"/>
      <c r="B27" s="89"/>
      <c r="C27" s="89"/>
      <c r="D27" s="90" t="s">
        <v>31</v>
      </c>
      <c r="E27" s="89">
        <v>2025</v>
      </c>
      <c r="F27" s="89"/>
      <c r="G27" s="91">
        <f>'Cap trajectories'!D10*1000+K27</f>
        <v>1299684.0909090911</v>
      </c>
      <c r="H27" s="92"/>
      <c r="J27" s="6"/>
      <c r="K27" s="170"/>
      <c r="L27" s="7"/>
      <c r="M27" s="171"/>
      <c r="N27" s="7"/>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row>
    <row r="28" spans="1:41" ht="15" x14ac:dyDescent="0.25">
      <c r="A28" s="5"/>
      <c r="B28" s="89"/>
      <c r="C28" s="89"/>
      <c r="D28" s="90" t="s">
        <v>31</v>
      </c>
      <c r="E28" s="89">
        <v>2030</v>
      </c>
      <c r="F28" s="89"/>
      <c r="G28" s="91">
        <f>'Cap trajectories'!D15*1000+K28</f>
        <v>830318.181818182</v>
      </c>
      <c r="H28" s="92"/>
      <c r="J28" s="6"/>
      <c r="K28" s="170"/>
      <c r="L28" s="7"/>
      <c r="M28" s="171"/>
      <c r="N28" s="7"/>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row>
    <row r="29" spans="1:41" ht="15" x14ac:dyDescent="0.25">
      <c r="A29" s="5"/>
      <c r="B29" s="89"/>
      <c r="C29" s="89"/>
      <c r="D29" s="90" t="s">
        <v>31</v>
      </c>
      <c r="E29" s="89">
        <v>2035</v>
      </c>
      <c r="F29" s="89"/>
      <c r="G29" s="91">
        <f>'Cap trajectories'!D20*1000+ETS1CO2bound!K29</f>
        <v>490000</v>
      </c>
      <c r="H29" s="92"/>
      <c r="J29" s="6"/>
      <c r="K29" s="170"/>
      <c r="L29" s="7"/>
      <c r="M29" s="171"/>
      <c r="N29" s="7"/>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spans="1:41" ht="15" x14ac:dyDescent="0.25">
      <c r="A30" s="5"/>
      <c r="B30" s="89"/>
      <c r="C30" s="89"/>
      <c r="D30" s="90" t="s">
        <v>31</v>
      </c>
      <c r="E30" s="89">
        <v>2040</v>
      </c>
      <c r="F30" s="89"/>
      <c r="G30" s="91">
        <f>'Cap trajectories'!D25*1000+ETS1CO2bound!K30</f>
        <v>150000</v>
      </c>
      <c r="H30" s="92"/>
      <c r="J30" s="6"/>
      <c r="K30" s="170"/>
      <c r="L30" s="7"/>
      <c r="M30" s="171"/>
      <c r="N30" s="7"/>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spans="1:41" ht="15" x14ac:dyDescent="0.25">
      <c r="A31" s="5"/>
      <c r="B31" s="89"/>
      <c r="C31" s="89"/>
      <c r="D31" s="90" t="s">
        <v>31</v>
      </c>
      <c r="E31" s="89">
        <v>2045</v>
      </c>
      <c r="F31" s="89"/>
      <c r="G31" s="91">
        <f>'Cap trajectories'!D30*1000+ETS1CO2bound!K31</f>
        <v>110000</v>
      </c>
      <c r="H31" s="92"/>
      <c r="J31" s="6"/>
      <c r="K31" s="170"/>
      <c r="L31" s="7"/>
      <c r="M31" s="171"/>
      <c r="N31" s="7"/>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row>
    <row r="32" spans="1:41" ht="15" x14ac:dyDescent="0.25">
      <c r="A32" s="5"/>
      <c r="B32" s="89"/>
      <c r="C32" s="89"/>
      <c r="D32" s="90" t="s">
        <v>31</v>
      </c>
      <c r="E32" s="89">
        <v>2050</v>
      </c>
      <c r="F32" s="89"/>
      <c r="G32" s="91">
        <f>'Cap trajectories'!D35*1000+ETS1CO2bound!K32</f>
        <v>72000</v>
      </c>
      <c r="H32" s="92"/>
      <c r="K32" s="170"/>
      <c r="L32" s="7"/>
      <c r="M32" s="171"/>
      <c r="N32" s="7"/>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row>
    <row r="33" spans="1:42" ht="15" x14ac:dyDescent="0.25">
      <c r="A33" s="5"/>
      <c r="B33" s="89"/>
      <c r="C33" s="89"/>
      <c r="D33" s="90" t="s">
        <v>31</v>
      </c>
      <c r="E33" s="89">
        <v>0</v>
      </c>
      <c r="F33" s="89"/>
      <c r="G33" s="89">
        <v>5</v>
      </c>
      <c r="H33" s="91"/>
      <c r="I33" s="5"/>
      <c r="J33" s="5"/>
      <c r="K33" s="170"/>
      <c r="L33" s="7"/>
      <c r="M33" s="171"/>
      <c r="N33" s="7"/>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spans="1:42" ht="15" x14ac:dyDescent="0.25">
      <c r="A34" s="5"/>
      <c r="B34" s="34"/>
      <c r="C34" s="34"/>
      <c r="D34" s="93"/>
      <c r="E34" s="34"/>
      <c r="F34" s="34"/>
      <c r="G34" s="83"/>
      <c r="H34" s="34"/>
      <c r="I34" s="5"/>
      <c r="J34" s="5"/>
      <c r="K34" s="170"/>
      <c r="L34" s="7"/>
      <c r="M34" s="171"/>
      <c r="N34" s="7"/>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spans="1:42" ht="15" x14ac:dyDescent="0.25">
      <c r="A35" s="5"/>
      <c r="B35" s="34"/>
      <c r="C35" s="34"/>
      <c r="D35" s="93"/>
      <c r="E35" s="34"/>
      <c r="F35" s="34"/>
      <c r="G35" s="83"/>
      <c r="H35" s="34"/>
      <c r="I35" s="5"/>
      <c r="J35" s="5"/>
      <c r="K35" s="7"/>
      <c r="L35" s="7"/>
      <c r="M35" s="7"/>
      <c r="N35" s="7"/>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spans="1:42" ht="15" x14ac:dyDescent="0.25">
      <c r="A36" s="5"/>
      <c r="B36" s="5"/>
      <c r="C36" s="5"/>
      <c r="D36" s="5"/>
      <c r="E36" s="5"/>
      <c r="F36" s="5"/>
      <c r="G36" s="5"/>
      <c r="H36" s="5"/>
      <c r="I36" s="5"/>
      <c r="K36" s="1"/>
      <c r="L36" s="7"/>
      <c r="M36" s="7"/>
      <c r="N36" s="172"/>
      <c r="O36" s="22"/>
      <c r="P36" s="5"/>
      <c r="Q36" s="5"/>
      <c r="R36" s="5"/>
      <c r="S36" s="5"/>
      <c r="T36" s="5"/>
      <c r="U36" s="5"/>
      <c r="V36" s="5"/>
      <c r="W36" s="5"/>
      <c r="X36" s="5"/>
      <c r="Y36" s="5"/>
      <c r="Z36" s="5"/>
      <c r="AA36" s="5"/>
      <c r="AB36" s="5"/>
      <c r="AC36" s="5"/>
      <c r="AD36" s="5"/>
      <c r="AE36" s="5"/>
      <c r="AF36" s="5"/>
      <c r="AG36" s="5"/>
      <c r="AH36" s="5"/>
      <c r="AI36" s="5"/>
      <c r="AJ36" s="5"/>
      <c r="AK36" s="5"/>
      <c r="AL36" s="5"/>
      <c r="AM36" s="5"/>
      <c r="AN36" s="5"/>
      <c r="AO36" s="5"/>
    </row>
    <row r="37" spans="1:42" ht="15" x14ac:dyDescent="0.25">
      <c r="A37" s="5"/>
      <c r="B37" s="5"/>
      <c r="C37" s="5"/>
      <c r="D37" s="5"/>
      <c r="E37" s="2" t="s">
        <v>107</v>
      </c>
      <c r="F37" s="5"/>
      <c r="G37" s="5"/>
      <c r="H37" s="5"/>
      <c r="I37" s="5"/>
      <c r="J37" s="163"/>
      <c r="K37" s="163"/>
      <c r="L37" s="164"/>
      <c r="M37" s="164"/>
      <c r="N37" s="165"/>
      <c r="O37" s="166"/>
      <c r="P37" s="164"/>
      <c r="Q37" s="5"/>
      <c r="R37" s="5"/>
      <c r="S37" s="5"/>
      <c r="T37" s="5"/>
      <c r="U37" s="5"/>
      <c r="V37" s="5"/>
      <c r="W37" s="5"/>
      <c r="X37" s="5"/>
      <c r="Y37" s="5"/>
      <c r="Z37" s="5"/>
      <c r="AA37" s="5"/>
      <c r="AB37" s="5"/>
      <c r="AC37" s="5"/>
      <c r="AD37" s="5"/>
      <c r="AE37" s="5"/>
      <c r="AF37" s="5"/>
      <c r="AG37" s="5"/>
      <c r="AH37" s="5"/>
      <c r="AI37" s="5"/>
      <c r="AJ37" s="5"/>
      <c r="AK37" s="5"/>
      <c r="AL37" s="5"/>
      <c r="AM37" s="5"/>
      <c r="AN37" s="5"/>
      <c r="AO37" s="5"/>
    </row>
    <row r="38" spans="1:42" ht="15" x14ac:dyDescent="0.25">
      <c r="A38" s="5"/>
      <c r="B38" s="78" t="s">
        <v>8</v>
      </c>
      <c r="C38" s="76" t="s">
        <v>34</v>
      </c>
      <c r="D38" s="78" t="s">
        <v>7</v>
      </c>
      <c r="E38" s="78" t="s">
        <v>6</v>
      </c>
      <c r="F38" s="78" t="s">
        <v>9</v>
      </c>
      <c r="G38" s="78" t="s">
        <v>10</v>
      </c>
      <c r="H38" s="78" t="s">
        <v>33</v>
      </c>
      <c r="I38" s="5"/>
      <c r="J38" s="163"/>
      <c r="K38" s="167"/>
      <c r="L38" s="168"/>
      <c r="M38" s="168"/>
      <c r="N38" s="168"/>
      <c r="O38" s="167"/>
      <c r="P38" s="164"/>
      <c r="Q38" s="5"/>
      <c r="R38" s="5"/>
      <c r="S38" s="5"/>
      <c r="T38" s="5"/>
      <c r="U38" s="5"/>
      <c r="V38" s="5"/>
      <c r="W38" s="5"/>
      <c r="X38" s="5"/>
      <c r="Y38" s="5"/>
      <c r="Z38" s="5"/>
      <c r="AA38" s="5"/>
      <c r="AB38" s="5"/>
      <c r="AC38" s="5"/>
      <c r="AD38" s="5"/>
      <c r="AE38" s="5"/>
      <c r="AF38" s="5"/>
      <c r="AG38" s="5"/>
      <c r="AH38" s="5"/>
      <c r="AI38" s="5"/>
      <c r="AJ38" s="5"/>
      <c r="AK38" s="5"/>
      <c r="AL38" s="5"/>
      <c r="AM38" s="5"/>
      <c r="AN38" s="5"/>
      <c r="AO38" s="5"/>
    </row>
    <row r="39" spans="1:42" ht="15" x14ac:dyDescent="0.25">
      <c r="A39" s="5"/>
      <c r="B39" s="95" t="s">
        <v>104</v>
      </c>
      <c r="C39" s="89"/>
      <c r="D39" s="89" t="s">
        <v>31</v>
      </c>
      <c r="E39" s="89">
        <v>2025</v>
      </c>
      <c r="F39" s="89">
        <v>1</v>
      </c>
      <c r="G39" s="161">
        <f>G27*0.99</f>
        <v>1286687.2500000002</v>
      </c>
      <c r="H39" s="89"/>
      <c r="I39" s="5"/>
      <c r="J39" s="163"/>
      <c r="K39" s="167"/>
      <c r="L39" s="168"/>
      <c r="M39" s="168"/>
      <c r="N39" s="168"/>
      <c r="O39" s="167"/>
      <c r="P39" s="164"/>
      <c r="Q39" s="5"/>
      <c r="R39" s="5"/>
      <c r="S39" s="5"/>
      <c r="T39" s="5"/>
      <c r="U39" s="5"/>
      <c r="V39" s="5"/>
      <c r="W39" s="5"/>
      <c r="X39" s="5"/>
      <c r="Y39" s="5"/>
      <c r="Z39" s="5"/>
      <c r="AA39" s="5"/>
      <c r="AB39" s="5"/>
      <c r="AC39" s="5"/>
      <c r="AD39" s="5"/>
      <c r="AE39" s="5"/>
      <c r="AF39" s="5"/>
      <c r="AG39" s="5"/>
      <c r="AH39" s="5"/>
      <c r="AI39" s="5"/>
      <c r="AJ39" s="5"/>
      <c r="AK39" s="5"/>
      <c r="AL39" s="5"/>
      <c r="AM39" s="5"/>
      <c r="AN39" s="5"/>
      <c r="AO39" s="5"/>
    </row>
    <row r="40" spans="1:42" ht="15" x14ac:dyDescent="0.25">
      <c r="A40" s="5"/>
      <c r="B40" s="95"/>
      <c r="C40" s="89"/>
      <c r="D40" s="89" t="s">
        <v>31</v>
      </c>
      <c r="E40" s="89">
        <v>2030</v>
      </c>
      <c r="F40" s="89"/>
      <c r="G40" s="161">
        <f>G28*0.98</f>
        <v>813711.81818181835</v>
      </c>
      <c r="H40" s="89"/>
      <c r="I40" s="5"/>
      <c r="J40" s="163"/>
      <c r="K40" s="167"/>
      <c r="L40" s="168"/>
      <c r="M40" s="168"/>
      <c r="N40" s="168"/>
      <c r="O40" s="167"/>
      <c r="P40" s="164"/>
      <c r="Q40" s="5"/>
      <c r="R40" s="5"/>
      <c r="S40" s="5"/>
      <c r="T40" s="5"/>
      <c r="U40" s="5"/>
      <c r="V40" s="5"/>
      <c r="W40" s="5"/>
      <c r="X40" s="5"/>
      <c r="Y40" s="5"/>
      <c r="Z40" s="5"/>
      <c r="AA40" s="5"/>
      <c r="AB40" s="5"/>
      <c r="AC40" s="5"/>
      <c r="AD40" s="5"/>
      <c r="AE40" s="5"/>
      <c r="AF40" s="5"/>
      <c r="AG40" s="5"/>
      <c r="AH40" s="5"/>
      <c r="AI40" s="5"/>
      <c r="AJ40" s="5"/>
      <c r="AK40" s="5"/>
      <c r="AL40" s="5"/>
      <c r="AM40" s="5"/>
      <c r="AN40" s="5"/>
      <c r="AO40" s="5"/>
    </row>
    <row r="41" spans="1:42" ht="15" x14ac:dyDescent="0.25">
      <c r="A41" s="5"/>
      <c r="B41" s="95"/>
      <c r="C41" s="89"/>
      <c r="D41" s="90"/>
      <c r="E41" s="89">
        <v>0</v>
      </c>
      <c r="F41" s="89"/>
      <c r="G41" s="89">
        <v>1</v>
      </c>
      <c r="H41" s="89"/>
      <c r="I41" s="5"/>
      <c r="J41" s="163"/>
      <c r="K41" s="167"/>
      <c r="L41" s="168"/>
      <c r="M41" s="168"/>
      <c r="N41" s="168"/>
      <c r="O41" s="167"/>
      <c r="P41" s="164"/>
      <c r="Q41" s="5"/>
      <c r="R41" s="5"/>
      <c r="S41" s="5"/>
      <c r="T41" s="5"/>
      <c r="U41" s="5"/>
      <c r="V41" s="5"/>
      <c r="W41" s="5"/>
      <c r="X41" s="5"/>
      <c r="Y41" s="5"/>
      <c r="Z41" s="5"/>
      <c r="AA41" s="5"/>
      <c r="AB41" s="5"/>
      <c r="AC41" s="5"/>
      <c r="AD41" s="5"/>
      <c r="AE41" s="5"/>
      <c r="AF41" s="5"/>
      <c r="AG41" s="5"/>
      <c r="AH41" s="5"/>
      <c r="AI41" s="5"/>
      <c r="AJ41" s="5"/>
      <c r="AK41" s="5"/>
      <c r="AL41" s="5"/>
      <c r="AM41" s="5"/>
      <c r="AN41" s="5"/>
      <c r="AO41" s="5"/>
    </row>
    <row r="42" spans="1:42" ht="15" x14ac:dyDescent="0.25">
      <c r="A42" s="5"/>
      <c r="B42" s="162"/>
      <c r="C42" s="34"/>
      <c r="I42" s="5"/>
      <c r="J42" s="163"/>
      <c r="K42" s="167"/>
      <c r="L42" s="168"/>
      <c r="M42" s="168"/>
      <c r="N42" s="168"/>
      <c r="O42" s="167"/>
      <c r="P42" s="164"/>
      <c r="Q42" s="5"/>
      <c r="R42" s="5"/>
      <c r="S42" s="5"/>
      <c r="T42" s="5"/>
      <c r="U42" s="5"/>
      <c r="V42" s="5"/>
      <c r="W42" s="5"/>
      <c r="X42" s="5"/>
      <c r="Y42" s="5"/>
      <c r="Z42" s="5"/>
      <c r="AA42" s="5"/>
      <c r="AB42" s="5"/>
      <c r="AC42" s="5"/>
      <c r="AD42" s="5"/>
      <c r="AE42" s="5"/>
      <c r="AF42" s="5"/>
      <c r="AG42" s="5"/>
      <c r="AH42" s="5"/>
      <c r="AI42" s="5"/>
      <c r="AJ42" s="5"/>
      <c r="AK42" s="5"/>
      <c r="AL42" s="5"/>
      <c r="AM42" s="5"/>
      <c r="AN42" s="5"/>
      <c r="AO42" s="5"/>
    </row>
    <row r="43" spans="1:42" ht="15" x14ac:dyDescent="0.25">
      <c r="A43" s="5"/>
      <c r="B43" s="162"/>
      <c r="C43" s="34"/>
      <c r="I43" s="5"/>
      <c r="J43" s="163"/>
      <c r="K43" s="167"/>
      <c r="L43" s="168"/>
      <c r="M43" s="168"/>
      <c r="N43" s="168"/>
      <c r="O43" s="167"/>
      <c r="P43" s="164"/>
      <c r="Q43" s="5"/>
      <c r="R43" s="5"/>
      <c r="S43" s="5"/>
      <c r="T43" s="5"/>
      <c r="U43" s="5"/>
      <c r="V43" s="5"/>
      <c r="W43" s="5"/>
      <c r="X43" s="5"/>
      <c r="Y43" s="5"/>
      <c r="Z43" s="5"/>
      <c r="AA43" s="5"/>
      <c r="AB43" s="5"/>
      <c r="AC43" s="5"/>
      <c r="AD43" s="5"/>
      <c r="AE43" s="5"/>
      <c r="AF43" s="5"/>
      <c r="AG43" s="5"/>
      <c r="AH43" s="5"/>
      <c r="AI43" s="5"/>
      <c r="AJ43" s="5"/>
      <c r="AK43" s="5"/>
      <c r="AL43" s="5"/>
      <c r="AM43" s="5"/>
      <c r="AN43" s="5"/>
      <c r="AO43" s="5"/>
    </row>
    <row r="44" spans="1:42" s="85" customFormat="1" ht="15" x14ac:dyDescent="0.25">
      <c r="A44" s="87"/>
      <c r="B44" s="173" t="s">
        <v>115</v>
      </c>
      <c r="C44" s="174"/>
      <c r="D44" s="87"/>
      <c r="E44" s="87"/>
      <c r="F44" s="87"/>
      <c r="G44" s="87" t="s">
        <v>118</v>
      </c>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row>
    <row r="45" spans="1:42" ht="15" x14ac:dyDescent="0.25">
      <c r="A45" s="5"/>
      <c r="B45" s="5"/>
      <c r="C45" s="5"/>
      <c r="D45" s="5"/>
      <c r="E45" s="5"/>
      <c r="F45" s="5"/>
      <c r="G45" s="6">
        <f>G63</f>
        <v>24312.787756646801</v>
      </c>
      <c r="H45" s="6">
        <f t="shared" ref="H45:AK45" si="0">H63</f>
        <v>18033.911830160501</v>
      </c>
      <c r="I45" s="6">
        <f t="shared" si="0"/>
        <v>2795.9234945150401</v>
      </c>
      <c r="J45" s="6">
        <f t="shared" si="0"/>
        <v>16741.2103787296</v>
      </c>
      <c r="K45" s="6">
        <f t="shared" si="0"/>
        <v>1319.35117576585</v>
      </c>
      <c r="L45" s="6">
        <f t="shared" si="0"/>
        <v>14604.3450844121</v>
      </c>
      <c r="M45" s="6">
        <f t="shared" si="0"/>
        <v>120496.38970621501</v>
      </c>
      <c r="N45" s="6">
        <f t="shared" si="0"/>
        <v>7688.1183105319997</v>
      </c>
      <c r="O45" s="6">
        <f t="shared" si="0"/>
        <v>1331.45805543694</v>
      </c>
      <c r="P45" s="6">
        <f t="shared" si="0"/>
        <v>9524.7559356817092</v>
      </c>
      <c r="Q45" s="6">
        <f t="shared" si="0"/>
        <v>33820.244783925802</v>
      </c>
      <c r="R45" s="6">
        <f t="shared" si="0"/>
        <v>5964.7534431821296</v>
      </c>
      <c r="S45" s="6">
        <f t="shared" si="0"/>
        <v>39076.350252124801</v>
      </c>
      <c r="T45" s="6">
        <f t="shared" si="0"/>
        <v>3569.8426430838499</v>
      </c>
      <c r="U45" s="6">
        <f t="shared" si="0"/>
        <v>6481.9692958839596</v>
      </c>
      <c r="V45" s="6">
        <f t="shared" si="0"/>
        <v>5975.1437664361501</v>
      </c>
      <c r="W45" s="6">
        <f t="shared" si="0"/>
        <v>664.240555001855</v>
      </c>
      <c r="X45" s="6">
        <f t="shared" si="0"/>
        <v>61690.2223823612</v>
      </c>
      <c r="Y45" s="6">
        <f t="shared" si="0"/>
        <v>2687.4359274721601</v>
      </c>
      <c r="Z45" s="6">
        <f t="shared" si="0"/>
        <v>2129.1103688513299</v>
      </c>
      <c r="AA45" s="6">
        <f t="shared" si="0"/>
        <v>2148.92868090515</v>
      </c>
      <c r="AB45" s="6">
        <f t="shared" si="0"/>
        <v>61.7544991331226</v>
      </c>
      <c r="AC45" s="6">
        <f t="shared" si="0"/>
        <v>16314.0093620144</v>
      </c>
      <c r="AD45" s="6">
        <f t="shared" si="0"/>
        <v>99936.389735573903</v>
      </c>
      <c r="AE45" s="6">
        <f t="shared" si="0"/>
        <v>33939.210070021698</v>
      </c>
      <c r="AF45" s="6">
        <f t="shared" si="0"/>
        <v>9494.5802727456594</v>
      </c>
      <c r="AG45" s="6">
        <f t="shared" si="0"/>
        <v>12219.844701865801</v>
      </c>
      <c r="AH45" s="6">
        <f t="shared" si="0"/>
        <v>17550.455457948301</v>
      </c>
      <c r="AI45" s="6">
        <f t="shared" si="0"/>
        <v>1661.5282716833301</v>
      </c>
      <c r="AJ45" s="6">
        <f t="shared" si="0"/>
        <v>9677.9499287156596</v>
      </c>
      <c r="AK45" s="6">
        <f t="shared" si="0"/>
        <v>122975.214487171</v>
      </c>
      <c r="AL45" s="5"/>
      <c r="AM45" s="5"/>
      <c r="AN45" s="5"/>
      <c r="AO45" s="5"/>
    </row>
    <row r="46" spans="1:42" ht="15" x14ac:dyDescent="0.25">
      <c r="A46" s="5"/>
      <c r="B46" s="8" t="s">
        <v>101</v>
      </c>
      <c r="C46" s="9"/>
      <c r="D46" s="9"/>
      <c r="E46" s="9"/>
      <c r="F46" s="9"/>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spans="1:42" ht="15.75" thickBot="1" x14ac:dyDescent="0.3">
      <c r="A47" s="5"/>
      <c r="B47" s="10" t="s">
        <v>36</v>
      </c>
      <c r="C47" s="10" t="s">
        <v>37</v>
      </c>
      <c r="D47" s="11" t="s">
        <v>6</v>
      </c>
      <c r="E47" s="10" t="s">
        <v>38</v>
      </c>
      <c r="F47" s="12" t="s">
        <v>7</v>
      </c>
      <c r="G47" s="13" t="s">
        <v>11</v>
      </c>
      <c r="H47" s="13" t="s">
        <v>0</v>
      </c>
      <c r="I47" s="13" t="s">
        <v>12</v>
      </c>
      <c r="J47" s="13" t="s">
        <v>39</v>
      </c>
      <c r="K47" s="13" t="s">
        <v>13</v>
      </c>
      <c r="L47" s="13" t="s">
        <v>14</v>
      </c>
      <c r="M47" s="13" t="s">
        <v>1</v>
      </c>
      <c r="N47" s="13" t="s">
        <v>15</v>
      </c>
      <c r="O47" s="13" t="s">
        <v>16</v>
      </c>
      <c r="P47" s="13" t="s">
        <v>40</v>
      </c>
      <c r="Q47" s="13" t="s">
        <v>2</v>
      </c>
      <c r="R47" s="13" t="s">
        <v>3</v>
      </c>
      <c r="S47" s="13" t="s">
        <v>4</v>
      </c>
      <c r="T47" s="13" t="s">
        <v>32</v>
      </c>
      <c r="U47" s="13" t="s">
        <v>17</v>
      </c>
      <c r="V47" s="13" t="s">
        <v>18</v>
      </c>
      <c r="W47" s="13" t="s">
        <v>41</v>
      </c>
      <c r="X47" s="13" t="s">
        <v>19</v>
      </c>
      <c r="Y47" s="13" t="s">
        <v>20</v>
      </c>
      <c r="Z47" s="13" t="s">
        <v>21</v>
      </c>
      <c r="AA47" s="13" t="s">
        <v>22</v>
      </c>
      <c r="AB47" s="13" t="s">
        <v>23</v>
      </c>
      <c r="AC47" s="13" t="s">
        <v>24</v>
      </c>
      <c r="AD47" s="13" t="s">
        <v>42</v>
      </c>
      <c r="AE47" s="13" t="s">
        <v>25</v>
      </c>
      <c r="AF47" s="13" t="s">
        <v>26</v>
      </c>
      <c r="AG47" s="13" t="s">
        <v>27</v>
      </c>
      <c r="AH47" s="13" t="s">
        <v>28</v>
      </c>
      <c r="AI47" s="13" t="s">
        <v>29</v>
      </c>
      <c r="AJ47" s="13" t="s">
        <v>30</v>
      </c>
      <c r="AK47" s="13" t="s">
        <v>5</v>
      </c>
      <c r="AL47" s="5"/>
      <c r="AM47" s="5"/>
      <c r="AN47" s="5" t="s">
        <v>43</v>
      </c>
      <c r="AO47" s="5"/>
      <c r="AP47" s="5" t="s">
        <v>117</v>
      </c>
    </row>
    <row r="48" spans="1:42" ht="15" x14ac:dyDescent="0.25">
      <c r="A48" s="5"/>
      <c r="B48" s="14" t="s">
        <v>44</v>
      </c>
      <c r="C48" s="15" t="s">
        <v>45</v>
      </c>
      <c r="D48" s="16">
        <v>2035</v>
      </c>
      <c r="E48" s="17" t="s">
        <v>46</v>
      </c>
      <c r="F48" s="15" t="s">
        <v>31</v>
      </c>
      <c r="G48" s="21">
        <f>G$45*$AN48</f>
        <v>24337.100544403445</v>
      </c>
      <c r="H48" s="21">
        <f t="shared" ref="H48:AK53" si="1">H$45*$AN48</f>
        <v>18051.945741990661</v>
      </c>
      <c r="I48" s="21">
        <f t="shared" si="1"/>
        <v>2798.7194180095548</v>
      </c>
      <c r="J48" s="21">
        <f t="shared" si="1"/>
        <v>16757.951589108328</v>
      </c>
      <c r="K48" s="21">
        <f t="shared" si="1"/>
        <v>1320.6705269416157</v>
      </c>
      <c r="L48" s="21">
        <f t="shared" si="1"/>
        <v>14618.94942949651</v>
      </c>
      <c r="M48" s="21">
        <f t="shared" si="1"/>
        <v>120616.8860959212</v>
      </c>
      <c r="N48" s="21">
        <f t="shared" si="1"/>
        <v>7695.8064288425312</v>
      </c>
      <c r="O48" s="21">
        <f t="shared" si="1"/>
        <v>1332.7895134923767</v>
      </c>
      <c r="P48" s="21">
        <f t="shared" si="1"/>
        <v>9534.2806916173904</v>
      </c>
      <c r="Q48" s="21">
        <f t="shared" si="1"/>
        <v>33854.065028709723</v>
      </c>
      <c r="R48" s="21">
        <f t="shared" si="1"/>
        <v>5970.7181966253111</v>
      </c>
      <c r="S48" s="21">
        <f t="shared" si="1"/>
        <v>39115.426602376923</v>
      </c>
      <c r="T48" s="21">
        <f t="shared" si="1"/>
        <v>3573.4124857269335</v>
      </c>
      <c r="U48" s="21">
        <f t="shared" si="1"/>
        <v>6488.4512651798432</v>
      </c>
      <c r="V48" s="21">
        <f t="shared" si="1"/>
        <v>5981.1189102025855</v>
      </c>
      <c r="W48" s="21">
        <f t="shared" si="1"/>
        <v>664.90479555685681</v>
      </c>
      <c r="X48" s="21">
        <f t="shared" si="1"/>
        <v>61751.912604743557</v>
      </c>
      <c r="Y48" s="21">
        <f t="shared" si="1"/>
        <v>2690.1233633996321</v>
      </c>
      <c r="Z48" s="21">
        <f t="shared" si="1"/>
        <v>2131.2394792201808</v>
      </c>
      <c r="AA48" s="21">
        <f t="shared" si="1"/>
        <v>2151.0776095860551</v>
      </c>
      <c r="AB48" s="21">
        <f t="shared" si="1"/>
        <v>61.816253632255716</v>
      </c>
      <c r="AC48" s="21">
        <f t="shared" si="1"/>
        <v>16330.323371376413</v>
      </c>
      <c r="AD48" s="21">
        <f t="shared" si="1"/>
        <v>100036.32612530947</v>
      </c>
      <c r="AE48" s="21">
        <f t="shared" si="1"/>
        <v>33973.149280091719</v>
      </c>
      <c r="AF48" s="21">
        <f t="shared" si="1"/>
        <v>9504.0748530184046</v>
      </c>
      <c r="AG48" s="21">
        <f t="shared" si="1"/>
        <v>12232.064546567664</v>
      </c>
      <c r="AH48" s="21">
        <f t="shared" si="1"/>
        <v>17568.005913406247</v>
      </c>
      <c r="AI48" s="21">
        <f t="shared" si="1"/>
        <v>1663.1897999550133</v>
      </c>
      <c r="AJ48" s="21">
        <f t="shared" si="1"/>
        <v>9687.6278786443745</v>
      </c>
      <c r="AK48" s="21">
        <f t="shared" si="1"/>
        <v>123098.18970165816</v>
      </c>
      <c r="AL48" s="5"/>
      <c r="AM48" s="5"/>
      <c r="AN48" s="18">
        <v>1.0009999999999999</v>
      </c>
      <c r="AO48" s="5"/>
      <c r="AP48" s="6">
        <f>SUM(G48:AK48)-AK48-J48-W48</f>
        <v>565071.27195848746</v>
      </c>
    </row>
    <row r="49" spans="1:42" ht="15" x14ac:dyDescent="0.25">
      <c r="A49" s="5"/>
      <c r="B49" s="14" t="s">
        <v>44</v>
      </c>
      <c r="C49" s="15" t="s">
        <v>45</v>
      </c>
      <c r="D49" s="16">
        <v>2040</v>
      </c>
      <c r="E49" s="17" t="s">
        <v>46</v>
      </c>
      <c r="F49" s="15" t="s">
        <v>31</v>
      </c>
      <c r="G49" s="21">
        <f t="shared" ref="G49:V53" si="2">G$45*$AN49</f>
        <v>21881.508980982122</v>
      </c>
      <c r="H49" s="21">
        <f t="shared" si="2"/>
        <v>16230.520647144451</v>
      </c>
      <c r="I49" s="21">
        <f t="shared" si="2"/>
        <v>2516.331145063536</v>
      </c>
      <c r="J49" s="21">
        <f t="shared" si="2"/>
        <v>15067.089340856641</v>
      </c>
      <c r="K49" s="21">
        <f t="shared" si="2"/>
        <v>1187.416058189265</v>
      </c>
      <c r="L49" s="21">
        <f t="shared" si="2"/>
        <v>13143.910575970891</v>
      </c>
      <c r="M49" s="21">
        <f t="shared" si="2"/>
        <v>108446.75073559351</v>
      </c>
      <c r="N49" s="21">
        <f t="shared" si="2"/>
        <v>6919.3064794787997</v>
      </c>
      <c r="O49" s="21">
        <f t="shared" si="2"/>
        <v>1198.312249893246</v>
      </c>
      <c r="P49" s="21">
        <f t="shared" si="2"/>
        <v>8572.2803421135377</v>
      </c>
      <c r="Q49" s="21">
        <f t="shared" si="2"/>
        <v>30438.220305533221</v>
      </c>
      <c r="R49" s="21">
        <f t="shared" si="2"/>
        <v>5368.278098863917</v>
      </c>
      <c r="S49" s="21">
        <f t="shared" si="2"/>
        <v>35168.715226912325</v>
      </c>
      <c r="T49" s="21">
        <f t="shared" si="2"/>
        <v>3212.8583787754651</v>
      </c>
      <c r="U49" s="21">
        <f t="shared" si="2"/>
        <v>5833.7723662955641</v>
      </c>
      <c r="V49" s="21">
        <f t="shared" si="2"/>
        <v>5377.6293897925352</v>
      </c>
      <c r="W49" s="21">
        <f t="shared" si="1"/>
        <v>597.81649950166957</v>
      </c>
      <c r="X49" s="21">
        <f t="shared" si="1"/>
        <v>55521.200144125083</v>
      </c>
      <c r="Y49" s="21">
        <f t="shared" si="1"/>
        <v>2418.692334724944</v>
      </c>
      <c r="Z49" s="21">
        <f t="shared" si="1"/>
        <v>1916.199331966197</v>
      </c>
      <c r="AA49" s="21">
        <f t="shared" si="1"/>
        <v>1934.0358128146352</v>
      </c>
      <c r="AB49" s="21">
        <f t="shared" si="1"/>
        <v>55.579049219810344</v>
      </c>
      <c r="AC49" s="21">
        <f t="shared" si="1"/>
        <v>14682.608425812959</v>
      </c>
      <c r="AD49" s="21">
        <f t="shared" si="1"/>
        <v>89942.750762016512</v>
      </c>
      <c r="AE49" s="21">
        <f t="shared" si="1"/>
        <v>30545.289063019529</v>
      </c>
      <c r="AF49" s="21">
        <f t="shared" si="1"/>
        <v>8545.1222454710933</v>
      </c>
      <c r="AG49" s="21">
        <f t="shared" si="1"/>
        <v>10997.86023167922</v>
      </c>
      <c r="AH49" s="21">
        <f t="shared" si="1"/>
        <v>15795.409912153471</v>
      </c>
      <c r="AI49" s="21">
        <f t="shared" si="1"/>
        <v>1495.3754445149971</v>
      </c>
      <c r="AJ49" s="21">
        <f t="shared" si="1"/>
        <v>8710.1549358440934</v>
      </c>
      <c r="AK49" s="21">
        <f t="shared" si="1"/>
        <v>110677.6930384539</v>
      </c>
      <c r="AL49" s="5"/>
      <c r="AM49" s="5"/>
      <c r="AN49" s="18">
        <v>0.9</v>
      </c>
      <c r="AO49" s="5"/>
      <c r="AP49" s="6">
        <f t="shared" ref="AP49:AP53" si="3">SUM(G49:AK49)-AK49-J49-W49</f>
        <v>508056.0886739649</v>
      </c>
    </row>
    <row r="50" spans="1:42" ht="15" x14ac:dyDescent="0.25">
      <c r="A50" s="5"/>
      <c r="B50" s="14" t="s">
        <v>44</v>
      </c>
      <c r="C50" s="15" t="s">
        <v>45</v>
      </c>
      <c r="D50" s="16">
        <v>2045</v>
      </c>
      <c r="E50" s="17" t="s">
        <v>46</v>
      </c>
      <c r="F50" s="15" t="s">
        <v>31</v>
      </c>
      <c r="G50" s="21">
        <f t="shared" si="2"/>
        <v>16557.008462276473</v>
      </c>
      <c r="H50" s="21">
        <f t="shared" si="1"/>
        <v>12281.093956339302</v>
      </c>
      <c r="I50" s="21">
        <f t="shared" si="1"/>
        <v>1904.0238997647425</v>
      </c>
      <c r="J50" s="21">
        <f t="shared" si="1"/>
        <v>11400.764267914859</v>
      </c>
      <c r="K50" s="21">
        <f t="shared" si="1"/>
        <v>898.47815069654393</v>
      </c>
      <c r="L50" s="21">
        <f t="shared" si="1"/>
        <v>9945.5590024846406</v>
      </c>
      <c r="M50" s="21">
        <f t="shared" si="1"/>
        <v>82058.041389932419</v>
      </c>
      <c r="N50" s="21">
        <f t="shared" si="1"/>
        <v>5235.6085694722924</v>
      </c>
      <c r="O50" s="21">
        <f t="shared" si="1"/>
        <v>906.72293575255617</v>
      </c>
      <c r="P50" s="21">
        <f t="shared" si="1"/>
        <v>6486.3587921992448</v>
      </c>
      <c r="Q50" s="21">
        <f t="shared" si="1"/>
        <v>23031.586697853472</v>
      </c>
      <c r="R50" s="21">
        <f t="shared" si="1"/>
        <v>4061.9970948070304</v>
      </c>
      <c r="S50" s="21">
        <f t="shared" si="1"/>
        <v>26610.99452169699</v>
      </c>
      <c r="T50" s="21">
        <f t="shared" si="1"/>
        <v>2431.0628399401021</v>
      </c>
      <c r="U50" s="21">
        <f t="shared" si="1"/>
        <v>4414.221090496977</v>
      </c>
      <c r="V50" s="21">
        <f t="shared" si="1"/>
        <v>4069.0729049430183</v>
      </c>
      <c r="W50" s="21">
        <f t="shared" si="1"/>
        <v>452.34781795626327</v>
      </c>
      <c r="X50" s="21">
        <f t="shared" si="1"/>
        <v>42011.041442387977</v>
      </c>
      <c r="Y50" s="21">
        <f t="shared" si="1"/>
        <v>1830.1438666085412</v>
      </c>
      <c r="Z50" s="21">
        <f t="shared" si="1"/>
        <v>1449.9241611877558</v>
      </c>
      <c r="AA50" s="21">
        <f t="shared" si="1"/>
        <v>1463.4204316964074</v>
      </c>
      <c r="AB50" s="21">
        <f t="shared" si="1"/>
        <v>42.054813909656495</v>
      </c>
      <c r="AC50" s="21">
        <f t="shared" si="1"/>
        <v>11109.840375531807</v>
      </c>
      <c r="AD50" s="21">
        <f t="shared" si="1"/>
        <v>68056.681409925834</v>
      </c>
      <c r="AE50" s="21">
        <f t="shared" si="1"/>
        <v>23112.602057684777</v>
      </c>
      <c r="AF50" s="21">
        <f t="shared" si="1"/>
        <v>6465.8091657397945</v>
      </c>
      <c r="AG50" s="21">
        <f t="shared" si="1"/>
        <v>8321.7142419706106</v>
      </c>
      <c r="AH50" s="21">
        <f t="shared" si="1"/>
        <v>11951.860166862794</v>
      </c>
      <c r="AI50" s="21">
        <f t="shared" si="1"/>
        <v>1131.500753016348</v>
      </c>
      <c r="AJ50" s="21">
        <f t="shared" si="1"/>
        <v>6590.6839014553643</v>
      </c>
      <c r="AK50" s="21">
        <f t="shared" si="1"/>
        <v>83746.121065763466</v>
      </c>
      <c r="AL50" s="5"/>
      <c r="AM50" s="5"/>
      <c r="AN50" s="18">
        <v>0.68100000000000005</v>
      </c>
      <c r="AO50" s="5"/>
      <c r="AP50" s="6">
        <f t="shared" si="3"/>
        <v>384429.10709663347</v>
      </c>
    </row>
    <row r="51" spans="1:42" ht="15" x14ac:dyDescent="0.25">
      <c r="A51" s="5"/>
      <c r="B51" s="14" t="s">
        <v>44</v>
      </c>
      <c r="C51" s="15" t="s">
        <v>45</v>
      </c>
      <c r="D51" s="16">
        <v>2050</v>
      </c>
      <c r="E51" s="17" t="s">
        <v>46</v>
      </c>
      <c r="F51" s="15" t="s">
        <v>31</v>
      </c>
      <c r="G51" s="21">
        <f t="shared" si="2"/>
        <v>11159.569580300882</v>
      </c>
      <c r="H51" s="21">
        <f t="shared" si="2"/>
        <v>8277.5655300436702</v>
      </c>
      <c r="I51" s="21">
        <f t="shared" si="2"/>
        <v>1283.3288839824036</v>
      </c>
      <c r="J51" s="21">
        <f t="shared" si="2"/>
        <v>7684.2155638368868</v>
      </c>
      <c r="K51" s="21">
        <f t="shared" si="2"/>
        <v>605.58218967652522</v>
      </c>
      <c r="L51" s="21">
        <f t="shared" si="2"/>
        <v>6703.394393745154</v>
      </c>
      <c r="M51" s="21">
        <f t="shared" si="2"/>
        <v>55307.842875152688</v>
      </c>
      <c r="N51" s="21">
        <f t="shared" si="2"/>
        <v>3528.8463045341882</v>
      </c>
      <c r="O51" s="21">
        <f t="shared" si="2"/>
        <v>611.1392474455555</v>
      </c>
      <c r="P51" s="21">
        <f t="shared" si="2"/>
        <v>4371.8629744779046</v>
      </c>
      <c r="Q51" s="21">
        <f t="shared" si="2"/>
        <v>15523.492355821943</v>
      </c>
      <c r="R51" s="21">
        <f t="shared" si="2"/>
        <v>2737.8218304205975</v>
      </c>
      <c r="S51" s="21">
        <f t="shared" si="2"/>
        <v>17936.044765725284</v>
      </c>
      <c r="T51" s="21">
        <f t="shared" si="2"/>
        <v>1638.5577731754872</v>
      </c>
      <c r="U51" s="21">
        <f t="shared" si="2"/>
        <v>2975.2239068107374</v>
      </c>
      <c r="V51" s="21">
        <f t="shared" si="2"/>
        <v>2742.590988794193</v>
      </c>
      <c r="W51" s="21">
        <f t="shared" si="1"/>
        <v>304.88641474585148</v>
      </c>
      <c r="X51" s="21">
        <f t="shared" si="1"/>
        <v>28315.812073503792</v>
      </c>
      <c r="Y51" s="21">
        <f t="shared" si="1"/>
        <v>1233.5330907097216</v>
      </c>
      <c r="Z51" s="21">
        <f t="shared" si="1"/>
        <v>977.26165930276045</v>
      </c>
      <c r="AA51" s="21">
        <f t="shared" si="1"/>
        <v>986.35826453546395</v>
      </c>
      <c r="AB51" s="21">
        <f t="shared" si="1"/>
        <v>28.345315102103275</v>
      </c>
      <c r="AC51" s="21">
        <f t="shared" si="1"/>
        <v>7488.1302971646101</v>
      </c>
      <c r="AD51" s="21">
        <f t="shared" si="1"/>
        <v>45870.802888628423</v>
      </c>
      <c r="AE51" s="21">
        <f t="shared" si="1"/>
        <v>15578.097422139959</v>
      </c>
      <c r="AF51" s="21">
        <f t="shared" si="1"/>
        <v>4358.0123451902582</v>
      </c>
      <c r="AG51" s="21">
        <f t="shared" si="1"/>
        <v>5608.9087181564028</v>
      </c>
      <c r="AH51" s="21">
        <f t="shared" si="1"/>
        <v>8055.6590551982708</v>
      </c>
      <c r="AI51" s="21">
        <f t="shared" si="1"/>
        <v>762.64147670264856</v>
      </c>
      <c r="AJ51" s="21">
        <f t="shared" si="1"/>
        <v>4442.1790172804876</v>
      </c>
      <c r="AK51" s="21">
        <f t="shared" si="1"/>
        <v>56445.623449611492</v>
      </c>
      <c r="AL51" s="5"/>
      <c r="AM51" s="5"/>
      <c r="AN51" s="18">
        <v>0.45900000000000002</v>
      </c>
      <c r="AO51" s="5"/>
      <c r="AP51" s="6">
        <f t="shared" si="3"/>
        <v>259108.60522372206</v>
      </c>
    </row>
    <row r="52" spans="1:42" ht="15" x14ac:dyDescent="0.25">
      <c r="A52" s="5"/>
      <c r="B52" s="14" t="s">
        <v>44</v>
      </c>
      <c r="C52" s="15" t="s">
        <v>45</v>
      </c>
      <c r="D52" s="16">
        <v>2055</v>
      </c>
      <c r="E52" s="17" t="s">
        <v>46</v>
      </c>
      <c r="F52" s="15" t="s">
        <v>31</v>
      </c>
      <c r="G52" s="21">
        <f t="shared" si="2"/>
        <v>7208.7415698457762</v>
      </c>
      <c r="H52" s="21">
        <f t="shared" si="1"/>
        <v>5347.0548576425881</v>
      </c>
      <c r="I52" s="21">
        <f t="shared" si="1"/>
        <v>828.99131612370934</v>
      </c>
      <c r="J52" s="21">
        <f t="shared" si="1"/>
        <v>4963.7688772933261</v>
      </c>
      <c r="K52" s="21">
        <f t="shared" si="1"/>
        <v>391.18762361457453</v>
      </c>
      <c r="L52" s="21">
        <f t="shared" si="1"/>
        <v>4330.1883175281873</v>
      </c>
      <c r="M52" s="21">
        <f t="shared" si="1"/>
        <v>35727.179547892745</v>
      </c>
      <c r="N52" s="21">
        <f t="shared" si="1"/>
        <v>2279.5270790727377</v>
      </c>
      <c r="O52" s="21">
        <f t="shared" si="1"/>
        <v>394.77731343705267</v>
      </c>
      <c r="P52" s="21">
        <f t="shared" si="1"/>
        <v>2824.0901349296269</v>
      </c>
      <c r="Q52" s="21">
        <f t="shared" si="1"/>
        <v>10027.702578434</v>
      </c>
      <c r="R52" s="21">
        <f t="shared" si="1"/>
        <v>1768.5493959035014</v>
      </c>
      <c r="S52" s="21">
        <f t="shared" si="1"/>
        <v>11586.137849755003</v>
      </c>
      <c r="T52" s="21">
        <f t="shared" si="1"/>
        <v>1058.4583436743615</v>
      </c>
      <c r="U52" s="21">
        <f t="shared" si="1"/>
        <v>1921.903896229594</v>
      </c>
      <c r="V52" s="21">
        <f t="shared" si="1"/>
        <v>1771.6301267483184</v>
      </c>
      <c r="W52" s="21">
        <f t="shared" si="1"/>
        <v>196.94732455804998</v>
      </c>
      <c r="X52" s="21">
        <f t="shared" si="1"/>
        <v>18291.150936370093</v>
      </c>
      <c r="Y52" s="21">
        <f t="shared" si="1"/>
        <v>796.82475249549543</v>
      </c>
      <c r="Z52" s="21">
        <f t="shared" si="1"/>
        <v>631.28122436441924</v>
      </c>
      <c r="AA52" s="21">
        <f t="shared" si="1"/>
        <v>637.15735388837697</v>
      </c>
      <c r="AB52" s="21">
        <f t="shared" si="1"/>
        <v>18.31020899297085</v>
      </c>
      <c r="AC52" s="21">
        <f t="shared" si="1"/>
        <v>4837.1037758372695</v>
      </c>
      <c r="AD52" s="21">
        <f t="shared" si="1"/>
        <v>29631.13955659766</v>
      </c>
      <c r="AE52" s="21">
        <f t="shared" si="1"/>
        <v>10062.975785761433</v>
      </c>
      <c r="AF52" s="21">
        <f t="shared" si="1"/>
        <v>2815.1430508690878</v>
      </c>
      <c r="AG52" s="21">
        <f t="shared" si="1"/>
        <v>3623.1839541032095</v>
      </c>
      <c r="AH52" s="21">
        <f t="shared" si="1"/>
        <v>5203.7100432816715</v>
      </c>
      <c r="AI52" s="21">
        <f t="shared" si="1"/>
        <v>492.64313255410735</v>
      </c>
      <c r="AJ52" s="21">
        <f t="shared" si="1"/>
        <v>2869.5121538641929</v>
      </c>
      <c r="AK52" s="21">
        <f t="shared" si="1"/>
        <v>36462.151095446199</v>
      </c>
      <c r="AL52" s="5"/>
      <c r="AM52" s="5"/>
      <c r="AN52" s="18">
        <v>0.29649999999999999</v>
      </c>
      <c r="AO52" s="5"/>
      <c r="AP52" s="6">
        <f t="shared" si="3"/>
        <v>167376.25587981174</v>
      </c>
    </row>
    <row r="53" spans="1:42" ht="15" x14ac:dyDescent="0.25">
      <c r="A53" s="5"/>
      <c r="B53" s="14" t="s">
        <v>44</v>
      </c>
      <c r="C53" s="15" t="s">
        <v>45</v>
      </c>
      <c r="D53" s="16">
        <v>2060</v>
      </c>
      <c r="E53" s="17" t="s">
        <v>46</v>
      </c>
      <c r="F53" s="15" t="s">
        <v>31</v>
      </c>
      <c r="G53" s="21">
        <f t="shared" si="2"/>
        <v>2431.2787756646803</v>
      </c>
      <c r="H53" s="21">
        <f t="shared" si="1"/>
        <v>1803.3911830160503</v>
      </c>
      <c r="I53" s="21">
        <f t="shared" si="1"/>
        <v>279.59234945150405</v>
      </c>
      <c r="J53" s="21">
        <f t="shared" si="1"/>
        <v>1674.1210378729602</v>
      </c>
      <c r="K53" s="21">
        <f t="shared" si="1"/>
        <v>131.93511757658501</v>
      </c>
      <c r="L53" s="21">
        <f t="shared" si="1"/>
        <v>1460.43450844121</v>
      </c>
      <c r="M53" s="21">
        <f t="shared" si="1"/>
        <v>12049.638970621501</v>
      </c>
      <c r="N53" s="21">
        <f t="shared" si="1"/>
        <v>768.81183105319997</v>
      </c>
      <c r="O53" s="21">
        <f t="shared" si="1"/>
        <v>133.145805543694</v>
      </c>
      <c r="P53" s="21">
        <f t="shared" si="1"/>
        <v>952.47559356817101</v>
      </c>
      <c r="Q53" s="21">
        <f t="shared" si="1"/>
        <v>3382.0244783925805</v>
      </c>
      <c r="R53" s="21">
        <f t="shared" si="1"/>
        <v>596.47534431821293</v>
      </c>
      <c r="S53" s="21">
        <f t="shared" si="1"/>
        <v>3907.6350252124803</v>
      </c>
      <c r="T53" s="21">
        <f t="shared" si="1"/>
        <v>356.98426430838504</v>
      </c>
      <c r="U53" s="21">
        <f t="shared" si="1"/>
        <v>648.19692958839596</v>
      </c>
      <c r="V53" s="21">
        <f t="shared" si="1"/>
        <v>597.51437664361504</v>
      </c>
      <c r="W53" s="21">
        <f t="shared" si="1"/>
        <v>66.424055500185503</v>
      </c>
      <c r="X53" s="21">
        <f t="shared" si="1"/>
        <v>6169.0222382361208</v>
      </c>
      <c r="Y53" s="21">
        <f t="shared" si="1"/>
        <v>268.74359274721604</v>
      </c>
      <c r="Z53" s="21">
        <f t="shared" si="1"/>
        <v>212.911036885133</v>
      </c>
      <c r="AA53" s="21">
        <f t="shared" si="1"/>
        <v>214.89286809051501</v>
      </c>
      <c r="AB53" s="21">
        <f t="shared" si="1"/>
        <v>6.17544991331226</v>
      </c>
      <c r="AC53" s="21">
        <f t="shared" si="1"/>
        <v>1631.4009362014401</v>
      </c>
      <c r="AD53" s="21">
        <f t="shared" si="1"/>
        <v>9993.6389735573903</v>
      </c>
      <c r="AE53" s="21">
        <f t="shared" si="1"/>
        <v>3393.92100700217</v>
      </c>
      <c r="AF53" s="21">
        <f t="shared" si="1"/>
        <v>949.45802727456601</v>
      </c>
      <c r="AG53" s="21">
        <f t="shared" si="1"/>
        <v>1221.9844701865802</v>
      </c>
      <c r="AH53" s="21">
        <f t="shared" si="1"/>
        <v>1755.0455457948301</v>
      </c>
      <c r="AI53" s="21">
        <f t="shared" si="1"/>
        <v>166.15282716833303</v>
      </c>
      <c r="AJ53" s="21">
        <f t="shared" si="1"/>
        <v>967.79499287156602</v>
      </c>
      <c r="AK53" s="21">
        <f t="shared" si="1"/>
        <v>12297.521448717102</v>
      </c>
      <c r="AL53" s="5"/>
      <c r="AM53" s="5"/>
      <c r="AN53" s="18">
        <v>0.1</v>
      </c>
      <c r="AO53" s="5"/>
      <c r="AP53" s="6">
        <f t="shared" si="3"/>
        <v>56450.676519329441</v>
      </c>
    </row>
    <row r="54" spans="1:42" ht="15" x14ac:dyDescent="0.25">
      <c r="A54" s="5"/>
      <c r="B54" s="14" t="s">
        <v>44</v>
      </c>
      <c r="C54" s="15" t="s">
        <v>45</v>
      </c>
      <c r="D54" s="19">
        <v>0</v>
      </c>
      <c r="E54" s="9" t="s">
        <v>46</v>
      </c>
      <c r="F54" s="15" t="s">
        <v>31</v>
      </c>
      <c r="G54" s="20">
        <v>5</v>
      </c>
      <c r="H54" s="20">
        <v>5</v>
      </c>
      <c r="I54" s="20">
        <v>5</v>
      </c>
      <c r="J54" s="20">
        <v>5</v>
      </c>
      <c r="K54" s="20">
        <v>5</v>
      </c>
      <c r="L54" s="20">
        <v>5</v>
      </c>
      <c r="M54" s="20">
        <v>5</v>
      </c>
      <c r="N54" s="20">
        <v>5</v>
      </c>
      <c r="O54" s="20">
        <v>5</v>
      </c>
      <c r="P54" s="20">
        <v>5</v>
      </c>
      <c r="Q54" s="20">
        <v>5</v>
      </c>
      <c r="R54" s="20">
        <v>5</v>
      </c>
      <c r="S54" s="20">
        <v>5</v>
      </c>
      <c r="T54" s="20">
        <v>5</v>
      </c>
      <c r="U54" s="20">
        <v>5</v>
      </c>
      <c r="V54" s="20">
        <v>5</v>
      </c>
      <c r="W54" s="20">
        <v>5</v>
      </c>
      <c r="X54" s="20">
        <v>5</v>
      </c>
      <c r="Y54" s="20">
        <v>5</v>
      </c>
      <c r="Z54" s="20">
        <v>5</v>
      </c>
      <c r="AA54" s="20">
        <v>5</v>
      </c>
      <c r="AB54" s="20">
        <v>5</v>
      </c>
      <c r="AC54" s="20">
        <v>5</v>
      </c>
      <c r="AD54" s="20">
        <v>5</v>
      </c>
      <c r="AE54" s="20">
        <v>5</v>
      </c>
      <c r="AF54" s="20">
        <v>5</v>
      </c>
      <c r="AG54" s="20">
        <v>5</v>
      </c>
      <c r="AH54" s="20">
        <v>5</v>
      </c>
      <c r="AI54" s="20">
        <v>5</v>
      </c>
      <c r="AJ54" s="20">
        <v>5</v>
      </c>
      <c r="AK54" s="20">
        <v>5</v>
      </c>
      <c r="AL54" s="5"/>
      <c r="AM54" s="5"/>
      <c r="AN54" s="5"/>
      <c r="AO54" s="5"/>
    </row>
    <row r="55" spans="1:42" ht="13.9" customHeight="1" x14ac:dyDescent="0.25">
      <c r="A55" s="5"/>
      <c r="B55" s="14"/>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spans="1:42" ht="13.9" customHeight="1" x14ac:dyDescent="0.25">
      <c r="A56" s="5"/>
      <c r="B56" s="14"/>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spans="1:42" ht="13.9" customHeight="1" x14ac:dyDescent="0.25">
      <c r="A57" s="5"/>
      <c r="B57" s="14"/>
      <c r="C57" s="5"/>
      <c r="D57" s="5"/>
      <c r="E57" s="5"/>
      <c r="F57" s="5" t="s">
        <v>114</v>
      </c>
      <c r="G57" s="5" t="s">
        <v>11</v>
      </c>
      <c r="H57" s="5" t="s">
        <v>0</v>
      </c>
      <c r="I57" s="5" t="s">
        <v>12</v>
      </c>
      <c r="J57" s="5" t="s">
        <v>39</v>
      </c>
      <c r="K57" s="5" t="s">
        <v>13</v>
      </c>
      <c r="L57" s="5" t="s">
        <v>14</v>
      </c>
      <c r="M57" s="5" t="s">
        <v>1</v>
      </c>
      <c r="N57" s="5" t="s">
        <v>15</v>
      </c>
      <c r="O57" s="5" t="s">
        <v>16</v>
      </c>
      <c r="P57" s="5" t="s">
        <v>40</v>
      </c>
      <c r="Q57" s="5" t="s">
        <v>2</v>
      </c>
      <c r="R57" s="5" t="s">
        <v>3</v>
      </c>
      <c r="S57" s="5" t="s">
        <v>4</v>
      </c>
      <c r="T57" s="5" t="s">
        <v>32</v>
      </c>
      <c r="U57" s="5" t="s">
        <v>17</v>
      </c>
      <c r="V57" s="5" t="s">
        <v>18</v>
      </c>
      <c r="W57" s="5" t="s">
        <v>41</v>
      </c>
      <c r="X57" s="5" t="s">
        <v>19</v>
      </c>
      <c r="Y57" s="5" t="s">
        <v>20</v>
      </c>
      <c r="Z57" s="5" t="s">
        <v>21</v>
      </c>
      <c r="AA57" s="5" t="s">
        <v>22</v>
      </c>
      <c r="AB57" s="5" t="s">
        <v>23</v>
      </c>
      <c r="AC57" s="5" t="s">
        <v>24</v>
      </c>
      <c r="AD57" s="5" t="s">
        <v>42</v>
      </c>
      <c r="AE57" s="5" t="s">
        <v>25</v>
      </c>
      <c r="AF57" s="5" t="s">
        <v>26</v>
      </c>
      <c r="AG57" s="5" t="s">
        <v>27</v>
      </c>
      <c r="AH57" s="5" t="s">
        <v>28</v>
      </c>
      <c r="AI57" s="5" t="s">
        <v>29</v>
      </c>
      <c r="AJ57" s="5" t="s">
        <v>30</v>
      </c>
      <c r="AK57" s="5" t="s">
        <v>5</v>
      </c>
      <c r="AL57" s="5"/>
      <c r="AM57" s="5"/>
      <c r="AN57" s="5"/>
      <c r="AO57" s="5"/>
      <c r="AP57" s="5" t="s">
        <v>117</v>
      </c>
    </row>
    <row r="58" spans="1:42" ht="13.9" customHeight="1" x14ac:dyDescent="0.25">
      <c r="A58" s="5"/>
      <c r="B58" s="14"/>
      <c r="C58" s="5"/>
      <c r="D58" s="5"/>
      <c r="F58" s="5">
        <v>2010</v>
      </c>
      <c r="G58" s="6">
        <v>32828.468576104598</v>
      </c>
      <c r="H58" s="6">
        <v>39486.957692109703</v>
      </c>
      <c r="I58" s="6">
        <v>37369.394881139197</v>
      </c>
      <c r="J58" s="6">
        <v>4222.6509589538</v>
      </c>
      <c r="K58" s="6">
        <v>4514.1232633127902</v>
      </c>
      <c r="L58" s="6">
        <v>91772.802285593396</v>
      </c>
      <c r="M58" s="6">
        <v>386116.86170733703</v>
      </c>
      <c r="N58" s="6">
        <v>31689.856831815301</v>
      </c>
      <c r="O58" s="6">
        <v>4332.8264365826199</v>
      </c>
      <c r="P58" s="6">
        <v>55930.4639417824</v>
      </c>
      <c r="Q58" s="6">
        <v>136511.51325957</v>
      </c>
      <c r="R58" s="6">
        <v>38166.138175947097</v>
      </c>
      <c r="S58" s="6">
        <v>77012.672718299305</v>
      </c>
      <c r="T58" s="6">
        <v>8136.8466145365101</v>
      </c>
      <c r="U58" s="6">
        <v>23916.2410671164</v>
      </c>
      <c r="V58" s="6">
        <v>15641.9797544341</v>
      </c>
      <c r="W58" s="6">
        <v>460.82453171604999</v>
      </c>
      <c r="X58" s="6">
        <v>177826.67299707499</v>
      </c>
      <c r="Y58" s="6">
        <v>7688.0629066179599</v>
      </c>
      <c r="Z58" s="6">
        <v>2812.3325936077499</v>
      </c>
      <c r="AA58" s="6">
        <v>4449.1537299705597</v>
      </c>
      <c r="AB58" s="6">
        <v>1626.8378217305001</v>
      </c>
      <c r="AC58" s="6">
        <v>72414.551553255602</v>
      </c>
      <c r="AD58" s="6">
        <v>9063.3539098807905</v>
      </c>
      <c r="AE58" s="6">
        <v>228290.555265136</v>
      </c>
      <c r="AF58" s="6">
        <v>19857.0872930109</v>
      </c>
      <c r="AG58" s="6">
        <v>46318.046547995698</v>
      </c>
      <c r="AH58" s="6">
        <v>29436.062266536999</v>
      </c>
      <c r="AI58" s="6">
        <v>8560.9491895656101</v>
      </c>
      <c r="AJ58" s="6">
        <v>17481.479139307601</v>
      </c>
      <c r="AK58" s="6">
        <v>159793.674810756</v>
      </c>
      <c r="AL58" s="5"/>
      <c r="AM58" s="5"/>
      <c r="AN58" s="5"/>
      <c r="AO58" s="5"/>
      <c r="AP58" s="6">
        <f t="shared" ref="AP58:AP68" si="4">SUM(G58:AK58)-AK58-J58-W58</f>
        <v>1609252.2924193712</v>
      </c>
    </row>
    <row r="59" spans="1:42" ht="13.9" customHeight="1" x14ac:dyDescent="0.25">
      <c r="A59" s="5"/>
      <c r="B59" s="14"/>
      <c r="C59" s="5"/>
      <c r="D59" s="5"/>
      <c r="F59" s="5">
        <v>2015</v>
      </c>
      <c r="G59" s="6">
        <v>32001.270932903699</v>
      </c>
      <c r="H59" s="6">
        <v>38129.927949047204</v>
      </c>
      <c r="I59" s="6">
        <v>38812.922732873398</v>
      </c>
      <c r="J59" s="6">
        <v>3180.7377441440199</v>
      </c>
      <c r="K59" s="6">
        <v>5373.0598432997804</v>
      </c>
      <c r="L59" s="6">
        <v>87304.455070482101</v>
      </c>
      <c r="M59" s="6">
        <v>289802.78089058201</v>
      </c>
      <c r="N59" s="6">
        <v>31377.786754578599</v>
      </c>
      <c r="O59" s="6">
        <v>1526.0376298604001</v>
      </c>
      <c r="P59" s="6">
        <v>58022.105295871697</v>
      </c>
      <c r="Q59" s="6">
        <v>129407.565617252</v>
      </c>
      <c r="R59" s="6">
        <v>29699.850477025298</v>
      </c>
      <c r="S59" s="6">
        <v>83357.910003525496</v>
      </c>
      <c r="T59" s="6">
        <v>7543.9487493397601</v>
      </c>
      <c r="U59" s="6">
        <v>24250.848752776699</v>
      </c>
      <c r="V59" s="6">
        <v>13431.599137596701</v>
      </c>
      <c r="W59" s="6">
        <v>520.82584497967105</v>
      </c>
      <c r="X59" s="6">
        <v>151905.798800238</v>
      </c>
      <c r="Y59" s="6">
        <v>5740.6663387230901</v>
      </c>
      <c r="Z59" s="6">
        <v>1965.43132483981</v>
      </c>
      <c r="AA59" s="6">
        <v>3588.6789185627999</v>
      </c>
      <c r="AB59" s="6">
        <v>1840.41803559407</v>
      </c>
      <c r="AC59" s="6">
        <v>70030.272242861596</v>
      </c>
      <c r="AD59" s="6">
        <v>4595.4972821915098</v>
      </c>
      <c r="AE59" s="6">
        <v>230006.48120183501</v>
      </c>
      <c r="AF59" s="6">
        <v>21064.933376097601</v>
      </c>
      <c r="AG59" s="6">
        <v>42838.6823577912</v>
      </c>
      <c r="AH59" s="6">
        <v>29006.3333975881</v>
      </c>
      <c r="AI59" s="6">
        <v>8125.6907570359999</v>
      </c>
      <c r="AJ59" s="6">
        <v>14575.6921603261</v>
      </c>
      <c r="AK59" s="6">
        <v>150065.755214334</v>
      </c>
      <c r="AL59" s="5"/>
      <c r="AM59" s="5"/>
      <c r="AN59" s="5"/>
      <c r="AO59" s="5"/>
      <c r="AP59" s="6">
        <f t="shared" si="4"/>
        <v>1455326.6460306996</v>
      </c>
    </row>
    <row r="60" spans="1:42" ht="13.9" customHeight="1" x14ac:dyDescent="0.25">
      <c r="A60" s="5"/>
      <c r="B60" s="14"/>
      <c r="C60" s="5"/>
      <c r="D60" s="5"/>
      <c r="F60" s="5">
        <v>2020</v>
      </c>
      <c r="G60" s="6">
        <v>29433.8342767494</v>
      </c>
      <c r="H60" s="6">
        <v>36452.466950390903</v>
      </c>
      <c r="I60" s="6">
        <v>39405.409041626597</v>
      </c>
      <c r="J60" s="6">
        <v>3080.5673925596202</v>
      </c>
      <c r="K60" s="6">
        <v>6144.1555494030999</v>
      </c>
      <c r="L60" s="6">
        <v>88857.337977210598</v>
      </c>
      <c r="M60" s="6">
        <v>271006.86230240797</v>
      </c>
      <c r="N60" s="6">
        <v>28601.899293281102</v>
      </c>
      <c r="O60" s="6">
        <v>1365.2052260125299</v>
      </c>
      <c r="P60" s="6">
        <v>58580.8549609326</v>
      </c>
      <c r="Q60" s="6">
        <v>130359.736578578</v>
      </c>
      <c r="R60" s="6">
        <v>25031.7105365885</v>
      </c>
      <c r="S60" s="6">
        <v>71992.256666035697</v>
      </c>
      <c r="T60" s="6">
        <v>7422.6462562140896</v>
      </c>
      <c r="U60" s="6">
        <v>24190.5584366371</v>
      </c>
      <c r="V60" s="6">
        <v>13951.582635221601</v>
      </c>
      <c r="W60" s="6">
        <v>469.365734848714</v>
      </c>
      <c r="X60" s="6">
        <v>146286.46787518301</v>
      </c>
      <c r="Y60" s="6">
        <v>5488.2099258994303</v>
      </c>
      <c r="Z60" s="6">
        <v>1746.46984657697</v>
      </c>
      <c r="AA60" s="6">
        <v>3621.6457685508599</v>
      </c>
      <c r="AB60" s="6">
        <v>2035.39996992791</v>
      </c>
      <c r="AC60" s="6">
        <v>66966.368810227199</v>
      </c>
      <c r="AD60" s="6">
        <v>4106.9907154992097</v>
      </c>
      <c r="AE60" s="6">
        <v>226269.82546569401</v>
      </c>
      <c r="AF60" s="6">
        <v>20085.5127856463</v>
      </c>
      <c r="AG60" s="6">
        <v>42348.572204570199</v>
      </c>
      <c r="AH60" s="6">
        <v>25893.582184343701</v>
      </c>
      <c r="AI60" s="6">
        <v>8170.2567687536603</v>
      </c>
      <c r="AJ60" s="6">
        <v>12800.6601045518</v>
      </c>
      <c r="AK60" s="6">
        <v>135342.20531781</v>
      </c>
      <c r="AL60" s="5"/>
      <c r="AM60" s="5"/>
      <c r="AN60" s="5"/>
      <c r="AO60" s="5"/>
      <c r="AP60" s="6">
        <f t="shared" si="4"/>
        <v>1398616.4791127141</v>
      </c>
    </row>
    <row r="61" spans="1:42" ht="13.9" customHeight="1" x14ac:dyDescent="0.25">
      <c r="A61" s="5"/>
      <c r="B61" s="14"/>
      <c r="C61" s="5"/>
      <c r="D61" s="5"/>
      <c r="F61" s="5">
        <v>2025</v>
      </c>
      <c r="G61" s="6">
        <v>26407.5719194048</v>
      </c>
      <c r="H61" s="6">
        <v>25477.242658380601</v>
      </c>
      <c r="I61" s="6">
        <v>23323.0002841924</v>
      </c>
      <c r="J61" s="6">
        <v>3063.9354461789098</v>
      </c>
      <c r="K61" s="6">
        <v>3587.78845214595</v>
      </c>
      <c r="L61" s="6">
        <v>56367.632969588703</v>
      </c>
      <c r="M61" s="6">
        <v>207048.40876093399</v>
      </c>
      <c r="N61" s="6">
        <v>19763.802425230799</v>
      </c>
      <c r="O61" s="6">
        <v>1297.95959509969</v>
      </c>
      <c r="P61" s="6">
        <v>37012.036870827404</v>
      </c>
      <c r="Q61" s="6">
        <v>86569.262206952495</v>
      </c>
      <c r="R61" s="6">
        <v>16432.132397578702</v>
      </c>
      <c r="S61" s="6">
        <v>52837.231884217501</v>
      </c>
      <c r="T61" s="6">
        <v>4938.82711082284</v>
      </c>
      <c r="U61" s="6">
        <v>16047.1050752107</v>
      </c>
      <c r="V61" s="6">
        <v>9520.9466459959403</v>
      </c>
      <c r="W61" s="6">
        <v>413.844132385389</v>
      </c>
      <c r="X61" s="6">
        <v>107413.47943808101</v>
      </c>
      <c r="Y61" s="6">
        <v>4176.7382995883199</v>
      </c>
      <c r="Z61" s="6">
        <v>1868.67112703107</v>
      </c>
      <c r="AA61" s="6">
        <v>2510.2690435618001</v>
      </c>
      <c r="AB61" s="6">
        <v>1113.33612209586</v>
      </c>
      <c r="AC61" s="6">
        <v>46823.541167171701</v>
      </c>
      <c r="AD61" s="6">
        <v>7430.1043087021799</v>
      </c>
      <c r="AE61" s="6">
        <v>149263.192965272</v>
      </c>
      <c r="AF61" s="6">
        <v>15045.6323455453</v>
      </c>
      <c r="AG61" s="6">
        <v>28472.586115140501</v>
      </c>
      <c r="AH61" s="6">
        <v>23132.882248673901</v>
      </c>
      <c r="AI61" s="6">
        <v>5823.1418612024399</v>
      </c>
      <c r="AJ61" s="6">
        <v>11867.105235421301</v>
      </c>
      <c r="AK61" s="6">
        <v>99029.088480096398</v>
      </c>
      <c r="AL61" s="5"/>
      <c r="AM61" s="5"/>
      <c r="AN61" s="5"/>
      <c r="AO61" s="5"/>
      <c r="AP61" s="6">
        <f t="shared" si="4"/>
        <v>991571.6295340698</v>
      </c>
    </row>
    <row r="62" spans="1:42" ht="13.9" customHeight="1" x14ac:dyDescent="0.25">
      <c r="A62" s="5"/>
      <c r="B62" s="14"/>
      <c r="C62" s="5"/>
      <c r="D62" s="5"/>
      <c r="F62" s="5">
        <v>2030</v>
      </c>
      <c r="G62" s="6">
        <v>27867.568669742799</v>
      </c>
      <c r="H62" s="6">
        <v>28676.0103764585</v>
      </c>
      <c r="I62" s="6">
        <v>5414.6320306028401</v>
      </c>
      <c r="J62" s="6">
        <v>13034.404894020399</v>
      </c>
      <c r="K62" s="6">
        <v>1704.9485673541201</v>
      </c>
      <c r="L62" s="6">
        <v>16696.8824676324</v>
      </c>
      <c r="M62" s="6">
        <v>180236.792356191</v>
      </c>
      <c r="N62" s="6">
        <v>11681.8763664134</v>
      </c>
      <c r="O62" s="6">
        <v>1715.79171674432</v>
      </c>
      <c r="P62" s="6">
        <v>14989.2899714205</v>
      </c>
      <c r="Q62" s="6">
        <v>45164.231325463799</v>
      </c>
      <c r="R62" s="6">
        <v>9285.3653958099694</v>
      </c>
      <c r="S62" s="6">
        <v>54604.3412587821</v>
      </c>
      <c r="T62" s="6">
        <v>4469.9751459500703</v>
      </c>
      <c r="U62" s="6">
        <v>7881.8259076435697</v>
      </c>
      <c r="V62" s="6">
        <v>7561.3271577907399</v>
      </c>
      <c r="W62" s="6">
        <v>405.35436429039601</v>
      </c>
      <c r="X62" s="6">
        <v>91258.213892828106</v>
      </c>
      <c r="Y62" s="6">
        <v>3364.32454501147</v>
      </c>
      <c r="Z62" s="6">
        <v>2260.4117523108298</v>
      </c>
      <c r="AA62" s="6">
        <v>2231.17456048962</v>
      </c>
      <c r="AB62" s="6">
        <v>130.01860077561099</v>
      </c>
      <c r="AC62" s="6">
        <v>47715.820384203304</v>
      </c>
      <c r="AD62" s="6">
        <v>25723.164234580599</v>
      </c>
      <c r="AE62" s="6">
        <v>57758.474639241002</v>
      </c>
      <c r="AF62" s="6">
        <v>14593.2359063805</v>
      </c>
      <c r="AG62" s="6">
        <v>16268.9884982283</v>
      </c>
      <c r="AH62" s="6">
        <v>24685.089124103401</v>
      </c>
      <c r="AI62" s="6">
        <v>2196.8983907920601</v>
      </c>
      <c r="AJ62" s="6">
        <v>12289.716951459101</v>
      </c>
      <c r="AK62" s="6">
        <v>107970.00630526499</v>
      </c>
      <c r="AL62" s="5"/>
      <c r="AM62" s="5"/>
      <c r="AN62" s="5"/>
      <c r="AO62" s="5"/>
      <c r="AP62" s="6">
        <f t="shared" si="4"/>
        <v>718426.39019440394</v>
      </c>
    </row>
    <row r="63" spans="1:42" ht="13.9" customHeight="1" x14ac:dyDescent="0.25">
      <c r="A63" s="5"/>
      <c r="B63" s="14"/>
      <c r="C63" s="5"/>
      <c r="D63" s="5"/>
      <c r="F63" s="5">
        <v>2035</v>
      </c>
      <c r="G63" s="6">
        <v>24312.787756646801</v>
      </c>
      <c r="H63" s="6">
        <v>18033.911830160501</v>
      </c>
      <c r="I63" s="6">
        <v>2795.9234945150401</v>
      </c>
      <c r="J63" s="6">
        <v>16741.2103787296</v>
      </c>
      <c r="K63" s="6">
        <v>1319.35117576585</v>
      </c>
      <c r="L63" s="6">
        <v>14604.3450844121</v>
      </c>
      <c r="M63" s="6">
        <v>120496.38970621501</v>
      </c>
      <c r="N63" s="6">
        <v>7688.1183105319997</v>
      </c>
      <c r="O63" s="6">
        <v>1331.45805543694</v>
      </c>
      <c r="P63" s="6">
        <v>9524.7559356817092</v>
      </c>
      <c r="Q63" s="6">
        <v>33820.244783925802</v>
      </c>
      <c r="R63" s="6">
        <v>5964.7534431821296</v>
      </c>
      <c r="S63" s="6">
        <v>39076.350252124801</v>
      </c>
      <c r="T63" s="6">
        <v>3569.8426430838499</v>
      </c>
      <c r="U63" s="6">
        <v>6481.9692958839596</v>
      </c>
      <c r="V63" s="6">
        <v>5975.1437664361501</v>
      </c>
      <c r="W63" s="6">
        <v>664.240555001855</v>
      </c>
      <c r="X63" s="6">
        <v>61690.2223823612</v>
      </c>
      <c r="Y63" s="6">
        <v>2687.4359274721601</v>
      </c>
      <c r="Z63" s="6">
        <v>2129.1103688513299</v>
      </c>
      <c r="AA63" s="6">
        <v>2148.92868090515</v>
      </c>
      <c r="AB63" s="6">
        <v>61.7544991331226</v>
      </c>
      <c r="AC63" s="6">
        <v>16314.0093620144</v>
      </c>
      <c r="AD63" s="6">
        <v>99936.389735573903</v>
      </c>
      <c r="AE63" s="6">
        <v>33939.210070021698</v>
      </c>
      <c r="AF63" s="6">
        <v>9494.5802727456594</v>
      </c>
      <c r="AG63" s="6">
        <v>12219.844701865801</v>
      </c>
      <c r="AH63" s="6">
        <v>17550.455457948301</v>
      </c>
      <c r="AI63" s="6">
        <v>1661.5282716833301</v>
      </c>
      <c r="AJ63" s="6">
        <v>9677.9499287156596</v>
      </c>
      <c r="AK63" s="6">
        <v>122975.214487171</v>
      </c>
      <c r="AL63" s="5"/>
      <c r="AM63" s="5"/>
      <c r="AN63" s="5"/>
      <c r="AO63" s="5"/>
      <c r="AP63" s="6">
        <f t="shared" si="4"/>
        <v>564506.76519329427</v>
      </c>
    </row>
    <row r="64" spans="1:42" ht="13.9" customHeight="1" x14ac:dyDescent="0.25">
      <c r="A64" s="5"/>
      <c r="B64" s="14"/>
      <c r="C64" s="5"/>
      <c r="D64" s="5"/>
      <c r="F64" s="5">
        <v>2040</v>
      </c>
      <c r="G64" s="6">
        <v>27007.9138947926</v>
      </c>
      <c r="H64" s="6">
        <v>19005.4611771073</v>
      </c>
      <c r="I64" s="6">
        <v>15728.4419583539</v>
      </c>
      <c r="J64" s="6">
        <v>14498.488160597</v>
      </c>
      <c r="K64" s="6">
        <v>2120.3748485644601</v>
      </c>
      <c r="L64" s="6">
        <v>25230.506834428601</v>
      </c>
      <c r="M64" s="6">
        <v>251165.0700453</v>
      </c>
      <c r="N64" s="6">
        <v>13706.9883362165</v>
      </c>
      <c r="O64" s="6">
        <v>1994.5711025225201</v>
      </c>
      <c r="P64" s="6">
        <v>22068.745617504599</v>
      </c>
      <c r="Q64" s="6">
        <v>91009.932341793101</v>
      </c>
      <c r="R64" s="6">
        <v>10533.6615242813</v>
      </c>
      <c r="S64" s="6">
        <v>61907.385804052501</v>
      </c>
      <c r="T64" s="6">
        <v>5046.8770668729403</v>
      </c>
      <c r="U64" s="6">
        <v>16760.179267804699</v>
      </c>
      <c r="V64" s="6">
        <v>8155.5034055002498</v>
      </c>
      <c r="W64" s="6">
        <v>552.09026629289701</v>
      </c>
      <c r="X64" s="6">
        <v>158910.59306966301</v>
      </c>
      <c r="Y64" s="6">
        <v>4712.5147126308902</v>
      </c>
      <c r="Z64" s="6">
        <v>3314.3091956216799</v>
      </c>
      <c r="AA64" s="6">
        <v>3066.2537151179099</v>
      </c>
      <c r="AB64" s="6">
        <v>93.930335396533906</v>
      </c>
      <c r="AC64" s="6">
        <v>54822.695480169401</v>
      </c>
      <c r="AD64" s="6">
        <v>94265.217099712099</v>
      </c>
      <c r="AE64" s="6">
        <v>86551.4031038916</v>
      </c>
      <c r="AF64" s="6">
        <v>12326.2831375685</v>
      </c>
      <c r="AG64" s="6">
        <v>28085.134092915501</v>
      </c>
      <c r="AH64" s="6">
        <v>32498.064901744699</v>
      </c>
      <c r="AI64" s="6">
        <v>4839.56731714748</v>
      </c>
      <c r="AJ64" s="6">
        <v>16773.7850297119</v>
      </c>
      <c r="AK64" s="6">
        <v>126815.906055839</v>
      </c>
      <c r="AL64" s="5"/>
      <c r="AM64" s="5"/>
      <c r="AN64" s="5"/>
      <c r="AO64" s="5"/>
      <c r="AP64" s="6">
        <f t="shared" si="4"/>
        <v>1071701.3644163865</v>
      </c>
    </row>
    <row r="65" spans="1:42" ht="13.9" customHeight="1" x14ac:dyDescent="0.25">
      <c r="A65" s="5"/>
      <c r="B65" s="14"/>
      <c r="C65" s="5"/>
      <c r="D65" s="5"/>
      <c r="F65" s="5">
        <v>2045</v>
      </c>
      <c r="G65" s="6">
        <v>31560.965358598201</v>
      </c>
      <c r="H65" s="6">
        <v>37168.279559267001</v>
      </c>
      <c r="I65" s="6">
        <v>18885.823502453801</v>
      </c>
      <c r="J65" s="6">
        <v>13274.772634994701</v>
      </c>
      <c r="K65" s="6">
        <v>2269.3366848184701</v>
      </c>
      <c r="L65" s="6">
        <v>28071.7237236248</v>
      </c>
      <c r="M65" s="6">
        <v>305628.02542812697</v>
      </c>
      <c r="N65" s="6">
        <v>14587.891330098601</v>
      </c>
      <c r="O65" s="6">
        <v>2275.7076169779698</v>
      </c>
      <c r="P65" s="6">
        <v>33053.490319058001</v>
      </c>
      <c r="Q65" s="6">
        <v>128869.06982666699</v>
      </c>
      <c r="R65" s="6">
        <v>11646.474641472299</v>
      </c>
      <c r="S65" s="6">
        <v>77518.192802512305</v>
      </c>
      <c r="T65" s="6">
        <v>5928.0526889768598</v>
      </c>
      <c r="U65" s="6">
        <v>18246.520907034199</v>
      </c>
      <c r="V65" s="6">
        <v>8886.2774762960707</v>
      </c>
      <c r="W65" s="6">
        <v>460.20539031150997</v>
      </c>
      <c r="X65" s="6">
        <v>188199.29382049301</v>
      </c>
      <c r="Y65" s="6">
        <v>5115.9383609815304</v>
      </c>
      <c r="Z65" s="6">
        <v>3915.4586046140598</v>
      </c>
      <c r="AA65" s="6">
        <v>3372.0856383343698</v>
      </c>
      <c r="AB65" s="6">
        <v>114.47305423594101</v>
      </c>
      <c r="AC65" s="6">
        <v>90805.607695352999</v>
      </c>
      <c r="AD65" s="6">
        <v>88157.196428203606</v>
      </c>
      <c r="AE65" s="6">
        <v>104046.834592521</v>
      </c>
      <c r="AF65" s="6">
        <v>16201.4319864763</v>
      </c>
      <c r="AG65" s="6">
        <v>34188.0033739719</v>
      </c>
      <c r="AH65" s="6">
        <v>38170.545860678401</v>
      </c>
      <c r="AI65" s="6">
        <v>6069.6938481697998</v>
      </c>
      <c r="AJ65" s="6">
        <v>18627.1678064609</v>
      </c>
      <c r="AK65" s="6">
        <v>143280.90854813301</v>
      </c>
      <c r="AL65" s="5"/>
      <c r="AM65" s="5"/>
      <c r="AN65" s="5"/>
      <c r="AO65" s="5"/>
      <c r="AP65" s="6">
        <f t="shared" si="4"/>
        <v>1321579.5629364767</v>
      </c>
    </row>
    <row r="66" spans="1:42" ht="13.9" customHeight="1" x14ac:dyDescent="0.25">
      <c r="A66" s="5"/>
      <c r="B66" s="14"/>
      <c r="C66" s="5"/>
      <c r="D66" s="5"/>
      <c r="F66" s="5">
        <v>2050</v>
      </c>
      <c r="G66" s="6">
        <v>34651.722499810698</v>
      </c>
      <c r="H66" s="6">
        <v>54268.703071406897</v>
      </c>
      <c r="I66" s="6">
        <v>20394.701992459501</v>
      </c>
      <c r="J66" s="6">
        <v>6145.12586066321</v>
      </c>
      <c r="K66" s="6">
        <v>2079.7113280509002</v>
      </c>
      <c r="L66" s="6">
        <v>31572.3817212555</v>
      </c>
      <c r="M66" s="6">
        <v>395916.39174431202</v>
      </c>
      <c r="N66" s="6">
        <v>14648.342170641899</v>
      </c>
      <c r="O66" s="6">
        <v>2312.84754848999</v>
      </c>
      <c r="P66" s="6">
        <v>40160.867950534797</v>
      </c>
      <c r="Q66" s="6">
        <v>175794.518223013</v>
      </c>
      <c r="R66" s="6">
        <v>12962.8577669528</v>
      </c>
      <c r="S66" s="6">
        <v>108846.31924587701</v>
      </c>
      <c r="T66" s="6">
        <v>7282.8586535379</v>
      </c>
      <c r="U66" s="6">
        <v>25131.3166349897</v>
      </c>
      <c r="V66" s="6">
        <v>8882.9725559299604</v>
      </c>
      <c r="W66" s="6">
        <v>38.472348859926001</v>
      </c>
      <c r="X66" s="6">
        <v>259197.252499038</v>
      </c>
      <c r="Y66" s="6">
        <v>6278.8955331864099</v>
      </c>
      <c r="Z66" s="6">
        <v>3372.1899323209</v>
      </c>
      <c r="AA66" s="6">
        <v>3383.4908425434401</v>
      </c>
      <c r="AB66" s="6">
        <v>136.35662801481601</v>
      </c>
      <c r="AC66" s="6">
        <v>132415.68613104499</v>
      </c>
      <c r="AD66" s="6">
        <v>80468.137926383206</v>
      </c>
      <c r="AE66" s="6">
        <v>117091.45895962699</v>
      </c>
      <c r="AF66" s="6">
        <v>16603.871599255799</v>
      </c>
      <c r="AG66" s="6">
        <v>40811.510238849602</v>
      </c>
      <c r="AH66" s="6">
        <v>44990.7455255526</v>
      </c>
      <c r="AI66" s="6">
        <v>7420.3586091710804</v>
      </c>
      <c r="AJ66" s="6">
        <v>20544.808540136601</v>
      </c>
      <c r="AK66" s="6">
        <v>168878.985022087</v>
      </c>
      <c r="AL66" s="5"/>
      <c r="AM66" s="5"/>
      <c r="AN66" s="5"/>
      <c r="AO66" s="5"/>
      <c r="AP66" s="6">
        <f t="shared" si="4"/>
        <v>1667621.2760723867</v>
      </c>
    </row>
    <row r="67" spans="1:42" ht="13.9" customHeight="1" x14ac:dyDescent="0.25">
      <c r="A67" s="5"/>
      <c r="B67" s="14"/>
      <c r="C67" s="5"/>
      <c r="D67" s="5"/>
      <c r="F67" s="5">
        <v>2055</v>
      </c>
      <c r="G67" s="6">
        <v>34317.785110958401</v>
      </c>
      <c r="H67" s="6">
        <v>55824.343133857401</v>
      </c>
      <c r="I67" s="6">
        <v>20233.669403894099</v>
      </c>
      <c r="J67" s="6">
        <v>6150.2337099850802</v>
      </c>
      <c r="K67" s="6">
        <v>2037.22287154534</v>
      </c>
      <c r="L67" s="6">
        <v>30795.658325564698</v>
      </c>
      <c r="M67" s="6">
        <v>406221.17275337997</v>
      </c>
      <c r="N67" s="6">
        <v>13126.9748581239</v>
      </c>
      <c r="O67" s="6">
        <v>1946.7157103562299</v>
      </c>
      <c r="P67" s="6">
        <v>39626.459407338298</v>
      </c>
      <c r="Q67" s="6">
        <v>179446.70433976399</v>
      </c>
      <c r="R67" s="6">
        <v>6752.7446523563603</v>
      </c>
      <c r="S67" s="6">
        <v>108546.174757335</v>
      </c>
      <c r="T67" s="6">
        <v>7372.8154231796998</v>
      </c>
      <c r="U67" s="6">
        <v>25404.885789968001</v>
      </c>
      <c r="V67" s="6">
        <v>8592.8262983058394</v>
      </c>
      <c r="W67" s="6">
        <v>38.230636847815802</v>
      </c>
      <c r="X67" s="6">
        <v>261768.202906783</v>
      </c>
      <c r="Y67" s="6">
        <v>5961.7617674939002</v>
      </c>
      <c r="Z67" s="6">
        <v>3805.1702644451402</v>
      </c>
      <c r="AA67" s="6">
        <v>3462.7637787110698</v>
      </c>
      <c r="AB67" s="6">
        <v>193.54848952746201</v>
      </c>
      <c r="AC67" s="6">
        <v>133486.35359043899</v>
      </c>
      <c r="AD67" s="6">
        <v>80256.643598719893</v>
      </c>
      <c r="AE67" s="6">
        <v>120907.79313450299</v>
      </c>
      <c r="AF67" s="6">
        <v>13157.1796934054</v>
      </c>
      <c r="AG67" s="6">
        <v>44226.923794371702</v>
      </c>
      <c r="AH67" s="6">
        <v>43269.570004849302</v>
      </c>
      <c r="AI67" s="6">
        <v>7775.0266604774597</v>
      </c>
      <c r="AJ67" s="6">
        <v>20972.0930054696</v>
      </c>
      <c r="AK67" s="6">
        <v>170074.255353521</v>
      </c>
      <c r="AL67" s="5"/>
      <c r="AM67" s="5"/>
      <c r="AN67" s="5"/>
      <c r="AO67" s="5"/>
      <c r="AP67" s="6">
        <f t="shared" si="4"/>
        <v>1679489.1835251232</v>
      </c>
    </row>
    <row r="68" spans="1:42" ht="13.9" customHeight="1" x14ac:dyDescent="0.25">
      <c r="A68" s="5"/>
      <c r="B68" s="14"/>
      <c r="C68" s="5"/>
      <c r="D68" s="5"/>
      <c r="F68" s="5">
        <v>2060</v>
      </c>
      <c r="G68" s="6">
        <v>34425.484043935401</v>
      </c>
      <c r="H68" s="6">
        <v>37498.135349299897</v>
      </c>
      <c r="I68" s="6">
        <v>20591.360544053499</v>
      </c>
      <c r="J68" s="6">
        <v>6370.6920820134901</v>
      </c>
      <c r="K68" s="6">
        <v>1469.7894507375499</v>
      </c>
      <c r="L68" s="6">
        <v>30080.559161827601</v>
      </c>
      <c r="M68" s="6">
        <v>399713.31254317902</v>
      </c>
      <c r="N68" s="6">
        <v>12675.290102127299</v>
      </c>
      <c r="O68" s="6">
        <v>1720.7219596294401</v>
      </c>
      <c r="P68" s="6">
        <v>42792.844617181203</v>
      </c>
      <c r="Q68" s="6">
        <v>190812.863037337</v>
      </c>
      <c r="R68" s="6">
        <v>4266.7529431899302</v>
      </c>
      <c r="S68" s="6">
        <v>93591.172291263196</v>
      </c>
      <c r="T68" s="6">
        <v>7379.5915089733899</v>
      </c>
      <c r="U68" s="6">
        <v>25728.3662310238</v>
      </c>
      <c r="V68" s="6">
        <v>7516.7664585462999</v>
      </c>
      <c r="W68" s="6">
        <v>38.230316702792102</v>
      </c>
      <c r="X68" s="6">
        <v>260294.68438112899</v>
      </c>
      <c r="Y68" s="6">
        <v>7908.22253324759</v>
      </c>
      <c r="Z68" s="6">
        <v>2373.8110658493902</v>
      </c>
      <c r="AA68" s="6">
        <v>1867.9289494800901</v>
      </c>
      <c r="AB68" s="6">
        <v>193.533497101205</v>
      </c>
      <c r="AC68" s="6">
        <v>140576.03064141201</v>
      </c>
      <c r="AD68" s="6">
        <v>158007.74625403501</v>
      </c>
      <c r="AE68" s="6">
        <v>123040.61228523101</v>
      </c>
      <c r="AF68" s="6">
        <v>13853.809222674399</v>
      </c>
      <c r="AG68" s="6">
        <v>48709.433085608798</v>
      </c>
      <c r="AH68" s="6">
        <v>42084.853898591602</v>
      </c>
      <c r="AI68" s="6">
        <v>7274.6678148847705</v>
      </c>
      <c r="AJ68" s="6">
        <v>28289.994938491302</v>
      </c>
      <c r="AK68" s="6">
        <v>168587.00479786599</v>
      </c>
      <c r="AL68" s="5"/>
      <c r="AM68" s="5"/>
      <c r="AN68" s="5"/>
      <c r="AO68" s="5"/>
      <c r="AP68" s="6">
        <f t="shared" si="4"/>
        <v>1744738.3388100406</v>
      </c>
    </row>
    <row r="69" spans="1:42" ht="13.9" customHeight="1" x14ac:dyDescent="0.25">
      <c r="A69" s="5"/>
      <c r="B69" s="14"/>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spans="1:42" ht="13.9" customHeight="1" x14ac:dyDescent="0.25">
      <c r="A70" s="5"/>
      <c r="B70" s="14"/>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spans="1:42" ht="15" x14ac:dyDescent="0.25">
      <c r="A71" s="5"/>
      <c r="B71" s="14"/>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spans="1:42" x14ac:dyDescent="0.2">
      <c r="B72" s="4" t="s">
        <v>47</v>
      </c>
    </row>
    <row r="73" spans="1:42" x14ac:dyDescent="0.2">
      <c r="B73" s="4" t="s">
        <v>116</v>
      </c>
    </row>
    <row r="74" spans="1:42" x14ac:dyDescent="0.2">
      <c r="B74" s="4" t="s">
        <v>48</v>
      </c>
    </row>
  </sheetData>
  <phoneticPr fontId="4"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9"/>
  <sheetViews>
    <sheetView tabSelected="1" zoomScale="106" zoomScaleNormal="106" workbookViewId="0"/>
  </sheetViews>
  <sheetFormatPr defaultColWidth="8.85546875" defaultRowHeight="12.75" x14ac:dyDescent="0.2"/>
  <cols>
    <col min="1" max="1" width="10.5703125" style="4" customWidth="1"/>
    <col min="2" max="2" width="8.85546875" style="4"/>
    <col min="3" max="3" width="13.85546875" style="4" customWidth="1"/>
    <col min="4" max="4" width="6.85546875" style="4" customWidth="1"/>
    <col min="5" max="5" width="8.85546875" style="4"/>
    <col min="6" max="6" width="11.7109375" style="4" customWidth="1"/>
    <col min="7" max="7" width="7.28515625" style="4" customWidth="1"/>
    <col min="8" max="8" width="9.85546875" style="4" customWidth="1"/>
    <col min="9" max="9" width="8.85546875" style="4" customWidth="1"/>
    <col min="10" max="10" width="51.28515625" style="4" customWidth="1"/>
    <col min="11" max="16384" width="8.85546875" style="4"/>
  </cols>
  <sheetData>
    <row r="1" spans="1:15" x14ac:dyDescent="0.2">
      <c r="C1" s="3" t="s">
        <v>57</v>
      </c>
    </row>
    <row r="2" spans="1:15" x14ac:dyDescent="0.2">
      <c r="C2" s="3" t="s">
        <v>112</v>
      </c>
      <c r="E2" s="4" t="s">
        <v>113</v>
      </c>
      <c r="F2" s="4">
        <v>1.1940999999999999</v>
      </c>
    </row>
    <row r="3" spans="1:15" s="27" customFormat="1" x14ac:dyDescent="0.2">
      <c r="C3" s="25" t="s">
        <v>58</v>
      </c>
    </row>
    <row r="5" spans="1:15" x14ac:dyDescent="0.2">
      <c r="C5" s="23" t="s">
        <v>101</v>
      </c>
    </row>
    <row r="6" spans="1:15" s="3" customFormat="1" x14ac:dyDescent="0.2">
      <c r="A6" s="71"/>
      <c r="B6" s="71"/>
      <c r="C6" s="55" t="s">
        <v>38</v>
      </c>
      <c r="D6" s="72" t="s">
        <v>6</v>
      </c>
      <c r="E6" s="56" t="s">
        <v>49</v>
      </c>
      <c r="F6" s="65" t="s">
        <v>50</v>
      </c>
      <c r="G6" s="65" t="s">
        <v>5</v>
      </c>
      <c r="H6" s="56" t="s">
        <v>34</v>
      </c>
      <c r="I6" s="56" t="s">
        <v>51</v>
      </c>
      <c r="J6" s="56" t="s">
        <v>7</v>
      </c>
      <c r="K6" s="56" t="s">
        <v>52</v>
      </c>
      <c r="N6" s="32" t="s">
        <v>55</v>
      </c>
    </row>
    <row r="7" spans="1:15" x14ac:dyDescent="0.2">
      <c r="A7" s="194" t="s">
        <v>64</v>
      </c>
      <c r="B7" s="52"/>
      <c r="C7" s="33" t="s">
        <v>53</v>
      </c>
      <c r="D7" s="33">
        <v>2010</v>
      </c>
      <c r="E7" s="34"/>
      <c r="F7" s="38">
        <v>0</v>
      </c>
      <c r="G7" s="33">
        <f>F7</f>
        <v>0</v>
      </c>
      <c r="H7" s="34"/>
      <c r="I7" s="34"/>
      <c r="J7" s="35" t="s">
        <v>109</v>
      </c>
      <c r="K7" s="35" t="s">
        <v>68</v>
      </c>
    </row>
    <row r="8" spans="1:15" ht="13.15" customHeight="1" x14ac:dyDescent="0.2">
      <c r="A8" s="195"/>
      <c r="B8" s="53"/>
      <c r="C8" s="33" t="s">
        <v>53</v>
      </c>
      <c r="D8" s="33">
        <v>2020</v>
      </c>
      <c r="E8" s="34"/>
      <c r="F8" s="158">
        <f>29/1000</f>
        <v>2.9000000000000001E-2</v>
      </c>
      <c r="G8" s="33">
        <f t="shared" ref="G8:G44" si="0">F8</f>
        <v>2.9000000000000001E-2</v>
      </c>
      <c r="H8" s="34"/>
      <c r="I8" s="34"/>
      <c r="J8" s="35" t="str">
        <f>J7</f>
        <v>ELCCO2N,INDCO2N,SUPCO2N,INDCO2P,-*SCO2P,-*SCO2N</v>
      </c>
      <c r="K8" s="35" t="s">
        <v>56</v>
      </c>
      <c r="N8" s="4">
        <v>0.03</v>
      </c>
      <c r="O8" s="4" t="s">
        <v>54</v>
      </c>
    </row>
    <row r="9" spans="1:15" x14ac:dyDescent="0.2">
      <c r="A9" s="195"/>
      <c r="B9" s="53"/>
      <c r="C9" s="33" t="s">
        <v>53</v>
      </c>
      <c r="D9" s="33">
        <v>2025</v>
      </c>
      <c r="E9" s="34"/>
      <c r="F9" s="158">
        <f>0.095/F2</f>
        <v>7.9557825977723817E-2</v>
      </c>
      <c r="G9" s="33">
        <f t="shared" si="0"/>
        <v>7.9557825977723817E-2</v>
      </c>
      <c r="H9" s="34"/>
      <c r="I9" s="34"/>
      <c r="J9" s="35" t="str">
        <f t="shared" ref="J9:J16" si="1">J8</f>
        <v>ELCCO2N,INDCO2N,SUPCO2N,INDCO2P,-*SCO2P,-*SCO2N</v>
      </c>
      <c r="K9" s="35" t="s">
        <v>56</v>
      </c>
    </row>
    <row r="10" spans="1:15" x14ac:dyDescent="0.2">
      <c r="A10" s="195"/>
      <c r="B10" s="53"/>
      <c r="C10" s="33" t="s">
        <v>53</v>
      </c>
      <c r="D10" s="33">
        <v>2030</v>
      </c>
      <c r="E10" s="34"/>
      <c r="F10" s="158">
        <f>0.095/F2</f>
        <v>7.9557825977723817E-2</v>
      </c>
      <c r="G10" s="33">
        <f t="shared" si="0"/>
        <v>7.9557825977723817E-2</v>
      </c>
      <c r="H10" s="34"/>
      <c r="I10" s="34"/>
      <c r="J10" s="35" t="str">
        <f t="shared" si="1"/>
        <v>ELCCO2N,INDCO2N,SUPCO2N,INDCO2P,-*SCO2P,-*SCO2N</v>
      </c>
      <c r="K10" s="35" t="s">
        <v>56</v>
      </c>
      <c r="N10" s="4">
        <v>0.06</v>
      </c>
      <c r="O10" s="4" t="s">
        <v>54</v>
      </c>
    </row>
    <row r="11" spans="1:15" x14ac:dyDescent="0.2">
      <c r="A11" s="195"/>
      <c r="B11" s="53"/>
      <c r="C11" s="33" t="s">
        <v>53</v>
      </c>
      <c r="D11" s="33">
        <v>2035</v>
      </c>
      <c r="E11" s="34"/>
      <c r="F11" s="158">
        <f>0.1/F2</f>
        <v>8.3745079976551381E-2</v>
      </c>
      <c r="G11" s="33">
        <f t="shared" si="0"/>
        <v>8.3745079976551381E-2</v>
      </c>
      <c r="H11" s="34"/>
      <c r="I11" s="34"/>
      <c r="J11" s="35" t="str">
        <f t="shared" si="1"/>
        <v>ELCCO2N,INDCO2N,SUPCO2N,INDCO2P,-*SCO2P,-*SCO2N</v>
      </c>
      <c r="K11" s="35" t="s">
        <v>56</v>
      </c>
      <c r="N11" s="4">
        <v>7.2999999999999995E-2</v>
      </c>
      <c r="O11" s="4" t="s">
        <v>54</v>
      </c>
    </row>
    <row r="12" spans="1:15" x14ac:dyDescent="0.2">
      <c r="A12" s="195"/>
      <c r="B12" s="53"/>
      <c r="C12" s="33" t="s">
        <v>53</v>
      </c>
      <c r="D12" s="33">
        <v>2040</v>
      </c>
      <c r="E12" s="34"/>
      <c r="F12" s="158">
        <f>0.105/F2</f>
        <v>8.7932333975378946E-2</v>
      </c>
      <c r="G12" s="33">
        <f t="shared" si="0"/>
        <v>8.7932333975378946E-2</v>
      </c>
      <c r="H12" s="34"/>
      <c r="I12" s="34"/>
      <c r="J12" s="35" t="str">
        <f t="shared" si="1"/>
        <v>ELCCO2N,INDCO2N,SUPCO2N,INDCO2P,-*SCO2P,-*SCO2N</v>
      </c>
      <c r="K12" s="35" t="s">
        <v>56</v>
      </c>
      <c r="N12" s="4">
        <v>8.2000000000000003E-2</v>
      </c>
      <c r="O12" s="4" t="s">
        <v>54</v>
      </c>
    </row>
    <row r="13" spans="1:15" x14ac:dyDescent="0.2">
      <c r="A13" s="195"/>
      <c r="B13" s="53"/>
      <c r="C13" s="33" t="s">
        <v>53</v>
      </c>
      <c r="D13" s="33">
        <v>2045</v>
      </c>
      <c r="E13" s="34"/>
      <c r="F13" s="158">
        <f>0.16/F2</f>
        <v>0.13399212796248222</v>
      </c>
      <c r="G13" s="33">
        <f t="shared" si="0"/>
        <v>0.13399212796248222</v>
      </c>
      <c r="H13" s="34"/>
      <c r="I13" s="34"/>
      <c r="J13" s="35" t="str">
        <f t="shared" si="1"/>
        <v>ELCCO2N,INDCO2N,SUPCO2N,INDCO2P,-*SCO2P,-*SCO2N</v>
      </c>
      <c r="K13" s="35" t="s">
        <v>56</v>
      </c>
      <c r="N13" s="4">
        <v>0.124</v>
      </c>
      <c r="O13" s="4" t="s">
        <v>54</v>
      </c>
    </row>
    <row r="14" spans="1:15" x14ac:dyDescent="0.2">
      <c r="A14" s="195"/>
      <c r="B14" s="53"/>
      <c r="C14" s="33" t="s">
        <v>53</v>
      </c>
      <c r="D14" s="33">
        <v>2050</v>
      </c>
      <c r="E14" s="34"/>
      <c r="F14" s="158">
        <f>0.19/F2</f>
        <v>0.15911565195544763</v>
      </c>
      <c r="G14" s="33">
        <f t="shared" si="0"/>
        <v>0.15911565195544763</v>
      </c>
      <c r="H14" s="34"/>
      <c r="I14" s="34"/>
      <c r="J14" s="35" t="str">
        <f t="shared" si="1"/>
        <v>ELCCO2N,INDCO2N,SUPCO2N,INDCO2P,-*SCO2P,-*SCO2N</v>
      </c>
      <c r="K14" s="35" t="s">
        <v>56</v>
      </c>
      <c r="N14" s="4">
        <v>0.153</v>
      </c>
      <c r="O14" s="4" t="s">
        <v>54</v>
      </c>
    </row>
    <row r="15" spans="1:15" x14ac:dyDescent="0.2">
      <c r="A15" s="195"/>
      <c r="B15" s="53"/>
      <c r="C15" s="33" t="s">
        <v>53</v>
      </c>
      <c r="D15" s="33">
        <v>2055</v>
      </c>
      <c r="E15" s="34"/>
      <c r="F15" s="158">
        <f>0.22/F2</f>
        <v>0.18423917594841305</v>
      </c>
      <c r="G15" s="33">
        <f t="shared" si="0"/>
        <v>0.18423917594841305</v>
      </c>
      <c r="H15" s="34"/>
      <c r="I15" s="34"/>
      <c r="J15" s="35" t="str">
        <f t="shared" si="1"/>
        <v>ELCCO2N,INDCO2N,SUPCO2N,INDCO2P,-*SCO2P,-*SCO2N</v>
      </c>
      <c r="K15" s="35" t="s">
        <v>56</v>
      </c>
      <c r="N15" s="4">
        <v>0.153</v>
      </c>
      <c r="O15" s="4" t="s">
        <v>54</v>
      </c>
    </row>
    <row r="16" spans="1:15" x14ac:dyDescent="0.2">
      <c r="A16" s="196"/>
      <c r="B16" s="54"/>
      <c r="C16" s="36" t="s">
        <v>53</v>
      </c>
      <c r="D16" s="36">
        <v>0</v>
      </c>
      <c r="E16" s="36"/>
      <c r="F16" s="40">
        <v>5</v>
      </c>
      <c r="G16" s="33">
        <f t="shared" si="0"/>
        <v>5</v>
      </c>
      <c r="H16" s="36"/>
      <c r="I16" s="36"/>
      <c r="J16" s="35" t="str">
        <f t="shared" si="1"/>
        <v>ELCCO2N,INDCO2N,SUPCO2N,INDCO2P,-*SCO2P,-*SCO2N</v>
      </c>
      <c r="K16" s="36" t="s">
        <v>56</v>
      </c>
    </row>
    <row r="17" spans="1:11" x14ac:dyDescent="0.2">
      <c r="A17" s="197" t="s">
        <v>63</v>
      </c>
      <c r="B17" s="52"/>
      <c r="C17" s="46" t="s">
        <v>53</v>
      </c>
      <c r="D17" s="46">
        <v>2012</v>
      </c>
      <c r="E17" s="47"/>
      <c r="F17" s="80">
        <v>1E-3</v>
      </c>
      <c r="G17" s="33">
        <f t="shared" si="0"/>
        <v>1E-3</v>
      </c>
      <c r="H17" s="49" t="s">
        <v>110</v>
      </c>
      <c r="I17" s="47"/>
      <c r="J17" s="50" t="s">
        <v>35</v>
      </c>
      <c r="K17" s="50" t="s">
        <v>68</v>
      </c>
    </row>
    <row r="18" spans="1:11" x14ac:dyDescent="0.2">
      <c r="A18" s="198"/>
      <c r="C18" s="33" t="s">
        <v>53</v>
      </c>
      <c r="D18" s="33">
        <v>2020</v>
      </c>
      <c r="E18" s="34"/>
      <c r="F18" s="81">
        <v>2E-3</v>
      </c>
      <c r="G18" s="33">
        <f t="shared" si="0"/>
        <v>2E-3</v>
      </c>
      <c r="H18" s="37" t="str">
        <f>H17</f>
        <v>BLDJET,BLD_RFNBO_JET</v>
      </c>
      <c r="I18" s="34"/>
      <c r="J18" s="35" t="s">
        <v>35</v>
      </c>
      <c r="K18" s="35" t="str">
        <f t="shared" ref="K18:K26" si="2">K8</f>
        <v>EUR20</v>
      </c>
    </row>
    <row r="19" spans="1:11" x14ac:dyDescent="0.2">
      <c r="A19" s="198"/>
      <c r="C19" s="33" t="s">
        <v>53</v>
      </c>
      <c r="D19" s="82">
        <v>2027</v>
      </c>
      <c r="E19" s="34"/>
      <c r="F19" s="159">
        <f t="shared" ref="F19:F26" si="3">F9</f>
        <v>7.9557825977723817E-2</v>
      </c>
      <c r="G19" s="33">
        <f t="shared" si="0"/>
        <v>7.9557825977723817E-2</v>
      </c>
      <c r="H19" s="37" t="str">
        <f t="shared" ref="H19:H26" si="4">H18</f>
        <v>BLDJET,BLD_RFNBO_JET</v>
      </c>
      <c r="I19" s="34"/>
      <c r="J19" s="35" t="s">
        <v>35</v>
      </c>
      <c r="K19" s="35" t="str">
        <f t="shared" si="2"/>
        <v>EUR20</v>
      </c>
    </row>
    <row r="20" spans="1:11" x14ac:dyDescent="0.2">
      <c r="A20" s="198"/>
      <c r="C20" s="33" t="s">
        <v>53</v>
      </c>
      <c r="D20" s="33">
        <v>2030</v>
      </c>
      <c r="E20" s="34"/>
      <c r="F20" s="159">
        <f t="shared" si="3"/>
        <v>7.9557825977723817E-2</v>
      </c>
      <c r="G20" s="33">
        <f t="shared" si="0"/>
        <v>7.9557825977723817E-2</v>
      </c>
      <c r="H20" s="37" t="str">
        <f t="shared" si="4"/>
        <v>BLDJET,BLD_RFNBO_JET</v>
      </c>
      <c r="I20" s="34"/>
      <c r="J20" s="35" t="s">
        <v>35</v>
      </c>
      <c r="K20" s="35" t="str">
        <f t="shared" si="2"/>
        <v>EUR20</v>
      </c>
    </row>
    <row r="21" spans="1:11" x14ac:dyDescent="0.2">
      <c r="A21" s="198"/>
      <c r="C21" s="33" t="s">
        <v>53</v>
      </c>
      <c r="D21" s="33">
        <v>2035</v>
      </c>
      <c r="E21" s="34"/>
      <c r="F21" s="159">
        <f t="shared" si="3"/>
        <v>8.3745079976551381E-2</v>
      </c>
      <c r="G21" s="33">
        <f t="shared" si="0"/>
        <v>8.3745079976551381E-2</v>
      </c>
      <c r="H21" s="37" t="str">
        <f t="shared" si="4"/>
        <v>BLDJET,BLD_RFNBO_JET</v>
      </c>
      <c r="I21" s="34"/>
      <c r="J21" s="35" t="s">
        <v>35</v>
      </c>
      <c r="K21" s="35" t="str">
        <f t="shared" si="2"/>
        <v>EUR20</v>
      </c>
    </row>
    <row r="22" spans="1:11" x14ac:dyDescent="0.2">
      <c r="A22" s="198"/>
      <c r="C22" s="33" t="s">
        <v>53</v>
      </c>
      <c r="D22" s="33">
        <v>2040</v>
      </c>
      <c r="E22" s="34"/>
      <c r="F22" s="159">
        <f t="shared" si="3"/>
        <v>8.7932333975378946E-2</v>
      </c>
      <c r="G22" s="33">
        <f t="shared" si="0"/>
        <v>8.7932333975378946E-2</v>
      </c>
      <c r="H22" s="37" t="str">
        <f t="shared" si="4"/>
        <v>BLDJET,BLD_RFNBO_JET</v>
      </c>
      <c r="I22" s="34"/>
      <c r="J22" s="35" t="s">
        <v>35</v>
      </c>
      <c r="K22" s="35" t="str">
        <f t="shared" si="2"/>
        <v>EUR20</v>
      </c>
    </row>
    <row r="23" spans="1:11" x14ac:dyDescent="0.2">
      <c r="A23" s="198"/>
      <c r="C23" s="33" t="s">
        <v>53</v>
      </c>
      <c r="D23" s="33">
        <v>2045</v>
      </c>
      <c r="E23" s="34"/>
      <c r="F23" s="159">
        <f t="shared" si="3"/>
        <v>0.13399212796248222</v>
      </c>
      <c r="G23" s="33">
        <f t="shared" si="0"/>
        <v>0.13399212796248222</v>
      </c>
      <c r="H23" s="37" t="str">
        <f t="shared" si="4"/>
        <v>BLDJET,BLD_RFNBO_JET</v>
      </c>
      <c r="I23" s="34"/>
      <c r="J23" s="35" t="s">
        <v>35</v>
      </c>
      <c r="K23" s="35" t="str">
        <f t="shared" si="2"/>
        <v>EUR20</v>
      </c>
    </row>
    <row r="24" spans="1:11" x14ac:dyDescent="0.2">
      <c r="A24" s="198"/>
      <c r="C24" s="33" t="s">
        <v>53</v>
      </c>
      <c r="D24" s="33">
        <v>2050</v>
      </c>
      <c r="E24" s="34"/>
      <c r="F24" s="159">
        <f t="shared" si="3"/>
        <v>0.15911565195544763</v>
      </c>
      <c r="G24" s="33">
        <f t="shared" si="0"/>
        <v>0.15911565195544763</v>
      </c>
      <c r="H24" s="37" t="str">
        <f t="shared" si="4"/>
        <v>BLDJET,BLD_RFNBO_JET</v>
      </c>
      <c r="I24" s="34"/>
      <c r="J24" s="35" t="s">
        <v>35</v>
      </c>
      <c r="K24" s="35" t="str">
        <f t="shared" si="2"/>
        <v>EUR20</v>
      </c>
    </row>
    <row r="25" spans="1:11" x14ac:dyDescent="0.2">
      <c r="A25" s="198"/>
      <c r="C25" s="33" t="s">
        <v>53</v>
      </c>
      <c r="D25" s="33">
        <v>2055</v>
      </c>
      <c r="E25" s="34"/>
      <c r="F25" s="159">
        <f t="shared" si="3"/>
        <v>0.18423917594841305</v>
      </c>
      <c r="G25" s="33">
        <f t="shared" si="0"/>
        <v>0.18423917594841305</v>
      </c>
      <c r="H25" s="37" t="str">
        <f t="shared" si="4"/>
        <v>BLDJET,BLD_RFNBO_JET</v>
      </c>
      <c r="I25" s="34"/>
      <c r="J25" s="35" t="s">
        <v>35</v>
      </c>
      <c r="K25" s="35" t="str">
        <f t="shared" si="2"/>
        <v>EUR20</v>
      </c>
    </row>
    <row r="26" spans="1:11" x14ac:dyDescent="0.2">
      <c r="A26" s="199"/>
      <c r="C26" s="33" t="s">
        <v>53</v>
      </c>
      <c r="D26" s="33">
        <v>0</v>
      </c>
      <c r="E26" s="34"/>
      <c r="F26" s="38">
        <f t="shared" si="3"/>
        <v>5</v>
      </c>
      <c r="G26" s="33">
        <f t="shared" si="0"/>
        <v>5</v>
      </c>
      <c r="H26" s="37" t="str">
        <f t="shared" si="4"/>
        <v>BLDJET,BLD_RFNBO_JET</v>
      </c>
      <c r="I26" s="34"/>
      <c r="J26" s="35" t="s">
        <v>35</v>
      </c>
      <c r="K26" s="35" t="str">
        <f t="shared" si="2"/>
        <v>EUR20</v>
      </c>
    </row>
    <row r="27" spans="1:11" ht="13.15" customHeight="1" x14ac:dyDescent="0.2">
      <c r="A27" s="194" t="s">
        <v>66</v>
      </c>
      <c r="B27" s="52"/>
      <c r="C27" s="46" t="s">
        <v>53</v>
      </c>
      <c r="D27" s="46">
        <v>2024</v>
      </c>
      <c r="E27" s="47"/>
      <c r="F27" s="48">
        <f>F19*0.4</f>
        <v>3.1823130391089527E-2</v>
      </c>
      <c r="G27" s="33">
        <f t="shared" si="0"/>
        <v>3.1823130391089527E-2</v>
      </c>
      <c r="H27" s="49" t="s">
        <v>111</v>
      </c>
      <c r="I27" s="47"/>
      <c r="J27" s="50" t="s">
        <v>35</v>
      </c>
      <c r="K27" s="50" t="str">
        <f t="shared" ref="K27:K44" si="5">K18</f>
        <v>EUR20</v>
      </c>
    </row>
    <row r="28" spans="1:11" x14ac:dyDescent="0.2">
      <c r="A28" s="195"/>
      <c r="B28" s="53"/>
      <c r="C28" s="33" t="s">
        <v>53</v>
      </c>
      <c r="D28" s="33">
        <v>2025</v>
      </c>
      <c r="E28" s="34"/>
      <c r="F28" s="45">
        <f>F19*0.7</f>
        <v>5.5690478184406665E-2</v>
      </c>
      <c r="G28" s="33">
        <f t="shared" si="0"/>
        <v>5.5690478184406665E-2</v>
      </c>
      <c r="H28" s="37" t="str">
        <f>H27</f>
        <v>TRAHFO00,BLD_RFNBO_NAV</v>
      </c>
      <c r="I28" s="34"/>
      <c r="J28" s="35" t="s">
        <v>35</v>
      </c>
      <c r="K28" s="35" t="str">
        <f t="shared" si="5"/>
        <v>EUR20</v>
      </c>
    </row>
    <row r="29" spans="1:11" x14ac:dyDescent="0.2">
      <c r="A29" s="195"/>
      <c r="B29" s="53"/>
      <c r="C29" s="33" t="s">
        <v>53</v>
      </c>
      <c r="D29" s="33">
        <v>2026</v>
      </c>
      <c r="E29" s="34"/>
      <c r="F29" s="38">
        <f t="shared" ref="F29:F36" si="6">F19</f>
        <v>7.9557825977723817E-2</v>
      </c>
      <c r="G29" s="33">
        <f t="shared" si="0"/>
        <v>7.9557825977723817E-2</v>
      </c>
      <c r="H29" s="37" t="str">
        <f t="shared" ref="H29:H36" si="7">H28</f>
        <v>TRAHFO00,BLD_RFNBO_NAV</v>
      </c>
      <c r="I29" s="34"/>
      <c r="J29" s="35" t="s">
        <v>35</v>
      </c>
      <c r="K29" s="35" t="str">
        <f t="shared" si="5"/>
        <v>EUR20</v>
      </c>
    </row>
    <row r="30" spans="1:11" x14ac:dyDescent="0.2">
      <c r="A30" s="195"/>
      <c r="B30" s="53"/>
      <c r="C30" s="33" t="s">
        <v>53</v>
      </c>
      <c r="D30" s="33">
        <v>2030</v>
      </c>
      <c r="E30" s="34"/>
      <c r="F30" s="38">
        <f t="shared" si="6"/>
        <v>7.9557825977723817E-2</v>
      </c>
      <c r="G30" s="33">
        <f t="shared" si="0"/>
        <v>7.9557825977723817E-2</v>
      </c>
      <c r="H30" s="37" t="str">
        <f t="shared" si="7"/>
        <v>TRAHFO00,BLD_RFNBO_NAV</v>
      </c>
      <c r="I30" s="34"/>
      <c r="J30" s="35" t="s">
        <v>35</v>
      </c>
      <c r="K30" s="35" t="str">
        <f t="shared" si="5"/>
        <v>EUR20</v>
      </c>
    </row>
    <row r="31" spans="1:11" x14ac:dyDescent="0.2">
      <c r="A31" s="195"/>
      <c r="B31" s="53"/>
      <c r="C31" s="33" t="s">
        <v>53</v>
      </c>
      <c r="D31" s="33">
        <v>2035</v>
      </c>
      <c r="E31" s="34"/>
      <c r="F31" s="38">
        <f t="shared" si="6"/>
        <v>8.3745079976551381E-2</v>
      </c>
      <c r="G31" s="33">
        <f t="shared" si="0"/>
        <v>8.3745079976551381E-2</v>
      </c>
      <c r="H31" s="37" t="str">
        <f t="shared" si="7"/>
        <v>TRAHFO00,BLD_RFNBO_NAV</v>
      </c>
      <c r="I31" s="34"/>
      <c r="J31" s="35" t="s">
        <v>35</v>
      </c>
      <c r="K31" s="35" t="str">
        <f t="shared" si="5"/>
        <v>EUR20</v>
      </c>
    </row>
    <row r="32" spans="1:11" x14ac:dyDescent="0.2">
      <c r="A32" s="195"/>
      <c r="B32" s="53"/>
      <c r="C32" s="33" t="s">
        <v>53</v>
      </c>
      <c r="D32" s="33">
        <v>2040</v>
      </c>
      <c r="E32" s="34"/>
      <c r="F32" s="38">
        <f t="shared" si="6"/>
        <v>8.7932333975378946E-2</v>
      </c>
      <c r="G32" s="33">
        <f t="shared" si="0"/>
        <v>8.7932333975378946E-2</v>
      </c>
      <c r="H32" s="37" t="str">
        <f t="shared" si="7"/>
        <v>TRAHFO00,BLD_RFNBO_NAV</v>
      </c>
      <c r="I32" s="34"/>
      <c r="J32" s="35" t="s">
        <v>35</v>
      </c>
      <c r="K32" s="35" t="str">
        <f t="shared" si="5"/>
        <v>EUR20</v>
      </c>
    </row>
    <row r="33" spans="1:11" x14ac:dyDescent="0.2">
      <c r="A33" s="195"/>
      <c r="B33" s="53"/>
      <c r="C33" s="33" t="s">
        <v>53</v>
      </c>
      <c r="D33" s="33">
        <v>2045</v>
      </c>
      <c r="E33" s="34"/>
      <c r="F33" s="38">
        <f t="shared" si="6"/>
        <v>0.13399212796248222</v>
      </c>
      <c r="G33" s="33">
        <f t="shared" si="0"/>
        <v>0.13399212796248222</v>
      </c>
      <c r="H33" s="37" t="str">
        <f t="shared" si="7"/>
        <v>TRAHFO00,BLD_RFNBO_NAV</v>
      </c>
      <c r="I33" s="34"/>
      <c r="J33" s="35" t="s">
        <v>35</v>
      </c>
      <c r="K33" s="35" t="str">
        <f t="shared" si="5"/>
        <v>EUR20</v>
      </c>
    </row>
    <row r="34" spans="1:11" x14ac:dyDescent="0.2">
      <c r="A34" s="195"/>
      <c r="B34" s="53"/>
      <c r="C34" s="33" t="s">
        <v>53</v>
      </c>
      <c r="D34" s="33">
        <v>2050</v>
      </c>
      <c r="E34" s="34"/>
      <c r="F34" s="38">
        <f t="shared" si="6"/>
        <v>0.15911565195544763</v>
      </c>
      <c r="G34" s="33">
        <f t="shared" si="0"/>
        <v>0.15911565195544763</v>
      </c>
      <c r="H34" s="37" t="str">
        <f t="shared" si="7"/>
        <v>TRAHFO00,BLD_RFNBO_NAV</v>
      </c>
      <c r="I34" s="34"/>
      <c r="J34" s="35" t="s">
        <v>35</v>
      </c>
      <c r="K34" s="35" t="str">
        <f t="shared" si="5"/>
        <v>EUR20</v>
      </c>
    </row>
    <row r="35" spans="1:11" x14ac:dyDescent="0.2">
      <c r="A35" s="195"/>
      <c r="B35" s="53"/>
      <c r="C35" s="33" t="s">
        <v>53</v>
      </c>
      <c r="D35" s="33">
        <v>2055</v>
      </c>
      <c r="E35" s="34"/>
      <c r="F35" s="38">
        <f t="shared" si="6"/>
        <v>0.18423917594841305</v>
      </c>
      <c r="G35" s="33">
        <f t="shared" si="0"/>
        <v>0.18423917594841305</v>
      </c>
      <c r="H35" s="37" t="str">
        <f t="shared" si="7"/>
        <v>TRAHFO00,BLD_RFNBO_NAV</v>
      </c>
      <c r="I35" s="34"/>
      <c r="J35" s="35" t="s">
        <v>35</v>
      </c>
      <c r="K35" s="35" t="str">
        <f t="shared" si="5"/>
        <v>EUR20</v>
      </c>
    </row>
    <row r="36" spans="1:11" x14ac:dyDescent="0.2">
      <c r="A36" s="196"/>
      <c r="B36" s="53"/>
      <c r="C36" s="33" t="s">
        <v>53</v>
      </c>
      <c r="D36" s="33">
        <v>0</v>
      </c>
      <c r="E36" s="34"/>
      <c r="F36" s="38">
        <f t="shared" si="6"/>
        <v>5</v>
      </c>
      <c r="G36" s="33">
        <f t="shared" si="0"/>
        <v>5</v>
      </c>
      <c r="H36" s="75" t="str">
        <f t="shared" si="7"/>
        <v>TRAHFO00,BLD_RFNBO_NAV</v>
      </c>
      <c r="I36" s="34"/>
      <c r="J36" s="35" t="s">
        <v>35</v>
      </c>
      <c r="K36" s="35" t="str">
        <f t="shared" si="5"/>
        <v>EUR20</v>
      </c>
    </row>
    <row r="37" spans="1:11" ht="13.15" customHeight="1" x14ac:dyDescent="0.2">
      <c r="A37" s="194" t="s">
        <v>67</v>
      </c>
      <c r="B37" s="52"/>
      <c r="C37" s="46" t="s">
        <v>53</v>
      </c>
      <c r="D37" s="46">
        <v>2024</v>
      </c>
      <c r="E37" s="47"/>
      <c r="F37" s="51">
        <f>F19</f>
        <v>7.9557825977723817E-2</v>
      </c>
      <c r="G37" s="33">
        <f t="shared" si="0"/>
        <v>7.9557825977723817E-2</v>
      </c>
      <c r="H37" s="74" t="s">
        <v>65</v>
      </c>
      <c r="I37" s="47"/>
      <c r="J37" s="50" t="s">
        <v>35</v>
      </c>
      <c r="K37" s="50" t="str">
        <f t="shared" si="5"/>
        <v>EUR20</v>
      </c>
    </row>
    <row r="38" spans="1:11" x14ac:dyDescent="0.2">
      <c r="A38" s="195"/>
      <c r="B38" s="53"/>
      <c r="C38" s="33" t="s">
        <v>53</v>
      </c>
      <c r="D38" s="33">
        <v>2030</v>
      </c>
      <c r="E38" s="34"/>
      <c r="F38" s="38">
        <f t="shared" ref="F38:F44" si="8">F30</f>
        <v>7.9557825977723817E-2</v>
      </c>
      <c r="G38" s="33">
        <f t="shared" si="0"/>
        <v>7.9557825977723817E-2</v>
      </c>
      <c r="H38" s="74" t="s">
        <v>65</v>
      </c>
      <c r="I38" s="34"/>
      <c r="J38" s="35" t="s">
        <v>35</v>
      </c>
      <c r="K38" s="35" t="str">
        <f t="shared" si="5"/>
        <v>EUR20</v>
      </c>
    </row>
    <row r="39" spans="1:11" x14ac:dyDescent="0.2">
      <c r="A39" s="195"/>
      <c r="B39" s="53"/>
      <c r="C39" s="33" t="s">
        <v>53</v>
      </c>
      <c r="D39" s="33">
        <v>2035</v>
      </c>
      <c r="E39" s="34"/>
      <c r="F39" s="38">
        <f t="shared" si="8"/>
        <v>8.3745079976551381E-2</v>
      </c>
      <c r="G39" s="33">
        <f t="shared" si="0"/>
        <v>8.3745079976551381E-2</v>
      </c>
      <c r="H39" s="74" t="s">
        <v>65</v>
      </c>
      <c r="I39" s="34"/>
      <c r="J39" s="35" t="s">
        <v>35</v>
      </c>
      <c r="K39" s="35" t="str">
        <f t="shared" si="5"/>
        <v>EUR20</v>
      </c>
    </row>
    <row r="40" spans="1:11" x14ac:dyDescent="0.2">
      <c r="A40" s="195"/>
      <c r="B40" s="53"/>
      <c r="C40" s="33" t="s">
        <v>53</v>
      </c>
      <c r="D40" s="33">
        <v>2040</v>
      </c>
      <c r="E40" s="34"/>
      <c r="F40" s="38">
        <f t="shared" si="8"/>
        <v>8.7932333975378946E-2</v>
      </c>
      <c r="G40" s="33">
        <f t="shared" si="0"/>
        <v>8.7932333975378946E-2</v>
      </c>
      <c r="H40" s="74" t="s">
        <v>65</v>
      </c>
      <c r="I40" s="34"/>
      <c r="J40" s="35" t="s">
        <v>35</v>
      </c>
      <c r="K40" s="35" t="str">
        <f t="shared" si="5"/>
        <v>EUR20</v>
      </c>
    </row>
    <row r="41" spans="1:11" x14ac:dyDescent="0.2">
      <c r="A41" s="195"/>
      <c r="B41" s="53"/>
      <c r="C41" s="33" t="s">
        <v>53</v>
      </c>
      <c r="D41" s="33">
        <v>2045</v>
      </c>
      <c r="E41" s="34"/>
      <c r="F41" s="38">
        <f t="shared" si="8"/>
        <v>0.13399212796248222</v>
      </c>
      <c r="G41" s="33">
        <f t="shared" si="0"/>
        <v>0.13399212796248222</v>
      </c>
      <c r="H41" s="74" t="s">
        <v>65</v>
      </c>
      <c r="I41" s="34"/>
      <c r="J41" s="35" t="s">
        <v>35</v>
      </c>
      <c r="K41" s="35" t="str">
        <f t="shared" si="5"/>
        <v>EUR20</v>
      </c>
    </row>
    <row r="42" spans="1:11" x14ac:dyDescent="0.2">
      <c r="A42" s="195"/>
      <c r="B42" s="53"/>
      <c r="C42" s="33" t="s">
        <v>53</v>
      </c>
      <c r="D42" s="33">
        <v>2050</v>
      </c>
      <c r="E42" s="34"/>
      <c r="F42" s="38">
        <f t="shared" si="8"/>
        <v>0.15911565195544763</v>
      </c>
      <c r="G42" s="33">
        <f t="shared" si="0"/>
        <v>0.15911565195544763</v>
      </c>
      <c r="H42" s="74" t="s">
        <v>65</v>
      </c>
      <c r="I42" s="34"/>
      <c r="J42" s="35" t="s">
        <v>35</v>
      </c>
      <c r="K42" s="35" t="str">
        <f t="shared" si="5"/>
        <v>EUR20</v>
      </c>
    </row>
    <row r="43" spans="1:11" x14ac:dyDescent="0.2">
      <c r="A43" s="195"/>
      <c r="B43" s="53"/>
      <c r="C43" s="33" t="s">
        <v>53</v>
      </c>
      <c r="D43" s="33">
        <v>2055</v>
      </c>
      <c r="E43" s="34"/>
      <c r="F43" s="38">
        <f t="shared" si="8"/>
        <v>0.18423917594841305</v>
      </c>
      <c r="G43" s="33">
        <f t="shared" si="0"/>
        <v>0.18423917594841305</v>
      </c>
      <c r="H43" s="74" t="s">
        <v>65</v>
      </c>
      <c r="I43" s="34"/>
      <c r="J43" s="35" t="s">
        <v>35</v>
      </c>
      <c r="K43" s="35" t="str">
        <f t="shared" si="5"/>
        <v>EUR20</v>
      </c>
    </row>
    <row r="44" spans="1:11" x14ac:dyDescent="0.2">
      <c r="A44" s="196"/>
      <c r="B44" s="53"/>
      <c r="C44" s="33" t="s">
        <v>53</v>
      </c>
      <c r="D44" s="33">
        <v>0</v>
      </c>
      <c r="E44" s="34"/>
      <c r="F44" s="38">
        <f t="shared" si="8"/>
        <v>5</v>
      </c>
      <c r="G44" s="33">
        <f t="shared" si="0"/>
        <v>5</v>
      </c>
      <c r="H44" s="75" t="s">
        <v>65</v>
      </c>
      <c r="I44" s="34"/>
      <c r="J44" s="35" t="s">
        <v>35</v>
      </c>
      <c r="K44" s="35" t="str">
        <f t="shared" si="5"/>
        <v>EUR20</v>
      </c>
    </row>
    <row r="45" spans="1:11" x14ac:dyDescent="0.2">
      <c r="A45" s="52"/>
      <c r="B45" s="52"/>
      <c r="C45" s="52"/>
      <c r="D45" s="52"/>
      <c r="E45" s="52"/>
      <c r="F45" s="52"/>
      <c r="G45" s="52"/>
      <c r="H45" s="53"/>
      <c r="I45" s="52"/>
      <c r="J45" s="52"/>
      <c r="K45" s="52"/>
    </row>
    <row r="48" spans="1:11" s="29" customFormat="1" x14ac:dyDescent="0.2">
      <c r="C48" s="24" t="s">
        <v>59</v>
      </c>
    </row>
    <row r="50" spans="1:14" x14ac:dyDescent="0.2">
      <c r="C50" s="23" t="s">
        <v>108</v>
      </c>
    </row>
    <row r="51" spans="1:14" s="66" customFormat="1" x14ac:dyDescent="0.2">
      <c r="C51" s="67" t="s">
        <v>38</v>
      </c>
      <c r="D51" s="68" t="s">
        <v>6</v>
      </c>
      <c r="E51" s="69" t="s">
        <v>49</v>
      </c>
      <c r="F51" s="65" t="s">
        <v>50</v>
      </c>
      <c r="G51" s="65" t="s">
        <v>5</v>
      </c>
      <c r="H51" s="69" t="s">
        <v>34</v>
      </c>
      <c r="I51" s="69" t="s">
        <v>51</v>
      </c>
      <c r="J51" s="69" t="s">
        <v>7</v>
      </c>
      <c r="K51" s="69" t="s">
        <v>52</v>
      </c>
      <c r="N51" s="70"/>
    </row>
    <row r="52" spans="1:14" ht="12.6" customHeight="1" x14ac:dyDescent="0.2">
      <c r="A52" s="194" t="s">
        <v>64</v>
      </c>
      <c r="B52" s="52"/>
      <c r="C52" s="33" t="s">
        <v>53</v>
      </c>
      <c r="D52" s="33">
        <v>2010</v>
      </c>
      <c r="E52" s="34"/>
      <c r="F52" s="38">
        <v>0</v>
      </c>
      <c r="G52" s="33"/>
      <c r="H52" s="34"/>
      <c r="I52" s="34"/>
      <c r="J52" s="35" t="str">
        <f>J7</f>
        <v>ELCCO2N,INDCO2N,SUPCO2N,INDCO2P,-*SCO2P,-*SCO2N</v>
      </c>
      <c r="K52" s="35" t="s">
        <v>68</v>
      </c>
    </row>
    <row r="53" spans="1:14" ht="13.15" customHeight="1" x14ac:dyDescent="0.2">
      <c r="A53" s="195"/>
      <c r="C53" s="42" t="s">
        <v>53</v>
      </c>
      <c r="D53" s="42">
        <v>2020</v>
      </c>
      <c r="E53" s="43"/>
      <c r="F53" s="158">
        <f>0.029/$F$2</f>
        <v>2.4286073193199902E-2</v>
      </c>
      <c r="G53" s="42"/>
      <c r="H53" s="43"/>
      <c r="I53" s="43"/>
      <c r="J53" s="35" t="str">
        <f t="shared" ref="J53:J61" si="9">J8</f>
        <v>ELCCO2N,INDCO2N,SUPCO2N,INDCO2P,-*SCO2P,-*SCO2N</v>
      </c>
      <c r="K53" s="44" t="s">
        <v>56</v>
      </c>
    </row>
    <row r="54" spans="1:14" x14ac:dyDescent="0.2">
      <c r="A54" s="195"/>
      <c r="C54" s="42" t="s">
        <v>53</v>
      </c>
      <c r="D54" s="42">
        <v>2025</v>
      </c>
      <c r="E54" s="43"/>
      <c r="F54" s="158">
        <f>0.095/$F$2</f>
        <v>7.9557825977723817E-2</v>
      </c>
      <c r="G54" s="42"/>
      <c r="H54" s="43"/>
      <c r="I54" s="43"/>
      <c r="J54" s="35" t="str">
        <f t="shared" si="9"/>
        <v>ELCCO2N,INDCO2N,SUPCO2N,INDCO2P,-*SCO2P,-*SCO2N</v>
      </c>
      <c r="K54" s="44" t="s">
        <v>56</v>
      </c>
    </row>
    <row r="55" spans="1:14" x14ac:dyDescent="0.2">
      <c r="A55" s="195"/>
      <c r="C55" s="42" t="s">
        <v>53</v>
      </c>
      <c r="D55" s="42">
        <v>2030</v>
      </c>
      <c r="E55" s="43"/>
      <c r="F55" s="158">
        <f>0.095/$F$2</f>
        <v>7.9557825977723817E-2</v>
      </c>
      <c r="G55" s="42"/>
      <c r="H55" s="43"/>
      <c r="I55" s="43"/>
      <c r="J55" s="35" t="str">
        <f t="shared" si="9"/>
        <v>ELCCO2N,INDCO2N,SUPCO2N,INDCO2P,-*SCO2P,-*SCO2N</v>
      </c>
      <c r="K55" s="44" t="s">
        <v>56</v>
      </c>
    </row>
    <row r="56" spans="1:14" x14ac:dyDescent="0.2">
      <c r="A56" s="195"/>
      <c r="C56" s="42" t="s">
        <v>53</v>
      </c>
      <c r="D56" s="42">
        <v>2035</v>
      </c>
      <c r="E56" s="43"/>
      <c r="F56" s="158">
        <f>0.14/$F$2</f>
        <v>0.11724311196717195</v>
      </c>
      <c r="G56" s="43"/>
      <c r="H56" s="43"/>
      <c r="I56" s="43"/>
      <c r="J56" s="35" t="str">
        <f t="shared" si="9"/>
        <v>ELCCO2N,INDCO2N,SUPCO2N,INDCO2P,-*SCO2P,-*SCO2N</v>
      </c>
      <c r="K56" s="44" t="s">
        <v>56</v>
      </c>
    </row>
    <row r="57" spans="1:14" x14ac:dyDescent="0.2">
      <c r="A57" s="195"/>
      <c r="C57" s="42" t="s">
        <v>53</v>
      </c>
      <c r="D57" s="42">
        <v>2040</v>
      </c>
      <c r="E57" s="43"/>
      <c r="F57" s="158">
        <f>0.29/$F$2</f>
        <v>0.242860731931999</v>
      </c>
      <c r="G57" s="42"/>
      <c r="H57" s="43"/>
      <c r="I57" s="43"/>
      <c r="J57" s="35" t="str">
        <f t="shared" si="9"/>
        <v>ELCCO2N,INDCO2N,SUPCO2N,INDCO2P,-*SCO2P,-*SCO2N</v>
      </c>
      <c r="K57" s="44" t="s">
        <v>56</v>
      </c>
    </row>
    <row r="58" spans="1:14" x14ac:dyDescent="0.2">
      <c r="A58" s="195"/>
      <c r="C58" s="42" t="s">
        <v>53</v>
      </c>
      <c r="D58" s="42">
        <v>2045</v>
      </c>
      <c r="E58" s="43"/>
      <c r="F58" s="158">
        <f>0.43/$F$2</f>
        <v>0.36010384389917094</v>
      </c>
      <c r="G58" s="42"/>
      <c r="H58" s="43"/>
      <c r="I58" s="43"/>
      <c r="J58" s="35" t="str">
        <f t="shared" si="9"/>
        <v>ELCCO2N,INDCO2N,SUPCO2N,INDCO2P,-*SCO2P,-*SCO2N</v>
      </c>
      <c r="K58" s="44" t="s">
        <v>56</v>
      </c>
    </row>
    <row r="59" spans="1:14" x14ac:dyDescent="0.2">
      <c r="A59" s="195"/>
      <c r="C59" s="42" t="s">
        <v>53</v>
      </c>
      <c r="D59" s="42">
        <v>2050</v>
      </c>
      <c r="E59" s="43"/>
      <c r="F59" s="158">
        <f>0.49/$F$2</f>
        <v>0.41035089188510177</v>
      </c>
      <c r="G59" s="42"/>
      <c r="H59" s="43"/>
      <c r="I59" s="43"/>
      <c r="J59" s="35" t="str">
        <f t="shared" si="9"/>
        <v>ELCCO2N,INDCO2N,SUPCO2N,INDCO2P,-*SCO2P,-*SCO2N</v>
      </c>
      <c r="K59" s="44" t="s">
        <v>56</v>
      </c>
    </row>
    <row r="60" spans="1:14" x14ac:dyDescent="0.2">
      <c r="A60" s="195"/>
      <c r="C60" s="42" t="s">
        <v>53</v>
      </c>
      <c r="D60" s="42">
        <v>2060</v>
      </c>
      <c r="E60" s="43"/>
      <c r="F60" s="158">
        <f>0.52/$F$2</f>
        <v>0.43547441587806718</v>
      </c>
      <c r="G60" s="42"/>
      <c r="H60" s="43"/>
      <c r="I60" s="43"/>
      <c r="J60" s="35" t="str">
        <f t="shared" si="9"/>
        <v>ELCCO2N,INDCO2N,SUPCO2N,INDCO2P,-*SCO2P,-*SCO2N</v>
      </c>
      <c r="K60" s="44" t="s">
        <v>56</v>
      </c>
    </row>
    <row r="61" spans="1:14" s="54" customFormat="1" x14ac:dyDescent="0.2">
      <c r="A61" s="196"/>
      <c r="C61" s="61" t="s">
        <v>53</v>
      </c>
      <c r="D61" s="61">
        <v>0</v>
      </c>
      <c r="E61" s="62"/>
      <c r="F61" s="63">
        <v>5</v>
      </c>
      <c r="G61" s="61"/>
      <c r="H61" s="62"/>
      <c r="I61" s="62"/>
      <c r="J61" s="35" t="str">
        <f t="shared" si="9"/>
        <v>ELCCO2N,INDCO2N,SUPCO2N,INDCO2P,-*SCO2P,-*SCO2N</v>
      </c>
      <c r="K61" s="64" t="s">
        <v>56</v>
      </c>
    </row>
    <row r="62" spans="1:14" x14ac:dyDescent="0.2">
      <c r="A62" s="197" t="s">
        <v>63</v>
      </c>
      <c r="B62" s="52"/>
      <c r="C62" s="46" t="s">
        <v>53</v>
      </c>
      <c r="D62" s="46">
        <v>2012</v>
      </c>
      <c r="E62" s="47"/>
      <c r="F62" s="80">
        <v>1E-3</v>
      </c>
      <c r="G62" s="46"/>
      <c r="H62" s="49" t="str">
        <f>H17</f>
        <v>BLDJET,BLD_RFNBO_JET</v>
      </c>
      <c r="I62" s="47"/>
      <c r="J62" s="50" t="s">
        <v>35</v>
      </c>
      <c r="K62" s="50" t="s">
        <v>68</v>
      </c>
    </row>
    <row r="63" spans="1:14" x14ac:dyDescent="0.2">
      <c r="A63" s="198"/>
      <c r="C63" s="42" t="s">
        <v>53</v>
      </c>
      <c r="D63" s="42">
        <v>2020</v>
      </c>
      <c r="E63" s="43"/>
      <c r="F63" s="81">
        <v>2E-3</v>
      </c>
      <c r="G63" s="42"/>
      <c r="H63" s="43" t="str">
        <f t="shared" ref="H63:H89" si="10">H18</f>
        <v>BLDJET,BLD_RFNBO_JET</v>
      </c>
      <c r="I63" s="43"/>
      <c r="J63" s="44" t="s">
        <v>35</v>
      </c>
      <c r="K63" s="44" t="str">
        <f t="shared" ref="K63:K71" si="11">K53</f>
        <v>EUR20</v>
      </c>
    </row>
    <row r="64" spans="1:14" x14ac:dyDescent="0.2">
      <c r="A64" s="198"/>
      <c r="C64" s="42" t="s">
        <v>53</v>
      </c>
      <c r="D64" s="42">
        <v>2025</v>
      </c>
      <c r="E64" s="43"/>
      <c r="F64" s="39">
        <f t="shared" ref="F64:F71" si="12">F54</f>
        <v>7.9557825977723817E-2</v>
      </c>
      <c r="G64" s="42"/>
      <c r="H64" s="43" t="str">
        <f t="shared" si="10"/>
        <v>BLDJET,BLD_RFNBO_JET</v>
      </c>
      <c r="I64" s="43"/>
      <c r="J64" s="44" t="s">
        <v>35</v>
      </c>
      <c r="K64" s="44" t="str">
        <f t="shared" si="11"/>
        <v>EUR20</v>
      </c>
    </row>
    <row r="65" spans="1:11" x14ac:dyDescent="0.2">
      <c r="A65" s="198"/>
      <c r="C65" s="42" t="s">
        <v>53</v>
      </c>
      <c r="D65" s="42">
        <v>2030</v>
      </c>
      <c r="E65" s="43"/>
      <c r="F65" s="39">
        <f t="shared" si="12"/>
        <v>7.9557825977723817E-2</v>
      </c>
      <c r="G65" s="42"/>
      <c r="H65" s="43" t="str">
        <f t="shared" si="10"/>
        <v>BLDJET,BLD_RFNBO_JET</v>
      </c>
      <c r="I65" s="43"/>
      <c r="J65" s="44" t="s">
        <v>35</v>
      </c>
      <c r="K65" s="44" t="str">
        <f t="shared" si="11"/>
        <v>EUR20</v>
      </c>
    </row>
    <row r="66" spans="1:11" x14ac:dyDescent="0.2">
      <c r="A66" s="198"/>
      <c r="C66" s="42" t="s">
        <v>53</v>
      </c>
      <c r="D66" s="42">
        <v>2035</v>
      </c>
      <c r="E66" s="43"/>
      <c r="F66" s="39">
        <f t="shared" si="12"/>
        <v>0.11724311196717195</v>
      </c>
      <c r="G66" s="42"/>
      <c r="H66" s="43" t="str">
        <f t="shared" si="10"/>
        <v>BLDJET,BLD_RFNBO_JET</v>
      </c>
      <c r="I66" s="43"/>
      <c r="J66" s="44" t="s">
        <v>35</v>
      </c>
      <c r="K66" s="44" t="str">
        <f t="shared" si="11"/>
        <v>EUR20</v>
      </c>
    </row>
    <row r="67" spans="1:11" x14ac:dyDescent="0.2">
      <c r="A67" s="198"/>
      <c r="C67" s="42" t="s">
        <v>53</v>
      </c>
      <c r="D67" s="42">
        <v>2040</v>
      </c>
      <c r="E67" s="43"/>
      <c r="F67" s="39">
        <f t="shared" si="12"/>
        <v>0.242860731931999</v>
      </c>
      <c r="G67" s="42"/>
      <c r="H67" s="43" t="str">
        <f t="shared" si="10"/>
        <v>BLDJET,BLD_RFNBO_JET</v>
      </c>
      <c r="I67" s="43"/>
      <c r="J67" s="44" t="s">
        <v>35</v>
      </c>
      <c r="K67" s="44" t="str">
        <f t="shared" si="11"/>
        <v>EUR20</v>
      </c>
    </row>
    <row r="68" spans="1:11" x14ac:dyDescent="0.2">
      <c r="A68" s="198"/>
      <c r="C68" s="42" t="s">
        <v>53</v>
      </c>
      <c r="D68" s="42">
        <v>2045</v>
      </c>
      <c r="E68" s="43"/>
      <c r="F68" s="39">
        <f t="shared" si="12"/>
        <v>0.36010384389917094</v>
      </c>
      <c r="G68" s="42"/>
      <c r="H68" s="43" t="str">
        <f t="shared" si="10"/>
        <v>BLDJET,BLD_RFNBO_JET</v>
      </c>
      <c r="I68" s="43"/>
      <c r="J68" s="44" t="s">
        <v>35</v>
      </c>
      <c r="K68" s="44" t="str">
        <f t="shared" si="11"/>
        <v>EUR20</v>
      </c>
    </row>
    <row r="69" spans="1:11" x14ac:dyDescent="0.2">
      <c r="A69" s="198"/>
      <c r="C69" s="42" t="s">
        <v>53</v>
      </c>
      <c r="D69" s="42">
        <v>2050</v>
      </c>
      <c r="E69" s="43"/>
      <c r="F69" s="39">
        <f t="shared" si="12"/>
        <v>0.41035089188510177</v>
      </c>
      <c r="G69" s="42"/>
      <c r="H69" s="43" t="str">
        <f t="shared" si="10"/>
        <v>BLDJET,BLD_RFNBO_JET</v>
      </c>
      <c r="I69" s="43"/>
      <c r="J69" s="44" t="s">
        <v>35</v>
      </c>
      <c r="K69" s="44" t="str">
        <f t="shared" si="11"/>
        <v>EUR20</v>
      </c>
    </row>
    <row r="70" spans="1:11" x14ac:dyDescent="0.2">
      <c r="A70" s="198"/>
      <c r="C70" s="42" t="s">
        <v>53</v>
      </c>
      <c r="D70" s="42">
        <v>2060</v>
      </c>
      <c r="E70" s="43"/>
      <c r="F70" s="39">
        <f t="shared" si="12"/>
        <v>0.43547441587806718</v>
      </c>
      <c r="G70" s="42"/>
      <c r="H70" s="43" t="str">
        <f t="shared" si="10"/>
        <v>BLDJET,BLD_RFNBO_JET</v>
      </c>
      <c r="I70" s="43"/>
      <c r="J70" s="44" t="s">
        <v>35</v>
      </c>
      <c r="K70" s="44" t="str">
        <f t="shared" si="11"/>
        <v>EUR20</v>
      </c>
    </row>
    <row r="71" spans="1:11" x14ac:dyDescent="0.2">
      <c r="A71" s="199"/>
      <c r="C71" s="42" t="s">
        <v>53</v>
      </c>
      <c r="D71" s="42">
        <v>0</v>
      </c>
      <c r="E71" s="43"/>
      <c r="F71" s="41">
        <f t="shared" si="12"/>
        <v>5</v>
      </c>
      <c r="G71" s="42"/>
      <c r="H71" s="43" t="str">
        <f t="shared" si="10"/>
        <v>BLDJET,BLD_RFNBO_JET</v>
      </c>
      <c r="I71" s="43"/>
      <c r="J71" s="44" t="s">
        <v>35</v>
      </c>
      <c r="K71" s="44" t="str">
        <f t="shared" si="11"/>
        <v>EUR20</v>
      </c>
    </row>
    <row r="72" spans="1:11" x14ac:dyDescent="0.2">
      <c r="A72" s="194" t="s">
        <v>66</v>
      </c>
      <c r="B72" s="52"/>
      <c r="C72" s="46" t="s">
        <v>53</v>
      </c>
      <c r="D72" s="46">
        <v>2024</v>
      </c>
      <c r="E72" s="47"/>
      <c r="F72" s="48">
        <f>F64*0.4</f>
        <v>3.1823130391089527E-2</v>
      </c>
      <c r="G72" s="46"/>
      <c r="H72" s="49" t="str">
        <f t="shared" si="10"/>
        <v>TRAHFO00,BLD_RFNBO_NAV</v>
      </c>
      <c r="I72" s="47"/>
      <c r="J72" s="50" t="s">
        <v>35</v>
      </c>
      <c r="K72" s="50" t="str">
        <f t="shared" ref="K72:K89" si="13">K63</f>
        <v>EUR20</v>
      </c>
    </row>
    <row r="73" spans="1:11" x14ac:dyDescent="0.2">
      <c r="A73" s="195"/>
      <c r="B73" s="53"/>
      <c r="C73" s="33" t="s">
        <v>53</v>
      </c>
      <c r="D73" s="33">
        <v>2025</v>
      </c>
      <c r="E73" s="34"/>
      <c r="F73" s="45">
        <f>F64*0.7</f>
        <v>5.5690478184406665E-2</v>
      </c>
      <c r="G73" s="33"/>
      <c r="H73" s="37" t="str">
        <f t="shared" si="10"/>
        <v>TRAHFO00,BLD_RFNBO_NAV</v>
      </c>
      <c r="I73" s="34"/>
      <c r="J73" s="35" t="s">
        <v>35</v>
      </c>
      <c r="K73" s="35" t="str">
        <f t="shared" si="13"/>
        <v>EUR20</v>
      </c>
    </row>
    <row r="74" spans="1:11" x14ac:dyDescent="0.2">
      <c r="A74" s="195"/>
      <c r="B74" s="53"/>
      <c r="C74" s="33" t="s">
        <v>53</v>
      </c>
      <c r="D74" s="33">
        <v>2026</v>
      </c>
      <c r="E74" s="34"/>
      <c r="F74" s="38">
        <f t="shared" ref="F74:F81" si="14">F64</f>
        <v>7.9557825977723817E-2</v>
      </c>
      <c r="G74" s="33"/>
      <c r="H74" s="37" t="str">
        <f t="shared" si="10"/>
        <v>TRAHFO00,BLD_RFNBO_NAV</v>
      </c>
      <c r="I74" s="34"/>
      <c r="J74" s="35" t="s">
        <v>35</v>
      </c>
      <c r="K74" s="35" t="str">
        <f t="shared" si="13"/>
        <v>EUR20</v>
      </c>
    </row>
    <row r="75" spans="1:11" x14ac:dyDescent="0.2">
      <c r="A75" s="195"/>
      <c r="B75" s="53"/>
      <c r="C75" s="33" t="s">
        <v>53</v>
      </c>
      <c r="D75" s="33">
        <v>2030</v>
      </c>
      <c r="E75" s="34"/>
      <c r="F75" s="38">
        <f t="shared" si="14"/>
        <v>7.9557825977723817E-2</v>
      </c>
      <c r="G75" s="33"/>
      <c r="H75" s="37" t="str">
        <f t="shared" si="10"/>
        <v>TRAHFO00,BLD_RFNBO_NAV</v>
      </c>
      <c r="I75" s="34"/>
      <c r="J75" s="35" t="s">
        <v>35</v>
      </c>
      <c r="K75" s="35" t="str">
        <f t="shared" si="13"/>
        <v>EUR20</v>
      </c>
    </row>
    <row r="76" spans="1:11" x14ac:dyDescent="0.2">
      <c r="A76" s="195"/>
      <c r="B76" s="53"/>
      <c r="C76" s="33" t="s">
        <v>53</v>
      </c>
      <c r="D76" s="33">
        <v>2035</v>
      </c>
      <c r="E76" s="34"/>
      <c r="F76" s="38">
        <f t="shared" si="14"/>
        <v>0.11724311196717195</v>
      </c>
      <c r="G76" s="34"/>
      <c r="H76" s="37" t="str">
        <f t="shared" si="10"/>
        <v>TRAHFO00,BLD_RFNBO_NAV</v>
      </c>
      <c r="I76" s="34"/>
      <c r="J76" s="35" t="s">
        <v>35</v>
      </c>
      <c r="K76" s="35" t="str">
        <f t="shared" si="13"/>
        <v>EUR20</v>
      </c>
    </row>
    <row r="77" spans="1:11" x14ac:dyDescent="0.2">
      <c r="A77" s="195"/>
      <c r="B77" s="53"/>
      <c r="C77" s="33" t="s">
        <v>53</v>
      </c>
      <c r="D77" s="33">
        <v>2040</v>
      </c>
      <c r="E77" s="34"/>
      <c r="F77" s="38">
        <f t="shared" si="14"/>
        <v>0.242860731931999</v>
      </c>
      <c r="G77" s="33"/>
      <c r="H77" s="37" t="str">
        <f t="shared" si="10"/>
        <v>TRAHFO00,BLD_RFNBO_NAV</v>
      </c>
      <c r="I77" s="34"/>
      <c r="J77" s="35" t="s">
        <v>35</v>
      </c>
      <c r="K77" s="35" t="str">
        <f t="shared" si="13"/>
        <v>EUR20</v>
      </c>
    </row>
    <row r="78" spans="1:11" x14ac:dyDescent="0.2">
      <c r="A78" s="195"/>
      <c r="B78" s="53"/>
      <c r="C78" s="33" t="s">
        <v>53</v>
      </c>
      <c r="D78" s="33">
        <v>2045</v>
      </c>
      <c r="E78" s="34"/>
      <c r="F78" s="38">
        <f t="shared" si="14"/>
        <v>0.36010384389917094</v>
      </c>
      <c r="G78" s="33"/>
      <c r="H78" s="37" t="str">
        <f t="shared" si="10"/>
        <v>TRAHFO00,BLD_RFNBO_NAV</v>
      </c>
      <c r="I78" s="34"/>
      <c r="J78" s="35" t="s">
        <v>35</v>
      </c>
      <c r="K78" s="35" t="str">
        <f t="shared" si="13"/>
        <v>EUR20</v>
      </c>
    </row>
    <row r="79" spans="1:11" x14ac:dyDescent="0.2">
      <c r="A79" s="195"/>
      <c r="B79" s="53"/>
      <c r="C79" s="33" t="s">
        <v>53</v>
      </c>
      <c r="D79" s="33">
        <v>2050</v>
      </c>
      <c r="E79" s="34"/>
      <c r="F79" s="38">
        <f t="shared" si="14"/>
        <v>0.41035089188510177</v>
      </c>
      <c r="G79" s="33"/>
      <c r="H79" s="37" t="str">
        <f t="shared" si="10"/>
        <v>TRAHFO00,BLD_RFNBO_NAV</v>
      </c>
      <c r="I79" s="34"/>
      <c r="J79" s="35" t="s">
        <v>35</v>
      </c>
      <c r="K79" s="35" t="str">
        <f t="shared" si="13"/>
        <v>EUR20</v>
      </c>
    </row>
    <row r="80" spans="1:11" x14ac:dyDescent="0.2">
      <c r="A80" s="195"/>
      <c r="B80" s="53"/>
      <c r="C80" s="33" t="s">
        <v>53</v>
      </c>
      <c r="D80" s="33">
        <v>2060</v>
      </c>
      <c r="E80" s="34"/>
      <c r="F80" s="38">
        <f t="shared" si="14"/>
        <v>0.43547441587806718</v>
      </c>
      <c r="G80" s="33"/>
      <c r="H80" s="37" t="str">
        <f t="shared" si="10"/>
        <v>TRAHFO00,BLD_RFNBO_NAV</v>
      </c>
      <c r="I80" s="34"/>
      <c r="J80" s="35" t="s">
        <v>35</v>
      </c>
      <c r="K80" s="35" t="str">
        <f t="shared" si="13"/>
        <v>EUR20</v>
      </c>
    </row>
    <row r="81" spans="1:11" x14ac:dyDescent="0.2">
      <c r="A81" s="195"/>
      <c r="B81" s="53"/>
      <c r="C81" s="33" t="s">
        <v>53</v>
      </c>
      <c r="D81" s="33">
        <v>0</v>
      </c>
      <c r="E81" s="34"/>
      <c r="F81" s="38">
        <f t="shared" si="14"/>
        <v>5</v>
      </c>
      <c r="G81" s="33"/>
      <c r="H81" s="75" t="str">
        <f t="shared" si="10"/>
        <v>TRAHFO00,BLD_RFNBO_NAV</v>
      </c>
      <c r="I81" s="34"/>
      <c r="J81" s="35" t="s">
        <v>35</v>
      </c>
      <c r="K81" s="35" t="str">
        <f t="shared" si="13"/>
        <v>EUR20</v>
      </c>
    </row>
    <row r="82" spans="1:11" ht="13.15" customHeight="1" x14ac:dyDescent="0.2">
      <c r="A82" s="194" t="s">
        <v>67</v>
      </c>
      <c r="B82" s="52"/>
      <c r="C82" s="46" t="s">
        <v>53</v>
      </c>
      <c r="D82" s="46">
        <v>2024</v>
      </c>
      <c r="E82" s="47"/>
      <c r="F82" s="51">
        <f>F64</f>
        <v>7.9557825977723817E-2</v>
      </c>
      <c r="G82" s="46"/>
      <c r="H82" s="74" t="str">
        <f t="shared" si="10"/>
        <v>TRALFO00</v>
      </c>
      <c r="I82" s="47"/>
      <c r="J82" s="50" t="s">
        <v>35</v>
      </c>
      <c r="K82" s="50" t="str">
        <f t="shared" si="13"/>
        <v>EUR20</v>
      </c>
    </row>
    <row r="83" spans="1:11" x14ac:dyDescent="0.2">
      <c r="A83" s="195"/>
      <c r="B83" s="53"/>
      <c r="C83" s="33" t="s">
        <v>53</v>
      </c>
      <c r="D83" s="33">
        <v>2030</v>
      </c>
      <c r="E83" s="34"/>
      <c r="F83" s="38">
        <f t="shared" ref="F83:F89" si="15">F75</f>
        <v>7.9557825977723817E-2</v>
      </c>
      <c r="G83" s="33"/>
      <c r="H83" s="74" t="str">
        <f t="shared" si="10"/>
        <v>TRALFO00</v>
      </c>
      <c r="I83" s="34"/>
      <c r="J83" s="35" t="s">
        <v>35</v>
      </c>
      <c r="K83" s="35" t="str">
        <f t="shared" si="13"/>
        <v>EUR20</v>
      </c>
    </row>
    <row r="84" spans="1:11" x14ac:dyDescent="0.2">
      <c r="A84" s="195"/>
      <c r="B84" s="53"/>
      <c r="C84" s="33" t="s">
        <v>53</v>
      </c>
      <c r="D84" s="33">
        <v>2035</v>
      </c>
      <c r="E84" s="34"/>
      <c r="F84" s="38">
        <f t="shared" si="15"/>
        <v>0.11724311196717195</v>
      </c>
      <c r="G84" s="34"/>
      <c r="H84" s="74" t="str">
        <f t="shared" si="10"/>
        <v>TRALFO00</v>
      </c>
      <c r="I84" s="34"/>
      <c r="J84" s="35" t="s">
        <v>35</v>
      </c>
      <c r="K84" s="35" t="str">
        <f t="shared" si="13"/>
        <v>EUR20</v>
      </c>
    </row>
    <row r="85" spans="1:11" x14ac:dyDescent="0.2">
      <c r="A85" s="195"/>
      <c r="B85" s="53"/>
      <c r="C85" s="33" t="s">
        <v>53</v>
      </c>
      <c r="D85" s="33">
        <v>2040</v>
      </c>
      <c r="E85" s="34"/>
      <c r="F85" s="38">
        <f t="shared" si="15"/>
        <v>0.242860731931999</v>
      </c>
      <c r="G85" s="33"/>
      <c r="H85" s="74" t="str">
        <f t="shared" si="10"/>
        <v>TRALFO00</v>
      </c>
      <c r="I85" s="34"/>
      <c r="J85" s="35" t="s">
        <v>35</v>
      </c>
      <c r="K85" s="35" t="str">
        <f t="shared" si="13"/>
        <v>EUR20</v>
      </c>
    </row>
    <row r="86" spans="1:11" x14ac:dyDescent="0.2">
      <c r="A86" s="195"/>
      <c r="B86" s="53"/>
      <c r="C86" s="33" t="s">
        <v>53</v>
      </c>
      <c r="D86" s="33">
        <v>2045</v>
      </c>
      <c r="E86" s="34"/>
      <c r="F86" s="38">
        <f t="shared" si="15"/>
        <v>0.36010384389917094</v>
      </c>
      <c r="G86" s="33"/>
      <c r="H86" s="74" t="str">
        <f t="shared" si="10"/>
        <v>TRALFO00</v>
      </c>
      <c r="I86" s="34"/>
      <c r="J86" s="35" t="s">
        <v>35</v>
      </c>
      <c r="K86" s="35" t="str">
        <f t="shared" si="13"/>
        <v>EUR20</v>
      </c>
    </row>
    <row r="87" spans="1:11" x14ac:dyDescent="0.2">
      <c r="A87" s="195"/>
      <c r="B87" s="53"/>
      <c r="C87" s="33" t="s">
        <v>53</v>
      </c>
      <c r="D87" s="33">
        <v>2050</v>
      </c>
      <c r="E87" s="34"/>
      <c r="F87" s="38">
        <f t="shared" si="15"/>
        <v>0.41035089188510177</v>
      </c>
      <c r="G87" s="33"/>
      <c r="H87" s="74" t="str">
        <f t="shared" si="10"/>
        <v>TRALFO00</v>
      </c>
      <c r="I87" s="34"/>
      <c r="J87" s="35" t="s">
        <v>35</v>
      </c>
      <c r="K87" s="35" t="str">
        <f t="shared" si="13"/>
        <v>EUR20</v>
      </c>
    </row>
    <row r="88" spans="1:11" x14ac:dyDescent="0.2">
      <c r="A88" s="195"/>
      <c r="B88" s="53"/>
      <c r="C88" s="33" t="s">
        <v>53</v>
      </c>
      <c r="D88" s="33">
        <v>2060</v>
      </c>
      <c r="E88" s="34"/>
      <c r="F88" s="38">
        <f t="shared" si="15"/>
        <v>0.43547441587806718</v>
      </c>
      <c r="G88" s="33"/>
      <c r="H88" s="74" t="str">
        <f t="shared" si="10"/>
        <v>TRALFO00</v>
      </c>
      <c r="I88" s="34"/>
      <c r="J88" s="35" t="s">
        <v>35</v>
      </c>
      <c r="K88" s="35" t="str">
        <f t="shared" si="13"/>
        <v>EUR20</v>
      </c>
    </row>
    <row r="89" spans="1:11" x14ac:dyDescent="0.2">
      <c r="A89" s="196"/>
      <c r="B89" s="53"/>
      <c r="C89" s="33" t="s">
        <v>53</v>
      </c>
      <c r="D89" s="33">
        <v>0</v>
      </c>
      <c r="E89" s="34"/>
      <c r="F89" s="38">
        <f t="shared" si="15"/>
        <v>5</v>
      </c>
      <c r="G89" s="33"/>
      <c r="H89" s="75" t="str">
        <f t="shared" si="10"/>
        <v>TRALFO00</v>
      </c>
      <c r="I89" s="34"/>
      <c r="J89" s="35" t="s">
        <v>35</v>
      </c>
      <c r="K89" s="35" t="str">
        <f t="shared" si="13"/>
        <v>EUR20</v>
      </c>
    </row>
    <row r="90" spans="1:11" s="52" customFormat="1" x14ac:dyDescent="0.2">
      <c r="C90" s="57"/>
      <c r="D90" s="57"/>
      <c r="E90" s="58"/>
      <c r="F90" s="59"/>
      <c r="G90" s="57"/>
      <c r="H90" s="73"/>
      <c r="I90" s="58"/>
      <c r="J90" s="60"/>
      <c r="K90" s="60"/>
    </row>
    <row r="91" spans="1:11" x14ac:dyDescent="0.2">
      <c r="C91" s="28"/>
      <c r="D91" s="28"/>
      <c r="E91" s="31"/>
      <c r="F91" s="30"/>
      <c r="G91" s="28"/>
      <c r="H91" s="31"/>
      <c r="I91" s="31"/>
      <c r="J91" s="26"/>
      <c r="K91" s="26"/>
    </row>
    <row r="93" spans="1:11" x14ac:dyDescent="0.2">
      <c r="C93" s="4" t="s">
        <v>60</v>
      </c>
    </row>
    <row r="94" spans="1:11" x14ac:dyDescent="0.2">
      <c r="C94" s="4" t="s">
        <v>61</v>
      </c>
    </row>
    <row r="95" spans="1:11" x14ac:dyDescent="0.2">
      <c r="C95" s="4" t="s">
        <v>62</v>
      </c>
    </row>
    <row r="98" spans="1:10" s="27" customFormat="1" x14ac:dyDescent="0.2">
      <c r="C98" s="25" t="s">
        <v>119</v>
      </c>
    </row>
    <row r="100" spans="1:10" x14ac:dyDescent="0.2">
      <c r="C100" s="175" t="s">
        <v>108</v>
      </c>
    </row>
    <row r="101" spans="1:10" x14ac:dyDescent="0.2">
      <c r="A101" s="66"/>
      <c r="B101" s="66"/>
      <c r="C101" s="67" t="s">
        <v>38</v>
      </c>
      <c r="D101" s="68" t="s">
        <v>6</v>
      </c>
      <c r="E101" s="176" t="s">
        <v>49</v>
      </c>
      <c r="F101" s="177" t="s">
        <v>50</v>
      </c>
      <c r="G101" s="176" t="s">
        <v>34</v>
      </c>
      <c r="H101" s="176" t="s">
        <v>51</v>
      </c>
      <c r="I101" s="176" t="s">
        <v>7</v>
      </c>
      <c r="J101" s="176" t="s">
        <v>52</v>
      </c>
    </row>
    <row r="102" spans="1:10" x14ac:dyDescent="0.2">
      <c r="A102" s="194" t="s">
        <v>64</v>
      </c>
      <c r="B102" s="52"/>
      <c r="C102" s="42" t="s">
        <v>53</v>
      </c>
      <c r="D102" s="42">
        <v>2010</v>
      </c>
      <c r="E102" s="178"/>
      <c r="F102" s="38">
        <v>0</v>
      </c>
      <c r="G102" s="178"/>
      <c r="H102" s="178"/>
      <c r="I102" s="44" t="s">
        <v>109</v>
      </c>
      <c r="J102" s="44" t="s">
        <v>68</v>
      </c>
    </row>
    <row r="103" spans="1:10" x14ac:dyDescent="0.2">
      <c r="A103" s="200"/>
      <c r="C103" s="42" t="s">
        <v>53</v>
      </c>
      <c r="D103" s="42">
        <v>2020</v>
      </c>
      <c r="E103" s="178"/>
      <c r="F103" s="38">
        <v>2.4E-2</v>
      </c>
      <c r="G103" s="178"/>
      <c r="H103" s="178"/>
      <c r="I103" s="44" t="s">
        <v>109</v>
      </c>
      <c r="J103" s="44" t="s">
        <v>56</v>
      </c>
    </row>
    <row r="104" spans="1:10" x14ac:dyDescent="0.2">
      <c r="A104" s="200"/>
      <c r="C104" s="42" t="s">
        <v>53</v>
      </c>
      <c r="D104" s="42">
        <v>2025</v>
      </c>
      <c r="E104" s="178"/>
      <c r="F104" s="38">
        <v>0.08</v>
      </c>
      <c r="G104" s="178"/>
      <c r="H104" s="178"/>
      <c r="I104" s="44" t="s">
        <v>109</v>
      </c>
      <c r="J104" s="44" t="s">
        <v>56</v>
      </c>
    </row>
    <row r="105" spans="1:10" x14ac:dyDescent="0.2">
      <c r="A105" s="200"/>
      <c r="C105" s="42" t="s">
        <v>53</v>
      </c>
      <c r="D105" s="42">
        <v>2030</v>
      </c>
      <c r="E105" s="178"/>
      <c r="F105" s="38">
        <v>0.08</v>
      </c>
      <c r="G105" s="178"/>
      <c r="H105" s="178"/>
      <c r="I105" s="44" t="s">
        <v>109</v>
      </c>
      <c r="J105" s="44" t="s">
        <v>56</v>
      </c>
    </row>
    <row r="106" spans="1:10" x14ac:dyDescent="0.2">
      <c r="A106" s="200"/>
      <c r="C106" s="42" t="s">
        <v>53</v>
      </c>
      <c r="D106" s="42">
        <v>2035</v>
      </c>
      <c r="E106" s="178"/>
      <c r="F106" s="39">
        <v>0.1</v>
      </c>
      <c r="G106" s="178"/>
      <c r="H106" s="178"/>
      <c r="I106" s="44" t="s">
        <v>109</v>
      </c>
      <c r="J106" s="44" t="s">
        <v>56</v>
      </c>
    </row>
    <row r="107" spans="1:10" x14ac:dyDescent="0.2">
      <c r="A107" s="200"/>
      <c r="C107" s="42" t="s">
        <v>53</v>
      </c>
      <c r="D107" s="42">
        <v>2040</v>
      </c>
      <c r="E107" s="178"/>
      <c r="F107" s="39">
        <v>0.15</v>
      </c>
      <c r="G107" s="178"/>
      <c r="H107" s="178"/>
      <c r="I107" s="44" t="s">
        <v>109</v>
      </c>
      <c r="J107" s="44" t="s">
        <v>56</v>
      </c>
    </row>
    <row r="108" spans="1:10" x14ac:dyDescent="0.2">
      <c r="A108" s="200"/>
      <c r="C108" s="42" t="s">
        <v>53</v>
      </c>
      <c r="D108" s="42">
        <v>2045</v>
      </c>
      <c r="E108" s="178"/>
      <c r="F108" s="39">
        <v>0.21</v>
      </c>
      <c r="G108" s="178"/>
      <c r="H108" s="178"/>
      <c r="I108" s="44" t="s">
        <v>109</v>
      </c>
      <c r="J108" s="44" t="s">
        <v>56</v>
      </c>
    </row>
    <row r="109" spans="1:10" x14ac:dyDescent="0.2">
      <c r="A109" s="200"/>
      <c r="C109" s="42" t="s">
        <v>53</v>
      </c>
      <c r="D109" s="42">
        <v>2050</v>
      </c>
      <c r="E109" s="178"/>
      <c r="F109" s="39">
        <v>0.3</v>
      </c>
      <c r="G109" s="178"/>
      <c r="H109" s="178"/>
      <c r="I109" s="44" t="s">
        <v>109</v>
      </c>
      <c r="J109" s="44" t="s">
        <v>56</v>
      </c>
    </row>
    <row r="110" spans="1:10" x14ac:dyDescent="0.2">
      <c r="A110" s="200"/>
      <c r="C110" s="42" t="s">
        <v>53</v>
      </c>
      <c r="D110" s="42">
        <v>2060</v>
      </c>
      <c r="E110" s="178"/>
      <c r="F110" s="39">
        <v>0.41</v>
      </c>
      <c r="G110" s="178"/>
      <c r="H110" s="178"/>
      <c r="I110" s="44" t="s">
        <v>109</v>
      </c>
      <c r="J110" s="44" t="s">
        <v>56</v>
      </c>
    </row>
    <row r="111" spans="1:10" x14ac:dyDescent="0.2">
      <c r="A111" s="196"/>
      <c r="B111" s="54"/>
      <c r="C111" s="61" t="s">
        <v>53</v>
      </c>
      <c r="D111" s="61">
        <v>0</v>
      </c>
      <c r="E111" s="179"/>
      <c r="F111" s="63">
        <v>5</v>
      </c>
      <c r="G111" s="179"/>
      <c r="H111" s="179"/>
      <c r="I111" s="44" t="s">
        <v>109</v>
      </c>
      <c r="J111" s="64" t="s">
        <v>56</v>
      </c>
    </row>
    <row r="112" spans="1:10" x14ac:dyDescent="0.2">
      <c r="A112" s="197" t="s">
        <v>63</v>
      </c>
      <c r="B112" s="52"/>
      <c r="C112" s="180" t="s">
        <v>53</v>
      </c>
      <c r="D112" s="180">
        <v>2012</v>
      </c>
      <c r="E112" s="181"/>
      <c r="F112" s="80">
        <v>1E-3</v>
      </c>
      <c r="G112" s="182" t="s">
        <v>110</v>
      </c>
      <c r="H112" s="181"/>
      <c r="I112" s="183" t="s">
        <v>35</v>
      </c>
      <c r="J112" s="183" t="s">
        <v>68</v>
      </c>
    </row>
    <row r="113" spans="1:10" x14ac:dyDescent="0.2">
      <c r="A113" s="201"/>
      <c r="C113" s="42" t="s">
        <v>53</v>
      </c>
      <c r="D113" s="42">
        <v>2020</v>
      </c>
      <c r="E113" s="178"/>
      <c r="F113" s="81">
        <v>2E-3</v>
      </c>
      <c r="G113" s="178" t="s">
        <v>110</v>
      </c>
      <c r="H113" s="178"/>
      <c r="I113" s="44" t="s">
        <v>35</v>
      </c>
      <c r="J113" s="44" t="s">
        <v>56</v>
      </c>
    </row>
    <row r="114" spans="1:10" x14ac:dyDescent="0.2">
      <c r="A114" s="201"/>
      <c r="C114" s="42" t="s">
        <v>53</v>
      </c>
      <c r="D114" s="42">
        <v>2025</v>
      </c>
      <c r="E114" s="178"/>
      <c r="F114" s="39">
        <v>0.08</v>
      </c>
      <c r="G114" s="178" t="s">
        <v>110</v>
      </c>
      <c r="H114" s="178"/>
      <c r="I114" s="44" t="s">
        <v>35</v>
      </c>
      <c r="J114" s="44" t="s">
        <v>56</v>
      </c>
    </row>
    <row r="115" spans="1:10" x14ac:dyDescent="0.2">
      <c r="A115" s="201"/>
      <c r="C115" s="42" t="s">
        <v>53</v>
      </c>
      <c r="D115" s="42">
        <v>2030</v>
      </c>
      <c r="E115" s="178"/>
      <c r="F115" s="39">
        <v>0.08</v>
      </c>
      <c r="G115" s="178" t="s">
        <v>110</v>
      </c>
      <c r="H115" s="178"/>
      <c r="I115" s="44" t="s">
        <v>35</v>
      </c>
      <c r="J115" s="44" t="s">
        <v>56</v>
      </c>
    </row>
    <row r="116" spans="1:10" x14ac:dyDescent="0.2">
      <c r="A116" s="201"/>
      <c r="C116" s="42" t="s">
        <v>53</v>
      </c>
      <c r="D116" s="42">
        <v>2035</v>
      </c>
      <c r="E116" s="178"/>
      <c r="F116" s="39">
        <f>F106</f>
        <v>0.1</v>
      </c>
      <c r="G116" s="178" t="s">
        <v>110</v>
      </c>
      <c r="H116" s="178"/>
      <c r="I116" s="44" t="s">
        <v>35</v>
      </c>
      <c r="J116" s="44" t="s">
        <v>56</v>
      </c>
    </row>
    <row r="117" spans="1:10" x14ac:dyDescent="0.2">
      <c r="A117" s="201"/>
      <c r="C117" s="42" t="s">
        <v>53</v>
      </c>
      <c r="D117" s="42">
        <v>2040</v>
      </c>
      <c r="E117" s="178"/>
      <c r="F117" s="39">
        <f t="shared" ref="F117:F120" si="16">F107</f>
        <v>0.15</v>
      </c>
      <c r="G117" s="178" t="s">
        <v>110</v>
      </c>
      <c r="H117" s="178"/>
      <c r="I117" s="44" t="s">
        <v>35</v>
      </c>
      <c r="J117" s="44" t="s">
        <v>56</v>
      </c>
    </row>
    <row r="118" spans="1:10" x14ac:dyDescent="0.2">
      <c r="A118" s="201"/>
      <c r="C118" s="42" t="s">
        <v>53</v>
      </c>
      <c r="D118" s="42">
        <v>2045</v>
      </c>
      <c r="E118" s="178"/>
      <c r="F118" s="39">
        <f t="shared" si="16"/>
        <v>0.21</v>
      </c>
      <c r="G118" s="178" t="s">
        <v>110</v>
      </c>
      <c r="H118" s="178"/>
      <c r="I118" s="44" t="s">
        <v>35</v>
      </c>
      <c r="J118" s="44" t="s">
        <v>56</v>
      </c>
    </row>
    <row r="119" spans="1:10" x14ac:dyDescent="0.2">
      <c r="A119" s="201"/>
      <c r="C119" s="42" t="s">
        <v>53</v>
      </c>
      <c r="D119" s="42">
        <v>2050</v>
      </c>
      <c r="E119" s="178"/>
      <c r="F119" s="39">
        <f t="shared" si="16"/>
        <v>0.3</v>
      </c>
      <c r="G119" s="178" t="s">
        <v>110</v>
      </c>
      <c r="H119" s="178"/>
      <c r="I119" s="44" t="s">
        <v>35</v>
      </c>
      <c r="J119" s="44" t="s">
        <v>56</v>
      </c>
    </row>
    <row r="120" spans="1:10" x14ac:dyDescent="0.2">
      <c r="A120" s="201"/>
      <c r="C120" s="42" t="s">
        <v>53</v>
      </c>
      <c r="D120" s="42">
        <v>2060</v>
      </c>
      <c r="E120" s="178"/>
      <c r="F120" s="39">
        <f t="shared" si="16"/>
        <v>0.41</v>
      </c>
      <c r="G120" s="178" t="s">
        <v>110</v>
      </c>
      <c r="H120" s="178"/>
      <c r="I120" s="44" t="s">
        <v>35</v>
      </c>
      <c r="J120" s="44" t="s">
        <v>56</v>
      </c>
    </row>
    <row r="121" spans="1:10" x14ac:dyDescent="0.2">
      <c r="A121" s="199"/>
      <c r="C121" s="42" t="s">
        <v>53</v>
      </c>
      <c r="D121" s="42">
        <v>0</v>
      </c>
      <c r="E121" s="178"/>
      <c r="F121" s="41">
        <v>5</v>
      </c>
      <c r="G121" s="178" t="s">
        <v>110</v>
      </c>
      <c r="H121" s="178"/>
      <c r="I121" s="44" t="s">
        <v>35</v>
      </c>
      <c r="J121" s="44" t="s">
        <v>56</v>
      </c>
    </row>
    <row r="122" spans="1:10" x14ac:dyDescent="0.2">
      <c r="A122" s="194" t="s">
        <v>66</v>
      </c>
      <c r="B122" s="52"/>
      <c r="C122" s="180" t="s">
        <v>53</v>
      </c>
      <c r="D122" s="180">
        <v>2024</v>
      </c>
      <c r="E122" s="181"/>
      <c r="F122" s="48">
        <v>3.2000000000000001E-2</v>
      </c>
      <c r="G122" s="182" t="s">
        <v>111</v>
      </c>
      <c r="H122" s="181"/>
      <c r="I122" s="183" t="s">
        <v>35</v>
      </c>
      <c r="J122" s="183" t="s">
        <v>56</v>
      </c>
    </row>
    <row r="123" spans="1:10" x14ac:dyDescent="0.2">
      <c r="A123" s="200"/>
      <c r="C123" s="42" t="s">
        <v>53</v>
      </c>
      <c r="D123" s="42">
        <v>2025</v>
      </c>
      <c r="E123" s="178"/>
      <c r="F123" s="45">
        <v>5.5999999999999994E-2</v>
      </c>
      <c r="G123" s="184" t="s">
        <v>111</v>
      </c>
      <c r="H123" s="178"/>
      <c r="I123" s="44" t="s">
        <v>35</v>
      </c>
      <c r="J123" s="44" t="s">
        <v>56</v>
      </c>
    </row>
    <row r="124" spans="1:10" x14ac:dyDescent="0.2">
      <c r="A124" s="200"/>
      <c r="C124" s="42" t="s">
        <v>53</v>
      </c>
      <c r="D124" s="42">
        <v>2026</v>
      </c>
      <c r="E124" s="178"/>
      <c r="F124" s="38">
        <v>0.08</v>
      </c>
      <c r="G124" s="184" t="s">
        <v>111</v>
      </c>
      <c r="H124" s="178"/>
      <c r="I124" s="44" t="s">
        <v>35</v>
      </c>
      <c r="J124" s="44" t="s">
        <v>56</v>
      </c>
    </row>
    <row r="125" spans="1:10" x14ac:dyDescent="0.2">
      <c r="A125" s="200"/>
      <c r="C125" s="42" t="s">
        <v>53</v>
      </c>
      <c r="D125" s="42">
        <v>2030</v>
      </c>
      <c r="E125" s="178"/>
      <c r="F125" s="38">
        <v>0.08</v>
      </c>
      <c r="G125" s="184" t="s">
        <v>111</v>
      </c>
      <c r="H125" s="178"/>
      <c r="I125" s="44" t="s">
        <v>35</v>
      </c>
      <c r="J125" s="44" t="s">
        <v>56</v>
      </c>
    </row>
    <row r="126" spans="1:10" x14ac:dyDescent="0.2">
      <c r="A126" s="200"/>
      <c r="C126" s="42" t="s">
        <v>53</v>
      </c>
      <c r="D126" s="42">
        <v>2035</v>
      </c>
      <c r="E126" s="178"/>
      <c r="F126" s="39">
        <f>F106</f>
        <v>0.1</v>
      </c>
      <c r="G126" s="184" t="s">
        <v>111</v>
      </c>
      <c r="H126" s="178"/>
      <c r="I126" s="44" t="s">
        <v>35</v>
      </c>
      <c r="J126" s="44" t="s">
        <v>56</v>
      </c>
    </row>
    <row r="127" spans="1:10" x14ac:dyDescent="0.2">
      <c r="A127" s="200"/>
      <c r="C127" s="42" t="s">
        <v>53</v>
      </c>
      <c r="D127" s="42">
        <v>2040</v>
      </c>
      <c r="E127" s="178"/>
      <c r="F127" s="39">
        <f t="shared" ref="F127:F130" si="17">F107</f>
        <v>0.15</v>
      </c>
      <c r="G127" s="184" t="s">
        <v>111</v>
      </c>
      <c r="H127" s="178"/>
      <c r="I127" s="44" t="s">
        <v>35</v>
      </c>
      <c r="J127" s="44" t="s">
        <v>56</v>
      </c>
    </row>
    <row r="128" spans="1:10" x14ac:dyDescent="0.2">
      <c r="A128" s="200"/>
      <c r="C128" s="42" t="s">
        <v>53</v>
      </c>
      <c r="D128" s="42">
        <v>2045</v>
      </c>
      <c r="E128" s="178"/>
      <c r="F128" s="39">
        <f t="shared" si="17"/>
        <v>0.21</v>
      </c>
      <c r="G128" s="184" t="s">
        <v>111</v>
      </c>
      <c r="H128" s="178"/>
      <c r="I128" s="44" t="s">
        <v>35</v>
      </c>
      <c r="J128" s="44" t="s">
        <v>56</v>
      </c>
    </row>
    <row r="129" spans="1:10" x14ac:dyDescent="0.2">
      <c r="A129" s="200"/>
      <c r="C129" s="42" t="s">
        <v>53</v>
      </c>
      <c r="D129" s="42">
        <v>2050</v>
      </c>
      <c r="E129" s="178"/>
      <c r="F129" s="39">
        <f t="shared" si="17"/>
        <v>0.3</v>
      </c>
      <c r="G129" s="184" t="s">
        <v>111</v>
      </c>
      <c r="H129" s="178"/>
      <c r="I129" s="44" t="s">
        <v>35</v>
      </c>
      <c r="J129" s="44" t="s">
        <v>56</v>
      </c>
    </row>
    <row r="130" spans="1:10" x14ac:dyDescent="0.2">
      <c r="A130" s="200"/>
      <c r="C130" s="42" t="s">
        <v>53</v>
      </c>
      <c r="D130" s="42">
        <v>2060</v>
      </c>
      <c r="E130" s="178"/>
      <c r="F130" s="39">
        <f t="shared" si="17"/>
        <v>0.41</v>
      </c>
      <c r="G130" s="184" t="s">
        <v>111</v>
      </c>
      <c r="H130" s="178"/>
      <c r="I130" s="44" t="s">
        <v>35</v>
      </c>
      <c r="J130" s="44" t="s">
        <v>56</v>
      </c>
    </row>
    <row r="131" spans="1:10" x14ac:dyDescent="0.2">
      <c r="A131" s="200"/>
      <c r="C131" s="42" t="s">
        <v>53</v>
      </c>
      <c r="D131" s="42">
        <v>0</v>
      </c>
      <c r="E131" s="178"/>
      <c r="F131" s="38">
        <v>5</v>
      </c>
      <c r="G131" s="185" t="s">
        <v>111</v>
      </c>
      <c r="H131" s="178"/>
      <c r="I131" s="44" t="s">
        <v>35</v>
      </c>
      <c r="J131" s="44" t="s">
        <v>56</v>
      </c>
    </row>
    <row r="132" spans="1:10" x14ac:dyDescent="0.2">
      <c r="A132" s="194" t="s">
        <v>67</v>
      </c>
      <c r="B132" s="52"/>
      <c r="C132" s="180" t="s">
        <v>53</v>
      </c>
      <c r="D132" s="180">
        <v>2024</v>
      </c>
      <c r="E132" s="181"/>
      <c r="F132" s="51">
        <v>0.08</v>
      </c>
      <c r="G132" s="182" t="s">
        <v>65</v>
      </c>
      <c r="H132" s="181"/>
      <c r="I132" s="183" t="s">
        <v>35</v>
      </c>
      <c r="J132" s="183" t="s">
        <v>56</v>
      </c>
    </row>
    <row r="133" spans="1:10" x14ac:dyDescent="0.2">
      <c r="A133" s="195"/>
      <c r="B133" s="53"/>
      <c r="C133" s="186" t="s">
        <v>53</v>
      </c>
      <c r="D133" s="186">
        <v>2030</v>
      </c>
      <c r="E133" s="187"/>
      <c r="F133" s="188">
        <v>0.08</v>
      </c>
      <c r="G133" s="189" t="s">
        <v>65</v>
      </c>
      <c r="H133" s="187"/>
      <c r="I133" s="190" t="s">
        <v>35</v>
      </c>
      <c r="J133" s="190" t="s">
        <v>56</v>
      </c>
    </row>
    <row r="134" spans="1:10" x14ac:dyDescent="0.2">
      <c r="A134" s="195"/>
      <c r="B134" s="53"/>
      <c r="C134" s="186" t="s">
        <v>53</v>
      </c>
      <c r="D134" s="186">
        <v>2035</v>
      </c>
      <c r="E134" s="187"/>
      <c r="F134" s="191">
        <f>F106</f>
        <v>0.1</v>
      </c>
      <c r="G134" s="189" t="s">
        <v>65</v>
      </c>
      <c r="H134" s="187"/>
      <c r="I134" s="190" t="s">
        <v>35</v>
      </c>
      <c r="J134" s="190" t="s">
        <v>56</v>
      </c>
    </row>
    <row r="135" spans="1:10" x14ac:dyDescent="0.2">
      <c r="A135" s="195"/>
      <c r="B135" s="53"/>
      <c r="C135" s="186" t="s">
        <v>53</v>
      </c>
      <c r="D135" s="186">
        <v>2040</v>
      </c>
      <c r="E135" s="187"/>
      <c r="F135" s="191">
        <f t="shared" ref="F135:F138" si="18">F107</f>
        <v>0.15</v>
      </c>
      <c r="G135" s="189" t="s">
        <v>65</v>
      </c>
      <c r="H135" s="187"/>
      <c r="I135" s="190" t="s">
        <v>35</v>
      </c>
      <c r="J135" s="190" t="s">
        <v>56</v>
      </c>
    </row>
    <row r="136" spans="1:10" x14ac:dyDescent="0.2">
      <c r="A136" s="195"/>
      <c r="B136" s="53"/>
      <c r="C136" s="186" t="s">
        <v>53</v>
      </c>
      <c r="D136" s="186">
        <v>2045</v>
      </c>
      <c r="E136" s="187"/>
      <c r="F136" s="191">
        <f t="shared" si="18"/>
        <v>0.21</v>
      </c>
      <c r="G136" s="189" t="s">
        <v>65</v>
      </c>
      <c r="H136" s="187"/>
      <c r="I136" s="190" t="s">
        <v>35</v>
      </c>
      <c r="J136" s="190" t="s">
        <v>56</v>
      </c>
    </row>
    <row r="137" spans="1:10" x14ac:dyDescent="0.2">
      <c r="A137" s="195"/>
      <c r="B137" s="53"/>
      <c r="C137" s="186" t="s">
        <v>53</v>
      </c>
      <c r="D137" s="186">
        <v>2050</v>
      </c>
      <c r="E137" s="187"/>
      <c r="F137" s="191">
        <f t="shared" si="18"/>
        <v>0.3</v>
      </c>
      <c r="G137" s="189" t="s">
        <v>65</v>
      </c>
      <c r="H137" s="187"/>
      <c r="I137" s="190" t="s">
        <v>35</v>
      </c>
      <c r="J137" s="190" t="s">
        <v>56</v>
      </c>
    </row>
    <row r="138" spans="1:10" x14ac:dyDescent="0.2">
      <c r="A138" s="195"/>
      <c r="B138" s="53"/>
      <c r="C138" s="186" t="s">
        <v>53</v>
      </c>
      <c r="D138" s="186">
        <v>2060</v>
      </c>
      <c r="E138" s="187"/>
      <c r="F138" s="191">
        <f t="shared" si="18"/>
        <v>0.41</v>
      </c>
      <c r="G138" s="189" t="s">
        <v>65</v>
      </c>
      <c r="H138" s="187"/>
      <c r="I138" s="190" t="s">
        <v>35</v>
      </c>
      <c r="J138" s="190" t="s">
        <v>56</v>
      </c>
    </row>
    <row r="139" spans="1:10" x14ac:dyDescent="0.2">
      <c r="A139" s="196"/>
      <c r="B139" s="54"/>
      <c r="C139" s="61" t="s">
        <v>53</v>
      </c>
      <c r="D139" s="61">
        <v>0</v>
      </c>
      <c r="E139" s="179"/>
      <c r="F139" s="192">
        <v>5</v>
      </c>
      <c r="G139" s="185" t="s">
        <v>65</v>
      </c>
      <c r="H139" s="179"/>
      <c r="I139" s="64" t="s">
        <v>35</v>
      </c>
      <c r="J139" s="64" t="s">
        <v>56</v>
      </c>
    </row>
  </sheetData>
  <mergeCells count="12">
    <mergeCell ref="A102:A111"/>
    <mergeCell ref="A112:A121"/>
    <mergeCell ref="A122:A131"/>
    <mergeCell ref="A132:A139"/>
    <mergeCell ref="A82:A89"/>
    <mergeCell ref="A72:A81"/>
    <mergeCell ref="A37:A44"/>
    <mergeCell ref="A27:A36"/>
    <mergeCell ref="A7:A16"/>
    <mergeCell ref="A17:A26"/>
    <mergeCell ref="A62:A71"/>
    <mergeCell ref="A52:A61"/>
  </mergeCells>
  <pageMargins left="0.7" right="0.7" top="0.75" bottom="0.75" header="0.3" footer="0.3"/>
  <pageSetup paperSize="9" orientation="portrait" horizontalDpi="300"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2"/>
  <sheetViews>
    <sheetView zoomScale="80" zoomScaleNormal="80" workbookViewId="0">
      <selection activeCell="L11" sqref="L11"/>
    </sheetView>
  </sheetViews>
  <sheetFormatPr defaultRowHeight="12.75" x14ac:dyDescent="0.2"/>
  <cols>
    <col min="1" max="1" width="42.7109375" customWidth="1"/>
    <col min="3" max="15" width="12.85546875" customWidth="1"/>
  </cols>
  <sheetData>
    <row r="1" spans="1:16" x14ac:dyDescent="0.2">
      <c r="A1" s="107" t="s">
        <v>74</v>
      </c>
      <c r="B1" s="108"/>
      <c r="C1" s="108"/>
      <c r="D1" s="108"/>
      <c r="E1" s="108"/>
      <c r="F1" s="109">
        <v>1954.5454545454547</v>
      </c>
      <c r="G1" s="110"/>
      <c r="H1" s="110"/>
      <c r="I1" s="110"/>
      <c r="J1" s="110"/>
      <c r="K1" s="110"/>
      <c r="L1" s="110"/>
      <c r="M1" s="111"/>
      <c r="N1" s="112">
        <f>-O10/N10</f>
        <v>1835.2221666666671</v>
      </c>
      <c r="O1" s="113"/>
      <c r="P1" s="107"/>
    </row>
    <row r="2" spans="1:16" s="153" customFormat="1" ht="51" x14ac:dyDescent="0.2">
      <c r="A2" s="151" t="s">
        <v>75</v>
      </c>
      <c r="B2" s="152"/>
      <c r="C2" s="152" t="s">
        <v>92</v>
      </c>
      <c r="D2" s="114" t="s">
        <v>76</v>
      </c>
      <c r="E2" s="115" t="s">
        <v>77</v>
      </c>
      <c r="F2" s="115" t="s">
        <v>78</v>
      </c>
      <c r="G2" s="115" t="s">
        <v>79</v>
      </c>
      <c r="H2" s="115" t="s">
        <v>80</v>
      </c>
      <c r="I2" s="115" t="s">
        <v>81</v>
      </c>
      <c r="J2" s="115" t="s">
        <v>82</v>
      </c>
      <c r="K2" s="115" t="s">
        <v>83</v>
      </c>
      <c r="L2" s="116"/>
      <c r="M2" s="117" t="s">
        <v>84</v>
      </c>
      <c r="N2" s="115" t="s">
        <v>78</v>
      </c>
      <c r="O2" s="115" t="s">
        <v>85</v>
      </c>
      <c r="P2" s="116"/>
    </row>
    <row r="3" spans="1:16" x14ac:dyDescent="0.2">
      <c r="A3" s="107"/>
      <c r="B3" s="107">
        <v>2018</v>
      </c>
      <c r="C3" s="107"/>
      <c r="D3" s="118"/>
      <c r="E3" s="119"/>
      <c r="F3" s="96">
        <v>1.7399999999999999E-2</v>
      </c>
      <c r="G3" s="96"/>
      <c r="H3" s="120"/>
      <c r="I3" s="120"/>
      <c r="J3" s="120"/>
      <c r="K3" s="107"/>
      <c r="L3" s="120"/>
      <c r="M3" s="120"/>
      <c r="N3" s="120"/>
      <c r="O3" s="120"/>
      <c r="P3" s="107"/>
    </row>
    <row r="4" spans="1:16" x14ac:dyDescent="0.2">
      <c r="A4" s="107"/>
      <c r="B4" s="107">
        <v>2019</v>
      </c>
      <c r="C4" s="107"/>
      <c r="D4" s="118"/>
      <c r="E4" s="119"/>
      <c r="F4" s="96">
        <v>1.7399999999999999E-2</v>
      </c>
      <c r="G4" s="96"/>
      <c r="H4" s="120"/>
      <c r="I4" s="120"/>
      <c r="J4" s="120"/>
      <c r="K4" s="107"/>
      <c r="L4" s="120"/>
      <c r="M4" s="120"/>
      <c r="N4" s="120"/>
      <c r="O4" s="120"/>
      <c r="P4" s="107"/>
    </row>
    <row r="5" spans="1:16" x14ac:dyDescent="0.2">
      <c r="A5" s="121"/>
      <c r="B5" s="121">
        <v>2020</v>
      </c>
      <c r="C5" s="121"/>
      <c r="D5" s="122"/>
      <c r="E5" s="123">
        <f>1615</f>
        <v>1615</v>
      </c>
      <c r="F5" s="97">
        <v>1.7399999999999999E-2</v>
      </c>
      <c r="G5" s="98">
        <f>-$F$1*F5</f>
        <v>-34.009090909090908</v>
      </c>
      <c r="H5" s="124">
        <v>34</v>
      </c>
      <c r="I5" s="124"/>
      <c r="J5" s="124"/>
      <c r="K5" s="121"/>
      <c r="L5" s="124"/>
      <c r="M5" s="121"/>
      <c r="N5" s="121"/>
      <c r="O5" s="124"/>
      <c r="P5" s="121"/>
    </row>
    <row r="6" spans="1:16" x14ac:dyDescent="0.2">
      <c r="A6" s="107"/>
      <c r="B6" s="107">
        <v>2021</v>
      </c>
      <c r="C6" s="107"/>
      <c r="D6" s="118"/>
      <c r="E6" s="125">
        <f>1572</f>
        <v>1572</v>
      </c>
      <c r="F6" s="96">
        <v>2.1999999999999999E-2</v>
      </c>
      <c r="G6" s="100">
        <f t="shared" ref="G6:G45" si="0">-$F$1*F6</f>
        <v>-43</v>
      </c>
      <c r="H6" s="120">
        <v>43</v>
      </c>
      <c r="I6" s="120"/>
      <c r="J6" s="120"/>
      <c r="K6" s="107"/>
      <c r="L6" s="120"/>
      <c r="M6" s="107"/>
      <c r="N6" s="107"/>
      <c r="O6" s="120"/>
      <c r="P6" s="107"/>
    </row>
    <row r="7" spans="1:16" x14ac:dyDescent="0.2">
      <c r="A7" s="107"/>
      <c r="B7" s="107">
        <v>2022</v>
      </c>
      <c r="C7" s="107"/>
      <c r="D7" s="118"/>
      <c r="E7" s="125">
        <f>1529</f>
        <v>1529</v>
      </c>
      <c r="F7" s="96">
        <v>2.1999999999999999E-2</v>
      </c>
      <c r="G7" s="100">
        <f t="shared" si="0"/>
        <v>-43</v>
      </c>
      <c r="H7" s="120"/>
      <c r="I7" s="120"/>
      <c r="J7" s="120"/>
      <c r="K7" s="107"/>
      <c r="L7" s="120"/>
      <c r="M7" s="107"/>
      <c r="N7" s="107"/>
      <c r="O7" s="120"/>
      <c r="P7" s="107"/>
    </row>
    <row r="8" spans="1:16" x14ac:dyDescent="0.2">
      <c r="A8" s="107"/>
      <c r="B8" s="107">
        <v>2023</v>
      </c>
      <c r="C8" s="107"/>
      <c r="D8" s="118"/>
      <c r="E8" s="125">
        <f>1486</f>
        <v>1486</v>
      </c>
      <c r="F8" s="96">
        <v>2.1999999999999999E-2</v>
      </c>
      <c r="G8" s="100">
        <f t="shared" si="0"/>
        <v>-43</v>
      </c>
      <c r="H8" s="120"/>
      <c r="I8" s="120"/>
      <c r="J8" s="120"/>
      <c r="K8" s="107"/>
      <c r="L8" s="120"/>
      <c r="M8" s="107"/>
      <c r="N8" s="107"/>
      <c r="O8" s="120"/>
      <c r="P8" s="107"/>
    </row>
    <row r="9" spans="1:16" x14ac:dyDescent="0.2">
      <c r="A9" s="107"/>
      <c r="B9" s="107">
        <v>2024</v>
      </c>
      <c r="C9" s="107"/>
      <c r="D9" s="126">
        <f>I9+J9</f>
        <v>1386.9545454545455</v>
      </c>
      <c r="E9" s="127">
        <v>1443</v>
      </c>
      <c r="F9" s="96">
        <v>4.2999999999999997E-2</v>
      </c>
      <c r="G9" s="100">
        <f t="shared" si="0"/>
        <v>-84.045454545454547</v>
      </c>
      <c r="H9" s="128">
        <v>-90</v>
      </c>
      <c r="I9" s="125">
        <f>E8+G9+H9</f>
        <v>1311.9545454545455</v>
      </c>
      <c r="J9" s="120">
        <v>75</v>
      </c>
      <c r="K9" s="129">
        <f t="shared" ref="K9:K31" si="1">-$J$9*F9</f>
        <v>-3.2249999999999996</v>
      </c>
      <c r="L9" s="107"/>
      <c r="M9" s="107"/>
      <c r="N9" s="120"/>
      <c r="O9" s="120"/>
      <c r="P9" s="107"/>
    </row>
    <row r="10" spans="1:16" x14ac:dyDescent="0.2">
      <c r="A10" s="121"/>
      <c r="B10" s="121">
        <v>2025</v>
      </c>
      <c r="C10" s="121"/>
      <c r="D10" s="130">
        <f>I10+J10</f>
        <v>1299.6840909090911</v>
      </c>
      <c r="E10" s="131">
        <v>1400</v>
      </c>
      <c r="F10" s="97">
        <v>4.2999999999999997E-2</v>
      </c>
      <c r="G10" s="98">
        <f t="shared" si="0"/>
        <v>-84.045454545454547</v>
      </c>
      <c r="H10" s="124"/>
      <c r="I10" s="123">
        <f>I9+G10+H10</f>
        <v>1227.909090909091</v>
      </c>
      <c r="J10" s="124">
        <f>J9+K9</f>
        <v>71.775000000000006</v>
      </c>
      <c r="K10" s="132">
        <f t="shared" si="1"/>
        <v>-3.2249999999999996</v>
      </c>
      <c r="L10" s="124"/>
      <c r="M10" s="124">
        <f>1223481445/1000/1000</f>
        <v>1223.4814450000001</v>
      </c>
      <c r="N10" s="99">
        <v>5.0999999999999997E-2</v>
      </c>
      <c r="O10" s="124">
        <f>-(M10-M12)/2</f>
        <v>-93.596330500000022</v>
      </c>
      <c r="P10" s="121"/>
    </row>
    <row r="11" spans="1:16" x14ac:dyDescent="0.2">
      <c r="A11" s="107"/>
      <c r="B11" s="107">
        <v>2026</v>
      </c>
      <c r="C11" s="107"/>
      <c r="D11" s="126">
        <f t="shared" ref="D11:D19" si="2">I11+J11</f>
        <v>1185.4136363636364</v>
      </c>
      <c r="E11" s="127">
        <v>1357</v>
      </c>
      <c r="F11" s="96">
        <v>4.2999999999999997E-2</v>
      </c>
      <c r="G11" s="100">
        <f t="shared" si="0"/>
        <v>-84.045454545454547</v>
      </c>
      <c r="H11" s="120">
        <v>-27</v>
      </c>
      <c r="I11" s="125">
        <f t="shared" ref="I11:I31" si="3">I10+G11+H11</f>
        <v>1116.8636363636365</v>
      </c>
      <c r="J11" s="120">
        <f t="shared" ref="J11:J31" si="4">J10+K10</f>
        <v>68.550000000000011</v>
      </c>
      <c r="K11" s="129">
        <f t="shared" si="1"/>
        <v>-3.2249999999999996</v>
      </c>
      <c r="L11" s="120"/>
      <c r="M11" s="120">
        <f>M10+O11</f>
        <v>1129.8851145000001</v>
      </c>
      <c r="N11" s="101">
        <v>5.0999999999999997E-2</v>
      </c>
      <c r="O11" s="120">
        <f>O10</f>
        <v>-93.596330500000022</v>
      </c>
      <c r="P11" s="107"/>
    </row>
    <row r="12" spans="1:16" x14ac:dyDescent="0.2">
      <c r="A12" s="133"/>
      <c r="B12" s="133">
        <v>2027</v>
      </c>
      <c r="C12" s="133"/>
      <c r="D12" s="134">
        <f t="shared" si="2"/>
        <v>1098.143181818182</v>
      </c>
      <c r="E12" s="135">
        <v>1314</v>
      </c>
      <c r="F12" s="102">
        <v>4.2999999999999997E-2</v>
      </c>
      <c r="G12" s="103">
        <f t="shared" si="0"/>
        <v>-84.045454545454547</v>
      </c>
      <c r="H12" s="136"/>
      <c r="I12" s="137">
        <f t="shared" si="3"/>
        <v>1032.818181818182</v>
      </c>
      <c r="J12" s="136">
        <f t="shared" si="4"/>
        <v>65.325000000000017</v>
      </c>
      <c r="K12" s="138">
        <f t="shared" si="1"/>
        <v>-3.2249999999999996</v>
      </c>
      <c r="L12" s="136"/>
      <c r="M12" s="124">
        <f>1036288784/1000/1000</f>
        <v>1036.2887840000001</v>
      </c>
      <c r="N12" s="104">
        <f>N11</f>
        <v>5.0999999999999997E-2</v>
      </c>
      <c r="O12" s="136">
        <f>-N12*$N$1</f>
        <v>-93.596330500000022</v>
      </c>
      <c r="P12" s="133"/>
    </row>
    <row r="13" spans="1:16" x14ac:dyDescent="0.2">
      <c r="A13" s="107"/>
      <c r="B13" s="107">
        <v>2028</v>
      </c>
      <c r="C13" s="107"/>
      <c r="D13" s="126">
        <f t="shared" si="2"/>
        <v>1008.918181818182</v>
      </c>
      <c r="E13" s="127">
        <v>1271</v>
      </c>
      <c r="F13" s="96">
        <v>4.3999999999999997E-2</v>
      </c>
      <c r="G13" s="100">
        <f t="shared" si="0"/>
        <v>-86</v>
      </c>
      <c r="H13" s="120"/>
      <c r="I13" s="125">
        <f t="shared" si="3"/>
        <v>946.81818181818198</v>
      </c>
      <c r="J13" s="120">
        <f t="shared" si="4"/>
        <v>62.100000000000016</v>
      </c>
      <c r="K13" s="129">
        <f t="shared" si="1"/>
        <v>-3.3</v>
      </c>
      <c r="L13" s="120"/>
      <c r="M13" s="139">
        <f>M12+O13</f>
        <v>937.55383143333336</v>
      </c>
      <c r="N13" s="140">
        <v>5.3800000000000001E-2</v>
      </c>
      <c r="O13" s="139">
        <f t="shared" ref="O13:O30" si="5">-N13*$N$1</f>
        <v>-98.734952566666692</v>
      </c>
      <c r="P13" s="107"/>
    </row>
    <row r="14" spans="1:16" x14ac:dyDescent="0.2">
      <c r="A14" s="107"/>
      <c r="B14" s="107">
        <v>2029</v>
      </c>
      <c r="C14" s="107"/>
      <c r="D14" s="126">
        <f t="shared" si="2"/>
        <v>919.61818181818205</v>
      </c>
      <c r="E14" s="127">
        <v>1228</v>
      </c>
      <c r="F14" s="96">
        <v>4.3999999999999997E-2</v>
      </c>
      <c r="G14" s="100">
        <f t="shared" si="0"/>
        <v>-86</v>
      </c>
      <c r="H14" s="120"/>
      <c r="I14" s="125">
        <f t="shared" si="3"/>
        <v>860.81818181818198</v>
      </c>
      <c r="J14" s="120">
        <f t="shared" si="4"/>
        <v>58.800000000000018</v>
      </c>
      <c r="K14" s="129">
        <f t="shared" si="1"/>
        <v>-3.3</v>
      </c>
      <c r="L14" s="120"/>
      <c r="M14" s="139">
        <f t="shared" ref="M14:M30" si="6">M13+O14</f>
        <v>838.81887886666664</v>
      </c>
      <c r="N14" s="140">
        <f t="shared" ref="N14:N45" si="7">N13</f>
        <v>5.3800000000000001E-2</v>
      </c>
      <c r="O14" s="139">
        <f t="shared" si="5"/>
        <v>-98.734952566666692</v>
      </c>
      <c r="P14" s="107"/>
    </row>
    <row r="15" spans="1:16" x14ac:dyDescent="0.2">
      <c r="A15" s="121"/>
      <c r="B15" s="121">
        <v>2030</v>
      </c>
      <c r="C15" s="121"/>
      <c r="D15" s="130">
        <f t="shared" si="2"/>
        <v>830.31818181818198</v>
      </c>
      <c r="E15" s="131">
        <v>1184</v>
      </c>
      <c r="F15" s="97">
        <v>4.3999999999999997E-2</v>
      </c>
      <c r="G15" s="98">
        <f t="shared" si="0"/>
        <v>-86</v>
      </c>
      <c r="H15" s="124"/>
      <c r="I15" s="123">
        <f t="shared" si="3"/>
        <v>774.81818181818198</v>
      </c>
      <c r="J15" s="124">
        <f t="shared" si="4"/>
        <v>55.500000000000021</v>
      </c>
      <c r="K15" s="132">
        <f t="shared" si="1"/>
        <v>-3.3</v>
      </c>
      <c r="L15" s="124"/>
      <c r="M15" s="141">
        <f t="shared" si="6"/>
        <v>740.08392629999992</v>
      </c>
      <c r="N15" s="142">
        <f t="shared" si="7"/>
        <v>5.3800000000000001E-2</v>
      </c>
      <c r="O15" s="141">
        <f t="shared" si="5"/>
        <v>-98.734952566666692</v>
      </c>
      <c r="P15" s="121"/>
    </row>
    <row r="16" spans="1:16" x14ac:dyDescent="0.2">
      <c r="A16" s="107"/>
      <c r="B16" s="107">
        <v>2031</v>
      </c>
      <c r="C16" s="107"/>
      <c r="D16" s="143">
        <f t="shared" si="2"/>
        <v>741.01818181818203</v>
      </c>
      <c r="E16" s="144"/>
      <c r="F16" s="105">
        <f>F15</f>
        <v>4.3999999999999997E-2</v>
      </c>
      <c r="G16" s="139">
        <f t="shared" si="0"/>
        <v>-86</v>
      </c>
      <c r="H16" s="139"/>
      <c r="I16" s="139">
        <f t="shared" si="3"/>
        <v>688.81818181818198</v>
      </c>
      <c r="J16" s="139">
        <f t="shared" si="4"/>
        <v>52.200000000000024</v>
      </c>
      <c r="K16" s="139">
        <f t="shared" si="1"/>
        <v>-3.3</v>
      </c>
      <c r="L16" s="120"/>
      <c r="M16" s="139">
        <f t="shared" si="6"/>
        <v>641.3489737333332</v>
      </c>
      <c r="N16" s="140">
        <f t="shared" si="7"/>
        <v>5.3800000000000001E-2</v>
      </c>
      <c r="O16" s="139">
        <f t="shared" si="5"/>
        <v>-98.734952566666692</v>
      </c>
      <c r="P16" s="107"/>
    </row>
    <row r="17" spans="1:16" x14ac:dyDescent="0.2">
      <c r="A17" s="107"/>
      <c r="B17" s="107">
        <v>2032</v>
      </c>
      <c r="C17" s="107"/>
      <c r="D17" s="143">
        <f t="shared" si="2"/>
        <v>651.71818181818196</v>
      </c>
      <c r="E17" s="144"/>
      <c r="F17" s="105">
        <f t="shared" ref="F17:F45" si="8">F16</f>
        <v>4.3999999999999997E-2</v>
      </c>
      <c r="G17" s="139">
        <f t="shared" si="0"/>
        <v>-86</v>
      </c>
      <c r="H17" s="139"/>
      <c r="I17" s="139">
        <f t="shared" si="3"/>
        <v>602.81818181818198</v>
      </c>
      <c r="J17" s="139">
        <f t="shared" si="4"/>
        <v>48.900000000000027</v>
      </c>
      <c r="K17" s="139">
        <f t="shared" si="1"/>
        <v>-3.3</v>
      </c>
      <c r="L17" s="120"/>
      <c r="M17" s="139">
        <f t="shared" si="6"/>
        <v>542.61402116666648</v>
      </c>
      <c r="N17" s="140">
        <f t="shared" si="7"/>
        <v>5.3800000000000001E-2</v>
      </c>
      <c r="O17" s="139">
        <f t="shared" si="5"/>
        <v>-98.734952566666692</v>
      </c>
      <c r="P17" s="107"/>
    </row>
    <row r="18" spans="1:16" x14ac:dyDescent="0.2">
      <c r="A18" s="107"/>
      <c r="B18" s="107">
        <v>2033</v>
      </c>
      <c r="C18" s="107"/>
      <c r="D18" s="143">
        <f t="shared" si="2"/>
        <v>562.41818181818201</v>
      </c>
      <c r="E18" s="144"/>
      <c r="F18" s="105">
        <f t="shared" si="8"/>
        <v>4.3999999999999997E-2</v>
      </c>
      <c r="G18" s="139">
        <f t="shared" si="0"/>
        <v>-86</v>
      </c>
      <c r="H18" s="139"/>
      <c r="I18" s="139">
        <f t="shared" si="3"/>
        <v>516.81818181818198</v>
      </c>
      <c r="J18" s="139">
        <f t="shared" si="4"/>
        <v>45.60000000000003</v>
      </c>
      <c r="K18" s="139">
        <f t="shared" si="1"/>
        <v>-3.3</v>
      </c>
      <c r="L18" s="120"/>
      <c r="M18" s="139">
        <f t="shared" si="6"/>
        <v>443.87906859999975</v>
      </c>
      <c r="N18" s="140">
        <f t="shared" si="7"/>
        <v>5.3800000000000001E-2</v>
      </c>
      <c r="O18" s="139">
        <f t="shared" si="5"/>
        <v>-98.734952566666692</v>
      </c>
      <c r="P18" s="107"/>
    </row>
    <row r="19" spans="1:16" x14ac:dyDescent="0.2">
      <c r="A19" s="107"/>
      <c r="B19" s="107">
        <v>2034</v>
      </c>
      <c r="C19" s="107"/>
      <c r="D19" s="143">
        <f t="shared" si="2"/>
        <v>473.11818181818199</v>
      </c>
      <c r="E19" s="144"/>
      <c r="F19" s="105">
        <f t="shared" si="8"/>
        <v>4.3999999999999997E-2</v>
      </c>
      <c r="G19" s="139">
        <f t="shared" si="0"/>
        <v>-86</v>
      </c>
      <c r="H19" s="139"/>
      <c r="I19" s="139">
        <f t="shared" si="3"/>
        <v>430.81818181818198</v>
      </c>
      <c r="J19" s="139">
        <f t="shared" si="4"/>
        <v>42.300000000000033</v>
      </c>
      <c r="K19" s="139">
        <f t="shared" si="1"/>
        <v>-3.3</v>
      </c>
      <c r="L19" s="120"/>
      <c r="M19" s="139">
        <f t="shared" si="6"/>
        <v>345.14411603333303</v>
      </c>
      <c r="N19" s="140">
        <f t="shared" si="7"/>
        <v>5.3800000000000001E-2</v>
      </c>
      <c r="O19" s="139">
        <f t="shared" si="5"/>
        <v>-98.734952566666692</v>
      </c>
      <c r="P19" s="107"/>
    </row>
    <row r="20" spans="1:16" x14ac:dyDescent="0.2">
      <c r="A20" s="107" t="s">
        <v>86</v>
      </c>
      <c r="B20" s="108">
        <v>2035</v>
      </c>
      <c r="C20" s="145">
        <f>D20+M20</f>
        <v>736.40916346666631</v>
      </c>
      <c r="D20" s="146">
        <v>490</v>
      </c>
      <c r="E20" s="147"/>
      <c r="F20" s="106">
        <f t="shared" si="8"/>
        <v>4.3999999999999997E-2</v>
      </c>
      <c r="G20" s="148">
        <f t="shared" si="0"/>
        <v>-86</v>
      </c>
      <c r="H20" s="148"/>
      <c r="I20" s="148">
        <f t="shared" si="3"/>
        <v>344.81818181818198</v>
      </c>
      <c r="J20" s="148">
        <f t="shared" si="4"/>
        <v>39.000000000000036</v>
      </c>
      <c r="K20" s="148">
        <f t="shared" si="1"/>
        <v>-3.3</v>
      </c>
      <c r="L20" s="149"/>
      <c r="M20" s="148">
        <f t="shared" si="6"/>
        <v>246.40916346666634</v>
      </c>
      <c r="N20" s="150">
        <f t="shared" si="7"/>
        <v>5.3800000000000001E-2</v>
      </c>
      <c r="O20" s="148">
        <f t="shared" si="5"/>
        <v>-98.734952566666692</v>
      </c>
      <c r="P20" s="107"/>
    </row>
    <row r="21" spans="1:16" x14ac:dyDescent="0.2">
      <c r="A21" s="107"/>
      <c r="B21" s="107">
        <v>2036</v>
      </c>
      <c r="C21" s="145">
        <f t="shared" ref="C21:C31" si="9">D21+M21</f>
        <v>147.67421089999965</v>
      </c>
      <c r="D21" s="143"/>
      <c r="E21" s="144"/>
      <c r="F21" s="105">
        <f t="shared" si="8"/>
        <v>4.3999999999999997E-2</v>
      </c>
      <c r="G21" s="139">
        <f t="shared" si="0"/>
        <v>-86</v>
      </c>
      <c r="H21" s="139"/>
      <c r="I21" s="148">
        <f t="shared" si="3"/>
        <v>258.81818181818198</v>
      </c>
      <c r="J21" s="139">
        <f t="shared" si="4"/>
        <v>35.700000000000038</v>
      </c>
      <c r="K21" s="139">
        <f t="shared" si="1"/>
        <v>-3.3</v>
      </c>
      <c r="L21" s="120"/>
      <c r="M21" s="139">
        <f t="shared" si="6"/>
        <v>147.67421089999965</v>
      </c>
      <c r="N21" s="140">
        <f t="shared" si="7"/>
        <v>5.3800000000000001E-2</v>
      </c>
      <c r="O21" s="139">
        <f t="shared" si="5"/>
        <v>-98.734952566666692</v>
      </c>
      <c r="P21" s="107"/>
    </row>
    <row r="22" spans="1:16" x14ac:dyDescent="0.2">
      <c r="A22" s="107"/>
      <c r="B22" s="107">
        <v>2037</v>
      </c>
      <c r="C22" s="145">
        <f t="shared" si="9"/>
        <v>48.939258333332958</v>
      </c>
      <c r="D22" s="143"/>
      <c r="E22" s="144"/>
      <c r="F22" s="105">
        <f t="shared" si="8"/>
        <v>4.3999999999999997E-2</v>
      </c>
      <c r="G22" s="139">
        <f t="shared" si="0"/>
        <v>-86</v>
      </c>
      <c r="H22" s="139"/>
      <c r="I22" s="148">
        <f t="shared" si="3"/>
        <v>172.81818181818198</v>
      </c>
      <c r="J22" s="139">
        <f t="shared" si="4"/>
        <v>32.400000000000041</v>
      </c>
      <c r="K22" s="139">
        <f t="shared" si="1"/>
        <v>-3.3</v>
      </c>
      <c r="L22" s="120"/>
      <c r="M22" s="139">
        <f t="shared" si="6"/>
        <v>48.939258333332958</v>
      </c>
      <c r="N22" s="140">
        <f t="shared" si="7"/>
        <v>5.3800000000000001E-2</v>
      </c>
      <c r="O22" s="139">
        <f t="shared" si="5"/>
        <v>-98.734952566666692</v>
      </c>
      <c r="P22" s="107"/>
    </row>
    <row r="23" spans="1:16" x14ac:dyDescent="0.2">
      <c r="A23" s="107" t="s">
        <v>88</v>
      </c>
      <c r="B23" s="107">
        <v>2038</v>
      </c>
      <c r="C23" s="145">
        <f t="shared" si="9"/>
        <v>-49.795694233333734</v>
      </c>
      <c r="D23" s="143"/>
      <c r="E23" s="144"/>
      <c r="F23" s="105">
        <f t="shared" si="8"/>
        <v>4.3999999999999997E-2</v>
      </c>
      <c r="G23" s="139">
        <f t="shared" si="0"/>
        <v>-86</v>
      </c>
      <c r="H23" s="139"/>
      <c r="I23" s="148">
        <f t="shared" si="3"/>
        <v>86.818181818181984</v>
      </c>
      <c r="J23" s="139">
        <f t="shared" si="4"/>
        <v>29.100000000000041</v>
      </c>
      <c r="K23" s="139">
        <f t="shared" si="1"/>
        <v>-3.3</v>
      </c>
      <c r="L23" s="120"/>
      <c r="M23" s="139">
        <f t="shared" si="6"/>
        <v>-49.795694233333734</v>
      </c>
      <c r="N23" s="140">
        <f t="shared" si="7"/>
        <v>5.3800000000000001E-2</v>
      </c>
      <c r="O23" s="139">
        <f t="shared" si="5"/>
        <v>-98.734952566666692</v>
      </c>
      <c r="P23" s="107"/>
    </row>
    <row r="24" spans="1:16" x14ac:dyDescent="0.2">
      <c r="A24" s="107" t="s">
        <v>89</v>
      </c>
      <c r="B24" s="107">
        <v>2039</v>
      </c>
      <c r="C24" s="145">
        <f t="shared" si="9"/>
        <v>-148.53064680000043</v>
      </c>
      <c r="D24" s="143"/>
      <c r="E24" s="144"/>
      <c r="F24" s="105">
        <f t="shared" si="8"/>
        <v>4.3999999999999997E-2</v>
      </c>
      <c r="G24" s="139">
        <f t="shared" si="0"/>
        <v>-86</v>
      </c>
      <c r="H24" s="139"/>
      <c r="I24" s="148">
        <f t="shared" si="3"/>
        <v>0.81818181818198354</v>
      </c>
      <c r="J24" s="139">
        <f t="shared" si="4"/>
        <v>25.80000000000004</v>
      </c>
      <c r="K24" s="139">
        <f t="shared" si="1"/>
        <v>-3.3</v>
      </c>
      <c r="L24" s="120"/>
      <c r="M24" s="139">
        <f t="shared" si="6"/>
        <v>-148.53064680000043</v>
      </c>
      <c r="N24" s="140">
        <f t="shared" si="7"/>
        <v>5.3800000000000001E-2</v>
      </c>
      <c r="O24" s="139">
        <f t="shared" si="5"/>
        <v>-98.734952566666692</v>
      </c>
      <c r="P24" s="107"/>
    </row>
    <row r="25" spans="1:16" x14ac:dyDescent="0.2">
      <c r="A25" s="107" t="s">
        <v>87</v>
      </c>
      <c r="B25" s="108">
        <v>2040</v>
      </c>
      <c r="C25" s="145">
        <f t="shared" si="9"/>
        <v>-97.265599366667118</v>
      </c>
      <c r="D25" s="146">
        <v>150</v>
      </c>
      <c r="E25" s="147"/>
      <c r="F25" s="106">
        <f t="shared" si="8"/>
        <v>4.3999999999999997E-2</v>
      </c>
      <c r="G25" s="148">
        <f t="shared" si="0"/>
        <v>-86</v>
      </c>
      <c r="H25" s="148"/>
      <c r="I25" s="148">
        <f t="shared" si="3"/>
        <v>-85.181818181818016</v>
      </c>
      <c r="J25" s="148">
        <f t="shared" si="4"/>
        <v>22.500000000000039</v>
      </c>
      <c r="K25" s="148">
        <f t="shared" si="1"/>
        <v>-3.3</v>
      </c>
      <c r="L25" s="149"/>
      <c r="M25" s="148">
        <f t="shared" si="6"/>
        <v>-247.26559936666712</v>
      </c>
      <c r="N25" s="150">
        <f t="shared" si="7"/>
        <v>5.3800000000000001E-2</v>
      </c>
      <c r="O25" s="148">
        <f t="shared" si="5"/>
        <v>-98.734952566666692</v>
      </c>
      <c r="P25" s="107"/>
    </row>
    <row r="26" spans="1:16" x14ac:dyDescent="0.2">
      <c r="A26" s="107" t="s">
        <v>90</v>
      </c>
      <c r="B26" s="107">
        <v>2041</v>
      </c>
      <c r="C26" s="145">
        <f t="shared" si="9"/>
        <v>-346.00055193333378</v>
      </c>
      <c r="D26" s="143"/>
      <c r="E26" s="144"/>
      <c r="F26" s="105">
        <f t="shared" si="8"/>
        <v>4.3999999999999997E-2</v>
      </c>
      <c r="G26" s="139">
        <f t="shared" si="0"/>
        <v>-86</v>
      </c>
      <c r="H26" s="139"/>
      <c r="I26" s="148">
        <f t="shared" si="3"/>
        <v>-171.18181818181802</v>
      </c>
      <c r="J26" s="139">
        <f t="shared" si="4"/>
        <v>19.200000000000038</v>
      </c>
      <c r="K26" s="139">
        <f t="shared" si="1"/>
        <v>-3.3</v>
      </c>
      <c r="L26" s="120"/>
      <c r="M26" s="139">
        <f t="shared" si="6"/>
        <v>-346.00055193333378</v>
      </c>
      <c r="N26" s="140">
        <f t="shared" si="7"/>
        <v>5.3800000000000001E-2</v>
      </c>
      <c r="O26" s="139">
        <f t="shared" si="5"/>
        <v>-98.734952566666692</v>
      </c>
      <c r="P26" s="107"/>
    </row>
    <row r="27" spans="1:16" x14ac:dyDescent="0.2">
      <c r="A27" s="107" t="s">
        <v>91</v>
      </c>
      <c r="B27" s="107">
        <v>2042</v>
      </c>
      <c r="C27" s="145">
        <f t="shared" si="9"/>
        <v>-444.7355045000005</v>
      </c>
      <c r="D27" s="143"/>
      <c r="E27" s="144"/>
      <c r="F27" s="105">
        <f t="shared" si="8"/>
        <v>4.3999999999999997E-2</v>
      </c>
      <c r="G27" s="139">
        <f t="shared" si="0"/>
        <v>-86</v>
      </c>
      <c r="H27" s="139"/>
      <c r="I27" s="148">
        <f t="shared" si="3"/>
        <v>-257.18181818181802</v>
      </c>
      <c r="J27" s="139">
        <f t="shared" si="4"/>
        <v>15.900000000000038</v>
      </c>
      <c r="K27" s="139">
        <f t="shared" si="1"/>
        <v>-3.3</v>
      </c>
      <c r="L27" s="120"/>
      <c r="M27" s="139">
        <f t="shared" si="6"/>
        <v>-444.7355045000005</v>
      </c>
      <c r="N27" s="140">
        <f t="shared" si="7"/>
        <v>5.3800000000000001E-2</v>
      </c>
      <c r="O27" s="139">
        <f t="shared" si="5"/>
        <v>-98.734952566666692</v>
      </c>
      <c r="P27" s="107"/>
    </row>
    <row r="28" spans="1:16" x14ac:dyDescent="0.2">
      <c r="A28" s="107"/>
      <c r="B28" s="107">
        <v>2043</v>
      </c>
      <c r="C28" s="145">
        <f t="shared" si="9"/>
        <v>-543.47045706666722</v>
      </c>
      <c r="D28" s="143"/>
      <c r="E28" s="144"/>
      <c r="F28" s="105">
        <f t="shared" si="8"/>
        <v>4.3999999999999997E-2</v>
      </c>
      <c r="G28" s="139">
        <f t="shared" si="0"/>
        <v>-86</v>
      </c>
      <c r="H28" s="139"/>
      <c r="I28" s="148">
        <f t="shared" si="3"/>
        <v>-343.18181818181802</v>
      </c>
      <c r="J28" s="139">
        <f t="shared" si="4"/>
        <v>12.600000000000037</v>
      </c>
      <c r="K28" s="139">
        <f t="shared" si="1"/>
        <v>-3.3</v>
      </c>
      <c r="L28" s="120"/>
      <c r="M28" s="139">
        <f t="shared" si="6"/>
        <v>-543.47045706666722</v>
      </c>
      <c r="N28" s="140">
        <f t="shared" si="7"/>
        <v>5.3800000000000001E-2</v>
      </c>
      <c r="O28" s="139">
        <f t="shared" si="5"/>
        <v>-98.734952566666692</v>
      </c>
      <c r="P28" s="107"/>
    </row>
    <row r="29" spans="1:16" x14ac:dyDescent="0.2">
      <c r="A29" s="107"/>
      <c r="B29" s="107">
        <v>2044</v>
      </c>
      <c r="C29" s="145">
        <f t="shared" si="9"/>
        <v>-642.20540963333394</v>
      </c>
      <c r="D29" s="143"/>
      <c r="E29" s="144"/>
      <c r="F29" s="105">
        <f t="shared" si="8"/>
        <v>4.3999999999999997E-2</v>
      </c>
      <c r="G29" s="139">
        <f t="shared" si="0"/>
        <v>-86</v>
      </c>
      <c r="H29" s="139"/>
      <c r="I29" s="148">
        <f t="shared" si="3"/>
        <v>-429.18181818181802</v>
      </c>
      <c r="J29" s="139">
        <f t="shared" si="4"/>
        <v>9.3000000000000362</v>
      </c>
      <c r="K29" s="139">
        <f t="shared" si="1"/>
        <v>-3.3</v>
      </c>
      <c r="L29" s="120"/>
      <c r="M29" s="139">
        <f t="shared" si="6"/>
        <v>-642.20540963333394</v>
      </c>
      <c r="N29" s="140">
        <f t="shared" si="7"/>
        <v>5.3800000000000001E-2</v>
      </c>
      <c r="O29" s="139">
        <f t="shared" si="5"/>
        <v>-98.734952566666692</v>
      </c>
      <c r="P29" s="107"/>
    </row>
    <row r="30" spans="1:16" x14ac:dyDescent="0.2">
      <c r="A30" s="107"/>
      <c r="B30" s="108">
        <v>2045</v>
      </c>
      <c r="C30" s="145">
        <f t="shared" si="9"/>
        <v>-630.94036220000066</v>
      </c>
      <c r="D30" s="146">
        <v>110</v>
      </c>
      <c r="E30" s="147"/>
      <c r="F30" s="106">
        <f t="shared" si="8"/>
        <v>4.3999999999999997E-2</v>
      </c>
      <c r="G30" s="148">
        <f t="shared" si="0"/>
        <v>-86</v>
      </c>
      <c r="H30" s="148"/>
      <c r="I30" s="148">
        <f t="shared" si="3"/>
        <v>-515.18181818181802</v>
      </c>
      <c r="J30" s="148">
        <f t="shared" si="4"/>
        <v>6.0000000000000364</v>
      </c>
      <c r="K30" s="148">
        <f t="shared" si="1"/>
        <v>-3.3</v>
      </c>
      <c r="L30" s="149"/>
      <c r="M30" s="148">
        <f t="shared" si="6"/>
        <v>-740.94036220000066</v>
      </c>
      <c r="N30" s="150">
        <f t="shared" si="7"/>
        <v>5.3800000000000001E-2</v>
      </c>
      <c r="O30" s="148">
        <f t="shared" si="5"/>
        <v>-98.734952566666692</v>
      </c>
      <c r="P30" s="107"/>
    </row>
    <row r="31" spans="1:16" x14ac:dyDescent="0.2">
      <c r="A31" s="107"/>
      <c r="B31" s="107">
        <v>2046</v>
      </c>
      <c r="C31" s="145">
        <f t="shared" si="9"/>
        <v>0</v>
      </c>
      <c r="D31" s="143"/>
      <c r="E31" s="144"/>
      <c r="F31" s="105">
        <f t="shared" si="8"/>
        <v>4.3999999999999997E-2</v>
      </c>
      <c r="G31" s="139">
        <f t="shared" si="0"/>
        <v>-86</v>
      </c>
      <c r="H31" s="139"/>
      <c r="I31" s="148">
        <f t="shared" si="3"/>
        <v>-601.18181818181802</v>
      </c>
      <c r="J31" s="139">
        <f t="shared" si="4"/>
        <v>2.7000000000000366</v>
      </c>
      <c r="K31" s="139">
        <f t="shared" si="1"/>
        <v>-3.3</v>
      </c>
      <c r="L31" s="120"/>
      <c r="M31" s="139"/>
      <c r="N31" s="140">
        <f t="shared" si="7"/>
        <v>5.3800000000000001E-2</v>
      </c>
      <c r="O31" s="139"/>
      <c r="P31" s="107"/>
    </row>
    <row r="32" spans="1:16" x14ac:dyDescent="0.2">
      <c r="A32" s="107"/>
      <c r="B32" s="107">
        <v>2047</v>
      </c>
      <c r="C32" s="107"/>
      <c r="D32" s="144"/>
      <c r="E32" s="144"/>
      <c r="F32" s="105">
        <f t="shared" si="8"/>
        <v>4.3999999999999997E-2</v>
      </c>
      <c r="G32" s="139">
        <f t="shared" si="0"/>
        <v>-86</v>
      </c>
      <c r="H32" s="139"/>
      <c r="I32" s="139"/>
      <c r="J32" s="139"/>
      <c r="K32" s="139"/>
      <c r="L32" s="120"/>
      <c r="M32" s="139"/>
      <c r="N32" s="140">
        <f t="shared" si="7"/>
        <v>5.3800000000000001E-2</v>
      </c>
      <c r="O32" s="139"/>
      <c r="P32" s="107"/>
    </row>
    <row r="33" spans="1:16" x14ac:dyDescent="0.2">
      <c r="A33" s="107"/>
      <c r="B33" s="107">
        <v>2048</v>
      </c>
      <c r="C33" s="107"/>
      <c r="D33" s="144"/>
      <c r="E33" s="144"/>
      <c r="F33" s="105">
        <f t="shared" si="8"/>
        <v>4.3999999999999997E-2</v>
      </c>
      <c r="G33" s="139">
        <f t="shared" si="0"/>
        <v>-86</v>
      </c>
      <c r="H33" s="139"/>
      <c r="I33" s="139"/>
      <c r="J33" s="139"/>
      <c r="K33" s="139"/>
      <c r="L33" s="120"/>
      <c r="M33" s="139"/>
      <c r="N33" s="140">
        <f t="shared" si="7"/>
        <v>5.3800000000000001E-2</v>
      </c>
      <c r="O33" s="139"/>
      <c r="P33" s="107"/>
    </row>
    <row r="34" spans="1:16" x14ac:dyDescent="0.2">
      <c r="A34" s="107"/>
      <c r="B34" s="107">
        <v>2049</v>
      </c>
      <c r="C34" s="107"/>
      <c r="D34" s="144"/>
      <c r="E34" s="144"/>
      <c r="F34" s="105">
        <f t="shared" si="8"/>
        <v>4.3999999999999997E-2</v>
      </c>
      <c r="G34" s="139">
        <f t="shared" si="0"/>
        <v>-86</v>
      </c>
      <c r="H34" s="139"/>
      <c r="I34" s="139"/>
      <c r="J34" s="139"/>
      <c r="K34" s="139"/>
      <c r="L34" s="120"/>
      <c r="M34" s="139"/>
      <c r="N34" s="140">
        <f t="shared" si="7"/>
        <v>5.3800000000000001E-2</v>
      </c>
      <c r="O34" s="139"/>
      <c r="P34" s="107"/>
    </row>
    <row r="35" spans="1:16" x14ac:dyDescent="0.2">
      <c r="A35" s="107"/>
      <c r="B35" s="108">
        <v>2050</v>
      </c>
      <c r="C35" s="108"/>
      <c r="D35" s="147">
        <v>72</v>
      </c>
      <c r="E35" s="147"/>
      <c r="F35" s="106">
        <f t="shared" si="8"/>
        <v>4.3999999999999997E-2</v>
      </c>
      <c r="G35" s="148">
        <f t="shared" si="0"/>
        <v>-86</v>
      </c>
      <c r="H35" s="148"/>
      <c r="I35" s="148"/>
      <c r="J35" s="148"/>
      <c r="K35" s="148"/>
      <c r="L35" s="149"/>
      <c r="M35" s="148"/>
      <c r="N35" s="150">
        <f t="shared" si="7"/>
        <v>5.3800000000000001E-2</v>
      </c>
      <c r="O35" s="148"/>
      <c r="P35" s="107"/>
    </row>
    <row r="36" spans="1:16" x14ac:dyDescent="0.2">
      <c r="A36" s="107"/>
      <c r="B36" s="107">
        <v>2051</v>
      </c>
      <c r="C36" s="107"/>
      <c r="D36" s="144"/>
      <c r="E36" s="144"/>
      <c r="F36" s="105">
        <f t="shared" si="8"/>
        <v>4.3999999999999997E-2</v>
      </c>
      <c r="G36" s="139">
        <f t="shared" si="0"/>
        <v>-86</v>
      </c>
      <c r="H36" s="139"/>
      <c r="I36" s="139"/>
      <c r="J36" s="139"/>
      <c r="K36" s="139"/>
      <c r="L36" s="120"/>
      <c r="M36" s="139"/>
      <c r="N36" s="140">
        <f t="shared" si="7"/>
        <v>5.3800000000000001E-2</v>
      </c>
      <c r="O36" s="139"/>
      <c r="P36" s="107"/>
    </row>
    <row r="37" spans="1:16" x14ac:dyDescent="0.2">
      <c r="A37" s="107"/>
      <c r="B37" s="107">
        <v>2052</v>
      </c>
      <c r="C37" s="107"/>
      <c r="D37" s="144"/>
      <c r="E37" s="144"/>
      <c r="F37" s="105">
        <f t="shared" si="8"/>
        <v>4.3999999999999997E-2</v>
      </c>
      <c r="G37" s="139">
        <f t="shared" si="0"/>
        <v>-86</v>
      </c>
      <c r="H37" s="139"/>
      <c r="I37" s="139"/>
      <c r="J37" s="139"/>
      <c r="K37" s="139"/>
      <c r="L37" s="120"/>
      <c r="M37" s="139"/>
      <c r="N37" s="140">
        <f t="shared" si="7"/>
        <v>5.3800000000000001E-2</v>
      </c>
      <c r="O37" s="139"/>
      <c r="P37" s="107"/>
    </row>
    <row r="38" spans="1:16" x14ac:dyDescent="0.2">
      <c r="A38" s="107"/>
      <c r="B38" s="107">
        <v>2053</v>
      </c>
      <c r="C38" s="107"/>
      <c r="D38" s="144"/>
      <c r="E38" s="144"/>
      <c r="F38" s="105">
        <f t="shared" si="8"/>
        <v>4.3999999999999997E-2</v>
      </c>
      <c r="G38" s="139">
        <f t="shared" si="0"/>
        <v>-86</v>
      </c>
      <c r="H38" s="139"/>
      <c r="I38" s="139"/>
      <c r="J38" s="139"/>
      <c r="K38" s="139"/>
      <c r="L38" s="120"/>
      <c r="M38" s="139"/>
      <c r="N38" s="140">
        <f t="shared" si="7"/>
        <v>5.3800000000000001E-2</v>
      </c>
      <c r="O38" s="139"/>
      <c r="P38" s="107"/>
    </row>
    <row r="39" spans="1:16" x14ac:dyDescent="0.2">
      <c r="A39" s="107"/>
      <c r="B39" s="107">
        <v>2054</v>
      </c>
      <c r="C39" s="107"/>
      <c r="D39" s="144"/>
      <c r="E39" s="144"/>
      <c r="F39" s="105">
        <f t="shared" si="8"/>
        <v>4.3999999999999997E-2</v>
      </c>
      <c r="G39" s="139">
        <f t="shared" si="0"/>
        <v>-86</v>
      </c>
      <c r="H39" s="139"/>
      <c r="I39" s="139"/>
      <c r="J39" s="139"/>
      <c r="K39" s="139"/>
      <c r="L39" s="120"/>
      <c r="M39" s="139"/>
      <c r="N39" s="140">
        <f t="shared" si="7"/>
        <v>5.3800000000000001E-2</v>
      </c>
      <c r="O39" s="139"/>
      <c r="P39" s="107"/>
    </row>
    <row r="40" spans="1:16" x14ac:dyDescent="0.2">
      <c r="A40" s="107"/>
      <c r="B40" s="108">
        <v>2055</v>
      </c>
      <c r="C40" s="108"/>
      <c r="D40" s="147"/>
      <c r="E40" s="147"/>
      <c r="F40" s="106">
        <f t="shared" si="8"/>
        <v>4.3999999999999997E-2</v>
      </c>
      <c r="G40" s="148">
        <f t="shared" si="0"/>
        <v>-86</v>
      </c>
      <c r="H40" s="148"/>
      <c r="I40" s="148"/>
      <c r="J40" s="148"/>
      <c r="K40" s="148"/>
      <c r="L40" s="149"/>
      <c r="M40" s="148"/>
      <c r="N40" s="150">
        <f t="shared" si="7"/>
        <v>5.3800000000000001E-2</v>
      </c>
      <c r="O40" s="148"/>
      <c r="P40" s="107"/>
    </row>
    <row r="41" spans="1:16" x14ac:dyDescent="0.2">
      <c r="A41" s="107"/>
      <c r="B41" s="107">
        <v>2056</v>
      </c>
      <c r="C41" s="107"/>
      <c r="D41" s="144"/>
      <c r="E41" s="144"/>
      <c r="F41" s="105">
        <f t="shared" si="8"/>
        <v>4.3999999999999997E-2</v>
      </c>
      <c r="G41" s="139">
        <f t="shared" si="0"/>
        <v>-86</v>
      </c>
      <c r="H41" s="139"/>
      <c r="I41" s="139"/>
      <c r="J41" s="139"/>
      <c r="K41" s="139"/>
      <c r="L41" s="120"/>
      <c r="M41" s="139"/>
      <c r="N41" s="140">
        <f t="shared" si="7"/>
        <v>5.3800000000000001E-2</v>
      </c>
      <c r="O41" s="139"/>
      <c r="P41" s="107"/>
    </row>
    <row r="42" spans="1:16" x14ac:dyDescent="0.2">
      <c r="A42" s="107"/>
      <c r="B42" s="107">
        <v>2057</v>
      </c>
      <c r="C42" s="107"/>
      <c r="D42" s="144"/>
      <c r="E42" s="144"/>
      <c r="F42" s="105">
        <f t="shared" si="8"/>
        <v>4.3999999999999997E-2</v>
      </c>
      <c r="G42" s="139">
        <f t="shared" si="0"/>
        <v>-86</v>
      </c>
      <c r="H42" s="139"/>
      <c r="I42" s="139"/>
      <c r="J42" s="139"/>
      <c r="K42" s="139"/>
      <c r="L42" s="120"/>
      <c r="M42" s="139"/>
      <c r="N42" s="140">
        <f t="shared" si="7"/>
        <v>5.3800000000000001E-2</v>
      </c>
      <c r="O42" s="139"/>
      <c r="P42" s="107"/>
    </row>
    <row r="43" spans="1:16" x14ac:dyDescent="0.2">
      <c r="A43" s="107"/>
      <c r="B43" s="107">
        <v>2058</v>
      </c>
      <c r="C43" s="107"/>
      <c r="D43" s="144"/>
      <c r="E43" s="144"/>
      <c r="F43" s="105">
        <f t="shared" si="8"/>
        <v>4.3999999999999997E-2</v>
      </c>
      <c r="G43" s="139">
        <f t="shared" si="0"/>
        <v>-86</v>
      </c>
      <c r="H43" s="139"/>
      <c r="I43" s="139"/>
      <c r="J43" s="139"/>
      <c r="K43" s="139"/>
      <c r="L43" s="120"/>
      <c r="M43" s="139"/>
      <c r="N43" s="140">
        <f t="shared" si="7"/>
        <v>5.3800000000000001E-2</v>
      </c>
      <c r="O43" s="139"/>
      <c r="P43" s="107"/>
    </row>
    <row r="44" spans="1:16" x14ac:dyDescent="0.2">
      <c r="A44" s="107"/>
      <c r="B44" s="107">
        <v>2059</v>
      </c>
      <c r="C44" s="107"/>
      <c r="D44" s="144"/>
      <c r="E44" s="144"/>
      <c r="F44" s="105">
        <f t="shared" si="8"/>
        <v>4.3999999999999997E-2</v>
      </c>
      <c r="G44" s="139">
        <f t="shared" si="0"/>
        <v>-86</v>
      </c>
      <c r="H44" s="139"/>
      <c r="I44" s="139"/>
      <c r="J44" s="139"/>
      <c r="K44" s="139"/>
      <c r="L44" s="120"/>
      <c r="M44" s="139"/>
      <c r="N44" s="140">
        <f t="shared" si="7"/>
        <v>5.3800000000000001E-2</v>
      </c>
      <c r="O44" s="139"/>
      <c r="P44" s="107"/>
    </row>
    <row r="45" spans="1:16" x14ac:dyDescent="0.2">
      <c r="A45" s="107"/>
      <c r="B45" s="108">
        <v>2060</v>
      </c>
      <c r="C45" s="108"/>
      <c r="D45" s="147"/>
      <c r="E45" s="147"/>
      <c r="F45" s="106">
        <f t="shared" si="8"/>
        <v>4.3999999999999997E-2</v>
      </c>
      <c r="G45" s="148">
        <f t="shared" si="0"/>
        <v>-86</v>
      </c>
      <c r="H45" s="148"/>
      <c r="I45" s="148"/>
      <c r="J45" s="148"/>
      <c r="K45" s="148"/>
      <c r="L45" s="149"/>
      <c r="M45" s="148"/>
      <c r="N45" s="150">
        <f t="shared" si="7"/>
        <v>5.3800000000000001E-2</v>
      </c>
      <c r="O45" s="148"/>
      <c r="P45" s="107"/>
    </row>
    <row r="47" spans="1:16" x14ac:dyDescent="0.2">
      <c r="M47" t="s">
        <v>98</v>
      </c>
    </row>
    <row r="72" spans="1:1" x14ac:dyDescent="0.2">
      <c r="A72" s="193" t="s">
        <v>102</v>
      </c>
    </row>
  </sheetData>
  <hyperlinks>
    <hyperlink ref="A72" r:id="rId1" xr:uid="{3F00862D-ADF1-4F5B-BCB0-745E042B030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ETS1CO2bound</vt:lpstr>
      <vt:lpstr>ETS1CO2price</vt:lpstr>
      <vt:lpstr>Cap trajectories</vt:lpstr>
    </vt:vector>
  </TitlesOfParts>
  <Company>K.U.Leuven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FEB</dc:creator>
  <cp:lastModifiedBy>Johanna Markkanen</cp:lastModifiedBy>
  <dcterms:created xsi:type="dcterms:W3CDTF">2008-06-05T16:51:18Z</dcterms:created>
  <dcterms:modified xsi:type="dcterms:W3CDTF">2025-12-05T10:57:38Z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lpwstr>841587841510773</vt:lpwstr>
  </property>
</Properties>
</file>