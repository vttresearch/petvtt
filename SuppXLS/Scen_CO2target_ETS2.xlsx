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\Veda_models\JRCEU\SuppXLS\"/>
    </mc:Choice>
  </mc:AlternateContent>
  <xr:revisionPtr revIDLastSave="0" documentId="13_ncr:1_{0F33DDA1-26D2-488F-9D16-4A08950F5D79}" xr6:coauthVersionLast="47" xr6:coauthVersionMax="47" xr10:uidLastSave="{00000000-0000-0000-0000-000000000000}"/>
  <bookViews>
    <workbookView xWindow="-108" yWindow="-108" windowWidth="30936" windowHeight="16776" activeTab="1" xr2:uid="{00000000-000D-0000-FFFF-FFFF00000000}"/>
  </bookViews>
  <sheets>
    <sheet name="ETS2CO2bound" sheetId="5" r:id="rId1"/>
    <sheet name="ETS2CO2price" sheetId="4" r:id="rId2"/>
    <sheet name="Cap trajectories" sheetId="6" r:id="rId3"/>
    <sheet name="esr2023" sheetId="8" r:id="rId4"/>
  </sheets>
  <definedNames>
    <definedName name="_xlnm._FilterDatabase" localSheetId="3" hidden="1">'esr2023'!$A$2:$AH$152</definedName>
    <definedName name="BE">#REF!</definedName>
    <definedName name="bel">#REF!</definedName>
    <definedName name="dsg">#REF!</definedName>
    <definedName name="Scenario">#REF!</definedName>
    <definedName name="Summer">#REF!</definedName>
    <definedName name="Summer1">#REF!</definedName>
    <definedName name="ToeTJ">#REF!</definedName>
    <definedName name="TSeg">#REF!</definedName>
    <definedName name="TSEG1">#REF!</definedName>
    <definedName name="TSEG2">#REF!</definedName>
    <definedName name="TSEG3">#REF!</definedName>
    <definedName name="TSEG4">#REF!</definedName>
    <definedName name="TSEG5">#REF!</definedName>
    <definedName name="Winter">#REF!</definedName>
    <definedName name="XLSIMSIM" hidden="1">{"Sim",1,"normal","'Costs'!$Q$8","1","2","100","0"}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9" i="4" l="1"/>
  <c r="J9" i="4"/>
  <c r="F35" i="4"/>
  <c r="F8" i="4"/>
  <c r="F9" i="4"/>
  <c r="F10" i="4"/>
  <c r="F11" i="4"/>
  <c r="F12" i="4"/>
  <c r="F13" i="4"/>
  <c r="F14" i="4"/>
  <c r="F15" i="4"/>
  <c r="H42" i="4"/>
  <c r="H43" i="4" s="1"/>
  <c r="H44" i="4" s="1"/>
  <c r="H45" i="4" s="1"/>
  <c r="H46" i="4" s="1"/>
  <c r="H47" i="4" s="1"/>
  <c r="H48" i="4" s="1"/>
  <c r="H49" i="4" s="1"/>
  <c r="H50" i="4" s="1"/>
  <c r="H18" i="4"/>
  <c r="H19" i="4" s="1"/>
  <c r="H20" i="4" s="1"/>
  <c r="H21" i="4" s="1"/>
  <c r="H22" i="4" s="1"/>
  <c r="H23" i="4" s="1"/>
  <c r="H24" i="4" s="1"/>
  <c r="H25" i="4" s="1"/>
  <c r="C15" i="5"/>
  <c r="C16" i="5"/>
  <c r="C14" i="5"/>
  <c r="C12" i="5"/>
  <c r="C13" i="5"/>
  <c r="C11" i="5"/>
  <c r="E64" i="5"/>
  <c r="E63" i="5"/>
  <c r="C45" i="5"/>
  <c r="E62" i="5" s="1"/>
  <c r="C46" i="5"/>
  <c r="C44" i="5"/>
  <c r="E61" i="5" s="1"/>
  <c r="C48" i="5"/>
  <c r="C49" i="5"/>
  <c r="C47" i="5"/>
  <c r="H26" i="5"/>
  <c r="H42" i="5" s="1"/>
  <c r="S31" i="6"/>
  <c r="S32" i="6" s="1"/>
  <c r="S33" i="6" s="1"/>
  <c r="S34" i="6" s="1"/>
  <c r="R31" i="6"/>
  <c r="T31" i="6" s="1"/>
  <c r="S26" i="6"/>
  <c r="S27" i="6" s="1"/>
  <c r="S28" i="6" s="1"/>
  <c r="S29" i="6" s="1"/>
  <c r="R26" i="6"/>
  <c r="T26" i="6" s="1"/>
  <c r="S21" i="6"/>
  <c r="S22" i="6" s="1"/>
  <c r="S23" i="6" s="1"/>
  <c r="S24" i="6" s="1"/>
  <c r="R22" i="6"/>
  <c r="R23" i="6" s="1"/>
  <c r="R21" i="6"/>
  <c r="S16" i="6"/>
  <c r="S17" i="6" s="1"/>
  <c r="R16" i="6"/>
  <c r="R17" i="6" s="1"/>
  <c r="R18" i="6" s="1"/>
  <c r="R19" i="6" s="1"/>
  <c r="T20" i="6"/>
  <c r="T25" i="6"/>
  <c r="T30" i="6"/>
  <c r="T35" i="6"/>
  <c r="T15" i="6"/>
  <c r="H27" i="5" l="1"/>
  <c r="T21" i="6"/>
  <c r="R27" i="6"/>
  <c r="R28" i="6" s="1"/>
  <c r="R29" i="6" s="1"/>
  <c r="R32" i="6"/>
  <c r="R33" i="6" s="1"/>
  <c r="T33" i="6"/>
  <c r="R34" i="6"/>
  <c r="T34" i="6" s="1"/>
  <c r="T32" i="6"/>
  <c r="R24" i="6"/>
  <c r="T24" i="6" s="1"/>
  <c r="T23" i="6"/>
  <c r="T22" i="6"/>
  <c r="T17" i="6"/>
  <c r="S18" i="6"/>
  <c r="S19" i="6" s="1"/>
  <c r="T19" i="6" s="1"/>
  <c r="T16" i="6"/>
  <c r="T27" i="6" l="1"/>
  <c r="T29" i="6"/>
  <c r="T28" i="6"/>
  <c r="T18" i="6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AH87" i="5"/>
  <c r="AI87" i="5"/>
  <c r="AJ87" i="5"/>
  <c r="AK87" i="5"/>
  <c r="AL87" i="5"/>
  <c r="AM87" i="5"/>
  <c r="AN87" i="5"/>
  <c r="AO87" i="5"/>
  <c r="AP87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AH88" i="5"/>
  <c r="AI88" i="5"/>
  <c r="AJ88" i="5"/>
  <c r="AK88" i="5"/>
  <c r="AL88" i="5"/>
  <c r="AM88" i="5"/>
  <c r="AN88" i="5"/>
  <c r="AO88" i="5"/>
  <c r="AP88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AH89" i="5"/>
  <c r="AI89" i="5"/>
  <c r="AJ89" i="5"/>
  <c r="AK89" i="5"/>
  <c r="AL89" i="5"/>
  <c r="AM89" i="5"/>
  <c r="AN89" i="5"/>
  <c r="AO89" i="5"/>
  <c r="AP89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AH90" i="5"/>
  <c r="AI90" i="5"/>
  <c r="AJ90" i="5"/>
  <c r="AK90" i="5"/>
  <c r="AL90" i="5"/>
  <c r="AM90" i="5"/>
  <c r="AN90" i="5"/>
  <c r="AO90" i="5"/>
  <c r="AP90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AH91" i="5"/>
  <c r="AI91" i="5"/>
  <c r="AJ91" i="5"/>
  <c r="AK91" i="5"/>
  <c r="AL91" i="5"/>
  <c r="AM91" i="5"/>
  <c r="AN91" i="5"/>
  <c r="AO91" i="5"/>
  <c r="AP91" i="5"/>
  <c r="M88" i="5"/>
  <c r="M89" i="5"/>
  <c r="M90" i="5"/>
  <c r="M91" i="5"/>
  <c r="M87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AH81" i="5"/>
  <c r="AI81" i="5"/>
  <c r="AJ81" i="5"/>
  <c r="AK81" i="5"/>
  <c r="AL81" i="5"/>
  <c r="AM81" i="5"/>
  <c r="AN81" i="5"/>
  <c r="AO81" i="5"/>
  <c r="AP81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AH82" i="5"/>
  <c r="AI82" i="5"/>
  <c r="AJ82" i="5"/>
  <c r="AK82" i="5"/>
  <c r="AL82" i="5"/>
  <c r="AM82" i="5"/>
  <c r="AN82" i="5"/>
  <c r="AO82" i="5"/>
  <c r="AP82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AH83" i="5"/>
  <c r="AI83" i="5"/>
  <c r="AJ83" i="5"/>
  <c r="AK83" i="5"/>
  <c r="AL83" i="5"/>
  <c r="AM83" i="5"/>
  <c r="AN83" i="5"/>
  <c r="AO83" i="5"/>
  <c r="AP83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AH84" i="5"/>
  <c r="AI84" i="5"/>
  <c r="AJ84" i="5"/>
  <c r="AK84" i="5"/>
  <c r="AL84" i="5"/>
  <c r="AM84" i="5"/>
  <c r="AN84" i="5"/>
  <c r="AO84" i="5"/>
  <c r="AP84" i="5"/>
  <c r="M82" i="5"/>
  <c r="M83" i="5"/>
  <c r="M84" i="5"/>
  <c r="M81" i="5"/>
  <c r="N80" i="5"/>
  <c r="N71" i="5" s="1"/>
  <c r="O80" i="5"/>
  <c r="O71" i="5" s="1"/>
  <c r="P80" i="5"/>
  <c r="P71" i="5" s="1"/>
  <c r="Q80" i="5"/>
  <c r="R80" i="5"/>
  <c r="R71" i="5" s="1"/>
  <c r="S80" i="5"/>
  <c r="S71" i="5" s="1"/>
  <c r="T80" i="5"/>
  <c r="T71" i="5" s="1"/>
  <c r="U80" i="5"/>
  <c r="U71" i="5" s="1"/>
  <c r="V80" i="5"/>
  <c r="V71" i="5" s="1"/>
  <c r="W80" i="5"/>
  <c r="W71" i="5" s="1"/>
  <c r="X80" i="5"/>
  <c r="X71" i="5" s="1"/>
  <c r="Y80" i="5"/>
  <c r="Y71" i="5" s="1"/>
  <c r="Z80" i="5"/>
  <c r="Z71" i="5" s="1"/>
  <c r="AA80" i="5"/>
  <c r="AA71" i="5" s="1"/>
  <c r="AB80" i="5"/>
  <c r="AB71" i="5" s="1"/>
  <c r="AC80" i="5"/>
  <c r="AC71" i="5" s="1"/>
  <c r="AD80" i="5"/>
  <c r="AD71" i="5" s="1"/>
  <c r="AE80" i="5"/>
  <c r="AE71" i="5" s="1"/>
  <c r="AF80" i="5"/>
  <c r="AF71" i="5" s="1"/>
  <c r="AG80" i="5"/>
  <c r="AG71" i="5" s="1"/>
  <c r="AH80" i="5"/>
  <c r="AH71" i="5" s="1"/>
  <c r="AI80" i="5"/>
  <c r="AI71" i="5" s="1"/>
  <c r="AJ80" i="5"/>
  <c r="AJ71" i="5" s="1"/>
  <c r="AK80" i="5"/>
  <c r="AK71" i="5" s="1"/>
  <c r="AL80" i="5"/>
  <c r="AL71" i="5" s="1"/>
  <c r="AM80" i="5"/>
  <c r="AM71" i="5" s="1"/>
  <c r="AN80" i="5"/>
  <c r="AN71" i="5" s="1"/>
  <c r="AO80" i="5"/>
  <c r="AO71" i="5" s="1"/>
  <c r="AP80" i="5"/>
  <c r="AP71" i="5" s="1"/>
  <c r="M80" i="5"/>
  <c r="M71" i="5" s="1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AH101" i="5"/>
  <c r="AI101" i="5"/>
  <c r="AJ101" i="5"/>
  <c r="AK101" i="5"/>
  <c r="AL101" i="5"/>
  <c r="AM101" i="5"/>
  <c r="AN101" i="5"/>
  <c r="AO101" i="5"/>
  <c r="AP101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AH102" i="5"/>
  <c r="AI102" i="5"/>
  <c r="AJ102" i="5"/>
  <c r="AK102" i="5"/>
  <c r="AL102" i="5"/>
  <c r="AM102" i="5"/>
  <c r="AN102" i="5"/>
  <c r="AO102" i="5"/>
  <c r="AP102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AH103" i="5"/>
  <c r="AI103" i="5"/>
  <c r="AJ103" i="5"/>
  <c r="AK103" i="5"/>
  <c r="AL103" i="5"/>
  <c r="AM103" i="5"/>
  <c r="AN103" i="5"/>
  <c r="AO103" i="5"/>
  <c r="AP103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AH104" i="5"/>
  <c r="AI104" i="5"/>
  <c r="AJ104" i="5"/>
  <c r="AK104" i="5"/>
  <c r="AL104" i="5"/>
  <c r="AM104" i="5"/>
  <c r="AN104" i="5"/>
  <c r="AO104" i="5"/>
  <c r="AP104" i="5"/>
  <c r="N105" i="5"/>
  <c r="O105" i="5"/>
  <c r="P105" i="5"/>
  <c r="Q105" i="5"/>
  <c r="R105" i="5"/>
  <c r="S105" i="5"/>
  <c r="T105" i="5"/>
  <c r="U105" i="5"/>
  <c r="V105" i="5"/>
  <c r="W105" i="5"/>
  <c r="W106" i="5" s="1"/>
  <c r="W107" i="5" s="1"/>
  <c r="X105" i="5"/>
  <c r="Y105" i="5"/>
  <c r="Z105" i="5"/>
  <c r="AA105" i="5"/>
  <c r="AB105" i="5"/>
  <c r="AC105" i="5"/>
  <c r="AD105" i="5"/>
  <c r="AE105" i="5"/>
  <c r="AF105" i="5"/>
  <c r="AG105" i="5"/>
  <c r="AH105" i="5"/>
  <c r="AI105" i="5"/>
  <c r="AJ105" i="5"/>
  <c r="AK105" i="5"/>
  <c r="AL105" i="5"/>
  <c r="AM105" i="5"/>
  <c r="AN105" i="5"/>
  <c r="AO105" i="5"/>
  <c r="AP105" i="5"/>
  <c r="M102" i="5"/>
  <c r="M103" i="5"/>
  <c r="M104" i="5"/>
  <c r="M105" i="5"/>
  <c r="M101" i="5"/>
  <c r="M106" i="5" l="1"/>
  <c r="M107" i="5" s="1"/>
  <c r="V106" i="5"/>
  <c r="V107" i="5" s="1"/>
  <c r="T106" i="5"/>
  <c r="T107" i="5" s="1"/>
  <c r="U106" i="5"/>
  <c r="U107" i="5" s="1"/>
  <c r="AF106" i="5"/>
  <c r="AF107" i="5" s="1"/>
  <c r="AC106" i="5"/>
  <c r="AC107" i="5" s="1"/>
  <c r="Q106" i="5"/>
  <c r="Q107" i="5" s="1"/>
  <c r="AN106" i="5"/>
  <c r="AN107" i="5" s="1"/>
  <c r="P106" i="5"/>
  <c r="P107" i="5" s="1"/>
  <c r="AE106" i="5"/>
  <c r="AE107" i="5" s="1"/>
  <c r="AO106" i="5"/>
  <c r="AO107" i="5" s="1"/>
  <c r="AD106" i="5"/>
  <c r="AD107" i="5" s="1"/>
  <c r="AE97" i="5"/>
  <c r="AJ96" i="5"/>
  <c r="AO95" i="5"/>
  <c r="Q95" i="5"/>
  <c r="AB106" i="5"/>
  <c r="AB107" i="5" s="1"/>
  <c r="AP106" i="5"/>
  <c r="AP107" i="5" s="1"/>
  <c r="S106" i="5"/>
  <c r="S107" i="5" s="1"/>
  <c r="R106" i="5"/>
  <c r="R107" i="5" s="1"/>
  <c r="AA106" i="5"/>
  <c r="AA107" i="5" s="1"/>
  <c r="Z106" i="5"/>
  <c r="Z107" i="5" s="1"/>
  <c r="Y106" i="5"/>
  <c r="Y107" i="5" s="1"/>
  <c r="X106" i="5"/>
  <c r="X107" i="5" s="1"/>
  <c r="AH106" i="5"/>
  <c r="AH107" i="5" s="1"/>
  <c r="AL106" i="5"/>
  <c r="AL107" i="5" s="1"/>
  <c r="AG106" i="5"/>
  <c r="AG107" i="5" s="1"/>
  <c r="AJ106" i="5"/>
  <c r="AJ107" i="5" s="1"/>
  <c r="O106" i="5"/>
  <c r="O107" i="5" s="1"/>
  <c r="AK106" i="5"/>
  <c r="AK107" i="5" s="1"/>
  <c r="AM106" i="5"/>
  <c r="AM107" i="5" s="1"/>
  <c r="N106" i="5"/>
  <c r="N107" i="5" s="1"/>
  <c r="AI106" i="5"/>
  <c r="AI107" i="5" s="1"/>
  <c r="AR81" i="5"/>
  <c r="AR105" i="5"/>
  <c r="AR87" i="5"/>
  <c r="AR83" i="5"/>
  <c r="AR90" i="5"/>
  <c r="AR102" i="5"/>
  <c r="AR91" i="5"/>
  <c r="AR88" i="5"/>
  <c r="AR103" i="5"/>
  <c r="AR89" i="5"/>
  <c r="AR84" i="5"/>
  <c r="AR82" i="5"/>
  <c r="AR101" i="5"/>
  <c r="AR80" i="5"/>
  <c r="AR104" i="5"/>
  <c r="V97" i="5"/>
  <c r="AA96" i="5"/>
  <c r="T97" i="5"/>
  <c r="W96" i="5"/>
  <c r="AM96" i="5"/>
  <c r="T95" i="5"/>
  <c r="U94" i="5"/>
  <c r="Y96" i="5"/>
  <c r="S97" i="5"/>
  <c r="AP97" i="5"/>
  <c r="Y94" i="5"/>
  <c r="X94" i="5"/>
  <c r="W94" i="5"/>
  <c r="T94" i="5"/>
  <c r="Z96" i="5"/>
  <c r="X96" i="5"/>
  <c r="R97" i="5"/>
  <c r="M94" i="5"/>
  <c r="S94" i="5"/>
  <c r="Q97" i="5"/>
  <c r="U97" i="5"/>
  <c r="AK98" i="5"/>
  <c r="O96" i="5"/>
  <c r="AO94" i="5"/>
  <c r="AH97" i="5"/>
  <c r="AN94" i="5"/>
  <c r="P94" i="5"/>
  <c r="V96" i="5"/>
  <c r="AM94" i="5"/>
  <c r="O94" i="5"/>
  <c r="AC98" i="5"/>
  <c r="AL94" i="5"/>
  <c r="N94" i="5"/>
  <c r="AO98" i="5"/>
  <c r="AE95" i="5"/>
  <c r="AM98" i="5"/>
  <c r="O98" i="5"/>
  <c r="AD95" i="5"/>
  <c r="AI94" i="5"/>
  <c r="AL98" i="5"/>
  <c r="N98" i="5"/>
  <c r="AC95" i="5"/>
  <c r="AH94" i="5"/>
  <c r="AB95" i="5"/>
  <c r="AG94" i="5"/>
  <c r="AJ98" i="5"/>
  <c r="AO97" i="5"/>
  <c r="AA95" i="5"/>
  <c r="AF94" i="5"/>
  <c r="AF95" i="5"/>
  <c r="AJ94" i="5"/>
  <c r="Q98" i="5"/>
  <c r="AK94" i="5"/>
  <c r="AN98" i="5"/>
  <c r="P98" i="5"/>
  <c r="AG97" i="5"/>
  <c r="AF97" i="5"/>
  <c r="AI96" i="5"/>
  <c r="AC97" i="5"/>
  <c r="AF96" i="5"/>
  <c r="Z97" i="5"/>
  <c r="M96" i="5"/>
  <c r="AI95" i="5"/>
  <c r="S98" i="5"/>
  <c r="R98" i="5"/>
  <c r="V94" i="5"/>
  <c r="AL96" i="5"/>
  <c r="AK96" i="5"/>
  <c r="AD97" i="5"/>
  <c r="AH96" i="5"/>
  <c r="AB97" i="5"/>
  <c r="M98" i="5"/>
  <c r="M97" i="5"/>
  <c r="T98" i="5"/>
  <c r="AB98" i="5"/>
  <c r="AC96" i="5"/>
  <c r="AI98" i="5"/>
  <c r="AN97" i="5"/>
  <c r="P97" i="5"/>
  <c r="U96" i="5"/>
  <c r="Z95" i="5"/>
  <c r="AE94" i="5"/>
  <c r="S95" i="5"/>
  <c r="AP95" i="5"/>
  <c r="AN95" i="5"/>
  <c r="AM95" i="5"/>
  <c r="AG96" i="5"/>
  <c r="AA97" i="5"/>
  <c r="X97" i="5"/>
  <c r="AP98" i="5"/>
  <c r="AH98" i="5"/>
  <c r="AM97" i="5"/>
  <c r="O97" i="5"/>
  <c r="T96" i="5"/>
  <c r="Y95" i="5"/>
  <c r="AD94" i="5"/>
  <c r="N96" i="5"/>
  <c r="R95" i="5"/>
  <c r="P95" i="5"/>
  <c r="N95" i="5"/>
  <c r="AJ95" i="5"/>
  <c r="AD96" i="5"/>
  <c r="M95" i="5"/>
  <c r="Q94" i="5"/>
  <c r="AG98" i="5"/>
  <c r="AL97" i="5"/>
  <c r="N97" i="5"/>
  <c r="S96" i="5"/>
  <c r="X95" i="5"/>
  <c r="AC94" i="5"/>
  <c r="O95" i="5"/>
  <c r="AL95" i="5"/>
  <c r="AK95" i="5"/>
  <c r="AE96" i="5"/>
  <c r="Y97" i="5"/>
  <c r="AG95" i="5"/>
  <c r="AF98" i="5"/>
  <c r="AK97" i="5"/>
  <c r="AP96" i="5"/>
  <c r="R96" i="5"/>
  <c r="W95" i="5"/>
  <c r="AB94" i="5"/>
  <c r="W98" i="5"/>
  <c r="V98" i="5"/>
  <c r="U98" i="5"/>
  <c r="AB96" i="5"/>
  <c r="AE98" i="5"/>
  <c r="AJ97" i="5"/>
  <c r="AO96" i="5"/>
  <c r="Q96" i="5"/>
  <c r="V95" i="5"/>
  <c r="AA94" i="5"/>
  <c r="AA98" i="5"/>
  <c r="Z98" i="5"/>
  <c r="Y98" i="5"/>
  <c r="X98" i="5"/>
  <c r="AH95" i="5"/>
  <c r="W97" i="5"/>
  <c r="AD98" i="5"/>
  <c r="AI97" i="5"/>
  <c r="AN96" i="5"/>
  <c r="P96" i="5"/>
  <c r="U95" i="5"/>
  <c r="Z94" i="5"/>
  <c r="Q71" i="5"/>
  <c r="Q72" i="5" s="1"/>
  <c r="AP94" i="5"/>
  <c r="R94" i="5"/>
  <c r="AQ120" i="5"/>
  <c r="AQ118" i="5"/>
  <c r="AQ117" i="5"/>
  <c r="N58" i="5"/>
  <c r="O58" i="5"/>
  <c r="P117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AH58" i="5"/>
  <c r="AI58" i="5"/>
  <c r="AJ58" i="5"/>
  <c r="AK58" i="5"/>
  <c r="AL58" i="5"/>
  <c r="AM58" i="5"/>
  <c r="AN58" i="5"/>
  <c r="AO58" i="5"/>
  <c r="AP58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AH59" i="5"/>
  <c r="AI59" i="5"/>
  <c r="AJ59" i="5"/>
  <c r="AK59" i="5"/>
  <c r="AL59" i="5"/>
  <c r="AM59" i="5"/>
  <c r="AN59" i="5"/>
  <c r="AO59" i="5"/>
  <c r="AP59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AH118" i="5"/>
  <c r="AI118" i="5"/>
  <c r="AJ118" i="5"/>
  <c r="AK118" i="5"/>
  <c r="AL118" i="5"/>
  <c r="AM118" i="5"/>
  <c r="AN118" i="5"/>
  <c r="AO118" i="5"/>
  <c r="AP118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AH60" i="5"/>
  <c r="AI60" i="5"/>
  <c r="AJ60" i="5"/>
  <c r="AK60" i="5"/>
  <c r="AL60" i="5"/>
  <c r="AM60" i="5"/>
  <c r="AN60" i="5"/>
  <c r="AO60" i="5"/>
  <c r="AP60" i="5"/>
  <c r="M58" i="5"/>
  <c r="M59" i="5"/>
  <c r="M118" i="5"/>
  <c r="M60" i="5"/>
  <c r="M72" i="5"/>
  <c r="N72" i="5"/>
  <c r="O72" i="5"/>
  <c r="P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AH72" i="5"/>
  <c r="AI72" i="5"/>
  <c r="AJ72" i="5"/>
  <c r="AK72" i="5"/>
  <c r="AL72" i="5"/>
  <c r="AM72" i="5"/>
  <c r="AN72" i="5"/>
  <c r="AO72" i="5"/>
  <c r="AP72" i="5"/>
  <c r="AR95" i="5" l="1"/>
  <c r="AR97" i="5"/>
  <c r="AS60" i="5"/>
  <c r="AS59" i="5"/>
  <c r="AR94" i="5"/>
  <c r="AR107" i="5"/>
  <c r="AR96" i="5"/>
  <c r="AR98" i="5"/>
  <c r="AR71" i="5"/>
  <c r="AR72" i="5"/>
  <c r="M117" i="5"/>
  <c r="V117" i="5"/>
  <c r="T117" i="5"/>
  <c r="S117" i="5"/>
  <c r="P58" i="5"/>
  <c r="AS58" i="5" s="1"/>
  <c r="AK117" i="5"/>
  <c r="AI117" i="5"/>
  <c r="AH117" i="5"/>
  <c r="AG117" i="5"/>
  <c r="AF117" i="5"/>
  <c r="AP117" i="5"/>
  <c r="R117" i="5"/>
  <c r="AE117" i="5"/>
  <c r="X117" i="5"/>
  <c r="AO117" i="5"/>
  <c r="Q117" i="5"/>
  <c r="N117" i="5"/>
  <c r="AJ117" i="5"/>
  <c r="AD117" i="5"/>
  <c r="U117" i="5"/>
  <c r="AN117" i="5"/>
  <c r="AC117" i="5"/>
  <c r="Y117" i="5"/>
  <c r="AM117" i="5"/>
  <c r="O117" i="5"/>
  <c r="AB117" i="5"/>
  <c r="AL117" i="5"/>
  <c r="AA117" i="5"/>
  <c r="W117" i="5"/>
  <c r="M74" i="5"/>
  <c r="M75" i="5" s="1"/>
  <c r="M67" i="5" s="1"/>
  <c r="Z117" i="5"/>
  <c r="AC74" i="5"/>
  <c r="AC75" i="5" s="1"/>
  <c r="AC67" i="5" s="1"/>
  <c r="X74" i="5"/>
  <c r="X75" i="5" s="1"/>
  <c r="Z74" i="5"/>
  <c r="Z75" i="5" s="1"/>
  <c r="V74" i="5"/>
  <c r="V75" i="5" s="1"/>
  <c r="Z120" i="5" l="1"/>
  <c r="Z67" i="5"/>
  <c r="V120" i="5"/>
  <c r="V67" i="5"/>
  <c r="X120" i="5"/>
  <c r="X67" i="5"/>
  <c r="M120" i="5"/>
  <c r="AP74" i="5"/>
  <c r="AP75" i="5" s="1"/>
  <c r="Q74" i="5"/>
  <c r="Q75" i="5" s="1"/>
  <c r="AN74" i="5"/>
  <c r="AN75" i="5" s="1"/>
  <c r="T74" i="5"/>
  <c r="T75" i="5" s="1"/>
  <c r="AA74" i="5"/>
  <c r="AA75" i="5" s="1"/>
  <c r="R74" i="5"/>
  <c r="R75" i="5" s="1"/>
  <c r="AE74" i="5"/>
  <c r="AE75" i="5" s="1"/>
  <c r="AF74" i="5"/>
  <c r="AF75" i="5" s="1"/>
  <c r="AJ74" i="5"/>
  <c r="AJ75" i="5" s="1"/>
  <c r="AJ67" i="5" s="1"/>
  <c r="S74" i="5"/>
  <c r="S75" i="5" s="1"/>
  <c r="AB74" i="5"/>
  <c r="AB75" i="5" s="1"/>
  <c r="U74" i="5"/>
  <c r="U75" i="5" s="1"/>
  <c r="W74" i="5"/>
  <c r="W75" i="5" s="1"/>
  <c r="AH74" i="5"/>
  <c r="AH75" i="5" s="1"/>
  <c r="P74" i="5"/>
  <c r="P75" i="5" s="1"/>
  <c r="P120" i="5" s="1"/>
  <c r="AI74" i="5"/>
  <c r="AI75" i="5" s="1"/>
  <c r="Y74" i="5"/>
  <c r="Y75" i="5" s="1"/>
  <c r="AK74" i="5"/>
  <c r="AK75" i="5" s="1"/>
  <c r="AO74" i="5"/>
  <c r="AO75" i="5" s="1"/>
  <c r="AD74" i="5"/>
  <c r="AD75" i="5" s="1"/>
  <c r="N74" i="5"/>
  <c r="N75" i="5" s="1"/>
  <c r="N67" i="5" s="1"/>
  <c r="AL74" i="5"/>
  <c r="AL75" i="5" s="1"/>
  <c r="AG74" i="5"/>
  <c r="AG75" i="5" s="1"/>
  <c r="O74" i="5"/>
  <c r="O75" i="5" s="1"/>
  <c r="AM74" i="5"/>
  <c r="AM75" i="5" s="1"/>
  <c r="AC146" i="5"/>
  <c r="AC144" i="5"/>
  <c r="AC145" i="5" s="1"/>
  <c r="AC140" i="5"/>
  <c r="AC138" i="5"/>
  <c r="AC139" i="5" s="1"/>
  <c r="AC134" i="5"/>
  <c r="AC132" i="5"/>
  <c r="AC133" i="5" s="1"/>
  <c r="AJ146" i="5"/>
  <c r="AJ144" i="5"/>
  <c r="AJ145" i="5" s="1"/>
  <c r="AJ138" i="5"/>
  <c r="AJ140" i="5"/>
  <c r="AJ134" i="5"/>
  <c r="AJ132" i="5"/>
  <c r="AJ133" i="5" s="1"/>
  <c r="U120" i="5" l="1"/>
  <c r="U67" i="5"/>
  <c r="R120" i="5"/>
  <c r="R67" i="5"/>
  <c r="AN120" i="5"/>
  <c r="AN67" i="5"/>
  <c r="AG120" i="5"/>
  <c r="AG67" i="5"/>
  <c r="Y120" i="5"/>
  <c r="Y67" i="5"/>
  <c r="AH120" i="5"/>
  <c r="AH67" i="5"/>
  <c r="S120" i="5"/>
  <c r="S67" i="5"/>
  <c r="AE120" i="5"/>
  <c r="AE67" i="5"/>
  <c r="T120" i="5"/>
  <c r="T67" i="5"/>
  <c r="AP120" i="5"/>
  <c r="AP67" i="5"/>
  <c r="AD120" i="5"/>
  <c r="AD67" i="5"/>
  <c r="AI120" i="5"/>
  <c r="AI67" i="5"/>
  <c r="W120" i="5"/>
  <c r="W67" i="5"/>
  <c r="AB120" i="5"/>
  <c r="AB67" i="5"/>
  <c r="AF120" i="5"/>
  <c r="AF67" i="5"/>
  <c r="AA120" i="5"/>
  <c r="AA67" i="5"/>
  <c r="Q120" i="5"/>
  <c r="Q67" i="5"/>
  <c r="AM120" i="5"/>
  <c r="AM67" i="5"/>
  <c r="O120" i="5"/>
  <c r="O67" i="5"/>
  <c r="AL120" i="5"/>
  <c r="AL67" i="5"/>
  <c r="AO120" i="5"/>
  <c r="AO67" i="5"/>
  <c r="AK120" i="5"/>
  <c r="AK67" i="5"/>
  <c r="AR75" i="5"/>
  <c r="AS75" i="5" s="1"/>
  <c r="AR74" i="5"/>
  <c r="N120" i="5"/>
  <c r="AJ139" i="5"/>
  <c r="AC114" i="5"/>
  <c r="AC115" i="5"/>
  <c r="AC120" i="5" s="1"/>
  <c r="AC113" i="5"/>
  <c r="AJ115" i="5"/>
  <c r="AJ120" i="5" s="1"/>
  <c r="AJ114" i="5"/>
  <c r="AJ113" i="5"/>
  <c r="AJ112" i="5"/>
  <c r="AJ119" i="5" s="1"/>
  <c r="AC112" i="5"/>
  <c r="AC119" i="5" s="1"/>
  <c r="K9" i="5" l="1"/>
  <c r="K8" i="5"/>
  <c r="L8" i="5" s="1"/>
  <c r="K7" i="5"/>
  <c r="H9" i="5"/>
  <c r="H7" i="5"/>
  <c r="F16" i="6"/>
  <c r="G16" i="6" s="1"/>
  <c r="K15" i="6"/>
  <c r="G15" i="6"/>
  <c r="K14" i="6"/>
  <c r="G14" i="6"/>
  <c r="K13" i="6"/>
  <c r="G13" i="6"/>
  <c r="N12" i="6"/>
  <c r="M12" i="6"/>
  <c r="H41" i="5" s="1"/>
  <c r="K12" i="6"/>
  <c r="G12" i="6"/>
  <c r="K11" i="6"/>
  <c r="G11" i="6"/>
  <c r="M10" i="6"/>
  <c r="O10" i="6" s="1"/>
  <c r="K10" i="6"/>
  <c r="J10" i="6"/>
  <c r="J11" i="6" s="1"/>
  <c r="G10" i="6"/>
  <c r="K9" i="6"/>
  <c r="G9" i="6"/>
  <c r="G8" i="6"/>
  <c r="E8" i="6"/>
  <c r="G7" i="6"/>
  <c r="E7" i="6"/>
  <c r="G6" i="6"/>
  <c r="E6" i="6"/>
  <c r="G5" i="6"/>
  <c r="E5" i="6"/>
  <c r="F33" i="4"/>
  <c r="K17" i="4"/>
  <c r="J12" i="6" l="1"/>
  <c r="J13" i="6" s="1"/>
  <c r="J14" i="6" s="1"/>
  <c r="J15" i="6" s="1"/>
  <c r="J16" i="6" s="1"/>
  <c r="K16" i="6"/>
  <c r="F17" i="6"/>
  <c r="G17" i="6" s="1"/>
  <c r="I9" i="6"/>
  <c r="L9" i="5"/>
  <c r="L7" i="5"/>
  <c r="D9" i="6"/>
  <c r="I10" i="6"/>
  <c r="O11" i="6"/>
  <c r="N1" i="6"/>
  <c r="O12" i="6" s="1"/>
  <c r="F18" i="6"/>
  <c r="N14" i="6"/>
  <c r="K17" i="6"/>
  <c r="M11" i="6"/>
  <c r="O13" i="6" l="1"/>
  <c r="M13" i="6" s="1"/>
  <c r="J17" i="6"/>
  <c r="J18" i="6" s="1"/>
  <c r="N15" i="6"/>
  <c r="O14" i="6"/>
  <c r="M14" i="6" s="1"/>
  <c r="F19" i="6"/>
  <c r="K18" i="6"/>
  <c r="G18" i="6"/>
  <c r="D10" i="6"/>
  <c r="I11" i="6"/>
  <c r="J19" i="6" l="1"/>
  <c r="D11" i="6"/>
  <c r="I12" i="6"/>
  <c r="F20" i="6"/>
  <c r="G19" i="6"/>
  <c r="K19" i="6"/>
  <c r="J20" i="6" s="1"/>
  <c r="O15" i="6"/>
  <c r="M15" i="6" s="1"/>
  <c r="N16" i="6"/>
  <c r="F21" i="6" l="1"/>
  <c r="G20" i="6"/>
  <c r="K20" i="6"/>
  <c r="J21" i="6" s="1"/>
  <c r="N17" i="6"/>
  <c r="O16" i="6"/>
  <c r="M16" i="6" s="1"/>
  <c r="I13" i="6"/>
  <c r="D12" i="6"/>
  <c r="O17" i="6" l="1"/>
  <c r="M17" i="6" s="1"/>
  <c r="N18" i="6"/>
  <c r="F22" i="6"/>
  <c r="G21" i="6"/>
  <c r="K21" i="6"/>
  <c r="J22" i="6" s="1"/>
  <c r="D13" i="6"/>
  <c r="I14" i="6"/>
  <c r="I15" i="6" l="1"/>
  <c r="D14" i="6"/>
  <c r="K22" i="6"/>
  <c r="J23" i="6" s="1"/>
  <c r="F23" i="6"/>
  <c r="G22" i="6"/>
  <c r="O18" i="6"/>
  <c r="M18" i="6" s="1"/>
  <c r="N19" i="6"/>
  <c r="N20" i="6" l="1"/>
  <c r="O19" i="6"/>
  <c r="M19" i="6" s="1"/>
  <c r="F24" i="6"/>
  <c r="K23" i="6"/>
  <c r="J24" i="6" s="1"/>
  <c r="G23" i="6"/>
  <c r="I16" i="6"/>
  <c r="D15" i="6"/>
  <c r="D16" i="6" l="1"/>
  <c r="I17" i="6"/>
  <c r="K24" i="6"/>
  <c r="J25" i="6" s="1"/>
  <c r="G24" i="6"/>
  <c r="F25" i="6"/>
  <c r="O20" i="6"/>
  <c r="M20" i="6" s="1"/>
  <c r="N21" i="6"/>
  <c r="O21" i="6" l="1"/>
  <c r="M21" i="6" s="1"/>
  <c r="N22" i="6"/>
  <c r="F26" i="6"/>
  <c r="K25" i="6"/>
  <c r="J26" i="6" s="1"/>
  <c r="G25" i="6"/>
  <c r="D17" i="6"/>
  <c r="I18" i="6"/>
  <c r="G26" i="6" l="1"/>
  <c r="F27" i="6"/>
  <c r="K26" i="6"/>
  <c r="J27" i="6" s="1"/>
  <c r="D18" i="6"/>
  <c r="I19" i="6"/>
  <c r="N23" i="6"/>
  <c r="O22" i="6"/>
  <c r="M22" i="6" s="1"/>
  <c r="D19" i="6" l="1"/>
  <c r="I20" i="6"/>
  <c r="O23" i="6"/>
  <c r="M23" i="6" s="1"/>
  <c r="N24" i="6"/>
  <c r="F28" i="6"/>
  <c r="G27" i="6"/>
  <c r="K27" i="6"/>
  <c r="J28" i="6" s="1"/>
  <c r="G28" i="6" l="1"/>
  <c r="K28" i="6"/>
  <c r="J29" i="6" s="1"/>
  <c r="F29" i="6"/>
  <c r="N25" i="6"/>
  <c r="O24" i="6"/>
  <c r="M24" i="6" s="1"/>
  <c r="I21" i="6"/>
  <c r="D20" i="6"/>
  <c r="C20" i="6" s="1"/>
  <c r="O25" i="6" l="1"/>
  <c r="M25" i="6" s="1"/>
  <c r="N26" i="6"/>
  <c r="D21" i="6"/>
  <c r="C21" i="6" s="1"/>
  <c r="I22" i="6"/>
  <c r="G29" i="6"/>
  <c r="K29" i="6"/>
  <c r="J30" i="6" s="1"/>
  <c r="F30" i="6"/>
  <c r="K30" i="6" l="1"/>
  <c r="J31" i="6" s="1"/>
  <c r="F31" i="6"/>
  <c r="G30" i="6"/>
  <c r="D22" i="6"/>
  <c r="C22" i="6" s="1"/>
  <c r="I23" i="6"/>
  <c r="O26" i="6"/>
  <c r="M26" i="6" s="1"/>
  <c r="N27" i="6"/>
  <c r="O27" i="6" l="1"/>
  <c r="M27" i="6" s="1"/>
  <c r="N28" i="6"/>
  <c r="F32" i="6"/>
  <c r="K31" i="6"/>
  <c r="G31" i="6"/>
  <c r="I24" i="6"/>
  <c r="D23" i="6"/>
  <c r="C23" i="6" s="1"/>
  <c r="D24" i="6" l="1"/>
  <c r="C24" i="6" s="1"/>
  <c r="I25" i="6"/>
  <c r="G32" i="6"/>
  <c r="F33" i="6"/>
  <c r="N29" i="6"/>
  <c r="O28" i="6"/>
  <c r="M28" i="6" s="1"/>
  <c r="N30" i="6" l="1"/>
  <c r="O29" i="6"/>
  <c r="M29" i="6" s="1"/>
  <c r="F34" i="6"/>
  <c r="G33" i="6"/>
  <c r="I26" i="6"/>
  <c r="D25" i="6"/>
  <c r="C25" i="6" s="1"/>
  <c r="G34" i="6" l="1"/>
  <c r="F35" i="6"/>
  <c r="O30" i="6"/>
  <c r="M30" i="6" s="1"/>
  <c r="N31" i="6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D26" i="6"/>
  <c r="C26" i="6" s="1"/>
  <c r="I27" i="6"/>
  <c r="I28" i="6" l="1"/>
  <c r="D27" i="6"/>
  <c r="C27" i="6" s="1"/>
  <c r="F36" i="6"/>
  <c r="G35" i="6"/>
  <c r="G36" i="6" l="1"/>
  <c r="F37" i="6"/>
  <c r="I29" i="6"/>
  <c r="D28" i="6"/>
  <c r="C28" i="6" s="1"/>
  <c r="F38" i="6" l="1"/>
  <c r="G37" i="6"/>
  <c r="I30" i="6"/>
  <c r="D29" i="6"/>
  <c r="C29" i="6" s="1"/>
  <c r="D30" i="6" l="1"/>
  <c r="C30" i="6" s="1"/>
  <c r="I31" i="6"/>
  <c r="D31" i="6" s="1"/>
  <c r="C31" i="6" s="1"/>
  <c r="F39" i="6"/>
  <c r="G38" i="6"/>
  <c r="G39" i="6" l="1"/>
  <c r="F40" i="6"/>
  <c r="F41" i="6" l="1"/>
  <c r="G40" i="6"/>
  <c r="G41" i="6" l="1"/>
  <c r="F42" i="6"/>
  <c r="G42" i="6" l="1"/>
  <c r="F43" i="6"/>
  <c r="F44" i="6" l="1"/>
  <c r="G43" i="6"/>
  <c r="G44" i="6" l="1"/>
  <c r="F45" i="6"/>
  <c r="G45" i="6" s="1"/>
  <c r="F34" i="4"/>
  <c r="K19" i="4"/>
  <c r="K20" i="4"/>
  <c r="K21" i="4"/>
  <c r="K22" i="4"/>
  <c r="K23" i="4"/>
  <c r="K24" i="4"/>
  <c r="K25" i="4"/>
  <c r="K18" i="4"/>
  <c r="F25" i="4"/>
  <c r="N114" i="5"/>
  <c r="O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D114" i="5"/>
  <c r="AE114" i="5"/>
  <c r="AF114" i="5"/>
  <c r="AG114" i="5"/>
  <c r="AH114" i="5"/>
  <c r="AI114" i="5"/>
  <c r="AK114" i="5"/>
  <c r="AL114" i="5"/>
  <c r="AM114" i="5"/>
  <c r="AN114" i="5"/>
  <c r="AO114" i="5"/>
  <c r="AP114" i="5"/>
  <c r="M114" i="5"/>
  <c r="F43" i="4" l="1"/>
  <c r="F18" i="4"/>
  <c r="F39" i="4" l="1"/>
  <c r="F38" i="4"/>
  <c r="F47" i="4" s="1"/>
  <c r="F37" i="4"/>
  <c r="F46" i="4" s="1"/>
  <c r="F36" i="4"/>
  <c r="F45" i="4" s="1"/>
  <c r="F44" i="4"/>
  <c r="F23" i="4"/>
  <c r="F22" i="4"/>
  <c r="F21" i="4"/>
  <c r="F20" i="4"/>
  <c r="F19" i="4"/>
  <c r="F40" i="4" l="1"/>
  <c r="F49" i="4" s="1"/>
  <c r="F48" i="4"/>
  <c r="F24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B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With UK, no CH</t>
        </r>
      </text>
    </comment>
    <comment ref="H7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deduct the emissions from bunkers as ESR concerns only domestic transport (which is under TRA_Nav)
</t>
        </r>
      </text>
    </comment>
    <comment ref="C1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assume this is mostly bunkers fuels. not  included in ESR. only the petrol consumed in inland navigation was part of ESR</t>
        </r>
      </text>
    </comment>
    <comment ref="B22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No UK, CH</t>
        </r>
      </text>
    </comment>
    <comment ref="B37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No UK, CH</t>
        </r>
      </text>
    </comment>
    <comment ref="P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Not committed to ESR</t>
        </r>
      </text>
    </comment>
    <comment ref="E6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Navigation part of ETS1 since 2022</t>
        </r>
      </text>
    </comment>
    <comment ref="E62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Navigation part of ETS1 since 2022</t>
        </r>
      </text>
    </comment>
    <comment ref="K74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assume that only agriculture (NFR 3) and waste (NFR 5) remains rather unchanged until 2030. ESR GHG reductions need to happen in the modelled ESR sectors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F1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ETS1 and ETS2 prices converge in 2035 and follow the same path afterwards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Johanna Markkanen</author>
  </authors>
  <commentList>
    <comment ref="D15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The cap has been tightened to bring emissions down by 62% by 2030, compared to 2005 levels.</t>
        </r>
      </text>
    </comment>
    <comment ref="M15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Johanna Markkanen:</t>
        </r>
        <r>
          <rPr>
            <sz val="9"/>
            <color indexed="81"/>
            <rFont val="Tahoma"/>
            <family val="2"/>
          </rPr>
          <t xml:space="preserve">
The ETS2 cap will be set to bring emissions down by 42% by 2030 compared to 2005 levels.</t>
        </r>
      </text>
    </comment>
  </commentList>
</comments>
</file>

<file path=xl/sharedStrings.xml><?xml version="1.0" encoding="utf-8"?>
<sst xmlns="http://schemas.openxmlformats.org/spreadsheetml/2006/main" count="984" uniqueCount="176">
  <si>
    <t>BE</t>
  </si>
  <si>
    <t>DE</t>
  </si>
  <si>
    <t>ES</t>
  </si>
  <si>
    <t>FI</t>
  </si>
  <si>
    <t>FR</t>
  </si>
  <si>
    <t>UK</t>
  </si>
  <si>
    <t>Year</t>
  </si>
  <si>
    <t>Cset_CN</t>
  </si>
  <si>
    <t>UC_N</t>
  </si>
  <si>
    <t>UC_COMNET</t>
  </si>
  <si>
    <t>AT</t>
  </si>
  <si>
    <t>BG</t>
  </si>
  <si>
    <t>CY</t>
  </si>
  <si>
    <t>CZ</t>
  </si>
  <si>
    <t>DK</t>
  </si>
  <si>
    <t>EE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</si>
  <si>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</si>
  <si>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</si>
  <si>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</si>
  <si>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</si>
  <si>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</si>
  <si>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</si>
  <si>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</si>
  <si>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</si>
  <si>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</si>
  <si>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</si>
  <si>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</si>
  <si>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</si>
  <si>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</si>
  <si>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</si>
  <si>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HR</t>
  </si>
  <si>
    <t>Pset_PN</t>
  </si>
  <si>
    <t>SE_TRACO2N</t>
  </si>
  <si>
    <t>Attribute</t>
  </si>
  <si>
    <t>CH</t>
  </si>
  <si>
    <t>EL</t>
  </si>
  <si>
    <t>IS</t>
  </si>
  <si>
    <t>NO</t>
  </si>
  <si>
    <t>Other_indexes</t>
  </si>
  <si>
    <t>AllRegions</t>
  </si>
  <si>
    <t>Pset_Set</t>
  </si>
  <si>
    <t>Curr</t>
  </si>
  <si>
    <t>COM_TAXPRD</t>
  </si>
  <si>
    <t>EUR15</t>
  </si>
  <si>
    <t>Values used in NEGEM</t>
  </si>
  <si>
    <t>EUR20</t>
  </si>
  <si>
    <t>Harmonised trajectory for the carbon price/value (EUR2020/tCO2)</t>
  </si>
  <si>
    <t>WEM-trajectory</t>
  </si>
  <si>
    <t>WAM-trajectory</t>
  </si>
  <si>
    <t xml:space="preserve">The indicative post_x0002_2030 “WAM” trajectory is a modelling driver to reach the EU 2050 climate neutrality in the FF55 package analysis. It is </t>
  </si>
  <si>
    <t xml:space="preserve">acknowledged that national analyses projecting economy-wide GHG emissions compatible with the EU 2050 climate </t>
  </si>
  <si>
    <t>neutrality objective may provide a different carbon value trajectory</t>
  </si>
  <si>
    <t>~UC_Sets: R_E: AllRegions</t>
  </si>
  <si>
    <t>~UC_Sets: T_E:</t>
  </si>
  <si>
    <t>~UC_T: UC_RHSRT~UP</t>
  </si>
  <si>
    <t>UC_Desc</t>
  </si>
  <si>
    <t>UC_FLO</t>
  </si>
  <si>
    <t>UC_RHSRT~UP~0</t>
  </si>
  <si>
    <t>RSDCO2N,COMCO2N,AGRCO2N,SE_TRACO2N,NETSCO2</t>
  </si>
  <si>
    <t>RSDCO2N,COMCO2N,AGRCO2N,NETSCO2</t>
  </si>
  <si>
    <t>Transport excl. maritime, aviation</t>
  </si>
  <si>
    <t>Residential, commercial, agri, small industry</t>
  </si>
  <si>
    <t>https://www.umweltbundesamt.de/sites/default/files/medien/11850/publikationen/factsheet_cap_msr_2023_en_v2.pdf</t>
  </si>
  <si>
    <t>https://climate.ec.europa.eu/news-your-voice/news/emissions-trading-system-buildings-road-transport-and-small-industry-ets2-cap-adopted-2027-2024-12-03_en</t>
  </si>
  <si>
    <t>Sum of ETS1 and ETS2</t>
  </si>
  <si>
    <t>ETS1 Total Cap (new)</t>
  </si>
  <si>
    <t>Cap according to previous directive (without UK)</t>
  </si>
  <si>
    <t>LFR</t>
  </si>
  <si>
    <t>Annual cap reduction through LRFs (stationary)</t>
  </si>
  <si>
    <t>Rebasing the cap</t>
  </si>
  <si>
    <t>Cap stationary installations (new)</t>
  </si>
  <si>
    <t>Cap maritime transport</t>
  </si>
  <si>
    <t>Maritime cap reduction</t>
  </si>
  <si>
    <t>ETS2 Total Cap</t>
  </si>
  <si>
    <t>Annual cap reduction through LFRs</t>
  </si>
  <si>
    <t>With these assumptions</t>
  </si>
  <si>
    <t>the emission cap becomes negative before 2040</t>
  </si>
  <si>
    <t>We cannot really implement an emission cap that far</t>
  </si>
  <si>
    <t>We have the price mechanism in place</t>
  </si>
  <si>
    <t>we can first try to set emission cap to 2030</t>
  </si>
  <si>
    <t>~UC_T: UP</t>
  </si>
  <si>
    <t>UC_RHSTS</t>
  </si>
  <si>
    <t>UC_COMPRD</t>
  </si>
  <si>
    <t>CO2TargetESR2020</t>
  </si>
  <si>
    <t>UC_FLO~0</t>
  </si>
  <si>
    <t>Effort sharing regulation 2010-2027 country-specific caps</t>
  </si>
  <si>
    <t>EU ESR until 2010-2020, with UK, EU-wide cap</t>
  </si>
  <si>
    <t>compare to the sum of regions incl UK</t>
  </si>
  <si>
    <t>https://climate.ec.europa.eu/eu-action/eu-emissions-trading-system-eu-ets/ets2-buildings-road-transport-and-additional-sectors_en</t>
  </si>
  <si>
    <t>https://climate.ec.europa.eu/eu-action/eu-emissions-trading-system-eu-ets/about-eu-ets_en#our-climate-ambition-for-2030</t>
  </si>
  <si>
    <t>ETS1 and 2 prices converge in 2035</t>
  </si>
  <si>
    <t>EU ESR 2021-2026, EU ETS2 2027- without UK, CH, EU-wide cap</t>
  </si>
  <si>
    <t>~UC_SETS: R_E: AT,BE,BG,CY,CZ,DE,DK,EE,ES,FI,FR,EL,HR,HU,IE,IT,IS,LT,LU,LV,MT,NL,NO,PL,PT,RO,SE,SI,SK,UK</t>
  </si>
  <si>
    <t>https://www.eftasurv.int/cms/sites/default/files/documents/gopro/Climate_Progress_Report_2023_Final.pdf</t>
  </si>
  <si>
    <t>Estimates of the emissions of non-modelled ESR sectors</t>
  </si>
  <si>
    <t>Waste 5</t>
  </si>
  <si>
    <t>Agriculture 3</t>
  </si>
  <si>
    <t>Industry 1B</t>
  </si>
  <si>
    <t>in ktCO2eq</t>
  </si>
  <si>
    <t>Source:</t>
  </si>
  <si>
    <t>Koljonen et al. 2024 PEIKKO-scenarios</t>
  </si>
  <si>
    <t>Data includes GHGs for NFRs</t>
  </si>
  <si>
    <t>1A2, 1A3, 1A4, 1A5, 2</t>
  </si>
  <si>
    <t>Data includes CO2 only for NFRs</t>
  </si>
  <si>
    <t>3, 5</t>
  </si>
  <si>
    <t>nfr_code</t>
  </si>
  <si>
    <t>nfr_category</t>
  </si>
  <si>
    <t>co2</t>
  </si>
  <si>
    <t>nonco2</t>
  </si>
  <si>
    <t>ghg</t>
  </si>
  <si>
    <t>period</t>
  </si>
  <si>
    <t>all ESR sectors</t>
  </si>
  <si>
    <t>modelled ESR sectors</t>
  </si>
  <si>
    <t>nonmodelled ESR sectors</t>
  </si>
  <si>
    <t>ESR target</t>
  </si>
  <si>
    <t>CO2</t>
  </si>
  <si>
    <t>assumed amount of non-modelled GHGs remaining</t>
  </si>
  <si>
    <t>ESR target for the model</t>
  </si>
  <si>
    <t>ESR GHG DATA from UNFCCC country GHG inventories (kt CO2eq) extracted from 2023 submissions</t>
  </si>
  <si>
    <t>Old data</t>
  </si>
  <si>
    <t>compare to inv data</t>
  </si>
  <si>
    <t>total (3,5)</t>
  </si>
  <si>
    <t>total (1A2,1A3,1A4,1A5,3,5)</t>
  </si>
  <si>
    <t>total (1A2,1A3,1A4,1A5)</t>
  </si>
  <si>
    <t>waste</t>
  </si>
  <si>
    <t>5</t>
  </si>
  <si>
    <t>agriculture</t>
  </si>
  <si>
    <t>3</t>
  </si>
  <si>
    <t>other</t>
  </si>
  <si>
    <t>1A5</t>
  </si>
  <si>
    <t>residential and commercial</t>
  </si>
  <si>
    <t>1A4</t>
  </si>
  <si>
    <t>domestic aviation</t>
  </si>
  <si>
    <t>1A3a</t>
  </si>
  <si>
    <t>transport</t>
  </si>
  <si>
    <t>1A3</t>
  </si>
  <si>
    <t>manufacturing and construction</t>
  </si>
  <si>
    <t>1A2</t>
  </si>
  <si>
    <t>emission</t>
  </si>
  <si>
    <t>source: UNFCCC, national CRF-tables from 2023 submission</t>
  </si>
  <si>
    <t>Country-specific emissions from sectors regulated under Effort Sharing Regulation (ESR)</t>
  </si>
  <si>
    <t>ESR sector GHG emissions</t>
  </si>
  <si>
    <t>Required reduction 2005 vs. 2030</t>
  </si>
  <si>
    <t>1A2, 1A3, 1A4, 1A5, 3, 5</t>
  </si>
  <si>
    <t>(excludes domestic aviation)</t>
  </si>
  <si>
    <t>% of ESR sectoral GHG emissions modelled</t>
  </si>
  <si>
    <t>EU29</t>
  </si>
  <si>
    <t>share of modelled esr emissions by 2030</t>
  </si>
  <si>
    <t>estimate for 2030</t>
  </si>
  <si>
    <t>10y reduction factor</t>
  </si>
  <si>
    <t>ETS2 applies only to CO2 from RSD, COM, AGR, TRA, small industry</t>
  </si>
  <si>
    <t>DIFFERENCES</t>
  </si>
  <si>
    <t>CO2TargetESR</t>
  </si>
  <si>
    <t>EffortSharingRegulation</t>
  </si>
  <si>
    <t>~UC_SETS: R_E: AT,BE,BG,CY,CZ,DE,DK,EE,ES,FI,FR,EL,HR,HU,IE,IS,IT,LT,LU,LV,MT,NL,NO,PL,PT,RO,SE,SI,SK</t>
  </si>
  <si>
    <t>CO2TargetETS2lower</t>
  </si>
  <si>
    <t>CO2TargetETS2upper</t>
  </si>
  <si>
    <t>relax</t>
  </si>
  <si>
    <t>TRA</t>
  </si>
  <si>
    <t>AGR</t>
  </si>
  <si>
    <t>NETS</t>
  </si>
  <si>
    <t>others</t>
  </si>
  <si>
    <t>EU + NO + IS</t>
  </si>
  <si>
    <t>Estimated cap for 2030 with 10% relaxation</t>
  </si>
  <si>
    <t>**UC_SETS: R_E: AT,BE,BG,CY,CZ,DE,DK,EE,ES,FI,FR,EL,HR,HU,IE,IS,IT,LT,LU,LV,MT,NL,NO,PL,PT,RO,SE,SI,SK</t>
  </si>
  <si>
    <t>**UC_T: LO</t>
  </si>
  <si>
    <t>BLDJET,BLD_RFNBO_JET</t>
  </si>
  <si>
    <t>TRAHFO00,TRALFO00,BLD_RFNBO_NAV</t>
  </si>
  <si>
    <t>DeActTFM_INS</t>
  </si>
  <si>
    <t>BLDDSL,BLDDSL_RAI,BLDGSLE85,BLDGSLSP95,BLDGSLSP95E10,TRAGAS00,TRAGASH2C01,TRALPG00,BLD_RFNBO_DSL,BLD_RFNBO_RAI,BLD_RFNBO_GSL,BLD_RFNBO_GAS,-BLDJET,-TRAHFO00,-TRALFO00,-BLD_RFNBO_JET,-BLD_RFNBO_NAV</t>
  </si>
  <si>
    <t>updated 08/2025</t>
  </si>
  <si>
    <t>conversion EUR23-&gt;EUR20</t>
  </si>
  <si>
    <t>ESR includes all GHGs, and additionally the agriculture (NFR 3) and waste sectors (NFR 5)</t>
  </si>
  <si>
    <t>In between WEM/WAM</t>
  </si>
  <si>
    <t>~TFM_INS</t>
  </si>
  <si>
    <t>deactTFM_INS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</si>
</sst>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_(* #,##0_);_(* \(#,##0\);_(* &quot;-&quot;_);_(@_)"/>
    <numFmt numFmtId="165" formatCode="_(* #,##0.00_);_(* \(#,##0.00\);_(* &quot;-&quot;??_);_(@_)"/>
    <numFmt numFmtId="166" formatCode="_-* #,##0.00\ _€_-;\-* #,##0.00\ _€_-;_-* &quot;-&quot;??\ _€_-;_-@_-"/>
    <numFmt numFmtId="167" formatCode="_([$€]* #,##0.00_);_([$€]* \(#,##0.00\);_([$€]* &quot;-&quot;??_);_(@_)"/>
    <numFmt numFmtId="168" formatCode="_ &quot;kr&quot;\ * #,##0_ ;_ &quot;kr&quot;\ * \-#,##0_ ;_ &quot;kr&quot;\ * &quot;-&quot;_ ;_ @_ "/>
    <numFmt numFmtId="169" formatCode="_ &quot;kr&quot;\ * #,##0.00_ ;_ &quot;kr&quot;\ * \-#,##0.00_ ;_ &quot;kr&quot;\ * &quot;-&quot;??_ ;_ @_ "/>
    <numFmt numFmtId="170" formatCode="#,##0.0000"/>
    <numFmt numFmtId="171" formatCode="0.0"/>
    <numFmt numFmtId="172" formatCode="0.0\ %"/>
    <numFmt numFmtId="173" formatCode="_-* #,##0\ _€_-;\-* #,##0\ _€_-;_-* &quot;-&quot;??\ _€_-;_-@_-"/>
    <numFmt numFmtId="174" formatCode="#,##0_ ;\-#,##0\ "/>
  </numFmts>
  <fonts count="7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name val="Arial"/>
      <family val="2"/>
    </font>
    <font>
      <sz val="10"/>
      <name val="Courier"/>
      <family val="3"/>
    </font>
    <font>
      <sz val="10"/>
      <name val="Arial"/>
      <family val="2"/>
    </font>
    <font>
      <sz val="10"/>
      <name val="Helvetica"/>
      <family val="2"/>
    </font>
    <font>
      <b/>
      <sz val="12"/>
      <name val="Arial"/>
      <family val="2"/>
    </font>
    <font>
      <sz val="8"/>
      <color indexed="9"/>
      <name val="Arial"/>
      <family val="2"/>
    </font>
    <font>
      <b/>
      <sz val="12"/>
      <name val="Times New Roman"/>
      <family val="1"/>
    </font>
    <font>
      <sz val="9"/>
      <name val="Times New Roman"/>
      <family val="1"/>
    </font>
    <font>
      <sz val="9"/>
      <color indexed="8"/>
      <name val="Times New Roman"/>
      <family val="1"/>
    </font>
    <font>
      <b/>
      <sz val="9"/>
      <name val="Times New Roman"/>
      <family val="1"/>
    </font>
    <font>
      <sz val="12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name val="Arial"/>
      <family val="2"/>
      <charset val="238"/>
    </font>
    <font>
      <u/>
      <sz val="10"/>
      <color indexed="12"/>
      <name val="Times New Roman"/>
      <family val="1"/>
      <charset val="238"/>
    </font>
    <font>
      <sz val="11"/>
      <name val="Arial"/>
      <family val="2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indexed="12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2"/>
      <name val="Arial"/>
      <family val="2"/>
    </font>
    <font>
      <b/>
      <sz val="11"/>
      <color rgb="FF0070C0"/>
      <name val="Arial"/>
      <family val="2"/>
    </font>
    <font>
      <sz val="9"/>
      <name val="Arial"/>
      <family val="2"/>
    </font>
    <font>
      <sz val="9"/>
      <color indexed="8"/>
      <name val="Arial"/>
      <family val="2"/>
    </font>
    <font>
      <b/>
      <sz val="9"/>
      <name val="Arial"/>
      <family val="2"/>
    </font>
    <font>
      <b/>
      <sz val="9"/>
      <color indexed="8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indexed="12"/>
      <name val="Arial"/>
      <family val="2"/>
    </font>
    <font>
      <b/>
      <sz val="9"/>
      <color rgb="FFFF0000"/>
      <name val="Arial"/>
      <family val="2"/>
    </font>
    <font>
      <i/>
      <sz val="9"/>
      <color theme="1"/>
      <name val="Arial"/>
      <family val="2"/>
    </font>
    <font>
      <sz val="10"/>
      <name val="Arial"/>
      <family val="2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i/>
      <sz val="8"/>
      <color indexed="8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4"/>
      <color theme="1"/>
      <name val="Arial"/>
      <family val="2"/>
    </font>
    <font>
      <i/>
      <sz val="8"/>
      <color theme="1"/>
      <name val="Arial"/>
      <family val="2"/>
    </font>
    <font>
      <b/>
      <sz val="14"/>
      <color theme="1"/>
      <name val="Arial"/>
      <family val="2"/>
    </font>
    <font>
      <b/>
      <sz val="8"/>
      <name val="Arial"/>
      <family val="2"/>
    </font>
  </fonts>
  <fills count="5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3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99CC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98">
    <xf numFmtId="0" fontId="0" fillId="0" borderId="0"/>
    <xf numFmtId="0" fontId="8" fillId="2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2"/>
    </xf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9" borderId="0" applyNumberFormat="0" applyBorder="0" applyAlignment="0" applyProtection="0"/>
    <xf numFmtId="0" fontId="8" fillId="9" borderId="0" applyNumberFormat="0" applyBorder="0" applyAlignment="0" applyProtection="0"/>
    <xf numFmtId="0" fontId="8" fillId="10" borderId="0" applyNumberFormat="0" applyBorder="0" applyAlignment="0" applyProtection="0"/>
    <xf numFmtId="0" fontId="8" fillId="10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8" fillId="8" borderId="0" applyNumberFormat="0" applyBorder="0" applyAlignment="0" applyProtection="0"/>
    <xf numFmtId="0" fontId="8" fillId="8" borderId="0" applyNumberFormat="0" applyBorder="0" applyAlignment="0" applyProtection="0"/>
    <xf numFmtId="0" fontId="8" fillId="11" borderId="0" applyNumberFormat="0" applyBorder="0" applyAlignment="0" applyProtection="0"/>
    <xf numFmtId="0" fontId="8" fillId="11" borderId="0" applyNumberFormat="0" applyBorder="0" applyAlignment="0" applyProtection="0"/>
    <xf numFmtId="0" fontId="7" fillId="0" borderId="0" applyNumberFormat="0" applyFont="0" applyFill="0" applyBorder="0" applyProtection="0">
      <alignment horizontal="left" vertical="center" indent="5"/>
    </xf>
    <xf numFmtId="0" fontId="9" fillId="12" borderId="0" applyNumberFormat="0" applyBorder="0" applyAlignment="0" applyProtection="0"/>
    <xf numFmtId="0" fontId="9" fillId="12" borderId="0" applyNumberFormat="0" applyBorder="0" applyAlignment="0" applyProtection="0"/>
    <xf numFmtId="0" fontId="9" fillId="9" borderId="0" applyNumberFormat="0" applyBorder="0" applyAlignment="0" applyProtection="0"/>
    <xf numFmtId="0" fontId="9" fillId="9" borderId="0" applyNumberFormat="0" applyBorder="0" applyAlignment="0" applyProtection="0"/>
    <xf numFmtId="0" fontId="9" fillId="10" borderId="0" applyNumberFormat="0" applyBorder="0" applyAlignment="0" applyProtection="0"/>
    <xf numFmtId="0" fontId="9" fillId="10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5" borderId="0" applyNumberFormat="0" applyBorder="0" applyAlignment="0" applyProtection="0"/>
    <xf numFmtId="0" fontId="9" fillId="15" borderId="0" applyNumberFormat="0" applyBorder="0" applyAlignment="0" applyProtection="0"/>
    <xf numFmtId="0" fontId="9" fillId="16" borderId="0" applyNumberFormat="0" applyBorder="0" applyAlignment="0" applyProtection="0"/>
    <xf numFmtId="0" fontId="9" fillId="16" borderId="0" applyNumberFormat="0" applyBorder="0" applyAlignment="0" applyProtection="0"/>
    <xf numFmtId="0" fontId="9" fillId="17" borderId="0" applyNumberFormat="0" applyBorder="0" applyAlignment="0" applyProtection="0"/>
    <xf numFmtId="0" fontId="9" fillId="1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3" borderId="0" applyNumberFormat="0" applyBorder="0" applyAlignment="0" applyProtection="0"/>
    <xf numFmtId="0" fontId="9" fillId="13" borderId="0" applyNumberFormat="0" applyBorder="0" applyAlignment="0" applyProtection="0"/>
    <xf numFmtId="0" fontId="9" fillId="14" borderId="0" applyNumberFormat="0" applyBorder="0" applyAlignment="0" applyProtection="0"/>
    <xf numFmtId="0" fontId="9" fillId="14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34" fillId="20" borderId="0" applyBorder="0" applyAlignment="0"/>
    <xf numFmtId="4" fontId="34" fillId="20" borderId="0" applyBorder="0" applyAlignment="0"/>
    <xf numFmtId="0" fontId="32" fillId="20" borderId="0" applyBorder="0">
      <alignment horizontal="right" vertical="center"/>
    </xf>
    <xf numFmtId="4" fontId="32" fillId="20" borderId="0" applyBorder="0">
      <alignment horizontal="right" vertical="center"/>
    </xf>
    <xf numFmtId="0" fontId="32" fillId="20" borderId="1">
      <alignment horizontal="right" vertical="center"/>
    </xf>
    <xf numFmtId="4" fontId="32" fillId="21" borderId="0" applyBorder="0">
      <alignment horizontal="right" vertical="center"/>
    </xf>
    <xf numFmtId="4" fontId="32" fillId="21" borderId="0" applyBorder="0">
      <alignment horizontal="right" vertical="center"/>
    </xf>
    <xf numFmtId="0" fontId="33" fillId="21" borderId="1">
      <alignment horizontal="right" vertical="center"/>
    </xf>
    <xf numFmtId="4" fontId="33" fillId="21" borderId="1">
      <alignment horizontal="right" vertical="center"/>
    </xf>
    <xf numFmtId="0" fontId="33" fillId="21" borderId="2">
      <alignment horizontal="right" vertical="center"/>
    </xf>
    <xf numFmtId="0" fontId="35" fillId="21" borderId="1">
      <alignment horizontal="right" vertical="center"/>
    </xf>
    <xf numFmtId="4" fontId="35" fillId="21" borderId="1">
      <alignment horizontal="right" vertical="center"/>
    </xf>
    <xf numFmtId="0" fontId="33" fillId="22" borderId="1">
      <alignment horizontal="right" vertical="center"/>
    </xf>
    <xf numFmtId="4" fontId="33" fillId="22" borderId="1">
      <alignment horizontal="right" vertical="center"/>
    </xf>
    <xf numFmtId="0" fontId="33" fillId="22" borderId="2">
      <alignment horizontal="right" vertical="center"/>
    </xf>
    <xf numFmtId="0" fontId="33" fillId="22" borderId="1">
      <alignment horizontal="right" vertical="center"/>
    </xf>
    <xf numFmtId="4" fontId="33" fillId="22" borderId="1">
      <alignment horizontal="right" vertical="center"/>
    </xf>
    <xf numFmtId="0" fontId="33" fillId="22" borderId="3">
      <alignment horizontal="right" vertical="center"/>
    </xf>
    <xf numFmtId="0" fontId="33" fillId="22" borderId="4">
      <alignment horizontal="right" vertical="center"/>
    </xf>
    <xf numFmtId="4" fontId="33" fillId="22" borderId="4">
      <alignment horizontal="right" vertical="center"/>
    </xf>
    <xf numFmtId="0" fontId="33" fillId="22" borderId="5">
      <alignment horizontal="right" vertical="center"/>
    </xf>
    <xf numFmtId="4" fontId="33" fillId="22" borderId="5">
      <alignment horizontal="right" vertical="center"/>
    </xf>
    <xf numFmtId="0" fontId="10" fillId="3" borderId="0" applyNumberFormat="0" applyBorder="0" applyAlignment="0" applyProtection="0"/>
    <xf numFmtId="0" fontId="10" fillId="3" borderId="0" applyNumberFormat="0" applyBorder="0" applyAlignment="0" applyProtection="0"/>
    <xf numFmtId="4" fontId="34" fillId="0" borderId="6" applyFill="0" applyBorder="0" applyProtection="0">
      <alignment horizontal="right" vertical="center"/>
    </xf>
    <xf numFmtId="0" fontId="11" fillId="23" borderId="7" applyNumberFormat="0" applyAlignment="0" applyProtection="0"/>
    <xf numFmtId="0" fontId="11" fillId="23" borderId="7" applyNumberFormat="0" applyAlignment="0" applyProtection="0"/>
    <xf numFmtId="0" fontId="12" fillId="24" borderId="8" applyNumberFormat="0" applyAlignment="0" applyProtection="0"/>
    <xf numFmtId="0" fontId="12" fillId="24" borderId="8" applyNumberFormat="0" applyAlignment="0" applyProtection="0"/>
    <xf numFmtId="165" fontId="4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27" fillId="0" borderId="0" applyFont="0" applyFill="0" applyBorder="0" applyAlignment="0" applyProtection="0"/>
    <xf numFmtId="166" fontId="27" fillId="0" borderId="0" applyFont="0" applyFill="0" applyBorder="0" applyAlignment="0" applyProtection="0"/>
    <xf numFmtId="0" fontId="33" fillId="0" borderId="0" applyNumberFormat="0">
      <alignment horizontal="right"/>
    </xf>
    <xf numFmtId="0" fontId="32" fillId="22" borderId="9">
      <alignment horizontal="left" vertical="center" wrapText="1" indent="2"/>
    </xf>
    <xf numFmtId="0" fontId="32" fillId="0" borderId="9">
      <alignment horizontal="left" vertical="center" wrapText="1" indent="2"/>
    </xf>
    <xf numFmtId="0" fontId="32" fillId="21" borderId="4">
      <alignment horizontal="left" vertical="center"/>
    </xf>
    <xf numFmtId="0" fontId="33" fillId="0" borderId="10">
      <alignment horizontal="left" vertical="top" wrapText="1"/>
    </xf>
    <xf numFmtId="0" fontId="7" fillId="0" borderId="11"/>
    <xf numFmtId="167" fontId="7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11" fontId="7" fillId="0" borderId="0" applyFont="0" applyFill="0" applyBorder="0" applyAlignment="0" applyProtection="0"/>
    <xf numFmtId="11" fontId="7" fillId="0" borderId="0" applyFont="0" applyFill="0" applyBorder="0" applyAlignment="0" applyProtection="0"/>
    <xf numFmtId="0" fontId="14" fillId="4" borderId="0" applyNumberFormat="0" applyBorder="0" applyAlignment="0" applyProtection="0"/>
    <xf numFmtId="0" fontId="14" fillId="4" borderId="0" applyNumberFormat="0" applyBorder="0" applyAlignment="0" applyProtection="0"/>
    <xf numFmtId="0" fontId="15" fillId="0" borderId="12" applyNumberFormat="0" applyFill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18" fillId="7" borderId="7" applyNumberFormat="0" applyAlignment="0" applyProtection="0"/>
    <xf numFmtId="0" fontId="18" fillId="7" borderId="7" applyNumberFormat="0" applyAlignment="0" applyProtection="0"/>
    <xf numFmtId="4" fontId="32" fillId="0" borderId="0" applyBorder="0">
      <alignment horizontal="right" vertical="center"/>
    </xf>
    <xf numFmtId="0" fontId="32" fillId="0" borderId="1">
      <alignment horizontal="right" vertical="center"/>
    </xf>
    <xf numFmtId="4" fontId="32" fillId="0" borderId="1">
      <alignment horizontal="right" vertical="center"/>
    </xf>
    <xf numFmtId="0" fontId="32" fillId="0" borderId="2">
      <alignment horizontal="right" vertical="center"/>
    </xf>
    <xf numFmtId="1" fontId="36" fillId="21" borderId="0" applyBorder="0">
      <alignment horizontal="right" vertical="center"/>
    </xf>
    <xf numFmtId="0" fontId="7" fillId="25" borderId="1"/>
    <xf numFmtId="0" fontId="19" fillId="0" borderId="15" applyNumberFormat="0" applyFill="0" applyAlignment="0" applyProtection="0"/>
    <xf numFmtId="0" fontId="19" fillId="0" borderId="15" applyNumberFormat="0" applyFill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8" fillId="0" borderId="0"/>
    <xf numFmtId="0" fontId="8" fillId="0" borderId="0"/>
    <xf numFmtId="0" fontId="39" fillId="0" borderId="0"/>
    <xf numFmtId="0" fontId="7" fillId="0" borderId="0"/>
    <xf numFmtId="0" fontId="7" fillId="0" borderId="0"/>
    <xf numFmtId="4" fontId="7" fillId="0" borderId="0"/>
    <xf numFmtId="0" fontId="7" fillId="0" borderId="0"/>
    <xf numFmtId="0" fontId="8" fillId="0" borderId="0"/>
    <xf numFmtId="0" fontId="8" fillId="0" borderId="0"/>
    <xf numFmtId="0" fontId="7" fillId="0" borderId="0"/>
    <xf numFmtId="0" fontId="5" fillId="0" borderId="0"/>
    <xf numFmtId="0" fontId="7" fillId="0" borderId="0"/>
    <xf numFmtId="0" fontId="8" fillId="0" borderId="0"/>
    <xf numFmtId="0" fontId="27" fillId="0" borderId="0"/>
    <xf numFmtId="0" fontId="7" fillId="0" borderId="0"/>
    <xf numFmtId="0" fontId="27" fillId="0" borderId="0"/>
    <xf numFmtId="0" fontId="7" fillId="0" borderId="0"/>
    <xf numFmtId="0" fontId="8" fillId="0" borderId="0"/>
    <xf numFmtId="0" fontId="5" fillId="0" borderId="0"/>
    <xf numFmtId="0" fontId="8" fillId="0" borderId="0"/>
    <xf numFmtId="0" fontId="25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40" fillId="0" borderId="0"/>
    <xf numFmtId="4" fontId="32" fillId="0" borderId="0" applyFill="0" applyBorder="0" applyProtection="0">
      <alignment horizontal="right" vertical="center"/>
    </xf>
    <xf numFmtId="0" fontId="34" fillId="0" borderId="0" applyNumberFormat="0" applyFill="0" applyBorder="0" applyProtection="0">
      <alignment horizontal="left" vertical="center"/>
    </xf>
    <xf numFmtId="0" fontId="32" fillId="0" borderId="1" applyNumberFormat="0" applyFill="0" applyAlignment="0" applyProtection="0"/>
    <xf numFmtId="0" fontId="7" fillId="27" borderId="0" applyNumberFormat="0" applyFont="0" applyBorder="0" applyAlignment="0" applyProtection="0"/>
    <xf numFmtId="4" fontId="7" fillId="27" borderId="0" applyNumberFormat="0" applyFont="0" applyBorder="0" applyAlignment="0" applyProtection="0"/>
    <xf numFmtId="0" fontId="37" fillId="0" borderId="0"/>
    <xf numFmtId="0" fontId="26" fillId="0" borderId="0"/>
    <xf numFmtId="0" fontId="8" fillId="0" borderId="0"/>
    <xf numFmtId="0" fontId="8" fillId="28" borderId="16" applyNumberFormat="0" applyFont="0" applyAlignment="0" applyProtection="0"/>
    <xf numFmtId="0" fontId="8" fillId="28" borderId="16" applyNumberFormat="0" applyFont="0" applyAlignment="0" applyProtection="0"/>
    <xf numFmtId="0" fontId="21" fillId="23" borderId="17" applyNumberFormat="0" applyAlignment="0" applyProtection="0"/>
    <xf numFmtId="0" fontId="21" fillId="23" borderId="17" applyNumberFormat="0" applyAlignment="0" applyProtection="0"/>
    <xf numFmtId="170" fontId="32" fillId="29" borderId="1" applyNumberFormat="0" applyFont="0" applyBorder="0" applyAlignment="0" applyProtection="0">
      <alignment horizontal="right" vertical="center"/>
    </xf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25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0" fillId="0" borderId="0" applyFont="0" applyFill="0" applyBorder="0" applyAlignment="0" applyProtection="0"/>
    <xf numFmtId="165" fontId="28" fillId="0" borderId="0" applyFont="0" applyFill="0" applyBorder="0" applyAlignment="0" applyProtection="0"/>
    <xf numFmtId="164" fontId="28" fillId="0" borderId="0" applyFont="0" applyFill="0" applyBorder="0" applyAlignment="0" applyProtection="0"/>
    <xf numFmtId="168" fontId="28" fillId="0" borderId="0" applyFont="0" applyFill="0" applyBorder="0" applyAlignment="0" applyProtection="0"/>
    <xf numFmtId="0" fontId="32" fillId="27" borderId="1"/>
    <xf numFmtId="0" fontId="7" fillId="0" borderId="0"/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6" fillId="30" borderId="1" applyNumberFormat="0" applyProtection="0">
      <alignment horizontal="right"/>
    </xf>
    <xf numFmtId="0" fontId="29" fillId="30" borderId="0" applyNumberFormat="0" applyBorder="0" applyProtection="0">
      <alignment horizontal="left"/>
    </xf>
    <xf numFmtId="0" fontId="6" fillId="30" borderId="1" applyNumberFormat="0" applyProtection="0">
      <alignment horizontal="left"/>
    </xf>
    <xf numFmtId="0" fontId="7" fillId="0" borderId="1" applyNumberFormat="0" applyFill="0" applyProtection="0">
      <alignment horizontal="right"/>
    </xf>
    <xf numFmtId="0" fontId="7" fillId="0" borderId="1" applyNumberFormat="0" applyFill="0" applyProtection="0">
      <alignment horizontal="right"/>
    </xf>
    <xf numFmtId="0" fontId="30" fillId="31" borderId="0" applyNumberFormat="0" applyBorder="0" applyProtection="0">
      <alignment horizontal="left"/>
    </xf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18" applyNumberFormat="0" applyFill="0" applyAlignment="0" applyProtection="0"/>
    <xf numFmtId="0" fontId="23" fillId="0" borderId="18" applyNumberFormat="0" applyFill="0" applyAlignment="0" applyProtection="0"/>
    <xf numFmtId="169" fontId="28" fillId="0" borderId="0" applyFon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2" fillId="0" borderId="0"/>
    <xf numFmtId="0" fontId="3" fillId="0" borderId="0"/>
    <xf numFmtId="0" fontId="4" fillId="0" borderId="0"/>
    <xf numFmtId="0" fontId="4" fillId="0" borderId="0"/>
    <xf numFmtId="9" fontId="2" fillId="0" borderId="0" applyFont="0" applyFill="0" applyBorder="0" applyAlignment="0" applyProtection="0"/>
    <xf numFmtId="9" fontId="62" fillId="0" borderId="0" applyFont="0" applyFill="0" applyBorder="0" applyAlignment="0" applyProtection="0"/>
    <xf numFmtId="0" fontId="1" fillId="0" borderId="0"/>
    <xf numFmtId="0" fontId="8" fillId="0" borderId="0"/>
  </cellStyleXfs>
  <cellXfs count="245">
    <xf numFmtId="0" fontId="0" fillId="0" borderId="0" xfId="0"/>
    <xf numFmtId="0" fontId="6" fillId="0" borderId="0" xfId="0" applyFont="1"/>
    <xf numFmtId="0" fontId="4" fillId="0" borderId="0" xfId="0" applyFont="1"/>
    <xf numFmtId="0" fontId="44" fillId="0" borderId="0" xfId="192" applyFont="1" applyFill="1" applyBorder="1" applyAlignment="1">
      <alignment horizontal="left"/>
    </xf>
    <xf numFmtId="0" fontId="6" fillId="39" borderId="0" xfId="0" applyFont="1" applyFill="1"/>
    <xf numFmtId="0" fontId="6" fillId="35" borderId="0" xfId="0" applyFont="1" applyFill="1"/>
    <xf numFmtId="0" fontId="45" fillId="0" borderId="0" xfId="123" applyFont="1"/>
    <xf numFmtId="0" fontId="4" fillId="35" borderId="0" xfId="0" applyFont="1" applyFill="1"/>
    <xf numFmtId="0" fontId="4" fillId="39" borderId="0" xfId="0" applyFont="1" applyFill="1"/>
    <xf numFmtId="0" fontId="47" fillId="0" borderId="0" xfId="123" applyFont="1"/>
    <xf numFmtId="0" fontId="29" fillId="35" borderId="0" xfId="0" applyFont="1" applyFill="1"/>
    <xf numFmtId="0" fontId="49" fillId="35" borderId="0" xfId="0" applyFont="1" applyFill="1"/>
    <xf numFmtId="0" fontId="50" fillId="0" borderId="0" xfId="157" applyFont="1"/>
    <xf numFmtId="0" fontId="46" fillId="0" borderId="0" xfId="157" applyFont="1"/>
    <xf numFmtId="0" fontId="50" fillId="0" borderId="0" xfId="123" applyFont="1"/>
    <xf numFmtId="0" fontId="47" fillId="0" borderId="0" xfId="123" applyFont="1" applyAlignment="1">
      <alignment horizontal="center"/>
    </xf>
    <xf numFmtId="1" fontId="47" fillId="0" borderId="0" xfId="123" applyNumberFormat="1" applyFont="1"/>
    <xf numFmtId="0" fontId="47" fillId="0" borderId="0" xfId="123" applyFont="1" applyFill="1"/>
    <xf numFmtId="1" fontId="47" fillId="0" borderId="0" xfId="123" applyNumberFormat="1" applyFont="1" applyFill="1"/>
    <xf numFmtId="0" fontId="51" fillId="0" borderId="0" xfId="0" applyFont="1"/>
    <xf numFmtId="0" fontId="51" fillId="0" borderId="0" xfId="193" applyFont="1"/>
    <xf numFmtId="0" fontId="52" fillId="0" borderId="0" xfId="123" applyFont="1"/>
    <xf numFmtId="1" fontId="51" fillId="0" borderId="0" xfId="193" applyNumberFormat="1" applyFont="1"/>
    <xf numFmtId="2" fontId="51" fillId="35" borderId="0" xfId="193" applyNumberFormat="1" applyFont="1" applyFill="1"/>
    <xf numFmtId="0" fontId="51" fillId="35" borderId="0" xfId="193" applyFont="1" applyFill="1"/>
    <xf numFmtId="0" fontId="51" fillId="0" borderId="0" xfId="0" applyFont="1" applyBorder="1" applyAlignment="1">
      <alignment horizontal="center" vertical="center"/>
    </xf>
    <xf numFmtId="0" fontId="51" fillId="0" borderId="0" xfId="193" applyFont="1" applyFill="1"/>
    <xf numFmtId="0" fontId="52" fillId="0" borderId="0" xfId="123" applyFont="1" applyFill="1"/>
    <xf numFmtId="0" fontId="52" fillId="0" borderId="0" xfId="123" quotePrefix="1" applyFont="1" applyFill="1"/>
    <xf numFmtId="1" fontId="51" fillId="0" borderId="0" xfId="193" applyNumberFormat="1" applyFont="1" applyFill="1"/>
    <xf numFmtId="0" fontId="51" fillId="39" borderId="0" xfId="193" applyFont="1" applyFill="1"/>
    <xf numFmtId="0" fontId="51" fillId="0" borderId="21" xfId="0" applyFont="1" applyBorder="1"/>
    <xf numFmtId="0" fontId="51" fillId="0" borderId="21" xfId="0" applyFont="1" applyFill="1" applyBorder="1"/>
    <xf numFmtId="1" fontId="51" fillId="0" borderId="21" xfId="193" applyNumberFormat="1" applyFont="1" applyFill="1" applyBorder="1"/>
    <xf numFmtId="0" fontId="4" fillId="0" borderId="21" xfId="0" applyFont="1" applyBorder="1"/>
    <xf numFmtId="0" fontId="51" fillId="0" borderId="21" xfId="193" applyFont="1" applyFill="1" applyBorder="1"/>
    <xf numFmtId="0" fontId="52" fillId="0" borderId="21" xfId="123" applyFont="1" applyFill="1" applyBorder="1"/>
    <xf numFmtId="0" fontId="51" fillId="35" borderId="21" xfId="0" applyFont="1" applyFill="1" applyBorder="1"/>
    <xf numFmtId="1" fontId="51" fillId="35" borderId="21" xfId="193" applyNumberFormat="1" applyFont="1" applyFill="1" applyBorder="1"/>
    <xf numFmtId="1" fontId="51" fillId="0" borderId="21" xfId="193" applyNumberFormat="1" applyFont="1" applyBorder="1"/>
    <xf numFmtId="0" fontId="51" fillId="0" borderId="0" xfId="0" applyFont="1" applyBorder="1" applyAlignment="1">
      <alignment horizontal="center" vertical="center" wrapText="1"/>
    </xf>
    <xf numFmtId="0" fontId="54" fillId="33" borderId="19" xfId="123" applyFont="1" applyFill="1" applyBorder="1" applyAlignment="1">
      <alignment horizontal="center"/>
    </xf>
    <xf numFmtId="0" fontId="6" fillId="0" borderId="19" xfId="0" applyFont="1" applyBorder="1"/>
    <xf numFmtId="0" fontId="53" fillId="37" borderId="19" xfId="192" applyFont="1" applyFill="1" applyBorder="1"/>
    <xf numFmtId="0" fontId="53" fillId="38" borderId="19" xfId="192" applyFont="1" applyFill="1" applyBorder="1" applyAlignment="1">
      <alignment horizontal="center"/>
    </xf>
    <xf numFmtId="0" fontId="54" fillId="34" borderId="19" xfId="123" applyFont="1" applyFill="1" applyBorder="1"/>
    <xf numFmtId="0" fontId="48" fillId="0" borderId="19" xfId="123" applyFont="1" applyFill="1" applyBorder="1"/>
    <xf numFmtId="0" fontId="51" fillId="0" borderId="0" xfId="0" applyFont="1" applyBorder="1"/>
    <xf numFmtId="0" fontId="51" fillId="0" borderId="0" xfId="193" applyFont="1" applyFill="1" applyBorder="1"/>
    <xf numFmtId="0" fontId="53" fillId="0" borderId="19" xfId="0" applyFont="1" applyBorder="1"/>
    <xf numFmtId="2" fontId="51" fillId="39" borderId="0" xfId="193" applyNumberFormat="1" applyFont="1" applyFill="1"/>
    <xf numFmtId="0" fontId="54" fillId="0" borderId="19" xfId="123" applyFont="1" applyFill="1" applyBorder="1"/>
    <xf numFmtId="0" fontId="52" fillId="0" borderId="21" xfId="123" applyFont="1" applyBorder="1"/>
    <xf numFmtId="0" fontId="51" fillId="0" borderId="21" xfId="193" applyFont="1" applyBorder="1"/>
    <xf numFmtId="0" fontId="51" fillId="39" borderId="21" xfId="0" applyFont="1" applyFill="1" applyBorder="1"/>
    <xf numFmtId="1" fontId="51" fillId="39" borderId="21" xfId="193" applyNumberFormat="1" applyFont="1" applyFill="1" applyBorder="1"/>
    <xf numFmtId="1" fontId="51" fillId="39" borderId="0" xfId="193" applyNumberFormat="1" applyFont="1" applyFill="1"/>
    <xf numFmtId="0" fontId="55" fillId="0" borderId="0" xfId="192" applyFont="1"/>
    <xf numFmtId="0" fontId="56" fillId="0" borderId="0" xfId="192" applyFont="1"/>
    <xf numFmtId="1" fontId="57" fillId="0" borderId="0" xfId="192" applyNumberFormat="1" applyFont="1" applyFill="1" applyBorder="1"/>
    <xf numFmtId="0" fontId="58" fillId="0" borderId="0" xfId="192" applyFont="1" applyFill="1" applyBorder="1"/>
    <xf numFmtId="0" fontId="58" fillId="0" borderId="0" xfId="192" applyFont="1" applyFill="1"/>
    <xf numFmtId="3" fontId="57" fillId="0" borderId="21" xfId="192" applyNumberFormat="1" applyFont="1" applyFill="1" applyBorder="1"/>
    <xf numFmtId="0" fontId="58" fillId="0" borderId="21" xfId="192" applyFont="1" applyFill="1" applyBorder="1"/>
    <xf numFmtId="0" fontId="4" fillId="0" borderId="0" xfId="192"/>
    <xf numFmtId="0" fontId="55" fillId="0" borderId="0" xfId="192" applyFont="1" applyAlignment="1">
      <alignment wrapText="1"/>
    </xf>
    <xf numFmtId="0" fontId="56" fillId="0" borderId="0" xfId="192" applyFont="1" applyAlignment="1">
      <alignment wrapText="1"/>
    </xf>
    <xf numFmtId="0" fontId="56" fillId="42" borderId="21" xfId="192" applyFont="1" applyFill="1" applyBorder="1" applyAlignment="1">
      <alignment wrapText="1"/>
    </xf>
    <xf numFmtId="0" fontId="56" fillId="0" borderId="21" xfId="192" applyFont="1" applyBorder="1" applyAlignment="1">
      <alignment wrapText="1"/>
    </xf>
    <xf numFmtId="0" fontId="55" fillId="0" borderId="21" xfId="192" applyFont="1" applyBorder="1" applyAlignment="1">
      <alignment wrapText="1"/>
    </xf>
    <xf numFmtId="0" fontId="56" fillId="43" borderId="21" xfId="192" applyFont="1" applyFill="1" applyBorder="1" applyAlignment="1">
      <alignment wrapText="1"/>
    </xf>
    <xf numFmtId="0" fontId="4" fillId="0" borderId="0" xfId="192" applyAlignment="1">
      <alignment wrapText="1"/>
    </xf>
    <xf numFmtId="0" fontId="55" fillId="42" borderId="0" xfId="192" applyFont="1" applyFill="1"/>
    <xf numFmtId="0" fontId="55" fillId="44" borderId="0" xfId="192" applyFont="1" applyFill="1"/>
    <xf numFmtId="10" fontId="55" fillId="0" borderId="0" xfId="194" applyNumberFormat="1" applyFont="1"/>
    <xf numFmtId="3" fontId="55" fillId="0" borderId="0" xfId="192" applyNumberFormat="1" applyFont="1"/>
    <xf numFmtId="0" fontId="56" fillId="0" borderId="21" xfId="192" applyFont="1" applyBorder="1"/>
    <xf numFmtId="0" fontId="56" fillId="42" borderId="21" xfId="192" applyFont="1" applyFill="1" applyBorder="1"/>
    <xf numFmtId="3" fontId="56" fillId="44" borderId="21" xfId="192" applyNumberFormat="1" applyFont="1" applyFill="1" applyBorder="1"/>
    <xf numFmtId="10" fontId="56" fillId="0" borderId="21" xfId="194" applyNumberFormat="1" applyFont="1" applyBorder="1"/>
    <xf numFmtId="1" fontId="56" fillId="0" borderId="21" xfId="194" applyNumberFormat="1" applyFont="1" applyBorder="1"/>
    <xf numFmtId="3" fontId="56" fillId="0" borderId="21" xfId="192" applyNumberFormat="1" applyFont="1" applyBorder="1"/>
    <xf numFmtId="3" fontId="55" fillId="44" borderId="0" xfId="192" applyNumberFormat="1" applyFont="1" applyFill="1"/>
    <xf numFmtId="1" fontId="55" fillId="0" borderId="0" xfId="194" applyNumberFormat="1" applyFont="1"/>
    <xf numFmtId="3" fontId="55" fillId="42" borderId="0" xfId="192" applyNumberFormat="1" applyFont="1" applyFill="1"/>
    <xf numFmtId="3" fontId="55" fillId="45" borderId="0" xfId="192" applyNumberFormat="1" applyFont="1" applyFill="1"/>
    <xf numFmtId="3" fontId="55" fillId="0" borderId="0" xfId="192" quotePrefix="1" applyNumberFormat="1" applyFont="1"/>
    <xf numFmtId="171" fontId="55" fillId="0" borderId="0" xfId="192" applyNumberFormat="1" applyFont="1" applyAlignment="1">
      <alignment wrapText="1"/>
    </xf>
    <xf numFmtId="3" fontId="56" fillId="42" borderId="21" xfId="192" applyNumberFormat="1" applyFont="1" applyFill="1" applyBorder="1"/>
    <xf numFmtId="3" fontId="56" fillId="45" borderId="21" xfId="192" applyNumberFormat="1" applyFont="1" applyFill="1" applyBorder="1"/>
    <xf numFmtId="171" fontId="56" fillId="0" borderId="21" xfId="192" applyNumberFormat="1" applyFont="1" applyBorder="1" applyAlignment="1">
      <alignment wrapText="1"/>
    </xf>
    <xf numFmtId="172" fontId="56" fillId="0" borderId="21" xfId="194" applyNumberFormat="1" applyFont="1" applyBorder="1"/>
    <xf numFmtId="172" fontId="55" fillId="0" borderId="0" xfId="194" applyNumberFormat="1" applyFont="1"/>
    <xf numFmtId="0" fontId="55" fillId="0" borderId="21" xfId="192" applyFont="1" applyBorder="1"/>
    <xf numFmtId="3" fontId="55" fillId="42" borderId="21" xfId="192" applyNumberFormat="1" applyFont="1" applyFill="1" applyBorder="1"/>
    <xf numFmtId="3" fontId="55" fillId="45" borderId="21" xfId="192" applyNumberFormat="1" applyFont="1" applyFill="1" applyBorder="1"/>
    <xf numFmtId="10" fontId="55" fillId="0" borderId="21" xfId="194" applyNumberFormat="1" applyFont="1" applyBorder="1"/>
    <xf numFmtId="1" fontId="55" fillId="0" borderId="21" xfId="194" applyNumberFormat="1" applyFont="1" applyBorder="1"/>
    <xf numFmtId="3" fontId="55" fillId="0" borderId="21" xfId="192" applyNumberFormat="1" applyFont="1" applyBorder="1"/>
    <xf numFmtId="3" fontId="55" fillId="44" borderId="21" xfId="192" applyNumberFormat="1" applyFont="1" applyFill="1" applyBorder="1"/>
    <xf numFmtId="171" fontId="55" fillId="0" borderId="21" xfId="192" applyNumberFormat="1" applyFont="1" applyBorder="1" applyAlignment="1">
      <alignment wrapText="1"/>
    </xf>
    <xf numFmtId="172" fontId="55" fillId="41" borderId="21" xfId="194" applyNumberFormat="1" applyFont="1" applyFill="1" applyBorder="1"/>
    <xf numFmtId="3" fontId="55" fillId="41" borderId="0" xfId="192" applyNumberFormat="1" applyFont="1" applyFill="1"/>
    <xf numFmtId="172" fontId="55" fillId="41" borderId="0" xfId="192" applyNumberFormat="1" applyFont="1" applyFill="1"/>
    <xf numFmtId="3" fontId="56" fillId="41" borderId="21" xfId="192" applyNumberFormat="1" applyFont="1" applyFill="1" applyBorder="1"/>
    <xf numFmtId="172" fontId="56" fillId="41" borderId="21" xfId="192" applyNumberFormat="1" applyFont="1" applyFill="1" applyBorder="1"/>
    <xf numFmtId="1" fontId="55" fillId="41" borderId="0" xfId="192" applyNumberFormat="1" applyFont="1" applyFill="1"/>
    <xf numFmtId="0" fontId="55" fillId="41" borderId="0" xfId="192" applyFont="1" applyFill="1"/>
    <xf numFmtId="10" fontId="55" fillId="41" borderId="0" xfId="194" applyNumberFormat="1" applyFont="1" applyFill="1"/>
    <xf numFmtId="1" fontId="56" fillId="0" borderId="0" xfId="192" applyNumberFormat="1" applyFont="1"/>
    <xf numFmtId="0" fontId="56" fillId="41" borderId="0" xfId="192" applyFont="1" applyFill="1"/>
    <xf numFmtId="10" fontId="56" fillId="41" borderId="0" xfId="194" applyNumberFormat="1" applyFont="1" applyFill="1"/>
    <xf numFmtId="3" fontId="56" fillId="41" borderId="0" xfId="192" applyNumberFormat="1" applyFont="1" applyFill="1"/>
    <xf numFmtId="3" fontId="56" fillId="0" borderId="0" xfId="192" applyNumberFormat="1" applyFont="1"/>
    <xf numFmtId="172" fontId="56" fillId="41" borderId="0" xfId="192" applyNumberFormat="1" applyFont="1" applyFill="1"/>
    <xf numFmtId="0" fontId="29" fillId="0" borderId="0" xfId="0" applyFont="1" applyFill="1"/>
    <xf numFmtId="0" fontId="49" fillId="0" borderId="0" xfId="0" applyFont="1" applyFill="1"/>
    <xf numFmtId="0" fontId="59" fillId="0" borderId="0" xfId="123" applyFont="1" applyFill="1"/>
    <xf numFmtId="0" fontId="8" fillId="0" borderId="0" xfId="123"/>
    <xf numFmtId="0" fontId="23" fillId="32" borderId="0" xfId="157" applyFont="1" applyFill="1"/>
    <xf numFmtId="0" fontId="53" fillId="34" borderId="0" xfId="123" applyFont="1" applyFill="1" applyBorder="1"/>
    <xf numFmtId="0" fontId="54" fillId="41" borderId="0" xfId="123" applyFont="1" applyFill="1"/>
    <xf numFmtId="0" fontId="52" fillId="41" borderId="0" xfId="123" applyFont="1" applyFill="1"/>
    <xf numFmtId="173" fontId="51" fillId="41" borderId="0" xfId="80" applyNumberFormat="1" applyFont="1" applyFill="1"/>
    <xf numFmtId="0" fontId="52" fillId="41" borderId="0" xfId="123" applyFont="1" applyFill="1" applyAlignment="1">
      <alignment horizontal="center"/>
    </xf>
    <xf numFmtId="0" fontId="51" fillId="41" borderId="0" xfId="123" applyFont="1" applyFill="1"/>
    <xf numFmtId="0" fontId="4" fillId="41" borderId="0" xfId="0" applyFont="1" applyFill="1"/>
    <xf numFmtId="173" fontId="51" fillId="0" borderId="0" xfId="80" applyNumberFormat="1" applyFont="1" applyFill="1"/>
    <xf numFmtId="2" fontId="4" fillId="0" borderId="0" xfId="0" applyNumberFormat="1" applyFont="1" applyFill="1"/>
    <xf numFmtId="3" fontId="4" fillId="0" borderId="0" xfId="0" applyNumberFormat="1" applyFont="1" applyFill="1"/>
    <xf numFmtId="0" fontId="52" fillId="41" borderId="0" xfId="123" applyFont="1" applyFill="1" applyBorder="1"/>
    <xf numFmtId="0" fontId="47" fillId="41" borderId="0" xfId="123" applyFont="1" applyFill="1"/>
    <xf numFmtId="0" fontId="47" fillId="41" borderId="0" xfId="123" applyFont="1" applyFill="1" applyAlignment="1">
      <alignment horizontal="center"/>
    </xf>
    <xf numFmtId="0" fontId="51" fillId="41" borderId="0" xfId="0" applyFont="1" applyFill="1"/>
    <xf numFmtId="0" fontId="52" fillId="41" borderId="0" xfId="123" quotePrefix="1" applyFont="1" applyFill="1"/>
    <xf numFmtId="0" fontId="54" fillId="0" borderId="21" xfId="123" applyFont="1" applyBorder="1"/>
    <xf numFmtId="0" fontId="53" fillId="40" borderId="21" xfId="123" applyFont="1" applyFill="1" applyBorder="1"/>
    <xf numFmtId="0" fontId="53" fillId="40" borderId="21" xfId="0" applyFont="1" applyFill="1" applyBorder="1"/>
    <xf numFmtId="0" fontId="53" fillId="34" borderId="21" xfId="123" applyFont="1" applyFill="1" applyBorder="1"/>
    <xf numFmtId="0" fontId="53" fillId="32" borderId="21" xfId="123" applyFont="1" applyFill="1" applyBorder="1"/>
    <xf numFmtId="0" fontId="53" fillId="32" borderId="21" xfId="123" applyFont="1" applyFill="1" applyBorder="1" applyAlignment="1">
      <alignment horizontal="center"/>
    </xf>
    <xf numFmtId="0" fontId="53" fillId="33" borderId="21" xfId="123" applyFont="1" applyFill="1" applyBorder="1" applyAlignment="1">
      <alignment horizontal="center"/>
    </xf>
    <xf numFmtId="0" fontId="53" fillId="33" borderId="21" xfId="123" applyFont="1" applyFill="1" applyBorder="1" applyAlignment="1">
      <alignment horizontal="right"/>
    </xf>
    <xf numFmtId="0" fontId="53" fillId="33" borderId="21" xfId="123" applyFont="1" applyFill="1" applyBorder="1"/>
    <xf numFmtId="0" fontId="53" fillId="36" borderId="19" xfId="192" applyFont="1" applyFill="1" applyBorder="1" applyAlignment="1">
      <alignment horizontal="center"/>
    </xf>
    <xf numFmtId="0" fontId="53" fillId="0" borderId="21" xfId="123" applyFont="1" applyFill="1" applyBorder="1"/>
    <xf numFmtId="0" fontId="54" fillId="33" borderId="19" xfId="123" applyFont="1" applyFill="1" applyBorder="1"/>
    <xf numFmtId="0" fontId="6" fillId="0" borderId="0" xfId="0" applyFont="1" applyFill="1"/>
    <xf numFmtId="0" fontId="53" fillId="0" borderId="0" xfId="0" applyFont="1" applyFill="1"/>
    <xf numFmtId="0" fontId="53" fillId="41" borderId="0" xfId="0" applyFont="1" applyFill="1"/>
    <xf numFmtId="0" fontId="60" fillId="36" borderId="19" xfId="192" applyFont="1" applyFill="1" applyBorder="1" applyAlignment="1">
      <alignment horizontal="center"/>
    </xf>
    <xf numFmtId="0" fontId="4" fillId="47" borderId="0" xfId="0" applyFont="1" applyFill="1"/>
    <xf numFmtId="0" fontId="4" fillId="48" borderId="0" xfId="0" applyFont="1" applyFill="1"/>
    <xf numFmtId="0" fontId="4" fillId="44" borderId="0" xfId="0" applyFont="1" applyFill="1"/>
    <xf numFmtId="0" fontId="61" fillId="0" borderId="0" xfId="0" applyFont="1" applyFill="1"/>
    <xf numFmtId="0" fontId="45" fillId="0" borderId="0" xfId="123" applyFont="1" applyFill="1"/>
    <xf numFmtId="0" fontId="52" fillId="0" borderId="0" xfId="123" applyFont="1" applyFill="1" applyAlignment="1">
      <alignment horizontal="center"/>
    </xf>
    <xf numFmtId="0" fontId="48" fillId="0" borderId="0" xfId="123" applyFont="1"/>
    <xf numFmtId="3" fontId="63" fillId="0" borderId="0" xfId="123" applyNumberFormat="1" applyFont="1"/>
    <xf numFmtId="3" fontId="63" fillId="0" borderId="0" xfId="123" applyNumberFormat="1" applyFont="1" applyFill="1"/>
    <xf numFmtId="3" fontId="63" fillId="46" borderId="0" xfId="123" applyNumberFormat="1" applyFont="1" applyFill="1"/>
    <xf numFmtId="0" fontId="63" fillId="49" borderId="0" xfId="123" applyFont="1" applyFill="1"/>
    <xf numFmtId="0" fontId="45" fillId="49" borderId="0" xfId="123" applyFont="1" applyFill="1"/>
    <xf numFmtId="0" fontId="47" fillId="49" borderId="0" xfId="123" applyFont="1" applyFill="1"/>
    <xf numFmtId="3" fontId="63" fillId="49" borderId="0" xfId="123" applyNumberFormat="1" applyFont="1" applyFill="1"/>
    <xf numFmtId="0" fontId="63" fillId="50" borderId="0" xfId="123" applyFont="1" applyFill="1"/>
    <xf numFmtId="0" fontId="47" fillId="50" borderId="0" xfId="123" applyFont="1" applyFill="1"/>
    <xf numFmtId="3" fontId="63" fillId="50" borderId="0" xfId="123" applyNumberFormat="1" applyFont="1" applyFill="1"/>
    <xf numFmtId="0" fontId="63" fillId="51" borderId="0" xfId="123" applyFont="1" applyFill="1"/>
    <xf numFmtId="0" fontId="47" fillId="51" borderId="0" xfId="123" applyFont="1" applyFill="1"/>
    <xf numFmtId="3" fontId="63" fillId="51" borderId="0" xfId="123" applyNumberFormat="1" applyFont="1" applyFill="1"/>
    <xf numFmtId="0" fontId="64" fillId="50" borderId="0" xfId="123" applyFont="1" applyFill="1"/>
    <xf numFmtId="0" fontId="64" fillId="51" borderId="0" xfId="123" applyFont="1" applyFill="1"/>
    <xf numFmtId="0" fontId="64" fillId="49" borderId="0" xfId="123" applyFont="1" applyFill="1"/>
    <xf numFmtId="3" fontId="52" fillId="41" borderId="0" xfId="123" applyNumberFormat="1" applyFont="1" applyFill="1"/>
    <xf numFmtId="3" fontId="5" fillId="41" borderId="0" xfId="0" applyNumberFormat="1" applyFont="1" applyFill="1"/>
    <xf numFmtId="3" fontId="63" fillId="41" borderId="0" xfId="123" applyNumberFormat="1" applyFont="1" applyFill="1"/>
    <xf numFmtId="9" fontId="63" fillId="41" borderId="0" xfId="195" applyFont="1" applyFill="1"/>
    <xf numFmtId="0" fontId="63" fillId="0" borderId="0" xfId="123" applyFont="1" applyAlignment="1">
      <alignment horizontal="center"/>
    </xf>
    <xf numFmtId="1" fontId="47" fillId="49" borderId="0" xfId="123" applyNumberFormat="1" applyFont="1" applyFill="1" applyAlignment="1">
      <alignment horizontal="center"/>
    </xf>
    <xf numFmtId="0" fontId="47" fillId="49" borderId="0" xfId="123" applyFont="1" applyFill="1" applyAlignment="1">
      <alignment horizontal="center"/>
    </xf>
    <xf numFmtId="0" fontId="63" fillId="0" borderId="0" xfId="123" applyFont="1" applyAlignment="1">
      <alignment horizontal="right"/>
    </xf>
    <xf numFmtId="3" fontId="63" fillId="41" borderId="0" xfId="195" applyNumberFormat="1" applyFont="1" applyFill="1"/>
    <xf numFmtId="3" fontId="5" fillId="41" borderId="0" xfId="0" applyNumberFormat="1" applyFont="1" applyFill="1" applyAlignment="1">
      <alignment horizontal="left"/>
    </xf>
    <xf numFmtId="3" fontId="63" fillId="41" borderId="0" xfId="123" applyNumberFormat="1" applyFont="1" applyFill="1" applyAlignment="1">
      <alignment horizontal="left"/>
    </xf>
    <xf numFmtId="1" fontId="63" fillId="41" borderId="0" xfId="123" applyNumberFormat="1" applyFont="1" applyFill="1" applyAlignment="1">
      <alignment horizontal="right"/>
    </xf>
    <xf numFmtId="3" fontId="64" fillId="41" borderId="0" xfId="123" applyNumberFormat="1" applyFont="1" applyFill="1" applyAlignment="1">
      <alignment horizontal="left"/>
    </xf>
    <xf numFmtId="3" fontId="5" fillId="46" borderId="0" xfId="0" applyNumberFormat="1" applyFont="1" applyFill="1"/>
    <xf numFmtId="3" fontId="65" fillId="41" borderId="0" xfId="123" applyNumberFormat="1" applyFont="1" applyFill="1"/>
    <xf numFmtId="3" fontId="65" fillId="46" borderId="0" xfId="123" applyNumberFormat="1" applyFont="1" applyFill="1"/>
    <xf numFmtId="3" fontId="47" fillId="0" borderId="0" xfId="123" applyNumberFormat="1" applyFont="1"/>
    <xf numFmtId="0" fontId="66" fillId="0" borderId="0" xfId="196" applyFont="1"/>
    <xf numFmtId="0" fontId="67" fillId="35" borderId="21" xfId="196" applyFont="1" applyFill="1" applyBorder="1"/>
    <xf numFmtId="0" fontId="68" fillId="52" borderId="0" xfId="196" applyFont="1" applyFill="1"/>
    <xf numFmtId="0" fontId="69" fillId="52" borderId="0" xfId="196" applyFont="1" applyFill="1"/>
    <xf numFmtId="0" fontId="70" fillId="52" borderId="0" xfId="196" applyFont="1" applyFill="1"/>
    <xf numFmtId="3" fontId="66" fillId="0" borderId="0" xfId="196" applyNumberFormat="1" applyFont="1"/>
    <xf numFmtId="9" fontId="63" fillId="51" borderId="0" xfId="195" applyFont="1" applyFill="1"/>
    <xf numFmtId="0" fontId="63" fillId="0" borderId="0" xfId="123" applyFont="1"/>
    <xf numFmtId="0" fontId="5" fillId="0" borderId="0" xfId="0" applyFont="1"/>
    <xf numFmtId="9" fontId="63" fillId="0" borderId="0" xfId="195" applyFont="1"/>
    <xf numFmtId="0" fontId="63" fillId="51" borderId="0" xfId="123" applyFont="1" applyFill="1" applyAlignment="1">
      <alignment horizontal="right"/>
    </xf>
    <xf numFmtId="0" fontId="51" fillId="0" borderId="0" xfId="0" applyFont="1" applyFill="1"/>
    <xf numFmtId="0" fontId="52" fillId="0" borderId="0" xfId="123" applyFont="1" applyFill="1" applyBorder="1"/>
    <xf numFmtId="0" fontId="29" fillId="39" borderId="0" xfId="0" applyFont="1" applyFill="1"/>
    <xf numFmtId="0" fontId="49" fillId="39" borderId="0" xfId="0" applyFont="1" applyFill="1"/>
    <xf numFmtId="4" fontId="4" fillId="0" borderId="0" xfId="0" applyNumberFormat="1" applyFont="1" applyFill="1"/>
    <xf numFmtId="0" fontId="4" fillId="0" borderId="0" xfId="0" applyFont="1" applyFill="1"/>
    <xf numFmtId="174" fontId="51" fillId="41" borderId="0" xfId="80" applyNumberFormat="1" applyFont="1" applyFill="1"/>
    <xf numFmtId="1" fontId="56" fillId="0" borderId="21" xfId="192" applyNumberFormat="1" applyFont="1" applyBorder="1"/>
    <xf numFmtId="1" fontId="56" fillId="41" borderId="21" xfId="192" applyNumberFormat="1" applyFont="1" applyFill="1" applyBorder="1"/>
    <xf numFmtId="0" fontId="56" fillId="41" borderId="21" xfId="192" applyFont="1" applyFill="1" applyBorder="1"/>
    <xf numFmtId="10" fontId="56" fillId="41" borderId="21" xfId="194" applyNumberFormat="1" applyFont="1" applyFill="1" applyBorder="1"/>
    <xf numFmtId="0" fontId="4" fillId="0" borderId="21" xfId="192" applyBorder="1"/>
    <xf numFmtId="3" fontId="51" fillId="41" borderId="0" xfId="123" applyNumberFormat="1" applyFont="1" applyFill="1"/>
    <xf numFmtId="3" fontId="66" fillId="41" borderId="0" xfId="0" applyNumberFormat="1" applyFont="1" applyFill="1"/>
    <xf numFmtId="3" fontId="4" fillId="0" borderId="0" xfId="192" applyNumberFormat="1"/>
    <xf numFmtId="3" fontId="45" fillId="0" borderId="0" xfId="123" applyNumberFormat="1" applyFont="1"/>
    <xf numFmtId="0" fontId="47" fillId="0" borderId="0" xfId="123" applyFont="1" applyFill="1" applyBorder="1"/>
    <xf numFmtId="0" fontId="47" fillId="0" borderId="0" xfId="123" applyFont="1" applyFill="1" applyBorder="1" applyAlignment="1">
      <alignment horizontal="center"/>
    </xf>
    <xf numFmtId="0" fontId="53" fillId="0" borderId="0" xfId="123" applyFont="1" applyFill="1" applyBorder="1"/>
    <xf numFmtId="0" fontId="51" fillId="0" borderId="0" xfId="123" applyFont="1" applyFill="1" applyBorder="1"/>
    <xf numFmtId="0" fontId="0" fillId="0" borderId="0" xfId="0" applyFill="1" applyBorder="1"/>
    <xf numFmtId="0" fontId="54" fillId="0" borderId="0" xfId="157" applyFont="1" applyFill="1" applyBorder="1"/>
    <xf numFmtId="0" fontId="67" fillId="0" borderId="0" xfId="121" applyFont="1" applyFill="1" applyBorder="1" applyAlignment="1">
      <alignment horizontal="left"/>
    </xf>
    <xf numFmtId="0" fontId="51" fillId="0" borderId="0" xfId="123" applyFont="1" applyFill="1" applyBorder="1" applyAlignment="1">
      <alignment horizontal="right"/>
    </xf>
    <xf numFmtId="0" fontId="51" fillId="0" borderId="0" xfId="123" applyFont="1" applyFill="1" applyBorder="1" applyAlignment="1">
      <alignment horizontal="center"/>
    </xf>
    <xf numFmtId="3" fontId="51" fillId="0" borderId="0" xfId="123" applyNumberFormat="1" applyFont="1" applyFill="1" applyBorder="1"/>
    <xf numFmtId="0" fontId="45" fillId="0" borderId="0" xfId="123" applyFont="1" applyFill="1" applyBorder="1"/>
    <xf numFmtId="0" fontId="66" fillId="0" borderId="0" xfId="0" applyFont="1" applyFill="1" applyBorder="1"/>
    <xf numFmtId="3" fontId="66" fillId="0" borderId="0" xfId="0" applyNumberFormat="1" applyFont="1" applyFill="1" applyBorder="1"/>
    <xf numFmtId="0" fontId="71" fillId="0" borderId="0" xfId="123" applyFont="1" applyFill="1" applyBorder="1"/>
    <xf numFmtId="0" fontId="5" fillId="0" borderId="0" xfId="123" applyFont="1" applyFill="1" applyBorder="1"/>
    <xf numFmtId="0" fontId="5" fillId="0" borderId="0" xfId="123" applyFont="1" applyFill="1" applyBorder="1" applyAlignment="1">
      <alignment horizontal="right"/>
    </xf>
    <xf numFmtId="0" fontId="5" fillId="0" borderId="0" xfId="123" applyFont="1" applyFill="1" applyBorder="1" applyAlignment="1">
      <alignment horizontal="center"/>
    </xf>
    <xf numFmtId="3" fontId="5" fillId="0" borderId="0" xfId="123" applyNumberFormat="1" applyFont="1" applyFill="1" applyBorder="1"/>
    <xf numFmtId="0" fontId="54" fillId="34" borderId="19" xfId="197" applyFont="1" applyFill="1" applyBorder="1"/>
    <xf numFmtId="0" fontId="54" fillId="33" borderId="19" xfId="197" applyFont="1" applyFill="1" applyBorder="1" applyAlignment="1">
      <alignment horizontal="center"/>
    </xf>
    <xf numFmtId="0" fontId="52" fillId="0" borderId="0" xfId="197" applyFont="1"/>
    <xf numFmtId="0" fontId="52" fillId="0" borderId="21" xfId="197" applyFont="1" applyBorder="1"/>
    <xf numFmtId="0" fontId="44" fillId="0" borderId="21" xfId="192" applyFont="1" applyBorder="1" applyAlignment="1">
      <alignment horizontal="left"/>
    </xf>
    <xf numFmtId="0" fontId="4" fillId="0" borderId="19" xfId="0" applyFont="1" applyBorder="1"/>
    <xf numFmtId="0" fontId="51" fillId="0" borderId="20" xfId="0" applyFont="1" applyBorder="1" applyAlignment="1">
      <alignment horizontal="center" vertical="center" wrapText="1"/>
    </xf>
    <xf numFmtId="0" fontId="51" fillId="0" borderId="0" xfId="0" applyFont="1" applyBorder="1" applyAlignment="1">
      <alignment horizontal="center" vertical="center" wrapText="1"/>
    </xf>
    <xf numFmtId="0" fontId="51" fillId="0" borderId="21" xfId="0" applyFont="1" applyBorder="1" applyAlignment="1">
      <alignment horizontal="center" vertical="center" wrapText="1"/>
    </xf>
  </cellXfs>
  <cellStyles count="198">
    <cellStyle name="20% - Accent1 2" xfId="1" xr:uid="{00000000-0005-0000-0000-000000000000}"/>
    <cellStyle name="20% - Accent1 2 2" xfId="2" xr:uid="{00000000-0005-0000-0000-000001000000}"/>
    <cellStyle name="20% - Accent2 2" xfId="3" xr:uid="{00000000-0005-0000-0000-000002000000}"/>
    <cellStyle name="20% - Accent2 2 2" xfId="4" xr:uid="{00000000-0005-0000-0000-000003000000}"/>
    <cellStyle name="20% - Accent3 2" xfId="5" xr:uid="{00000000-0005-0000-0000-000004000000}"/>
    <cellStyle name="20% - Accent3 2 2" xfId="6" xr:uid="{00000000-0005-0000-0000-000005000000}"/>
    <cellStyle name="20% - Accent4 2" xfId="7" xr:uid="{00000000-0005-0000-0000-000006000000}"/>
    <cellStyle name="20% - Accent4 2 2" xfId="8" xr:uid="{00000000-0005-0000-0000-000007000000}"/>
    <cellStyle name="20% - Accent5 2" xfId="9" xr:uid="{00000000-0005-0000-0000-000008000000}"/>
    <cellStyle name="20% - Accent5 2 2" xfId="10" xr:uid="{00000000-0005-0000-0000-000009000000}"/>
    <cellStyle name="20% - Accent6 2" xfId="11" xr:uid="{00000000-0005-0000-0000-00000A000000}"/>
    <cellStyle name="20% - Accent6 2 2" xfId="12" xr:uid="{00000000-0005-0000-0000-00000B000000}"/>
    <cellStyle name="2x indented GHG Textfiels" xfId="13" xr:uid="{00000000-0005-0000-0000-00000C000000}"/>
    <cellStyle name="40% - Accent1 2" xfId="14" xr:uid="{00000000-0005-0000-0000-00000D000000}"/>
    <cellStyle name="40% - Accent1 2 2" xfId="15" xr:uid="{00000000-0005-0000-0000-00000E000000}"/>
    <cellStyle name="40% - Accent2 2" xfId="16" xr:uid="{00000000-0005-0000-0000-00000F000000}"/>
    <cellStyle name="40% - Accent2 2 2" xfId="17" xr:uid="{00000000-0005-0000-0000-000010000000}"/>
    <cellStyle name="40% - Accent3 2" xfId="18" xr:uid="{00000000-0005-0000-0000-000011000000}"/>
    <cellStyle name="40% - Accent3 2 2" xfId="19" xr:uid="{00000000-0005-0000-0000-000012000000}"/>
    <cellStyle name="40% - Accent4 2" xfId="20" xr:uid="{00000000-0005-0000-0000-000013000000}"/>
    <cellStyle name="40% - Accent4 2 2" xfId="21" xr:uid="{00000000-0005-0000-0000-000014000000}"/>
    <cellStyle name="40% - Accent5 2" xfId="22" xr:uid="{00000000-0005-0000-0000-000015000000}"/>
    <cellStyle name="40% - Accent5 2 2" xfId="23" xr:uid="{00000000-0005-0000-0000-000016000000}"/>
    <cellStyle name="40% - Accent6 2" xfId="24" xr:uid="{00000000-0005-0000-0000-000017000000}"/>
    <cellStyle name="40% - Accent6 2 2" xfId="25" xr:uid="{00000000-0005-0000-0000-000018000000}"/>
    <cellStyle name="5x indented GHG Textfiels" xfId="26" xr:uid="{00000000-0005-0000-0000-000019000000}"/>
    <cellStyle name="60% - Accent1 2" xfId="27" xr:uid="{00000000-0005-0000-0000-00001A000000}"/>
    <cellStyle name="60% - Accent1 2 2" xfId="28" xr:uid="{00000000-0005-0000-0000-00001B000000}"/>
    <cellStyle name="60% - Accent2 2" xfId="29" xr:uid="{00000000-0005-0000-0000-00001C000000}"/>
    <cellStyle name="60% - Accent2 2 2" xfId="30" xr:uid="{00000000-0005-0000-0000-00001D000000}"/>
    <cellStyle name="60% - Accent3 2" xfId="31" xr:uid="{00000000-0005-0000-0000-00001E000000}"/>
    <cellStyle name="60% - Accent3 2 2" xfId="32" xr:uid="{00000000-0005-0000-0000-00001F000000}"/>
    <cellStyle name="60% - Accent4 2" xfId="33" xr:uid="{00000000-0005-0000-0000-000020000000}"/>
    <cellStyle name="60% - Accent4 2 2" xfId="34" xr:uid="{00000000-0005-0000-0000-000021000000}"/>
    <cellStyle name="60% - Accent5 2" xfId="35" xr:uid="{00000000-0005-0000-0000-000022000000}"/>
    <cellStyle name="60% - Accent5 2 2" xfId="36" xr:uid="{00000000-0005-0000-0000-000023000000}"/>
    <cellStyle name="60% - Accent6 2" xfId="37" xr:uid="{00000000-0005-0000-0000-000024000000}"/>
    <cellStyle name="60% - Accent6 2 2" xfId="38" xr:uid="{00000000-0005-0000-0000-000025000000}"/>
    <cellStyle name="Accent1 2" xfId="39" xr:uid="{00000000-0005-0000-0000-000026000000}"/>
    <cellStyle name="Accent1 2 2" xfId="40" xr:uid="{00000000-0005-0000-0000-000027000000}"/>
    <cellStyle name="Accent2 2" xfId="41" xr:uid="{00000000-0005-0000-0000-000028000000}"/>
    <cellStyle name="Accent2 2 2" xfId="42" xr:uid="{00000000-0005-0000-0000-000029000000}"/>
    <cellStyle name="Accent3 2" xfId="43" xr:uid="{00000000-0005-0000-0000-00002A000000}"/>
    <cellStyle name="Accent3 2 2" xfId="44" xr:uid="{00000000-0005-0000-0000-00002B000000}"/>
    <cellStyle name="Accent4 2" xfId="45" xr:uid="{00000000-0005-0000-0000-00002C000000}"/>
    <cellStyle name="Accent4 2 2" xfId="46" xr:uid="{00000000-0005-0000-0000-00002D000000}"/>
    <cellStyle name="Accent5 2" xfId="47" xr:uid="{00000000-0005-0000-0000-00002E000000}"/>
    <cellStyle name="Accent5 2 2" xfId="48" xr:uid="{00000000-0005-0000-0000-00002F000000}"/>
    <cellStyle name="Accent6 2" xfId="49" xr:uid="{00000000-0005-0000-0000-000030000000}"/>
    <cellStyle name="Accent6 2 2" xfId="50" xr:uid="{00000000-0005-0000-0000-000031000000}"/>
    <cellStyle name="AggblueBoldCels" xfId="51" xr:uid="{00000000-0005-0000-0000-000032000000}"/>
    <cellStyle name="AggblueBoldCels 2" xfId="52" xr:uid="{00000000-0005-0000-0000-000033000000}"/>
    <cellStyle name="AggblueCels" xfId="53" xr:uid="{00000000-0005-0000-0000-000034000000}"/>
    <cellStyle name="AggblueCels 2" xfId="54" xr:uid="{00000000-0005-0000-0000-000035000000}"/>
    <cellStyle name="AggblueCels_1x" xfId="55" xr:uid="{00000000-0005-0000-0000-000036000000}"/>
    <cellStyle name="AggBoldCells" xfId="56" xr:uid="{00000000-0005-0000-0000-000037000000}"/>
    <cellStyle name="AggCels" xfId="57" xr:uid="{00000000-0005-0000-0000-000038000000}"/>
    <cellStyle name="AggGreen" xfId="58" xr:uid="{00000000-0005-0000-0000-000039000000}"/>
    <cellStyle name="AggGreen 2" xfId="59" xr:uid="{00000000-0005-0000-0000-00003A000000}"/>
    <cellStyle name="AggGreen_Bbdr" xfId="60" xr:uid="{00000000-0005-0000-0000-00003B000000}"/>
    <cellStyle name="AggGreen12" xfId="61" xr:uid="{00000000-0005-0000-0000-00003C000000}"/>
    <cellStyle name="AggGreen12 2" xfId="62" xr:uid="{00000000-0005-0000-0000-00003D000000}"/>
    <cellStyle name="AggOrange" xfId="63" xr:uid="{00000000-0005-0000-0000-00003E000000}"/>
    <cellStyle name="AggOrange 2" xfId="64" xr:uid="{00000000-0005-0000-0000-00003F000000}"/>
    <cellStyle name="AggOrange_B_border" xfId="65" xr:uid="{00000000-0005-0000-0000-000040000000}"/>
    <cellStyle name="AggOrange9" xfId="66" xr:uid="{00000000-0005-0000-0000-000041000000}"/>
    <cellStyle name="AggOrange9 2" xfId="67" xr:uid="{00000000-0005-0000-0000-000042000000}"/>
    <cellStyle name="AggOrangeLB_2x" xfId="68" xr:uid="{00000000-0005-0000-0000-000043000000}"/>
    <cellStyle name="AggOrangeLBorder" xfId="69" xr:uid="{00000000-0005-0000-0000-000044000000}"/>
    <cellStyle name="AggOrangeLBorder 2" xfId="70" xr:uid="{00000000-0005-0000-0000-000045000000}"/>
    <cellStyle name="AggOrangeRBorder" xfId="71" xr:uid="{00000000-0005-0000-0000-000046000000}"/>
    <cellStyle name="AggOrangeRBorder 2" xfId="72" xr:uid="{00000000-0005-0000-0000-000047000000}"/>
    <cellStyle name="Bad 2" xfId="73" xr:uid="{00000000-0005-0000-0000-000048000000}"/>
    <cellStyle name="Bad 2 2" xfId="74" xr:uid="{00000000-0005-0000-0000-000049000000}"/>
    <cellStyle name="Bold GHG Numbers (0.00)" xfId="75" xr:uid="{00000000-0005-0000-0000-00004A000000}"/>
    <cellStyle name="Calculation 2" xfId="76" xr:uid="{00000000-0005-0000-0000-00004B000000}"/>
    <cellStyle name="Calculation 2 2" xfId="77" xr:uid="{00000000-0005-0000-0000-00004C000000}"/>
    <cellStyle name="Check Cell 2" xfId="78" xr:uid="{00000000-0005-0000-0000-00004D000000}"/>
    <cellStyle name="Check Cell 2 2" xfId="79" xr:uid="{00000000-0005-0000-0000-00004E000000}"/>
    <cellStyle name="Comma 2" xfId="80" xr:uid="{00000000-0005-0000-0000-00004F000000}"/>
    <cellStyle name="Comma 2 2" xfId="81" xr:uid="{00000000-0005-0000-0000-000050000000}"/>
    <cellStyle name="Comma 2 2 2" xfId="82" xr:uid="{00000000-0005-0000-0000-000051000000}"/>
    <cellStyle name="Comma 2 2 3" xfId="83" xr:uid="{00000000-0005-0000-0000-000052000000}"/>
    <cellStyle name="Comma 2 2 4" xfId="84" xr:uid="{00000000-0005-0000-0000-000053000000}"/>
    <cellStyle name="Comma 2 3" xfId="85" xr:uid="{00000000-0005-0000-0000-000054000000}"/>
    <cellStyle name="Comma 2 4" xfId="86" xr:uid="{00000000-0005-0000-0000-000055000000}"/>
    <cellStyle name="Comma 3" xfId="87" xr:uid="{00000000-0005-0000-0000-000056000000}"/>
    <cellStyle name="Constants" xfId="88" xr:uid="{00000000-0005-0000-0000-000057000000}"/>
    <cellStyle name="CustomCellsOrange" xfId="89" xr:uid="{00000000-0005-0000-0000-000058000000}"/>
    <cellStyle name="CustomizationCells" xfId="90" xr:uid="{00000000-0005-0000-0000-000059000000}"/>
    <cellStyle name="CustomizationGreenCells" xfId="91" xr:uid="{00000000-0005-0000-0000-00005A000000}"/>
    <cellStyle name="DocBox_EmptyRow" xfId="92" xr:uid="{00000000-0005-0000-0000-00005B000000}"/>
    <cellStyle name="Empty_B_border" xfId="93" xr:uid="{00000000-0005-0000-0000-00005C000000}"/>
    <cellStyle name="Euro" xfId="94" xr:uid="{00000000-0005-0000-0000-00005D000000}"/>
    <cellStyle name="Explanatory Text 2" xfId="95" xr:uid="{00000000-0005-0000-0000-00005E000000}"/>
    <cellStyle name="Explanatory Text 2 2" xfId="96" xr:uid="{00000000-0005-0000-0000-00005F000000}"/>
    <cellStyle name="Float" xfId="97" xr:uid="{00000000-0005-0000-0000-000060000000}"/>
    <cellStyle name="Float 2" xfId="98" xr:uid="{00000000-0005-0000-0000-000061000000}"/>
    <cellStyle name="Good 2" xfId="99" xr:uid="{00000000-0005-0000-0000-000062000000}"/>
    <cellStyle name="Good 2 2" xfId="100" xr:uid="{00000000-0005-0000-0000-000063000000}"/>
    <cellStyle name="Heading 1 2" xfId="101" xr:uid="{00000000-0005-0000-0000-000064000000}"/>
    <cellStyle name="Heading 1 2 2" xfId="102" xr:uid="{00000000-0005-0000-0000-000065000000}"/>
    <cellStyle name="Heading 2 2" xfId="103" xr:uid="{00000000-0005-0000-0000-000066000000}"/>
    <cellStyle name="Heading 2 2 2" xfId="104" xr:uid="{00000000-0005-0000-0000-000067000000}"/>
    <cellStyle name="Heading 3 2" xfId="105" xr:uid="{00000000-0005-0000-0000-000068000000}"/>
    <cellStyle name="Heading 3 2 2" xfId="106" xr:uid="{00000000-0005-0000-0000-000069000000}"/>
    <cellStyle name="Heading 4 2" xfId="107" xr:uid="{00000000-0005-0000-0000-00006A000000}"/>
    <cellStyle name="Heading 4 2 2" xfId="108" xr:uid="{00000000-0005-0000-0000-00006B000000}"/>
    <cellStyle name="Headline" xfId="109" xr:uid="{00000000-0005-0000-0000-00006C000000}"/>
    <cellStyle name="Hyperlink 2" xfId="110" xr:uid="{00000000-0005-0000-0000-00006D000000}"/>
    <cellStyle name="Input 2" xfId="111" xr:uid="{00000000-0005-0000-0000-00006E000000}"/>
    <cellStyle name="Input 2 2" xfId="112" xr:uid="{00000000-0005-0000-0000-00006F000000}"/>
    <cellStyle name="InputCells" xfId="113" xr:uid="{00000000-0005-0000-0000-000070000000}"/>
    <cellStyle name="InputCells12" xfId="114" xr:uid="{00000000-0005-0000-0000-000071000000}"/>
    <cellStyle name="InputCells12 2" xfId="115" xr:uid="{00000000-0005-0000-0000-000072000000}"/>
    <cellStyle name="InputCells12_BBorder" xfId="116" xr:uid="{00000000-0005-0000-0000-000073000000}"/>
    <cellStyle name="IntCells" xfId="117" xr:uid="{00000000-0005-0000-0000-000074000000}"/>
    <cellStyle name="KP_thin_border_dark_grey" xfId="118" xr:uid="{00000000-0005-0000-0000-000075000000}"/>
    <cellStyle name="Linked Cell 2" xfId="119" xr:uid="{00000000-0005-0000-0000-000076000000}"/>
    <cellStyle name="Linked Cell 2 2" xfId="120" xr:uid="{00000000-0005-0000-0000-000077000000}"/>
    <cellStyle name="Neutral 2" xfId="121" xr:uid="{00000000-0005-0000-0000-000078000000}"/>
    <cellStyle name="Neutral 2 2" xfId="122" xr:uid="{00000000-0005-0000-0000-000079000000}"/>
    <cellStyle name="Normal" xfId="0" builtinId="0"/>
    <cellStyle name="Normal 10" xfId="192" xr:uid="{00000000-0005-0000-0000-00007B000000}"/>
    <cellStyle name="Normal 11 2 2" xfId="191" xr:uid="{00000000-0005-0000-0000-00007C000000}"/>
    <cellStyle name="Normal 2" xfId="123" xr:uid="{00000000-0005-0000-0000-00007D000000}"/>
    <cellStyle name="Normal 2 18" xfId="197" xr:uid="{4C424AF7-8F20-42D6-8CC8-E0498064B607}"/>
    <cellStyle name="Normal 2 2" xfId="124" xr:uid="{00000000-0005-0000-0000-00007E000000}"/>
    <cellStyle name="Normal 2 2 2" xfId="125" xr:uid="{00000000-0005-0000-0000-00007F000000}"/>
    <cellStyle name="Normal 2 3" xfId="126" xr:uid="{00000000-0005-0000-0000-000080000000}"/>
    <cellStyle name="Normal 2 4" xfId="127" xr:uid="{00000000-0005-0000-0000-000081000000}"/>
    <cellStyle name="Normal 2 5" xfId="128" xr:uid="{00000000-0005-0000-0000-000082000000}"/>
    <cellStyle name="Normal 2_bound" xfId="129" xr:uid="{00000000-0005-0000-0000-000083000000}"/>
    <cellStyle name="Normal 3" xfId="130" xr:uid="{00000000-0005-0000-0000-000084000000}"/>
    <cellStyle name="Normal 3 2" xfId="131" xr:uid="{00000000-0005-0000-0000-000085000000}"/>
    <cellStyle name="Normal 3 3" xfId="132" xr:uid="{00000000-0005-0000-0000-000086000000}"/>
    <cellStyle name="Normal 3 4" xfId="133" xr:uid="{00000000-0005-0000-0000-000087000000}"/>
    <cellStyle name="Normal 3_Heating-COM" xfId="134" xr:uid="{00000000-0005-0000-0000-000088000000}"/>
    <cellStyle name="Normal 31" xfId="196" xr:uid="{00000000-0005-0000-0000-000089000000}"/>
    <cellStyle name="Normal 4" xfId="135" xr:uid="{00000000-0005-0000-0000-00008A000000}"/>
    <cellStyle name="Normal 4 13 2" xfId="136" xr:uid="{00000000-0005-0000-0000-00008B000000}"/>
    <cellStyle name="Normal 4 13 2 2" xfId="137" xr:uid="{00000000-0005-0000-0000-00008C000000}"/>
    <cellStyle name="Normal 4 13 2 3" xfId="138" xr:uid="{00000000-0005-0000-0000-00008D000000}"/>
    <cellStyle name="Normal 4 13 2 4" xfId="139" xr:uid="{00000000-0005-0000-0000-00008E000000}"/>
    <cellStyle name="Normal 4 2" xfId="140" xr:uid="{00000000-0005-0000-0000-00008F000000}"/>
    <cellStyle name="Normal 4 3" xfId="141" xr:uid="{00000000-0005-0000-0000-000090000000}"/>
    <cellStyle name="Normal 5" xfId="142" xr:uid="{00000000-0005-0000-0000-000091000000}"/>
    <cellStyle name="Normal 6" xfId="143" xr:uid="{00000000-0005-0000-0000-000092000000}"/>
    <cellStyle name="Normal 6 2" xfId="144" xr:uid="{00000000-0005-0000-0000-000093000000}"/>
    <cellStyle name="Normal 7" xfId="145" xr:uid="{00000000-0005-0000-0000-000094000000}"/>
    <cellStyle name="Normal 7 2" xfId="146" xr:uid="{00000000-0005-0000-0000-000095000000}"/>
    <cellStyle name="Normal 8" xfId="147" xr:uid="{00000000-0005-0000-0000-000096000000}"/>
    <cellStyle name="Normal 8 2" xfId="148" xr:uid="{00000000-0005-0000-0000-000097000000}"/>
    <cellStyle name="Normal 9" xfId="149" xr:uid="{00000000-0005-0000-0000-000098000000}"/>
    <cellStyle name="Normal GHG Numbers (0.00)" xfId="150" xr:uid="{00000000-0005-0000-0000-000099000000}"/>
    <cellStyle name="Normal GHG Textfiels Bold" xfId="151" xr:uid="{00000000-0005-0000-0000-00009A000000}"/>
    <cellStyle name="Normal GHG whole table" xfId="152" xr:uid="{00000000-0005-0000-0000-00009B000000}"/>
    <cellStyle name="Normal GHG-Shade" xfId="153" xr:uid="{00000000-0005-0000-0000-00009C000000}"/>
    <cellStyle name="Normal GHG-Shade 2" xfId="154" xr:uid="{00000000-0005-0000-0000-00009D000000}"/>
    <cellStyle name="Normál_Munka1" xfId="155" xr:uid="{00000000-0005-0000-0000-00009E000000}"/>
    <cellStyle name="Normal_TECH" xfId="193" xr:uid="{00000000-0005-0000-0000-00009F000000}"/>
    <cellStyle name="Normale_B2020" xfId="156" xr:uid="{00000000-0005-0000-0000-0000A0000000}"/>
    <cellStyle name="Normale_Scen_UC_IND-StrucConst" xfId="157" xr:uid="{00000000-0005-0000-0000-0000A1000000}"/>
    <cellStyle name="Note 2" xfId="158" xr:uid="{00000000-0005-0000-0000-0000A2000000}"/>
    <cellStyle name="Note 2 2" xfId="159" xr:uid="{00000000-0005-0000-0000-0000A3000000}"/>
    <cellStyle name="Output 2" xfId="160" xr:uid="{00000000-0005-0000-0000-0000A4000000}"/>
    <cellStyle name="Output 2 2" xfId="161" xr:uid="{00000000-0005-0000-0000-0000A5000000}"/>
    <cellStyle name="Pattern" xfId="162" xr:uid="{00000000-0005-0000-0000-0000A6000000}"/>
    <cellStyle name="Percent" xfId="195" builtinId="5"/>
    <cellStyle name="Percent 2" xfId="163" xr:uid="{00000000-0005-0000-0000-0000A8000000}"/>
    <cellStyle name="Percent 2 2" xfId="164" xr:uid="{00000000-0005-0000-0000-0000A9000000}"/>
    <cellStyle name="Percent 3" xfId="165" xr:uid="{00000000-0005-0000-0000-0000AA000000}"/>
    <cellStyle name="Percent 3 2" xfId="166" xr:uid="{00000000-0005-0000-0000-0000AB000000}"/>
    <cellStyle name="Percent 3 3" xfId="167" xr:uid="{00000000-0005-0000-0000-0000AC000000}"/>
    <cellStyle name="Percent 4" xfId="168" xr:uid="{00000000-0005-0000-0000-0000AD000000}"/>
    <cellStyle name="Percent 5" xfId="194" xr:uid="{00000000-0005-0000-0000-0000AE000000}"/>
    <cellStyle name="Pilkku_Layo9704" xfId="169" xr:uid="{00000000-0005-0000-0000-0000AF000000}"/>
    <cellStyle name="Pyör. luku_Layo9704" xfId="170" xr:uid="{00000000-0005-0000-0000-0000B0000000}"/>
    <cellStyle name="Pyör. valuutta_Layo9704" xfId="171" xr:uid="{00000000-0005-0000-0000-0000B1000000}"/>
    <cellStyle name="Shade" xfId="172" xr:uid="{00000000-0005-0000-0000-0000B2000000}"/>
    <cellStyle name="Standard 2" xfId="173" xr:uid="{00000000-0005-0000-0000-0000B3000000}"/>
    <cellStyle name="Style 21" xfId="174" xr:uid="{00000000-0005-0000-0000-0000B4000000}"/>
    <cellStyle name="Style 21 2" xfId="175" xr:uid="{00000000-0005-0000-0000-0000B5000000}"/>
    <cellStyle name="Style 22" xfId="176" xr:uid="{00000000-0005-0000-0000-0000B6000000}"/>
    <cellStyle name="Style 23" xfId="177" xr:uid="{00000000-0005-0000-0000-0000B7000000}"/>
    <cellStyle name="Style 24" xfId="178" xr:uid="{00000000-0005-0000-0000-0000B8000000}"/>
    <cellStyle name="Style 25" xfId="179" xr:uid="{00000000-0005-0000-0000-0000B9000000}"/>
    <cellStyle name="Style 25 2" xfId="180" xr:uid="{00000000-0005-0000-0000-0000BA000000}"/>
    <cellStyle name="Style 26" xfId="181" xr:uid="{00000000-0005-0000-0000-0000BB000000}"/>
    <cellStyle name="Title 2" xfId="182" xr:uid="{00000000-0005-0000-0000-0000BC000000}"/>
    <cellStyle name="Title 2 2" xfId="183" xr:uid="{00000000-0005-0000-0000-0000BD000000}"/>
    <cellStyle name="Total 2" xfId="184" xr:uid="{00000000-0005-0000-0000-0000BE000000}"/>
    <cellStyle name="Total 2 2" xfId="185" xr:uid="{00000000-0005-0000-0000-0000BF000000}"/>
    <cellStyle name="Valuutta_Layo9704" xfId="186" xr:uid="{00000000-0005-0000-0000-0000C0000000}"/>
    <cellStyle name="Warning Text 2" xfId="187" xr:uid="{00000000-0005-0000-0000-0000C1000000}"/>
    <cellStyle name="Warning Text 2 2" xfId="188" xr:uid="{00000000-0005-0000-0000-0000C2000000}"/>
    <cellStyle name="Гиперссылка" xfId="189" xr:uid="{00000000-0005-0000-0000-0000C3000000}"/>
    <cellStyle name="Обычный_2++" xfId="190" xr:uid="{00000000-0005-0000-0000-0000C4000000}"/>
  </cellStyles>
  <dxfs count="0"/>
  <tableStyles count="0" defaultTableStyle="TableStyleMedium9" defaultPivotStyle="PivotStyleLight16"/>
  <colors>
    <mruColors>
      <color rgb="FFCCCCFF"/>
      <color rgb="FFCCFFCC"/>
      <color rgb="FFCCECFF"/>
      <color rgb="FFFFFF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47</xdr:col>
      <xdr:colOff>228600</xdr:colOff>
      <xdr:row>56</xdr:row>
      <xdr:rowOff>129540</xdr:rowOff>
    </xdr:from>
    <xdr:to>
      <xdr:col>60</xdr:col>
      <xdr:colOff>84752</xdr:colOff>
      <xdr:row>86</xdr:row>
      <xdr:rowOff>112801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234380" y="8702040"/>
          <a:ext cx="7780952" cy="515724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51708</xdr:colOff>
      <xdr:row>1</xdr:row>
      <xdr:rowOff>439510</xdr:rowOff>
    </xdr:from>
    <xdr:to>
      <xdr:col>32</xdr:col>
      <xdr:colOff>491001</xdr:colOff>
      <xdr:row>49</xdr:row>
      <xdr:rowOff>93889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187308" y="613681"/>
          <a:ext cx="7144893" cy="84935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150"/>
  <sheetViews>
    <sheetView zoomScale="90" zoomScaleNormal="90" workbookViewId="0">
      <selection activeCell="K38" sqref="K38"/>
    </sheetView>
  </sheetViews>
  <sheetFormatPr defaultColWidth="8.88671875" defaultRowHeight="13.2" x14ac:dyDescent="0.25"/>
  <cols>
    <col min="1" max="1" width="8.88671875" style="2"/>
    <col min="2" max="2" width="19.88671875" style="2" customWidth="1"/>
    <col min="3" max="3" width="36.88671875" style="2" customWidth="1"/>
    <col min="4" max="4" width="30.88671875" style="2" customWidth="1"/>
    <col min="5" max="5" width="18.33203125" style="2" customWidth="1"/>
    <col min="6" max="6" width="10.33203125" style="2" customWidth="1"/>
    <col min="7" max="8" width="13.33203125" style="2" customWidth="1"/>
    <col min="9" max="9" width="8.88671875" style="2"/>
    <col min="10" max="10" width="13.44140625" style="2" customWidth="1"/>
    <col min="11" max="11" width="18.88671875" style="2" customWidth="1"/>
    <col min="12" max="12" width="15.44140625" style="2" customWidth="1"/>
    <col min="13" max="29" width="6.88671875" style="2" customWidth="1"/>
    <col min="30" max="30" width="7.6640625" style="2" customWidth="1"/>
    <col min="31" max="42" width="6.88671875" style="2" customWidth="1"/>
    <col min="43" max="43" width="7.33203125" style="2" customWidth="1"/>
    <col min="44" max="44" width="9.109375" style="2" bestFit="1" customWidth="1"/>
    <col min="45" max="45" width="10.109375" style="2" bestFit="1" customWidth="1"/>
    <col min="46" max="16384" width="8.88671875" style="2"/>
  </cols>
  <sheetData>
    <row r="1" spans="1:12" s="205" customFormat="1" ht="15.6" x14ac:dyDescent="0.3">
      <c r="A1" s="204" t="s">
        <v>86</v>
      </c>
    </row>
    <row r="2" spans="1:12" s="116" customFormat="1" ht="15.6" x14ac:dyDescent="0.3">
      <c r="A2" s="115"/>
    </row>
    <row r="3" spans="1:12" s="116" customFormat="1" ht="15.6" x14ac:dyDescent="0.3">
      <c r="A3" s="115"/>
      <c r="B3" s="117" t="s">
        <v>92</v>
      </c>
      <c r="C3" s="118"/>
      <c r="D3" s="118"/>
      <c r="E3" s="118"/>
      <c r="F3" s="118"/>
      <c r="G3" s="118"/>
      <c r="H3" s="118"/>
    </row>
    <row r="4" spans="1:12" s="116" customFormat="1" ht="15.6" x14ac:dyDescent="0.3">
      <c r="A4" s="115"/>
      <c r="B4" s="118"/>
      <c r="C4" s="118"/>
      <c r="D4" s="118"/>
      <c r="E4" s="118"/>
      <c r="F4" s="118"/>
      <c r="G4" s="118"/>
      <c r="H4" s="118"/>
    </row>
    <row r="5" spans="1:12" s="116" customFormat="1" ht="15.6" x14ac:dyDescent="0.3">
      <c r="A5" s="115"/>
      <c r="B5" s="118"/>
      <c r="C5" s="118"/>
      <c r="D5" s="118"/>
      <c r="E5" s="119" t="s">
        <v>80</v>
      </c>
      <c r="F5" s="118"/>
      <c r="G5" s="118"/>
      <c r="H5" s="118"/>
    </row>
    <row r="6" spans="1:12" s="148" customFormat="1" ht="12" x14ac:dyDescent="0.25">
      <c r="B6" s="146" t="s">
        <v>8</v>
      </c>
      <c r="C6" s="120" t="s">
        <v>31</v>
      </c>
      <c r="D6" s="146" t="s">
        <v>7</v>
      </c>
      <c r="E6" s="146" t="s">
        <v>6</v>
      </c>
      <c r="F6" s="146" t="s">
        <v>56</v>
      </c>
      <c r="G6" s="146" t="s">
        <v>9</v>
      </c>
      <c r="H6" s="146" t="s">
        <v>81</v>
      </c>
      <c r="I6" s="146" t="s">
        <v>82</v>
      </c>
      <c r="K6" s="130" t="s">
        <v>87</v>
      </c>
      <c r="L6" s="149"/>
    </row>
    <row r="7" spans="1:12" s="116" customFormat="1" ht="15.6" x14ac:dyDescent="0.3">
      <c r="A7" s="115"/>
      <c r="B7" s="121" t="s">
        <v>83</v>
      </c>
      <c r="C7" s="122"/>
      <c r="D7" s="125" t="s">
        <v>58</v>
      </c>
      <c r="E7" s="122">
        <v>2010</v>
      </c>
      <c r="F7" s="126"/>
      <c r="G7" s="122">
        <v>1</v>
      </c>
      <c r="H7" s="123">
        <f>SUM(M58:AQ58)</f>
        <v>2411921.6751043568</v>
      </c>
      <c r="I7" s="122"/>
      <c r="K7" s="129">
        <f>SUM(M58:AQ58)</f>
        <v>2411921.6751043568</v>
      </c>
      <c r="L7" s="128">
        <f>K7-H7</f>
        <v>0</v>
      </c>
    </row>
    <row r="8" spans="1:12" s="116" customFormat="1" ht="15.6" x14ac:dyDescent="0.3">
      <c r="A8" s="115"/>
      <c r="B8" s="122"/>
      <c r="C8" s="122"/>
      <c r="D8" s="125" t="s">
        <v>58</v>
      </c>
      <c r="E8" s="122">
        <v>2015</v>
      </c>
      <c r="F8" s="126"/>
      <c r="G8" s="122"/>
      <c r="H8" s="123"/>
      <c r="I8" s="124"/>
      <c r="K8" s="129">
        <f>SUM(M59:AQ59)</f>
        <v>1776815.2254354912</v>
      </c>
      <c r="L8" s="128">
        <f t="shared" ref="L8:L9" si="0">K8-H8</f>
        <v>1776815.2254354912</v>
      </c>
    </row>
    <row r="9" spans="1:12" s="116" customFormat="1" ht="15.6" x14ac:dyDescent="0.3">
      <c r="A9" s="115"/>
      <c r="B9" s="122"/>
      <c r="C9" s="122"/>
      <c r="D9" s="125" t="s">
        <v>58</v>
      </c>
      <c r="E9" s="122">
        <v>2020</v>
      </c>
      <c r="F9" s="126"/>
      <c r="G9" s="122"/>
      <c r="H9" s="123">
        <f>SUM(M60:AQ60)</f>
        <v>1765609.8234052458</v>
      </c>
      <c r="I9" s="124"/>
      <c r="K9" s="129">
        <f>SUM(M60:AQ60)</f>
        <v>1765609.8234052458</v>
      </c>
      <c r="L9" s="128">
        <f t="shared" si="0"/>
        <v>0</v>
      </c>
    </row>
    <row r="10" spans="1:12" s="116" customFormat="1" ht="15.6" x14ac:dyDescent="0.3">
      <c r="A10" s="115"/>
      <c r="B10" s="122"/>
      <c r="C10" s="122"/>
      <c r="D10" s="125" t="s">
        <v>58</v>
      </c>
      <c r="E10" s="122">
        <v>0</v>
      </c>
      <c r="F10" s="126"/>
      <c r="G10" s="122"/>
      <c r="H10" s="123">
        <v>1</v>
      </c>
      <c r="I10" s="122"/>
    </row>
    <row r="11" spans="1:12" s="116" customFormat="1" ht="15.6" x14ac:dyDescent="0.3">
      <c r="A11" s="115"/>
      <c r="B11" s="122"/>
      <c r="C11" s="122" t="str">
        <f>C29</f>
        <v>TRAHFO00,TRALFO00,BLD_RFNBO_NAV</v>
      </c>
      <c r="D11" s="125" t="s">
        <v>32</v>
      </c>
      <c r="E11" s="122">
        <v>2010</v>
      </c>
      <c r="F11" s="126">
        <v>-1</v>
      </c>
      <c r="G11" s="122"/>
      <c r="H11" s="123"/>
      <c r="I11" s="122"/>
    </row>
    <row r="12" spans="1:12" s="116" customFormat="1" ht="15.6" x14ac:dyDescent="0.3">
      <c r="A12" s="115"/>
      <c r="B12" s="122"/>
      <c r="C12" s="122" t="str">
        <f t="shared" ref="C12:C13" si="1">C30</f>
        <v>TRAHFO00,TRALFO00,BLD_RFNBO_NAV</v>
      </c>
      <c r="D12" s="125" t="s">
        <v>32</v>
      </c>
      <c r="E12" s="122">
        <v>2020</v>
      </c>
      <c r="F12" s="126">
        <v>-1</v>
      </c>
      <c r="G12" s="122"/>
      <c r="H12" s="123"/>
      <c r="I12" s="122"/>
    </row>
    <row r="13" spans="1:12" s="116" customFormat="1" ht="15.6" x14ac:dyDescent="0.3">
      <c r="A13" s="115"/>
      <c r="B13" s="122"/>
      <c r="C13" s="122" t="str">
        <f t="shared" si="1"/>
        <v>TRAHFO00,TRALFO00,BLD_RFNBO_NAV</v>
      </c>
      <c r="D13" s="125" t="s">
        <v>32</v>
      </c>
      <c r="E13" s="122">
        <v>0</v>
      </c>
      <c r="F13" s="126">
        <v>1</v>
      </c>
      <c r="G13" s="122"/>
      <c r="H13" s="123"/>
      <c r="I13" s="122"/>
    </row>
    <row r="14" spans="1:12" s="116" customFormat="1" ht="15.6" x14ac:dyDescent="0.3">
      <c r="A14" s="115"/>
      <c r="B14" s="122"/>
      <c r="C14" s="122" t="str">
        <f>C32</f>
        <v>BLDJET,BLD_RFNBO_JET</v>
      </c>
      <c r="D14" s="125" t="s">
        <v>32</v>
      </c>
      <c r="E14" s="122">
        <v>2010</v>
      </c>
      <c r="F14" s="126">
        <v>-1</v>
      </c>
      <c r="G14" s="122"/>
      <c r="H14" s="123"/>
      <c r="I14" s="122"/>
    </row>
    <row r="15" spans="1:12" s="116" customFormat="1" ht="15.6" x14ac:dyDescent="0.3">
      <c r="A15" s="115"/>
      <c r="B15" s="122"/>
      <c r="C15" s="122" t="str">
        <f t="shared" ref="C15:C16" si="2">C33</f>
        <v>BLDJET,BLD_RFNBO_JET</v>
      </c>
      <c r="D15" s="125" t="s">
        <v>32</v>
      </c>
      <c r="E15" s="122">
        <v>2020</v>
      </c>
      <c r="F15" s="126">
        <v>-1</v>
      </c>
      <c r="G15" s="122"/>
      <c r="H15" s="123"/>
      <c r="I15" s="122"/>
    </row>
    <row r="16" spans="1:12" s="116" customFormat="1" ht="15.6" x14ac:dyDescent="0.3">
      <c r="A16" s="115"/>
      <c r="B16" s="122"/>
      <c r="C16" s="122" t="str">
        <f t="shared" si="2"/>
        <v>BLDJET,BLD_RFNBO_JET</v>
      </c>
      <c r="D16" s="125" t="s">
        <v>32</v>
      </c>
      <c r="E16" s="122">
        <v>0</v>
      </c>
      <c r="F16" s="126">
        <v>1</v>
      </c>
      <c r="G16" s="122"/>
      <c r="H16" s="123"/>
      <c r="I16" s="122"/>
    </row>
    <row r="17" spans="1:12" s="116" customFormat="1" ht="15.6" x14ac:dyDescent="0.3">
      <c r="A17" s="115"/>
      <c r="B17" s="27"/>
      <c r="G17" s="27"/>
      <c r="H17" s="127"/>
      <c r="I17" s="27"/>
    </row>
    <row r="18" spans="1:12" s="116" customFormat="1" ht="15.6" x14ac:dyDescent="0.3">
      <c r="A18" s="115"/>
      <c r="B18" s="27"/>
      <c r="G18" s="27"/>
      <c r="H18" s="127"/>
      <c r="I18" s="27"/>
    </row>
    <row r="19" spans="1:12" s="116" customFormat="1" ht="15.6" x14ac:dyDescent="0.3">
      <c r="A19" s="115"/>
      <c r="B19" s="27"/>
      <c r="G19" s="27"/>
      <c r="H19" s="127"/>
      <c r="I19" s="27"/>
    </row>
    <row r="20" spans="1:12" s="11" customFormat="1" ht="15.6" x14ac:dyDescent="0.3">
      <c r="A20" s="10" t="s">
        <v>91</v>
      </c>
    </row>
    <row r="21" spans="1:12" s="116" customFormat="1" ht="15.6" x14ac:dyDescent="0.3">
      <c r="A21" s="115"/>
      <c r="B21" s="27"/>
      <c r="G21" s="27"/>
      <c r="H21" s="127"/>
      <c r="I21" s="27"/>
    </row>
    <row r="22" spans="1:12" s="116" customFormat="1" ht="15.6" x14ac:dyDescent="0.3">
      <c r="A22" s="115"/>
      <c r="B22" s="117" t="s">
        <v>154</v>
      </c>
      <c r="C22" s="118"/>
      <c r="D22" s="118"/>
      <c r="E22" s="118"/>
      <c r="F22" s="118"/>
      <c r="G22" s="118"/>
      <c r="H22" s="118"/>
    </row>
    <row r="23" spans="1:12" s="116" customFormat="1" ht="15.6" x14ac:dyDescent="0.3">
      <c r="A23" s="115"/>
      <c r="B23" s="118"/>
      <c r="C23" s="118"/>
      <c r="D23" s="118"/>
      <c r="E23" s="118"/>
      <c r="F23" s="118"/>
      <c r="G23" s="118"/>
      <c r="H23" s="118"/>
    </row>
    <row r="24" spans="1:12" s="116" customFormat="1" ht="15.6" x14ac:dyDescent="0.3">
      <c r="A24" s="115"/>
      <c r="B24" s="118"/>
      <c r="C24" s="118"/>
      <c r="D24" s="118"/>
      <c r="E24" s="119" t="s">
        <v>80</v>
      </c>
      <c r="F24" s="118"/>
      <c r="G24" s="118"/>
      <c r="H24" s="118"/>
      <c r="K24" s="203" t="s">
        <v>157</v>
      </c>
    </row>
    <row r="25" spans="1:12" s="115" customFormat="1" ht="15.6" x14ac:dyDescent="0.3">
      <c r="B25" s="146" t="s">
        <v>8</v>
      </c>
      <c r="C25" s="120" t="s">
        <v>31</v>
      </c>
      <c r="D25" s="146" t="s">
        <v>7</v>
      </c>
      <c r="E25" s="146" t="s">
        <v>6</v>
      </c>
      <c r="F25" s="146" t="s">
        <v>56</v>
      </c>
      <c r="G25" s="146" t="s">
        <v>9</v>
      </c>
      <c r="H25" s="146" t="s">
        <v>81</v>
      </c>
      <c r="I25" s="146" t="s">
        <v>82</v>
      </c>
      <c r="J25" s="147"/>
      <c r="K25" s="206">
        <v>1.1000000000000001</v>
      </c>
    </row>
    <row r="26" spans="1:12" s="116" customFormat="1" ht="15.6" x14ac:dyDescent="0.3">
      <c r="A26" s="115"/>
      <c r="B26" s="121" t="s">
        <v>156</v>
      </c>
      <c r="C26" s="122"/>
      <c r="D26" s="125" t="s">
        <v>58</v>
      </c>
      <c r="E26" s="122">
        <v>2030</v>
      </c>
      <c r="F26" s="126"/>
      <c r="G26" s="122">
        <v>1</v>
      </c>
      <c r="H26" s="208">
        <f>'Cap trajectories'!M15*1000*K25</f>
        <v>814092.31892999995</v>
      </c>
      <c r="I26" s="124"/>
      <c r="K26" s="202" t="s">
        <v>163</v>
      </c>
      <c r="L26" s="129"/>
    </row>
    <row r="27" spans="1:12" s="116" customFormat="1" ht="15.6" x14ac:dyDescent="0.3">
      <c r="A27" s="115"/>
      <c r="B27" s="121"/>
      <c r="C27" s="122"/>
      <c r="D27" s="125" t="s">
        <v>58</v>
      </c>
      <c r="E27" s="122">
        <v>2060</v>
      </c>
      <c r="F27" s="126"/>
      <c r="G27" s="122"/>
      <c r="H27" s="208">
        <f>H26</f>
        <v>814092.31892999995</v>
      </c>
      <c r="I27" s="124"/>
      <c r="K27" s="202"/>
      <c r="L27" s="129"/>
    </row>
    <row r="28" spans="1:12" s="116" customFormat="1" ht="15.6" x14ac:dyDescent="0.3">
      <c r="A28" s="115"/>
      <c r="B28" s="122"/>
      <c r="C28" s="122"/>
      <c r="D28" s="125" t="s">
        <v>58</v>
      </c>
      <c r="E28" s="122">
        <v>0</v>
      </c>
      <c r="F28" s="126"/>
      <c r="G28" s="122"/>
      <c r="H28" s="123">
        <v>5</v>
      </c>
      <c r="I28" s="122"/>
    </row>
    <row r="29" spans="1:12" s="116" customFormat="1" ht="15.6" x14ac:dyDescent="0.3">
      <c r="A29" s="115"/>
      <c r="B29" s="122"/>
      <c r="C29" s="122" t="s">
        <v>167</v>
      </c>
      <c r="D29" s="125" t="s">
        <v>32</v>
      </c>
      <c r="E29" s="122">
        <v>2021</v>
      </c>
      <c r="F29" s="126">
        <v>-1</v>
      </c>
      <c r="G29" s="122"/>
      <c r="H29" s="123"/>
      <c r="I29" s="122"/>
    </row>
    <row r="30" spans="1:12" s="116" customFormat="1" ht="15.6" x14ac:dyDescent="0.3">
      <c r="A30" s="115"/>
      <c r="B30" s="122"/>
      <c r="C30" s="122" t="s">
        <v>167</v>
      </c>
      <c r="D30" s="125" t="s">
        <v>32</v>
      </c>
      <c r="E30" s="122">
        <v>2060</v>
      </c>
      <c r="F30" s="126">
        <v>-1</v>
      </c>
      <c r="G30" s="122"/>
      <c r="H30" s="123"/>
      <c r="I30" s="122"/>
    </row>
    <row r="31" spans="1:12" s="116" customFormat="1" ht="15.6" x14ac:dyDescent="0.3">
      <c r="A31" s="115"/>
      <c r="B31" s="122"/>
      <c r="C31" s="122" t="s">
        <v>167</v>
      </c>
      <c r="D31" s="125" t="s">
        <v>32</v>
      </c>
      <c r="E31" s="122">
        <v>0</v>
      </c>
      <c r="F31" s="126">
        <v>1</v>
      </c>
      <c r="G31" s="122"/>
      <c r="H31" s="123"/>
      <c r="I31" s="122"/>
      <c r="K31" s="147" t="s">
        <v>151</v>
      </c>
    </row>
    <row r="32" spans="1:12" s="116" customFormat="1" ht="15.6" x14ac:dyDescent="0.3">
      <c r="A32" s="115"/>
      <c r="B32" s="122"/>
      <c r="C32" s="122" t="s">
        <v>166</v>
      </c>
      <c r="D32" s="125" t="s">
        <v>32</v>
      </c>
      <c r="E32" s="122">
        <v>2021</v>
      </c>
      <c r="F32" s="126">
        <v>-1</v>
      </c>
      <c r="G32" s="122"/>
      <c r="H32" s="123"/>
      <c r="I32" s="122"/>
      <c r="K32" s="202" t="s">
        <v>150</v>
      </c>
    </row>
    <row r="33" spans="1:11" s="116" customFormat="1" ht="15.6" x14ac:dyDescent="0.3">
      <c r="A33" s="115"/>
      <c r="B33" s="122"/>
      <c r="C33" s="122" t="s">
        <v>166</v>
      </c>
      <c r="D33" s="125" t="s">
        <v>32</v>
      </c>
      <c r="E33" s="122">
        <v>2060</v>
      </c>
      <c r="F33" s="126">
        <v>-1</v>
      </c>
      <c r="G33" s="122"/>
      <c r="H33" s="123"/>
      <c r="I33" s="122"/>
      <c r="K33" s="202" t="s">
        <v>172</v>
      </c>
    </row>
    <row r="34" spans="1:11" s="116" customFormat="1" ht="15.6" x14ac:dyDescent="0.3">
      <c r="A34" s="115"/>
      <c r="B34" s="122"/>
      <c r="C34" s="122" t="s">
        <v>166</v>
      </c>
      <c r="D34" s="125" t="s">
        <v>32</v>
      </c>
      <c r="E34" s="122">
        <v>0</v>
      </c>
      <c r="F34" s="126">
        <v>1</v>
      </c>
      <c r="G34" s="122"/>
      <c r="H34" s="123"/>
      <c r="I34" s="122"/>
    </row>
    <row r="35" spans="1:11" s="116" customFormat="1" ht="15.6" x14ac:dyDescent="0.3">
      <c r="A35" s="115"/>
    </row>
    <row r="36" spans="1:11" s="116" customFormat="1" ht="15.6" x14ac:dyDescent="0.3">
      <c r="A36" s="115"/>
    </row>
    <row r="37" spans="1:11" s="116" customFormat="1" ht="15.6" x14ac:dyDescent="0.3">
      <c r="A37" s="115"/>
      <c r="B37" s="117" t="s">
        <v>164</v>
      </c>
      <c r="C37" s="118"/>
      <c r="D37" s="118"/>
      <c r="E37" s="118"/>
      <c r="F37" s="118"/>
      <c r="G37" s="118"/>
      <c r="H37" s="118"/>
    </row>
    <row r="38" spans="1:11" s="116" customFormat="1" ht="15.6" x14ac:dyDescent="0.3">
      <c r="A38" s="115"/>
      <c r="B38" s="118"/>
      <c r="C38" s="118"/>
      <c r="D38" s="118"/>
      <c r="E38" s="118"/>
      <c r="F38" s="118"/>
      <c r="G38" s="118"/>
      <c r="H38" s="118"/>
    </row>
    <row r="39" spans="1:11" s="116" customFormat="1" ht="15.6" x14ac:dyDescent="0.3">
      <c r="A39" s="115"/>
      <c r="B39" s="118"/>
      <c r="C39" s="118"/>
      <c r="D39" s="118"/>
      <c r="E39" s="119" t="s">
        <v>165</v>
      </c>
      <c r="F39" s="118"/>
      <c r="G39" s="118"/>
      <c r="H39" s="118"/>
    </row>
    <row r="40" spans="1:11" s="116" customFormat="1" ht="15.6" x14ac:dyDescent="0.3">
      <c r="A40" s="115"/>
      <c r="B40" s="146" t="s">
        <v>8</v>
      </c>
      <c r="C40" s="120" t="s">
        <v>31</v>
      </c>
      <c r="D40" s="146" t="s">
        <v>7</v>
      </c>
      <c r="E40" s="146" t="s">
        <v>6</v>
      </c>
      <c r="F40" s="146" t="s">
        <v>56</v>
      </c>
      <c r="G40" s="146" t="s">
        <v>9</v>
      </c>
      <c r="H40" s="146" t="s">
        <v>81</v>
      </c>
      <c r="I40" s="146" t="s">
        <v>82</v>
      </c>
    </row>
    <row r="41" spans="1:11" s="116" customFormat="1" ht="15.6" x14ac:dyDescent="0.3">
      <c r="A41" s="115"/>
      <c r="B41" s="121" t="s">
        <v>155</v>
      </c>
      <c r="C41" s="122"/>
      <c r="D41" s="125" t="s">
        <v>58</v>
      </c>
      <c r="E41" s="122">
        <v>2025</v>
      </c>
      <c r="F41" s="126"/>
      <c r="G41" s="122">
        <v>1</v>
      </c>
      <c r="H41" s="123">
        <f>H26</f>
        <v>814092.31892999995</v>
      </c>
      <c r="I41" s="124"/>
      <c r="K41" s="207">
        <v>0.95</v>
      </c>
    </row>
    <row r="42" spans="1:11" s="116" customFormat="1" ht="15.6" x14ac:dyDescent="0.3">
      <c r="A42" s="115"/>
      <c r="B42" s="122"/>
      <c r="C42" s="122"/>
      <c r="D42" s="125" t="s">
        <v>58</v>
      </c>
      <c r="E42" s="133">
        <v>2030</v>
      </c>
      <c r="F42" s="126"/>
      <c r="G42" s="122"/>
      <c r="H42" s="123">
        <f>H26*K41</f>
        <v>773387.70298349997</v>
      </c>
      <c r="I42" s="124"/>
    </row>
    <row r="43" spans="1:11" s="116" customFormat="1" ht="15.6" x14ac:dyDescent="0.3">
      <c r="A43" s="115"/>
      <c r="B43" s="122"/>
      <c r="C43" s="122"/>
      <c r="D43" s="125" t="s">
        <v>58</v>
      </c>
      <c r="E43" s="122">
        <v>0</v>
      </c>
      <c r="F43" s="126"/>
      <c r="G43" s="122"/>
      <c r="H43" s="123">
        <v>1</v>
      </c>
      <c r="I43" s="122"/>
    </row>
    <row r="44" spans="1:11" s="116" customFormat="1" ht="15.6" x14ac:dyDescent="0.3">
      <c r="A44" s="115"/>
      <c r="B44" s="122"/>
      <c r="C44" s="122" t="str">
        <f>C29</f>
        <v>TRAHFO00,TRALFO00,BLD_RFNBO_NAV</v>
      </c>
      <c r="D44" s="125" t="s">
        <v>32</v>
      </c>
      <c r="E44" s="122">
        <v>2021</v>
      </c>
      <c r="F44" s="126">
        <v>-1</v>
      </c>
      <c r="G44" s="122"/>
      <c r="H44" s="123"/>
      <c r="I44" s="122"/>
    </row>
    <row r="45" spans="1:11" s="116" customFormat="1" ht="15.6" x14ac:dyDescent="0.3">
      <c r="A45" s="115"/>
      <c r="B45" s="122"/>
      <c r="C45" s="122" t="str">
        <f t="shared" ref="C45:C46" si="3">C30</f>
        <v>TRAHFO00,TRALFO00,BLD_RFNBO_NAV</v>
      </c>
      <c r="D45" s="125" t="s">
        <v>32</v>
      </c>
      <c r="E45" s="122">
        <v>2060</v>
      </c>
      <c r="F45" s="126">
        <v>-1</v>
      </c>
      <c r="G45" s="122"/>
      <c r="H45" s="123"/>
      <c r="I45" s="122"/>
    </row>
    <row r="46" spans="1:11" s="116" customFormat="1" ht="15.6" x14ac:dyDescent="0.3">
      <c r="A46" s="115"/>
      <c r="B46" s="122"/>
      <c r="C46" s="122" t="str">
        <f t="shared" si="3"/>
        <v>TRAHFO00,TRALFO00,BLD_RFNBO_NAV</v>
      </c>
      <c r="D46" s="125" t="s">
        <v>32</v>
      </c>
      <c r="E46" s="122">
        <v>0</v>
      </c>
      <c r="F46" s="126">
        <v>1</v>
      </c>
      <c r="G46" s="122"/>
      <c r="H46" s="123"/>
      <c r="I46" s="122"/>
    </row>
    <row r="47" spans="1:11" s="116" customFormat="1" ht="15.6" x14ac:dyDescent="0.3">
      <c r="A47" s="115"/>
      <c r="B47" s="122"/>
      <c r="C47" s="122" t="str">
        <f>C32</f>
        <v>BLDJET,BLD_RFNBO_JET</v>
      </c>
      <c r="D47" s="125" t="s">
        <v>32</v>
      </c>
      <c r="E47" s="122">
        <v>2021</v>
      </c>
      <c r="F47" s="126">
        <v>-1</v>
      </c>
      <c r="G47" s="122"/>
      <c r="H47" s="123"/>
      <c r="I47" s="122"/>
    </row>
    <row r="48" spans="1:11" s="116" customFormat="1" ht="15.6" x14ac:dyDescent="0.3">
      <c r="A48" s="115"/>
      <c r="B48" s="122"/>
      <c r="C48" s="122" t="str">
        <f t="shared" ref="C48:C49" si="4">C33</f>
        <v>BLDJET,BLD_RFNBO_JET</v>
      </c>
      <c r="D48" s="125" t="s">
        <v>32</v>
      </c>
      <c r="E48" s="122">
        <v>2060</v>
      </c>
      <c r="F48" s="126">
        <v>-1</v>
      </c>
      <c r="G48" s="122"/>
      <c r="H48" s="123"/>
      <c r="I48" s="122"/>
    </row>
    <row r="49" spans="1:46" s="116" customFormat="1" ht="15.6" x14ac:dyDescent="0.3">
      <c r="A49" s="115"/>
      <c r="B49" s="122"/>
      <c r="C49" s="122" t="str">
        <f t="shared" si="4"/>
        <v>BLDJET,BLD_RFNBO_JET</v>
      </c>
      <c r="D49" s="125" t="s">
        <v>32</v>
      </c>
      <c r="E49" s="122">
        <v>0</v>
      </c>
      <c r="F49" s="126">
        <v>1</v>
      </c>
      <c r="G49" s="122"/>
      <c r="H49" s="123"/>
      <c r="I49" s="122"/>
    </row>
    <row r="50" spans="1:46" s="116" customFormat="1" ht="15.6" x14ac:dyDescent="0.3">
      <c r="A50" s="115"/>
    </row>
    <row r="51" spans="1:46" s="116" customFormat="1" ht="15.6" x14ac:dyDescent="0.3">
      <c r="A51" s="115"/>
    </row>
    <row r="52" spans="1:46" s="205" customFormat="1" ht="15.6" x14ac:dyDescent="0.3">
      <c r="A52" s="204" t="s">
        <v>85</v>
      </c>
    </row>
    <row r="53" spans="1:46" x14ac:dyDescent="0.25">
      <c r="H53" s="15"/>
      <c r="I53" s="9"/>
      <c r="J53" s="9"/>
      <c r="K53" s="9"/>
      <c r="L53" s="9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8"/>
      <c r="Y53" s="16"/>
      <c r="Z53" s="16"/>
      <c r="AA53" s="16"/>
      <c r="AB53" s="16"/>
      <c r="AC53" s="16"/>
      <c r="AD53" s="16"/>
      <c r="AE53" s="16"/>
      <c r="AF53" s="16"/>
      <c r="AG53" s="16"/>
      <c r="AH53" s="16"/>
      <c r="AI53" s="16"/>
      <c r="AJ53" s="16"/>
      <c r="AK53" s="16"/>
      <c r="AL53" s="16"/>
      <c r="AM53" s="16"/>
      <c r="AN53" s="16"/>
      <c r="AO53" s="16"/>
      <c r="AP53" s="16"/>
      <c r="AQ53" s="16"/>
    </row>
    <row r="54" spans="1:46" s="6" customFormat="1" ht="13.8" x14ac:dyDescent="0.25">
      <c r="B54" s="12" t="s">
        <v>52</v>
      </c>
      <c r="C54" s="13"/>
    </row>
    <row r="55" spans="1:46" s="6" customFormat="1" ht="13.8" x14ac:dyDescent="0.25">
      <c r="B55" s="12" t="s">
        <v>53</v>
      </c>
      <c r="C55" s="13"/>
    </row>
    <row r="56" spans="1:46" s="6" customFormat="1" ht="13.8" x14ac:dyDescent="0.25">
      <c r="I56" s="14" t="s">
        <v>54</v>
      </c>
    </row>
    <row r="57" spans="1:46" s="135" customFormat="1" ht="12" x14ac:dyDescent="0.25">
      <c r="B57" s="136" t="s">
        <v>8</v>
      </c>
      <c r="C57" s="137" t="s">
        <v>55</v>
      </c>
      <c r="D57" s="138" t="s">
        <v>40</v>
      </c>
      <c r="E57" s="138" t="s">
        <v>31</v>
      </c>
      <c r="F57" s="139" t="s">
        <v>7</v>
      </c>
      <c r="G57" s="139" t="s">
        <v>33</v>
      </c>
      <c r="H57" s="140" t="s">
        <v>6</v>
      </c>
      <c r="I57" s="141" t="s">
        <v>56</v>
      </c>
      <c r="J57" s="142" t="s">
        <v>9</v>
      </c>
      <c r="K57" s="142" t="s">
        <v>84</v>
      </c>
      <c r="L57" s="143" t="s">
        <v>57</v>
      </c>
      <c r="M57" s="144" t="s">
        <v>10</v>
      </c>
      <c r="N57" s="144" t="s">
        <v>0</v>
      </c>
      <c r="O57" s="144" t="s">
        <v>11</v>
      </c>
      <c r="P57" s="150" t="s">
        <v>34</v>
      </c>
      <c r="Q57" s="144" t="s">
        <v>12</v>
      </c>
      <c r="R57" s="144" t="s">
        <v>13</v>
      </c>
      <c r="S57" s="144" t="s">
        <v>1</v>
      </c>
      <c r="T57" s="144" t="s">
        <v>14</v>
      </c>
      <c r="U57" s="144" t="s">
        <v>15</v>
      </c>
      <c r="V57" s="144" t="s">
        <v>35</v>
      </c>
      <c r="W57" s="144" t="s">
        <v>2</v>
      </c>
      <c r="X57" s="144" t="s">
        <v>3</v>
      </c>
      <c r="Y57" s="144" t="s">
        <v>4</v>
      </c>
      <c r="Z57" s="144" t="s">
        <v>30</v>
      </c>
      <c r="AA57" s="144" t="s">
        <v>16</v>
      </c>
      <c r="AB57" s="144" t="s">
        <v>17</v>
      </c>
      <c r="AC57" s="144" t="s">
        <v>36</v>
      </c>
      <c r="AD57" s="144" t="s">
        <v>18</v>
      </c>
      <c r="AE57" s="144" t="s">
        <v>19</v>
      </c>
      <c r="AF57" s="144" t="s">
        <v>20</v>
      </c>
      <c r="AG57" s="144" t="s">
        <v>21</v>
      </c>
      <c r="AH57" s="144" t="s">
        <v>22</v>
      </c>
      <c r="AI57" s="144" t="s">
        <v>23</v>
      </c>
      <c r="AJ57" s="144" t="s">
        <v>37</v>
      </c>
      <c r="AK57" s="144" t="s">
        <v>24</v>
      </c>
      <c r="AL57" s="144" t="s">
        <v>25</v>
      </c>
      <c r="AM57" s="144" t="s">
        <v>26</v>
      </c>
      <c r="AN57" s="144" t="s">
        <v>27</v>
      </c>
      <c r="AO57" s="144" t="s">
        <v>28</v>
      </c>
      <c r="AP57" s="144" t="s">
        <v>29</v>
      </c>
      <c r="AQ57" s="144" t="s">
        <v>5</v>
      </c>
      <c r="AS57" s="145" t="s">
        <v>162</v>
      </c>
      <c r="AT57" s="145"/>
    </row>
    <row r="58" spans="1:46" s="6" customFormat="1" ht="13.8" x14ac:dyDescent="0.25">
      <c r="B58" s="121" t="s">
        <v>152</v>
      </c>
      <c r="C58" s="133" t="s">
        <v>153</v>
      </c>
      <c r="D58" s="122"/>
      <c r="E58" s="134"/>
      <c r="F58" s="122" t="s">
        <v>58</v>
      </c>
      <c r="G58" s="122"/>
      <c r="H58" s="124">
        <v>2010</v>
      </c>
      <c r="I58" s="122"/>
      <c r="J58" s="124">
        <v>1</v>
      </c>
      <c r="K58" s="122">
        <v>1</v>
      </c>
      <c r="L58" s="124">
        <v>5</v>
      </c>
      <c r="M58" s="174">
        <f>M88</f>
        <v>44100.674723343698</v>
      </c>
      <c r="N58" s="174">
        <f t="shared" ref="N58:AP58" si="5">N88</f>
        <v>71591.339355979406</v>
      </c>
      <c r="O58" s="174">
        <f t="shared" si="5"/>
        <v>12756.8979253739</v>
      </c>
      <c r="P58" s="174">
        <f t="shared" si="5"/>
        <v>38619.555838735097</v>
      </c>
      <c r="Q58" s="174">
        <f t="shared" si="5"/>
        <v>3631.2155583634799</v>
      </c>
      <c r="R58" s="174">
        <f t="shared" si="5"/>
        <v>43272.659968837201</v>
      </c>
      <c r="S58" s="174">
        <f t="shared" si="5"/>
        <v>426179.15873898001</v>
      </c>
      <c r="T58" s="174">
        <f t="shared" si="5"/>
        <v>24831.290794669399</v>
      </c>
      <c r="U58" s="174">
        <f t="shared" si="5"/>
        <v>3617.1552505438499</v>
      </c>
      <c r="V58" s="174">
        <f t="shared" si="5"/>
        <v>38213.099046509298</v>
      </c>
      <c r="W58" s="174">
        <f t="shared" si="5"/>
        <v>181099.88334715599</v>
      </c>
      <c r="X58" s="174">
        <f t="shared" si="5"/>
        <v>28324.803267282001</v>
      </c>
      <c r="Y58" s="174">
        <f t="shared" si="5"/>
        <v>285576.44692010101</v>
      </c>
      <c r="Z58" s="174">
        <f t="shared" si="5"/>
        <v>12356.374763508</v>
      </c>
      <c r="AA58" s="174">
        <f t="shared" si="5"/>
        <v>28876.257846712</v>
      </c>
      <c r="AB58" s="174">
        <f t="shared" si="5"/>
        <v>26501.719410858601</v>
      </c>
      <c r="AC58" s="174">
        <f t="shared" si="5"/>
        <v>1774.63387051222</v>
      </c>
      <c r="AD58" s="174">
        <f t="shared" si="5"/>
        <v>272101.19669772399</v>
      </c>
      <c r="AE58" s="174">
        <f t="shared" si="5"/>
        <v>6947.9174514363103</v>
      </c>
      <c r="AF58" s="174">
        <f t="shared" si="5"/>
        <v>9395.1201134135808</v>
      </c>
      <c r="AG58" s="174">
        <f t="shared" si="5"/>
        <v>5763.1798603277002</v>
      </c>
      <c r="AH58" s="174">
        <f t="shared" si="5"/>
        <v>733.96502552183495</v>
      </c>
      <c r="AI58" s="174">
        <f t="shared" si="5"/>
        <v>107728.81735179</v>
      </c>
      <c r="AJ58" s="174">
        <f t="shared" si="5"/>
        <v>19538.283485086398</v>
      </c>
      <c r="AK58" s="174">
        <f t="shared" si="5"/>
        <v>140469.92989332299</v>
      </c>
      <c r="AL58" s="174">
        <f t="shared" si="5"/>
        <v>32506.8324337497</v>
      </c>
      <c r="AM58" s="174">
        <f t="shared" si="5"/>
        <v>37998.402915996601</v>
      </c>
      <c r="AN58" s="174">
        <f t="shared" si="5"/>
        <v>32528.837920962302</v>
      </c>
      <c r="AO58" s="174">
        <f t="shared" si="5"/>
        <v>9233.5056457539995</v>
      </c>
      <c r="AP58" s="174">
        <f t="shared" si="5"/>
        <v>21363.488020715198</v>
      </c>
      <c r="AQ58" s="174">
        <v>444289.03166109126</v>
      </c>
      <c r="AS58" s="217">
        <f>SUM(M58:AP58)-P58</f>
        <v>1929013.0876045306</v>
      </c>
    </row>
    <row r="59" spans="1:46" s="6" customFormat="1" ht="13.8" x14ac:dyDescent="0.25">
      <c r="B59" s="122"/>
      <c r="C59" s="133"/>
      <c r="D59" s="122"/>
      <c r="E59" s="134"/>
      <c r="F59" s="122" t="s">
        <v>58</v>
      </c>
      <c r="G59" s="122"/>
      <c r="H59" s="124">
        <v>2015</v>
      </c>
      <c r="I59" s="122"/>
      <c r="J59" s="124"/>
      <c r="K59" s="122">
        <v>1</v>
      </c>
      <c r="L59" s="124"/>
      <c r="M59" s="174">
        <f>M89</f>
        <v>41236.493232933099</v>
      </c>
      <c r="N59" s="174">
        <f t="shared" ref="N59:AP59" si="6">N89</f>
        <v>64473.113716164502</v>
      </c>
      <c r="O59" s="174">
        <f t="shared" si="6"/>
        <v>13471.2814008961</v>
      </c>
      <c r="P59" s="174">
        <f t="shared" si="6"/>
        <v>33144.020552876696</v>
      </c>
      <c r="Q59" s="174">
        <f t="shared" si="6"/>
        <v>3056.6835988566199</v>
      </c>
      <c r="R59" s="174">
        <f t="shared" si="6"/>
        <v>39476.343665818902</v>
      </c>
      <c r="S59" s="174">
        <f t="shared" si="6"/>
        <v>413336.26999081002</v>
      </c>
      <c r="T59" s="174">
        <f t="shared" si="6"/>
        <v>21630.5187099506</v>
      </c>
      <c r="U59" s="174">
        <f t="shared" si="6"/>
        <v>3708.7068236192599</v>
      </c>
      <c r="V59" s="174">
        <f t="shared" si="6"/>
        <v>28050.605359355399</v>
      </c>
      <c r="W59" s="174">
        <f t="shared" si="6"/>
        <v>158998.30325214801</v>
      </c>
      <c r="X59" s="174">
        <f t="shared" si="6"/>
        <v>22069.2325236541</v>
      </c>
      <c r="Y59" s="174">
        <f t="shared" si="6"/>
        <v>259874.12303865401</v>
      </c>
      <c r="Z59" s="174">
        <f t="shared" si="6"/>
        <v>10799.4978431609</v>
      </c>
      <c r="AA59" s="174">
        <f t="shared" si="6"/>
        <v>27868.806710191398</v>
      </c>
      <c r="AB59" s="174">
        <f t="shared" si="6"/>
        <v>24486.8305433879</v>
      </c>
      <c r="AC59" s="174">
        <f t="shared" si="6"/>
        <v>1635.91614575938</v>
      </c>
      <c r="AD59" s="174">
        <f t="shared" si="6"/>
        <v>236112.82897216201</v>
      </c>
      <c r="AE59" s="174">
        <f t="shared" si="6"/>
        <v>7290.1727841126203</v>
      </c>
      <c r="AF59" s="174">
        <f t="shared" si="6"/>
        <v>8329.3595345406902</v>
      </c>
      <c r="AG59" s="174">
        <f t="shared" si="6"/>
        <v>4965.9089875650598</v>
      </c>
      <c r="AH59" s="174">
        <f t="shared" si="6"/>
        <v>803.55837063666195</v>
      </c>
      <c r="AI59" s="174">
        <f t="shared" si="6"/>
        <v>87709.891172345393</v>
      </c>
      <c r="AJ59" s="174">
        <f t="shared" si="6"/>
        <v>18541.405685005098</v>
      </c>
      <c r="AK59" s="174">
        <f t="shared" si="6"/>
        <v>125638.156353716</v>
      </c>
      <c r="AL59" s="174">
        <f t="shared" si="6"/>
        <v>27682.724250045401</v>
      </c>
      <c r="AM59" s="174">
        <f t="shared" si="6"/>
        <v>38049.159688770997</v>
      </c>
      <c r="AN59" s="174">
        <f t="shared" si="6"/>
        <v>27579.947343062599</v>
      </c>
      <c r="AO59" s="174">
        <f t="shared" si="6"/>
        <v>8200.7106168332903</v>
      </c>
      <c r="AP59" s="174">
        <f t="shared" si="6"/>
        <v>18594.6545684581</v>
      </c>
      <c r="AQ59" s="174"/>
      <c r="AS59" s="217">
        <f t="shared" ref="AS59:AS60" si="7">SUM(M59:AP59)-P59</f>
        <v>1743671.2048826145</v>
      </c>
    </row>
    <row r="60" spans="1:46" s="6" customFormat="1" ht="13.8" x14ac:dyDescent="0.25">
      <c r="B60" s="122"/>
      <c r="C60" s="122"/>
      <c r="D60" s="122"/>
      <c r="E60" s="122"/>
      <c r="F60" s="122" t="s">
        <v>58</v>
      </c>
      <c r="G60" s="122"/>
      <c r="H60" s="124">
        <v>2021</v>
      </c>
      <c r="I60" s="122"/>
      <c r="J60" s="122"/>
      <c r="K60" s="122">
        <v>1</v>
      </c>
      <c r="L60" s="122"/>
      <c r="M60" s="174">
        <f>M91</f>
        <v>42086.084327216398</v>
      </c>
      <c r="N60" s="174">
        <f t="shared" ref="N60:AP60" si="8">N91</f>
        <v>62206.725647786101</v>
      </c>
      <c r="O60" s="174">
        <f t="shared" si="8"/>
        <v>15981.6496144011</v>
      </c>
      <c r="P60" s="174">
        <f t="shared" si="8"/>
        <v>30338.9629481927</v>
      </c>
      <c r="Q60" s="174">
        <f t="shared" si="8"/>
        <v>3048.9990676714201</v>
      </c>
      <c r="R60" s="174">
        <f t="shared" si="8"/>
        <v>43425.932741805897</v>
      </c>
      <c r="S60" s="174">
        <f t="shared" si="8"/>
        <v>392933.65385698999</v>
      </c>
      <c r="T60" s="174">
        <f t="shared" si="8"/>
        <v>20833.082414441302</v>
      </c>
      <c r="U60" s="174">
        <f t="shared" si="8"/>
        <v>3337.2200301784801</v>
      </c>
      <c r="V60" s="174">
        <f t="shared" si="8"/>
        <v>26704.505149196299</v>
      </c>
      <c r="W60" s="174">
        <f t="shared" si="8"/>
        <v>165534.51784742999</v>
      </c>
      <c r="X60" s="174">
        <f t="shared" si="8"/>
        <v>20244.470484735</v>
      </c>
      <c r="Y60" s="174">
        <f t="shared" si="8"/>
        <v>241540.78149340901</v>
      </c>
      <c r="Z60" s="174">
        <f t="shared" si="8"/>
        <v>11449.324953024799</v>
      </c>
      <c r="AA60" s="174">
        <f t="shared" si="8"/>
        <v>31853.441330071</v>
      </c>
      <c r="AB60" s="174">
        <f t="shared" si="8"/>
        <v>24294.091740399599</v>
      </c>
      <c r="AC60" s="174">
        <f t="shared" si="8"/>
        <v>1543.44520581999</v>
      </c>
      <c r="AD60" s="174">
        <f t="shared" si="8"/>
        <v>231934.182047151</v>
      </c>
      <c r="AE60" s="174">
        <f t="shared" si="8"/>
        <v>8696.3746509143493</v>
      </c>
      <c r="AF60" s="174">
        <f t="shared" si="8"/>
        <v>7693.8297528679605</v>
      </c>
      <c r="AG60" s="174">
        <f t="shared" si="8"/>
        <v>5158.1292434773904</v>
      </c>
      <c r="AH60" s="174">
        <f t="shared" si="8"/>
        <v>829.75606340331603</v>
      </c>
      <c r="AI60" s="174">
        <f t="shared" si="8"/>
        <v>86206.175894387998</v>
      </c>
      <c r="AJ60" s="174">
        <f t="shared" si="8"/>
        <v>16986.380961785399</v>
      </c>
      <c r="AK60" s="174">
        <f t="shared" si="8"/>
        <v>146639.91777707101</v>
      </c>
      <c r="AL60" s="174">
        <f t="shared" si="8"/>
        <v>26661.405490441899</v>
      </c>
      <c r="AM60" s="174">
        <f t="shared" si="8"/>
        <v>46582.5202621473</v>
      </c>
      <c r="AN60" s="174">
        <f t="shared" si="8"/>
        <v>23478.1336892627</v>
      </c>
      <c r="AO60" s="174">
        <f t="shared" si="8"/>
        <v>7936.1174355924304</v>
      </c>
      <c r="AP60" s="174">
        <f t="shared" si="8"/>
        <v>19450.011283973599</v>
      </c>
      <c r="AQ60" s="174"/>
      <c r="AS60" s="217">
        <f t="shared" si="7"/>
        <v>1735270.8604570532</v>
      </c>
    </row>
    <row r="61" spans="1:46" s="6" customFormat="1" ht="13.8" x14ac:dyDescent="0.25">
      <c r="B61" s="122"/>
      <c r="C61" s="122"/>
      <c r="D61" s="122"/>
      <c r="E61" s="134" t="str">
        <f>C44</f>
        <v>TRAHFO00,TRALFO00,BLD_RFNBO_NAV</v>
      </c>
      <c r="F61" s="122" t="s">
        <v>32</v>
      </c>
      <c r="G61" s="122"/>
      <c r="H61" s="124">
        <v>2022</v>
      </c>
      <c r="I61" s="124">
        <v>-1</v>
      </c>
      <c r="J61" s="122"/>
      <c r="K61" s="122">
        <v>1</v>
      </c>
      <c r="L61" s="122"/>
      <c r="M61" s="122"/>
      <c r="N61" s="122"/>
      <c r="O61" s="122"/>
      <c r="P61" s="122"/>
      <c r="Q61" s="122"/>
      <c r="R61" s="122"/>
      <c r="S61" s="122"/>
      <c r="T61" s="122"/>
      <c r="U61" s="122"/>
      <c r="V61" s="122"/>
      <c r="W61" s="122"/>
      <c r="X61" s="122"/>
      <c r="Y61" s="122"/>
      <c r="Z61" s="122"/>
      <c r="AA61" s="122"/>
      <c r="AB61" s="122"/>
      <c r="AC61" s="122"/>
      <c r="AD61" s="122"/>
      <c r="AE61" s="122"/>
      <c r="AF61" s="122"/>
      <c r="AG61" s="122"/>
      <c r="AH61" s="122"/>
      <c r="AI61" s="122"/>
      <c r="AJ61" s="122"/>
      <c r="AK61" s="122"/>
      <c r="AL61" s="122"/>
      <c r="AM61" s="122"/>
      <c r="AN61" s="122"/>
      <c r="AO61" s="122"/>
      <c r="AP61" s="122"/>
      <c r="AQ61" s="122"/>
    </row>
    <row r="62" spans="1:46" s="6" customFormat="1" ht="13.8" x14ac:dyDescent="0.25">
      <c r="B62" s="122"/>
      <c r="C62" s="122"/>
      <c r="D62" s="122"/>
      <c r="E62" s="134" t="str">
        <f>C45</f>
        <v>TRAHFO00,TRALFO00,BLD_RFNBO_NAV</v>
      </c>
      <c r="F62" s="122" t="s">
        <v>32</v>
      </c>
      <c r="G62" s="122"/>
      <c r="H62" s="124">
        <v>2060</v>
      </c>
      <c r="I62" s="124">
        <v>-1</v>
      </c>
      <c r="J62" s="122"/>
      <c r="K62" s="122">
        <v>1</v>
      </c>
      <c r="L62" s="122"/>
      <c r="M62" s="122"/>
      <c r="N62" s="122"/>
      <c r="O62" s="122"/>
      <c r="P62" s="122"/>
      <c r="Q62" s="122"/>
      <c r="R62" s="122"/>
      <c r="S62" s="122"/>
      <c r="T62" s="122"/>
      <c r="U62" s="122"/>
      <c r="V62" s="122"/>
      <c r="W62" s="122"/>
      <c r="X62" s="122"/>
      <c r="Y62" s="122"/>
      <c r="Z62" s="122"/>
      <c r="AA62" s="122"/>
      <c r="AB62" s="122"/>
      <c r="AC62" s="122"/>
      <c r="AD62" s="122"/>
      <c r="AE62" s="122"/>
      <c r="AF62" s="122"/>
      <c r="AG62" s="122"/>
      <c r="AH62" s="122"/>
      <c r="AI62" s="122"/>
      <c r="AJ62" s="122"/>
      <c r="AK62" s="122"/>
      <c r="AL62" s="122"/>
      <c r="AM62" s="122"/>
      <c r="AN62" s="122"/>
      <c r="AO62" s="122"/>
      <c r="AP62" s="122"/>
      <c r="AQ62" s="122"/>
    </row>
    <row r="63" spans="1:46" s="6" customFormat="1" ht="13.8" x14ac:dyDescent="0.25">
      <c r="B63" s="122"/>
      <c r="C63" s="122"/>
      <c r="D63" s="122"/>
      <c r="E63" s="134" t="str">
        <f>C48</f>
        <v>BLDJET,BLD_RFNBO_JET</v>
      </c>
      <c r="F63" s="122" t="s">
        <v>32</v>
      </c>
      <c r="G63" s="122"/>
      <c r="H63" s="124">
        <v>2010</v>
      </c>
      <c r="I63" s="124">
        <v>-1</v>
      </c>
      <c r="J63" s="122"/>
      <c r="K63" s="122">
        <v>1</v>
      </c>
      <c r="L63" s="122"/>
      <c r="M63" s="122"/>
      <c r="N63" s="122"/>
      <c r="O63" s="122"/>
      <c r="P63" s="122"/>
      <c r="Q63" s="122"/>
      <c r="R63" s="122"/>
      <c r="S63" s="122"/>
      <c r="T63" s="122"/>
      <c r="U63" s="122"/>
      <c r="V63" s="122"/>
      <c r="W63" s="122"/>
      <c r="X63" s="122"/>
      <c r="Y63" s="122"/>
      <c r="Z63" s="122"/>
      <c r="AA63" s="122"/>
      <c r="AB63" s="122"/>
      <c r="AC63" s="122"/>
      <c r="AD63" s="122"/>
      <c r="AE63" s="122"/>
      <c r="AF63" s="122"/>
      <c r="AG63" s="122"/>
      <c r="AH63" s="122"/>
      <c r="AI63" s="122"/>
      <c r="AJ63" s="122"/>
      <c r="AK63" s="122"/>
      <c r="AL63" s="122"/>
      <c r="AM63" s="122"/>
      <c r="AN63" s="122"/>
      <c r="AO63" s="122"/>
      <c r="AP63" s="122"/>
      <c r="AQ63" s="122"/>
    </row>
    <row r="64" spans="1:46" s="6" customFormat="1" ht="13.8" x14ac:dyDescent="0.25">
      <c r="B64" s="122"/>
      <c r="C64" s="122"/>
      <c r="D64" s="122"/>
      <c r="E64" s="134" t="str">
        <f>C49</f>
        <v>BLDJET,BLD_RFNBO_JET</v>
      </c>
      <c r="F64" s="122" t="s">
        <v>32</v>
      </c>
      <c r="G64" s="122"/>
      <c r="H64" s="124">
        <v>2060</v>
      </c>
      <c r="I64" s="124">
        <v>-1</v>
      </c>
      <c r="J64" s="122"/>
      <c r="K64" s="122">
        <v>1</v>
      </c>
      <c r="L64" s="122"/>
      <c r="M64" s="122"/>
      <c r="N64" s="122"/>
      <c r="O64" s="122"/>
      <c r="P64" s="122"/>
      <c r="Q64" s="122"/>
      <c r="R64" s="122"/>
      <c r="S64" s="122"/>
      <c r="T64" s="122"/>
      <c r="U64" s="122"/>
      <c r="V64" s="122"/>
      <c r="W64" s="122"/>
      <c r="X64" s="122"/>
      <c r="Y64" s="122"/>
      <c r="Z64" s="122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</row>
    <row r="65" spans="2:45" s="155" customFormat="1" ht="13.8" x14ac:dyDescent="0.25">
      <c r="B65" s="27"/>
      <c r="C65" s="27"/>
      <c r="D65" s="27"/>
      <c r="E65" s="28"/>
      <c r="F65" s="27"/>
      <c r="G65" s="27"/>
      <c r="H65" s="156"/>
      <c r="I65" s="156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</row>
    <row r="66" spans="2:45" s="155" customFormat="1" ht="13.8" x14ac:dyDescent="0.25">
      <c r="B66" s="27"/>
      <c r="C66" s="27"/>
      <c r="D66" s="27"/>
      <c r="E66" s="28"/>
      <c r="F66" s="27"/>
      <c r="G66" s="27"/>
      <c r="H66" s="156"/>
      <c r="I66" s="156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</row>
    <row r="67" spans="2:45" s="6" customFormat="1" ht="13.8" x14ac:dyDescent="0.25">
      <c r="B67" s="122"/>
      <c r="C67" s="122"/>
      <c r="D67" s="122"/>
      <c r="E67" s="122"/>
      <c r="F67" s="122" t="s">
        <v>58</v>
      </c>
      <c r="G67" s="122"/>
      <c r="H67" s="124">
        <v>2030</v>
      </c>
      <c r="I67" s="122"/>
      <c r="J67" s="122"/>
      <c r="K67" s="122">
        <v>1</v>
      </c>
      <c r="L67" s="122"/>
      <c r="M67" s="174">
        <f>M75</f>
        <v>23892.896510758455</v>
      </c>
      <c r="N67" s="174">
        <f>N75</f>
        <v>38000.118917221022</v>
      </c>
      <c r="O67" s="174">
        <f>O75</f>
        <v>14723.305599184132</v>
      </c>
      <c r="P67" s="174"/>
      <c r="Q67" s="174">
        <f t="shared" ref="Q67:AP67" si="9">Q75</f>
        <v>1992.2977092564734</v>
      </c>
      <c r="R67" s="174">
        <f t="shared" si="9"/>
        <v>33236.560494950951</v>
      </c>
      <c r="S67" s="174">
        <f t="shared" si="9"/>
        <v>202188.29344690376</v>
      </c>
      <c r="T67" s="174">
        <f t="shared" si="9"/>
        <v>7287.4353065025007</v>
      </c>
      <c r="U67" s="174">
        <f t="shared" si="9"/>
        <v>2474.3476121401727</v>
      </c>
      <c r="V67" s="174">
        <f t="shared" si="9"/>
        <v>34182.008707637768</v>
      </c>
      <c r="W67" s="174">
        <f t="shared" si="9"/>
        <v>116240.67176772402</v>
      </c>
      <c r="X67" s="174">
        <f t="shared" si="9"/>
        <v>13162.264024264729</v>
      </c>
      <c r="Y67" s="174">
        <f t="shared" si="9"/>
        <v>141236.23845501678</v>
      </c>
      <c r="Z67" s="174">
        <f t="shared" si="9"/>
        <v>11272.840767360156</v>
      </c>
      <c r="AA67" s="174">
        <f t="shared" si="9"/>
        <v>26095.047549633906</v>
      </c>
      <c r="AB67" s="174">
        <f t="shared" si="9"/>
        <v>6057.3137378660103</v>
      </c>
      <c r="AC67" s="174">
        <f t="shared" si="9"/>
        <v>1296.2312897606212</v>
      </c>
      <c r="AD67" s="174">
        <f t="shared" si="9"/>
        <v>159086.62749987657</v>
      </c>
      <c r="AE67" s="174">
        <f t="shared" si="9"/>
        <v>5299.0699513079326</v>
      </c>
      <c r="AF67" s="174">
        <f t="shared" si="9"/>
        <v>4713.195569696074</v>
      </c>
      <c r="AG67" s="174">
        <f t="shared" si="9"/>
        <v>4180.544344222767</v>
      </c>
      <c r="AH67" s="174">
        <f t="shared" si="9"/>
        <v>499.85105309730886</v>
      </c>
      <c r="AI67" s="174">
        <f t="shared" si="9"/>
        <v>48043.942027094847</v>
      </c>
      <c r="AJ67" s="174">
        <f t="shared" si="9"/>
        <v>9648.0653281669438</v>
      </c>
      <c r="AK67" s="174">
        <f t="shared" si="9"/>
        <v>104319.91762943698</v>
      </c>
      <c r="AL67" s="174">
        <f t="shared" si="9"/>
        <v>25459.224527500155</v>
      </c>
      <c r="AM67" s="174">
        <f t="shared" si="9"/>
        <v>35644.269088232068</v>
      </c>
      <c r="AN67" s="174">
        <f t="shared" si="9"/>
        <v>16476.969886420527</v>
      </c>
      <c r="AO67" s="174">
        <f t="shared" si="9"/>
        <v>6793.067135860545</v>
      </c>
      <c r="AP67" s="174">
        <f t="shared" si="9"/>
        <v>16885.044658500472</v>
      </c>
      <c r="AQ67" s="174"/>
    </row>
    <row r="68" spans="2:45" s="155" customFormat="1" ht="13.8" x14ac:dyDescent="0.25">
      <c r="B68" s="27"/>
      <c r="C68" s="27"/>
      <c r="D68" s="27"/>
      <c r="E68" s="28"/>
      <c r="F68" s="27"/>
      <c r="G68" s="27"/>
      <c r="H68" s="156"/>
      <c r="I68" s="156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</row>
    <row r="69" spans="2:45" s="9" customFormat="1" x14ac:dyDescent="0.25">
      <c r="H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  <c r="AN69" s="15"/>
      <c r="AO69" s="15"/>
      <c r="AP69" s="15"/>
    </row>
    <row r="70" spans="2:45" s="9" customFormat="1" x14ac:dyDescent="0.25">
      <c r="B70" s="218"/>
      <c r="C70" s="218"/>
      <c r="D70" s="218"/>
      <c r="E70" s="218"/>
      <c r="F70" s="218"/>
      <c r="G70" s="218"/>
      <c r="H70" s="219"/>
      <c r="M70" s="178" t="s">
        <v>10</v>
      </c>
      <c r="N70" s="178" t="s">
        <v>0</v>
      </c>
      <c r="O70" s="178" t="s">
        <v>11</v>
      </c>
      <c r="P70" s="178" t="s">
        <v>34</v>
      </c>
      <c r="Q70" s="178" t="s">
        <v>12</v>
      </c>
      <c r="R70" s="178" t="s">
        <v>13</v>
      </c>
      <c r="S70" s="178" t="s">
        <v>1</v>
      </c>
      <c r="T70" s="178" t="s">
        <v>14</v>
      </c>
      <c r="U70" s="178" t="s">
        <v>15</v>
      </c>
      <c r="V70" s="178" t="s">
        <v>35</v>
      </c>
      <c r="W70" s="178" t="s">
        <v>2</v>
      </c>
      <c r="X70" s="178" t="s">
        <v>3</v>
      </c>
      <c r="Y70" s="178" t="s">
        <v>4</v>
      </c>
      <c r="Z70" s="178" t="s">
        <v>30</v>
      </c>
      <c r="AA70" s="178" t="s">
        <v>16</v>
      </c>
      <c r="AB70" s="178" t="s">
        <v>17</v>
      </c>
      <c r="AC70" s="178" t="s">
        <v>36</v>
      </c>
      <c r="AD70" s="178" t="s">
        <v>18</v>
      </c>
      <c r="AE70" s="178" t="s">
        <v>19</v>
      </c>
      <c r="AF70" s="178" t="s">
        <v>20</v>
      </c>
      <c r="AG70" s="178" t="s">
        <v>21</v>
      </c>
      <c r="AH70" s="178" t="s">
        <v>22</v>
      </c>
      <c r="AI70" s="178" t="s">
        <v>23</v>
      </c>
      <c r="AJ70" s="178" t="s">
        <v>37</v>
      </c>
      <c r="AK70" s="178" t="s">
        <v>24</v>
      </c>
      <c r="AL70" s="178" t="s">
        <v>25</v>
      </c>
      <c r="AM70" s="178" t="s">
        <v>26</v>
      </c>
      <c r="AN70" s="178" t="s">
        <v>27</v>
      </c>
      <c r="AO70" s="178" t="s">
        <v>28</v>
      </c>
      <c r="AP70" s="178" t="s">
        <v>29</v>
      </c>
      <c r="AQ70" s="178" t="s">
        <v>5</v>
      </c>
      <c r="AR70" s="178" t="s">
        <v>146</v>
      </c>
    </row>
    <row r="71" spans="2:45" s="9" customFormat="1" x14ac:dyDescent="0.25">
      <c r="B71" s="218"/>
      <c r="C71" s="218"/>
      <c r="D71" s="218"/>
      <c r="E71" s="218"/>
      <c r="F71" s="218"/>
      <c r="G71" s="218"/>
      <c r="H71" s="218"/>
      <c r="I71" s="131"/>
      <c r="J71" s="131"/>
      <c r="K71" s="183" t="s">
        <v>141</v>
      </c>
      <c r="L71" s="185">
        <v>2005</v>
      </c>
      <c r="M71" s="176">
        <f>M$80</f>
        <v>60373.551184260599</v>
      </c>
      <c r="N71" s="176">
        <f t="shared" ref="N71:AP71" si="10">N$80</f>
        <v>89061.859680269597</v>
      </c>
      <c r="O71" s="176">
        <f t="shared" si="10"/>
        <v>26291.758515248701</v>
      </c>
      <c r="P71" s="176">
        <f t="shared" si="10"/>
        <v>47495.420575558499</v>
      </c>
      <c r="Q71" s="176">
        <f t="shared" si="10"/>
        <v>4723.6897704870198</v>
      </c>
      <c r="R71" s="176">
        <f t="shared" si="10"/>
        <v>63220.555220912102</v>
      </c>
      <c r="S71" s="176">
        <f t="shared" si="10"/>
        <v>509773.97585479799</v>
      </c>
      <c r="T71" s="176">
        <f t="shared" si="10"/>
        <v>41439.048848291401</v>
      </c>
      <c r="U71" s="176">
        <f t="shared" si="10"/>
        <v>5757.1648613390298</v>
      </c>
      <c r="V71" s="176">
        <f t="shared" si="10"/>
        <v>61494.969770427801</v>
      </c>
      <c r="W71" s="176">
        <f t="shared" si="10"/>
        <v>262713.49240925699</v>
      </c>
      <c r="X71" s="176">
        <f t="shared" si="10"/>
        <v>40571.672928633699</v>
      </c>
      <c r="Y71" s="176">
        <f t="shared" si="10"/>
        <v>413888.00804452802</v>
      </c>
      <c r="Z71" s="176">
        <f t="shared" si="10"/>
        <v>18567.3853641192</v>
      </c>
      <c r="AA71" s="176">
        <f t="shared" si="10"/>
        <v>45547.843422588201</v>
      </c>
      <c r="AB71" s="176">
        <f t="shared" si="10"/>
        <v>51645.1768888714</v>
      </c>
      <c r="AC71" s="176">
        <f t="shared" si="10"/>
        <v>2959.38059656511</v>
      </c>
      <c r="AD71" s="176">
        <f t="shared" si="10"/>
        <v>373626.90440136602</v>
      </c>
      <c r="AE71" s="176">
        <f t="shared" si="10"/>
        <v>12868.0738992612</v>
      </c>
      <c r="AF71" s="176">
        <f t="shared" si="10"/>
        <v>10997.5995721462</v>
      </c>
      <c r="AG71" s="176">
        <f t="shared" si="10"/>
        <v>8431.9210520606593</v>
      </c>
      <c r="AH71" s="176">
        <f t="shared" si="10"/>
        <v>973.45883183044305</v>
      </c>
      <c r="AI71" s="176">
        <f t="shared" si="10"/>
        <v>129491.89480387801</v>
      </c>
      <c r="AJ71" s="176">
        <f t="shared" si="10"/>
        <v>25736.540806802601</v>
      </c>
      <c r="AK71" s="176">
        <f t="shared" si="10"/>
        <v>172347.74147169699</v>
      </c>
      <c r="AL71" s="176">
        <f t="shared" si="10"/>
        <v>51582.352934272501</v>
      </c>
      <c r="AM71" s="176">
        <f t="shared" si="10"/>
        <v>70266.491039862507</v>
      </c>
      <c r="AN71" s="176">
        <f t="shared" si="10"/>
        <v>46202.440159588499</v>
      </c>
      <c r="AO71" s="176">
        <f t="shared" si="10"/>
        <v>12227.063100871201</v>
      </c>
      <c r="AP71" s="176">
        <f t="shared" si="10"/>
        <v>27413.693367137799</v>
      </c>
      <c r="AQ71" s="176"/>
      <c r="AR71" s="158">
        <f>SUM(M71:AP71)-P71</f>
        <v>2640195.7088013706</v>
      </c>
    </row>
    <row r="72" spans="2:45" s="9" customFormat="1" x14ac:dyDescent="0.25">
      <c r="B72" s="220"/>
      <c r="C72" s="220"/>
      <c r="D72" s="221"/>
      <c r="E72" s="222"/>
      <c r="F72" s="222"/>
      <c r="G72" s="222"/>
      <c r="H72" s="218"/>
      <c r="I72" s="132"/>
      <c r="J72" s="131"/>
      <c r="K72" s="184" t="s">
        <v>114</v>
      </c>
      <c r="L72" s="185">
        <v>2030</v>
      </c>
      <c r="M72" s="176">
        <f>(M71*M73)+M71</f>
        <v>31394.246615815511</v>
      </c>
      <c r="N72" s="176">
        <f t="shared" ref="N72:AP72" si="11">(N71*N73)+N71</f>
        <v>47202.785630542887</v>
      </c>
      <c r="O72" s="176">
        <f t="shared" si="11"/>
        <v>23662.582663723832</v>
      </c>
      <c r="P72" s="176">
        <f t="shared" si="11"/>
        <v>47495.420575558499</v>
      </c>
      <c r="Q72" s="176">
        <f t="shared" si="11"/>
        <v>3212.1090439311733</v>
      </c>
      <c r="R72" s="176">
        <f t="shared" si="11"/>
        <v>46783.210863474953</v>
      </c>
      <c r="S72" s="176">
        <f t="shared" si="11"/>
        <v>254886.98792739899</v>
      </c>
      <c r="T72" s="176">
        <f t="shared" si="11"/>
        <v>20719.5244241457</v>
      </c>
      <c r="U72" s="176">
        <f t="shared" si="11"/>
        <v>4375.4452946176625</v>
      </c>
      <c r="V72" s="176">
        <f t="shared" si="11"/>
        <v>47535.611632540691</v>
      </c>
      <c r="W72" s="176">
        <f t="shared" si="11"/>
        <v>163670.50577096711</v>
      </c>
      <c r="X72" s="176">
        <f t="shared" si="11"/>
        <v>20285.83646431685</v>
      </c>
      <c r="Y72" s="176">
        <f t="shared" si="11"/>
        <v>217291.20422337722</v>
      </c>
      <c r="Z72" s="176">
        <f t="shared" si="11"/>
        <v>15466.632008311293</v>
      </c>
      <c r="AA72" s="176">
        <f t="shared" si="11"/>
        <v>37030.396702564205</v>
      </c>
      <c r="AB72" s="176">
        <f t="shared" si="11"/>
        <v>29954.202595545412</v>
      </c>
      <c r="AC72" s="176">
        <f t="shared" si="11"/>
        <v>2101.1602235612281</v>
      </c>
      <c r="AD72" s="176">
        <f t="shared" si="11"/>
        <v>210351.94717796906</v>
      </c>
      <c r="AE72" s="176">
        <f t="shared" si="11"/>
        <v>10165.778380416348</v>
      </c>
      <c r="AF72" s="176">
        <f t="shared" si="11"/>
        <v>5498.7997860731002</v>
      </c>
      <c r="AG72" s="176">
        <f t="shared" si="11"/>
        <v>6998.4944732103468</v>
      </c>
      <c r="AH72" s="176">
        <f t="shared" si="11"/>
        <v>788.50165378265888</v>
      </c>
      <c r="AI72" s="176">
        <f t="shared" si="11"/>
        <v>67335.785298016563</v>
      </c>
      <c r="AJ72" s="176">
        <f t="shared" si="11"/>
        <v>15441.924484081559</v>
      </c>
      <c r="AK72" s="176">
        <f t="shared" si="11"/>
        <v>141842.19123120664</v>
      </c>
      <c r="AL72" s="176">
        <f t="shared" si="11"/>
        <v>36778.217642136296</v>
      </c>
      <c r="AM72" s="176">
        <f t="shared" si="11"/>
        <v>61342.646677799967</v>
      </c>
      <c r="AN72" s="176">
        <f t="shared" si="11"/>
        <v>23101.22007979425</v>
      </c>
      <c r="AO72" s="176">
        <f t="shared" si="11"/>
        <v>8925.7560636359758</v>
      </c>
      <c r="AP72" s="176">
        <f t="shared" si="11"/>
        <v>21190.784972797519</v>
      </c>
      <c r="AQ72" s="131"/>
      <c r="AR72" s="158">
        <f>SUM(M72:AP72)-P72</f>
        <v>1575334.4900057553</v>
      </c>
    </row>
    <row r="73" spans="2:45" s="9" customFormat="1" x14ac:dyDescent="0.25">
      <c r="B73" s="221"/>
      <c r="C73" s="221"/>
      <c r="D73" s="221"/>
      <c r="E73" s="222"/>
      <c r="F73" s="222"/>
      <c r="G73" s="222"/>
      <c r="H73" s="218"/>
      <c r="I73" s="132"/>
      <c r="J73" s="131"/>
      <c r="K73" s="184" t="s">
        <v>142</v>
      </c>
      <c r="L73" s="185"/>
      <c r="M73" s="177">
        <v>-0.48</v>
      </c>
      <c r="N73" s="177">
        <v>-0.47</v>
      </c>
      <c r="O73" s="177">
        <v>-0.1</v>
      </c>
      <c r="P73" s="177"/>
      <c r="Q73" s="177">
        <v>-0.32</v>
      </c>
      <c r="R73" s="177">
        <v>-0.26</v>
      </c>
      <c r="S73" s="177">
        <v>-0.5</v>
      </c>
      <c r="T73" s="177">
        <v>-0.5</v>
      </c>
      <c r="U73" s="177">
        <v>-0.24</v>
      </c>
      <c r="V73" s="177">
        <v>-0.22700000000000001</v>
      </c>
      <c r="W73" s="177">
        <v>-0.377</v>
      </c>
      <c r="X73" s="177">
        <v>-0.5</v>
      </c>
      <c r="Y73" s="177">
        <v>-0.47499999999999998</v>
      </c>
      <c r="Z73" s="177">
        <v>-0.16700000000000001</v>
      </c>
      <c r="AA73" s="177">
        <v>-0.187</v>
      </c>
      <c r="AB73" s="177">
        <v>-0.42</v>
      </c>
      <c r="AC73" s="177">
        <v>-0.28999999999999998</v>
      </c>
      <c r="AD73" s="177">
        <v>-0.437</v>
      </c>
      <c r="AE73" s="177">
        <v>-0.21</v>
      </c>
      <c r="AF73" s="177">
        <v>-0.5</v>
      </c>
      <c r="AG73" s="177">
        <v>-0.17</v>
      </c>
      <c r="AH73" s="177">
        <v>-0.19</v>
      </c>
      <c r="AI73" s="177">
        <v>-0.48</v>
      </c>
      <c r="AJ73" s="177">
        <v>-0.4</v>
      </c>
      <c r="AK73" s="177">
        <v>-0.17699999999999999</v>
      </c>
      <c r="AL73" s="177">
        <v>-0.28699999999999998</v>
      </c>
      <c r="AM73" s="177">
        <v>-0.127</v>
      </c>
      <c r="AN73" s="177">
        <v>-0.5</v>
      </c>
      <c r="AO73" s="177">
        <v>-0.27</v>
      </c>
      <c r="AP73" s="177">
        <v>-0.22700000000000001</v>
      </c>
      <c r="AQ73" s="177"/>
      <c r="AR73" s="198"/>
    </row>
    <row r="74" spans="2:45" s="9" customFormat="1" x14ac:dyDescent="0.25">
      <c r="B74" s="221"/>
      <c r="C74" s="221"/>
      <c r="D74" s="223"/>
      <c r="E74" s="221"/>
      <c r="F74" s="221"/>
      <c r="G74" s="222"/>
      <c r="H74" s="218"/>
      <c r="I74" s="132"/>
      <c r="J74" s="131"/>
      <c r="K74" s="184" t="s">
        <v>116</v>
      </c>
      <c r="L74" s="185">
        <v>2030</v>
      </c>
      <c r="M74" s="182">
        <f>M$107</f>
        <v>7501.3501050570567</v>
      </c>
      <c r="N74" s="182">
        <f t="shared" ref="N74:AP74" si="12">N$107</f>
        <v>9202.6667133218652</v>
      </c>
      <c r="O74" s="182">
        <f t="shared" si="12"/>
        <v>8939.2770645396995</v>
      </c>
      <c r="P74" s="182">
        <f t="shared" si="12"/>
        <v>6463.8664855423658</v>
      </c>
      <c r="Q74" s="182">
        <f t="shared" si="12"/>
        <v>1219.8113346747</v>
      </c>
      <c r="R74" s="182">
        <f t="shared" si="12"/>
        <v>13546.650368524</v>
      </c>
      <c r="S74" s="182">
        <f t="shared" si="12"/>
        <v>52698.694480495251</v>
      </c>
      <c r="T74" s="182">
        <f t="shared" si="12"/>
        <v>13432.0891176432</v>
      </c>
      <c r="U74" s="182">
        <f t="shared" si="12"/>
        <v>1901.09768247749</v>
      </c>
      <c r="V74" s="182">
        <f t="shared" si="12"/>
        <v>13353.602924902922</v>
      </c>
      <c r="W74" s="182">
        <f t="shared" si="12"/>
        <v>47429.834003243086</v>
      </c>
      <c r="X74" s="182">
        <f t="shared" si="12"/>
        <v>7123.5724400521203</v>
      </c>
      <c r="Y74" s="182">
        <f t="shared" si="12"/>
        <v>76054.965768360446</v>
      </c>
      <c r="Z74" s="182">
        <f t="shared" si="12"/>
        <v>4193.7912409511373</v>
      </c>
      <c r="AA74" s="182">
        <f t="shared" si="12"/>
        <v>10935.349152930299</v>
      </c>
      <c r="AB74" s="182">
        <f t="shared" si="12"/>
        <v>23896.888857679402</v>
      </c>
      <c r="AC74" s="182">
        <f t="shared" si="12"/>
        <v>804.92893380060696</v>
      </c>
      <c r="AD74" s="182">
        <f t="shared" si="12"/>
        <v>51265.319678092492</v>
      </c>
      <c r="AE74" s="182">
        <f t="shared" si="12"/>
        <v>4866.7084291084157</v>
      </c>
      <c r="AF74" s="182">
        <f t="shared" si="12"/>
        <v>785.60421637702598</v>
      </c>
      <c r="AG74" s="182">
        <f t="shared" si="12"/>
        <v>2817.9501289875798</v>
      </c>
      <c r="AH74" s="182">
        <f t="shared" si="12"/>
        <v>288.65060068535001</v>
      </c>
      <c r="AI74" s="182">
        <f t="shared" si="12"/>
        <v>19291.84327092172</v>
      </c>
      <c r="AJ74" s="182">
        <f t="shared" si="12"/>
        <v>5793.8591559146162</v>
      </c>
      <c r="AK74" s="182">
        <f t="shared" si="12"/>
        <v>37522.273601769659</v>
      </c>
      <c r="AL74" s="182">
        <f t="shared" si="12"/>
        <v>11318.993114636143</v>
      </c>
      <c r="AM74" s="182">
        <f t="shared" si="12"/>
        <v>25698.377589567899</v>
      </c>
      <c r="AN74" s="182">
        <f t="shared" si="12"/>
        <v>6624.2501933737212</v>
      </c>
      <c r="AO74" s="182">
        <f t="shared" si="12"/>
        <v>2132.6889277754312</v>
      </c>
      <c r="AP74" s="182">
        <f t="shared" si="12"/>
        <v>4305.740314297047</v>
      </c>
      <c r="AQ74" s="177"/>
      <c r="AR74" s="158">
        <f>SUM(M74:AP74)-P74</f>
        <v>464946.82941016037</v>
      </c>
      <c r="AS74" s="198" t="s">
        <v>147</v>
      </c>
    </row>
    <row r="75" spans="2:45" s="9" customFormat="1" x14ac:dyDescent="0.25">
      <c r="B75" s="224"/>
      <c r="C75" s="224"/>
      <c r="D75" s="224"/>
      <c r="E75" s="224"/>
      <c r="F75" s="224"/>
      <c r="G75" s="222"/>
      <c r="H75" s="218"/>
      <c r="I75" s="132"/>
      <c r="J75" s="131"/>
      <c r="K75" s="186" t="s">
        <v>117</v>
      </c>
      <c r="L75" s="185">
        <v>2030</v>
      </c>
      <c r="M75" s="182">
        <f>M72-M74</f>
        <v>23892.896510758455</v>
      </c>
      <c r="N75" s="182">
        <f t="shared" ref="N75:AP75" si="13">N72-N74</f>
        <v>38000.118917221022</v>
      </c>
      <c r="O75" s="182">
        <f t="shared" si="13"/>
        <v>14723.305599184132</v>
      </c>
      <c r="P75" s="182">
        <f t="shared" si="13"/>
        <v>41031.554090016136</v>
      </c>
      <c r="Q75" s="182">
        <f t="shared" si="13"/>
        <v>1992.2977092564734</v>
      </c>
      <c r="R75" s="182">
        <f t="shared" si="13"/>
        <v>33236.560494950951</v>
      </c>
      <c r="S75" s="182">
        <f t="shared" si="13"/>
        <v>202188.29344690376</v>
      </c>
      <c r="T75" s="182">
        <f t="shared" si="13"/>
        <v>7287.4353065025007</v>
      </c>
      <c r="U75" s="182">
        <f t="shared" si="13"/>
        <v>2474.3476121401727</v>
      </c>
      <c r="V75" s="182">
        <f t="shared" si="13"/>
        <v>34182.008707637768</v>
      </c>
      <c r="W75" s="182">
        <f t="shared" si="13"/>
        <v>116240.67176772402</v>
      </c>
      <c r="X75" s="182">
        <f t="shared" si="13"/>
        <v>13162.264024264729</v>
      </c>
      <c r="Y75" s="182">
        <f t="shared" si="13"/>
        <v>141236.23845501678</v>
      </c>
      <c r="Z75" s="182">
        <f t="shared" si="13"/>
        <v>11272.840767360156</v>
      </c>
      <c r="AA75" s="182">
        <f t="shared" si="13"/>
        <v>26095.047549633906</v>
      </c>
      <c r="AB75" s="182">
        <f t="shared" si="13"/>
        <v>6057.3137378660103</v>
      </c>
      <c r="AC75" s="182">
        <f t="shared" si="13"/>
        <v>1296.2312897606212</v>
      </c>
      <c r="AD75" s="182">
        <f t="shared" si="13"/>
        <v>159086.62749987657</v>
      </c>
      <c r="AE75" s="182">
        <f t="shared" si="13"/>
        <v>5299.0699513079326</v>
      </c>
      <c r="AF75" s="182">
        <f t="shared" si="13"/>
        <v>4713.195569696074</v>
      </c>
      <c r="AG75" s="182">
        <f t="shared" si="13"/>
        <v>4180.544344222767</v>
      </c>
      <c r="AH75" s="182">
        <f t="shared" si="13"/>
        <v>499.85105309730886</v>
      </c>
      <c r="AI75" s="182">
        <f t="shared" si="13"/>
        <v>48043.942027094847</v>
      </c>
      <c r="AJ75" s="182">
        <f t="shared" si="13"/>
        <v>9648.0653281669438</v>
      </c>
      <c r="AK75" s="182">
        <f t="shared" si="13"/>
        <v>104319.91762943698</v>
      </c>
      <c r="AL75" s="182">
        <f t="shared" si="13"/>
        <v>25459.224527500155</v>
      </c>
      <c r="AM75" s="182">
        <f t="shared" si="13"/>
        <v>35644.269088232068</v>
      </c>
      <c r="AN75" s="182">
        <f t="shared" si="13"/>
        <v>16476.969886420527</v>
      </c>
      <c r="AO75" s="182">
        <f t="shared" si="13"/>
        <v>6793.067135860545</v>
      </c>
      <c r="AP75" s="182">
        <f t="shared" si="13"/>
        <v>16885.044658500472</v>
      </c>
      <c r="AQ75" s="177"/>
      <c r="AR75" s="158">
        <f>SUM(M75:AP75)-P75</f>
        <v>1110387.6605955944</v>
      </c>
      <c r="AS75" s="200">
        <f>AR75/AR72</f>
        <v>0.7048583444596187</v>
      </c>
    </row>
    <row r="76" spans="2:45" s="9" customFormat="1" x14ac:dyDescent="0.25">
      <c r="B76" s="220"/>
      <c r="C76" s="221"/>
      <c r="D76" s="225"/>
      <c r="E76" s="226"/>
      <c r="F76" s="227"/>
      <c r="G76" s="222"/>
      <c r="H76" s="218"/>
      <c r="I76" s="132"/>
      <c r="J76" s="131"/>
      <c r="K76" s="176"/>
      <c r="L76" s="185"/>
      <c r="M76" s="177"/>
      <c r="N76" s="177"/>
      <c r="O76" s="177"/>
      <c r="P76" s="177"/>
      <c r="Q76" s="177"/>
      <c r="R76" s="177"/>
      <c r="S76" s="177"/>
      <c r="T76" s="177"/>
      <c r="U76" s="177"/>
      <c r="V76" s="177"/>
      <c r="W76" s="177"/>
      <c r="X76" s="177"/>
      <c r="Y76" s="177"/>
      <c r="Z76" s="177"/>
      <c r="AA76" s="177"/>
      <c r="AB76" s="177"/>
      <c r="AC76" s="177"/>
      <c r="AD76" s="177"/>
      <c r="AE76" s="177"/>
      <c r="AF76" s="177"/>
      <c r="AG76" s="177"/>
      <c r="AH76" s="177"/>
      <c r="AI76" s="177"/>
      <c r="AJ76" s="177"/>
      <c r="AK76" s="177"/>
      <c r="AL76" s="177"/>
      <c r="AM76" s="177"/>
      <c r="AN76" s="177"/>
      <c r="AO76" s="177"/>
      <c r="AP76" s="177"/>
      <c r="AQ76" s="177"/>
      <c r="AR76" s="198"/>
    </row>
    <row r="77" spans="2:45" s="6" customFormat="1" ht="13.8" x14ac:dyDescent="0.25">
      <c r="B77" s="220"/>
      <c r="C77" s="221"/>
      <c r="D77" s="225"/>
      <c r="E77" s="226"/>
      <c r="F77" s="227"/>
      <c r="G77" s="222"/>
      <c r="H77" s="228"/>
      <c r="I77" s="15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17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Q77" s="9"/>
      <c r="AR77" s="198"/>
    </row>
    <row r="78" spans="2:45" s="6" customFormat="1" ht="13.8" x14ac:dyDescent="0.25">
      <c r="B78" s="229"/>
      <c r="C78" s="221"/>
      <c r="D78" s="225"/>
      <c r="E78" s="229"/>
      <c r="F78" s="230"/>
      <c r="G78" s="222"/>
      <c r="H78" s="228"/>
      <c r="I78" s="15"/>
      <c r="J78" s="157" t="s">
        <v>118</v>
      </c>
      <c r="L78" s="9"/>
      <c r="M78" s="9"/>
      <c r="N78" s="9"/>
      <c r="O78" s="9"/>
      <c r="P78" s="9"/>
      <c r="Q78" s="9"/>
      <c r="R78" s="9"/>
      <c r="S78" s="9"/>
      <c r="T78" s="9"/>
      <c r="U78" s="9"/>
      <c r="V78" s="17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Q78" s="9"/>
      <c r="AR78" s="198"/>
    </row>
    <row r="79" spans="2:45" s="6" customFormat="1" ht="13.8" x14ac:dyDescent="0.25">
      <c r="B79" s="229"/>
      <c r="C79" s="221"/>
      <c r="D79" s="225"/>
      <c r="E79" s="229"/>
      <c r="F79" s="230"/>
      <c r="G79" s="222"/>
      <c r="H79" s="228"/>
      <c r="I79" s="15"/>
      <c r="J79" s="161" t="s">
        <v>101</v>
      </c>
      <c r="K79" s="162"/>
      <c r="L79" s="173" t="s">
        <v>111</v>
      </c>
      <c r="M79" s="179" t="s">
        <v>10</v>
      </c>
      <c r="N79" s="179" t="s">
        <v>0</v>
      </c>
      <c r="O79" s="179" t="s">
        <v>11</v>
      </c>
      <c r="P79" s="179" t="s">
        <v>34</v>
      </c>
      <c r="Q79" s="179" t="s">
        <v>12</v>
      </c>
      <c r="R79" s="179" t="s">
        <v>13</v>
      </c>
      <c r="S79" s="179" t="s">
        <v>1</v>
      </c>
      <c r="T79" s="179" t="s">
        <v>14</v>
      </c>
      <c r="U79" s="179" t="s">
        <v>15</v>
      </c>
      <c r="V79" s="179" t="s">
        <v>35</v>
      </c>
      <c r="W79" s="179" t="s">
        <v>2</v>
      </c>
      <c r="X79" s="179" t="s">
        <v>3</v>
      </c>
      <c r="Y79" s="179" t="s">
        <v>4</v>
      </c>
      <c r="Z79" s="179" t="s">
        <v>30</v>
      </c>
      <c r="AA79" s="180" t="s">
        <v>16</v>
      </c>
      <c r="AB79" s="179" t="s">
        <v>17</v>
      </c>
      <c r="AC79" s="179" t="s">
        <v>36</v>
      </c>
      <c r="AD79" s="179" t="s">
        <v>18</v>
      </c>
      <c r="AE79" s="179" t="s">
        <v>19</v>
      </c>
      <c r="AF79" s="179" t="s">
        <v>20</v>
      </c>
      <c r="AG79" s="179" t="s">
        <v>21</v>
      </c>
      <c r="AH79" s="179" t="s">
        <v>22</v>
      </c>
      <c r="AI79" s="179" t="s">
        <v>23</v>
      </c>
      <c r="AJ79" s="179" t="s">
        <v>37</v>
      </c>
      <c r="AK79" s="179" t="s">
        <v>24</v>
      </c>
      <c r="AL79" s="179" t="s">
        <v>25</v>
      </c>
      <c r="AM79" s="179" t="s">
        <v>26</v>
      </c>
      <c r="AN79" s="179" t="s">
        <v>27</v>
      </c>
      <c r="AO79" s="179" t="s">
        <v>28</v>
      </c>
      <c r="AP79" s="179" t="s">
        <v>29</v>
      </c>
      <c r="AQ79" s="163"/>
      <c r="AR79" s="198"/>
    </row>
    <row r="80" spans="2:45" s="6" customFormat="1" ht="13.8" x14ac:dyDescent="0.25">
      <c r="B80" s="229"/>
      <c r="C80" s="221"/>
      <c r="D80" s="225"/>
      <c r="E80" s="229"/>
      <c r="F80" s="230"/>
      <c r="G80" s="222"/>
      <c r="H80" s="228"/>
      <c r="I80" s="15"/>
      <c r="J80" s="161" t="s">
        <v>143</v>
      </c>
      <c r="K80" s="162"/>
      <c r="L80" s="161">
        <v>2005</v>
      </c>
      <c r="M80" s="164">
        <f>SUMIFS('esr2023'!E:E,'esr2023'!$C:$C,$L80,'esr2023'!$B:$B,$L$79,'esr2023'!$D:$D,"ghg")</f>
        <v>60373.551184260599</v>
      </c>
      <c r="N80" s="164">
        <f>SUMIFS('esr2023'!F:F,'esr2023'!$C:$C,$L80,'esr2023'!$B:$B,$L$79,'esr2023'!$D:$D,"ghg")</f>
        <v>89061.859680269597</v>
      </c>
      <c r="O80" s="164">
        <f>SUMIFS('esr2023'!G:G,'esr2023'!$C:$C,$L80,'esr2023'!$B:$B,$L$79,'esr2023'!$D:$D,"ghg")</f>
        <v>26291.758515248701</v>
      </c>
      <c r="P80" s="164">
        <f>SUMIFS('esr2023'!H:H,'esr2023'!$C:$C,$L80,'esr2023'!$B:$B,$L$79,'esr2023'!$D:$D,"ghg")</f>
        <v>47495.420575558499</v>
      </c>
      <c r="Q80" s="164">
        <f>SUMIFS('esr2023'!I:I,'esr2023'!$C:$C,$L80,'esr2023'!$B:$B,$L$79,'esr2023'!$D:$D,"ghg")</f>
        <v>4723.6897704870198</v>
      </c>
      <c r="R80" s="164">
        <f>SUMIFS('esr2023'!J:J,'esr2023'!$C:$C,$L80,'esr2023'!$B:$B,$L$79,'esr2023'!$D:$D,"ghg")</f>
        <v>63220.555220912102</v>
      </c>
      <c r="S80" s="164">
        <f>SUMIFS('esr2023'!K:K,'esr2023'!$C:$C,$L80,'esr2023'!$B:$B,$L$79,'esr2023'!$D:$D,"ghg")</f>
        <v>509773.97585479799</v>
      </c>
      <c r="T80" s="164">
        <f>SUMIFS('esr2023'!L:L,'esr2023'!$C:$C,$L80,'esr2023'!$B:$B,$L$79,'esr2023'!$D:$D,"ghg")</f>
        <v>41439.048848291401</v>
      </c>
      <c r="U80" s="164">
        <f>SUMIFS('esr2023'!M:M,'esr2023'!$C:$C,$L80,'esr2023'!$B:$B,$L$79,'esr2023'!$D:$D,"ghg")</f>
        <v>5757.1648613390298</v>
      </c>
      <c r="V80" s="164">
        <f>SUMIFS('esr2023'!N:N,'esr2023'!$C:$C,$L80,'esr2023'!$B:$B,$L$79,'esr2023'!$D:$D,"ghg")</f>
        <v>61494.969770427801</v>
      </c>
      <c r="W80" s="164">
        <f>SUMIFS('esr2023'!O:O,'esr2023'!$C:$C,$L80,'esr2023'!$B:$B,$L$79,'esr2023'!$D:$D,"ghg")</f>
        <v>262713.49240925699</v>
      </c>
      <c r="X80" s="164">
        <f>SUMIFS('esr2023'!P:P,'esr2023'!$C:$C,$L80,'esr2023'!$B:$B,$L$79,'esr2023'!$D:$D,"ghg")</f>
        <v>40571.672928633699</v>
      </c>
      <c r="Y80" s="164">
        <f>SUMIFS('esr2023'!Q:Q,'esr2023'!$C:$C,$L80,'esr2023'!$B:$B,$L$79,'esr2023'!$D:$D,"ghg")</f>
        <v>413888.00804452802</v>
      </c>
      <c r="Z80" s="164">
        <f>SUMIFS('esr2023'!R:R,'esr2023'!$C:$C,$L80,'esr2023'!$B:$B,$L$79,'esr2023'!$D:$D,"ghg")</f>
        <v>18567.3853641192</v>
      </c>
      <c r="AA80" s="164">
        <f>SUMIFS('esr2023'!S:S,'esr2023'!$C:$C,$L80,'esr2023'!$B:$B,$L$79,'esr2023'!$D:$D,"ghg")</f>
        <v>45547.843422588201</v>
      </c>
      <c r="AB80" s="164">
        <f>SUMIFS('esr2023'!T:T,'esr2023'!$C:$C,$L80,'esr2023'!$B:$B,$L$79,'esr2023'!$D:$D,"ghg")</f>
        <v>51645.1768888714</v>
      </c>
      <c r="AC80" s="164">
        <f>SUMIFS('esr2023'!U:U,'esr2023'!$C:$C,$L80,'esr2023'!$B:$B,$L$79,'esr2023'!$D:$D,"ghg")</f>
        <v>2959.38059656511</v>
      </c>
      <c r="AD80" s="164">
        <f>SUMIFS('esr2023'!V:V,'esr2023'!$C:$C,$L80,'esr2023'!$B:$B,$L$79,'esr2023'!$D:$D,"ghg")</f>
        <v>373626.90440136602</v>
      </c>
      <c r="AE80" s="164">
        <f>SUMIFS('esr2023'!W:W,'esr2023'!$C:$C,$L80,'esr2023'!$B:$B,$L$79,'esr2023'!$D:$D,"ghg")</f>
        <v>12868.0738992612</v>
      </c>
      <c r="AF80" s="164">
        <f>SUMIFS('esr2023'!X:X,'esr2023'!$C:$C,$L80,'esr2023'!$B:$B,$L$79,'esr2023'!$D:$D,"ghg")</f>
        <v>10997.5995721462</v>
      </c>
      <c r="AG80" s="164">
        <f>SUMIFS('esr2023'!Y:Y,'esr2023'!$C:$C,$L80,'esr2023'!$B:$B,$L$79,'esr2023'!$D:$D,"ghg")</f>
        <v>8431.9210520606593</v>
      </c>
      <c r="AH80" s="164">
        <f>SUMIFS('esr2023'!Z:Z,'esr2023'!$C:$C,$L80,'esr2023'!$B:$B,$L$79,'esr2023'!$D:$D,"ghg")</f>
        <v>973.45883183044305</v>
      </c>
      <c r="AI80" s="164">
        <f>SUMIFS('esr2023'!AA:AA,'esr2023'!$C:$C,$L80,'esr2023'!$B:$B,$L$79,'esr2023'!$D:$D,"ghg")</f>
        <v>129491.89480387801</v>
      </c>
      <c r="AJ80" s="164">
        <f>SUMIFS('esr2023'!AB:AB,'esr2023'!$C:$C,$L80,'esr2023'!$B:$B,$L$79,'esr2023'!$D:$D,"ghg")</f>
        <v>25736.540806802601</v>
      </c>
      <c r="AK80" s="164">
        <f>SUMIFS('esr2023'!AC:AC,'esr2023'!$C:$C,$L80,'esr2023'!$B:$B,$L$79,'esr2023'!$D:$D,"ghg")</f>
        <v>172347.74147169699</v>
      </c>
      <c r="AL80" s="164">
        <f>SUMIFS('esr2023'!AD:AD,'esr2023'!$C:$C,$L80,'esr2023'!$B:$B,$L$79,'esr2023'!$D:$D,"ghg")</f>
        <v>51582.352934272501</v>
      </c>
      <c r="AM80" s="164">
        <f>SUMIFS('esr2023'!AE:AE,'esr2023'!$C:$C,$L80,'esr2023'!$B:$B,$L$79,'esr2023'!$D:$D,"ghg")</f>
        <v>70266.491039862507</v>
      </c>
      <c r="AN80" s="164">
        <f>SUMIFS('esr2023'!AF:AF,'esr2023'!$C:$C,$L80,'esr2023'!$B:$B,$L$79,'esr2023'!$D:$D,"ghg")</f>
        <v>46202.440159588499</v>
      </c>
      <c r="AO80" s="164">
        <f>SUMIFS('esr2023'!AG:AG,'esr2023'!$C:$C,$L80,'esr2023'!$B:$B,$L$79,'esr2023'!$D:$D,"ghg")</f>
        <v>12227.063100871201</v>
      </c>
      <c r="AP80" s="164">
        <f>SUMIFS('esr2023'!AH:AH,'esr2023'!$C:$C,$L80,'esr2023'!$B:$B,$L$79,'esr2023'!$D:$D,"ghg")</f>
        <v>27413.693367137799</v>
      </c>
      <c r="AQ80" s="164"/>
      <c r="AR80" s="158">
        <f>SUM(M80:AP80)-P80</f>
        <v>2640195.7088013706</v>
      </c>
    </row>
    <row r="81" spans="2:44" s="6" customFormat="1" ht="13.8" x14ac:dyDescent="0.25">
      <c r="B81" s="229"/>
      <c r="C81" s="221"/>
      <c r="D81" s="225"/>
      <c r="E81" s="229"/>
      <c r="F81" s="230"/>
      <c r="G81" s="222"/>
      <c r="H81" s="228"/>
      <c r="I81" s="15"/>
      <c r="J81" s="161" t="s">
        <v>144</v>
      </c>
      <c r="K81" s="163"/>
      <c r="L81" s="161">
        <v>2010</v>
      </c>
      <c r="M81" s="164">
        <f>SUMIFS('esr2023'!E:E,'esr2023'!$C:$C,$L81,'esr2023'!$B:$B,$L$79,'esr2023'!$D:$D,"ghg")</f>
        <v>54445.9907630421</v>
      </c>
      <c r="N81" s="164">
        <f>SUMIFS('esr2023'!F:F,'esr2023'!$C:$C,$L81,'esr2023'!$B:$B,$L$79,'esr2023'!$D:$D,"ghg")</f>
        <v>84991.625991664099</v>
      </c>
      <c r="O81" s="164">
        <f>SUMIFS('esr2023'!G:G,'esr2023'!$C:$C,$L81,'esr2023'!$B:$B,$L$79,'esr2023'!$D:$D,"ghg")</f>
        <v>22204.251787514098</v>
      </c>
      <c r="P81" s="164">
        <f>SUMIFS('esr2023'!H:H,'esr2023'!$C:$C,$L81,'esr2023'!$B:$B,$L$79,'esr2023'!$D:$D,"ghg")</f>
        <v>46623.707092211502</v>
      </c>
      <c r="Q81" s="164">
        <f>SUMIFS('esr2023'!I:I,'esr2023'!$C:$C,$L81,'esr2023'!$B:$B,$L$79,'esr2023'!$D:$D,"ghg")</f>
        <v>4757.1772097366302</v>
      </c>
      <c r="R81" s="164">
        <f>SUMIFS('esr2023'!J:J,'esr2023'!$C:$C,$L81,'esr2023'!$B:$B,$L$79,'esr2023'!$D:$D,"ghg")</f>
        <v>56647.763877215497</v>
      </c>
      <c r="S81" s="164">
        <f>SUMIFS('esr2023'!K:K,'esr2023'!$C:$C,$L81,'esr2023'!$B:$B,$L$79,'esr2023'!$D:$D,"ghg")</f>
        <v>500678.39860143</v>
      </c>
      <c r="T81" s="164">
        <f>SUMIFS('esr2023'!L:L,'esr2023'!$C:$C,$L81,'esr2023'!$B:$B,$L$79,'esr2023'!$D:$D,"ghg")</f>
        <v>38636.701507717997</v>
      </c>
      <c r="U81" s="164">
        <f>SUMIFS('esr2023'!M:M,'esr2023'!$C:$C,$L81,'esr2023'!$B:$B,$L$79,'esr2023'!$D:$D,"ghg")</f>
        <v>5529.8610166771095</v>
      </c>
      <c r="V81" s="164">
        <f>SUMIFS('esr2023'!N:N,'esr2023'!$C:$C,$L81,'esr2023'!$B:$B,$L$79,'esr2023'!$D:$D,"ghg")</f>
        <v>53572.556710883699</v>
      </c>
      <c r="W81" s="164">
        <f>SUMIFS('esr2023'!O:O,'esr2023'!$C:$C,$L81,'esr2023'!$B:$B,$L$79,'esr2023'!$D:$D,"ghg")</f>
        <v>234597.807928086</v>
      </c>
      <c r="X81" s="164">
        <f>SUMIFS('esr2023'!P:P,'esr2023'!$C:$C,$L81,'esr2023'!$B:$B,$L$79,'esr2023'!$D:$D,"ghg")</f>
        <v>38164.621185731899</v>
      </c>
      <c r="Y81" s="164">
        <f>SUMIFS('esr2023'!Q:Q,'esr2023'!$C:$C,$L81,'esr2023'!$B:$B,$L$79,'esr2023'!$D:$D,"ghg")</f>
        <v>387400.85598738497</v>
      </c>
      <c r="Z81" s="164">
        <f>SUMIFS('esr2023'!R:R,'esr2023'!$C:$C,$L81,'esr2023'!$B:$B,$L$79,'esr2023'!$D:$D,"ghg")</f>
        <v>17999.847628039399</v>
      </c>
      <c r="AA81" s="164">
        <f>SUMIFS('esr2023'!S:S,'esr2023'!$C:$C,$L81,'esr2023'!$B:$B,$L$79,'esr2023'!$D:$D,"ghg")</f>
        <v>39925.134181685702</v>
      </c>
      <c r="AB81" s="164">
        <f>SUMIFS('esr2023'!T:T,'esr2023'!$C:$C,$L81,'esr2023'!$B:$B,$L$79,'esr2023'!$D:$D,"ghg")</f>
        <v>46937.305251779602</v>
      </c>
      <c r="AC81" s="164">
        <f>SUMIFS('esr2023'!U:U,'esr2023'!$C:$C,$L81,'esr2023'!$B:$B,$L$79,'esr2023'!$D:$D,"ghg")</f>
        <v>2782.54693129418</v>
      </c>
      <c r="AD81" s="164">
        <f>SUMIFS('esr2023'!V:V,'esr2023'!$C:$C,$L81,'esr2023'!$B:$B,$L$79,'esr2023'!$D:$D,"ghg")</f>
        <v>334403.94602538901</v>
      </c>
      <c r="AE81" s="164">
        <f>SUMIFS('esr2023'!W:W,'esr2023'!$C:$C,$L81,'esr2023'!$B:$B,$L$79,'esr2023'!$D:$D,"ghg")</f>
        <v>12877.958326116701</v>
      </c>
      <c r="AF81" s="164">
        <f>SUMIFS('esr2023'!X:X,'esr2023'!$C:$C,$L81,'esr2023'!$B:$B,$L$79,'esr2023'!$D:$D,"ghg")</f>
        <v>10239.329365616</v>
      </c>
      <c r="AG81" s="164">
        <f>SUMIFS('esr2023'!Y:Y,'esr2023'!$C:$C,$L81,'esr2023'!$B:$B,$L$79,'esr2023'!$D:$D,"ghg")</f>
        <v>8739.3015392761499</v>
      </c>
      <c r="AH81" s="164">
        <f>SUMIFS('esr2023'!Z:Z,'esr2023'!$C:$C,$L81,'esr2023'!$B:$B,$L$79,'esr2023'!$D:$D,"ghg")</f>
        <v>950.14129212606997</v>
      </c>
      <c r="AI81" s="164">
        <f>SUMIFS('esr2023'!AA:AA,'esr2023'!$C:$C,$L81,'esr2023'!$B:$B,$L$79,'esr2023'!$D:$D,"ghg")</f>
        <v>134181.24273182399</v>
      </c>
      <c r="AJ81" s="164">
        <f>SUMIFS('esr2023'!AB:AB,'esr2023'!$C:$C,$L81,'esr2023'!$B:$B,$L$79,'esr2023'!$D:$D,"ghg")</f>
        <v>26763.677654954099</v>
      </c>
      <c r="AK81" s="164">
        <f>SUMIFS('esr2023'!AC:AC,'esr2023'!$C:$C,$L81,'esr2023'!$B:$B,$L$79,'esr2023'!$D:$D,"ghg")</f>
        <v>186551.89656836301</v>
      </c>
      <c r="AL81" s="164">
        <f>SUMIFS('esr2023'!AD:AD,'esr2023'!$C:$C,$L81,'esr2023'!$B:$B,$L$79,'esr2023'!$D:$D,"ghg")</f>
        <v>46566.804123729002</v>
      </c>
      <c r="AM81" s="164">
        <f>SUMIFS('esr2023'!AE:AE,'esr2023'!$C:$C,$L81,'esr2023'!$B:$B,$L$79,'esr2023'!$D:$D,"ghg")</f>
        <v>64306.874292377099</v>
      </c>
      <c r="AN81" s="164">
        <f>SUMIFS('esr2023'!AF:AF,'esr2023'!$C:$C,$L81,'esr2023'!$B:$B,$L$79,'esr2023'!$D:$D,"ghg")</f>
        <v>41876.094980264803</v>
      </c>
      <c r="AO81" s="164">
        <f>SUMIFS('esr2023'!AG:AG,'esr2023'!$C:$C,$L81,'esr2023'!$B:$B,$L$79,'esr2023'!$D:$D,"ghg")</f>
        <v>11899.3517430261</v>
      </c>
      <c r="AP81" s="164">
        <f>SUMIFS('esr2023'!AH:AH,'esr2023'!$C:$C,$L81,'esr2023'!$B:$B,$L$79,'esr2023'!$D:$D,"ghg")</f>
        <v>26186.107173344499</v>
      </c>
      <c r="AQ81" s="164"/>
      <c r="AR81" s="158">
        <f t="shared" ref="AR81:AR107" si="14">SUM(M81:AP81)-P81</f>
        <v>2494815.1723762895</v>
      </c>
    </row>
    <row r="82" spans="2:44" s="6" customFormat="1" ht="13.8" x14ac:dyDescent="0.25">
      <c r="B82" s="229"/>
      <c r="C82" s="221"/>
      <c r="D82" s="225"/>
      <c r="E82" s="229"/>
      <c r="F82" s="230"/>
      <c r="G82" s="222"/>
      <c r="H82" s="228"/>
      <c r="I82" s="15"/>
      <c r="J82" s="163"/>
      <c r="K82" s="163"/>
      <c r="L82" s="161">
        <v>2015</v>
      </c>
      <c r="M82" s="164">
        <f>SUMIFS('esr2023'!E:E,'esr2023'!$C:$C,$L82,'esr2023'!$B:$B,$L$79,'esr2023'!$D:$D,"ghg")</f>
        <v>51076.200530379399</v>
      </c>
      <c r="N82" s="164">
        <f>SUMIFS('esr2023'!F:F,'esr2023'!$C:$C,$L82,'esr2023'!$B:$B,$L$79,'esr2023'!$D:$D,"ghg")</f>
        <v>76944.0184915719</v>
      </c>
      <c r="O82" s="164">
        <f>SUMIFS('esr2023'!G:G,'esr2023'!$C:$C,$L82,'esr2023'!$B:$B,$L$79,'esr2023'!$D:$D,"ghg")</f>
        <v>23445.9143798062</v>
      </c>
      <c r="P82" s="164">
        <f>SUMIFS('esr2023'!H:H,'esr2023'!$C:$C,$L82,'esr2023'!$B:$B,$L$79,'esr2023'!$D:$D,"ghg")</f>
        <v>40884.998110119297</v>
      </c>
      <c r="Q82" s="164">
        <f>SUMIFS('esr2023'!I:I,'esr2023'!$C:$C,$L82,'esr2023'!$B:$B,$L$79,'esr2023'!$D:$D,"ghg")</f>
        <v>4150.1014681203096</v>
      </c>
      <c r="R82" s="164">
        <f>SUMIFS('esr2023'!J:J,'esr2023'!$C:$C,$L82,'esr2023'!$B:$B,$L$79,'esr2023'!$D:$D,"ghg")</f>
        <v>54536.258484971397</v>
      </c>
      <c r="S82" s="164">
        <f>SUMIFS('esr2023'!K:K,'esr2023'!$C:$C,$L82,'esr2023'!$B:$B,$L$79,'esr2023'!$D:$D,"ghg")</f>
        <v>486776.946106649</v>
      </c>
      <c r="T82" s="164">
        <f>SUMIFS('esr2023'!L:L,'esr2023'!$C:$C,$L82,'esr2023'!$B:$B,$L$79,'esr2023'!$D:$D,"ghg")</f>
        <v>35286.202559910002</v>
      </c>
      <c r="U82" s="164">
        <f>SUMIFS('esr2023'!M:M,'esr2023'!$C:$C,$L82,'esr2023'!$B:$B,$L$79,'esr2023'!$D:$D,"ghg")</f>
        <v>5594.9403094463796</v>
      </c>
      <c r="V82" s="164">
        <f>SUMIFS('esr2023'!N:N,'esr2023'!$C:$C,$L82,'esr2023'!$B:$B,$L$79,'esr2023'!$D:$D,"ghg")</f>
        <v>41860.401177329702</v>
      </c>
      <c r="W82" s="164">
        <f>SUMIFS('esr2023'!O:O,'esr2023'!$C:$C,$L82,'esr2023'!$B:$B,$L$79,'esr2023'!$D:$D,"ghg")</f>
        <v>211748.640681613</v>
      </c>
      <c r="X82" s="164">
        <f>SUMIFS('esr2023'!P:P,'esr2023'!$C:$C,$L82,'esr2023'!$B:$B,$L$79,'esr2023'!$D:$D,"ghg")</f>
        <v>31296.798357714699</v>
      </c>
      <c r="Y82" s="164">
        <f>SUMIFS('esr2023'!Q:Q,'esr2023'!$C:$C,$L82,'esr2023'!$B:$B,$L$79,'esr2023'!$D:$D,"ghg")</f>
        <v>356223.12570051599</v>
      </c>
      <c r="Z82" s="164">
        <f>SUMIFS('esr2023'!R:R,'esr2023'!$C:$C,$L82,'esr2023'!$B:$B,$L$79,'esr2023'!$D:$D,"ghg")</f>
        <v>16167.5978052436</v>
      </c>
      <c r="AA82" s="164">
        <f>SUMIFS('esr2023'!S:S,'esr2023'!$C:$C,$L82,'esr2023'!$B:$B,$L$79,'esr2023'!$D:$D,"ghg")</f>
        <v>39435.264361321497</v>
      </c>
      <c r="AB82" s="164">
        <f>SUMIFS('esr2023'!T:T,'esr2023'!$C:$C,$L82,'esr2023'!$B:$B,$L$79,'esr2023'!$D:$D,"ghg")</f>
        <v>46550.211725996996</v>
      </c>
      <c r="AC82" s="164">
        <f>SUMIFS('esr2023'!U:U,'esr2023'!$C:$C,$L82,'esr2023'!$B:$B,$L$79,'esr2023'!$D:$D,"ghg")</f>
        <v>2609.5927068661899</v>
      </c>
      <c r="AD82" s="164">
        <f>SUMIFS('esr2023'!V:V,'esr2023'!$C:$C,$L82,'esr2023'!$B:$B,$L$79,'esr2023'!$D:$D,"ghg")</f>
        <v>295511.614652591</v>
      </c>
      <c r="AE82" s="164">
        <f>SUMIFS('esr2023'!W:W,'esr2023'!$C:$C,$L82,'esr2023'!$B:$B,$L$79,'esr2023'!$D:$D,"ghg")</f>
        <v>13271.053802270901</v>
      </c>
      <c r="AF82" s="164">
        <f>SUMIFS('esr2023'!X:X,'esr2023'!$C:$C,$L82,'esr2023'!$B:$B,$L$79,'esr2023'!$D:$D,"ghg")</f>
        <v>9184.4873892852302</v>
      </c>
      <c r="AG82" s="164">
        <f>SUMIFS('esr2023'!Y:Y,'esr2023'!$C:$C,$L82,'esr2023'!$B:$B,$L$79,'esr2023'!$D:$D,"ghg")</f>
        <v>8074.8490692636797</v>
      </c>
      <c r="AH82" s="164">
        <f>SUMIFS('esr2023'!Z:Z,'esr2023'!$C:$C,$L82,'esr2023'!$B:$B,$L$79,'esr2023'!$D:$D,"ghg")</f>
        <v>1044.45369481634</v>
      </c>
      <c r="AI82" s="164">
        <f>SUMIFS('esr2023'!AA:AA,'esr2023'!$C:$C,$L82,'esr2023'!$B:$B,$L$79,'esr2023'!$D:$D,"ghg")</f>
        <v>113072.588702566</v>
      </c>
      <c r="AJ82" s="164">
        <f>SUMIFS('esr2023'!AB:AB,'esr2023'!$C:$C,$L82,'esr2023'!$B:$B,$L$79,'esr2023'!$D:$D,"ghg")</f>
        <v>25655.613122449598</v>
      </c>
      <c r="AK82" s="164">
        <f>SUMIFS('esr2023'!AC:AC,'esr2023'!$C:$C,$L82,'esr2023'!$B:$B,$L$79,'esr2023'!$D:$D,"ghg")</f>
        <v>168297.503611066</v>
      </c>
      <c r="AL82" s="164">
        <f>SUMIFS('esr2023'!AD:AD,'esr2023'!$C:$C,$L82,'esr2023'!$B:$B,$L$79,'esr2023'!$D:$D,"ghg")</f>
        <v>40796.169885658899</v>
      </c>
      <c r="AM82" s="164">
        <f>SUMIFS('esr2023'!AE:AE,'esr2023'!$C:$C,$L82,'esr2023'!$B:$B,$L$79,'esr2023'!$D:$D,"ghg")</f>
        <v>65083.963386451003</v>
      </c>
      <c r="AN82" s="164">
        <f>SUMIFS('esr2023'!AF:AF,'esr2023'!$C:$C,$L82,'esr2023'!$B:$B,$L$79,'esr2023'!$D:$D,"ghg")</f>
        <v>36301.740021261998</v>
      </c>
      <c r="AO82" s="164">
        <f>SUMIFS('esr2023'!AG:AG,'esr2023'!$C:$C,$L82,'esr2023'!$B:$B,$L$79,'esr2023'!$D:$D,"ghg")</f>
        <v>10835.998170810801</v>
      </c>
      <c r="AP82" s="164">
        <f>SUMIFS('esr2023'!AH:AH,'esr2023'!$C:$C,$L82,'esr2023'!$B:$B,$L$79,'esr2023'!$D:$D,"ghg")</f>
        <v>23486.4590328208</v>
      </c>
      <c r="AQ82" s="164"/>
      <c r="AR82" s="158">
        <f t="shared" si="14"/>
        <v>2294318.7093887688</v>
      </c>
    </row>
    <row r="83" spans="2:44" s="6" customFormat="1" ht="13.8" x14ac:dyDescent="0.25">
      <c r="B83" s="231"/>
      <c r="C83" s="232"/>
      <c r="D83" s="233"/>
      <c r="E83" s="234"/>
      <c r="F83" s="235"/>
      <c r="G83" s="222"/>
      <c r="H83" s="228"/>
      <c r="I83" s="15"/>
      <c r="J83" s="163"/>
      <c r="K83" s="163"/>
      <c r="L83" s="161">
        <v>2019</v>
      </c>
      <c r="M83" s="164">
        <f>SUMIFS('esr2023'!E:E,'esr2023'!$C:$C,$L83,'esr2023'!$B:$B,$L$79,'esr2023'!$D:$D,"ghg")</f>
        <v>52883.971430487603</v>
      </c>
      <c r="N83" s="164">
        <f>SUMIFS('esr2023'!F:F,'esr2023'!$C:$C,$L83,'esr2023'!$B:$B,$L$79,'esr2023'!$D:$D,"ghg")</f>
        <v>74834.289403607894</v>
      </c>
      <c r="O83" s="164">
        <f>SUMIFS('esr2023'!G:G,'esr2023'!$C:$C,$L83,'esr2023'!$B:$B,$L$79,'esr2023'!$D:$D,"ghg")</f>
        <v>24802.7193958752</v>
      </c>
      <c r="P83" s="164">
        <f>SUMIFS('esr2023'!H:H,'esr2023'!$C:$C,$L83,'esr2023'!$B:$B,$L$79,'esr2023'!$D:$D,"ghg")</f>
        <v>38470.217881955803</v>
      </c>
      <c r="Q83" s="164">
        <f>SUMIFS('esr2023'!I:I,'esr2023'!$C:$C,$L83,'esr2023'!$B:$B,$L$79,'esr2023'!$D:$D,"ghg")</f>
        <v>4425.6999589795796</v>
      </c>
      <c r="R83" s="164">
        <f>SUMIFS('esr2023'!J:J,'esr2023'!$C:$C,$L83,'esr2023'!$B:$B,$L$79,'esr2023'!$D:$D,"ghg")</f>
        <v>55346.621750371902</v>
      </c>
      <c r="S83" s="164">
        <f>SUMIFS('esr2023'!K:K,'esr2023'!$C:$C,$L83,'esr2023'!$B:$B,$L$79,'esr2023'!$D:$D,"ghg")</f>
        <v>476600.51908820798</v>
      </c>
      <c r="T83" s="164">
        <f>SUMIFS('esr2023'!L:L,'esr2023'!$C:$C,$L83,'esr2023'!$B:$B,$L$79,'esr2023'!$D:$D,"ghg")</f>
        <v>35567.764049641002</v>
      </c>
      <c r="U83" s="164">
        <f>SUMIFS('esr2023'!M:M,'esr2023'!$C:$C,$L83,'esr2023'!$B:$B,$L$79,'esr2023'!$D:$D,"ghg")</f>
        <v>5746.9173995606097</v>
      </c>
      <c r="V83" s="164">
        <f>SUMIFS('esr2023'!N:N,'esr2023'!$C:$C,$L83,'esr2023'!$B:$B,$L$79,'esr2023'!$D:$D,"ghg")</f>
        <v>41609.633479245596</v>
      </c>
      <c r="W83" s="164">
        <f>SUMIFS('esr2023'!O:O,'esr2023'!$C:$C,$L83,'esr2023'!$B:$B,$L$79,'esr2023'!$D:$D,"ghg")</f>
        <v>222194.32445476399</v>
      </c>
      <c r="X83" s="164">
        <f>SUMIFS('esr2023'!P:P,'esr2023'!$C:$C,$L83,'esr2023'!$B:$B,$L$79,'esr2023'!$D:$D,"ghg")</f>
        <v>30868.485808768299</v>
      </c>
      <c r="Y83" s="164">
        <f>SUMIFS('esr2023'!Q:Q,'esr2023'!$C:$C,$L83,'esr2023'!$B:$B,$L$79,'esr2023'!$D:$D,"ghg")</f>
        <v>340940.00526998402</v>
      </c>
      <c r="Z83" s="164">
        <f>SUMIFS('esr2023'!R:R,'esr2023'!$C:$C,$L83,'esr2023'!$B:$B,$L$79,'esr2023'!$D:$D,"ghg")</f>
        <v>16823.179279019099</v>
      </c>
      <c r="AA83" s="164">
        <f>SUMIFS('esr2023'!S:S,'esr2023'!$C:$C,$L83,'esr2023'!$B:$B,$L$79,'esr2023'!$D:$D,"ghg")</f>
        <v>42807.413011439399</v>
      </c>
      <c r="AB83" s="164">
        <f>SUMIFS('esr2023'!T:T,'esr2023'!$C:$C,$L83,'esr2023'!$B:$B,$L$79,'esr2023'!$D:$D,"ghg")</f>
        <v>48568.414223054198</v>
      </c>
      <c r="AC83" s="164">
        <f>SUMIFS('esr2023'!U:U,'esr2023'!$C:$C,$L83,'esr2023'!$B:$B,$L$79,'esr2023'!$D:$D,"ghg")</f>
        <v>2516.49876192485</v>
      </c>
      <c r="AD83" s="164">
        <f>SUMIFS('esr2023'!V:V,'esr2023'!$C:$C,$L83,'esr2023'!$B:$B,$L$79,'esr2023'!$D:$D,"ghg")</f>
        <v>287202.36665881501</v>
      </c>
      <c r="AE83" s="164">
        <f>SUMIFS('esr2023'!W:W,'esr2023'!$C:$C,$L83,'esr2023'!$B:$B,$L$79,'esr2023'!$D:$D,"ghg")</f>
        <v>14330.2478789456</v>
      </c>
      <c r="AF83" s="164">
        <f>SUMIFS('esr2023'!X:X,'esr2023'!$C:$C,$L83,'esr2023'!$B:$B,$L$79,'esr2023'!$D:$D,"ghg")</f>
        <v>9822.7488510792191</v>
      </c>
      <c r="AG83" s="164">
        <f>SUMIFS('esr2023'!Y:Y,'esr2023'!$C:$C,$L83,'esr2023'!$B:$B,$L$79,'esr2023'!$D:$D,"ghg")</f>
        <v>8315.3963590925905</v>
      </c>
      <c r="AH83" s="164">
        <f>SUMIFS('esr2023'!Z:Z,'esr2023'!$C:$C,$L83,'esr2023'!$B:$B,$L$79,'esr2023'!$D:$D,"ghg")</f>
        <v>1182.6822503713699</v>
      </c>
      <c r="AI83" s="164">
        <f>SUMIFS('esr2023'!AA:AA,'esr2023'!$C:$C,$L83,'esr2023'!$B:$B,$L$79,'esr2023'!$D:$D,"ghg")</f>
        <v>112934.191550943</v>
      </c>
      <c r="AJ83" s="164">
        <f>SUMIFS('esr2023'!AB:AB,'esr2023'!$C:$C,$L83,'esr2023'!$B:$B,$L$79,'esr2023'!$D:$D,"ghg")</f>
        <v>23764.185217814102</v>
      </c>
      <c r="AK83" s="164">
        <f>SUMIFS('esr2023'!AC:AC,'esr2023'!$C:$C,$L83,'esr2023'!$B:$B,$L$79,'esr2023'!$D:$D,"ghg")</f>
        <v>186987.272653833</v>
      </c>
      <c r="AL83" s="164">
        <f>SUMIFS('esr2023'!AD:AD,'esr2023'!$C:$C,$L83,'esr2023'!$B:$B,$L$79,'esr2023'!$D:$D,"ghg")</f>
        <v>42131.433937550602</v>
      </c>
      <c r="AM83" s="164">
        <f>SUMIFS('esr2023'!AE:AE,'esr2023'!$C:$C,$L83,'esr2023'!$B:$B,$L$79,'esr2023'!$D:$D,"ghg")</f>
        <v>70414.069305478304</v>
      </c>
      <c r="AN83" s="164">
        <f>SUMIFS('esr2023'!AF:AF,'esr2023'!$C:$C,$L83,'esr2023'!$B:$B,$L$79,'esr2023'!$D:$D,"ghg")</f>
        <v>33570.702971661201</v>
      </c>
      <c r="AO83" s="164">
        <f>SUMIFS('esr2023'!AG:AG,'esr2023'!$C:$C,$L83,'esr2023'!$B:$B,$L$79,'esr2023'!$D:$D,"ghg")</f>
        <v>11009.9058572172</v>
      </c>
      <c r="AP83" s="164">
        <f>SUMIFS('esr2023'!AH:AH,'esr2023'!$C:$C,$L83,'esr2023'!$B:$B,$L$79,'esr2023'!$D:$D,"ghg")</f>
        <v>23714.355324752902</v>
      </c>
      <c r="AQ83" s="164"/>
      <c r="AR83" s="158">
        <f t="shared" si="14"/>
        <v>2301916.0155824851</v>
      </c>
    </row>
    <row r="84" spans="2:44" s="6" customFormat="1" ht="13.8" x14ac:dyDescent="0.25">
      <c r="B84" s="231"/>
      <c r="C84" s="232"/>
      <c r="D84" s="233"/>
      <c r="E84" s="234"/>
      <c r="F84" s="235"/>
      <c r="G84" s="222"/>
      <c r="H84" s="228"/>
      <c r="I84" s="15"/>
      <c r="J84" s="163"/>
      <c r="K84" s="163"/>
      <c r="L84" s="161">
        <v>2021</v>
      </c>
      <c r="M84" s="164">
        <f>SUMIFS('esr2023'!E:E,'esr2023'!$C:$C,$L84,'esr2023'!$B:$B,$L$79,'esr2023'!$D:$D,"ghg")</f>
        <v>51363.8429965451</v>
      </c>
      <c r="N84" s="164">
        <f>SUMIFS('esr2023'!F:F,'esr2023'!$C:$C,$L84,'esr2023'!$B:$B,$L$79,'esr2023'!$D:$D,"ghg")</f>
        <v>73911.4441358107</v>
      </c>
      <c r="O84" s="164">
        <f>SUMIFS('esr2023'!G:G,'esr2023'!$C:$C,$L84,'esr2023'!$B:$B,$L$79,'esr2023'!$D:$D,"ghg")</f>
        <v>25518.377952917101</v>
      </c>
      <c r="P84" s="164">
        <f>SUMIFS('esr2023'!H:H,'esr2023'!$C:$C,$L84,'esr2023'!$B:$B,$L$79,'esr2023'!$D:$D,"ghg")</f>
        <v>37678.828658758299</v>
      </c>
      <c r="Q84" s="164">
        <f>SUMIFS('esr2023'!I:I,'esr2023'!$C:$C,$L84,'esr2023'!$B:$B,$L$79,'esr2023'!$D:$D,"ghg")</f>
        <v>4304.29694170521</v>
      </c>
      <c r="R84" s="164">
        <f>SUMIFS('esr2023'!J:J,'esr2023'!$C:$C,$L84,'esr2023'!$B:$B,$L$79,'esr2023'!$D:$D,"ghg")</f>
        <v>58527.473222623303</v>
      </c>
      <c r="S84" s="164">
        <f>SUMIFS('esr2023'!K:K,'esr2023'!$C:$C,$L84,'esr2023'!$B:$B,$L$79,'esr2023'!$D:$D,"ghg")</f>
        <v>458159.31683949003</v>
      </c>
      <c r="T84" s="164">
        <f>SUMIFS('esr2023'!L:L,'esr2023'!$C:$C,$L84,'esr2023'!$B:$B,$L$79,'esr2023'!$D:$D,"ghg")</f>
        <v>34680.666084475997</v>
      </c>
      <c r="U84" s="164">
        <f>SUMIFS('esr2023'!M:M,'esr2023'!$C:$C,$L84,'esr2023'!$B:$B,$L$79,'esr2023'!$D:$D,"ghg")</f>
        <v>5295.8219203181998</v>
      </c>
      <c r="V84" s="164">
        <f>SUMIFS('esr2023'!N:N,'esr2023'!$C:$C,$L84,'esr2023'!$B:$B,$L$79,'esr2023'!$D:$D,"ghg")</f>
        <v>41238.683985474003</v>
      </c>
      <c r="W84" s="164">
        <f>SUMIFS('esr2023'!O:O,'esr2023'!$C:$C,$L84,'esr2023'!$B:$B,$L$79,'esr2023'!$D:$D,"ghg")</f>
        <v>217573.23926966701</v>
      </c>
      <c r="X84" s="164">
        <f>SUMIFS('esr2023'!P:P,'esr2023'!$C:$C,$L84,'esr2023'!$B:$B,$L$79,'esr2023'!$D:$D,"ghg")</f>
        <v>28888.667802718199</v>
      </c>
      <c r="Y84" s="164">
        <f>SUMIFS('esr2023'!Q:Q,'esr2023'!$C:$C,$L84,'esr2023'!$B:$B,$L$79,'esr2023'!$D:$D,"ghg")</f>
        <v>331618.80330352299</v>
      </c>
      <c r="Z84" s="164">
        <f>SUMIFS('esr2023'!R:R,'esr2023'!$C:$C,$L84,'esr2023'!$B:$B,$L$79,'esr2023'!$D:$D,"ghg")</f>
        <v>16622.541750701301</v>
      </c>
      <c r="AA84" s="164">
        <f>SUMIFS('esr2023'!S:S,'esr2023'!$C:$C,$L84,'esr2023'!$B:$B,$L$79,'esr2023'!$D:$D,"ghg")</f>
        <v>43605.906981311498</v>
      </c>
      <c r="AB84" s="164">
        <f>SUMIFS('esr2023'!T:T,'esr2023'!$C:$C,$L84,'esr2023'!$B:$B,$L$79,'esr2023'!$D:$D,"ghg")</f>
        <v>48575.935507523303</v>
      </c>
      <c r="AC84" s="164">
        <f>SUMIFS('esr2023'!U:U,'esr2023'!$C:$C,$L84,'esr2023'!$B:$B,$L$79,'esr2023'!$D:$D,"ghg")</f>
        <v>2451.8816570744798</v>
      </c>
      <c r="AD84" s="164">
        <f>SUMIFS('esr2023'!V:V,'esr2023'!$C:$C,$L84,'esr2023'!$B:$B,$L$79,'esr2023'!$D:$D,"ghg")</f>
        <v>291900.05246464501</v>
      </c>
      <c r="AE84" s="164">
        <f>SUMIFS('esr2023'!W:W,'esr2023'!$C:$C,$L84,'esr2023'!$B:$B,$L$79,'esr2023'!$D:$D,"ghg")</f>
        <v>14221.048389011199</v>
      </c>
      <c r="AF84" s="164">
        <f>SUMIFS('esr2023'!X:X,'esr2023'!$C:$C,$L84,'esr2023'!$B:$B,$L$79,'esr2023'!$D:$D,"ghg")</f>
        <v>8568.28228715572</v>
      </c>
      <c r="AG84" s="164">
        <f>SUMIFS('esr2023'!Y:Y,'esr2023'!$C:$C,$L84,'esr2023'!$B:$B,$L$79,'esr2023'!$D:$D,"ghg")</f>
        <v>8305.5731972310004</v>
      </c>
      <c r="AH84" s="164">
        <f>SUMIFS('esr2023'!Z:Z,'esr2023'!$C:$C,$L84,'esr2023'!$B:$B,$L$79,'esr2023'!$D:$D,"ghg")</f>
        <v>1125.1396478884601</v>
      </c>
      <c r="AI84" s="164">
        <f>SUMIFS('esr2023'!AA:AA,'esr2023'!$C:$C,$L84,'esr2023'!$B:$B,$L$79,'esr2023'!$D:$D,"ghg")</f>
        <v>109927.192387216</v>
      </c>
      <c r="AJ84" s="164">
        <f>SUMIFS('esr2023'!AB:AB,'esr2023'!$C:$C,$L84,'esr2023'!$B:$B,$L$79,'esr2023'!$D:$D,"ghg")</f>
        <v>23697.106775924101</v>
      </c>
      <c r="AK84" s="164">
        <f>SUMIFS('esr2023'!AC:AC,'esr2023'!$C:$C,$L84,'esr2023'!$B:$B,$L$79,'esr2023'!$D:$D,"ghg")</f>
        <v>191534.309547246</v>
      </c>
      <c r="AL84" s="164">
        <f>SUMIFS('esr2023'!AD:AD,'esr2023'!$C:$C,$L84,'esr2023'!$B:$B,$L$79,'esr2023'!$D:$D,"ghg")</f>
        <v>39655.930423504302</v>
      </c>
      <c r="AM84" s="164">
        <f>SUMIFS('esr2023'!AE:AE,'esr2023'!$C:$C,$L84,'esr2023'!$B:$B,$L$79,'esr2023'!$D:$D,"ghg")</f>
        <v>74141.2822057835</v>
      </c>
      <c r="AN84" s="164">
        <f>SUMIFS('esr2023'!AF:AF,'esr2023'!$C:$C,$L84,'esr2023'!$B:$B,$L$79,'esr2023'!$D:$D,"ghg")</f>
        <v>31639.285999958</v>
      </c>
      <c r="AO84" s="164">
        <f>SUMIFS('esr2023'!AG:AG,'esr2023'!$C:$C,$L84,'esr2023'!$B:$B,$L$79,'esr2023'!$D:$D,"ghg")</f>
        <v>10436.6507737639</v>
      </c>
      <c r="AP84" s="164">
        <f>SUMIFS('esr2023'!AH:AH,'esr2023'!$C:$C,$L84,'esr2023'!$B:$B,$L$79,'esr2023'!$D:$D,"ghg")</f>
        <v>24249.6716124302</v>
      </c>
      <c r="AQ84" s="164"/>
      <c r="AR84" s="158">
        <f t="shared" si="14"/>
        <v>2271738.4260636363</v>
      </c>
    </row>
    <row r="85" spans="2:44" s="6" customFormat="1" ht="13.8" x14ac:dyDescent="0.25">
      <c r="B85" s="222"/>
      <c r="C85" s="222"/>
      <c r="D85" s="222"/>
      <c r="E85" s="222"/>
      <c r="F85" s="222"/>
      <c r="G85" s="222"/>
      <c r="H85" s="228"/>
      <c r="I85" s="15"/>
      <c r="J85" s="9"/>
      <c r="K85" s="9"/>
      <c r="L85" s="9"/>
      <c r="M85" s="158"/>
      <c r="N85" s="158"/>
      <c r="O85" s="158"/>
      <c r="P85" s="158"/>
      <c r="Q85" s="158"/>
      <c r="R85" s="158"/>
      <c r="S85" s="158"/>
      <c r="T85" s="158"/>
      <c r="U85" s="158"/>
      <c r="V85" s="159"/>
      <c r="W85" s="158"/>
      <c r="X85" s="158"/>
      <c r="Y85" s="158"/>
      <c r="Z85" s="158"/>
      <c r="AA85" s="158"/>
      <c r="AB85" s="158"/>
      <c r="AC85" s="158"/>
      <c r="AD85" s="158"/>
      <c r="AE85" s="158"/>
      <c r="AF85" s="158"/>
      <c r="AG85" s="158"/>
      <c r="AH85" s="158"/>
      <c r="AI85" s="158"/>
      <c r="AJ85" s="158"/>
      <c r="AK85" s="158"/>
      <c r="AL85" s="158"/>
      <c r="AM85" s="158"/>
      <c r="AN85" s="158"/>
      <c r="AO85" s="158"/>
      <c r="AP85" s="158"/>
      <c r="AQ85" s="158"/>
      <c r="AR85" s="158"/>
    </row>
    <row r="86" spans="2:44" s="6" customFormat="1" ht="13.8" x14ac:dyDescent="0.25">
      <c r="B86" s="222"/>
      <c r="C86" s="222"/>
      <c r="D86" s="222"/>
      <c r="E86" s="222"/>
      <c r="F86" s="222"/>
      <c r="G86" s="222"/>
      <c r="H86" s="228"/>
      <c r="I86" s="15"/>
      <c r="J86" s="165" t="s">
        <v>103</v>
      </c>
      <c r="K86" s="166"/>
      <c r="L86" s="171" t="s">
        <v>112</v>
      </c>
      <c r="M86" s="167"/>
      <c r="N86" s="167"/>
      <c r="O86" s="167"/>
      <c r="P86" s="167"/>
      <c r="Q86" s="167"/>
      <c r="R86" s="167"/>
      <c r="S86" s="167"/>
      <c r="T86" s="167"/>
      <c r="U86" s="167"/>
      <c r="V86" s="167"/>
      <c r="W86" s="167"/>
      <c r="X86" s="167"/>
      <c r="Y86" s="167"/>
      <c r="Z86" s="167"/>
      <c r="AA86" s="167"/>
      <c r="AB86" s="167"/>
      <c r="AC86" s="167"/>
      <c r="AD86" s="167"/>
      <c r="AE86" s="167"/>
      <c r="AF86" s="167"/>
      <c r="AG86" s="167"/>
      <c r="AH86" s="167"/>
      <c r="AI86" s="167"/>
      <c r="AJ86" s="167"/>
      <c r="AK86" s="167"/>
      <c r="AL86" s="167"/>
      <c r="AM86" s="167"/>
      <c r="AN86" s="167"/>
      <c r="AO86" s="167"/>
      <c r="AP86" s="167"/>
      <c r="AQ86" s="167"/>
      <c r="AR86" s="158"/>
    </row>
    <row r="87" spans="2:44" s="6" customFormat="1" ht="13.8" x14ac:dyDescent="0.25">
      <c r="B87" s="222"/>
      <c r="C87" s="222"/>
      <c r="D87" s="222"/>
      <c r="E87" s="222"/>
      <c r="F87" s="222"/>
      <c r="G87" s="222"/>
      <c r="H87" s="228"/>
      <c r="I87" s="15"/>
      <c r="J87" s="165" t="s">
        <v>102</v>
      </c>
      <c r="K87" s="166"/>
      <c r="L87" s="165">
        <v>2005</v>
      </c>
      <c r="M87" s="167">
        <f>SUMIFS('esr2023'!E:E,'esr2023'!$C:$C,$L87,'esr2023'!$B:$B,$L$86,'esr2023'!$D:$D,"co2")</f>
        <v>49301.413049898001</v>
      </c>
      <c r="N87" s="167">
        <f>SUMIFS('esr2023'!F:F,'esr2023'!$C:$C,$L87,'esr2023'!$B:$B,$L$86,'esr2023'!$D:$D,"co2")</f>
        <v>75169.026464918905</v>
      </c>
      <c r="O87" s="167">
        <f>SUMIFS('esr2023'!G:G,'esr2023'!$C:$C,$L87,'esr2023'!$B:$B,$L$86,'esr2023'!$D:$D,"co2")</f>
        <v>16885.8934763129</v>
      </c>
      <c r="P87" s="167">
        <f>SUMIFS('esr2023'!H:H,'esr2023'!$C:$C,$L87,'esr2023'!$B:$B,$L$86,'esr2023'!$D:$D,"co2")</f>
        <v>39367.999862692399</v>
      </c>
      <c r="Q87" s="167">
        <f>SUMIFS('esr2023'!I:I,'esr2023'!$C:$C,$L87,'esr2023'!$B:$B,$L$86,'esr2023'!$D:$D,"co2")</f>
        <v>3608.0974096913901</v>
      </c>
      <c r="R87" s="167">
        <f>SUMIFS('esr2023'!J:J,'esr2023'!$C:$C,$L87,'esr2023'!$B:$B,$L$86,'esr2023'!$D:$D,"co2")</f>
        <v>49828.2138185453</v>
      </c>
      <c r="S87" s="167">
        <f>SUMIFS('esr2023'!K:K,'esr2023'!$C:$C,$L87,'esr2023'!$B:$B,$L$86,'esr2023'!$D:$D,"co2")</f>
        <v>428273.80826120003</v>
      </c>
      <c r="T87" s="167">
        <f>SUMIFS('esr2023'!L:L,'esr2023'!$C:$C,$L87,'esr2023'!$B:$B,$L$86,'esr2023'!$D:$D,"co2")</f>
        <v>27130.491312621099</v>
      </c>
      <c r="U87" s="167">
        <f>SUMIFS('esr2023'!M:M,'esr2023'!$C:$C,$L87,'esr2023'!$B:$B,$L$86,'esr2023'!$D:$D,"co2")</f>
        <v>3896.5927554264299</v>
      </c>
      <c r="V87" s="167">
        <f>SUMIFS('esr2023'!N:N,'esr2023'!$C:$C,$L87,'esr2023'!$B:$B,$L$86,'esr2023'!$D:$D,"co2")</f>
        <v>45748.244015051598</v>
      </c>
      <c r="W87" s="167">
        <f>SUMIFS('esr2023'!O:O,'esr2023'!$C:$C,$L87,'esr2023'!$B:$B,$L$86,'esr2023'!$D:$D,"co2")</f>
        <v>207541.070680837</v>
      </c>
      <c r="X87" s="167">
        <f>SUMIFS('esr2023'!P:P,'esr2023'!$C:$C,$L87,'esr2023'!$B:$B,$L$86,'esr2023'!$D:$D,"co2")</f>
        <v>30537.082088116498</v>
      </c>
      <c r="Y87" s="167">
        <f>SUMIFS('esr2023'!Q:Q,'esr2023'!$C:$C,$L87,'esr2023'!$B:$B,$L$86,'esr2023'!$D:$D,"co2")</f>
        <v>308879.46443836298</v>
      </c>
      <c r="Z87" s="167">
        <f>SUMIFS('esr2023'!R:R,'esr2023'!$C:$C,$L87,'esr2023'!$B:$B,$L$86,'esr2023'!$D:$D,"co2")</f>
        <v>13052.1794302772</v>
      </c>
      <c r="AA87" s="167">
        <f>SUMIFS('esr2023'!S:S,'esr2023'!$C:$C,$L87,'esr2023'!$B:$B,$L$86,'esr2023'!$D:$D,"co2")</f>
        <v>34069.619145258403</v>
      </c>
      <c r="AB87" s="167">
        <f>SUMIFS('esr2023'!T:T,'esr2023'!$C:$C,$L87,'esr2023'!$B:$B,$L$86,'esr2023'!$D:$D,"co2")</f>
        <v>29172.1370746721</v>
      </c>
      <c r="AC87" s="167">
        <f>SUMIFS('esr2023'!U:U,'esr2023'!$C:$C,$L87,'esr2023'!$B:$B,$L$86,'esr2023'!$D:$D,"co2")</f>
        <v>1963.69393982868</v>
      </c>
      <c r="AD87" s="167">
        <f>SUMIFS('esr2023'!V:V,'esr2023'!$C:$C,$L87,'esr2023'!$B:$B,$L$86,'esr2023'!$D:$D,"co2")</f>
        <v>308224.87538397597</v>
      </c>
      <c r="AE87" s="167">
        <f>SUMIFS('esr2023'!W:W,'esr2023'!$C:$C,$L87,'esr2023'!$B:$B,$L$86,'esr2023'!$D:$D,"co2")</f>
        <v>6766.9124042112198</v>
      </c>
      <c r="AF87" s="167">
        <f>SUMIFS('esr2023'!X:X,'esr2023'!$C:$C,$L87,'esr2023'!$B:$B,$L$86,'esr2023'!$D:$D,"co2")</f>
        <v>10184.5401751688</v>
      </c>
      <c r="AG87" s="167">
        <f>SUMIFS('esr2023'!Y:Y,'esr2023'!$C:$C,$L87,'esr2023'!$B:$B,$L$86,'esr2023'!$D:$D,"co2")</f>
        <v>5488.0821324626904</v>
      </c>
      <c r="AH87" s="167">
        <f>SUMIFS('esr2023'!Z:Z,'esr2023'!$C:$C,$L87,'esr2023'!$B:$B,$L$86,'esr2023'!$D:$D,"co2")</f>
        <v>677.33547060882097</v>
      </c>
      <c r="AI87" s="167">
        <f>SUMIFS('esr2023'!AA:AA,'esr2023'!$C:$C,$L87,'esr2023'!$B:$B,$L$86,'esr2023'!$D:$D,"co2")</f>
        <v>102188.584258123</v>
      </c>
      <c r="AJ87" s="167">
        <f>SUMIFS('esr2023'!AB:AB,'esr2023'!$C:$C,$L87,'esr2023'!$B:$B,$L$86,'esr2023'!$D:$D,"co2")</f>
        <v>18377.136432577201</v>
      </c>
      <c r="AK87" s="167">
        <f>SUMIFS('esr2023'!AC:AC,'esr2023'!$C:$C,$L87,'esr2023'!$B:$B,$L$86,'esr2023'!$D:$D,"co2")</f>
        <v>124178.824740467</v>
      </c>
      <c r="AL87" s="167">
        <f>SUMIFS('esr2023'!AD:AD,'esr2023'!$C:$C,$L87,'esr2023'!$B:$B,$L$86,'esr2023'!$D:$D,"co2")</f>
        <v>36502.020603726</v>
      </c>
      <c r="AM87" s="167">
        <f>SUMIFS('esr2023'!AE:AE,'esr2023'!$C:$C,$L87,'esr2023'!$B:$B,$L$86,'esr2023'!$D:$D,"co2")</f>
        <v>40963.288380222599</v>
      </c>
      <c r="AN87" s="167">
        <f>SUMIFS('esr2023'!AF:AF,'esr2023'!$C:$C,$L87,'esr2023'!$B:$B,$L$86,'esr2023'!$D:$D,"co2")</f>
        <v>35809.494033167903</v>
      </c>
      <c r="AO87" s="167">
        <f>SUMIFS('esr2023'!AG:AG,'esr2023'!$C:$C,$L87,'esr2023'!$B:$B,$L$86,'esr2023'!$D:$D,"co2")</f>
        <v>9237.6158325623401</v>
      </c>
      <c r="AP87" s="167">
        <f>SUMIFS('esr2023'!AH:AH,'esr2023'!$C:$C,$L87,'esr2023'!$B:$B,$L$86,'esr2023'!$D:$D,"co2")</f>
        <v>22565.9735136985</v>
      </c>
      <c r="AQ87" s="167"/>
      <c r="AR87" s="158">
        <f t="shared" si="14"/>
        <v>2046221.7107219903</v>
      </c>
    </row>
    <row r="88" spans="2:44" s="6" customFormat="1" ht="13.8" x14ac:dyDescent="0.25">
      <c r="B88" s="220"/>
      <c r="C88" s="220"/>
      <c r="D88" s="221"/>
      <c r="E88" s="222"/>
      <c r="F88" s="222"/>
      <c r="G88" s="222"/>
      <c r="H88" s="228"/>
      <c r="I88" s="15"/>
      <c r="J88" s="166"/>
      <c r="K88" s="166"/>
      <c r="L88" s="165">
        <v>2010</v>
      </c>
      <c r="M88" s="167">
        <f>SUMIFS('esr2023'!E:E,'esr2023'!$C:$C,$L88,'esr2023'!$B:$B,$L$86,'esr2023'!$D:$D,"co2")</f>
        <v>44100.674723343698</v>
      </c>
      <c r="N88" s="167">
        <f>SUMIFS('esr2023'!F:F,'esr2023'!$C:$C,$L88,'esr2023'!$B:$B,$L$86,'esr2023'!$D:$D,"co2")</f>
        <v>71591.339355979406</v>
      </c>
      <c r="O88" s="167">
        <f>SUMIFS('esr2023'!G:G,'esr2023'!$C:$C,$L88,'esr2023'!$B:$B,$L$86,'esr2023'!$D:$D,"co2")</f>
        <v>12756.8979253739</v>
      </c>
      <c r="P88" s="167">
        <f>SUMIFS('esr2023'!H:H,'esr2023'!$C:$C,$L88,'esr2023'!$B:$B,$L$86,'esr2023'!$D:$D,"co2")</f>
        <v>38619.555838735097</v>
      </c>
      <c r="Q88" s="167">
        <f>SUMIFS('esr2023'!I:I,'esr2023'!$C:$C,$L88,'esr2023'!$B:$B,$L$86,'esr2023'!$D:$D,"co2")</f>
        <v>3631.2155583634799</v>
      </c>
      <c r="R88" s="167">
        <f>SUMIFS('esr2023'!J:J,'esr2023'!$C:$C,$L88,'esr2023'!$B:$B,$L$86,'esr2023'!$D:$D,"co2")</f>
        <v>43272.659968837201</v>
      </c>
      <c r="S88" s="167">
        <f>SUMIFS('esr2023'!K:K,'esr2023'!$C:$C,$L88,'esr2023'!$B:$B,$L$86,'esr2023'!$D:$D,"co2")</f>
        <v>426179.15873898001</v>
      </c>
      <c r="T88" s="167">
        <f>SUMIFS('esr2023'!L:L,'esr2023'!$C:$C,$L88,'esr2023'!$B:$B,$L$86,'esr2023'!$D:$D,"co2")</f>
        <v>24831.290794669399</v>
      </c>
      <c r="U88" s="167">
        <f>SUMIFS('esr2023'!M:M,'esr2023'!$C:$C,$L88,'esr2023'!$B:$B,$L$86,'esr2023'!$D:$D,"co2")</f>
        <v>3617.1552505438499</v>
      </c>
      <c r="V88" s="167">
        <f>SUMIFS('esr2023'!N:N,'esr2023'!$C:$C,$L88,'esr2023'!$B:$B,$L$86,'esr2023'!$D:$D,"co2")</f>
        <v>38213.099046509298</v>
      </c>
      <c r="W88" s="167">
        <f>SUMIFS('esr2023'!O:O,'esr2023'!$C:$C,$L88,'esr2023'!$B:$B,$L$86,'esr2023'!$D:$D,"co2")</f>
        <v>181099.88334715599</v>
      </c>
      <c r="X88" s="167">
        <f>SUMIFS('esr2023'!P:P,'esr2023'!$C:$C,$L88,'esr2023'!$B:$B,$L$86,'esr2023'!$D:$D,"co2")</f>
        <v>28324.803267282001</v>
      </c>
      <c r="Y88" s="167">
        <f>SUMIFS('esr2023'!Q:Q,'esr2023'!$C:$C,$L88,'esr2023'!$B:$B,$L$86,'esr2023'!$D:$D,"co2")</f>
        <v>285576.44692010101</v>
      </c>
      <c r="Z88" s="167">
        <f>SUMIFS('esr2023'!R:R,'esr2023'!$C:$C,$L88,'esr2023'!$B:$B,$L$86,'esr2023'!$D:$D,"co2")</f>
        <v>12356.374763508</v>
      </c>
      <c r="AA88" s="167">
        <f>SUMIFS('esr2023'!S:S,'esr2023'!$C:$C,$L88,'esr2023'!$B:$B,$L$86,'esr2023'!$D:$D,"co2")</f>
        <v>28876.257846712</v>
      </c>
      <c r="AB88" s="167">
        <f>SUMIFS('esr2023'!T:T,'esr2023'!$C:$C,$L88,'esr2023'!$B:$B,$L$86,'esr2023'!$D:$D,"co2")</f>
        <v>26501.719410858601</v>
      </c>
      <c r="AC88" s="167">
        <f>SUMIFS('esr2023'!U:U,'esr2023'!$C:$C,$L88,'esr2023'!$B:$B,$L$86,'esr2023'!$D:$D,"co2")</f>
        <v>1774.63387051222</v>
      </c>
      <c r="AD88" s="167">
        <f>SUMIFS('esr2023'!V:V,'esr2023'!$C:$C,$L88,'esr2023'!$B:$B,$L$86,'esr2023'!$D:$D,"co2")</f>
        <v>272101.19669772399</v>
      </c>
      <c r="AE88" s="167">
        <f>SUMIFS('esr2023'!W:W,'esr2023'!$C:$C,$L88,'esr2023'!$B:$B,$L$86,'esr2023'!$D:$D,"co2")</f>
        <v>6947.9174514363103</v>
      </c>
      <c r="AF88" s="167">
        <f>SUMIFS('esr2023'!X:X,'esr2023'!$C:$C,$L88,'esr2023'!$B:$B,$L$86,'esr2023'!$D:$D,"co2")</f>
        <v>9395.1201134135808</v>
      </c>
      <c r="AG88" s="167">
        <f>SUMIFS('esr2023'!Y:Y,'esr2023'!$C:$C,$L88,'esr2023'!$B:$B,$L$86,'esr2023'!$D:$D,"co2")</f>
        <v>5763.1798603277002</v>
      </c>
      <c r="AH88" s="167">
        <f>SUMIFS('esr2023'!Z:Z,'esr2023'!$C:$C,$L88,'esr2023'!$B:$B,$L$86,'esr2023'!$D:$D,"co2")</f>
        <v>733.96502552183495</v>
      </c>
      <c r="AI88" s="167">
        <f>SUMIFS('esr2023'!AA:AA,'esr2023'!$C:$C,$L88,'esr2023'!$B:$B,$L$86,'esr2023'!$D:$D,"co2")</f>
        <v>107728.81735179</v>
      </c>
      <c r="AJ88" s="167">
        <f>SUMIFS('esr2023'!AB:AB,'esr2023'!$C:$C,$L88,'esr2023'!$B:$B,$L$86,'esr2023'!$D:$D,"co2")</f>
        <v>19538.283485086398</v>
      </c>
      <c r="AK88" s="167">
        <f>SUMIFS('esr2023'!AC:AC,'esr2023'!$C:$C,$L88,'esr2023'!$B:$B,$L$86,'esr2023'!$D:$D,"co2")</f>
        <v>140469.92989332299</v>
      </c>
      <c r="AL88" s="167">
        <f>SUMIFS('esr2023'!AD:AD,'esr2023'!$C:$C,$L88,'esr2023'!$B:$B,$L$86,'esr2023'!$D:$D,"co2")</f>
        <v>32506.8324337497</v>
      </c>
      <c r="AM88" s="167">
        <f>SUMIFS('esr2023'!AE:AE,'esr2023'!$C:$C,$L88,'esr2023'!$B:$B,$L$86,'esr2023'!$D:$D,"co2")</f>
        <v>37998.402915996601</v>
      </c>
      <c r="AN88" s="167">
        <f>SUMIFS('esr2023'!AF:AF,'esr2023'!$C:$C,$L88,'esr2023'!$B:$B,$L$86,'esr2023'!$D:$D,"co2")</f>
        <v>32528.837920962302</v>
      </c>
      <c r="AO88" s="167">
        <f>SUMIFS('esr2023'!AG:AG,'esr2023'!$C:$C,$L88,'esr2023'!$B:$B,$L$86,'esr2023'!$D:$D,"co2")</f>
        <v>9233.5056457539995</v>
      </c>
      <c r="AP88" s="167">
        <f>SUMIFS('esr2023'!AH:AH,'esr2023'!$C:$C,$L88,'esr2023'!$B:$B,$L$86,'esr2023'!$D:$D,"co2")</f>
        <v>21363.488020715198</v>
      </c>
      <c r="AQ88" s="167"/>
      <c r="AR88" s="158">
        <f t="shared" si="14"/>
        <v>1929013.0876045306</v>
      </c>
    </row>
    <row r="89" spans="2:44" s="6" customFormat="1" ht="13.8" x14ac:dyDescent="0.25">
      <c r="B89" s="221"/>
      <c r="C89" s="221"/>
      <c r="D89" s="221"/>
      <c r="E89" s="222"/>
      <c r="F89" s="222"/>
      <c r="G89" s="222"/>
      <c r="H89" s="228"/>
      <c r="I89" s="15"/>
      <c r="J89" s="166"/>
      <c r="K89" s="166"/>
      <c r="L89" s="165">
        <v>2015</v>
      </c>
      <c r="M89" s="167">
        <f>SUMIFS('esr2023'!E:E,'esr2023'!$C:$C,$L89,'esr2023'!$B:$B,$L$86,'esr2023'!$D:$D,"co2")</f>
        <v>41236.493232933099</v>
      </c>
      <c r="N89" s="167">
        <f>SUMIFS('esr2023'!F:F,'esr2023'!$C:$C,$L89,'esr2023'!$B:$B,$L$86,'esr2023'!$D:$D,"co2")</f>
        <v>64473.113716164502</v>
      </c>
      <c r="O89" s="167">
        <f>SUMIFS('esr2023'!G:G,'esr2023'!$C:$C,$L89,'esr2023'!$B:$B,$L$86,'esr2023'!$D:$D,"co2")</f>
        <v>13471.2814008961</v>
      </c>
      <c r="P89" s="167">
        <f>SUMIFS('esr2023'!H:H,'esr2023'!$C:$C,$L89,'esr2023'!$B:$B,$L$86,'esr2023'!$D:$D,"co2")</f>
        <v>33144.020552876696</v>
      </c>
      <c r="Q89" s="167">
        <f>SUMIFS('esr2023'!I:I,'esr2023'!$C:$C,$L89,'esr2023'!$B:$B,$L$86,'esr2023'!$D:$D,"co2")</f>
        <v>3056.6835988566199</v>
      </c>
      <c r="R89" s="167">
        <f>SUMIFS('esr2023'!J:J,'esr2023'!$C:$C,$L89,'esr2023'!$B:$B,$L$86,'esr2023'!$D:$D,"co2")</f>
        <v>39476.343665818902</v>
      </c>
      <c r="S89" s="167">
        <f>SUMIFS('esr2023'!K:K,'esr2023'!$C:$C,$L89,'esr2023'!$B:$B,$L$86,'esr2023'!$D:$D,"co2")</f>
        <v>413336.26999081002</v>
      </c>
      <c r="T89" s="167">
        <f>SUMIFS('esr2023'!L:L,'esr2023'!$C:$C,$L89,'esr2023'!$B:$B,$L$86,'esr2023'!$D:$D,"co2")</f>
        <v>21630.5187099506</v>
      </c>
      <c r="U89" s="167">
        <f>SUMIFS('esr2023'!M:M,'esr2023'!$C:$C,$L89,'esr2023'!$B:$B,$L$86,'esr2023'!$D:$D,"co2")</f>
        <v>3708.7068236192599</v>
      </c>
      <c r="V89" s="167">
        <f>SUMIFS('esr2023'!N:N,'esr2023'!$C:$C,$L89,'esr2023'!$B:$B,$L$86,'esr2023'!$D:$D,"co2")</f>
        <v>28050.605359355399</v>
      </c>
      <c r="W89" s="167">
        <f>SUMIFS('esr2023'!O:O,'esr2023'!$C:$C,$L89,'esr2023'!$B:$B,$L$86,'esr2023'!$D:$D,"co2")</f>
        <v>158998.30325214801</v>
      </c>
      <c r="X89" s="167">
        <f>SUMIFS('esr2023'!P:P,'esr2023'!$C:$C,$L89,'esr2023'!$B:$B,$L$86,'esr2023'!$D:$D,"co2")</f>
        <v>22069.2325236541</v>
      </c>
      <c r="Y89" s="167">
        <f>SUMIFS('esr2023'!Q:Q,'esr2023'!$C:$C,$L89,'esr2023'!$B:$B,$L$86,'esr2023'!$D:$D,"co2")</f>
        <v>259874.12303865401</v>
      </c>
      <c r="Z89" s="167">
        <f>SUMIFS('esr2023'!R:R,'esr2023'!$C:$C,$L89,'esr2023'!$B:$B,$L$86,'esr2023'!$D:$D,"co2")</f>
        <v>10799.4978431609</v>
      </c>
      <c r="AA89" s="167">
        <f>SUMIFS('esr2023'!S:S,'esr2023'!$C:$C,$L89,'esr2023'!$B:$B,$L$86,'esr2023'!$D:$D,"co2")</f>
        <v>27868.806710191398</v>
      </c>
      <c r="AB89" s="167">
        <f>SUMIFS('esr2023'!T:T,'esr2023'!$C:$C,$L89,'esr2023'!$B:$B,$L$86,'esr2023'!$D:$D,"co2")</f>
        <v>24486.8305433879</v>
      </c>
      <c r="AC89" s="167">
        <f>SUMIFS('esr2023'!U:U,'esr2023'!$C:$C,$L89,'esr2023'!$B:$B,$L$86,'esr2023'!$D:$D,"co2")</f>
        <v>1635.91614575938</v>
      </c>
      <c r="AD89" s="167">
        <f>SUMIFS('esr2023'!V:V,'esr2023'!$C:$C,$L89,'esr2023'!$B:$B,$L$86,'esr2023'!$D:$D,"co2")</f>
        <v>236112.82897216201</v>
      </c>
      <c r="AE89" s="167">
        <f>SUMIFS('esr2023'!W:W,'esr2023'!$C:$C,$L89,'esr2023'!$B:$B,$L$86,'esr2023'!$D:$D,"co2")</f>
        <v>7290.1727841126203</v>
      </c>
      <c r="AF89" s="167">
        <f>SUMIFS('esr2023'!X:X,'esr2023'!$C:$C,$L89,'esr2023'!$B:$B,$L$86,'esr2023'!$D:$D,"co2")</f>
        <v>8329.3595345406902</v>
      </c>
      <c r="AG89" s="167">
        <f>SUMIFS('esr2023'!Y:Y,'esr2023'!$C:$C,$L89,'esr2023'!$B:$B,$L$86,'esr2023'!$D:$D,"co2")</f>
        <v>4965.9089875650598</v>
      </c>
      <c r="AH89" s="167">
        <f>SUMIFS('esr2023'!Z:Z,'esr2023'!$C:$C,$L89,'esr2023'!$B:$B,$L$86,'esr2023'!$D:$D,"co2")</f>
        <v>803.55837063666195</v>
      </c>
      <c r="AI89" s="167">
        <f>SUMIFS('esr2023'!AA:AA,'esr2023'!$C:$C,$L89,'esr2023'!$B:$B,$L$86,'esr2023'!$D:$D,"co2")</f>
        <v>87709.891172345393</v>
      </c>
      <c r="AJ89" s="167">
        <f>SUMIFS('esr2023'!AB:AB,'esr2023'!$C:$C,$L89,'esr2023'!$B:$B,$L$86,'esr2023'!$D:$D,"co2")</f>
        <v>18541.405685005098</v>
      </c>
      <c r="AK89" s="167">
        <f>SUMIFS('esr2023'!AC:AC,'esr2023'!$C:$C,$L89,'esr2023'!$B:$B,$L$86,'esr2023'!$D:$D,"co2")</f>
        <v>125638.156353716</v>
      </c>
      <c r="AL89" s="167">
        <f>SUMIFS('esr2023'!AD:AD,'esr2023'!$C:$C,$L89,'esr2023'!$B:$B,$L$86,'esr2023'!$D:$D,"co2")</f>
        <v>27682.724250045401</v>
      </c>
      <c r="AM89" s="167">
        <f>SUMIFS('esr2023'!AE:AE,'esr2023'!$C:$C,$L89,'esr2023'!$B:$B,$L$86,'esr2023'!$D:$D,"co2")</f>
        <v>38049.159688770997</v>
      </c>
      <c r="AN89" s="167">
        <f>SUMIFS('esr2023'!AF:AF,'esr2023'!$C:$C,$L89,'esr2023'!$B:$B,$L$86,'esr2023'!$D:$D,"co2")</f>
        <v>27579.947343062599</v>
      </c>
      <c r="AO89" s="167">
        <f>SUMIFS('esr2023'!AG:AG,'esr2023'!$C:$C,$L89,'esr2023'!$B:$B,$L$86,'esr2023'!$D:$D,"co2")</f>
        <v>8200.7106168332903</v>
      </c>
      <c r="AP89" s="167">
        <f>SUMIFS('esr2023'!AH:AH,'esr2023'!$C:$C,$L89,'esr2023'!$B:$B,$L$86,'esr2023'!$D:$D,"co2")</f>
        <v>18594.6545684581</v>
      </c>
      <c r="AQ89" s="167"/>
      <c r="AR89" s="158">
        <f t="shared" si="14"/>
        <v>1743671.2048826145</v>
      </c>
    </row>
    <row r="90" spans="2:44" s="6" customFormat="1" ht="13.8" x14ac:dyDescent="0.25">
      <c r="B90" s="221"/>
      <c r="C90" s="221"/>
      <c r="D90" s="223"/>
      <c r="E90" s="221"/>
      <c r="F90" s="221"/>
      <c r="G90" s="222"/>
      <c r="H90" s="228"/>
      <c r="I90" s="15"/>
      <c r="J90" s="166"/>
      <c r="K90" s="166"/>
      <c r="L90" s="165">
        <v>2019</v>
      </c>
      <c r="M90" s="167">
        <f>SUMIFS('esr2023'!E:E,'esr2023'!$C:$C,$L90,'esr2023'!$B:$B,$L$86,'esr2023'!$D:$D,"co2")</f>
        <v>43525.628734993697</v>
      </c>
      <c r="N90" s="167">
        <f>SUMIFS('esr2023'!F:F,'esr2023'!$C:$C,$L90,'esr2023'!$B:$B,$L$86,'esr2023'!$D:$D,"co2")</f>
        <v>62881.092452909397</v>
      </c>
      <c r="O90" s="167">
        <f>SUMIFS('esr2023'!G:G,'esr2023'!$C:$C,$L90,'esr2023'!$B:$B,$L$86,'esr2023'!$D:$D,"co2")</f>
        <v>15231.595506375001</v>
      </c>
      <c r="P90" s="167">
        <f>SUMIFS('esr2023'!H:H,'esr2023'!$C:$C,$L90,'esr2023'!$B:$B,$L$86,'esr2023'!$D:$D,"co2")</f>
        <v>31076.312042129699</v>
      </c>
      <c r="Q90" s="167">
        <f>SUMIFS('esr2023'!I:I,'esr2023'!$C:$C,$L90,'esr2023'!$B:$B,$L$86,'esr2023'!$D:$D,"co2")</f>
        <v>3240.31118240261</v>
      </c>
      <c r="R90" s="167">
        <f>SUMIFS('esr2023'!J:J,'esr2023'!$C:$C,$L90,'esr2023'!$B:$B,$L$86,'esr2023'!$D:$D,"co2")</f>
        <v>40309.658279598902</v>
      </c>
      <c r="S90" s="167">
        <f>SUMIFS('esr2023'!K:K,'esr2023'!$C:$C,$L90,'esr2023'!$B:$B,$L$86,'esr2023'!$D:$D,"co2")</f>
        <v>408324.31179071998</v>
      </c>
      <c r="T90" s="167">
        <f>SUMIFS('esr2023'!L:L,'esr2023'!$C:$C,$L90,'esr2023'!$B:$B,$L$86,'esr2023'!$D:$D,"co2")</f>
        <v>21796.0566257354</v>
      </c>
      <c r="U90" s="167">
        <f>SUMIFS('esr2023'!M:M,'esr2023'!$C:$C,$L90,'esr2023'!$B:$B,$L$86,'esr2023'!$D:$D,"co2")</f>
        <v>3800.0385366893202</v>
      </c>
      <c r="V90" s="167">
        <f>SUMIFS('esr2023'!N:N,'esr2023'!$C:$C,$L90,'esr2023'!$B:$B,$L$86,'esr2023'!$D:$D,"co2")</f>
        <v>27478.707577089201</v>
      </c>
      <c r="W90" s="167">
        <f>SUMIFS('esr2023'!O:O,'esr2023'!$C:$C,$L90,'esr2023'!$B:$B,$L$86,'esr2023'!$D:$D,"co2")</f>
        <v>170193.531304148</v>
      </c>
      <c r="X90" s="167">
        <f>SUMIFS('esr2023'!P:P,'esr2023'!$C:$C,$L90,'esr2023'!$B:$B,$L$86,'esr2023'!$D:$D,"co2")</f>
        <v>21901.005752737601</v>
      </c>
      <c r="Y90" s="167">
        <f>SUMIFS('esr2023'!Q:Q,'esr2023'!$C:$C,$L90,'esr2023'!$B:$B,$L$86,'esr2023'!$D:$D,"co2")</f>
        <v>247226.70357470799</v>
      </c>
      <c r="Z90" s="167">
        <f>SUMIFS('esr2023'!R:R,'esr2023'!$C:$C,$L90,'esr2023'!$B:$B,$L$86,'esr2023'!$D:$D,"co2")</f>
        <v>11564.845291494201</v>
      </c>
      <c r="AA90" s="167">
        <f>SUMIFS('esr2023'!S:S,'esr2023'!$C:$C,$L90,'esr2023'!$B:$B,$L$86,'esr2023'!$D:$D,"co2")</f>
        <v>31224.972854572901</v>
      </c>
      <c r="AB90" s="167">
        <f>SUMIFS('esr2023'!T:T,'esr2023'!$C:$C,$L90,'esr2023'!$B:$B,$L$86,'esr2023'!$D:$D,"co2")</f>
        <v>25412.062166787098</v>
      </c>
      <c r="AC90" s="167">
        <f>SUMIFS('esr2023'!U:U,'esr2023'!$C:$C,$L90,'esr2023'!$B:$B,$L$86,'esr2023'!$D:$D,"co2")</f>
        <v>1631.4797574469801</v>
      </c>
      <c r="AD90" s="167">
        <f>SUMIFS('esr2023'!V:V,'esr2023'!$C:$C,$L90,'esr2023'!$B:$B,$L$86,'esr2023'!$D:$D,"co2")</f>
        <v>228506.32166593499</v>
      </c>
      <c r="AE90" s="167">
        <f>SUMIFS('esr2023'!W:W,'esr2023'!$C:$C,$L90,'esr2023'!$B:$B,$L$86,'esr2023'!$D:$D,"co2")</f>
        <v>8782.8297502390105</v>
      </c>
      <c r="AF90" s="167">
        <f>SUMIFS('esr2023'!X:X,'esr2023'!$C:$C,$L90,'esr2023'!$B:$B,$L$86,'esr2023'!$D:$D,"co2")</f>
        <v>8944.4444818643296</v>
      </c>
      <c r="AG90" s="167">
        <f>SUMIFS('esr2023'!Y:Y,'esr2023'!$C:$C,$L90,'esr2023'!$B:$B,$L$86,'esr2023'!$D:$D,"co2")</f>
        <v>5190.9696674178304</v>
      </c>
      <c r="AH90" s="167">
        <f>SUMIFS('esr2023'!Z:Z,'esr2023'!$C:$C,$L90,'esr2023'!$B:$B,$L$86,'esr2023'!$D:$D,"co2")</f>
        <v>904.05039434411901</v>
      </c>
      <c r="AI90" s="167">
        <f>SUMIFS('esr2023'!AA:AA,'esr2023'!$C:$C,$L90,'esr2023'!$B:$B,$L$86,'esr2023'!$D:$D,"co2")</f>
        <v>88532.546809311199</v>
      </c>
      <c r="AJ90" s="167">
        <f>SUMIFS('esr2023'!AB:AB,'esr2023'!$C:$C,$L90,'esr2023'!$B:$B,$L$86,'esr2023'!$D:$D,"co2")</f>
        <v>17024.677955348699</v>
      </c>
      <c r="AK90" s="167">
        <f>SUMIFS('esr2023'!AC:AC,'esr2023'!$C:$C,$L90,'esr2023'!$B:$B,$L$86,'esr2023'!$D:$D,"co2")</f>
        <v>142928.53707696201</v>
      </c>
      <c r="AL90" s="167">
        <f>SUMIFS('esr2023'!AD:AD,'esr2023'!$C:$C,$L90,'esr2023'!$B:$B,$L$86,'esr2023'!$D:$D,"co2")</f>
        <v>28939.902477197698</v>
      </c>
      <c r="AM90" s="167">
        <f>SUMIFS('esr2023'!AE:AE,'esr2023'!$C:$C,$L90,'esr2023'!$B:$B,$L$86,'esr2023'!$D:$D,"co2")</f>
        <v>42880.224772373003</v>
      </c>
      <c r="AN90" s="167">
        <f>SUMIFS('esr2023'!AF:AF,'esr2023'!$C:$C,$L90,'esr2023'!$B:$B,$L$86,'esr2023'!$D:$D,"co2")</f>
        <v>25233.627563771399</v>
      </c>
      <c r="AO90" s="167">
        <f>SUMIFS('esr2023'!AG:AG,'esr2023'!$C:$C,$L90,'esr2023'!$B:$B,$L$86,'esr2023'!$D:$D,"co2")</f>
        <v>8471.2311775338294</v>
      </c>
      <c r="AP90" s="167">
        <f>SUMIFS('esr2023'!AH:AH,'esr2023'!$C:$C,$L90,'esr2023'!$B:$B,$L$86,'esr2023'!$D:$D,"co2")</f>
        <v>18870.900648986699</v>
      </c>
      <c r="AQ90" s="167"/>
      <c r="AR90" s="158">
        <f t="shared" si="14"/>
        <v>1760952.2658296928</v>
      </c>
    </row>
    <row r="91" spans="2:44" s="6" customFormat="1" ht="13.8" x14ac:dyDescent="0.25">
      <c r="B91" s="224"/>
      <c r="C91" s="224"/>
      <c r="D91" s="224"/>
      <c r="E91" s="224"/>
      <c r="F91" s="224"/>
      <c r="G91" s="222"/>
      <c r="H91" s="228"/>
      <c r="I91" s="15"/>
      <c r="J91" s="166"/>
      <c r="K91" s="166"/>
      <c r="L91" s="165">
        <v>2021</v>
      </c>
      <c r="M91" s="167">
        <f>SUMIFS('esr2023'!E:E,'esr2023'!$C:$C,$L91,'esr2023'!$B:$B,$L$86,'esr2023'!$D:$D,"co2")</f>
        <v>42086.084327216398</v>
      </c>
      <c r="N91" s="167">
        <f>SUMIFS('esr2023'!F:F,'esr2023'!$C:$C,$L91,'esr2023'!$B:$B,$L$86,'esr2023'!$D:$D,"co2")</f>
        <v>62206.725647786101</v>
      </c>
      <c r="O91" s="167">
        <f>SUMIFS('esr2023'!G:G,'esr2023'!$C:$C,$L91,'esr2023'!$B:$B,$L$86,'esr2023'!$D:$D,"co2")</f>
        <v>15981.6496144011</v>
      </c>
      <c r="P91" s="167">
        <f>SUMIFS('esr2023'!H:H,'esr2023'!$C:$C,$L91,'esr2023'!$B:$B,$L$86,'esr2023'!$D:$D,"co2")</f>
        <v>30338.9629481927</v>
      </c>
      <c r="Q91" s="167">
        <f>SUMIFS('esr2023'!I:I,'esr2023'!$C:$C,$L91,'esr2023'!$B:$B,$L$86,'esr2023'!$D:$D,"co2")</f>
        <v>3048.9990676714201</v>
      </c>
      <c r="R91" s="167">
        <f>SUMIFS('esr2023'!J:J,'esr2023'!$C:$C,$L91,'esr2023'!$B:$B,$L$86,'esr2023'!$D:$D,"co2")</f>
        <v>43425.932741805897</v>
      </c>
      <c r="S91" s="167">
        <f>SUMIFS('esr2023'!K:K,'esr2023'!$C:$C,$L91,'esr2023'!$B:$B,$L$86,'esr2023'!$D:$D,"co2")</f>
        <v>392933.65385698999</v>
      </c>
      <c r="T91" s="167">
        <f>SUMIFS('esr2023'!L:L,'esr2023'!$C:$C,$L91,'esr2023'!$B:$B,$L$86,'esr2023'!$D:$D,"co2")</f>
        <v>20833.082414441302</v>
      </c>
      <c r="U91" s="167">
        <f>SUMIFS('esr2023'!M:M,'esr2023'!$C:$C,$L91,'esr2023'!$B:$B,$L$86,'esr2023'!$D:$D,"co2")</f>
        <v>3337.2200301784801</v>
      </c>
      <c r="V91" s="167">
        <f>SUMIFS('esr2023'!N:N,'esr2023'!$C:$C,$L91,'esr2023'!$B:$B,$L$86,'esr2023'!$D:$D,"co2")</f>
        <v>26704.505149196299</v>
      </c>
      <c r="W91" s="167">
        <f>SUMIFS('esr2023'!O:O,'esr2023'!$C:$C,$L91,'esr2023'!$B:$B,$L$86,'esr2023'!$D:$D,"co2")</f>
        <v>165534.51784742999</v>
      </c>
      <c r="X91" s="167">
        <f>SUMIFS('esr2023'!P:P,'esr2023'!$C:$C,$L91,'esr2023'!$B:$B,$L$86,'esr2023'!$D:$D,"co2")</f>
        <v>20244.470484735</v>
      </c>
      <c r="Y91" s="167">
        <f>SUMIFS('esr2023'!Q:Q,'esr2023'!$C:$C,$L91,'esr2023'!$B:$B,$L$86,'esr2023'!$D:$D,"co2")</f>
        <v>241540.78149340901</v>
      </c>
      <c r="Z91" s="167">
        <f>SUMIFS('esr2023'!R:R,'esr2023'!$C:$C,$L91,'esr2023'!$B:$B,$L$86,'esr2023'!$D:$D,"co2")</f>
        <v>11449.324953024799</v>
      </c>
      <c r="AA91" s="167">
        <f>SUMIFS('esr2023'!S:S,'esr2023'!$C:$C,$L91,'esr2023'!$B:$B,$L$86,'esr2023'!$D:$D,"co2")</f>
        <v>31853.441330071</v>
      </c>
      <c r="AB91" s="167">
        <f>SUMIFS('esr2023'!T:T,'esr2023'!$C:$C,$L91,'esr2023'!$B:$B,$L$86,'esr2023'!$D:$D,"co2")</f>
        <v>24294.091740399599</v>
      </c>
      <c r="AC91" s="167">
        <f>SUMIFS('esr2023'!U:U,'esr2023'!$C:$C,$L91,'esr2023'!$B:$B,$L$86,'esr2023'!$D:$D,"co2")</f>
        <v>1543.44520581999</v>
      </c>
      <c r="AD91" s="167">
        <f>SUMIFS('esr2023'!V:V,'esr2023'!$C:$C,$L91,'esr2023'!$B:$B,$L$86,'esr2023'!$D:$D,"co2")</f>
        <v>231934.182047151</v>
      </c>
      <c r="AE91" s="167">
        <f>SUMIFS('esr2023'!W:W,'esr2023'!$C:$C,$L91,'esr2023'!$B:$B,$L$86,'esr2023'!$D:$D,"co2")</f>
        <v>8696.3746509143493</v>
      </c>
      <c r="AF91" s="167">
        <f>SUMIFS('esr2023'!X:X,'esr2023'!$C:$C,$L91,'esr2023'!$B:$B,$L$86,'esr2023'!$D:$D,"co2")</f>
        <v>7693.8297528679605</v>
      </c>
      <c r="AG91" s="167">
        <f>SUMIFS('esr2023'!Y:Y,'esr2023'!$C:$C,$L91,'esr2023'!$B:$B,$L$86,'esr2023'!$D:$D,"co2")</f>
        <v>5158.1292434773904</v>
      </c>
      <c r="AH91" s="167">
        <f>SUMIFS('esr2023'!Z:Z,'esr2023'!$C:$C,$L91,'esr2023'!$B:$B,$L$86,'esr2023'!$D:$D,"co2")</f>
        <v>829.75606340331603</v>
      </c>
      <c r="AI91" s="167">
        <f>SUMIFS('esr2023'!AA:AA,'esr2023'!$C:$C,$L91,'esr2023'!$B:$B,$L$86,'esr2023'!$D:$D,"co2")</f>
        <v>86206.175894387998</v>
      </c>
      <c r="AJ91" s="167">
        <f>SUMIFS('esr2023'!AB:AB,'esr2023'!$C:$C,$L91,'esr2023'!$B:$B,$L$86,'esr2023'!$D:$D,"co2")</f>
        <v>16986.380961785399</v>
      </c>
      <c r="AK91" s="167">
        <f>SUMIFS('esr2023'!AC:AC,'esr2023'!$C:$C,$L91,'esr2023'!$B:$B,$L$86,'esr2023'!$D:$D,"co2")</f>
        <v>146639.91777707101</v>
      </c>
      <c r="AL91" s="167">
        <f>SUMIFS('esr2023'!AD:AD,'esr2023'!$C:$C,$L91,'esr2023'!$B:$B,$L$86,'esr2023'!$D:$D,"co2")</f>
        <v>26661.405490441899</v>
      </c>
      <c r="AM91" s="167">
        <f>SUMIFS('esr2023'!AE:AE,'esr2023'!$C:$C,$L91,'esr2023'!$B:$B,$L$86,'esr2023'!$D:$D,"co2")</f>
        <v>46582.5202621473</v>
      </c>
      <c r="AN91" s="167">
        <f>SUMIFS('esr2023'!AF:AF,'esr2023'!$C:$C,$L91,'esr2023'!$B:$B,$L$86,'esr2023'!$D:$D,"co2")</f>
        <v>23478.1336892627</v>
      </c>
      <c r="AO91" s="167">
        <f>SUMIFS('esr2023'!AG:AG,'esr2023'!$C:$C,$L91,'esr2023'!$B:$B,$L$86,'esr2023'!$D:$D,"co2")</f>
        <v>7936.1174355924304</v>
      </c>
      <c r="AP91" s="167">
        <f>SUMIFS('esr2023'!AH:AH,'esr2023'!$C:$C,$L91,'esr2023'!$B:$B,$L$86,'esr2023'!$D:$D,"co2")</f>
        <v>19450.011283973599</v>
      </c>
      <c r="AQ91" s="167"/>
      <c r="AR91" s="158">
        <f t="shared" si="14"/>
        <v>1735270.8604570532</v>
      </c>
    </row>
    <row r="92" spans="2:44" s="6" customFormat="1" ht="13.8" x14ac:dyDescent="0.25">
      <c r="B92" s="220"/>
      <c r="C92" s="221"/>
      <c r="D92" s="225"/>
      <c r="E92" s="226"/>
      <c r="F92" s="227"/>
      <c r="G92" s="222"/>
      <c r="H92" s="228"/>
      <c r="I92" s="15"/>
      <c r="J92" s="9"/>
      <c r="K92" s="9"/>
      <c r="L92" s="9"/>
      <c r="M92" s="158"/>
      <c r="N92" s="158"/>
      <c r="O92" s="158"/>
      <c r="P92" s="158"/>
      <c r="Q92" s="158"/>
      <c r="R92" s="158"/>
      <c r="S92" s="158"/>
      <c r="T92" s="158"/>
      <c r="U92" s="158"/>
      <c r="V92" s="159"/>
      <c r="W92" s="158"/>
      <c r="X92" s="158"/>
      <c r="Y92" s="158"/>
      <c r="Z92" s="158"/>
      <c r="AA92" s="158"/>
      <c r="AB92" s="158"/>
      <c r="AC92" s="158"/>
      <c r="AD92" s="158"/>
      <c r="AE92" s="158"/>
      <c r="AF92" s="158"/>
      <c r="AG92" s="158"/>
      <c r="AH92" s="158"/>
      <c r="AI92" s="158"/>
      <c r="AJ92" s="158"/>
      <c r="AK92" s="158"/>
      <c r="AL92" s="158"/>
      <c r="AM92" s="158"/>
      <c r="AN92" s="158"/>
      <c r="AO92" s="158"/>
      <c r="AP92" s="158"/>
      <c r="AQ92" s="158"/>
      <c r="AR92" s="158"/>
    </row>
    <row r="93" spans="2:44" s="6" customFormat="1" ht="13.8" x14ac:dyDescent="0.25">
      <c r="B93" s="220"/>
      <c r="C93" s="221"/>
      <c r="D93" s="225"/>
      <c r="E93" s="226"/>
      <c r="F93" s="227"/>
      <c r="G93" s="222"/>
      <c r="H93" s="228"/>
      <c r="I93" s="15"/>
      <c r="J93" s="168"/>
      <c r="K93" s="169"/>
      <c r="L93" s="172" t="s">
        <v>145</v>
      </c>
      <c r="M93" s="170"/>
      <c r="N93" s="170"/>
      <c r="O93" s="170"/>
      <c r="P93" s="170"/>
      <c r="Q93" s="170"/>
      <c r="R93" s="170"/>
      <c r="S93" s="170"/>
      <c r="T93" s="170"/>
      <c r="U93" s="170"/>
      <c r="V93" s="170"/>
      <c r="W93" s="170"/>
      <c r="X93" s="170"/>
      <c r="Y93" s="170"/>
      <c r="Z93" s="170"/>
      <c r="AA93" s="170"/>
      <c r="AB93" s="170"/>
      <c r="AC93" s="170"/>
      <c r="AD93" s="170"/>
      <c r="AE93" s="170"/>
      <c r="AF93" s="170"/>
      <c r="AG93" s="170"/>
      <c r="AH93" s="170"/>
      <c r="AI93" s="170"/>
      <c r="AJ93" s="170"/>
      <c r="AK93" s="170"/>
      <c r="AL93" s="170"/>
      <c r="AM93" s="170"/>
      <c r="AN93" s="170"/>
      <c r="AO93" s="170"/>
      <c r="AP93" s="170"/>
      <c r="AQ93" s="170"/>
      <c r="AR93" s="158"/>
    </row>
    <row r="94" spans="2:44" s="6" customFormat="1" ht="13.8" x14ac:dyDescent="0.25">
      <c r="B94" s="229"/>
      <c r="C94" s="221"/>
      <c r="D94" s="225"/>
      <c r="E94" s="229"/>
      <c r="F94" s="230"/>
      <c r="G94" s="222"/>
      <c r="H94" s="228"/>
      <c r="I94" s="15"/>
      <c r="J94" s="168"/>
      <c r="K94" s="169"/>
      <c r="L94" s="168">
        <v>2005</v>
      </c>
      <c r="M94" s="197">
        <f>M87/M80</f>
        <v>0.81660614760641892</v>
      </c>
      <c r="N94" s="197">
        <f t="shared" ref="N94:AP98" si="15">N87/N80</f>
        <v>0.84400917221776295</v>
      </c>
      <c r="O94" s="197">
        <f t="shared" si="15"/>
        <v>0.64225044005783849</v>
      </c>
      <c r="P94" s="197">
        <f t="shared" si="15"/>
        <v>0.82887990853904492</v>
      </c>
      <c r="Q94" s="197">
        <f t="shared" si="15"/>
        <v>0.76383030745039582</v>
      </c>
      <c r="R94" s="197">
        <f t="shared" si="15"/>
        <v>0.78816476135696956</v>
      </c>
      <c r="S94" s="197">
        <f t="shared" si="15"/>
        <v>0.84012489563254567</v>
      </c>
      <c r="T94" s="197">
        <f t="shared" si="15"/>
        <v>0.65470835037613884</v>
      </c>
      <c r="U94" s="197">
        <f t="shared" si="15"/>
        <v>0.67682493888496031</v>
      </c>
      <c r="V94" s="197">
        <f t="shared" si="15"/>
        <v>0.74393473459436321</v>
      </c>
      <c r="W94" s="197">
        <f t="shared" si="15"/>
        <v>0.7899901477367901</v>
      </c>
      <c r="X94" s="197">
        <f t="shared" si="15"/>
        <v>0.75267002526200422</v>
      </c>
      <c r="Y94" s="197">
        <f t="shared" si="15"/>
        <v>0.74628754260773911</v>
      </c>
      <c r="Z94" s="197">
        <f t="shared" si="15"/>
        <v>0.70296270445811204</v>
      </c>
      <c r="AA94" s="197">
        <f t="shared" si="15"/>
        <v>0.7479963173923293</v>
      </c>
      <c r="AB94" s="197">
        <f t="shared" si="15"/>
        <v>0.56485694951619325</v>
      </c>
      <c r="AC94" s="197">
        <f t="shared" si="15"/>
        <v>0.66354896768191884</v>
      </c>
      <c r="AD94" s="197">
        <f t="shared" si="15"/>
        <v>0.82495364159554108</v>
      </c>
      <c r="AE94" s="197">
        <f t="shared" si="15"/>
        <v>0.52586832009099127</v>
      </c>
      <c r="AF94" s="197">
        <f t="shared" si="15"/>
        <v>0.92606937617217411</v>
      </c>
      <c r="AG94" s="197">
        <f t="shared" si="15"/>
        <v>0.65086972453584224</v>
      </c>
      <c r="AH94" s="197">
        <f t="shared" si="15"/>
        <v>0.69580289218311719</v>
      </c>
      <c r="AI94" s="197">
        <f t="shared" si="15"/>
        <v>0.78915042839470961</v>
      </c>
      <c r="AJ94" s="197">
        <f t="shared" si="15"/>
        <v>0.71404842517607547</v>
      </c>
      <c r="AK94" s="197">
        <f t="shared" si="15"/>
        <v>0.72051321172003691</v>
      </c>
      <c r="AL94" s="197">
        <f t="shared" si="15"/>
        <v>0.7076455129962328</v>
      </c>
      <c r="AM94" s="197">
        <f t="shared" si="15"/>
        <v>0.58297045681395898</v>
      </c>
      <c r="AN94" s="197">
        <f t="shared" si="15"/>
        <v>0.77505633705661059</v>
      </c>
      <c r="AO94" s="197">
        <f t="shared" si="15"/>
        <v>0.75550569718611682</v>
      </c>
      <c r="AP94" s="197">
        <f t="shared" si="15"/>
        <v>0.8231642928037376</v>
      </c>
      <c r="AQ94" s="170"/>
      <c r="AR94" s="200">
        <f t="shared" ref="AR94" si="16">AR87/AR80</f>
        <v>0.7750265269732447</v>
      </c>
    </row>
    <row r="95" spans="2:44" s="6" customFormat="1" ht="13.8" x14ac:dyDescent="0.25">
      <c r="B95" s="229"/>
      <c r="C95" s="221"/>
      <c r="D95" s="225"/>
      <c r="E95" s="229"/>
      <c r="F95" s="230"/>
      <c r="G95" s="222"/>
      <c r="H95" s="228"/>
      <c r="I95" s="15"/>
      <c r="J95" s="168"/>
      <c r="K95" s="169"/>
      <c r="L95" s="168">
        <v>2010</v>
      </c>
      <c r="M95" s="197">
        <f t="shared" ref="M95:AB98" si="17">M88/M81</f>
        <v>0.80998938774531781</v>
      </c>
      <c r="N95" s="197">
        <f t="shared" si="17"/>
        <v>0.84233403609669755</v>
      </c>
      <c r="O95" s="197">
        <f t="shared" si="17"/>
        <v>0.57452500752794389</v>
      </c>
      <c r="P95" s="197">
        <f t="shared" si="17"/>
        <v>0.82832443508522513</v>
      </c>
      <c r="Q95" s="197">
        <f t="shared" si="17"/>
        <v>0.76331307375545787</v>
      </c>
      <c r="R95" s="197">
        <f t="shared" si="17"/>
        <v>0.76388999330372609</v>
      </c>
      <c r="S95" s="197">
        <f t="shared" si="17"/>
        <v>0.85120340707617415</v>
      </c>
      <c r="T95" s="197">
        <f t="shared" si="17"/>
        <v>0.64268661209883937</v>
      </c>
      <c r="U95" s="197">
        <f t="shared" si="17"/>
        <v>0.65411322990489851</v>
      </c>
      <c r="V95" s="197">
        <f t="shared" si="17"/>
        <v>0.71329616118071137</v>
      </c>
      <c r="W95" s="197">
        <f t="shared" si="17"/>
        <v>0.77195897500743338</v>
      </c>
      <c r="X95" s="197">
        <f t="shared" si="17"/>
        <v>0.74217435905983575</v>
      </c>
      <c r="Y95" s="197">
        <f t="shared" si="17"/>
        <v>0.7371600823964114</v>
      </c>
      <c r="Z95" s="197">
        <f t="shared" si="17"/>
        <v>0.68647107569176102</v>
      </c>
      <c r="AA95" s="197">
        <f t="shared" si="17"/>
        <v>0.72326013271003609</v>
      </c>
      <c r="AB95" s="197">
        <f t="shared" si="17"/>
        <v>0.56461953383772079</v>
      </c>
      <c r="AC95" s="197">
        <f t="shared" si="15"/>
        <v>0.63777320359043388</v>
      </c>
      <c r="AD95" s="197">
        <f t="shared" si="15"/>
        <v>0.81369014909012227</v>
      </c>
      <c r="AE95" s="197">
        <f t="shared" si="15"/>
        <v>0.53952010679719509</v>
      </c>
      <c r="AF95" s="197">
        <f t="shared" si="15"/>
        <v>0.91755229057898058</v>
      </c>
      <c r="AG95" s="197">
        <f t="shared" si="15"/>
        <v>0.65945543066878165</v>
      </c>
      <c r="AH95" s="197">
        <f t="shared" si="15"/>
        <v>0.77247987389274353</v>
      </c>
      <c r="AI95" s="197">
        <f t="shared" si="15"/>
        <v>0.80286048301920943</v>
      </c>
      <c r="AJ95" s="197">
        <f t="shared" si="15"/>
        <v>0.73002984630812717</v>
      </c>
      <c r="AK95" s="197">
        <f t="shared" si="15"/>
        <v>0.75298044392621322</v>
      </c>
      <c r="AL95" s="197">
        <f t="shared" si="15"/>
        <v>0.69806878624048041</v>
      </c>
      <c r="AM95" s="197">
        <f t="shared" si="15"/>
        <v>0.59089177221137168</v>
      </c>
      <c r="AN95" s="197">
        <f t="shared" si="15"/>
        <v>0.77678775770024311</v>
      </c>
      <c r="AO95" s="197">
        <f t="shared" si="15"/>
        <v>0.77596711528134432</v>
      </c>
      <c r="AP95" s="197">
        <f t="shared" si="15"/>
        <v>0.81583291014945636</v>
      </c>
      <c r="AQ95" s="170"/>
      <c r="AR95" s="200">
        <f t="shared" ref="AR95" si="18">AR88/AR81</f>
        <v>0.7732088168147393</v>
      </c>
    </row>
    <row r="96" spans="2:44" s="6" customFormat="1" ht="13.8" x14ac:dyDescent="0.25">
      <c r="B96" s="229"/>
      <c r="C96" s="221"/>
      <c r="D96" s="225"/>
      <c r="E96" s="229"/>
      <c r="F96" s="230"/>
      <c r="G96" s="222"/>
      <c r="H96" s="228"/>
      <c r="I96" s="15"/>
      <c r="J96" s="168"/>
      <c r="K96" s="169"/>
      <c r="L96" s="168">
        <v>2015</v>
      </c>
      <c r="M96" s="197">
        <f t="shared" si="17"/>
        <v>0.80735240297300925</v>
      </c>
      <c r="N96" s="197">
        <f t="shared" si="15"/>
        <v>0.83792236199915393</v>
      </c>
      <c r="O96" s="197">
        <f t="shared" si="15"/>
        <v>0.574568395272262</v>
      </c>
      <c r="P96" s="197">
        <f t="shared" si="15"/>
        <v>0.81066459789497558</v>
      </c>
      <c r="Q96" s="197">
        <f t="shared" si="15"/>
        <v>0.73653225646096609</v>
      </c>
      <c r="R96" s="197">
        <f t="shared" si="15"/>
        <v>0.72385500513749823</v>
      </c>
      <c r="S96" s="197">
        <f t="shared" si="15"/>
        <v>0.84912868881068848</v>
      </c>
      <c r="T96" s="197">
        <f t="shared" si="15"/>
        <v>0.61300216914035</v>
      </c>
      <c r="U96" s="197">
        <f t="shared" si="15"/>
        <v>0.66286798759185284</v>
      </c>
      <c r="V96" s="197">
        <f t="shared" si="15"/>
        <v>0.67009881822505657</v>
      </c>
      <c r="W96" s="197">
        <f t="shared" si="15"/>
        <v>0.75088228543209001</v>
      </c>
      <c r="X96" s="197">
        <f t="shared" si="15"/>
        <v>0.70515943105132373</v>
      </c>
      <c r="Y96" s="197">
        <f t="shared" si="15"/>
        <v>0.72952625556695461</v>
      </c>
      <c r="Z96" s="197">
        <f t="shared" si="15"/>
        <v>0.66797170323338473</v>
      </c>
      <c r="AA96" s="197">
        <f t="shared" si="15"/>
        <v>0.70669760077798294</v>
      </c>
      <c r="AB96" s="197">
        <f t="shared" si="15"/>
        <v>0.52603048698299881</v>
      </c>
      <c r="AC96" s="197">
        <f t="shared" si="15"/>
        <v>0.62688562144393811</v>
      </c>
      <c r="AD96" s="197">
        <f t="shared" si="15"/>
        <v>0.79899678139466934</v>
      </c>
      <c r="AE96" s="197">
        <f t="shared" si="15"/>
        <v>0.54932885456806368</v>
      </c>
      <c r="AF96" s="197">
        <f t="shared" si="15"/>
        <v>0.90689432969964712</v>
      </c>
      <c r="AG96" s="197">
        <f t="shared" si="15"/>
        <v>0.61498474398331826</v>
      </c>
      <c r="AH96" s="197">
        <f t="shared" si="15"/>
        <v>0.76935758341872895</v>
      </c>
      <c r="AI96" s="197">
        <f t="shared" si="15"/>
        <v>0.77569543758358261</v>
      </c>
      <c r="AJ96" s="197">
        <f t="shared" si="15"/>
        <v>0.72270366708877021</v>
      </c>
      <c r="AK96" s="197">
        <f t="shared" si="15"/>
        <v>0.74652418281892419</v>
      </c>
      <c r="AL96" s="197">
        <f t="shared" si="15"/>
        <v>0.6785618436150479</v>
      </c>
      <c r="AM96" s="197">
        <f t="shared" si="15"/>
        <v>0.58461651240944501</v>
      </c>
      <c r="AN96" s="197">
        <f t="shared" si="15"/>
        <v>0.75974174590278509</v>
      </c>
      <c r="AO96" s="197">
        <f t="shared" si="15"/>
        <v>0.7568025102591609</v>
      </c>
      <c r="AP96" s="197">
        <f t="shared" si="15"/>
        <v>0.79171809349690725</v>
      </c>
      <c r="AQ96" s="170"/>
      <c r="AR96" s="200">
        <f t="shared" ref="AR96" si="19">AR89/AR82</f>
        <v>0.75999519933616688</v>
      </c>
    </row>
    <row r="97" spans="2:44" s="6" customFormat="1" ht="13.8" x14ac:dyDescent="0.25">
      <c r="B97" s="229"/>
      <c r="C97" s="221"/>
      <c r="D97" s="225"/>
      <c r="E97" s="229"/>
      <c r="F97" s="230"/>
      <c r="G97" s="222"/>
      <c r="H97" s="228"/>
      <c r="I97" s="15"/>
      <c r="J97" s="169"/>
      <c r="K97" s="169"/>
      <c r="L97" s="168">
        <v>2020</v>
      </c>
      <c r="M97" s="197">
        <f t="shared" si="17"/>
        <v>0.82304009244474363</v>
      </c>
      <c r="N97" s="197">
        <f t="shared" si="15"/>
        <v>0.84027112375944857</v>
      </c>
      <c r="O97" s="197">
        <f t="shared" si="15"/>
        <v>0.61410989913098324</v>
      </c>
      <c r="P97" s="197">
        <f t="shared" si="15"/>
        <v>0.80780182055339578</v>
      </c>
      <c r="Q97" s="197">
        <f t="shared" si="15"/>
        <v>0.73215789873602699</v>
      </c>
      <c r="R97" s="197">
        <f t="shared" si="15"/>
        <v>0.72831289435164204</v>
      </c>
      <c r="S97" s="197">
        <f t="shared" si="15"/>
        <v>0.85674332158070599</v>
      </c>
      <c r="T97" s="197">
        <f t="shared" si="15"/>
        <v>0.61280367794037349</v>
      </c>
      <c r="U97" s="197">
        <f t="shared" si="15"/>
        <v>0.66123075598404435</v>
      </c>
      <c r="V97" s="197">
        <f t="shared" si="15"/>
        <v>0.66039292537376615</v>
      </c>
      <c r="W97" s="197">
        <f t="shared" si="15"/>
        <v>0.76596705033659529</v>
      </c>
      <c r="X97" s="197">
        <f t="shared" si="15"/>
        <v>0.70949400914626481</v>
      </c>
      <c r="Y97" s="197">
        <f t="shared" si="15"/>
        <v>0.72513257392289232</v>
      </c>
      <c r="Z97" s="197">
        <f t="shared" si="15"/>
        <v>0.68743518093023059</v>
      </c>
      <c r="AA97" s="197">
        <f t="shared" si="15"/>
        <v>0.7294291025301779</v>
      </c>
      <c r="AB97" s="197">
        <f t="shared" si="15"/>
        <v>0.5232219864144676</v>
      </c>
      <c r="AC97" s="197">
        <f t="shared" si="15"/>
        <v>0.64831335589415273</v>
      </c>
      <c r="AD97" s="197">
        <f t="shared" si="15"/>
        <v>0.79562826840278589</v>
      </c>
      <c r="AE97" s="197">
        <f t="shared" si="15"/>
        <v>0.61288749674337384</v>
      </c>
      <c r="AF97" s="197">
        <f t="shared" si="15"/>
        <v>0.91058466601043242</v>
      </c>
      <c r="AG97" s="197">
        <f t="shared" si="15"/>
        <v>0.62426004044193151</v>
      </c>
      <c r="AH97" s="197">
        <f t="shared" si="15"/>
        <v>0.76440683375457885</v>
      </c>
      <c r="AI97" s="197">
        <f t="shared" si="15"/>
        <v>0.78393040755399068</v>
      </c>
      <c r="AJ97" s="197">
        <f t="shared" si="15"/>
        <v>0.71640065919813933</v>
      </c>
      <c r="AK97" s="197">
        <f t="shared" si="15"/>
        <v>0.76437575161366011</v>
      </c>
      <c r="AL97" s="197">
        <f t="shared" si="15"/>
        <v>0.68689573965353101</v>
      </c>
      <c r="AM97" s="197">
        <f t="shared" si="15"/>
        <v>0.60897239990981278</v>
      </c>
      <c r="AN97" s="197">
        <f t="shared" si="15"/>
        <v>0.75165621598905552</v>
      </c>
      <c r="AO97" s="197">
        <f t="shared" si="15"/>
        <v>0.76941903839993131</v>
      </c>
      <c r="AP97" s="197">
        <f t="shared" si="15"/>
        <v>0.7957585348858025</v>
      </c>
      <c r="AQ97" s="170"/>
      <c r="AR97" s="200">
        <f t="shared" ref="AR97" si="20">AR90/AR83</f>
        <v>0.76499414136275301</v>
      </c>
    </row>
    <row r="98" spans="2:44" s="6" customFormat="1" ht="13.8" x14ac:dyDescent="0.25">
      <c r="B98" s="229"/>
      <c r="C98" s="221"/>
      <c r="D98" s="225"/>
      <c r="E98" s="229"/>
      <c r="F98" s="230"/>
      <c r="G98" s="222"/>
      <c r="H98" s="228"/>
      <c r="I98" s="15"/>
      <c r="J98" s="169"/>
      <c r="K98" s="169"/>
      <c r="L98" s="168">
        <v>2021</v>
      </c>
      <c r="M98" s="197">
        <f t="shared" si="17"/>
        <v>0.81937179681137262</v>
      </c>
      <c r="N98" s="197">
        <f t="shared" si="15"/>
        <v>0.84163861733620804</v>
      </c>
      <c r="O98" s="197">
        <f t="shared" si="15"/>
        <v>0.62627999490752029</v>
      </c>
      <c r="P98" s="197">
        <f t="shared" si="15"/>
        <v>0.80519920677365653</v>
      </c>
      <c r="Q98" s="197">
        <f t="shared" si="15"/>
        <v>0.70836169273756344</v>
      </c>
      <c r="R98" s="197">
        <f t="shared" si="15"/>
        <v>0.74197518448515509</v>
      </c>
      <c r="S98" s="197">
        <f t="shared" si="15"/>
        <v>0.85763541068542548</v>
      </c>
      <c r="T98" s="197">
        <f t="shared" si="15"/>
        <v>0.60071171538907531</v>
      </c>
      <c r="U98" s="197">
        <f t="shared" si="15"/>
        <v>0.63016092315618555</v>
      </c>
      <c r="V98" s="197">
        <f t="shared" si="15"/>
        <v>0.6475595864941458</v>
      </c>
      <c r="W98" s="197">
        <f t="shared" si="15"/>
        <v>0.76082204963755395</v>
      </c>
      <c r="X98" s="197">
        <f t="shared" si="15"/>
        <v>0.70077549518673732</v>
      </c>
      <c r="Y98" s="197">
        <f t="shared" si="15"/>
        <v>0.72836877489221363</v>
      </c>
      <c r="Z98" s="197">
        <f t="shared" si="15"/>
        <v>0.68878304682505942</v>
      </c>
      <c r="AA98" s="197">
        <f t="shared" si="15"/>
        <v>0.73048454980474686</v>
      </c>
      <c r="AB98" s="197">
        <f t="shared" si="15"/>
        <v>0.50012607037978707</v>
      </c>
      <c r="AC98" s="197">
        <f t="shared" si="15"/>
        <v>0.62949416884238529</v>
      </c>
      <c r="AD98" s="197">
        <f t="shared" si="15"/>
        <v>0.79456711325957341</v>
      </c>
      <c r="AE98" s="197">
        <f t="shared" si="15"/>
        <v>0.61151431406661683</v>
      </c>
      <c r="AF98" s="197">
        <f t="shared" si="15"/>
        <v>0.89794307598868361</v>
      </c>
      <c r="AG98" s="197">
        <f t="shared" si="15"/>
        <v>0.62104434227333782</v>
      </c>
      <c r="AH98" s="197">
        <f t="shared" si="15"/>
        <v>0.73746940209645273</v>
      </c>
      <c r="AI98" s="197">
        <f t="shared" si="15"/>
        <v>0.78421156787784352</v>
      </c>
      <c r="AJ98" s="197">
        <f t="shared" si="15"/>
        <v>0.71681244138391198</v>
      </c>
      <c r="AK98" s="197">
        <f t="shared" si="15"/>
        <v>0.76560652827006515</v>
      </c>
      <c r="AL98" s="197">
        <f t="shared" si="15"/>
        <v>0.67231824359464598</v>
      </c>
      <c r="AM98" s="197">
        <f t="shared" si="15"/>
        <v>0.62829396627987588</v>
      </c>
      <c r="AN98" s="197">
        <f t="shared" si="15"/>
        <v>0.74205636907526507</v>
      </c>
      <c r="AO98" s="197">
        <f t="shared" si="15"/>
        <v>0.76040844976269417</v>
      </c>
      <c r="AP98" s="197">
        <f t="shared" si="15"/>
        <v>0.80207318246749659</v>
      </c>
      <c r="AQ98" s="170"/>
      <c r="AR98" s="200">
        <f t="shared" ref="AR98" si="21">AR91/AR84</f>
        <v>0.76385152469505502</v>
      </c>
    </row>
    <row r="99" spans="2:44" s="6" customFormat="1" ht="13.8" x14ac:dyDescent="0.25">
      <c r="B99" s="231"/>
      <c r="C99" s="232"/>
      <c r="D99" s="233"/>
      <c r="E99" s="234"/>
      <c r="F99" s="235"/>
      <c r="G99" s="222"/>
      <c r="H99" s="228"/>
      <c r="I99" s="15"/>
      <c r="J99" s="9"/>
      <c r="K99" s="9"/>
      <c r="L99" s="9"/>
      <c r="M99" s="158"/>
      <c r="N99" s="158"/>
      <c r="O99" s="158"/>
      <c r="P99" s="158"/>
      <c r="Q99" s="158"/>
      <c r="R99" s="158"/>
      <c r="S99" s="158"/>
      <c r="T99" s="158"/>
      <c r="U99" s="158"/>
      <c r="V99" s="159"/>
      <c r="W99" s="158"/>
      <c r="X99" s="158"/>
      <c r="Y99" s="158"/>
      <c r="Z99" s="158"/>
      <c r="AA99" s="158"/>
      <c r="AB99" s="158"/>
      <c r="AC99" s="158"/>
      <c r="AD99" s="158"/>
      <c r="AE99" s="158"/>
      <c r="AF99" s="158"/>
      <c r="AG99" s="158"/>
      <c r="AH99" s="158"/>
      <c r="AI99" s="158"/>
      <c r="AJ99" s="158"/>
      <c r="AK99" s="158"/>
      <c r="AL99" s="158"/>
      <c r="AM99" s="158"/>
      <c r="AN99" s="158"/>
      <c r="AO99" s="158"/>
      <c r="AP99" s="158"/>
      <c r="AQ99" s="158"/>
      <c r="AR99" s="158"/>
    </row>
    <row r="100" spans="2:44" s="6" customFormat="1" ht="13.8" x14ac:dyDescent="0.25">
      <c r="B100" s="218"/>
      <c r="C100" s="218"/>
      <c r="D100" s="218"/>
      <c r="E100" s="218"/>
      <c r="F100" s="218"/>
      <c r="G100" s="218"/>
      <c r="H100" s="219"/>
      <c r="I100" s="15"/>
      <c r="J100" s="168" t="s">
        <v>101</v>
      </c>
      <c r="K100" s="169"/>
      <c r="L100" s="172" t="s">
        <v>113</v>
      </c>
      <c r="M100" s="170"/>
      <c r="N100" s="170"/>
      <c r="O100" s="170"/>
      <c r="P100" s="170"/>
      <c r="Q100" s="170"/>
      <c r="R100" s="170"/>
      <c r="S100" s="170"/>
      <c r="T100" s="170"/>
      <c r="U100" s="170"/>
      <c r="V100" s="170"/>
      <c r="W100" s="170"/>
      <c r="X100" s="170"/>
      <c r="Y100" s="170"/>
      <c r="Z100" s="170"/>
      <c r="AA100" s="170"/>
      <c r="AB100" s="170"/>
      <c r="AC100" s="170"/>
      <c r="AD100" s="170"/>
      <c r="AE100" s="170"/>
      <c r="AF100" s="170"/>
      <c r="AG100" s="170"/>
      <c r="AH100" s="170"/>
      <c r="AI100" s="170"/>
      <c r="AJ100" s="170"/>
      <c r="AK100" s="170"/>
      <c r="AL100" s="170"/>
      <c r="AM100" s="170"/>
      <c r="AN100" s="170"/>
      <c r="AO100" s="170"/>
      <c r="AP100" s="170"/>
      <c r="AQ100" s="170"/>
      <c r="AR100" s="158"/>
    </row>
    <row r="101" spans="2:44" s="6" customFormat="1" ht="13.8" x14ac:dyDescent="0.25">
      <c r="B101" s="218"/>
      <c r="C101" s="218"/>
      <c r="D101" s="218"/>
      <c r="E101" s="218"/>
      <c r="F101" s="218"/>
      <c r="G101" s="218"/>
      <c r="H101" s="219"/>
      <c r="I101" s="15"/>
      <c r="J101" s="168" t="s">
        <v>104</v>
      </c>
      <c r="K101" s="169"/>
      <c r="L101" s="168">
        <v>2005</v>
      </c>
      <c r="M101" s="170">
        <f>SUMIFS('esr2023'!E:E,'esr2023'!$C:$C,$L101,'esr2023'!$B:$B,$L$100,'esr2023'!$D:$D,"ghg")</f>
        <v>10222.305426051</v>
      </c>
      <c r="N101" s="170">
        <f>SUMIFS('esr2023'!F:F,'esr2023'!$C:$C,$L101,'esr2023'!$B:$B,$L$100,'esr2023'!$D:$D,"ghg")</f>
        <v>13105.338817734801</v>
      </c>
      <c r="O101" s="170">
        <f>SUMIFS('esr2023'!G:G,'esr2023'!$C:$C,$L101,'esr2023'!$B:$B,$L$100,'esr2023'!$D:$D,"ghg")</f>
        <v>8865.1708252652006</v>
      </c>
      <c r="P101" s="170">
        <f>SUMIFS('esr2023'!H:H,'esr2023'!$C:$C,$L101,'esr2023'!$B:$B,$L$100,'esr2023'!$D:$D,"ghg")</f>
        <v>7763.1031314585598</v>
      </c>
      <c r="Q101" s="170">
        <f>SUMIFS('esr2023'!I:I,'esr2023'!$C:$C,$L101,'esr2023'!$B:$B,$L$100,'esr2023'!$D:$D,"ghg")</f>
        <v>1082.6534193658799</v>
      </c>
      <c r="R101" s="170">
        <f>SUMIFS('esr2023'!J:J,'esr2023'!$C:$C,$L101,'esr2023'!$B:$B,$L$100,'esr2023'!$D:$D,"ghg")</f>
        <v>12177.1293960516</v>
      </c>
      <c r="S101" s="170">
        <f>SUMIFS('esr2023'!K:K,'esr2023'!$C:$C,$L101,'esr2023'!$B:$B,$L$100,'esr2023'!$D:$D,"ghg")</f>
        <v>78076.930671098293</v>
      </c>
      <c r="T101" s="170">
        <f>SUMIFS('esr2023'!L:L,'esr2023'!$C:$C,$L101,'esr2023'!$B:$B,$L$100,'esr2023'!$D:$D,"ghg")</f>
        <v>13728.8682073418</v>
      </c>
      <c r="U101" s="170">
        <f>SUMIFS('esr2023'!M:M,'esr2023'!$C:$C,$L101,'esr2023'!$B:$B,$L$100,'esr2023'!$D:$D,"ghg")</f>
        <v>1780.35274828718</v>
      </c>
      <c r="V101" s="170">
        <f>SUMIFS('esr2023'!N:N,'esr2023'!$C:$C,$L101,'esr2023'!$B:$B,$L$100,'esr2023'!$D:$D,"ghg")</f>
        <v>14593.738781235001</v>
      </c>
      <c r="W101" s="170">
        <f>SUMIFS('esr2023'!O:O,'esr2023'!$C:$C,$L101,'esr2023'!$B:$B,$L$100,'esr2023'!$D:$D,"ghg")</f>
        <v>51318.012156473</v>
      </c>
      <c r="X101" s="170">
        <f>SUMIFS('esr2023'!P:P,'esr2023'!$C:$C,$L101,'esr2023'!$B:$B,$L$100,'esr2023'!$D:$D,"ghg")</f>
        <v>9431.3466250131896</v>
      </c>
      <c r="Y101" s="170">
        <f>SUMIFS('esr2023'!Q:Q,'esr2023'!$C:$C,$L101,'esr2023'!$B:$B,$L$100,'esr2023'!$D:$D,"ghg")</f>
        <v>96993.577450438199</v>
      </c>
      <c r="Z101" s="170">
        <f>SUMIFS('esr2023'!R:R,'esr2023'!$C:$C,$L101,'esr2023'!$B:$B,$L$100,'esr2023'!$D:$D,"ghg")</f>
        <v>4856.6414316232404</v>
      </c>
      <c r="AA101" s="170">
        <f>SUMIFS('esr2023'!S:S,'esr2023'!$C:$C,$L101,'esr2023'!$B:$B,$L$100,'esr2023'!$D:$D,"ghg")</f>
        <v>10738.909158995901</v>
      </c>
      <c r="AB101" s="170">
        <f>SUMIFS('esr2023'!T:T,'esr2023'!$C:$C,$L101,'esr2023'!$B:$B,$L$100,'esr2023'!$D:$D,"ghg")</f>
        <v>21929.845666892099</v>
      </c>
      <c r="AC101" s="170">
        <f>SUMIFS('esr2023'!U:U,'esr2023'!$C:$C,$L101,'esr2023'!$B:$B,$L$100,'esr2023'!$D:$D,"ghg")</f>
        <v>950.53740933144502</v>
      </c>
      <c r="AD101" s="170">
        <f>SUMIFS('esr2023'!V:V,'esr2023'!$C:$C,$L101,'esr2023'!$B:$B,$L$100,'esr2023'!$D:$D,"ghg")</f>
        <v>58686.659165701101</v>
      </c>
      <c r="AE101" s="170">
        <f>SUMIFS('esr2023'!W:W,'esr2023'!$C:$C,$L101,'esr2023'!$B:$B,$L$100,'esr2023'!$D:$D,"ghg")</f>
        <v>5762.7864280991898</v>
      </c>
      <c r="AF101" s="170">
        <f>SUMIFS('esr2023'!X:X,'esr2023'!$C:$C,$L101,'esr2023'!$B:$B,$L$100,'esr2023'!$D:$D,"ghg")</f>
        <v>748.187871437941</v>
      </c>
      <c r="AG101" s="170">
        <f>SUMIFS('esr2023'!Y:Y,'esr2023'!$C:$C,$L101,'esr2023'!$B:$B,$L$100,'esr2023'!$D:$D,"ghg")</f>
        <v>2477.3474934938599</v>
      </c>
      <c r="AH101" s="170">
        <f>SUMIFS('esr2023'!Z:Z,'esr2023'!$C:$C,$L101,'esr2023'!$B:$B,$L$100,'esr2023'!$D:$D,"ghg")</f>
        <v>288.19896881032201</v>
      </c>
      <c r="AI101" s="170">
        <f>SUMIFS('esr2023'!AA:AA,'esr2023'!$C:$C,$L101,'esr2023'!$B:$B,$L$100,'esr2023'!$D:$D,"ghg")</f>
        <v>25888.0896155175</v>
      </c>
      <c r="AJ101" s="170">
        <f>SUMIFS('esr2023'!AB:AB,'esr2023'!$C:$C,$L101,'esr2023'!$B:$B,$L$100,'esr2023'!$D:$D,"ghg")</f>
        <v>6701.7057678168603</v>
      </c>
      <c r="AK101" s="170">
        <f>SUMIFS('esr2023'!AC:AC,'esr2023'!$C:$C,$L101,'esr2023'!$B:$B,$L$100,'esr2023'!$D:$D,"ghg")</f>
        <v>42659.595152401198</v>
      </c>
      <c r="AL101" s="170">
        <f>SUMIFS('esr2023'!AD:AD,'esr2023'!$C:$C,$L101,'esr2023'!$B:$B,$L$100,'esr2023'!$D:$D,"ghg")</f>
        <v>14155.7487091862</v>
      </c>
      <c r="AM101" s="170">
        <f>SUMIFS('esr2023'!AE:AE,'esr2023'!$C:$C,$L101,'esr2023'!$B:$B,$L$100,'esr2023'!$D:$D,"ghg")</f>
        <v>27776.227027285098</v>
      </c>
      <c r="AN101" s="170">
        <f>SUMIFS('esr2023'!AF:AF,'esr2023'!$C:$C,$L101,'esr2023'!$B:$B,$L$100,'esr2023'!$D:$D,"ghg")</f>
        <v>9904.0605800736103</v>
      </c>
      <c r="AO101" s="170">
        <f>SUMIFS('esr2023'!AG:AG,'esr2023'!$C:$C,$L101,'esr2023'!$B:$B,$L$100,'esr2023'!$D:$D,"ghg")</f>
        <v>2648.0294304157301</v>
      </c>
      <c r="AP101" s="170">
        <f>SUMIFS('esr2023'!AH:AH,'esr2023'!$C:$C,$L101,'esr2023'!$B:$B,$L$100,'esr2023'!$D:$D,"ghg")</f>
        <v>4338.9394346427898</v>
      </c>
      <c r="AQ101" s="170"/>
      <c r="AR101" s="158">
        <f t="shared" si="14"/>
        <v>551886.93383607932</v>
      </c>
    </row>
    <row r="102" spans="2:44" s="6" customFormat="1" ht="13.8" x14ac:dyDescent="0.25">
      <c r="B102" s="218"/>
      <c r="C102" s="218"/>
      <c r="D102" s="218"/>
      <c r="E102" s="218"/>
      <c r="F102" s="218"/>
      <c r="G102" s="218"/>
      <c r="H102" s="219"/>
      <c r="I102" s="15"/>
      <c r="J102" s="168"/>
      <c r="K102" s="169"/>
      <c r="L102" s="168">
        <v>2010</v>
      </c>
      <c r="M102" s="170">
        <f>SUMIFS('esr2023'!E:E,'esr2023'!$C:$C,$L102,'esr2023'!$B:$B,$L$100,'esr2023'!$D:$D,"ghg")</f>
        <v>9477.52401040929</v>
      </c>
      <c r="N102" s="170">
        <f>SUMIFS('esr2023'!F:F,'esr2023'!$C:$C,$L102,'esr2023'!$B:$B,$L$100,'esr2023'!$D:$D,"ghg")</f>
        <v>12359.7297756711</v>
      </c>
      <c r="O102" s="170">
        <f>SUMIFS('esr2023'!G:G,'esr2023'!$C:$C,$L102,'esr2023'!$B:$B,$L$100,'esr2023'!$D:$D,"ghg")</f>
        <v>8923.3150229757593</v>
      </c>
      <c r="P102" s="170">
        <f>SUMIFS('esr2023'!H:H,'esr2023'!$C:$C,$L102,'esr2023'!$B:$B,$L$100,'esr2023'!$D:$D,"ghg")</f>
        <v>7667.1671573535295</v>
      </c>
      <c r="Q102" s="170">
        <f>SUMIFS('esr2023'!I:I,'esr2023'!$C:$C,$L102,'esr2023'!$B:$B,$L$100,'esr2023'!$D:$D,"ghg")</f>
        <v>1098.3527949811501</v>
      </c>
      <c r="R102" s="170">
        <f>SUMIFS('esr2023'!J:J,'esr2023'!$C:$C,$L102,'esr2023'!$B:$B,$L$100,'esr2023'!$D:$D,"ghg")</f>
        <v>12069.169332383901</v>
      </c>
      <c r="S102" s="170">
        <f>SUMIFS('esr2023'!K:K,'esr2023'!$C:$C,$L102,'esr2023'!$B:$B,$L$100,'esr2023'!$D:$D,"ghg")</f>
        <v>70208.878721130197</v>
      </c>
      <c r="T102" s="170">
        <f>SUMIFS('esr2023'!L:L,'esr2023'!$C:$C,$L102,'esr2023'!$B:$B,$L$100,'esr2023'!$D:$D,"ghg")</f>
        <v>13262.484950524</v>
      </c>
      <c r="U102" s="170">
        <f>SUMIFS('esr2023'!M:M,'esr2023'!$C:$C,$L102,'esr2023'!$B:$B,$L$100,'esr2023'!$D:$D,"ghg")</f>
        <v>1838.2078653685901</v>
      </c>
      <c r="V102" s="170">
        <f>SUMIFS('esr2023'!N:N,'esr2023'!$C:$C,$L102,'esr2023'!$B:$B,$L$100,'esr2023'!$D:$D,"ghg")</f>
        <v>14464.9661150828</v>
      </c>
      <c r="W102" s="170">
        <f>SUMIFS('esr2023'!O:O,'esr2023'!$C:$C,$L102,'esr2023'!$B:$B,$L$100,'esr2023'!$D:$D,"ghg")</f>
        <v>49948.403140550698</v>
      </c>
      <c r="X102" s="170">
        <f>SUMIFS('esr2023'!P:P,'esr2023'!$C:$C,$L102,'esr2023'!$B:$B,$L$100,'esr2023'!$D:$D,"ghg")</f>
        <v>9258.4090232359704</v>
      </c>
      <c r="Y102" s="170">
        <f>SUMIFS('esr2023'!Q:Q,'esr2023'!$C:$C,$L102,'esr2023'!$B:$B,$L$100,'esr2023'!$D:$D,"ghg")</f>
        <v>94954.276860416096</v>
      </c>
      <c r="Z102" s="170">
        <f>SUMIFS('esr2023'!R:R,'esr2023'!$C:$C,$L102,'esr2023'!$B:$B,$L$100,'esr2023'!$D:$D,"ghg")</f>
        <v>4997.8041541767197</v>
      </c>
      <c r="AA102" s="170">
        <f>SUMIFS('esr2023'!S:S,'esr2023'!$C:$C,$L102,'esr2023'!$B:$B,$L$100,'esr2023'!$D:$D,"ghg")</f>
        <v>10152.048527209599</v>
      </c>
      <c r="AB102" s="170">
        <f>SUMIFS('esr2023'!T:T,'esr2023'!$C:$C,$L102,'esr2023'!$B:$B,$L$100,'esr2023'!$D:$D,"ghg")</f>
        <v>19992.189350346998</v>
      </c>
      <c r="AC102" s="170">
        <f>SUMIFS('esr2023'!U:U,'esr2023'!$C:$C,$L102,'esr2023'!$B:$B,$L$100,'esr2023'!$D:$D,"ghg")</f>
        <v>980.85758138097401</v>
      </c>
      <c r="AD102" s="170">
        <f>SUMIFS('esr2023'!V:V,'esr2023'!$C:$C,$L102,'esr2023'!$B:$B,$L$100,'esr2023'!$D:$D,"ghg")</f>
        <v>54601.639543595098</v>
      </c>
      <c r="AE102" s="170">
        <f>SUMIFS('esr2023'!W:W,'esr2023'!$C:$C,$L102,'esr2023'!$B:$B,$L$100,'esr2023'!$D:$D,"ghg")</f>
        <v>5601.87930674983</v>
      </c>
      <c r="AF102" s="170">
        <f>SUMIFS('esr2023'!X:X,'esr2023'!$C:$C,$L102,'esr2023'!$B:$B,$L$100,'esr2023'!$D:$D,"ghg")</f>
        <v>772.51643473314596</v>
      </c>
      <c r="AG102" s="170">
        <f>SUMIFS('esr2023'!Y:Y,'esr2023'!$C:$C,$L102,'esr2023'!$B:$B,$L$100,'esr2023'!$D:$D,"ghg")</f>
        <v>2583.6017434832502</v>
      </c>
      <c r="AH102" s="170">
        <f>SUMIFS('esr2023'!Z:Z,'esr2023'!$C:$C,$L102,'esr2023'!$B:$B,$L$100,'esr2023'!$D:$D,"ghg")</f>
        <v>208.86494140823399</v>
      </c>
      <c r="AI102" s="170">
        <f>SUMIFS('esr2023'!AA:AA,'esr2023'!$C:$C,$L102,'esr2023'!$B:$B,$L$100,'esr2023'!$D:$D,"ghg")</f>
        <v>23927.3460979093</v>
      </c>
      <c r="AJ102" s="170">
        <f>SUMIFS('esr2023'!AB:AB,'esr2023'!$C:$C,$L102,'esr2023'!$B:$B,$L$100,'esr2023'!$D:$D,"ghg")</f>
        <v>6520.0819807268699</v>
      </c>
      <c r="AK102" s="170">
        <f>SUMIFS('esr2023'!AC:AC,'esr2023'!$C:$C,$L102,'esr2023'!$B:$B,$L$100,'esr2023'!$D:$D,"ghg")</f>
        <v>39935.290281742004</v>
      </c>
      <c r="AL102" s="170">
        <f>SUMIFS('esr2023'!AD:AD,'esr2023'!$C:$C,$L102,'esr2023'!$B:$B,$L$100,'esr2023'!$D:$D,"ghg")</f>
        <v>13292.405559164999</v>
      </c>
      <c r="AM102" s="170">
        <f>SUMIFS('esr2023'!AE:AE,'esr2023'!$C:$C,$L102,'esr2023'!$B:$B,$L$100,'esr2023'!$D:$D,"ghg")</f>
        <v>24480.492641545799</v>
      </c>
      <c r="AN102" s="170">
        <f>SUMIFS('esr2023'!AF:AF,'esr2023'!$C:$C,$L102,'esr2023'!$B:$B,$L$100,'esr2023'!$D:$D,"ghg")</f>
        <v>8871.0214879669893</v>
      </c>
      <c r="AO102" s="170">
        <f>SUMIFS('esr2023'!AG:AG,'esr2023'!$C:$C,$L102,'esr2023'!$B:$B,$L$100,'esr2023'!$D:$D,"ghg")</f>
        <v>2357.42037552393</v>
      </c>
      <c r="AP102" s="170">
        <f>SUMIFS('esr2023'!AH:AH,'esr2023'!$C:$C,$L102,'esr2023'!$B:$B,$L$100,'esr2023'!$D:$D,"ghg")</f>
        <v>4324.8176402341896</v>
      </c>
      <c r="AQ102" s="170"/>
      <c r="AR102" s="158">
        <f t="shared" si="14"/>
        <v>521463.99526062742</v>
      </c>
    </row>
    <row r="103" spans="2:44" s="6" customFormat="1" ht="13.8" x14ac:dyDescent="0.25">
      <c r="B103" s="218"/>
      <c r="C103" s="218"/>
      <c r="D103" s="218"/>
      <c r="E103" s="218"/>
      <c r="F103" s="218"/>
      <c r="G103" s="218"/>
      <c r="H103" s="219"/>
      <c r="I103" s="15"/>
      <c r="J103" s="168"/>
      <c r="K103" s="169"/>
      <c r="L103" s="168">
        <v>2015</v>
      </c>
      <c r="M103" s="170">
        <f>SUMIFS('esr2023'!E:E,'esr2023'!$C:$C,$L103,'esr2023'!$B:$B,$L$100,'esr2023'!$D:$D,"ghg")</f>
        <v>9020.7379563987906</v>
      </c>
      <c r="N103" s="170">
        <f>SUMIFS('esr2023'!F:F,'esr2023'!$C:$C,$L103,'esr2023'!$B:$B,$L$100,'esr2023'!$D:$D,"ghg")</f>
        <v>11417.668125162199</v>
      </c>
      <c r="O103" s="170">
        <f>SUMIFS('esr2023'!G:G,'esr2023'!$C:$C,$L103,'esr2023'!$B:$B,$L$100,'esr2023'!$D:$D,"ghg")</f>
        <v>9443.1458196183794</v>
      </c>
      <c r="P103" s="170">
        <f>SUMIFS('esr2023'!H:H,'esr2023'!$C:$C,$L103,'esr2023'!$B:$B,$L$100,'esr2023'!$D:$D,"ghg")</f>
        <v>7451.1890200689204</v>
      </c>
      <c r="Q103" s="170">
        <f>SUMIFS('esr2023'!I:I,'esr2023'!$C:$C,$L103,'esr2023'!$B:$B,$L$100,'esr2023'!$D:$D,"ghg")</f>
        <v>1066.32649617269</v>
      </c>
      <c r="R103" s="170">
        <f>SUMIFS('esr2023'!J:J,'esr2023'!$C:$C,$L103,'esr2023'!$B:$B,$L$100,'esr2023'!$D:$D,"ghg")</f>
        <v>13676.5766938379</v>
      </c>
      <c r="S103" s="170">
        <f>SUMIFS('esr2023'!K:K,'esr2023'!$C:$C,$L103,'esr2023'!$B:$B,$L$100,'esr2023'!$D:$D,"ghg")</f>
        <v>69142.366562288997</v>
      </c>
      <c r="T103" s="170">
        <f>SUMIFS('esr2023'!L:L,'esr2023'!$C:$C,$L103,'esr2023'!$B:$B,$L$100,'esr2023'!$D:$D,"ghg")</f>
        <v>13201.701860974201</v>
      </c>
      <c r="U103" s="170">
        <f>SUMIFS('esr2023'!M:M,'esr2023'!$C:$C,$L103,'esr2023'!$B:$B,$L$100,'esr2023'!$D:$D,"ghg")</f>
        <v>1827.46906957794</v>
      </c>
      <c r="V103" s="170">
        <f>SUMIFS('esr2023'!N:N,'esr2023'!$C:$C,$L103,'esr2023'!$B:$B,$L$100,'esr2023'!$D:$D,"ghg")</f>
        <v>13078.8933006609</v>
      </c>
      <c r="W103" s="170">
        <f>SUMIFS('esr2023'!O:O,'esr2023'!$C:$C,$L103,'esr2023'!$B:$B,$L$100,'esr2023'!$D:$D,"ghg")</f>
        <v>49466.142522955</v>
      </c>
      <c r="X103" s="170">
        <f>SUMIFS('esr2023'!P:P,'esr2023'!$C:$C,$L103,'esr2023'!$B:$B,$L$100,'esr2023'!$D:$D,"ghg")</f>
        <v>8703.2348859975209</v>
      </c>
      <c r="Y103" s="170">
        <f>SUMIFS('esr2023'!Q:Q,'esr2023'!$C:$C,$L103,'esr2023'!$B:$B,$L$100,'esr2023'!$D:$D,"ghg")</f>
        <v>90605.533362763905</v>
      </c>
      <c r="Z103" s="170">
        <f>SUMIFS('esr2023'!R:R,'esr2023'!$C:$C,$L103,'esr2023'!$B:$B,$L$100,'esr2023'!$D:$D,"ghg")</f>
        <v>4765.0328512590804</v>
      </c>
      <c r="AA103" s="170">
        <f>SUMIFS('esr2023'!S:S,'esr2023'!$C:$C,$L103,'esr2023'!$B:$B,$L$100,'esr2023'!$D:$D,"ghg")</f>
        <v>10598.2476849536</v>
      </c>
      <c r="AB103" s="170">
        <f>SUMIFS('esr2023'!T:T,'esr2023'!$C:$C,$L103,'esr2023'!$B:$B,$L$100,'esr2023'!$D:$D,"ghg")</f>
        <v>21662.3961911281</v>
      </c>
      <c r="AC103" s="170">
        <f>SUMIFS('esr2023'!U:U,'esr2023'!$C:$C,$L103,'esr2023'!$B:$B,$L$100,'esr2023'!$D:$D,"ghg")</f>
        <v>948.71420702318301</v>
      </c>
      <c r="AD103" s="170">
        <f>SUMIFS('esr2023'!V:V,'esr2023'!$C:$C,$L103,'esr2023'!$B:$B,$L$100,'esr2023'!$D:$D,"ghg")</f>
        <v>52441.7315478901</v>
      </c>
      <c r="AE103" s="170">
        <f>SUMIFS('esr2023'!W:W,'esr2023'!$C:$C,$L103,'esr2023'!$B:$B,$L$100,'esr2023'!$D:$D,"ghg")</f>
        <v>5687.4202534506503</v>
      </c>
      <c r="AF103" s="170">
        <f>SUMIFS('esr2023'!X:X,'esr2023'!$C:$C,$L103,'esr2023'!$B:$B,$L$100,'esr2023'!$D:$D,"ghg")</f>
        <v>774.42855532075203</v>
      </c>
      <c r="AG103" s="170">
        <f>SUMIFS('esr2023'!Y:Y,'esr2023'!$C:$C,$L103,'esr2023'!$B:$B,$L$100,'esr2023'!$D:$D,"ghg")</f>
        <v>2768.1982163859998</v>
      </c>
      <c r="AH103" s="170">
        <f>SUMIFS('esr2023'!Z:Z,'esr2023'!$C:$C,$L103,'esr2023'!$B:$B,$L$100,'esr2023'!$D:$D,"ghg")</f>
        <v>234.42980533216499</v>
      </c>
      <c r="AI103" s="170">
        <f>SUMIFS('esr2023'!AA:AA,'esr2023'!$C:$C,$L103,'esr2023'!$B:$B,$L$100,'esr2023'!$D:$D,"ghg")</f>
        <v>23417.108339438</v>
      </c>
      <c r="AJ103" s="170">
        <f>SUMIFS('esr2023'!AB:AB,'esr2023'!$C:$C,$L103,'esr2023'!$B:$B,$L$100,'esr2023'!$D:$D,"ghg")</f>
        <v>6514.7121508924001</v>
      </c>
      <c r="AK103" s="170">
        <f>SUMIFS('esr2023'!AC:AC,'esr2023'!$C:$C,$L103,'esr2023'!$B:$B,$L$100,'esr2023'!$D:$D,"ghg")</f>
        <v>37313.710782345202</v>
      </c>
      <c r="AL103" s="170">
        <f>SUMIFS('esr2023'!AD:AD,'esr2023'!$C:$C,$L103,'esr2023'!$B:$B,$L$100,'esr2023'!$D:$D,"ghg")</f>
        <v>12400.927710036</v>
      </c>
      <c r="AM103" s="170">
        <f>SUMIFS('esr2023'!AE:AE,'esr2023'!$C:$C,$L103,'esr2023'!$B:$B,$L$100,'esr2023'!$D:$D,"ghg")</f>
        <v>25399.391139393101</v>
      </c>
      <c r="AN103" s="170">
        <f>SUMIFS('esr2023'!AF:AF,'esr2023'!$C:$C,$L103,'esr2023'!$B:$B,$L$100,'esr2023'!$D:$D,"ghg")</f>
        <v>8261.1940395681195</v>
      </c>
      <c r="AO103" s="170">
        <f>SUMIFS('esr2023'!AG:AG,'esr2023'!$C:$C,$L103,'esr2023'!$B:$B,$L$100,'esr2023'!$D:$D,"ghg")</f>
        <v>2341.99026351055</v>
      </c>
      <c r="AP103" s="170">
        <f>SUMIFS('esr2023'!AH:AH,'esr2023'!$C:$C,$L103,'esr2023'!$B:$B,$L$100,'esr2023'!$D:$D,"ghg")</f>
        <v>4419.2491177375496</v>
      </c>
      <c r="AQ103" s="170"/>
      <c r="AR103" s="158">
        <f t="shared" si="14"/>
        <v>510598.67951207311</v>
      </c>
    </row>
    <row r="104" spans="2:44" s="6" customFormat="1" ht="13.8" x14ac:dyDescent="0.25">
      <c r="B104" s="9"/>
      <c r="C104" s="9"/>
      <c r="D104" s="9"/>
      <c r="E104" s="9"/>
      <c r="F104" s="9"/>
      <c r="G104" s="9"/>
      <c r="H104" s="15"/>
      <c r="I104" s="15"/>
      <c r="J104" s="169"/>
      <c r="K104" s="169"/>
      <c r="L104" s="168">
        <v>2019</v>
      </c>
      <c r="M104" s="170">
        <f>SUMIFS('esr2023'!E:E,'esr2023'!$C:$C,$L104,'esr2023'!$B:$B,$L$100,'esr2023'!$D:$D,"ghg")</f>
        <v>8536.6285430808894</v>
      </c>
      <c r="N104" s="170">
        <f>SUMIFS('esr2023'!F:F,'esr2023'!$C:$C,$L104,'esr2023'!$B:$B,$L$100,'esr2023'!$D:$D,"ghg")</f>
        <v>10985.2327955902</v>
      </c>
      <c r="O104" s="170">
        <f>SUMIFS('esr2023'!G:G,'esr2023'!$C:$C,$L104,'esr2023'!$B:$B,$L$100,'esr2023'!$D:$D,"ghg")</f>
        <v>9001.5906389575302</v>
      </c>
      <c r="P104" s="170">
        <f>SUMIFS('esr2023'!H:H,'esr2023'!$C:$C,$L104,'esr2023'!$B:$B,$L$100,'esr2023'!$D:$D,"ghg")</f>
        <v>7094.7672629141098</v>
      </c>
      <c r="Q104" s="170">
        <f>SUMIFS('esr2023'!I:I,'esr2023'!$C:$C,$L104,'esr2023'!$B:$B,$L$100,'esr2023'!$D:$D,"ghg")</f>
        <v>1151.88049456158</v>
      </c>
      <c r="R104" s="170">
        <f>SUMIFS('esr2023'!J:J,'esr2023'!$C:$C,$L104,'esr2023'!$B:$B,$L$100,'esr2023'!$D:$D,"ghg")</f>
        <v>13602.71148097</v>
      </c>
      <c r="S104" s="170">
        <f>SUMIFS('esr2023'!K:K,'esr2023'!$C:$C,$L104,'esr2023'!$B:$B,$L$100,'esr2023'!$D:$D,"ghg")</f>
        <v>63901.600474337902</v>
      </c>
      <c r="T104" s="170">
        <f>SUMIFS('esr2023'!L:L,'esr2023'!$C:$C,$L104,'esr2023'!$B:$B,$L$100,'esr2023'!$D:$D,"ghg")</f>
        <v>13340.975554784</v>
      </c>
      <c r="U104" s="170">
        <f>SUMIFS('esr2023'!M:M,'esr2023'!$C:$C,$L104,'esr2023'!$B:$B,$L$100,'esr2023'!$D:$D,"ghg")</f>
        <v>1888.06303553728</v>
      </c>
      <c r="V104" s="170">
        <f>SUMIFS('esr2023'!N:N,'esr2023'!$C:$C,$L104,'esr2023'!$B:$B,$L$100,'esr2023'!$D:$D,"ghg")</f>
        <v>13480.8550436104</v>
      </c>
      <c r="W104" s="170">
        <f>SUMIFS('esr2023'!O:O,'esr2023'!$C:$C,$L104,'esr2023'!$B:$B,$L$100,'esr2023'!$D:$D,"ghg")</f>
        <v>48629.410609707302</v>
      </c>
      <c r="X104" s="170">
        <f>SUMIFS('esr2023'!P:P,'esr2023'!$C:$C,$L104,'esr2023'!$B:$B,$L$100,'esr2023'!$D:$D,"ghg")</f>
        <v>8423.68594886963</v>
      </c>
      <c r="Y104" s="170">
        <f>SUMIFS('esr2023'!Q:Q,'esr2023'!$C:$C,$L104,'esr2023'!$B:$B,$L$100,'esr2023'!$D:$D,"ghg")</f>
        <v>88468.650141592094</v>
      </c>
      <c r="Z104" s="170">
        <f>SUMIFS('esr2023'!R:R,'esr2023'!$C:$C,$L104,'esr2023'!$B:$B,$L$100,'esr2023'!$D:$D,"ghg")</f>
        <v>4706.8632078311903</v>
      </c>
      <c r="AA104" s="170">
        <f>SUMIFS('esr2023'!S:S,'esr2023'!$C:$C,$L104,'esr2023'!$B:$B,$L$100,'esr2023'!$D:$D,"ghg")</f>
        <v>10777.3623424056</v>
      </c>
      <c r="AB104" s="170">
        <f>SUMIFS('esr2023'!T:T,'esr2023'!$C:$C,$L104,'esr2023'!$B:$B,$L$100,'esr2023'!$D:$D,"ghg")</f>
        <v>22765.449364183001</v>
      </c>
      <c r="AC104" s="170">
        <f>SUMIFS('esr2023'!U:U,'esr2023'!$C:$C,$L104,'esr2023'!$B:$B,$L$100,'esr2023'!$D:$D,"ghg")</f>
        <v>862.57666321243505</v>
      </c>
      <c r="AD104" s="170">
        <f>SUMIFS('esr2023'!V:V,'esr2023'!$C:$C,$L104,'esr2023'!$B:$B,$L$100,'esr2023'!$D:$D,"ghg")</f>
        <v>51847.289278592303</v>
      </c>
      <c r="AE104" s="170">
        <f>SUMIFS('esr2023'!W:W,'esr2023'!$C:$C,$L104,'esr2023'!$B:$B,$L$100,'esr2023'!$D:$D,"ghg")</f>
        <v>5245.3296028744999</v>
      </c>
      <c r="AF104" s="170">
        <f>SUMIFS('esr2023'!X:X,'esr2023'!$C:$C,$L104,'esr2023'!$B:$B,$L$100,'esr2023'!$D:$D,"ghg")</f>
        <v>783.84623738969105</v>
      </c>
      <c r="AG104" s="170">
        <f>SUMIFS('esr2023'!Y:Y,'esr2023'!$C:$C,$L104,'esr2023'!$B:$B,$L$100,'esr2023'!$D:$D,"ghg")</f>
        <v>2774.1144063786501</v>
      </c>
      <c r="AH104" s="170">
        <f>SUMIFS('esr2023'!Z:Z,'esr2023'!$C:$C,$L104,'esr2023'!$B:$B,$L$100,'esr2023'!$D:$D,"ghg")</f>
        <v>270.766570337779</v>
      </c>
      <c r="AI104" s="170">
        <f>SUMIFS('esr2023'!AA:AA,'esr2023'!$C:$C,$L104,'esr2023'!$B:$B,$L$100,'esr2023'!$D:$D,"ghg")</f>
        <v>22252.3427450618</v>
      </c>
      <c r="AJ104" s="170">
        <f>SUMIFS('esr2023'!AB:AB,'esr2023'!$C:$C,$L104,'esr2023'!$B:$B,$L$100,'esr2023'!$D:$D,"ghg")</f>
        <v>6203.3967430481298</v>
      </c>
      <c r="AK104" s="170">
        <f>SUMIFS('esr2023'!AC:AC,'esr2023'!$C:$C,$L104,'esr2023'!$B:$B,$L$100,'esr2023'!$D:$D,"ghg")</f>
        <v>37777.278541875399</v>
      </c>
      <c r="AL104" s="170">
        <f>SUMIFS('esr2023'!AD:AD,'esr2023'!$C:$C,$L104,'esr2023'!$B:$B,$L$100,'esr2023'!$D:$D,"ghg")</f>
        <v>12471.041883035999</v>
      </c>
      <c r="AM104" s="170">
        <f>SUMIFS('esr2023'!AE:AE,'esr2023'!$C:$C,$L104,'esr2023'!$B:$B,$L$100,'esr2023'!$D:$D,"ghg")</f>
        <v>25798.123700329099</v>
      </c>
      <c r="AN104" s="170">
        <f>SUMIFS('esr2023'!AF:AF,'esr2023'!$C:$C,$L104,'esr2023'!$B:$B,$L$100,'esr2023'!$D:$D,"ghg")</f>
        <v>7845.4541806318502</v>
      </c>
      <c r="AO104" s="170">
        <f>SUMIFS('esr2023'!AG:AG,'esr2023'!$C:$C,$L104,'esr2023'!$B:$B,$L$100,'esr2023'!$D:$D,"ghg")</f>
        <v>2281.8925973609798</v>
      </c>
      <c r="AP104" s="170">
        <f>SUMIFS('esr2023'!AH:AH,'esr2023'!$C:$C,$L104,'esr2023'!$B:$B,$L$100,'esr2023'!$D:$D,"ghg")</f>
        <v>4406.6001527009203</v>
      </c>
      <c r="AQ104" s="170"/>
      <c r="AR104" s="158">
        <f t="shared" si="14"/>
        <v>500481.01297884813</v>
      </c>
    </row>
    <row r="105" spans="2:44" s="6" customFormat="1" ht="13.8" x14ac:dyDescent="0.25">
      <c r="B105" s="9"/>
      <c r="C105" s="9"/>
      <c r="D105" s="9"/>
      <c r="E105" s="9"/>
      <c r="F105" s="9"/>
      <c r="G105" s="9"/>
      <c r="H105" s="15"/>
      <c r="I105" s="15"/>
      <c r="J105" s="169"/>
      <c r="K105" s="169"/>
      <c r="L105" s="168">
        <v>2021</v>
      </c>
      <c r="M105" s="170">
        <f>SUMIFS('esr2023'!E:E,'esr2023'!$C:$C,$L105,'esr2023'!$B:$B,$L$100,'esr2023'!$D:$D,"ghg")</f>
        <v>8431.7391878048802</v>
      </c>
      <c r="N105" s="170">
        <f>SUMIFS('esr2023'!F:F,'esr2023'!$C:$C,$L105,'esr2023'!$B:$B,$L$100,'esr2023'!$D:$D,"ghg")</f>
        <v>10665.0116639515</v>
      </c>
      <c r="O105" s="170">
        <f>SUMIFS('esr2023'!G:G,'esr2023'!$C:$C,$L105,'esr2023'!$B:$B,$L$100,'esr2023'!$D:$D,"ghg")</f>
        <v>8939.2770645396995</v>
      </c>
      <c r="P105" s="170">
        <f>SUMIFS('esr2023'!H:H,'esr2023'!$C:$C,$L105,'esr2023'!$B:$B,$L$100,'esr2023'!$D:$D,"ghg")</f>
        <v>7039.8540345286001</v>
      </c>
      <c r="Q105" s="170">
        <f>SUMIFS('esr2023'!I:I,'esr2023'!$C:$C,$L105,'esr2023'!$B:$B,$L$100,'esr2023'!$D:$D,"ghg")</f>
        <v>1219.8113346747</v>
      </c>
      <c r="R105" s="170">
        <f>SUMIFS('esr2023'!J:J,'esr2023'!$C:$C,$L105,'esr2023'!$B:$B,$L$100,'esr2023'!$D:$D,"ghg")</f>
        <v>13546.650368524</v>
      </c>
      <c r="S105" s="170">
        <f>SUMIFS('esr2023'!K:K,'esr2023'!$C:$C,$L105,'esr2023'!$B:$B,$L$100,'esr2023'!$D:$D,"ghg")</f>
        <v>60826.9368745705</v>
      </c>
      <c r="T105" s="170">
        <f>SUMIFS('esr2023'!L:L,'esr2023'!$C:$C,$L105,'esr2023'!$B:$B,$L$100,'esr2023'!$D:$D,"ghg")</f>
        <v>13432.0891176432</v>
      </c>
      <c r="U105" s="170">
        <f>SUMIFS('esr2023'!M:M,'esr2023'!$C:$C,$L105,'esr2023'!$B:$B,$L$100,'esr2023'!$D:$D,"ghg")</f>
        <v>1901.09768247749</v>
      </c>
      <c r="V105" s="170">
        <f>SUMIFS('esr2023'!N:N,'esr2023'!$C:$C,$L105,'esr2023'!$B:$B,$L$100,'esr2023'!$D:$D,"ghg")</f>
        <v>13898.180234224599</v>
      </c>
      <c r="W105" s="170">
        <f>SUMIFS('esr2023'!O:O,'esr2023'!$C:$C,$L105,'esr2023'!$B:$B,$L$100,'esr2023'!$D:$D,"ghg")</f>
        <v>48672.830919141998</v>
      </c>
      <c r="X105" s="170">
        <f>SUMIFS('esr2023'!P:P,'esr2023'!$C:$C,$L105,'esr2023'!$B:$B,$L$100,'esr2023'!$D:$D,"ghg")</f>
        <v>8121.1419983062497</v>
      </c>
      <c r="Y105" s="170">
        <f>SUMIFS('esr2023'!Q:Q,'esr2023'!$C:$C,$L105,'esr2023'!$B:$B,$L$100,'esr2023'!$D:$D,"ghg")</f>
        <v>84980.846525428104</v>
      </c>
      <c r="Z105" s="170">
        <f>SUMIFS('esr2023'!R:R,'esr2023'!$C:$C,$L105,'esr2023'!$B:$B,$L$100,'esr2023'!$D:$D,"ghg")</f>
        <v>4578.1816571402596</v>
      </c>
      <c r="AA105" s="170">
        <f>SUMIFS('esr2023'!S:S,'esr2023'!$C:$C,$L105,'esr2023'!$B:$B,$L$100,'esr2023'!$D:$D,"ghg")</f>
        <v>10935.349152930299</v>
      </c>
      <c r="AB105" s="170">
        <f>SUMIFS('esr2023'!T:T,'esr2023'!$C:$C,$L105,'esr2023'!$B:$B,$L$100,'esr2023'!$D:$D,"ghg")</f>
        <v>23896.888857679402</v>
      </c>
      <c r="AC105" s="170">
        <f>SUMIFS('esr2023'!U:U,'esr2023'!$C:$C,$L105,'esr2023'!$B:$B,$L$100,'esr2023'!$D:$D,"ghg")</f>
        <v>888.54974379110001</v>
      </c>
      <c r="AD105" s="170">
        <f>SUMIFS('esr2023'!V:V,'esr2023'!$C:$C,$L105,'esr2023'!$B:$B,$L$100,'esr2023'!$D:$D,"ghg")</f>
        <v>52907.187660566298</v>
      </c>
      <c r="AE105" s="170">
        <f>SUMIFS('esr2023'!W:W,'esr2023'!$C:$C,$L105,'esr2023'!$B:$B,$L$100,'esr2023'!$D:$D,"ghg")</f>
        <v>5221.3708201014997</v>
      </c>
      <c r="AF105" s="170">
        <f>SUMIFS('esr2023'!X:X,'esr2023'!$C:$C,$L105,'esr2023'!$B:$B,$L$100,'esr2023'!$D:$D,"ghg")</f>
        <v>785.60421637702598</v>
      </c>
      <c r="AG105" s="170">
        <f>SUMIFS('esr2023'!Y:Y,'esr2023'!$C:$C,$L105,'esr2023'!$B:$B,$L$100,'esr2023'!$D:$D,"ghg")</f>
        <v>2817.9501289875798</v>
      </c>
      <c r="AH105" s="170">
        <f>SUMIFS('esr2023'!Z:Z,'esr2023'!$C:$C,$L105,'esr2023'!$B:$B,$L$100,'esr2023'!$D:$D,"ghg")</f>
        <v>288.65060068535001</v>
      </c>
      <c r="AI105" s="170">
        <f>SUMIFS('esr2023'!AA:AA,'esr2023'!$C:$C,$L105,'esr2023'!$B:$B,$L$100,'esr2023'!$D:$D,"ghg")</f>
        <v>21484.939162351999</v>
      </c>
      <c r="AJ105" s="170">
        <f>SUMIFS('esr2023'!AB:AB,'esr2023'!$C:$C,$L105,'esr2023'!$B:$B,$L$100,'esr2023'!$D:$D,"ghg")</f>
        <v>6146.2538738119401</v>
      </c>
      <c r="AK105" s="170">
        <f>SUMIFS('esr2023'!AC:AC,'esr2023'!$C:$C,$L105,'esr2023'!$B:$B,$L$100,'esr2023'!$D:$D,"ghg")</f>
        <v>38709.984349229802</v>
      </c>
      <c r="AL105" s="170">
        <f>SUMIFS('esr2023'!AD:AD,'esr2023'!$C:$C,$L105,'esr2023'!$B:$B,$L$100,'esr2023'!$D:$D,"ghg")</f>
        <v>12266.077082797899</v>
      </c>
      <c r="AM105" s="170">
        <f>SUMIFS('esr2023'!AE:AE,'esr2023'!$C:$C,$L105,'esr2023'!$B:$B,$L$100,'esr2023'!$D:$D,"ghg")</f>
        <v>25698.377589567899</v>
      </c>
      <c r="AN105" s="170">
        <f>SUMIFS('esr2023'!AF:AF,'esr2023'!$C:$C,$L105,'esr2023'!$B:$B,$L$100,'esr2023'!$D:$D,"ghg")</f>
        <v>7665.7593105371998</v>
      </c>
      <c r="AO105" s="170">
        <f>SUMIFS('esr2023'!AG:AG,'esr2023'!$C:$C,$L105,'esr2023'!$B:$B,$L$100,'esr2023'!$D:$D,"ghg")</f>
        <v>2242.2409176964202</v>
      </c>
      <c r="AP105" s="170">
        <f>SUMIFS('esr2023'!AH:AH,'esr2023'!$C:$C,$L105,'esr2023'!$B:$B,$L$100,'esr2023'!$D:$D,"ghg")</f>
        <v>4315.2684349341898</v>
      </c>
      <c r="AQ105" s="170"/>
      <c r="AR105" s="158">
        <f t="shared" si="14"/>
        <v>495484.24653047312</v>
      </c>
    </row>
    <row r="106" spans="2:44" s="6" customFormat="1" ht="13.8" x14ac:dyDescent="0.25">
      <c r="B106" s="9"/>
      <c r="C106" s="9"/>
      <c r="D106" s="9"/>
      <c r="E106" s="9"/>
      <c r="F106" s="9"/>
      <c r="G106" s="9"/>
      <c r="H106" s="15"/>
      <c r="I106" s="15"/>
      <c r="J106" s="169"/>
      <c r="K106" s="169"/>
      <c r="L106" s="201" t="s">
        <v>149</v>
      </c>
      <c r="M106" s="197">
        <f>(M105-M102)/M102</f>
        <v>-0.11034367430309967</v>
      </c>
      <c r="N106" s="197">
        <f t="shared" ref="N106:AP106" si="22">(N105-N102)/N102</f>
        <v>-0.13711611357842821</v>
      </c>
      <c r="O106" s="197">
        <f t="shared" si="22"/>
        <v>1.7888017539267715E-3</v>
      </c>
      <c r="P106" s="197">
        <f t="shared" si="22"/>
        <v>-8.1818109603007352E-2</v>
      </c>
      <c r="Q106" s="197">
        <f t="shared" si="22"/>
        <v>0.11058244695925266</v>
      </c>
      <c r="R106" s="197">
        <f t="shared" si="22"/>
        <v>0.12241778994480872</v>
      </c>
      <c r="S106" s="197">
        <f t="shared" si="22"/>
        <v>-0.13362899418782614</v>
      </c>
      <c r="T106" s="197">
        <f t="shared" si="22"/>
        <v>1.2788264624006125E-2</v>
      </c>
      <c r="U106" s="197">
        <f t="shared" si="22"/>
        <v>3.4212571001206941E-2</v>
      </c>
      <c r="V106" s="197">
        <f t="shared" si="22"/>
        <v>-3.9183353514199097E-2</v>
      </c>
      <c r="W106" s="197">
        <f t="shared" si="22"/>
        <v>-2.5537797831481114E-2</v>
      </c>
      <c r="X106" s="197">
        <f t="shared" si="22"/>
        <v>-0.12283611817921462</v>
      </c>
      <c r="Y106" s="197">
        <f t="shared" si="22"/>
        <v>-0.10503402969040618</v>
      </c>
      <c r="Z106" s="197">
        <f t="shared" si="22"/>
        <v>-8.39613726531835E-2</v>
      </c>
      <c r="AA106" s="197">
        <f t="shared" si="22"/>
        <v>7.7156903222171502E-2</v>
      </c>
      <c r="AB106" s="197">
        <f t="shared" si="22"/>
        <v>0.19531125075426672</v>
      </c>
      <c r="AC106" s="197">
        <f t="shared" si="22"/>
        <v>-9.4109317542217977E-2</v>
      </c>
      <c r="AD106" s="197">
        <f t="shared" si="22"/>
        <v>-3.1032985404694922E-2</v>
      </c>
      <c r="AE106" s="197">
        <f t="shared" si="22"/>
        <v>-6.7925149010234318E-2</v>
      </c>
      <c r="AF106" s="197">
        <f t="shared" si="22"/>
        <v>1.6941751729076155E-2</v>
      </c>
      <c r="AG106" s="197">
        <f t="shared" si="22"/>
        <v>9.0706079640733489E-2</v>
      </c>
      <c r="AH106" s="197">
        <f t="shared" si="22"/>
        <v>0.38199641710655552</v>
      </c>
      <c r="AI106" s="197">
        <f t="shared" si="22"/>
        <v>-0.10207596469592219</v>
      </c>
      <c r="AJ106" s="197">
        <f t="shared" si="22"/>
        <v>-5.7334878306737912E-2</v>
      </c>
      <c r="AK106" s="197">
        <f t="shared" si="22"/>
        <v>-3.0682284362219807E-2</v>
      </c>
      <c r="AL106" s="197">
        <f t="shared" si="22"/>
        <v>-7.7211643279982173E-2</v>
      </c>
      <c r="AM106" s="197">
        <f t="shared" si="22"/>
        <v>4.974920095991979E-2</v>
      </c>
      <c r="AN106" s="197">
        <f t="shared" si="22"/>
        <v>-0.13586509502481262</v>
      </c>
      <c r="AO106" s="197">
        <f t="shared" si="22"/>
        <v>-4.8858260080963091E-2</v>
      </c>
      <c r="AP106" s="197">
        <f t="shared" si="22"/>
        <v>-2.208001838311666E-3</v>
      </c>
      <c r="AQ106" s="170"/>
      <c r="AR106" s="158"/>
    </row>
    <row r="107" spans="2:44" s="6" customFormat="1" ht="13.8" x14ac:dyDescent="0.25">
      <c r="B107" s="9"/>
      <c r="C107" s="9"/>
      <c r="D107" s="9"/>
      <c r="E107" s="9"/>
      <c r="F107" s="9"/>
      <c r="G107" s="9"/>
      <c r="H107" s="15"/>
      <c r="I107" s="15"/>
      <c r="J107" s="9"/>
      <c r="K107" s="9"/>
      <c r="L107" s="181" t="s">
        <v>148</v>
      </c>
      <c r="M107" s="158">
        <f>IF(M106&lt;0,M105*M106+M105,M105)</f>
        <v>7501.3501050570567</v>
      </c>
      <c r="N107" s="158">
        <f t="shared" ref="N107:AP107" si="23">IF(N106&lt;0,N105*N106+N105,N105)</f>
        <v>9202.6667133218652</v>
      </c>
      <c r="O107" s="158">
        <f t="shared" si="23"/>
        <v>8939.2770645396995</v>
      </c>
      <c r="P107" s="158">
        <f t="shared" si="23"/>
        <v>6463.8664855423658</v>
      </c>
      <c r="Q107" s="158">
        <f t="shared" si="23"/>
        <v>1219.8113346747</v>
      </c>
      <c r="R107" s="158">
        <f t="shared" si="23"/>
        <v>13546.650368524</v>
      </c>
      <c r="S107" s="158">
        <f t="shared" si="23"/>
        <v>52698.694480495251</v>
      </c>
      <c r="T107" s="158">
        <f t="shared" si="23"/>
        <v>13432.0891176432</v>
      </c>
      <c r="U107" s="158">
        <f t="shared" si="23"/>
        <v>1901.09768247749</v>
      </c>
      <c r="V107" s="158">
        <f t="shared" si="23"/>
        <v>13353.602924902922</v>
      </c>
      <c r="W107" s="158">
        <f t="shared" si="23"/>
        <v>47429.834003243086</v>
      </c>
      <c r="X107" s="158">
        <f t="shared" si="23"/>
        <v>7123.5724400521203</v>
      </c>
      <c r="Y107" s="158">
        <f t="shared" si="23"/>
        <v>76054.965768360446</v>
      </c>
      <c r="Z107" s="158">
        <f t="shared" si="23"/>
        <v>4193.7912409511373</v>
      </c>
      <c r="AA107" s="158">
        <f t="shared" si="23"/>
        <v>10935.349152930299</v>
      </c>
      <c r="AB107" s="158">
        <f t="shared" si="23"/>
        <v>23896.888857679402</v>
      </c>
      <c r="AC107" s="158">
        <f t="shared" si="23"/>
        <v>804.92893380060696</v>
      </c>
      <c r="AD107" s="158">
        <f t="shared" si="23"/>
        <v>51265.319678092492</v>
      </c>
      <c r="AE107" s="158">
        <f t="shared" si="23"/>
        <v>4866.7084291084157</v>
      </c>
      <c r="AF107" s="158">
        <f t="shared" si="23"/>
        <v>785.60421637702598</v>
      </c>
      <c r="AG107" s="158">
        <f t="shared" si="23"/>
        <v>2817.9501289875798</v>
      </c>
      <c r="AH107" s="158">
        <f t="shared" si="23"/>
        <v>288.65060068535001</v>
      </c>
      <c r="AI107" s="158">
        <f t="shared" si="23"/>
        <v>19291.84327092172</v>
      </c>
      <c r="AJ107" s="158">
        <f t="shared" si="23"/>
        <v>5793.8591559146162</v>
      </c>
      <c r="AK107" s="158">
        <f t="shared" si="23"/>
        <v>37522.273601769659</v>
      </c>
      <c r="AL107" s="158">
        <f t="shared" si="23"/>
        <v>11318.993114636143</v>
      </c>
      <c r="AM107" s="158">
        <f t="shared" si="23"/>
        <v>25698.377589567899</v>
      </c>
      <c r="AN107" s="158">
        <f t="shared" si="23"/>
        <v>6624.2501933737212</v>
      </c>
      <c r="AO107" s="158">
        <f t="shared" si="23"/>
        <v>2132.6889277754312</v>
      </c>
      <c r="AP107" s="158">
        <f t="shared" si="23"/>
        <v>4305.740314297047</v>
      </c>
      <c r="AQ107" s="158"/>
      <c r="AR107" s="158">
        <f t="shared" si="14"/>
        <v>464946.82941016037</v>
      </c>
    </row>
    <row r="108" spans="2:44" s="6" customFormat="1" ht="13.8" x14ac:dyDescent="0.25">
      <c r="B108" s="9"/>
      <c r="C108" s="9"/>
      <c r="D108" s="9"/>
      <c r="E108" s="9"/>
      <c r="F108" s="9"/>
      <c r="G108" s="9"/>
      <c r="H108" s="15"/>
      <c r="I108" s="15"/>
      <c r="J108" s="9"/>
      <c r="K108" s="9"/>
      <c r="L108" s="9"/>
      <c r="M108" s="158"/>
      <c r="N108" s="158"/>
      <c r="O108" s="158"/>
      <c r="P108" s="158"/>
      <c r="Q108" s="158"/>
      <c r="R108" s="158"/>
      <c r="S108" s="158"/>
      <c r="T108" s="158"/>
      <c r="U108" s="158"/>
      <c r="V108" s="159"/>
      <c r="W108" s="158"/>
      <c r="X108" s="158"/>
      <c r="Y108" s="158"/>
      <c r="Z108" s="158"/>
      <c r="AA108" s="158"/>
      <c r="AB108" s="158"/>
      <c r="AC108" s="158"/>
      <c r="AD108" s="158"/>
      <c r="AE108" s="158"/>
      <c r="AF108" s="158"/>
      <c r="AG108" s="158"/>
      <c r="AH108" s="158"/>
      <c r="AI108" s="158"/>
      <c r="AJ108" s="158"/>
      <c r="AK108" s="158"/>
      <c r="AL108" s="158"/>
      <c r="AM108" s="158"/>
      <c r="AN108" s="158"/>
      <c r="AO108" s="158"/>
      <c r="AP108" s="158"/>
      <c r="AQ108" s="158"/>
      <c r="AR108" s="198"/>
    </row>
    <row r="109" spans="2:44" s="6" customFormat="1" ht="13.8" x14ac:dyDescent="0.25">
      <c r="B109" s="9"/>
      <c r="C109" s="9"/>
      <c r="D109" s="9"/>
      <c r="E109" s="9"/>
      <c r="F109" s="9"/>
      <c r="G109" s="9"/>
      <c r="H109" s="15"/>
      <c r="I109" s="15"/>
      <c r="J109" s="9"/>
      <c r="K109" s="9"/>
      <c r="L109" s="9"/>
      <c r="M109" s="158"/>
      <c r="N109" s="158"/>
      <c r="O109" s="158"/>
      <c r="P109" s="158"/>
      <c r="Q109" s="158"/>
      <c r="R109" s="158"/>
      <c r="S109" s="158"/>
      <c r="T109" s="158"/>
      <c r="U109" s="158"/>
      <c r="V109" s="159"/>
      <c r="W109" s="158"/>
      <c r="X109" s="158"/>
      <c r="Y109" s="158"/>
      <c r="Z109" s="158"/>
      <c r="AA109" s="158"/>
      <c r="AB109" s="158"/>
      <c r="AC109" s="158"/>
      <c r="AD109" s="158"/>
      <c r="AE109" s="158"/>
      <c r="AF109" s="158"/>
      <c r="AG109" s="158"/>
      <c r="AH109" s="158"/>
      <c r="AI109" s="158"/>
      <c r="AJ109" s="158"/>
      <c r="AK109" s="158"/>
      <c r="AL109" s="158"/>
      <c r="AM109" s="158"/>
      <c r="AN109" s="158"/>
      <c r="AO109" s="158"/>
      <c r="AP109" s="158"/>
      <c r="AQ109" s="158"/>
      <c r="AR109" s="198"/>
    </row>
    <row r="110" spans="2:44" s="9" customFormat="1" x14ac:dyDescent="0.25">
      <c r="I110" s="122"/>
      <c r="J110" s="122" t="s">
        <v>119</v>
      </c>
      <c r="K110" s="122" t="s">
        <v>115</v>
      </c>
      <c r="L110" s="132">
        <v>2010</v>
      </c>
      <c r="M110" s="176">
        <v>71015.153002955063</v>
      </c>
      <c r="N110" s="176">
        <v>100557.27221682183</v>
      </c>
      <c r="O110" s="176">
        <v>24735.198983831764</v>
      </c>
      <c r="P110" s="176"/>
      <c r="Q110" s="176">
        <v>4657.6549102622221</v>
      </c>
      <c r="R110" s="176">
        <v>74977.133662205437</v>
      </c>
      <c r="S110" s="176">
        <v>572467.91174161981</v>
      </c>
      <c r="T110" s="176">
        <v>34305.081577305631</v>
      </c>
      <c r="U110" s="176">
        <v>5611.4002805785321</v>
      </c>
      <c r="V110" s="176">
        <v>51284.834538576491</v>
      </c>
      <c r="W110" s="176">
        <v>231223.055821585</v>
      </c>
      <c r="X110" s="176">
        <v>22860</v>
      </c>
      <c r="Y110" s="176">
        <v>402329.17472485849</v>
      </c>
      <c r="Z110" s="176">
        <v>18907.068574400575</v>
      </c>
      <c r="AA110" s="176">
        <v>49711.703000742695</v>
      </c>
      <c r="AB110" s="176">
        <v>38576.674996461872</v>
      </c>
      <c r="AC110" s="176"/>
      <c r="AD110" s="176">
        <v>375672.26545349648</v>
      </c>
      <c r="AE110" s="176">
        <v>12001.696532868309</v>
      </c>
      <c r="AF110" s="176">
        <v>16259.646440840086</v>
      </c>
      <c r="AG110" s="176">
        <v>8871.516479042346</v>
      </c>
      <c r="AH110" s="176">
        <v>1188.3236938805633</v>
      </c>
      <c r="AI110" s="176">
        <v>154319.2880618764</v>
      </c>
      <c r="AJ110" s="176"/>
      <c r="AK110" s="176">
        <v>243492.40046625651</v>
      </c>
      <c r="AL110" s="176">
        <v>43745.268529018744</v>
      </c>
      <c r="AM110" s="176">
        <v>62669.392939989055</v>
      </c>
      <c r="AN110" s="176">
        <v>42192.834137324469</v>
      </c>
      <c r="AO110" s="176">
        <v>13680.589657569653</v>
      </c>
      <c r="AP110" s="176">
        <v>33008.174132715299</v>
      </c>
      <c r="AQ110" s="176">
        <v>444289.03166109126</v>
      </c>
      <c r="AR110" s="198"/>
    </row>
    <row r="111" spans="2:44" s="9" customFormat="1" x14ac:dyDescent="0.25">
      <c r="I111" s="131"/>
      <c r="J111" s="131"/>
      <c r="K111" s="126"/>
      <c r="L111" s="132">
        <v>2020</v>
      </c>
      <c r="M111" s="176">
        <v>35507.576501477532</v>
      </c>
      <c r="N111" s="176">
        <v>50278.636108410916</v>
      </c>
      <c r="O111" s="176">
        <v>12367.599491915882</v>
      </c>
      <c r="P111" s="176"/>
      <c r="Q111" s="176">
        <v>2328.827455131111</v>
      </c>
      <c r="R111" s="176">
        <v>37488.566831102718</v>
      </c>
      <c r="S111" s="176">
        <v>286233.95587080991</v>
      </c>
      <c r="T111" s="176">
        <v>17152.540788652816</v>
      </c>
      <c r="U111" s="176">
        <v>2805.7001402892661</v>
      </c>
      <c r="V111" s="176">
        <v>25642.417269288246</v>
      </c>
      <c r="W111" s="176">
        <v>115611.5279107925</v>
      </c>
      <c r="X111" s="176">
        <v>18800</v>
      </c>
      <c r="Y111" s="176">
        <v>201164.58736242924</v>
      </c>
      <c r="Z111" s="176">
        <v>9453.5342872002875</v>
      </c>
      <c r="AA111" s="176">
        <v>24855.851500371347</v>
      </c>
      <c r="AB111" s="176">
        <v>19288.337498230936</v>
      </c>
      <c r="AC111" s="176"/>
      <c r="AD111" s="176">
        <v>187836.13272674824</v>
      </c>
      <c r="AE111" s="176">
        <v>6000.8482664341545</v>
      </c>
      <c r="AF111" s="176">
        <v>8129.8232204200431</v>
      </c>
      <c r="AG111" s="176">
        <v>4435.758239521173</v>
      </c>
      <c r="AH111" s="176">
        <v>594.16184694028163</v>
      </c>
      <c r="AI111" s="176">
        <v>77159.644030938201</v>
      </c>
      <c r="AJ111" s="176"/>
      <c r="AK111" s="176">
        <v>121746.20023312826</v>
      </c>
      <c r="AL111" s="176">
        <v>21872.634264509372</v>
      </c>
      <c r="AM111" s="176">
        <v>31334.696469994527</v>
      </c>
      <c r="AN111" s="176">
        <v>21096.417068662235</v>
      </c>
      <c r="AO111" s="176">
        <v>6840.2948287848267</v>
      </c>
      <c r="AP111" s="176">
        <v>16504.08706635765</v>
      </c>
      <c r="AQ111" s="176">
        <v>222144.51583054563</v>
      </c>
      <c r="AR111" s="198"/>
    </row>
    <row r="112" spans="2:44" x14ac:dyDescent="0.25">
      <c r="I112" s="131"/>
      <c r="J112" s="131"/>
      <c r="K112" s="126"/>
      <c r="L112" s="132">
        <v>2021</v>
      </c>
      <c r="M112" s="175"/>
      <c r="N112" s="175"/>
      <c r="O112" s="175"/>
      <c r="P112" s="175"/>
      <c r="Q112" s="175"/>
      <c r="R112" s="175"/>
      <c r="S112" s="175"/>
      <c r="T112" s="175"/>
      <c r="U112" s="175"/>
      <c r="V112" s="175"/>
      <c r="W112" s="175"/>
      <c r="X112" s="175"/>
      <c r="Y112" s="175"/>
      <c r="Z112" s="175"/>
      <c r="AA112" s="175"/>
      <c r="AB112" s="175"/>
      <c r="AC112" s="187">
        <f>2876.15</f>
        <v>2876.15</v>
      </c>
      <c r="AD112" s="175"/>
      <c r="AE112" s="175"/>
      <c r="AF112" s="175"/>
      <c r="AG112" s="175"/>
      <c r="AH112" s="175"/>
      <c r="AI112" s="175"/>
      <c r="AJ112" s="187">
        <f>25164.459</f>
        <v>25164.458999999999</v>
      </c>
      <c r="AK112" s="175"/>
      <c r="AL112" s="175"/>
      <c r="AM112" s="175"/>
      <c r="AN112" s="175"/>
      <c r="AO112" s="175"/>
      <c r="AP112" s="175"/>
      <c r="AQ112" s="175"/>
      <c r="AR112" s="199"/>
    </row>
    <row r="113" spans="2:44" s="9" customFormat="1" x14ac:dyDescent="0.25">
      <c r="I113" s="131"/>
      <c r="J113" s="131"/>
      <c r="K113" s="131"/>
      <c r="L113" s="124">
        <v>2025</v>
      </c>
      <c r="M113" s="176">
        <v>31534.839076945056</v>
      </c>
      <c r="N113" s="176">
        <v>43279.818047535213</v>
      </c>
      <c r="O113" s="176">
        <v>10824.703588209808</v>
      </c>
      <c r="P113" s="176"/>
      <c r="Q113" s="176">
        <v>2079.8375637862528</v>
      </c>
      <c r="R113" s="176">
        <v>35345.336301687879</v>
      </c>
      <c r="S113" s="176">
        <v>245941.15807989007</v>
      </c>
      <c r="T113" s="176">
        <v>13657.380365550123</v>
      </c>
      <c r="U113" s="176">
        <v>2777.1363977382412</v>
      </c>
      <c r="V113" s="176">
        <v>23920.10584414635</v>
      </c>
      <c r="W113" s="176">
        <v>113569.41775089843</v>
      </c>
      <c r="X113" s="176">
        <v>15210</v>
      </c>
      <c r="Y113" s="176">
        <v>170164.20418919701</v>
      </c>
      <c r="Z113" s="176">
        <v>8980.1587859876472</v>
      </c>
      <c r="AA113" s="176">
        <v>27836.446798442663</v>
      </c>
      <c r="AB113" s="176">
        <v>14218.466190600964</v>
      </c>
      <c r="AC113" s="160">
        <f>2583.522</f>
        <v>2583.5219999999999</v>
      </c>
      <c r="AD113" s="176">
        <v>173338.43508065317</v>
      </c>
      <c r="AE113" s="176">
        <v>6152.3231141785982</v>
      </c>
      <c r="AF113" s="176">
        <v>5402.7868448869904</v>
      </c>
      <c r="AG113" s="176">
        <v>4658.7688438321265</v>
      </c>
      <c r="AH113" s="176">
        <v>570.03531462861497</v>
      </c>
      <c r="AI113" s="176">
        <v>59753.823001393816</v>
      </c>
      <c r="AJ113" s="160">
        <f>21693.677</f>
        <v>21693.677</v>
      </c>
      <c r="AK113" s="176">
        <v>109074.80205492265</v>
      </c>
      <c r="AL113" s="176">
        <v>21526.496505318995</v>
      </c>
      <c r="AM113" s="176">
        <v>35314.473910984038</v>
      </c>
      <c r="AN113" s="176">
        <v>17785.198108727687</v>
      </c>
      <c r="AO113" s="176">
        <v>6720.014017012234</v>
      </c>
      <c r="AP113" s="176">
        <v>13059.95703806967</v>
      </c>
      <c r="AQ113" s="176"/>
      <c r="AR113" s="198"/>
    </row>
    <row r="114" spans="2:44" s="9" customFormat="1" x14ac:dyDescent="0.25">
      <c r="L114" s="132">
        <v>2027</v>
      </c>
      <c r="M114" s="188">
        <f>(M$115-M$113)/($L$72-$L$113)*($L$114-$L$113)+M$113</f>
        <v>30109.774537781628</v>
      </c>
      <c r="N114" s="188">
        <f>(N$115-N$113)/($L$72-$L$113)*($L$114-$L$113)+N$113</f>
        <v>40397.324506538294</v>
      </c>
      <c r="O114" s="188">
        <f>(O$115-O$113)/($L$72-$L$113)*($L$114-$L$113)+O$113</f>
        <v>10409.622670604411</v>
      </c>
      <c r="P114" s="188"/>
      <c r="Q114" s="188">
        <f t="shared" ref="Q114:AB114" si="24">(Q$115-Q$113)/($L$72-$L$113)*($L$114-$L$113)+Q$113</f>
        <v>2003.2553661471895</v>
      </c>
      <c r="R114" s="188">
        <f t="shared" si="24"/>
        <v>33156.828898339649</v>
      </c>
      <c r="S114" s="188">
        <f t="shared" si="24"/>
        <v>230593.78598978379</v>
      </c>
      <c r="T114" s="188">
        <f t="shared" si="24"/>
        <v>12289.311189450849</v>
      </c>
      <c r="U114" s="188">
        <f t="shared" si="24"/>
        <v>2830.6531493885509</v>
      </c>
      <c r="V114" s="188">
        <f t="shared" si="24"/>
        <v>21858.433358889826</v>
      </c>
      <c r="W114" s="188">
        <f t="shared" si="24"/>
        <v>105117.53381631101</v>
      </c>
      <c r="X114" s="188">
        <f t="shared" si="24"/>
        <v>13726</v>
      </c>
      <c r="Y114" s="188">
        <f t="shared" si="24"/>
        <v>157402.85015936842</v>
      </c>
      <c r="Z114" s="188">
        <f t="shared" si="24"/>
        <v>8634.3944349161429</v>
      </c>
      <c r="AA114" s="188">
        <f t="shared" si="24"/>
        <v>25986.087544115715</v>
      </c>
      <c r="AB114" s="188">
        <f t="shared" si="24"/>
        <v>12376.853119988336</v>
      </c>
      <c r="AC114" s="189">
        <f>2437.208</f>
        <v>2437.2080000000001</v>
      </c>
      <c r="AD114" s="188">
        <f t="shared" ref="AD114:AI114" si="25">(AD$115-AD$113)/($L$72-$L$113)*($L$114-$L$113)+AD$113</f>
        <v>160232.62434120776</v>
      </c>
      <c r="AE114" s="188">
        <f t="shared" si="25"/>
        <v>5752.4100210918868</v>
      </c>
      <c r="AF114" s="188">
        <f t="shared" si="25"/>
        <v>4813.9349614773209</v>
      </c>
      <c r="AG114" s="188">
        <f t="shared" si="25"/>
        <v>4443.8339173179829</v>
      </c>
      <c r="AH114" s="188">
        <f t="shared" si="25"/>
        <v>561.53197526867621</v>
      </c>
      <c r="AI114" s="188">
        <f t="shared" si="25"/>
        <v>55379.332692972624</v>
      </c>
      <c r="AJ114" s="189">
        <f>19958.287</f>
        <v>19958.287</v>
      </c>
      <c r="AK114" s="188">
        <f t="shared" ref="AK114:AP114" si="26">(AK$115-AK$113)/($L$72-$L$113)*($L$114-$L$113)+AK$113</f>
        <v>99082.619643571161</v>
      </c>
      <c r="AL114" s="188">
        <f t="shared" si="26"/>
        <v>19925.106360176458</v>
      </c>
      <c r="AM114" s="188">
        <f t="shared" si="26"/>
        <v>35049.383445481501</v>
      </c>
      <c r="AN114" s="188">
        <f t="shared" si="26"/>
        <v>16324.901280550317</v>
      </c>
      <c r="AO114" s="188">
        <f t="shared" si="26"/>
        <v>6251.8214250951642</v>
      </c>
      <c r="AP114" s="188">
        <f t="shared" si="26"/>
        <v>12621.013160809953</v>
      </c>
      <c r="AQ114" s="188">
        <v>202495.17921024098</v>
      </c>
      <c r="AR114" s="198"/>
    </row>
    <row r="115" spans="2:44" s="6" customFormat="1" ht="13.8" x14ac:dyDescent="0.25">
      <c r="B115" s="9"/>
      <c r="C115" s="9"/>
      <c r="D115" s="9"/>
      <c r="E115" s="9"/>
      <c r="F115" s="9"/>
      <c r="G115" s="9"/>
      <c r="H115" s="15"/>
      <c r="I115" s="15"/>
      <c r="J115" s="9"/>
      <c r="K115" s="9"/>
      <c r="L115" s="132">
        <v>2030</v>
      </c>
      <c r="M115" s="176">
        <v>27972.177729036488</v>
      </c>
      <c r="N115" s="176">
        <v>36073.584195042909</v>
      </c>
      <c r="O115" s="176">
        <v>9787.0012941963159</v>
      </c>
      <c r="P115" s="176"/>
      <c r="Q115" s="176">
        <v>1888.3820696885948</v>
      </c>
      <c r="R115" s="176">
        <v>29874.067793317296</v>
      </c>
      <c r="S115" s="176">
        <v>207572.72785462436</v>
      </c>
      <c r="T115" s="176">
        <v>10237.20742530194</v>
      </c>
      <c r="U115" s="176">
        <v>2910.9282768640151</v>
      </c>
      <c r="V115" s="176">
        <v>18765.92463100504</v>
      </c>
      <c r="W115" s="176">
        <v>92439.707914429906</v>
      </c>
      <c r="X115" s="176">
        <v>11500</v>
      </c>
      <c r="Y115" s="176">
        <v>138260.81911462551</v>
      </c>
      <c r="Z115" s="176">
        <v>8115.7479083088883</v>
      </c>
      <c r="AA115" s="176">
        <v>23210.54866262529</v>
      </c>
      <c r="AB115" s="176">
        <v>9614.4335140693929</v>
      </c>
      <c r="AC115" s="160">
        <f>2217.736</f>
        <v>2217.7359999999999</v>
      </c>
      <c r="AD115" s="176">
        <v>140573.90823203963</v>
      </c>
      <c r="AE115" s="176">
        <v>5152.5403814618203</v>
      </c>
      <c r="AF115" s="176">
        <v>3930.6571363628173</v>
      </c>
      <c r="AG115" s="176">
        <v>4121.431527546767</v>
      </c>
      <c r="AH115" s="176">
        <v>548.77696622876795</v>
      </c>
      <c r="AI115" s="176">
        <v>48817.597230340834</v>
      </c>
      <c r="AJ115" s="160">
        <f>17355.2</f>
        <v>17355.2</v>
      </c>
      <c r="AK115" s="176">
        <v>84094.346026543935</v>
      </c>
      <c r="AL115" s="176">
        <v>17523.02114246265</v>
      </c>
      <c r="AM115" s="176">
        <v>34651.747747227695</v>
      </c>
      <c r="AN115" s="176">
        <v>14134.456038284261</v>
      </c>
      <c r="AO115" s="176">
        <v>5549.5325372195603</v>
      </c>
      <c r="AP115" s="176">
        <v>11962.597344920376</v>
      </c>
      <c r="AQ115" s="176">
        <v>194956.35371872122</v>
      </c>
      <c r="AR115" s="198"/>
    </row>
    <row r="116" spans="2:44" s="6" customFormat="1" ht="13.8" x14ac:dyDescent="0.25">
      <c r="B116" s="9"/>
      <c r="C116" s="9"/>
      <c r="D116" s="9"/>
      <c r="E116" s="9"/>
      <c r="F116" s="9"/>
      <c r="G116" s="9"/>
      <c r="H116" s="15"/>
      <c r="I116" s="15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17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Q116" s="9"/>
      <c r="AR116" s="198"/>
    </row>
    <row r="117" spans="2:44" s="6" customFormat="1" ht="13.8" x14ac:dyDescent="0.25">
      <c r="B117" s="9"/>
      <c r="C117" s="9"/>
      <c r="D117" s="9"/>
      <c r="E117" s="9"/>
      <c r="F117" s="9"/>
      <c r="G117" s="9"/>
      <c r="H117" s="15"/>
      <c r="I117" s="15"/>
      <c r="J117" s="9"/>
      <c r="K117" s="9" t="s">
        <v>120</v>
      </c>
      <c r="L117" s="9">
        <v>2010</v>
      </c>
      <c r="M117" s="190">
        <f>M110-M88</f>
        <v>26914.478279611365</v>
      </c>
      <c r="N117" s="190">
        <f t="shared" ref="N117:AQ117" si="27">N110-N88</f>
        <v>28965.932860842426</v>
      </c>
      <c r="O117" s="190">
        <f t="shared" si="27"/>
        <v>11978.301058457864</v>
      </c>
      <c r="P117" s="190">
        <f t="shared" si="27"/>
        <v>-38619.555838735097</v>
      </c>
      <c r="Q117" s="190">
        <f t="shared" si="27"/>
        <v>1026.4393518987422</v>
      </c>
      <c r="R117" s="190">
        <f t="shared" si="27"/>
        <v>31704.473693368236</v>
      </c>
      <c r="S117" s="190">
        <f t="shared" si="27"/>
        <v>146288.7530026398</v>
      </c>
      <c r="T117" s="190">
        <f t="shared" si="27"/>
        <v>9473.7907826362316</v>
      </c>
      <c r="U117" s="190">
        <f t="shared" si="27"/>
        <v>1994.2450300346823</v>
      </c>
      <c r="V117" s="190">
        <f t="shared" si="27"/>
        <v>13071.735492067193</v>
      </c>
      <c r="W117" s="190">
        <f t="shared" si="27"/>
        <v>50123.172474429011</v>
      </c>
      <c r="X117" s="190">
        <f t="shared" si="27"/>
        <v>-5464.8032672820009</v>
      </c>
      <c r="Y117" s="190">
        <f t="shared" si="27"/>
        <v>116752.72780475748</v>
      </c>
      <c r="Z117" s="190">
        <f t="shared" si="27"/>
        <v>6550.6938108925751</v>
      </c>
      <c r="AA117" s="190">
        <f t="shared" si="27"/>
        <v>20835.445154030695</v>
      </c>
      <c r="AB117" s="190">
        <f t="shared" si="27"/>
        <v>12074.955585603271</v>
      </c>
      <c r="AC117" s="190">
        <f t="shared" si="27"/>
        <v>-1774.63387051222</v>
      </c>
      <c r="AD117" s="190">
        <f t="shared" si="27"/>
        <v>103571.06875577249</v>
      </c>
      <c r="AE117" s="190">
        <f t="shared" si="27"/>
        <v>5053.7790814319987</v>
      </c>
      <c r="AF117" s="190">
        <f t="shared" si="27"/>
        <v>6864.5263274265053</v>
      </c>
      <c r="AG117" s="190">
        <f t="shared" si="27"/>
        <v>3108.3366187146457</v>
      </c>
      <c r="AH117" s="190">
        <f t="shared" si="27"/>
        <v>454.35866835872832</v>
      </c>
      <c r="AI117" s="190">
        <f t="shared" si="27"/>
        <v>46590.470710086403</v>
      </c>
      <c r="AJ117" s="190">
        <f t="shared" si="27"/>
        <v>-19538.283485086398</v>
      </c>
      <c r="AK117" s="190">
        <f t="shared" si="27"/>
        <v>103022.47057293353</v>
      </c>
      <c r="AL117" s="190">
        <f t="shared" si="27"/>
        <v>11238.436095269044</v>
      </c>
      <c r="AM117" s="190">
        <f t="shared" si="27"/>
        <v>24670.990023992454</v>
      </c>
      <c r="AN117" s="190">
        <f t="shared" si="27"/>
        <v>9663.9962163621676</v>
      </c>
      <c r="AO117" s="190">
        <f t="shared" si="27"/>
        <v>4447.0840118156539</v>
      </c>
      <c r="AP117" s="190">
        <f t="shared" si="27"/>
        <v>11644.686112000101</v>
      </c>
      <c r="AQ117" s="190">
        <f t="shared" si="27"/>
        <v>444289.03166109126</v>
      </c>
      <c r="AR117" s="198"/>
    </row>
    <row r="118" spans="2:44" s="6" customFormat="1" ht="13.8" x14ac:dyDescent="0.25">
      <c r="B118" s="9"/>
      <c r="C118" s="9"/>
      <c r="D118" s="9"/>
      <c r="E118" s="9"/>
      <c r="F118" s="9"/>
      <c r="G118" s="9"/>
      <c r="H118" s="15"/>
      <c r="I118" s="15"/>
      <c r="J118" s="9"/>
      <c r="K118" s="9"/>
      <c r="L118" s="9">
        <v>2020</v>
      </c>
      <c r="M118" s="190">
        <f>M111-M90</f>
        <v>-8018.0522335161659</v>
      </c>
      <c r="N118" s="190">
        <f t="shared" ref="N118:AQ118" si="28">N111-N90</f>
        <v>-12602.456344498481</v>
      </c>
      <c r="O118" s="190">
        <f t="shared" si="28"/>
        <v>-2863.9960144591187</v>
      </c>
      <c r="P118" s="190">
        <f t="shared" si="28"/>
        <v>-31076.312042129699</v>
      </c>
      <c r="Q118" s="190">
        <f t="shared" si="28"/>
        <v>-911.48372727149899</v>
      </c>
      <c r="R118" s="190">
        <f t="shared" si="28"/>
        <v>-2821.0914484961831</v>
      </c>
      <c r="S118" s="190">
        <f t="shared" si="28"/>
        <v>-122090.35591991007</v>
      </c>
      <c r="T118" s="190">
        <f t="shared" si="28"/>
        <v>-4643.5158370825848</v>
      </c>
      <c r="U118" s="190">
        <f t="shared" si="28"/>
        <v>-994.33839640005408</v>
      </c>
      <c r="V118" s="190">
        <f t="shared" si="28"/>
        <v>-1836.2903078009549</v>
      </c>
      <c r="W118" s="190">
        <f t="shared" si="28"/>
        <v>-54582.003393355495</v>
      </c>
      <c r="X118" s="190">
        <f t="shared" si="28"/>
        <v>-3101.0057527376011</v>
      </c>
      <c r="Y118" s="190">
        <f t="shared" si="28"/>
        <v>-46062.11621227875</v>
      </c>
      <c r="Z118" s="190">
        <f t="shared" si="28"/>
        <v>-2111.3110042939134</v>
      </c>
      <c r="AA118" s="190">
        <f t="shared" si="28"/>
        <v>-6369.1213542015539</v>
      </c>
      <c r="AB118" s="190">
        <f t="shared" si="28"/>
        <v>-6123.7246685561622</v>
      </c>
      <c r="AC118" s="190">
        <f t="shared" si="28"/>
        <v>-1631.4797574469801</v>
      </c>
      <c r="AD118" s="190">
        <f t="shared" si="28"/>
        <v>-40670.188939186744</v>
      </c>
      <c r="AE118" s="190">
        <f t="shared" si="28"/>
        <v>-2781.981483804856</v>
      </c>
      <c r="AF118" s="190">
        <f t="shared" si="28"/>
        <v>-814.62126144428657</v>
      </c>
      <c r="AG118" s="190">
        <f t="shared" si="28"/>
        <v>-755.21142789665737</v>
      </c>
      <c r="AH118" s="190">
        <f t="shared" si="28"/>
        <v>-309.88854740383738</v>
      </c>
      <c r="AI118" s="190">
        <f t="shared" si="28"/>
        <v>-11372.902778372998</v>
      </c>
      <c r="AJ118" s="190">
        <f t="shared" si="28"/>
        <v>-17024.677955348699</v>
      </c>
      <c r="AK118" s="190">
        <f t="shared" si="28"/>
        <v>-21182.336843833749</v>
      </c>
      <c r="AL118" s="190">
        <f t="shared" si="28"/>
        <v>-7067.2682126883265</v>
      </c>
      <c r="AM118" s="190">
        <f t="shared" si="28"/>
        <v>-11545.528302378476</v>
      </c>
      <c r="AN118" s="190">
        <f t="shared" si="28"/>
        <v>-4137.2104951091642</v>
      </c>
      <c r="AO118" s="190">
        <f t="shared" si="28"/>
        <v>-1630.9363487490027</v>
      </c>
      <c r="AP118" s="190">
        <f t="shared" si="28"/>
        <v>-2366.8135826290491</v>
      </c>
      <c r="AQ118" s="190">
        <f t="shared" si="28"/>
        <v>222144.51583054563</v>
      </c>
      <c r="AR118" s="198"/>
    </row>
    <row r="119" spans="2:44" s="6" customFormat="1" ht="13.8" x14ac:dyDescent="0.25">
      <c r="B119" s="9"/>
      <c r="C119" s="9"/>
      <c r="D119" s="9"/>
      <c r="E119" s="9"/>
      <c r="F119" s="9"/>
      <c r="G119" s="9"/>
      <c r="H119" s="15"/>
      <c r="I119" s="15"/>
      <c r="J119" s="9"/>
      <c r="K119" s="9"/>
      <c r="L119" s="9">
        <v>2021</v>
      </c>
      <c r="M119" s="9"/>
      <c r="N119" s="9"/>
      <c r="O119" s="9"/>
      <c r="P119" s="9"/>
      <c r="Q119" s="9"/>
      <c r="R119" s="9"/>
      <c r="S119" s="9"/>
      <c r="T119" s="9"/>
      <c r="U119" s="9"/>
      <c r="V119" s="17"/>
      <c r="W119" s="9"/>
      <c r="X119" s="9"/>
      <c r="Y119" s="9"/>
      <c r="Z119" s="9"/>
      <c r="AA119" s="9"/>
      <c r="AB119" s="9"/>
      <c r="AC119" s="190">
        <f>AC112-AC91</f>
        <v>1332.7047941800101</v>
      </c>
      <c r="AD119" s="9"/>
      <c r="AE119" s="9"/>
      <c r="AF119" s="9"/>
      <c r="AG119" s="9"/>
      <c r="AH119" s="9"/>
      <c r="AI119" s="9"/>
      <c r="AJ119" s="190">
        <f>AJ112-AJ91</f>
        <v>8178.0780382146004</v>
      </c>
      <c r="AK119" s="9"/>
      <c r="AL119" s="9"/>
      <c r="AM119" s="9"/>
      <c r="AN119" s="9"/>
      <c r="AQ119" s="9"/>
      <c r="AR119" s="198"/>
    </row>
    <row r="120" spans="2:44" s="6" customFormat="1" ht="13.8" x14ac:dyDescent="0.25">
      <c r="B120" s="9"/>
      <c r="C120" s="9"/>
      <c r="D120" s="9"/>
      <c r="E120" s="9"/>
      <c r="F120" s="9"/>
      <c r="G120" s="9"/>
      <c r="H120" s="15"/>
      <c r="I120" s="15"/>
      <c r="J120" s="9"/>
      <c r="K120" s="9"/>
      <c r="L120" s="9">
        <v>2030</v>
      </c>
      <c r="M120" s="190">
        <f>M115-M75</f>
        <v>4079.2812182780326</v>
      </c>
      <c r="N120" s="190">
        <f t="shared" ref="N120:AQ120" si="29">N115-N75</f>
        <v>-1926.5347221781121</v>
      </c>
      <c r="O120" s="190">
        <f t="shared" si="29"/>
        <v>-4936.3043049878161</v>
      </c>
      <c r="P120" s="190">
        <f t="shared" si="29"/>
        <v>-41031.554090016136</v>
      </c>
      <c r="Q120" s="190">
        <f t="shared" si="29"/>
        <v>-103.91563956787854</v>
      </c>
      <c r="R120" s="190">
        <f t="shared" si="29"/>
        <v>-3362.4927016336551</v>
      </c>
      <c r="S120" s="190">
        <f t="shared" si="29"/>
        <v>5384.4344077206042</v>
      </c>
      <c r="T120" s="190">
        <f t="shared" si="29"/>
        <v>2949.7721187994393</v>
      </c>
      <c r="U120" s="190">
        <f t="shared" si="29"/>
        <v>436.58066472384235</v>
      </c>
      <c r="V120" s="190">
        <f t="shared" si="29"/>
        <v>-15416.084076632727</v>
      </c>
      <c r="W120" s="190">
        <f t="shared" si="29"/>
        <v>-23800.963853294117</v>
      </c>
      <c r="X120" s="190">
        <f t="shared" si="29"/>
        <v>-1662.2640242647285</v>
      </c>
      <c r="Y120" s="190">
        <f t="shared" si="29"/>
        <v>-2975.419340391265</v>
      </c>
      <c r="Z120" s="190">
        <f t="shared" si="29"/>
        <v>-3157.0928590512676</v>
      </c>
      <c r="AA120" s="190">
        <f t="shared" si="29"/>
        <v>-2884.4988870086163</v>
      </c>
      <c r="AB120" s="190">
        <f t="shared" si="29"/>
        <v>3557.1197762033826</v>
      </c>
      <c r="AC120" s="190">
        <f t="shared" si="29"/>
        <v>921.50471023937871</v>
      </c>
      <c r="AD120" s="190">
        <f t="shared" si="29"/>
        <v>-18512.719267836947</v>
      </c>
      <c r="AE120" s="190">
        <f t="shared" si="29"/>
        <v>-146.52956984611228</v>
      </c>
      <c r="AF120" s="190">
        <f t="shared" si="29"/>
        <v>-782.53843333325676</v>
      </c>
      <c r="AG120" s="190">
        <f t="shared" si="29"/>
        <v>-59.112816675999966</v>
      </c>
      <c r="AH120" s="190">
        <f t="shared" si="29"/>
        <v>48.925913131459083</v>
      </c>
      <c r="AI120" s="190">
        <f t="shared" si="29"/>
        <v>773.65520324598765</v>
      </c>
      <c r="AJ120" s="190">
        <f t="shared" si="29"/>
        <v>7707.1346718330569</v>
      </c>
      <c r="AK120" s="190">
        <f t="shared" si="29"/>
        <v>-20225.571602893047</v>
      </c>
      <c r="AL120" s="190">
        <f t="shared" si="29"/>
        <v>-7936.2033850375046</v>
      </c>
      <c r="AM120" s="190">
        <f t="shared" si="29"/>
        <v>-992.52134100437252</v>
      </c>
      <c r="AN120" s="190">
        <f t="shared" si="29"/>
        <v>-2342.5138481362665</v>
      </c>
      <c r="AO120" s="190">
        <f t="shared" si="29"/>
        <v>-1243.5345986409848</v>
      </c>
      <c r="AP120" s="190">
        <f t="shared" si="29"/>
        <v>-4922.4473135800963</v>
      </c>
      <c r="AQ120" s="190">
        <f t="shared" si="29"/>
        <v>194956.35371872122</v>
      </c>
      <c r="AR120" s="198"/>
    </row>
    <row r="121" spans="2:44" s="6" customFormat="1" ht="13.8" x14ac:dyDescent="0.25">
      <c r="B121" s="9"/>
      <c r="C121" s="9"/>
      <c r="D121" s="9"/>
      <c r="E121" s="9"/>
      <c r="F121" s="9"/>
      <c r="G121" s="9"/>
      <c r="H121" s="15"/>
      <c r="I121" s="15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17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Q121" s="9"/>
      <c r="AR121" s="198"/>
    </row>
    <row r="122" spans="2:44" s="6" customFormat="1" ht="13.8" x14ac:dyDescent="0.25">
      <c r="B122" s="9"/>
      <c r="C122" s="9"/>
      <c r="D122" s="9"/>
      <c r="E122" s="9"/>
      <c r="F122" s="9"/>
      <c r="G122" s="9"/>
      <c r="H122" s="15"/>
      <c r="I122" s="15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17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Q122" s="9"/>
      <c r="AR122" s="198"/>
    </row>
    <row r="123" spans="2:44" s="6" customFormat="1" ht="13.8" x14ac:dyDescent="0.25">
      <c r="B123" s="9"/>
      <c r="C123" s="9"/>
      <c r="D123" s="9"/>
      <c r="E123" s="9"/>
      <c r="F123" s="9"/>
      <c r="G123" s="9"/>
      <c r="H123" s="15"/>
      <c r="I123" s="15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17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Q123" s="9"/>
      <c r="AR123" s="198"/>
    </row>
    <row r="124" spans="2:44" s="6" customFormat="1" ht="13.8" x14ac:dyDescent="0.25">
      <c r="B124" s="9"/>
      <c r="C124" s="9"/>
      <c r="D124" s="9"/>
      <c r="E124" s="9"/>
      <c r="F124" s="9"/>
      <c r="G124" s="9"/>
      <c r="H124" s="15"/>
      <c r="I124" s="15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17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Q124" s="9"/>
      <c r="AR124" s="198"/>
    </row>
    <row r="125" spans="2:44" s="6" customFormat="1" ht="13.8" x14ac:dyDescent="0.25">
      <c r="B125" s="9"/>
      <c r="C125" s="9"/>
      <c r="D125" s="9"/>
      <c r="E125" s="9"/>
      <c r="F125" s="9"/>
      <c r="G125" s="9"/>
      <c r="H125" s="15"/>
      <c r="I125" s="15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17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Q125" s="9"/>
      <c r="AR125" s="198"/>
    </row>
    <row r="126" spans="2:44" s="6" customFormat="1" ht="13.8" x14ac:dyDescent="0.25">
      <c r="B126" s="9"/>
      <c r="C126" s="9"/>
      <c r="D126" s="9"/>
      <c r="E126" s="9"/>
      <c r="F126" s="9"/>
      <c r="G126" s="9"/>
      <c r="H126" s="15"/>
      <c r="I126" s="15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17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Q126" s="9"/>
      <c r="AR126" s="198"/>
    </row>
    <row r="127" spans="2:44" s="6" customFormat="1" ht="13.8" x14ac:dyDescent="0.25">
      <c r="B127" s="9"/>
      <c r="C127" s="9"/>
      <c r="D127" s="9"/>
      <c r="E127" s="9"/>
      <c r="F127" s="9"/>
      <c r="G127" s="9"/>
      <c r="H127" s="15"/>
      <c r="I127" s="15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17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Q127" s="9"/>
      <c r="AR127" s="198"/>
    </row>
    <row r="128" spans="2:44" s="6" customFormat="1" ht="13.8" x14ac:dyDescent="0.25">
      <c r="B128" s="9"/>
      <c r="C128" s="9"/>
      <c r="D128" s="9"/>
      <c r="E128" s="9"/>
      <c r="F128" s="9"/>
      <c r="G128" s="9"/>
      <c r="H128" s="15"/>
      <c r="I128" s="15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17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Q128" s="9"/>
      <c r="AR128" s="198"/>
    </row>
    <row r="129" spans="2:44" s="6" customFormat="1" ht="13.8" x14ac:dyDescent="0.25">
      <c r="B129" s="9"/>
      <c r="C129" s="9"/>
      <c r="D129" s="9"/>
      <c r="E129" s="9"/>
      <c r="F129" s="9"/>
      <c r="G129" s="9"/>
      <c r="H129" s="15"/>
      <c r="I129" s="15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17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/>
      <c r="AH129" s="9"/>
      <c r="AI129" s="9"/>
      <c r="AJ129" s="9"/>
      <c r="AK129" s="9"/>
      <c r="AL129" s="9"/>
      <c r="AM129" s="9"/>
      <c r="AN129" s="9"/>
      <c r="AQ129" s="9"/>
      <c r="AR129" s="198"/>
    </row>
    <row r="130" spans="2:44" x14ac:dyDescent="0.25">
      <c r="K130" s="2" t="s">
        <v>94</v>
      </c>
      <c r="AC130" s="154"/>
      <c r="AR130" s="199"/>
    </row>
    <row r="131" spans="2:44" x14ac:dyDescent="0.25">
      <c r="K131" s="2" t="s">
        <v>98</v>
      </c>
      <c r="M131" s="2" t="s">
        <v>10</v>
      </c>
      <c r="N131" s="2" t="s">
        <v>0</v>
      </c>
      <c r="O131" s="2" t="s">
        <v>11</v>
      </c>
      <c r="P131" s="2" t="s">
        <v>34</v>
      </c>
      <c r="Q131" s="2" t="s">
        <v>12</v>
      </c>
      <c r="R131" s="2" t="s">
        <v>13</v>
      </c>
      <c r="S131" s="2" t="s">
        <v>1</v>
      </c>
      <c r="T131" s="2" t="s">
        <v>14</v>
      </c>
      <c r="U131" s="2" t="s">
        <v>15</v>
      </c>
      <c r="V131" s="2" t="s">
        <v>35</v>
      </c>
      <c r="W131" s="2" t="s">
        <v>2</v>
      </c>
      <c r="X131" s="2" t="s">
        <v>3</v>
      </c>
      <c r="Y131" s="2" t="s">
        <v>4</v>
      </c>
      <c r="Z131" s="2" t="s">
        <v>30</v>
      </c>
      <c r="AA131" s="2" t="s">
        <v>16</v>
      </c>
      <c r="AB131" s="2" t="s">
        <v>17</v>
      </c>
      <c r="AC131" s="154" t="s">
        <v>36</v>
      </c>
      <c r="AD131" s="2" t="s">
        <v>18</v>
      </c>
      <c r="AE131" s="2" t="s">
        <v>19</v>
      </c>
      <c r="AF131" s="2" t="s">
        <v>20</v>
      </c>
      <c r="AG131" s="2" t="s">
        <v>21</v>
      </c>
      <c r="AH131" s="2" t="s">
        <v>22</v>
      </c>
      <c r="AI131" s="2" t="s">
        <v>23</v>
      </c>
      <c r="AJ131" s="2" t="s">
        <v>37</v>
      </c>
      <c r="AK131" s="2" t="s">
        <v>24</v>
      </c>
      <c r="AL131" s="2" t="s">
        <v>25</v>
      </c>
      <c r="AM131" s="2" t="s">
        <v>26</v>
      </c>
      <c r="AN131" s="2" t="s">
        <v>27</v>
      </c>
      <c r="AO131" s="2" t="s">
        <v>28</v>
      </c>
      <c r="AP131" s="2" t="s">
        <v>29</v>
      </c>
      <c r="AQ131" s="2" t="s">
        <v>5</v>
      </c>
      <c r="AR131" s="199"/>
    </row>
    <row r="132" spans="2:44" x14ac:dyDescent="0.25">
      <c r="K132" s="151" t="s">
        <v>95</v>
      </c>
      <c r="L132" s="151">
        <v>2020</v>
      </c>
      <c r="M132" s="151"/>
      <c r="N132" s="151"/>
      <c r="O132" s="151"/>
      <c r="P132" s="151"/>
      <c r="Q132" s="151"/>
      <c r="R132" s="151"/>
      <c r="S132" s="151"/>
      <c r="T132" s="151"/>
      <c r="U132" s="151"/>
      <c r="V132" s="151"/>
      <c r="W132" s="151"/>
      <c r="X132" s="151">
        <v>1920</v>
      </c>
      <c r="Y132" s="151"/>
      <c r="Z132" s="151"/>
      <c r="AA132" s="151"/>
      <c r="AB132" s="151"/>
      <c r="AC132" s="151">
        <f>0.3*1000</f>
        <v>300</v>
      </c>
      <c r="AD132" s="151"/>
      <c r="AE132" s="151"/>
      <c r="AF132" s="151"/>
      <c r="AG132" s="151"/>
      <c r="AH132" s="151"/>
      <c r="AI132" s="151"/>
      <c r="AJ132" s="151">
        <f>2*1000</f>
        <v>2000</v>
      </c>
      <c r="AK132" s="151"/>
      <c r="AL132" s="151"/>
      <c r="AM132" s="151"/>
      <c r="AN132" s="151"/>
      <c r="AO132" s="151"/>
      <c r="AP132" s="151"/>
      <c r="AQ132" s="151"/>
      <c r="AR132" s="199"/>
    </row>
    <row r="133" spans="2:44" x14ac:dyDescent="0.25">
      <c r="K133" s="151"/>
      <c r="L133" s="151">
        <v>2025</v>
      </c>
      <c r="M133" s="151"/>
      <c r="N133" s="151"/>
      <c r="O133" s="151"/>
      <c r="P133" s="151"/>
      <c r="Q133" s="151"/>
      <c r="R133" s="151"/>
      <c r="S133" s="151"/>
      <c r="T133" s="151"/>
      <c r="U133" s="151"/>
      <c r="V133" s="151"/>
      <c r="W133" s="151"/>
      <c r="X133" s="151">
        <v>1500</v>
      </c>
      <c r="Y133" s="151"/>
      <c r="Z133" s="151"/>
      <c r="AA133" s="151"/>
      <c r="AB133" s="151"/>
      <c r="AC133" s="151">
        <f>AVERAGE(AC132,AC134)</f>
        <v>300</v>
      </c>
      <c r="AD133" s="151"/>
      <c r="AE133" s="151"/>
      <c r="AF133" s="151"/>
      <c r="AG133" s="151"/>
      <c r="AH133" s="151"/>
      <c r="AI133" s="151"/>
      <c r="AJ133" s="151">
        <f t="shared" ref="AJ133" si="30">AVERAGE(AJ132,AJ134)</f>
        <v>1750</v>
      </c>
      <c r="AK133" s="151"/>
      <c r="AL133" s="151"/>
      <c r="AM133" s="151"/>
      <c r="AN133" s="151"/>
      <c r="AO133" s="151"/>
      <c r="AP133" s="151"/>
      <c r="AQ133" s="151"/>
      <c r="AR133" s="199"/>
    </row>
    <row r="134" spans="2:44" x14ac:dyDescent="0.25">
      <c r="K134" s="151"/>
      <c r="L134" s="151">
        <v>2030</v>
      </c>
      <c r="M134" s="151"/>
      <c r="N134" s="151"/>
      <c r="O134" s="151"/>
      <c r="P134" s="151"/>
      <c r="Q134" s="151"/>
      <c r="R134" s="151"/>
      <c r="S134" s="151"/>
      <c r="T134" s="151"/>
      <c r="U134" s="151"/>
      <c r="V134" s="151"/>
      <c r="W134" s="151"/>
      <c r="X134" s="151">
        <v>1240</v>
      </c>
      <c r="Y134" s="151"/>
      <c r="Z134" s="151"/>
      <c r="AA134" s="151"/>
      <c r="AB134" s="151"/>
      <c r="AC134" s="151">
        <f>0.3*1000</f>
        <v>300</v>
      </c>
      <c r="AD134" s="151"/>
      <c r="AE134" s="151"/>
      <c r="AF134" s="151"/>
      <c r="AG134" s="151"/>
      <c r="AH134" s="151"/>
      <c r="AI134" s="151"/>
      <c r="AJ134" s="151">
        <f>1.5*1000</f>
        <v>1500</v>
      </c>
      <c r="AK134" s="151"/>
      <c r="AL134" s="151"/>
      <c r="AM134" s="151"/>
      <c r="AN134" s="151"/>
      <c r="AO134" s="151"/>
      <c r="AP134" s="151"/>
      <c r="AQ134" s="151"/>
      <c r="AR134" s="199"/>
    </row>
    <row r="135" spans="2:44" x14ac:dyDescent="0.25">
      <c r="K135" s="151"/>
      <c r="L135" s="151">
        <v>2040</v>
      </c>
      <c r="M135" s="151"/>
      <c r="N135" s="151"/>
      <c r="O135" s="151"/>
      <c r="P135" s="151"/>
      <c r="Q135" s="151"/>
      <c r="R135" s="151"/>
      <c r="S135" s="151"/>
      <c r="T135" s="151"/>
      <c r="U135" s="151"/>
      <c r="V135" s="151"/>
      <c r="W135" s="151"/>
      <c r="X135" s="151">
        <v>880</v>
      </c>
      <c r="Y135" s="151"/>
      <c r="Z135" s="151"/>
      <c r="AA135" s="151"/>
      <c r="AB135" s="151"/>
      <c r="AC135" s="151"/>
      <c r="AD135" s="151"/>
      <c r="AE135" s="151"/>
      <c r="AF135" s="151"/>
      <c r="AG135" s="151"/>
      <c r="AH135" s="151"/>
      <c r="AI135" s="151"/>
      <c r="AJ135" s="151"/>
      <c r="AK135" s="151"/>
      <c r="AL135" s="151"/>
      <c r="AM135" s="151"/>
      <c r="AN135" s="151"/>
      <c r="AO135" s="151"/>
      <c r="AP135" s="151"/>
      <c r="AQ135" s="151"/>
      <c r="AR135" s="199"/>
    </row>
    <row r="136" spans="2:44" x14ac:dyDescent="0.25">
      <c r="K136" s="151"/>
      <c r="L136" s="151">
        <v>2050</v>
      </c>
      <c r="M136" s="151"/>
      <c r="N136" s="151"/>
      <c r="O136" s="151"/>
      <c r="P136" s="151"/>
      <c r="Q136" s="151"/>
      <c r="R136" s="151"/>
      <c r="S136" s="151"/>
      <c r="T136" s="151"/>
      <c r="U136" s="151"/>
      <c r="V136" s="151"/>
      <c r="W136" s="151"/>
      <c r="X136" s="151">
        <v>690</v>
      </c>
      <c r="Y136" s="151"/>
      <c r="Z136" s="151"/>
      <c r="AA136" s="151"/>
      <c r="AB136" s="151"/>
      <c r="AC136" s="151"/>
      <c r="AD136" s="151"/>
      <c r="AE136" s="151"/>
      <c r="AF136" s="151"/>
      <c r="AG136" s="151"/>
      <c r="AH136" s="151"/>
      <c r="AI136" s="151"/>
      <c r="AJ136" s="151"/>
      <c r="AK136" s="151"/>
      <c r="AL136" s="151"/>
      <c r="AM136" s="151"/>
      <c r="AN136" s="151"/>
      <c r="AO136" s="151"/>
      <c r="AP136" s="151"/>
      <c r="AQ136" s="151"/>
      <c r="AR136" s="199"/>
    </row>
    <row r="137" spans="2:44" x14ac:dyDescent="0.25">
      <c r="AR137" s="199"/>
    </row>
    <row r="138" spans="2:44" x14ac:dyDescent="0.25">
      <c r="K138" s="153" t="s">
        <v>96</v>
      </c>
      <c r="L138" s="153">
        <v>2020</v>
      </c>
      <c r="M138" s="153"/>
      <c r="N138" s="153"/>
      <c r="O138" s="153"/>
      <c r="P138" s="153"/>
      <c r="Q138" s="153"/>
      <c r="R138" s="153"/>
      <c r="S138" s="153"/>
      <c r="T138" s="153"/>
      <c r="U138" s="153"/>
      <c r="V138" s="153"/>
      <c r="W138" s="153"/>
      <c r="X138" s="153">
        <v>6420</v>
      </c>
      <c r="Y138" s="153"/>
      <c r="Z138" s="153"/>
      <c r="AA138" s="153"/>
      <c r="AB138" s="153"/>
      <c r="AC138" s="153">
        <f>0.6*1000</f>
        <v>600</v>
      </c>
      <c r="AD138" s="153"/>
      <c r="AE138" s="153"/>
      <c r="AF138" s="153"/>
      <c r="AG138" s="153"/>
      <c r="AH138" s="153"/>
      <c r="AI138" s="153"/>
      <c r="AJ138" s="153">
        <f>4.6*1000</f>
        <v>4600</v>
      </c>
      <c r="AK138" s="153"/>
      <c r="AL138" s="153"/>
      <c r="AM138" s="153"/>
      <c r="AN138" s="153"/>
      <c r="AO138" s="153"/>
      <c r="AP138" s="153"/>
      <c r="AQ138" s="153"/>
      <c r="AR138" s="199"/>
    </row>
    <row r="139" spans="2:44" x14ac:dyDescent="0.25">
      <c r="K139" s="153"/>
      <c r="L139" s="153">
        <v>2025</v>
      </c>
      <c r="M139" s="153"/>
      <c r="N139" s="153"/>
      <c r="O139" s="153"/>
      <c r="P139" s="153"/>
      <c r="Q139" s="153"/>
      <c r="R139" s="153"/>
      <c r="S139" s="153"/>
      <c r="T139" s="153"/>
      <c r="U139" s="153"/>
      <c r="V139" s="153"/>
      <c r="W139" s="153"/>
      <c r="X139" s="153">
        <v>5750</v>
      </c>
      <c r="Y139" s="153"/>
      <c r="Z139" s="153"/>
      <c r="AA139" s="153"/>
      <c r="AB139" s="153"/>
      <c r="AC139" s="153">
        <f>AVERAGE(AC138,AC140)</f>
        <v>600</v>
      </c>
      <c r="AD139" s="153"/>
      <c r="AE139" s="153"/>
      <c r="AF139" s="153"/>
      <c r="AG139" s="153"/>
      <c r="AH139" s="153"/>
      <c r="AI139" s="153"/>
      <c r="AJ139" s="153">
        <f t="shared" ref="AJ139" si="31">AVERAGE(AJ138,AJ140)</f>
        <v>4750</v>
      </c>
      <c r="AK139" s="153"/>
      <c r="AL139" s="153"/>
      <c r="AM139" s="153"/>
      <c r="AN139" s="153"/>
      <c r="AO139" s="153"/>
      <c r="AP139" s="153"/>
      <c r="AQ139" s="153"/>
      <c r="AR139" s="199"/>
    </row>
    <row r="140" spans="2:44" x14ac:dyDescent="0.25">
      <c r="K140" s="153"/>
      <c r="L140" s="153">
        <v>2030</v>
      </c>
      <c r="M140" s="153"/>
      <c r="N140" s="153"/>
      <c r="O140" s="153"/>
      <c r="P140" s="153"/>
      <c r="Q140" s="153"/>
      <c r="R140" s="153"/>
      <c r="S140" s="153"/>
      <c r="T140" s="153"/>
      <c r="U140" s="153"/>
      <c r="V140" s="153"/>
      <c r="W140" s="153"/>
      <c r="X140" s="153">
        <v>5600</v>
      </c>
      <c r="Y140" s="153"/>
      <c r="Z140" s="153"/>
      <c r="AA140" s="153"/>
      <c r="AB140" s="153"/>
      <c r="AC140" s="153">
        <f>0.6*1000</f>
        <v>600</v>
      </c>
      <c r="AD140" s="153"/>
      <c r="AE140" s="153"/>
      <c r="AF140" s="153"/>
      <c r="AG140" s="153"/>
      <c r="AH140" s="153"/>
      <c r="AI140" s="153"/>
      <c r="AJ140" s="153">
        <f>4.9*1000</f>
        <v>4900</v>
      </c>
      <c r="AK140" s="153"/>
      <c r="AL140" s="153"/>
      <c r="AM140" s="153"/>
      <c r="AN140" s="153"/>
      <c r="AO140" s="153"/>
      <c r="AP140" s="153"/>
      <c r="AQ140" s="153"/>
      <c r="AR140" s="199"/>
    </row>
    <row r="141" spans="2:44" x14ac:dyDescent="0.25">
      <c r="K141" s="153"/>
      <c r="L141" s="153">
        <v>2040</v>
      </c>
      <c r="M141" s="153"/>
      <c r="N141" s="153"/>
      <c r="O141" s="153"/>
      <c r="P141" s="153"/>
      <c r="Q141" s="153"/>
      <c r="R141" s="153"/>
      <c r="S141" s="153"/>
      <c r="T141" s="153"/>
      <c r="U141" s="153"/>
      <c r="V141" s="153"/>
      <c r="W141" s="153"/>
      <c r="X141" s="153">
        <v>5550</v>
      </c>
      <c r="Y141" s="153"/>
      <c r="Z141" s="153"/>
      <c r="AA141" s="153"/>
      <c r="AB141" s="153"/>
      <c r="AC141" s="153"/>
      <c r="AD141" s="153"/>
      <c r="AE141" s="153"/>
      <c r="AF141" s="153"/>
      <c r="AG141" s="153"/>
      <c r="AH141" s="153"/>
      <c r="AI141" s="153"/>
      <c r="AJ141" s="153"/>
      <c r="AK141" s="153"/>
      <c r="AL141" s="153"/>
      <c r="AM141" s="153"/>
      <c r="AN141" s="153"/>
      <c r="AO141" s="153"/>
      <c r="AP141" s="153"/>
      <c r="AQ141" s="153"/>
      <c r="AR141" s="199"/>
    </row>
    <row r="142" spans="2:44" x14ac:dyDescent="0.25">
      <c r="K142" s="153"/>
      <c r="L142" s="153">
        <v>2050</v>
      </c>
      <c r="M142" s="153"/>
      <c r="N142" s="153"/>
      <c r="O142" s="153"/>
      <c r="P142" s="153"/>
      <c r="Q142" s="153"/>
      <c r="R142" s="153"/>
      <c r="S142" s="153"/>
      <c r="T142" s="153"/>
      <c r="U142" s="153"/>
      <c r="V142" s="153"/>
      <c r="W142" s="153"/>
      <c r="X142" s="153">
        <v>5510</v>
      </c>
      <c r="Y142" s="153"/>
      <c r="Z142" s="153"/>
      <c r="AA142" s="153"/>
      <c r="AB142" s="153"/>
      <c r="AC142" s="153"/>
      <c r="AD142" s="153"/>
      <c r="AE142" s="153"/>
      <c r="AF142" s="153"/>
      <c r="AG142" s="153"/>
      <c r="AH142" s="153"/>
      <c r="AI142" s="153"/>
      <c r="AJ142" s="153"/>
      <c r="AK142" s="153"/>
      <c r="AL142" s="153"/>
      <c r="AM142" s="153"/>
      <c r="AN142" s="153"/>
      <c r="AO142" s="153"/>
      <c r="AP142" s="153"/>
      <c r="AQ142" s="153"/>
      <c r="AR142" s="199"/>
    </row>
    <row r="143" spans="2:44" x14ac:dyDescent="0.25">
      <c r="AR143" s="199"/>
    </row>
    <row r="144" spans="2:44" x14ac:dyDescent="0.25">
      <c r="K144" s="152" t="s">
        <v>97</v>
      </c>
      <c r="L144" s="152">
        <v>2020</v>
      </c>
      <c r="M144" s="152"/>
      <c r="N144" s="152"/>
      <c r="O144" s="152"/>
      <c r="P144" s="152"/>
      <c r="Q144" s="152"/>
      <c r="R144" s="152"/>
      <c r="S144" s="152"/>
      <c r="T144" s="152"/>
      <c r="U144" s="152"/>
      <c r="V144" s="152"/>
      <c r="W144" s="152"/>
      <c r="X144" s="152">
        <v>100</v>
      </c>
      <c r="Y144" s="152"/>
      <c r="Z144" s="152"/>
      <c r="AA144" s="152"/>
      <c r="AB144" s="152"/>
      <c r="AC144" s="152">
        <f>0.1*1000</f>
        <v>100</v>
      </c>
      <c r="AD144" s="152"/>
      <c r="AE144" s="152"/>
      <c r="AF144" s="152"/>
      <c r="AG144" s="152"/>
      <c r="AH144" s="152"/>
      <c r="AI144" s="152"/>
      <c r="AJ144" s="152">
        <f>1*1000</f>
        <v>1000</v>
      </c>
      <c r="AK144" s="152"/>
      <c r="AL144" s="152"/>
      <c r="AM144" s="152"/>
      <c r="AN144" s="152"/>
      <c r="AO144" s="152"/>
      <c r="AP144" s="152"/>
      <c r="AQ144" s="152"/>
      <c r="AR144" s="199"/>
    </row>
    <row r="145" spans="11:43" x14ac:dyDescent="0.25">
      <c r="K145" s="152"/>
      <c r="L145" s="152">
        <v>2025</v>
      </c>
      <c r="M145" s="152"/>
      <c r="N145" s="152"/>
      <c r="O145" s="152"/>
      <c r="P145" s="152"/>
      <c r="Q145" s="152"/>
      <c r="R145" s="152"/>
      <c r="S145" s="152"/>
      <c r="T145" s="152"/>
      <c r="U145" s="152"/>
      <c r="V145" s="152"/>
      <c r="W145" s="152"/>
      <c r="X145" s="152">
        <v>70</v>
      </c>
      <c r="Y145" s="152"/>
      <c r="Z145" s="152"/>
      <c r="AA145" s="152"/>
      <c r="AB145" s="152"/>
      <c r="AC145" s="152">
        <f>AVERAGE(AC144,AC146)</f>
        <v>75</v>
      </c>
      <c r="AD145" s="152"/>
      <c r="AE145" s="152"/>
      <c r="AF145" s="152"/>
      <c r="AG145" s="152"/>
      <c r="AH145" s="152"/>
      <c r="AI145" s="152"/>
      <c r="AJ145" s="152">
        <f t="shared" ref="AJ145" si="32">AVERAGE(AJ144,AJ146)</f>
        <v>1000</v>
      </c>
      <c r="AK145" s="152"/>
      <c r="AL145" s="152"/>
      <c r="AM145" s="152"/>
      <c r="AN145" s="152"/>
      <c r="AO145" s="152"/>
      <c r="AP145" s="152"/>
      <c r="AQ145" s="152"/>
    </row>
    <row r="146" spans="11:43" x14ac:dyDescent="0.25">
      <c r="K146" s="152"/>
      <c r="L146" s="152">
        <v>2030</v>
      </c>
      <c r="M146" s="152"/>
      <c r="N146" s="152"/>
      <c r="O146" s="152"/>
      <c r="P146" s="152"/>
      <c r="Q146" s="152"/>
      <c r="R146" s="152"/>
      <c r="S146" s="152"/>
      <c r="T146" s="152"/>
      <c r="U146" s="152"/>
      <c r="V146" s="152"/>
      <c r="W146" s="152"/>
      <c r="X146" s="152">
        <v>50</v>
      </c>
      <c r="Y146" s="152"/>
      <c r="Z146" s="152"/>
      <c r="AA146" s="152"/>
      <c r="AB146" s="152"/>
      <c r="AC146" s="152">
        <f>0.05*1000</f>
        <v>50</v>
      </c>
      <c r="AD146" s="152"/>
      <c r="AE146" s="152"/>
      <c r="AF146" s="152"/>
      <c r="AG146" s="152"/>
      <c r="AH146" s="152"/>
      <c r="AI146" s="152"/>
      <c r="AJ146" s="152">
        <f>1*1000</f>
        <v>1000</v>
      </c>
      <c r="AK146" s="152"/>
      <c r="AL146" s="152"/>
      <c r="AM146" s="152"/>
      <c r="AN146" s="152"/>
      <c r="AO146" s="152"/>
      <c r="AP146" s="152"/>
      <c r="AQ146" s="152"/>
    </row>
    <row r="147" spans="11:43" x14ac:dyDescent="0.25">
      <c r="K147" s="152"/>
      <c r="L147" s="152">
        <v>2040</v>
      </c>
      <c r="M147" s="152"/>
      <c r="N147" s="152"/>
      <c r="O147" s="152"/>
      <c r="P147" s="152"/>
      <c r="Q147" s="152"/>
      <c r="R147" s="152"/>
      <c r="S147" s="152"/>
      <c r="T147" s="152"/>
      <c r="U147" s="152"/>
      <c r="V147" s="152"/>
      <c r="W147" s="152"/>
      <c r="X147" s="152">
        <v>20</v>
      </c>
      <c r="Y147" s="152"/>
      <c r="Z147" s="152"/>
      <c r="AA147" s="152"/>
      <c r="AB147" s="152"/>
      <c r="AC147" s="152"/>
      <c r="AD147" s="152"/>
      <c r="AE147" s="152"/>
      <c r="AF147" s="152"/>
      <c r="AG147" s="152"/>
      <c r="AH147" s="152"/>
      <c r="AI147" s="152"/>
      <c r="AJ147" s="152"/>
      <c r="AK147" s="152"/>
      <c r="AL147" s="152"/>
      <c r="AM147" s="152"/>
      <c r="AN147" s="152"/>
      <c r="AO147" s="152"/>
      <c r="AP147" s="152"/>
      <c r="AQ147" s="152"/>
    </row>
    <row r="148" spans="11:43" x14ac:dyDescent="0.25">
      <c r="K148" s="152"/>
      <c r="L148" s="152">
        <v>2050</v>
      </c>
      <c r="M148" s="152"/>
      <c r="N148" s="152"/>
      <c r="O148" s="152"/>
      <c r="P148" s="152"/>
      <c r="Q148" s="152"/>
      <c r="R148" s="152"/>
      <c r="S148" s="152"/>
      <c r="T148" s="152"/>
      <c r="U148" s="152"/>
      <c r="V148" s="152"/>
      <c r="W148" s="152"/>
      <c r="X148" s="152">
        <v>20</v>
      </c>
      <c r="Y148" s="152"/>
      <c r="Z148" s="152"/>
      <c r="AA148" s="152"/>
      <c r="AB148" s="152"/>
      <c r="AC148" s="152"/>
      <c r="AD148" s="152"/>
      <c r="AE148" s="152"/>
      <c r="AF148" s="152"/>
      <c r="AG148" s="152"/>
      <c r="AH148" s="152"/>
      <c r="AI148" s="152"/>
      <c r="AJ148" s="152"/>
      <c r="AK148" s="152"/>
      <c r="AL148" s="152"/>
      <c r="AM148" s="152"/>
      <c r="AN148" s="152"/>
      <c r="AO148" s="152"/>
      <c r="AP148" s="152"/>
      <c r="AQ148" s="152"/>
    </row>
    <row r="150" spans="11:43" x14ac:dyDescent="0.25">
      <c r="K150" s="126" t="s">
        <v>99</v>
      </c>
      <c r="L150" s="126"/>
      <c r="M150" s="126"/>
      <c r="N150" s="126"/>
      <c r="O150" s="126"/>
      <c r="P150" s="126"/>
      <c r="Q150" s="126"/>
      <c r="R150" s="126"/>
      <c r="S150" s="126"/>
      <c r="T150" s="126"/>
      <c r="U150" s="126"/>
      <c r="V150" s="126"/>
      <c r="W150" s="126"/>
      <c r="X150" s="126" t="s">
        <v>100</v>
      </c>
      <c r="Y150" s="126"/>
      <c r="Z150" s="126"/>
      <c r="AA150" s="126"/>
      <c r="AB150" s="126"/>
      <c r="AC150" s="126" t="s">
        <v>93</v>
      </c>
      <c r="AD150" s="126"/>
      <c r="AE150" s="126"/>
      <c r="AF150" s="126"/>
      <c r="AG150" s="126"/>
      <c r="AH150" s="126"/>
      <c r="AI150" s="126"/>
      <c r="AJ150" s="126" t="s">
        <v>93</v>
      </c>
      <c r="AK150" s="126"/>
      <c r="AL150" s="126"/>
      <c r="AM150" s="126"/>
      <c r="AN150" s="126"/>
      <c r="AO150" s="126"/>
      <c r="AP150" s="126"/>
      <c r="AQ150" s="126"/>
    </row>
  </sheetData>
  <pageMargins left="0.7" right="0.7" top="0.75" bottom="0.75" header="0.3" footer="0.3"/>
  <pageSetup paperSize="9" orientation="portrait" horizontalDpi="300" verticalDpi="0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80"/>
  <sheetViews>
    <sheetView tabSelected="1" workbookViewId="0">
      <selection activeCell="C6" sqref="C6"/>
    </sheetView>
  </sheetViews>
  <sheetFormatPr defaultColWidth="8.88671875" defaultRowHeight="13.2" x14ac:dyDescent="0.25"/>
  <cols>
    <col min="1" max="1" width="10.109375" style="2" customWidth="1"/>
    <col min="2" max="2" width="8.88671875" style="2"/>
    <col min="3" max="3" width="13.88671875" style="2" customWidth="1"/>
    <col min="4" max="4" width="6.88671875" style="2" customWidth="1"/>
    <col min="5" max="5" width="8.88671875" style="2"/>
    <col min="6" max="6" width="11.6640625" style="2" customWidth="1"/>
    <col min="7" max="7" width="7.33203125" style="2" customWidth="1"/>
    <col min="8" max="8" width="98" style="2" customWidth="1"/>
    <col min="9" max="9" width="10" style="2" customWidth="1"/>
    <col min="10" max="10" width="51.33203125" style="2" customWidth="1"/>
    <col min="11" max="16384" width="8.88671875" style="2"/>
  </cols>
  <sheetData>
    <row r="1" spans="1:15" x14ac:dyDescent="0.25">
      <c r="C1" s="1" t="s">
        <v>46</v>
      </c>
    </row>
    <row r="2" spans="1:15" x14ac:dyDescent="0.25">
      <c r="C2" s="1" t="s">
        <v>170</v>
      </c>
      <c r="E2" s="2" t="s">
        <v>171</v>
      </c>
      <c r="F2" s="2">
        <v>1.1940999999999999</v>
      </c>
    </row>
    <row r="3" spans="1:15" s="7" customFormat="1" x14ac:dyDescent="0.25">
      <c r="C3" s="5" t="s">
        <v>47</v>
      </c>
    </row>
    <row r="5" spans="1:15" x14ac:dyDescent="0.25">
      <c r="C5" s="3" t="s">
        <v>174</v>
      </c>
    </row>
    <row r="6" spans="1:15" s="42" customFormat="1" x14ac:dyDescent="0.25">
      <c r="C6" s="43" t="s">
        <v>33</v>
      </c>
      <c r="D6" s="44" t="s">
        <v>6</v>
      </c>
      <c r="E6" s="45" t="s">
        <v>38</v>
      </c>
      <c r="F6" s="41" t="s">
        <v>39</v>
      </c>
      <c r="G6" s="41" t="s">
        <v>5</v>
      </c>
      <c r="H6" s="45" t="s">
        <v>31</v>
      </c>
      <c r="I6" s="45" t="s">
        <v>40</v>
      </c>
      <c r="J6" s="45" t="s">
        <v>7</v>
      </c>
      <c r="K6" s="45" t="s">
        <v>41</v>
      </c>
      <c r="N6" s="46" t="s">
        <v>44</v>
      </c>
    </row>
    <row r="7" spans="1:15" x14ac:dyDescent="0.25">
      <c r="A7" s="242" t="s">
        <v>61</v>
      </c>
      <c r="B7" s="19"/>
      <c r="C7" s="20" t="s">
        <v>42</v>
      </c>
      <c r="D7" s="20">
        <v>2026</v>
      </c>
      <c r="E7" s="21"/>
      <c r="F7" s="24">
        <v>0</v>
      </c>
      <c r="G7" s="20"/>
      <c r="H7" s="21"/>
      <c r="I7" s="21"/>
      <c r="J7" s="22" t="s">
        <v>59</v>
      </c>
      <c r="K7" s="22" t="s">
        <v>45</v>
      </c>
    </row>
    <row r="8" spans="1:15" ht="13.2" customHeight="1" x14ac:dyDescent="0.25">
      <c r="A8" s="243"/>
      <c r="B8" s="19"/>
      <c r="C8" s="20" t="s">
        <v>42</v>
      </c>
      <c r="D8" s="20">
        <v>2027</v>
      </c>
      <c r="E8" s="21"/>
      <c r="F8" s="23">
        <f>0.03/F2</f>
        <v>2.5123523992965413E-2</v>
      </c>
      <c r="G8" s="20"/>
      <c r="H8" s="21"/>
      <c r="I8" s="21"/>
      <c r="J8" s="22" t="s">
        <v>59</v>
      </c>
      <c r="K8" s="22" t="s">
        <v>45</v>
      </c>
    </row>
    <row r="9" spans="1:15" ht="13.2" customHeight="1" x14ac:dyDescent="0.25">
      <c r="A9" s="243"/>
      <c r="B9" s="19"/>
      <c r="C9" s="20" t="s">
        <v>42</v>
      </c>
      <c r="D9" s="20">
        <v>2028</v>
      </c>
      <c r="E9" s="21"/>
      <c r="F9" s="23">
        <f>0.05/F2</f>
        <v>4.1872539988275691E-2</v>
      </c>
      <c r="G9" s="20"/>
      <c r="H9" s="21"/>
      <c r="I9" s="21"/>
      <c r="J9" s="22" t="str">
        <f>J8</f>
        <v>RSDCO2N,COMCO2N,AGRCO2N,NETSCO2</v>
      </c>
      <c r="K9" s="22" t="str">
        <f>K8</f>
        <v>EUR20</v>
      </c>
    </row>
    <row r="10" spans="1:15" x14ac:dyDescent="0.25">
      <c r="A10" s="243"/>
      <c r="B10" s="19"/>
      <c r="C10" s="26" t="s">
        <v>42</v>
      </c>
      <c r="D10" s="26">
        <v>2030</v>
      </c>
      <c r="E10" s="27"/>
      <c r="F10" s="23">
        <f>0.06/F2</f>
        <v>5.0247047985930826E-2</v>
      </c>
      <c r="G10" s="26"/>
      <c r="H10" s="27"/>
      <c r="I10" s="27"/>
      <c r="J10" s="22" t="s">
        <v>59</v>
      </c>
      <c r="K10" s="29" t="s">
        <v>45</v>
      </c>
      <c r="N10" s="2">
        <v>0.06</v>
      </c>
      <c r="O10" s="2" t="s">
        <v>43</v>
      </c>
    </row>
    <row r="11" spans="1:15" x14ac:dyDescent="0.25">
      <c r="A11" s="243"/>
      <c r="B11" s="19"/>
      <c r="C11" s="26" t="s">
        <v>42</v>
      </c>
      <c r="D11" s="26">
        <v>2035</v>
      </c>
      <c r="E11" s="27"/>
      <c r="F11" s="23">
        <f>0.1/F2</f>
        <v>8.3745079976551381E-2</v>
      </c>
      <c r="G11" s="27"/>
      <c r="H11" s="27"/>
      <c r="I11" s="27"/>
      <c r="J11" s="22" t="s">
        <v>59</v>
      </c>
      <c r="K11" s="29" t="s">
        <v>45</v>
      </c>
      <c r="N11" s="2">
        <v>7.2999999999999995E-2</v>
      </c>
      <c r="O11" s="2" t="s">
        <v>43</v>
      </c>
    </row>
    <row r="12" spans="1:15" x14ac:dyDescent="0.25">
      <c r="A12" s="243"/>
      <c r="B12" s="19"/>
      <c r="C12" s="26" t="s">
        <v>42</v>
      </c>
      <c r="D12" s="26">
        <v>2040</v>
      </c>
      <c r="E12" s="27"/>
      <c r="F12" s="23">
        <f>0.105/F2</f>
        <v>8.7932333975378946E-2</v>
      </c>
      <c r="G12" s="26"/>
      <c r="H12" s="27"/>
      <c r="I12" s="27"/>
      <c r="J12" s="22" t="s">
        <v>59</v>
      </c>
      <c r="K12" s="29" t="s">
        <v>45</v>
      </c>
      <c r="N12" s="2">
        <v>8.2000000000000003E-2</v>
      </c>
      <c r="O12" s="2" t="s">
        <v>43</v>
      </c>
    </row>
    <row r="13" spans="1:15" x14ac:dyDescent="0.25">
      <c r="A13" s="243"/>
      <c r="B13" s="19"/>
      <c r="C13" s="26" t="s">
        <v>42</v>
      </c>
      <c r="D13" s="26">
        <v>2045</v>
      </c>
      <c r="E13" s="27"/>
      <c r="F13" s="23">
        <f>0.16/F2</f>
        <v>0.13399212796248222</v>
      </c>
      <c r="G13" s="26"/>
      <c r="H13" s="27"/>
      <c r="I13" s="27"/>
      <c r="J13" s="22" t="s">
        <v>59</v>
      </c>
      <c r="K13" s="29" t="s">
        <v>45</v>
      </c>
      <c r="N13" s="2">
        <v>0.124</v>
      </c>
      <c r="O13" s="2" t="s">
        <v>43</v>
      </c>
    </row>
    <row r="14" spans="1:15" x14ac:dyDescent="0.25">
      <c r="A14" s="243"/>
      <c r="B14" s="19"/>
      <c r="C14" s="26" t="s">
        <v>42</v>
      </c>
      <c r="D14" s="26">
        <v>2050</v>
      </c>
      <c r="E14" s="27"/>
      <c r="F14" s="23">
        <f>0.19/F2</f>
        <v>0.15911565195544763</v>
      </c>
      <c r="G14" s="26"/>
      <c r="H14" s="27"/>
      <c r="I14" s="27"/>
      <c r="J14" s="22" t="s">
        <v>59</v>
      </c>
      <c r="K14" s="29" t="s">
        <v>45</v>
      </c>
      <c r="N14" s="2">
        <v>0.153</v>
      </c>
      <c r="O14" s="2" t="s">
        <v>43</v>
      </c>
    </row>
    <row r="15" spans="1:15" x14ac:dyDescent="0.25">
      <c r="A15" s="243"/>
      <c r="B15" s="19"/>
      <c r="C15" s="26" t="s">
        <v>42</v>
      </c>
      <c r="D15" s="26">
        <v>2055</v>
      </c>
      <c r="E15" s="27"/>
      <c r="F15" s="23">
        <f>0.22/F2</f>
        <v>0.18423917594841305</v>
      </c>
      <c r="G15" s="26"/>
      <c r="H15" s="27"/>
      <c r="I15" s="27"/>
      <c r="J15" s="22" t="s">
        <v>59</v>
      </c>
      <c r="K15" s="29" t="s">
        <v>45</v>
      </c>
      <c r="N15" s="2">
        <v>0.153</v>
      </c>
      <c r="O15" s="2" t="s">
        <v>43</v>
      </c>
    </row>
    <row r="16" spans="1:15" s="34" customFormat="1" x14ac:dyDescent="0.25">
      <c r="A16" s="244"/>
      <c r="B16" s="31"/>
      <c r="C16" s="32" t="s">
        <v>42</v>
      </c>
      <c r="D16" s="32">
        <v>0</v>
      </c>
      <c r="E16" s="32"/>
      <c r="F16" s="37">
        <v>5</v>
      </c>
      <c r="G16" s="32"/>
      <c r="H16" s="32"/>
      <c r="I16" s="32"/>
      <c r="J16" s="39" t="s">
        <v>59</v>
      </c>
      <c r="K16" s="33" t="s">
        <v>45</v>
      </c>
    </row>
    <row r="17" spans="1:14" ht="14.4" customHeight="1" x14ac:dyDescent="0.25">
      <c r="A17" s="242" t="s">
        <v>60</v>
      </c>
      <c r="B17" s="19"/>
      <c r="C17" s="20" t="s">
        <v>42</v>
      </c>
      <c r="D17" s="20">
        <v>2026</v>
      </c>
      <c r="E17" s="21"/>
      <c r="F17" s="24">
        <v>0</v>
      </c>
      <c r="G17" s="26"/>
      <c r="H17" s="28" t="s">
        <v>169</v>
      </c>
      <c r="I17" s="27"/>
      <c r="J17" s="29" t="s">
        <v>32</v>
      </c>
      <c r="K17" s="29" t="str">
        <f>K7</f>
        <v>EUR20</v>
      </c>
    </row>
    <row r="18" spans="1:14" ht="14.4" customHeight="1" x14ac:dyDescent="0.25">
      <c r="A18" s="243"/>
      <c r="B18" s="19"/>
      <c r="C18" s="26" t="s">
        <v>42</v>
      </c>
      <c r="D18" s="20">
        <v>2027</v>
      </c>
      <c r="E18" s="27"/>
      <c r="F18" s="24">
        <f>F8</f>
        <v>2.5123523992965413E-2</v>
      </c>
      <c r="G18" s="26"/>
      <c r="H18" s="28" t="str">
        <f>H17</f>
        <v>BLDDSL,BLDDSL_RAI,BLDGSLE85,BLDGSLSP95,BLDGSLSP95E10,TRAGAS00,TRAGASH2C01,TRALPG00,BLD_RFNBO_DSL,BLD_RFNBO_RAI,BLD_RFNBO_GSL,BLD_RFNBO_GAS,-BLDJET,-TRAHFO00,-TRALFO00,-BLD_RFNBO_JET,-BLD_RFNBO_NAV</v>
      </c>
      <c r="I18" s="27"/>
      <c r="J18" s="29" t="s">
        <v>32</v>
      </c>
      <c r="K18" s="29" t="str">
        <f>K8</f>
        <v>EUR20</v>
      </c>
    </row>
    <row r="19" spans="1:14" x14ac:dyDescent="0.25">
      <c r="A19" s="243"/>
      <c r="B19" s="19"/>
      <c r="C19" s="26" t="s">
        <v>42</v>
      </c>
      <c r="D19" s="26">
        <v>2030</v>
      </c>
      <c r="E19" s="27"/>
      <c r="F19" s="24">
        <f t="shared" ref="F19:F25" si="0">F10</f>
        <v>5.0247047985930826E-2</v>
      </c>
      <c r="G19" s="26"/>
      <c r="H19" s="28" t="str">
        <f t="shared" ref="H19:H25" si="1">H18</f>
        <v>BLDDSL,BLDDSL_RAI,BLDGSLE85,BLDGSLSP95,BLDGSLSP95E10,TRAGAS00,TRAGASH2C01,TRALPG00,BLD_RFNBO_DSL,BLD_RFNBO_RAI,BLD_RFNBO_GSL,BLD_RFNBO_GAS,-BLDJET,-TRAHFO00,-TRALFO00,-BLD_RFNBO_JET,-BLD_RFNBO_NAV</v>
      </c>
      <c r="I19" s="27"/>
      <c r="J19" s="29" t="s">
        <v>32</v>
      </c>
      <c r="K19" s="29" t="str">
        <f t="shared" ref="K19:K25" si="2">K10</f>
        <v>EUR20</v>
      </c>
    </row>
    <row r="20" spans="1:14" x14ac:dyDescent="0.25">
      <c r="A20" s="243"/>
      <c r="B20" s="19"/>
      <c r="C20" s="26" t="s">
        <v>42</v>
      </c>
      <c r="D20" s="26">
        <v>2035</v>
      </c>
      <c r="E20" s="27"/>
      <c r="F20" s="23">
        <f t="shared" si="0"/>
        <v>8.3745079976551381E-2</v>
      </c>
      <c r="G20" s="27"/>
      <c r="H20" s="28" t="str">
        <f t="shared" si="1"/>
        <v>BLDDSL,BLDDSL_RAI,BLDGSLE85,BLDGSLSP95,BLDGSLSP95E10,TRAGAS00,TRAGASH2C01,TRALPG00,BLD_RFNBO_DSL,BLD_RFNBO_RAI,BLD_RFNBO_GSL,BLD_RFNBO_GAS,-BLDJET,-TRAHFO00,-TRALFO00,-BLD_RFNBO_JET,-BLD_RFNBO_NAV</v>
      </c>
      <c r="I20" s="27"/>
      <c r="J20" s="29" t="s">
        <v>32</v>
      </c>
      <c r="K20" s="29" t="str">
        <f t="shared" si="2"/>
        <v>EUR20</v>
      </c>
    </row>
    <row r="21" spans="1:14" x14ac:dyDescent="0.25">
      <c r="A21" s="243"/>
      <c r="B21" s="19"/>
      <c r="C21" s="26" t="s">
        <v>42</v>
      </c>
      <c r="D21" s="26">
        <v>2040</v>
      </c>
      <c r="E21" s="27"/>
      <c r="F21" s="23">
        <f t="shared" si="0"/>
        <v>8.7932333975378946E-2</v>
      </c>
      <c r="G21" s="26"/>
      <c r="H21" s="28" t="str">
        <f t="shared" si="1"/>
        <v>BLDDSL,BLDDSL_RAI,BLDGSLE85,BLDGSLSP95,BLDGSLSP95E10,TRAGAS00,TRAGASH2C01,TRALPG00,BLD_RFNBO_DSL,BLD_RFNBO_RAI,BLD_RFNBO_GSL,BLD_RFNBO_GAS,-BLDJET,-TRAHFO00,-TRALFO00,-BLD_RFNBO_JET,-BLD_RFNBO_NAV</v>
      </c>
      <c r="I21" s="27"/>
      <c r="J21" s="29" t="s">
        <v>32</v>
      </c>
      <c r="K21" s="29" t="str">
        <f t="shared" si="2"/>
        <v>EUR20</v>
      </c>
    </row>
    <row r="22" spans="1:14" x14ac:dyDescent="0.25">
      <c r="A22" s="243"/>
      <c r="B22" s="19"/>
      <c r="C22" s="26" t="s">
        <v>42</v>
      </c>
      <c r="D22" s="26">
        <v>2045</v>
      </c>
      <c r="E22" s="27"/>
      <c r="F22" s="23">
        <f t="shared" si="0"/>
        <v>0.13399212796248222</v>
      </c>
      <c r="G22" s="26"/>
      <c r="H22" s="28" t="str">
        <f t="shared" si="1"/>
        <v>BLDDSL,BLDDSL_RAI,BLDGSLE85,BLDGSLSP95,BLDGSLSP95E10,TRAGAS00,TRAGASH2C01,TRALPG00,BLD_RFNBO_DSL,BLD_RFNBO_RAI,BLD_RFNBO_GSL,BLD_RFNBO_GAS,-BLDJET,-TRAHFO00,-TRALFO00,-BLD_RFNBO_JET,-BLD_RFNBO_NAV</v>
      </c>
      <c r="I22" s="27"/>
      <c r="J22" s="29" t="s">
        <v>32</v>
      </c>
      <c r="K22" s="29" t="str">
        <f t="shared" si="2"/>
        <v>EUR20</v>
      </c>
    </row>
    <row r="23" spans="1:14" x14ac:dyDescent="0.25">
      <c r="A23" s="243"/>
      <c r="B23" s="19"/>
      <c r="C23" s="26" t="s">
        <v>42</v>
      </c>
      <c r="D23" s="26">
        <v>2050</v>
      </c>
      <c r="E23" s="27"/>
      <c r="F23" s="23">
        <f t="shared" si="0"/>
        <v>0.15911565195544763</v>
      </c>
      <c r="G23" s="26"/>
      <c r="H23" s="28" t="str">
        <f t="shared" si="1"/>
        <v>BLDDSL,BLDDSL_RAI,BLDGSLE85,BLDGSLSP95,BLDGSLSP95E10,TRAGAS00,TRAGASH2C01,TRALPG00,BLD_RFNBO_DSL,BLD_RFNBO_RAI,BLD_RFNBO_GSL,BLD_RFNBO_GAS,-BLDJET,-TRAHFO00,-TRALFO00,-BLD_RFNBO_JET,-BLD_RFNBO_NAV</v>
      </c>
      <c r="I23" s="27"/>
      <c r="J23" s="29" t="s">
        <v>32</v>
      </c>
      <c r="K23" s="29" t="str">
        <f t="shared" si="2"/>
        <v>EUR20</v>
      </c>
    </row>
    <row r="24" spans="1:14" x14ac:dyDescent="0.25">
      <c r="A24" s="243"/>
      <c r="B24" s="19"/>
      <c r="C24" s="26" t="s">
        <v>42</v>
      </c>
      <c r="D24" s="26">
        <v>2055</v>
      </c>
      <c r="E24" s="27"/>
      <c r="F24" s="23">
        <f t="shared" si="0"/>
        <v>0.18423917594841305</v>
      </c>
      <c r="G24" s="26"/>
      <c r="H24" s="28" t="str">
        <f t="shared" si="1"/>
        <v>BLDDSL,BLDDSL_RAI,BLDGSLE85,BLDGSLSP95,BLDGSLSP95E10,TRAGAS00,TRAGASH2C01,TRALPG00,BLD_RFNBO_DSL,BLD_RFNBO_RAI,BLD_RFNBO_GSL,BLD_RFNBO_GAS,-BLDJET,-TRAHFO00,-TRALFO00,-BLD_RFNBO_JET,-BLD_RFNBO_NAV</v>
      </c>
      <c r="I24" s="27"/>
      <c r="J24" s="29" t="s">
        <v>32</v>
      </c>
      <c r="K24" s="29" t="str">
        <f t="shared" si="2"/>
        <v>EUR20</v>
      </c>
    </row>
    <row r="25" spans="1:14" s="34" customFormat="1" x14ac:dyDescent="0.25">
      <c r="A25" s="244"/>
      <c r="B25" s="31"/>
      <c r="C25" s="35" t="s">
        <v>42</v>
      </c>
      <c r="D25" s="35">
        <v>0</v>
      </c>
      <c r="E25" s="36"/>
      <c r="F25" s="38">
        <f t="shared" si="0"/>
        <v>5</v>
      </c>
      <c r="G25" s="35"/>
      <c r="H25" s="28" t="str">
        <f t="shared" si="1"/>
        <v>BLDDSL,BLDDSL_RAI,BLDGSLE85,BLDGSLSP95,BLDGSLSP95E10,TRAGAS00,TRAGASH2C01,TRALPG00,BLD_RFNBO_DSL,BLD_RFNBO_RAI,BLD_RFNBO_GSL,BLD_RFNBO_GAS,-BLDJET,-TRAHFO00,-TRALFO00,-BLD_RFNBO_JET,-BLD_RFNBO_NAV</v>
      </c>
      <c r="I25" s="36"/>
      <c r="J25" s="33" t="s">
        <v>32</v>
      </c>
      <c r="K25" s="33" t="str">
        <f t="shared" si="2"/>
        <v>EUR20</v>
      </c>
    </row>
    <row r="26" spans="1:14" x14ac:dyDescent="0.25">
      <c r="A26" s="25"/>
      <c r="B26" s="19"/>
      <c r="C26" s="26"/>
      <c r="D26" s="26"/>
      <c r="E26" s="27"/>
      <c r="F26" s="29"/>
      <c r="G26" s="26"/>
      <c r="H26" s="28"/>
      <c r="I26" s="27"/>
      <c r="J26" s="29"/>
      <c r="K26" s="29"/>
    </row>
    <row r="29" spans="1:14" s="8" customFormat="1" x14ac:dyDescent="0.25">
      <c r="C29" s="4" t="s">
        <v>48</v>
      </c>
    </row>
    <row r="31" spans="1:14" x14ac:dyDescent="0.25">
      <c r="C31" s="3" t="s">
        <v>168</v>
      </c>
    </row>
    <row r="32" spans="1:14" s="42" customFormat="1" x14ac:dyDescent="0.25">
      <c r="A32" s="49"/>
      <c r="B32" s="49"/>
      <c r="C32" s="43" t="s">
        <v>33</v>
      </c>
      <c r="D32" s="44" t="s">
        <v>6</v>
      </c>
      <c r="E32" s="45" t="s">
        <v>38</v>
      </c>
      <c r="F32" s="41" t="s">
        <v>39</v>
      </c>
      <c r="G32" s="41" t="s">
        <v>5</v>
      </c>
      <c r="H32" s="45" t="s">
        <v>31</v>
      </c>
      <c r="I32" s="45" t="s">
        <v>40</v>
      </c>
      <c r="J32" s="45" t="s">
        <v>7</v>
      </c>
      <c r="K32" s="45" t="s">
        <v>41</v>
      </c>
      <c r="L32" s="49"/>
      <c r="M32" s="49"/>
      <c r="N32" s="51"/>
    </row>
    <row r="33" spans="1:14" ht="14.4" customHeight="1" x14ac:dyDescent="0.25">
      <c r="A33" s="242" t="s">
        <v>61</v>
      </c>
      <c r="B33" s="19"/>
      <c r="C33" s="20" t="s">
        <v>42</v>
      </c>
      <c r="D33" s="20">
        <v>2026</v>
      </c>
      <c r="E33" s="21"/>
      <c r="F33" s="30">
        <f>F7</f>
        <v>0</v>
      </c>
      <c r="G33" s="20"/>
      <c r="H33" s="21"/>
      <c r="I33" s="21"/>
      <c r="J33" s="22" t="s">
        <v>59</v>
      </c>
      <c r="K33" s="22" t="s">
        <v>45</v>
      </c>
      <c r="L33" s="19"/>
      <c r="M33" s="19"/>
      <c r="N33" s="19"/>
    </row>
    <row r="34" spans="1:14" ht="13.2" customHeight="1" x14ac:dyDescent="0.25">
      <c r="A34" s="243"/>
      <c r="B34" s="19"/>
      <c r="C34" s="20" t="s">
        <v>42</v>
      </c>
      <c r="D34" s="20">
        <v>2027</v>
      </c>
      <c r="E34" s="21"/>
      <c r="F34" s="30">
        <f>F8</f>
        <v>2.5123523992965413E-2</v>
      </c>
      <c r="G34" s="20"/>
      <c r="H34" s="21"/>
      <c r="I34" s="21"/>
      <c r="J34" s="22" t="s">
        <v>59</v>
      </c>
      <c r="K34" s="22" t="s">
        <v>45</v>
      </c>
      <c r="L34" s="19"/>
      <c r="M34" s="19"/>
      <c r="N34" s="19"/>
    </row>
    <row r="35" spans="1:14" x14ac:dyDescent="0.25">
      <c r="A35" s="243"/>
      <c r="B35" s="19"/>
      <c r="C35" s="26" t="s">
        <v>42</v>
      </c>
      <c r="D35" s="26">
        <v>2030</v>
      </c>
      <c r="E35" s="21"/>
      <c r="F35" s="50">
        <f>F10</f>
        <v>5.0247047985930826E-2</v>
      </c>
      <c r="G35" s="20"/>
      <c r="H35" s="21"/>
      <c r="I35" s="21"/>
      <c r="J35" s="22" t="s">
        <v>59</v>
      </c>
      <c r="K35" s="22" t="s">
        <v>45</v>
      </c>
      <c r="L35" s="19"/>
      <c r="M35" s="19"/>
      <c r="N35" s="19"/>
    </row>
    <row r="36" spans="1:14" x14ac:dyDescent="0.25">
      <c r="A36" s="243"/>
      <c r="B36" s="19"/>
      <c r="C36" s="26" t="s">
        <v>42</v>
      </c>
      <c r="D36" s="26">
        <v>2035</v>
      </c>
      <c r="E36" s="21"/>
      <c r="F36" s="50">
        <f>120/1000</f>
        <v>0.12</v>
      </c>
      <c r="G36" s="21"/>
      <c r="H36" s="21"/>
      <c r="I36" s="21"/>
      <c r="J36" s="22" t="s">
        <v>59</v>
      </c>
      <c r="K36" s="22" t="s">
        <v>45</v>
      </c>
      <c r="L36" s="19"/>
      <c r="M36" s="19"/>
      <c r="N36" s="19"/>
    </row>
    <row r="37" spans="1:14" x14ac:dyDescent="0.25">
      <c r="A37" s="243"/>
      <c r="B37" s="19"/>
      <c r="C37" s="26" t="s">
        <v>42</v>
      </c>
      <c r="D37" s="26">
        <v>2040</v>
      </c>
      <c r="E37" s="21"/>
      <c r="F37" s="50">
        <f>250/1000</f>
        <v>0.25</v>
      </c>
      <c r="G37" s="20"/>
      <c r="H37" s="21"/>
      <c r="I37" s="21"/>
      <c r="J37" s="22" t="s">
        <v>59</v>
      </c>
      <c r="K37" s="22" t="s">
        <v>45</v>
      </c>
      <c r="L37" s="19"/>
      <c r="M37" s="19"/>
      <c r="N37" s="19"/>
    </row>
    <row r="38" spans="1:14" x14ac:dyDescent="0.25">
      <c r="A38" s="243"/>
      <c r="B38" s="19"/>
      <c r="C38" s="26" t="s">
        <v>42</v>
      </c>
      <c r="D38" s="26">
        <v>2045</v>
      </c>
      <c r="E38" s="21"/>
      <c r="F38" s="50">
        <f>360/1000</f>
        <v>0.36</v>
      </c>
      <c r="G38" s="20"/>
      <c r="H38" s="21"/>
      <c r="I38" s="21"/>
      <c r="J38" s="22" t="s">
        <v>59</v>
      </c>
      <c r="K38" s="22" t="s">
        <v>45</v>
      </c>
      <c r="L38" s="19"/>
      <c r="M38" s="19"/>
      <c r="N38" s="19"/>
    </row>
    <row r="39" spans="1:14" x14ac:dyDescent="0.25">
      <c r="A39" s="243"/>
      <c r="B39" s="19"/>
      <c r="C39" s="26" t="s">
        <v>42</v>
      </c>
      <c r="D39" s="26">
        <v>2050</v>
      </c>
      <c r="E39" s="21"/>
      <c r="F39" s="50">
        <f>410/1000</f>
        <v>0.41</v>
      </c>
      <c r="G39" s="20"/>
      <c r="H39" s="21"/>
      <c r="I39" s="21"/>
      <c r="J39" s="22" t="s">
        <v>59</v>
      </c>
      <c r="K39" s="22" t="s">
        <v>45</v>
      </c>
      <c r="L39" s="19"/>
      <c r="M39" s="19"/>
      <c r="N39" s="19"/>
    </row>
    <row r="40" spans="1:14" x14ac:dyDescent="0.25">
      <c r="A40" s="243"/>
      <c r="B40" s="19"/>
      <c r="C40" s="26" t="s">
        <v>42</v>
      </c>
      <c r="D40" s="26">
        <v>2060</v>
      </c>
      <c r="E40" s="21"/>
      <c r="F40" s="50">
        <f>F39</f>
        <v>0.41</v>
      </c>
      <c r="G40" s="20"/>
      <c r="H40" s="21"/>
      <c r="I40" s="21"/>
      <c r="J40" s="22" t="s">
        <v>59</v>
      </c>
      <c r="K40" s="22" t="s">
        <v>45</v>
      </c>
      <c r="L40" s="19"/>
      <c r="M40" s="19"/>
      <c r="N40" s="19"/>
    </row>
    <row r="41" spans="1:14" s="34" customFormat="1" x14ac:dyDescent="0.25">
      <c r="A41" s="244"/>
      <c r="B41" s="31"/>
      <c r="C41" s="32" t="s">
        <v>42</v>
      </c>
      <c r="D41" s="32">
        <v>0</v>
      </c>
      <c r="E41" s="52"/>
      <c r="F41" s="55">
        <v>5</v>
      </c>
      <c r="G41" s="53"/>
      <c r="H41" s="52"/>
      <c r="I41" s="52"/>
      <c r="J41" s="39" t="s">
        <v>59</v>
      </c>
      <c r="K41" s="22" t="s">
        <v>45</v>
      </c>
      <c r="L41" s="31"/>
      <c r="M41" s="31"/>
      <c r="N41" s="31"/>
    </row>
    <row r="42" spans="1:14" x14ac:dyDescent="0.25">
      <c r="A42" s="242" t="s">
        <v>60</v>
      </c>
      <c r="B42" s="19"/>
      <c r="C42" s="26" t="s">
        <v>42</v>
      </c>
      <c r="D42" s="20">
        <v>2026</v>
      </c>
      <c r="E42" s="21"/>
      <c r="F42" s="56">
        <v>0</v>
      </c>
      <c r="G42" s="20"/>
      <c r="H42" s="21" t="str">
        <f>H17</f>
        <v>BLDDSL,BLDDSL_RAI,BLDGSLE85,BLDGSLSP95,BLDGSLSP95E10,TRAGAS00,TRAGASH2C01,TRALPG00,BLD_RFNBO_DSL,BLD_RFNBO_RAI,BLD_RFNBO_GSL,BLD_RFNBO_GAS,-BLDJET,-TRAHFO00,-TRALFO00,-BLD_RFNBO_JET,-BLD_RFNBO_NAV</v>
      </c>
      <c r="I42" s="21"/>
      <c r="J42" s="22" t="s">
        <v>32</v>
      </c>
      <c r="K42" s="22" t="s">
        <v>45</v>
      </c>
      <c r="L42" s="19"/>
      <c r="M42" s="19"/>
      <c r="N42" s="19"/>
    </row>
    <row r="43" spans="1:14" ht="13.2" customHeight="1" x14ac:dyDescent="0.25">
      <c r="A43" s="243"/>
      <c r="B43" s="19"/>
      <c r="C43" s="26" t="s">
        <v>42</v>
      </c>
      <c r="D43" s="20">
        <v>2027</v>
      </c>
      <c r="E43" s="21"/>
      <c r="F43" s="50">
        <f>F34</f>
        <v>2.5123523992965413E-2</v>
      </c>
      <c r="G43" s="20"/>
      <c r="H43" s="21" t="str">
        <f>H42</f>
        <v>BLDDSL,BLDDSL_RAI,BLDGSLE85,BLDGSLSP95,BLDGSLSP95E10,TRAGAS00,TRAGASH2C01,TRALPG00,BLD_RFNBO_DSL,BLD_RFNBO_RAI,BLD_RFNBO_GSL,BLD_RFNBO_GAS,-BLDJET,-TRAHFO00,-TRALFO00,-BLD_RFNBO_JET,-BLD_RFNBO_NAV</v>
      </c>
      <c r="I43" s="21"/>
      <c r="J43" s="22" t="s">
        <v>32</v>
      </c>
      <c r="K43" s="22" t="s">
        <v>45</v>
      </c>
      <c r="L43" s="19"/>
      <c r="M43" s="19"/>
      <c r="N43" s="19"/>
    </row>
    <row r="44" spans="1:14" x14ac:dyDescent="0.25">
      <c r="A44" s="243"/>
      <c r="B44" s="19"/>
      <c r="C44" s="26" t="s">
        <v>42</v>
      </c>
      <c r="D44" s="26">
        <v>2030</v>
      </c>
      <c r="E44" s="21"/>
      <c r="F44" s="50">
        <f t="shared" ref="F44:F49" si="3">F35</f>
        <v>5.0247047985930826E-2</v>
      </c>
      <c r="G44" s="20"/>
      <c r="H44" s="21" t="str">
        <f t="shared" ref="H44:H50" si="4">H43</f>
        <v>BLDDSL,BLDDSL_RAI,BLDGSLE85,BLDGSLSP95,BLDGSLSP95E10,TRAGAS00,TRAGASH2C01,TRALPG00,BLD_RFNBO_DSL,BLD_RFNBO_RAI,BLD_RFNBO_GSL,BLD_RFNBO_GAS,-BLDJET,-TRAHFO00,-TRALFO00,-BLD_RFNBO_JET,-BLD_RFNBO_NAV</v>
      </c>
      <c r="I44" s="21"/>
      <c r="J44" s="22" t="s">
        <v>32</v>
      </c>
      <c r="K44" s="22" t="s">
        <v>45</v>
      </c>
      <c r="L44" s="19"/>
      <c r="M44" s="19"/>
      <c r="N44" s="19"/>
    </row>
    <row r="45" spans="1:14" x14ac:dyDescent="0.25">
      <c r="A45" s="243"/>
      <c r="B45" s="19"/>
      <c r="C45" s="26" t="s">
        <v>42</v>
      </c>
      <c r="D45" s="26">
        <v>2035</v>
      </c>
      <c r="E45" s="21"/>
      <c r="F45" s="50">
        <f t="shared" si="3"/>
        <v>0.12</v>
      </c>
      <c r="G45" s="20"/>
      <c r="H45" s="21" t="str">
        <f t="shared" si="4"/>
        <v>BLDDSL,BLDDSL_RAI,BLDGSLE85,BLDGSLSP95,BLDGSLSP95E10,TRAGAS00,TRAGASH2C01,TRALPG00,BLD_RFNBO_DSL,BLD_RFNBO_RAI,BLD_RFNBO_GSL,BLD_RFNBO_GAS,-BLDJET,-TRAHFO00,-TRALFO00,-BLD_RFNBO_JET,-BLD_RFNBO_NAV</v>
      </c>
      <c r="I45" s="21"/>
      <c r="J45" s="22" t="s">
        <v>32</v>
      </c>
      <c r="K45" s="22" t="s">
        <v>45</v>
      </c>
      <c r="L45" s="19"/>
      <c r="M45" s="19"/>
      <c r="N45" s="19"/>
    </row>
    <row r="46" spans="1:14" x14ac:dyDescent="0.25">
      <c r="A46" s="243"/>
      <c r="B46" s="19"/>
      <c r="C46" s="26" t="s">
        <v>42</v>
      </c>
      <c r="D46" s="26">
        <v>2040</v>
      </c>
      <c r="E46" s="21"/>
      <c r="F46" s="50">
        <f t="shared" si="3"/>
        <v>0.25</v>
      </c>
      <c r="G46" s="20"/>
      <c r="H46" s="21" t="str">
        <f t="shared" si="4"/>
        <v>BLDDSL,BLDDSL_RAI,BLDGSLE85,BLDGSLSP95,BLDGSLSP95E10,TRAGAS00,TRAGASH2C01,TRALPG00,BLD_RFNBO_DSL,BLD_RFNBO_RAI,BLD_RFNBO_GSL,BLD_RFNBO_GAS,-BLDJET,-TRAHFO00,-TRALFO00,-BLD_RFNBO_JET,-BLD_RFNBO_NAV</v>
      </c>
      <c r="I46" s="21"/>
      <c r="J46" s="22" t="s">
        <v>32</v>
      </c>
      <c r="K46" s="22" t="s">
        <v>45</v>
      </c>
      <c r="L46" s="19"/>
      <c r="M46" s="19"/>
      <c r="N46" s="19"/>
    </row>
    <row r="47" spans="1:14" x14ac:dyDescent="0.25">
      <c r="A47" s="243"/>
      <c r="B47" s="19"/>
      <c r="C47" s="26" t="s">
        <v>42</v>
      </c>
      <c r="D47" s="26">
        <v>2045</v>
      </c>
      <c r="E47" s="21"/>
      <c r="F47" s="50">
        <f t="shared" si="3"/>
        <v>0.36</v>
      </c>
      <c r="G47" s="20"/>
      <c r="H47" s="21" t="str">
        <f t="shared" si="4"/>
        <v>BLDDSL,BLDDSL_RAI,BLDGSLE85,BLDGSLSP95,BLDGSLSP95E10,TRAGAS00,TRAGASH2C01,TRALPG00,BLD_RFNBO_DSL,BLD_RFNBO_RAI,BLD_RFNBO_GSL,BLD_RFNBO_GAS,-BLDJET,-TRAHFO00,-TRALFO00,-BLD_RFNBO_JET,-BLD_RFNBO_NAV</v>
      </c>
      <c r="I47" s="21"/>
      <c r="J47" s="22" t="s">
        <v>32</v>
      </c>
      <c r="K47" s="22" t="s">
        <v>45</v>
      </c>
      <c r="L47" s="19"/>
      <c r="M47" s="19"/>
      <c r="N47" s="19"/>
    </row>
    <row r="48" spans="1:14" x14ac:dyDescent="0.25">
      <c r="A48" s="243"/>
      <c r="B48" s="19"/>
      <c r="C48" s="26" t="s">
        <v>42</v>
      </c>
      <c r="D48" s="26">
        <v>2050</v>
      </c>
      <c r="E48" s="21"/>
      <c r="F48" s="50">
        <f t="shared" si="3"/>
        <v>0.41</v>
      </c>
      <c r="G48" s="20"/>
      <c r="H48" s="21" t="str">
        <f t="shared" si="4"/>
        <v>BLDDSL,BLDDSL_RAI,BLDGSLE85,BLDGSLSP95,BLDGSLSP95E10,TRAGAS00,TRAGASH2C01,TRALPG00,BLD_RFNBO_DSL,BLD_RFNBO_RAI,BLD_RFNBO_GSL,BLD_RFNBO_GAS,-BLDJET,-TRAHFO00,-TRALFO00,-BLD_RFNBO_JET,-BLD_RFNBO_NAV</v>
      </c>
      <c r="I48" s="21"/>
      <c r="J48" s="22" t="s">
        <v>32</v>
      </c>
      <c r="K48" s="22" t="s">
        <v>45</v>
      </c>
      <c r="L48" s="19"/>
      <c r="M48" s="19"/>
      <c r="N48" s="19"/>
    </row>
    <row r="49" spans="1:14" x14ac:dyDescent="0.25">
      <c r="A49" s="243"/>
      <c r="B49" s="19"/>
      <c r="C49" s="26" t="s">
        <v>42</v>
      </c>
      <c r="D49" s="26">
        <v>2060</v>
      </c>
      <c r="E49" s="21"/>
      <c r="F49" s="50">
        <f t="shared" si="3"/>
        <v>0.41</v>
      </c>
      <c r="G49" s="20"/>
      <c r="H49" s="21" t="str">
        <f t="shared" si="4"/>
        <v>BLDDSL,BLDDSL_RAI,BLDGSLE85,BLDGSLSP95,BLDGSLSP95E10,TRAGAS00,TRAGASH2C01,TRALPG00,BLD_RFNBO_DSL,BLD_RFNBO_RAI,BLD_RFNBO_GSL,BLD_RFNBO_GAS,-BLDJET,-TRAHFO00,-TRALFO00,-BLD_RFNBO_JET,-BLD_RFNBO_NAV</v>
      </c>
      <c r="I49" s="21"/>
      <c r="J49" s="22" t="s">
        <v>32</v>
      </c>
      <c r="K49" s="22" t="s">
        <v>45</v>
      </c>
      <c r="L49" s="19"/>
      <c r="M49" s="19"/>
      <c r="N49" s="19"/>
    </row>
    <row r="50" spans="1:14" s="34" customFormat="1" x14ac:dyDescent="0.25">
      <c r="A50" s="244"/>
      <c r="B50" s="31"/>
      <c r="C50" s="35" t="s">
        <v>42</v>
      </c>
      <c r="D50" s="35">
        <v>0</v>
      </c>
      <c r="E50" s="31"/>
      <c r="F50" s="54">
        <v>5</v>
      </c>
      <c r="G50" s="31"/>
      <c r="H50" s="21" t="str">
        <f t="shared" si="4"/>
        <v>BLDDSL,BLDDSL_RAI,BLDGSLE85,BLDGSLSP95,BLDGSLSP95E10,TRAGAS00,TRAGASH2C01,TRALPG00,BLD_RFNBO_DSL,BLD_RFNBO_RAI,BLD_RFNBO_GSL,BLD_RFNBO_GAS,-BLDJET,-TRAHFO00,-TRALFO00,-BLD_RFNBO_JET,-BLD_RFNBO_NAV</v>
      </c>
      <c r="I50" s="31"/>
      <c r="J50" s="31" t="s">
        <v>32</v>
      </c>
      <c r="K50" s="22" t="s">
        <v>45</v>
      </c>
      <c r="L50" s="31"/>
      <c r="M50" s="31"/>
      <c r="N50" s="31"/>
    </row>
    <row r="51" spans="1:14" x14ac:dyDescent="0.25">
      <c r="A51" s="40"/>
      <c r="B51" s="47"/>
      <c r="C51" s="48"/>
      <c r="D51" s="48"/>
    </row>
    <row r="52" spans="1:14" x14ac:dyDescent="0.25">
      <c r="A52" s="40"/>
      <c r="B52" s="47"/>
      <c r="C52" s="48"/>
      <c r="D52" s="48"/>
    </row>
    <row r="53" spans="1:14" x14ac:dyDescent="0.25">
      <c r="A53" s="40"/>
      <c r="B53" s="47"/>
      <c r="C53" s="48"/>
      <c r="D53" s="48"/>
    </row>
    <row r="54" spans="1:14" x14ac:dyDescent="0.25">
      <c r="C54" s="2" t="s">
        <v>49</v>
      </c>
    </row>
    <row r="55" spans="1:14" x14ac:dyDescent="0.25">
      <c r="C55" s="2" t="s">
        <v>50</v>
      </c>
    </row>
    <row r="56" spans="1:14" x14ac:dyDescent="0.25">
      <c r="C56" s="2" t="s">
        <v>51</v>
      </c>
    </row>
    <row r="59" spans="1:14" s="7" customFormat="1" x14ac:dyDescent="0.25">
      <c r="C59" s="5" t="s">
        <v>173</v>
      </c>
    </row>
    <row r="61" spans="1:14" s="34" customFormat="1" x14ac:dyDescent="0.25">
      <c r="C61" s="240" t="s">
        <v>175</v>
      </c>
    </row>
    <row r="62" spans="1:14" s="241" customFormat="1" x14ac:dyDescent="0.25">
      <c r="C62" s="43" t="s">
        <v>33</v>
      </c>
      <c r="D62" s="44" t="s">
        <v>6</v>
      </c>
      <c r="E62" s="236" t="s">
        <v>38</v>
      </c>
      <c r="F62" s="237" t="s">
        <v>39</v>
      </c>
      <c r="G62" s="236" t="s">
        <v>31</v>
      </c>
      <c r="H62" s="236" t="s">
        <v>40</v>
      </c>
      <c r="I62" s="236" t="s">
        <v>7</v>
      </c>
      <c r="J62" s="236" t="s">
        <v>41</v>
      </c>
    </row>
    <row r="63" spans="1:14" x14ac:dyDescent="0.25">
      <c r="A63" s="242" t="s">
        <v>61</v>
      </c>
      <c r="C63" s="20" t="s">
        <v>42</v>
      </c>
      <c r="D63" s="20">
        <v>2026</v>
      </c>
      <c r="E63" s="238"/>
      <c r="F63" s="30">
        <v>0</v>
      </c>
      <c r="G63" s="238"/>
      <c r="H63" s="238"/>
      <c r="I63" s="22" t="s">
        <v>59</v>
      </c>
      <c r="J63" s="22" t="s">
        <v>45</v>
      </c>
    </row>
    <row r="64" spans="1:14" x14ac:dyDescent="0.25">
      <c r="A64" s="243"/>
      <c r="C64" s="20" t="s">
        <v>42</v>
      </c>
      <c r="D64" s="20">
        <v>2027</v>
      </c>
      <c r="E64" s="238"/>
      <c r="F64" s="30">
        <v>2.5123523992965413E-2</v>
      </c>
      <c r="G64" s="238"/>
      <c r="H64" s="238"/>
      <c r="I64" s="22" t="s">
        <v>59</v>
      </c>
      <c r="J64" s="22" t="s">
        <v>45</v>
      </c>
    </row>
    <row r="65" spans="1:10" x14ac:dyDescent="0.25">
      <c r="A65" s="243"/>
      <c r="C65" s="20" t="s">
        <v>42</v>
      </c>
      <c r="D65" s="20">
        <v>2030</v>
      </c>
      <c r="E65" s="238"/>
      <c r="F65" s="50">
        <v>5.0247047985930826E-2</v>
      </c>
      <c r="G65" s="238"/>
      <c r="H65" s="238"/>
      <c r="I65" s="22" t="s">
        <v>59</v>
      </c>
      <c r="J65" s="22" t="s">
        <v>45</v>
      </c>
    </row>
    <row r="66" spans="1:10" x14ac:dyDescent="0.25">
      <c r="A66" s="243"/>
      <c r="C66" s="20" t="s">
        <v>42</v>
      </c>
      <c r="D66" s="20">
        <v>2035</v>
      </c>
      <c r="E66" s="238"/>
      <c r="F66" s="50">
        <v>0.1</v>
      </c>
      <c r="G66" s="238"/>
      <c r="H66" s="238"/>
      <c r="I66" s="22" t="s">
        <v>59</v>
      </c>
      <c r="J66" s="22" t="s">
        <v>45</v>
      </c>
    </row>
    <row r="67" spans="1:10" x14ac:dyDescent="0.25">
      <c r="A67" s="243"/>
      <c r="C67" s="20" t="s">
        <v>42</v>
      </c>
      <c r="D67" s="20">
        <v>2040</v>
      </c>
      <c r="E67" s="238"/>
      <c r="F67" s="50">
        <v>0.15</v>
      </c>
      <c r="G67" s="238"/>
      <c r="H67" s="238"/>
      <c r="I67" s="22" t="s">
        <v>59</v>
      </c>
      <c r="J67" s="22" t="s">
        <v>45</v>
      </c>
    </row>
    <row r="68" spans="1:10" x14ac:dyDescent="0.25">
      <c r="A68" s="243"/>
      <c r="C68" s="20" t="s">
        <v>42</v>
      </c>
      <c r="D68" s="20">
        <v>2045</v>
      </c>
      <c r="E68" s="238"/>
      <c r="F68" s="50">
        <v>0.21</v>
      </c>
      <c r="G68" s="238"/>
      <c r="H68" s="238"/>
      <c r="I68" s="22" t="s">
        <v>59</v>
      </c>
      <c r="J68" s="22" t="s">
        <v>45</v>
      </c>
    </row>
    <row r="69" spans="1:10" x14ac:dyDescent="0.25">
      <c r="A69" s="243"/>
      <c r="C69" s="20" t="s">
        <v>42</v>
      </c>
      <c r="D69" s="20">
        <v>2050</v>
      </c>
      <c r="E69" s="238"/>
      <c r="F69" s="50">
        <v>0.3</v>
      </c>
      <c r="G69" s="238"/>
      <c r="H69" s="238"/>
      <c r="I69" s="22" t="s">
        <v>59</v>
      </c>
      <c r="J69" s="22" t="s">
        <v>45</v>
      </c>
    </row>
    <row r="70" spans="1:10" x14ac:dyDescent="0.25">
      <c r="A70" s="243"/>
      <c r="C70" s="20" t="s">
        <v>42</v>
      </c>
      <c r="D70" s="20">
        <v>2060</v>
      </c>
      <c r="E70" s="238"/>
      <c r="F70" s="50">
        <v>0.41</v>
      </c>
      <c r="G70" s="238"/>
      <c r="H70" s="238"/>
      <c r="I70" s="22" t="s">
        <v>59</v>
      </c>
      <c r="J70" s="22" t="s">
        <v>45</v>
      </c>
    </row>
    <row r="71" spans="1:10" s="34" customFormat="1" x14ac:dyDescent="0.25">
      <c r="A71" s="244"/>
      <c r="C71" s="31" t="s">
        <v>42</v>
      </c>
      <c r="D71" s="31">
        <v>0</v>
      </c>
      <c r="E71" s="239"/>
      <c r="F71" s="55">
        <v>5</v>
      </c>
      <c r="G71" s="239"/>
      <c r="H71" s="239"/>
      <c r="I71" s="39" t="s">
        <v>59</v>
      </c>
      <c r="J71" s="39" t="s">
        <v>45</v>
      </c>
    </row>
    <row r="72" spans="1:10" x14ac:dyDescent="0.25">
      <c r="A72" s="242" t="s">
        <v>60</v>
      </c>
      <c r="C72" s="20" t="s">
        <v>42</v>
      </c>
      <c r="D72" s="20">
        <v>2026</v>
      </c>
      <c r="E72" s="238"/>
      <c r="F72" s="56">
        <v>0</v>
      </c>
      <c r="G72" s="238" t="s">
        <v>169</v>
      </c>
      <c r="H72" s="238"/>
      <c r="I72" s="22" t="s">
        <v>32</v>
      </c>
      <c r="J72" s="22" t="s">
        <v>45</v>
      </c>
    </row>
    <row r="73" spans="1:10" x14ac:dyDescent="0.25">
      <c r="A73" s="243"/>
      <c r="C73" s="20" t="s">
        <v>42</v>
      </c>
      <c r="D73" s="20">
        <v>2027</v>
      </c>
      <c r="E73" s="238"/>
      <c r="F73" s="50">
        <v>2.5123523992965413E-2</v>
      </c>
      <c r="G73" s="238" t="s">
        <v>169</v>
      </c>
      <c r="H73" s="238"/>
      <c r="I73" s="22" t="s">
        <v>32</v>
      </c>
      <c r="J73" s="22" t="s">
        <v>45</v>
      </c>
    </row>
    <row r="74" spans="1:10" x14ac:dyDescent="0.25">
      <c r="A74" s="243"/>
      <c r="C74" s="20" t="s">
        <v>42</v>
      </c>
      <c r="D74" s="20">
        <v>2030</v>
      </c>
      <c r="E74" s="238"/>
      <c r="F74" s="50">
        <v>5.0247047985930826E-2</v>
      </c>
      <c r="G74" s="238" t="s">
        <v>169</v>
      </c>
      <c r="H74" s="238"/>
      <c r="I74" s="22" t="s">
        <v>32</v>
      </c>
      <c r="J74" s="22" t="s">
        <v>45</v>
      </c>
    </row>
    <row r="75" spans="1:10" x14ac:dyDescent="0.25">
      <c r="A75" s="243"/>
      <c r="C75" s="20" t="s">
        <v>42</v>
      </c>
      <c r="D75" s="20">
        <v>2035</v>
      </c>
      <c r="E75" s="238"/>
      <c r="F75" s="50">
        <v>0.1</v>
      </c>
      <c r="G75" s="238" t="s">
        <v>169</v>
      </c>
      <c r="H75" s="238"/>
      <c r="I75" s="22" t="s">
        <v>32</v>
      </c>
      <c r="J75" s="22" t="s">
        <v>45</v>
      </c>
    </row>
    <row r="76" spans="1:10" x14ac:dyDescent="0.25">
      <c r="A76" s="243"/>
      <c r="C76" s="20" t="s">
        <v>42</v>
      </c>
      <c r="D76" s="20">
        <v>2040</v>
      </c>
      <c r="E76" s="238"/>
      <c r="F76" s="50">
        <v>0.15</v>
      </c>
      <c r="G76" s="238" t="s">
        <v>169</v>
      </c>
      <c r="H76" s="238"/>
      <c r="I76" s="22" t="s">
        <v>32</v>
      </c>
      <c r="J76" s="22" t="s">
        <v>45</v>
      </c>
    </row>
    <row r="77" spans="1:10" x14ac:dyDescent="0.25">
      <c r="A77" s="243"/>
      <c r="C77" s="20" t="s">
        <v>42</v>
      </c>
      <c r="D77" s="20">
        <v>2045</v>
      </c>
      <c r="E77" s="238"/>
      <c r="F77" s="50">
        <v>0.21</v>
      </c>
      <c r="G77" s="238" t="s">
        <v>169</v>
      </c>
      <c r="H77" s="238"/>
      <c r="I77" s="22" t="s">
        <v>32</v>
      </c>
      <c r="J77" s="22" t="s">
        <v>45</v>
      </c>
    </row>
    <row r="78" spans="1:10" x14ac:dyDescent="0.25">
      <c r="A78" s="243"/>
      <c r="C78" s="20" t="s">
        <v>42</v>
      </c>
      <c r="D78" s="20">
        <v>2050</v>
      </c>
      <c r="E78" s="238"/>
      <c r="F78" s="50">
        <v>0.3</v>
      </c>
      <c r="G78" s="238" t="s">
        <v>169</v>
      </c>
      <c r="H78" s="238"/>
      <c r="I78" s="22" t="s">
        <v>32</v>
      </c>
      <c r="J78" s="22" t="s">
        <v>45</v>
      </c>
    </row>
    <row r="79" spans="1:10" x14ac:dyDescent="0.25">
      <c r="A79" s="243"/>
      <c r="C79" s="20" t="s">
        <v>42</v>
      </c>
      <c r="D79" s="20">
        <v>2060</v>
      </c>
      <c r="E79" s="238"/>
      <c r="F79" s="50">
        <v>0.41</v>
      </c>
      <c r="G79" s="238" t="s">
        <v>169</v>
      </c>
      <c r="H79" s="238"/>
      <c r="I79" s="22" t="s">
        <v>32</v>
      </c>
      <c r="J79" s="22" t="s">
        <v>45</v>
      </c>
    </row>
    <row r="80" spans="1:10" s="34" customFormat="1" x14ac:dyDescent="0.25">
      <c r="A80" s="244"/>
      <c r="C80" s="53" t="s">
        <v>42</v>
      </c>
      <c r="D80" s="53">
        <v>0</v>
      </c>
      <c r="E80" s="31"/>
      <c r="F80" s="54">
        <v>5</v>
      </c>
      <c r="G80" s="239" t="s">
        <v>169</v>
      </c>
      <c r="H80" s="31"/>
      <c r="I80" s="31" t="s">
        <v>32</v>
      </c>
      <c r="J80" s="39" t="s">
        <v>45</v>
      </c>
    </row>
  </sheetData>
  <mergeCells count="6">
    <mergeCell ref="A72:A80"/>
    <mergeCell ref="A7:A16"/>
    <mergeCell ref="A33:A41"/>
    <mergeCell ref="A42:A50"/>
    <mergeCell ref="A17:A25"/>
    <mergeCell ref="A63:A71"/>
  </mergeCells>
  <pageMargins left="0.7" right="0.7" top="0.75" bottom="0.75" header="0.3" footer="0.3"/>
  <pageSetup paperSize="9" orientation="portrait" horizontalDpi="300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45"/>
  <sheetViews>
    <sheetView zoomScaleNormal="100" workbookViewId="0">
      <selection activeCell="C20" sqref="C20"/>
    </sheetView>
  </sheetViews>
  <sheetFormatPr defaultColWidth="8.88671875" defaultRowHeight="13.2" x14ac:dyDescent="0.25"/>
  <cols>
    <col min="1" max="1" width="42.6640625" style="64" customWidth="1"/>
    <col min="2" max="2" width="8.88671875" style="64"/>
    <col min="3" max="11" width="12.88671875" style="64" customWidth="1"/>
    <col min="12" max="12" width="5.109375" style="64" customWidth="1"/>
    <col min="13" max="15" width="12.88671875" style="64" customWidth="1"/>
    <col min="16" max="16384" width="8.88671875" style="64"/>
  </cols>
  <sheetData>
    <row r="1" spans="1:20" ht="13.8" x14ac:dyDescent="0.3">
      <c r="A1" s="57" t="s">
        <v>62</v>
      </c>
      <c r="B1" s="58"/>
      <c r="C1" s="58"/>
      <c r="D1" s="58"/>
      <c r="E1" s="58"/>
      <c r="F1" s="59">
        <v>1954.5454545454547</v>
      </c>
      <c r="G1" s="60"/>
      <c r="H1" s="60"/>
      <c r="I1" s="60"/>
      <c r="J1" s="60"/>
      <c r="K1" s="60"/>
      <c r="L1" s="60"/>
      <c r="M1" s="61"/>
      <c r="N1" s="62">
        <f>-O10/N10</f>
        <v>1835.2221666666671</v>
      </c>
      <c r="O1" s="63"/>
      <c r="P1" s="57" t="s">
        <v>88</v>
      </c>
    </row>
    <row r="2" spans="1:20" s="71" customFormat="1" ht="55.2" x14ac:dyDescent="0.3">
      <c r="A2" s="65" t="s">
        <v>63</v>
      </c>
      <c r="B2" s="66"/>
      <c r="C2" s="66" t="s">
        <v>64</v>
      </c>
      <c r="D2" s="67" t="s">
        <v>65</v>
      </c>
      <c r="E2" s="68" t="s">
        <v>66</v>
      </c>
      <c r="F2" s="68" t="s">
        <v>67</v>
      </c>
      <c r="G2" s="68" t="s">
        <v>68</v>
      </c>
      <c r="H2" s="68" t="s">
        <v>69</v>
      </c>
      <c r="I2" s="68" t="s">
        <v>70</v>
      </c>
      <c r="J2" s="68" t="s">
        <v>71</v>
      </c>
      <c r="K2" s="68" t="s">
        <v>72</v>
      </c>
      <c r="L2" s="69"/>
      <c r="M2" s="70" t="s">
        <v>73</v>
      </c>
      <c r="N2" s="68" t="s">
        <v>67</v>
      </c>
      <c r="O2" s="68" t="s">
        <v>74</v>
      </c>
      <c r="P2" s="69"/>
    </row>
    <row r="3" spans="1:20" ht="13.8" x14ac:dyDescent="0.3">
      <c r="A3" s="57" t="s">
        <v>89</v>
      </c>
      <c r="B3" s="57">
        <v>2018</v>
      </c>
      <c r="C3" s="57"/>
      <c r="D3" s="72"/>
      <c r="E3" s="73"/>
      <c r="F3" s="74">
        <v>1.7399999999999999E-2</v>
      </c>
      <c r="G3" s="74"/>
      <c r="H3" s="75"/>
      <c r="I3" s="75"/>
      <c r="J3" s="75"/>
      <c r="K3" s="57"/>
      <c r="L3" s="75"/>
      <c r="M3" s="75"/>
      <c r="N3" s="75"/>
      <c r="O3" s="75"/>
      <c r="P3" s="57"/>
    </row>
    <row r="4" spans="1:20" ht="13.8" x14ac:dyDescent="0.3">
      <c r="A4" s="57"/>
      <c r="B4" s="57">
        <v>2019</v>
      </c>
      <c r="C4" s="57"/>
      <c r="D4" s="72"/>
      <c r="E4" s="73"/>
      <c r="F4" s="74">
        <v>1.7399999999999999E-2</v>
      </c>
      <c r="G4" s="74"/>
      <c r="H4" s="75"/>
      <c r="I4" s="75"/>
      <c r="J4" s="75"/>
      <c r="K4" s="57"/>
      <c r="L4" s="75"/>
      <c r="M4" s="75"/>
      <c r="N4" s="75"/>
      <c r="O4" s="75"/>
      <c r="P4" s="57"/>
    </row>
    <row r="5" spans="1:20" ht="13.8" x14ac:dyDescent="0.3">
      <c r="A5" s="76"/>
      <c r="B5" s="76">
        <v>2020</v>
      </c>
      <c r="C5" s="76"/>
      <c r="D5" s="77"/>
      <c r="E5" s="78">
        <f>1615</f>
        <v>1615</v>
      </c>
      <c r="F5" s="79">
        <v>1.7399999999999999E-2</v>
      </c>
      <c r="G5" s="80">
        <f>-$F$1*F5</f>
        <v>-34.009090909090908</v>
      </c>
      <c r="H5" s="81">
        <v>34</v>
      </c>
      <c r="I5" s="81"/>
      <c r="J5" s="81"/>
      <c r="K5" s="76"/>
      <c r="L5" s="81"/>
      <c r="M5" s="76"/>
      <c r="N5" s="76"/>
      <c r="O5" s="81"/>
      <c r="P5" s="76"/>
    </row>
    <row r="6" spans="1:20" ht="13.8" x14ac:dyDescent="0.3">
      <c r="A6" s="57"/>
      <c r="B6" s="57">
        <v>2021</v>
      </c>
      <c r="C6" s="57"/>
      <c r="D6" s="72"/>
      <c r="E6" s="82">
        <f>1572</f>
        <v>1572</v>
      </c>
      <c r="F6" s="74">
        <v>2.1999999999999999E-2</v>
      </c>
      <c r="G6" s="83">
        <f t="shared" ref="G6:G45" si="0">-$F$1*F6</f>
        <v>-43</v>
      </c>
      <c r="H6" s="75">
        <v>43</v>
      </c>
      <c r="I6" s="75"/>
      <c r="J6" s="75"/>
      <c r="K6" s="57"/>
      <c r="L6" s="75"/>
      <c r="M6" s="57"/>
      <c r="N6" s="57"/>
      <c r="O6" s="75"/>
      <c r="P6" s="57"/>
    </row>
    <row r="7" spans="1:20" ht="13.8" x14ac:dyDescent="0.3">
      <c r="A7" s="57"/>
      <c r="B7" s="57">
        <v>2022</v>
      </c>
      <c r="C7" s="57"/>
      <c r="D7" s="72"/>
      <c r="E7" s="82">
        <f>1529</f>
        <v>1529</v>
      </c>
      <c r="F7" s="74">
        <v>2.1999999999999999E-2</v>
      </c>
      <c r="G7" s="83">
        <f t="shared" si="0"/>
        <v>-43</v>
      </c>
      <c r="H7" s="75"/>
      <c r="I7" s="75"/>
      <c r="J7" s="75"/>
      <c r="K7" s="57"/>
      <c r="L7" s="75"/>
      <c r="M7" s="57"/>
      <c r="N7" s="57"/>
      <c r="O7" s="75"/>
      <c r="P7" s="57"/>
    </row>
    <row r="8" spans="1:20" ht="13.8" x14ac:dyDescent="0.3">
      <c r="A8" s="57"/>
      <c r="B8" s="57">
        <v>2023</v>
      </c>
      <c r="C8" s="57"/>
      <c r="D8" s="72"/>
      <c r="E8" s="82">
        <f>1486</f>
        <v>1486</v>
      </c>
      <c r="F8" s="74">
        <v>2.1999999999999999E-2</v>
      </c>
      <c r="G8" s="83">
        <f t="shared" si="0"/>
        <v>-43</v>
      </c>
      <c r="H8" s="75"/>
      <c r="I8" s="75"/>
      <c r="J8" s="75"/>
      <c r="K8" s="57"/>
      <c r="L8" s="75"/>
      <c r="M8" s="57"/>
      <c r="N8" s="57"/>
      <c r="O8" s="75"/>
      <c r="P8" s="57"/>
    </row>
    <row r="9" spans="1:20" ht="13.8" x14ac:dyDescent="0.3">
      <c r="A9" s="57"/>
      <c r="B9" s="57">
        <v>2024</v>
      </c>
      <c r="C9" s="57"/>
      <c r="D9" s="84">
        <f>I9+J9</f>
        <v>1386.9545454545455</v>
      </c>
      <c r="E9" s="85">
        <v>1443</v>
      </c>
      <c r="F9" s="74">
        <v>4.2999999999999997E-2</v>
      </c>
      <c r="G9" s="83">
        <f t="shared" si="0"/>
        <v>-84.045454545454547</v>
      </c>
      <c r="H9" s="86">
        <v>-90</v>
      </c>
      <c r="I9" s="82">
        <f>E8+G9+H9</f>
        <v>1311.9545454545455</v>
      </c>
      <c r="J9" s="75">
        <v>75</v>
      </c>
      <c r="K9" s="87">
        <f t="shared" ref="K9:K31" si="1">-$J$9*F9</f>
        <v>-3.2249999999999996</v>
      </c>
      <c r="L9" s="57"/>
      <c r="M9" s="57"/>
      <c r="N9" s="75"/>
      <c r="O9" s="75"/>
      <c r="P9" s="57"/>
    </row>
    <row r="10" spans="1:20" ht="13.8" x14ac:dyDescent="0.3">
      <c r="A10" s="76"/>
      <c r="B10" s="76">
        <v>2025</v>
      </c>
      <c r="C10" s="76"/>
      <c r="D10" s="88">
        <f>I10+J10</f>
        <v>1299.6840909090911</v>
      </c>
      <c r="E10" s="89">
        <v>1400</v>
      </c>
      <c r="F10" s="79">
        <v>4.2999999999999997E-2</v>
      </c>
      <c r="G10" s="80">
        <f t="shared" si="0"/>
        <v>-84.045454545454547</v>
      </c>
      <c r="H10" s="81"/>
      <c r="I10" s="78">
        <f>I9+G10+H10</f>
        <v>1227.909090909091</v>
      </c>
      <c r="J10" s="81">
        <f>J9+K9</f>
        <v>71.775000000000006</v>
      </c>
      <c r="K10" s="90">
        <f t="shared" si="1"/>
        <v>-3.2249999999999996</v>
      </c>
      <c r="L10" s="81"/>
      <c r="M10" s="81">
        <f>1223481445/1000/1000</f>
        <v>1223.4814450000001</v>
      </c>
      <c r="N10" s="91">
        <v>5.0999999999999997E-2</v>
      </c>
      <c r="O10" s="81">
        <f>-(M10-M12)/2</f>
        <v>-93.596330500000022</v>
      </c>
      <c r="P10" s="57">
        <v>1057014.5596800002</v>
      </c>
      <c r="Q10" s="64" t="s">
        <v>158</v>
      </c>
      <c r="R10" s="64" t="s">
        <v>159</v>
      </c>
      <c r="S10" s="64" t="s">
        <v>160</v>
      </c>
      <c r="T10" s="64" t="s">
        <v>161</v>
      </c>
    </row>
    <row r="11" spans="1:20" ht="13.8" x14ac:dyDescent="0.3">
      <c r="A11" s="57"/>
      <c r="B11" s="57">
        <v>2026</v>
      </c>
      <c r="C11" s="57"/>
      <c r="D11" s="84">
        <f t="shared" ref="D11:D31" si="2">I11+J11</f>
        <v>1185.4136363636364</v>
      </c>
      <c r="E11" s="85">
        <v>1357</v>
      </c>
      <c r="F11" s="74">
        <v>4.2999999999999997E-2</v>
      </c>
      <c r="G11" s="83">
        <f t="shared" si="0"/>
        <v>-84.045454545454547</v>
      </c>
      <c r="H11" s="75">
        <v>-27</v>
      </c>
      <c r="I11" s="82">
        <f t="shared" ref="I11:I31" si="3">I10+G11+H11</f>
        <v>1116.8636363636365</v>
      </c>
      <c r="J11" s="75">
        <f t="shared" ref="J11:J31" si="4">J10+K10</f>
        <v>68.550000000000011</v>
      </c>
      <c r="K11" s="87">
        <f t="shared" si="1"/>
        <v>-3.2249999999999996</v>
      </c>
      <c r="L11" s="75"/>
      <c r="M11" s="75">
        <f>M10+O11</f>
        <v>1129.8851145000001</v>
      </c>
      <c r="N11" s="92">
        <v>5.0999999999999997E-2</v>
      </c>
      <c r="O11" s="75">
        <f>O10</f>
        <v>-93.596330500000022</v>
      </c>
      <c r="P11" s="57"/>
      <c r="S11" s="214">
        <v>180000</v>
      </c>
    </row>
    <row r="12" spans="1:20" ht="13.8" x14ac:dyDescent="0.3">
      <c r="A12" s="93"/>
      <c r="B12" s="93">
        <v>2027</v>
      </c>
      <c r="C12" s="93"/>
      <c r="D12" s="94">
        <f t="shared" si="2"/>
        <v>1098.143181818182</v>
      </c>
      <c r="E12" s="95">
        <v>1314</v>
      </c>
      <c r="F12" s="96">
        <v>4.2999999999999997E-2</v>
      </c>
      <c r="G12" s="97">
        <f t="shared" si="0"/>
        <v>-84.045454545454547</v>
      </c>
      <c r="H12" s="98"/>
      <c r="I12" s="99">
        <f t="shared" si="3"/>
        <v>1032.818181818182</v>
      </c>
      <c r="J12" s="98">
        <f t="shared" si="4"/>
        <v>65.325000000000017</v>
      </c>
      <c r="K12" s="100">
        <f t="shared" si="1"/>
        <v>-3.2249999999999996</v>
      </c>
      <c r="L12" s="98"/>
      <c r="M12" s="81">
        <f>1036288784/1000/1000</f>
        <v>1036.2887840000001</v>
      </c>
      <c r="N12" s="101">
        <f>N11</f>
        <v>5.0999999999999997E-2</v>
      </c>
      <c r="O12" s="98">
        <f>-N12*$N$1</f>
        <v>-93.596330500000022</v>
      </c>
    </row>
    <row r="13" spans="1:20" ht="13.8" x14ac:dyDescent="0.3">
      <c r="A13" s="57"/>
      <c r="B13" s="57">
        <v>2028</v>
      </c>
      <c r="C13" s="57"/>
      <c r="D13" s="84">
        <f t="shared" si="2"/>
        <v>1008.918181818182</v>
      </c>
      <c r="E13" s="85">
        <v>1271</v>
      </c>
      <c r="F13" s="74">
        <v>4.3999999999999997E-2</v>
      </c>
      <c r="G13" s="83">
        <f t="shared" si="0"/>
        <v>-86</v>
      </c>
      <c r="H13" s="75"/>
      <c r="I13" s="82">
        <f t="shared" si="3"/>
        <v>946.81818181818198</v>
      </c>
      <c r="J13" s="75">
        <f t="shared" si="4"/>
        <v>62.100000000000016</v>
      </c>
      <c r="K13" s="87">
        <f t="shared" si="1"/>
        <v>-3.3</v>
      </c>
      <c r="L13" s="75"/>
      <c r="M13" s="102">
        <f>M12+O13</f>
        <v>937.55383143333336</v>
      </c>
      <c r="N13" s="103">
        <v>5.3800000000000001E-2</v>
      </c>
      <c r="O13" s="102">
        <f t="shared" ref="O13:O30" si="5">-N13*$N$1</f>
        <v>-98.734952566666692</v>
      </c>
    </row>
    <row r="14" spans="1:20" ht="13.8" x14ac:dyDescent="0.3">
      <c r="A14" s="57"/>
      <c r="B14" s="57">
        <v>2029</v>
      </c>
      <c r="C14" s="57"/>
      <c r="D14" s="84">
        <f t="shared" si="2"/>
        <v>919.61818181818205</v>
      </c>
      <c r="E14" s="85">
        <v>1228</v>
      </c>
      <c r="F14" s="74">
        <v>4.3999999999999997E-2</v>
      </c>
      <c r="G14" s="83">
        <f t="shared" si="0"/>
        <v>-86</v>
      </c>
      <c r="H14" s="75"/>
      <c r="I14" s="82">
        <f t="shared" si="3"/>
        <v>860.81818181818198</v>
      </c>
      <c r="J14" s="75">
        <f t="shared" si="4"/>
        <v>58.800000000000018</v>
      </c>
      <c r="K14" s="87">
        <f t="shared" si="1"/>
        <v>-3.3</v>
      </c>
      <c r="L14" s="75"/>
      <c r="M14" s="102">
        <f t="shared" ref="M14:M30" si="6">M13+O14</f>
        <v>838.81887886666664</v>
      </c>
      <c r="N14" s="103">
        <f t="shared" ref="N14:N45" si="7">N13</f>
        <v>5.3800000000000001E-2</v>
      </c>
      <c r="O14" s="102">
        <f t="shared" si="5"/>
        <v>-98.734952566666692</v>
      </c>
    </row>
    <row r="15" spans="1:20" ht="13.8" x14ac:dyDescent="0.3">
      <c r="A15" s="76"/>
      <c r="B15" s="76">
        <v>2030</v>
      </c>
      <c r="C15" s="76"/>
      <c r="D15" s="88">
        <f t="shared" si="2"/>
        <v>830.31818181818198</v>
      </c>
      <c r="E15" s="89">
        <v>1184</v>
      </c>
      <c r="F15" s="79">
        <v>4.3999999999999997E-2</v>
      </c>
      <c r="G15" s="80">
        <f t="shared" si="0"/>
        <v>-86</v>
      </c>
      <c r="H15" s="81"/>
      <c r="I15" s="78">
        <f t="shared" si="3"/>
        <v>774.81818181818198</v>
      </c>
      <c r="J15" s="81">
        <f t="shared" si="4"/>
        <v>55.500000000000021</v>
      </c>
      <c r="K15" s="90">
        <f t="shared" si="1"/>
        <v>-3.3</v>
      </c>
      <c r="L15" s="81"/>
      <c r="M15" s="104">
        <f t="shared" si="6"/>
        <v>740.08392629999992</v>
      </c>
      <c r="N15" s="105">
        <f t="shared" si="7"/>
        <v>5.3800000000000001E-2</v>
      </c>
      <c r="O15" s="104">
        <f t="shared" si="5"/>
        <v>-98.734952566666692</v>
      </c>
      <c r="P15" s="57">
        <v>1004163.8316960001</v>
      </c>
      <c r="Q15" s="64">
        <v>500000</v>
      </c>
      <c r="R15" s="64">
        <v>16000</v>
      </c>
      <c r="S15" s="215">
        <v>100000</v>
      </c>
      <c r="T15" s="216">
        <f>P15-Q15-R15-S15</f>
        <v>388163.83169600007</v>
      </c>
    </row>
    <row r="16" spans="1:20" ht="13.8" x14ac:dyDescent="0.3">
      <c r="A16" s="57"/>
      <c r="B16" s="57">
        <v>2031</v>
      </c>
      <c r="C16" s="57"/>
      <c r="D16" s="106">
        <f t="shared" si="2"/>
        <v>741.01818181818203</v>
      </c>
      <c r="E16" s="107"/>
      <c r="F16" s="108">
        <f>F15</f>
        <v>4.3999999999999997E-2</v>
      </c>
      <c r="G16" s="102">
        <f t="shared" si="0"/>
        <v>-86</v>
      </c>
      <c r="H16" s="102"/>
      <c r="I16" s="102">
        <f t="shared" si="3"/>
        <v>688.81818181818198</v>
      </c>
      <c r="J16" s="102">
        <f t="shared" si="4"/>
        <v>52.200000000000024</v>
      </c>
      <c r="K16" s="102">
        <f t="shared" si="1"/>
        <v>-3.3</v>
      </c>
      <c r="L16" s="75"/>
      <c r="M16" s="102">
        <f t="shared" si="6"/>
        <v>641.3489737333332</v>
      </c>
      <c r="N16" s="103">
        <f t="shared" si="7"/>
        <v>5.3800000000000001E-2</v>
      </c>
      <c r="O16" s="102">
        <f t="shared" si="5"/>
        <v>-98.734952566666692</v>
      </c>
      <c r="P16" s="57">
        <v>1004163.8316960001</v>
      </c>
      <c r="R16" s="64">
        <f>(R$20-R$15)/5+R15</f>
        <v>15800</v>
      </c>
      <c r="S16" s="64">
        <f>(S$20-S$15)/5+S15</f>
        <v>96000</v>
      </c>
      <c r="T16" s="216">
        <f t="shared" ref="T16:T35" si="8">P16-Q16-R16-S16</f>
        <v>892363.83169600007</v>
      </c>
    </row>
    <row r="17" spans="1:20" ht="13.8" x14ac:dyDescent="0.3">
      <c r="A17" s="57"/>
      <c r="B17" s="57">
        <v>2032</v>
      </c>
      <c r="C17" s="57"/>
      <c r="D17" s="106">
        <f t="shared" si="2"/>
        <v>651.71818181818196</v>
      </c>
      <c r="E17" s="107"/>
      <c r="F17" s="108">
        <f t="shared" ref="F17:F45" si="9">F16</f>
        <v>4.3999999999999997E-2</v>
      </c>
      <c r="G17" s="102">
        <f t="shared" si="0"/>
        <v>-86</v>
      </c>
      <c r="H17" s="102"/>
      <c r="I17" s="102">
        <f t="shared" si="3"/>
        <v>602.81818181818198</v>
      </c>
      <c r="J17" s="102">
        <f t="shared" si="4"/>
        <v>48.900000000000027</v>
      </c>
      <c r="K17" s="102">
        <f t="shared" si="1"/>
        <v>-3.3</v>
      </c>
      <c r="L17" s="75"/>
      <c r="M17" s="102">
        <f t="shared" si="6"/>
        <v>542.61402116666648</v>
      </c>
      <c r="N17" s="103">
        <f t="shared" si="7"/>
        <v>5.3800000000000001E-2</v>
      </c>
      <c r="O17" s="102">
        <f t="shared" si="5"/>
        <v>-98.734952566666692</v>
      </c>
      <c r="P17" s="57">
        <v>1004163.8316960001</v>
      </c>
      <c r="R17" s="64">
        <f t="shared" ref="R17:S19" si="10">(R$20-R$15)/5+R16</f>
        <v>15600</v>
      </c>
      <c r="S17" s="64">
        <f t="shared" si="10"/>
        <v>92000</v>
      </c>
      <c r="T17" s="216">
        <f t="shared" si="8"/>
        <v>896563.83169600007</v>
      </c>
    </row>
    <row r="18" spans="1:20" ht="13.8" x14ac:dyDescent="0.3">
      <c r="A18" s="57"/>
      <c r="B18" s="57">
        <v>2033</v>
      </c>
      <c r="C18" s="57"/>
      <c r="D18" s="106">
        <f t="shared" si="2"/>
        <v>562.41818181818201</v>
      </c>
      <c r="E18" s="107"/>
      <c r="F18" s="108">
        <f t="shared" si="9"/>
        <v>4.3999999999999997E-2</v>
      </c>
      <c r="G18" s="102">
        <f t="shared" si="0"/>
        <v>-86</v>
      </c>
      <c r="H18" s="102"/>
      <c r="I18" s="102">
        <f t="shared" si="3"/>
        <v>516.81818181818198</v>
      </c>
      <c r="J18" s="102">
        <f t="shared" si="4"/>
        <v>45.60000000000003</v>
      </c>
      <c r="K18" s="102">
        <f t="shared" si="1"/>
        <v>-3.3</v>
      </c>
      <c r="L18" s="75"/>
      <c r="M18" s="102">
        <f t="shared" si="6"/>
        <v>443.87906859999975</v>
      </c>
      <c r="N18" s="103">
        <f t="shared" si="7"/>
        <v>5.3800000000000001E-2</v>
      </c>
      <c r="O18" s="102">
        <f t="shared" si="5"/>
        <v>-98.734952566666692</v>
      </c>
      <c r="P18" s="57">
        <v>1004163.8316960001</v>
      </c>
      <c r="R18" s="64">
        <f t="shared" si="10"/>
        <v>15400</v>
      </c>
      <c r="S18" s="64">
        <f t="shared" si="10"/>
        <v>88000</v>
      </c>
      <c r="T18" s="216">
        <f t="shared" si="8"/>
        <v>900763.83169600007</v>
      </c>
    </row>
    <row r="19" spans="1:20" ht="13.8" x14ac:dyDescent="0.3">
      <c r="A19" s="57"/>
      <c r="B19" s="57">
        <v>2034</v>
      </c>
      <c r="C19" s="57"/>
      <c r="D19" s="106">
        <f t="shared" si="2"/>
        <v>473.11818181818199</v>
      </c>
      <c r="E19" s="107"/>
      <c r="F19" s="108">
        <f t="shared" si="9"/>
        <v>4.3999999999999997E-2</v>
      </c>
      <c r="G19" s="102">
        <f t="shared" si="0"/>
        <v>-86</v>
      </c>
      <c r="H19" s="102"/>
      <c r="I19" s="102">
        <f t="shared" si="3"/>
        <v>430.81818181818198</v>
      </c>
      <c r="J19" s="102">
        <f t="shared" si="4"/>
        <v>42.300000000000033</v>
      </c>
      <c r="K19" s="102">
        <f t="shared" si="1"/>
        <v>-3.3</v>
      </c>
      <c r="L19" s="75"/>
      <c r="M19" s="102">
        <f t="shared" si="6"/>
        <v>345.14411603333303</v>
      </c>
      <c r="N19" s="103">
        <f t="shared" si="7"/>
        <v>5.3800000000000001E-2</v>
      </c>
      <c r="O19" s="102">
        <f t="shared" si="5"/>
        <v>-98.734952566666692</v>
      </c>
      <c r="P19" s="57">
        <v>1004163.8316960001</v>
      </c>
      <c r="R19" s="64">
        <f t="shared" si="10"/>
        <v>15200</v>
      </c>
      <c r="S19" s="64">
        <f t="shared" si="10"/>
        <v>84000</v>
      </c>
      <c r="T19" s="216">
        <f t="shared" si="8"/>
        <v>904963.83169600007</v>
      </c>
    </row>
    <row r="20" spans="1:20" ht="13.8" x14ac:dyDescent="0.3">
      <c r="A20" s="57" t="s">
        <v>90</v>
      </c>
      <c r="B20" s="76">
        <v>2035</v>
      </c>
      <c r="C20" s="209">
        <f>D20+M20</f>
        <v>630.22734528484841</v>
      </c>
      <c r="D20" s="210">
        <f t="shared" si="2"/>
        <v>383.81818181818204</v>
      </c>
      <c r="E20" s="211"/>
      <c r="F20" s="212">
        <f t="shared" si="9"/>
        <v>4.3999999999999997E-2</v>
      </c>
      <c r="G20" s="104">
        <f t="shared" si="0"/>
        <v>-86</v>
      </c>
      <c r="H20" s="104"/>
      <c r="I20" s="104">
        <f t="shared" si="3"/>
        <v>344.81818181818198</v>
      </c>
      <c r="J20" s="104">
        <f t="shared" si="4"/>
        <v>39.000000000000036</v>
      </c>
      <c r="K20" s="104">
        <f t="shared" si="1"/>
        <v>-3.3</v>
      </c>
      <c r="L20" s="81"/>
      <c r="M20" s="104">
        <f t="shared" si="6"/>
        <v>246.40916346666634</v>
      </c>
      <c r="N20" s="105">
        <f t="shared" si="7"/>
        <v>5.3800000000000001E-2</v>
      </c>
      <c r="O20" s="104">
        <f t="shared" si="5"/>
        <v>-98.734952566666692</v>
      </c>
      <c r="P20" s="57">
        <v>1004163.8316960001</v>
      </c>
      <c r="Q20" s="213"/>
      <c r="R20" s="64">
        <v>15000</v>
      </c>
      <c r="S20" s="215">
        <v>80000</v>
      </c>
      <c r="T20" s="216">
        <f t="shared" si="8"/>
        <v>909163.83169600007</v>
      </c>
    </row>
    <row r="21" spans="1:20" ht="13.8" x14ac:dyDescent="0.3">
      <c r="A21" s="57"/>
      <c r="B21" s="57">
        <v>2036</v>
      </c>
      <c r="C21" s="109">
        <f t="shared" ref="C21:C31" si="11">D21+M21</f>
        <v>442.19239271818168</v>
      </c>
      <c r="D21" s="106">
        <f t="shared" si="2"/>
        <v>294.51818181818203</v>
      </c>
      <c r="E21" s="107"/>
      <c r="F21" s="108">
        <f t="shared" si="9"/>
        <v>4.3999999999999997E-2</v>
      </c>
      <c r="G21" s="102">
        <f t="shared" si="0"/>
        <v>-86</v>
      </c>
      <c r="H21" s="102"/>
      <c r="I21" s="112">
        <f t="shared" si="3"/>
        <v>258.81818181818198</v>
      </c>
      <c r="J21" s="102">
        <f t="shared" si="4"/>
        <v>35.700000000000038</v>
      </c>
      <c r="K21" s="102">
        <f t="shared" si="1"/>
        <v>-3.3</v>
      </c>
      <c r="L21" s="75"/>
      <c r="M21" s="102">
        <f t="shared" si="6"/>
        <v>147.67421089999965</v>
      </c>
      <c r="N21" s="103">
        <f t="shared" si="7"/>
        <v>5.3800000000000001E-2</v>
      </c>
      <c r="O21" s="102">
        <f t="shared" si="5"/>
        <v>-98.734952566666692</v>
      </c>
      <c r="P21" s="57">
        <v>1004163.8316960001</v>
      </c>
      <c r="R21" s="64">
        <f>(R$25-R$20)/5+R20</f>
        <v>14700</v>
      </c>
      <c r="S21" s="64">
        <f>(S$25-S$20)/5+S20</f>
        <v>76000</v>
      </c>
      <c r="T21" s="216">
        <f t="shared" si="8"/>
        <v>913463.83169600007</v>
      </c>
    </row>
    <row r="22" spans="1:20" ht="13.8" x14ac:dyDescent="0.3">
      <c r="A22" s="57"/>
      <c r="B22" s="57">
        <v>2037</v>
      </c>
      <c r="C22" s="109">
        <f t="shared" si="11"/>
        <v>254.15744015151498</v>
      </c>
      <c r="D22" s="106">
        <f t="shared" si="2"/>
        <v>205.21818181818202</v>
      </c>
      <c r="E22" s="107"/>
      <c r="F22" s="108">
        <f t="shared" si="9"/>
        <v>4.3999999999999997E-2</v>
      </c>
      <c r="G22" s="102">
        <f t="shared" si="0"/>
        <v>-86</v>
      </c>
      <c r="H22" s="102"/>
      <c r="I22" s="112">
        <f t="shared" si="3"/>
        <v>172.81818181818198</v>
      </c>
      <c r="J22" s="102">
        <f t="shared" si="4"/>
        <v>32.400000000000041</v>
      </c>
      <c r="K22" s="102">
        <f t="shared" si="1"/>
        <v>-3.3</v>
      </c>
      <c r="L22" s="75"/>
      <c r="M22" s="102">
        <f t="shared" si="6"/>
        <v>48.939258333332958</v>
      </c>
      <c r="N22" s="103">
        <f t="shared" si="7"/>
        <v>5.3800000000000001E-2</v>
      </c>
      <c r="O22" s="102">
        <f t="shared" si="5"/>
        <v>-98.734952566666692</v>
      </c>
      <c r="P22" s="57">
        <v>1004163.8316960001</v>
      </c>
      <c r="R22" s="64">
        <f t="shared" ref="R22:S24" si="12">(R$25-R$20)/5+R21</f>
        <v>14400</v>
      </c>
      <c r="S22" s="64">
        <f t="shared" si="12"/>
        <v>72000</v>
      </c>
      <c r="T22" s="216">
        <f t="shared" si="8"/>
        <v>917763.83169600007</v>
      </c>
    </row>
    <row r="23" spans="1:20" ht="13.8" x14ac:dyDescent="0.3">
      <c r="A23" s="57" t="s">
        <v>75</v>
      </c>
      <c r="B23" s="57">
        <v>2038</v>
      </c>
      <c r="C23" s="109">
        <f t="shared" si="11"/>
        <v>66.122487584848287</v>
      </c>
      <c r="D23" s="106">
        <f t="shared" si="2"/>
        <v>115.91818181818202</v>
      </c>
      <c r="E23" s="107"/>
      <c r="F23" s="108">
        <f t="shared" si="9"/>
        <v>4.3999999999999997E-2</v>
      </c>
      <c r="G23" s="102">
        <f t="shared" si="0"/>
        <v>-86</v>
      </c>
      <c r="H23" s="102"/>
      <c r="I23" s="112">
        <f t="shared" si="3"/>
        <v>86.818181818181984</v>
      </c>
      <c r="J23" s="102">
        <f t="shared" si="4"/>
        <v>29.100000000000041</v>
      </c>
      <c r="K23" s="102">
        <f t="shared" si="1"/>
        <v>-3.3</v>
      </c>
      <c r="L23" s="75"/>
      <c r="M23" s="102">
        <f t="shared" si="6"/>
        <v>-49.795694233333734</v>
      </c>
      <c r="N23" s="103">
        <f t="shared" si="7"/>
        <v>5.3800000000000001E-2</v>
      </c>
      <c r="O23" s="102">
        <f t="shared" si="5"/>
        <v>-98.734952566666692</v>
      </c>
      <c r="P23" s="57">
        <v>1004163.8316960001</v>
      </c>
      <c r="R23" s="64">
        <f t="shared" si="12"/>
        <v>14100</v>
      </c>
      <c r="S23" s="64">
        <f t="shared" si="12"/>
        <v>68000</v>
      </c>
      <c r="T23" s="216">
        <f t="shared" si="8"/>
        <v>922063.83169600007</v>
      </c>
    </row>
    <row r="24" spans="1:20" ht="13.8" x14ac:dyDescent="0.3">
      <c r="A24" s="57" t="s">
        <v>76</v>
      </c>
      <c r="B24" s="57">
        <v>2039</v>
      </c>
      <c r="C24" s="109">
        <f t="shared" si="11"/>
        <v>-121.9124649818184</v>
      </c>
      <c r="D24" s="106">
        <f t="shared" si="2"/>
        <v>26.618181818182023</v>
      </c>
      <c r="E24" s="107"/>
      <c r="F24" s="108">
        <f t="shared" si="9"/>
        <v>4.3999999999999997E-2</v>
      </c>
      <c r="G24" s="102">
        <f t="shared" si="0"/>
        <v>-86</v>
      </c>
      <c r="H24" s="102"/>
      <c r="I24" s="112">
        <f t="shared" si="3"/>
        <v>0.81818181818198354</v>
      </c>
      <c r="J24" s="102">
        <f t="shared" si="4"/>
        <v>25.80000000000004</v>
      </c>
      <c r="K24" s="102">
        <f t="shared" si="1"/>
        <v>-3.3</v>
      </c>
      <c r="L24" s="75"/>
      <c r="M24" s="102">
        <f t="shared" si="6"/>
        <v>-148.53064680000043</v>
      </c>
      <c r="N24" s="103">
        <f t="shared" si="7"/>
        <v>5.3800000000000001E-2</v>
      </c>
      <c r="O24" s="102">
        <f t="shared" si="5"/>
        <v>-98.734952566666692</v>
      </c>
      <c r="P24" s="57">
        <v>1004163.8316960001</v>
      </c>
      <c r="R24" s="64">
        <f t="shared" si="12"/>
        <v>13800</v>
      </c>
      <c r="S24" s="64">
        <f t="shared" si="12"/>
        <v>64000</v>
      </c>
      <c r="T24" s="216">
        <f t="shared" si="8"/>
        <v>926363.83169600007</v>
      </c>
    </row>
    <row r="25" spans="1:20" ht="13.8" x14ac:dyDescent="0.3">
      <c r="A25" s="57" t="s">
        <v>77</v>
      </c>
      <c r="B25" s="76">
        <v>2040</v>
      </c>
      <c r="C25" s="209">
        <f t="shared" si="11"/>
        <v>-309.94741754848508</v>
      </c>
      <c r="D25" s="210">
        <f t="shared" si="2"/>
        <v>-62.681818181817974</v>
      </c>
      <c r="E25" s="211"/>
      <c r="F25" s="212">
        <f t="shared" si="9"/>
        <v>4.3999999999999997E-2</v>
      </c>
      <c r="G25" s="104">
        <f t="shared" si="0"/>
        <v>-86</v>
      </c>
      <c r="H25" s="104"/>
      <c r="I25" s="104">
        <f t="shared" si="3"/>
        <v>-85.181818181818016</v>
      </c>
      <c r="J25" s="104">
        <f t="shared" si="4"/>
        <v>22.500000000000039</v>
      </c>
      <c r="K25" s="104">
        <f t="shared" si="1"/>
        <v>-3.3</v>
      </c>
      <c r="L25" s="81"/>
      <c r="M25" s="104">
        <f t="shared" si="6"/>
        <v>-247.26559936666712</v>
      </c>
      <c r="N25" s="105">
        <f t="shared" si="7"/>
        <v>5.3800000000000001E-2</v>
      </c>
      <c r="O25" s="104">
        <f t="shared" si="5"/>
        <v>-98.734952566666692</v>
      </c>
      <c r="P25" s="57">
        <v>1004163.8316960001</v>
      </c>
      <c r="Q25" s="213"/>
      <c r="R25" s="64">
        <v>13500</v>
      </c>
      <c r="S25" s="215">
        <v>60000</v>
      </c>
      <c r="T25" s="216">
        <f t="shared" si="8"/>
        <v>930663.83169600007</v>
      </c>
    </row>
    <row r="26" spans="1:20" ht="13.8" x14ac:dyDescent="0.3">
      <c r="A26" s="57" t="s">
        <v>78</v>
      </c>
      <c r="B26" s="57">
        <v>2041</v>
      </c>
      <c r="C26" s="109">
        <f t="shared" si="11"/>
        <v>-497.98237011515175</v>
      </c>
      <c r="D26" s="106">
        <f t="shared" si="2"/>
        <v>-151.98181818181797</v>
      </c>
      <c r="E26" s="107"/>
      <c r="F26" s="108">
        <f t="shared" si="9"/>
        <v>4.3999999999999997E-2</v>
      </c>
      <c r="G26" s="102">
        <f t="shared" si="0"/>
        <v>-86</v>
      </c>
      <c r="H26" s="102"/>
      <c r="I26" s="112">
        <f t="shared" si="3"/>
        <v>-171.18181818181802</v>
      </c>
      <c r="J26" s="102">
        <f t="shared" si="4"/>
        <v>19.200000000000038</v>
      </c>
      <c r="K26" s="102">
        <f t="shared" si="1"/>
        <v>-3.3</v>
      </c>
      <c r="L26" s="75"/>
      <c r="M26" s="102">
        <f t="shared" si="6"/>
        <v>-346.00055193333378</v>
      </c>
      <c r="N26" s="103">
        <f t="shared" si="7"/>
        <v>5.3800000000000001E-2</v>
      </c>
      <c r="O26" s="102">
        <f t="shared" si="5"/>
        <v>-98.734952566666692</v>
      </c>
      <c r="P26" s="57">
        <v>1004163.8316960001</v>
      </c>
      <c r="R26" s="64">
        <f>(R$30-R$25)/5+R25</f>
        <v>13400</v>
      </c>
      <c r="S26" s="64">
        <f>(S$30-S$25)/5+S25</f>
        <v>59000</v>
      </c>
      <c r="T26" s="216">
        <f t="shared" si="8"/>
        <v>931763.83169600007</v>
      </c>
    </row>
    <row r="27" spans="1:20" ht="13.8" x14ac:dyDescent="0.3">
      <c r="A27" s="57" t="s">
        <v>79</v>
      </c>
      <c r="B27" s="57">
        <v>2042</v>
      </c>
      <c r="C27" s="109">
        <f t="shared" si="11"/>
        <v>-686.01732268181854</v>
      </c>
      <c r="D27" s="106">
        <f t="shared" si="2"/>
        <v>-241.28181818181798</v>
      </c>
      <c r="E27" s="107"/>
      <c r="F27" s="108">
        <f t="shared" si="9"/>
        <v>4.3999999999999997E-2</v>
      </c>
      <c r="G27" s="102">
        <f t="shared" si="0"/>
        <v>-86</v>
      </c>
      <c r="H27" s="102"/>
      <c r="I27" s="112">
        <f t="shared" si="3"/>
        <v>-257.18181818181802</v>
      </c>
      <c r="J27" s="102">
        <f t="shared" si="4"/>
        <v>15.900000000000038</v>
      </c>
      <c r="K27" s="102">
        <f t="shared" si="1"/>
        <v>-3.3</v>
      </c>
      <c r="L27" s="75"/>
      <c r="M27" s="102">
        <f t="shared" si="6"/>
        <v>-444.7355045000005</v>
      </c>
      <c r="N27" s="103">
        <f t="shared" si="7"/>
        <v>5.3800000000000001E-2</v>
      </c>
      <c r="O27" s="102">
        <f t="shared" si="5"/>
        <v>-98.734952566666692</v>
      </c>
      <c r="P27" s="57">
        <v>1004163.8316960001</v>
      </c>
      <c r="R27" s="64">
        <f t="shared" ref="R27:S29" si="13">(R$30-R$25)/5+R26</f>
        <v>13300</v>
      </c>
      <c r="S27" s="64">
        <f t="shared" si="13"/>
        <v>58000</v>
      </c>
      <c r="T27" s="216">
        <f t="shared" si="8"/>
        <v>932863.83169600007</v>
      </c>
    </row>
    <row r="28" spans="1:20" ht="13.8" x14ac:dyDescent="0.3">
      <c r="A28" s="57"/>
      <c r="B28" s="57">
        <v>2043</v>
      </c>
      <c r="C28" s="109">
        <f t="shared" si="11"/>
        <v>-874.05227524848522</v>
      </c>
      <c r="D28" s="106">
        <f t="shared" si="2"/>
        <v>-330.58181818181799</v>
      </c>
      <c r="E28" s="107"/>
      <c r="F28" s="108">
        <f t="shared" si="9"/>
        <v>4.3999999999999997E-2</v>
      </c>
      <c r="G28" s="102">
        <f t="shared" si="0"/>
        <v>-86</v>
      </c>
      <c r="H28" s="102"/>
      <c r="I28" s="112">
        <f t="shared" si="3"/>
        <v>-343.18181818181802</v>
      </c>
      <c r="J28" s="102">
        <f t="shared" si="4"/>
        <v>12.600000000000037</v>
      </c>
      <c r="K28" s="102">
        <f t="shared" si="1"/>
        <v>-3.3</v>
      </c>
      <c r="L28" s="75"/>
      <c r="M28" s="102">
        <f t="shared" si="6"/>
        <v>-543.47045706666722</v>
      </c>
      <c r="N28" s="103">
        <f t="shared" si="7"/>
        <v>5.3800000000000001E-2</v>
      </c>
      <c r="O28" s="102">
        <f t="shared" si="5"/>
        <v>-98.734952566666692</v>
      </c>
      <c r="P28" s="57">
        <v>1004163.8316960001</v>
      </c>
      <c r="R28" s="64">
        <f t="shared" si="13"/>
        <v>13200</v>
      </c>
      <c r="S28" s="64">
        <f t="shared" si="13"/>
        <v>57000</v>
      </c>
      <c r="T28" s="216">
        <f t="shared" si="8"/>
        <v>933963.83169600007</v>
      </c>
    </row>
    <row r="29" spans="1:20" ht="13.8" x14ac:dyDescent="0.3">
      <c r="A29" s="57"/>
      <c r="B29" s="57">
        <v>2044</v>
      </c>
      <c r="C29" s="109">
        <f t="shared" si="11"/>
        <v>-1062.0872278151519</v>
      </c>
      <c r="D29" s="106">
        <f t="shared" si="2"/>
        <v>-419.88181818181801</v>
      </c>
      <c r="E29" s="107"/>
      <c r="F29" s="108">
        <f t="shared" si="9"/>
        <v>4.3999999999999997E-2</v>
      </c>
      <c r="G29" s="102">
        <f t="shared" si="0"/>
        <v>-86</v>
      </c>
      <c r="H29" s="102"/>
      <c r="I29" s="112">
        <f t="shared" si="3"/>
        <v>-429.18181818181802</v>
      </c>
      <c r="J29" s="102">
        <f t="shared" si="4"/>
        <v>9.3000000000000362</v>
      </c>
      <c r="K29" s="102">
        <f t="shared" si="1"/>
        <v>-3.3</v>
      </c>
      <c r="L29" s="75"/>
      <c r="M29" s="102">
        <f t="shared" si="6"/>
        <v>-642.20540963333394</v>
      </c>
      <c r="N29" s="103">
        <f t="shared" si="7"/>
        <v>5.3800000000000001E-2</v>
      </c>
      <c r="O29" s="102">
        <f t="shared" si="5"/>
        <v>-98.734952566666692</v>
      </c>
      <c r="P29" s="57">
        <v>1004163.8316960001</v>
      </c>
      <c r="R29" s="64">
        <f t="shared" si="13"/>
        <v>13100</v>
      </c>
      <c r="S29" s="64">
        <f t="shared" si="13"/>
        <v>56000</v>
      </c>
      <c r="T29" s="216">
        <f t="shared" si="8"/>
        <v>935063.83169600007</v>
      </c>
    </row>
    <row r="30" spans="1:20" ht="13.8" x14ac:dyDescent="0.3">
      <c r="A30" s="57"/>
      <c r="B30" s="76">
        <v>2045</v>
      </c>
      <c r="C30" s="209">
        <f t="shared" si="11"/>
        <v>-1250.1221803818187</v>
      </c>
      <c r="D30" s="210">
        <f t="shared" si="2"/>
        <v>-509.18181818181796</v>
      </c>
      <c r="E30" s="211"/>
      <c r="F30" s="212">
        <f t="shared" si="9"/>
        <v>4.3999999999999997E-2</v>
      </c>
      <c r="G30" s="104">
        <f t="shared" si="0"/>
        <v>-86</v>
      </c>
      <c r="H30" s="104"/>
      <c r="I30" s="104">
        <f t="shared" si="3"/>
        <v>-515.18181818181802</v>
      </c>
      <c r="J30" s="104">
        <f t="shared" si="4"/>
        <v>6.0000000000000364</v>
      </c>
      <c r="K30" s="104">
        <f t="shared" si="1"/>
        <v>-3.3</v>
      </c>
      <c r="L30" s="81"/>
      <c r="M30" s="104">
        <f t="shared" si="6"/>
        <v>-740.94036220000066</v>
      </c>
      <c r="N30" s="105">
        <f t="shared" si="7"/>
        <v>5.3800000000000001E-2</v>
      </c>
      <c r="O30" s="104">
        <f t="shared" si="5"/>
        <v>-98.734952566666692</v>
      </c>
      <c r="P30" s="57">
        <v>1004163.8316960001</v>
      </c>
      <c r="Q30" s="213"/>
      <c r="R30" s="64">
        <v>13000</v>
      </c>
      <c r="S30" s="215">
        <v>55000</v>
      </c>
      <c r="T30" s="216">
        <f t="shared" si="8"/>
        <v>936163.83169600007</v>
      </c>
    </row>
    <row r="31" spans="1:20" ht="13.8" x14ac:dyDescent="0.3">
      <c r="A31" s="57"/>
      <c r="B31" s="57">
        <v>2046</v>
      </c>
      <c r="C31" s="109">
        <f t="shared" si="11"/>
        <v>-598.48181818181797</v>
      </c>
      <c r="D31" s="106">
        <f t="shared" si="2"/>
        <v>-598.48181818181797</v>
      </c>
      <c r="E31" s="107"/>
      <c r="F31" s="108">
        <f t="shared" si="9"/>
        <v>4.3999999999999997E-2</v>
      </c>
      <c r="G31" s="102">
        <f t="shared" si="0"/>
        <v>-86</v>
      </c>
      <c r="H31" s="102"/>
      <c r="I31" s="112">
        <f t="shared" si="3"/>
        <v>-601.18181818181802</v>
      </c>
      <c r="J31" s="102">
        <f t="shared" si="4"/>
        <v>2.7000000000000366</v>
      </c>
      <c r="K31" s="102">
        <f t="shared" si="1"/>
        <v>-3.3</v>
      </c>
      <c r="L31" s="75"/>
      <c r="M31" s="102"/>
      <c r="N31" s="103">
        <f t="shared" si="7"/>
        <v>5.3800000000000001E-2</v>
      </c>
      <c r="O31" s="102"/>
      <c r="P31" s="57">
        <v>1004163.8316960001</v>
      </c>
      <c r="R31" s="64">
        <f>(R$35-R$30)/5+R30</f>
        <v>12700</v>
      </c>
      <c r="S31" s="64">
        <f>(S$35-S$30)/5+S30</f>
        <v>54000</v>
      </c>
      <c r="T31" s="216">
        <f t="shared" si="8"/>
        <v>937463.83169600007</v>
      </c>
    </row>
    <row r="32" spans="1:20" ht="13.8" x14ac:dyDescent="0.3">
      <c r="A32" s="57"/>
      <c r="B32" s="57">
        <v>2047</v>
      </c>
      <c r="C32" s="57"/>
      <c r="D32" s="107"/>
      <c r="E32" s="107"/>
      <c r="F32" s="108">
        <f t="shared" si="9"/>
        <v>4.3999999999999997E-2</v>
      </c>
      <c r="G32" s="102">
        <f t="shared" si="0"/>
        <v>-86</v>
      </c>
      <c r="H32" s="102"/>
      <c r="I32" s="102"/>
      <c r="J32" s="102"/>
      <c r="K32" s="102"/>
      <c r="L32" s="75"/>
      <c r="M32" s="102"/>
      <c r="N32" s="103">
        <f t="shared" si="7"/>
        <v>5.3800000000000001E-2</v>
      </c>
      <c r="O32" s="102"/>
      <c r="P32" s="57">
        <v>1004163.8316960001</v>
      </c>
      <c r="R32" s="64">
        <f t="shared" ref="R32:S34" si="14">(R$35-R$30)/5+R31</f>
        <v>12400</v>
      </c>
      <c r="S32" s="64">
        <f t="shared" si="14"/>
        <v>53000</v>
      </c>
      <c r="T32" s="216">
        <f t="shared" si="8"/>
        <v>938763.83169600007</v>
      </c>
    </row>
    <row r="33" spans="1:20" ht="13.8" x14ac:dyDescent="0.3">
      <c r="A33" s="57"/>
      <c r="B33" s="57">
        <v>2048</v>
      </c>
      <c r="C33" s="57"/>
      <c r="D33" s="107"/>
      <c r="E33" s="107"/>
      <c r="F33" s="108">
        <f t="shared" si="9"/>
        <v>4.3999999999999997E-2</v>
      </c>
      <c r="G33" s="102">
        <f t="shared" si="0"/>
        <v>-86</v>
      </c>
      <c r="H33" s="102"/>
      <c r="I33" s="102"/>
      <c r="J33" s="102"/>
      <c r="K33" s="102"/>
      <c r="L33" s="75"/>
      <c r="M33" s="102"/>
      <c r="N33" s="103">
        <f t="shared" si="7"/>
        <v>5.3800000000000001E-2</v>
      </c>
      <c r="O33" s="102"/>
      <c r="P33" s="57">
        <v>1004163.8316960001</v>
      </c>
      <c r="R33" s="64">
        <f t="shared" si="14"/>
        <v>12100</v>
      </c>
      <c r="S33" s="64">
        <f t="shared" si="14"/>
        <v>52000</v>
      </c>
      <c r="T33" s="216">
        <f t="shared" si="8"/>
        <v>940063.83169600007</v>
      </c>
    </row>
    <row r="34" spans="1:20" ht="13.8" x14ac:dyDescent="0.3">
      <c r="A34" s="57"/>
      <c r="B34" s="57">
        <v>2049</v>
      </c>
      <c r="C34" s="57"/>
      <c r="D34" s="107"/>
      <c r="E34" s="107"/>
      <c r="F34" s="108">
        <f t="shared" si="9"/>
        <v>4.3999999999999997E-2</v>
      </c>
      <c r="G34" s="102">
        <f t="shared" si="0"/>
        <v>-86</v>
      </c>
      <c r="H34" s="102"/>
      <c r="I34" s="102"/>
      <c r="J34" s="102"/>
      <c r="K34" s="102"/>
      <c r="L34" s="75"/>
      <c r="M34" s="102"/>
      <c r="N34" s="103">
        <f t="shared" si="7"/>
        <v>5.3800000000000001E-2</v>
      </c>
      <c r="O34" s="102"/>
      <c r="P34" s="57">
        <v>1004163.8316960001</v>
      </c>
      <c r="R34" s="64">
        <f t="shared" si="14"/>
        <v>11800</v>
      </c>
      <c r="S34" s="64">
        <f t="shared" si="14"/>
        <v>51000</v>
      </c>
      <c r="T34" s="216">
        <f t="shared" si="8"/>
        <v>941363.83169600007</v>
      </c>
    </row>
    <row r="35" spans="1:20" ht="13.8" x14ac:dyDescent="0.3">
      <c r="A35" s="57"/>
      <c r="B35" s="76">
        <v>2050</v>
      </c>
      <c r="C35" s="76"/>
      <c r="D35" s="211"/>
      <c r="E35" s="211"/>
      <c r="F35" s="212">
        <f t="shared" si="9"/>
        <v>4.3999999999999997E-2</v>
      </c>
      <c r="G35" s="104">
        <f t="shared" si="0"/>
        <v>-86</v>
      </c>
      <c r="H35" s="104"/>
      <c r="I35" s="104"/>
      <c r="J35" s="104"/>
      <c r="K35" s="104"/>
      <c r="L35" s="81"/>
      <c r="M35" s="104"/>
      <c r="N35" s="105">
        <f t="shared" si="7"/>
        <v>5.3800000000000001E-2</v>
      </c>
      <c r="O35" s="104"/>
      <c r="P35" s="57">
        <v>1004163.8316960001</v>
      </c>
      <c r="Q35" s="213"/>
      <c r="R35" s="64">
        <v>11500</v>
      </c>
      <c r="S35" s="215">
        <v>50000</v>
      </c>
      <c r="T35" s="216">
        <f t="shared" si="8"/>
        <v>942663.83169600007</v>
      </c>
    </row>
    <row r="36" spans="1:20" ht="13.8" x14ac:dyDescent="0.3">
      <c r="A36" s="57"/>
      <c r="B36" s="57">
        <v>2051</v>
      </c>
      <c r="C36" s="57"/>
      <c r="D36" s="107"/>
      <c r="E36" s="107"/>
      <c r="F36" s="108">
        <f t="shared" si="9"/>
        <v>4.3999999999999997E-2</v>
      </c>
      <c r="G36" s="102">
        <f t="shared" si="0"/>
        <v>-86</v>
      </c>
      <c r="H36" s="102"/>
      <c r="I36" s="102"/>
      <c r="J36" s="102"/>
      <c r="K36" s="102"/>
      <c r="L36" s="75"/>
      <c r="M36" s="102"/>
      <c r="N36" s="103">
        <f t="shared" si="7"/>
        <v>5.3800000000000001E-2</v>
      </c>
      <c r="O36" s="102"/>
      <c r="P36" s="57"/>
    </row>
    <row r="37" spans="1:20" ht="13.8" x14ac:dyDescent="0.3">
      <c r="A37" s="57"/>
      <c r="B37" s="57">
        <v>2052</v>
      </c>
      <c r="C37" s="57"/>
      <c r="D37" s="107"/>
      <c r="E37" s="107"/>
      <c r="F37" s="108">
        <f t="shared" si="9"/>
        <v>4.3999999999999997E-2</v>
      </c>
      <c r="G37" s="102">
        <f t="shared" si="0"/>
        <v>-86</v>
      </c>
      <c r="H37" s="102"/>
      <c r="I37" s="102"/>
      <c r="J37" s="102"/>
      <c r="K37" s="102"/>
      <c r="L37" s="75"/>
      <c r="M37" s="102"/>
      <c r="N37" s="103">
        <f t="shared" si="7"/>
        <v>5.3800000000000001E-2</v>
      </c>
      <c r="O37" s="102"/>
      <c r="P37" s="57"/>
    </row>
    <row r="38" spans="1:20" ht="13.8" x14ac:dyDescent="0.3">
      <c r="A38" s="57"/>
      <c r="B38" s="57">
        <v>2053</v>
      </c>
      <c r="C38" s="57"/>
      <c r="D38" s="107"/>
      <c r="E38" s="107"/>
      <c r="F38" s="108">
        <f t="shared" si="9"/>
        <v>4.3999999999999997E-2</v>
      </c>
      <c r="G38" s="102">
        <f t="shared" si="0"/>
        <v>-86</v>
      </c>
      <c r="H38" s="102"/>
      <c r="I38" s="102"/>
      <c r="J38" s="102"/>
      <c r="K38" s="102"/>
      <c r="L38" s="75"/>
      <c r="M38" s="102"/>
      <c r="N38" s="103">
        <f t="shared" si="7"/>
        <v>5.3800000000000001E-2</v>
      </c>
      <c r="O38" s="102"/>
      <c r="P38" s="57"/>
    </row>
    <row r="39" spans="1:20" ht="13.8" x14ac:dyDescent="0.3">
      <c r="A39" s="57"/>
      <c r="B39" s="57">
        <v>2054</v>
      </c>
      <c r="C39" s="57"/>
      <c r="D39" s="107"/>
      <c r="E39" s="107"/>
      <c r="F39" s="108">
        <f t="shared" si="9"/>
        <v>4.3999999999999997E-2</v>
      </c>
      <c r="G39" s="102">
        <f t="shared" si="0"/>
        <v>-86</v>
      </c>
      <c r="H39" s="102"/>
      <c r="I39" s="102"/>
      <c r="J39" s="102"/>
      <c r="K39" s="102"/>
      <c r="L39" s="75"/>
      <c r="M39" s="102"/>
      <c r="N39" s="103">
        <f t="shared" si="7"/>
        <v>5.3800000000000001E-2</v>
      </c>
      <c r="O39" s="102"/>
      <c r="P39" s="57"/>
    </row>
    <row r="40" spans="1:20" ht="13.8" x14ac:dyDescent="0.3">
      <c r="A40" s="57"/>
      <c r="B40" s="58">
        <v>2055</v>
      </c>
      <c r="C40" s="58"/>
      <c r="D40" s="110"/>
      <c r="E40" s="110"/>
      <c r="F40" s="111">
        <f t="shared" si="9"/>
        <v>4.3999999999999997E-2</v>
      </c>
      <c r="G40" s="112">
        <f t="shared" si="0"/>
        <v>-86</v>
      </c>
      <c r="H40" s="112"/>
      <c r="I40" s="112"/>
      <c r="J40" s="112"/>
      <c r="K40" s="112"/>
      <c r="L40" s="113"/>
      <c r="M40" s="112"/>
      <c r="N40" s="114">
        <f t="shared" si="7"/>
        <v>5.3800000000000001E-2</v>
      </c>
      <c r="O40" s="112"/>
      <c r="P40" s="57"/>
    </row>
    <row r="41" spans="1:20" ht="13.8" x14ac:dyDescent="0.3">
      <c r="A41" s="57"/>
      <c r="B41" s="57">
        <v>2056</v>
      </c>
      <c r="C41" s="57"/>
      <c r="D41" s="107"/>
      <c r="E41" s="107"/>
      <c r="F41" s="108">
        <f t="shared" si="9"/>
        <v>4.3999999999999997E-2</v>
      </c>
      <c r="G41" s="102">
        <f t="shared" si="0"/>
        <v>-86</v>
      </c>
      <c r="H41" s="102"/>
      <c r="I41" s="102"/>
      <c r="J41" s="102"/>
      <c r="K41" s="102"/>
      <c r="L41" s="75"/>
      <c r="M41" s="102"/>
      <c r="N41" s="103">
        <f t="shared" si="7"/>
        <v>5.3800000000000001E-2</v>
      </c>
      <c r="O41" s="102"/>
      <c r="P41" s="57"/>
    </row>
    <row r="42" spans="1:20" ht="13.8" x14ac:dyDescent="0.3">
      <c r="A42" s="57"/>
      <c r="B42" s="57">
        <v>2057</v>
      </c>
      <c r="C42" s="57"/>
      <c r="D42" s="107"/>
      <c r="E42" s="107"/>
      <c r="F42" s="108">
        <f t="shared" si="9"/>
        <v>4.3999999999999997E-2</v>
      </c>
      <c r="G42" s="102">
        <f t="shared" si="0"/>
        <v>-86</v>
      </c>
      <c r="H42" s="102"/>
      <c r="I42" s="102"/>
      <c r="J42" s="102"/>
      <c r="K42" s="102"/>
      <c r="L42" s="75"/>
      <c r="M42" s="102"/>
      <c r="N42" s="103">
        <f t="shared" si="7"/>
        <v>5.3800000000000001E-2</v>
      </c>
      <c r="O42" s="102"/>
      <c r="P42" s="57"/>
    </row>
    <row r="43" spans="1:20" ht="13.8" x14ac:dyDescent="0.3">
      <c r="A43" s="57"/>
      <c r="B43" s="57">
        <v>2058</v>
      </c>
      <c r="C43" s="57"/>
      <c r="D43" s="107"/>
      <c r="E43" s="107"/>
      <c r="F43" s="108">
        <f t="shared" si="9"/>
        <v>4.3999999999999997E-2</v>
      </c>
      <c r="G43" s="102">
        <f t="shared" si="0"/>
        <v>-86</v>
      </c>
      <c r="H43" s="102"/>
      <c r="I43" s="102"/>
      <c r="J43" s="102"/>
      <c r="K43" s="102"/>
      <c r="L43" s="75"/>
      <c r="M43" s="102"/>
      <c r="N43" s="103">
        <f t="shared" si="7"/>
        <v>5.3800000000000001E-2</v>
      </c>
      <c r="O43" s="102"/>
      <c r="P43" s="57"/>
    </row>
    <row r="44" spans="1:20" ht="13.8" x14ac:dyDescent="0.3">
      <c r="A44" s="57"/>
      <c r="B44" s="57">
        <v>2059</v>
      </c>
      <c r="C44" s="57"/>
      <c r="D44" s="107"/>
      <c r="E44" s="107"/>
      <c r="F44" s="108">
        <f t="shared" si="9"/>
        <v>4.3999999999999997E-2</v>
      </c>
      <c r="G44" s="102">
        <f t="shared" si="0"/>
        <v>-86</v>
      </c>
      <c r="H44" s="102"/>
      <c r="I44" s="102"/>
      <c r="J44" s="102"/>
      <c r="K44" s="102"/>
      <c r="L44" s="75"/>
      <c r="M44" s="102"/>
      <c r="N44" s="103">
        <f t="shared" si="7"/>
        <v>5.3800000000000001E-2</v>
      </c>
      <c r="O44" s="102"/>
      <c r="P44" s="57"/>
    </row>
    <row r="45" spans="1:20" ht="13.8" x14ac:dyDescent="0.3">
      <c r="A45" s="57"/>
      <c r="B45" s="58">
        <v>2060</v>
      </c>
      <c r="C45" s="58"/>
      <c r="D45" s="110"/>
      <c r="E45" s="110"/>
      <c r="F45" s="111">
        <f t="shared" si="9"/>
        <v>4.3999999999999997E-2</v>
      </c>
      <c r="G45" s="112">
        <f t="shared" si="0"/>
        <v>-86</v>
      </c>
      <c r="H45" s="112"/>
      <c r="I45" s="112"/>
      <c r="J45" s="112"/>
      <c r="K45" s="112"/>
      <c r="L45" s="113"/>
      <c r="M45" s="112"/>
      <c r="N45" s="114">
        <f t="shared" si="7"/>
        <v>5.3800000000000001E-2</v>
      </c>
      <c r="O45" s="112"/>
      <c r="P45" s="57"/>
    </row>
  </sheetData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152"/>
  <sheetViews>
    <sheetView workbookViewId="0"/>
  </sheetViews>
  <sheetFormatPr defaultColWidth="11.5546875" defaultRowHeight="11.4" x14ac:dyDescent="0.2"/>
  <cols>
    <col min="1" max="1" width="11.5546875" style="191"/>
    <col min="2" max="2" width="30.88671875" style="191" customWidth="1"/>
    <col min="3" max="16384" width="11.5546875" style="191"/>
  </cols>
  <sheetData>
    <row r="1" spans="1:34" s="193" customFormat="1" ht="17.399999999999999" x14ac:dyDescent="0.3">
      <c r="A1" s="195" t="s">
        <v>140</v>
      </c>
      <c r="H1" s="194"/>
      <c r="L1" s="194" t="s">
        <v>139</v>
      </c>
    </row>
    <row r="2" spans="1:34" s="192" customFormat="1" ht="12" x14ac:dyDescent="0.25">
      <c r="A2" s="192" t="s">
        <v>105</v>
      </c>
      <c r="B2" s="192" t="s">
        <v>106</v>
      </c>
      <c r="C2" s="192" t="s">
        <v>110</v>
      </c>
      <c r="D2" s="192" t="s">
        <v>138</v>
      </c>
      <c r="E2" s="192" t="s">
        <v>10</v>
      </c>
      <c r="F2" s="192" t="s">
        <v>0</v>
      </c>
      <c r="G2" s="192" t="s">
        <v>11</v>
      </c>
      <c r="H2" s="192" t="s">
        <v>34</v>
      </c>
      <c r="I2" s="192" t="s">
        <v>12</v>
      </c>
      <c r="J2" s="192" t="s">
        <v>13</v>
      </c>
      <c r="K2" s="192" t="s">
        <v>1</v>
      </c>
      <c r="L2" s="192" t="s">
        <v>14</v>
      </c>
      <c r="M2" s="192" t="s">
        <v>15</v>
      </c>
      <c r="N2" s="192" t="s">
        <v>35</v>
      </c>
      <c r="O2" s="192" t="s">
        <v>2</v>
      </c>
      <c r="P2" s="192" t="s">
        <v>3</v>
      </c>
      <c r="Q2" s="192" t="s">
        <v>4</v>
      </c>
      <c r="R2" s="192" t="s">
        <v>30</v>
      </c>
      <c r="S2" s="192" t="s">
        <v>16</v>
      </c>
      <c r="T2" s="192" t="s">
        <v>17</v>
      </c>
      <c r="U2" s="192" t="s">
        <v>36</v>
      </c>
      <c r="V2" s="192" t="s">
        <v>18</v>
      </c>
      <c r="W2" s="192" t="s">
        <v>19</v>
      </c>
      <c r="X2" s="192" t="s">
        <v>20</v>
      </c>
      <c r="Y2" s="192" t="s">
        <v>21</v>
      </c>
      <c r="Z2" s="192" t="s">
        <v>22</v>
      </c>
      <c r="AA2" s="192" t="s">
        <v>23</v>
      </c>
      <c r="AB2" s="192" t="s">
        <v>37</v>
      </c>
      <c r="AC2" s="192" t="s">
        <v>24</v>
      </c>
      <c r="AD2" s="192" t="s">
        <v>25</v>
      </c>
      <c r="AE2" s="192" t="s">
        <v>26</v>
      </c>
      <c r="AF2" s="192" t="s">
        <v>27</v>
      </c>
      <c r="AG2" s="192" t="s">
        <v>28</v>
      </c>
      <c r="AH2" s="192" t="s">
        <v>29</v>
      </c>
    </row>
    <row r="3" spans="1:34" x14ac:dyDescent="0.2">
      <c r="A3" s="191" t="s">
        <v>137</v>
      </c>
      <c r="B3" s="191" t="s">
        <v>136</v>
      </c>
      <c r="C3" s="191">
        <v>2005</v>
      </c>
      <c r="D3" s="191" t="s">
        <v>107</v>
      </c>
      <c r="E3" s="196">
        <v>11210.7695092047</v>
      </c>
      <c r="F3" s="196">
        <v>18765.898640943</v>
      </c>
      <c r="G3" s="196">
        <v>7045.4143670090198</v>
      </c>
      <c r="H3" s="196">
        <v>6000.1131552032302</v>
      </c>
      <c r="I3" s="196">
        <v>908.28367772486797</v>
      </c>
      <c r="J3" s="196">
        <v>18715.290744412701</v>
      </c>
      <c r="K3" s="196">
        <v>112500.13122890001</v>
      </c>
      <c r="L3" s="196">
        <v>5615.2854476774401</v>
      </c>
      <c r="M3" s="196">
        <v>1031.1009319044199</v>
      </c>
      <c r="N3" s="196">
        <v>10134.3729985392</v>
      </c>
      <c r="O3" s="196">
        <v>68319.411530431404</v>
      </c>
      <c r="P3" s="196">
        <v>11186.177841750499</v>
      </c>
      <c r="Q3" s="196">
        <v>67022.668556578297</v>
      </c>
      <c r="R3" s="196">
        <v>3724.0224243411999</v>
      </c>
      <c r="S3" s="196">
        <v>4564.97202462726</v>
      </c>
      <c r="T3" s="196">
        <v>5411.4127630685198</v>
      </c>
      <c r="U3" s="196">
        <v>287.03489044449998</v>
      </c>
      <c r="V3" s="196">
        <v>90785.927329759506</v>
      </c>
      <c r="W3" s="196">
        <v>1468.6652905741901</v>
      </c>
      <c r="X3" s="196">
        <v>1357.6850356601699</v>
      </c>
      <c r="Y3" s="196">
        <v>1143.5875288606101</v>
      </c>
      <c r="Z3" s="196">
        <v>27.760899999999999</v>
      </c>
      <c r="AA3" s="196">
        <v>28673.868330276098</v>
      </c>
      <c r="AB3" s="196">
        <v>3201.2666103121001</v>
      </c>
      <c r="AC3" s="196">
        <v>33669.648148155196</v>
      </c>
      <c r="AD3" s="196">
        <v>10406.6500121261</v>
      </c>
      <c r="AE3" s="196">
        <v>17387.0238796052</v>
      </c>
      <c r="AF3" s="196">
        <v>9913.1329707514396</v>
      </c>
      <c r="AG3" s="196">
        <v>2432.7456414174399</v>
      </c>
      <c r="AH3" s="196">
        <v>8530.1711546812003</v>
      </c>
    </row>
    <row r="4" spans="1:34" x14ac:dyDescent="0.2">
      <c r="A4" s="191" t="s">
        <v>137</v>
      </c>
      <c r="B4" s="191" t="s">
        <v>136</v>
      </c>
      <c r="C4" s="191">
        <v>2010</v>
      </c>
      <c r="D4" s="191" t="s">
        <v>107</v>
      </c>
      <c r="E4" s="196">
        <v>11039.267647443899</v>
      </c>
      <c r="F4" s="196">
        <v>15752.003020485001</v>
      </c>
      <c r="G4" s="196">
        <v>3128.4848679750398</v>
      </c>
      <c r="H4" s="196">
        <v>5820.3791399901402</v>
      </c>
      <c r="I4" s="196">
        <v>696.57831999999996</v>
      </c>
      <c r="J4" s="196">
        <v>12021.1638867659</v>
      </c>
      <c r="K4" s="196">
        <v>123316.96000158</v>
      </c>
      <c r="L4" s="196">
        <v>4548.0704213218096</v>
      </c>
      <c r="M4" s="196">
        <v>788.16452315568097</v>
      </c>
      <c r="N4" s="196">
        <v>6813.2421903135</v>
      </c>
      <c r="O4" s="196">
        <v>48780.970531062601</v>
      </c>
      <c r="P4" s="196">
        <v>9890.8909724949808</v>
      </c>
      <c r="Q4" s="196">
        <v>58156.8008830365</v>
      </c>
      <c r="R4" s="196">
        <v>3015.7995984999998</v>
      </c>
      <c r="S4" s="196">
        <v>3343.7315891221901</v>
      </c>
      <c r="T4" s="196">
        <v>4176.8384204875601</v>
      </c>
      <c r="U4" s="196">
        <v>132.8308614833</v>
      </c>
      <c r="V4" s="196">
        <v>68899.427805690197</v>
      </c>
      <c r="W4" s="196">
        <v>1273.66040972668</v>
      </c>
      <c r="X4" s="196">
        <v>1257.2430699424301</v>
      </c>
      <c r="Y4" s="196">
        <v>1073.7096626120899</v>
      </c>
      <c r="Z4" s="196">
        <v>30.753799999999998</v>
      </c>
      <c r="AA4" s="196">
        <v>28348.436991185801</v>
      </c>
      <c r="AB4" s="196">
        <v>3319.2843214023001</v>
      </c>
      <c r="AC4" s="196">
        <v>29402.607271866302</v>
      </c>
      <c r="AD4" s="196">
        <v>9030.9546737621295</v>
      </c>
      <c r="AE4" s="196">
        <v>14958.161985455899</v>
      </c>
      <c r="AF4" s="196">
        <v>8459.0327831888499</v>
      </c>
      <c r="AG4" s="196">
        <v>1910.1105501673401</v>
      </c>
      <c r="AH4" s="196">
        <v>7612.5108788899897</v>
      </c>
    </row>
    <row r="5" spans="1:34" x14ac:dyDescent="0.2">
      <c r="A5" s="191" t="s">
        <v>137</v>
      </c>
      <c r="B5" s="191" t="s">
        <v>136</v>
      </c>
      <c r="C5" s="191">
        <v>2015</v>
      </c>
      <c r="D5" s="191" t="s">
        <v>107</v>
      </c>
      <c r="E5" s="196">
        <v>10066.037086312999</v>
      </c>
      <c r="F5" s="196">
        <v>13601.0270674723</v>
      </c>
      <c r="G5" s="196">
        <v>2819.7098224760798</v>
      </c>
      <c r="H5" s="196">
        <v>4939.6188167215996</v>
      </c>
      <c r="I5" s="196">
        <v>600.15823999999998</v>
      </c>
      <c r="J5" s="196">
        <v>9770.6661329823201</v>
      </c>
      <c r="K5" s="196">
        <v>125161.59140316999</v>
      </c>
      <c r="L5" s="196">
        <v>3909.9610806934302</v>
      </c>
      <c r="M5" s="196">
        <v>653.27812150914099</v>
      </c>
      <c r="N5" s="196">
        <v>5166.2807929972596</v>
      </c>
      <c r="O5" s="196">
        <v>41127.242353551999</v>
      </c>
      <c r="P5" s="196">
        <v>6594.9574136621404</v>
      </c>
      <c r="Q5" s="196">
        <v>50544.263127331898</v>
      </c>
      <c r="R5" s="196">
        <v>2222.7048992999999</v>
      </c>
      <c r="S5" s="196">
        <v>4114.9847562790801</v>
      </c>
      <c r="T5" s="196">
        <v>4289.0235867267002</v>
      </c>
      <c r="U5" s="196">
        <v>111.5486552177</v>
      </c>
      <c r="V5" s="196">
        <v>54552.429501797698</v>
      </c>
      <c r="W5" s="196">
        <v>1167.4249093552901</v>
      </c>
      <c r="X5" s="196">
        <v>1132.87406066171</v>
      </c>
      <c r="Y5" s="196">
        <v>640.33501570060503</v>
      </c>
      <c r="Z5" s="196">
        <v>59.7014</v>
      </c>
      <c r="AA5" s="196">
        <v>25414.113034695001</v>
      </c>
      <c r="AB5" s="196">
        <v>2870.5024840802998</v>
      </c>
      <c r="AC5" s="196">
        <v>27703.777605728999</v>
      </c>
      <c r="AD5" s="196">
        <v>7681.75954269249</v>
      </c>
      <c r="AE5" s="196">
        <v>12979.5252880895</v>
      </c>
      <c r="AF5" s="196">
        <v>6887.0239885659103</v>
      </c>
      <c r="AG5" s="196">
        <v>1584.3375895669701</v>
      </c>
      <c r="AH5" s="196">
        <v>6713.2271515756702</v>
      </c>
    </row>
    <row r="6" spans="1:34" x14ac:dyDescent="0.2">
      <c r="A6" s="191" t="s">
        <v>137</v>
      </c>
      <c r="B6" s="191" t="s">
        <v>136</v>
      </c>
      <c r="C6" s="191">
        <v>2019</v>
      </c>
      <c r="D6" s="191" t="s">
        <v>107</v>
      </c>
      <c r="E6" s="196">
        <v>10687.497110868901</v>
      </c>
      <c r="F6" s="196">
        <v>13757.1075340306</v>
      </c>
      <c r="G6" s="196">
        <v>4144.7756705613401</v>
      </c>
      <c r="H6" s="196">
        <v>4664.3677560140104</v>
      </c>
      <c r="I6" s="196">
        <v>559.88119995</v>
      </c>
      <c r="J6" s="196">
        <v>9673.4923549182495</v>
      </c>
      <c r="K6" s="196">
        <v>121411.40913585</v>
      </c>
      <c r="L6" s="196">
        <v>3865.3885622990101</v>
      </c>
      <c r="M6" s="196">
        <v>711.73633433223699</v>
      </c>
      <c r="N6" s="196">
        <v>4568.50014117912</v>
      </c>
      <c r="O6" s="196">
        <v>45648.958474569299</v>
      </c>
      <c r="P6" s="196">
        <v>6415.0235630686202</v>
      </c>
      <c r="Q6" s="196">
        <v>48143.575306694198</v>
      </c>
      <c r="R6" s="196">
        <v>2421.1091673000001</v>
      </c>
      <c r="S6" s="196">
        <v>5102.4257833680203</v>
      </c>
      <c r="T6" s="196">
        <v>4604.1387835166297</v>
      </c>
      <c r="U6" s="196">
        <v>67.411305642100004</v>
      </c>
      <c r="V6" s="196">
        <v>48972.330720763697</v>
      </c>
      <c r="W6" s="196">
        <v>1277.6706809495299</v>
      </c>
      <c r="X6" s="196">
        <v>1218.8898029304701</v>
      </c>
      <c r="Y6" s="196">
        <v>625.85299134652303</v>
      </c>
      <c r="Z6" s="196">
        <v>47.116900200000003</v>
      </c>
      <c r="AA6" s="196">
        <v>26826.924635064799</v>
      </c>
      <c r="AB6" s="196">
        <v>2871.6025368832002</v>
      </c>
      <c r="AC6" s="196">
        <v>30876.565944382201</v>
      </c>
      <c r="AD6" s="196">
        <v>7676.6400178837002</v>
      </c>
      <c r="AE6" s="196">
        <v>13285.768619980499</v>
      </c>
      <c r="AF6" s="196">
        <v>6714.2124458830503</v>
      </c>
      <c r="AG6" s="196">
        <v>1724.9511765403199</v>
      </c>
      <c r="AH6" s="196">
        <v>6278.5490647814704</v>
      </c>
    </row>
    <row r="7" spans="1:34" x14ac:dyDescent="0.2">
      <c r="A7" s="191" t="s">
        <v>137</v>
      </c>
      <c r="B7" s="191" t="s">
        <v>136</v>
      </c>
      <c r="C7" s="191">
        <v>2021</v>
      </c>
      <c r="D7" s="191" t="s">
        <v>107</v>
      </c>
      <c r="E7" s="196">
        <v>10791.7152679256</v>
      </c>
      <c r="F7" s="196">
        <v>13841.2125210419</v>
      </c>
      <c r="G7" s="196">
        <v>4526.9115933453904</v>
      </c>
      <c r="H7" s="196">
        <v>4553.8685555707498</v>
      </c>
      <c r="I7" s="196">
        <v>522.07010574000003</v>
      </c>
      <c r="J7" s="196">
        <v>12770.4088127247</v>
      </c>
      <c r="K7" s="196">
        <v>124987.07422382</v>
      </c>
      <c r="L7" s="196">
        <v>3841.4293097796799</v>
      </c>
      <c r="M7" s="196">
        <v>393.76103425181901</v>
      </c>
      <c r="N7" s="196">
        <v>4779.7906463379304</v>
      </c>
      <c r="O7" s="196">
        <v>45392.126113115701</v>
      </c>
      <c r="P7" s="196">
        <v>6248.5200827139497</v>
      </c>
      <c r="Q7" s="196">
        <v>46852.479325467699</v>
      </c>
      <c r="R7" s="196">
        <v>2418.0554476000002</v>
      </c>
      <c r="S7" s="196">
        <v>5160.2044345208797</v>
      </c>
      <c r="T7" s="196">
        <v>4603.5374363798001</v>
      </c>
      <c r="U7" s="196">
        <v>73.092722407699995</v>
      </c>
      <c r="V7" s="196">
        <v>52790.8411234378</v>
      </c>
      <c r="W7" s="196">
        <v>1256.56823557289</v>
      </c>
      <c r="X7" s="196">
        <v>1170.7086553030999</v>
      </c>
      <c r="Y7" s="196">
        <v>604.43720503181703</v>
      </c>
      <c r="Z7" s="196">
        <v>54.2560675</v>
      </c>
      <c r="AA7" s="196">
        <v>27715.638220877499</v>
      </c>
      <c r="AB7" s="196">
        <v>2806.4472685976002</v>
      </c>
      <c r="AC7" s="196">
        <v>29829.409786067099</v>
      </c>
      <c r="AD7" s="196">
        <v>7165.5326401390503</v>
      </c>
      <c r="AE7" s="196">
        <v>14439.1091730345</v>
      </c>
      <c r="AF7" s="196">
        <v>6170.3863245891198</v>
      </c>
      <c r="AG7" s="196">
        <v>1709.6852433189999</v>
      </c>
      <c r="AH7" s="196">
        <v>6983.4360689170398</v>
      </c>
    </row>
    <row r="8" spans="1:34" x14ac:dyDescent="0.2">
      <c r="A8" s="191" t="s">
        <v>137</v>
      </c>
      <c r="B8" s="191" t="s">
        <v>136</v>
      </c>
      <c r="C8" s="191">
        <v>2005</v>
      </c>
      <c r="D8" s="191" t="s">
        <v>109</v>
      </c>
      <c r="E8" s="196">
        <v>11361.375284751301</v>
      </c>
      <c r="F8" s="196">
        <v>18932.734633296299</v>
      </c>
      <c r="G8" s="196">
        <v>7080.9271462428496</v>
      </c>
      <c r="H8" s="196">
        <v>6038.68324021842</v>
      </c>
      <c r="I8" s="196">
        <v>911.90384608878503</v>
      </c>
      <c r="J8" s="196">
        <v>18842.921988740101</v>
      </c>
      <c r="K8" s="196">
        <v>113411.3487226</v>
      </c>
      <c r="L8" s="196">
        <v>5695.1067143643504</v>
      </c>
      <c r="M8" s="196">
        <v>1036.6402817672699</v>
      </c>
      <c r="N8" s="196">
        <v>10228.0936485444</v>
      </c>
      <c r="O8" s="196">
        <v>69884.339023058099</v>
      </c>
      <c r="P8" s="196">
        <v>11349.8478837395</v>
      </c>
      <c r="Q8" s="196">
        <v>67707.447983331702</v>
      </c>
      <c r="R8" s="196">
        <v>3738.8895161075502</v>
      </c>
      <c r="S8" s="196">
        <v>4585.4799562678199</v>
      </c>
      <c r="T8" s="196">
        <v>5441.00403865722</v>
      </c>
      <c r="U8" s="196">
        <v>298.43637859440003</v>
      </c>
      <c r="V8" s="196">
        <v>92297.891719817198</v>
      </c>
      <c r="W8" s="196">
        <v>1489.1233861241301</v>
      </c>
      <c r="X8" s="196">
        <v>1373.4924228433999</v>
      </c>
      <c r="Y8" s="196">
        <v>1168.4980154135601</v>
      </c>
      <c r="Z8" s="196">
        <v>27.841895999999998</v>
      </c>
      <c r="AA8" s="196">
        <v>28774.7098206503</v>
      </c>
      <c r="AB8" s="196">
        <v>3248.6739361944501</v>
      </c>
      <c r="AC8" s="196">
        <v>33872.335235615203</v>
      </c>
      <c r="AD8" s="196">
        <v>10612.917197041301</v>
      </c>
      <c r="AE8" s="196">
        <v>17462.905871919</v>
      </c>
      <c r="AF8" s="196">
        <v>10042.182339860199</v>
      </c>
      <c r="AG8" s="196">
        <v>2461.1034796637</v>
      </c>
      <c r="AH8" s="196">
        <v>8576.3822448488809</v>
      </c>
    </row>
    <row r="9" spans="1:34" x14ac:dyDescent="0.2">
      <c r="A9" s="191" t="s">
        <v>137</v>
      </c>
      <c r="B9" s="191" t="s">
        <v>136</v>
      </c>
      <c r="C9" s="191">
        <v>2010</v>
      </c>
      <c r="D9" s="191" t="s">
        <v>109</v>
      </c>
      <c r="E9" s="196">
        <v>11188.457685155499</v>
      </c>
      <c r="F9" s="196">
        <v>15956.983576860701</v>
      </c>
      <c r="G9" s="196">
        <v>3156.83977632915</v>
      </c>
      <c r="H9" s="196">
        <v>5860.08553060539</v>
      </c>
      <c r="I9" s="196">
        <v>699.92058187127498</v>
      </c>
      <c r="J9" s="196">
        <v>12112.4912422781</v>
      </c>
      <c r="K9" s="196">
        <v>124357.93301273001</v>
      </c>
      <c r="L9" s="196">
        <v>4618.5998757260204</v>
      </c>
      <c r="M9" s="196">
        <v>792.99727613129903</v>
      </c>
      <c r="N9" s="196">
        <v>6891.8964279949996</v>
      </c>
      <c r="O9" s="196">
        <v>49845.0879392032</v>
      </c>
      <c r="P9" s="196">
        <v>10029.705035757001</v>
      </c>
      <c r="Q9" s="196">
        <v>58669.965167671297</v>
      </c>
      <c r="R9" s="196">
        <v>3029.7242802165001</v>
      </c>
      <c r="S9" s="196">
        <v>3361.7574256268699</v>
      </c>
      <c r="T9" s="196">
        <v>4198.78286356849</v>
      </c>
      <c r="U9" s="196">
        <v>138.3238117308</v>
      </c>
      <c r="V9" s="196">
        <v>70057.554171489901</v>
      </c>
      <c r="W9" s="196">
        <v>1287.7834945232801</v>
      </c>
      <c r="X9" s="196">
        <v>1270.1062407468701</v>
      </c>
      <c r="Y9" s="196">
        <v>1107.03415961267</v>
      </c>
      <c r="Z9" s="196">
        <v>30.838031999999998</v>
      </c>
      <c r="AA9" s="196">
        <v>28453.7737652748</v>
      </c>
      <c r="AB9" s="196">
        <v>3369.1767808384802</v>
      </c>
      <c r="AC9" s="196">
        <v>29615.7269821388</v>
      </c>
      <c r="AD9" s="196">
        <v>9228.5783741980104</v>
      </c>
      <c r="AE9" s="196">
        <v>15029.9090739558</v>
      </c>
      <c r="AF9" s="196">
        <v>8601.2184696412696</v>
      </c>
      <c r="AG9" s="196">
        <v>1932.3035331296401</v>
      </c>
      <c r="AH9" s="196">
        <v>7664.1834470454796</v>
      </c>
    </row>
    <row r="10" spans="1:34" x14ac:dyDescent="0.2">
      <c r="A10" s="191" t="s">
        <v>137</v>
      </c>
      <c r="B10" s="191" t="s">
        <v>136</v>
      </c>
      <c r="C10" s="191">
        <v>2015</v>
      </c>
      <c r="D10" s="191" t="s">
        <v>109</v>
      </c>
      <c r="E10" s="196">
        <v>10203.6833970473</v>
      </c>
      <c r="F10" s="196">
        <v>13839.837528157699</v>
      </c>
      <c r="G10" s="196">
        <v>2857.0207053546001</v>
      </c>
      <c r="H10" s="196">
        <v>4976.0807272431603</v>
      </c>
      <c r="I10" s="196">
        <v>603.57746959706196</v>
      </c>
      <c r="J10" s="196">
        <v>9869.8514134262896</v>
      </c>
      <c r="K10" s="196">
        <v>126220.24694628001</v>
      </c>
      <c r="L10" s="196">
        <v>3968.7462577114602</v>
      </c>
      <c r="M10" s="196">
        <v>658.43290044488504</v>
      </c>
      <c r="N10" s="196">
        <v>5242.5359062769203</v>
      </c>
      <c r="O10" s="196">
        <v>42193.861864723702</v>
      </c>
      <c r="P10" s="196">
        <v>6742.04624733114</v>
      </c>
      <c r="Q10" s="196">
        <v>51122.430788331098</v>
      </c>
      <c r="R10" s="196">
        <v>2231.7606523374998</v>
      </c>
      <c r="S10" s="196">
        <v>4139.3747668681699</v>
      </c>
      <c r="T10" s="196">
        <v>4309.62958444173</v>
      </c>
      <c r="U10" s="196">
        <v>117.08848745900001</v>
      </c>
      <c r="V10" s="196">
        <v>55579.188803495403</v>
      </c>
      <c r="W10" s="196">
        <v>1182.26532391614</v>
      </c>
      <c r="X10" s="196">
        <v>1144.7189990218501</v>
      </c>
      <c r="Y10" s="196">
        <v>687.38949350378505</v>
      </c>
      <c r="Z10" s="196">
        <v>59.881994136000003</v>
      </c>
      <c r="AA10" s="196">
        <v>25517.634159871301</v>
      </c>
      <c r="AB10" s="196">
        <v>2916.1112020502101</v>
      </c>
      <c r="AC10" s="196">
        <v>27954.1550734025</v>
      </c>
      <c r="AD10" s="196">
        <v>7836.3948835566098</v>
      </c>
      <c r="AE10" s="196">
        <v>13044.102084644201</v>
      </c>
      <c r="AF10" s="196">
        <v>7019.7615353293104</v>
      </c>
      <c r="AG10" s="196">
        <v>1604.6914169980701</v>
      </c>
      <c r="AH10" s="196">
        <v>6768.9927116619001</v>
      </c>
    </row>
    <row r="11" spans="1:34" x14ac:dyDescent="0.2">
      <c r="A11" s="191" t="s">
        <v>137</v>
      </c>
      <c r="B11" s="191" t="s">
        <v>136</v>
      </c>
      <c r="C11" s="191">
        <v>2019</v>
      </c>
      <c r="D11" s="191" t="s">
        <v>109</v>
      </c>
      <c r="E11" s="196">
        <v>10817.816158603</v>
      </c>
      <c r="F11" s="196">
        <v>13894.0274097126</v>
      </c>
      <c r="G11" s="196">
        <v>4194.8992866565804</v>
      </c>
      <c r="H11" s="196">
        <v>4702.1748399666403</v>
      </c>
      <c r="I11" s="196">
        <v>566.08826547224999</v>
      </c>
      <c r="J11" s="196">
        <v>9780.4197987922598</v>
      </c>
      <c r="K11" s="196">
        <v>122454.89932775</v>
      </c>
      <c r="L11" s="196">
        <v>3942.7875560551201</v>
      </c>
      <c r="M11" s="196">
        <v>717.90551269343405</v>
      </c>
      <c r="N11" s="196">
        <v>4615.8600469397297</v>
      </c>
      <c r="O11" s="196">
        <v>46924.812212784404</v>
      </c>
      <c r="P11" s="196">
        <v>6576.5295793936202</v>
      </c>
      <c r="Q11" s="196">
        <v>48746.361890571097</v>
      </c>
      <c r="R11" s="196">
        <v>2431.8295465675001</v>
      </c>
      <c r="S11" s="196">
        <v>5145.7817648130804</v>
      </c>
      <c r="T11" s="196">
        <v>4624.7924725183502</v>
      </c>
      <c r="U11" s="196">
        <v>71.622221714099993</v>
      </c>
      <c r="V11" s="196">
        <v>49957.988208754701</v>
      </c>
      <c r="W11" s="196">
        <v>1296.1108314650701</v>
      </c>
      <c r="X11" s="196">
        <v>1237.31574504125</v>
      </c>
      <c r="Y11" s="196">
        <v>674.09403417973294</v>
      </c>
      <c r="Z11" s="196">
        <v>47.244025938</v>
      </c>
      <c r="AA11" s="196">
        <v>26933.847374987101</v>
      </c>
      <c r="AB11" s="196">
        <v>2917.2478042661</v>
      </c>
      <c r="AC11" s="196">
        <v>31186.788528708701</v>
      </c>
      <c r="AD11" s="196">
        <v>7833.49292461612</v>
      </c>
      <c r="AE11" s="196">
        <v>13344.463077689599</v>
      </c>
      <c r="AF11" s="196">
        <v>6851.4189722156998</v>
      </c>
      <c r="AG11" s="196">
        <v>1747.2446891377599</v>
      </c>
      <c r="AH11" s="196">
        <v>6327.4906496858202</v>
      </c>
    </row>
    <row r="12" spans="1:34" x14ac:dyDescent="0.2">
      <c r="A12" s="191" t="s">
        <v>137</v>
      </c>
      <c r="B12" s="191" t="s">
        <v>136</v>
      </c>
      <c r="C12" s="191">
        <v>2021</v>
      </c>
      <c r="D12" s="191" t="s">
        <v>109</v>
      </c>
      <c r="E12" s="196">
        <v>10923.1870419386</v>
      </c>
      <c r="F12" s="196">
        <v>13994.9706204097</v>
      </c>
      <c r="G12" s="196">
        <v>4573.3307160752402</v>
      </c>
      <c r="H12" s="196">
        <v>4593.90909164186</v>
      </c>
      <c r="I12" s="196">
        <v>530.62289465943604</v>
      </c>
      <c r="J12" s="196">
        <v>12892.673555818201</v>
      </c>
      <c r="K12" s="196">
        <v>126071.76629648999</v>
      </c>
      <c r="L12" s="196">
        <v>3919.9702218135999</v>
      </c>
      <c r="M12" s="196">
        <v>398.81915954357902</v>
      </c>
      <c r="N12" s="196">
        <v>4825.4357619316197</v>
      </c>
      <c r="O12" s="196">
        <v>46696.837893750999</v>
      </c>
      <c r="P12" s="196">
        <v>6408.6056998239501</v>
      </c>
      <c r="Q12" s="196">
        <v>47444.318334755197</v>
      </c>
      <c r="R12" s="196">
        <v>2430.3557348849999</v>
      </c>
      <c r="S12" s="196">
        <v>5210.7795878322204</v>
      </c>
      <c r="T12" s="196">
        <v>4624.47368103798</v>
      </c>
      <c r="U12" s="196">
        <v>76.640331509500001</v>
      </c>
      <c r="V12" s="196">
        <v>53863.409912777402</v>
      </c>
      <c r="W12" s="196">
        <v>1275.0044014452301</v>
      </c>
      <c r="X12" s="196">
        <v>1193.9012553172499</v>
      </c>
      <c r="Y12" s="196">
        <v>655.60002692374405</v>
      </c>
      <c r="Z12" s="196">
        <v>54.411881399999999</v>
      </c>
      <c r="AA12" s="196">
        <v>27830.430056350098</v>
      </c>
      <c r="AB12" s="196">
        <v>2853.1676619258301</v>
      </c>
      <c r="AC12" s="196">
        <v>30106.351084120099</v>
      </c>
      <c r="AD12" s="196">
        <v>7335.2540804730697</v>
      </c>
      <c r="AE12" s="196">
        <v>14511.482218618599</v>
      </c>
      <c r="AF12" s="196">
        <v>6300.6507576939503</v>
      </c>
      <c r="AG12" s="196">
        <v>1732.5550350584299</v>
      </c>
      <c r="AH12" s="196">
        <v>7032.3162214518297</v>
      </c>
    </row>
    <row r="13" spans="1:34" x14ac:dyDescent="0.2">
      <c r="A13" s="191" t="s">
        <v>137</v>
      </c>
      <c r="B13" s="191" t="s">
        <v>136</v>
      </c>
      <c r="C13" s="191">
        <v>2005</v>
      </c>
      <c r="D13" s="191" t="s">
        <v>108</v>
      </c>
      <c r="E13" s="196">
        <v>150.60577554668501</v>
      </c>
      <c r="F13" s="196">
        <v>166.83599235334299</v>
      </c>
      <c r="G13" s="196">
        <v>35.512779233827999</v>
      </c>
      <c r="H13" s="196">
        <v>38.570085015183402</v>
      </c>
      <c r="I13" s="196">
        <v>3.6201683639168301</v>
      </c>
      <c r="J13" s="196">
        <v>127.63124432737099</v>
      </c>
      <c r="K13" s="196">
        <v>911.21749369999498</v>
      </c>
      <c r="L13" s="196">
        <v>79.821266686907606</v>
      </c>
      <c r="M13" s="196">
        <v>5.5393498628552598</v>
      </c>
      <c r="N13" s="196">
        <v>93.720650005154297</v>
      </c>
      <c r="O13" s="196">
        <v>1564.9274926267201</v>
      </c>
      <c r="P13" s="196">
        <v>163.670041989</v>
      </c>
      <c r="Q13" s="196">
        <v>684.77942675337499</v>
      </c>
      <c r="R13" s="196">
        <v>14.867091766353999</v>
      </c>
      <c r="S13" s="196">
        <v>20.507931640553601</v>
      </c>
      <c r="T13" s="196">
        <v>29.591275588702</v>
      </c>
      <c r="U13" s="196">
        <v>11.4014881499</v>
      </c>
      <c r="V13" s="196">
        <v>1511.96439005774</v>
      </c>
      <c r="W13" s="196">
        <v>20.458095549939799</v>
      </c>
      <c r="X13" s="196">
        <v>15.807387183228199</v>
      </c>
      <c r="Y13" s="196">
        <v>24.910486552944999</v>
      </c>
      <c r="Z13" s="196">
        <v>8.0995999999998999E-2</v>
      </c>
      <c r="AA13" s="196">
        <v>100.841490374158</v>
      </c>
      <c r="AB13" s="196">
        <v>47.407325882351898</v>
      </c>
      <c r="AC13" s="196">
        <v>202.68708746000601</v>
      </c>
      <c r="AD13" s="196">
        <v>206.267184915168</v>
      </c>
      <c r="AE13" s="196">
        <v>75.881992313796204</v>
      </c>
      <c r="AF13" s="196">
        <v>129.04936910874301</v>
      </c>
      <c r="AG13" s="196">
        <v>28.3578382462529</v>
      </c>
      <c r="AH13" s="196">
        <v>46.2110901676824</v>
      </c>
    </row>
    <row r="14" spans="1:34" x14ac:dyDescent="0.2">
      <c r="A14" s="191" t="s">
        <v>137</v>
      </c>
      <c r="B14" s="191" t="s">
        <v>136</v>
      </c>
      <c r="C14" s="191">
        <v>2010</v>
      </c>
      <c r="D14" s="191" t="s">
        <v>108</v>
      </c>
      <c r="E14" s="196">
        <v>149.190037711614</v>
      </c>
      <c r="F14" s="196">
        <v>204.980556375747</v>
      </c>
      <c r="G14" s="196">
        <v>28.354908354116102</v>
      </c>
      <c r="H14" s="196">
        <v>39.706390615257099</v>
      </c>
      <c r="I14" s="196">
        <v>3.34226187127513</v>
      </c>
      <c r="J14" s="196">
        <v>91.327355512250506</v>
      </c>
      <c r="K14" s="196">
        <v>1040.9730111500101</v>
      </c>
      <c r="L14" s="196">
        <v>70.529454404210796</v>
      </c>
      <c r="M14" s="196">
        <v>4.8327529756182903</v>
      </c>
      <c r="N14" s="196">
        <v>78.654237681496895</v>
      </c>
      <c r="O14" s="196">
        <v>1064.11740814056</v>
      </c>
      <c r="P14" s="196">
        <v>138.81406326199999</v>
      </c>
      <c r="Q14" s="196">
        <v>513.16428463474597</v>
      </c>
      <c r="R14" s="196">
        <v>13.924681716499901</v>
      </c>
      <c r="S14" s="196">
        <v>18.025836504672998</v>
      </c>
      <c r="T14" s="196">
        <v>21.944443080932601</v>
      </c>
      <c r="U14" s="196">
        <v>5.4929502474999996</v>
      </c>
      <c r="V14" s="196">
        <v>1158.1263657997499</v>
      </c>
      <c r="W14" s="196">
        <v>14.1230847965994</v>
      </c>
      <c r="X14" s="196">
        <v>12.8631708044395</v>
      </c>
      <c r="Y14" s="196">
        <v>33.324497000579903</v>
      </c>
      <c r="Z14" s="196">
        <v>8.4232000000000098E-2</v>
      </c>
      <c r="AA14" s="196">
        <v>105.336774088959</v>
      </c>
      <c r="AB14" s="196">
        <v>49.892459436175599</v>
      </c>
      <c r="AC14" s="196">
        <v>213.119710272502</v>
      </c>
      <c r="AD14" s="196">
        <v>197.62370043588501</v>
      </c>
      <c r="AE14" s="196">
        <v>71.747088499936595</v>
      </c>
      <c r="AF14" s="196">
        <v>142.18568645241601</v>
      </c>
      <c r="AG14" s="196">
        <v>22.1929829622966</v>
      </c>
      <c r="AH14" s="196">
        <v>51.672568155488101</v>
      </c>
    </row>
    <row r="15" spans="1:34" x14ac:dyDescent="0.2">
      <c r="A15" s="191" t="s">
        <v>137</v>
      </c>
      <c r="B15" s="191" t="s">
        <v>136</v>
      </c>
      <c r="C15" s="191">
        <v>2015</v>
      </c>
      <c r="D15" s="191" t="s">
        <v>108</v>
      </c>
      <c r="E15" s="196">
        <v>137.646310734368</v>
      </c>
      <c r="F15" s="196">
        <v>238.81046068542099</v>
      </c>
      <c r="G15" s="196">
        <v>37.310882878518399</v>
      </c>
      <c r="H15" s="196">
        <v>36.461910521560597</v>
      </c>
      <c r="I15" s="196">
        <v>3.41922959706244</v>
      </c>
      <c r="J15" s="196">
        <v>99.185280443973198</v>
      </c>
      <c r="K15" s="196">
        <v>1058.6555431100101</v>
      </c>
      <c r="L15" s="196">
        <v>58.7851770180364</v>
      </c>
      <c r="M15" s="196">
        <v>5.1547789357435896</v>
      </c>
      <c r="N15" s="196">
        <v>76.255113279662496</v>
      </c>
      <c r="O15" s="196">
        <v>1066.61951117172</v>
      </c>
      <c r="P15" s="196">
        <v>147.088833669</v>
      </c>
      <c r="Q15" s="196">
        <v>578.16766099917697</v>
      </c>
      <c r="R15" s="196">
        <v>9.0557530374999295</v>
      </c>
      <c r="S15" s="196">
        <v>24.390010589088899</v>
      </c>
      <c r="T15" s="196">
        <v>20.605997715035301</v>
      </c>
      <c r="U15" s="196">
        <v>5.5398322413000001</v>
      </c>
      <c r="V15" s="196">
        <v>1026.75930169767</v>
      </c>
      <c r="W15" s="196">
        <v>14.840414560841101</v>
      </c>
      <c r="X15" s="196">
        <v>11.8449383601373</v>
      </c>
      <c r="Y15" s="196">
        <v>47.054477803179999</v>
      </c>
      <c r="Z15" s="196">
        <v>0.18059413600000301</v>
      </c>
      <c r="AA15" s="196">
        <v>103.521125176288</v>
      </c>
      <c r="AB15" s="196">
        <v>45.608717969910202</v>
      </c>
      <c r="AC15" s="196">
        <v>250.37746767349699</v>
      </c>
      <c r="AD15" s="196">
        <v>154.63534086411099</v>
      </c>
      <c r="AE15" s="196">
        <v>64.576796554689295</v>
      </c>
      <c r="AF15" s="196">
        <v>132.73754676339701</v>
      </c>
      <c r="AG15" s="196">
        <v>20.3538274310988</v>
      </c>
      <c r="AH15" s="196">
        <v>55.765560086227197</v>
      </c>
    </row>
    <row r="16" spans="1:34" x14ac:dyDescent="0.2">
      <c r="A16" s="191" t="s">
        <v>137</v>
      </c>
      <c r="B16" s="191" t="s">
        <v>136</v>
      </c>
      <c r="C16" s="191">
        <v>2019</v>
      </c>
      <c r="D16" s="191" t="s">
        <v>108</v>
      </c>
      <c r="E16" s="196">
        <v>130.319047734089</v>
      </c>
      <c r="F16" s="196">
        <v>136.91987568192201</v>
      </c>
      <c r="G16" s="196">
        <v>50.123616095245801</v>
      </c>
      <c r="H16" s="196">
        <v>37.807083952627202</v>
      </c>
      <c r="I16" s="196">
        <v>6.20706552224999</v>
      </c>
      <c r="J16" s="196">
        <v>106.927443874014</v>
      </c>
      <c r="K16" s="196">
        <v>1043.4901918999999</v>
      </c>
      <c r="L16" s="196">
        <v>77.3989937561132</v>
      </c>
      <c r="M16" s="196">
        <v>6.1691783611969404</v>
      </c>
      <c r="N16" s="196">
        <v>47.359905760610701</v>
      </c>
      <c r="O16" s="196">
        <v>1275.8537382151401</v>
      </c>
      <c r="P16" s="196">
        <v>161.50601632499999</v>
      </c>
      <c r="Q16" s="196">
        <v>602.786583876892</v>
      </c>
      <c r="R16" s="196">
        <v>10.7203792675</v>
      </c>
      <c r="S16" s="196">
        <v>43.3559814450646</v>
      </c>
      <c r="T16" s="196">
        <v>20.653689001724199</v>
      </c>
      <c r="U16" s="196">
        <v>4.2109160719999901</v>
      </c>
      <c r="V16" s="196">
        <v>985.65748799101902</v>
      </c>
      <c r="W16" s="196">
        <v>18.4401505155463</v>
      </c>
      <c r="X16" s="196">
        <v>18.4259421107758</v>
      </c>
      <c r="Y16" s="196">
        <v>48.241042833210003</v>
      </c>
      <c r="Z16" s="196">
        <v>0.12712573799999699</v>
      </c>
      <c r="AA16" s="196">
        <v>106.922739922327</v>
      </c>
      <c r="AB16" s="196">
        <v>45.6452673829003</v>
      </c>
      <c r="AC16" s="196">
        <v>310.22258432650102</v>
      </c>
      <c r="AD16" s="196">
        <v>156.85290673242</v>
      </c>
      <c r="AE16" s="196">
        <v>58.694457709139897</v>
      </c>
      <c r="AF16" s="196">
        <v>137.20652633264501</v>
      </c>
      <c r="AG16" s="196">
        <v>22.293512597442302</v>
      </c>
      <c r="AH16" s="196">
        <v>48.9415849043544</v>
      </c>
    </row>
    <row r="17" spans="1:34" x14ac:dyDescent="0.2">
      <c r="A17" s="191" t="s">
        <v>137</v>
      </c>
      <c r="B17" s="191" t="s">
        <v>136</v>
      </c>
      <c r="C17" s="191">
        <v>2021</v>
      </c>
      <c r="D17" s="191" t="s">
        <v>108</v>
      </c>
      <c r="E17" s="196">
        <v>131.471774013062</v>
      </c>
      <c r="F17" s="196">
        <v>153.75809936781999</v>
      </c>
      <c r="G17" s="196">
        <v>46.419122729854301</v>
      </c>
      <c r="H17" s="196">
        <v>40.040536071109301</v>
      </c>
      <c r="I17" s="196">
        <v>8.5527889194363507</v>
      </c>
      <c r="J17" s="196">
        <v>122.26474309354499</v>
      </c>
      <c r="K17" s="196">
        <v>1084.69207266999</v>
      </c>
      <c r="L17" s="196">
        <v>78.540912033914097</v>
      </c>
      <c r="M17" s="196">
        <v>5.05812529176018</v>
      </c>
      <c r="N17" s="196">
        <v>45.6451155936929</v>
      </c>
      <c r="O17" s="196">
        <v>1304.7117806352701</v>
      </c>
      <c r="P17" s="196">
        <v>160.08561710999999</v>
      </c>
      <c r="Q17" s="196">
        <v>591.83900928749097</v>
      </c>
      <c r="R17" s="196">
        <v>12.300287284999699</v>
      </c>
      <c r="S17" s="196">
        <v>50.575153311337097</v>
      </c>
      <c r="T17" s="196">
        <v>20.936244658178101</v>
      </c>
      <c r="U17" s="196">
        <v>3.5476091018000102</v>
      </c>
      <c r="V17" s="196">
        <v>1072.56878933966</v>
      </c>
      <c r="W17" s="196">
        <v>18.436165872335099</v>
      </c>
      <c r="X17" s="196">
        <v>23.192600014145199</v>
      </c>
      <c r="Y17" s="196">
        <v>51.162821891927003</v>
      </c>
      <c r="Z17" s="196">
        <v>0.15581389999999801</v>
      </c>
      <c r="AA17" s="196">
        <v>114.791835472592</v>
      </c>
      <c r="AB17" s="196">
        <v>46.720393328229001</v>
      </c>
      <c r="AC17" s="196">
        <v>276.94129805294898</v>
      </c>
      <c r="AD17" s="196">
        <v>169.72144033402</v>
      </c>
      <c r="AE17" s="196">
        <v>72.373045584077801</v>
      </c>
      <c r="AF17" s="196">
        <v>130.264433104831</v>
      </c>
      <c r="AG17" s="196">
        <v>22.869791739426098</v>
      </c>
      <c r="AH17" s="196">
        <v>48.880152534788998</v>
      </c>
    </row>
    <row r="18" spans="1:34" x14ac:dyDescent="0.2">
      <c r="A18" s="191" t="s">
        <v>135</v>
      </c>
      <c r="B18" s="191" t="s">
        <v>134</v>
      </c>
      <c r="C18" s="191">
        <v>2005</v>
      </c>
      <c r="D18" s="191" t="s">
        <v>107</v>
      </c>
      <c r="E18" s="196">
        <v>24743.1306673088</v>
      </c>
      <c r="F18" s="196">
        <v>26497.255179222699</v>
      </c>
      <c r="G18" s="196">
        <v>7715.6056457690902</v>
      </c>
      <c r="H18" s="196">
        <v>15712.7152984902</v>
      </c>
      <c r="I18" s="196">
        <v>2088.6687073368998</v>
      </c>
      <c r="J18" s="196">
        <v>17134.590073318301</v>
      </c>
      <c r="K18" s="196">
        <v>159705.69884529</v>
      </c>
      <c r="L18" s="196">
        <v>13598.649096676299</v>
      </c>
      <c r="M18" s="196">
        <v>2124.04308124831</v>
      </c>
      <c r="N18" s="196">
        <v>21333.012570230501</v>
      </c>
      <c r="O18" s="196">
        <v>101757.75169333399</v>
      </c>
      <c r="P18" s="196">
        <v>12742.690860000001</v>
      </c>
      <c r="Q18" s="196">
        <v>141557.37048832999</v>
      </c>
      <c r="R18" s="196">
        <v>5467.6914899683698</v>
      </c>
      <c r="S18" s="196">
        <v>11982.780489122</v>
      </c>
      <c r="T18" s="196">
        <v>12922.213101365</v>
      </c>
      <c r="U18" s="196">
        <v>847.75927915439297</v>
      </c>
      <c r="V18" s="196">
        <v>126780.42863929</v>
      </c>
      <c r="W18" s="196">
        <v>4112.5596736370298</v>
      </c>
      <c r="X18" s="196">
        <v>7182.4557568717701</v>
      </c>
      <c r="Y18" s="196">
        <v>3047.34097709759</v>
      </c>
      <c r="Z18" s="196">
        <v>523.86221204743401</v>
      </c>
      <c r="AA18" s="196">
        <v>35118.3713816948</v>
      </c>
      <c r="AB18" s="196">
        <v>12771.3571503191</v>
      </c>
      <c r="AC18" s="196">
        <v>35631.640658981698</v>
      </c>
      <c r="AD18" s="196">
        <v>19694.639038821901</v>
      </c>
      <c r="AE18" s="196">
        <v>12372.244073566901</v>
      </c>
      <c r="AF18" s="196">
        <v>21545.263757538502</v>
      </c>
      <c r="AG18" s="196">
        <v>4339.88314988619</v>
      </c>
      <c r="AH18" s="196">
        <v>7600.05508480968</v>
      </c>
    </row>
    <row r="19" spans="1:34" x14ac:dyDescent="0.2">
      <c r="A19" s="191" t="s">
        <v>135</v>
      </c>
      <c r="B19" s="191" t="s">
        <v>134</v>
      </c>
      <c r="C19" s="191">
        <v>2010</v>
      </c>
      <c r="D19" s="191" t="s">
        <v>107</v>
      </c>
      <c r="E19" s="196">
        <v>22379.457280949598</v>
      </c>
      <c r="F19" s="196">
        <v>26448.853767501601</v>
      </c>
      <c r="G19" s="196">
        <v>7886.8519398006702</v>
      </c>
      <c r="H19" s="196">
        <v>16200.7171512146</v>
      </c>
      <c r="I19" s="196">
        <v>2358.79279836348</v>
      </c>
      <c r="J19" s="196">
        <v>16615.887127500901</v>
      </c>
      <c r="K19" s="196">
        <v>152659.99604341001</v>
      </c>
      <c r="L19" s="196">
        <v>13429.3125070606</v>
      </c>
      <c r="M19" s="196">
        <v>2247.46426757875</v>
      </c>
      <c r="N19" s="196">
        <v>22045.5185671736</v>
      </c>
      <c r="O19" s="196">
        <v>90970.737008856202</v>
      </c>
      <c r="P19" s="196">
        <v>12570.63271</v>
      </c>
      <c r="Q19" s="196">
        <v>133445.90046869501</v>
      </c>
      <c r="R19" s="196">
        <v>5865.7754471566896</v>
      </c>
      <c r="S19" s="196">
        <v>11635.547273813499</v>
      </c>
      <c r="T19" s="196">
        <v>11407.778163601201</v>
      </c>
      <c r="U19" s="196">
        <v>884.55504389267799</v>
      </c>
      <c r="V19" s="196">
        <v>114627.94008058601</v>
      </c>
      <c r="W19" s="196">
        <v>4321.7045417096297</v>
      </c>
      <c r="X19" s="196">
        <v>6462.4948023992201</v>
      </c>
      <c r="Y19" s="196">
        <v>3224.01555996047</v>
      </c>
      <c r="Z19" s="196">
        <v>573.48523790145896</v>
      </c>
      <c r="AA19" s="196">
        <v>34444.325862333797</v>
      </c>
      <c r="AB19" s="196">
        <v>13736.0907657444</v>
      </c>
      <c r="AC19" s="196">
        <v>48767.042975605204</v>
      </c>
      <c r="AD19" s="196">
        <v>18779.525195267601</v>
      </c>
      <c r="AE19" s="196">
        <v>14011.835763896401</v>
      </c>
      <c r="AF19" s="196">
        <v>20967.971944784102</v>
      </c>
      <c r="AG19" s="196">
        <v>5247.6419567395196</v>
      </c>
      <c r="AH19" s="196">
        <v>7347.6417722522301</v>
      </c>
    </row>
    <row r="20" spans="1:34" x14ac:dyDescent="0.2">
      <c r="A20" s="191" t="s">
        <v>135</v>
      </c>
      <c r="B20" s="191" t="s">
        <v>134</v>
      </c>
      <c r="C20" s="191">
        <v>2015</v>
      </c>
      <c r="D20" s="191" t="s">
        <v>107</v>
      </c>
      <c r="E20" s="196">
        <v>22477.625201197501</v>
      </c>
      <c r="F20" s="196">
        <v>26642.352509573098</v>
      </c>
      <c r="G20" s="196">
        <v>9091.5454950212807</v>
      </c>
      <c r="H20" s="196">
        <v>15209.5202844945</v>
      </c>
      <c r="I20" s="196">
        <v>1910.4381288566201</v>
      </c>
      <c r="J20" s="196">
        <v>17295.547565208301</v>
      </c>
      <c r="K20" s="196">
        <v>161268.80495896001</v>
      </c>
      <c r="L20" s="196">
        <v>12620.4809162864</v>
      </c>
      <c r="M20" s="196">
        <v>2288.3418180069698</v>
      </c>
      <c r="N20" s="196">
        <v>16801.609648895901</v>
      </c>
      <c r="O20" s="196">
        <v>82877.249542191799</v>
      </c>
      <c r="P20" s="196">
        <v>10754.99379</v>
      </c>
      <c r="Q20" s="196">
        <v>133451.56412113999</v>
      </c>
      <c r="R20" s="196">
        <v>5887.7767033027503</v>
      </c>
      <c r="S20" s="196">
        <v>12130.002343975901</v>
      </c>
      <c r="T20" s="196">
        <v>11689.596897237099</v>
      </c>
      <c r="U20" s="196">
        <v>885.70887006007104</v>
      </c>
      <c r="V20" s="196">
        <v>105587.183268899</v>
      </c>
      <c r="W20" s="196">
        <v>5025.7263447573296</v>
      </c>
      <c r="X20" s="196">
        <v>5617.6336661523901</v>
      </c>
      <c r="Y20" s="196">
        <v>3097.6253914492499</v>
      </c>
      <c r="Z20" s="196">
        <v>580.96704973265105</v>
      </c>
      <c r="AA20" s="196">
        <v>28955.0308649582</v>
      </c>
      <c r="AB20" s="196">
        <v>14087.2865085746</v>
      </c>
      <c r="AC20" s="196">
        <v>47449.346973507199</v>
      </c>
      <c r="AD20" s="196">
        <v>16202.239169304999</v>
      </c>
      <c r="AE20" s="196">
        <v>15494.8836916852</v>
      </c>
      <c r="AF20" s="196">
        <v>18613.1590945918</v>
      </c>
      <c r="AG20" s="196">
        <v>5296.2141997017497</v>
      </c>
      <c r="AH20" s="196">
        <v>7209.5675132254401</v>
      </c>
    </row>
    <row r="21" spans="1:34" x14ac:dyDescent="0.2">
      <c r="A21" s="191" t="s">
        <v>135</v>
      </c>
      <c r="B21" s="191" t="s">
        <v>134</v>
      </c>
      <c r="C21" s="191">
        <v>2019</v>
      </c>
      <c r="D21" s="191" t="s">
        <v>107</v>
      </c>
      <c r="E21" s="196">
        <v>24206.587505671701</v>
      </c>
      <c r="F21" s="196">
        <v>25728.741744222301</v>
      </c>
      <c r="G21" s="196">
        <v>9699.3759523936806</v>
      </c>
      <c r="H21" s="196">
        <v>14729.0444066624</v>
      </c>
      <c r="I21" s="196">
        <v>2124.79321832706</v>
      </c>
      <c r="J21" s="196">
        <v>18825.236405386</v>
      </c>
      <c r="K21" s="196">
        <v>163150.61929854</v>
      </c>
      <c r="L21" s="196">
        <v>13181.1623785425</v>
      </c>
      <c r="M21" s="196">
        <v>2387.9230431157598</v>
      </c>
      <c r="N21" s="196">
        <v>17540.519691824298</v>
      </c>
      <c r="O21" s="196">
        <v>90436.539739788699</v>
      </c>
      <c r="P21" s="196">
        <v>11152.47215</v>
      </c>
      <c r="Q21" s="196">
        <v>130697.9109527</v>
      </c>
      <c r="R21" s="196">
        <v>6516.8687696320203</v>
      </c>
      <c r="S21" s="196">
        <v>14594.6334663047</v>
      </c>
      <c r="T21" s="196">
        <v>12064.774929949401</v>
      </c>
      <c r="U21" s="196">
        <v>1051.5655446916101</v>
      </c>
      <c r="V21" s="196">
        <v>105230.85308391599</v>
      </c>
      <c r="W21" s="196">
        <v>6212.29179928948</v>
      </c>
      <c r="X21" s="196">
        <v>6108.47255958196</v>
      </c>
      <c r="Y21" s="196">
        <v>3282.8529864127599</v>
      </c>
      <c r="Z21" s="196">
        <v>708.57120666624201</v>
      </c>
      <c r="AA21" s="196">
        <v>29547.954670383901</v>
      </c>
      <c r="AB21" s="196">
        <v>12528.9038513705</v>
      </c>
      <c r="AC21" s="196">
        <v>65304.094151648402</v>
      </c>
      <c r="AD21" s="196">
        <v>17560.914861331399</v>
      </c>
      <c r="AE21" s="196">
        <v>18656.085202302402</v>
      </c>
      <c r="AF21" s="196">
        <v>16730.011243343401</v>
      </c>
      <c r="AG21" s="196">
        <v>5562.6668995282598</v>
      </c>
      <c r="AH21" s="196">
        <v>8035.30119883319</v>
      </c>
    </row>
    <row r="22" spans="1:34" x14ac:dyDescent="0.2">
      <c r="A22" s="191" t="s">
        <v>135</v>
      </c>
      <c r="B22" s="191" t="s">
        <v>134</v>
      </c>
      <c r="C22" s="191">
        <v>2021</v>
      </c>
      <c r="D22" s="191" t="s">
        <v>107</v>
      </c>
      <c r="E22" s="196">
        <v>21684.166355060701</v>
      </c>
      <c r="F22" s="196">
        <v>23606.532070610901</v>
      </c>
      <c r="G22" s="196">
        <v>9811.4599917794094</v>
      </c>
      <c r="H22" s="196">
        <v>13616.504381023</v>
      </c>
      <c r="I22" s="196">
        <v>2036.2592760484999</v>
      </c>
      <c r="J22" s="196">
        <v>18733.600514387501</v>
      </c>
      <c r="K22" s="196">
        <v>146012.54512093999</v>
      </c>
      <c r="L22" s="196">
        <v>12348.553957024</v>
      </c>
      <c r="M22" s="196">
        <v>2322.8151839193902</v>
      </c>
      <c r="N22" s="196">
        <v>16478.749788973899</v>
      </c>
      <c r="O22" s="196">
        <v>84562.972512877299</v>
      </c>
      <c r="P22" s="196">
        <v>9886.20046</v>
      </c>
      <c r="Q22" s="196">
        <v>123887.440824919</v>
      </c>
      <c r="R22" s="196">
        <v>6194.9844084258802</v>
      </c>
      <c r="S22" s="196">
        <v>13834.2064030898</v>
      </c>
      <c r="T22" s="196">
        <v>10865.3142128607</v>
      </c>
      <c r="U22" s="196">
        <v>892.59058042729703</v>
      </c>
      <c r="V22" s="196">
        <v>102200.113605747</v>
      </c>
      <c r="W22" s="196">
        <v>6051.3403953414499</v>
      </c>
      <c r="X22" s="196">
        <v>4868.0268215996202</v>
      </c>
      <c r="Y22" s="196">
        <v>3187.9754154949201</v>
      </c>
      <c r="Z22" s="196">
        <v>621.81721805844495</v>
      </c>
      <c r="AA22" s="196">
        <v>25228.434204196099</v>
      </c>
      <c r="AB22" s="196">
        <v>12045.8649560259</v>
      </c>
      <c r="AC22" s="196">
        <v>67559.4307265893</v>
      </c>
      <c r="AD22" s="196">
        <v>15747.3895003463</v>
      </c>
      <c r="AE22" s="196">
        <v>19282.276341678698</v>
      </c>
      <c r="AF22" s="196">
        <v>15204.8979172654</v>
      </c>
      <c r="AG22" s="196">
        <v>5147.3961572682501</v>
      </c>
      <c r="AH22" s="196">
        <v>7436.38278749443</v>
      </c>
    </row>
    <row r="23" spans="1:34" x14ac:dyDescent="0.2">
      <c r="A23" s="191" t="s">
        <v>135</v>
      </c>
      <c r="B23" s="191" t="s">
        <v>134</v>
      </c>
      <c r="C23" s="191">
        <v>2005</v>
      </c>
      <c r="D23" s="191" t="s">
        <v>109</v>
      </c>
      <c r="E23" s="196">
        <v>24928.376595191301</v>
      </c>
      <c r="F23" s="196">
        <v>26739.8187912551</v>
      </c>
      <c r="G23" s="196">
        <v>7815.6528612079201</v>
      </c>
      <c r="H23" s="196">
        <v>15847.450889555999</v>
      </c>
      <c r="I23" s="196">
        <v>2112.3797180443798</v>
      </c>
      <c r="J23" s="196">
        <v>17365.3273493958</v>
      </c>
      <c r="K23" s="196">
        <v>160882.07979543001</v>
      </c>
      <c r="L23" s="196">
        <v>13740.116828316901</v>
      </c>
      <c r="M23" s="196">
        <v>2166.4452994180201</v>
      </c>
      <c r="N23" s="196">
        <v>21820.718523502401</v>
      </c>
      <c r="O23" s="196">
        <v>102839.82815096001</v>
      </c>
      <c r="P23" s="196">
        <v>12870.196302957</v>
      </c>
      <c r="Q23" s="196">
        <v>143301.32019685299</v>
      </c>
      <c r="R23" s="196">
        <v>5558.1231308576598</v>
      </c>
      <c r="S23" s="196">
        <v>12159.7101883332</v>
      </c>
      <c r="T23" s="196">
        <v>13115.7908087662</v>
      </c>
      <c r="U23" s="196">
        <v>866.45543123089203</v>
      </c>
      <c r="V23" s="196">
        <v>128360.057955037</v>
      </c>
      <c r="W23" s="196">
        <v>4194.56914993789</v>
      </c>
      <c r="X23" s="196">
        <v>7215.0367106414096</v>
      </c>
      <c r="Y23" s="196">
        <v>3109.6480792031698</v>
      </c>
      <c r="Z23" s="196">
        <v>529.91349725590806</v>
      </c>
      <c r="AA23" s="196">
        <v>35431.525816921203</v>
      </c>
      <c r="AB23" s="196">
        <v>12910.020349168301</v>
      </c>
      <c r="AC23" s="196">
        <v>36248.827456716601</v>
      </c>
      <c r="AD23" s="196">
        <v>19947.367674633198</v>
      </c>
      <c r="AE23" s="196">
        <v>12585.374906067</v>
      </c>
      <c r="AF23" s="196">
        <v>21724.959505721799</v>
      </c>
      <c r="AG23" s="196">
        <v>4401.33848671948</v>
      </c>
      <c r="AH23" s="196">
        <v>7693.0755040020504</v>
      </c>
    </row>
    <row r="24" spans="1:34" x14ac:dyDescent="0.2">
      <c r="A24" s="191" t="s">
        <v>135</v>
      </c>
      <c r="B24" s="191" t="s">
        <v>134</v>
      </c>
      <c r="C24" s="191">
        <v>2010</v>
      </c>
      <c r="D24" s="191" t="s">
        <v>109</v>
      </c>
      <c r="E24" s="196">
        <v>22566.959488943699</v>
      </c>
      <c r="F24" s="196">
        <v>26707.872885413199</v>
      </c>
      <c r="G24" s="196">
        <v>7983.1489003929501</v>
      </c>
      <c r="H24" s="196">
        <v>16321.7136620241</v>
      </c>
      <c r="I24" s="196">
        <v>2375.4162440342002</v>
      </c>
      <c r="J24" s="196">
        <v>16794.9951969174</v>
      </c>
      <c r="K24" s="196">
        <v>153867.64751829</v>
      </c>
      <c r="L24" s="196">
        <v>13556.6953344965</v>
      </c>
      <c r="M24" s="196">
        <v>2285.1838795515</v>
      </c>
      <c r="N24" s="196">
        <v>22447.649678329999</v>
      </c>
      <c r="O24" s="196">
        <v>91915.840605135701</v>
      </c>
      <c r="P24" s="196">
        <v>12668.070076366001</v>
      </c>
      <c r="Q24" s="196">
        <v>134851.99407965699</v>
      </c>
      <c r="R24" s="196">
        <v>5948.3417088965198</v>
      </c>
      <c r="S24" s="196">
        <v>11772.7025643861</v>
      </c>
      <c r="T24" s="196">
        <v>11522.0952049506</v>
      </c>
      <c r="U24" s="196">
        <v>895.39230123771199</v>
      </c>
      <c r="V24" s="196">
        <v>115908.956618813</v>
      </c>
      <c r="W24" s="196">
        <v>4382.3558190435597</v>
      </c>
      <c r="X24" s="196">
        <v>6504.84202139424</v>
      </c>
      <c r="Y24" s="196">
        <v>3275.9339588488501</v>
      </c>
      <c r="Z24" s="196">
        <v>578.63881070272896</v>
      </c>
      <c r="AA24" s="196">
        <v>34774.440623832903</v>
      </c>
      <c r="AB24" s="196">
        <v>13931.376718039401</v>
      </c>
      <c r="AC24" s="196">
        <v>49373.533877903101</v>
      </c>
      <c r="AD24" s="196">
        <v>18974.658675797</v>
      </c>
      <c r="AE24" s="196">
        <v>14220.158555038801</v>
      </c>
      <c r="AF24" s="196">
        <v>21129.132095500099</v>
      </c>
      <c r="AG24" s="196">
        <v>5299.2193684821204</v>
      </c>
      <c r="AH24" s="196">
        <v>7421.4796835768802</v>
      </c>
    </row>
    <row r="25" spans="1:34" x14ac:dyDescent="0.2">
      <c r="A25" s="191" t="s">
        <v>135</v>
      </c>
      <c r="B25" s="191" t="s">
        <v>134</v>
      </c>
      <c r="C25" s="191">
        <v>2015</v>
      </c>
      <c r="D25" s="191" t="s">
        <v>109</v>
      </c>
      <c r="E25" s="196">
        <v>22702.119137046699</v>
      </c>
      <c r="F25" s="196">
        <v>26918.5855388196</v>
      </c>
      <c r="G25" s="196">
        <v>9198.4610734903908</v>
      </c>
      <c r="H25" s="196">
        <v>15329.334183408901</v>
      </c>
      <c r="I25" s="196">
        <v>1923.48872220056</v>
      </c>
      <c r="J25" s="196">
        <v>17480.410173038301</v>
      </c>
      <c r="K25" s="196">
        <v>162767.53619612</v>
      </c>
      <c r="L25" s="196">
        <v>12754.199579988601</v>
      </c>
      <c r="M25" s="196">
        <v>2316.0756504469</v>
      </c>
      <c r="N25" s="196">
        <v>17082.298864255001</v>
      </c>
      <c r="O25" s="196">
        <v>83746.191656133698</v>
      </c>
      <c r="P25" s="196">
        <v>10845.433147915001</v>
      </c>
      <c r="Q25" s="196">
        <v>134939.17414145501</v>
      </c>
      <c r="R25" s="196">
        <v>5951.3053659976204</v>
      </c>
      <c r="S25" s="196">
        <v>12276.1392252635</v>
      </c>
      <c r="T25" s="196">
        <v>11810.519091779501</v>
      </c>
      <c r="U25" s="196">
        <v>895.37235770972802</v>
      </c>
      <c r="V25" s="196">
        <v>106693.806716181</v>
      </c>
      <c r="W25" s="196">
        <v>5085.4064618040802</v>
      </c>
      <c r="X25" s="196">
        <v>5668.9952460987397</v>
      </c>
      <c r="Y25" s="196">
        <v>3148.7951485665999</v>
      </c>
      <c r="Z25" s="196">
        <v>585.59727451619904</v>
      </c>
      <c r="AA25" s="196">
        <v>29250.569769874201</v>
      </c>
      <c r="AB25" s="196">
        <v>14348.973974705699</v>
      </c>
      <c r="AC25" s="196">
        <v>48040.114716476397</v>
      </c>
      <c r="AD25" s="196">
        <v>16370.6517292761</v>
      </c>
      <c r="AE25" s="196">
        <v>15706.5560286693</v>
      </c>
      <c r="AF25" s="196">
        <v>18793.0513070671</v>
      </c>
      <c r="AG25" s="196">
        <v>5353.6488843635598</v>
      </c>
      <c r="AH25" s="196">
        <v>7293.4040343525103</v>
      </c>
    </row>
    <row r="26" spans="1:34" x14ac:dyDescent="0.2">
      <c r="A26" s="191" t="s">
        <v>135</v>
      </c>
      <c r="B26" s="191" t="s">
        <v>134</v>
      </c>
      <c r="C26" s="191">
        <v>2019</v>
      </c>
      <c r="D26" s="191" t="s">
        <v>109</v>
      </c>
      <c r="E26" s="196">
        <v>24471.819543776899</v>
      </c>
      <c r="F26" s="196">
        <v>25993.745764162399</v>
      </c>
      <c r="G26" s="196">
        <v>9809.1947444843609</v>
      </c>
      <c r="H26" s="196">
        <v>14868.579818738701</v>
      </c>
      <c r="I26" s="196">
        <v>2139.3478762638001</v>
      </c>
      <c r="J26" s="196">
        <v>19018.7388323819</v>
      </c>
      <c r="K26" s="196">
        <v>164868.35791776999</v>
      </c>
      <c r="L26" s="196">
        <v>13317.4525832046</v>
      </c>
      <c r="M26" s="196">
        <v>2415.8596348626102</v>
      </c>
      <c r="N26" s="196">
        <v>17837.122919539699</v>
      </c>
      <c r="O26" s="196">
        <v>91425.575554739597</v>
      </c>
      <c r="P26" s="196">
        <v>11244.402585362001</v>
      </c>
      <c r="Q26" s="196">
        <v>132123.08125695999</v>
      </c>
      <c r="R26" s="196">
        <v>6584.9074356465799</v>
      </c>
      <c r="S26" s="196">
        <v>14764.127203854299</v>
      </c>
      <c r="T26" s="196">
        <v>12196.550223313099</v>
      </c>
      <c r="U26" s="196">
        <v>1062.89442045999</v>
      </c>
      <c r="V26" s="196">
        <v>106339.648756205</v>
      </c>
      <c r="W26" s="196">
        <v>6285.1003979060197</v>
      </c>
      <c r="X26" s="196">
        <v>6170.1403327788903</v>
      </c>
      <c r="Y26" s="196">
        <v>3329.82648707419</v>
      </c>
      <c r="Z26" s="196">
        <v>713.873313367592</v>
      </c>
      <c r="AA26" s="196">
        <v>29847.0428287752</v>
      </c>
      <c r="AB26" s="196">
        <v>12767.2605129889</v>
      </c>
      <c r="AC26" s="196">
        <v>66041.577186598297</v>
      </c>
      <c r="AD26" s="196">
        <v>17740.765764281601</v>
      </c>
      <c r="AE26" s="196">
        <v>18917.009499031901</v>
      </c>
      <c r="AF26" s="196">
        <v>16951.098956448001</v>
      </c>
      <c r="AG26" s="196">
        <v>5624.9972797836199</v>
      </c>
      <c r="AH26" s="196">
        <v>8123.0490960000698</v>
      </c>
    </row>
    <row r="27" spans="1:34" x14ac:dyDescent="0.2">
      <c r="A27" s="191" t="s">
        <v>135</v>
      </c>
      <c r="B27" s="191" t="s">
        <v>134</v>
      </c>
      <c r="C27" s="191">
        <v>2021</v>
      </c>
      <c r="D27" s="191" t="s">
        <v>109</v>
      </c>
      <c r="E27" s="196">
        <v>21932.189516894199</v>
      </c>
      <c r="F27" s="196">
        <v>23860.730636733399</v>
      </c>
      <c r="G27" s="196">
        <v>9921.2512830415399</v>
      </c>
      <c r="H27" s="196">
        <v>13752.419955462599</v>
      </c>
      <c r="I27" s="196">
        <v>2051.16041003997</v>
      </c>
      <c r="J27" s="196">
        <v>18937.281795062499</v>
      </c>
      <c r="K27" s="196">
        <v>147633.44615611999</v>
      </c>
      <c r="L27" s="196">
        <v>12478.4654787687</v>
      </c>
      <c r="M27" s="196">
        <v>2350.6456322489698</v>
      </c>
      <c r="N27" s="196">
        <v>16751.717103867199</v>
      </c>
      <c r="O27" s="196">
        <v>85502.041894040303</v>
      </c>
      <c r="P27" s="196">
        <v>9975.335383349</v>
      </c>
      <c r="Q27" s="196">
        <v>125220.614550841</v>
      </c>
      <c r="R27" s="196">
        <v>6261.8974197074504</v>
      </c>
      <c r="S27" s="196">
        <v>13995.814950882201</v>
      </c>
      <c r="T27" s="196">
        <v>10989.432914380899</v>
      </c>
      <c r="U27" s="196">
        <v>901.12623626258596</v>
      </c>
      <c r="V27" s="196">
        <v>103279.811820877</v>
      </c>
      <c r="W27" s="196">
        <v>6125.0678041644896</v>
      </c>
      <c r="X27" s="196">
        <v>4919.0391266753204</v>
      </c>
      <c r="Y27" s="196">
        <v>3227.90385825352</v>
      </c>
      <c r="Z27" s="196">
        <v>626.39652140927797</v>
      </c>
      <c r="AA27" s="196">
        <v>25487.9477141678</v>
      </c>
      <c r="AB27" s="196">
        <v>12275.6306335994</v>
      </c>
      <c r="AC27" s="196">
        <v>68350.906139302402</v>
      </c>
      <c r="AD27" s="196">
        <v>15914.4053797324</v>
      </c>
      <c r="AE27" s="196">
        <v>19557.282275404501</v>
      </c>
      <c r="AF27" s="196">
        <v>15439.4285156435</v>
      </c>
      <c r="AG27" s="196">
        <v>5205.4569146375798</v>
      </c>
      <c r="AH27" s="196">
        <v>7522.6829797718401</v>
      </c>
    </row>
    <row r="28" spans="1:34" x14ac:dyDescent="0.2">
      <c r="A28" s="191" t="s">
        <v>135</v>
      </c>
      <c r="B28" s="191" t="s">
        <v>134</v>
      </c>
      <c r="C28" s="191">
        <v>2005</v>
      </c>
      <c r="D28" s="191" t="s">
        <v>108</v>
      </c>
      <c r="E28" s="196">
        <v>185.245927882432</v>
      </c>
      <c r="F28" s="196">
        <v>242.56361203240201</v>
      </c>
      <c r="G28" s="196">
        <v>100.04721543883601</v>
      </c>
      <c r="H28" s="196">
        <v>134.73559106585901</v>
      </c>
      <c r="I28" s="196">
        <v>23.711010707483599</v>
      </c>
      <c r="J28" s="196">
        <v>230.737276077438</v>
      </c>
      <c r="K28" s="196">
        <v>1176.3809501400101</v>
      </c>
      <c r="L28" s="196">
        <v>141.46773164052101</v>
      </c>
      <c r="M28" s="196">
        <v>42.402218169704597</v>
      </c>
      <c r="N28" s="196">
        <v>487.705953271932</v>
      </c>
      <c r="O28" s="196">
        <v>1082.0764576254901</v>
      </c>
      <c r="P28" s="196">
        <v>127.505442956999</v>
      </c>
      <c r="Q28" s="196">
        <v>1743.94970852349</v>
      </c>
      <c r="R28" s="196">
        <v>90.431640889291899</v>
      </c>
      <c r="S28" s="196">
        <v>176.92969921121599</v>
      </c>
      <c r="T28" s="196">
        <v>193.57770740120199</v>
      </c>
      <c r="U28" s="196">
        <v>18.6961520764984</v>
      </c>
      <c r="V28" s="196">
        <v>1579.6293157469199</v>
      </c>
      <c r="W28" s="196">
        <v>82.009476300855596</v>
      </c>
      <c r="X28" s="196">
        <v>32.580953769635897</v>
      </c>
      <c r="Y28" s="196">
        <v>62.307102105587099</v>
      </c>
      <c r="Z28" s="196">
        <v>6.0512852084739297</v>
      </c>
      <c r="AA28" s="196">
        <v>313.15443522634502</v>
      </c>
      <c r="AB28" s="196">
        <v>138.66319884923001</v>
      </c>
      <c r="AC28" s="196">
        <v>617.186797734837</v>
      </c>
      <c r="AD28" s="196">
        <v>252.728635811283</v>
      </c>
      <c r="AE28" s="196">
        <v>213.13083250008799</v>
      </c>
      <c r="AF28" s="196">
        <v>179.695748183305</v>
      </c>
      <c r="AG28" s="196">
        <v>61.455336833298098</v>
      </c>
      <c r="AH28" s="196">
        <v>93.020419192366703</v>
      </c>
    </row>
    <row r="29" spans="1:34" x14ac:dyDescent="0.2">
      <c r="A29" s="191" t="s">
        <v>135</v>
      </c>
      <c r="B29" s="191" t="s">
        <v>134</v>
      </c>
      <c r="C29" s="191">
        <v>2010</v>
      </c>
      <c r="D29" s="191" t="s">
        <v>108</v>
      </c>
      <c r="E29" s="196">
        <v>187.50220799403201</v>
      </c>
      <c r="F29" s="196">
        <v>259.01911791156499</v>
      </c>
      <c r="G29" s="196">
        <v>96.296960592281707</v>
      </c>
      <c r="H29" s="196">
        <v>120.99651080942699</v>
      </c>
      <c r="I29" s="196">
        <v>16.623445670717501</v>
      </c>
      <c r="J29" s="196">
        <v>179.10806941642701</v>
      </c>
      <c r="K29" s="196">
        <v>1207.65147488</v>
      </c>
      <c r="L29" s="196">
        <v>127.38282743590599</v>
      </c>
      <c r="M29" s="196">
        <v>37.719611972746399</v>
      </c>
      <c r="N29" s="196">
        <v>402.131111156374</v>
      </c>
      <c r="O29" s="196">
        <v>945.103596279572</v>
      </c>
      <c r="P29" s="196">
        <v>97.437366365998997</v>
      </c>
      <c r="Q29" s="196">
        <v>1406.09361096213</v>
      </c>
      <c r="R29" s="196">
        <v>82.566261739826601</v>
      </c>
      <c r="S29" s="196">
        <v>137.15529057259999</v>
      </c>
      <c r="T29" s="196">
        <v>114.317041349303</v>
      </c>
      <c r="U29" s="196">
        <v>10.8372573450348</v>
      </c>
      <c r="V29" s="196">
        <v>1281.01653822718</v>
      </c>
      <c r="W29" s="196">
        <v>60.651277333928199</v>
      </c>
      <c r="X29" s="196">
        <v>42.347218995017101</v>
      </c>
      <c r="Y29" s="196">
        <v>51.918398888378299</v>
      </c>
      <c r="Z29" s="196">
        <v>5.1535728012702302</v>
      </c>
      <c r="AA29" s="196">
        <v>330.11476149903302</v>
      </c>
      <c r="AB29" s="196">
        <v>195.28595229499999</v>
      </c>
      <c r="AC29" s="196">
        <v>606.49090229792603</v>
      </c>
      <c r="AD29" s="196">
        <v>195.13348052943201</v>
      </c>
      <c r="AE29" s="196">
        <v>208.32279114238199</v>
      </c>
      <c r="AF29" s="196">
        <v>161.16015071593901</v>
      </c>
      <c r="AG29" s="196">
        <v>51.577411742604497</v>
      </c>
      <c r="AH29" s="196">
        <v>73.837911324651898</v>
      </c>
    </row>
    <row r="30" spans="1:34" x14ac:dyDescent="0.2">
      <c r="A30" s="191" t="s">
        <v>135</v>
      </c>
      <c r="B30" s="191" t="s">
        <v>134</v>
      </c>
      <c r="C30" s="191">
        <v>2015</v>
      </c>
      <c r="D30" s="191" t="s">
        <v>108</v>
      </c>
      <c r="E30" s="196">
        <v>224.49393584914699</v>
      </c>
      <c r="F30" s="196">
        <v>276.23302924655599</v>
      </c>
      <c r="G30" s="196">
        <v>106.91557846911</v>
      </c>
      <c r="H30" s="196">
        <v>119.813898914359</v>
      </c>
      <c r="I30" s="196">
        <v>13.0505933439388</v>
      </c>
      <c r="J30" s="196">
        <v>184.862607830011</v>
      </c>
      <c r="K30" s="196">
        <v>1498.7312371599801</v>
      </c>
      <c r="L30" s="196">
        <v>133.71866370213701</v>
      </c>
      <c r="M30" s="196">
        <v>27.733832439926601</v>
      </c>
      <c r="N30" s="196">
        <v>280.68921535904502</v>
      </c>
      <c r="O30" s="196">
        <v>868.94211394192803</v>
      </c>
      <c r="P30" s="196">
        <v>90.439357915000102</v>
      </c>
      <c r="Q30" s="196">
        <v>1487.61002031458</v>
      </c>
      <c r="R30" s="196">
        <v>63.528662694868203</v>
      </c>
      <c r="S30" s="196">
        <v>146.13688128759199</v>
      </c>
      <c r="T30" s="196">
        <v>120.922194542372</v>
      </c>
      <c r="U30" s="196">
        <v>9.6634876496573305</v>
      </c>
      <c r="V30" s="196">
        <v>1106.6234472822</v>
      </c>
      <c r="W30" s="196">
        <v>59.680117046747</v>
      </c>
      <c r="X30" s="196">
        <v>51.361579946345998</v>
      </c>
      <c r="Y30" s="196">
        <v>51.169757117349498</v>
      </c>
      <c r="Z30" s="196">
        <v>4.6302247835477601</v>
      </c>
      <c r="AA30" s="196">
        <v>295.53890491599998</v>
      </c>
      <c r="AB30" s="196">
        <v>261.68746613109897</v>
      </c>
      <c r="AC30" s="196">
        <v>590.76774296918302</v>
      </c>
      <c r="AD30" s="196">
        <v>168.412559971077</v>
      </c>
      <c r="AE30" s="196">
        <v>211.67233698406599</v>
      </c>
      <c r="AF30" s="196">
        <v>179.892212475268</v>
      </c>
      <c r="AG30" s="196">
        <v>57.434684661810003</v>
      </c>
      <c r="AH30" s="196">
        <v>83.836521127068394</v>
      </c>
    </row>
    <row r="31" spans="1:34" x14ac:dyDescent="0.2">
      <c r="A31" s="191" t="s">
        <v>135</v>
      </c>
      <c r="B31" s="191" t="s">
        <v>134</v>
      </c>
      <c r="C31" s="191">
        <v>2019</v>
      </c>
      <c r="D31" s="191" t="s">
        <v>108</v>
      </c>
      <c r="E31" s="196">
        <v>265.23203810518999</v>
      </c>
      <c r="F31" s="196">
        <v>265.00401994013703</v>
      </c>
      <c r="G31" s="196">
        <v>109.818792090671</v>
      </c>
      <c r="H31" s="196">
        <v>139.53541207630201</v>
      </c>
      <c r="I31" s="196">
        <v>14.554657936740099</v>
      </c>
      <c r="J31" s="196">
        <v>193.50242699584899</v>
      </c>
      <c r="K31" s="196">
        <v>1717.73861922999</v>
      </c>
      <c r="L31" s="196">
        <v>136.29020466212401</v>
      </c>
      <c r="M31" s="196">
        <v>27.9365917468558</v>
      </c>
      <c r="N31" s="196">
        <v>296.60322771540098</v>
      </c>
      <c r="O31" s="196">
        <v>989.03581495092703</v>
      </c>
      <c r="P31" s="196">
        <v>91.930435361999102</v>
      </c>
      <c r="Q31" s="196">
        <v>1425.1703042599399</v>
      </c>
      <c r="R31" s="196">
        <v>68.038666014555901</v>
      </c>
      <c r="S31" s="196">
        <v>169.49373754959601</v>
      </c>
      <c r="T31" s="196">
        <v>131.77529336365501</v>
      </c>
      <c r="U31" s="196">
        <v>11.3288757683729</v>
      </c>
      <c r="V31" s="196">
        <v>1108.7956722890999</v>
      </c>
      <c r="W31" s="196">
        <v>72.808598616531498</v>
      </c>
      <c r="X31" s="196">
        <v>61.667773196925701</v>
      </c>
      <c r="Y31" s="196">
        <v>46.973500661433697</v>
      </c>
      <c r="Z31" s="196">
        <v>5.3021067013505698</v>
      </c>
      <c r="AA31" s="196">
        <v>299.08815839132899</v>
      </c>
      <c r="AB31" s="196">
        <v>238.35666161840001</v>
      </c>
      <c r="AC31" s="196">
        <v>737.48303494994605</v>
      </c>
      <c r="AD31" s="196">
        <v>179.85090295024901</v>
      </c>
      <c r="AE31" s="196">
        <v>260.92429672948901</v>
      </c>
      <c r="AF31" s="196">
        <v>221.08771310452701</v>
      </c>
      <c r="AG31" s="196">
        <v>62.330380255364602</v>
      </c>
      <c r="AH31" s="196">
        <v>87.747897166879696</v>
      </c>
    </row>
    <row r="32" spans="1:34" x14ac:dyDescent="0.2">
      <c r="A32" s="191" t="s">
        <v>135</v>
      </c>
      <c r="B32" s="191" t="s">
        <v>134</v>
      </c>
      <c r="C32" s="191">
        <v>2021</v>
      </c>
      <c r="D32" s="191" t="s">
        <v>108</v>
      </c>
      <c r="E32" s="196">
        <v>248.023161833491</v>
      </c>
      <c r="F32" s="196">
        <v>254.19856612249001</v>
      </c>
      <c r="G32" s="196">
        <v>109.791291262134</v>
      </c>
      <c r="H32" s="196">
        <v>135.91557443966099</v>
      </c>
      <c r="I32" s="196">
        <v>14.9011339914668</v>
      </c>
      <c r="J32" s="196">
        <v>203.68128067503099</v>
      </c>
      <c r="K32" s="196">
        <v>1620.90103518002</v>
      </c>
      <c r="L32" s="196">
        <v>129.91152174466899</v>
      </c>
      <c r="M32" s="196">
        <v>27.8304483295842</v>
      </c>
      <c r="N32" s="196">
        <v>272.967314893322</v>
      </c>
      <c r="O32" s="196">
        <v>939.06938116293202</v>
      </c>
      <c r="P32" s="196">
        <v>89.134923349000005</v>
      </c>
      <c r="Q32" s="196">
        <v>1333.17372592227</v>
      </c>
      <c r="R32" s="196">
        <v>66.913011281574697</v>
      </c>
      <c r="S32" s="196">
        <v>161.60854779238099</v>
      </c>
      <c r="T32" s="196">
        <v>124.11870152014301</v>
      </c>
      <c r="U32" s="196">
        <v>8.5356558352887095</v>
      </c>
      <c r="V32" s="196">
        <v>1079.6982151306099</v>
      </c>
      <c r="W32" s="196">
        <v>73.7274088230388</v>
      </c>
      <c r="X32" s="196">
        <v>51.012305075694698</v>
      </c>
      <c r="Y32" s="196">
        <v>39.928442758594898</v>
      </c>
      <c r="Z32" s="196">
        <v>4.5793033508327898</v>
      </c>
      <c r="AA32" s="196">
        <v>259.513509971708</v>
      </c>
      <c r="AB32" s="196">
        <v>229.76567757345001</v>
      </c>
      <c r="AC32" s="196">
        <v>791.47541271314503</v>
      </c>
      <c r="AD32" s="196">
        <v>167.01587938602299</v>
      </c>
      <c r="AE32" s="196">
        <v>275.00593372580602</v>
      </c>
      <c r="AF32" s="196">
        <v>234.53059837807299</v>
      </c>
      <c r="AG32" s="196">
        <v>58.0607573693269</v>
      </c>
      <c r="AH32" s="196">
        <v>86.300192277417395</v>
      </c>
    </row>
    <row r="33" spans="1:34" x14ac:dyDescent="0.2">
      <c r="A33" s="191" t="s">
        <v>133</v>
      </c>
      <c r="B33" s="191" t="s">
        <v>132</v>
      </c>
      <c r="C33" s="191">
        <v>2005</v>
      </c>
      <c r="D33" s="191" t="s">
        <v>107</v>
      </c>
      <c r="E33" s="196">
        <v>-66.647299800431298</v>
      </c>
      <c r="F33" s="196">
        <v>-17.6608986544788</v>
      </c>
      <c r="G33" s="196">
        <v>-16.883203117453299</v>
      </c>
      <c r="H33" s="196">
        <v>-124.2854688768</v>
      </c>
      <c r="I33" s="196">
        <v>-12.481</v>
      </c>
      <c r="J33" s="196">
        <v>-37.599992184236697</v>
      </c>
      <c r="K33" s="196">
        <v>-2229.6542302799999</v>
      </c>
      <c r="L33" s="196">
        <v>-217.49059344164101</v>
      </c>
      <c r="M33" s="196">
        <v>-4.6725818831199897</v>
      </c>
      <c r="N33" s="196">
        <v>-455.83929746137198</v>
      </c>
      <c r="O33" s="196">
        <v>-3998.3735061811199</v>
      </c>
      <c r="P33" s="196">
        <v>-302.48093</v>
      </c>
      <c r="Q33" s="196">
        <v>-5019.4742186039803</v>
      </c>
      <c r="R33" s="196">
        <v>-37.695839999999997</v>
      </c>
      <c r="S33" s="196">
        <v>-11.1879058436798</v>
      </c>
      <c r="T33" s="196">
        <v>-79.512757802768704</v>
      </c>
      <c r="U33" s="196">
        <v>-26.007138153332999</v>
      </c>
      <c r="V33" s="196">
        <v>-2839.3612640470001</v>
      </c>
      <c r="W33" s="196">
        <v>-3.9465400000000002</v>
      </c>
      <c r="X33" s="196">
        <v>-0.61376512049999998</v>
      </c>
      <c r="Y33" s="196">
        <v>-3.1398948418799999</v>
      </c>
      <c r="Z33" s="196">
        <v>-1.85690882721819</v>
      </c>
      <c r="AA33" s="196">
        <v>-43.985246250000003</v>
      </c>
      <c r="AB33" s="196">
        <v>-964.2620495333</v>
      </c>
      <c r="AC33" s="196">
        <v>-75.2034286028575</v>
      </c>
      <c r="AD33" s="196">
        <v>-389.142876015289</v>
      </c>
      <c r="AE33" s="196">
        <v>-188.11701500000001</v>
      </c>
      <c r="AF33" s="196">
        <v>-662.42890661986996</v>
      </c>
      <c r="AG33" s="196">
        <v>-2.7135177450499999</v>
      </c>
      <c r="AH33" s="196">
        <v>-7.7926546518673101</v>
      </c>
    </row>
    <row r="34" spans="1:34" x14ac:dyDescent="0.2">
      <c r="A34" s="191" t="s">
        <v>133</v>
      </c>
      <c r="B34" s="191" t="s">
        <v>132</v>
      </c>
      <c r="C34" s="191">
        <v>2010</v>
      </c>
      <c r="D34" s="191" t="s">
        <v>107</v>
      </c>
      <c r="E34" s="196">
        <v>-63.391589746783197</v>
      </c>
      <c r="F34" s="196">
        <v>-17.9131493154574</v>
      </c>
      <c r="G34" s="196">
        <v>-21.6355559823273</v>
      </c>
      <c r="H34" s="196">
        <v>-123.467355460829</v>
      </c>
      <c r="I34" s="196">
        <v>-7.6580000000000004</v>
      </c>
      <c r="J34" s="196">
        <v>-28.149994745929199</v>
      </c>
      <c r="K34" s="196">
        <v>-2225.7942711699998</v>
      </c>
      <c r="L34" s="196">
        <v>-241.05464018116001</v>
      </c>
      <c r="M34" s="196">
        <v>-2.78054121</v>
      </c>
      <c r="N34" s="196">
        <v>-462.84822717909799</v>
      </c>
      <c r="O34" s="196">
        <v>-3482.76027661741</v>
      </c>
      <c r="P34" s="196">
        <v>-227.56469000000001</v>
      </c>
      <c r="Q34" s="196">
        <v>-4614.5369046814603</v>
      </c>
      <c r="R34" s="196">
        <v>-31.409559999999999</v>
      </c>
      <c r="S34" s="196">
        <v>-3.7764824273975202</v>
      </c>
      <c r="T34" s="196">
        <v>-49.080949103287203</v>
      </c>
      <c r="U34" s="196">
        <v>-21.137412779999998</v>
      </c>
      <c r="V34" s="196">
        <v>-2958.4814065618898</v>
      </c>
      <c r="W34" s="196">
        <v>-1.65036</v>
      </c>
      <c r="X34" s="196">
        <v>-0.53524157400000005</v>
      </c>
      <c r="Y34" s="196">
        <v>-0.43014999999999998</v>
      </c>
      <c r="Z34" s="196">
        <v>-2.6905624009568001</v>
      </c>
      <c r="AA34" s="196">
        <v>-42.071411249999997</v>
      </c>
      <c r="AB34" s="196">
        <v>-1074.191326098</v>
      </c>
      <c r="AC34" s="196">
        <v>-97.599224833119194</v>
      </c>
      <c r="AD34" s="196">
        <v>-401.08248729942699</v>
      </c>
      <c r="AE34" s="196">
        <v>-332.89533499999999</v>
      </c>
      <c r="AF34" s="196">
        <v>-477.44599841121601</v>
      </c>
      <c r="AG34" s="196">
        <v>-1.9519397240980001</v>
      </c>
      <c r="AH34" s="196">
        <v>-5.1318447147495601</v>
      </c>
    </row>
    <row r="35" spans="1:34" x14ac:dyDescent="0.2">
      <c r="A35" s="191" t="s">
        <v>133</v>
      </c>
      <c r="B35" s="191" t="s">
        <v>132</v>
      </c>
      <c r="C35" s="191">
        <v>2015</v>
      </c>
      <c r="D35" s="191" t="s">
        <v>107</v>
      </c>
      <c r="E35" s="196">
        <v>-49.731490288298602</v>
      </c>
      <c r="F35" s="196">
        <v>-13.900970735462</v>
      </c>
      <c r="G35" s="196">
        <v>-18.973079675524001</v>
      </c>
      <c r="H35" s="196">
        <v>-137.3730904</v>
      </c>
      <c r="I35" s="196">
        <v>-0.90300000000000002</v>
      </c>
      <c r="J35" s="196">
        <v>-15.449990146003399</v>
      </c>
      <c r="K35" s="196">
        <v>-2041.0823315800001</v>
      </c>
      <c r="L35" s="196">
        <v>-177.725401424799</v>
      </c>
      <c r="M35" s="196">
        <v>-4.1181305495</v>
      </c>
      <c r="N35" s="196">
        <v>-386.55286819504101</v>
      </c>
      <c r="O35" s="196">
        <v>-2486.9651506684199</v>
      </c>
      <c r="P35" s="196">
        <v>-178.9203</v>
      </c>
      <c r="Q35" s="196">
        <v>-4424.2748167177297</v>
      </c>
      <c r="R35" s="196">
        <v>-30.796220000000002</v>
      </c>
      <c r="S35" s="196">
        <v>-4.2408092986404</v>
      </c>
      <c r="T35" s="196">
        <v>-15.416883824619999</v>
      </c>
      <c r="U35" s="196">
        <v>-20.441658636667</v>
      </c>
      <c r="V35" s="196">
        <v>-2166.74762044315</v>
      </c>
      <c r="W35" s="196">
        <v>-1.5606100000000001</v>
      </c>
      <c r="X35" s="196">
        <v>-0.60411581999999997</v>
      </c>
      <c r="Y35" s="196">
        <v>-1.7070000000000001</v>
      </c>
      <c r="Z35" s="196">
        <v>-1.4270652947865201</v>
      </c>
      <c r="AA35" s="196">
        <v>-30.5488935712048</v>
      </c>
      <c r="AB35" s="196">
        <v>-1155.1503226899999</v>
      </c>
      <c r="AC35" s="196">
        <v>-120.494879904516</v>
      </c>
      <c r="AD35" s="196">
        <v>-365.95720947011398</v>
      </c>
      <c r="AE35" s="196">
        <v>-97.882124500000003</v>
      </c>
      <c r="AF35" s="196">
        <v>-503.64621693575299</v>
      </c>
      <c r="AG35" s="196">
        <v>-1.9640564837600001</v>
      </c>
      <c r="AH35" s="196">
        <v>-3.6559992211244601</v>
      </c>
    </row>
    <row r="36" spans="1:34" x14ac:dyDescent="0.2">
      <c r="A36" s="191" t="s">
        <v>133</v>
      </c>
      <c r="B36" s="191" t="s">
        <v>132</v>
      </c>
      <c r="C36" s="191">
        <v>2019</v>
      </c>
      <c r="D36" s="191" t="s">
        <v>107</v>
      </c>
      <c r="E36" s="196">
        <v>-46.095814660398702</v>
      </c>
      <c r="F36" s="196">
        <v>-10.3120601049051</v>
      </c>
      <c r="G36" s="196">
        <v>-20.681527572784301</v>
      </c>
      <c r="H36" s="196">
        <v>-114.3402624</v>
      </c>
      <c r="I36" s="196">
        <v>-0.37448446444848998</v>
      </c>
      <c r="J36" s="196">
        <v>-21.749990696763099</v>
      </c>
      <c r="K36" s="196">
        <v>-2104.8589727799999</v>
      </c>
      <c r="L36" s="196">
        <v>-198.52703075812599</v>
      </c>
      <c r="M36" s="196">
        <v>-3.8833597760776701</v>
      </c>
      <c r="N36" s="196">
        <v>-409.96990027407099</v>
      </c>
      <c r="O36" s="196">
        <v>-3127.0592982989401</v>
      </c>
      <c r="P36" s="196">
        <v>-208.88444999999999</v>
      </c>
      <c r="Q36" s="196">
        <v>-5050.0175667215199</v>
      </c>
      <c r="R36" s="196">
        <v>-32.051291999999997</v>
      </c>
      <c r="S36" s="196">
        <v>-7.7003466565538297</v>
      </c>
      <c r="T36" s="196">
        <v>-17.8153216948077</v>
      </c>
      <c r="U36" s="196">
        <v>-27.755915457878999</v>
      </c>
      <c r="V36" s="196">
        <v>-2378.7579620210099</v>
      </c>
      <c r="W36" s="196">
        <v>-1.98956</v>
      </c>
      <c r="X36" s="196">
        <v>-0.506658159</v>
      </c>
      <c r="Y36" s="196">
        <v>-1.6385000000000001</v>
      </c>
      <c r="Z36" s="196">
        <v>-0.26729278533708001</v>
      </c>
      <c r="AA36" s="196">
        <v>-31.785187549550098</v>
      </c>
      <c r="AB36" s="196">
        <v>-1116.5907627300001</v>
      </c>
      <c r="AC36" s="196">
        <v>-87.081918350699198</v>
      </c>
      <c r="AD36" s="196">
        <v>-495.79332073632202</v>
      </c>
      <c r="AE36" s="196">
        <v>-193.50111252223999</v>
      </c>
      <c r="AF36" s="196">
        <v>-469.69647172820498</v>
      </c>
      <c r="AG36" s="196">
        <v>-1.9559141772099999</v>
      </c>
      <c r="AH36" s="196">
        <v>-1.8293061447612899</v>
      </c>
    </row>
    <row r="37" spans="1:34" x14ac:dyDescent="0.2">
      <c r="A37" s="191" t="s">
        <v>133</v>
      </c>
      <c r="B37" s="191" t="s">
        <v>132</v>
      </c>
      <c r="C37" s="191">
        <v>2021</v>
      </c>
      <c r="D37" s="191" t="s">
        <v>107</v>
      </c>
      <c r="E37" s="196">
        <v>-23.9200837644612</v>
      </c>
      <c r="F37" s="196">
        <v>-8.3446574475226392</v>
      </c>
      <c r="G37" s="196">
        <v>-14.339818511561701</v>
      </c>
      <c r="H37" s="196">
        <v>-59.009641600000002</v>
      </c>
      <c r="I37" s="196">
        <v>-0.35293957708214002</v>
      </c>
      <c r="J37" s="196">
        <v>-12.3999938265616</v>
      </c>
      <c r="K37" s="196">
        <v>-732.34819150999999</v>
      </c>
      <c r="L37" s="196">
        <v>-119.804907152575</v>
      </c>
      <c r="M37" s="196">
        <v>-5.5709673005000004</v>
      </c>
      <c r="N37" s="196">
        <v>-320.32194104014098</v>
      </c>
      <c r="O37" s="196">
        <v>-2174.5009312418701</v>
      </c>
      <c r="P37" s="196">
        <v>-79.206599999999995</v>
      </c>
      <c r="Q37" s="196">
        <v>-3820.44448682845</v>
      </c>
      <c r="R37" s="196">
        <v>-22.305374</v>
      </c>
      <c r="S37" s="196">
        <v>-5.5527645660435399</v>
      </c>
      <c r="T37" s="196">
        <v>-19.2660203104281</v>
      </c>
      <c r="U37" s="196">
        <v>-20.735413380000001</v>
      </c>
      <c r="V37" s="196">
        <v>-1703.3549285865299</v>
      </c>
      <c r="W37" s="196">
        <v>-2.2062900000000001</v>
      </c>
      <c r="X37" s="196">
        <v>-0.5983470675</v>
      </c>
      <c r="Y37" s="196">
        <v>-4.1974999999999998</v>
      </c>
      <c r="Z37" s="196">
        <v>-0.15218765421347999</v>
      </c>
      <c r="AA37" s="196">
        <v>-26.8162307082012</v>
      </c>
      <c r="AB37" s="196">
        <v>-808.34731471359999</v>
      </c>
      <c r="AC37" s="196">
        <v>-53.636771602295603</v>
      </c>
      <c r="AD37" s="196">
        <v>-340.10916927359301</v>
      </c>
      <c r="AE37" s="196">
        <v>-139.73250974955101</v>
      </c>
      <c r="AF37" s="196">
        <v>-189.62135061421199</v>
      </c>
      <c r="AG37" s="196">
        <v>-1.6254311437</v>
      </c>
      <c r="AH37" s="196">
        <v>-1.2909450730959999</v>
      </c>
    </row>
    <row r="38" spans="1:34" x14ac:dyDescent="0.2">
      <c r="A38" s="191" t="s">
        <v>133</v>
      </c>
      <c r="B38" s="191" t="s">
        <v>132</v>
      </c>
      <c r="C38" s="191">
        <v>2005</v>
      </c>
      <c r="D38" s="191" t="s">
        <v>109</v>
      </c>
      <c r="E38" s="196">
        <v>-66.647299800431298</v>
      </c>
      <c r="F38" s="196">
        <v>-17.6608986544788</v>
      </c>
      <c r="G38" s="196">
        <v>-16.883203117453299</v>
      </c>
      <c r="H38" s="196">
        <v>-124.2854688768</v>
      </c>
      <c r="I38" s="196">
        <v>-12.481</v>
      </c>
      <c r="J38" s="196">
        <v>-37.599992184236697</v>
      </c>
      <c r="K38" s="196">
        <v>-2229.6542302799999</v>
      </c>
      <c r="L38" s="196">
        <v>-217.49059344164101</v>
      </c>
      <c r="M38" s="196">
        <v>-4.6725818831199897</v>
      </c>
      <c r="N38" s="196">
        <v>-455.83929746137198</v>
      </c>
      <c r="O38" s="196">
        <v>-3998.3735061811199</v>
      </c>
      <c r="P38" s="196">
        <v>-302.48093</v>
      </c>
      <c r="Q38" s="196">
        <v>-5019.4742186039803</v>
      </c>
      <c r="R38" s="196">
        <v>-37.695839999999997</v>
      </c>
      <c r="S38" s="196">
        <v>-11.1879058436798</v>
      </c>
      <c r="T38" s="196">
        <v>-79.512757802768704</v>
      </c>
      <c r="U38" s="196">
        <v>-26.007138153332999</v>
      </c>
      <c r="V38" s="196">
        <v>-2839.3612640470001</v>
      </c>
      <c r="W38" s="196">
        <v>-3.9465400000000002</v>
      </c>
      <c r="X38" s="196">
        <v>-0.61376512049999998</v>
      </c>
      <c r="Y38" s="196">
        <v>-3.1398948418799999</v>
      </c>
      <c r="Z38" s="196">
        <v>-1.85690882721819</v>
      </c>
      <c r="AA38" s="196">
        <v>-43.985246250000003</v>
      </c>
      <c r="AB38" s="196">
        <v>-964.2620495333</v>
      </c>
      <c r="AC38" s="196">
        <v>-75.2034286028575</v>
      </c>
      <c r="AD38" s="196">
        <v>-389.142876015289</v>
      </c>
      <c r="AE38" s="196">
        <v>-188.11701500000001</v>
      </c>
      <c r="AF38" s="196">
        <v>-662.42890661986996</v>
      </c>
      <c r="AG38" s="196">
        <v>-2.7135177450499999</v>
      </c>
      <c r="AH38" s="196">
        <v>-7.7926546518673101</v>
      </c>
    </row>
    <row r="39" spans="1:34" x14ac:dyDescent="0.2">
      <c r="A39" s="191" t="s">
        <v>133</v>
      </c>
      <c r="B39" s="191" t="s">
        <v>132</v>
      </c>
      <c r="C39" s="191">
        <v>2010</v>
      </c>
      <c r="D39" s="191" t="s">
        <v>109</v>
      </c>
      <c r="E39" s="196">
        <v>-63.391589746783197</v>
      </c>
      <c r="F39" s="196">
        <v>-17.9131493154574</v>
      </c>
      <c r="G39" s="196">
        <v>-21.6355559823273</v>
      </c>
      <c r="H39" s="196">
        <v>-123.467355460829</v>
      </c>
      <c r="I39" s="196">
        <v>-7.6580000000000004</v>
      </c>
      <c r="J39" s="196">
        <v>-28.149994745929199</v>
      </c>
      <c r="K39" s="196">
        <v>-2225.7942711699998</v>
      </c>
      <c r="L39" s="196">
        <v>-241.05464018116001</v>
      </c>
      <c r="M39" s="196">
        <v>-2.78054121</v>
      </c>
      <c r="N39" s="196">
        <v>-462.84822717909799</v>
      </c>
      <c r="O39" s="196">
        <v>-3482.76027661741</v>
      </c>
      <c r="P39" s="196">
        <v>-227.56469000000001</v>
      </c>
      <c r="Q39" s="196">
        <v>-4614.5369046814603</v>
      </c>
      <c r="R39" s="196">
        <v>-31.409559999999999</v>
      </c>
      <c r="S39" s="196">
        <v>-3.7764824273975202</v>
      </c>
      <c r="T39" s="196">
        <v>-49.080949103287203</v>
      </c>
      <c r="U39" s="196">
        <v>-21.137412779999998</v>
      </c>
      <c r="V39" s="196">
        <v>-2958.4814065618898</v>
      </c>
      <c r="W39" s="196">
        <v>-1.65036</v>
      </c>
      <c r="X39" s="196">
        <v>-0.53524157400000005</v>
      </c>
      <c r="Y39" s="196">
        <v>-0.43014999999999998</v>
      </c>
      <c r="Z39" s="196">
        <v>-2.6905624009568001</v>
      </c>
      <c r="AA39" s="196">
        <v>-42.071411249999997</v>
      </c>
      <c r="AB39" s="196">
        <v>-1074.191326098</v>
      </c>
      <c r="AC39" s="196">
        <v>-97.599224833119194</v>
      </c>
      <c r="AD39" s="196">
        <v>-401.08248729942699</v>
      </c>
      <c r="AE39" s="196">
        <v>-332.89533499999999</v>
      </c>
      <c r="AF39" s="196">
        <v>-477.44599841121601</v>
      </c>
      <c r="AG39" s="196">
        <v>-1.9519397240980001</v>
      </c>
      <c r="AH39" s="196">
        <v>-5.1318447147495601</v>
      </c>
    </row>
    <row r="40" spans="1:34" x14ac:dyDescent="0.2">
      <c r="A40" s="191" t="s">
        <v>133</v>
      </c>
      <c r="B40" s="191" t="s">
        <v>132</v>
      </c>
      <c r="C40" s="191">
        <v>2015</v>
      </c>
      <c r="D40" s="191" t="s">
        <v>109</v>
      </c>
      <c r="E40" s="196">
        <v>-49.731490288298602</v>
      </c>
      <c r="F40" s="196">
        <v>-13.900970735462</v>
      </c>
      <c r="G40" s="196">
        <v>-18.973079675524001</v>
      </c>
      <c r="H40" s="196">
        <v>-137.3730904</v>
      </c>
      <c r="I40" s="196">
        <v>-0.90300000000000002</v>
      </c>
      <c r="J40" s="196">
        <v>-15.449990146003399</v>
      </c>
      <c r="K40" s="196">
        <v>-2041.0823315800001</v>
      </c>
      <c r="L40" s="196">
        <v>-177.725401424799</v>
      </c>
      <c r="M40" s="196">
        <v>-4.1181305495</v>
      </c>
      <c r="N40" s="196">
        <v>-386.55286819504101</v>
      </c>
      <c r="O40" s="196">
        <v>-2486.9651506684199</v>
      </c>
      <c r="P40" s="196">
        <v>-178.9203</v>
      </c>
      <c r="Q40" s="196">
        <v>-4424.2748167177297</v>
      </c>
      <c r="R40" s="196">
        <v>-30.796220000000002</v>
      </c>
      <c r="S40" s="196">
        <v>-4.2408092986404</v>
      </c>
      <c r="T40" s="196">
        <v>-15.416883824619999</v>
      </c>
      <c r="U40" s="196">
        <v>-20.441658636667</v>
      </c>
      <c r="V40" s="196">
        <v>-2166.74762044315</v>
      </c>
      <c r="W40" s="196">
        <v>-1.5606100000000001</v>
      </c>
      <c r="X40" s="196">
        <v>-0.60411581999999997</v>
      </c>
      <c r="Y40" s="196">
        <v>-1.7070000000000001</v>
      </c>
      <c r="Z40" s="196">
        <v>-1.4270652947865201</v>
      </c>
      <c r="AA40" s="196">
        <v>-30.5488935712048</v>
      </c>
      <c r="AB40" s="196">
        <v>-1155.1503226899999</v>
      </c>
      <c r="AC40" s="196">
        <v>-120.494879904516</v>
      </c>
      <c r="AD40" s="196">
        <v>-365.95720947011398</v>
      </c>
      <c r="AE40" s="196">
        <v>-97.882124500000003</v>
      </c>
      <c r="AF40" s="196">
        <v>-503.64621693575299</v>
      </c>
      <c r="AG40" s="196">
        <v>-1.9640564837600001</v>
      </c>
      <c r="AH40" s="196">
        <v>-3.6559992211244601</v>
      </c>
    </row>
    <row r="41" spans="1:34" x14ac:dyDescent="0.2">
      <c r="A41" s="191" t="s">
        <v>133</v>
      </c>
      <c r="B41" s="191" t="s">
        <v>132</v>
      </c>
      <c r="C41" s="191">
        <v>2019</v>
      </c>
      <c r="D41" s="191" t="s">
        <v>109</v>
      </c>
      <c r="E41" s="196">
        <v>-46.095814660398702</v>
      </c>
      <c r="F41" s="196">
        <v>-10.3120601049051</v>
      </c>
      <c r="G41" s="196">
        <v>-20.681527572784301</v>
      </c>
      <c r="H41" s="196">
        <v>-114.3402624</v>
      </c>
      <c r="I41" s="196">
        <v>-0.37448446444848998</v>
      </c>
      <c r="J41" s="196">
        <v>-21.749990696763099</v>
      </c>
      <c r="K41" s="196">
        <v>-2104.8589727799999</v>
      </c>
      <c r="L41" s="196">
        <v>-198.52703075812599</v>
      </c>
      <c r="M41" s="196">
        <v>-3.8833597760776701</v>
      </c>
      <c r="N41" s="196">
        <v>-409.96990027407099</v>
      </c>
      <c r="O41" s="196">
        <v>-3127.0592982989401</v>
      </c>
      <c r="P41" s="196">
        <v>-208.88444999999999</v>
      </c>
      <c r="Q41" s="196">
        <v>-5050.0175667215199</v>
      </c>
      <c r="R41" s="196">
        <v>-32.051291999999997</v>
      </c>
      <c r="S41" s="196">
        <v>-7.7003466565538297</v>
      </c>
      <c r="T41" s="196">
        <v>-17.8153216948077</v>
      </c>
      <c r="U41" s="196">
        <v>-27.755915457878999</v>
      </c>
      <c r="V41" s="196">
        <v>-2378.7579620210099</v>
      </c>
      <c r="W41" s="196">
        <v>-1.98956</v>
      </c>
      <c r="X41" s="196">
        <v>-0.506658159</v>
      </c>
      <c r="Y41" s="196">
        <v>-1.6385000000000001</v>
      </c>
      <c r="Z41" s="196">
        <v>-0.26729278533708001</v>
      </c>
      <c r="AA41" s="196">
        <v>-31.785187549550098</v>
      </c>
      <c r="AB41" s="196">
        <v>-1116.5907627300001</v>
      </c>
      <c r="AC41" s="196">
        <v>-87.081918350699198</v>
      </c>
      <c r="AD41" s="196">
        <v>-495.79332073632202</v>
      </c>
      <c r="AE41" s="196">
        <v>-193.50111252223999</v>
      </c>
      <c r="AF41" s="196">
        <v>-469.69647172820498</v>
      </c>
      <c r="AG41" s="196">
        <v>-1.9559141772099999</v>
      </c>
      <c r="AH41" s="196">
        <v>-1.8293061447612899</v>
      </c>
    </row>
    <row r="42" spans="1:34" x14ac:dyDescent="0.2">
      <c r="A42" s="191" t="s">
        <v>133</v>
      </c>
      <c r="B42" s="191" t="s">
        <v>132</v>
      </c>
      <c r="C42" s="191">
        <v>2021</v>
      </c>
      <c r="D42" s="191" t="s">
        <v>109</v>
      </c>
      <c r="E42" s="196">
        <v>-23.9200837644612</v>
      </c>
      <c r="F42" s="196">
        <v>-8.3446574475226392</v>
      </c>
      <c r="G42" s="196">
        <v>-14.339818511561701</v>
      </c>
      <c r="H42" s="196">
        <v>-59.009641600000002</v>
      </c>
      <c r="I42" s="196">
        <v>-0.35293957708214002</v>
      </c>
      <c r="J42" s="196">
        <v>-12.3999938265616</v>
      </c>
      <c r="K42" s="196">
        <v>-732.34819150999999</v>
      </c>
      <c r="L42" s="196">
        <v>-119.804907152575</v>
      </c>
      <c r="M42" s="196">
        <v>-5.5709673005000004</v>
      </c>
      <c r="N42" s="196">
        <v>-320.32194104014098</v>
      </c>
      <c r="O42" s="196">
        <v>-2174.5009312418701</v>
      </c>
      <c r="P42" s="196">
        <v>-79.206599999999995</v>
      </c>
      <c r="Q42" s="196">
        <v>-3820.44448682845</v>
      </c>
      <c r="R42" s="196">
        <v>-22.305374</v>
      </c>
      <c r="S42" s="196">
        <v>-5.5527645660435399</v>
      </c>
      <c r="T42" s="196">
        <v>-19.2660203104281</v>
      </c>
      <c r="U42" s="196">
        <v>-20.735413380000001</v>
      </c>
      <c r="V42" s="196">
        <v>-1703.3549285865299</v>
      </c>
      <c r="W42" s="196">
        <v>-2.2062900000000001</v>
      </c>
      <c r="X42" s="196">
        <v>-0.5983470675</v>
      </c>
      <c r="Y42" s="196">
        <v>-4.1974999999999998</v>
      </c>
      <c r="Z42" s="196">
        <v>-0.15218765421347999</v>
      </c>
      <c r="AA42" s="196">
        <v>-26.8162307082012</v>
      </c>
      <c r="AB42" s="196">
        <v>-808.34731471359999</v>
      </c>
      <c r="AC42" s="196">
        <v>-53.636771602295603</v>
      </c>
      <c r="AD42" s="196">
        <v>-340.10916927359301</v>
      </c>
      <c r="AE42" s="196">
        <v>-139.73250974955101</v>
      </c>
      <c r="AF42" s="196">
        <v>-189.62135061421199</v>
      </c>
      <c r="AG42" s="196">
        <v>-1.6254311437</v>
      </c>
      <c r="AH42" s="196">
        <v>-1.2909450730959999</v>
      </c>
    </row>
    <row r="43" spans="1:34" x14ac:dyDescent="0.2">
      <c r="A43" s="191" t="s">
        <v>133</v>
      </c>
      <c r="B43" s="191" t="s">
        <v>132</v>
      </c>
      <c r="C43" s="191">
        <v>2005</v>
      </c>
      <c r="D43" s="191" t="s">
        <v>108</v>
      </c>
      <c r="E43" s="196">
        <v>0</v>
      </c>
      <c r="F43" s="196">
        <v>0</v>
      </c>
      <c r="G43" s="196">
        <v>0</v>
      </c>
      <c r="H43" s="196">
        <v>0</v>
      </c>
      <c r="I43" s="196">
        <v>0</v>
      </c>
      <c r="J43" s="196">
        <v>0</v>
      </c>
      <c r="K43" s="196">
        <v>0</v>
      </c>
      <c r="L43" s="196">
        <v>0</v>
      </c>
      <c r="M43" s="196">
        <v>0</v>
      </c>
      <c r="N43" s="196">
        <v>0</v>
      </c>
      <c r="O43" s="196">
        <v>0</v>
      </c>
      <c r="P43" s="196">
        <v>0</v>
      </c>
      <c r="Q43" s="196">
        <v>0</v>
      </c>
      <c r="R43" s="196">
        <v>0</v>
      </c>
      <c r="S43" s="196">
        <v>0</v>
      </c>
      <c r="T43" s="196">
        <v>0</v>
      </c>
      <c r="U43" s="196">
        <v>0</v>
      </c>
      <c r="V43" s="196">
        <v>0</v>
      </c>
      <c r="W43" s="196">
        <v>0</v>
      </c>
      <c r="X43" s="196">
        <v>0</v>
      </c>
      <c r="Y43" s="196">
        <v>0</v>
      </c>
      <c r="Z43" s="196">
        <v>0</v>
      </c>
      <c r="AA43" s="196">
        <v>0</v>
      </c>
      <c r="AB43" s="196">
        <v>0</v>
      </c>
      <c r="AC43" s="196">
        <v>0</v>
      </c>
      <c r="AD43" s="196">
        <v>0</v>
      </c>
      <c r="AE43" s="196">
        <v>0</v>
      </c>
      <c r="AF43" s="196">
        <v>0</v>
      </c>
      <c r="AG43" s="196">
        <v>0</v>
      </c>
      <c r="AH43" s="196">
        <v>0</v>
      </c>
    </row>
    <row r="44" spans="1:34" x14ac:dyDescent="0.2">
      <c r="A44" s="191" t="s">
        <v>133</v>
      </c>
      <c r="B44" s="191" t="s">
        <v>132</v>
      </c>
      <c r="C44" s="191">
        <v>2010</v>
      </c>
      <c r="D44" s="191" t="s">
        <v>108</v>
      </c>
      <c r="E44" s="196">
        <v>0</v>
      </c>
      <c r="F44" s="196">
        <v>0</v>
      </c>
      <c r="G44" s="196">
        <v>0</v>
      </c>
      <c r="H44" s="196">
        <v>0</v>
      </c>
      <c r="I44" s="196">
        <v>0</v>
      </c>
      <c r="J44" s="196">
        <v>0</v>
      </c>
      <c r="K44" s="196">
        <v>0</v>
      </c>
      <c r="L44" s="196">
        <v>0</v>
      </c>
      <c r="M44" s="196">
        <v>0</v>
      </c>
      <c r="N44" s="196">
        <v>0</v>
      </c>
      <c r="O44" s="196">
        <v>0</v>
      </c>
      <c r="P44" s="196">
        <v>0</v>
      </c>
      <c r="Q44" s="196">
        <v>0</v>
      </c>
      <c r="R44" s="196">
        <v>0</v>
      </c>
      <c r="S44" s="196">
        <v>0</v>
      </c>
      <c r="T44" s="196">
        <v>0</v>
      </c>
      <c r="U44" s="196">
        <v>0</v>
      </c>
      <c r="V44" s="196">
        <v>0</v>
      </c>
      <c r="W44" s="196">
        <v>0</v>
      </c>
      <c r="X44" s="196">
        <v>0</v>
      </c>
      <c r="Y44" s="196">
        <v>0</v>
      </c>
      <c r="Z44" s="196">
        <v>0</v>
      </c>
      <c r="AA44" s="196">
        <v>0</v>
      </c>
      <c r="AB44" s="196">
        <v>0</v>
      </c>
      <c r="AC44" s="196">
        <v>0</v>
      </c>
      <c r="AD44" s="196">
        <v>0</v>
      </c>
      <c r="AE44" s="196">
        <v>0</v>
      </c>
      <c r="AF44" s="196">
        <v>0</v>
      </c>
      <c r="AG44" s="196">
        <v>0</v>
      </c>
      <c r="AH44" s="196">
        <v>0</v>
      </c>
    </row>
    <row r="45" spans="1:34" x14ac:dyDescent="0.2">
      <c r="A45" s="191" t="s">
        <v>133</v>
      </c>
      <c r="B45" s="191" t="s">
        <v>132</v>
      </c>
      <c r="C45" s="191">
        <v>2015</v>
      </c>
      <c r="D45" s="191" t="s">
        <v>108</v>
      </c>
      <c r="E45" s="196">
        <v>0</v>
      </c>
      <c r="F45" s="196">
        <v>0</v>
      </c>
      <c r="G45" s="196">
        <v>0</v>
      </c>
      <c r="H45" s="196">
        <v>0</v>
      </c>
      <c r="I45" s="196">
        <v>0</v>
      </c>
      <c r="J45" s="196">
        <v>0</v>
      </c>
      <c r="K45" s="196">
        <v>0</v>
      </c>
      <c r="L45" s="196">
        <v>0</v>
      </c>
      <c r="M45" s="196">
        <v>0</v>
      </c>
      <c r="N45" s="196">
        <v>0</v>
      </c>
      <c r="O45" s="196">
        <v>0</v>
      </c>
      <c r="P45" s="196">
        <v>0</v>
      </c>
      <c r="Q45" s="196">
        <v>0</v>
      </c>
      <c r="R45" s="196">
        <v>0</v>
      </c>
      <c r="S45" s="196">
        <v>0</v>
      </c>
      <c r="T45" s="196">
        <v>0</v>
      </c>
      <c r="U45" s="196">
        <v>0</v>
      </c>
      <c r="V45" s="196">
        <v>0</v>
      </c>
      <c r="W45" s="196">
        <v>0</v>
      </c>
      <c r="X45" s="196">
        <v>0</v>
      </c>
      <c r="Y45" s="196">
        <v>0</v>
      </c>
      <c r="Z45" s="196">
        <v>0</v>
      </c>
      <c r="AA45" s="196">
        <v>0</v>
      </c>
      <c r="AB45" s="196">
        <v>0</v>
      </c>
      <c r="AC45" s="196">
        <v>0</v>
      </c>
      <c r="AD45" s="196">
        <v>0</v>
      </c>
      <c r="AE45" s="196">
        <v>0</v>
      </c>
      <c r="AF45" s="196">
        <v>0</v>
      </c>
      <c r="AG45" s="196">
        <v>0</v>
      </c>
      <c r="AH45" s="196">
        <v>0</v>
      </c>
    </row>
    <row r="46" spans="1:34" x14ac:dyDescent="0.2">
      <c r="A46" s="191" t="s">
        <v>133</v>
      </c>
      <c r="B46" s="191" t="s">
        <v>132</v>
      </c>
      <c r="C46" s="191">
        <v>2019</v>
      </c>
      <c r="D46" s="191" t="s">
        <v>108</v>
      </c>
      <c r="E46" s="196">
        <v>0</v>
      </c>
      <c r="F46" s="196">
        <v>0</v>
      </c>
      <c r="G46" s="196">
        <v>0</v>
      </c>
      <c r="H46" s="196">
        <v>0</v>
      </c>
      <c r="I46" s="196">
        <v>0</v>
      </c>
      <c r="J46" s="196">
        <v>0</v>
      </c>
      <c r="K46" s="196">
        <v>0</v>
      </c>
      <c r="L46" s="196">
        <v>0</v>
      </c>
      <c r="M46" s="196">
        <v>0</v>
      </c>
      <c r="N46" s="196">
        <v>0</v>
      </c>
      <c r="O46" s="196">
        <v>0</v>
      </c>
      <c r="P46" s="196">
        <v>0</v>
      </c>
      <c r="Q46" s="196">
        <v>0</v>
      </c>
      <c r="R46" s="196">
        <v>0</v>
      </c>
      <c r="S46" s="196">
        <v>0</v>
      </c>
      <c r="T46" s="196">
        <v>0</v>
      </c>
      <c r="U46" s="196">
        <v>0</v>
      </c>
      <c r="V46" s="196">
        <v>0</v>
      </c>
      <c r="W46" s="196">
        <v>0</v>
      </c>
      <c r="X46" s="196">
        <v>0</v>
      </c>
      <c r="Y46" s="196">
        <v>0</v>
      </c>
      <c r="Z46" s="196">
        <v>0</v>
      </c>
      <c r="AA46" s="196">
        <v>0</v>
      </c>
      <c r="AB46" s="196">
        <v>0</v>
      </c>
      <c r="AC46" s="196">
        <v>0</v>
      </c>
      <c r="AD46" s="196">
        <v>0</v>
      </c>
      <c r="AE46" s="196">
        <v>0</v>
      </c>
      <c r="AF46" s="196">
        <v>0</v>
      </c>
      <c r="AG46" s="196">
        <v>0</v>
      </c>
      <c r="AH46" s="196">
        <v>0</v>
      </c>
    </row>
    <row r="47" spans="1:34" x14ac:dyDescent="0.2">
      <c r="A47" s="191" t="s">
        <v>133</v>
      </c>
      <c r="B47" s="191" t="s">
        <v>132</v>
      </c>
      <c r="C47" s="191">
        <v>2021</v>
      </c>
      <c r="D47" s="191" t="s">
        <v>108</v>
      </c>
      <c r="E47" s="196">
        <v>0</v>
      </c>
      <c r="F47" s="196">
        <v>0</v>
      </c>
      <c r="G47" s="196">
        <v>0</v>
      </c>
      <c r="H47" s="196">
        <v>0</v>
      </c>
      <c r="I47" s="196">
        <v>0</v>
      </c>
      <c r="J47" s="196">
        <v>0</v>
      </c>
      <c r="K47" s="196">
        <v>0</v>
      </c>
      <c r="L47" s="196">
        <v>0</v>
      </c>
      <c r="M47" s="196">
        <v>0</v>
      </c>
      <c r="N47" s="196">
        <v>0</v>
      </c>
      <c r="O47" s="196">
        <v>0</v>
      </c>
      <c r="P47" s="196">
        <v>0</v>
      </c>
      <c r="Q47" s="196">
        <v>0</v>
      </c>
      <c r="R47" s="196">
        <v>0</v>
      </c>
      <c r="S47" s="196">
        <v>0</v>
      </c>
      <c r="T47" s="196">
        <v>0</v>
      </c>
      <c r="U47" s="196">
        <v>0</v>
      </c>
      <c r="V47" s="196">
        <v>0</v>
      </c>
      <c r="W47" s="196">
        <v>0</v>
      </c>
      <c r="X47" s="196">
        <v>0</v>
      </c>
      <c r="Y47" s="196">
        <v>0</v>
      </c>
      <c r="Z47" s="196">
        <v>0</v>
      </c>
      <c r="AA47" s="196">
        <v>0</v>
      </c>
      <c r="AB47" s="196">
        <v>0</v>
      </c>
      <c r="AC47" s="196">
        <v>0</v>
      </c>
      <c r="AD47" s="196">
        <v>0</v>
      </c>
      <c r="AE47" s="196">
        <v>0</v>
      </c>
      <c r="AF47" s="196">
        <v>0</v>
      </c>
      <c r="AG47" s="196">
        <v>0</v>
      </c>
      <c r="AH47" s="196">
        <v>0</v>
      </c>
    </row>
    <row r="48" spans="1:34" x14ac:dyDescent="0.2">
      <c r="A48" s="191" t="s">
        <v>131</v>
      </c>
      <c r="B48" s="191" t="s">
        <v>130</v>
      </c>
      <c r="C48" s="191">
        <v>2005</v>
      </c>
      <c r="D48" s="191" t="s">
        <v>107</v>
      </c>
      <c r="E48" s="196">
        <v>13370.591570426201</v>
      </c>
      <c r="F48" s="196">
        <v>29720.8641717547</v>
      </c>
      <c r="G48" s="196">
        <v>2118.43530757291</v>
      </c>
      <c r="H48" s="196">
        <v>17642.0159190417</v>
      </c>
      <c r="I48" s="196">
        <v>604.59601748677301</v>
      </c>
      <c r="J48" s="196">
        <v>13750.8328100985</v>
      </c>
      <c r="K48" s="196">
        <v>156593.02649049999</v>
      </c>
      <c r="L48" s="196">
        <v>7752.8380674104701</v>
      </c>
      <c r="M48" s="196">
        <v>746.12132415682095</v>
      </c>
      <c r="N48" s="196">
        <v>14214.1117068733</v>
      </c>
      <c r="O48" s="196">
        <v>40961.487067252398</v>
      </c>
      <c r="P48" s="196">
        <v>5423.5448659459998</v>
      </c>
      <c r="Q48" s="196">
        <v>102692.951951804</v>
      </c>
      <c r="R48" s="196">
        <v>3898.1613559675998</v>
      </c>
      <c r="S48" s="196">
        <v>17518.553163422399</v>
      </c>
      <c r="T48" s="196">
        <v>10918.0239680413</v>
      </c>
      <c r="U48" s="196">
        <v>826.16009136682101</v>
      </c>
      <c r="V48" s="196">
        <v>92265.272667210302</v>
      </c>
      <c r="W48" s="196">
        <v>1177.2130400000001</v>
      </c>
      <c r="X48" s="196">
        <v>1644.89297604442</v>
      </c>
      <c r="Y48" s="196">
        <v>1292.67337396636</v>
      </c>
      <c r="Z48" s="196">
        <v>126.2676692072</v>
      </c>
      <c r="AA48" s="196">
        <v>38244.7580811523</v>
      </c>
      <c r="AB48" s="196">
        <v>3032.5249061485001</v>
      </c>
      <c r="AC48" s="196">
        <v>54952.739361932501</v>
      </c>
      <c r="AD48" s="196">
        <v>6716.5821971821497</v>
      </c>
      <c r="AE48" s="196">
        <v>10228.119759838301</v>
      </c>
      <c r="AF48" s="196">
        <v>5013.5262114978696</v>
      </c>
      <c r="AG48" s="196">
        <v>2464.4006624037602</v>
      </c>
      <c r="AH48" s="196">
        <v>6349.2422996205896</v>
      </c>
    </row>
    <row r="49" spans="1:34" x14ac:dyDescent="0.2">
      <c r="A49" s="191" t="s">
        <v>131</v>
      </c>
      <c r="B49" s="191" t="s">
        <v>130</v>
      </c>
      <c r="C49" s="191">
        <v>2010</v>
      </c>
      <c r="D49" s="191" t="s">
        <v>107</v>
      </c>
      <c r="E49" s="196">
        <v>10702.2079667784</v>
      </c>
      <c r="F49" s="196">
        <v>29278.529844401601</v>
      </c>
      <c r="G49" s="196">
        <v>1738.53034393285</v>
      </c>
      <c r="H49" s="196">
        <v>16585.7721376884</v>
      </c>
      <c r="I49" s="196">
        <v>563.21604000000002</v>
      </c>
      <c r="J49" s="196">
        <v>14344.392465016401</v>
      </c>
      <c r="K49" s="196">
        <v>151134.04431813001</v>
      </c>
      <c r="L49" s="196">
        <v>6864.3923734079499</v>
      </c>
      <c r="M49" s="196">
        <v>584.30700101941795</v>
      </c>
      <c r="N49" s="196">
        <v>9574.6996739981005</v>
      </c>
      <c r="O49" s="196">
        <v>44276.614968854999</v>
      </c>
      <c r="P49" s="196">
        <v>4894.813462266</v>
      </c>
      <c r="Q49" s="196">
        <v>96330.062773408295</v>
      </c>
      <c r="R49" s="196">
        <v>3506.2092778513202</v>
      </c>
      <c r="S49" s="196">
        <v>13889.975215676501</v>
      </c>
      <c r="T49" s="196">
        <v>10966.183775873</v>
      </c>
      <c r="U49" s="196">
        <v>764.50729358124602</v>
      </c>
      <c r="V49" s="196">
        <v>90880.413858158994</v>
      </c>
      <c r="W49" s="196">
        <v>1338.31006</v>
      </c>
      <c r="X49" s="196">
        <v>1675.79904535879</v>
      </c>
      <c r="Y49" s="196">
        <v>1458.0172255182399</v>
      </c>
      <c r="Z49" s="196">
        <v>130.40729626039999</v>
      </c>
      <c r="AA49" s="196">
        <v>44720.629849820099</v>
      </c>
      <c r="AB49" s="196">
        <v>3338.794456349</v>
      </c>
      <c r="AC49" s="196">
        <v>62397.878870684697</v>
      </c>
      <c r="AD49" s="196">
        <v>5011.0558205094003</v>
      </c>
      <c r="AE49" s="196">
        <v>9093.4970376526398</v>
      </c>
      <c r="AF49" s="196">
        <v>3579.2791914005902</v>
      </c>
      <c r="AG49" s="196">
        <v>2074.8385607526302</v>
      </c>
      <c r="AH49" s="196">
        <v>6339.39522888991</v>
      </c>
    </row>
    <row r="50" spans="1:34" x14ac:dyDescent="0.2">
      <c r="A50" s="191" t="s">
        <v>131</v>
      </c>
      <c r="B50" s="191" t="s">
        <v>130</v>
      </c>
      <c r="C50" s="191">
        <v>2015</v>
      </c>
      <c r="D50" s="191" t="s">
        <v>107</v>
      </c>
      <c r="E50" s="196">
        <v>8704.5299048225897</v>
      </c>
      <c r="F50" s="196">
        <v>24137.448002876401</v>
      </c>
      <c r="G50" s="196">
        <v>1557.86188632981</v>
      </c>
      <c r="H50" s="196">
        <v>12998.294060722201</v>
      </c>
      <c r="I50" s="196">
        <v>521.73479999999995</v>
      </c>
      <c r="J50" s="196">
        <v>12056.7269626743</v>
      </c>
      <c r="K50" s="196">
        <v>127981.35925465</v>
      </c>
      <c r="L50" s="196">
        <v>5077.1334222002397</v>
      </c>
      <c r="M50" s="196">
        <v>771.20501465264601</v>
      </c>
      <c r="N50" s="196">
        <v>6262.9464427270104</v>
      </c>
      <c r="O50" s="196">
        <v>36964.158325072603</v>
      </c>
      <c r="P50" s="196">
        <v>3933.9022415720001</v>
      </c>
      <c r="Q50" s="196">
        <v>78265.892732507695</v>
      </c>
      <c r="R50" s="196">
        <v>2719.8124605581802</v>
      </c>
      <c r="S50" s="196">
        <v>11563.1010517988</v>
      </c>
      <c r="T50" s="196">
        <v>8523.6269432487006</v>
      </c>
      <c r="U50" s="196">
        <v>658.91353637157897</v>
      </c>
      <c r="V50" s="196">
        <v>77680.623910185197</v>
      </c>
      <c r="W50" s="196">
        <v>1062.5686599999999</v>
      </c>
      <c r="X50" s="196">
        <v>1579.3402051738799</v>
      </c>
      <c r="Y50" s="196">
        <v>1220.0874830452001</v>
      </c>
      <c r="Z50" s="196">
        <v>160.94291138320199</v>
      </c>
      <c r="AA50" s="196">
        <v>33210.090897835398</v>
      </c>
      <c r="AB50" s="196">
        <v>2551.7846699752999</v>
      </c>
      <c r="AC50" s="196">
        <v>50605.526654384703</v>
      </c>
      <c r="AD50" s="196">
        <v>4088.5145559900002</v>
      </c>
      <c r="AE50" s="196">
        <v>9237.0273257601602</v>
      </c>
      <c r="AF50" s="196">
        <v>2583.41047684058</v>
      </c>
      <c r="AG50" s="196">
        <v>1318.4529445150799</v>
      </c>
      <c r="AH50" s="196">
        <v>4612.9224317406097</v>
      </c>
    </row>
    <row r="51" spans="1:34" x14ac:dyDescent="0.2">
      <c r="A51" s="191" t="s">
        <v>131</v>
      </c>
      <c r="B51" s="191" t="s">
        <v>130</v>
      </c>
      <c r="C51" s="191">
        <v>2019</v>
      </c>
      <c r="D51" s="191" t="s">
        <v>107</v>
      </c>
      <c r="E51" s="196">
        <v>8643.6341997695708</v>
      </c>
      <c r="F51" s="196">
        <v>23310.075622537701</v>
      </c>
      <c r="G51" s="196">
        <v>1407.0501868415499</v>
      </c>
      <c r="H51" s="196">
        <v>11683.169548108001</v>
      </c>
      <c r="I51" s="196">
        <v>530.20628753999995</v>
      </c>
      <c r="J51" s="196">
        <v>11539.017716291301</v>
      </c>
      <c r="K51" s="196">
        <v>124979.21422379999</v>
      </c>
      <c r="L51" s="196">
        <v>4750.8573877712697</v>
      </c>
      <c r="M51" s="196">
        <v>704.26251901740295</v>
      </c>
      <c r="N51" s="196">
        <v>5645.5896661791203</v>
      </c>
      <c r="O51" s="196">
        <v>36787.018889088999</v>
      </c>
      <c r="P51" s="196">
        <v>3762.8106695289998</v>
      </c>
      <c r="Q51" s="196">
        <v>71827.360134481205</v>
      </c>
      <c r="R51" s="196">
        <v>2658.9186465622001</v>
      </c>
      <c r="S51" s="196">
        <v>11467.8824382234</v>
      </c>
      <c r="T51" s="196">
        <v>8760.9637750159</v>
      </c>
      <c r="U51" s="196">
        <v>538.58301048104704</v>
      </c>
      <c r="V51" s="196">
        <v>76229.053889390198</v>
      </c>
      <c r="W51" s="196">
        <v>1265.61547</v>
      </c>
      <c r="X51" s="196">
        <v>1617.4752187491499</v>
      </c>
      <c r="Y51" s="196">
        <v>1260.20144419605</v>
      </c>
      <c r="Z51" s="196">
        <v>145.32104937439999</v>
      </c>
      <c r="AA51" s="196">
        <v>32030.3284766783</v>
      </c>
      <c r="AB51" s="196">
        <v>2627.1112859586001</v>
      </c>
      <c r="AC51" s="196">
        <v>46834.958899281999</v>
      </c>
      <c r="AD51" s="196">
        <v>4137.5602045249198</v>
      </c>
      <c r="AE51" s="196">
        <v>10496.8162607135</v>
      </c>
      <c r="AF51" s="196">
        <v>2259.1003462731401</v>
      </c>
      <c r="AG51" s="196">
        <v>1181.5922199696099</v>
      </c>
      <c r="AH51" s="196">
        <v>4476.2110329639199</v>
      </c>
    </row>
    <row r="52" spans="1:34" x14ac:dyDescent="0.2">
      <c r="A52" s="191" t="s">
        <v>131</v>
      </c>
      <c r="B52" s="191" t="s">
        <v>130</v>
      </c>
      <c r="C52" s="191">
        <v>2021</v>
      </c>
      <c r="D52" s="191" t="s">
        <v>107</v>
      </c>
      <c r="E52" s="196">
        <v>9604.37886639725</v>
      </c>
      <c r="F52" s="196">
        <v>24662.9350031049</v>
      </c>
      <c r="G52" s="196">
        <v>1656.6930667382401</v>
      </c>
      <c r="H52" s="196">
        <v>12113.9096951132</v>
      </c>
      <c r="I52" s="196">
        <v>468.09651023999999</v>
      </c>
      <c r="J52" s="196">
        <v>11618.743662720301</v>
      </c>
      <c r="K52" s="196">
        <v>121686.11348499</v>
      </c>
      <c r="L52" s="196">
        <v>4539.3656678406996</v>
      </c>
      <c r="M52" s="196">
        <v>626.21477930776803</v>
      </c>
      <c r="N52" s="196">
        <v>5730.6176112755302</v>
      </c>
      <c r="O52" s="196">
        <v>37357.100841678497</v>
      </c>
      <c r="P52" s="196">
        <v>3397.3984150309998</v>
      </c>
      <c r="Q52" s="196">
        <v>72490.567245810904</v>
      </c>
      <c r="R52" s="196">
        <v>2858.59047099892</v>
      </c>
      <c r="S52" s="196">
        <v>12759.032500826301</v>
      </c>
      <c r="T52" s="196">
        <v>8844.5061114694909</v>
      </c>
      <c r="U52" s="196">
        <v>595.96791949319595</v>
      </c>
      <c r="V52" s="196">
        <v>78347.124426206399</v>
      </c>
      <c r="W52" s="196">
        <v>1363.50938</v>
      </c>
      <c r="X52" s="196">
        <v>1655.58171947852</v>
      </c>
      <c r="Y52" s="196">
        <v>1346.0165091871499</v>
      </c>
      <c r="Z52" s="196">
        <v>150.64711928021799</v>
      </c>
      <c r="AA52" s="196">
        <v>33124.457034501502</v>
      </c>
      <c r="AB52" s="196">
        <v>2832.8702787918</v>
      </c>
      <c r="AC52" s="196">
        <v>49304.714036016601</v>
      </c>
      <c r="AD52" s="196">
        <v>4015.6903038441601</v>
      </c>
      <c r="AE52" s="196">
        <v>11901.360125998201</v>
      </c>
      <c r="AF52" s="196">
        <v>2292.4707980224498</v>
      </c>
      <c r="AG52" s="196">
        <v>1076.10583436817</v>
      </c>
      <c r="AH52" s="196">
        <v>4968.2673768334798</v>
      </c>
    </row>
    <row r="53" spans="1:34" x14ac:dyDescent="0.2">
      <c r="A53" s="191" t="s">
        <v>131</v>
      </c>
      <c r="B53" s="191" t="s">
        <v>130</v>
      </c>
      <c r="C53" s="191">
        <v>2005</v>
      </c>
      <c r="D53" s="191" t="s">
        <v>109</v>
      </c>
      <c r="E53" s="196">
        <v>13883.6678953632</v>
      </c>
      <c r="F53" s="196">
        <v>30096.8778137148</v>
      </c>
      <c r="G53" s="196">
        <v>2523.3920885381099</v>
      </c>
      <c r="H53" s="196">
        <v>17831.873031962201</v>
      </c>
      <c r="I53" s="196">
        <v>609.99346828558305</v>
      </c>
      <c r="J53" s="196">
        <v>14605.3719654953</v>
      </c>
      <c r="K53" s="196">
        <v>157919.29043943001</v>
      </c>
      <c r="L53" s="196">
        <v>8106.2702434462499</v>
      </c>
      <c r="M53" s="196">
        <v>778.39911374967801</v>
      </c>
      <c r="N53" s="196">
        <v>14781.6960385199</v>
      </c>
      <c r="O53" s="196">
        <v>42164.778145441996</v>
      </c>
      <c r="P53" s="196">
        <v>5721.3454090340001</v>
      </c>
      <c r="Q53" s="196">
        <v>108261.16375479</v>
      </c>
      <c r="R53" s="196">
        <v>4451.4271255307303</v>
      </c>
      <c r="S53" s="196">
        <v>18060.322136460902</v>
      </c>
      <c r="T53" s="196">
        <v>11238.049132358699</v>
      </c>
      <c r="U53" s="196">
        <v>841.11550640991095</v>
      </c>
      <c r="V53" s="196">
        <v>95807.342309935295</v>
      </c>
      <c r="W53" s="196">
        <v>1413.0269671000001</v>
      </c>
      <c r="X53" s="196">
        <v>1661.36558690524</v>
      </c>
      <c r="Y53" s="196">
        <v>1671.8766970880099</v>
      </c>
      <c r="Z53" s="196">
        <v>128.04814848488701</v>
      </c>
      <c r="AA53" s="196">
        <v>39241.5346862851</v>
      </c>
      <c r="AB53" s="196">
        <v>3501.3065423665398</v>
      </c>
      <c r="AC53" s="196">
        <v>59642.187055566901</v>
      </c>
      <c r="AD53" s="196">
        <v>7181.61236181604</v>
      </c>
      <c r="AE53" s="196">
        <v>11388.089466063801</v>
      </c>
      <c r="AF53" s="196">
        <v>5193.6666405527903</v>
      </c>
      <c r="AG53" s="196">
        <v>2715.9802183116999</v>
      </c>
      <c r="AH53" s="196">
        <v>6717.3712048711805</v>
      </c>
    </row>
    <row r="54" spans="1:34" x14ac:dyDescent="0.2">
      <c r="A54" s="191" t="s">
        <v>131</v>
      </c>
      <c r="B54" s="191" t="s">
        <v>130</v>
      </c>
      <c r="C54" s="191">
        <v>2010</v>
      </c>
      <c r="D54" s="191" t="s">
        <v>109</v>
      </c>
      <c r="E54" s="196">
        <v>11232.4864987124</v>
      </c>
      <c r="F54" s="196">
        <v>29853.732484483098</v>
      </c>
      <c r="G54" s="196">
        <v>2137.7296430553502</v>
      </c>
      <c r="H54" s="196">
        <v>16760.9281332602</v>
      </c>
      <c r="I54" s="196">
        <v>570.64077110000005</v>
      </c>
      <c r="J54" s="196">
        <v>15377.5542758877</v>
      </c>
      <c r="K54" s="196">
        <v>153169.81662006999</v>
      </c>
      <c r="L54" s="196">
        <v>7206.73673355758</v>
      </c>
      <c r="M54" s="196">
        <v>616.252536835721</v>
      </c>
      <c r="N54" s="196">
        <v>9986.5609395965002</v>
      </c>
      <c r="O54" s="196">
        <v>45812.390323773099</v>
      </c>
      <c r="P54" s="196">
        <v>5228.9695362020002</v>
      </c>
      <c r="Q54" s="196">
        <v>101265.286980904</v>
      </c>
      <c r="R54" s="196">
        <v>4055.3870447496301</v>
      </c>
      <c r="S54" s="196">
        <v>14631.541068819301</v>
      </c>
      <c r="T54" s="196">
        <v>11273.318782016901</v>
      </c>
      <c r="U54" s="196">
        <v>775.187164578796</v>
      </c>
      <c r="V54" s="196">
        <v>96105.9259354612</v>
      </c>
      <c r="W54" s="196">
        <v>1591.5775858</v>
      </c>
      <c r="X54" s="196">
        <v>1692.2755421393399</v>
      </c>
      <c r="Y54" s="196">
        <v>1765.2203413443599</v>
      </c>
      <c r="Z54" s="196">
        <v>132.46210240620701</v>
      </c>
      <c r="AA54" s="196">
        <v>46806.121055193398</v>
      </c>
      <c r="AB54" s="196">
        <v>3797.09907365958</v>
      </c>
      <c r="AC54" s="196">
        <v>67724.944651412399</v>
      </c>
      <c r="AD54" s="196">
        <v>5385.2075633382501</v>
      </c>
      <c r="AE54" s="196">
        <v>10591.559669688701</v>
      </c>
      <c r="AF54" s="196">
        <v>3752.1689255677002</v>
      </c>
      <c r="AG54" s="196">
        <v>2309.4720782057898</v>
      </c>
      <c r="AH54" s="196">
        <v>6710.9041677431396</v>
      </c>
    </row>
    <row r="55" spans="1:34" x14ac:dyDescent="0.2">
      <c r="A55" s="191" t="s">
        <v>131</v>
      </c>
      <c r="B55" s="191" t="s">
        <v>130</v>
      </c>
      <c r="C55" s="191">
        <v>2015</v>
      </c>
      <c r="D55" s="191" t="s">
        <v>109</v>
      </c>
      <c r="E55" s="196">
        <v>9160.6523271843398</v>
      </c>
      <c r="F55" s="196">
        <v>24674.496082939499</v>
      </c>
      <c r="G55" s="196">
        <v>1944.9617635949101</v>
      </c>
      <c r="H55" s="196">
        <v>13130.7141288969</v>
      </c>
      <c r="I55" s="196">
        <v>532.21587020000004</v>
      </c>
      <c r="J55" s="196">
        <v>13152.444793554099</v>
      </c>
      <c r="K55" s="196">
        <v>129717.09196416</v>
      </c>
      <c r="L55" s="196">
        <v>5336.3852446733799</v>
      </c>
      <c r="M55" s="196">
        <v>797.08081952615601</v>
      </c>
      <c r="N55" s="196">
        <v>6635.3348578275099</v>
      </c>
      <c r="O55" s="196">
        <v>38308.499982876798</v>
      </c>
      <c r="P55" s="196">
        <v>4211.9102294610002</v>
      </c>
      <c r="Q55" s="196">
        <v>81929.491619759196</v>
      </c>
      <c r="R55" s="196">
        <v>3250.2951556493599</v>
      </c>
      <c r="S55" s="196">
        <v>12360.5087650692</v>
      </c>
      <c r="T55" s="196">
        <v>8783.0837424722904</v>
      </c>
      <c r="U55" s="196">
        <v>668.67193044994895</v>
      </c>
      <c r="V55" s="196">
        <v>82487.092606614504</v>
      </c>
      <c r="W55" s="196">
        <v>1281.2358051000001</v>
      </c>
      <c r="X55" s="196">
        <v>1596.82859421591</v>
      </c>
      <c r="Y55" s="196">
        <v>1462.5142099963</v>
      </c>
      <c r="Z55" s="196">
        <v>162.56824085172599</v>
      </c>
      <c r="AA55" s="196">
        <v>34753.936671223302</v>
      </c>
      <c r="AB55" s="196">
        <v>2842.3647877786102</v>
      </c>
      <c r="AC55" s="196">
        <v>55110.017918746198</v>
      </c>
      <c r="AD55" s="196">
        <v>4477.4050633030201</v>
      </c>
      <c r="AE55" s="196">
        <v>10553.2389779971</v>
      </c>
      <c r="AF55" s="196">
        <v>2731.3793562331998</v>
      </c>
      <c r="AG55" s="196">
        <v>1533.9338005519601</v>
      </c>
      <c r="AH55" s="196">
        <v>4944.5398395453403</v>
      </c>
    </row>
    <row r="56" spans="1:34" x14ac:dyDescent="0.2">
      <c r="A56" s="191" t="s">
        <v>131</v>
      </c>
      <c r="B56" s="191" t="s">
        <v>130</v>
      </c>
      <c r="C56" s="191">
        <v>2019</v>
      </c>
      <c r="D56" s="191" t="s">
        <v>109</v>
      </c>
      <c r="E56" s="196">
        <v>9069.1710844283098</v>
      </c>
      <c r="F56" s="196">
        <v>23875.096814550499</v>
      </c>
      <c r="G56" s="196">
        <v>1816.6328484719199</v>
      </c>
      <c r="H56" s="196">
        <v>11804.0245492306</v>
      </c>
      <c r="I56" s="196">
        <v>542.81136565839995</v>
      </c>
      <c r="J56" s="196">
        <v>12669.7876327868</v>
      </c>
      <c r="K56" s="196">
        <v>126587.62921786</v>
      </c>
      <c r="L56" s="196">
        <v>4965.7246905236098</v>
      </c>
      <c r="M56" s="196">
        <v>728.97257624335703</v>
      </c>
      <c r="N56" s="196">
        <v>5950.6773495689504</v>
      </c>
      <c r="O56" s="196">
        <v>37889.742971488296</v>
      </c>
      <c r="P56" s="196">
        <v>4045.9383773129998</v>
      </c>
      <c r="Q56" s="196">
        <v>75033.607128508695</v>
      </c>
      <c r="R56" s="196">
        <v>3131.6303809738802</v>
      </c>
      <c r="S56" s="196">
        <v>12059.7948217996</v>
      </c>
      <c r="T56" s="196">
        <v>8999.4374847346098</v>
      </c>
      <c r="U56" s="196">
        <v>545.47910192870995</v>
      </c>
      <c r="V56" s="196">
        <v>80970.500137477706</v>
      </c>
      <c r="W56" s="196">
        <v>1476.2332947</v>
      </c>
      <c r="X56" s="196">
        <v>1631.8358037488499</v>
      </c>
      <c r="Y56" s="196">
        <v>1515.0760500234101</v>
      </c>
      <c r="Z56" s="196">
        <v>147.72814050062999</v>
      </c>
      <c r="AA56" s="196">
        <v>33771.007636590497</v>
      </c>
      <c r="AB56" s="196">
        <v>2878.2400899900599</v>
      </c>
      <c r="AC56" s="196">
        <v>52068.710315001299</v>
      </c>
      <c r="AD56" s="196">
        <v>4520.8850503617005</v>
      </c>
      <c r="AE56" s="196">
        <v>11910.8137132594</v>
      </c>
      <c r="AF56" s="196">
        <v>2392.4273340938798</v>
      </c>
      <c r="AG56" s="196">
        <v>1353.7201524203499</v>
      </c>
      <c r="AH56" s="196">
        <v>4775.3616504704496</v>
      </c>
    </row>
    <row r="57" spans="1:34" x14ac:dyDescent="0.2">
      <c r="A57" s="191" t="s">
        <v>131</v>
      </c>
      <c r="B57" s="191" t="s">
        <v>130</v>
      </c>
      <c r="C57" s="191">
        <v>2021</v>
      </c>
      <c r="D57" s="191" t="s">
        <v>109</v>
      </c>
      <c r="E57" s="196">
        <v>10070.3550501797</v>
      </c>
      <c r="F57" s="196">
        <v>25293.574537619101</v>
      </c>
      <c r="G57" s="196">
        <v>2097.92689062612</v>
      </c>
      <c r="H57" s="196">
        <v>12237.0275936407</v>
      </c>
      <c r="I57" s="196">
        <v>479.99349916858802</v>
      </c>
      <c r="J57" s="196">
        <v>12844.441106374101</v>
      </c>
      <c r="K57" s="196">
        <v>123373.24417576</v>
      </c>
      <c r="L57" s="196">
        <v>4743.9287946112199</v>
      </c>
      <c r="M57" s="196">
        <v>650.83041334865902</v>
      </c>
      <c r="N57" s="196">
        <v>6047.7323987891596</v>
      </c>
      <c r="O57" s="196">
        <v>38475.8442066547</v>
      </c>
      <c r="P57" s="196">
        <v>3663.5450651390001</v>
      </c>
      <c r="Q57" s="196">
        <v>75648.655645106497</v>
      </c>
      <c r="R57" s="196">
        <v>3374.41231296862</v>
      </c>
      <c r="S57" s="196">
        <v>13363.3924768373</v>
      </c>
      <c r="T57" s="196">
        <v>9084.4060747355197</v>
      </c>
      <c r="U57" s="196">
        <v>603.76010265949606</v>
      </c>
      <c r="V57" s="196">
        <v>83245.932777353795</v>
      </c>
      <c r="W57" s="196">
        <v>1574.4425472999999</v>
      </c>
      <c r="X57" s="196">
        <v>1670.22149185334</v>
      </c>
      <c r="Y57" s="196">
        <v>1584.19076917499</v>
      </c>
      <c r="Z57" s="196">
        <v>152.61806057449101</v>
      </c>
      <c r="AA57" s="196">
        <v>34983.4230064316</v>
      </c>
      <c r="AB57" s="196">
        <v>3119.8721751675798</v>
      </c>
      <c r="AC57" s="196">
        <v>54420.704746196003</v>
      </c>
      <c r="AD57" s="196">
        <v>4406.8461657847902</v>
      </c>
      <c r="AE57" s="196">
        <v>13410.7216789089</v>
      </c>
      <c r="AF57" s="196">
        <v>2423.06876669757</v>
      </c>
      <c r="AG57" s="196">
        <v>1253.4330447038501</v>
      </c>
      <c r="AH57" s="196">
        <v>5316.6306506415804</v>
      </c>
    </row>
    <row r="58" spans="1:34" x14ac:dyDescent="0.2">
      <c r="A58" s="191" t="s">
        <v>131</v>
      </c>
      <c r="B58" s="191" t="s">
        <v>130</v>
      </c>
      <c r="C58" s="191">
        <v>2005</v>
      </c>
      <c r="D58" s="191" t="s">
        <v>108</v>
      </c>
      <c r="E58" s="196">
        <v>513.07632493702999</v>
      </c>
      <c r="F58" s="196">
        <v>376.01364196010798</v>
      </c>
      <c r="G58" s="196">
        <v>404.95678096519998</v>
      </c>
      <c r="H58" s="196">
        <v>189.857112920552</v>
      </c>
      <c r="I58" s="196">
        <v>5.3974507988103797</v>
      </c>
      <c r="J58" s="196">
        <v>854.53915539683101</v>
      </c>
      <c r="K58" s="196">
        <v>1326.26394893002</v>
      </c>
      <c r="L58" s="196">
        <v>353.43217603578199</v>
      </c>
      <c r="M58" s="196">
        <v>32.277789592857303</v>
      </c>
      <c r="N58" s="196">
        <v>567.58433164657299</v>
      </c>
      <c r="O58" s="196">
        <v>1203.2910781896501</v>
      </c>
      <c r="P58" s="196">
        <v>297.80054308799998</v>
      </c>
      <c r="Q58" s="196">
        <v>5568.2118029858702</v>
      </c>
      <c r="R58" s="196">
        <v>553.26576956313897</v>
      </c>
      <c r="S58" s="196">
        <v>541.76897303853195</v>
      </c>
      <c r="T58" s="196">
        <v>320.025164317323</v>
      </c>
      <c r="U58" s="196">
        <v>14.9554150430899</v>
      </c>
      <c r="V58" s="196">
        <v>3542.06964272496</v>
      </c>
      <c r="W58" s="196">
        <v>235.8139271</v>
      </c>
      <c r="X58" s="196">
        <v>16.472610860816101</v>
      </c>
      <c r="Y58" s="196">
        <v>379.203323121648</v>
      </c>
      <c r="Z58" s="196">
        <v>1.7804792776866101</v>
      </c>
      <c r="AA58" s="196">
        <v>996.776605132756</v>
      </c>
      <c r="AB58" s="196">
        <v>468.781636218041</v>
      </c>
      <c r="AC58" s="196">
        <v>4689.4476936343699</v>
      </c>
      <c r="AD58" s="196">
        <v>465.030164633889</v>
      </c>
      <c r="AE58" s="196">
        <v>1159.96970622545</v>
      </c>
      <c r="AF58" s="196">
        <v>180.140429054919</v>
      </c>
      <c r="AG58" s="196">
        <v>251.579555907936</v>
      </c>
      <c r="AH58" s="196">
        <v>368.12890525058901</v>
      </c>
    </row>
    <row r="59" spans="1:34" x14ac:dyDescent="0.2">
      <c r="A59" s="191" t="s">
        <v>131</v>
      </c>
      <c r="B59" s="191" t="s">
        <v>130</v>
      </c>
      <c r="C59" s="191">
        <v>2010</v>
      </c>
      <c r="D59" s="191" t="s">
        <v>108</v>
      </c>
      <c r="E59" s="196">
        <v>530.27853193400699</v>
      </c>
      <c r="F59" s="196">
        <v>575.20264008147603</v>
      </c>
      <c r="G59" s="196">
        <v>399.19929912250001</v>
      </c>
      <c r="H59" s="196">
        <v>175.15599557188</v>
      </c>
      <c r="I59" s="196">
        <v>7.42473110000003</v>
      </c>
      <c r="J59" s="196">
        <v>1033.1618108713501</v>
      </c>
      <c r="K59" s="196">
        <v>2035.77230193999</v>
      </c>
      <c r="L59" s="196">
        <v>342.34436014963899</v>
      </c>
      <c r="M59" s="196">
        <v>31.9455358163029</v>
      </c>
      <c r="N59" s="196">
        <v>411.8612655984</v>
      </c>
      <c r="O59" s="196">
        <v>1535.77535491809</v>
      </c>
      <c r="P59" s="196">
        <v>334.15607393599998</v>
      </c>
      <c r="Q59" s="196">
        <v>4935.2242074959204</v>
      </c>
      <c r="R59" s="196">
        <v>549.17776689830703</v>
      </c>
      <c r="S59" s="196">
        <v>741.56585314274503</v>
      </c>
      <c r="T59" s="196">
        <v>307.13500614384202</v>
      </c>
      <c r="U59" s="196">
        <v>10.679870997549999</v>
      </c>
      <c r="V59" s="196">
        <v>5225.51207730222</v>
      </c>
      <c r="W59" s="196">
        <v>253.26752579999999</v>
      </c>
      <c r="X59" s="196">
        <v>16.476496780556101</v>
      </c>
      <c r="Y59" s="196">
        <v>307.20311582612197</v>
      </c>
      <c r="Z59" s="196">
        <v>2.0548061458066198</v>
      </c>
      <c r="AA59" s="196">
        <v>2085.4912053732701</v>
      </c>
      <c r="AB59" s="196">
        <v>458.30461731057602</v>
      </c>
      <c r="AC59" s="196">
        <v>5327.0657807276602</v>
      </c>
      <c r="AD59" s="196">
        <v>374.15174282884499</v>
      </c>
      <c r="AE59" s="196">
        <v>1498.06263203609</v>
      </c>
      <c r="AF59" s="196">
        <v>172.88973416711099</v>
      </c>
      <c r="AG59" s="196">
        <v>234.63351745316001</v>
      </c>
      <c r="AH59" s="196">
        <v>371.50893885323097</v>
      </c>
    </row>
    <row r="60" spans="1:34" x14ac:dyDescent="0.2">
      <c r="A60" s="191" t="s">
        <v>131</v>
      </c>
      <c r="B60" s="191" t="s">
        <v>130</v>
      </c>
      <c r="C60" s="191">
        <v>2015</v>
      </c>
      <c r="D60" s="191" t="s">
        <v>108</v>
      </c>
      <c r="E60" s="196">
        <v>456.12242236174302</v>
      </c>
      <c r="F60" s="196">
        <v>537.04808006313397</v>
      </c>
      <c r="G60" s="196">
        <v>387.09987726510002</v>
      </c>
      <c r="H60" s="196">
        <v>132.42006817473299</v>
      </c>
      <c r="I60" s="196">
        <v>10.481070200000101</v>
      </c>
      <c r="J60" s="196">
        <v>1095.7178308798</v>
      </c>
      <c r="K60" s="196">
        <v>1735.7327095099999</v>
      </c>
      <c r="L60" s="196">
        <v>259.251822473142</v>
      </c>
      <c r="M60" s="196">
        <v>25.8758048735104</v>
      </c>
      <c r="N60" s="196">
        <v>372.38841510050003</v>
      </c>
      <c r="O60" s="196">
        <v>1344.3416578041699</v>
      </c>
      <c r="P60" s="196">
        <v>278.00798788899999</v>
      </c>
      <c r="Q60" s="196">
        <v>3663.5988872514399</v>
      </c>
      <c r="R60" s="196">
        <v>530.48269509118199</v>
      </c>
      <c r="S60" s="196">
        <v>797.40771327042103</v>
      </c>
      <c r="T60" s="196">
        <v>259.45679922359</v>
      </c>
      <c r="U60" s="196">
        <v>9.7583940783699692</v>
      </c>
      <c r="V60" s="196">
        <v>4806.4686964293196</v>
      </c>
      <c r="W60" s="196">
        <v>218.6671451</v>
      </c>
      <c r="X60" s="196">
        <v>17.488389042029201</v>
      </c>
      <c r="Y60" s="196">
        <v>242.426726951094</v>
      </c>
      <c r="Z60" s="196">
        <v>1.62532946852409</v>
      </c>
      <c r="AA60" s="196">
        <v>1543.8457733879</v>
      </c>
      <c r="AB60" s="196">
        <v>290.58011780331401</v>
      </c>
      <c r="AC60" s="196">
        <v>4504.4912643615198</v>
      </c>
      <c r="AD60" s="196">
        <v>388.89050731301501</v>
      </c>
      <c r="AE60" s="196">
        <v>1316.2116522368999</v>
      </c>
      <c r="AF60" s="196">
        <v>147.968879392622</v>
      </c>
      <c r="AG60" s="196">
        <v>215.48085603688199</v>
      </c>
      <c r="AH60" s="196">
        <v>331.61740780472297</v>
      </c>
    </row>
    <row r="61" spans="1:34" x14ac:dyDescent="0.2">
      <c r="A61" s="191" t="s">
        <v>131</v>
      </c>
      <c r="B61" s="191" t="s">
        <v>130</v>
      </c>
      <c r="C61" s="191">
        <v>2019</v>
      </c>
      <c r="D61" s="191" t="s">
        <v>108</v>
      </c>
      <c r="E61" s="196">
        <v>425.53688465873699</v>
      </c>
      <c r="F61" s="196">
        <v>565.02119201282801</v>
      </c>
      <c r="G61" s="196">
        <v>409.58266163037098</v>
      </c>
      <c r="H61" s="196">
        <v>120.855001122614</v>
      </c>
      <c r="I61" s="196">
        <v>12.6050781184</v>
      </c>
      <c r="J61" s="196">
        <v>1130.7699164954399</v>
      </c>
      <c r="K61" s="196">
        <v>1608.41499406</v>
      </c>
      <c r="L61" s="196">
        <v>214.86730275233199</v>
      </c>
      <c r="M61" s="196">
        <v>24.710057225953701</v>
      </c>
      <c r="N61" s="196">
        <v>305.08768338983498</v>
      </c>
      <c r="O61" s="196">
        <v>1102.72408239928</v>
      </c>
      <c r="P61" s="196">
        <v>283.12770778399999</v>
      </c>
      <c r="Q61" s="196">
        <v>3206.24699402746</v>
      </c>
      <c r="R61" s="196">
        <v>472.711734411679</v>
      </c>
      <c r="S61" s="196">
        <v>591.91238357619704</v>
      </c>
      <c r="T61" s="196">
        <v>238.473709718712</v>
      </c>
      <c r="U61" s="196">
        <v>6.8960914476633697</v>
      </c>
      <c r="V61" s="196">
        <v>4741.44624808754</v>
      </c>
      <c r="W61" s="196">
        <v>210.6178247</v>
      </c>
      <c r="X61" s="196">
        <v>14.3605849997032</v>
      </c>
      <c r="Y61" s="196">
        <v>254.87460582736199</v>
      </c>
      <c r="Z61" s="196">
        <v>2.4070911262303998</v>
      </c>
      <c r="AA61" s="196">
        <v>1740.67915991215</v>
      </c>
      <c r="AB61" s="196">
        <v>251.12880403145999</v>
      </c>
      <c r="AC61" s="196">
        <v>5233.75141571931</v>
      </c>
      <c r="AD61" s="196">
        <v>383.32484583678098</v>
      </c>
      <c r="AE61" s="196">
        <v>1413.9974525459099</v>
      </c>
      <c r="AF61" s="196">
        <v>133.326987820732</v>
      </c>
      <c r="AG61" s="196">
        <v>172.127932450743</v>
      </c>
      <c r="AH61" s="196">
        <v>299.15061750652399</v>
      </c>
    </row>
    <row r="62" spans="1:34" x14ac:dyDescent="0.2">
      <c r="A62" s="191" t="s">
        <v>131</v>
      </c>
      <c r="B62" s="191" t="s">
        <v>130</v>
      </c>
      <c r="C62" s="191">
        <v>2021</v>
      </c>
      <c r="D62" s="191" t="s">
        <v>108</v>
      </c>
      <c r="E62" s="196">
        <v>465.97618378243499</v>
      </c>
      <c r="F62" s="196">
        <v>630.63953451422606</v>
      </c>
      <c r="G62" s="196">
        <v>441.23382388788701</v>
      </c>
      <c r="H62" s="196">
        <v>123.117898527458</v>
      </c>
      <c r="I62" s="196">
        <v>11.896988928587801</v>
      </c>
      <c r="J62" s="196">
        <v>1225.6974436538001</v>
      </c>
      <c r="K62" s="196">
        <v>1687.13069077001</v>
      </c>
      <c r="L62" s="196">
        <v>204.563126770515</v>
      </c>
      <c r="M62" s="196">
        <v>24.615634040890701</v>
      </c>
      <c r="N62" s="196">
        <v>317.114787513632</v>
      </c>
      <c r="O62" s="196">
        <v>1118.7433649761799</v>
      </c>
      <c r="P62" s="196">
        <v>266.14665010800002</v>
      </c>
      <c r="Q62" s="196">
        <v>3158.0883992955901</v>
      </c>
      <c r="R62" s="196">
        <v>515.82184196969297</v>
      </c>
      <c r="S62" s="196">
        <v>604.35997601093504</v>
      </c>
      <c r="T62" s="196">
        <v>239.89996326602201</v>
      </c>
      <c r="U62" s="196">
        <v>7.7921831662999903</v>
      </c>
      <c r="V62" s="196">
        <v>4898.8083511474297</v>
      </c>
      <c r="W62" s="196">
        <v>210.93316730000001</v>
      </c>
      <c r="X62" s="196">
        <v>14.639772374810899</v>
      </c>
      <c r="Y62" s="196">
        <v>238.174259987835</v>
      </c>
      <c r="Z62" s="196">
        <v>1.9709412942729301</v>
      </c>
      <c r="AA62" s="196">
        <v>1858.96597193006</v>
      </c>
      <c r="AB62" s="196">
        <v>287.00189637578501</v>
      </c>
      <c r="AC62" s="196">
        <v>5115.9907101793797</v>
      </c>
      <c r="AD62" s="196">
        <v>391.15586194062899</v>
      </c>
      <c r="AE62" s="196">
        <v>1509.3615529106901</v>
      </c>
      <c r="AF62" s="196">
        <v>130.59796867512199</v>
      </c>
      <c r="AG62" s="196">
        <v>177.327210335682</v>
      </c>
      <c r="AH62" s="196">
        <v>348.36327380810502</v>
      </c>
    </row>
    <row r="63" spans="1:34" x14ac:dyDescent="0.2">
      <c r="A63" s="191" t="s">
        <v>129</v>
      </c>
      <c r="B63" s="191" t="s">
        <v>128</v>
      </c>
      <c r="C63" s="191">
        <v>2005</v>
      </c>
      <c r="D63" s="191" t="s">
        <v>107</v>
      </c>
      <c r="E63" s="196">
        <v>43.5686027587697</v>
      </c>
      <c r="F63" s="196">
        <v>202.669371653067</v>
      </c>
      <c r="G63" s="196">
        <v>23.321359079346699</v>
      </c>
      <c r="H63" s="196">
        <v>137.440958834056</v>
      </c>
      <c r="I63" s="196">
        <v>19.030007142857102</v>
      </c>
      <c r="J63" s="196">
        <v>265.10018289999999</v>
      </c>
      <c r="K63" s="196">
        <v>1704.60592679</v>
      </c>
      <c r="L63" s="196">
        <v>381.20929429848701</v>
      </c>
      <c r="M63" s="196">
        <v>0</v>
      </c>
      <c r="N63" s="196">
        <v>522.58603687001903</v>
      </c>
      <c r="O63" s="196">
        <v>500.79389600000002</v>
      </c>
      <c r="P63" s="196">
        <v>1487.14945042</v>
      </c>
      <c r="Q63" s="196">
        <v>2625.9476602555401</v>
      </c>
      <c r="R63" s="196">
        <v>0</v>
      </c>
      <c r="S63" s="196">
        <v>14.5013739304958</v>
      </c>
      <c r="T63" s="196">
        <v>0</v>
      </c>
      <c r="U63" s="196">
        <v>28.7468170163</v>
      </c>
      <c r="V63" s="196">
        <v>1232.60801176263</v>
      </c>
      <c r="W63" s="196">
        <v>12.42094</v>
      </c>
      <c r="X63" s="196">
        <v>0.12017171292955001</v>
      </c>
      <c r="Y63" s="196">
        <v>7.6201473799999997</v>
      </c>
      <c r="Z63" s="196">
        <v>1.3015981814050701</v>
      </c>
      <c r="AA63" s="196">
        <v>195.57171124999999</v>
      </c>
      <c r="AB63" s="196">
        <v>336.2498153308</v>
      </c>
      <c r="AC63" s="196">
        <v>0</v>
      </c>
      <c r="AD63" s="196">
        <v>73.292231611169996</v>
      </c>
      <c r="AE63" s="196">
        <v>1164.01768221211</v>
      </c>
      <c r="AF63" s="196">
        <v>0</v>
      </c>
      <c r="AG63" s="196">
        <v>3.2998965999999998</v>
      </c>
      <c r="AH63" s="196">
        <v>94.297629238894402</v>
      </c>
    </row>
    <row r="64" spans="1:34" x14ac:dyDescent="0.2">
      <c r="A64" s="191" t="s">
        <v>129</v>
      </c>
      <c r="B64" s="191" t="s">
        <v>128</v>
      </c>
      <c r="C64" s="191">
        <v>2010</v>
      </c>
      <c r="D64" s="191" t="s">
        <v>107</v>
      </c>
      <c r="E64" s="196">
        <v>43.133417918615798</v>
      </c>
      <c r="F64" s="196">
        <v>129.865872906703</v>
      </c>
      <c r="G64" s="196">
        <v>24.666329647672701</v>
      </c>
      <c r="H64" s="196">
        <v>136.154765302817</v>
      </c>
      <c r="I64" s="196">
        <v>20.2864</v>
      </c>
      <c r="J64" s="196">
        <v>319.36648430000002</v>
      </c>
      <c r="K64" s="196">
        <v>1293.95264703</v>
      </c>
      <c r="L64" s="196">
        <v>230.57013306021301</v>
      </c>
      <c r="M64" s="196">
        <v>0</v>
      </c>
      <c r="N64" s="196">
        <v>242.486842203208</v>
      </c>
      <c r="O64" s="196">
        <v>554.32111499999996</v>
      </c>
      <c r="P64" s="196">
        <v>1196.0308125209999</v>
      </c>
      <c r="Q64" s="196">
        <v>2258.2196996428802</v>
      </c>
      <c r="R64" s="196">
        <v>0</v>
      </c>
      <c r="S64" s="196">
        <v>10.7802505272</v>
      </c>
      <c r="T64" s="196">
        <v>0</v>
      </c>
      <c r="U64" s="196">
        <v>13.878084335</v>
      </c>
      <c r="V64" s="196">
        <v>651.89635985144901</v>
      </c>
      <c r="W64" s="196">
        <v>15.892799999999999</v>
      </c>
      <c r="X64" s="196">
        <v>0.11843728713639</v>
      </c>
      <c r="Y64" s="196">
        <v>7.8675622368999996</v>
      </c>
      <c r="Z64" s="196">
        <v>2.0092537609332299</v>
      </c>
      <c r="AA64" s="196">
        <v>257.49605969999999</v>
      </c>
      <c r="AB64" s="196">
        <v>218.30526768870001</v>
      </c>
      <c r="AC64" s="196">
        <v>0</v>
      </c>
      <c r="AD64" s="196">
        <v>86.379231509999997</v>
      </c>
      <c r="AE64" s="196">
        <v>267.80346399167001</v>
      </c>
      <c r="AF64" s="196">
        <v>0</v>
      </c>
      <c r="AG64" s="196">
        <v>2.8665178186084401</v>
      </c>
      <c r="AH64" s="196">
        <v>69.071985397790598</v>
      </c>
    </row>
    <row r="65" spans="1:34" x14ac:dyDescent="0.2">
      <c r="A65" s="191" t="s">
        <v>129</v>
      </c>
      <c r="B65" s="191" t="s">
        <v>128</v>
      </c>
      <c r="C65" s="191">
        <v>2015</v>
      </c>
      <c r="D65" s="191" t="s">
        <v>107</v>
      </c>
      <c r="E65" s="196">
        <v>38.032530888346798</v>
      </c>
      <c r="F65" s="196">
        <v>106.187106978231</v>
      </c>
      <c r="G65" s="196">
        <v>21.137276744476001</v>
      </c>
      <c r="H65" s="196">
        <v>133.96048133840799</v>
      </c>
      <c r="I65" s="196">
        <v>25.25543</v>
      </c>
      <c r="J65" s="196">
        <v>368.85299509999999</v>
      </c>
      <c r="K65" s="196">
        <v>965.59670560999996</v>
      </c>
      <c r="L65" s="196">
        <v>200.66869219527501</v>
      </c>
      <c r="M65" s="196">
        <v>0</v>
      </c>
      <c r="N65" s="196">
        <v>206.32134293028699</v>
      </c>
      <c r="O65" s="196">
        <v>516.61818200000005</v>
      </c>
      <c r="P65" s="196">
        <v>964.29937842000004</v>
      </c>
      <c r="Q65" s="196">
        <v>2036.6778743921</v>
      </c>
      <c r="R65" s="196">
        <v>0</v>
      </c>
      <c r="S65" s="196">
        <v>64.959367436266703</v>
      </c>
      <c r="T65" s="196">
        <v>0</v>
      </c>
      <c r="U65" s="196">
        <v>0.18674274669999999</v>
      </c>
      <c r="V65" s="196">
        <v>459.33991172323601</v>
      </c>
      <c r="W65" s="196">
        <v>36.013480000000001</v>
      </c>
      <c r="X65" s="196">
        <v>0.11571837270187001</v>
      </c>
      <c r="Y65" s="196">
        <v>9.5680973700000003</v>
      </c>
      <c r="Z65" s="196">
        <v>3.3740748155946099</v>
      </c>
      <c r="AA65" s="196">
        <v>161.20526842803</v>
      </c>
      <c r="AB65" s="196">
        <v>186.98234506489999</v>
      </c>
      <c r="AC65" s="196">
        <v>0</v>
      </c>
      <c r="AD65" s="196">
        <v>76.168191527999994</v>
      </c>
      <c r="AE65" s="196">
        <v>435.60550773616399</v>
      </c>
      <c r="AF65" s="196">
        <v>0</v>
      </c>
      <c r="AG65" s="196">
        <v>3.66993953326</v>
      </c>
      <c r="AH65" s="196">
        <v>62.5934711374532</v>
      </c>
    </row>
    <row r="66" spans="1:34" x14ac:dyDescent="0.2">
      <c r="A66" s="191" t="s">
        <v>129</v>
      </c>
      <c r="B66" s="191" t="s">
        <v>128</v>
      </c>
      <c r="C66" s="191">
        <v>2019</v>
      </c>
      <c r="D66" s="191" t="s">
        <v>107</v>
      </c>
      <c r="E66" s="196">
        <v>34.005733343876102</v>
      </c>
      <c r="F66" s="196">
        <v>95.479612223728793</v>
      </c>
      <c r="G66" s="196">
        <v>1.07522415121566</v>
      </c>
      <c r="H66" s="196">
        <v>114.070593745278</v>
      </c>
      <c r="I66" s="196">
        <v>25.804961049999999</v>
      </c>
      <c r="J66" s="196">
        <v>293.66179369999998</v>
      </c>
      <c r="K66" s="196">
        <v>887.92810530999998</v>
      </c>
      <c r="L66" s="196">
        <v>197.175327880743</v>
      </c>
      <c r="M66" s="196">
        <v>0</v>
      </c>
      <c r="N66" s="196">
        <v>134.067978180784</v>
      </c>
      <c r="O66" s="196">
        <v>448.07349900000003</v>
      </c>
      <c r="P66" s="196">
        <v>779.58382013999994</v>
      </c>
      <c r="Q66" s="196">
        <v>1607.8747475541199</v>
      </c>
      <c r="R66" s="196">
        <v>0</v>
      </c>
      <c r="S66" s="196">
        <v>67.731513333333297</v>
      </c>
      <c r="T66" s="196">
        <v>0</v>
      </c>
      <c r="U66" s="196">
        <v>1.6758120901</v>
      </c>
      <c r="V66" s="196">
        <v>452.84193388675601</v>
      </c>
      <c r="W66" s="196">
        <v>29.24136</v>
      </c>
      <c r="X66" s="196">
        <v>0.11355876174159001</v>
      </c>
      <c r="Y66" s="196">
        <v>23.700745462499999</v>
      </c>
      <c r="Z66" s="196">
        <v>3.3085308888148202</v>
      </c>
      <c r="AA66" s="196">
        <v>159.12421473373399</v>
      </c>
      <c r="AB66" s="196">
        <v>113.6510438664</v>
      </c>
      <c r="AC66" s="196">
        <v>0</v>
      </c>
      <c r="AD66" s="196">
        <v>60.580714194000002</v>
      </c>
      <c r="AE66" s="196">
        <v>635.05580189885802</v>
      </c>
      <c r="AF66" s="196">
        <v>0</v>
      </c>
      <c r="AG66" s="196">
        <v>3.9767956728499998</v>
      </c>
      <c r="AH66" s="196">
        <v>82.668658552915204</v>
      </c>
    </row>
    <row r="67" spans="1:34" x14ac:dyDescent="0.2">
      <c r="A67" s="191" t="s">
        <v>129</v>
      </c>
      <c r="B67" s="191" t="s">
        <v>128</v>
      </c>
      <c r="C67" s="191">
        <v>2021</v>
      </c>
      <c r="D67" s="191" t="s">
        <v>107</v>
      </c>
      <c r="E67" s="196">
        <v>29.743921597280899</v>
      </c>
      <c r="F67" s="196">
        <v>104.39071047593301</v>
      </c>
      <c r="G67" s="196">
        <v>0.92478104963832997</v>
      </c>
      <c r="H67" s="196">
        <v>113.689958085809</v>
      </c>
      <c r="I67" s="196">
        <v>22.92611522</v>
      </c>
      <c r="J67" s="196">
        <v>315.57974580000001</v>
      </c>
      <c r="K67" s="196">
        <v>980.26921875000005</v>
      </c>
      <c r="L67" s="196">
        <v>223.53838694952299</v>
      </c>
      <c r="M67" s="196">
        <v>0</v>
      </c>
      <c r="N67" s="196">
        <v>35.669043649098903</v>
      </c>
      <c r="O67" s="196">
        <v>396.81931100000003</v>
      </c>
      <c r="P67" s="196">
        <v>791.55812699000001</v>
      </c>
      <c r="Q67" s="196">
        <v>2130.7385840398902</v>
      </c>
      <c r="R67" s="196">
        <v>0</v>
      </c>
      <c r="S67" s="196">
        <v>105.5507562</v>
      </c>
      <c r="T67" s="196">
        <v>0</v>
      </c>
      <c r="U67" s="196">
        <v>2.5293968717999999</v>
      </c>
      <c r="V67" s="196">
        <v>299.45782034648198</v>
      </c>
      <c r="W67" s="196">
        <v>27.162929999999999</v>
      </c>
      <c r="X67" s="196">
        <v>0.1109035542115</v>
      </c>
      <c r="Y67" s="196">
        <v>23.897613763500001</v>
      </c>
      <c r="Z67" s="196">
        <v>3.1878462188666901</v>
      </c>
      <c r="AA67" s="196">
        <v>164.462665521102</v>
      </c>
      <c r="AB67" s="196">
        <v>109.5457730837</v>
      </c>
      <c r="AC67" s="196">
        <v>0</v>
      </c>
      <c r="AD67" s="196">
        <v>72.902215385999995</v>
      </c>
      <c r="AE67" s="196">
        <v>1099.5071311854001</v>
      </c>
      <c r="AF67" s="196">
        <v>0</v>
      </c>
      <c r="AG67" s="196">
        <v>4.5556317806999997</v>
      </c>
      <c r="AH67" s="196">
        <v>63.215995801797099</v>
      </c>
    </row>
    <row r="68" spans="1:34" x14ac:dyDescent="0.2">
      <c r="A68" s="191" t="s">
        <v>129</v>
      </c>
      <c r="B68" s="191" t="s">
        <v>128</v>
      </c>
      <c r="C68" s="191">
        <v>2005</v>
      </c>
      <c r="D68" s="191" t="s">
        <v>109</v>
      </c>
      <c r="E68" s="196">
        <v>44.473282704259503</v>
      </c>
      <c r="F68" s="196">
        <v>204.750522923136</v>
      </c>
      <c r="G68" s="196">
        <v>23.498797112061499</v>
      </c>
      <c r="H68" s="196">
        <v>138.59575124001</v>
      </c>
      <c r="I68" s="196">
        <v>19.2403187023816</v>
      </c>
      <c r="J68" s="196">
        <v>267.40451341353901</v>
      </c>
      <c r="K68" s="196">
        <v>1713.98045652</v>
      </c>
      <c r="L68" s="196">
        <v>386.177448263781</v>
      </c>
      <c r="M68" s="196">
        <v>0</v>
      </c>
      <c r="N68" s="196">
        <v>526.56207608760405</v>
      </c>
      <c r="O68" s="196">
        <v>504.90843950499999</v>
      </c>
      <c r="P68" s="196">
        <v>1501.4176378899999</v>
      </c>
      <c r="Q68" s="196">
        <v>2643.9728777195301</v>
      </c>
      <c r="R68" s="196">
        <v>0</v>
      </c>
      <c r="S68" s="196">
        <v>14.609888374015799</v>
      </c>
      <c r="T68" s="196">
        <v>0</v>
      </c>
      <c r="U68" s="196">
        <v>28.8430091518</v>
      </c>
      <c r="V68" s="196">
        <v>1314.31451492263</v>
      </c>
      <c r="W68" s="196">
        <v>12.514507999999999</v>
      </c>
      <c r="X68" s="196">
        <v>0.13074543866237001</v>
      </c>
      <c r="Y68" s="196">
        <v>7.69066170394</v>
      </c>
      <c r="Z68" s="196">
        <v>1.31323010654451</v>
      </c>
      <c r="AA68" s="196">
        <v>200.02011075349</v>
      </c>
      <c r="AB68" s="196">
        <v>339.09626078967898</v>
      </c>
      <c r="AC68" s="196">
        <v>0</v>
      </c>
      <c r="AD68" s="196">
        <v>73.8498676111207</v>
      </c>
      <c r="AE68" s="196">
        <v>1242.0107835276899</v>
      </c>
      <c r="AF68" s="196">
        <v>0</v>
      </c>
      <c r="AG68" s="196">
        <v>3.3250035055999998</v>
      </c>
      <c r="AH68" s="196">
        <v>95.717633424724895</v>
      </c>
    </row>
    <row r="69" spans="1:34" x14ac:dyDescent="0.2">
      <c r="A69" s="191" t="s">
        <v>129</v>
      </c>
      <c r="B69" s="191" t="s">
        <v>128</v>
      </c>
      <c r="C69" s="191">
        <v>2010</v>
      </c>
      <c r="D69" s="191" t="s">
        <v>109</v>
      </c>
      <c r="E69" s="196">
        <v>43.954669568024897</v>
      </c>
      <c r="F69" s="196">
        <v>131.22041855159</v>
      </c>
      <c r="G69" s="196">
        <v>24.854000743173401</v>
      </c>
      <c r="H69" s="196">
        <v>137.27996442911501</v>
      </c>
      <c r="I69" s="196">
        <v>20.504817750000001</v>
      </c>
      <c r="J69" s="196">
        <v>321.703824494375</v>
      </c>
      <c r="K69" s="196">
        <v>1299.91700038</v>
      </c>
      <c r="L69" s="196">
        <v>233.23925359515599</v>
      </c>
      <c r="M69" s="196">
        <v>0</v>
      </c>
      <c r="N69" s="196">
        <v>244.33177705857301</v>
      </c>
      <c r="O69" s="196">
        <v>558.84619604099998</v>
      </c>
      <c r="P69" s="196">
        <v>1207.0322041710001</v>
      </c>
      <c r="Q69" s="196">
        <v>2273.8698034180302</v>
      </c>
      <c r="R69" s="196">
        <v>0</v>
      </c>
      <c r="S69" s="196">
        <v>10.861078071244799</v>
      </c>
      <c r="T69" s="196">
        <v>0</v>
      </c>
      <c r="U69" s="196">
        <v>13.923485145900001</v>
      </c>
      <c r="V69" s="196">
        <v>688.351162591449</v>
      </c>
      <c r="W69" s="196">
        <v>16.01248</v>
      </c>
      <c r="X69" s="196">
        <v>0.12436817640583001</v>
      </c>
      <c r="Y69" s="196">
        <v>7.9414859870179999</v>
      </c>
      <c r="Z69" s="196">
        <v>2.0279680098571</v>
      </c>
      <c r="AA69" s="196">
        <v>261.63260086413601</v>
      </c>
      <c r="AB69" s="196">
        <v>220.13442778781001</v>
      </c>
      <c r="AC69" s="196">
        <v>0</v>
      </c>
      <c r="AD69" s="196">
        <v>87.036438530159998</v>
      </c>
      <c r="AE69" s="196">
        <v>317.64968714796203</v>
      </c>
      <c r="AF69" s="196">
        <v>0</v>
      </c>
      <c r="AG69" s="196">
        <v>2.8883274087236401</v>
      </c>
      <c r="AH69" s="196">
        <v>69.854079459620493</v>
      </c>
    </row>
    <row r="70" spans="1:34" x14ac:dyDescent="0.2">
      <c r="A70" s="191" t="s">
        <v>129</v>
      </c>
      <c r="B70" s="191" t="s">
        <v>128</v>
      </c>
      <c r="C70" s="191">
        <v>2015</v>
      </c>
      <c r="D70" s="191" t="s">
        <v>109</v>
      </c>
      <c r="E70" s="196">
        <v>38.739202990535503</v>
      </c>
      <c r="F70" s="196">
        <v>107.33218722828001</v>
      </c>
      <c r="G70" s="196">
        <v>21.298097423483199</v>
      </c>
      <c r="H70" s="196">
        <v>135.05314090142301</v>
      </c>
      <c r="I70" s="196">
        <v>25.39590995</v>
      </c>
      <c r="J70" s="196">
        <v>372.42540126083401</v>
      </c>
      <c r="K70" s="196">
        <v>970.78676938000001</v>
      </c>
      <c r="L70" s="196">
        <v>202.89501798715801</v>
      </c>
      <c r="M70" s="196">
        <v>0</v>
      </c>
      <c r="N70" s="196">
        <v>207.89111650446901</v>
      </c>
      <c r="O70" s="196">
        <v>520.909805592</v>
      </c>
      <c r="P70" s="196">
        <v>973.09414701000003</v>
      </c>
      <c r="Q70" s="196">
        <v>2050.77060492492</v>
      </c>
      <c r="R70" s="196">
        <v>0</v>
      </c>
      <c r="S70" s="196">
        <v>65.234728465738698</v>
      </c>
      <c r="T70" s="196">
        <v>0</v>
      </c>
      <c r="U70" s="196">
        <v>0.18738286100000001</v>
      </c>
      <c r="V70" s="196">
        <v>476.54259885323501</v>
      </c>
      <c r="W70" s="196">
        <v>36.286568000000003</v>
      </c>
      <c r="X70" s="196">
        <v>0.12011044797864</v>
      </c>
      <c r="Y70" s="196">
        <v>9.6590008110000003</v>
      </c>
      <c r="Z70" s="196">
        <v>3.4034452750339201</v>
      </c>
      <c r="AA70" s="196">
        <v>163.88865573056199</v>
      </c>
      <c r="AB70" s="196">
        <v>188.60132971264599</v>
      </c>
      <c r="AC70" s="196">
        <v>0</v>
      </c>
      <c r="AD70" s="196">
        <v>76.747708957247994</v>
      </c>
      <c r="AE70" s="196">
        <v>478.55728024730399</v>
      </c>
      <c r="AF70" s="196">
        <v>0</v>
      </c>
      <c r="AG70" s="196">
        <v>3.6978618704081598</v>
      </c>
      <c r="AH70" s="196">
        <v>63.929328744636003</v>
      </c>
    </row>
    <row r="71" spans="1:34" x14ac:dyDescent="0.2">
      <c r="A71" s="191" t="s">
        <v>129</v>
      </c>
      <c r="B71" s="191" t="s">
        <v>128</v>
      </c>
      <c r="C71" s="191">
        <v>2019</v>
      </c>
      <c r="D71" s="191" t="s">
        <v>109</v>
      </c>
      <c r="E71" s="196">
        <v>34.631915258922</v>
      </c>
      <c r="F71" s="196">
        <v>96.4986796971411</v>
      </c>
      <c r="G71" s="196">
        <v>1.08340487762389</v>
      </c>
      <c r="H71" s="196">
        <v>115.011673505762</v>
      </c>
      <c r="I71" s="196">
        <v>25.946441488000001</v>
      </c>
      <c r="J71" s="196">
        <v>296.71399613774798</v>
      </c>
      <c r="K71" s="196">
        <v>892.89112326999998</v>
      </c>
      <c r="L71" s="196">
        <v>199.35069583181399</v>
      </c>
      <c r="M71" s="196">
        <v>0</v>
      </c>
      <c r="N71" s="196">
        <v>135.08801986092999</v>
      </c>
      <c r="O71" s="196">
        <v>451.842404343</v>
      </c>
      <c r="P71" s="196">
        <v>786.81376782999996</v>
      </c>
      <c r="Q71" s="196">
        <v>1618.3224190736801</v>
      </c>
      <c r="R71" s="196">
        <v>0</v>
      </c>
      <c r="S71" s="196">
        <v>68.047225223333299</v>
      </c>
      <c r="T71" s="196">
        <v>0</v>
      </c>
      <c r="U71" s="196">
        <v>1.6822700675</v>
      </c>
      <c r="V71" s="196">
        <v>465.69823980675602</v>
      </c>
      <c r="W71" s="196">
        <v>29.463311999999998</v>
      </c>
      <c r="X71" s="196">
        <v>0.11739027953584</v>
      </c>
      <c r="Y71" s="196">
        <v>23.923881436607999</v>
      </c>
      <c r="Z71" s="196">
        <v>3.3374930127050502</v>
      </c>
      <c r="AA71" s="196">
        <v>161.73615307764399</v>
      </c>
      <c r="AB71" s="196">
        <v>114.630830250936</v>
      </c>
      <c r="AC71" s="196">
        <v>0</v>
      </c>
      <c r="AD71" s="196">
        <v>61.041635991504002</v>
      </c>
      <c r="AE71" s="196">
        <v>637.16042769052694</v>
      </c>
      <c r="AF71" s="196">
        <v>0</v>
      </c>
      <c r="AG71" s="196">
        <v>4.0070526916756002</v>
      </c>
      <c r="AH71" s="196">
        <v>83.683082040412501</v>
      </c>
    </row>
    <row r="72" spans="1:34" x14ac:dyDescent="0.2">
      <c r="A72" s="191" t="s">
        <v>129</v>
      </c>
      <c r="B72" s="191" t="s">
        <v>128</v>
      </c>
      <c r="C72" s="191">
        <v>2021</v>
      </c>
      <c r="D72" s="191" t="s">
        <v>109</v>
      </c>
      <c r="E72" s="196">
        <v>30.292283492144001</v>
      </c>
      <c r="F72" s="196">
        <v>105.501334544529</v>
      </c>
      <c r="G72" s="196">
        <v>0.93181714601648002</v>
      </c>
      <c r="H72" s="196">
        <v>114.627625084567</v>
      </c>
      <c r="I72" s="196">
        <v>23.0617427396</v>
      </c>
      <c r="J72" s="196">
        <v>318.82639067099001</v>
      </c>
      <c r="K72" s="196">
        <v>986.27152806000004</v>
      </c>
      <c r="L72" s="196">
        <v>226.01737879192501</v>
      </c>
      <c r="M72" s="196">
        <v>0</v>
      </c>
      <c r="N72" s="196">
        <v>35.940427701478498</v>
      </c>
      <c r="O72" s="196">
        <v>400.18528732099998</v>
      </c>
      <c r="P72" s="196">
        <v>799.24625609999998</v>
      </c>
      <c r="Q72" s="196">
        <v>2144.8127342206399</v>
      </c>
      <c r="R72" s="196">
        <v>0</v>
      </c>
      <c r="S72" s="196">
        <v>106.12357739550001</v>
      </c>
      <c r="T72" s="196">
        <v>0</v>
      </c>
      <c r="U72" s="196">
        <v>2.5406562317999999</v>
      </c>
      <c r="V72" s="196">
        <v>307.06522165648198</v>
      </c>
      <c r="W72" s="196">
        <v>27.369105999999999</v>
      </c>
      <c r="X72" s="196">
        <v>0.11454400029488999</v>
      </c>
      <c r="Y72" s="196">
        <v>24.125913891168</v>
      </c>
      <c r="Z72" s="196">
        <v>3.2147714735539501</v>
      </c>
      <c r="AA72" s="196">
        <v>167.26867862225299</v>
      </c>
      <c r="AB72" s="196">
        <v>110.52974613299099</v>
      </c>
      <c r="AC72" s="196">
        <v>0</v>
      </c>
      <c r="AD72" s="196">
        <v>73.456883989776003</v>
      </c>
      <c r="AE72" s="196">
        <v>1103.1509530332401</v>
      </c>
      <c r="AF72" s="196">
        <v>0</v>
      </c>
      <c r="AG72" s="196">
        <v>4.5902928113112003</v>
      </c>
      <c r="AH72" s="196">
        <v>64.064270703876005</v>
      </c>
    </row>
    <row r="73" spans="1:34" x14ac:dyDescent="0.2">
      <c r="A73" s="191" t="s">
        <v>129</v>
      </c>
      <c r="B73" s="191" t="s">
        <v>128</v>
      </c>
      <c r="C73" s="191">
        <v>2005</v>
      </c>
      <c r="D73" s="191" t="s">
        <v>108</v>
      </c>
      <c r="E73" s="196">
        <v>0.90467994548971797</v>
      </c>
      <c r="F73" s="196">
        <v>2.0811512700686898</v>
      </c>
      <c r="G73" s="196">
        <v>0.17743803271479</v>
      </c>
      <c r="H73" s="196">
        <v>1.1547924059542001</v>
      </c>
      <c r="I73" s="196">
        <v>0.21031155952449901</v>
      </c>
      <c r="J73" s="196">
        <v>2.3043305135390701</v>
      </c>
      <c r="K73" s="196">
        <v>9.3745297299999493</v>
      </c>
      <c r="L73" s="196">
        <v>4.9681539652939399</v>
      </c>
      <c r="M73" s="196">
        <v>0</v>
      </c>
      <c r="N73" s="196">
        <v>3.9760392175846802</v>
      </c>
      <c r="O73" s="196">
        <v>4.1145435050000296</v>
      </c>
      <c r="P73" s="196">
        <v>14.2681874699999</v>
      </c>
      <c r="Q73" s="196">
        <v>18.02521746399</v>
      </c>
      <c r="R73" s="196">
        <v>0</v>
      </c>
      <c r="S73" s="196">
        <v>0.108514443520001</v>
      </c>
      <c r="T73" s="196">
        <v>0</v>
      </c>
      <c r="U73" s="196">
        <v>9.6192135500000803E-2</v>
      </c>
      <c r="V73" s="196">
        <v>81.706503160000196</v>
      </c>
      <c r="W73" s="196">
        <v>9.3567999999999402E-2</v>
      </c>
      <c r="X73" s="196">
        <v>1.057372573282E-2</v>
      </c>
      <c r="Y73" s="196">
        <v>7.0514323940000304E-2</v>
      </c>
      <c r="Z73" s="196">
        <v>1.16319251394399E-2</v>
      </c>
      <c r="AA73" s="196">
        <v>4.4483995034900099</v>
      </c>
      <c r="AB73" s="196">
        <v>2.8464454588794901</v>
      </c>
      <c r="AC73" s="196">
        <v>0</v>
      </c>
      <c r="AD73" s="196">
        <v>0.557635999950719</v>
      </c>
      <c r="AE73" s="196">
        <v>77.993101315583999</v>
      </c>
      <c r="AF73" s="196">
        <v>0</v>
      </c>
      <c r="AG73" s="196">
        <v>2.51069056E-2</v>
      </c>
      <c r="AH73" s="196">
        <v>1.4200041858305401</v>
      </c>
    </row>
    <row r="74" spans="1:34" x14ac:dyDescent="0.2">
      <c r="A74" s="191" t="s">
        <v>129</v>
      </c>
      <c r="B74" s="191" t="s">
        <v>128</v>
      </c>
      <c r="C74" s="191">
        <v>2010</v>
      </c>
      <c r="D74" s="191" t="s">
        <v>108</v>
      </c>
      <c r="E74" s="196">
        <v>0.82125164940905604</v>
      </c>
      <c r="F74" s="196">
        <v>1.3545456448865101</v>
      </c>
      <c r="G74" s="196">
        <v>0.18767109550071101</v>
      </c>
      <c r="H74" s="196">
        <v>1.1251991262983601</v>
      </c>
      <c r="I74" s="196">
        <v>0.21841774999999999</v>
      </c>
      <c r="J74" s="196">
        <v>2.3373401943746899</v>
      </c>
      <c r="K74" s="196">
        <v>5.9643533500000103</v>
      </c>
      <c r="L74" s="196">
        <v>2.6691205349426599</v>
      </c>
      <c r="M74" s="196">
        <v>0</v>
      </c>
      <c r="N74" s="196">
        <v>1.8449348553651199</v>
      </c>
      <c r="O74" s="196">
        <v>4.5250810410000204</v>
      </c>
      <c r="P74" s="196">
        <v>11.00139165</v>
      </c>
      <c r="Q74" s="196">
        <v>15.6501037751495</v>
      </c>
      <c r="R74" s="196">
        <v>0</v>
      </c>
      <c r="S74" s="196">
        <v>8.0827544044799596E-2</v>
      </c>
      <c r="T74" s="196">
        <v>0</v>
      </c>
      <c r="U74" s="196">
        <v>4.54008109000004E-2</v>
      </c>
      <c r="V74" s="196">
        <v>36.454802740000098</v>
      </c>
      <c r="W74" s="196">
        <v>0.11968000000000099</v>
      </c>
      <c r="X74" s="196">
        <v>5.9308892694400102E-3</v>
      </c>
      <c r="Y74" s="196">
        <v>7.39237501180003E-2</v>
      </c>
      <c r="Z74" s="196">
        <v>1.8714248923870101E-2</v>
      </c>
      <c r="AA74" s="196">
        <v>4.1365411641360197</v>
      </c>
      <c r="AB74" s="196">
        <v>1.8291600991097701</v>
      </c>
      <c r="AC74" s="196">
        <v>0</v>
      </c>
      <c r="AD74" s="196">
        <v>0.65720702016000099</v>
      </c>
      <c r="AE74" s="196">
        <v>49.846223156291998</v>
      </c>
      <c r="AF74" s="196">
        <v>0</v>
      </c>
      <c r="AG74" s="196">
        <v>2.1809590115199999E-2</v>
      </c>
      <c r="AH74" s="196">
        <v>0.78209406182986596</v>
      </c>
    </row>
    <row r="75" spans="1:34" x14ac:dyDescent="0.2">
      <c r="A75" s="191" t="s">
        <v>129</v>
      </c>
      <c r="B75" s="191" t="s">
        <v>128</v>
      </c>
      <c r="C75" s="191">
        <v>2015</v>
      </c>
      <c r="D75" s="191" t="s">
        <v>108</v>
      </c>
      <c r="E75" s="196">
        <v>0.70667210218877596</v>
      </c>
      <c r="F75" s="196">
        <v>1.1450802500498201</v>
      </c>
      <c r="G75" s="196">
        <v>0.16082067900727301</v>
      </c>
      <c r="H75" s="196">
        <v>1.0926595630148499</v>
      </c>
      <c r="I75" s="196">
        <v>0.14047994999999999</v>
      </c>
      <c r="J75" s="196">
        <v>3.5724061608339599</v>
      </c>
      <c r="K75" s="196">
        <v>5.1900637700000498</v>
      </c>
      <c r="L75" s="196">
        <v>2.2263257918823198</v>
      </c>
      <c r="M75" s="196">
        <v>0</v>
      </c>
      <c r="N75" s="196">
        <v>1.56977357418231</v>
      </c>
      <c r="O75" s="196">
        <v>4.2916235919999499</v>
      </c>
      <c r="P75" s="196">
        <v>8.7947685899999897</v>
      </c>
      <c r="Q75" s="196">
        <v>14.0927305328287</v>
      </c>
      <c r="R75" s="196">
        <v>0</v>
      </c>
      <c r="S75" s="196">
        <v>0.27536102947199498</v>
      </c>
      <c r="T75" s="196">
        <v>0</v>
      </c>
      <c r="U75" s="196">
        <v>6.4011430000002201E-4</v>
      </c>
      <c r="V75" s="196">
        <v>17.202687129999301</v>
      </c>
      <c r="W75" s="196">
        <v>0.273088000000001</v>
      </c>
      <c r="X75" s="196">
        <v>4.3920752767699902E-3</v>
      </c>
      <c r="Y75" s="196">
        <v>9.0903441000000001E-2</v>
      </c>
      <c r="Z75" s="196">
        <v>2.9370459439310301E-2</v>
      </c>
      <c r="AA75" s="196">
        <v>2.6833873025322799</v>
      </c>
      <c r="AB75" s="196">
        <v>1.6189846477462599</v>
      </c>
      <c r="AC75" s="196">
        <v>0</v>
      </c>
      <c r="AD75" s="196">
        <v>0.57951742924799998</v>
      </c>
      <c r="AE75" s="196">
        <v>42.95177251114</v>
      </c>
      <c r="AF75" s="196">
        <v>0</v>
      </c>
      <c r="AG75" s="196">
        <v>2.7922337148159799E-2</v>
      </c>
      <c r="AH75" s="196">
        <v>1.33585760718272</v>
      </c>
    </row>
    <row r="76" spans="1:34" x14ac:dyDescent="0.2">
      <c r="A76" s="191" t="s">
        <v>129</v>
      </c>
      <c r="B76" s="191" t="s">
        <v>128</v>
      </c>
      <c r="C76" s="191">
        <v>2019</v>
      </c>
      <c r="D76" s="191" t="s">
        <v>108</v>
      </c>
      <c r="E76" s="196">
        <v>0.62618191504586196</v>
      </c>
      <c r="F76" s="196">
        <v>1.01906747341224</v>
      </c>
      <c r="G76" s="196">
        <v>8.1807264082300896E-3</v>
      </c>
      <c r="H76" s="196">
        <v>0.94107976048437103</v>
      </c>
      <c r="I76" s="196">
        <v>0.14148043800000201</v>
      </c>
      <c r="J76" s="196">
        <v>3.0522024377481198</v>
      </c>
      <c r="K76" s="196">
        <v>4.9630179600000002</v>
      </c>
      <c r="L76" s="196">
        <v>2.1753679510711401</v>
      </c>
      <c r="M76" s="196">
        <v>0</v>
      </c>
      <c r="N76" s="196">
        <v>1.0200416801458201</v>
      </c>
      <c r="O76" s="196">
        <v>3.7689053430000299</v>
      </c>
      <c r="P76" s="196">
        <v>7.2299476900000199</v>
      </c>
      <c r="Q76" s="196">
        <v>10.447671519563499</v>
      </c>
      <c r="R76" s="196">
        <v>0</v>
      </c>
      <c r="S76" s="196">
        <v>0.31571189000000299</v>
      </c>
      <c r="T76" s="196">
        <v>0</v>
      </c>
      <c r="U76" s="196">
        <v>6.4579773999999803E-3</v>
      </c>
      <c r="V76" s="196">
        <v>12.856305919999199</v>
      </c>
      <c r="W76" s="196">
        <v>0.22195199999999801</v>
      </c>
      <c r="X76" s="196">
        <v>3.83151779424999E-3</v>
      </c>
      <c r="Y76" s="196">
        <v>0.22313597410800101</v>
      </c>
      <c r="Z76" s="196">
        <v>2.896212389023E-2</v>
      </c>
      <c r="AA76" s="196">
        <v>2.6119383439104502</v>
      </c>
      <c r="AB76" s="196">
        <v>0.97978638453589895</v>
      </c>
      <c r="AC76" s="196">
        <v>0</v>
      </c>
      <c r="AD76" s="196">
        <v>0.46092179750399997</v>
      </c>
      <c r="AE76" s="196">
        <v>2.1046257916684699</v>
      </c>
      <c r="AF76" s="196">
        <v>0</v>
      </c>
      <c r="AG76" s="196">
        <v>3.0257018825600401E-2</v>
      </c>
      <c r="AH76" s="196">
        <v>1.0144234874973099</v>
      </c>
    </row>
    <row r="77" spans="1:34" x14ac:dyDescent="0.2">
      <c r="A77" s="191" t="s">
        <v>129</v>
      </c>
      <c r="B77" s="191" t="s">
        <v>128</v>
      </c>
      <c r="C77" s="191">
        <v>2021</v>
      </c>
      <c r="D77" s="191" t="s">
        <v>108</v>
      </c>
      <c r="E77" s="196">
        <v>0.54836189486314202</v>
      </c>
      <c r="F77" s="196">
        <v>1.1106240685953701</v>
      </c>
      <c r="G77" s="196">
        <v>7.0360963781500602E-3</v>
      </c>
      <c r="H77" s="196">
        <v>0.93766699875776305</v>
      </c>
      <c r="I77" s="196">
        <v>0.1356275196</v>
      </c>
      <c r="J77" s="196">
        <v>3.2466448709901701</v>
      </c>
      <c r="K77" s="196">
        <v>6.0023093099999896</v>
      </c>
      <c r="L77" s="196">
        <v>2.4789918424018502</v>
      </c>
      <c r="M77" s="196">
        <v>0</v>
      </c>
      <c r="N77" s="196">
        <v>0.271384052379609</v>
      </c>
      <c r="O77" s="196">
        <v>3.36597632100001</v>
      </c>
      <c r="P77" s="196">
        <v>7.6881291099999798</v>
      </c>
      <c r="Q77" s="196">
        <v>14.074150180751101</v>
      </c>
      <c r="R77" s="196">
        <v>0</v>
      </c>
      <c r="S77" s="196">
        <v>0.57282119549999799</v>
      </c>
      <c r="T77" s="196">
        <v>0</v>
      </c>
      <c r="U77" s="196">
        <v>1.1259359999999901E-2</v>
      </c>
      <c r="V77" s="196">
        <v>7.6074013100000002</v>
      </c>
      <c r="W77" s="196">
        <v>0.206175999999999</v>
      </c>
      <c r="X77" s="196">
        <v>3.6404460833899901E-3</v>
      </c>
      <c r="Y77" s="196">
        <v>0.22830012766800001</v>
      </c>
      <c r="Z77" s="196">
        <v>2.6925254687260002E-2</v>
      </c>
      <c r="AA77" s="196">
        <v>2.8060131011508802</v>
      </c>
      <c r="AB77" s="196">
        <v>0.98397304929102303</v>
      </c>
      <c r="AC77" s="196">
        <v>0</v>
      </c>
      <c r="AD77" s="196">
        <v>0.55466860377600802</v>
      </c>
      <c r="AE77" s="196">
        <v>3.64382184784017</v>
      </c>
      <c r="AF77" s="196">
        <v>0</v>
      </c>
      <c r="AG77" s="196">
        <v>3.4661030611200502E-2</v>
      </c>
      <c r="AH77" s="196">
        <v>0.84827490207891998</v>
      </c>
    </row>
    <row r="78" spans="1:34" x14ac:dyDescent="0.2">
      <c r="A78" s="191" t="s">
        <v>127</v>
      </c>
      <c r="B78" s="191" t="s">
        <v>126</v>
      </c>
      <c r="C78" s="191">
        <v>2005</v>
      </c>
      <c r="D78" s="191" t="s">
        <v>107</v>
      </c>
      <c r="E78" s="196">
        <v>95.542864708994699</v>
      </c>
      <c r="F78" s="196">
        <v>169.17931124733599</v>
      </c>
      <c r="G78" s="196">
        <v>41.801020502369497</v>
      </c>
      <c r="H78" s="196">
        <v>42.158288904124902</v>
      </c>
      <c r="I78" s="196">
        <v>0.96650000000000003</v>
      </c>
      <c r="J78" s="196">
        <v>213.60093258937201</v>
      </c>
      <c r="K78" s="196">
        <v>2377.5344778253998</v>
      </c>
      <c r="L78" s="196">
        <v>221.57492544842299</v>
      </c>
      <c r="M78" s="196">
        <v>8.6284728712587402</v>
      </c>
      <c r="N78" s="196">
        <v>31.914666666666701</v>
      </c>
      <c r="O78" s="196">
        <v>535.65121799999997</v>
      </c>
      <c r="P78" s="196">
        <v>290.995846893482</v>
      </c>
      <c r="Q78" s="196">
        <v>1971.32572829988</v>
      </c>
      <c r="R78" s="196">
        <v>85.461377044266698</v>
      </c>
      <c r="S78" s="196">
        <v>142.261842091061</v>
      </c>
      <c r="T78" s="196">
        <v>327.54831999999999</v>
      </c>
      <c r="U78" s="196">
        <v>6.2209546558</v>
      </c>
      <c r="V78" s="196">
        <v>563.74323132219899</v>
      </c>
      <c r="W78" s="196">
        <v>51.874653326627403</v>
      </c>
      <c r="X78" s="196">
        <v>8.8308383189324395</v>
      </c>
      <c r="Y78" s="196">
        <v>2.9380999999999999</v>
      </c>
      <c r="Z78" s="196">
        <v>0</v>
      </c>
      <c r="AA78" s="196">
        <v>83.022157032473203</v>
      </c>
      <c r="AB78" s="196">
        <v>109.2794266667</v>
      </c>
      <c r="AC78" s="196">
        <v>1591.34893068472</v>
      </c>
      <c r="AD78" s="196">
        <v>38.330643492858897</v>
      </c>
      <c r="AE78" s="196">
        <v>138.54092324058001</v>
      </c>
      <c r="AF78" s="196">
        <v>116.50141449275399</v>
      </c>
      <c r="AG78" s="196">
        <v>29.0672676066667</v>
      </c>
      <c r="AH78" s="196">
        <v>29.5902174886049</v>
      </c>
    </row>
    <row r="79" spans="1:34" x14ac:dyDescent="0.2">
      <c r="A79" s="191" t="s">
        <v>127</v>
      </c>
      <c r="B79" s="191" t="s">
        <v>126</v>
      </c>
      <c r="C79" s="191">
        <v>2010</v>
      </c>
      <c r="D79" s="191" t="s">
        <v>107</v>
      </c>
      <c r="E79" s="196">
        <v>112.34965489376</v>
      </c>
      <c r="F79" s="196">
        <v>177.54927239375101</v>
      </c>
      <c r="G79" s="196">
        <v>41.243618753333301</v>
      </c>
      <c r="H79" s="196">
        <v>44.437440124195298</v>
      </c>
      <c r="I79" s="196">
        <v>0.73770000000000002</v>
      </c>
      <c r="J79" s="196">
        <v>225.39637025410599</v>
      </c>
      <c r="K79" s="196">
        <v>2516.99098987654</v>
      </c>
      <c r="L79" s="196">
        <v>155.85966756652101</v>
      </c>
      <c r="M79" s="196">
        <v>9.3735772237777102</v>
      </c>
      <c r="N79" s="196">
        <v>30.347428571428601</v>
      </c>
      <c r="O79" s="196">
        <v>608.78551000000004</v>
      </c>
      <c r="P79" s="196">
        <v>278.98594896035303</v>
      </c>
      <c r="Q79" s="196">
        <v>1909.9282278815101</v>
      </c>
      <c r="R79" s="196">
        <v>88.037283955866698</v>
      </c>
      <c r="S79" s="196">
        <v>105.81956104721699</v>
      </c>
      <c r="T79" s="196">
        <v>526.17708000000005</v>
      </c>
      <c r="U79" s="196">
        <v>4.2233834697712496</v>
      </c>
      <c r="V79" s="196">
        <v>381.05957512966</v>
      </c>
      <c r="W79" s="196">
        <v>37.934128651718297</v>
      </c>
      <c r="X79" s="196">
        <v>7.99835735428716</v>
      </c>
      <c r="Y79" s="196">
        <v>5.9741</v>
      </c>
      <c r="Z79" s="196">
        <v>0</v>
      </c>
      <c r="AA79" s="196">
        <v>92.035189053087706</v>
      </c>
      <c r="AB79" s="196">
        <v>78.332136666699995</v>
      </c>
      <c r="AC79" s="196">
        <v>1121.1866666639301</v>
      </c>
      <c r="AD79" s="196">
        <v>46.924447244929098</v>
      </c>
      <c r="AE79" s="196">
        <v>107.21620933913</v>
      </c>
      <c r="AF79" s="196">
        <v>123.80012173913001</v>
      </c>
      <c r="AG79" s="196">
        <v>27.834550139000001</v>
      </c>
      <c r="AH79" s="196">
        <v>39.169767400448599</v>
      </c>
    </row>
    <row r="80" spans="1:34" x14ac:dyDescent="0.2">
      <c r="A80" s="191" t="s">
        <v>127</v>
      </c>
      <c r="B80" s="191" t="s">
        <v>126</v>
      </c>
      <c r="C80" s="191">
        <v>2015</v>
      </c>
      <c r="D80" s="191" t="s">
        <v>107</v>
      </c>
      <c r="E80" s="196">
        <v>145.48520058998901</v>
      </c>
      <c r="F80" s="196">
        <v>193.16630501608199</v>
      </c>
      <c r="G80" s="196">
        <v>55.872064751110102</v>
      </c>
      <c r="H80" s="196">
        <v>44.688754316959802</v>
      </c>
      <c r="I80" s="196">
        <v>0.3982</v>
      </c>
      <c r="J80" s="196">
        <v>438.74499119903402</v>
      </c>
      <c r="K80" s="196">
        <v>2927.9566174532702</v>
      </c>
      <c r="L80" s="196">
        <v>176.05335099809901</v>
      </c>
      <c r="M80" s="196">
        <v>9.0702951920461601</v>
      </c>
      <c r="N80" s="196">
        <v>23.413682285714302</v>
      </c>
      <c r="O80" s="196">
        <v>625.24762699999997</v>
      </c>
      <c r="P80" s="196">
        <v>166.71521247830901</v>
      </c>
      <c r="Q80" s="196">
        <v>2117.1434711397801</v>
      </c>
      <c r="R80" s="196">
        <v>69.339698246279994</v>
      </c>
      <c r="S80" s="196">
        <v>202.83329744662799</v>
      </c>
      <c r="T80" s="196">
        <v>465.41234666666702</v>
      </c>
      <c r="U80" s="196">
        <v>5.3456131338170003</v>
      </c>
      <c r="V80" s="196">
        <v>458.29601083364997</v>
      </c>
      <c r="W80" s="196">
        <v>61.507786928912402</v>
      </c>
      <c r="X80" s="196">
        <v>11.183123340933999</v>
      </c>
      <c r="Y80" s="196">
        <v>26.147659999999998</v>
      </c>
      <c r="Z80" s="196">
        <v>0</v>
      </c>
      <c r="AA80" s="196">
        <v>134.649047620468</v>
      </c>
      <c r="AB80" s="196">
        <v>89.892516996699996</v>
      </c>
      <c r="AC80" s="196">
        <v>1108.97524631132</v>
      </c>
      <c r="AD80" s="196">
        <v>65.137489604261305</v>
      </c>
      <c r="AE80" s="196">
        <v>94.342722753623207</v>
      </c>
      <c r="AF80" s="196">
        <v>124.48250434782599</v>
      </c>
      <c r="AG80" s="196">
        <v>24.264702880000002</v>
      </c>
      <c r="AH80" s="196">
        <v>73.3327339119611</v>
      </c>
    </row>
    <row r="81" spans="1:34" x14ac:dyDescent="0.2">
      <c r="A81" s="191" t="s">
        <v>127</v>
      </c>
      <c r="B81" s="191" t="s">
        <v>126</v>
      </c>
      <c r="C81" s="191">
        <v>2019</v>
      </c>
      <c r="D81" s="191" t="s">
        <v>107</v>
      </c>
      <c r="E81" s="196">
        <v>150.77642885361601</v>
      </c>
      <c r="F81" s="196">
        <v>192.22357994688599</v>
      </c>
      <c r="G81" s="196">
        <v>57.556087142467803</v>
      </c>
      <c r="H81" s="196">
        <v>45.390144824940499</v>
      </c>
      <c r="I81" s="196">
        <v>0.22586666666666999</v>
      </c>
      <c r="J81" s="196">
        <v>341.93262069999997</v>
      </c>
      <c r="K81" s="196">
        <v>2730.8035774109399</v>
      </c>
      <c r="L81" s="196">
        <v>184.712845280978</v>
      </c>
      <c r="M81" s="196">
        <v>15.596605350038301</v>
      </c>
      <c r="N81" s="196">
        <v>34.800836695202896</v>
      </c>
      <c r="O81" s="196">
        <v>559.55508399999997</v>
      </c>
      <c r="P81" s="196">
        <v>190.33147352516201</v>
      </c>
      <c r="Q81" s="196">
        <v>2028.5996440368799</v>
      </c>
      <c r="R81" s="196">
        <v>75.659832600000001</v>
      </c>
      <c r="S81" s="196">
        <v>216.83338985122001</v>
      </c>
      <c r="T81" s="196">
        <v>435.88301093333303</v>
      </c>
      <c r="U81" s="196">
        <v>10.344856963712999</v>
      </c>
      <c r="V81" s="196">
        <v>429.58115363975202</v>
      </c>
      <c r="W81" s="196">
        <v>67.499721136075493</v>
      </c>
      <c r="X81" s="196">
        <v>14.268110889882999</v>
      </c>
      <c r="Y81" s="196">
        <v>54.870199999999997</v>
      </c>
      <c r="Z81" s="196">
        <v>0</v>
      </c>
      <c r="AA81" s="196">
        <v>85.161850874664495</v>
      </c>
      <c r="AB81" s="196">
        <v>114.405628337</v>
      </c>
      <c r="AC81" s="196">
        <v>1122.66833053294</v>
      </c>
      <c r="AD81" s="196">
        <v>41.481181608647503</v>
      </c>
      <c r="AE81" s="196">
        <v>128.58292715942</v>
      </c>
      <c r="AF81" s="196">
        <v>122.84640493479699</v>
      </c>
      <c r="AG81" s="196">
        <v>28.182256996666698</v>
      </c>
      <c r="AH81" s="196">
        <v>68.249655981650506</v>
      </c>
    </row>
    <row r="82" spans="1:34" x14ac:dyDescent="0.2">
      <c r="A82" s="191" t="s">
        <v>127</v>
      </c>
      <c r="B82" s="191" t="s">
        <v>126</v>
      </c>
      <c r="C82" s="191">
        <v>2021</v>
      </c>
      <c r="D82" s="191" t="s">
        <v>107</v>
      </c>
      <c r="E82" s="196">
        <v>149.28854265343901</v>
      </c>
      <c r="F82" s="196">
        <v>190.92565148279701</v>
      </c>
      <c r="G82" s="196">
        <v>58.561790064820002</v>
      </c>
      <c r="H82" s="196">
        <v>46.0477551606836</v>
      </c>
      <c r="I82" s="196">
        <v>0.29883333333333001</v>
      </c>
      <c r="J82" s="196">
        <v>321.905185066667</v>
      </c>
      <c r="K82" s="196">
        <v>2588.0109281093401</v>
      </c>
      <c r="L82" s="196">
        <v>275.66611012048901</v>
      </c>
      <c r="M82" s="196">
        <v>28.617818683371599</v>
      </c>
      <c r="N82" s="196">
        <v>33.499115789347798</v>
      </c>
      <c r="O82" s="196">
        <v>393.62624199999999</v>
      </c>
      <c r="P82" s="196">
        <v>201.41580329726099</v>
      </c>
      <c r="Q82" s="196">
        <v>1955.5166559163799</v>
      </c>
      <c r="R82" s="196">
        <v>102.84950866666701</v>
      </c>
      <c r="S82" s="196">
        <v>236.23619093120101</v>
      </c>
      <c r="T82" s="196">
        <v>699.44937333333303</v>
      </c>
      <c r="U82" s="196">
        <v>9.1901779332530005</v>
      </c>
      <c r="V82" s="196">
        <v>461.26391273354</v>
      </c>
      <c r="W82" s="196">
        <v>115.187327891195</v>
      </c>
      <c r="X82" s="196">
        <v>13.6149238144528</v>
      </c>
      <c r="Y82" s="196">
        <v>83.334533333333297</v>
      </c>
      <c r="Z82" s="196">
        <v>0</v>
      </c>
      <c r="AA82" s="196">
        <v>83.165021945455393</v>
      </c>
      <c r="AB82" s="196">
        <v>121.657909997</v>
      </c>
      <c r="AC82" s="196">
        <v>1412.12146059829</v>
      </c>
      <c r="AD82" s="196">
        <v>31.036835432405301</v>
      </c>
      <c r="AE82" s="196">
        <v>161.25294405797101</v>
      </c>
      <c r="AF82" s="196">
        <v>122.79239047102899</v>
      </c>
      <c r="AG82" s="196">
        <v>29.3700190644694</v>
      </c>
      <c r="AH82" s="196">
        <v>69.570103775333195</v>
      </c>
    </row>
    <row r="83" spans="1:34" x14ac:dyDescent="0.2">
      <c r="A83" s="191" t="s">
        <v>127</v>
      </c>
      <c r="B83" s="191" t="s">
        <v>126</v>
      </c>
      <c r="C83" s="191">
        <v>2005</v>
      </c>
      <c r="D83" s="191" t="s">
        <v>109</v>
      </c>
      <c r="E83" s="196">
        <v>7181.2266158734901</v>
      </c>
      <c r="F83" s="196">
        <v>9878.1315677193106</v>
      </c>
      <c r="G83" s="196">
        <v>4982.7873879746503</v>
      </c>
      <c r="H83" s="196">
        <v>6075.7397634946701</v>
      </c>
      <c r="I83" s="196">
        <v>525.08489687534905</v>
      </c>
      <c r="J83" s="196">
        <v>7814.7575675056796</v>
      </c>
      <c r="K83" s="196">
        <v>59623.259160878297</v>
      </c>
      <c r="L83" s="196">
        <v>12532.358452472699</v>
      </c>
      <c r="M83" s="196">
        <v>1212.0602314903999</v>
      </c>
      <c r="N83" s="196">
        <v>9337.31675886429</v>
      </c>
      <c r="O83" s="196">
        <v>35896.951937819998</v>
      </c>
      <c r="P83" s="196">
        <v>6312.52763678477</v>
      </c>
      <c r="Q83" s="196">
        <v>73740.603161227205</v>
      </c>
      <c r="R83" s="196">
        <v>3361.8255647020001</v>
      </c>
      <c r="S83" s="196">
        <v>6081.85319405682</v>
      </c>
      <c r="T83" s="196">
        <v>20487.522144994899</v>
      </c>
      <c r="U83" s="196">
        <v>610.78114923182102</v>
      </c>
      <c r="V83" s="196">
        <v>34628.610004496702</v>
      </c>
      <c r="W83" s="196">
        <v>4129.7442405312204</v>
      </c>
      <c r="X83" s="196">
        <v>629.91793671690505</v>
      </c>
      <c r="Y83" s="196">
        <v>1790.83673968469</v>
      </c>
      <c r="Z83" s="196">
        <v>91.464534610760793</v>
      </c>
      <c r="AA83" s="196">
        <v>18253.9100978729</v>
      </c>
      <c r="AB83" s="196">
        <v>4696.6541432632002</v>
      </c>
      <c r="AC83" s="196">
        <v>31659.423380234199</v>
      </c>
      <c r="AD83" s="196">
        <v>6929.2646761975602</v>
      </c>
      <c r="AE83" s="196">
        <v>21110.518861624601</v>
      </c>
      <c r="AF83" s="196">
        <v>6929.9780647861999</v>
      </c>
      <c r="AG83" s="196">
        <v>1798.7348016163601</v>
      </c>
      <c r="AH83" s="196">
        <v>2720.8754832620598</v>
      </c>
    </row>
    <row r="84" spans="1:34" x14ac:dyDescent="0.2">
      <c r="A84" s="191" t="s">
        <v>127</v>
      </c>
      <c r="B84" s="191" t="s">
        <v>126</v>
      </c>
      <c r="C84" s="191">
        <v>2010</v>
      </c>
      <c r="D84" s="191" t="s">
        <v>109</v>
      </c>
      <c r="E84" s="196">
        <v>7188.1765623253896</v>
      </c>
      <c r="F84" s="196">
        <v>9716.8660544189897</v>
      </c>
      <c r="G84" s="196">
        <v>5190.9982941486396</v>
      </c>
      <c r="H84" s="196">
        <v>6182.7069373385903</v>
      </c>
      <c r="I84" s="196">
        <v>514.43153443394601</v>
      </c>
      <c r="J84" s="196">
        <v>7146.9239648799903</v>
      </c>
      <c r="K84" s="196">
        <v>59355.483889770199</v>
      </c>
      <c r="L84" s="196">
        <v>12183.851450570401</v>
      </c>
      <c r="M84" s="196">
        <v>1302.22810272472</v>
      </c>
      <c r="N84" s="196">
        <v>9198.6948640439095</v>
      </c>
      <c r="O84" s="196">
        <v>33208.196999255997</v>
      </c>
      <c r="P84" s="196">
        <v>6421.4352066024503</v>
      </c>
      <c r="Q84" s="196">
        <v>72289.006651718693</v>
      </c>
      <c r="R84" s="196">
        <v>3135.0436187057999</v>
      </c>
      <c r="S84" s="196">
        <v>5604.1948807774497</v>
      </c>
      <c r="T84" s="196">
        <v>19427.950931649801</v>
      </c>
      <c r="U84" s="196">
        <v>646.36999036938403</v>
      </c>
      <c r="V84" s="196">
        <v>32224.528595726999</v>
      </c>
      <c r="W84" s="196">
        <v>4191.1973792426197</v>
      </c>
      <c r="X84" s="196">
        <v>662.09310019567499</v>
      </c>
      <c r="Y84" s="196">
        <v>1870.0663858421699</v>
      </c>
      <c r="Z84" s="196">
        <v>85.0505611204307</v>
      </c>
      <c r="AA84" s="196">
        <v>18221.5549719029</v>
      </c>
      <c r="AB84" s="196">
        <v>4494.2678071704004</v>
      </c>
      <c r="AC84" s="196">
        <v>31659.657494501502</v>
      </c>
      <c r="AD84" s="196">
        <v>6814.2555301364901</v>
      </c>
      <c r="AE84" s="196">
        <v>17943.594779724201</v>
      </c>
      <c r="AF84" s="196">
        <v>6736.4274217557904</v>
      </c>
      <c r="AG84" s="196">
        <v>1758.2892057669001</v>
      </c>
      <c r="AH84" s="196">
        <v>2581.7515334720401</v>
      </c>
    </row>
    <row r="85" spans="1:34" x14ac:dyDescent="0.2">
      <c r="A85" s="191" t="s">
        <v>127</v>
      </c>
      <c r="B85" s="191" t="s">
        <v>126</v>
      </c>
      <c r="C85" s="191">
        <v>2015</v>
      </c>
      <c r="D85" s="191" t="s">
        <v>109</v>
      </c>
      <c r="E85" s="196">
        <v>7375.9956564985096</v>
      </c>
      <c r="F85" s="196">
        <v>9715.1845333469992</v>
      </c>
      <c r="G85" s="196">
        <v>5890.9406508258098</v>
      </c>
      <c r="H85" s="196">
        <v>6112.7248845444801</v>
      </c>
      <c r="I85" s="196">
        <v>441.51960209961101</v>
      </c>
      <c r="J85" s="196">
        <v>8164.49615839939</v>
      </c>
      <c r="K85" s="196">
        <v>61967.227088378997</v>
      </c>
      <c r="L85" s="196">
        <v>12126.957501618301</v>
      </c>
      <c r="M85" s="196">
        <v>1459.90750350555</v>
      </c>
      <c r="N85" s="196">
        <v>8165.96140483414</v>
      </c>
      <c r="O85" s="196">
        <v>33236.246041801001</v>
      </c>
      <c r="P85" s="196">
        <v>6392.5011516795203</v>
      </c>
      <c r="Q85" s="196">
        <v>72460.4098332258</v>
      </c>
      <c r="R85" s="196">
        <v>2787.20039765711</v>
      </c>
      <c r="S85" s="196">
        <v>6654.0216838049</v>
      </c>
      <c r="T85" s="196">
        <v>20620.342816533499</v>
      </c>
      <c r="U85" s="196">
        <v>659.22725948319999</v>
      </c>
      <c r="V85" s="196">
        <v>32101.6667244612</v>
      </c>
      <c r="W85" s="196">
        <v>4537.6367688702703</v>
      </c>
      <c r="X85" s="196">
        <v>672.48646351973002</v>
      </c>
      <c r="Y85" s="196">
        <v>2151.4654945819002</v>
      </c>
      <c r="Z85" s="196">
        <v>84.660018224933097</v>
      </c>
      <c r="AA85" s="196">
        <v>18998.123378570599</v>
      </c>
      <c r="AB85" s="196">
        <v>4662.1868012478999</v>
      </c>
      <c r="AC85" s="196">
        <v>31705.476799472501</v>
      </c>
      <c r="AD85" s="196">
        <v>6911.3571991804902</v>
      </c>
      <c r="AE85" s="196">
        <v>18925.015226110299</v>
      </c>
      <c r="AF85" s="196">
        <v>6767.4951243997502</v>
      </c>
      <c r="AG85" s="196">
        <v>1799.50208943403</v>
      </c>
      <c r="AH85" s="196">
        <v>2516.8684437566699</v>
      </c>
    </row>
    <row r="86" spans="1:34" x14ac:dyDescent="0.2">
      <c r="A86" s="191" t="s">
        <v>127</v>
      </c>
      <c r="B86" s="191" t="s">
        <v>126</v>
      </c>
      <c r="C86" s="191">
        <v>2019</v>
      </c>
      <c r="D86" s="191" t="s">
        <v>109</v>
      </c>
      <c r="E86" s="196">
        <v>7221.2124079707601</v>
      </c>
      <c r="F86" s="196">
        <v>9559.9212815159408</v>
      </c>
      <c r="G86" s="196">
        <v>6004.0438968734697</v>
      </c>
      <c r="H86" s="196">
        <v>5895.43914517537</v>
      </c>
      <c r="I86" s="196">
        <v>495.456224254326</v>
      </c>
      <c r="J86" s="196">
        <v>7933.4379299801603</v>
      </c>
      <c r="K86" s="196">
        <v>58525.007093607899</v>
      </c>
      <c r="L86" s="196">
        <v>12175.7098758434</v>
      </c>
      <c r="M86" s="196">
        <v>1559.5544180992199</v>
      </c>
      <c r="N86" s="196">
        <v>8100.5293745907902</v>
      </c>
      <c r="O86" s="196">
        <v>33898.356661054997</v>
      </c>
      <c r="P86" s="196">
        <v>6445.8717802336296</v>
      </c>
      <c r="Q86" s="196">
        <v>69150.183533340998</v>
      </c>
      <c r="R86" s="196">
        <v>2721.2354660846099</v>
      </c>
      <c r="S86" s="196">
        <v>6989.3297508923597</v>
      </c>
      <c r="T86" s="196">
        <v>21789.780503166501</v>
      </c>
      <c r="U86" s="196">
        <v>621.46596325214603</v>
      </c>
      <c r="V86" s="196">
        <v>32190.290430789399</v>
      </c>
      <c r="W86" s="196">
        <v>4286.9687393455897</v>
      </c>
      <c r="X86" s="196">
        <v>690.86540045495701</v>
      </c>
      <c r="Y86" s="196">
        <v>2198.3568462467902</v>
      </c>
      <c r="Z86" s="196">
        <v>86.412652489514201</v>
      </c>
      <c r="AA86" s="196">
        <v>18446.616534999699</v>
      </c>
      <c r="AB86" s="196">
        <v>4630.8660995079999</v>
      </c>
      <c r="AC86" s="196">
        <v>32595.156292322401</v>
      </c>
      <c r="AD86" s="196">
        <v>7248.6154101491002</v>
      </c>
      <c r="AE86" s="196">
        <v>19243.101085324299</v>
      </c>
      <c r="AF86" s="196">
        <v>6698.80903874449</v>
      </c>
      <c r="AG86" s="196">
        <v>1807.85042076581</v>
      </c>
      <c r="AH86" s="196">
        <v>2529.0149553115202</v>
      </c>
    </row>
    <row r="87" spans="1:34" x14ac:dyDescent="0.2">
      <c r="A87" s="191" t="s">
        <v>127</v>
      </c>
      <c r="B87" s="191" t="s">
        <v>126</v>
      </c>
      <c r="C87" s="191">
        <v>2021</v>
      </c>
      <c r="D87" s="191" t="s">
        <v>109</v>
      </c>
      <c r="E87" s="196">
        <v>7221.1634231927501</v>
      </c>
      <c r="F87" s="196">
        <v>9414.1865437005108</v>
      </c>
      <c r="G87" s="196">
        <v>6106.3394569693801</v>
      </c>
      <c r="H87" s="196">
        <v>5897.7274722843704</v>
      </c>
      <c r="I87" s="196">
        <v>557.25201466850694</v>
      </c>
      <c r="J87" s="196">
        <v>7844.5428901711202</v>
      </c>
      <c r="K87" s="196">
        <v>56332.889330890503</v>
      </c>
      <c r="L87" s="196">
        <v>12171.548359652401</v>
      </c>
      <c r="M87" s="196">
        <v>1583.9397614263701</v>
      </c>
      <c r="N87" s="196">
        <v>8045.9879002204698</v>
      </c>
      <c r="O87" s="196">
        <v>34369.391345313998</v>
      </c>
      <c r="P87" s="196">
        <v>6303.1074690752503</v>
      </c>
      <c r="Q87" s="196">
        <v>66529.3052484933</v>
      </c>
      <c r="R87" s="196">
        <v>2700.9384785532602</v>
      </c>
      <c r="S87" s="196">
        <v>7201.9764925866803</v>
      </c>
      <c r="T87" s="196">
        <v>22953.527307646698</v>
      </c>
      <c r="U87" s="196">
        <v>620.07141185305898</v>
      </c>
      <c r="V87" s="196">
        <v>32717.215446988801</v>
      </c>
      <c r="W87" s="196">
        <v>4327.7173719518496</v>
      </c>
      <c r="X87" s="196">
        <v>697.34611066327398</v>
      </c>
      <c r="Y87" s="196">
        <v>2252.95600614464</v>
      </c>
      <c r="Z87" s="196">
        <v>87.708772813800095</v>
      </c>
      <c r="AA87" s="196">
        <v>17974.704875446401</v>
      </c>
      <c r="AB87" s="196">
        <v>4701.7061075129996</v>
      </c>
      <c r="AC87" s="196">
        <v>34035.2602113826</v>
      </c>
      <c r="AD87" s="196">
        <v>7258.1809604119899</v>
      </c>
      <c r="AE87" s="196">
        <v>19169.303970744601</v>
      </c>
      <c r="AF87" s="196">
        <v>6673.5943093298101</v>
      </c>
      <c r="AG87" s="196">
        <v>1813.4704783226</v>
      </c>
      <c r="AH87" s="196">
        <v>2430.5695404358798</v>
      </c>
    </row>
    <row r="88" spans="1:34" x14ac:dyDescent="0.2">
      <c r="A88" s="191" t="s">
        <v>127</v>
      </c>
      <c r="B88" s="191" t="s">
        <v>126</v>
      </c>
      <c r="C88" s="191">
        <v>2005</v>
      </c>
      <c r="D88" s="191" t="s">
        <v>108</v>
      </c>
      <c r="E88" s="196">
        <v>7085.6837511644899</v>
      </c>
      <c r="F88" s="196">
        <v>9708.9522564719791</v>
      </c>
      <c r="G88" s="196">
        <v>4940.9863674722801</v>
      </c>
      <c r="H88" s="196">
        <v>6033.58147459055</v>
      </c>
      <c r="I88" s="196">
        <v>524.11839687534905</v>
      </c>
      <c r="J88" s="196">
        <v>7601.1566349163104</v>
      </c>
      <c r="K88" s="196">
        <v>57245.724683052897</v>
      </c>
      <c r="L88" s="196">
        <v>12310.783527024299</v>
      </c>
      <c r="M88" s="196">
        <v>1203.4317586191501</v>
      </c>
      <c r="N88" s="196">
        <v>9305.4020921976207</v>
      </c>
      <c r="O88" s="196">
        <v>35361.300719819999</v>
      </c>
      <c r="P88" s="196">
        <v>6021.5317898912899</v>
      </c>
      <c r="Q88" s="196">
        <v>71769.277432927396</v>
      </c>
      <c r="R88" s="196">
        <v>3276.3641876577399</v>
      </c>
      <c r="S88" s="196">
        <v>5939.5913519657597</v>
      </c>
      <c r="T88" s="196">
        <v>20159.9738249949</v>
      </c>
      <c r="U88" s="196">
        <v>604.56019457602099</v>
      </c>
      <c r="V88" s="196">
        <v>34064.866773174501</v>
      </c>
      <c r="W88" s="196">
        <v>4077.8695872045901</v>
      </c>
      <c r="X88" s="196">
        <v>621.08709839797302</v>
      </c>
      <c r="Y88" s="196">
        <v>1787.8986396846899</v>
      </c>
      <c r="Z88" s="196">
        <v>91.464534610760793</v>
      </c>
      <c r="AA88" s="196">
        <v>18170.887940840399</v>
      </c>
      <c r="AB88" s="196">
        <v>4587.3747165964996</v>
      </c>
      <c r="AC88" s="196">
        <v>30068.074449549498</v>
      </c>
      <c r="AD88" s="196">
        <v>6890.9340327047003</v>
      </c>
      <c r="AE88" s="196">
        <v>20971.977938384</v>
      </c>
      <c r="AF88" s="196">
        <v>6813.4766502934399</v>
      </c>
      <c r="AG88" s="196">
        <v>1769.6675340096899</v>
      </c>
      <c r="AH88" s="196">
        <v>2691.2852657734502</v>
      </c>
    </row>
    <row r="89" spans="1:34" x14ac:dyDescent="0.2">
      <c r="A89" s="191" t="s">
        <v>127</v>
      </c>
      <c r="B89" s="191" t="s">
        <v>126</v>
      </c>
      <c r="C89" s="191">
        <v>2010</v>
      </c>
      <c r="D89" s="191" t="s">
        <v>108</v>
      </c>
      <c r="E89" s="196">
        <v>7075.8269074316304</v>
      </c>
      <c r="F89" s="196">
        <v>9539.3167820252402</v>
      </c>
      <c r="G89" s="196">
        <v>5149.7546753953102</v>
      </c>
      <c r="H89" s="196">
        <v>6138.26949721439</v>
      </c>
      <c r="I89" s="196">
        <v>513.69383443394599</v>
      </c>
      <c r="J89" s="196">
        <v>6921.5275946258898</v>
      </c>
      <c r="K89" s="196">
        <v>56838.492899893601</v>
      </c>
      <c r="L89" s="196">
        <v>12027.991783003799</v>
      </c>
      <c r="M89" s="196">
        <v>1292.8545255009401</v>
      </c>
      <c r="N89" s="196">
        <v>9168.3474354724804</v>
      </c>
      <c r="O89" s="196">
        <v>32599.411489255999</v>
      </c>
      <c r="P89" s="196">
        <v>6142.4492576420898</v>
      </c>
      <c r="Q89" s="196">
        <v>70379.0784238372</v>
      </c>
      <c r="R89" s="196">
        <v>3047.0063347499299</v>
      </c>
      <c r="S89" s="196">
        <v>5498.3753197302403</v>
      </c>
      <c r="T89" s="196">
        <v>18901.773851649799</v>
      </c>
      <c r="U89" s="196">
        <v>642.14660689961204</v>
      </c>
      <c r="V89" s="196">
        <v>31843.469020597298</v>
      </c>
      <c r="W89" s="196">
        <v>4153.2632505909096</v>
      </c>
      <c r="X89" s="196">
        <v>654.09474284138798</v>
      </c>
      <c r="Y89" s="196">
        <v>1864.09228584217</v>
      </c>
      <c r="Z89" s="196">
        <v>85.0505611204307</v>
      </c>
      <c r="AA89" s="196">
        <v>18129.519782849799</v>
      </c>
      <c r="AB89" s="196">
        <v>4415.9356705036998</v>
      </c>
      <c r="AC89" s="196">
        <v>30538.4708278375</v>
      </c>
      <c r="AD89" s="196">
        <v>6767.3310828915601</v>
      </c>
      <c r="AE89" s="196">
        <v>17836.378570385099</v>
      </c>
      <c r="AF89" s="196">
        <v>6612.6273000166602</v>
      </c>
      <c r="AG89" s="196">
        <v>1730.4546556278999</v>
      </c>
      <c r="AH89" s="196">
        <v>2542.5817660715902</v>
      </c>
    </row>
    <row r="90" spans="1:34" x14ac:dyDescent="0.2">
      <c r="A90" s="191" t="s">
        <v>127</v>
      </c>
      <c r="B90" s="191" t="s">
        <v>126</v>
      </c>
      <c r="C90" s="191">
        <v>2015</v>
      </c>
      <c r="D90" s="191" t="s">
        <v>108</v>
      </c>
      <c r="E90" s="196">
        <v>7230.5104559085203</v>
      </c>
      <c r="F90" s="196">
        <v>9522.0182283309096</v>
      </c>
      <c r="G90" s="196">
        <v>5835.0685860746999</v>
      </c>
      <c r="H90" s="196">
        <v>6068.0361302275196</v>
      </c>
      <c r="I90" s="196">
        <v>441.12140209961098</v>
      </c>
      <c r="J90" s="196">
        <v>7725.7511672003602</v>
      </c>
      <c r="K90" s="196">
        <v>59039.270470925803</v>
      </c>
      <c r="L90" s="196">
        <v>11950.904150620199</v>
      </c>
      <c r="M90" s="196">
        <v>1450.83720831351</v>
      </c>
      <c r="N90" s="196">
        <v>8142.5477225484201</v>
      </c>
      <c r="O90" s="196">
        <v>32610.998414801001</v>
      </c>
      <c r="P90" s="196">
        <v>6225.7859392012097</v>
      </c>
      <c r="Q90" s="196">
        <v>70343.266362086099</v>
      </c>
      <c r="R90" s="196">
        <v>2717.86069941083</v>
      </c>
      <c r="S90" s="196">
        <v>6451.1883863582698</v>
      </c>
      <c r="T90" s="196">
        <v>20154.930469866798</v>
      </c>
      <c r="U90" s="196">
        <v>653.881646349383</v>
      </c>
      <c r="V90" s="196">
        <v>31643.370713627501</v>
      </c>
      <c r="W90" s="196">
        <v>4476.1289819413596</v>
      </c>
      <c r="X90" s="196">
        <v>661.30334017879602</v>
      </c>
      <c r="Y90" s="196">
        <v>2125.3178345819001</v>
      </c>
      <c r="Z90" s="196">
        <v>84.660018224933097</v>
      </c>
      <c r="AA90" s="196">
        <v>18863.474330950201</v>
      </c>
      <c r="AB90" s="196">
        <v>4572.2942842512002</v>
      </c>
      <c r="AC90" s="196">
        <v>30596.501553161201</v>
      </c>
      <c r="AD90" s="196">
        <v>6846.2197095762303</v>
      </c>
      <c r="AE90" s="196">
        <v>18830.672503356702</v>
      </c>
      <c r="AF90" s="196">
        <v>6643.0126200519298</v>
      </c>
      <c r="AG90" s="196">
        <v>1775.2373865540301</v>
      </c>
      <c r="AH90" s="196">
        <v>2443.5357098447098</v>
      </c>
    </row>
    <row r="91" spans="1:34" x14ac:dyDescent="0.2">
      <c r="A91" s="191" t="s">
        <v>127</v>
      </c>
      <c r="B91" s="191" t="s">
        <v>126</v>
      </c>
      <c r="C91" s="191">
        <v>2019</v>
      </c>
      <c r="D91" s="191" t="s">
        <v>108</v>
      </c>
      <c r="E91" s="196">
        <v>7070.4359791171401</v>
      </c>
      <c r="F91" s="196">
        <v>9367.6977015690609</v>
      </c>
      <c r="G91" s="196">
        <v>5946.4878097310002</v>
      </c>
      <c r="H91" s="196">
        <v>5850.0490003504301</v>
      </c>
      <c r="I91" s="196">
        <v>495.230357587659</v>
      </c>
      <c r="J91" s="196">
        <v>7591.50530928016</v>
      </c>
      <c r="K91" s="196">
        <v>55794.203516196998</v>
      </c>
      <c r="L91" s="196">
        <v>11990.997030562399</v>
      </c>
      <c r="M91" s="196">
        <v>1543.95781274918</v>
      </c>
      <c r="N91" s="196">
        <v>8065.7285378955803</v>
      </c>
      <c r="O91" s="196">
        <v>33338.801577054997</v>
      </c>
      <c r="P91" s="196">
        <v>6255.5403067084699</v>
      </c>
      <c r="Q91" s="196">
        <v>67121.583889304093</v>
      </c>
      <c r="R91" s="196">
        <v>2645.5756334846101</v>
      </c>
      <c r="S91" s="196">
        <v>6772.4963610411396</v>
      </c>
      <c r="T91" s="196">
        <v>21353.897492233202</v>
      </c>
      <c r="U91" s="196">
        <v>611.121106288433</v>
      </c>
      <c r="V91" s="196">
        <v>31760.709277149701</v>
      </c>
      <c r="W91" s="196">
        <v>4219.4690182095201</v>
      </c>
      <c r="X91" s="196">
        <v>676.59728956507399</v>
      </c>
      <c r="Y91" s="196">
        <v>2143.4866462467899</v>
      </c>
      <c r="Z91" s="196">
        <v>86.412652489514201</v>
      </c>
      <c r="AA91" s="196">
        <v>18361.454684125099</v>
      </c>
      <c r="AB91" s="196">
        <v>4516.4604711709999</v>
      </c>
      <c r="AC91" s="196">
        <v>31472.487961789499</v>
      </c>
      <c r="AD91" s="196">
        <v>7207.1342285404598</v>
      </c>
      <c r="AE91" s="196">
        <v>19114.518158164901</v>
      </c>
      <c r="AF91" s="196">
        <v>6575.9626338096896</v>
      </c>
      <c r="AG91" s="196">
        <v>1779.6681637691399</v>
      </c>
      <c r="AH91" s="196">
        <v>2460.7652993298698</v>
      </c>
    </row>
    <row r="92" spans="1:34" x14ac:dyDescent="0.2">
      <c r="A92" s="191" t="s">
        <v>127</v>
      </c>
      <c r="B92" s="191" t="s">
        <v>126</v>
      </c>
      <c r="C92" s="191">
        <v>2021</v>
      </c>
      <c r="D92" s="191" t="s">
        <v>108</v>
      </c>
      <c r="E92" s="196">
        <v>7071.8748805393097</v>
      </c>
      <c r="F92" s="196">
        <v>9223.2608922177205</v>
      </c>
      <c r="G92" s="196">
        <v>6047.7776669045597</v>
      </c>
      <c r="H92" s="196">
        <v>5851.6797171236904</v>
      </c>
      <c r="I92" s="196">
        <v>556.95318133517299</v>
      </c>
      <c r="J92" s="196">
        <v>7522.6377051044501</v>
      </c>
      <c r="K92" s="196">
        <v>53744.878402781098</v>
      </c>
      <c r="L92" s="196">
        <v>11895.8822495319</v>
      </c>
      <c r="M92" s="196">
        <v>1555.3219427429899</v>
      </c>
      <c r="N92" s="196">
        <v>8012.4887844311197</v>
      </c>
      <c r="O92" s="196">
        <v>33975.765103313999</v>
      </c>
      <c r="P92" s="196">
        <v>6101.6916657779902</v>
      </c>
      <c r="Q92" s="196">
        <v>64573.788592576901</v>
      </c>
      <c r="R92" s="196">
        <v>2598.0889698865899</v>
      </c>
      <c r="S92" s="196">
        <v>6965.7403016554799</v>
      </c>
      <c r="T92" s="196">
        <v>22254.077934313402</v>
      </c>
      <c r="U92" s="196">
        <v>610.88123391980605</v>
      </c>
      <c r="V92" s="196">
        <v>32255.951534255299</v>
      </c>
      <c r="W92" s="196">
        <v>4212.5300440606497</v>
      </c>
      <c r="X92" s="196">
        <v>683.73118684882104</v>
      </c>
      <c r="Y92" s="196">
        <v>2169.62147281131</v>
      </c>
      <c r="Z92" s="196">
        <v>87.708772813800095</v>
      </c>
      <c r="AA92" s="196">
        <v>17891.539853500901</v>
      </c>
      <c r="AB92" s="196">
        <v>4580.0481975160001</v>
      </c>
      <c r="AC92" s="196">
        <v>32623.138750784299</v>
      </c>
      <c r="AD92" s="196">
        <v>7227.1441249795898</v>
      </c>
      <c r="AE92" s="196">
        <v>19008.051026686699</v>
      </c>
      <c r="AF92" s="196">
        <v>6550.8019188587896</v>
      </c>
      <c r="AG92" s="196">
        <v>1784.1004592581301</v>
      </c>
      <c r="AH92" s="196">
        <v>2360.9994366605401</v>
      </c>
    </row>
    <row r="93" spans="1:34" x14ac:dyDescent="0.2">
      <c r="A93" s="191" t="s">
        <v>125</v>
      </c>
      <c r="B93" s="191" t="s">
        <v>124</v>
      </c>
      <c r="C93" s="191">
        <v>2005</v>
      </c>
      <c r="D93" s="191" t="s">
        <v>107</v>
      </c>
      <c r="E93" s="196">
        <v>12.4</v>
      </c>
      <c r="F93" s="196">
        <v>544.73376118700003</v>
      </c>
      <c r="G93" s="196">
        <v>54.826251942564099</v>
      </c>
      <c r="H93" s="196">
        <v>12.1640218</v>
      </c>
      <c r="I93" s="196">
        <v>0</v>
      </c>
      <c r="J93" s="196">
        <v>104.869344558055</v>
      </c>
      <c r="K93" s="196">
        <v>0</v>
      </c>
      <c r="L93" s="196">
        <v>24.6435555914614</v>
      </c>
      <c r="M93" s="196">
        <v>1.4571071586153499</v>
      </c>
      <c r="N93" s="196">
        <v>1.97534984533333</v>
      </c>
      <c r="O93" s="196">
        <v>0.84141200000000005</v>
      </c>
      <c r="P93" s="196">
        <v>0</v>
      </c>
      <c r="Q93" s="196">
        <v>1549.0704999426</v>
      </c>
      <c r="R93" s="196">
        <v>0.16204099999999999</v>
      </c>
      <c r="S93" s="196">
        <v>98.349633281666698</v>
      </c>
      <c r="T93" s="196">
        <v>128.49588098665799</v>
      </c>
      <c r="U93" s="196">
        <v>4.7916006255808696</v>
      </c>
      <c r="V93" s="196">
        <v>230.15254111054699</v>
      </c>
      <c r="W93" s="196">
        <v>3.6008010499999998</v>
      </c>
      <c r="X93" s="196">
        <v>0</v>
      </c>
      <c r="Y93" s="196">
        <v>0.44483130999999998</v>
      </c>
      <c r="Z93" s="196">
        <v>0.31560188</v>
      </c>
      <c r="AA93" s="196">
        <v>0</v>
      </c>
      <c r="AB93" s="196">
        <v>107.5363206</v>
      </c>
      <c r="AC93" s="196">
        <v>215.758793712</v>
      </c>
      <c r="AD93" s="196">
        <v>11.640724151139599</v>
      </c>
      <c r="AE93" s="196">
        <v>89.868042220000007</v>
      </c>
      <c r="AF93" s="196">
        <v>94.852665161210595</v>
      </c>
      <c r="AG93" s="196">
        <v>3.308774066417</v>
      </c>
      <c r="AH93" s="196">
        <v>10.454446572269701</v>
      </c>
    </row>
    <row r="94" spans="1:34" x14ac:dyDescent="0.2">
      <c r="A94" s="191" t="s">
        <v>125</v>
      </c>
      <c r="B94" s="191" t="s">
        <v>124</v>
      </c>
      <c r="C94" s="191">
        <v>2010</v>
      </c>
      <c r="D94" s="191" t="s">
        <v>107</v>
      </c>
      <c r="E94" s="196">
        <v>2.052</v>
      </c>
      <c r="F94" s="196">
        <v>681.51600752443505</v>
      </c>
      <c r="G94" s="196">
        <v>13.454380280000001</v>
      </c>
      <c r="H94" s="196">
        <v>10.986003</v>
      </c>
      <c r="I94" s="196">
        <v>0</v>
      </c>
      <c r="J94" s="196">
        <v>109.042835300714</v>
      </c>
      <c r="K94" s="196">
        <v>0</v>
      </c>
      <c r="L94" s="196">
        <v>26.193295916852701</v>
      </c>
      <c r="M94" s="196">
        <v>0.83800033288060005</v>
      </c>
      <c r="N94" s="196">
        <v>6.3556524729770496</v>
      </c>
      <c r="O94" s="196">
        <v>0</v>
      </c>
      <c r="P94" s="196">
        <v>0</v>
      </c>
      <c r="Q94" s="196">
        <v>1607.5249929121501</v>
      </c>
      <c r="R94" s="196">
        <v>4.7871999999999998E-2</v>
      </c>
      <c r="S94" s="196">
        <v>109.47658611533301</v>
      </c>
      <c r="T94" s="196">
        <v>61.015934692260998</v>
      </c>
      <c r="U94" s="196">
        <v>6.0738090799514</v>
      </c>
      <c r="V94" s="196">
        <v>177.2117607996</v>
      </c>
      <c r="W94" s="196">
        <v>1.463174075</v>
      </c>
      <c r="X94" s="196">
        <v>0</v>
      </c>
      <c r="Y94" s="196">
        <v>0.34130184000000002</v>
      </c>
      <c r="Z94" s="196">
        <v>0.52165380666667005</v>
      </c>
      <c r="AA94" s="196">
        <v>0</v>
      </c>
      <c r="AB94" s="196">
        <v>196.55819507538001</v>
      </c>
      <c r="AC94" s="196">
        <v>194.2854448722</v>
      </c>
      <c r="AD94" s="196">
        <v>16.499313079336599</v>
      </c>
      <c r="AE94" s="196">
        <v>3.58970042187405</v>
      </c>
      <c r="AF94" s="196">
        <v>100.229055727983</v>
      </c>
      <c r="AG94" s="196">
        <v>7.3282817511680003</v>
      </c>
      <c r="AH94" s="196">
        <v>5.1547547256333299</v>
      </c>
    </row>
    <row r="95" spans="1:34" x14ac:dyDescent="0.2">
      <c r="A95" s="191" t="s">
        <v>125</v>
      </c>
      <c r="B95" s="191" t="s">
        <v>124</v>
      </c>
      <c r="C95" s="191">
        <v>2015</v>
      </c>
      <c r="D95" s="191" t="s">
        <v>107</v>
      </c>
      <c r="E95" s="196">
        <v>2.052</v>
      </c>
      <c r="F95" s="196">
        <v>291.48872922932202</v>
      </c>
      <c r="G95" s="196">
        <v>10.101779049999999</v>
      </c>
      <c r="H95" s="196">
        <v>9.9449039999999993</v>
      </c>
      <c r="I95" s="196">
        <v>0</v>
      </c>
      <c r="J95" s="196">
        <v>96.9382763546717</v>
      </c>
      <c r="K95" s="196">
        <v>0</v>
      </c>
      <c r="L95" s="196">
        <v>24.935070741517698</v>
      </c>
      <c r="M95" s="196">
        <v>0.51246867880560998</v>
      </c>
      <c r="N95" s="196">
        <v>5.4814318533333299</v>
      </c>
      <c r="O95" s="196">
        <v>0</v>
      </c>
      <c r="P95" s="196">
        <v>0</v>
      </c>
      <c r="Q95" s="196">
        <v>1541.86253402135</v>
      </c>
      <c r="R95" s="196">
        <v>4.5578720000000003E-2</v>
      </c>
      <c r="S95" s="196">
        <v>27.326462258333301</v>
      </c>
      <c r="T95" s="196">
        <v>41.849098806649899</v>
      </c>
      <c r="U95" s="196">
        <v>6.9226738956702096</v>
      </c>
      <c r="V95" s="196">
        <v>98.721346590300001</v>
      </c>
      <c r="W95" s="196">
        <v>5.7214333000000002</v>
      </c>
      <c r="X95" s="196">
        <v>0</v>
      </c>
      <c r="Y95" s="196">
        <v>0.17950063999999999</v>
      </c>
      <c r="Z95" s="196">
        <v>0.57102297999999996</v>
      </c>
      <c r="AA95" s="196">
        <v>0</v>
      </c>
      <c r="AB95" s="196">
        <v>248.76416746134001</v>
      </c>
      <c r="AC95" s="196">
        <v>203.4986108562</v>
      </c>
      <c r="AD95" s="196">
        <v>24.173739152997101</v>
      </c>
      <c r="AE95" s="196">
        <v>2.0814530000000002</v>
      </c>
      <c r="AF95" s="196">
        <v>118.802665126996</v>
      </c>
      <c r="AG95" s="196">
        <v>27.315515473735001</v>
      </c>
      <c r="AH95" s="196">
        <v>5.07089206506667</v>
      </c>
    </row>
    <row r="96" spans="1:34" x14ac:dyDescent="0.2">
      <c r="A96" s="191" t="s">
        <v>125</v>
      </c>
      <c r="B96" s="191" t="s">
        <v>124</v>
      </c>
      <c r="C96" s="191">
        <v>2019</v>
      </c>
      <c r="D96" s="191" t="s">
        <v>107</v>
      </c>
      <c r="E96" s="196">
        <v>2.052</v>
      </c>
      <c r="F96" s="196">
        <v>280.76928178020199</v>
      </c>
      <c r="G96" s="196">
        <v>12.59824324</v>
      </c>
      <c r="H96" s="196">
        <v>9.0567229999999999</v>
      </c>
      <c r="I96" s="196">
        <v>0</v>
      </c>
      <c r="J96" s="196">
        <v>108.645702592837</v>
      </c>
      <c r="K96" s="196">
        <v>0</v>
      </c>
      <c r="L96" s="196">
        <v>26.467953168007199</v>
      </c>
      <c r="M96" s="196">
        <v>0.56504248550617997</v>
      </c>
      <c r="N96" s="196">
        <v>3.3603198346665799</v>
      </c>
      <c r="O96" s="196">
        <v>0</v>
      </c>
      <c r="P96" s="196">
        <v>0</v>
      </c>
      <c r="Q96" s="196">
        <v>1814.8941732383</v>
      </c>
      <c r="R96" s="196">
        <v>0</v>
      </c>
      <c r="S96" s="196">
        <v>30.697364591666702</v>
      </c>
      <c r="T96" s="196">
        <v>31.974186260019501</v>
      </c>
      <c r="U96" s="196">
        <v>9.11651196130979</v>
      </c>
      <c r="V96" s="196">
        <v>95.620476453899997</v>
      </c>
      <c r="W96" s="196">
        <v>1.6807131</v>
      </c>
      <c r="X96" s="196">
        <v>0</v>
      </c>
      <c r="Y96" s="196">
        <v>2.8926E-2</v>
      </c>
      <c r="Z96" s="196">
        <v>0.55433213000000003</v>
      </c>
      <c r="AA96" s="196">
        <v>0</v>
      </c>
      <c r="AB96" s="196">
        <v>225.18086246319999</v>
      </c>
      <c r="AC96" s="196">
        <v>259.96695057069002</v>
      </c>
      <c r="AD96" s="196">
        <v>27.4968420288806</v>
      </c>
      <c r="AE96" s="196">
        <v>6.5409959999999998</v>
      </c>
      <c r="AF96" s="196">
        <v>119.819</v>
      </c>
      <c r="AG96" s="196">
        <v>20.560807780333299</v>
      </c>
      <c r="AH96" s="196">
        <v>3.05155506186667</v>
      </c>
    </row>
    <row r="97" spans="1:34" x14ac:dyDescent="0.2">
      <c r="A97" s="191" t="s">
        <v>125</v>
      </c>
      <c r="B97" s="191" t="s">
        <v>124</v>
      </c>
      <c r="C97" s="191">
        <v>2021</v>
      </c>
      <c r="D97" s="191" t="s">
        <v>107</v>
      </c>
      <c r="E97" s="196">
        <v>2.052</v>
      </c>
      <c r="F97" s="196">
        <v>263.94620323999999</v>
      </c>
      <c r="G97" s="196">
        <v>5.7134208999999903</v>
      </c>
      <c r="H97" s="196">
        <v>8.6818457000000002</v>
      </c>
      <c r="I97" s="196">
        <v>0</v>
      </c>
      <c r="J97" s="196">
        <v>96.718823332476006</v>
      </c>
      <c r="K97" s="196">
        <v>0</v>
      </c>
      <c r="L97" s="196">
        <v>25.0825197971579</v>
      </c>
      <c r="M97" s="196">
        <v>0.60188824425604004</v>
      </c>
      <c r="N97" s="196">
        <v>3.31567126502337</v>
      </c>
      <c r="O97" s="196">
        <v>0</v>
      </c>
      <c r="P97" s="196">
        <v>0</v>
      </c>
      <c r="Q97" s="196">
        <v>1700.28288080896</v>
      </c>
      <c r="R97" s="196">
        <v>0</v>
      </c>
      <c r="S97" s="196">
        <v>24.701468183333301</v>
      </c>
      <c r="T97" s="196">
        <v>34.255455445564102</v>
      </c>
      <c r="U97" s="196">
        <v>6.6143158602799703</v>
      </c>
      <c r="V97" s="196">
        <v>85.7682786473611</v>
      </c>
      <c r="W97" s="196">
        <v>2.4482601000000002</v>
      </c>
      <c r="X97" s="196">
        <v>0</v>
      </c>
      <c r="Y97" s="196">
        <v>3.3000000000000002E-2</v>
      </c>
      <c r="Z97" s="196">
        <v>0.43837468400000001</v>
      </c>
      <c r="AA97" s="196">
        <v>0</v>
      </c>
      <c r="AB97" s="196">
        <v>172.58396132656</v>
      </c>
      <c r="AC97" s="196">
        <v>274.56096203085002</v>
      </c>
      <c r="AD97" s="196">
        <v>36.908168051341903</v>
      </c>
      <c r="AE97" s="196">
        <v>4.3532500000000001</v>
      </c>
      <c r="AF97" s="196">
        <v>127.49499891671</v>
      </c>
      <c r="AG97" s="196">
        <v>14.290702080794</v>
      </c>
      <c r="AH97" s="196">
        <v>1.6982333324000001</v>
      </c>
    </row>
    <row r="98" spans="1:34" x14ac:dyDescent="0.2">
      <c r="A98" s="191" t="s">
        <v>125</v>
      </c>
      <c r="B98" s="191" t="s">
        <v>124</v>
      </c>
      <c r="C98" s="191">
        <v>2005</v>
      </c>
      <c r="D98" s="191" t="s">
        <v>109</v>
      </c>
      <c r="E98" s="196">
        <v>3041.0788101774901</v>
      </c>
      <c r="F98" s="196">
        <v>3227.20725001545</v>
      </c>
      <c r="G98" s="196">
        <v>3882.3834372905399</v>
      </c>
      <c r="H98" s="196">
        <v>1687.3633679638799</v>
      </c>
      <c r="I98" s="196">
        <v>557.568522490536</v>
      </c>
      <c r="J98" s="196">
        <v>4362.3718285459499</v>
      </c>
      <c r="K98" s="196">
        <v>18453.67151022</v>
      </c>
      <c r="L98" s="196">
        <v>1196.5097548691001</v>
      </c>
      <c r="M98" s="196">
        <v>568.29251679677498</v>
      </c>
      <c r="N98" s="196">
        <v>5256.4220223706998</v>
      </c>
      <c r="O98" s="196">
        <v>15421.060218653</v>
      </c>
      <c r="P98" s="196">
        <v>3118.81898822842</v>
      </c>
      <c r="Q98" s="196">
        <v>23252.974289211001</v>
      </c>
      <c r="R98" s="196">
        <v>1494.8158669212401</v>
      </c>
      <c r="S98" s="196">
        <v>4657.0559649391198</v>
      </c>
      <c r="T98" s="196">
        <v>1442.3235218972</v>
      </c>
      <c r="U98" s="196">
        <v>339.756260099624</v>
      </c>
      <c r="V98" s="196">
        <v>24058.049161204399</v>
      </c>
      <c r="W98" s="196">
        <v>1633.0421875679699</v>
      </c>
      <c r="X98" s="196">
        <v>118.26993472103599</v>
      </c>
      <c r="Y98" s="196">
        <v>686.51075380916996</v>
      </c>
      <c r="Z98" s="196">
        <v>196.73443419956101</v>
      </c>
      <c r="AA98" s="196">
        <v>7634.1795176446103</v>
      </c>
      <c r="AB98" s="196">
        <v>2005.0516245536601</v>
      </c>
      <c r="AC98" s="196">
        <v>11000.171772167099</v>
      </c>
      <c r="AD98" s="196">
        <v>7226.4840329886601</v>
      </c>
      <c r="AE98" s="196">
        <v>6665.7081656604496</v>
      </c>
      <c r="AF98" s="196">
        <v>2974.0825152874099</v>
      </c>
      <c r="AG98" s="196">
        <v>849.29462879937398</v>
      </c>
      <c r="AH98" s="196">
        <v>1618.06395138074</v>
      </c>
    </row>
    <row r="99" spans="1:34" x14ac:dyDescent="0.2">
      <c r="A99" s="191" t="s">
        <v>125</v>
      </c>
      <c r="B99" s="191" t="s">
        <v>124</v>
      </c>
      <c r="C99" s="191">
        <v>2010</v>
      </c>
      <c r="D99" s="191" t="s">
        <v>109</v>
      </c>
      <c r="E99" s="196">
        <v>2289.3474480839</v>
      </c>
      <c r="F99" s="196">
        <v>2642.8637212520598</v>
      </c>
      <c r="G99" s="196">
        <v>3732.3167288271102</v>
      </c>
      <c r="H99" s="196">
        <v>1484.46022001494</v>
      </c>
      <c r="I99" s="196">
        <v>583.921260547207</v>
      </c>
      <c r="J99" s="196">
        <v>4922.2453675038996</v>
      </c>
      <c r="K99" s="196">
        <v>10853.394831359999</v>
      </c>
      <c r="L99" s="196">
        <v>1078.63349995361</v>
      </c>
      <c r="M99" s="196">
        <v>535.97976264387103</v>
      </c>
      <c r="N99" s="196">
        <v>5266.2712510388901</v>
      </c>
      <c r="O99" s="196">
        <v>16740.206141294799</v>
      </c>
      <c r="P99" s="196">
        <v>2836.9738166335201</v>
      </c>
      <c r="Q99" s="196">
        <v>22665.2702086975</v>
      </c>
      <c r="R99" s="196">
        <v>1862.7605354709201</v>
      </c>
      <c r="S99" s="196">
        <v>4547.8536464321196</v>
      </c>
      <c r="T99" s="196">
        <v>564.23841869714204</v>
      </c>
      <c r="U99" s="196">
        <v>334.48759101158998</v>
      </c>
      <c r="V99" s="196">
        <v>22377.110947868099</v>
      </c>
      <c r="W99" s="196">
        <v>1410.68192750721</v>
      </c>
      <c r="X99" s="196">
        <v>110.42333453747101</v>
      </c>
      <c r="Y99" s="196">
        <v>713.53535764107198</v>
      </c>
      <c r="Z99" s="196">
        <v>123.814380287803</v>
      </c>
      <c r="AA99" s="196">
        <v>5705.7911260064302</v>
      </c>
      <c r="AB99" s="196">
        <v>2025.81417355647</v>
      </c>
      <c r="AC99" s="196">
        <v>8275.6327872405309</v>
      </c>
      <c r="AD99" s="196">
        <v>6478.1500290285103</v>
      </c>
      <c r="AE99" s="196">
        <v>6536.8978618216297</v>
      </c>
      <c r="AF99" s="196">
        <v>2134.5940662111998</v>
      </c>
      <c r="AG99" s="196">
        <v>599.13116975703099</v>
      </c>
      <c r="AH99" s="196">
        <v>1743.06610676215</v>
      </c>
    </row>
    <row r="100" spans="1:34" x14ac:dyDescent="0.2">
      <c r="A100" s="191" t="s">
        <v>125</v>
      </c>
      <c r="B100" s="191" t="s">
        <v>124</v>
      </c>
      <c r="C100" s="191">
        <v>2015</v>
      </c>
      <c r="D100" s="191" t="s">
        <v>109</v>
      </c>
      <c r="E100" s="196">
        <v>1644.7422999002799</v>
      </c>
      <c r="F100" s="196">
        <v>1702.4835918152401</v>
      </c>
      <c r="G100" s="196">
        <v>3552.20516879258</v>
      </c>
      <c r="H100" s="196">
        <v>1338.4641355244401</v>
      </c>
      <c r="I100" s="196">
        <v>624.80689407308</v>
      </c>
      <c r="J100" s="196">
        <v>5512.0805354384902</v>
      </c>
      <c r="K100" s="196">
        <v>7175.1394739099997</v>
      </c>
      <c r="L100" s="196">
        <v>1074.7443593558601</v>
      </c>
      <c r="M100" s="196">
        <v>367.56156607238398</v>
      </c>
      <c r="N100" s="196">
        <v>4912.9318958267404</v>
      </c>
      <c r="O100" s="196">
        <v>16229.896481154001</v>
      </c>
      <c r="P100" s="196">
        <v>2310.7337343180002</v>
      </c>
      <c r="Q100" s="196">
        <v>18145.123529538101</v>
      </c>
      <c r="R100" s="196">
        <v>1977.83245360197</v>
      </c>
      <c r="S100" s="196">
        <v>3944.2260011486601</v>
      </c>
      <c r="T100" s="196">
        <v>1042.05337459458</v>
      </c>
      <c r="U100" s="196">
        <v>289.48694753998302</v>
      </c>
      <c r="V100" s="196">
        <v>20340.0648234289</v>
      </c>
      <c r="W100" s="196">
        <v>1149.78348458038</v>
      </c>
      <c r="X100" s="196">
        <v>101.942091801022</v>
      </c>
      <c r="Y100" s="196">
        <v>616.73272180409595</v>
      </c>
      <c r="Z100" s="196">
        <v>149.76978710723199</v>
      </c>
      <c r="AA100" s="196">
        <v>4418.9849608673603</v>
      </c>
      <c r="AB100" s="196">
        <v>1852.5253496445</v>
      </c>
      <c r="AC100" s="196">
        <v>5608.2339828726499</v>
      </c>
      <c r="AD100" s="196">
        <v>5489.5705108555203</v>
      </c>
      <c r="AE100" s="196">
        <v>6474.37591328285</v>
      </c>
      <c r="AF100" s="196">
        <v>1493.6989151683699</v>
      </c>
      <c r="AG100" s="196">
        <v>542.48817407652496</v>
      </c>
      <c r="AH100" s="196">
        <v>1902.3806739808799</v>
      </c>
    </row>
    <row r="101" spans="1:34" x14ac:dyDescent="0.2">
      <c r="A101" s="191" t="s">
        <v>125</v>
      </c>
      <c r="B101" s="191" t="s">
        <v>124</v>
      </c>
      <c r="C101" s="191">
        <v>2019</v>
      </c>
      <c r="D101" s="191" t="s">
        <v>109</v>
      </c>
      <c r="E101" s="196">
        <v>1315.41613511014</v>
      </c>
      <c r="F101" s="196">
        <v>1425.31151407425</v>
      </c>
      <c r="G101" s="196">
        <v>2997.54674208407</v>
      </c>
      <c r="H101" s="196">
        <v>1199.32811773873</v>
      </c>
      <c r="I101" s="196">
        <v>656.42427030725696</v>
      </c>
      <c r="J101" s="196">
        <v>5669.2735509898203</v>
      </c>
      <c r="K101" s="196">
        <v>5376.5933807299998</v>
      </c>
      <c r="L101" s="196">
        <v>1165.2656789405601</v>
      </c>
      <c r="M101" s="196">
        <v>328.50861743806098</v>
      </c>
      <c r="N101" s="196">
        <v>5380.3256690196004</v>
      </c>
      <c r="O101" s="196">
        <v>14731.053948652399</v>
      </c>
      <c r="P101" s="196">
        <v>1977.814168636</v>
      </c>
      <c r="Q101" s="196">
        <v>19318.466608251099</v>
      </c>
      <c r="R101" s="196">
        <v>1985.6277417465801</v>
      </c>
      <c r="S101" s="196">
        <v>3788.0325915132198</v>
      </c>
      <c r="T101" s="196">
        <v>975.668861016454</v>
      </c>
      <c r="U101" s="196">
        <v>241.110699960289</v>
      </c>
      <c r="V101" s="196">
        <v>19656.998847802901</v>
      </c>
      <c r="W101" s="196">
        <v>958.36086352890698</v>
      </c>
      <c r="X101" s="196">
        <v>92.980836934734199</v>
      </c>
      <c r="Y101" s="196">
        <v>575.75756013185901</v>
      </c>
      <c r="Z101" s="196">
        <v>184.35391784826501</v>
      </c>
      <c r="AA101" s="196">
        <v>3805.7262100620701</v>
      </c>
      <c r="AB101" s="196">
        <v>1572.5306435401301</v>
      </c>
      <c r="AC101" s="196">
        <v>5182.1222495530001</v>
      </c>
      <c r="AD101" s="196">
        <v>5222.4264728868602</v>
      </c>
      <c r="AE101" s="196">
        <v>6555.0226150047702</v>
      </c>
      <c r="AF101" s="196">
        <v>1146.6451418873601</v>
      </c>
      <c r="AG101" s="196">
        <v>474.04217659517599</v>
      </c>
      <c r="AH101" s="196">
        <v>1877.5851973894</v>
      </c>
    </row>
    <row r="102" spans="1:34" x14ac:dyDescent="0.2">
      <c r="A102" s="191" t="s">
        <v>125</v>
      </c>
      <c r="B102" s="191" t="s">
        <v>124</v>
      </c>
      <c r="C102" s="191">
        <v>2021</v>
      </c>
      <c r="D102" s="191" t="s">
        <v>109</v>
      </c>
      <c r="E102" s="196">
        <v>1210.5757646121299</v>
      </c>
      <c r="F102" s="196">
        <v>1250.82512025097</v>
      </c>
      <c r="G102" s="196">
        <v>2832.9376075703199</v>
      </c>
      <c r="H102" s="196">
        <v>1142.1265622442299</v>
      </c>
      <c r="I102" s="196">
        <v>662.559320006196</v>
      </c>
      <c r="J102" s="196">
        <v>5702.1074783529302</v>
      </c>
      <c r="K102" s="196">
        <v>4494.0475436799998</v>
      </c>
      <c r="L102" s="196">
        <v>1260.5407579908101</v>
      </c>
      <c r="M102" s="196">
        <v>317.157921051127</v>
      </c>
      <c r="N102" s="196">
        <v>5852.1923340041603</v>
      </c>
      <c r="O102" s="196">
        <v>14303.439573828</v>
      </c>
      <c r="P102" s="196">
        <v>1818.0345292310001</v>
      </c>
      <c r="Q102" s="196">
        <v>18451.5412769348</v>
      </c>
      <c r="R102" s="196">
        <v>1877.2431785870001</v>
      </c>
      <c r="S102" s="196">
        <v>3733.3726603436498</v>
      </c>
      <c r="T102" s="196">
        <v>943.36155003271801</v>
      </c>
      <c r="U102" s="196">
        <v>268.47833193804098</v>
      </c>
      <c r="V102" s="196">
        <v>20189.972213577501</v>
      </c>
      <c r="W102" s="196">
        <v>893.65344814965295</v>
      </c>
      <c r="X102" s="196">
        <v>88.258105713752798</v>
      </c>
      <c r="Y102" s="196">
        <v>564.99412284293805</v>
      </c>
      <c r="Z102" s="196">
        <v>200.94182787155</v>
      </c>
      <c r="AA102" s="196">
        <v>3510.2342869056101</v>
      </c>
      <c r="AB102" s="196">
        <v>1444.5477662989399</v>
      </c>
      <c r="AC102" s="196">
        <v>4674.7241378472199</v>
      </c>
      <c r="AD102" s="196">
        <v>5007.8961223858896</v>
      </c>
      <c r="AE102" s="196">
        <v>6529.0736188232204</v>
      </c>
      <c r="AF102" s="196">
        <v>992.16500120738795</v>
      </c>
      <c r="AG102" s="196">
        <v>428.77043937381899</v>
      </c>
      <c r="AH102" s="196">
        <v>1884.69889449831</v>
      </c>
    </row>
    <row r="103" spans="1:34" x14ac:dyDescent="0.2">
      <c r="A103" s="191" t="s">
        <v>125</v>
      </c>
      <c r="B103" s="191" t="s">
        <v>124</v>
      </c>
      <c r="C103" s="191">
        <v>2005</v>
      </c>
      <c r="D103" s="191" t="s">
        <v>108</v>
      </c>
      <c r="E103" s="196">
        <v>3028.67881017749</v>
      </c>
      <c r="F103" s="196">
        <v>2682.4734888284502</v>
      </c>
      <c r="G103" s="196">
        <v>3827.5571853479801</v>
      </c>
      <c r="H103" s="196">
        <v>1675.1993461638799</v>
      </c>
      <c r="I103" s="196">
        <v>557.568522490536</v>
      </c>
      <c r="J103" s="196">
        <v>4257.5024839878897</v>
      </c>
      <c r="K103" s="196">
        <v>18453.67151022</v>
      </c>
      <c r="L103" s="196">
        <v>1171.8661992776399</v>
      </c>
      <c r="M103" s="196">
        <v>566.83540963815904</v>
      </c>
      <c r="N103" s="196">
        <v>5254.4466725253596</v>
      </c>
      <c r="O103" s="196">
        <v>15420.218806653</v>
      </c>
      <c r="P103" s="196">
        <v>3118.81898822842</v>
      </c>
      <c r="Q103" s="196">
        <v>21703.903789268399</v>
      </c>
      <c r="R103" s="196">
        <v>1494.65382592124</v>
      </c>
      <c r="S103" s="196">
        <v>4558.7063316574604</v>
      </c>
      <c r="T103" s="196">
        <v>1313.8276409105499</v>
      </c>
      <c r="U103" s="196">
        <v>334.964659474043</v>
      </c>
      <c r="V103" s="196">
        <v>23827.896620093899</v>
      </c>
      <c r="W103" s="196">
        <v>1629.4413865179699</v>
      </c>
      <c r="X103" s="196">
        <v>118.26993472103599</v>
      </c>
      <c r="Y103" s="196">
        <v>686.06592249917003</v>
      </c>
      <c r="Z103" s="196">
        <v>196.41883231956101</v>
      </c>
      <c r="AA103" s="196">
        <v>7634.1795176446103</v>
      </c>
      <c r="AB103" s="196">
        <v>1897.5153039536599</v>
      </c>
      <c r="AC103" s="196">
        <v>10784.412978455101</v>
      </c>
      <c r="AD103" s="196">
        <v>7214.8433088375205</v>
      </c>
      <c r="AE103" s="196">
        <v>6575.84012344045</v>
      </c>
      <c r="AF103" s="196">
        <v>2879.2298501261998</v>
      </c>
      <c r="AG103" s="196">
        <v>845.98585473295702</v>
      </c>
      <c r="AH103" s="196">
        <v>1607.6095048084701</v>
      </c>
    </row>
    <row r="104" spans="1:34" x14ac:dyDescent="0.2">
      <c r="A104" s="191" t="s">
        <v>125</v>
      </c>
      <c r="B104" s="191" t="s">
        <v>124</v>
      </c>
      <c r="C104" s="191">
        <v>2010</v>
      </c>
      <c r="D104" s="191" t="s">
        <v>108</v>
      </c>
      <c r="E104" s="196">
        <v>2287.2954480838998</v>
      </c>
      <c r="F104" s="196">
        <v>1961.34771372763</v>
      </c>
      <c r="G104" s="196">
        <v>3718.8623485471098</v>
      </c>
      <c r="H104" s="196">
        <v>1473.47421701494</v>
      </c>
      <c r="I104" s="196">
        <v>583.921260547207</v>
      </c>
      <c r="J104" s="196">
        <v>4813.2025322031895</v>
      </c>
      <c r="K104" s="196">
        <v>10853.394831359999</v>
      </c>
      <c r="L104" s="196">
        <v>1052.4402040367499</v>
      </c>
      <c r="M104" s="196">
        <v>535.14176231098998</v>
      </c>
      <c r="N104" s="196">
        <v>5259.9155985659199</v>
      </c>
      <c r="O104" s="196">
        <v>16740.206141294799</v>
      </c>
      <c r="P104" s="196">
        <v>2836.9738166335201</v>
      </c>
      <c r="Q104" s="196">
        <v>21057.7452157853</v>
      </c>
      <c r="R104" s="196">
        <v>1862.71266347092</v>
      </c>
      <c r="S104" s="196">
        <v>4438.3770603167904</v>
      </c>
      <c r="T104" s="196">
        <v>503.22248400488098</v>
      </c>
      <c r="U104" s="196">
        <v>328.41378193163899</v>
      </c>
      <c r="V104" s="196">
        <v>22199.899187068499</v>
      </c>
      <c r="W104" s="196">
        <v>1409.21875343221</v>
      </c>
      <c r="X104" s="196">
        <v>110.42333453747101</v>
      </c>
      <c r="Y104" s="196">
        <v>713.19405580107195</v>
      </c>
      <c r="Z104" s="196">
        <v>123.292726481136</v>
      </c>
      <c r="AA104" s="196">
        <v>5705.7911260064302</v>
      </c>
      <c r="AB104" s="196">
        <v>1829.2559784810901</v>
      </c>
      <c r="AC104" s="196">
        <v>8081.3473423683299</v>
      </c>
      <c r="AD104" s="196">
        <v>6461.6507159491703</v>
      </c>
      <c r="AE104" s="196">
        <v>6533.3081613997601</v>
      </c>
      <c r="AF104" s="196">
        <v>2034.36501048322</v>
      </c>
      <c r="AG104" s="196">
        <v>591.802888005863</v>
      </c>
      <c r="AH104" s="196">
        <v>1737.9113520365099</v>
      </c>
    </row>
    <row r="105" spans="1:34" x14ac:dyDescent="0.2">
      <c r="A105" s="191" t="s">
        <v>125</v>
      </c>
      <c r="B105" s="191" t="s">
        <v>124</v>
      </c>
      <c r="C105" s="191">
        <v>2015</v>
      </c>
      <c r="D105" s="191" t="s">
        <v>108</v>
      </c>
      <c r="E105" s="196">
        <v>1642.69029990028</v>
      </c>
      <c r="F105" s="196">
        <v>1410.9948625859199</v>
      </c>
      <c r="G105" s="196">
        <v>3542.10338974258</v>
      </c>
      <c r="H105" s="196">
        <v>1328.5192315244401</v>
      </c>
      <c r="I105" s="196">
        <v>624.80689407308</v>
      </c>
      <c r="J105" s="196">
        <v>5415.1422590838201</v>
      </c>
      <c r="K105" s="196">
        <v>7175.1394739099997</v>
      </c>
      <c r="L105" s="196">
        <v>1049.8092886143399</v>
      </c>
      <c r="M105" s="196">
        <v>367.04909739357902</v>
      </c>
      <c r="N105" s="196">
        <v>4907.4504639733996</v>
      </c>
      <c r="O105" s="196">
        <v>16229.896481154001</v>
      </c>
      <c r="P105" s="196">
        <v>2310.7337343180002</v>
      </c>
      <c r="Q105" s="196">
        <v>16603.260995516699</v>
      </c>
      <c r="R105" s="196">
        <v>1977.7868748819701</v>
      </c>
      <c r="S105" s="196">
        <v>3916.8995388903199</v>
      </c>
      <c r="T105" s="196">
        <v>1000.20427578793</v>
      </c>
      <c r="U105" s="196">
        <v>282.564273644313</v>
      </c>
      <c r="V105" s="196">
        <v>20241.3434768386</v>
      </c>
      <c r="W105" s="196">
        <v>1144.06205128038</v>
      </c>
      <c r="X105" s="196">
        <v>101.942091801022</v>
      </c>
      <c r="Y105" s="196">
        <v>616.55322116409604</v>
      </c>
      <c r="Z105" s="196">
        <v>149.19876412723201</v>
      </c>
      <c r="AA105" s="196">
        <v>4418.9849608673603</v>
      </c>
      <c r="AB105" s="196">
        <v>1603.7611821831599</v>
      </c>
      <c r="AC105" s="196">
        <v>5404.7353720164501</v>
      </c>
      <c r="AD105" s="196">
        <v>5465.3967717025198</v>
      </c>
      <c r="AE105" s="196">
        <v>6472.2944602828502</v>
      </c>
      <c r="AF105" s="196">
        <v>1374.89625004137</v>
      </c>
      <c r="AG105" s="196">
        <v>515.17265860278997</v>
      </c>
      <c r="AH105" s="196">
        <v>1897.3097819158099</v>
      </c>
    </row>
    <row r="106" spans="1:34" x14ac:dyDescent="0.2">
      <c r="A106" s="191" t="s">
        <v>125</v>
      </c>
      <c r="B106" s="191" t="s">
        <v>124</v>
      </c>
      <c r="C106" s="191">
        <v>2019</v>
      </c>
      <c r="D106" s="191" t="s">
        <v>108</v>
      </c>
      <c r="E106" s="196">
        <v>1313.3641351101401</v>
      </c>
      <c r="F106" s="196">
        <v>1144.5422322940501</v>
      </c>
      <c r="G106" s="196">
        <v>2984.9484988440699</v>
      </c>
      <c r="H106" s="196">
        <v>1190.2713947387299</v>
      </c>
      <c r="I106" s="196">
        <v>656.42427030725696</v>
      </c>
      <c r="J106" s="196">
        <v>5560.62784839698</v>
      </c>
      <c r="K106" s="196">
        <v>5376.5933807299998</v>
      </c>
      <c r="L106" s="196">
        <v>1138.7977257725599</v>
      </c>
      <c r="M106" s="196">
        <v>327.94357495255502</v>
      </c>
      <c r="N106" s="196">
        <v>5376.9653491849303</v>
      </c>
      <c r="O106" s="196">
        <v>14731.053948652399</v>
      </c>
      <c r="P106" s="196">
        <v>1977.814168636</v>
      </c>
      <c r="Q106" s="196">
        <v>17503.5724350128</v>
      </c>
      <c r="R106" s="196">
        <v>1985.6277417465801</v>
      </c>
      <c r="S106" s="196">
        <v>3757.3352269215502</v>
      </c>
      <c r="T106" s="196">
        <v>943.69467475643398</v>
      </c>
      <c r="U106" s="196">
        <v>231.99418799897899</v>
      </c>
      <c r="V106" s="196">
        <v>19561.378371349001</v>
      </c>
      <c r="W106" s="196">
        <v>956.68015042890704</v>
      </c>
      <c r="X106" s="196">
        <v>92.980836934734199</v>
      </c>
      <c r="Y106" s="196">
        <v>575.72863413185905</v>
      </c>
      <c r="Z106" s="196">
        <v>183.79958571826501</v>
      </c>
      <c r="AA106" s="196">
        <v>3805.7262100620701</v>
      </c>
      <c r="AB106" s="196">
        <v>1347.34978107693</v>
      </c>
      <c r="AC106" s="196">
        <v>4922.1552989823103</v>
      </c>
      <c r="AD106" s="196">
        <v>5194.9296308579796</v>
      </c>
      <c r="AE106" s="196">
        <v>6548.4816190047704</v>
      </c>
      <c r="AF106" s="196">
        <v>1026.8261418873601</v>
      </c>
      <c r="AG106" s="196">
        <v>453.48136881484203</v>
      </c>
      <c r="AH106" s="196">
        <v>1874.5336423275301</v>
      </c>
    </row>
    <row r="107" spans="1:34" x14ac:dyDescent="0.2">
      <c r="A107" s="191" t="s">
        <v>125</v>
      </c>
      <c r="B107" s="191" t="s">
        <v>124</v>
      </c>
      <c r="C107" s="191">
        <v>2021</v>
      </c>
      <c r="D107" s="191" t="s">
        <v>108</v>
      </c>
      <c r="E107" s="196">
        <v>1208.52376461213</v>
      </c>
      <c r="F107" s="196">
        <v>986.87891701096999</v>
      </c>
      <c r="G107" s="196">
        <v>2827.2241866703198</v>
      </c>
      <c r="H107" s="196">
        <v>1133.44471654423</v>
      </c>
      <c r="I107" s="196">
        <v>662.559320006196</v>
      </c>
      <c r="J107" s="196">
        <v>5605.3886550204497</v>
      </c>
      <c r="K107" s="196">
        <v>4494.0475436799998</v>
      </c>
      <c r="L107" s="196">
        <v>1235.45823819365</v>
      </c>
      <c r="M107" s="196">
        <v>316.55603280687097</v>
      </c>
      <c r="N107" s="196">
        <v>5848.8766627391296</v>
      </c>
      <c r="O107" s="196">
        <v>14303.439573828</v>
      </c>
      <c r="P107" s="196">
        <v>1818.0345292310001</v>
      </c>
      <c r="Q107" s="196">
        <v>16751.258396125799</v>
      </c>
      <c r="R107" s="196">
        <v>1877.2431785870001</v>
      </c>
      <c r="S107" s="196">
        <v>3708.6711921603201</v>
      </c>
      <c r="T107" s="196">
        <v>909.10609458715396</v>
      </c>
      <c r="U107" s="196">
        <v>261.86401607776099</v>
      </c>
      <c r="V107" s="196">
        <v>20104.203934930199</v>
      </c>
      <c r="W107" s="196">
        <v>891.20518804965297</v>
      </c>
      <c r="X107" s="196">
        <v>88.258105713752798</v>
      </c>
      <c r="Y107" s="196">
        <v>564.96112284293804</v>
      </c>
      <c r="Z107" s="196">
        <v>200.50345318755001</v>
      </c>
      <c r="AA107" s="196">
        <v>3510.2342869056101</v>
      </c>
      <c r="AB107" s="196">
        <v>1271.9638049723801</v>
      </c>
      <c r="AC107" s="196">
        <v>4400.1631758163703</v>
      </c>
      <c r="AD107" s="196">
        <v>4970.9879543345496</v>
      </c>
      <c r="AE107" s="196">
        <v>6524.7203688232203</v>
      </c>
      <c r="AF107" s="196">
        <v>864.67000229067799</v>
      </c>
      <c r="AG107" s="196">
        <v>414.47973729302498</v>
      </c>
      <c r="AH107" s="196">
        <v>1883.0006611659101</v>
      </c>
    </row>
    <row r="108" spans="1:34" x14ac:dyDescent="0.2">
      <c r="A108" s="191" t="s">
        <v>123</v>
      </c>
      <c r="B108" s="191" t="s">
        <v>112</v>
      </c>
      <c r="C108" s="191">
        <v>2005</v>
      </c>
      <c r="D108" s="191" t="s">
        <v>107</v>
      </c>
      <c r="E108" s="196">
        <v>49301.413049898001</v>
      </c>
      <c r="F108" s="196">
        <v>75169.026464918905</v>
      </c>
      <c r="G108" s="196">
        <v>16885.8934763129</v>
      </c>
      <c r="H108" s="196">
        <v>39367.999862692399</v>
      </c>
      <c r="I108" s="196">
        <v>3608.0974096913901</v>
      </c>
      <c r="J108" s="196">
        <v>49828.2138185453</v>
      </c>
      <c r="K108" s="196">
        <v>428273.80826120003</v>
      </c>
      <c r="L108" s="196">
        <v>27130.491312621099</v>
      </c>
      <c r="M108" s="196">
        <v>3896.5927554264299</v>
      </c>
      <c r="N108" s="196">
        <v>45748.244015051598</v>
      </c>
      <c r="O108" s="196">
        <v>207541.070680837</v>
      </c>
      <c r="P108" s="196">
        <v>30537.082088116498</v>
      </c>
      <c r="Q108" s="196">
        <v>308879.46443836298</v>
      </c>
      <c r="R108" s="196">
        <v>13052.1794302772</v>
      </c>
      <c r="S108" s="196">
        <v>34069.619145258403</v>
      </c>
      <c r="T108" s="196">
        <v>29172.1370746721</v>
      </c>
      <c r="U108" s="196">
        <v>1963.69393982868</v>
      </c>
      <c r="V108" s="196">
        <v>308224.87538397597</v>
      </c>
      <c r="W108" s="196">
        <v>6766.9124042112198</v>
      </c>
      <c r="X108" s="196">
        <v>10184.5401751688</v>
      </c>
      <c r="Y108" s="196">
        <v>5488.0821324626904</v>
      </c>
      <c r="Z108" s="196">
        <v>677.33547060882097</v>
      </c>
      <c r="AA108" s="196">
        <v>102188.584258123</v>
      </c>
      <c r="AB108" s="196">
        <v>18377.136432577201</v>
      </c>
      <c r="AC108" s="196">
        <v>124178.824740467</v>
      </c>
      <c r="AD108" s="196">
        <v>36502.020603726</v>
      </c>
      <c r="AE108" s="196">
        <v>40963.288380222599</v>
      </c>
      <c r="AF108" s="196">
        <v>35809.494033167903</v>
      </c>
      <c r="AG108" s="196">
        <v>9237.6158325623401</v>
      </c>
      <c r="AH108" s="196">
        <v>22565.9735136985</v>
      </c>
    </row>
    <row r="109" spans="1:34" x14ac:dyDescent="0.2">
      <c r="A109" s="191" t="s">
        <v>123</v>
      </c>
      <c r="B109" s="191" t="s">
        <v>112</v>
      </c>
      <c r="C109" s="191">
        <v>2010</v>
      </c>
      <c r="D109" s="191" t="s">
        <v>107</v>
      </c>
      <c r="E109" s="196">
        <v>44100.674723343698</v>
      </c>
      <c r="F109" s="196">
        <v>71591.339355979406</v>
      </c>
      <c r="G109" s="196">
        <v>12756.8979253739</v>
      </c>
      <c r="H109" s="196">
        <v>38619.555838735097</v>
      </c>
      <c r="I109" s="196">
        <v>3631.2155583634799</v>
      </c>
      <c r="J109" s="196">
        <v>43272.659968837201</v>
      </c>
      <c r="K109" s="196">
        <v>426179.15873898001</v>
      </c>
      <c r="L109" s="196">
        <v>24831.290794669399</v>
      </c>
      <c r="M109" s="196">
        <v>3617.1552505438499</v>
      </c>
      <c r="N109" s="196">
        <v>38213.099046509298</v>
      </c>
      <c r="O109" s="196">
        <v>181099.88334715599</v>
      </c>
      <c r="P109" s="196">
        <v>28324.803267282001</v>
      </c>
      <c r="Q109" s="196">
        <v>285576.44692010101</v>
      </c>
      <c r="R109" s="196">
        <v>12356.374763508</v>
      </c>
      <c r="S109" s="196">
        <v>28876.257846712</v>
      </c>
      <c r="T109" s="196">
        <v>26501.719410858601</v>
      </c>
      <c r="U109" s="196">
        <v>1774.63387051222</v>
      </c>
      <c r="V109" s="196">
        <v>272101.19669772399</v>
      </c>
      <c r="W109" s="196">
        <v>6947.9174514363103</v>
      </c>
      <c r="X109" s="196">
        <v>9395.1201134135808</v>
      </c>
      <c r="Y109" s="196">
        <v>5763.1798603277002</v>
      </c>
      <c r="Z109" s="196">
        <v>733.96502552183495</v>
      </c>
      <c r="AA109" s="196">
        <v>107728.81735179</v>
      </c>
      <c r="AB109" s="196">
        <v>19538.283485086398</v>
      </c>
      <c r="AC109" s="196">
        <v>140469.92989332299</v>
      </c>
      <c r="AD109" s="196">
        <v>32506.8324337497</v>
      </c>
      <c r="AE109" s="196">
        <v>37998.402915996601</v>
      </c>
      <c r="AF109" s="196">
        <v>32528.837920962302</v>
      </c>
      <c r="AG109" s="196">
        <v>9233.5056457539995</v>
      </c>
      <c r="AH109" s="196">
        <v>21363.488020715198</v>
      </c>
    </row>
    <row r="110" spans="1:34" x14ac:dyDescent="0.2">
      <c r="A110" s="191" t="s">
        <v>123</v>
      </c>
      <c r="B110" s="191" t="s">
        <v>112</v>
      </c>
      <c r="C110" s="191">
        <v>2015</v>
      </c>
      <c r="D110" s="191" t="s">
        <v>107</v>
      </c>
      <c r="E110" s="196">
        <v>41236.493232933099</v>
      </c>
      <c r="F110" s="196">
        <v>64473.113716164502</v>
      </c>
      <c r="G110" s="196">
        <v>13471.2814008961</v>
      </c>
      <c r="H110" s="196">
        <v>33144.020552876696</v>
      </c>
      <c r="I110" s="196">
        <v>3056.6835988566199</v>
      </c>
      <c r="J110" s="196">
        <v>39476.343665818902</v>
      </c>
      <c r="K110" s="196">
        <v>413336.26999081002</v>
      </c>
      <c r="L110" s="196">
        <v>21630.5187099506</v>
      </c>
      <c r="M110" s="196">
        <v>3708.7068236192599</v>
      </c>
      <c r="N110" s="196">
        <v>28050.605359355399</v>
      </c>
      <c r="O110" s="196">
        <v>158998.30325214801</v>
      </c>
      <c r="P110" s="196">
        <v>22069.2325236541</v>
      </c>
      <c r="Q110" s="196">
        <v>259874.12303865401</v>
      </c>
      <c r="R110" s="196">
        <v>10799.4978431609</v>
      </c>
      <c r="S110" s="196">
        <v>27868.806710191398</v>
      </c>
      <c r="T110" s="196">
        <v>24486.8305433879</v>
      </c>
      <c r="U110" s="196">
        <v>1635.91614575938</v>
      </c>
      <c r="V110" s="196">
        <v>236112.82897216201</v>
      </c>
      <c r="W110" s="196">
        <v>7290.1727841126203</v>
      </c>
      <c r="X110" s="196">
        <v>8329.3595345406902</v>
      </c>
      <c r="Y110" s="196">
        <v>4965.9089875650598</v>
      </c>
      <c r="Z110" s="196">
        <v>803.55837063666195</v>
      </c>
      <c r="AA110" s="196">
        <v>87709.891172345393</v>
      </c>
      <c r="AB110" s="196">
        <v>18541.405685005098</v>
      </c>
      <c r="AC110" s="196">
        <v>125638.156353716</v>
      </c>
      <c r="AD110" s="196">
        <v>27682.724250045401</v>
      </c>
      <c r="AE110" s="196">
        <v>38049.159688770997</v>
      </c>
      <c r="AF110" s="196">
        <v>27579.947343062599</v>
      </c>
      <c r="AG110" s="196">
        <v>8200.7106168332903</v>
      </c>
      <c r="AH110" s="196">
        <v>18594.6545684581</v>
      </c>
    </row>
    <row r="111" spans="1:34" x14ac:dyDescent="0.2">
      <c r="A111" s="191" t="s">
        <v>123</v>
      </c>
      <c r="B111" s="191" t="s">
        <v>112</v>
      </c>
      <c r="C111" s="191">
        <v>2019</v>
      </c>
      <c r="D111" s="191" t="s">
        <v>107</v>
      </c>
      <c r="E111" s="196">
        <v>43525.628734993697</v>
      </c>
      <c r="F111" s="196">
        <v>62881.092452909397</v>
      </c>
      <c r="G111" s="196">
        <v>15231.595506375001</v>
      </c>
      <c r="H111" s="196">
        <v>31076.312042129699</v>
      </c>
      <c r="I111" s="196">
        <v>3240.31118240261</v>
      </c>
      <c r="J111" s="196">
        <v>40309.658279598902</v>
      </c>
      <c r="K111" s="196">
        <v>408324.31179071998</v>
      </c>
      <c r="L111" s="196">
        <v>21796.0566257354</v>
      </c>
      <c r="M111" s="196">
        <v>3800.0385366893202</v>
      </c>
      <c r="N111" s="196">
        <v>27478.707577089201</v>
      </c>
      <c r="O111" s="196">
        <v>170193.531304148</v>
      </c>
      <c r="P111" s="196">
        <v>21901.005752737601</v>
      </c>
      <c r="Q111" s="196">
        <v>247226.70357470799</v>
      </c>
      <c r="R111" s="196">
        <v>11564.845291494201</v>
      </c>
      <c r="S111" s="196">
        <v>31224.972854572901</v>
      </c>
      <c r="T111" s="196">
        <v>25412.062166787098</v>
      </c>
      <c r="U111" s="196">
        <v>1631.4797574469801</v>
      </c>
      <c r="V111" s="196">
        <v>228506.32166593499</v>
      </c>
      <c r="W111" s="196">
        <v>8782.8297502390105</v>
      </c>
      <c r="X111" s="196">
        <v>8944.4444818643296</v>
      </c>
      <c r="Y111" s="196">
        <v>5190.9696674178304</v>
      </c>
      <c r="Z111" s="196">
        <v>904.05039434411901</v>
      </c>
      <c r="AA111" s="196">
        <v>88532.546809311199</v>
      </c>
      <c r="AB111" s="196">
        <v>17024.677955348699</v>
      </c>
      <c r="AC111" s="196">
        <v>142928.53707696201</v>
      </c>
      <c r="AD111" s="196">
        <v>28939.902477197698</v>
      </c>
      <c r="AE111" s="196">
        <v>42880.224772373003</v>
      </c>
      <c r="AF111" s="196">
        <v>25233.627563771399</v>
      </c>
      <c r="AG111" s="196">
        <v>8471.2311775338294</v>
      </c>
      <c r="AH111" s="196">
        <v>18870.900648986699</v>
      </c>
    </row>
    <row r="112" spans="1:34" x14ac:dyDescent="0.2">
      <c r="A112" s="191" t="s">
        <v>123</v>
      </c>
      <c r="B112" s="191" t="s">
        <v>112</v>
      </c>
      <c r="C112" s="191">
        <v>2021</v>
      </c>
      <c r="D112" s="191" t="s">
        <v>107</v>
      </c>
      <c r="E112" s="196">
        <v>42086.084327216398</v>
      </c>
      <c r="F112" s="196">
        <v>62206.725647786101</v>
      </c>
      <c r="G112" s="196">
        <v>15981.6496144011</v>
      </c>
      <c r="H112" s="196">
        <v>30338.9629481927</v>
      </c>
      <c r="I112" s="196">
        <v>3048.9990676714201</v>
      </c>
      <c r="J112" s="196">
        <v>43425.932741805897</v>
      </c>
      <c r="K112" s="196">
        <v>392933.65385698999</v>
      </c>
      <c r="L112" s="196">
        <v>20833.082414441302</v>
      </c>
      <c r="M112" s="196">
        <v>3337.2200301784801</v>
      </c>
      <c r="N112" s="196">
        <v>26704.505149196299</v>
      </c>
      <c r="O112" s="196">
        <v>165534.51784742999</v>
      </c>
      <c r="P112" s="196">
        <v>20244.470484735</v>
      </c>
      <c r="Q112" s="196">
        <v>241540.78149340901</v>
      </c>
      <c r="R112" s="196">
        <v>11449.324953024799</v>
      </c>
      <c r="S112" s="196">
        <v>31853.441330071</v>
      </c>
      <c r="T112" s="196">
        <v>24294.091740399599</v>
      </c>
      <c r="U112" s="196">
        <v>1543.44520581999</v>
      </c>
      <c r="V112" s="196">
        <v>231934.182047151</v>
      </c>
      <c r="W112" s="196">
        <v>8696.3746509143493</v>
      </c>
      <c r="X112" s="196">
        <v>7693.8297528679605</v>
      </c>
      <c r="Y112" s="196">
        <v>5158.1292434773904</v>
      </c>
      <c r="Z112" s="196">
        <v>829.75606340331603</v>
      </c>
      <c r="AA112" s="196">
        <v>86206.175894387998</v>
      </c>
      <c r="AB112" s="196">
        <v>16986.380961785399</v>
      </c>
      <c r="AC112" s="196">
        <v>146639.91777707101</v>
      </c>
      <c r="AD112" s="196">
        <v>26661.405490441899</v>
      </c>
      <c r="AE112" s="196">
        <v>46582.5202621473</v>
      </c>
      <c r="AF112" s="196">
        <v>23478.1336892627</v>
      </c>
      <c r="AG112" s="196">
        <v>7936.1174355924304</v>
      </c>
      <c r="AH112" s="196">
        <v>19450.011283973599</v>
      </c>
    </row>
    <row r="113" spans="1:34" x14ac:dyDescent="0.2">
      <c r="A113" s="191" t="s">
        <v>123</v>
      </c>
      <c r="B113" s="191" t="s">
        <v>112</v>
      </c>
      <c r="C113" s="191">
        <v>2005</v>
      </c>
      <c r="D113" s="191" t="s">
        <v>109</v>
      </c>
      <c r="E113" s="196">
        <v>50151.245758209698</v>
      </c>
      <c r="F113" s="196">
        <v>75956.520862534904</v>
      </c>
      <c r="G113" s="196">
        <v>17426.587689983498</v>
      </c>
      <c r="H113" s="196">
        <v>39732.317444099899</v>
      </c>
      <c r="I113" s="196">
        <v>3641.0363511211299</v>
      </c>
      <c r="J113" s="196">
        <v>51043.425824860402</v>
      </c>
      <c r="K113" s="196">
        <v>431697.04518369999</v>
      </c>
      <c r="L113" s="196">
        <v>27710.180640949598</v>
      </c>
      <c r="M113" s="196">
        <v>3976.8121130518498</v>
      </c>
      <c r="N113" s="196">
        <v>46901.230989192904</v>
      </c>
      <c r="O113" s="196">
        <v>211395.48025278401</v>
      </c>
      <c r="P113" s="196">
        <v>31140.326303620499</v>
      </c>
      <c r="Q113" s="196">
        <v>316894.43059409002</v>
      </c>
      <c r="R113" s="196">
        <v>13710.7439324959</v>
      </c>
      <c r="S113" s="196">
        <v>34808.9342635922</v>
      </c>
      <c r="T113" s="196">
        <v>29715.331221979301</v>
      </c>
      <c r="U113" s="196">
        <v>2008.8431872336701</v>
      </c>
      <c r="V113" s="196">
        <v>314940.245235665</v>
      </c>
      <c r="W113" s="196">
        <v>7105.2874711620098</v>
      </c>
      <c r="X113" s="196">
        <v>10249.4117007082</v>
      </c>
      <c r="Y113" s="196">
        <v>5954.5735585668099</v>
      </c>
      <c r="Z113" s="196">
        <v>685.25986302012097</v>
      </c>
      <c r="AA113" s="196">
        <v>103603.80518836</v>
      </c>
      <c r="AB113" s="196">
        <v>19034.835038985701</v>
      </c>
      <c r="AC113" s="196">
        <v>129688.14631929599</v>
      </c>
      <c r="AD113" s="196">
        <v>37426.604225086303</v>
      </c>
      <c r="AE113" s="196">
        <v>42490.2640125775</v>
      </c>
      <c r="AF113" s="196">
        <v>36298.379579514898</v>
      </c>
      <c r="AG113" s="196">
        <v>9579.0336704554302</v>
      </c>
      <c r="AH113" s="196">
        <v>23074.753932495001</v>
      </c>
    </row>
    <row r="114" spans="1:34" x14ac:dyDescent="0.2">
      <c r="A114" s="191" t="s">
        <v>123</v>
      </c>
      <c r="B114" s="191" t="s">
        <v>112</v>
      </c>
      <c r="C114" s="191">
        <v>2010</v>
      </c>
      <c r="D114" s="191" t="s">
        <v>109</v>
      </c>
      <c r="E114" s="196">
        <v>44968.466752632798</v>
      </c>
      <c r="F114" s="196">
        <v>72631.896215993096</v>
      </c>
      <c r="G114" s="196">
        <v>13280.936764538301</v>
      </c>
      <c r="H114" s="196">
        <v>38956.539934858003</v>
      </c>
      <c r="I114" s="196">
        <v>3658.8244147554801</v>
      </c>
      <c r="J114" s="196">
        <v>44578.594544831598</v>
      </c>
      <c r="K114" s="196">
        <v>430469.51988029998</v>
      </c>
      <c r="L114" s="196">
        <v>25374.2165571941</v>
      </c>
      <c r="M114" s="196">
        <v>3691.6531513085201</v>
      </c>
      <c r="N114" s="196">
        <v>39107.590595800903</v>
      </c>
      <c r="O114" s="196">
        <v>184649.40478753601</v>
      </c>
      <c r="P114" s="196">
        <v>28906.212162495998</v>
      </c>
      <c r="Q114" s="196">
        <v>292446.57912696898</v>
      </c>
      <c r="R114" s="196">
        <v>13002.043473862601</v>
      </c>
      <c r="S114" s="196">
        <v>29773.085654476101</v>
      </c>
      <c r="T114" s="196">
        <v>26945.1159014326</v>
      </c>
      <c r="U114" s="196">
        <v>1801.68934991321</v>
      </c>
      <c r="V114" s="196">
        <v>279802.30648179399</v>
      </c>
      <c r="W114" s="196">
        <v>7276.0790193668399</v>
      </c>
      <c r="X114" s="196">
        <v>9466.8129308828593</v>
      </c>
      <c r="Y114" s="196">
        <v>6155.6997957928997</v>
      </c>
      <c r="Z114" s="196">
        <v>741.27635071783595</v>
      </c>
      <c r="AA114" s="196">
        <v>110253.89663391501</v>
      </c>
      <c r="AB114" s="196">
        <v>20243.595674227301</v>
      </c>
      <c r="AC114" s="196">
        <v>146616.60628662101</v>
      </c>
      <c r="AD114" s="196">
        <v>33274.398564563999</v>
      </c>
      <c r="AE114" s="196">
        <v>39826.381650831303</v>
      </c>
      <c r="AF114" s="196">
        <v>33005.073492297801</v>
      </c>
      <c r="AG114" s="196">
        <v>9541.9313675021695</v>
      </c>
      <c r="AH114" s="196">
        <v>21861.289533110401</v>
      </c>
    </row>
    <row r="115" spans="1:34" x14ac:dyDescent="0.2">
      <c r="A115" s="191" t="s">
        <v>123</v>
      </c>
      <c r="B115" s="191" t="s">
        <v>112</v>
      </c>
      <c r="C115" s="191">
        <v>2015</v>
      </c>
      <c r="D115" s="191" t="s">
        <v>109</v>
      </c>
      <c r="E115" s="196">
        <v>42055.4625739806</v>
      </c>
      <c r="F115" s="196">
        <v>65526.350366409701</v>
      </c>
      <c r="G115" s="196">
        <v>14002.7685601879</v>
      </c>
      <c r="H115" s="196">
        <v>33433.809090050403</v>
      </c>
      <c r="I115" s="196">
        <v>3083.7749719476201</v>
      </c>
      <c r="J115" s="196">
        <v>40859.681791133502</v>
      </c>
      <c r="K115" s="196">
        <v>417634.57954435999</v>
      </c>
      <c r="L115" s="196">
        <v>22084.500698935801</v>
      </c>
      <c r="M115" s="196">
        <v>3767.4712398684401</v>
      </c>
      <c r="N115" s="196">
        <v>28781.507876668798</v>
      </c>
      <c r="O115" s="196">
        <v>162282.49815865801</v>
      </c>
      <c r="P115" s="196">
        <v>22593.563471717101</v>
      </c>
      <c r="Q115" s="196">
        <v>265617.59233775199</v>
      </c>
      <c r="R115" s="196">
        <v>11402.5649539845</v>
      </c>
      <c r="S115" s="196">
        <v>28837.016676367999</v>
      </c>
      <c r="T115" s="196">
        <v>24887.8155348689</v>
      </c>
      <c r="U115" s="196">
        <v>1660.8784998430101</v>
      </c>
      <c r="V115" s="196">
        <v>243069.883104701</v>
      </c>
      <c r="W115" s="196">
        <v>7583.6335488202103</v>
      </c>
      <c r="X115" s="196">
        <v>8410.0588339644801</v>
      </c>
      <c r="Y115" s="196">
        <v>5306.6508528776803</v>
      </c>
      <c r="Z115" s="196">
        <v>810.02388948417297</v>
      </c>
      <c r="AA115" s="196">
        <v>89655.480363128096</v>
      </c>
      <c r="AB115" s="196">
        <v>19140.900971557199</v>
      </c>
      <c r="AC115" s="196">
        <v>130983.79282872</v>
      </c>
      <c r="AD115" s="196">
        <v>28395.242175622901</v>
      </c>
      <c r="AE115" s="196">
        <v>39684.572247057797</v>
      </c>
      <c r="AF115" s="196">
        <v>28040.5459816939</v>
      </c>
      <c r="AG115" s="196">
        <v>8494.0079073002307</v>
      </c>
      <c r="AH115" s="196">
        <v>19067.209915083298</v>
      </c>
    </row>
    <row r="116" spans="1:34" x14ac:dyDescent="0.2">
      <c r="A116" s="191" t="s">
        <v>123</v>
      </c>
      <c r="B116" s="191" t="s">
        <v>112</v>
      </c>
      <c r="C116" s="191">
        <v>2019</v>
      </c>
      <c r="D116" s="191" t="s">
        <v>109</v>
      </c>
      <c r="E116" s="196">
        <v>44347.342887406703</v>
      </c>
      <c r="F116" s="196">
        <v>63849.056608017701</v>
      </c>
      <c r="G116" s="196">
        <v>15801.1287569177</v>
      </c>
      <c r="H116" s="196">
        <v>31375.450619041701</v>
      </c>
      <c r="I116" s="196">
        <v>3273.8194644179998</v>
      </c>
      <c r="J116" s="196">
        <v>41743.910269401902</v>
      </c>
      <c r="K116" s="196">
        <v>412698.91861386999</v>
      </c>
      <c r="L116" s="196">
        <v>22226.788494856999</v>
      </c>
      <c r="M116" s="196">
        <v>3858.8543640233302</v>
      </c>
      <c r="N116" s="196">
        <v>28128.778435635199</v>
      </c>
      <c r="O116" s="196">
        <v>173564.913845056</v>
      </c>
      <c r="P116" s="196">
        <v>22444.799859898601</v>
      </c>
      <c r="Q116" s="196">
        <v>252471.355128392</v>
      </c>
      <c r="R116" s="196">
        <v>12116.316071187999</v>
      </c>
      <c r="S116" s="196">
        <v>32030.050669033801</v>
      </c>
      <c r="T116" s="196">
        <v>25802.964858871201</v>
      </c>
      <c r="U116" s="196">
        <v>1653.9220987124199</v>
      </c>
      <c r="V116" s="196">
        <v>235355.077380223</v>
      </c>
      <c r="W116" s="196">
        <v>9084.9182760710901</v>
      </c>
      <c r="X116" s="196">
        <v>9038.90261368953</v>
      </c>
      <c r="Y116" s="196">
        <v>5541.28195271394</v>
      </c>
      <c r="Z116" s="196">
        <v>911.91568003358998</v>
      </c>
      <c r="AA116" s="196">
        <v>90681.848805880902</v>
      </c>
      <c r="AB116" s="196">
        <v>17560.788474765999</v>
      </c>
      <c r="AC116" s="196">
        <v>149209.99411195799</v>
      </c>
      <c r="AD116" s="196">
        <v>29660.392054514599</v>
      </c>
      <c r="AE116" s="196">
        <v>44615.945605149202</v>
      </c>
      <c r="AF116" s="196">
        <v>25725.248791029298</v>
      </c>
      <c r="AG116" s="196">
        <v>8728.0132598561995</v>
      </c>
      <c r="AH116" s="196">
        <v>19307.755172051999</v>
      </c>
    </row>
    <row r="117" spans="1:34" x14ac:dyDescent="0.2">
      <c r="A117" s="191" t="s">
        <v>123</v>
      </c>
      <c r="B117" s="191" t="s">
        <v>112</v>
      </c>
      <c r="C117" s="191">
        <v>2021</v>
      </c>
      <c r="D117" s="191" t="s">
        <v>109</v>
      </c>
      <c r="E117" s="196">
        <v>42932.103808740198</v>
      </c>
      <c r="F117" s="196">
        <v>63246.432471859203</v>
      </c>
      <c r="G117" s="196">
        <v>16579.100888377401</v>
      </c>
      <c r="H117" s="196">
        <v>30638.974624229701</v>
      </c>
      <c r="I117" s="196">
        <v>3084.48560703051</v>
      </c>
      <c r="J117" s="196">
        <v>44980.8228540993</v>
      </c>
      <c r="K117" s="196">
        <v>397332.37996491999</v>
      </c>
      <c r="L117" s="196">
        <v>21248.576966832799</v>
      </c>
      <c r="M117" s="196">
        <v>3394.72423784071</v>
      </c>
      <c r="N117" s="196">
        <v>27340.503751249398</v>
      </c>
      <c r="O117" s="196">
        <v>168900.40835052499</v>
      </c>
      <c r="P117" s="196">
        <v>20767.525804411998</v>
      </c>
      <c r="Q117" s="196">
        <v>246637.95677809499</v>
      </c>
      <c r="R117" s="196">
        <v>12044.360093561099</v>
      </c>
      <c r="S117" s="196">
        <v>32670.557828381199</v>
      </c>
      <c r="T117" s="196">
        <v>24679.046649843898</v>
      </c>
      <c r="U117" s="196">
        <v>1563.3319132833799</v>
      </c>
      <c r="V117" s="196">
        <v>238992.86480407801</v>
      </c>
      <c r="W117" s="196">
        <v>8999.6775689097194</v>
      </c>
      <c r="X117" s="196">
        <v>7782.6780707787002</v>
      </c>
      <c r="Y117" s="196">
        <v>5487.6230682434198</v>
      </c>
      <c r="Z117" s="196">
        <v>836.48904720310895</v>
      </c>
      <c r="AA117" s="196">
        <v>88442.253224863496</v>
      </c>
      <c r="AB117" s="196">
        <v>17550.852902112201</v>
      </c>
      <c r="AC117" s="196">
        <v>152824.32519801601</v>
      </c>
      <c r="AD117" s="196">
        <v>27389.853340706399</v>
      </c>
      <c r="AE117" s="196">
        <v>48442.904616215703</v>
      </c>
      <c r="AF117" s="196">
        <v>23973.5266894208</v>
      </c>
      <c r="AG117" s="196">
        <v>8194.4098560674793</v>
      </c>
      <c r="AH117" s="196">
        <v>19934.403177495999</v>
      </c>
    </row>
    <row r="118" spans="1:34" x14ac:dyDescent="0.2">
      <c r="A118" s="191" t="s">
        <v>123</v>
      </c>
      <c r="B118" s="191" t="s">
        <v>112</v>
      </c>
      <c r="C118" s="191">
        <v>2005</v>
      </c>
      <c r="D118" s="191" t="s">
        <v>108</v>
      </c>
      <c r="E118" s="196">
        <v>849.832708311636</v>
      </c>
      <c r="F118" s="196">
        <v>787.49439761591998</v>
      </c>
      <c r="G118" s="196">
        <v>540.69421367057896</v>
      </c>
      <c r="H118" s="196">
        <v>364.31758140754903</v>
      </c>
      <c r="I118" s="196">
        <v>32.938941429735401</v>
      </c>
      <c r="J118" s="196">
        <v>1215.2120063151799</v>
      </c>
      <c r="K118" s="196">
        <v>3423.2369225000198</v>
      </c>
      <c r="L118" s="196">
        <v>579.68932832850498</v>
      </c>
      <c r="M118" s="196">
        <v>80.219357625417203</v>
      </c>
      <c r="N118" s="196">
        <v>1152.9869741412399</v>
      </c>
      <c r="O118" s="196">
        <v>3854.4095719468601</v>
      </c>
      <c r="P118" s="196">
        <v>603.24421550399995</v>
      </c>
      <c r="Q118" s="196">
        <v>8014.96615572672</v>
      </c>
      <c r="R118" s="196">
        <v>658.56450221878504</v>
      </c>
      <c r="S118" s="196">
        <v>739.31511833382103</v>
      </c>
      <c r="T118" s="196">
        <v>543.19414730722701</v>
      </c>
      <c r="U118" s="196">
        <v>45.149247404988401</v>
      </c>
      <c r="V118" s="196">
        <v>6715.3698516896202</v>
      </c>
      <c r="W118" s="196">
        <v>338.37506695079497</v>
      </c>
      <c r="X118" s="196">
        <v>64.871525539413099</v>
      </c>
      <c r="Y118" s="196">
        <v>466.49142610412002</v>
      </c>
      <c r="Z118" s="196">
        <v>7.92439241129998</v>
      </c>
      <c r="AA118" s="196">
        <v>1415.2209302367501</v>
      </c>
      <c r="AB118" s="196">
        <v>657.69860640850197</v>
      </c>
      <c r="AC118" s="196">
        <v>5509.32157882921</v>
      </c>
      <c r="AD118" s="196">
        <v>924.583621360292</v>
      </c>
      <c r="AE118" s="196">
        <v>1526.97563235492</v>
      </c>
      <c r="AF118" s="196">
        <v>488.88554634696698</v>
      </c>
      <c r="AG118" s="196">
        <v>341.41783789308698</v>
      </c>
      <c r="AH118" s="196">
        <v>508.78041879646901</v>
      </c>
    </row>
    <row r="119" spans="1:34" x14ac:dyDescent="0.2">
      <c r="A119" s="191" t="s">
        <v>123</v>
      </c>
      <c r="B119" s="191" t="s">
        <v>112</v>
      </c>
      <c r="C119" s="191">
        <v>2010</v>
      </c>
      <c r="D119" s="191" t="s">
        <v>108</v>
      </c>
      <c r="E119" s="196">
        <v>867.79202928906295</v>
      </c>
      <c r="F119" s="196">
        <v>1040.5568600136701</v>
      </c>
      <c r="G119" s="196">
        <v>524.03883916439895</v>
      </c>
      <c r="H119" s="196">
        <v>336.98409612286298</v>
      </c>
      <c r="I119" s="196">
        <v>27.608856391992699</v>
      </c>
      <c r="J119" s="196">
        <v>1305.9345759943999</v>
      </c>
      <c r="K119" s="196">
        <v>4290.3611413199897</v>
      </c>
      <c r="L119" s="196">
        <v>542.92576252469803</v>
      </c>
      <c r="M119" s="196">
        <v>74.497900764667605</v>
      </c>
      <c r="N119" s="196">
        <v>894.49154929163501</v>
      </c>
      <c r="O119" s="196">
        <v>3549.5214403792302</v>
      </c>
      <c r="P119" s="196">
        <v>581.40889521399902</v>
      </c>
      <c r="Q119" s="196">
        <v>6870.1322068679401</v>
      </c>
      <c r="R119" s="196">
        <v>645.66871035463305</v>
      </c>
      <c r="S119" s="196">
        <v>896.82780776406298</v>
      </c>
      <c r="T119" s="196">
        <v>443.39649057407797</v>
      </c>
      <c r="U119" s="196">
        <v>27.055479400984801</v>
      </c>
      <c r="V119" s="196">
        <v>7701.10978406915</v>
      </c>
      <c r="W119" s="196">
        <v>328.16156793052801</v>
      </c>
      <c r="X119" s="196">
        <v>71.692817469282105</v>
      </c>
      <c r="Y119" s="196">
        <v>392.51993546519799</v>
      </c>
      <c r="Z119" s="196">
        <v>7.3113251960007197</v>
      </c>
      <c r="AA119" s="196">
        <v>2525.0792821253999</v>
      </c>
      <c r="AB119" s="196">
        <v>705.31218914086196</v>
      </c>
      <c r="AC119" s="196">
        <v>6146.6763932980903</v>
      </c>
      <c r="AD119" s="196">
        <v>767.56613081432204</v>
      </c>
      <c r="AE119" s="196">
        <v>1827.9787348346999</v>
      </c>
      <c r="AF119" s="196">
        <v>476.235571335467</v>
      </c>
      <c r="AG119" s="196">
        <v>308.42572174817599</v>
      </c>
      <c r="AH119" s="196">
        <v>497.80151239520097</v>
      </c>
    </row>
    <row r="120" spans="1:34" x14ac:dyDescent="0.2">
      <c r="A120" s="191" t="s">
        <v>123</v>
      </c>
      <c r="B120" s="191" t="s">
        <v>112</v>
      </c>
      <c r="C120" s="191">
        <v>2015</v>
      </c>
      <c r="D120" s="191" t="s">
        <v>108</v>
      </c>
      <c r="E120" s="196">
        <v>818.96934104744605</v>
      </c>
      <c r="F120" s="196">
        <v>1053.23665024516</v>
      </c>
      <c r="G120" s="196">
        <v>531.48715929173602</v>
      </c>
      <c r="H120" s="196">
        <v>289.78853717366798</v>
      </c>
      <c r="I120" s="196">
        <v>27.091373091001302</v>
      </c>
      <c r="J120" s="196">
        <v>1383.3381253146199</v>
      </c>
      <c r="K120" s="196">
        <v>4298.3095535499997</v>
      </c>
      <c r="L120" s="196">
        <v>453.98198898519797</v>
      </c>
      <c r="M120" s="196">
        <v>58.764416249180599</v>
      </c>
      <c r="N120" s="196">
        <v>730.90251731339004</v>
      </c>
      <c r="O120" s="196">
        <v>3284.1949065098302</v>
      </c>
      <c r="P120" s="196">
        <v>524.33094806300005</v>
      </c>
      <c r="Q120" s="196">
        <v>5743.4692990980202</v>
      </c>
      <c r="R120" s="196">
        <v>603.06711082355105</v>
      </c>
      <c r="S120" s="196">
        <v>968.20996617657295</v>
      </c>
      <c r="T120" s="196">
        <v>400.984991480997</v>
      </c>
      <c r="U120" s="196">
        <v>24.9623540836273</v>
      </c>
      <c r="V120" s="196">
        <v>6957.0541325391896</v>
      </c>
      <c r="W120" s="196">
        <v>293.460764707588</v>
      </c>
      <c r="X120" s="196">
        <v>80.699299423789299</v>
      </c>
      <c r="Y120" s="196">
        <v>340.74186531262302</v>
      </c>
      <c r="Z120" s="196">
        <v>6.4655188475111602</v>
      </c>
      <c r="AA120" s="196">
        <v>1945.5891907827199</v>
      </c>
      <c r="AB120" s="196">
        <v>599.49528655206996</v>
      </c>
      <c r="AC120" s="196">
        <v>5345.6364750042003</v>
      </c>
      <c r="AD120" s="196">
        <v>712.51792557745102</v>
      </c>
      <c r="AE120" s="196">
        <v>1635.4125582868</v>
      </c>
      <c r="AF120" s="196">
        <v>460.59863863128697</v>
      </c>
      <c r="AG120" s="196">
        <v>293.29729046693899</v>
      </c>
      <c r="AH120" s="196">
        <v>472.55534662520199</v>
      </c>
    </row>
    <row r="121" spans="1:34" x14ac:dyDescent="0.2">
      <c r="A121" s="191" t="s">
        <v>123</v>
      </c>
      <c r="B121" s="191" t="s">
        <v>112</v>
      </c>
      <c r="C121" s="191">
        <v>2019</v>
      </c>
      <c r="D121" s="191" t="s">
        <v>108</v>
      </c>
      <c r="E121" s="196">
        <v>821.71415241306204</v>
      </c>
      <c r="F121" s="196">
        <v>967.96415510830002</v>
      </c>
      <c r="G121" s="196">
        <v>569.53325054269703</v>
      </c>
      <c r="H121" s="196">
        <v>299.13857691202799</v>
      </c>
      <c r="I121" s="196">
        <v>33.508282015390101</v>
      </c>
      <c r="J121" s="196">
        <v>1434.25198980305</v>
      </c>
      <c r="K121" s="196">
        <v>4374.6068231499903</v>
      </c>
      <c r="L121" s="196">
        <v>430.73186912163999</v>
      </c>
      <c r="M121" s="196">
        <v>58.815827334006499</v>
      </c>
      <c r="N121" s="196">
        <v>650.070858545992</v>
      </c>
      <c r="O121" s="196">
        <v>3371.3825409083502</v>
      </c>
      <c r="P121" s="196">
        <v>543.79410716099903</v>
      </c>
      <c r="Q121" s="196">
        <v>5244.6515536838597</v>
      </c>
      <c r="R121" s="196">
        <v>551.47077969373504</v>
      </c>
      <c r="S121" s="196">
        <v>805.07781446085698</v>
      </c>
      <c r="T121" s="196">
        <v>390.90269208409097</v>
      </c>
      <c r="U121" s="196">
        <v>22.442341265436198</v>
      </c>
      <c r="V121" s="196">
        <v>6848.7557142876503</v>
      </c>
      <c r="W121" s="196">
        <v>302.08852583207801</v>
      </c>
      <c r="X121" s="196">
        <v>94.458131825199004</v>
      </c>
      <c r="Y121" s="196">
        <v>350.312285296114</v>
      </c>
      <c r="Z121" s="196">
        <v>7.8652856894711896</v>
      </c>
      <c r="AA121" s="196">
        <v>2149.3019965697099</v>
      </c>
      <c r="AB121" s="196">
        <v>536.11051941729602</v>
      </c>
      <c r="AC121" s="196">
        <v>6281.4570349957603</v>
      </c>
      <c r="AD121" s="196">
        <v>720.48957731695396</v>
      </c>
      <c r="AE121" s="196">
        <v>1735.72083277621</v>
      </c>
      <c r="AF121" s="196">
        <v>491.62122725790499</v>
      </c>
      <c r="AG121" s="196">
        <v>256.782082322375</v>
      </c>
      <c r="AH121" s="196">
        <v>436.85452306525599</v>
      </c>
    </row>
    <row r="122" spans="1:34" x14ac:dyDescent="0.2">
      <c r="A122" s="191" t="s">
        <v>123</v>
      </c>
      <c r="B122" s="191" t="s">
        <v>112</v>
      </c>
      <c r="C122" s="191">
        <v>2021</v>
      </c>
      <c r="D122" s="191" t="s">
        <v>108</v>
      </c>
      <c r="E122" s="196">
        <v>846.01948152385103</v>
      </c>
      <c r="F122" s="196">
        <v>1039.7068240731301</v>
      </c>
      <c r="G122" s="196">
        <v>597.45127397625401</v>
      </c>
      <c r="H122" s="196">
        <v>300.01167603698701</v>
      </c>
      <c r="I122" s="196">
        <v>35.486539359090997</v>
      </c>
      <c r="J122" s="196">
        <v>1554.8901122933701</v>
      </c>
      <c r="K122" s="196">
        <v>4398.7261079300197</v>
      </c>
      <c r="L122" s="196">
        <v>415.49455239150001</v>
      </c>
      <c r="M122" s="196">
        <v>57.504207662234997</v>
      </c>
      <c r="N122" s="196">
        <v>635.99860205302605</v>
      </c>
      <c r="O122" s="196">
        <v>3365.8905030953802</v>
      </c>
      <c r="P122" s="196">
        <v>523.05531967700006</v>
      </c>
      <c r="Q122" s="196">
        <v>5097.17528468611</v>
      </c>
      <c r="R122" s="196">
        <v>595.03514053626702</v>
      </c>
      <c r="S122" s="196">
        <v>817.11649831015302</v>
      </c>
      <c r="T122" s="196">
        <v>384.954909444343</v>
      </c>
      <c r="U122" s="196">
        <v>19.886707463388699</v>
      </c>
      <c r="V122" s="196">
        <v>7058.6827569277002</v>
      </c>
      <c r="W122" s="196">
        <v>303.302917995374</v>
      </c>
      <c r="X122" s="196">
        <v>88.848317910734295</v>
      </c>
      <c r="Y122" s="196">
        <v>329.493824766025</v>
      </c>
      <c r="Z122" s="196">
        <v>6.7329837997929802</v>
      </c>
      <c r="AA122" s="196">
        <v>2236.0773304755098</v>
      </c>
      <c r="AB122" s="196">
        <v>564.47194032675498</v>
      </c>
      <c r="AC122" s="196">
        <v>6184.4074209454702</v>
      </c>
      <c r="AD122" s="196">
        <v>728.44785026444799</v>
      </c>
      <c r="AE122" s="196">
        <v>1860.3843540684099</v>
      </c>
      <c r="AF122" s="196">
        <v>495.39300015802598</v>
      </c>
      <c r="AG122" s="196">
        <v>258.29242047504601</v>
      </c>
      <c r="AH122" s="196">
        <v>484.39189352238998</v>
      </c>
    </row>
    <row r="123" spans="1:34" x14ac:dyDescent="0.2">
      <c r="A123" s="191" t="s">
        <v>122</v>
      </c>
      <c r="B123" s="191" t="s">
        <v>111</v>
      </c>
      <c r="C123" s="191">
        <v>2005</v>
      </c>
      <c r="D123" s="191" t="s">
        <v>107</v>
      </c>
      <c r="E123" s="196">
        <v>49409.355914606997</v>
      </c>
      <c r="F123" s="196">
        <v>75882.939537353304</v>
      </c>
      <c r="G123" s="196">
        <v>16982.520748757801</v>
      </c>
      <c r="H123" s="196">
        <v>39422.322173396497</v>
      </c>
      <c r="I123" s="196">
        <v>3609.0639096913901</v>
      </c>
      <c r="J123" s="196">
        <v>50146.684095692697</v>
      </c>
      <c r="K123" s="196">
        <v>430651.34273902501</v>
      </c>
      <c r="L123" s="196">
        <v>27376.709793661001</v>
      </c>
      <c r="M123" s="196">
        <v>3906.6783354562999</v>
      </c>
      <c r="N123" s="196">
        <v>45782.134031563597</v>
      </c>
      <c r="O123" s="196">
        <v>208077.56331083699</v>
      </c>
      <c r="P123" s="196">
        <v>30828.077935009998</v>
      </c>
      <c r="Q123" s="196">
        <v>312399.86066660599</v>
      </c>
      <c r="R123" s="196">
        <v>13137.8028483214</v>
      </c>
      <c r="S123" s="196">
        <v>34310.230620631097</v>
      </c>
      <c r="T123" s="196">
        <v>29628.181275658801</v>
      </c>
      <c r="U123" s="196">
        <v>1974.7064951100599</v>
      </c>
      <c r="V123" s="196">
        <v>309018.77115640801</v>
      </c>
      <c r="W123" s="196">
        <v>6822.3878585878501</v>
      </c>
      <c r="X123" s="196">
        <v>10193.3710134877</v>
      </c>
      <c r="Y123" s="196">
        <v>5491.46506377269</v>
      </c>
      <c r="Z123" s="196">
        <v>677.651072488821</v>
      </c>
      <c r="AA123" s="196">
        <v>102271.606415156</v>
      </c>
      <c r="AB123" s="196">
        <v>18593.952179843898</v>
      </c>
      <c r="AC123" s="196">
        <v>125985.932464863</v>
      </c>
      <c r="AD123" s="196">
        <v>36551.99197137</v>
      </c>
      <c r="AE123" s="196">
        <v>41191.697345683097</v>
      </c>
      <c r="AF123" s="196">
        <v>36020.848112821899</v>
      </c>
      <c r="AG123" s="196">
        <v>9269.9918742354293</v>
      </c>
      <c r="AH123" s="196">
        <v>22606.018177759401</v>
      </c>
    </row>
    <row r="124" spans="1:34" x14ac:dyDescent="0.2">
      <c r="A124" s="191" t="s">
        <v>122</v>
      </c>
      <c r="B124" s="191" t="s">
        <v>111</v>
      </c>
      <c r="C124" s="191">
        <v>2010</v>
      </c>
      <c r="D124" s="191" t="s">
        <v>107</v>
      </c>
      <c r="E124" s="196">
        <v>44215.0763782375</v>
      </c>
      <c r="F124" s="196">
        <v>72450.404635897605</v>
      </c>
      <c r="G124" s="196">
        <v>12811.5959244072</v>
      </c>
      <c r="H124" s="196">
        <v>38674.979281859298</v>
      </c>
      <c r="I124" s="196">
        <v>3631.95325836348</v>
      </c>
      <c r="J124" s="196">
        <v>43607.099174392097</v>
      </c>
      <c r="K124" s="196">
        <v>428696.14972885698</v>
      </c>
      <c r="L124" s="196">
        <v>25013.3437581527</v>
      </c>
      <c r="M124" s="196">
        <v>3627.3668281005098</v>
      </c>
      <c r="N124" s="196">
        <v>38249.802127553703</v>
      </c>
      <c r="O124" s="196">
        <v>181708.66885715601</v>
      </c>
      <c r="P124" s="196">
        <v>28603.789216242301</v>
      </c>
      <c r="Q124" s="196">
        <v>289093.90014089498</v>
      </c>
      <c r="R124" s="196">
        <v>12444.459919463899</v>
      </c>
      <c r="S124" s="196">
        <v>29091.553993874601</v>
      </c>
      <c r="T124" s="196">
        <v>27088.9124255508</v>
      </c>
      <c r="U124" s="196">
        <v>1784.93106306195</v>
      </c>
      <c r="V124" s="196">
        <v>272659.46803365397</v>
      </c>
      <c r="W124" s="196">
        <v>6987.3147541630296</v>
      </c>
      <c r="X124" s="196">
        <v>9403.1184707678694</v>
      </c>
      <c r="Y124" s="196">
        <v>5769.4952621677003</v>
      </c>
      <c r="Z124" s="196">
        <v>734.48667932850196</v>
      </c>
      <c r="AA124" s="196">
        <v>107820.852540843</v>
      </c>
      <c r="AB124" s="196">
        <v>19813.173816828501</v>
      </c>
      <c r="AC124" s="196">
        <v>141785.402004859</v>
      </c>
      <c r="AD124" s="196">
        <v>32570.2561940739</v>
      </c>
      <c r="AE124" s="196">
        <v>38109.208825757603</v>
      </c>
      <c r="AF124" s="196">
        <v>32752.867098429499</v>
      </c>
      <c r="AG124" s="196">
        <v>9268.6684776441707</v>
      </c>
      <c r="AH124" s="196">
        <v>21407.812542841199</v>
      </c>
    </row>
    <row r="125" spans="1:34" x14ac:dyDescent="0.2">
      <c r="A125" s="191" t="s">
        <v>122</v>
      </c>
      <c r="B125" s="191" t="s">
        <v>111</v>
      </c>
      <c r="C125" s="191">
        <v>2015</v>
      </c>
      <c r="D125" s="191" t="s">
        <v>107</v>
      </c>
      <c r="E125" s="196">
        <v>41384.030433523098</v>
      </c>
      <c r="F125" s="196">
        <v>64957.768750409901</v>
      </c>
      <c r="G125" s="196">
        <v>13537.2552446972</v>
      </c>
      <c r="H125" s="196">
        <v>33198.654211193701</v>
      </c>
      <c r="I125" s="196">
        <v>3057.08179885662</v>
      </c>
      <c r="J125" s="196">
        <v>40012.026933372603</v>
      </c>
      <c r="K125" s="196">
        <v>416264.22660826298</v>
      </c>
      <c r="L125" s="196">
        <v>21831.507131690199</v>
      </c>
      <c r="M125" s="196">
        <v>3718.2895874901101</v>
      </c>
      <c r="N125" s="196">
        <v>28079.5004734945</v>
      </c>
      <c r="O125" s="196">
        <v>159623.55087914801</v>
      </c>
      <c r="P125" s="196">
        <v>22235.947736132399</v>
      </c>
      <c r="Q125" s="196">
        <v>263533.12904381502</v>
      </c>
      <c r="R125" s="196">
        <v>10868.883120127201</v>
      </c>
      <c r="S125" s="196">
        <v>28098.966469896401</v>
      </c>
      <c r="T125" s="196">
        <v>24994.091988861201</v>
      </c>
      <c r="U125" s="196">
        <v>1648.18443278887</v>
      </c>
      <c r="V125" s="196">
        <v>236669.846329586</v>
      </c>
      <c r="W125" s="196">
        <v>7357.4020043415403</v>
      </c>
      <c r="X125" s="196">
        <v>8340.5426578816205</v>
      </c>
      <c r="Y125" s="196">
        <v>4992.2361482050601</v>
      </c>
      <c r="Z125" s="196">
        <v>804.12939361666201</v>
      </c>
      <c r="AA125" s="196">
        <v>87844.5402199659</v>
      </c>
      <c r="AB125" s="196">
        <v>18880.062369463099</v>
      </c>
      <c r="AC125" s="196">
        <v>126950.630210884</v>
      </c>
      <c r="AD125" s="196">
        <v>27772.0354788027</v>
      </c>
      <c r="AE125" s="196">
        <v>38145.583864524699</v>
      </c>
      <c r="AF125" s="196">
        <v>27823.232512537401</v>
      </c>
      <c r="AG125" s="196">
        <v>8252.2908351870301</v>
      </c>
      <c r="AH125" s="196">
        <v>18673.0581944351</v>
      </c>
    </row>
    <row r="126" spans="1:34" x14ac:dyDescent="0.2">
      <c r="A126" s="191" t="s">
        <v>122</v>
      </c>
      <c r="B126" s="191" t="s">
        <v>111</v>
      </c>
      <c r="C126" s="191">
        <v>2019</v>
      </c>
      <c r="D126" s="191" t="s">
        <v>107</v>
      </c>
      <c r="E126" s="196">
        <v>43678.457163847299</v>
      </c>
      <c r="F126" s="196">
        <v>63354.085314636497</v>
      </c>
      <c r="G126" s="196">
        <v>15301.749836757501</v>
      </c>
      <c r="H126" s="196">
        <v>31130.758909954598</v>
      </c>
      <c r="I126" s="196">
        <v>3240.5370490692799</v>
      </c>
      <c r="J126" s="196">
        <v>40760.236602891702</v>
      </c>
      <c r="K126" s="196">
        <v>411055.11536813102</v>
      </c>
      <c r="L126" s="196">
        <v>22007.237424184401</v>
      </c>
      <c r="M126" s="196">
        <v>3816.2001845248601</v>
      </c>
      <c r="N126" s="196">
        <v>27516.8687336191</v>
      </c>
      <c r="O126" s="196">
        <v>170753.08638814799</v>
      </c>
      <c r="P126" s="196">
        <v>22091.3372262628</v>
      </c>
      <c r="Q126" s="196">
        <v>251070.19739198301</v>
      </c>
      <c r="R126" s="196">
        <v>11640.505124094199</v>
      </c>
      <c r="S126" s="196">
        <v>31472.503609015799</v>
      </c>
      <c r="T126" s="196">
        <v>25879.919363980502</v>
      </c>
      <c r="U126" s="196">
        <v>1650.9411263720001</v>
      </c>
      <c r="V126" s="196">
        <v>229031.52329602899</v>
      </c>
      <c r="W126" s="196">
        <v>8852.0101844750807</v>
      </c>
      <c r="X126" s="196">
        <v>8958.7125927542093</v>
      </c>
      <c r="Y126" s="196">
        <v>5245.8687934178297</v>
      </c>
      <c r="Z126" s="196">
        <v>904.60472647411905</v>
      </c>
      <c r="AA126" s="196">
        <v>88617.708660185905</v>
      </c>
      <c r="AB126" s="196">
        <v>17364.2644461489</v>
      </c>
      <c r="AC126" s="196">
        <v>144311.172358065</v>
      </c>
      <c r="AD126" s="196">
        <v>29008.880500835199</v>
      </c>
      <c r="AE126" s="196">
        <v>43015.348695532397</v>
      </c>
      <c r="AF126" s="196">
        <v>25476.292968706199</v>
      </c>
      <c r="AG126" s="196">
        <v>8519.9742423108291</v>
      </c>
      <c r="AH126" s="196">
        <v>18942.201860030302</v>
      </c>
    </row>
    <row r="127" spans="1:34" x14ac:dyDescent="0.2">
      <c r="A127" s="191" t="s">
        <v>122</v>
      </c>
      <c r="B127" s="191" t="s">
        <v>111</v>
      </c>
      <c r="C127" s="191">
        <v>2021</v>
      </c>
      <c r="D127" s="191" t="s">
        <v>107</v>
      </c>
      <c r="E127" s="196">
        <v>42237.424869869799</v>
      </c>
      <c r="F127" s="196">
        <v>62661.597502508899</v>
      </c>
      <c r="G127" s="196">
        <v>16045.924825365901</v>
      </c>
      <c r="H127" s="196">
        <v>30393.692549053401</v>
      </c>
      <c r="I127" s="196">
        <v>3049.2979010047502</v>
      </c>
      <c r="J127" s="196">
        <v>43844.556750205098</v>
      </c>
      <c r="K127" s="196">
        <v>395521.66478509898</v>
      </c>
      <c r="L127" s="196">
        <v>21133.831044359002</v>
      </c>
      <c r="M127" s="196">
        <v>3366.4397371061</v>
      </c>
      <c r="N127" s="196">
        <v>26741.3199362507</v>
      </c>
      <c r="O127" s="196">
        <v>165928.14408942999</v>
      </c>
      <c r="P127" s="196">
        <v>20445.886288032201</v>
      </c>
      <c r="Q127" s="196">
        <v>245196.581030134</v>
      </c>
      <c r="R127" s="196">
        <v>11552.1744616915</v>
      </c>
      <c r="S127" s="196">
        <v>32114.378989185501</v>
      </c>
      <c r="T127" s="196">
        <v>25027.796569178499</v>
      </c>
      <c r="U127" s="196">
        <v>1559.2496996135301</v>
      </c>
      <c r="V127" s="196">
        <v>232481.214238532</v>
      </c>
      <c r="W127" s="196">
        <v>8814.0102389055392</v>
      </c>
      <c r="X127" s="196">
        <v>7707.4446766824203</v>
      </c>
      <c r="Y127" s="196">
        <v>5241.4967768107299</v>
      </c>
      <c r="Z127" s="196">
        <v>830.19443808731603</v>
      </c>
      <c r="AA127" s="196">
        <v>86289.340916333502</v>
      </c>
      <c r="AB127" s="196">
        <v>17280.622833108999</v>
      </c>
      <c r="AC127" s="196">
        <v>148326.60019970001</v>
      </c>
      <c r="AD127" s="196">
        <v>26729.3504939257</v>
      </c>
      <c r="AE127" s="196">
        <v>46748.126456205202</v>
      </c>
      <c r="AF127" s="196">
        <v>23728.421078650499</v>
      </c>
      <c r="AG127" s="196">
        <v>7979.7781567376896</v>
      </c>
      <c r="AH127" s="196">
        <v>19521.279621081401</v>
      </c>
    </row>
    <row r="128" spans="1:34" x14ac:dyDescent="0.2">
      <c r="A128" s="191" t="s">
        <v>122</v>
      </c>
      <c r="B128" s="191" t="s">
        <v>111</v>
      </c>
      <c r="C128" s="191">
        <v>2005</v>
      </c>
      <c r="D128" s="191" t="s">
        <v>109</v>
      </c>
      <c r="E128" s="196">
        <v>60373.551184260599</v>
      </c>
      <c r="F128" s="196">
        <v>89061.859680269597</v>
      </c>
      <c r="G128" s="196">
        <v>26291.758515248701</v>
      </c>
      <c r="H128" s="196">
        <v>47495.420575558499</v>
      </c>
      <c r="I128" s="196">
        <v>4723.6897704870198</v>
      </c>
      <c r="J128" s="196">
        <v>63220.555220912102</v>
      </c>
      <c r="K128" s="196">
        <v>509773.97585479799</v>
      </c>
      <c r="L128" s="196">
        <v>41439.048848291401</v>
      </c>
      <c r="M128" s="196">
        <v>5757.1648613390298</v>
      </c>
      <c r="N128" s="196">
        <v>61494.969770427801</v>
      </c>
      <c r="O128" s="196">
        <v>262713.49240925699</v>
      </c>
      <c r="P128" s="196">
        <v>40571.672928633699</v>
      </c>
      <c r="Q128" s="196">
        <v>413888.00804452802</v>
      </c>
      <c r="R128" s="196">
        <v>18567.3853641192</v>
      </c>
      <c r="S128" s="196">
        <v>45547.843422588201</v>
      </c>
      <c r="T128" s="196">
        <v>51645.1768888714</v>
      </c>
      <c r="U128" s="196">
        <v>2959.38059656511</v>
      </c>
      <c r="V128" s="196">
        <v>373626.90440136602</v>
      </c>
      <c r="W128" s="196">
        <v>12868.0738992612</v>
      </c>
      <c r="X128" s="196">
        <v>10997.5995721462</v>
      </c>
      <c r="Y128" s="196">
        <v>8431.9210520606593</v>
      </c>
      <c r="Z128" s="196">
        <v>973.45883183044305</v>
      </c>
      <c r="AA128" s="196">
        <v>129491.89480387801</v>
      </c>
      <c r="AB128" s="196">
        <v>25736.540806802601</v>
      </c>
      <c r="AC128" s="196">
        <v>172347.74147169699</v>
      </c>
      <c r="AD128" s="196">
        <v>51582.352934272501</v>
      </c>
      <c r="AE128" s="196">
        <v>70266.491039862507</v>
      </c>
      <c r="AF128" s="196">
        <v>46202.440159588499</v>
      </c>
      <c r="AG128" s="196">
        <v>12227.063100871201</v>
      </c>
      <c r="AH128" s="196">
        <v>27413.693367137799</v>
      </c>
    </row>
    <row r="129" spans="1:34" x14ac:dyDescent="0.2">
      <c r="A129" s="191" t="s">
        <v>122</v>
      </c>
      <c r="B129" s="191" t="s">
        <v>111</v>
      </c>
      <c r="C129" s="191">
        <v>2010</v>
      </c>
      <c r="D129" s="191" t="s">
        <v>109</v>
      </c>
      <c r="E129" s="196">
        <v>54445.9907630421</v>
      </c>
      <c r="F129" s="196">
        <v>84991.625991664099</v>
      </c>
      <c r="G129" s="196">
        <v>22204.251787514098</v>
      </c>
      <c r="H129" s="196">
        <v>46623.707092211502</v>
      </c>
      <c r="I129" s="196">
        <v>4757.1772097366302</v>
      </c>
      <c r="J129" s="196">
        <v>56647.763877215497</v>
      </c>
      <c r="K129" s="196">
        <v>500678.39860143</v>
      </c>
      <c r="L129" s="196">
        <v>38636.701507717997</v>
      </c>
      <c r="M129" s="196">
        <v>5529.8610166771095</v>
      </c>
      <c r="N129" s="196">
        <v>53572.556710883699</v>
      </c>
      <c r="O129" s="196">
        <v>234597.807928086</v>
      </c>
      <c r="P129" s="196">
        <v>38164.621185731899</v>
      </c>
      <c r="Q129" s="196">
        <v>387400.85598738497</v>
      </c>
      <c r="R129" s="196">
        <v>17999.847628039399</v>
      </c>
      <c r="S129" s="196">
        <v>39925.134181685702</v>
      </c>
      <c r="T129" s="196">
        <v>46937.305251779602</v>
      </c>
      <c r="U129" s="196">
        <v>2782.54693129418</v>
      </c>
      <c r="V129" s="196">
        <v>334403.94602538901</v>
      </c>
      <c r="W129" s="196">
        <v>12877.958326116701</v>
      </c>
      <c r="X129" s="196">
        <v>10239.329365616</v>
      </c>
      <c r="Y129" s="196">
        <v>8739.3015392761499</v>
      </c>
      <c r="Z129" s="196">
        <v>950.14129212606997</v>
      </c>
      <c r="AA129" s="196">
        <v>134181.24273182399</v>
      </c>
      <c r="AB129" s="196">
        <v>26763.677654954099</v>
      </c>
      <c r="AC129" s="196">
        <v>186551.89656836301</v>
      </c>
      <c r="AD129" s="196">
        <v>46566.804123729002</v>
      </c>
      <c r="AE129" s="196">
        <v>64306.874292377099</v>
      </c>
      <c r="AF129" s="196">
        <v>41876.094980264803</v>
      </c>
      <c r="AG129" s="196">
        <v>11899.3517430261</v>
      </c>
      <c r="AH129" s="196">
        <v>26186.107173344499</v>
      </c>
    </row>
    <row r="130" spans="1:34" x14ac:dyDescent="0.2">
      <c r="A130" s="191" t="s">
        <v>122</v>
      </c>
      <c r="B130" s="191" t="s">
        <v>111</v>
      </c>
      <c r="C130" s="191">
        <v>2015</v>
      </c>
      <c r="D130" s="191" t="s">
        <v>109</v>
      </c>
      <c r="E130" s="196">
        <v>51076.200530379399</v>
      </c>
      <c r="F130" s="196">
        <v>76944.0184915719</v>
      </c>
      <c r="G130" s="196">
        <v>23445.9143798062</v>
      </c>
      <c r="H130" s="196">
        <v>40884.998110119297</v>
      </c>
      <c r="I130" s="196">
        <v>4150.1014681203096</v>
      </c>
      <c r="J130" s="196">
        <v>54536.258484971397</v>
      </c>
      <c r="K130" s="196">
        <v>486776.946106649</v>
      </c>
      <c r="L130" s="196">
        <v>35286.202559910002</v>
      </c>
      <c r="M130" s="196">
        <v>5594.9403094463796</v>
      </c>
      <c r="N130" s="196">
        <v>41860.401177329702</v>
      </c>
      <c r="O130" s="196">
        <v>211748.640681613</v>
      </c>
      <c r="P130" s="196">
        <v>31296.798357714699</v>
      </c>
      <c r="Q130" s="196">
        <v>356223.12570051599</v>
      </c>
      <c r="R130" s="196">
        <v>16167.5978052436</v>
      </c>
      <c r="S130" s="196">
        <v>39435.264361321497</v>
      </c>
      <c r="T130" s="196">
        <v>46550.211725996996</v>
      </c>
      <c r="U130" s="196">
        <v>2609.5927068661899</v>
      </c>
      <c r="V130" s="196">
        <v>295511.614652591</v>
      </c>
      <c r="W130" s="196">
        <v>13271.053802270901</v>
      </c>
      <c r="X130" s="196">
        <v>9184.4873892852302</v>
      </c>
      <c r="Y130" s="196">
        <v>8074.8490692636797</v>
      </c>
      <c r="Z130" s="196">
        <v>1044.45369481634</v>
      </c>
      <c r="AA130" s="196">
        <v>113072.588702566</v>
      </c>
      <c r="AB130" s="196">
        <v>25655.613122449598</v>
      </c>
      <c r="AC130" s="196">
        <v>168297.503611066</v>
      </c>
      <c r="AD130" s="196">
        <v>40796.169885658899</v>
      </c>
      <c r="AE130" s="196">
        <v>65083.963386451003</v>
      </c>
      <c r="AF130" s="196">
        <v>36301.740021261998</v>
      </c>
      <c r="AG130" s="196">
        <v>10835.998170810801</v>
      </c>
      <c r="AH130" s="196">
        <v>23486.4590328208</v>
      </c>
    </row>
    <row r="131" spans="1:34" x14ac:dyDescent="0.2">
      <c r="A131" s="191" t="s">
        <v>122</v>
      </c>
      <c r="B131" s="191" t="s">
        <v>111</v>
      </c>
      <c r="C131" s="191">
        <v>2019</v>
      </c>
      <c r="D131" s="191" t="s">
        <v>109</v>
      </c>
      <c r="E131" s="196">
        <v>52883.971430487603</v>
      </c>
      <c r="F131" s="196">
        <v>74834.289403607894</v>
      </c>
      <c r="G131" s="196">
        <v>24802.7193958752</v>
      </c>
      <c r="H131" s="196">
        <v>38470.217881955803</v>
      </c>
      <c r="I131" s="196">
        <v>4425.6999589795796</v>
      </c>
      <c r="J131" s="196">
        <v>55346.621750371902</v>
      </c>
      <c r="K131" s="196">
        <v>476600.51908820798</v>
      </c>
      <c r="L131" s="196">
        <v>35567.764049641002</v>
      </c>
      <c r="M131" s="196">
        <v>5746.9173995606097</v>
      </c>
      <c r="N131" s="196">
        <v>41609.633479245596</v>
      </c>
      <c r="O131" s="196">
        <v>222194.32445476399</v>
      </c>
      <c r="P131" s="196">
        <v>30868.485808768299</v>
      </c>
      <c r="Q131" s="196">
        <v>340940.00526998402</v>
      </c>
      <c r="R131" s="196">
        <v>16823.179279019099</v>
      </c>
      <c r="S131" s="196">
        <v>42807.413011439399</v>
      </c>
      <c r="T131" s="196">
        <v>48568.414223054198</v>
      </c>
      <c r="U131" s="196">
        <v>2516.49876192485</v>
      </c>
      <c r="V131" s="196">
        <v>287202.36665881501</v>
      </c>
      <c r="W131" s="196">
        <v>14330.2478789456</v>
      </c>
      <c r="X131" s="196">
        <v>9822.7488510792191</v>
      </c>
      <c r="Y131" s="196">
        <v>8315.3963590925905</v>
      </c>
      <c r="Z131" s="196">
        <v>1182.6822503713699</v>
      </c>
      <c r="AA131" s="196">
        <v>112934.191550943</v>
      </c>
      <c r="AB131" s="196">
        <v>23764.185217814102</v>
      </c>
      <c r="AC131" s="196">
        <v>186987.272653833</v>
      </c>
      <c r="AD131" s="196">
        <v>42131.433937550602</v>
      </c>
      <c r="AE131" s="196">
        <v>70414.069305478304</v>
      </c>
      <c r="AF131" s="196">
        <v>33570.702971661201</v>
      </c>
      <c r="AG131" s="196">
        <v>11009.9058572172</v>
      </c>
      <c r="AH131" s="196">
        <v>23714.355324752902</v>
      </c>
    </row>
    <row r="132" spans="1:34" x14ac:dyDescent="0.2">
      <c r="A132" s="191" t="s">
        <v>122</v>
      </c>
      <c r="B132" s="191" t="s">
        <v>111</v>
      </c>
      <c r="C132" s="191">
        <v>2021</v>
      </c>
      <c r="D132" s="191" t="s">
        <v>109</v>
      </c>
      <c r="E132" s="196">
        <v>51363.8429965451</v>
      </c>
      <c r="F132" s="196">
        <v>73911.4441358107</v>
      </c>
      <c r="G132" s="196">
        <v>25518.377952917101</v>
      </c>
      <c r="H132" s="196">
        <v>37678.828658758299</v>
      </c>
      <c r="I132" s="196">
        <v>4304.29694170521</v>
      </c>
      <c r="J132" s="196">
        <v>58527.473222623303</v>
      </c>
      <c r="K132" s="196">
        <v>458159.31683949003</v>
      </c>
      <c r="L132" s="196">
        <v>34680.666084475997</v>
      </c>
      <c r="M132" s="196">
        <v>5295.8219203181998</v>
      </c>
      <c r="N132" s="196">
        <v>41238.683985474003</v>
      </c>
      <c r="O132" s="196">
        <v>217573.23926966701</v>
      </c>
      <c r="P132" s="196">
        <v>28888.667802718199</v>
      </c>
      <c r="Q132" s="196">
        <v>331618.80330352299</v>
      </c>
      <c r="R132" s="196">
        <v>16622.541750701301</v>
      </c>
      <c r="S132" s="196">
        <v>43605.906981311498</v>
      </c>
      <c r="T132" s="196">
        <v>48575.935507523303</v>
      </c>
      <c r="U132" s="196">
        <v>2451.8816570744798</v>
      </c>
      <c r="V132" s="196">
        <v>291900.05246464501</v>
      </c>
      <c r="W132" s="196">
        <v>14221.048389011199</v>
      </c>
      <c r="X132" s="196">
        <v>8568.28228715572</v>
      </c>
      <c r="Y132" s="196">
        <v>8305.5731972310004</v>
      </c>
      <c r="Z132" s="196">
        <v>1125.1396478884601</v>
      </c>
      <c r="AA132" s="196">
        <v>109927.192387216</v>
      </c>
      <c r="AB132" s="196">
        <v>23697.106775924101</v>
      </c>
      <c r="AC132" s="196">
        <v>191534.309547246</v>
      </c>
      <c r="AD132" s="196">
        <v>39655.930423504302</v>
      </c>
      <c r="AE132" s="196">
        <v>74141.2822057835</v>
      </c>
      <c r="AF132" s="196">
        <v>31639.285999958</v>
      </c>
      <c r="AG132" s="196">
        <v>10436.6507737639</v>
      </c>
      <c r="AH132" s="196">
        <v>24249.6716124302</v>
      </c>
    </row>
    <row r="133" spans="1:34" x14ac:dyDescent="0.2">
      <c r="A133" s="191" t="s">
        <v>122</v>
      </c>
      <c r="B133" s="191" t="s">
        <v>111</v>
      </c>
      <c r="C133" s="191">
        <v>2005</v>
      </c>
      <c r="D133" s="191" t="s">
        <v>108</v>
      </c>
      <c r="E133" s="196">
        <v>10964.195269653599</v>
      </c>
      <c r="F133" s="196">
        <v>13178.9201429163</v>
      </c>
      <c r="G133" s="196">
        <v>9309.2377664908399</v>
      </c>
      <c r="H133" s="196">
        <v>8073.0984021619797</v>
      </c>
      <c r="I133" s="196">
        <v>1114.6258607956199</v>
      </c>
      <c r="J133" s="196">
        <v>13073.871125219401</v>
      </c>
      <c r="K133" s="196">
        <v>79122.6331157729</v>
      </c>
      <c r="L133" s="196">
        <v>14062.3390546304</v>
      </c>
      <c r="M133" s="196">
        <v>1850.4865258827199</v>
      </c>
      <c r="N133" s="196">
        <v>15712.8357388642</v>
      </c>
      <c r="O133" s="196">
        <v>54635.929098419801</v>
      </c>
      <c r="P133" s="196">
        <v>9743.5949936236993</v>
      </c>
      <c r="Q133" s="196">
        <v>101488.147377922</v>
      </c>
      <c r="R133" s="196">
        <v>5429.5825157977597</v>
      </c>
      <c r="S133" s="196">
        <v>11237.612801957001</v>
      </c>
      <c r="T133" s="196">
        <v>22016.995613212599</v>
      </c>
      <c r="U133" s="196">
        <v>984.67410145505198</v>
      </c>
      <c r="V133" s="196">
        <v>64608.133244958</v>
      </c>
      <c r="W133" s="196">
        <v>6045.6860406733604</v>
      </c>
      <c r="X133" s="196">
        <v>804.22855865842098</v>
      </c>
      <c r="Y133" s="196">
        <v>2940.4559882879798</v>
      </c>
      <c r="Z133" s="196">
        <v>295.80775934162199</v>
      </c>
      <c r="AA133" s="196">
        <v>27220.288388721801</v>
      </c>
      <c r="AB133" s="196">
        <v>7142.5886269586699</v>
      </c>
      <c r="AC133" s="196">
        <v>46361.809006833697</v>
      </c>
      <c r="AD133" s="196">
        <v>15030.3609629025</v>
      </c>
      <c r="AE133" s="196">
        <v>29074.7936941794</v>
      </c>
      <c r="AF133" s="196">
        <v>10181.5920467666</v>
      </c>
      <c r="AG133" s="196">
        <v>2957.07122663574</v>
      </c>
      <c r="AH133" s="196">
        <v>4807.6751893783903</v>
      </c>
    </row>
    <row r="134" spans="1:34" x14ac:dyDescent="0.2">
      <c r="A134" s="191" t="s">
        <v>122</v>
      </c>
      <c r="B134" s="191" t="s">
        <v>111</v>
      </c>
      <c r="C134" s="191">
        <v>2010</v>
      </c>
      <c r="D134" s="191" t="s">
        <v>108</v>
      </c>
      <c r="E134" s="196">
        <v>10230.914384804601</v>
      </c>
      <c r="F134" s="196">
        <v>12541.2213557665</v>
      </c>
      <c r="G134" s="196">
        <v>9392.6558631068201</v>
      </c>
      <c r="H134" s="196">
        <v>7948.7278103522003</v>
      </c>
      <c r="I134" s="196">
        <v>1125.2239513731499</v>
      </c>
      <c r="J134" s="196">
        <v>13040.6647028235</v>
      </c>
      <c r="K134" s="196">
        <v>71982.248872573604</v>
      </c>
      <c r="L134" s="196">
        <v>13623.357749565301</v>
      </c>
      <c r="M134" s="196">
        <v>1902.4941885766</v>
      </c>
      <c r="N134" s="196">
        <v>15322.754583329999</v>
      </c>
      <c r="O134" s="196">
        <v>52889.139070930003</v>
      </c>
      <c r="P134" s="196">
        <v>9560.83196948962</v>
      </c>
      <c r="Q134" s="196">
        <v>98306.955846490397</v>
      </c>
      <c r="R134" s="196">
        <v>5555.3877085754802</v>
      </c>
      <c r="S134" s="196">
        <v>10833.5801878111</v>
      </c>
      <c r="T134" s="196">
        <v>19848.392826228799</v>
      </c>
      <c r="U134" s="196">
        <v>997.61586823223604</v>
      </c>
      <c r="V134" s="196">
        <v>61744.477991735002</v>
      </c>
      <c r="W134" s="196">
        <v>5890.6435719536403</v>
      </c>
      <c r="X134" s="196">
        <v>836.21089484814104</v>
      </c>
      <c r="Y134" s="196">
        <v>2969.8062771084401</v>
      </c>
      <c r="Z134" s="196">
        <v>215.65461279756801</v>
      </c>
      <c r="AA134" s="196">
        <v>26360.390190981601</v>
      </c>
      <c r="AB134" s="196">
        <v>6950.50383812565</v>
      </c>
      <c r="AC134" s="196">
        <v>44766.494563503897</v>
      </c>
      <c r="AD134" s="196">
        <v>13996.5479296551</v>
      </c>
      <c r="AE134" s="196">
        <v>26197.665466619499</v>
      </c>
      <c r="AF134" s="196">
        <v>9123.2278818353407</v>
      </c>
      <c r="AG134" s="196">
        <v>2630.6832653819401</v>
      </c>
      <c r="AH134" s="196">
        <v>4778.2946305033001</v>
      </c>
    </row>
    <row r="135" spans="1:34" x14ac:dyDescent="0.2">
      <c r="A135" s="191" t="s">
        <v>122</v>
      </c>
      <c r="B135" s="191" t="s">
        <v>111</v>
      </c>
      <c r="C135" s="191">
        <v>2015</v>
      </c>
      <c r="D135" s="191" t="s">
        <v>108</v>
      </c>
      <c r="E135" s="196">
        <v>9692.17009685624</v>
      </c>
      <c r="F135" s="196">
        <v>11986.249741162001</v>
      </c>
      <c r="G135" s="196">
        <v>9908.6591351090101</v>
      </c>
      <c r="H135" s="196">
        <v>7686.3438989256301</v>
      </c>
      <c r="I135" s="196">
        <v>1093.01966926369</v>
      </c>
      <c r="J135" s="196">
        <v>14524.231551598799</v>
      </c>
      <c r="K135" s="196">
        <v>70512.719498385704</v>
      </c>
      <c r="L135" s="196">
        <v>13454.6954282198</v>
      </c>
      <c r="M135" s="196">
        <v>1876.65072195627</v>
      </c>
      <c r="N135" s="196">
        <v>13780.900703835199</v>
      </c>
      <c r="O135" s="196">
        <v>52125.089802464798</v>
      </c>
      <c r="P135" s="196">
        <v>9060.8506215822108</v>
      </c>
      <c r="Q135" s="196">
        <v>92689.996656700794</v>
      </c>
      <c r="R135" s="196">
        <v>5298.7146851163498</v>
      </c>
      <c r="S135" s="196">
        <v>11336.2978914252</v>
      </c>
      <c r="T135" s="196">
        <v>21556.119737135799</v>
      </c>
      <c r="U135" s="196">
        <v>961.40827407732297</v>
      </c>
      <c r="V135" s="196">
        <v>58841.768323005301</v>
      </c>
      <c r="W135" s="196">
        <v>5913.6517979293303</v>
      </c>
      <c r="X135" s="196">
        <v>843.94473140360799</v>
      </c>
      <c r="Y135" s="196">
        <v>3082.61292105862</v>
      </c>
      <c r="Z135" s="196">
        <v>240.324301199676</v>
      </c>
      <c r="AA135" s="196">
        <v>25228.048482600301</v>
      </c>
      <c r="AB135" s="196">
        <v>6775.5507529864299</v>
      </c>
      <c r="AC135" s="196">
        <v>41346.873400181801</v>
      </c>
      <c r="AD135" s="196">
        <v>13024.134406856199</v>
      </c>
      <c r="AE135" s="196">
        <v>26938.379521926301</v>
      </c>
      <c r="AF135" s="196">
        <v>8478.5075087245896</v>
      </c>
      <c r="AG135" s="196">
        <v>2583.7073356237602</v>
      </c>
      <c r="AH135" s="196">
        <v>4813.4008383857199</v>
      </c>
    </row>
    <row r="136" spans="1:34" x14ac:dyDescent="0.2">
      <c r="A136" s="191" t="s">
        <v>122</v>
      </c>
      <c r="B136" s="191" t="s">
        <v>111</v>
      </c>
      <c r="C136" s="191">
        <v>2019</v>
      </c>
      <c r="D136" s="191" t="s">
        <v>108</v>
      </c>
      <c r="E136" s="196">
        <v>9205.5142666403408</v>
      </c>
      <c r="F136" s="196">
        <v>11480.204088971401</v>
      </c>
      <c r="G136" s="196">
        <v>9500.9695591177606</v>
      </c>
      <c r="H136" s="196">
        <v>7339.4589720012</v>
      </c>
      <c r="I136" s="196">
        <v>1185.16290991031</v>
      </c>
      <c r="J136" s="196">
        <v>14586.3851474802</v>
      </c>
      <c r="K136" s="196">
        <v>65545.403720076996</v>
      </c>
      <c r="L136" s="196">
        <v>13560.5266254566</v>
      </c>
      <c r="M136" s="196">
        <v>1930.7172150357401</v>
      </c>
      <c r="N136" s="196">
        <v>14092.7647456265</v>
      </c>
      <c r="O136" s="196">
        <v>51441.238066615697</v>
      </c>
      <c r="P136" s="196">
        <v>8777.1485825054697</v>
      </c>
      <c r="Q136" s="196">
        <v>89869.807878000807</v>
      </c>
      <c r="R136" s="196">
        <v>5182.67415492493</v>
      </c>
      <c r="S136" s="196">
        <v>11334.9094024236</v>
      </c>
      <c r="T136" s="196">
        <v>22688.4948590737</v>
      </c>
      <c r="U136" s="196">
        <v>865.55763555284898</v>
      </c>
      <c r="V136" s="196">
        <v>58170.843362786298</v>
      </c>
      <c r="W136" s="196">
        <v>5478.2376944705002</v>
      </c>
      <c r="X136" s="196">
        <v>864.036258325007</v>
      </c>
      <c r="Y136" s="196">
        <v>3069.5275656747699</v>
      </c>
      <c r="Z136" s="196">
        <v>278.07752389724999</v>
      </c>
      <c r="AA136" s="196">
        <v>24316.482890756899</v>
      </c>
      <c r="AB136" s="196">
        <v>6399.9207716652299</v>
      </c>
      <c r="AC136" s="196">
        <v>42676.100295767501</v>
      </c>
      <c r="AD136" s="196">
        <v>13122.5534367154</v>
      </c>
      <c r="AE136" s="196">
        <v>27398.7206099459</v>
      </c>
      <c r="AF136" s="196">
        <v>8094.41000295495</v>
      </c>
      <c r="AG136" s="196">
        <v>2489.9316149063602</v>
      </c>
      <c r="AH136" s="196">
        <v>4772.1534647226599</v>
      </c>
    </row>
    <row r="137" spans="1:34" x14ac:dyDescent="0.2">
      <c r="A137" s="191" t="s">
        <v>122</v>
      </c>
      <c r="B137" s="191" t="s">
        <v>111</v>
      </c>
      <c r="C137" s="191">
        <v>2021</v>
      </c>
      <c r="D137" s="191" t="s">
        <v>108</v>
      </c>
      <c r="E137" s="196">
        <v>9126.4181266752894</v>
      </c>
      <c r="F137" s="196">
        <v>11249.8466333018</v>
      </c>
      <c r="G137" s="196">
        <v>9472.4531275511308</v>
      </c>
      <c r="H137" s="196">
        <v>7285.1361097049103</v>
      </c>
      <c r="I137" s="196">
        <v>1254.99904070046</v>
      </c>
      <c r="J137" s="196">
        <v>14682.916472418299</v>
      </c>
      <c r="K137" s="196">
        <v>62637.652054391103</v>
      </c>
      <c r="L137" s="196">
        <v>13546.835040117099</v>
      </c>
      <c r="M137" s="196">
        <v>1929.3821832121</v>
      </c>
      <c r="N137" s="196">
        <v>14497.364049223301</v>
      </c>
      <c r="O137" s="196">
        <v>51645.095180237397</v>
      </c>
      <c r="P137" s="196">
        <v>8442.7815146859903</v>
      </c>
      <c r="Q137" s="196">
        <v>86422.222273388805</v>
      </c>
      <c r="R137" s="196">
        <v>5070.3672890098696</v>
      </c>
      <c r="S137" s="196">
        <v>11491.527992126001</v>
      </c>
      <c r="T137" s="196">
        <v>23548.138938344899</v>
      </c>
      <c r="U137" s="196">
        <v>892.63195746095505</v>
      </c>
      <c r="V137" s="196">
        <v>59418.838226113097</v>
      </c>
      <c r="W137" s="196">
        <v>5407.03815010568</v>
      </c>
      <c r="X137" s="196">
        <v>860.83761047330802</v>
      </c>
      <c r="Y137" s="196">
        <v>3064.0764204202701</v>
      </c>
      <c r="Z137" s="196">
        <v>294.94520980114299</v>
      </c>
      <c r="AA137" s="196">
        <v>23637.851470882</v>
      </c>
      <c r="AB137" s="196">
        <v>6416.4839428151299</v>
      </c>
      <c r="AC137" s="196">
        <v>43207.709347546101</v>
      </c>
      <c r="AD137" s="196">
        <v>12926.5799295786</v>
      </c>
      <c r="AE137" s="196">
        <v>27393.155749578302</v>
      </c>
      <c r="AF137" s="196">
        <v>7910.8649213074896</v>
      </c>
      <c r="AG137" s="196">
        <v>2456.8726170261998</v>
      </c>
      <c r="AH137" s="196">
        <v>4728.3919913488498</v>
      </c>
    </row>
    <row r="138" spans="1:34" x14ac:dyDescent="0.2">
      <c r="A138" s="191" t="s">
        <v>121</v>
      </c>
      <c r="B138" s="191" t="s">
        <v>113</v>
      </c>
      <c r="C138" s="191">
        <v>2005</v>
      </c>
      <c r="D138" s="191" t="s">
        <v>107</v>
      </c>
      <c r="E138" s="196">
        <v>107.942864708995</v>
      </c>
      <c r="F138" s="196">
        <v>713.91307243433596</v>
      </c>
      <c r="G138" s="196">
        <v>96.627272444933595</v>
      </c>
      <c r="H138" s="196">
        <v>54.322310704124902</v>
      </c>
      <c r="I138" s="196">
        <v>0.96650000000000003</v>
      </c>
      <c r="J138" s="196">
        <v>318.470277147427</v>
      </c>
      <c r="K138" s="196">
        <v>2377.5344778253998</v>
      </c>
      <c r="L138" s="196">
        <v>246.21848103988501</v>
      </c>
      <c r="M138" s="196">
        <v>10.0855800298741</v>
      </c>
      <c r="N138" s="196">
        <v>33.890016512000003</v>
      </c>
      <c r="O138" s="196">
        <v>536.49262999999996</v>
      </c>
      <c r="P138" s="196">
        <v>290.995846893482</v>
      </c>
      <c r="Q138" s="196">
        <v>3520.39622824248</v>
      </c>
      <c r="R138" s="196">
        <v>85.6234180442667</v>
      </c>
      <c r="S138" s="196">
        <v>240.61147537272799</v>
      </c>
      <c r="T138" s="196">
        <v>456.04420098665798</v>
      </c>
      <c r="U138" s="196">
        <v>11.0125552813809</v>
      </c>
      <c r="V138" s="196">
        <v>793.89577243274596</v>
      </c>
      <c r="W138" s="196">
        <v>55.475454376627397</v>
      </c>
      <c r="X138" s="196">
        <v>8.8308383189324395</v>
      </c>
      <c r="Y138" s="196">
        <v>3.38293131</v>
      </c>
      <c r="Z138" s="196">
        <v>0.31560188</v>
      </c>
      <c r="AA138" s="196">
        <v>83.022157032473203</v>
      </c>
      <c r="AB138" s="196">
        <v>216.81574726669999</v>
      </c>
      <c r="AC138" s="196">
        <v>1807.10772439672</v>
      </c>
      <c r="AD138" s="196">
        <v>49.971367643998398</v>
      </c>
      <c r="AE138" s="196">
        <v>228.40896546057999</v>
      </c>
      <c r="AF138" s="196">
        <v>211.35407965396399</v>
      </c>
      <c r="AG138" s="196">
        <v>32.376041673083698</v>
      </c>
      <c r="AH138" s="196">
        <v>40.044664060874602</v>
      </c>
    </row>
    <row r="139" spans="1:34" x14ac:dyDescent="0.2">
      <c r="A139" s="191" t="s">
        <v>121</v>
      </c>
      <c r="B139" s="191" t="s">
        <v>113</v>
      </c>
      <c r="C139" s="191">
        <v>2010</v>
      </c>
      <c r="D139" s="191" t="s">
        <v>107</v>
      </c>
      <c r="E139" s="196">
        <v>114.40165489376</v>
      </c>
      <c r="F139" s="196">
        <v>859.06527991818598</v>
      </c>
      <c r="G139" s="196">
        <v>54.697999033333303</v>
      </c>
      <c r="H139" s="196">
        <v>55.423443124195302</v>
      </c>
      <c r="I139" s="196">
        <v>0.73770000000000002</v>
      </c>
      <c r="J139" s="196">
        <v>334.43920555481998</v>
      </c>
      <c r="K139" s="196">
        <v>2516.99098987654</v>
      </c>
      <c r="L139" s="196">
        <v>182.05296348337399</v>
      </c>
      <c r="M139" s="196">
        <v>10.2115775566583</v>
      </c>
      <c r="N139" s="196">
        <v>36.7030810444056</v>
      </c>
      <c r="O139" s="196">
        <v>608.78551000000004</v>
      </c>
      <c r="P139" s="196">
        <v>278.98594896035303</v>
      </c>
      <c r="Q139" s="196">
        <v>3517.45322079366</v>
      </c>
      <c r="R139" s="196">
        <v>88.085155955866696</v>
      </c>
      <c r="S139" s="196">
        <v>215.29614716255</v>
      </c>
      <c r="T139" s="196">
        <v>587.19301469226104</v>
      </c>
      <c r="U139" s="196">
        <v>10.297192549722601</v>
      </c>
      <c r="V139" s="196">
        <v>558.27133592925998</v>
      </c>
      <c r="W139" s="196">
        <v>39.397302726718301</v>
      </c>
      <c r="X139" s="196">
        <v>7.99835735428716</v>
      </c>
      <c r="Y139" s="196">
        <v>6.3154018399999998</v>
      </c>
      <c r="Z139" s="196">
        <v>0.52165380666667005</v>
      </c>
      <c r="AA139" s="196">
        <v>92.035189053087706</v>
      </c>
      <c r="AB139" s="196">
        <v>274.89033174207998</v>
      </c>
      <c r="AC139" s="196">
        <v>1315.4721115361299</v>
      </c>
      <c r="AD139" s="196">
        <v>63.4237603242657</v>
      </c>
      <c r="AE139" s="196">
        <v>110.805909761005</v>
      </c>
      <c r="AF139" s="196">
        <v>224.02917746711299</v>
      </c>
      <c r="AG139" s="196">
        <v>35.162831890168</v>
      </c>
      <c r="AH139" s="196">
        <v>44.324522126081902</v>
      </c>
    </row>
    <row r="140" spans="1:34" x14ac:dyDescent="0.2">
      <c r="A140" s="191" t="s">
        <v>121</v>
      </c>
      <c r="B140" s="191" t="s">
        <v>113</v>
      </c>
      <c r="C140" s="191">
        <v>2015</v>
      </c>
      <c r="D140" s="191" t="s">
        <v>107</v>
      </c>
      <c r="E140" s="196">
        <v>147.537200589989</v>
      </c>
      <c r="F140" s="196">
        <v>484.65503424540401</v>
      </c>
      <c r="G140" s="196">
        <v>65.973843801110107</v>
      </c>
      <c r="H140" s="196">
        <v>54.633658316959803</v>
      </c>
      <c r="I140" s="196">
        <v>0.3982</v>
      </c>
      <c r="J140" s="196">
        <v>535.68326755370504</v>
      </c>
      <c r="K140" s="196">
        <v>2927.9566174532702</v>
      </c>
      <c r="L140" s="196">
        <v>200.988421739617</v>
      </c>
      <c r="M140" s="196">
        <v>9.5827638708517693</v>
      </c>
      <c r="N140" s="196">
        <v>28.8951141390476</v>
      </c>
      <c r="O140" s="196">
        <v>625.24762699999997</v>
      </c>
      <c r="P140" s="196">
        <v>166.71521247830901</v>
      </c>
      <c r="Q140" s="196">
        <v>3659.0060051611299</v>
      </c>
      <c r="R140" s="196">
        <v>69.385276966280003</v>
      </c>
      <c r="S140" s="196">
        <v>230.159759704961</v>
      </c>
      <c r="T140" s="196">
        <v>507.261445473317</v>
      </c>
      <c r="U140" s="196">
        <v>12.268287029487199</v>
      </c>
      <c r="V140" s="196">
        <v>557.01735742394999</v>
      </c>
      <c r="W140" s="196">
        <v>67.229220228912396</v>
      </c>
      <c r="X140" s="196">
        <v>11.183123340933999</v>
      </c>
      <c r="Y140" s="196">
        <v>26.327160639999999</v>
      </c>
      <c r="Z140" s="196">
        <v>0.57102297999999996</v>
      </c>
      <c r="AA140" s="196">
        <v>134.649047620468</v>
      </c>
      <c r="AB140" s="196">
        <v>338.65668445803999</v>
      </c>
      <c r="AC140" s="196">
        <v>1312.47385716752</v>
      </c>
      <c r="AD140" s="196">
        <v>89.311228757258505</v>
      </c>
      <c r="AE140" s="196">
        <v>96.424175753623203</v>
      </c>
      <c r="AF140" s="196">
        <v>243.285169474822</v>
      </c>
      <c r="AG140" s="196">
        <v>51.580218353734999</v>
      </c>
      <c r="AH140" s="196">
        <v>78.403625977027801</v>
      </c>
    </row>
    <row r="141" spans="1:34" x14ac:dyDescent="0.2">
      <c r="A141" s="191" t="s">
        <v>121</v>
      </c>
      <c r="B141" s="191" t="s">
        <v>113</v>
      </c>
      <c r="C141" s="191">
        <v>2019</v>
      </c>
      <c r="D141" s="191" t="s">
        <v>107</v>
      </c>
      <c r="E141" s="196">
        <v>152.828428853616</v>
      </c>
      <c r="F141" s="196">
        <v>472.99286172708798</v>
      </c>
      <c r="G141" s="196">
        <v>70.154330382467805</v>
      </c>
      <c r="H141" s="196">
        <v>54.446867824940497</v>
      </c>
      <c r="I141" s="196">
        <v>0.22586666666666999</v>
      </c>
      <c r="J141" s="196">
        <v>450.57832329283701</v>
      </c>
      <c r="K141" s="196">
        <v>2730.8035774109399</v>
      </c>
      <c r="L141" s="196">
        <v>211.180798448985</v>
      </c>
      <c r="M141" s="196">
        <v>16.1616478355445</v>
      </c>
      <c r="N141" s="196">
        <v>38.161156529869501</v>
      </c>
      <c r="O141" s="196">
        <v>559.55508399999997</v>
      </c>
      <c r="P141" s="196">
        <v>190.33147352516201</v>
      </c>
      <c r="Q141" s="196">
        <v>3843.4938172751899</v>
      </c>
      <c r="R141" s="196">
        <v>75.659832600000001</v>
      </c>
      <c r="S141" s="196">
        <v>247.53075444288601</v>
      </c>
      <c r="T141" s="196">
        <v>467.85719719335299</v>
      </c>
      <c r="U141" s="196">
        <v>19.4613689250228</v>
      </c>
      <c r="V141" s="196">
        <v>525.20163009365206</v>
      </c>
      <c r="W141" s="196">
        <v>69.180434236075499</v>
      </c>
      <c r="X141" s="196">
        <v>14.268110889882999</v>
      </c>
      <c r="Y141" s="196">
        <v>54.899126000000003</v>
      </c>
      <c r="Z141" s="196">
        <v>0.55433213000000003</v>
      </c>
      <c r="AA141" s="196">
        <v>85.161850874664495</v>
      </c>
      <c r="AB141" s="196">
        <v>339.58649080020001</v>
      </c>
      <c r="AC141" s="196">
        <v>1382.6352811036299</v>
      </c>
      <c r="AD141" s="196">
        <v>68.978023637528096</v>
      </c>
      <c r="AE141" s="196">
        <v>135.12392315942</v>
      </c>
      <c r="AF141" s="196">
        <v>242.66540493479701</v>
      </c>
      <c r="AG141" s="196">
        <v>48.743064777000001</v>
      </c>
      <c r="AH141" s="196">
        <v>71.3012110435171</v>
      </c>
    </row>
    <row r="142" spans="1:34" x14ac:dyDescent="0.2">
      <c r="A142" s="191" t="s">
        <v>121</v>
      </c>
      <c r="B142" s="191" t="s">
        <v>113</v>
      </c>
      <c r="C142" s="191">
        <v>2021</v>
      </c>
      <c r="D142" s="191" t="s">
        <v>107</v>
      </c>
      <c r="E142" s="196">
        <v>151.340542653439</v>
      </c>
      <c r="F142" s="196">
        <v>454.87185472279702</v>
      </c>
      <c r="G142" s="196">
        <v>64.275210964820005</v>
      </c>
      <c r="H142" s="196">
        <v>54.729600860683597</v>
      </c>
      <c r="I142" s="196">
        <v>0.29883333333333001</v>
      </c>
      <c r="J142" s="196">
        <v>418.62400839914301</v>
      </c>
      <c r="K142" s="196">
        <v>2588.0109281093401</v>
      </c>
      <c r="L142" s="196">
        <v>300.74862991764701</v>
      </c>
      <c r="M142" s="196">
        <v>29.219706927627701</v>
      </c>
      <c r="N142" s="196">
        <v>36.814787054371202</v>
      </c>
      <c r="O142" s="196">
        <v>393.62624199999999</v>
      </c>
      <c r="P142" s="196">
        <v>201.41580329726099</v>
      </c>
      <c r="Q142" s="196">
        <v>3655.7995367253402</v>
      </c>
      <c r="R142" s="196">
        <v>102.84950866666701</v>
      </c>
      <c r="S142" s="196">
        <v>260.93765911453397</v>
      </c>
      <c r="T142" s="196">
        <v>733.70482877889697</v>
      </c>
      <c r="U142" s="196">
        <v>15.804493793533</v>
      </c>
      <c r="V142" s="196">
        <v>547.03219138090105</v>
      </c>
      <c r="W142" s="196">
        <v>117.635587991195</v>
      </c>
      <c r="X142" s="196">
        <v>13.6149238144528</v>
      </c>
      <c r="Y142" s="196">
        <v>83.367533333333299</v>
      </c>
      <c r="Z142" s="196">
        <v>0.43837468400000001</v>
      </c>
      <c r="AA142" s="196">
        <v>83.165021945455393</v>
      </c>
      <c r="AB142" s="196">
        <v>294.24187132356002</v>
      </c>
      <c r="AC142" s="196">
        <v>1686.6824226291401</v>
      </c>
      <c r="AD142" s="196">
        <v>67.9450034837473</v>
      </c>
      <c r="AE142" s="196">
        <v>165.60619405797101</v>
      </c>
      <c r="AF142" s="196">
        <v>250.28738938773901</v>
      </c>
      <c r="AG142" s="196">
        <v>43.660721145263402</v>
      </c>
      <c r="AH142" s="196">
        <v>71.268337107733203</v>
      </c>
    </row>
    <row r="143" spans="1:34" x14ac:dyDescent="0.2">
      <c r="A143" s="191" t="s">
        <v>121</v>
      </c>
      <c r="B143" s="191" t="s">
        <v>113</v>
      </c>
      <c r="C143" s="191">
        <v>2005</v>
      </c>
      <c r="D143" s="191" t="s">
        <v>109</v>
      </c>
      <c r="E143" s="196">
        <v>10222.305426051</v>
      </c>
      <c r="F143" s="196">
        <v>13105.338817734801</v>
      </c>
      <c r="G143" s="196">
        <v>8865.1708252652006</v>
      </c>
      <c r="H143" s="196">
        <v>7763.1031314585598</v>
      </c>
      <c r="I143" s="196">
        <v>1082.6534193658799</v>
      </c>
      <c r="J143" s="196">
        <v>12177.1293960516</v>
      </c>
      <c r="K143" s="196">
        <v>78076.930671098293</v>
      </c>
      <c r="L143" s="196">
        <v>13728.8682073418</v>
      </c>
      <c r="M143" s="196">
        <v>1780.35274828718</v>
      </c>
      <c r="N143" s="196">
        <v>14593.738781235001</v>
      </c>
      <c r="O143" s="196">
        <v>51318.012156473</v>
      </c>
      <c r="P143" s="196">
        <v>9431.3466250131896</v>
      </c>
      <c r="Q143" s="196">
        <v>96993.577450438199</v>
      </c>
      <c r="R143" s="196">
        <v>4856.6414316232404</v>
      </c>
      <c r="S143" s="196">
        <v>10738.909158995901</v>
      </c>
      <c r="T143" s="196">
        <v>21929.845666892099</v>
      </c>
      <c r="U143" s="196">
        <v>950.53740933144502</v>
      </c>
      <c r="V143" s="196">
        <v>58686.659165701101</v>
      </c>
      <c r="W143" s="196">
        <v>5762.7864280991898</v>
      </c>
      <c r="X143" s="196">
        <v>748.187871437941</v>
      </c>
      <c r="Y143" s="196">
        <v>2477.3474934938599</v>
      </c>
      <c r="Z143" s="196">
        <v>288.19896881032201</v>
      </c>
      <c r="AA143" s="196">
        <v>25888.0896155175</v>
      </c>
      <c r="AB143" s="196">
        <v>6701.7057678168603</v>
      </c>
      <c r="AC143" s="196">
        <v>42659.595152401198</v>
      </c>
      <c r="AD143" s="196">
        <v>14155.7487091862</v>
      </c>
      <c r="AE143" s="196">
        <v>27776.227027285098</v>
      </c>
      <c r="AF143" s="196">
        <v>9904.0605800736103</v>
      </c>
      <c r="AG143" s="196">
        <v>2648.0294304157301</v>
      </c>
      <c r="AH143" s="196">
        <v>4338.9394346427898</v>
      </c>
    </row>
    <row r="144" spans="1:34" x14ac:dyDescent="0.2">
      <c r="A144" s="191" t="s">
        <v>121</v>
      </c>
      <c r="B144" s="191" t="s">
        <v>113</v>
      </c>
      <c r="C144" s="191">
        <v>2010</v>
      </c>
      <c r="D144" s="191" t="s">
        <v>109</v>
      </c>
      <c r="E144" s="196">
        <v>9477.52401040929</v>
      </c>
      <c r="F144" s="196">
        <v>12359.7297756711</v>
      </c>
      <c r="G144" s="196">
        <v>8923.3150229757593</v>
      </c>
      <c r="H144" s="196">
        <v>7667.1671573535295</v>
      </c>
      <c r="I144" s="196">
        <v>1098.3527949811501</v>
      </c>
      <c r="J144" s="196">
        <v>12069.169332383901</v>
      </c>
      <c r="K144" s="196">
        <v>70208.878721130197</v>
      </c>
      <c r="L144" s="196">
        <v>13262.484950524</v>
      </c>
      <c r="M144" s="196">
        <v>1838.2078653685901</v>
      </c>
      <c r="N144" s="196">
        <v>14464.9661150828</v>
      </c>
      <c r="O144" s="196">
        <v>49948.403140550698</v>
      </c>
      <c r="P144" s="196">
        <v>9258.4090232359704</v>
      </c>
      <c r="Q144" s="196">
        <v>94954.276860416096</v>
      </c>
      <c r="R144" s="196">
        <v>4997.8041541767197</v>
      </c>
      <c r="S144" s="196">
        <v>10152.048527209599</v>
      </c>
      <c r="T144" s="196">
        <v>19992.189350346998</v>
      </c>
      <c r="U144" s="196">
        <v>980.85758138097401</v>
      </c>
      <c r="V144" s="196">
        <v>54601.639543595098</v>
      </c>
      <c r="W144" s="196">
        <v>5601.87930674983</v>
      </c>
      <c r="X144" s="196">
        <v>772.51643473314596</v>
      </c>
      <c r="Y144" s="196">
        <v>2583.6017434832502</v>
      </c>
      <c r="Z144" s="196">
        <v>208.86494140823399</v>
      </c>
      <c r="AA144" s="196">
        <v>23927.3460979093</v>
      </c>
      <c r="AB144" s="196">
        <v>6520.0819807268699</v>
      </c>
      <c r="AC144" s="196">
        <v>39935.290281742004</v>
      </c>
      <c r="AD144" s="196">
        <v>13292.405559164999</v>
      </c>
      <c r="AE144" s="196">
        <v>24480.492641545799</v>
      </c>
      <c r="AF144" s="196">
        <v>8871.0214879669893</v>
      </c>
      <c r="AG144" s="196">
        <v>2357.42037552393</v>
      </c>
      <c r="AH144" s="196">
        <v>4324.8176402341896</v>
      </c>
    </row>
    <row r="145" spans="1:34" x14ac:dyDescent="0.2">
      <c r="A145" s="191" t="s">
        <v>121</v>
      </c>
      <c r="B145" s="191" t="s">
        <v>113</v>
      </c>
      <c r="C145" s="191">
        <v>2015</v>
      </c>
      <c r="D145" s="191" t="s">
        <v>109</v>
      </c>
      <c r="E145" s="196">
        <v>9020.7379563987906</v>
      </c>
      <c r="F145" s="196">
        <v>11417.668125162199</v>
      </c>
      <c r="G145" s="196">
        <v>9443.1458196183794</v>
      </c>
      <c r="H145" s="196">
        <v>7451.1890200689204</v>
      </c>
      <c r="I145" s="196">
        <v>1066.32649617269</v>
      </c>
      <c r="J145" s="196">
        <v>13676.5766938379</v>
      </c>
      <c r="K145" s="196">
        <v>69142.366562288997</v>
      </c>
      <c r="L145" s="196">
        <v>13201.701860974201</v>
      </c>
      <c r="M145" s="196">
        <v>1827.46906957794</v>
      </c>
      <c r="N145" s="196">
        <v>13078.8933006609</v>
      </c>
      <c r="O145" s="196">
        <v>49466.142522955</v>
      </c>
      <c r="P145" s="196">
        <v>8703.2348859975209</v>
      </c>
      <c r="Q145" s="196">
        <v>90605.533362763905</v>
      </c>
      <c r="R145" s="196">
        <v>4765.0328512590804</v>
      </c>
      <c r="S145" s="196">
        <v>10598.2476849536</v>
      </c>
      <c r="T145" s="196">
        <v>21662.3961911281</v>
      </c>
      <c r="U145" s="196">
        <v>948.71420702318301</v>
      </c>
      <c r="V145" s="196">
        <v>52441.7315478901</v>
      </c>
      <c r="W145" s="196">
        <v>5687.4202534506503</v>
      </c>
      <c r="X145" s="196">
        <v>774.42855532075203</v>
      </c>
      <c r="Y145" s="196">
        <v>2768.1982163859998</v>
      </c>
      <c r="Z145" s="196">
        <v>234.42980533216499</v>
      </c>
      <c r="AA145" s="196">
        <v>23417.108339438</v>
      </c>
      <c r="AB145" s="196">
        <v>6514.7121508924001</v>
      </c>
      <c r="AC145" s="196">
        <v>37313.710782345202</v>
      </c>
      <c r="AD145" s="196">
        <v>12400.927710036</v>
      </c>
      <c r="AE145" s="196">
        <v>25399.391139393101</v>
      </c>
      <c r="AF145" s="196">
        <v>8261.1940395681195</v>
      </c>
      <c r="AG145" s="196">
        <v>2341.99026351055</v>
      </c>
      <c r="AH145" s="196">
        <v>4419.2491177375496</v>
      </c>
    </row>
    <row r="146" spans="1:34" x14ac:dyDescent="0.2">
      <c r="A146" s="191" t="s">
        <v>121</v>
      </c>
      <c r="B146" s="191" t="s">
        <v>113</v>
      </c>
      <c r="C146" s="191">
        <v>2019</v>
      </c>
      <c r="D146" s="191" t="s">
        <v>109</v>
      </c>
      <c r="E146" s="196">
        <v>8536.6285430808894</v>
      </c>
      <c r="F146" s="196">
        <v>10985.2327955902</v>
      </c>
      <c r="G146" s="196">
        <v>9001.5906389575302</v>
      </c>
      <c r="H146" s="196">
        <v>7094.7672629141098</v>
      </c>
      <c r="I146" s="196">
        <v>1151.88049456158</v>
      </c>
      <c r="J146" s="196">
        <v>13602.71148097</v>
      </c>
      <c r="K146" s="196">
        <v>63901.600474337902</v>
      </c>
      <c r="L146" s="196">
        <v>13340.975554784</v>
      </c>
      <c r="M146" s="196">
        <v>1888.06303553728</v>
      </c>
      <c r="N146" s="196">
        <v>13480.8550436104</v>
      </c>
      <c r="O146" s="196">
        <v>48629.410609707302</v>
      </c>
      <c r="P146" s="196">
        <v>8423.68594886963</v>
      </c>
      <c r="Q146" s="196">
        <v>88468.650141592094</v>
      </c>
      <c r="R146" s="196">
        <v>4706.8632078311903</v>
      </c>
      <c r="S146" s="196">
        <v>10777.3623424056</v>
      </c>
      <c r="T146" s="196">
        <v>22765.449364183001</v>
      </c>
      <c r="U146" s="196">
        <v>862.57666321243505</v>
      </c>
      <c r="V146" s="196">
        <v>51847.289278592303</v>
      </c>
      <c r="W146" s="196">
        <v>5245.3296028744999</v>
      </c>
      <c r="X146" s="196">
        <v>783.84623738969105</v>
      </c>
      <c r="Y146" s="196">
        <v>2774.1144063786501</v>
      </c>
      <c r="Z146" s="196">
        <v>270.766570337779</v>
      </c>
      <c r="AA146" s="196">
        <v>22252.3427450618</v>
      </c>
      <c r="AB146" s="196">
        <v>6203.3967430481298</v>
      </c>
      <c r="AC146" s="196">
        <v>37777.278541875399</v>
      </c>
      <c r="AD146" s="196">
        <v>12471.041883035999</v>
      </c>
      <c r="AE146" s="196">
        <v>25798.123700329099</v>
      </c>
      <c r="AF146" s="196">
        <v>7845.4541806318502</v>
      </c>
      <c r="AG146" s="196">
        <v>2281.8925973609798</v>
      </c>
      <c r="AH146" s="196">
        <v>4406.6001527009203</v>
      </c>
    </row>
    <row r="147" spans="1:34" x14ac:dyDescent="0.2">
      <c r="A147" s="191" t="s">
        <v>121</v>
      </c>
      <c r="B147" s="191" t="s">
        <v>113</v>
      </c>
      <c r="C147" s="191">
        <v>2021</v>
      </c>
      <c r="D147" s="191" t="s">
        <v>109</v>
      </c>
      <c r="E147" s="196">
        <v>8431.7391878048802</v>
      </c>
      <c r="F147" s="196">
        <v>10665.0116639515</v>
      </c>
      <c r="G147" s="196">
        <v>8939.2770645396995</v>
      </c>
      <c r="H147" s="196">
        <v>7039.8540345286001</v>
      </c>
      <c r="I147" s="196">
        <v>1219.8113346747</v>
      </c>
      <c r="J147" s="196">
        <v>13546.650368524</v>
      </c>
      <c r="K147" s="196">
        <v>60826.9368745705</v>
      </c>
      <c r="L147" s="196">
        <v>13432.0891176432</v>
      </c>
      <c r="M147" s="196">
        <v>1901.09768247749</v>
      </c>
      <c r="N147" s="196">
        <v>13898.180234224599</v>
      </c>
      <c r="O147" s="196">
        <v>48672.830919141998</v>
      </c>
      <c r="P147" s="196">
        <v>8121.1419983062497</v>
      </c>
      <c r="Q147" s="196">
        <v>84980.846525428104</v>
      </c>
      <c r="R147" s="196">
        <v>4578.1816571402596</v>
      </c>
      <c r="S147" s="196">
        <v>10935.349152930299</v>
      </c>
      <c r="T147" s="196">
        <v>23896.888857679402</v>
      </c>
      <c r="U147" s="196">
        <v>888.54974379110001</v>
      </c>
      <c r="V147" s="196">
        <v>52907.187660566298</v>
      </c>
      <c r="W147" s="196">
        <v>5221.3708201014997</v>
      </c>
      <c r="X147" s="196">
        <v>785.60421637702598</v>
      </c>
      <c r="Y147" s="196">
        <v>2817.9501289875798</v>
      </c>
      <c r="Z147" s="196">
        <v>288.65060068535001</v>
      </c>
      <c r="AA147" s="196">
        <v>21484.939162351999</v>
      </c>
      <c r="AB147" s="196">
        <v>6146.2538738119401</v>
      </c>
      <c r="AC147" s="196">
        <v>38709.984349229802</v>
      </c>
      <c r="AD147" s="196">
        <v>12266.077082797899</v>
      </c>
      <c r="AE147" s="196">
        <v>25698.377589567899</v>
      </c>
      <c r="AF147" s="196">
        <v>7665.7593105371998</v>
      </c>
      <c r="AG147" s="196">
        <v>2242.2409176964202</v>
      </c>
      <c r="AH147" s="196">
        <v>4315.2684349341898</v>
      </c>
    </row>
    <row r="148" spans="1:34" x14ac:dyDescent="0.2">
      <c r="A148" s="191" t="s">
        <v>121</v>
      </c>
      <c r="B148" s="191" t="s">
        <v>113</v>
      </c>
      <c r="C148" s="191">
        <v>2005</v>
      </c>
      <c r="D148" s="191" t="s">
        <v>108</v>
      </c>
      <c r="E148" s="196">
        <v>10114.362561342001</v>
      </c>
      <c r="F148" s="196">
        <v>12391.425745300399</v>
      </c>
      <c r="G148" s="196">
        <v>8768.5435528202706</v>
      </c>
      <c r="H148" s="196">
        <v>7708.7808207544304</v>
      </c>
      <c r="I148" s="196">
        <v>1081.6869193658799</v>
      </c>
      <c r="J148" s="196">
        <v>11858.659118904199</v>
      </c>
      <c r="K148" s="196">
        <v>75699.3961932729</v>
      </c>
      <c r="L148" s="196">
        <v>13482.649726301899</v>
      </c>
      <c r="M148" s="196">
        <v>1770.2671682573</v>
      </c>
      <c r="N148" s="196">
        <v>14559.848764722999</v>
      </c>
      <c r="O148" s="196">
        <v>50781.519526472999</v>
      </c>
      <c r="P148" s="196">
        <v>9140.3507781197095</v>
      </c>
      <c r="Q148" s="196">
        <v>93473.181222195693</v>
      </c>
      <c r="R148" s="196">
        <v>4771.0180135789697</v>
      </c>
      <c r="S148" s="196">
        <v>10498.297683623199</v>
      </c>
      <c r="T148" s="196">
        <v>21473.801465905399</v>
      </c>
      <c r="U148" s="196">
        <v>939.52485405006405</v>
      </c>
      <c r="V148" s="196">
        <v>57892.763393268302</v>
      </c>
      <c r="W148" s="196">
        <v>5707.3109737225604</v>
      </c>
      <c r="X148" s="196">
        <v>739.35703311900795</v>
      </c>
      <c r="Y148" s="196">
        <v>2473.9645621838599</v>
      </c>
      <c r="Z148" s="196">
        <v>287.88336693032198</v>
      </c>
      <c r="AA148" s="196">
        <v>25805.067458484998</v>
      </c>
      <c r="AB148" s="196">
        <v>6484.8900205501604</v>
      </c>
      <c r="AC148" s="196">
        <v>40852.487428004497</v>
      </c>
      <c r="AD148" s="196">
        <v>14105.7773415422</v>
      </c>
      <c r="AE148" s="196">
        <v>27547.818061824499</v>
      </c>
      <c r="AF148" s="196">
        <v>9692.7065004196393</v>
      </c>
      <c r="AG148" s="196">
        <v>2615.6533887426499</v>
      </c>
      <c r="AH148" s="196">
        <v>4298.8947705819201</v>
      </c>
    </row>
    <row r="149" spans="1:34" x14ac:dyDescent="0.2">
      <c r="A149" s="191" t="s">
        <v>121</v>
      </c>
      <c r="B149" s="191" t="s">
        <v>113</v>
      </c>
      <c r="C149" s="191">
        <v>2010</v>
      </c>
      <c r="D149" s="191" t="s">
        <v>108</v>
      </c>
      <c r="E149" s="196">
        <v>9363.1223555155302</v>
      </c>
      <c r="F149" s="196">
        <v>11500.664495752901</v>
      </c>
      <c r="G149" s="196">
        <v>8868.6170239424191</v>
      </c>
      <c r="H149" s="196">
        <v>7611.7437142293402</v>
      </c>
      <c r="I149" s="196">
        <v>1097.6150949811499</v>
      </c>
      <c r="J149" s="196">
        <v>11734.730126829099</v>
      </c>
      <c r="K149" s="196">
        <v>67691.887731253606</v>
      </c>
      <c r="L149" s="196">
        <v>13080.4319870406</v>
      </c>
      <c r="M149" s="196">
        <v>1827.99628781193</v>
      </c>
      <c r="N149" s="196">
        <v>14428.2630340384</v>
      </c>
      <c r="O149" s="196">
        <v>49339.617630550703</v>
      </c>
      <c r="P149" s="196">
        <v>8979.4230742756208</v>
      </c>
      <c r="Q149" s="196">
        <v>91436.823639622497</v>
      </c>
      <c r="R149" s="196">
        <v>4909.7189982208502</v>
      </c>
      <c r="S149" s="196">
        <v>9936.7523800470299</v>
      </c>
      <c r="T149" s="196">
        <v>19404.996335654701</v>
      </c>
      <c r="U149" s="196">
        <v>970.56038883125098</v>
      </c>
      <c r="V149" s="196">
        <v>54043.368207665902</v>
      </c>
      <c r="W149" s="196">
        <v>5562.4820040231098</v>
      </c>
      <c r="X149" s="196">
        <v>764.51807737885895</v>
      </c>
      <c r="Y149" s="196">
        <v>2577.2863416432501</v>
      </c>
      <c r="Z149" s="196">
        <v>208.343287601567</v>
      </c>
      <c r="AA149" s="196">
        <v>23835.310908856201</v>
      </c>
      <c r="AB149" s="196">
        <v>6245.1916489847899</v>
      </c>
      <c r="AC149" s="196">
        <v>38619.818170205901</v>
      </c>
      <c r="AD149" s="196">
        <v>13228.981798840699</v>
      </c>
      <c r="AE149" s="196">
        <v>24369.686731784801</v>
      </c>
      <c r="AF149" s="196">
        <v>8646.9923104998707</v>
      </c>
      <c r="AG149" s="196">
        <v>2322.2575436337702</v>
      </c>
      <c r="AH149" s="196">
        <v>4280.4931181081001</v>
      </c>
    </row>
    <row r="150" spans="1:34" x14ac:dyDescent="0.2">
      <c r="A150" s="191" t="s">
        <v>121</v>
      </c>
      <c r="B150" s="191" t="s">
        <v>113</v>
      </c>
      <c r="C150" s="191">
        <v>2015</v>
      </c>
      <c r="D150" s="191" t="s">
        <v>108</v>
      </c>
      <c r="E150" s="196">
        <v>8873.2007558088007</v>
      </c>
      <c r="F150" s="196">
        <v>10933.0130909168</v>
      </c>
      <c r="G150" s="196">
        <v>9377.1719758172694</v>
      </c>
      <c r="H150" s="196">
        <v>7396.5553617519599</v>
      </c>
      <c r="I150" s="196">
        <v>1065.9282961726899</v>
      </c>
      <c r="J150" s="196">
        <v>13140.893426284199</v>
      </c>
      <c r="K150" s="196">
        <v>66214.409944835803</v>
      </c>
      <c r="L150" s="196">
        <v>13000.7134392346</v>
      </c>
      <c r="M150" s="196">
        <v>1817.8863057070901</v>
      </c>
      <c r="N150" s="196">
        <v>13049.9981865218</v>
      </c>
      <c r="O150" s="196">
        <v>48840.894895955003</v>
      </c>
      <c r="P150" s="196">
        <v>8536.5196735192094</v>
      </c>
      <c r="Q150" s="196">
        <v>86946.527357602798</v>
      </c>
      <c r="R150" s="196">
        <v>4695.6475742927996</v>
      </c>
      <c r="S150" s="196">
        <v>10368.087925248599</v>
      </c>
      <c r="T150" s="196">
        <v>21155.134745654799</v>
      </c>
      <c r="U150" s="196">
        <v>936.44591999369595</v>
      </c>
      <c r="V150" s="196">
        <v>51884.714190466097</v>
      </c>
      <c r="W150" s="196">
        <v>5620.1910332217403</v>
      </c>
      <c r="X150" s="196">
        <v>763.24543197981802</v>
      </c>
      <c r="Y150" s="196">
        <v>2741.8710557459999</v>
      </c>
      <c r="Z150" s="196">
        <v>233.85878235216501</v>
      </c>
      <c r="AA150" s="196">
        <v>23282.4592918175</v>
      </c>
      <c r="AB150" s="196">
        <v>6176.0554664343599</v>
      </c>
      <c r="AC150" s="196">
        <v>36001.236925177604</v>
      </c>
      <c r="AD150" s="196">
        <v>12311.616481278699</v>
      </c>
      <c r="AE150" s="196">
        <v>25302.966963639501</v>
      </c>
      <c r="AF150" s="196">
        <v>8017.9088700932998</v>
      </c>
      <c r="AG150" s="196">
        <v>2290.4100451568202</v>
      </c>
      <c r="AH150" s="196">
        <v>4340.8454917605204</v>
      </c>
    </row>
    <row r="151" spans="1:34" x14ac:dyDescent="0.2">
      <c r="A151" s="191" t="s">
        <v>121</v>
      </c>
      <c r="B151" s="191" t="s">
        <v>113</v>
      </c>
      <c r="C151" s="191">
        <v>2019</v>
      </c>
      <c r="D151" s="191" t="s">
        <v>108</v>
      </c>
      <c r="E151" s="196">
        <v>8383.8001142272806</v>
      </c>
      <c r="F151" s="196">
        <v>10512.2399338631</v>
      </c>
      <c r="G151" s="196">
        <v>8931.4363085750701</v>
      </c>
      <c r="H151" s="196">
        <v>7040.3203950891702</v>
      </c>
      <c r="I151" s="196">
        <v>1151.6546278949199</v>
      </c>
      <c r="J151" s="196">
        <v>13152.133157677101</v>
      </c>
      <c r="K151" s="196">
        <v>61170.796896927</v>
      </c>
      <c r="L151" s="196">
        <v>13129.794756335001</v>
      </c>
      <c r="M151" s="196">
        <v>1871.9013877017301</v>
      </c>
      <c r="N151" s="196">
        <v>13442.693887080501</v>
      </c>
      <c r="O151" s="196">
        <v>48069.855525707302</v>
      </c>
      <c r="P151" s="196">
        <v>8233.3544753444694</v>
      </c>
      <c r="Q151" s="196">
        <v>84625.156324316893</v>
      </c>
      <c r="R151" s="196">
        <v>4631.20337523119</v>
      </c>
      <c r="S151" s="196">
        <v>10529.831587962701</v>
      </c>
      <c r="T151" s="196">
        <v>22297.592166989602</v>
      </c>
      <c r="U151" s="196">
        <v>843.11529428741198</v>
      </c>
      <c r="V151" s="196">
        <v>51322.087648498702</v>
      </c>
      <c r="W151" s="196">
        <v>5176.1491686384197</v>
      </c>
      <c r="X151" s="196">
        <v>769.57812649980804</v>
      </c>
      <c r="Y151" s="196">
        <v>2719.2152803786498</v>
      </c>
      <c r="Z151" s="196">
        <v>270.21223820777902</v>
      </c>
      <c r="AA151" s="196">
        <v>22167.180894187099</v>
      </c>
      <c r="AB151" s="196">
        <v>5863.8102522479303</v>
      </c>
      <c r="AC151" s="196">
        <v>36394.643260771802</v>
      </c>
      <c r="AD151" s="196">
        <v>12402.0638593984</v>
      </c>
      <c r="AE151" s="196">
        <v>25662.999777169702</v>
      </c>
      <c r="AF151" s="196">
        <v>7602.7887756970504</v>
      </c>
      <c r="AG151" s="196">
        <v>2233.1495325839801</v>
      </c>
      <c r="AH151" s="196">
        <v>4335.2989416574001</v>
      </c>
    </row>
    <row r="152" spans="1:34" x14ac:dyDescent="0.2">
      <c r="A152" s="191" t="s">
        <v>121</v>
      </c>
      <c r="B152" s="191" t="s">
        <v>113</v>
      </c>
      <c r="C152" s="191">
        <v>2021</v>
      </c>
      <c r="D152" s="191" t="s">
        <v>108</v>
      </c>
      <c r="E152" s="196">
        <v>8280.3986451514393</v>
      </c>
      <c r="F152" s="196">
        <v>10210.1398092287</v>
      </c>
      <c r="G152" s="196">
        <v>8875.0018535748695</v>
      </c>
      <c r="H152" s="196">
        <v>6985.1244336679201</v>
      </c>
      <c r="I152" s="196">
        <v>1219.5125013413699</v>
      </c>
      <c r="J152" s="196">
        <v>13128.026360124901</v>
      </c>
      <c r="K152" s="196">
        <v>58238.925946461102</v>
      </c>
      <c r="L152" s="196">
        <v>13131.3404877256</v>
      </c>
      <c r="M152" s="196">
        <v>1871.8779755498599</v>
      </c>
      <c r="N152" s="196">
        <v>13861.365447170299</v>
      </c>
      <c r="O152" s="196">
        <v>48279.204677141999</v>
      </c>
      <c r="P152" s="196">
        <v>7919.7261950089896</v>
      </c>
      <c r="Q152" s="196">
        <v>81325.046988702699</v>
      </c>
      <c r="R152" s="196">
        <v>4475.3321484735998</v>
      </c>
      <c r="S152" s="196">
        <v>10674.4114938158</v>
      </c>
      <c r="T152" s="196">
        <v>23163.184028900501</v>
      </c>
      <c r="U152" s="196">
        <v>872.74524999756704</v>
      </c>
      <c r="V152" s="196">
        <v>52360.155469185403</v>
      </c>
      <c r="W152" s="196">
        <v>5103.7352321103099</v>
      </c>
      <c r="X152" s="196">
        <v>771.98929256257304</v>
      </c>
      <c r="Y152" s="196">
        <v>2734.5825956542499</v>
      </c>
      <c r="Z152" s="196">
        <v>288.21222600135002</v>
      </c>
      <c r="AA152" s="196">
        <v>21401.774140406498</v>
      </c>
      <c r="AB152" s="196">
        <v>5852.0120024883799</v>
      </c>
      <c r="AC152" s="196">
        <v>37023.301926600703</v>
      </c>
      <c r="AD152" s="196">
        <v>12198.1320793141</v>
      </c>
      <c r="AE152" s="196">
        <v>25532.771395509899</v>
      </c>
      <c r="AF152" s="196">
        <v>7415.4719211494603</v>
      </c>
      <c r="AG152" s="196">
        <v>2198.58019655116</v>
      </c>
      <c r="AH152" s="196">
        <v>4244.0000978264598</v>
      </c>
    </row>
  </sheetData>
  <autoFilter ref="A2:AH152" xr:uid="{00000000-0009-0000-0000-000004000000}">
    <sortState xmlns:xlrd2="http://schemas.microsoft.com/office/spreadsheetml/2017/richdata2" ref="A3:AH152">
      <sortCondition ref="A2:A152"/>
    </sortState>
  </autoFilter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ETS2CO2bound</vt:lpstr>
      <vt:lpstr>ETS2CO2price</vt:lpstr>
      <vt:lpstr>Cap trajectories</vt:lpstr>
      <vt:lpstr>esr2023</vt:lpstr>
    </vt:vector>
  </TitlesOfParts>
  <Company>K.U.Leuven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</dc:creator>
  <cp:lastModifiedBy>Johanna Markkanen</cp:lastModifiedBy>
  <dcterms:created xsi:type="dcterms:W3CDTF">2008-06-05T16:51:18Z</dcterms:created>
  <dcterms:modified xsi:type="dcterms:W3CDTF">2025-10-21T11:17:49Z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841587841510773</vt:lpwstr>
  </property>
</Properties>
</file>