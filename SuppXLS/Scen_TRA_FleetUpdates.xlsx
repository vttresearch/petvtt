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0" yWindow="0" windowWidth="8724" windowHeight="4500"/>
  </bookViews>
  <sheets>
    <sheet name="Car ftype" sheetId="17" r:id="rId1"/>
  </sheets>
  <definedNames>
    <definedName name="_xlnm._FilterDatabase" localSheetId="0" hidden="1">'Car ftype'!$A$35:$AJ$39</definedName>
  </definedNames>
  <calcPr calcId="162913"/>
</workbook>
</file>

<file path=xl/calcChain.xml><?xml version="1.0" encoding="utf-8"?>
<calcChain xmlns="http://schemas.openxmlformats.org/spreadsheetml/2006/main">
  <c r="AF36" i="17" l="1"/>
  <c r="AG36" i="17"/>
  <c r="AH36" i="17"/>
  <c r="AI36" i="17"/>
  <c r="AJ36" i="17"/>
  <c r="AF37" i="17"/>
  <c r="AG37" i="17"/>
  <c r="AH37" i="17"/>
  <c r="AI37" i="17"/>
  <c r="AJ37" i="17"/>
  <c r="AF38" i="17"/>
  <c r="AG38" i="17"/>
  <c r="AH38" i="17"/>
  <c r="AI38" i="17"/>
  <c r="AJ38" i="17"/>
  <c r="AF39" i="17"/>
  <c r="AG39" i="17"/>
  <c r="AH39" i="17"/>
  <c r="AI39" i="17"/>
  <c r="AJ39" i="17"/>
  <c r="AF40" i="17"/>
  <c r="AG40" i="17"/>
  <c r="AH40" i="17"/>
  <c r="AI40" i="17"/>
  <c r="AJ40" i="17"/>
  <c r="AF41" i="17"/>
  <c r="AG41" i="17"/>
  <c r="AH41" i="17"/>
  <c r="AI41" i="17"/>
  <c r="AJ41" i="17"/>
  <c r="AF42" i="17"/>
  <c r="AG42" i="17"/>
  <c r="AH42" i="17"/>
  <c r="AI42" i="17"/>
  <c r="AJ42" i="17"/>
  <c r="AF43" i="17"/>
  <c r="AG43" i="17"/>
  <c r="AH43" i="17"/>
  <c r="AI43" i="17"/>
  <c r="AJ43" i="17"/>
  <c r="AF44" i="17"/>
  <c r="AG44" i="17"/>
  <c r="AH44" i="17"/>
  <c r="AI44" i="17"/>
  <c r="AJ44" i="17"/>
  <c r="AF45" i="17"/>
  <c r="AG45" i="17"/>
  <c r="AH45" i="17"/>
  <c r="AI45" i="17"/>
  <c r="AJ45" i="17"/>
  <c r="AF46" i="17"/>
  <c r="AG46" i="17"/>
  <c r="AH46" i="17"/>
  <c r="AI46" i="17"/>
  <c r="AJ46" i="17"/>
  <c r="AF47" i="17"/>
  <c r="AG47" i="17"/>
  <c r="AH47" i="17"/>
  <c r="AI47" i="17"/>
  <c r="AJ47" i="17"/>
  <c r="AF48" i="17"/>
  <c r="AG48" i="17"/>
  <c r="AH48" i="17"/>
  <c r="AI48" i="17"/>
  <c r="AJ48" i="17"/>
  <c r="AF49" i="17"/>
  <c r="AG49" i="17"/>
  <c r="AH49" i="17"/>
  <c r="AI49" i="17"/>
  <c r="AJ49" i="17"/>
  <c r="AF50" i="17"/>
  <c r="AG50" i="17"/>
  <c r="AH50" i="17"/>
  <c r="AI50" i="17"/>
  <c r="AJ50" i="17"/>
  <c r="AF51" i="17"/>
  <c r="AG51" i="17"/>
  <c r="AH51" i="17"/>
  <c r="AI51" i="17"/>
  <c r="AJ51" i="17"/>
  <c r="AF52" i="17"/>
  <c r="AG52" i="17"/>
  <c r="AH52" i="17"/>
  <c r="AI52" i="17"/>
  <c r="AJ52" i="17"/>
  <c r="AF53" i="17"/>
  <c r="AG53" i="17"/>
  <c r="AH53" i="17"/>
  <c r="AI53" i="17"/>
  <c r="AJ53" i="17"/>
  <c r="AF54" i="17"/>
  <c r="AG54" i="17"/>
  <c r="AH54" i="17"/>
  <c r="AI54" i="17"/>
  <c r="AJ54" i="17"/>
  <c r="AF55" i="17"/>
  <c r="AG55" i="17"/>
  <c r="AH55" i="17"/>
  <c r="AI55" i="17"/>
  <c r="AJ55" i="17"/>
  <c r="AF56" i="17"/>
  <c r="AG56" i="17"/>
  <c r="AH56" i="17"/>
  <c r="AI56" i="17"/>
  <c r="AJ56" i="17"/>
  <c r="AF57" i="17"/>
  <c r="AG57" i="17"/>
  <c r="AH57" i="17"/>
  <c r="AI57" i="17"/>
  <c r="AJ57" i="17"/>
  <c r="AF58" i="17"/>
  <c r="AG58" i="17"/>
  <c r="AH58" i="17"/>
  <c r="AI58" i="17"/>
  <c r="AJ58" i="17"/>
  <c r="AF59" i="17"/>
  <c r="AG59" i="17"/>
  <c r="AH59" i="17"/>
  <c r="AI59" i="17"/>
  <c r="AJ59" i="17"/>
  <c r="AF60" i="17"/>
  <c r="AG60" i="17"/>
  <c r="AH60" i="17"/>
  <c r="AI60" i="17"/>
  <c r="AJ60" i="17"/>
  <c r="AF61" i="17"/>
  <c r="AG61" i="17"/>
  <c r="AH61" i="17"/>
  <c r="AI61" i="17"/>
  <c r="AJ61" i="17"/>
  <c r="AF62" i="17"/>
  <c r="AG62" i="17"/>
  <c r="AH62" i="17"/>
  <c r="AI62" i="17"/>
  <c r="AJ62" i="17"/>
  <c r="AF63" i="17"/>
  <c r="AG63" i="17"/>
  <c r="AH63" i="17"/>
  <c r="AI63" i="17"/>
  <c r="AJ63" i="17"/>
  <c r="AF64" i="17"/>
  <c r="AG64" i="17"/>
  <c r="AH64" i="17"/>
  <c r="AI64" i="17"/>
  <c r="AJ64" i="17"/>
  <c r="AF65" i="17"/>
  <c r="AG65" i="17"/>
  <c r="AH65" i="17"/>
  <c r="AI65" i="17"/>
  <c r="AJ65" i="17"/>
  <c r="AF66" i="17"/>
  <c r="AG66" i="17"/>
  <c r="AH66" i="17"/>
  <c r="AI66" i="17"/>
  <c r="AJ66" i="17"/>
  <c r="AF67" i="17"/>
  <c r="AG67" i="17"/>
  <c r="AH67" i="17"/>
  <c r="AI67" i="17"/>
  <c r="AJ67" i="17"/>
  <c r="AF68" i="17"/>
  <c r="AG68" i="17"/>
  <c r="AH68" i="17"/>
  <c r="AI68" i="17"/>
  <c r="AJ68" i="17"/>
  <c r="AF69" i="17"/>
  <c r="AG69" i="17"/>
  <c r="AH69" i="17"/>
  <c r="AI69" i="17"/>
  <c r="AJ69" i="17"/>
  <c r="AF70" i="17"/>
  <c r="AG70" i="17"/>
  <c r="AH70" i="17"/>
  <c r="AI70" i="17"/>
  <c r="AJ70" i="17"/>
  <c r="AF71" i="17"/>
  <c r="AG71" i="17"/>
  <c r="AH71" i="17"/>
  <c r="AI71" i="17"/>
  <c r="AJ71" i="17"/>
  <c r="AF72" i="17"/>
  <c r="AG72" i="17"/>
  <c r="AH72" i="17"/>
  <c r="AI72" i="17"/>
  <c r="AJ72" i="17"/>
  <c r="AF73" i="17"/>
  <c r="AG73" i="17"/>
  <c r="AH73" i="17"/>
  <c r="AI73" i="17"/>
  <c r="AJ73" i="17"/>
  <c r="AF74" i="17"/>
  <c r="AG74" i="17"/>
  <c r="AH74" i="17"/>
  <c r="AI74" i="17"/>
  <c r="AJ74" i="17"/>
  <c r="AF75" i="17"/>
  <c r="AG75" i="17"/>
  <c r="AH75" i="17"/>
  <c r="AI75" i="17"/>
  <c r="AJ75" i="17"/>
  <c r="AF76" i="17"/>
  <c r="AG76" i="17"/>
  <c r="AH76" i="17"/>
  <c r="AI76" i="17"/>
  <c r="AJ76" i="17"/>
  <c r="AF77" i="17"/>
  <c r="AG77" i="17"/>
  <c r="AH77" i="17"/>
  <c r="AI77" i="17"/>
  <c r="AJ77" i="17"/>
  <c r="AF78" i="17"/>
  <c r="AG78" i="17"/>
  <c r="AH78" i="17"/>
  <c r="AI78" i="17"/>
  <c r="AJ78" i="17"/>
  <c r="AF79" i="17"/>
  <c r="AG79" i="17"/>
  <c r="AH79" i="17"/>
  <c r="AI79" i="17"/>
  <c r="AJ79" i="17"/>
  <c r="AF80" i="17"/>
  <c r="AG80" i="17"/>
  <c r="AH80" i="17"/>
  <c r="AI80" i="17"/>
  <c r="AJ80" i="17"/>
  <c r="AF81" i="17"/>
  <c r="AG81" i="17"/>
  <c r="AH81" i="17"/>
  <c r="AI81" i="17"/>
  <c r="AJ81" i="17"/>
  <c r="AF82" i="17"/>
  <c r="AG82" i="17"/>
  <c r="AH82" i="17"/>
  <c r="AI82" i="17"/>
  <c r="AJ82" i="17"/>
  <c r="AF83" i="17"/>
  <c r="AG83" i="17"/>
  <c r="AH83" i="17"/>
  <c r="AI83" i="17"/>
  <c r="AJ83" i="17"/>
  <c r="AF84" i="17"/>
  <c r="AG84" i="17"/>
  <c r="AH84" i="17"/>
  <c r="AI84" i="17"/>
  <c r="AJ84" i="17"/>
  <c r="AF85" i="17"/>
  <c r="AG85" i="17"/>
  <c r="AH85" i="17"/>
  <c r="AI85" i="17"/>
  <c r="AJ85" i="17"/>
  <c r="AF86" i="17"/>
  <c r="AG86" i="17"/>
  <c r="AH86" i="17"/>
  <c r="AI86" i="17"/>
  <c r="AJ86" i="17"/>
  <c r="AF87" i="17"/>
  <c r="AG87" i="17"/>
  <c r="AH87" i="17"/>
  <c r="AI87" i="17"/>
  <c r="AJ87" i="17"/>
  <c r="AF88" i="17"/>
  <c r="AG88" i="17"/>
  <c r="AH88" i="17"/>
  <c r="AI88" i="17"/>
  <c r="AJ88" i="17"/>
  <c r="AF89" i="17"/>
  <c r="AG89" i="17"/>
  <c r="AH89" i="17"/>
  <c r="AI89" i="17"/>
  <c r="AJ89" i="17"/>
  <c r="AF90" i="17"/>
  <c r="AG90" i="17"/>
  <c r="AH90" i="17"/>
  <c r="AI90" i="17"/>
  <c r="AJ90" i="17"/>
  <c r="AF91" i="17"/>
  <c r="AG91" i="17"/>
  <c r="AH91" i="17"/>
  <c r="AI91" i="17"/>
  <c r="AJ91" i="17"/>
  <c r="AF92" i="17"/>
  <c r="AG92" i="17"/>
  <c r="AH92" i="17"/>
  <c r="AI92" i="17"/>
  <c r="AJ92" i="17"/>
  <c r="AF93" i="17"/>
  <c r="AG93" i="17"/>
  <c r="AH93" i="17"/>
  <c r="AI93" i="17"/>
  <c r="AJ93" i="17"/>
  <c r="AF94" i="17"/>
  <c r="AG94" i="17"/>
  <c r="AH94" i="17"/>
  <c r="AI94" i="17"/>
  <c r="AJ94" i="17"/>
  <c r="AF95" i="17"/>
  <c r="AG95" i="17"/>
  <c r="AH95" i="17"/>
  <c r="AI95" i="17"/>
  <c r="AJ95" i="17"/>
  <c r="AF96" i="17"/>
  <c r="AG96" i="17"/>
  <c r="AH96" i="17"/>
  <c r="AI96" i="17"/>
  <c r="AJ96" i="17"/>
  <c r="AF97" i="17"/>
  <c r="AG97" i="17"/>
  <c r="AH97" i="17"/>
  <c r="AI97" i="17"/>
  <c r="AJ97" i="17"/>
  <c r="AF98" i="17"/>
  <c r="AG98" i="17"/>
  <c r="AH98" i="17"/>
  <c r="AI98" i="17"/>
  <c r="AJ98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AA43" i="17"/>
  <c r="AB43" i="17"/>
  <c r="AC43" i="17"/>
  <c r="AD43" i="17"/>
  <c r="AE43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AD45" i="17"/>
  <c r="AE45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AD48" i="17"/>
  <c r="AE48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AD49" i="17"/>
  <c r="AE49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AD50" i="17"/>
  <c r="AE50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AD51" i="17"/>
  <c r="AE51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AD52" i="17"/>
  <c r="AE52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AD53" i="17"/>
  <c r="AE53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AA54" i="17"/>
  <c r="AB54" i="17"/>
  <c r="AC54" i="17"/>
  <c r="AD54" i="17"/>
  <c r="AE54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D59" i="17"/>
  <c r="AE59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AD60" i="17"/>
  <c r="AE60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Y90" i="17"/>
  <c r="Z90" i="17"/>
  <c r="AA90" i="17"/>
  <c r="AB90" i="17"/>
  <c r="AC90" i="17"/>
  <c r="AD90" i="17"/>
  <c r="AE90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Y91" i="17"/>
  <c r="Z91" i="17"/>
  <c r="AA91" i="17"/>
  <c r="AB91" i="17"/>
  <c r="AC91" i="17"/>
  <c r="AD91" i="17"/>
  <c r="AE91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Y92" i="17"/>
  <c r="Z92" i="17"/>
  <c r="AA92" i="17"/>
  <c r="AB92" i="17"/>
  <c r="AC92" i="17"/>
  <c r="AD92" i="17"/>
  <c r="AE92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Y93" i="17"/>
  <c r="Z93" i="17"/>
  <c r="AA93" i="17"/>
  <c r="AB93" i="17"/>
  <c r="AC93" i="17"/>
  <c r="AD93" i="17"/>
  <c r="AE93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AA94" i="17"/>
  <c r="AB94" i="17"/>
  <c r="AC94" i="17"/>
  <c r="AD94" i="17"/>
  <c r="AE94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AA95" i="17"/>
  <c r="AB95" i="17"/>
  <c r="AC95" i="17"/>
  <c r="AD95" i="17"/>
  <c r="AE95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AA96" i="17"/>
  <c r="AB96" i="17"/>
  <c r="AC96" i="17"/>
  <c r="AD96" i="17"/>
  <c r="AE96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AA97" i="17"/>
  <c r="AB97" i="17"/>
  <c r="AC97" i="17"/>
  <c r="AD97" i="17"/>
  <c r="AE97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AA98" i="17"/>
  <c r="AB98" i="17"/>
  <c r="AC98" i="17"/>
  <c r="AD98" i="17"/>
  <c r="AE98" i="17"/>
  <c r="X105" i="17"/>
  <c r="V108" i="17"/>
  <c r="AA108" i="17"/>
  <c r="S110" i="17"/>
  <c r="V110" i="17"/>
  <c r="W110" i="17"/>
  <c r="Z112" i="17"/>
  <c r="AB116" i="17"/>
  <c r="V119" i="17"/>
  <c r="W119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78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57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36" i="17"/>
  <c r="E31" i="17"/>
  <c r="E114" i="17" s="1"/>
  <c r="F31" i="17"/>
  <c r="F100" i="17" s="1"/>
  <c r="G31" i="17"/>
  <c r="G107" i="17" s="1"/>
  <c r="H31" i="17"/>
  <c r="H117" i="17" s="1"/>
  <c r="I31" i="17"/>
  <c r="I100" i="17" s="1"/>
  <c r="J31" i="17"/>
  <c r="J100" i="17" s="1"/>
  <c r="K31" i="17"/>
  <c r="K119" i="17" s="1"/>
  <c r="L31" i="17"/>
  <c r="L99" i="17" s="1"/>
  <c r="M31" i="17"/>
  <c r="M112" i="17" s="1"/>
  <c r="N31" i="17"/>
  <c r="N106" i="17" s="1"/>
  <c r="O31" i="17"/>
  <c r="O113" i="17" s="1"/>
  <c r="P31" i="17"/>
  <c r="P113" i="17" s="1"/>
  <c r="Q31" i="17"/>
  <c r="Q113" i="17" s="1"/>
  <c r="R31" i="17"/>
  <c r="R104" i="17" s="1"/>
  <c r="S31" i="17"/>
  <c r="S119" i="17" s="1"/>
  <c r="T31" i="17"/>
  <c r="T119" i="17" s="1"/>
  <c r="U31" i="17"/>
  <c r="U102" i="17" s="1"/>
  <c r="V31" i="17"/>
  <c r="V32" i="17" s="1"/>
  <c r="W31" i="17"/>
  <c r="W32" i="17" s="1"/>
  <c r="X31" i="17"/>
  <c r="X32" i="17" s="1"/>
  <c r="Y31" i="17"/>
  <c r="Y32" i="17" s="1"/>
  <c r="Z31" i="17"/>
  <c r="Z108" i="17" s="1"/>
  <c r="AA31" i="17"/>
  <c r="AB31" i="17"/>
  <c r="AC31" i="17"/>
  <c r="AC106" i="17" s="1"/>
  <c r="AD31" i="17"/>
  <c r="AD106" i="17" s="1"/>
  <c r="AE31" i="17"/>
  <c r="AE113" i="17" s="1"/>
  <c r="AF31" i="17"/>
  <c r="AF108" i="17" s="1"/>
  <c r="AG31" i="17"/>
  <c r="AG103" i="17" s="1"/>
  <c r="AH31" i="17"/>
  <c r="AH103" i="17" s="1"/>
  <c r="AI31" i="17"/>
  <c r="AI117" i="17" s="1"/>
  <c r="AJ31" i="17"/>
  <c r="AJ112" i="17" s="1"/>
  <c r="D31" i="17"/>
  <c r="D100" i="17" s="1"/>
  <c r="H32" i="17"/>
  <c r="Y105" i="17" l="1"/>
  <c r="L114" i="17"/>
  <c r="W105" i="17"/>
  <c r="V105" i="17"/>
  <c r="Y102" i="17"/>
  <c r="X102" i="17"/>
  <c r="R110" i="17"/>
  <c r="W102" i="17"/>
  <c r="V100" i="17"/>
  <c r="D124" i="17"/>
  <c r="Q105" i="17"/>
  <c r="Q129" i="17" s="1"/>
  <c r="P105" i="17"/>
  <c r="P129" i="17" s="1"/>
  <c r="AD116" i="17"/>
  <c r="O105" i="17"/>
  <c r="O129" i="17" s="1"/>
  <c r="AC116" i="17"/>
  <c r="P104" i="17"/>
  <c r="P128" i="17" s="1"/>
  <c r="O104" i="17"/>
  <c r="O128" i="17" s="1"/>
  <c r="R112" i="17"/>
  <c r="R136" i="17" s="1"/>
  <c r="AG115" i="17"/>
  <c r="AG139" i="17" s="1"/>
  <c r="Q112" i="17"/>
  <c r="Q136" i="17" s="1"/>
  <c r="V102" i="17"/>
  <c r="V126" i="17" s="1"/>
  <c r="AF115" i="17"/>
  <c r="AF139" i="17" s="1"/>
  <c r="AF114" i="17"/>
  <c r="AF138" i="17" s="1"/>
  <c r="T103" i="17"/>
  <c r="T127" i="17" s="1"/>
  <c r="H114" i="17"/>
  <c r="H138" i="17" s="1"/>
  <c r="P112" i="17"/>
  <c r="S112" i="17"/>
  <c r="S136" i="17" s="1"/>
  <c r="AF112" i="17"/>
  <c r="H103" i="17"/>
  <c r="H127" i="17" s="1"/>
  <c r="U110" i="17"/>
  <c r="U134" i="17" s="1"/>
  <c r="T110" i="17"/>
  <c r="T134" i="17" s="1"/>
  <c r="G131" i="17"/>
  <c r="N105" i="17"/>
  <c r="AG107" i="17"/>
  <c r="AG131" i="17" s="1"/>
  <c r="H119" i="17"/>
  <c r="H143" i="17" s="1"/>
  <c r="Y112" i="17"/>
  <c r="Y136" i="17" s="1"/>
  <c r="M105" i="17"/>
  <c r="H100" i="17"/>
  <c r="H124" i="17" s="1"/>
  <c r="AF107" i="17"/>
  <c r="AF131" i="17" s="1"/>
  <c r="H118" i="17"/>
  <c r="H142" i="17" s="1"/>
  <c r="X112" i="17"/>
  <c r="X136" i="17" s="1"/>
  <c r="Y108" i="17"/>
  <c r="Y132" i="17" s="1"/>
  <c r="L105" i="17"/>
  <c r="L129" i="17" s="1"/>
  <c r="K99" i="17"/>
  <c r="K123" i="17" s="1"/>
  <c r="AJ106" i="17"/>
  <c r="AJ130" i="17" s="1"/>
  <c r="V117" i="17"/>
  <c r="V141" i="17" s="1"/>
  <c r="W112" i="17"/>
  <c r="W136" i="17" s="1"/>
  <c r="X108" i="17"/>
  <c r="X132" i="17" s="1"/>
  <c r="K105" i="17"/>
  <c r="K129" i="17" s="1"/>
  <c r="H99" i="17"/>
  <c r="H123" i="17" s="1"/>
  <c r="AI106" i="17"/>
  <c r="AI130" i="17" s="1"/>
  <c r="E117" i="17"/>
  <c r="E141" i="17" s="1"/>
  <c r="T112" i="17"/>
  <c r="T136" i="17" s="1"/>
  <c r="W108" i="17"/>
  <c r="W132" i="17" s="1"/>
  <c r="J105" i="17"/>
  <c r="J129" i="17" s="1"/>
  <c r="AH106" i="17"/>
  <c r="AH130" i="17" s="1"/>
  <c r="L113" i="17"/>
  <c r="H113" i="17"/>
  <c r="H137" i="17" s="1"/>
  <c r="AG106" i="17"/>
  <c r="AE106" i="17"/>
  <c r="AE130" i="17" s="1"/>
  <c r="AI32" i="17"/>
  <c r="AJ116" i="17"/>
  <c r="AJ140" i="17" s="1"/>
  <c r="AG102" i="17"/>
  <c r="N113" i="17"/>
  <c r="N137" i="17" s="1"/>
  <c r="AI107" i="17"/>
  <c r="AI131" i="17" s="1"/>
  <c r="H110" i="17"/>
  <c r="H134" i="17" s="1"/>
  <c r="M104" i="17"/>
  <c r="M128" i="17" s="1"/>
  <c r="V115" i="17"/>
  <c r="V139" i="17" s="1"/>
  <c r="AI116" i="17"/>
  <c r="AI140" i="17" s="1"/>
  <c r="AF102" i="17"/>
  <c r="AF126" i="17" s="1"/>
  <c r="H102" i="17"/>
  <c r="H126" i="17" s="1"/>
  <c r="I105" i="17"/>
  <c r="I129" i="17" s="1"/>
  <c r="AH117" i="17"/>
  <c r="AH141" i="17" s="1"/>
  <c r="K115" i="17"/>
  <c r="K139" i="17" s="1"/>
  <c r="AH116" i="17"/>
  <c r="AH140" i="17" s="1"/>
  <c r="AH101" i="17"/>
  <c r="AH125" i="17" s="1"/>
  <c r="H108" i="17"/>
  <c r="H132" i="17" s="1"/>
  <c r="AF106" i="17"/>
  <c r="AF130" i="17" s="1"/>
  <c r="V129" i="17"/>
  <c r="E107" i="17"/>
  <c r="E131" i="17" s="1"/>
  <c r="AG117" i="17"/>
  <c r="AG141" i="17" s="1"/>
  <c r="L104" i="17"/>
  <c r="I112" i="17"/>
  <c r="J115" i="17"/>
  <c r="J104" i="17"/>
  <c r="J128" i="17" s="1"/>
  <c r="AG116" i="17"/>
  <c r="AG140" i="17" s="1"/>
  <c r="AF101" i="17"/>
  <c r="AF125" i="17" s="1"/>
  <c r="M113" i="17"/>
  <c r="M137" i="17" s="1"/>
  <c r="AJ107" i="17"/>
  <c r="AJ131" i="17" s="1"/>
  <c r="AE116" i="17"/>
  <c r="AE140" i="17" s="1"/>
  <c r="AF103" i="17"/>
  <c r="AF127" i="17" s="1"/>
  <c r="N104" i="17"/>
  <c r="N128" i="17" s="1"/>
  <c r="AH102" i="17"/>
  <c r="AH126" i="17" s="1"/>
  <c r="W115" i="17"/>
  <c r="W139" i="17" s="1"/>
  <c r="AG32" i="17"/>
  <c r="J112" i="17"/>
  <c r="J136" i="17" s="1"/>
  <c r="AF32" i="17"/>
  <c r="K104" i="17"/>
  <c r="K128" i="17" s="1"/>
  <c r="K106" i="17"/>
  <c r="K130" i="17" s="1"/>
  <c r="K32" i="17"/>
  <c r="I115" i="17"/>
  <c r="I139" i="17" s="1"/>
  <c r="H111" i="17"/>
  <c r="J106" i="17"/>
  <c r="J130" i="17" s="1"/>
  <c r="I104" i="17"/>
  <c r="I128" i="17" s="1"/>
  <c r="AF116" i="17"/>
  <c r="AF140" i="17" s="1"/>
  <c r="K113" i="17"/>
  <c r="K137" i="17" s="1"/>
  <c r="AF119" i="17"/>
  <c r="AF143" i="17" s="1"/>
  <c r="AJ32" i="17"/>
  <c r="L112" i="17"/>
  <c r="L106" i="17"/>
  <c r="L130" i="17" s="1"/>
  <c r="L32" i="17"/>
  <c r="H112" i="17"/>
  <c r="H136" i="17" s="1"/>
  <c r="J32" i="17"/>
  <c r="H115" i="17"/>
  <c r="H139" i="17" s="1"/>
  <c r="Y110" i="17"/>
  <c r="Y134" i="17" s="1"/>
  <c r="I106" i="17"/>
  <c r="I130" i="17" s="1"/>
  <c r="H104" i="17"/>
  <c r="H128" i="17" s="1"/>
  <c r="AJ115" i="17"/>
  <c r="AJ139" i="17" s="1"/>
  <c r="AH107" i="17"/>
  <c r="AH131" i="17" s="1"/>
  <c r="H105" i="17"/>
  <c r="H129" i="17" s="1"/>
  <c r="F107" i="17"/>
  <c r="F131" i="17" s="1"/>
  <c r="AI102" i="17"/>
  <c r="H116" i="17"/>
  <c r="H140" i="17" s="1"/>
  <c r="AF117" i="17"/>
  <c r="AF141" i="17" s="1"/>
  <c r="K112" i="17"/>
  <c r="I32" i="17"/>
  <c r="N114" i="17"/>
  <c r="N138" i="17" s="1"/>
  <c r="X110" i="17"/>
  <c r="X134" i="17" s="1"/>
  <c r="H106" i="17"/>
  <c r="H130" i="17" s="1"/>
  <c r="U103" i="17"/>
  <c r="AI115" i="17"/>
  <c r="AI139" i="17" s="1"/>
  <c r="AA132" i="17"/>
  <c r="G102" i="17"/>
  <c r="G126" i="17" s="1"/>
  <c r="AB140" i="17"/>
  <c r="G100" i="17"/>
  <c r="G124" i="17" s="1"/>
  <c r="E100" i="17"/>
  <c r="E124" i="17" s="1"/>
  <c r="AB32" i="17"/>
  <c r="AB108" i="17"/>
  <c r="AB132" i="17" s="1"/>
  <c r="AB107" i="17"/>
  <c r="AB131" i="17" s="1"/>
  <c r="AB114" i="17"/>
  <c r="AB138" i="17" s="1"/>
  <c r="AB99" i="17"/>
  <c r="AB123" i="17" s="1"/>
  <c r="AB101" i="17"/>
  <c r="AB125" i="17" s="1"/>
  <c r="AB100" i="17"/>
  <c r="AB124" i="17" s="1"/>
  <c r="AB117" i="17"/>
  <c r="AB141" i="17" s="1"/>
  <c r="AB115" i="17"/>
  <c r="AB139" i="17" s="1"/>
  <c r="AB109" i="17"/>
  <c r="AB133" i="17" s="1"/>
  <c r="AB106" i="17"/>
  <c r="AB130" i="17" s="1"/>
  <c r="AE119" i="17"/>
  <c r="AE143" i="17" s="1"/>
  <c r="AD101" i="17"/>
  <c r="AD125" i="17" s="1"/>
  <c r="AD32" i="17"/>
  <c r="AD105" i="17"/>
  <c r="AD108" i="17"/>
  <c r="AD132" i="17" s="1"/>
  <c r="AD99" i="17"/>
  <c r="AD123" i="17" s="1"/>
  <c r="AD115" i="17"/>
  <c r="AD139" i="17" s="1"/>
  <c r="AD100" i="17"/>
  <c r="AD124" i="17" s="1"/>
  <c r="AD107" i="17"/>
  <c r="AD131" i="17" s="1"/>
  <c r="AD114" i="17"/>
  <c r="AD138" i="17" s="1"/>
  <c r="AC32" i="17"/>
  <c r="AC108" i="17"/>
  <c r="AC132" i="17" s="1"/>
  <c r="AC115" i="17"/>
  <c r="AC139" i="17" s="1"/>
  <c r="AC107" i="17"/>
  <c r="AC131" i="17" s="1"/>
  <c r="AC113" i="17"/>
  <c r="AC137" i="17" s="1"/>
  <c r="AC105" i="17"/>
  <c r="AC129" i="17" s="1"/>
  <c r="AC100" i="17"/>
  <c r="AC124" i="17" s="1"/>
  <c r="AC117" i="17"/>
  <c r="AC141" i="17" s="1"/>
  <c r="AC99" i="17"/>
  <c r="AC123" i="17" s="1"/>
  <c r="AC101" i="17"/>
  <c r="AC125" i="17" s="1"/>
  <c r="AC114" i="17"/>
  <c r="AC138" i="17" s="1"/>
  <c r="AC109" i="17"/>
  <c r="AC133" i="17" s="1"/>
  <c r="AA32" i="17"/>
  <c r="AA112" i="17"/>
  <c r="AA136" i="17" s="1"/>
  <c r="AA115" i="17"/>
  <c r="AA139" i="17" s="1"/>
  <c r="AA104" i="17"/>
  <c r="AA128" i="17" s="1"/>
  <c r="AA107" i="17"/>
  <c r="AA131" i="17" s="1"/>
  <c r="AA114" i="17"/>
  <c r="AA106" i="17"/>
  <c r="AA130" i="17" s="1"/>
  <c r="AA116" i="17"/>
  <c r="AA140" i="17" s="1"/>
  <c r="AA109" i="17"/>
  <c r="AA133" i="17" s="1"/>
  <c r="AA100" i="17"/>
  <c r="AA124" i="17" s="1"/>
  <c r="AA117" i="17"/>
  <c r="AA141" i="17" s="1"/>
  <c r="AA101" i="17"/>
  <c r="AA125" i="17" s="1"/>
  <c r="AA99" i="17"/>
  <c r="AA123" i="17" s="1"/>
  <c r="AD113" i="17"/>
  <c r="AD137" i="17" s="1"/>
  <c r="AE101" i="17"/>
  <c r="AE125" i="17" s="1"/>
  <c r="AE102" i="17"/>
  <c r="AE126" i="17" s="1"/>
  <c r="AE112" i="17"/>
  <c r="AE136" i="17" s="1"/>
  <c r="AE105" i="17"/>
  <c r="AE129" i="17" s="1"/>
  <c r="AE108" i="17"/>
  <c r="AE132" i="17" s="1"/>
  <c r="AE114" i="17"/>
  <c r="AE138" i="17" s="1"/>
  <c r="AE118" i="17"/>
  <c r="AE142" i="17" s="1"/>
  <c r="AE32" i="17"/>
  <c r="AE99" i="17"/>
  <c r="AE110" i="17"/>
  <c r="AE134" i="17" s="1"/>
  <c r="AE104" i="17"/>
  <c r="AE128" i="17" s="1"/>
  <c r="AE111" i="17"/>
  <c r="AE135" i="17" s="1"/>
  <c r="AE115" i="17"/>
  <c r="AE139" i="17" s="1"/>
  <c r="AE100" i="17"/>
  <c r="AE124" i="17" s="1"/>
  <c r="AE103" i="17"/>
  <c r="AE127" i="17" s="1"/>
  <c r="AE107" i="17"/>
  <c r="AE131" i="17" s="1"/>
  <c r="G101" i="17"/>
  <c r="G125" i="17" s="1"/>
  <c r="G105" i="17"/>
  <c r="G129" i="17" s="1"/>
  <c r="G112" i="17"/>
  <c r="G136" i="17" s="1"/>
  <c r="G116" i="17"/>
  <c r="G140" i="17" s="1"/>
  <c r="G110" i="17"/>
  <c r="G134" i="17" s="1"/>
  <c r="G108" i="17"/>
  <c r="G132" i="17" s="1"/>
  <c r="G115" i="17"/>
  <c r="G139" i="17" s="1"/>
  <c r="G103" i="17"/>
  <c r="G127" i="17" s="1"/>
  <c r="G111" i="17"/>
  <c r="G135" i="17" s="1"/>
  <c r="G99" i="17"/>
  <c r="G123" i="17" s="1"/>
  <c r="G113" i="17"/>
  <c r="G137" i="17" s="1"/>
  <c r="G119" i="17"/>
  <c r="G143" i="17" s="1"/>
  <c r="G106" i="17"/>
  <c r="G130" i="17" s="1"/>
  <c r="G32" i="17"/>
  <c r="G118" i="17"/>
  <c r="G142" i="17" s="1"/>
  <c r="G104" i="17"/>
  <c r="G128" i="17" s="1"/>
  <c r="G114" i="17"/>
  <c r="G138" i="17" s="1"/>
  <c r="F101" i="17"/>
  <c r="F125" i="17" s="1"/>
  <c r="F99" i="17"/>
  <c r="F123" i="17" s="1"/>
  <c r="F116" i="17"/>
  <c r="F140" i="17" s="1"/>
  <c r="F115" i="17"/>
  <c r="F139" i="17" s="1"/>
  <c r="F113" i="17"/>
  <c r="F137" i="17" s="1"/>
  <c r="F106" i="17"/>
  <c r="F130" i="17" s="1"/>
  <c r="F105" i="17"/>
  <c r="F129" i="17" s="1"/>
  <c r="F108" i="17"/>
  <c r="F132" i="17" s="1"/>
  <c r="F32" i="17"/>
  <c r="F114" i="17"/>
  <c r="F138" i="17" s="1"/>
  <c r="E102" i="17"/>
  <c r="E126" i="17" s="1"/>
  <c r="E101" i="17"/>
  <c r="E125" i="17" s="1"/>
  <c r="E108" i="17"/>
  <c r="E132" i="17" s="1"/>
  <c r="E99" i="17"/>
  <c r="E123" i="17" s="1"/>
  <c r="E113" i="17"/>
  <c r="E137" i="17" s="1"/>
  <c r="E115" i="17"/>
  <c r="E139" i="17" s="1"/>
  <c r="E106" i="17"/>
  <c r="E130" i="17" s="1"/>
  <c r="E109" i="17"/>
  <c r="E133" i="17" s="1"/>
  <c r="E32" i="17"/>
  <c r="E105" i="17"/>
  <c r="E129" i="17" s="1"/>
  <c r="E116" i="17"/>
  <c r="E140" i="17" s="1"/>
  <c r="Z32" i="17"/>
  <c r="Z102" i="17"/>
  <c r="Z105" i="17"/>
  <c r="Z129" i="17" s="1"/>
  <c r="Z110" i="17"/>
  <c r="Z134" i="17" s="1"/>
  <c r="Z100" i="17"/>
  <c r="Z124" i="17" s="1"/>
  <c r="Z109" i="17"/>
  <c r="Z133" i="17" s="1"/>
  <c r="Z106" i="17"/>
  <c r="Z130" i="17" s="1"/>
  <c r="Z113" i="17"/>
  <c r="Z137" i="17" s="1"/>
  <c r="Z116" i="17"/>
  <c r="Z140" i="17" s="1"/>
  <c r="Z117" i="17"/>
  <c r="Z141" i="17" s="1"/>
  <c r="Z115" i="17"/>
  <c r="Z104" i="17"/>
  <c r="Z107" i="17"/>
  <c r="Z131" i="17" s="1"/>
  <c r="Z114" i="17"/>
  <c r="Z138" i="17" s="1"/>
  <c r="Z99" i="17"/>
  <c r="Z123" i="17" s="1"/>
  <c r="Z118" i="17"/>
  <c r="Z142" i="17" s="1"/>
  <c r="Z101" i="17"/>
  <c r="Z125" i="17" s="1"/>
  <c r="X113" i="17"/>
  <c r="X137" i="17" s="1"/>
  <c r="U126" i="17"/>
  <c r="W116" i="17"/>
  <c r="W140" i="17" s="1"/>
  <c r="W113" i="17"/>
  <c r="W137" i="17" s="1"/>
  <c r="W106" i="17"/>
  <c r="W130" i="17" s="1"/>
  <c r="Y101" i="17"/>
  <c r="Y125" i="17" s="1"/>
  <c r="Y118" i="17"/>
  <c r="Y142" i="17" s="1"/>
  <c r="V116" i="17"/>
  <c r="V140" i="17" s="1"/>
  <c r="V113" i="17"/>
  <c r="V137" i="17" s="1"/>
  <c r="V106" i="17"/>
  <c r="V130" i="17" s="1"/>
  <c r="W103" i="17"/>
  <c r="W127" i="17" s="1"/>
  <c r="X101" i="17"/>
  <c r="X125" i="17" s="1"/>
  <c r="Y99" i="17"/>
  <c r="Y123" i="17" s="1"/>
  <c r="AH115" i="17"/>
  <c r="AH139" i="17" s="1"/>
  <c r="AJ102" i="17"/>
  <c r="AJ126" i="17" s="1"/>
  <c r="W114" i="17"/>
  <c r="W138" i="17" s="1"/>
  <c r="J113" i="17"/>
  <c r="J137" i="17" s="1"/>
  <c r="W111" i="17"/>
  <c r="W135" i="17" s="1"/>
  <c r="W109" i="17"/>
  <c r="W133" i="17" s="1"/>
  <c r="Y107" i="17"/>
  <c r="Y131" i="17" s="1"/>
  <c r="R103" i="17"/>
  <c r="R127" i="17" s="1"/>
  <c r="J99" i="17"/>
  <c r="J123" i="17" s="1"/>
  <c r="AH112" i="17"/>
  <c r="AH136" i="17" s="1"/>
  <c r="AJ101" i="17"/>
  <c r="AJ125" i="17" s="1"/>
  <c r="Y114" i="17"/>
  <c r="Y138" i="17" s="1"/>
  <c r="X109" i="17"/>
  <c r="X133" i="17" s="1"/>
  <c r="S103" i="17"/>
  <c r="S127" i="17" s="1"/>
  <c r="AI112" i="17"/>
  <c r="AI136" i="17" s="1"/>
  <c r="V114" i="17"/>
  <c r="V138" i="17" s="1"/>
  <c r="I113" i="17"/>
  <c r="I137" i="17" s="1"/>
  <c r="V111" i="17"/>
  <c r="V109" i="17"/>
  <c r="V133" i="17" s="1"/>
  <c r="X107" i="17"/>
  <c r="X131" i="17" s="1"/>
  <c r="Q103" i="17"/>
  <c r="Q127" i="17" s="1"/>
  <c r="I99" i="17"/>
  <c r="I123" i="17" s="1"/>
  <c r="AG112" i="17"/>
  <c r="AI101" i="17"/>
  <c r="X118" i="17"/>
  <c r="X142" i="17" s="1"/>
  <c r="M129" i="17"/>
  <c r="M114" i="17"/>
  <c r="M138" i="17" s="1"/>
  <c r="O111" i="17"/>
  <c r="O135" i="17" s="1"/>
  <c r="V107" i="17"/>
  <c r="V131" i="17" s="1"/>
  <c r="O103" i="17"/>
  <c r="O127" i="17" s="1"/>
  <c r="J124" i="17"/>
  <c r="AJ111" i="17"/>
  <c r="AJ135" i="17" s="1"/>
  <c r="AG101" i="17"/>
  <c r="AG125" i="17" s="1"/>
  <c r="X99" i="17"/>
  <c r="X123" i="17" s="1"/>
  <c r="Y117" i="17"/>
  <c r="Y141" i="17" s="1"/>
  <c r="K114" i="17"/>
  <c r="K138" i="17" s="1"/>
  <c r="J107" i="17"/>
  <c r="J131" i="17" s="1"/>
  <c r="X104" i="17"/>
  <c r="X128" i="17" s="1"/>
  <c r="Y100" i="17"/>
  <c r="Y124" i="17" s="1"/>
  <c r="AH111" i="17"/>
  <c r="AH135" i="17" s="1"/>
  <c r="Y113" i="17"/>
  <c r="Y137" i="17" s="1"/>
  <c r="X117" i="17"/>
  <c r="X141" i="17" s="1"/>
  <c r="J114" i="17"/>
  <c r="J138" i="17" s="1"/>
  <c r="X100" i="17"/>
  <c r="X124" i="17" s="1"/>
  <c r="J139" i="17"/>
  <c r="V135" i="17"/>
  <c r="AG111" i="17"/>
  <c r="Y116" i="17"/>
  <c r="Y140" i="17" s="1"/>
  <c r="P136" i="17"/>
  <c r="X116" i="17"/>
  <c r="X140" i="17" s="1"/>
  <c r="Y106" i="17"/>
  <c r="Y130" i="17" s="1"/>
  <c r="S143" i="17"/>
  <c r="V103" i="17"/>
  <c r="V127" i="17" s="1"/>
  <c r="W101" i="17"/>
  <c r="W125" i="17" s="1"/>
  <c r="AI126" i="17"/>
  <c r="W118" i="17"/>
  <c r="W142" i="17" s="1"/>
  <c r="V101" i="17"/>
  <c r="V125" i="17" s="1"/>
  <c r="W99" i="17"/>
  <c r="W123" i="17" s="1"/>
  <c r="V118" i="17"/>
  <c r="V142" i="17" s="1"/>
  <c r="L137" i="17"/>
  <c r="Y109" i="17"/>
  <c r="Y133" i="17" s="1"/>
  <c r="V99" i="17"/>
  <c r="V123" i="17" s="1"/>
  <c r="AG126" i="17"/>
  <c r="P111" i="17"/>
  <c r="P135" i="17" s="1"/>
  <c r="U109" i="17"/>
  <c r="U133" i="17" s="1"/>
  <c r="W107" i="17"/>
  <c r="W131" i="17" s="1"/>
  <c r="P103" i="17"/>
  <c r="K107" i="17"/>
  <c r="K131" i="17" s="1"/>
  <c r="Y104" i="17"/>
  <c r="Y128" i="17" s="1"/>
  <c r="I124" i="17"/>
  <c r="L123" i="17"/>
  <c r="AI111" i="17"/>
  <c r="AI135" i="17" s="1"/>
  <c r="Y115" i="17"/>
  <c r="Y139" i="17" s="1"/>
  <c r="I107" i="17"/>
  <c r="I131" i="17" s="1"/>
  <c r="W104" i="17"/>
  <c r="W128" i="17" s="1"/>
  <c r="H141" i="17"/>
  <c r="W117" i="17"/>
  <c r="W141" i="17" s="1"/>
  <c r="X115" i="17"/>
  <c r="X139" i="17" s="1"/>
  <c r="I114" i="17"/>
  <c r="I138" i="17" s="1"/>
  <c r="H107" i="17"/>
  <c r="H131" i="17" s="1"/>
  <c r="Q104" i="17"/>
  <c r="Q128" i="17" s="1"/>
  <c r="W100" i="17"/>
  <c r="W124" i="17" s="1"/>
  <c r="AF111" i="17"/>
  <c r="AF135" i="17" s="1"/>
  <c r="U118" i="17"/>
  <c r="U142" i="17" s="1"/>
  <c r="U101" i="17"/>
  <c r="U125" i="17" s="1"/>
  <c r="T118" i="17"/>
  <c r="T142" i="17" s="1"/>
  <c r="S118" i="17"/>
  <c r="S142" i="17" s="1"/>
  <c r="O112" i="17"/>
  <c r="O136" i="17" s="1"/>
  <c r="Z132" i="17"/>
  <c r="T104" i="17"/>
  <c r="T128" i="17" s="1"/>
  <c r="R118" i="17"/>
  <c r="R142" i="17" s="1"/>
  <c r="N112" i="17"/>
  <c r="N136" i="17" s="1"/>
  <c r="S104" i="17"/>
  <c r="S128" i="17" s="1"/>
  <c r="V134" i="17"/>
  <c r="V143" i="17"/>
  <c r="L138" i="17"/>
  <c r="R105" i="17"/>
  <c r="R129" i="17" s="1"/>
  <c r="R113" i="17"/>
  <c r="R137" i="17" s="1"/>
  <c r="R32" i="17"/>
  <c r="R101" i="17"/>
  <c r="R125" i="17" s="1"/>
  <c r="R99" i="17"/>
  <c r="R123" i="17" s="1"/>
  <c r="R117" i="17"/>
  <c r="R141" i="17" s="1"/>
  <c r="R106" i="17"/>
  <c r="R130" i="17" s="1"/>
  <c r="R114" i="17"/>
  <c r="R138" i="17" s="1"/>
  <c r="R109" i="17"/>
  <c r="R133" i="17" s="1"/>
  <c r="R107" i="17"/>
  <c r="R131" i="17" s="1"/>
  <c r="R115" i="17"/>
  <c r="R139" i="17" s="1"/>
  <c r="R100" i="17"/>
  <c r="R124" i="17" s="1"/>
  <c r="R108" i="17"/>
  <c r="R132" i="17" s="1"/>
  <c r="R116" i="17"/>
  <c r="R140" i="17" s="1"/>
  <c r="Q32" i="17"/>
  <c r="Q102" i="17"/>
  <c r="Q126" i="17" s="1"/>
  <c r="Q118" i="17"/>
  <c r="Q106" i="17"/>
  <c r="Q130" i="17" s="1"/>
  <c r="Q114" i="17"/>
  <c r="Q138" i="17" s="1"/>
  <c r="Q117" i="17"/>
  <c r="Q141" i="17" s="1"/>
  <c r="Q110" i="17"/>
  <c r="Q134" i="17" s="1"/>
  <c r="Q99" i="17"/>
  <c r="Q123" i="17" s="1"/>
  <c r="Q107" i="17"/>
  <c r="Q131" i="17" s="1"/>
  <c r="Q115" i="17"/>
  <c r="Q139" i="17" s="1"/>
  <c r="Q101" i="17"/>
  <c r="Q125" i="17" s="1"/>
  <c r="Q109" i="17"/>
  <c r="Q133" i="17" s="1"/>
  <c r="Q100" i="17"/>
  <c r="Q124" i="17" s="1"/>
  <c r="Q108" i="17"/>
  <c r="Q132" i="17" s="1"/>
  <c r="Q116" i="17"/>
  <c r="Q140" i="17" s="1"/>
  <c r="T102" i="17"/>
  <c r="T126" i="17" s="1"/>
  <c r="U32" i="17"/>
  <c r="U104" i="17"/>
  <c r="U128" i="17" s="1"/>
  <c r="U112" i="17"/>
  <c r="U136" i="17" s="1"/>
  <c r="U108" i="17"/>
  <c r="U132" i="17" s="1"/>
  <c r="U113" i="17"/>
  <c r="U137" i="17" s="1"/>
  <c r="U105" i="17"/>
  <c r="U129" i="17" s="1"/>
  <c r="U114" i="17"/>
  <c r="U138" i="17" s="1"/>
  <c r="U106" i="17"/>
  <c r="U130" i="17" s="1"/>
  <c r="U100" i="17"/>
  <c r="U124" i="17" s="1"/>
  <c r="U116" i="17"/>
  <c r="U140" i="17" s="1"/>
  <c r="U99" i="17"/>
  <c r="U107" i="17"/>
  <c r="U131" i="17" s="1"/>
  <c r="U115" i="17"/>
  <c r="U139" i="17" s="1"/>
  <c r="Y126" i="17"/>
  <c r="P106" i="17"/>
  <c r="P130" i="17" s="1"/>
  <c r="P114" i="17"/>
  <c r="P115" i="17"/>
  <c r="P139" i="17" s="1"/>
  <c r="P107" i="17"/>
  <c r="P131" i="17" s="1"/>
  <c r="P32" i="17"/>
  <c r="P99" i="17"/>
  <c r="P123" i="17" s="1"/>
  <c r="P100" i="17"/>
  <c r="P124" i="17" s="1"/>
  <c r="P108" i="17"/>
  <c r="P132" i="17" s="1"/>
  <c r="P116" i="17"/>
  <c r="P140" i="17" s="1"/>
  <c r="P102" i="17"/>
  <c r="P126" i="17" s="1"/>
  <c r="P101" i="17"/>
  <c r="P125" i="17" s="1"/>
  <c r="P109" i="17"/>
  <c r="P133" i="17" s="1"/>
  <c r="P117" i="17"/>
  <c r="P141" i="17" s="1"/>
  <c r="P110" i="17"/>
  <c r="P134" i="17" s="1"/>
  <c r="P118" i="17"/>
  <c r="P142" i="17" s="1"/>
  <c r="O106" i="17"/>
  <c r="O130" i="17" s="1"/>
  <c r="O114" i="17"/>
  <c r="O138" i="17" s="1"/>
  <c r="O32" i="17"/>
  <c r="O115" i="17"/>
  <c r="O139" i="17" s="1"/>
  <c r="O102" i="17"/>
  <c r="O126" i="17" s="1"/>
  <c r="O110" i="17"/>
  <c r="O134" i="17" s="1"/>
  <c r="O99" i="17"/>
  <c r="O123" i="17" s="1"/>
  <c r="O107" i="17"/>
  <c r="O131" i="17" s="1"/>
  <c r="O116" i="17"/>
  <c r="O118" i="17"/>
  <c r="O142" i="17" s="1"/>
  <c r="O100" i="17"/>
  <c r="O124" i="17" s="1"/>
  <c r="O108" i="17"/>
  <c r="O132" i="17" s="1"/>
  <c r="O101" i="17"/>
  <c r="O125" i="17" s="1"/>
  <c r="O109" i="17"/>
  <c r="O133" i="17" s="1"/>
  <c r="O117" i="17"/>
  <c r="O141" i="17" s="1"/>
  <c r="S102" i="17"/>
  <c r="S126" i="17" s="1"/>
  <c r="AI125" i="17"/>
  <c r="P138" i="17"/>
  <c r="T32" i="17"/>
  <c r="T113" i="17"/>
  <c r="T137" i="17" s="1"/>
  <c r="T105" i="17"/>
  <c r="T129" i="17" s="1"/>
  <c r="T117" i="17"/>
  <c r="T141" i="17" s="1"/>
  <c r="T108" i="17"/>
  <c r="T132" i="17" s="1"/>
  <c r="T106" i="17"/>
  <c r="T130" i="17" s="1"/>
  <c r="T114" i="17"/>
  <c r="T138" i="17" s="1"/>
  <c r="T101" i="17"/>
  <c r="T109" i="17"/>
  <c r="T133" i="17" s="1"/>
  <c r="T99" i="17"/>
  <c r="T123" i="17" s="1"/>
  <c r="T107" i="17"/>
  <c r="T131" i="17" s="1"/>
  <c r="T115" i="17"/>
  <c r="T139" i="17" s="1"/>
  <c r="T100" i="17"/>
  <c r="T124" i="17" s="1"/>
  <c r="T116" i="17"/>
  <c r="T140" i="17" s="1"/>
  <c r="N130" i="17"/>
  <c r="Z126" i="17"/>
  <c r="Q137" i="17"/>
  <c r="U119" i="17"/>
  <c r="U143" i="17" s="1"/>
  <c r="D126" i="17"/>
  <c r="R119" i="17"/>
  <c r="R143" i="17" s="1"/>
  <c r="P137" i="17"/>
  <c r="S114" i="17"/>
  <c r="S138" i="17" s="1"/>
  <c r="S109" i="17"/>
  <c r="S133" i="17" s="1"/>
  <c r="S105" i="17"/>
  <c r="S129" i="17" s="1"/>
  <c r="S113" i="17"/>
  <c r="S137" i="17" s="1"/>
  <c r="S32" i="17"/>
  <c r="S106" i="17"/>
  <c r="S130" i="17" s="1"/>
  <c r="S99" i="17"/>
  <c r="S123" i="17" s="1"/>
  <c r="S107" i="17"/>
  <c r="S115" i="17"/>
  <c r="S139" i="17" s="1"/>
  <c r="S100" i="17"/>
  <c r="S124" i="17" s="1"/>
  <c r="S108" i="17"/>
  <c r="S132" i="17" s="1"/>
  <c r="S116" i="17"/>
  <c r="S140" i="17" s="1"/>
  <c r="S101" i="17"/>
  <c r="S125" i="17" s="1"/>
  <c r="S117" i="17"/>
  <c r="S141" i="17" s="1"/>
  <c r="W143" i="17"/>
  <c r="AG136" i="17"/>
  <c r="R102" i="17"/>
  <c r="R126" i="17" s="1"/>
  <c r="AF136" i="17"/>
  <c r="D32" i="17"/>
  <c r="D105" i="17"/>
  <c r="D129" i="17" s="1"/>
  <c r="D106" i="17"/>
  <c r="D130" i="17" s="1"/>
  <c r="D107" i="17"/>
  <c r="D131" i="17" s="1"/>
  <c r="D112" i="17"/>
  <c r="D136" i="17" s="1"/>
  <c r="D108" i="17"/>
  <c r="D132" i="17" s="1"/>
  <c r="D109" i="17"/>
  <c r="D133" i="17" s="1"/>
  <c r="D118" i="17"/>
  <c r="D142" i="17" s="1"/>
  <c r="D119" i="17"/>
  <c r="D143" i="17" s="1"/>
  <c r="D110" i="17"/>
  <c r="D134" i="17" s="1"/>
  <c r="D111" i="17"/>
  <c r="D135" i="17" s="1"/>
  <c r="D117" i="17"/>
  <c r="D141" i="17" s="1"/>
  <c r="D113" i="17"/>
  <c r="D137" i="17" s="1"/>
  <c r="D114" i="17"/>
  <c r="D138" i="17" s="1"/>
  <c r="D115" i="17"/>
  <c r="D139" i="17" s="1"/>
  <c r="D116" i="17"/>
  <c r="D140" i="17" s="1"/>
  <c r="M32" i="17"/>
  <c r="M99" i="17"/>
  <c r="M123" i="17" s="1"/>
  <c r="M107" i="17"/>
  <c r="M131" i="17" s="1"/>
  <c r="M115" i="17"/>
  <c r="M139" i="17" s="1"/>
  <c r="M100" i="17"/>
  <c r="M124" i="17" s="1"/>
  <c r="M108" i="17"/>
  <c r="M132" i="17" s="1"/>
  <c r="M116" i="17"/>
  <c r="M140" i="17" s="1"/>
  <c r="M103" i="17"/>
  <c r="M127" i="17" s="1"/>
  <c r="M101" i="17"/>
  <c r="M125" i="17" s="1"/>
  <c r="M109" i="17"/>
  <c r="M133" i="17" s="1"/>
  <c r="M117" i="17"/>
  <c r="M141" i="17" s="1"/>
  <c r="M111" i="17"/>
  <c r="M135" i="17" s="1"/>
  <c r="M119" i="17"/>
  <c r="M143" i="17" s="1"/>
  <c r="M102" i="17"/>
  <c r="M126" i="17" s="1"/>
  <c r="M110" i="17"/>
  <c r="M134" i="17" s="1"/>
  <c r="M118" i="17"/>
  <c r="M142" i="17" s="1"/>
  <c r="D99" i="17"/>
  <c r="D123" i="17" s="1"/>
  <c r="P119" i="17"/>
  <c r="P143" i="17" s="1"/>
  <c r="U117" i="17"/>
  <c r="U141" i="17" s="1"/>
  <c r="U111" i="17"/>
  <c r="U135" i="17" s="1"/>
  <c r="M106" i="17"/>
  <c r="M130" i="17" s="1"/>
  <c r="D104" i="17"/>
  <c r="D128" i="17" s="1"/>
  <c r="O119" i="17"/>
  <c r="O143" i="17" s="1"/>
  <c r="T111" i="17"/>
  <c r="T135" i="17" s="1"/>
  <c r="D103" i="17"/>
  <c r="D127" i="17" s="1"/>
  <c r="S111" i="17"/>
  <c r="S135" i="17" s="1"/>
  <c r="AE123" i="17"/>
  <c r="AH127" i="17"/>
  <c r="D102" i="17"/>
  <c r="R111" i="17"/>
  <c r="R135" i="17" s="1"/>
  <c r="AG135" i="17"/>
  <c r="N110" i="17"/>
  <c r="N134" i="17" s="1"/>
  <c r="N111" i="17"/>
  <c r="N135" i="17" s="1"/>
  <c r="N32" i="17"/>
  <c r="N108" i="17"/>
  <c r="N102" i="17"/>
  <c r="N126" i="17" s="1"/>
  <c r="N99" i="17"/>
  <c r="N123" i="17" s="1"/>
  <c r="N107" i="17"/>
  <c r="N131" i="17" s="1"/>
  <c r="N115" i="17"/>
  <c r="N139" i="17" s="1"/>
  <c r="N116" i="17"/>
  <c r="N140" i="17" s="1"/>
  <c r="N100" i="17"/>
  <c r="N124" i="17" s="1"/>
  <c r="N118" i="17"/>
  <c r="N142" i="17" s="1"/>
  <c r="N119" i="17"/>
  <c r="N143" i="17" s="1"/>
  <c r="N101" i="17"/>
  <c r="N125" i="17" s="1"/>
  <c r="N109" i="17"/>
  <c r="N133" i="17" s="1"/>
  <c r="N117" i="17"/>
  <c r="N141" i="17" s="1"/>
  <c r="N103" i="17"/>
  <c r="N127" i="17" s="1"/>
  <c r="Q119" i="17"/>
  <c r="Q143" i="17" s="1"/>
  <c r="D101" i="17"/>
  <c r="D125" i="17" s="1"/>
  <c r="Q111" i="17"/>
  <c r="Q135" i="17" s="1"/>
  <c r="O137" i="17"/>
  <c r="AI141" i="17"/>
  <c r="AG127" i="17"/>
  <c r="W134" i="17"/>
  <c r="AH32" i="17"/>
  <c r="AJ119" i="17"/>
  <c r="AJ143" i="17" s="1"/>
  <c r="AG110" i="17"/>
  <c r="AG134" i="17" s="1"/>
  <c r="AH105" i="17"/>
  <c r="AH129" i="17" s="1"/>
  <c r="AI100" i="17"/>
  <c r="AI124" i="17" s="1"/>
  <c r="J119" i="17"/>
  <c r="J143" i="17" s="1"/>
  <c r="AB113" i="17"/>
  <c r="AB137" i="17" s="1"/>
  <c r="J111" i="17"/>
  <c r="J135" i="17" s="1"/>
  <c r="AB105" i="17"/>
  <c r="J103" i="17"/>
  <c r="J127" i="17" s="1"/>
  <c r="AI119" i="17"/>
  <c r="AI143" i="17" s="1"/>
  <c r="AJ114" i="17"/>
  <c r="AJ138" i="17" s="1"/>
  <c r="AF110" i="17"/>
  <c r="AF134" i="17" s="1"/>
  <c r="AG105" i="17"/>
  <c r="AG129" i="17" s="1"/>
  <c r="AH100" i="17"/>
  <c r="AH124" i="17" s="1"/>
  <c r="I119" i="17"/>
  <c r="L118" i="17"/>
  <c r="X114" i="17"/>
  <c r="AA113" i="17"/>
  <c r="AD112" i="17"/>
  <c r="AD136" i="17" s="1"/>
  <c r="F112" i="17"/>
  <c r="F136" i="17" s="1"/>
  <c r="I111" i="17"/>
  <c r="I135" i="17" s="1"/>
  <c r="L110" i="17"/>
  <c r="L134" i="17" s="1"/>
  <c r="X106" i="17"/>
  <c r="X130" i="17" s="1"/>
  <c r="AA105" i="17"/>
  <c r="AA129" i="17" s="1"/>
  <c r="AD104" i="17"/>
  <c r="AD128" i="17" s="1"/>
  <c r="F104" i="17"/>
  <c r="F128" i="17" s="1"/>
  <c r="I103" i="17"/>
  <c r="I127" i="17" s="1"/>
  <c r="L102" i="17"/>
  <c r="L126" i="17" s="1"/>
  <c r="AH119" i="17"/>
  <c r="AH143" i="17" s="1"/>
  <c r="AI114" i="17"/>
  <c r="AI138" i="17" s="1"/>
  <c r="AJ109" i="17"/>
  <c r="AJ133" i="17" s="1"/>
  <c r="AF105" i="17"/>
  <c r="AF129" i="17" s="1"/>
  <c r="AG100" i="17"/>
  <c r="AG124" i="17" s="1"/>
  <c r="AF132" i="17"/>
  <c r="AJ105" i="17"/>
  <c r="AJ129" i="17" s="1"/>
  <c r="K103" i="17"/>
  <c r="K127" i="17" s="1"/>
  <c r="K118" i="17"/>
  <c r="AC112" i="17"/>
  <c r="AC136" i="17" s="1"/>
  <c r="E112" i="17"/>
  <c r="E136" i="17" s="1"/>
  <c r="K110" i="17"/>
  <c r="K134" i="17" s="1"/>
  <c r="AC104" i="17"/>
  <c r="AC128" i="17" s="1"/>
  <c r="E104" i="17"/>
  <c r="E128" i="17" s="1"/>
  <c r="K102" i="17"/>
  <c r="K126" i="17" s="1"/>
  <c r="AG119" i="17"/>
  <c r="AG143" i="17" s="1"/>
  <c r="AH114" i="17"/>
  <c r="AH138" i="17" s="1"/>
  <c r="AI109" i="17"/>
  <c r="AI133" i="17" s="1"/>
  <c r="AJ104" i="17"/>
  <c r="AJ128" i="17" s="1"/>
  <c r="AF100" i="17"/>
  <c r="AF124" i="17" s="1"/>
  <c r="X126" i="17"/>
  <c r="AB112" i="17"/>
  <c r="AB136" i="17" s="1"/>
  <c r="J110" i="17"/>
  <c r="J134" i="17" s="1"/>
  <c r="AB104" i="17"/>
  <c r="AB128" i="17" s="1"/>
  <c r="J102" i="17"/>
  <c r="J126" i="17" s="1"/>
  <c r="AG114" i="17"/>
  <c r="AG138" i="17" s="1"/>
  <c r="AH109" i="17"/>
  <c r="AH133" i="17" s="1"/>
  <c r="AI104" i="17"/>
  <c r="AI128" i="17" s="1"/>
  <c r="AJ99" i="17"/>
  <c r="AJ123" i="17" s="1"/>
  <c r="AD140" i="17"/>
  <c r="U127" i="17"/>
  <c r="W126" i="17"/>
  <c r="AJ100" i="17"/>
  <c r="AJ124" i="17" s="1"/>
  <c r="AD119" i="17"/>
  <c r="AD143" i="17" s="1"/>
  <c r="I110" i="17"/>
  <c r="I134" i="17" s="1"/>
  <c r="F103" i="17"/>
  <c r="F127" i="17" s="1"/>
  <c r="AJ118" i="17"/>
  <c r="AJ142" i="17" s="1"/>
  <c r="AG109" i="17"/>
  <c r="AG133" i="17" s="1"/>
  <c r="AH104" i="17"/>
  <c r="AH128" i="17" s="1"/>
  <c r="AI99" i="17"/>
  <c r="AI123" i="17" s="1"/>
  <c r="AC140" i="17"/>
  <c r="AI110" i="17"/>
  <c r="AI134" i="17" s="1"/>
  <c r="L103" i="17"/>
  <c r="L127" i="17" s="1"/>
  <c r="F119" i="17"/>
  <c r="F143" i="17" s="1"/>
  <c r="E119" i="17"/>
  <c r="E143" i="17" s="1"/>
  <c r="AC111" i="17"/>
  <c r="AC135" i="17" s="1"/>
  <c r="K109" i="17"/>
  <c r="K133" i="17" s="1"/>
  <c r="E103" i="17"/>
  <c r="E127" i="17" s="1"/>
  <c r="AI118" i="17"/>
  <c r="AI142" i="17" s="1"/>
  <c r="AJ113" i="17"/>
  <c r="AJ137" i="17" s="1"/>
  <c r="AF109" i="17"/>
  <c r="AF133" i="17" s="1"/>
  <c r="AG104" i="17"/>
  <c r="AG128" i="17" s="1"/>
  <c r="AH99" i="17"/>
  <c r="AH123" i="17" s="1"/>
  <c r="F111" i="17"/>
  <c r="F135" i="17" s="1"/>
  <c r="I102" i="17"/>
  <c r="I126" i="17" s="1"/>
  <c r="AC119" i="17"/>
  <c r="AC143" i="17" s="1"/>
  <c r="AB111" i="17"/>
  <c r="AB135" i="17" s="1"/>
  <c r="AB103" i="17"/>
  <c r="AB127" i="17" s="1"/>
  <c r="J101" i="17"/>
  <c r="J125" i="17" s="1"/>
  <c r="AH118" i="17"/>
  <c r="AH142" i="17" s="1"/>
  <c r="AI113" i="17"/>
  <c r="AI137" i="17" s="1"/>
  <c r="AJ108" i="17"/>
  <c r="AJ132" i="17" s="1"/>
  <c r="AF104" i="17"/>
  <c r="AF128" i="17" s="1"/>
  <c r="AG99" i="17"/>
  <c r="AG123" i="17" s="1"/>
  <c r="AG130" i="17"/>
  <c r="K111" i="17"/>
  <c r="K135" i="17" s="1"/>
  <c r="J118" i="17"/>
  <c r="J142" i="17" s="1"/>
  <c r="AD103" i="17"/>
  <c r="AD127" i="17" s="1"/>
  <c r="K117" i="17"/>
  <c r="K141" i="17" s="1"/>
  <c r="J117" i="17"/>
  <c r="J141" i="17" s="1"/>
  <c r="I117" i="17"/>
  <c r="I141" i="17" s="1"/>
  <c r="L116" i="17"/>
  <c r="L140" i="17" s="1"/>
  <c r="AA111" i="17"/>
  <c r="AA135" i="17" s="1"/>
  <c r="F110" i="17"/>
  <c r="F134" i="17" s="1"/>
  <c r="I109" i="17"/>
  <c r="I133" i="17" s="1"/>
  <c r="L108" i="17"/>
  <c r="L132" i="17" s="1"/>
  <c r="AA103" i="17"/>
  <c r="AA127" i="17" s="1"/>
  <c r="AD102" i="17"/>
  <c r="AD126" i="17" s="1"/>
  <c r="I101" i="17"/>
  <c r="I125" i="17" s="1"/>
  <c r="L100" i="17"/>
  <c r="L124" i="17" s="1"/>
  <c r="AG118" i="17"/>
  <c r="AG142" i="17" s="1"/>
  <c r="AH113" i="17"/>
  <c r="AH137" i="17" s="1"/>
  <c r="AI108" i="17"/>
  <c r="AI132" i="17" s="1"/>
  <c r="AJ103" i="17"/>
  <c r="AJ127" i="17" s="1"/>
  <c r="AF99" i="17"/>
  <c r="AF123" i="17" s="1"/>
  <c r="F124" i="17"/>
  <c r="L111" i="17"/>
  <c r="L135" i="17" s="1"/>
  <c r="AI105" i="17"/>
  <c r="AI129" i="17" s="1"/>
  <c r="L117" i="17"/>
  <c r="L141" i="17" s="1"/>
  <c r="AD111" i="17"/>
  <c r="AD135" i="17" s="1"/>
  <c r="L101" i="17"/>
  <c r="L125" i="17" s="1"/>
  <c r="E111" i="17"/>
  <c r="E135" i="17" s="1"/>
  <c r="AC103" i="17"/>
  <c r="AC127" i="17" s="1"/>
  <c r="AD118" i="17"/>
  <c r="AD142" i="17" s="1"/>
  <c r="F102" i="17"/>
  <c r="F126" i="17" s="1"/>
  <c r="Z119" i="17"/>
  <c r="Z143" i="17" s="1"/>
  <c r="E118" i="17"/>
  <c r="E142" i="17" s="1"/>
  <c r="AC110" i="17"/>
  <c r="AC134" i="17" s="1"/>
  <c r="H109" i="17"/>
  <c r="H133" i="17" s="1"/>
  <c r="Z103" i="17"/>
  <c r="Z127" i="17" s="1"/>
  <c r="H101" i="17"/>
  <c r="H125" i="17" s="1"/>
  <c r="AI103" i="17"/>
  <c r="AI127" i="17" s="1"/>
  <c r="R128" i="17"/>
  <c r="AJ136" i="17"/>
  <c r="L119" i="17"/>
  <c r="L143" i="17" s="1"/>
  <c r="AH110" i="17"/>
  <c r="AH134" i="17" s="1"/>
  <c r="I118" i="17"/>
  <c r="I142" i="17" s="1"/>
  <c r="L109" i="17"/>
  <c r="L133" i="17" s="1"/>
  <c r="K101" i="17"/>
  <c r="K125" i="17" s="1"/>
  <c r="J109" i="17"/>
  <c r="J133" i="17" s="1"/>
  <c r="F118" i="17"/>
  <c r="F142" i="17" s="1"/>
  <c r="AD110" i="17"/>
  <c r="AD134" i="17" s="1"/>
  <c r="AC118" i="17"/>
  <c r="AC142" i="17" s="1"/>
  <c r="K116" i="17"/>
  <c r="K140" i="17" s="1"/>
  <c r="Z111" i="17"/>
  <c r="Z135" i="17" s="1"/>
  <c r="E110" i="17"/>
  <c r="E134" i="17" s="1"/>
  <c r="K108" i="17"/>
  <c r="K132" i="17" s="1"/>
  <c r="AC102" i="17"/>
  <c r="AC126" i="17" s="1"/>
  <c r="K100" i="17"/>
  <c r="K124" i="17" s="1"/>
  <c r="AF118" i="17"/>
  <c r="AF142" i="17" s="1"/>
  <c r="AG113" i="17"/>
  <c r="AG137" i="17" s="1"/>
  <c r="AH108" i="17"/>
  <c r="AH132" i="17" s="1"/>
  <c r="Y119" i="17"/>
  <c r="Y143" i="17" s="1"/>
  <c r="AB118" i="17"/>
  <c r="AB142" i="17" s="1"/>
  <c r="AE117" i="17"/>
  <c r="AE141" i="17" s="1"/>
  <c r="G117" i="17"/>
  <c r="G141" i="17" s="1"/>
  <c r="J116" i="17"/>
  <c r="J140" i="17" s="1"/>
  <c r="V112" i="17"/>
  <c r="V136" i="17" s="1"/>
  <c r="Y111" i="17"/>
  <c r="Y135" i="17" s="1"/>
  <c r="AB110" i="17"/>
  <c r="AB134" i="17" s="1"/>
  <c r="AE109" i="17"/>
  <c r="AE133" i="17" s="1"/>
  <c r="G109" i="17"/>
  <c r="G133" i="17" s="1"/>
  <c r="J108" i="17"/>
  <c r="J132" i="17" s="1"/>
  <c r="V104" i="17"/>
  <c r="V128" i="17" s="1"/>
  <c r="Y103" i="17"/>
  <c r="Y127" i="17" s="1"/>
  <c r="AB102" i="17"/>
  <c r="AB126" i="17" s="1"/>
  <c r="AJ117" i="17"/>
  <c r="AJ141" i="17" s="1"/>
  <c r="AF113" i="17"/>
  <c r="AF137" i="17" s="1"/>
  <c r="AG108" i="17"/>
  <c r="AG132" i="17" s="1"/>
  <c r="T143" i="17"/>
  <c r="N129" i="17"/>
  <c r="AJ110" i="17"/>
  <c r="AJ134" i="17" s="1"/>
  <c r="AB119" i="17"/>
  <c r="AB143" i="17" s="1"/>
  <c r="AA119" i="17"/>
  <c r="AA143" i="17" s="1"/>
  <c r="X119" i="17"/>
  <c r="X143" i="17" s="1"/>
  <c r="AA118" i="17"/>
  <c r="AA142" i="17" s="1"/>
  <c r="AD117" i="17"/>
  <c r="AD141" i="17" s="1"/>
  <c r="F117" i="17"/>
  <c r="F141" i="17" s="1"/>
  <c r="I116" i="17"/>
  <c r="I140" i="17" s="1"/>
  <c r="L115" i="17"/>
  <c r="L139" i="17" s="1"/>
  <c r="X111" i="17"/>
  <c r="X135" i="17" s="1"/>
  <c r="AA110" i="17"/>
  <c r="AA134" i="17" s="1"/>
  <c r="AD109" i="17"/>
  <c r="AD133" i="17" s="1"/>
  <c r="F109" i="17"/>
  <c r="F133" i="17" s="1"/>
  <c r="I108" i="17"/>
  <c r="I132" i="17" s="1"/>
  <c r="L107" i="17"/>
  <c r="L131" i="17" s="1"/>
  <c r="X103" i="17"/>
  <c r="X127" i="17" s="1"/>
  <c r="AA102" i="17"/>
  <c r="AA126" i="17" s="1"/>
  <c r="M136" i="17"/>
  <c r="S134" i="17"/>
  <c r="L128" i="17"/>
  <c r="Z139" i="17"/>
  <c r="K143" i="17"/>
  <c r="AB129" i="17"/>
  <c r="I143" i="17"/>
  <c r="L142" i="17"/>
  <c r="X138" i="17"/>
  <c r="AA137" i="17"/>
  <c r="U123" i="17"/>
  <c r="K142" i="17"/>
  <c r="H135" i="17"/>
  <c r="S131" i="17"/>
  <c r="Y129" i="17"/>
  <c r="O140" i="17"/>
  <c r="X129" i="17"/>
  <c r="P127" i="17"/>
  <c r="V132" i="17"/>
  <c r="AA138" i="17"/>
  <c r="R134" i="17"/>
  <c r="K136" i="17"/>
  <c r="AC130" i="17"/>
  <c r="AE137" i="17"/>
  <c r="V124" i="17"/>
  <c r="I136" i="17"/>
  <c r="W129" i="17"/>
  <c r="Z128" i="17"/>
  <c r="E138" i="17"/>
  <c r="Z136" i="17"/>
  <c r="L136" i="17"/>
  <c r="AD130" i="17"/>
  <c r="Q142" i="17"/>
  <c r="T125" i="17"/>
  <c r="AD129" i="17"/>
  <c r="N132" i="17"/>
</calcChain>
</file>

<file path=xl/sharedStrings.xml><?xml version="1.0" encoding="utf-8"?>
<sst xmlns="http://schemas.openxmlformats.org/spreadsheetml/2006/main" count="290" uniqueCount="82">
  <si>
    <t>Attribute</t>
  </si>
  <si>
    <t>Year</t>
  </si>
  <si>
    <t>PSET_PN</t>
  </si>
  <si>
    <t>ES</t>
  </si>
  <si>
    <t>PRC_RESID</t>
  </si>
  <si>
    <t>~TFM_INS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</si>
  <si>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</si>
  <si>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</si>
  <si>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</si>
  <si>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</si>
  <si>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</si>
  <si>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</si>
  <si>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</si>
  <si>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</si>
  <si>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</si>
  <si>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</si>
  <si>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</si>
  <si>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</si>
  <si>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</si>
  <si>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</si>
  <si>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</si>
  <si>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</si>
  <si>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</si>
  <si>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</si>
  <si>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</si>
  <si>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</si>
  <si>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</si>
  <si>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</si>
  <si>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</si>
  <si>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</si>
  <si>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</si>
  <si>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</si>
  <si>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</si>
  <si>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</si>
  <si>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</si>
  <si>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</si>
  <si>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</si>
  <si>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Car ftype</t>
  </si>
  <si>
    <t>EL</t>
  </si>
  <si>
    <t>TRA_Car_Dis*</t>
  </si>
  <si>
    <t>TRA_Car_Gas*  </t>
  </si>
  <si>
    <t>TRA_Car_PIH*  </t>
  </si>
  <si>
    <t>TRA_Car_Cng*</t>
  </si>
  <si>
    <t>TRA_Car_Lpg*</t>
  </si>
  <si>
    <t>TRA_Car_GH2*</t>
  </si>
  <si>
    <t>TRA_Car_Elc*</t>
  </si>
  <si>
    <t>000Vehicles</t>
  </si>
  <si>
    <t>TRA_Car_Cng_Exe</t>
  </si>
  <si>
    <t>TRA_Car_Dis_Exe</t>
  </si>
  <si>
    <t>TRA_Car_Elc_Exe</t>
  </si>
  <si>
    <t>TRA_Car_Gas_Exe </t>
  </si>
  <si>
    <t>TRA_Car_GH2_Exe</t>
  </si>
  <si>
    <t>TRA_Car_Lpg_Exe</t>
  </si>
  <si>
    <t>TRA_Car_PIH_Exe </t>
  </si>
  <si>
    <t>TRA_Car_Cng_Lom</t>
  </si>
  <si>
    <t>TRA_Car_Dis_Lom</t>
  </si>
  <si>
    <t>TRA_Car_Elc_Lom</t>
  </si>
  <si>
    <t>TRA_Car_Gas_Lom </t>
  </si>
  <si>
    <t>TRA_Car_GH2_Lom</t>
  </si>
  <si>
    <t>TRA_Car_Lpg_Lom</t>
  </si>
  <si>
    <t>TRA_Car_PIH_Lom </t>
  </si>
  <si>
    <t>TRA_Car_Cng_Upm</t>
  </si>
  <si>
    <t>TRA_Car_Dis_Upm</t>
  </si>
  <si>
    <t>TRA_Car_Elc_Upm</t>
  </si>
  <si>
    <t>TRA_Car_Gas_Upm </t>
  </si>
  <si>
    <t>TRA_Car_GH2_Upm</t>
  </si>
  <si>
    <t>TRA_Car_Lpg_Upm</t>
  </si>
  <si>
    <t>TRA_Car_PIH_Upm </t>
  </si>
  <si>
    <t>TRA_Car_Cng_Sma</t>
  </si>
  <si>
    <t>TRA_Car_Dis_Sma</t>
  </si>
  <si>
    <t>TRA_Car_Elc_Sma</t>
  </si>
  <si>
    <t>TRA_Car_Gas_Sma </t>
  </si>
  <si>
    <t>TRA_Car_GH2_Sma</t>
  </si>
  <si>
    <t>TRA_Car_Lpg_Sma</t>
  </si>
  <si>
    <t>TRA_Car_PIH_Sma </t>
  </si>
  <si>
    <t>*Exe*</t>
  </si>
  <si>
    <t>*Lom*</t>
  </si>
  <si>
    <t>*Sma*</t>
  </si>
  <si>
    <t>*Upm*</t>
  </si>
  <si>
    <t>Check sums</t>
  </si>
  <si>
    <t>Orig data:</t>
  </si>
  <si>
    <t>2025 values correspond to 2023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</si>
</sst>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rgb="FF00008B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2" fontId="0" fillId="0" borderId="0" xfId="0" applyNumberFormat="1"/>
    <xf numFmtId="0" fontId="0" fillId="2" borderId="0" xfId="0" applyFill="1"/>
    <xf numFmtId="0" fontId="3" fillId="3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3"/>
  <sheetViews>
    <sheetView tabSelected="1" zoomScale="70" zoomScaleNormal="70" workbookViewId="0"/>
  </sheetViews>
  <sheetFormatPr defaultColWidth="11.5546875" defaultRowHeight="14.4" x14ac:dyDescent="0.3"/>
  <cols>
    <col min="1" max="1" width="13.6640625" customWidth="1"/>
    <col min="3" max="3" width="22" customWidth="1"/>
    <col min="4" max="15" width="11.5546875" customWidth="1"/>
  </cols>
  <sheetData>
    <row r="1" spans="1:36" ht="18" x14ac:dyDescent="0.35">
      <c r="A1" s="1" t="s">
        <v>37</v>
      </c>
      <c r="C1" t="s">
        <v>46</v>
      </c>
      <c r="D1" t="s">
        <v>81</v>
      </c>
    </row>
    <row r="4" spans="1:36" x14ac:dyDescent="0.3">
      <c r="A4" t="s">
        <v>80</v>
      </c>
    </row>
    <row r="5" spans="1:36" x14ac:dyDescent="0.3">
      <c r="A5" t="s">
        <v>4</v>
      </c>
      <c r="B5">
        <v>2015</v>
      </c>
      <c r="C5" t="s">
        <v>42</v>
      </c>
      <c r="D5">
        <v>0</v>
      </c>
      <c r="E5">
        <v>5.0860000000000003</v>
      </c>
      <c r="F5">
        <v>3.774</v>
      </c>
      <c r="G5">
        <v>20.28</v>
      </c>
      <c r="H5">
        <v>12.943</v>
      </c>
      <c r="I5">
        <v>14.002000000000001</v>
      </c>
      <c r="J5">
        <v>0</v>
      </c>
      <c r="K5">
        <v>0</v>
      </c>
      <c r="L5">
        <v>80</v>
      </c>
      <c r="M5">
        <v>5.8000000000000003E-2</v>
      </c>
      <c r="N5">
        <v>0.38300000000000001</v>
      </c>
      <c r="O5">
        <v>0.39800000000000002</v>
      </c>
      <c r="P5">
        <v>1.607</v>
      </c>
      <c r="Q5">
        <v>172.42599999999999</v>
      </c>
      <c r="R5">
        <v>0</v>
      </c>
      <c r="S5">
        <v>54.741999999999997</v>
      </c>
      <c r="T5">
        <v>26.366</v>
      </c>
      <c r="U5">
        <v>0</v>
      </c>
      <c r="V5">
        <v>0</v>
      </c>
      <c r="W5">
        <v>883.19</v>
      </c>
      <c r="X5">
        <v>3.7999999999999999E-2</v>
      </c>
      <c r="Y5">
        <v>0.14399999999999999</v>
      </c>
      <c r="Z5">
        <v>0</v>
      </c>
      <c r="AA5">
        <v>0.70499999999999996</v>
      </c>
      <c r="AB5">
        <v>7.4610000000000003</v>
      </c>
      <c r="AC5">
        <v>0.15</v>
      </c>
      <c r="AD5">
        <v>0</v>
      </c>
      <c r="AE5">
        <v>0.155</v>
      </c>
      <c r="AF5">
        <v>0.753</v>
      </c>
      <c r="AG5">
        <v>0</v>
      </c>
      <c r="AH5">
        <v>42.652000000000001</v>
      </c>
      <c r="AI5">
        <v>0.14199999999999999</v>
      </c>
      <c r="AJ5">
        <v>1.534</v>
      </c>
    </row>
    <row r="6" spans="1:36" x14ac:dyDescent="0.3">
      <c r="A6" t="s">
        <v>4</v>
      </c>
      <c r="B6">
        <v>2020</v>
      </c>
      <c r="C6" t="s">
        <v>42</v>
      </c>
      <c r="D6">
        <v>0</v>
      </c>
      <c r="E6">
        <v>6.0609999999999999</v>
      </c>
      <c r="F6">
        <v>37.470999999999997</v>
      </c>
      <c r="G6">
        <v>32.485999999999997</v>
      </c>
      <c r="H6">
        <v>40.716999999999999</v>
      </c>
      <c r="I6">
        <v>14.576000000000001</v>
      </c>
      <c r="J6">
        <v>0</v>
      </c>
      <c r="K6">
        <v>19.933</v>
      </c>
      <c r="L6">
        <v>83.066999999999993</v>
      </c>
      <c r="M6">
        <v>0.13500000000000001</v>
      </c>
      <c r="N6">
        <v>2.0630000000000002</v>
      </c>
      <c r="O6">
        <v>95.694999999999993</v>
      </c>
      <c r="P6">
        <v>12.93</v>
      </c>
      <c r="Q6">
        <v>153.744</v>
      </c>
      <c r="R6">
        <v>0</v>
      </c>
      <c r="S6">
        <v>60.756</v>
      </c>
      <c r="T6">
        <v>30.221</v>
      </c>
      <c r="U6">
        <v>0</v>
      </c>
      <c r="V6">
        <v>0.20599999999999999</v>
      </c>
      <c r="W6">
        <v>978.83199999999999</v>
      </c>
      <c r="X6">
        <v>6.9000000000000006E-2</v>
      </c>
      <c r="Y6">
        <v>0.39800000000000002</v>
      </c>
      <c r="Z6">
        <v>0.29399999999999998</v>
      </c>
      <c r="AA6">
        <v>1.607</v>
      </c>
      <c r="AB6">
        <v>9.4250000000000007</v>
      </c>
      <c r="AC6">
        <v>0.249</v>
      </c>
      <c r="AD6">
        <v>0</v>
      </c>
      <c r="AE6">
        <v>0.52300000000000002</v>
      </c>
      <c r="AF6">
        <v>23.376999999999999</v>
      </c>
      <c r="AG6">
        <v>221.57900000000001</v>
      </c>
      <c r="AH6">
        <v>41.034999999999997</v>
      </c>
      <c r="AI6">
        <v>0.316</v>
      </c>
      <c r="AJ6">
        <v>2.3519999999999999</v>
      </c>
    </row>
    <row r="7" spans="1:36" x14ac:dyDescent="0.3">
      <c r="A7" t="s">
        <v>4</v>
      </c>
      <c r="B7">
        <v>2025</v>
      </c>
      <c r="C7" t="s">
        <v>42</v>
      </c>
      <c r="D7">
        <v>0</v>
      </c>
      <c r="E7">
        <v>5.1130000000000004</v>
      </c>
      <c r="F7">
        <v>34.630000000000003</v>
      </c>
      <c r="G7">
        <v>37.505000000000003</v>
      </c>
      <c r="H7">
        <v>34.412999999999997</v>
      </c>
      <c r="I7">
        <v>12.667</v>
      </c>
      <c r="J7">
        <v>0</v>
      </c>
      <c r="K7">
        <v>22.99</v>
      </c>
      <c r="L7">
        <v>77.421000000000006</v>
      </c>
      <c r="M7">
        <v>9.0999999999999998E-2</v>
      </c>
      <c r="N7">
        <v>2.6179999999999999</v>
      </c>
      <c r="O7">
        <v>160.71199999999999</v>
      </c>
      <c r="P7">
        <v>17.643999999999998</v>
      </c>
      <c r="Q7">
        <v>290.57100000000003</v>
      </c>
      <c r="R7">
        <v>0</v>
      </c>
      <c r="S7">
        <v>59.26</v>
      </c>
      <c r="T7">
        <v>30.227</v>
      </c>
      <c r="U7">
        <v>0.14000000000000001</v>
      </c>
      <c r="V7">
        <v>0</v>
      </c>
      <c r="W7">
        <v>950.5</v>
      </c>
      <c r="X7">
        <v>0.11799999999999999</v>
      </c>
      <c r="Y7">
        <v>0.42</v>
      </c>
      <c r="Z7">
        <v>0.372</v>
      </c>
      <c r="AA7">
        <v>1.91</v>
      </c>
      <c r="AB7">
        <v>7.569</v>
      </c>
      <c r="AC7">
        <v>0.17799999999999999</v>
      </c>
      <c r="AD7">
        <v>0</v>
      </c>
      <c r="AE7">
        <v>1.0760000000000001</v>
      </c>
      <c r="AF7">
        <v>72.387</v>
      </c>
      <c r="AG7">
        <v>190.083</v>
      </c>
      <c r="AH7">
        <v>36.517000000000003</v>
      </c>
      <c r="AI7">
        <v>0.443</v>
      </c>
      <c r="AJ7">
        <v>3.1819999999999999</v>
      </c>
    </row>
    <row r="8" spans="1:36" x14ac:dyDescent="0.3">
      <c r="A8" t="s">
        <v>4</v>
      </c>
      <c r="B8">
        <v>2015</v>
      </c>
      <c r="C8" t="s">
        <v>39</v>
      </c>
      <c r="D8">
        <v>292.46100000000001</v>
      </c>
      <c r="E8">
        <v>2703.95</v>
      </c>
      <c r="F8">
        <v>556.899</v>
      </c>
      <c r="G8">
        <v>3467.2489999999998</v>
      </c>
      <c r="H8">
        <v>0</v>
      </c>
      <c r="I8">
        <v>1259.1500000000001</v>
      </c>
      <c r="J8">
        <v>60.591999999999999</v>
      </c>
      <c r="K8">
        <v>0</v>
      </c>
      <c r="L8">
        <v>0</v>
      </c>
      <c r="M8">
        <v>715.678</v>
      </c>
      <c r="N8">
        <v>241.054</v>
      </c>
      <c r="O8">
        <v>12645.684999999999</v>
      </c>
      <c r="P8">
        <v>783.62599999999998</v>
      </c>
      <c r="Q8">
        <v>23769.57</v>
      </c>
      <c r="R8">
        <v>0</v>
      </c>
      <c r="S8">
        <v>650.00900000000001</v>
      </c>
      <c r="T8">
        <v>888.87900000000002</v>
      </c>
      <c r="U8">
        <v>0</v>
      </c>
      <c r="V8">
        <v>0</v>
      </c>
      <c r="W8">
        <v>15669.276</v>
      </c>
      <c r="X8">
        <v>783.60599999999999</v>
      </c>
      <c r="Y8">
        <v>0</v>
      </c>
      <c r="Z8">
        <v>337.45299999999997</v>
      </c>
      <c r="AA8">
        <v>85.177999999999997</v>
      </c>
      <c r="AB8">
        <v>1333.6179999999999</v>
      </c>
      <c r="AC8">
        <v>0</v>
      </c>
      <c r="AD8">
        <v>0</v>
      </c>
      <c r="AE8">
        <v>2475.5039999999999</v>
      </c>
      <c r="AF8">
        <v>0</v>
      </c>
      <c r="AG8">
        <v>0</v>
      </c>
      <c r="AH8">
        <v>1382.4849999999999</v>
      </c>
      <c r="AI8">
        <v>473.66500000000002</v>
      </c>
      <c r="AJ8">
        <v>0</v>
      </c>
    </row>
    <row r="9" spans="1:36" x14ac:dyDescent="0.3">
      <c r="A9" t="s">
        <v>4</v>
      </c>
      <c r="B9">
        <v>2020</v>
      </c>
      <c r="C9" t="s">
        <v>39</v>
      </c>
      <c r="D9">
        <v>396.88499999999999</v>
      </c>
      <c r="E9">
        <v>2775.9250000000002</v>
      </c>
      <c r="F9">
        <v>689.25900000000001</v>
      </c>
      <c r="G9">
        <v>2768.6309999999999</v>
      </c>
      <c r="H9">
        <v>1333.4490000000001</v>
      </c>
      <c r="I9">
        <v>1457.18</v>
      </c>
      <c r="J9">
        <v>123.622</v>
      </c>
      <c r="K9">
        <v>0</v>
      </c>
      <c r="L9">
        <v>15240.495999999999</v>
      </c>
      <c r="M9">
        <v>827.40499999999997</v>
      </c>
      <c r="N9">
        <v>326.70600000000002</v>
      </c>
      <c r="O9">
        <v>14597.993</v>
      </c>
      <c r="P9">
        <v>939.03399999999999</v>
      </c>
      <c r="Q9">
        <v>22111.167000000001</v>
      </c>
      <c r="R9">
        <v>0</v>
      </c>
      <c r="S9">
        <v>951.15</v>
      </c>
      <c r="T9">
        <v>1241.9670000000001</v>
      </c>
      <c r="U9">
        <v>1345.1</v>
      </c>
      <c r="V9">
        <v>88.209000000000003</v>
      </c>
      <c r="W9">
        <v>17426.703000000001</v>
      </c>
      <c r="X9">
        <v>1060.0899999999999</v>
      </c>
      <c r="Y9">
        <v>230.93</v>
      </c>
      <c r="Z9">
        <v>468.18</v>
      </c>
      <c r="AA9">
        <v>97.355999999999995</v>
      </c>
      <c r="AB9">
        <v>1072.1279999999999</v>
      </c>
      <c r="AC9">
        <v>1319.883</v>
      </c>
      <c r="AD9">
        <v>3.4340000000000002</v>
      </c>
      <c r="AE9">
        <v>3161.9209999999998</v>
      </c>
      <c r="AF9">
        <v>3518.1010000000001</v>
      </c>
      <c r="AG9">
        <v>1145.3800000000001</v>
      </c>
      <c r="AH9">
        <v>1742.6880000000001</v>
      </c>
      <c r="AI9">
        <v>588.69200000000001</v>
      </c>
      <c r="AJ9">
        <v>0</v>
      </c>
    </row>
    <row r="10" spans="1:36" x14ac:dyDescent="0.3">
      <c r="A10" t="s">
        <v>4</v>
      </c>
      <c r="B10">
        <v>2025</v>
      </c>
      <c r="C10" t="s">
        <v>39</v>
      </c>
      <c r="D10">
        <v>514.96</v>
      </c>
      <c r="E10">
        <v>2637.123</v>
      </c>
      <c r="F10">
        <v>801.95399999999995</v>
      </c>
      <c r="G10">
        <v>2167.0650000000001</v>
      </c>
      <c r="H10">
        <v>1464.5889999999999</v>
      </c>
      <c r="I10">
        <v>1409.4259999999999</v>
      </c>
      <c r="J10">
        <v>132.04400000000001</v>
      </c>
      <c r="K10">
        <v>2587.8989999999999</v>
      </c>
      <c r="L10">
        <v>14708.175999999999</v>
      </c>
      <c r="M10">
        <v>708.17600000000004</v>
      </c>
      <c r="N10">
        <v>366.74099999999999</v>
      </c>
      <c r="O10">
        <v>14326.511</v>
      </c>
      <c r="P10">
        <v>916.61500000000001</v>
      </c>
      <c r="Q10">
        <v>20050.937999999998</v>
      </c>
      <c r="R10">
        <v>0</v>
      </c>
      <c r="S10">
        <v>1069.231</v>
      </c>
      <c r="T10">
        <v>1315.3219999999999</v>
      </c>
      <c r="U10">
        <v>1334.42</v>
      </c>
      <c r="V10">
        <v>0</v>
      </c>
      <c r="W10">
        <v>17039.273000000001</v>
      </c>
      <c r="X10">
        <v>1127.2360000000001</v>
      </c>
      <c r="Y10">
        <v>195.09100000000001</v>
      </c>
      <c r="Z10">
        <v>518.39099999999996</v>
      </c>
      <c r="AA10">
        <v>94.88</v>
      </c>
      <c r="AB10">
        <v>765.17600000000004</v>
      </c>
      <c r="AC10">
        <v>1092.616</v>
      </c>
      <c r="AD10">
        <v>7.4240000000000004</v>
      </c>
      <c r="AE10">
        <v>3241.877</v>
      </c>
      <c r="AF10">
        <v>4125.3729999999996</v>
      </c>
      <c r="AG10">
        <v>1328.6110000000001</v>
      </c>
      <c r="AH10">
        <v>1607.5070000000001</v>
      </c>
      <c r="AI10">
        <v>607.54600000000005</v>
      </c>
      <c r="AJ10">
        <v>0</v>
      </c>
    </row>
    <row r="11" spans="1:36" x14ac:dyDescent="0.3">
      <c r="A11" t="s">
        <v>4</v>
      </c>
      <c r="B11">
        <v>2015</v>
      </c>
      <c r="C11" t="s">
        <v>45</v>
      </c>
      <c r="D11">
        <v>0</v>
      </c>
      <c r="E11">
        <v>5.032</v>
      </c>
      <c r="F11">
        <v>5.1999999999999998E-2</v>
      </c>
      <c r="G11">
        <v>3.3170000000000002</v>
      </c>
      <c r="H11">
        <v>0.183</v>
      </c>
      <c r="I11">
        <v>7.5339999999999998</v>
      </c>
      <c r="J11">
        <v>2.3E-2</v>
      </c>
      <c r="K11">
        <v>0.71299999999999997</v>
      </c>
      <c r="L11">
        <v>26</v>
      </c>
      <c r="M11">
        <v>7.8869999999999996</v>
      </c>
      <c r="N11">
        <v>1.1160000000000001</v>
      </c>
      <c r="O11">
        <v>5.2430000000000003</v>
      </c>
      <c r="P11">
        <v>0.65700000000000003</v>
      </c>
      <c r="Q11">
        <v>41.901000000000003</v>
      </c>
      <c r="R11">
        <v>8.4000000000000005E-2</v>
      </c>
      <c r="S11">
        <v>0.16300000000000001</v>
      </c>
      <c r="T11">
        <v>0.34200000000000003</v>
      </c>
      <c r="U11">
        <v>1.1200000000000001</v>
      </c>
      <c r="V11">
        <v>0</v>
      </c>
      <c r="W11">
        <v>4.5839999999999996</v>
      </c>
      <c r="X11">
        <v>0.16900000000000001</v>
      </c>
      <c r="Y11">
        <v>0.57999999999999996</v>
      </c>
      <c r="Z11">
        <v>0.21099999999999999</v>
      </c>
      <c r="AA11">
        <v>0.13600000000000001</v>
      </c>
      <c r="AB11">
        <v>9.9619999999999997</v>
      </c>
      <c r="AC11">
        <v>69</v>
      </c>
      <c r="AD11">
        <v>0.219</v>
      </c>
      <c r="AE11">
        <v>1.3979999999999999</v>
      </c>
      <c r="AF11">
        <v>3.863</v>
      </c>
      <c r="AG11">
        <v>0</v>
      </c>
      <c r="AH11">
        <v>4.7649999999999997</v>
      </c>
      <c r="AI11">
        <v>0.28799999999999998</v>
      </c>
      <c r="AJ11">
        <v>0.13700000000000001</v>
      </c>
    </row>
    <row r="12" spans="1:36" x14ac:dyDescent="0.3">
      <c r="A12" t="s">
        <v>4</v>
      </c>
      <c r="B12">
        <v>2020</v>
      </c>
      <c r="C12" t="s">
        <v>45</v>
      </c>
      <c r="D12">
        <v>0.36199999999999999</v>
      </c>
      <c r="E12">
        <v>44.506999999999998</v>
      </c>
      <c r="F12">
        <v>4.1000000000000002E-2</v>
      </c>
      <c r="G12">
        <v>31.773</v>
      </c>
      <c r="H12">
        <v>1.9330000000000001</v>
      </c>
      <c r="I12">
        <v>43.405000000000001</v>
      </c>
      <c r="J12">
        <v>0.24</v>
      </c>
      <c r="K12">
        <v>8.109</v>
      </c>
      <c r="L12">
        <v>309.08300000000003</v>
      </c>
      <c r="M12">
        <v>31.885999999999999</v>
      </c>
      <c r="N12">
        <v>1.7729999999999999</v>
      </c>
      <c r="O12">
        <v>43.203000000000003</v>
      </c>
      <c r="P12">
        <v>9.9589999999999996</v>
      </c>
      <c r="Q12">
        <v>245.10599999999999</v>
      </c>
      <c r="R12">
        <v>1.1040000000000001</v>
      </c>
      <c r="S12">
        <v>1.3140000000000001</v>
      </c>
      <c r="T12">
        <v>11.012</v>
      </c>
      <c r="U12">
        <v>12.72</v>
      </c>
      <c r="V12">
        <v>6.2709999999999999</v>
      </c>
      <c r="W12">
        <v>53.079000000000001</v>
      </c>
      <c r="X12">
        <v>2.4750000000000001</v>
      </c>
      <c r="Y12">
        <v>4.032</v>
      </c>
      <c r="Z12">
        <v>1.2050000000000001</v>
      </c>
      <c r="AA12">
        <v>1.2929999999999999</v>
      </c>
      <c r="AB12">
        <v>173.797</v>
      </c>
      <c r="AC12">
        <v>343.70699999999999</v>
      </c>
      <c r="AD12">
        <v>9.7720000000000002</v>
      </c>
      <c r="AE12">
        <v>26.949000000000002</v>
      </c>
      <c r="AF12">
        <v>5.8029999999999999</v>
      </c>
      <c r="AG12">
        <v>0.16900000000000001</v>
      </c>
      <c r="AH12">
        <v>55.79</v>
      </c>
      <c r="AI12">
        <v>3.67</v>
      </c>
      <c r="AJ12">
        <v>1.863</v>
      </c>
    </row>
    <row r="13" spans="1:36" x14ac:dyDescent="0.3">
      <c r="A13" t="s">
        <v>4</v>
      </c>
      <c r="B13">
        <v>2025</v>
      </c>
      <c r="C13" t="s">
        <v>45</v>
      </c>
      <c r="D13">
        <v>2.891</v>
      </c>
      <c r="E13">
        <v>155.49</v>
      </c>
      <c r="F13">
        <v>0.33100000000000002</v>
      </c>
      <c r="G13">
        <v>181.447</v>
      </c>
      <c r="H13">
        <v>11.472</v>
      </c>
      <c r="I13">
        <v>155.55600000000001</v>
      </c>
      <c r="J13">
        <v>1.8</v>
      </c>
      <c r="K13">
        <v>22.440999999999999</v>
      </c>
      <c r="L13">
        <v>1408.681</v>
      </c>
      <c r="M13">
        <v>200.10900000000001</v>
      </c>
      <c r="N13">
        <v>5.7960000000000003</v>
      </c>
      <c r="O13">
        <v>150.28200000000001</v>
      </c>
      <c r="P13">
        <v>86.010999999999996</v>
      </c>
      <c r="Q13">
        <v>868.23299999999995</v>
      </c>
      <c r="R13">
        <v>12.315</v>
      </c>
      <c r="S13">
        <v>7.0579999999999998</v>
      </c>
      <c r="T13">
        <v>41.212000000000003</v>
      </c>
      <c r="U13">
        <v>59.4</v>
      </c>
      <c r="V13">
        <v>28.4</v>
      </c>
      <c r="W13">
        <v>219.54</v>
      </c>
      <c r="X13">
        <v>11.423999999999999</v>
      </c>
      <c r="Y13">
        <v>23.266999999999999</v>
      </c>
      <c r="Z13">
        <v>6.3689999999999998</v>
      </c>
      <c r="AA13">
        <v>4.3639999999999999</v>
      </c>
      <c r="AB13">
        <v>444.66899999999998</v>
      </c>
      <c r="AC13">
        <v>689.15</v>
      </c>
      <c r="AD13">
        <v>51.363999999999997</v>
      </c>
      <c r="AE13">
        <v>110.649</v>
      </c>
      <c r="AF13">
        <v>39.271000000000001</v>
      </c>
      <c r="AG13">
        <v>1.556</v>
      </c>
      <c r="AH13">
        <v>291.673</v>
      </c>
      <c r="AI13">
        <v>12.743</v>
      </c>
      <c r="AJ13">
        <v>7.8959999999999999</v>
      </c>
    </row>
    <row r="14" spans="1:36" x14ac:dyDescent="0.3">
      <c r="A14" t="s">
        <v>4</v>
      </c>
      <c r="B14">
        <v>2015</v>
      </c>
      <c r="C14" t="s">
        <v>40</v>
      </c>
      <c r="D14">
        <v>111.08799999999999</v>
      </c>
      <c r="E14">
        <v>2019.1389999999999</v>
      </c>
      <c r="F14">
        <v>266.49099999999999</v>
      </c>
      <c r="G14">
        <v>2139.567</v>
      </c>
      <c r="H14">
        <v>0</v>
      </c>
      <c r="I14">
        <v>3182.47</v>
      </c>
      <c r="J14">
        <v>424.65600000000001</v>
      </c>
      <c r="K14">
        <v>13.731</v>
      </c>
      <c r="L14">
        <v>131.95099999999999</v>
      </c>
      <c r="M14">
        <v>1666.5930000000001</v>
      </c>
      <c r="N14">
        <v>431.63200000000001</v>
      </c>
      <c r="O14">
        <v>9638.0939999999991</v>
      </c>
      <c r="P14">
        <v>2437.5590000000002</v>
      </c>
      <c r="Q14">
        <v>13034.555</v>
      </c>
      <c r="R14">
        <v>0</v>
      </c>
      <c r="S14">
        <v>794.85699999999997</v>
      </c>
      <c r="T14">
        <v>2281.252</v>
      </c>
      <c r="U14">
        <v>20.68</v>
      </c>
      <c r="V14">
        <v>0</v>
      </c>
      <c r="W14">
        <v>18574.713</v>
      </c>
      <c r="X14">
        <v>456.33499999999998</v>
      </c>
      <c r="Y14">
        <v>129.017</v>
      </c>
      <c r="Z14">
        <v>341.37200000000001</v>
      </c>
      <c r="AA14">
        <v>188.93600000000001</v>
      </c>
      <c r="AB14">
        <v>6404.6109999999999</v>
      </c>
      <c r="AC14">
        <v>0.80600000000000005</v>
      </c>
      <c r="AD14">
        <v>0.112</v>
      </c>
      <c r="AE14">
        <v>2184.1640000000002</v>
      </c>
      <c r="AF14">
        <v>8.0000000000000002E-3</v>
      </c>
      <c r="AG14">
        <v>0</v>
      </c>
      <c r="AH14">
        <v>3186.915</v>
      </c>
      <c r="AI14">
        <v>596.05999999999995</v>
      </c>
      <c r="AJ14">
        <v>0</v>
      </c>
    </row>
    <row r="15" spans="1:36" x14ac:dyDescent="0.3">
      <c r="A15" t="s">
        <v>4</v>
      </c>
      <c r="B15">
        <v>2020</v>
      </c>
      <c r="C15" t="s">
        <v>40</v>
      </c>
      <c r="D15">
        <v>98.456999999999994</v>
      </c>
      <c r="E15">
        <v>2195.578</v>
      </c>
      <c r="F15">
        <v>208.892</v>
      </c>
      <c r="G15">
        <v>2900.9229999999998</v>
      </c>
      <c r="H15">
        <v>1179.962</v>
      </c>
      <c r="I15">
        <v>3095.4929999999999</v>
      </c>
      <c r="J15">
        <v>444.30399999999997</v>
      </c>
      <c r="K15">
        <v>1.625</v>
      </c>
      <c r="L15">
        <v>31444.853999999999</v>
      </c>
      <c r="M15">
        <v>1834.366</v>
      </c>
      <c r="N15">
        <v>466.43200000000002</v>
      </c>
      <c r="O15">
        <v>10822.357</v>
      </c>
      <c r="P15">
        <v>2526.163</v>
      </c>
      <c r="Q15">
        <v>15240.63</v>
      </c>
      <c r="R15">
        <v>0</v>
      </c>
      <c r="S15">
        <v>733.00800000000004</v>
      </c>
      <c r="T15">
        <v>2637.5819999999999</v>
      </c>
      <c r="U15">
        <v>860.1</v>
      </c>
      <c r="V15">
        <v>156.33500000000001</v>
      </c>
      <c r="W15">
        <v>18078.701000000001</v>
      </c>
      <c r="X15">
        <v>473.60399999999998</v>
      </c>
      <c r="Y15">
        <v>185.92</v>
      </c>
      <c r="Z15">
        <v>247.864</v>
      </c>
      <c r="AA15">
        <v>204.702</v>
      </c>
      <c r="AB15">
        <v>6984.33</v>
      </c>
      <c r="AC15">
        <v>999.26800000000003</v>
      </c>
      <c r="AD15">
        <v>0.26700000000000002</v>
      </c>
      <c r="AE15">
        <v>2241.2530000000002</v>
      </c>
      <c r="AF15">
        <v>3687.9189999999999</v>
      </c>
      <c r="AG15">
        <v>795.13499999999999</v>
      </c>
      <c r="AH15">
        <v>2836.4720000000002</v>
      </c>
      <c r="AI15">
        <v>568.67200000000003</v>
      </c>
      <c r="AJ15">
        <v>0</v>
      </c>
    </row>
    <row r="16" spans="1:36" x14ac:dyDescent="0.3">
      <c r="A16" t="s">
        <v>4</v>
      </c>
      <c r="B16">
        <v>2025</v>
      </c>
      <c r="C16" t="s">
        <v>40</v>
      </c>
      <c r="D16">
        <v>178.458</v>
      </c>
      <c r="E16">
        <v>2188.3679999999999</v>
      </c>
      <c r="F16">
        <v>205.315</v>
      </c>
      <c r="G16">
        <v>3125.9839999999999</v>
      </c>
      <c r="H16">
        <v>1081.6759999999999</v>
      </c>
      <c r="I16">
        <v>2962.8710000000001</v>
      </c>
      <c r="J16">
        <v>460.95100000000002</v>
      </c>
      <c r="K16">
        <v>3730.0030000000002</v>
      </c>
      <c r="L16">
        <v>30243.425999999999</v>
      </c>
      <c r="M16">
        <v>1796.431</v>
      </c>
      <c r="N16">
        <v>457.92200000000003</v>
      </c>
      <c r="O16">
        <v>10888.374</v>
      </c>
      <c r="P16">
        <v>2431.4140000000002</v>
      </c>
      <c r="Q16">
        <v>15995.607</v>
      </c>
      <c r="R16">
        <v>0</v>
      </c>
      <c r="S16">
        <v>731.27200000000005</v>
      </c>
      <c r="T16">
        <v>2781.85</v>
      </c>
      <c r="U16">
        <v>831.91</v>
      </c>
      <c r="V16">
        <v>0</v>
      </c>
      <c r="W16">
        <v>17723.350999999999</v>
      </c>
      <c r="X16">
        <v>498.28899999999999</v>
      </c>
      <c r="Y16">
        <v>197.26400000000001</v>
      </c>
      <c r="Z16">
        <v>213.505</v>
      </c>
      <c r="AA16">
        <v>210.94399999999999</v>
      </c>
      <c r="AB16">
        <v>6954.6369999999997</v>
      </c>
      <c r="AC16">
        <v>760.26599999999996</v>
      </c>
      <c r="AD16">
        <v>0.42</v>
      </c>
      <c r="AE16">
        <v>2213.9560000000001</v>
      </c>
      <c r="AF16">
        <v>3711.585</v>
      </c>
      <c r="AG16">
        <v>855.11699999999996</v>
      </c>
      <c r="AH16">
        <v>2578.0990000000002</v>
      </c>
      <c r="AI16">
        <v>563.548</v>
      </c>
      <c r="AJ16">
        <v>0</v>
      </c>
    </row>
    <row r="17" spans="1:37" x14ac:dyDescent="0.3">
      <c r="A17" t="s">
        <v>4</v>
      </c>
      <c r="B17">
        <v>2015</v>
      </c>
      <c r="C17" t="s">
        <v>44</v>
      </c>
      <c r="D17">
        <v>0</v>
      </c>
      <c r="E17">
        <v>6.0000000000000001E-3</v>
      </c>
      <c r="F17">
        <v>0</v>
      </c>
      <c r="G17">
        <v>2E-3</v>
      </c>
      <c r="H17">
        <v>0</v>
      </c>
      <c r="I17">
        <v>5.0000000000000001E-3</v>
      </c>
      <c r="J17">
        <v>0</v>
      </c>
      <c r="K17">
        <v>0</v>
      </c>
      <c r="L17">
        <v>9.6000000000000002E-2</v>
      </c>
      <c r="M17">
        <v>5.5E-2</v>
      </c>
      <c r="N17">
        <v>0</v>
      </c>
      <c r="O17">
        <v>2E-3</v>
      </c>
      <c r="P17">
        <v>0</v>
      </c>
      <c r="Q17">
        <v>2.5000000000000001E-2</v>
      </c>
      <c r="R17">
        <v>0</v>
      </c>
      <c r="S17">
        <v>0</v>
      </c>
      <c r="T17">
        <v>0</v>
      </c>
      <c r="U17">
        <v>0</v>
      </c>
      <c r="V17">
        <v>0</v>
      </c>
      <c r="W17">
        <v>1.0999999999999999E-2</v>
      </c>
      <c r="X17">
        <v>0</v>
      </c>
      <c r="Y17">
        <v>0</v>
      </c>
      <c r="Z17">
        <v>0</v>
      </c>
      <c r="AA17">
        <v>0</v>
      </c>
      <c r="AB17">
        <v>2.1000000000000001E-2</v>
      </c>
      <c r="AC17">
        <v>2.5000000000000001E-2</v>
      </c>
      <c r="AD17">
        <v>0</v>
      </c>
      <c r="AE17">
        <v>0</v>
      </c>
      <c r="AF17">
        <v>0</v>
      </c>
      <c r="AG17">
        <v>0</v>
      </c>
      <c r="AH17">
        <v>4.0000000000000001E-3</v>
      </c>
      <c r="AI17">
        <v>0</v>
      </c>
      <c r="AJ17">
        <v>0</v>
      </c>
    </row>
    <row r="18" spans="1:37" x14ac:dyDescent="0.3">
      <c r="A18" t="s">
        <v>4</v>
      </c>
      <c r="B18">
        <v>2020</v>
      </c>
      <c r="C18" t="s">
        <v>44</v>
      </c>
      <c r="D18">
        <v>0</v>
      </c>
      <c r="E18">
        <v>4.4999999999999998E-2</v>
      </c>
      <c r="F18">
        <v>0</v>
      </c>
      <c r="G18">
        <v>0.02</v>
      </c>
      <c r="H18">
        <v>0</v>
      </c>
      <c r="I18">
        <v>8.3000000000000004E-2</v>
      </c>
      <c r="J18">
        <v>0</v>
      </c>
      <c r="K18">
        <v>1E-3</v>
      </c>
      <c r="L18">
        <v>0.876</v>
      </c>
      <c r="M18">
        <v>0.113</v>
      </c>
      <c r="N18">
        <v>0</v>
      </c>
      <c r="O18">
        <v>8.9999999999999993E-3</v>
      </c>
      <c r="P18">
        <v>1E-3</v>
      </c>
      <c r="Q18">
        <v>0.33800000000000002</v>
      </c>
      <c r="R18">
        <v>0</v>
      </c>
      <c r="S18">
        <v>0</v>
      </c>
      <c r="T18">
        <v>0</v>
      </c>
      <c r="U18">
        <v>0</v>
      </c>
      <c r="V18">
        <v>0</v>
      </c>
      <c r="W18">
        <v>3.5000000000000003E-2</v>
      </c>
      <c r="X18">
        <v>0</v>
      </c>
      <c r="Y18">
        <v>2E-3</v>
      </c>
      <c r="Z18">
        <v>0</v>
      </c>
      <c r="AA18">
        <v>0</v>
      </c>
      <c r="AB18">
        <v>1.7999999999999999E-2</v>
      </c>
      <c r="AC18">
        <v>0.17599999999999999</v>
      </c>
      <c r="AD18">
        <v>1E-3</v>
      </c>
      <c r="AE18">
        <v>0</v>
      </c>
      <c r="AF18">
        <v>0</v>
      </c>
      <c r="AG18">
        <v>0</v>
      </c>
      <c r="AH18">
        <v>3.9E-2</v>
      </c>
      <c r="AI18">
        <v>0</v>
      </c>
      <c r="AJ18">
        <v>0</v>
      </c>
    </row>
    <row r="19" spans="1:37" x14ac:dyDescent="0.3">
      <c r="A19" t="s">
        <v>4</v>
      </c>
      <c r="B19">
        <v>2025</v>
      </c>
      <c r="C19" t="s">
        <v>44</v>
      </c>
      <c r="D19">
        <v>0</v>
      </c>
      <c r="E19">
        <v>6.7000000000000004E-2</v>
      </c>
      <c r="F19">
        <v>0</v>
      </c>
      <c r="G19">
        <v>2.9000000000000001E-2</v>
      </c>
      <c r="H19">
        <v>1E-3</v>
      </c>
      <c r="I19">
        <v>0.218</v>
      </c>
      <c r="J19">
        <v>0</v>
      </c>
      <c r="K19">
        <v>2.8000000000000001E-2</v>
      </c>
      <c r="L19">
        <v>2.206</v>
      </c>
      <c r="M19">
        <v>4.2999999999999997E-2</v>
      </c>
      <c r="N19">
        <v>2E-3</v>
      </c>
      <c r="O19">
        <v>3.3000000000000002E-2</v>
      </c>
      <c r="P19">
        <v>2E-3</v>
      </c>
      <c r="Q19">
        <v>0.86499999999999999</v>
      </c>
      <c r="R19">
        <v>0</v>
      </c>
      <c r="S19">
        <v>1E-3</v>
      </c>
      <c r="T19">
        <v>3.0000000000000001E-3</v>
      </c>
      <c r="U19">
        <v>0</v>
      </c>
      <c r="V19">
        <v>0</v>
      </c>
      <c r="W19">
        <v>5.8000000000000003E-2</v>
      </c>
      <c r="X19">
        <v>0</v>
      </c>
      <c r="Y19">
        <v>4.0000000000000001E-3</v>
      </c>
      <c r="Z19">
        <v>0</v>
      </c>
      <c r="AA19">
        <v>0</v>
      </c>
      <c r="AB19">
        <v>2.8000000000000001E-2</v>
      </c>
      <c r="AC19">
        <v>0.14199999999999999</v>
      </c>
      <c r="AD19">
        <v>0.13700000000000001</v>
      </c>
      <c r="AE19">
        <v>1E-3</v>
      </c>
      <c r="AF19">
        <v>0</v>
      </c>
      <c r="AG19">
        <v>0</v>
      </c>
      <c r="AH19">
        <v>4.2999999999999997E-2</v>
      </c>
      <c r="AI19">
        <v>0</v>
      </c>
      <c r="AJ19">
        <v>3.0000000000000001E-3</v>
      </c>
    </row>
    <row r="20" spans="1:37" x14ac:dyDescent="0.3">
      <c r="A20" t="s">
        <v>4</v>
      </c>
      <c r="B20">
        <v>2015</v>
      </c>
      <c r="C20" t="s">
        <v>43</v>
      </c>
      <c r="D20">
        <v>1.9E-2</v>
      </c>
      <c r="E20">
        <v>1E-3</v>
      </c>
      <c r="F20">
        <v>1E-3</v>
      </c>
      <c r="G20">
        <v>1.7999999999999999E-2</v>
      </c>
      <c r="H20">
        <v>141.20500000000001</v>
      </c>
      <c r="I20">
        <v>4.4999999999999998E-2</v>
      </c>
      <c r="J20">
        <v>0</v>
      </c>
      <c r="K20">
        <v>5.6000000000000001E-2</v>
      </c>
      <c r="L20">
        <v>476</v>
      </c>
      <c r="M20">
        <v>7.0000000000000001E-3</v>
      </c>
      <c r="N20">
        <v>2E-3</v>
      </c>
      <c r="O20">
        <v>4.7919999999999998</v>
      </c>
      <c r="P20">
        <v>1E-3</v>
      </c>
      <c r="Q20">
        <v>0.33700000000000002</v>
      </c>
      <c r="R20">
        <v>0</v>
      </c>
      <c r="S20">
        <v>3.1E-2</v>
      </c>
      <c r="T20">
        <v>1.7000000000000001E-2</v>
      </c>
      <c r="U20">
        <v>0</v>
      </c>
      <c r="V20">
        <v>0</v>
      </c>
      <c r="W20">
        <v>2137.078</v>
      </c>
      <c r="X20">
        <v>0</v>
      </c>
      <c r="Y20">
        <v>0.32600000000000001</v>
      </c>
      <c r="Z20">
        <v>0</v>
      </c>
      <c r="AA20">
        <v>2E-3</v>
      </c>
      <c r="AB20">
        <v>154.84200000000001</v>
      </c>
      <c r="AC20">
        <v>1.9E-2</v>
      </c>
      <c r="AD20">
        <v>0</v>
      </c>
      <c r="AE20">
        <v>48.061999999999998</v>
      </c>
      <c r="AF20">
        <v>2.4940000000000002</v>
      </c>
      <c r="AG20">
        <v>0</v>
      </c>
      <c r="AH20">
        <v>2.7E-2</v>
      </c>
      <c r="AI20">
        <v>8.5820000000000007</v>
      </c>
      <c r="AJ20">
        <v>43</v>
      </c>
    </row>
    <row r="21" spans="1:37" x14ac:dyDescent="0.3">
      <c r="A21" t="s">
        <v>4</v>
      </c>
      <c r="B21">
        <v>2020</v>
      </c>
      <c r="C21" t="s">
        <v>43</v>
      </c>
      <c r="D21">
        <v>0.219</v>
      </c>
      <c r="E21">
        <v>2E-3</v>
      </c>
      <c r="F21">
        <v>8.0000000000000002E-3</v>
      </c>
      <c r="G21">
        <v>1.4999999999999999E-2</v>
      </c>
      <c r="H21">
        <v>300.137</v>
      </c>
      <c r="I21">
        <v>9.1999999999999998E-2</v>
      </c>
      <c r="J21">
        <v>0</v>
      </c>
      <c r="K21">
        <v>106.57299999999999</v>
      </c>
      <c r="L21">
        <v>346.76499999999999</v>
      </c>
      <c r="M21">
        <v>4.0000000000000001E-3</v>
      </c>
      <c r="N21">
        <v>3.0000000000000001E-3</v>
      </c>
      <c r="O21">
        <v>16.245000000000001</v>
      </c>
      <c r="P21">
        <v>2E-3</v>
      </c>
      <c r="Q21">
        <v>0.17899999999999999</v>
      </c>
      <c r="R21">
        <v>0</v>
      </c>
      <c r="S21">
        <v>5.7000000000000002E-2</v>
      </c>
      <c r="T21">
        <v>1.7000000000000001E-2</v>
      </c>
      <c r="U21">
        <v>0</v>
      </c>
      <c r="V21">
        <v>0</v>
      </c>
      <c r="W21">
        <v>2678.6559999999999</v>
      </c>
      <c r="X21">
        <v>5.7000000000000002E-2</v>
      </c>
      <c r="Y21">
        <v>0</v>
      </c>
      <c r="Z21">
        <v>21.387</v>
      </c>
      <c r="AA21">
        <v>5.0000000000000001E-3</v>
      </c>
      <c r="AB21">
        <v>101.041</v>
      </c>
      <c r="AC21">
        <v>0.02</v>
      </c>
      <c r="AD21">
        <v>0</v>
      </c>
      <c r="AE21">
        <v>58.716999999999999</v>
      </c>
      <c r="AF21">
        <v>1.9E-2</v>
      </c>
      <c r="AG21">
        <v>3.3000000000000002E-2</v>
      </c>
      <c r="AH21">
        <v>1.2E-2</v>
      </c>
      <c r="AI21">
        <v>9.34</v>
      </c>
      <c r="AJ21">
        <v>49.554000000000002</v>
      </c>
    </row>
    <row r="22" spans="1:37" x14ac:dyDescent="0.3">
      <c r="A22" t="s">
        <v>4</v>
      </c>
      <c r="B22">
        <v>2025</v>
      </c>
      <c r="C22" t="s">
        <v>43</v>
      </c>
      <c r="D22">
        <v>0.56299999999999994</v>
      </c>
      <c r="E22">
        <v>1E-3</v>
      </c>
      <c r="F22">
        <v>1.0999999999999999E-2</v>
      </c>
      <c r="G22">
        <v>2.8000000000000001E-2</v>
      </c>
      <c r="H22">
        <v>374.68599999999998</v>
      </c>
      <c r="I22">
        <v>0.105</v>
      </c>
      <c r="J22">
        <v>0</v>
      </c>
      <c r="K22">
        <v>117.901</v>
      </c>
      <c r="L22">
        <v>313.72300000000001</v>
      </c>
      <c r="M22">
        <v>8.0000000000000002E-3</v>
      </c>
      <c r="N22">
        <v>6.9000000000000006E-2</v>
      </c>
      <c r="O22">
        <v>18.373000000000001</v>
      </c>
      <c r="P22">
        <v>1E-3</v>
      </c>
      <c r="Q22">
        <v>0.13600000000000001</v>
      </c>
      <c r="R22">
        <v>0</v>
      </c>
      <c r="S22">
        <v>5.2999999999999999E-2</v>
      </c>
      <c r="T22">
        <v>3.6999999999999998E-2</v>
      </c>
      <c r="U22">
        <v>0</v>
      </c>
      <c r="V22">
        <v>0</v>
      </c>
      <c r="W22">
        <v>3032.7959999999998</v>
      </c>
      <c r="X22">
        <v>9.6000000000000002E-2</v>
      </c>
      <c r="Y22">
        <v>0</v>
      </c>
      <c r="Z22">
        <v>21.25</v>
      </c>
      <c r="AA22">
        <v>5.0000000000000001E-3</v>
      </c>
      <c r="AB22">
        <v>93.227000000000004</v>
      </c>
      <c r="AC22">
        <v>1E-3</v>
      </c>
      <c r="AD22">
        <v>0</v>
      </c>
      <c r="AE22">
        <v>75.504999999999995</v>
      </c>
      <c r="AF22">
        <v>2.5000000000000001E-2</v>
      </c>
      <c r="AG22">
        <v>2.9000000000000001E-2</v>
      </c>
      <c r="AH22">
        <v>0.20300000000000001</v>
      </c>
      <c r="AI22">
        <v>9.0069999999999997</v>
      </c>
      <c r="AJ22">
        <v>47.414999999999999</v>
      </c>
    </row>
    <row r="23" spans="1:37" x14ac:dyDescent="0.3">
      <c r="A23" t="s">
        <v>4</v>
      </c>
      <c r="B23">
        <v>2015</v>
      </c>
      <c r="C23" t="s">
        <v>41</v>
      </c>
      <c r="D23">
        <v>0</v>
      </c>
      <c r="E23">
        <v>1.5069999999999999</v>
      </c>
      <c r="F23">
        <v>0</v>
      </c>
      <c r="G23">
        <v>0</v>
      </c>
      <c r="H23">
        <v>0</v>
      </c>
      <c r="I23">
        <v>43.802999999999997</v>
      </c>
      <c r="J23">
        <v>0</v>
      </c>
      <c r="K23">
        <v>0</v>
      </c>
      <c r="L23">
        <v>0</v>
      </c>
      <c r="M23">
        <v>0.55600000000000005</v>
      </c>
      <c r="N23">
        <v>0</v>
      </c>
      <c r="O23">
        <v>0.42399999999999999</v>
      </c>
      <c r="P23">
        <v>1.0940000000000001</v>
      </c>
      <c r="Q23">
        <v>36.353999999999999</v>
      </c>
      <c r="R23">
        <v>0</v>
      </c>
      <c r="S23">
        <v>0</v>
      </c>
      <c r="T23">
        <v>0</v>
      </c>
      <c r="U23">
        <v>0</v>
      </c>
      <c r="V23">
        <v>0</v>
      </c>
      <c r="W23">
        <v>0.89100000000000001</v>
      </c>
      <c r="X23">
        <v>0</v>
      </c>
      <c r="Y23">
        <v>0</v>
      </c>
      <c r="Z23">
        <v>0</v>
      </c>
      <c r="AA23">
        <v>0</v>
      </c>
      <c r="AB23">
        <v>76.269000000000005</v>
      </c>
      <c r="AC23">
        <v>33.454999999999998</v>
      </c>
      <c r="AD23">
        <v>0</v>
      </c>
      <c r="AE23">
        <v>0.67200000000000004</v>
      </c>
      <c r="AF23">
        <v>0</v>
      </c>
      <c r="AG23">
        <v>0</v>
      </c>
      <c r="AH23">
        <v>9.7739999999999991</v>
      </c>
      <c r="AI23">
        <v>0</v>
      </c>
      <c r="AJ23">
        <v>0</v>
      </c>
    </row>
    <row r="24" spans="1:37" x14ac:dyDescent="0.3">
      <c r="A24" t="s">
        <v>4</v>
      </c>
      <c r="B24">
        <v>2020</v>
      </c>
      <c r="C24" t="s">
        <v>41</v>
      </c>
      <c r="D24">
        <v>0.55200000000000005</v>
      </c>
      <c r="E24">
        <v>15.237</v>
      </c>
      <c r="F24">
        <v>0</v>
      </c>
      <c r="G24">
        <v>0</v>
      </c>
      <c r="H24">
        <v>0</v>
      </c>
      <c r="I24">
        <v>23.788</v>
      </c>
      <c r="J24">
        <v>0</v>
      </c>
      <c r="K24">
        <v>0</v>
      </c>
      <c r="L24">
        <v>279.64100000000002</v>
      </c>
      <c r="M24">
        <v>29.701000000000001</v>
      </c>
      <c r="N24">
        <v>0</v>
      </c>
      <c r="O24">
        <v>30.872</v>
      </c>
      <c r="P24">
        <v>46.537999999999997</v>
      </c>
      <c r="Q24">
        <v>157.601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4.5439999999999996</v>
      </c>
      <c r="Z24">
        <v>0</v>
      </c>
      <c r="AA24">
        <v>0.78500000000000003</v>
      </c>
      <c r="AB24">
        <v>99.284000000000006</v>
      </c>
      <c r="AC24">
        <v>120.66200000000001</v>
      </c>
      <c r="AD24">
        <v>4.2430000000000003</v>
      </c>
      <c r="AE24">
        <v>30.99</v>
      </c>
      <c r="AF24">
        <v>0</v>
      </c>
      <c r="AG24">
        <v>0</v>
      </c>
      <c r="AH24">
        <v>122.18899999999999</v>
      </c>
      <c r="AI24">
        <v>0</v>
      </c>
      <c r="AJ24">
        <v>0</v>
      </c>
    </row>
    <row r="25" spans="1:37" x14ac:dyDescent="0.3">
      <c r="A25" t="s">
        <v>4</v>
      </c>
      <c r="B25">
        <v>2025</v>
      </c>
      <c r="C25" t="s">
        <v>41</v>
      </c>
      <c r="D25">
        <v>3.9E-2</v>
      </c>
      <c r="E25">
        <v>56.863999999999997</v>
      </c>
      <c r="F25">
        <v>0</v>
      </c>
      <c r="G25">
        <v>0</v>
      </c>
      <c r="H25">
        <v>0</v>
      </c>
      <c r="I25">
        <v>77.489000000000004</v>
      </c>
      <c r="J25">
        <v>0</v>
      </c>
      <c r="K25">
        <v>0</v>
      </c>
      <c r="L25">
        <v>921.76099999999997</v>
      </c>
      <c r="M25">
        <v>123.005</v>
      </c>
      <c r="N25">
        <v>2.7810000000000001</v>
      </c>
      <c r="O25">
        <v>180.447</v>
      </c>
      <c r="P25">
        <v>139.33699999999999</v>
      </c>
      <c r="Q25">
        <v>576.12199999999996</v>
      </c>
      <c r="R25">
        <v>0</v>
      </c>
      <c r="S25">
        <v>4.5060000000000002</v>
      </c>
      <c r="T25">
        <v>0</v>
      </c>
      <c r="U25">
        <v>47.08</v>
      </c>
      <c r="V25">
        <v>0</v>
      </c>
      <c r="W25">
        <v>0</v>
      </c>
      <c r="X25">
        <v>0</v>
      </c>
      <c r="Y25">
        <v>15.378</v>
      </c>
      <c r="Z25">
        <v>1.5209999999999999</v>
      </c>
      <c r="AA25">
        <v>4.0410000000000004</v>
      </c>
      <c r="AB25">
        <v>263.72000000000003</v>
      </c>
      <c r="AC25">
        <v>207.02099999999999</v>
      </c>
      <c r="AD25">
        <v>4.1539999999999999</v>
      </c>
      <c r="AE25">
        <v>96.956999999999994</v>
      </c>
      <c r="AF25">
        <v>0</v>
      </c>
      <c r="AG25">
        <v>0</v>
      </c>
      <c r="AH25">
        <v>272.32799999999997</v>
      </c>
      <c r="AI25">
        <v>0</v>
      </c>
      <c r="AJ25">
        <v>0</v>
      </c>
    </row>
    <row r="27" spans="1:37" x14ac:dyDescent="0.3">
      <c r="A27" s="3"/>
      <c r="B27" s="3" t="s">
        <v>2</v>
      </c>
      <c r="C27" s="3"/>
      <c r="D27" t="s">
        <v>6</v>
      </c>
      <c r="E27" t="s">
        <v>7</v>
      </c>
      <c r="F27" t="s">
        <v>8</v>
      </c>
      <c r="G27" t="s">
        <v>9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O27" t="s">
        <v>3</v>
      </c>
      <c r="P27" t="s">
        <v>17</v>
      </c>
      <c r="Q27" t="s">
        <v>18</v>
      </c>
      <c r="R27" t="s">
        <v>38</v>
      </c>
      <c r="S27" t="s">
        <v>19</v>
      </c>
      <c r="T27" t="s">
        <v>20</v>
      </c>
      <c r="U27" t="s">
        <v>21</v>
      </c>
      <c r="V27" t="s">
        <v>22</v>
      </c>
      <c r="W27" t="s">
        <v>23</v>
      </c>
      <c r="X27" t="s">
        <v>24</v>
      </c>
      <c r="Y27" t="s">
        <v>25</v>
      </c>
      <c r="Z27" t="s">
        <v>26</v>
      </c>
      <c r="AA27" t="s">
        <v>27</v>
      </c>
      <c r="AB27" t="s">
        <v>28</v>
      </c>
      <c r="AC27" t="s">
        <v>29</v>
      </c>
      <c r="AD27" t="s">
        <v>30</v>
      </c>
      <c r="AE27" t="s">
        <v>31</v>
      </c>
      <c r="AF27" t="s">
        <v>32</v>
      </c>
      <c r="AG27" t="s">
        <v>33</v>
      </c>
      <c r="AH27" t="s">
        <v>34</v>
      </c>
      <c r="AI27" t="s">
        <v>35</v>
      </c>
      <c r="AJ27" t="s">
        <v>36</v>
      </c>
    </row>
    <row r="28" spans="1:37" x14ac:dyDescent="0.3">
      <c r="B28" t="s">
        <v>75</v>
      </c>
      <c r="C28" s="3"/>
      <c r="D28" s="4">
        <v>8.6462796920358354E-2</v>
      </c>
      <c r="E28" s="4">
        <v>0.14919983594306965</v>
      </c>
      <c r="F28" s="4">
        <v>8.8816796175538254E-2</v>
      </c>
      <c r="G28" s="4">
        <v>0.12294866679778595</v>
      </c>
      <c r="H28" s="4">
        <v>0.10632932721900774</v>
      </c>
      <c r="I28" s="4">
        <v>0.25911829001700265</v>
      </c>
      <c r="J28" s="4">
        <v>0.10732419647364583</v>
      </c>
      <c r="K28" s="4">
        <v>7.7876623665480427E-2</v>
      </c>
      <c r="L28" s="4">
        <v>0.15858004316348862</v>
      </c>
      <c r="M28" s="4">
        <v>8.9836065823886063E-2</v>
      </c>
      <c r="N28" s="4">
        <v>0.25336326163176348</v>
      </c>
      <c r="O28" s="4">
        <v>0.14545290247761908</v>
      </c>
      <c r="P28" s="4">
        <v>0.18793707983193281</v>
      </c>
      <c r="Q28" s="4">
        <v>0.10440896071015893</v>
      </c>
      <c r="R28" s="4">
        <v>5.2497685393732264E-2</v>
      </c>
      <c r="S28" s="4">
        <v>7.2906513872135106E-2</v>
      </c>
      <c r="T28" s="4">
        <v>6.3268855689381301E-2</v>
      </c>
      <c r="U28" s="4">
        <v>0.11330826197030386</v>
      </c>
      <c r="V28" s="4">
        <v>0.23070967741935491</v>
      </c>
      <c r="W28" s="4">
        <v>8.7325752247013236E-2</v>
      </c>
      <c r="X28" s="4">
        <v>0.1930520654643238</v>
      </c>
      <c r="Y28" s="4">
        <v>0.25020267062314544</v>
      </c>
      <c r="Z28" s="4">
        <v>0.26829183600994355</v>
      </c>
      <c r="AA28" s="4">
        <v>4.6221364541832677E-2</v>
      </c>
      <c r="AB28" s="4">
        <v>0.1750270233236943</v>
      </c>
      <c r="AC28" s="4">
        <v>0.30250386622849412</v>
      </c>
      <c r="AD28" s="4">
        <v>8.5291076154916545E-2</v>
      </c>
      <c r="AE28" s="4">
        <v>0.10097704603580561</v>
      </c>
      <c r="AF28" s="4">
        <v>7.8347447967720599E-2</v>
      </c>
      <c r="AG28" s="4">
        <v>8.7951810045413623E-2</v>
      </c>
      <c r="AH28" s="4">
        <v>0.41156340414978926</v>
      </c>
      <c r="AI28" s="4">
        <v>8.5330314232902021E-2</v>
      </c>
      <c r="AJ28" s="4">
        <v>8.2054652535213782E-2</v>
      </c>
      <c r="AK28" s="4"/>
    </row>
    <row r="29" spans="1:37" x14ac:dyDescent="0.3">
      <c r="B29" t="s">
        <v>76</v>
      </c>
      <c r="C29" s="3"/>
      <c r="D29" s="4">
        <v>0.26223202851412469</v>
      </c>
      <c r="E29" s="4">
        <v>0.28922442300919921</v>
      </c>
      <c r="F29" s="4">
        <v>0.26523513264522608</v>
      </c>
      <c r="G29" s="4">
        <v>0.29148408305470486</v>
      </c>
      <c r="H29" s="4">
        <v>0.27116682568016742</v>
      </c>
      <c r="I29" s="4">
        <v>0.3084430410493077</v>
      </c>
      <c r="J29" s="4">
        <v>0.34822055606454383</v>
      </c>
      <c r="K29" s="4">
        <v>0.23270504893238433</v>
      </c>
      <c r="L29" s="4">
        <v>0.30117235606829634</v>
      </c>
      <c r="M29" s="4">
        <v>0.36159446849992044</v>
      </c>
      <c r="N29" s="4">
        <v>0.36136454088884673</v>
      </c>
      <c r="O29" s="4">
        <v>0.36687177562699153</v>
      </c>
      <c r="P29" s="4">
        <v>0.36865021008403365</v>
      </c>
      <c r="Q29" s="4">
        <v>0.28852437300547357</v>
      </c>
      <c r="R29" s="4">
        <v>0.25444601839800501</v>
      </c>
      <c r="S29" s="4">
        <v>0.24493244873341377</v>
      </c>
      <c r="T29" s="4">
        <v>0.21157078800796253</v>
      </c>
      <c r="U29" s="4">
        <v>0.40527309188329974</v>
      </c>
      <c r="V29" s="4">
        <v>0.3772741935483872</v>
      </c>
      <c r="W29" s="4">
        <v>0.21938868572173809</v>
      </c>
      <c r="X29" s="4">
        <v>0.29126489406092071</v>
      </c>
      <c r="Y29" s="4">
        <v>0.28945014836795258</v>
      </c>
      <c r="Z29" s="4">
        <v>0.36407686540662115</v>
      </c>
      <c r="AA29" s="4">
        <v>0.18591259960159365</v>
      </c>
      <c r="AB29" s="4">
        <v>0.27317074526461649</v>
      </c>
      <c r="AC29" s="4">
        <v>0.2658766673110381</v>
      </c>
      <c r="AD29" s="4">
        <v>0.26641753852525429</v>
      </c>
      <c r="AE29" s="4">
        <v>0.19855492327365726</v>
      </c>
      <c r="AF29" s="4">
        <v>0.21157139763375654</v>
      </c>
      <c r="AG29" s="4">
        <v>0.26860892679788262</v>
      </c>
      <c r="AH29" s="4">
        <v>0.27071939323799293</v>
      </c>
      <c r="AI29" s="4">
        <v>0.26960573012938999</v>
      </c>
      <c r="AJ29" s="4">
        <v>0.22864860492843403</v>
      </c>
      <c r="AK29" s="4"/>
    </row>
    <row r="30" spans="1:37" x14ac:dyDescent="0.3">
      <c r="B30" t="s">
        <v>78</v>
      </c>
      <c r="C30" s="3"/>
      <c r="D30" s="4">
        <v>0.10451198236573839</v>
      </c>
      <c r="E30" s="4">
        <v>0.1296801104592735</v>
      </c>
      <c r="F30" s="4">
        <v>0.1189285682112655</v>
      </c>
      <c r="G30" s="4">
        <v>0.13069450141889802</v>
      </c>
      <c r="H30" s="4">
        <v>0.12158669826418811</v>
      </c>
      <c r="I30" s="4">
        <v>0.13829730386203545</v>
      </c>
      <c r="J30" s="4">
        <v>0.15613652936447098</v>
      </c>
      <c r="K30" s="4">
        <v>0.10433754448398576</v>
      </c>
      <c r="L30" s="4">
        <v>0.13503760062659312</v>
      </c>
      <c r="M30" s="4">
        <v>0.16213174986236539</v>
      </c>
      <c r="N30" s="4">
        <v>0.16201364540888846</v>
      </c>
      <c r="O30" s="4">
        <v>0.15350967582858258</v>
      </c>
      <c r="P30" s="4">
        <v>0.16529117647058825</v>
      </c>
      <c r="Q30" s="4">
        <v>0.12936631045941849</v>
      </c>
      <c r="R30" s="4">
        <v>9.7727219578022842E-2</v>
      </c>
      <c r="S30" s="4">
        <v>0.10982750301568156</v>
      </c>
      <c r="T30" s="4">
        <v>9.4863470934791791E-2</v>
      </c>
      <c r="U30" s="4">
        <v>0.19529977735787485</v>
      </c>
      <c r="V30" s="4">
        <v>0.16950000000000004</v>
      </c>
      <c r="W30" s="4">
        <v>9.8367772570617379E-2</v>
      </c>
      <c r="X30" s="4">
        <v>0.13059471927303076</v>
      </c>
      <c r="Y30" s="4">
        <v>0.13260712166172109</v>
      </c>
      <c r="Z30" s="4">
        <v>0.16326816083336615</v>
      </c>
      <c r="AA30" s="4">
        <v>8.3362798804780883E-2</v>
      </c>
      <c r="AB30" s="4">
        <v>0.12251904430118755</v>
      </c>
      <c r="AC30" s="4">
        <v>0.14811811328049487</v>
      </c>
      <c r="AD30" s="4">
        <v>0.11946217486205037</v>
      </c>
      <c r="AE30" s="4">
        <v>8.9026150895140654E-2</v>
      </c>
      <c r="AF30" s="4">
        <v>9.4861741172179534E-2</v>
      </c>
      <c r="AG30" s="4">
        <v>0.12045203645226617</v>
      </c>
      <c r="AH30" s="4">
        <v>0.12126188311151524</v>
      </c>
      <c r="AI30" s="4">
        <v>0.12088613678373383</v>
      </c>
      <c r="AJ30" s="4">
        <v>0.10252383035067011</v>
      </c>
      <c r="AK30" s="4"/>
    </row>
    <row r="31" spans="1:37" x14ac:dyDescent="0.3">
      <c r="B31" t="s">
        <v>77</v>
      </c>
      <c r="C31" s="3"/>
      <c r="D31" s="4">
        <f>1-D28-D29-D30</f>
        <v>0.54679319219977862</v>
      </c>
      <c r="E31" s="4">
        <f t="shared" ref="E31:AJ31" si="0">1-E28-E29-E30</f>
        <v>0.43189563058845759</v>
      </c>
      <c r="F31" s="4">
        <f t="shared" si="0"/>
        <v>0.52701950296797007</v>
      </c>
      <c r="G31" s="4">
        <f t="shared" si="0"/>
        <v>0.45487274872861116</v>
      </c>
      <c r="H31" s="4">
        <f t="shared" si="0"/>
        <v>0.50091714883663674</v>
      </c>
      <c r="I31" s="4">
        <f t="shared" si="0"/>
        <v>0.29414136507165423</v>
      </c>
      <c r="J31" s="4">
        <f t="shared" si="0"/>
        <v>0.38831871809733942</v>
      </c>
      <c r="K31" s="4">
        <f t="shared" si="0"/>
        <v>0.58508078291814947</v>
      </c>
      <c r="L31" s="4">
        <f t="shared" si="0"/>
        <v>0.40521000014162201</v>
      </c>
      <c r="M31" s="4">
        <f t="shared" si="0"/>
        <v>0.38643771581382808</v>
      </c>
      <c r="N31" s="4">
        <f t="shared" si="0"/>
        <v>0.22325855207050133</v>
      </c>
      <c r="O31" s="4">
        <f t="shared" si="0"/>
        <v>0.33416564606680677</v>
      </c>
      <c r="P31" s="4">
        <f t="shared" si="0"/>
        <v>0.27812153361344527</v>
      </c>
      <c r="Q31" s="4">
        <f t="shared" si="0"/>
        <v>0.47770035582494907</v>
      </c>
      <c r="R31" s="4">
        <f t="shared" si="0"/>
        <v>0.59532907663023982</v>
      </c>
      <c r="S31" s="4">
        <f t="shared" si="0"/>
        <v>0.57233353437876955</v>
      </c>
      <c r="T31" s="4">
        <f t="shared" si="0"/>
        <v>0.63029688536786432</v>
      </c>
      <c r="U31" s="4">
        <f t="shared" si="0"/>
        <v>0.28611886878852155</v>
      </c>
      <c r="V31" s="4">
        <f t="shared" si="0"/>
        <v>0.22251612903225787</v>
      </c>
      <c r="W31" s="4">
        <f t="shared" si="0"/>
        <v>0.59491778946063134</v>
      </c>
      <c r="X31" s="4">
        <f t="shared" si="0"/>
        <v>0.38508832120172476</v>
      </c>
      <c r="Y31" s="4">
        <f t="shared" si="0"/>
        <v>0.32774005934718087</v>
      </c>
      <c r="Z31" s="4">
        <f t="shared" si="0"/>
        <v>0.20436313775006915</v>
      </c>
      <c r="AA31" s="4">
        <f t="shared" si="0"/>
        <v>0.68450323705179272</v>
      </c>
      <c r="AB31" s="4">
        <f t="shared" si="0"/>
        <v>0.42928318711050162</v>
      </c>
      <c r="AC31" s="4">
        <f t="shared" si="0"/>
        <v>0.28350135317997294</v>
      </c>
      <c r="AD31" s="4">
        <f t="shared" si="0"/>
        <v>0.52882921045777875</v>
      </c>
      <c r="AE31" s="4">
        <f t="shared" si="0"/>
        <v>0.61144187979539644</v>
      </c>
      <c r="AF31" s="4">
        <f t="shared" si="0"/>
        <v>0.61521941322634333</v>
      </c>
      <c r="AG31" s="4">
        <f t="shared" si="0"/>
        <v>0.52298722670443754</v>
      </c>
      <c r="AH31" s="4">
        <f t="shared" si="0"/>
        <v>0.1964553195007025</v>
      </c>
      <c r="AI31" s="4">
        <f t="shared" si="0"/>
        <v>0.52417781885397419</v>
      </c>
      <c r="AJ31" s="4">
        <f t="shared" si="0"/>
        <v>0.58677291218568195</v>
      </c>
      <c r="AK31" s="4"/>
    </row>
    <row r="32" spans="1:37" x14ac:dyDescent="0.3">
      <c r="C32" s="3"/>
      <c r="D32" s="4">
        <f>SUM(D28:D31)</f>
        <v>1</v>
      </c>
      <c r="E32" s="4">
        <f t="shared" ref="E32:AJ32" si="1">SUM(E28:E31)</f>
        <v>1</v>
      </c>
      <c r="F32" s="4">
        <f t="shared" si="1"/>
        <v>0.99999999999999989</v>
      </c>
      <c r="G32" s="4">
        <f t="shared" si="1"/>
        <v>1</v>
      </c>
      <c r="H32" s="4">
        <f t="shared" si="1"/>
        <v>1</v>
      </c>
      <c r="I32" s="4">
        <f t="shared" si="1"/>
        <v>1</v>
      </c>
      <c r="J32" s="4">
        <f t="shared" si="1"/>
        <v>1</v>
      </c>
      <c r="K32" s="4">
        <f t="shared" si="1"/>
        <v>1</v>
      </c>
      <c r="L32" s="4">
        <f t="shared" si="1"/>
        <v>1</v>
      </c>
      <c r="M32" s="4">
        <f t="shared" si="1"/>
        <v>1</v>
      </c>
      <c r="N32" s="4">
        <f t="shared" si="1"/>
        <v>1</v>
      </c>
      <c r="O32" s="4">
        <f t="shared" si="1"/>
        <v>0.99999999999999989</v>
      </c>
      <c r="P32" s="4">
        <f t="shared" si="1"/>
        <v>1</v>
      </c>
      <c r="Q32" s="4">
        <f t="shared" si="1"/>
        <v>1</v>
      </c>
      <c r="R32" s="4">
        <f t="shared" si="1"/>
        <v>1</v>
      </c>
      <c r="S32" s="4">
        <f t="shared" si="1"/>
        <v>1</v>
      </c>
      <c r="T32" s="4">
        <f t="shared" si="1"/>
        <v>1</v>
      </c>
      <c r="U32" s="4">
        <f t="shared" si="1"/>
        <v>1</v>
      </c>
      <c r="V32" s="4">
        <f t="shared" si="1"/>
        <v>1</v>
      </c>
      <c r="W32" s="4">
        <f t="shared" si="1"/>
        <v>1</v>
      </c>
      <c r="X32" s="4">
        <f t="shared" si="1"/>
        <v>1</v>
      </c>
      <c r="Y32" s="4">
        <f t="shared" si="1"/>
        <v>1</v>
      </c>
      <c r="Z32" s="4">
        <f t="shared" si="1"/>
        <v>1</v>
      </c>
      <c r="AA32" s="4">
        <f t="shared" si="1"/>
        <v>1</v>
      </c>
      <c r="AB32" s="4">
        <f t="shared" si="1"/>
        <v>1</v>
      </c>
      <c r="AC32" s="4">
        <f t="shared" si="1"/>
        <v>1</v>
      </c>
      <c r="AD32" s="4">
        <f t="shared" si="1"/>
        <v>1</v>
      </c>
      <c r="AE32" s="4">
        <f t="shared" si="1"/>
        <v>1</v>
      </c>
      <c r="AF32" s="4">
        <f t="shared" si="1"/>
        <v>1</v>
      </c>
      <c r="AG32" s="4">
        <f t="shared" si="1"/>
        <v>1</v>
      </c>
      <c r="AH32" s="4">
        <f t="shared" si="1"/>
        <v>0.99999999999999989</v>
      </c>
      <c r="AI32" s="4">
        <f t="shared" si="1"/>
        <v>1</v>
      </c>
      <c r="AJ32" s="4">
        <f t="shared" si="1"/>
        <v>0.99999999999999989</v>
      </c>
      <c r="AK32" s="4"/>
    </row>
    <row r="33" spans="1:37" x14ac:dyDescent="0.3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x14ac:dyDescent="0.3">
      <c r="A34" s="2" t="s">
        <v>5</v>
      </c>
    </row>
    <row r="35" spans="1:37" s="7" customFormat="1" x14ac:dyDescent="0.3">
      <c r="A35" s="6" t="s">
        <v>0</v>
      </c>
      <c r="B35" s="6" t="s">
        <v>1</v>
      </c>
      <c r="C35" s="6" t="s">
        <v>2</v>
      </c>
      <c r="D35" s="6" t="s">
        <v>6</v>
      </c>
      <c r="E35" s="6" t="s">
        <v>7</v>
      </c>
      <c r="F35" s="6" t="s">
        <v>8</v>
      </c>
      <c r="G35" s="6" t="s">
        <v>9</v>
      </c>
      <c r="H35" s="6" t="s">
        <v>10</v>
      </c>
      <c r="I35" s="6" t="s">
        <v>11</v>
      </c>
      <c r="J35" s="6" t="s">
        <v>12</v>
      </c>
      <c r="K35" s="6" t="s">
        <v>13</v>
      </c>
      <c r="L35" s="6" t="s">
        <v>14</v>
      </c>
      <c r="M35" s="6" t="s">
        <v>15</v>
      </c>
      <c r="N35" s="6" t="s">
        <v>16</v>
      </c>
      <c r="O35" s="6" t="s">
        <v>3</v>
      </c>
      <c r="P35" s="6" t="s">
        <v>17</v>
      </c>
      <c r="Q35" s="6" t="s">
        <v>18</v>
      </c>
      <c r="R35" s="6" t="s">
        <v>38</v>
      </c>
      <c r="S35" s="6" t="s">
        <v>19</v>
      </c>
      <c r="T35" s="6" t="s">
        <v>20</v>
      </c>
      <c r="U35" s="6" t="s">
        <v>21</v>
      </c>
      <c r="V35" s="6" t="s">
        <v>22</v>
      </c>
      <c r="W35" s="6" t="s">
        <v>23</v>
      </c>
      <c r="X35" s="6" t="s">
        <v>24</v>
      </c>
      <c r="Y35" s="6" t="s">
        <v>25</v>
      </c>
      <c r="Z35" s="6" t="s">
        <v>26</v>
      </c>
      <c r="AA35" s="6" t="s">
        <v>27</v>
      </c>
      <c r="AB35" s="6" t="s">
        <v>28</v>
      </c>
      <c r="AC35" s="6" t="s">
        <v>29</v>
      </c>
      <c r="AD35" s="6" t="s">
        <v>30</v>
      </c>
      <c r="AE35" s="6" t="s">
        <v>31</v>
      </c>
      <c r="AF35" s="6" t="s">
        <v>32</v>
      </c>
      <c r="AG35" s="6" t="s">
        <v>33</v>
      </c>
      <c r="AH35" s="6" t="s">
        <v>34</v>
      </c>
      <c r="AI35" s="6" t="s">
        <v>35</v>
      </c>
      <c r="AJ35" s="6" t="s">
        <v>36</v>
      </c>
    </row>
    <row r="36" spans="1:37" s="5" customFormat="1" x14ac:dyDescent="0.3">
      <c r="A36" s="5" t="s">
        <v>4</v>
      </c>
      <c r="B36" s="5">
        <v>2015</v>
      </c>
      <c r="C36" s="5" t="s">
        <v>47</v>
      </c>
      <c r="D36" s="5">
        <f t="shared" ref="D36:D56" si="2">D5*D$28</f>
        <v>0</v>
      </c>
      <c r="E36" s="5">
        <f t="shared" ref="E36:AE45" si="3">E5*E$28</f>
        <v>0.75883036560645234</v>
      </c>
      <c r="F36" s="5">
        <f t="shared" si="3"/>
        <v>0.33519458876648139</v>
      </c>
      <c r="G36" s="5">
        <f t="shared" si="3"/>
        <v>2.4933989626590991</v>
      </c>
      <c r="H36" s="5">
        <f t="shared" si="3"/>
        <v>1.3762204821956172</v>
      </c>
      <c r="I36" s="5">
        <f t="shared" si="3"/>
        <v>3.6281742968180715</v>
      </c>
      <c r="J36" s="5">
        <f t="shared" si="3"/>
        <v>0</v>
      </c>
      <c r="K36" s="5">
        <f t="shared" si="3"/>
        <v>0</v>
      </c>
      <c r="L36" s="5">
        <f t="shared" si="3"/>
        <v>12.686403453079089</v>
      </c>
      <c r="M36" s="5">
        <f t="shared" si="3"/>
        <v>5.2104918177853917E-3</v>
      </c>
      <c r="N36" s="5">
        <f t="shared" si="3"/>
        <v>9.703812920496542E-2</v>
      </c>
      <c r="O36" s="5">
        <f t="shared" si="3"/>
        <v>5.7890255186092393E-2</v>
      </c>
      <c r="P36" s="5">
        <f t="shared" si="3"/>
        <v>0.30201488728991605</v>
      </c>
      <c r="Q36" s="5">
        <f t="shared" si="3"/>
        <v>18.00281945940986</v>
      </c>
      <c r="R36" s="5">
        <f t="shared" si="3"/>
        <v>0</v>
      </c>
      <c r="S36" s="5">
        <f t="shared" si="3"/>
        <v>3.9910483823884197</v>
      </c>
      <c r="T36" s="5">
        <f t="shared" si="3"/>
        <v>1.6681466491062273</v>
      </c>
      <c r="U36" s="5">
        <f t="shared" si="3"/>
        <v>0</v>
      </c>
      <c r="V36" s="5">
        <f t="shared" si="3"/>
        <v>0</v>
      </c>
      <c r="W36" s="5">
        <f t="shared" si="3"/>
        <v>77.125231127039626</v>
      </c>
      <c r="X36" s="5">
        <f t="shared" si="3"/>
        <v>7.3359784876443042E-3</v>
      </c>
      <c r="Y36" s="5">
        <f t="shared" si="3"/>
        <v>3.602918456973294E-2</v>
      </c>
      <c r="Z36" s="5">
        <f t="shared" si="3"/>
        <v>0</v>
      </c>
      <c r="AA36" s="5">
        <f t="shared" si="3"/>
        <v>3.2586062001992037E-2</v>
      </c>
      <c r="AB36" s="5">
        <f t="shared" si="3"/>
        <v>1.3058766210180832</v>
      </c>
      <c r="AC36" s="5">
        <f t="shared" si="3"/>
        <v>4.5375579934274116E-2</v>
      </c>
      <c r="AD36" s="5">
        <f t="shared" si="3"/>
        <v>0</v>
      </c>
      <c r="AE36" s="5">
        <f t="shared" si="3"/>
        <v>1.5651442135549868E-2</v>
      </c>
      <c r="AF36" s="5">
        <f>AF5*AF$28</f>
        <v>5.8995628319693613E-2</v>
      </c>
      <c r="AG36" s="5">
        <f t="shared" ref="AG36:AJ51" si="4">AG5*AG$28</f>
        <v>0</v>
      </c>
      <c r="AH36" s="5">
        <f t="shared" si="4"/>
        <v>17.554002313796811</v>
      </c>
      <c r="AI36" s="5">
        <f t="shared" si="4"/>
        <v>1.2116904621072086E-2</v>
      </c>
      <c r="AJ36" s="5">
        <f t="shared" si="4"/>
        <v>0.12587183698901794</v>
      </c>
    </row>
    <row r="37" spans="1:37" s="5" customFormat="1" x14ac:dyDescent="0.3">
      <c r="A37" s="5" t="s">
        <v>4</v>
      </c>
      <c r="B37" s="5">
        <v>2020</v>
      </c>
      <c r="C37" s="5" t="s">
        <v>47</v>
      </c>
      <c r="D37" s="5">
        <f t="shared" si="2"/>
        <v>0</v>
      </c>
      <c r="E37" s="5">
        <f t="shared" ref="E37:S37" si="5">E6*E$28</f>
        <v>0.90430020565094515</v>
      </c>
      <c r="F37" s="5">
        <f t="shared" si="5"/>
        <v>3.3280541694935937</v>
      </c>
      <c r="G37" s="5">
        <f t="shared" si="5"/>
        <v>3.994110389592874</v>
      </c>
      <c r="H37" s="5">
        <f t="shared" si="5"/>
        <v>4.3294112163763385</v>
      </c>
      <c r="I37" s="5">
        <f t="shared" si="5"/>
        <v>3.7769081952878309</v>
      </c>
      <c r="J37" s="5">
        <f t="shared" si="5"/>
        <v>0</v>
      </c>
      <c r="K37" s="5">
        <f t="shared" si="5"/>
        <v>1.5523147395240213</v>
      </c>
      <c r="L37" s="5">
        <f t="shared" si="5"/>
        <v>13.172768445461507</v>
      </c>
      <c r="M37" s="5">
        <f t="shared" si="5"/>
        <v>1.212786888622462E-2</v>
      </c>
      <c r="N37" s="5">
        <f t="shared" si="5"/>
        <v>0.52268840874632816</v>
      </c>
      <c r="O37" s="5">
        <f t="shared" si="5"/>
        <v>13.919115502595757</v>
      </c>
      <c r="P37" s="5">
        <f t="shared" si="5"/>
        <v>2.4300264422268913</v>
      </c>
      <c r="Q37" s="5">
        <f t="shared" si="5"/>
        <v>16.052251255422675</v>
      </c>
      <c r="R37" s="5">
        <f t="shared" si="5"/>
        <v>0</v>
      </c>
      <c r="S37" s="5">
        <f t="shared" si="5"/>
        <v>4.4295081568154409</v>
      </c>
      <c r="T37" s="5">
        <f t="shared" si="3"/>
        <v>1.9120480877887922</v>
      </c>
      <c r="U37" s="5">
        <f t="shared" si="3"/>
        <v>0</v>
      </c>
      <c r="V37" s="5">
        <f t="shared" si="3"/>
        <v>4.7526193548387108E-2</v>
      </c>
      <c r="W37" s="5">
        <f t="shared" si="3"/>
        <v>85.47724072344846</v>
      </c>
      <c r="X37" s="5">
        <f t="shared" si="3"/>
        <v>1.3320592517038344E-2</v>
      </c>
      <c r="Y37" s="5">
        <f t="shared" si="3"/>
        <v>9.9580662908011888E-2</v>
      </c>
      <c r="Z37" s="5">
        <f t="shared" si="3"/>
        <v>7.88777997869234E-2</v>
      </c>
      <c r="AA37" s="5">
        <f t="shared" si="3"/>
        <v>7.4277732818725115E-2</v>
      </c>
      <c r="AB37" s="5">
        <f t="shared" si="3"/>
        <v>1.6496296948258189</v>
      </c>
      <c r="AC37" s="5">
        <f t="shared" si="3"/>
        <v>7.5323462690895029E-2</v>
      </c>
      <c r="AD37" s="5">
        <f t="shared" si="3"/>
        <v>0</v>
      </c>
      <c r="AE37" s="5">
        <f t="shared" si="3"/>
        <v>5.2810995076726333E-2</v>
      </c>
      <c r="AF37" s="5">
        <f t="shared" ref="AF37:AJ37" si="6">AF6*AF$28</f>
        <v>1.8315282911414044</v>
      </c>
      <c r="AG37" s="5">
        <f t="shared" si="6"/>
        <v>19.488274118052704</v>
      </c>
      <c r="AH37" s="5">
        <f t="shared" si="6"/>
        <v>16.888504289286601</v>
      </c>
      <c r="AI37" s="5">
        <f t="shared" si="6"/>
        <v>2.6964379297597037E-2</v>
      </c>
      <c r="AJ37" s="5">
        <f t="shared" si="6"/>
        <v>0.19299254276282279</v>
      </c>
    </row>
    <row r="38" spans="1:37" s="5" customFormat="1" x14ac:dyDescent="0.3">
      <c r="A38" s="5" t="s">
        <v>4</v>
      </c>
      <c r="B38" s="5">
        <v>2025</v>
      </c>
      <c r="C38" s="5" t="s">
        <v>47</v>
      </c>
      <c r="D38" s="5">
        <f t="shared" si="2"/>
        <v>0</v>
      </c>
      <c r="E38" s="5">
        <f t="shared" si="3"/>
        <v>0.7628587611769152</v>
      </c>
      <c r="F38" s="5">
        <f t="shared" si="3"/>
        <v>3.0757256515588898</v>
      </c>
      <c r="G38" s="5">
        <f t="shared" si="3"/>
        <v>4.6111897482509621</v>
      </c>
      <c r="H38" s="5">
        <f t="shared" si="3"/>
        <v>3.659111137587713</v>
      </c>
      <c r="I38" s="5">
        <f t="shared" si="3"/>
        <v>3.2822513796453725</v>
      </c>
      <c r="J38" s="5">
        <f t="shared" si="3"/>
        <v>0</v>
      </c>
      <c r="K38" s="5">
        <f t="shared" si="3"/>
        <v>1.7903835780693949</v>
      </c>
      <c r="L38" s="5">
        <f t="shared" si="3"/>
        <v>12.277425521760453</v>
      </c>
      <c r="M38" s="5">
        <f t="shared" si="3"/>
        <v>8.1750819899736316E-3</v>
      </c>
      <c r="N38" s="5">
        <f t="shared" si="3"/>
        <v>0.66330501895195682</v>
      </c>
      <c r="O38" s="5">
        <f t="shared" si="3"/>
        <v>23.376026862983117</v>
      </c>
      <c r="P38" s="5">
        <f t="shared" si="3"/>
        <v>3.3159618365546222</v>
      </c>
      <c r="Q38" s="5">
        <f t="shared" si="3"/>
        <v>30.338216122511593</v>
      </c>
      <c r="R38" s="5">
        <f t="shared" si="3"/>
        <v>0</v>
      </c>
      <c r="S38" s="5">
        <f t="shared" si="3"/>
        <v>4.3204400120627264</v>
      </c>
      <c r="T38" s="5">
        <f t="shared" si="3"/>
        <v>1.9124277009229287</v>
      </c>
      <c r="U38" s="5">
        <f t="shared" si="3"/>
        <v>1.5863156675842541E-2</v>
      </c>
      <c r="V38" s="5">
        <f t="shared" si="3"/>
        <v>0</v>
      </c>
      <c r="W38" s="5">
        <f t="shared" si="3"/>
        <v>83.003127510786086</v>
      </c>
      <c r="X38" s="5">
        <f t="shared" si="3"/>
        <v>2.2780143724790206E-2</v>
      </c>
      <c r="Y38" s="5">
        <f t="shared" si="3"/>
        <v>0.10508512166172108</v>
      </c>
      <c r="Z38" s="5">
        <f t="shared" si="3"/>
        <v>9.9804562995698995E-2</v>
      </c>
      <c r="AA38" s="5">
        <f t="shared" si="3"/>
        <v>8.8282806274900413E-2</v>
      </c>
      <c r="AB38" s="5">
        <f t="shared" si="3"/>
        <v>1.3247795395370421</v>
      </c>
      <c r="AC38" s="5">
        <f t="shared" si="3"/>
        <v>5.3845688188671949E-2</v>
      </c>
      <c r="AD38" s="5">
        <f t="shared" si="3"/>
        <v>0</v>
      </c>
      <c r="AE38" s="5">
        <f t="shared" si="3"/>
        <v>0.10865130153452685</v>
      </c>
      <c r="AF38" s="5">
        <f t="shared" ref="AF38" si="7">AF7*AF$28</f>
        <v>5.6713367160393906</v>
      </c>
      <c r="AG38" s="5">
        <f t="shared" si="4"/>
        <v>16.718143908862359</v>
      </c>
      <c r="AH38" s="5">
        <f t="shared" si="4"/>
        <v>15.029060829337855</v>
      </c>
      <c r="AI38" s="5">
        <f t="shared" si="4"/>
        <v>3.7801329205175593E-2</v>
      </c>
      <c r="AJ38" s="5">
        <f t="shared" si="4"/>
        <v>0.26109790436705027</v>
      </c>
    </row>
    <row r="39" spans="1:37" s="5" customFormat="1" x14ac:dyDescent="0.3">
      <c r="A39" s="5" t="s">
        <v>4</v>
      </c>
      <c r="B39" s="5">
        <v>2015</v>
      </c>
      <c r="C39" s="5" t="s">
        <v>48</v>
      </c>
      <c r="D39" s="5">
        <f t="shared" si="2"/>
        <v>25.286996050124927</v>
      </c>
      <c r="E39" s="5">
        <f t="shared" si="3"/>
        <v>403.42889639826313</v>
      </c>
      <c r="F39" s="5">
        <f t="shared" si="3"/>
        <v>49.461984973361076</v>
      </c>
      <c r="G39" s="5">
        <f t="shared" si="3"/>
        <v>426.29364200595649</v>
      </c>
      <c r="H39" s="5">
        <f t="shared" si="3"/>
        <v>0</v>
      </c>
      <c r="I39" s="5">
        <f t="shared" si="3"/>
        <v>326.26879487490891</v>
      </c>
      <c r="J39" s="5">
        <f t="shared" si="3"/>
        <v>6.502987712731148</v>
      </c>
      <c r="K39" s="5">
        <f t="shared" si="3"/>
        <v>0</v>
      </c>
      <c r="L39" s="5">
        <f t="shared" si="3"/>
        <v>0</v>
      </c>
      <c r="M39" s="5">
        <f t="shared" si="3"/>
        <v>64.293695916707136</v>
      </c>
      <c r="N39" s="5">
        <f t="shared" si="3"/>
        <v>61.074227669383113</v>
      </c>
      <c r="O39" s="5">
        <f t="shared" si="3"/>
        <v>1839.3515870676904</v>
      </c>
      <c r="P39" s="5">
        <f t="shared" si="3"/>
        <v>147.27238212037818</v>
      </c>
      <c r="Q39" s="5">
        <f t="shared" si="3"/>
        <v>2481.7561002273724</v>
      </c>
      <c r="R39" s="5">
        <f t="shared" si="3"/>
        <v>0</v>
      </c>
      <c r="S39" s="5">
        <f t="shared" si="3"/>
        <v>47.389890175512669</v>
      </c>
      <c r="T39" s="5">
        <f t="shared" si="3"/>
        <v>56.238357176321564</v>
      </c>
      <c r="U39" s="5">
        <f t="shared" si="3"/>
        <v>0</v>
      </c>
      <c r="V39" s="5">
        <f t="shared" si="3"/>
        <v>0</v>
      </c>
      <c r="W39" s="5">
        <f t="shared" si="3"/>
        <v>1368.3313138660706</v>
      </c>
      <c r="X39" s="5">
        <f t="shared" si="3"/>
        <v>151.27675681023692</v>
      </c>
      <c r="Y39" s="5">
        <f t="shared" si="3"/>
        <v>0</v>
      </c>
      <c r="Z39" s="5">
        <f t="shared" si="3"/>
        <v>90.535884937063472</v>
      </c>
      <c r="AA39" s="5">
        <f t="shared" si="3"/>
        <v>3.9370433889442236</v>
      </c>
      <c r="AB39" s="5">
        <f t="shared" si="3"/>
        <v>233.41918879089852</v>
      </c>
      <c r="AC39" s="5">
        <f t="shared" si="3"/>
        <v>0</v>
      </c>
      <c r="AD39" s="5">
        <f t="shared" si="3"/>
        <v>0</v>
      </c>
      <c r="AE39" s="5">
        <f t="shared" si="3"/>
        <v>249.96908136982091</v>
      </c>
      <c r="AF39" s="5">
        <f t="shared" ref="AF39" si="8">AF8*AF$28</f>
        <v>0</v>
      </c>
      <c r="AG39" s="5">
        <f t="shared" si="4"/>
        <v>0</v>
      </c>
      <c r="AH39" s="5">
        <f t="shared" si="4"/>
        <v>568.98023278602136</v>
      </c>
      <c r="AI39" s="5">
        <f t="shared" si="4"/>
        <v>40.417983291127541</v>
      </c>
      <c r="AJ39" s="5">
        <f t="shared" si="4"/>
        <v>0</v>
      </c>
    </row>
    <row r="40" spans="1:37" s="5" customFormat="1" x14ac:dyDescent="0.3">
      <c r="A40" s="5" t="s">
        <v>4</v>
      </c>
      <c r="B40" s="5">
        <v>2020</v>
      </c>
      <c r="C40" s="5" t="s">
        <v>48</v>
      </c>
      <c r="D40" s="5">
        <f t="shared" si="2"/>
        <v>34.315787155736423</v>
      </c>
      <c r="E40" s="5">
        <f t="shared" si="3"/>
        <v>414.16755459026564</v>
      </c>
      <c r="F40" s="5">
        <f t="shared" si="3"/>
        <v>61.217776115155324</v>
      </c>
      <c r="G40" s="5">
        <f t="shared" si="3"/>
        <v>340.39949030502089</v>
      </c>
      <c r="H40" s="5">
        <f t="shared" si="3"/>
        <v>141.78473505085867</v>
      </c>
      <c r="I40" s="5">
        <f t="shared" si="3"/>
        <v>377.58198984697594</v>
      </c>
      <c r="J40" s="5">
        <f t="shared" si="3"/>
        <v>13.267631816465045</v>
      </c>
      <c r="K40" s="5">
        <f t="shared" si="3"/>
        <v>0</v>
      </c>
      <c r="L40" s="5">
        <f t="shared" si="3"/>
        <v>2416.8385135129756</v>
      </c>
      <c r="M40" s="5">
        <f t="shared" si="3"/>
        <v>74.330810043012448</v>
      </c>
      <c r="N40" s="5">
        <f t="shared" si="3"/>
        <v>82.775297754666923</v>
      </c>
      <c r="O40" s="5">
        <f t="shared" si="3"/>
        <v>2123.320452197966</v>
      </c>
      <c r="P40" s="5">
        <f t="shared" si="3"/>
        <v>176.47930782289919</v>
      </c>
      <c r="Q40" s="5">
        <f t="shared" si="3"/>
        <v>2308.6039665587627</v>
      </c>
      <c r="R40" s="5">
        <f t="shared" si="3"/>
        <v>0</v>
      </c>
      <c r="S40" s="5">
        <f t="shared" si="3"/>
        <v>69.345030669481304</v>
      </c>
      <c r="T40" s="5">
        <f t="shared" si="3"/>
        <v>78.577830893973825</v>
      </c>
      <c r="U40" s="5">
        <f t="shared" si="3"/>
        <v>152.4109431762557</v>
      </c>
      <c r="V40" s="5">
        <f t="shared" si="3"/>
        <v>20.350669935483879</v>
      </c>
      <c r="W40" s="5">
        <f t="shared" si="3"/>
        <v>1521.7999486602823</v>
      </c>
      <c r="X40" s="5">
        <f t="shared" si="3"/>
        <v>204.65256407807499</v>
      </c>
      <c r="Y40" s="5">
        <f t="shared" si="3"/>
        <v>57.779302727002978</v>
      </c>
      <c r="Z40" s="5">
        <f t="shared" si="3"/>
        <v>125.60887178313537</v>
      </c>
      <c r="AA40" s="5">
        <f t="shared" si="3"/>
        <v>4.4999271663346621</v>
      </c>
      <c r="AB40" s="5">
        <f t="shared" si="3"/>
        <v>187.65137246198572</v>
      </c>
      <c r="AC40" s="5">
        <f t="shared" si="3"/>
        <v>399.26971046926354</v>
      </c>
      <c r="AD40" s="5">
        <f t="shared" si="3"/>
        <v>0.29288955551598345</v>
      </c>
      <c r="AE40" s="5">
        <f t="shared" si="3"/>
        <v>319.28144237858049</v>
      </c>
      <c r="AF40" s="5">
        <f t="shared" ref="AF40" si="9">AF9*AF$28</f>
        <v>275.63423504268582</v>
      </c>
      <c r="AG40" s="5">
        <f t="shared" si="4"/>
        <v>100.73824418981586</v>
      </c>
      <c r="AH40" s="5">
        <f t="shared" si="4"/>
        <v>717.22660565098795</v>
      </c>
      <c r="AI40" s="5">
        <f t="shared" si="4"/>
        <v>50.233273346395556</v>
      </c>
      <c r="AJ40" s="5">
        <f t="shared" si="4"/>
        <v>0</v>
      </c>
    </row>
    <row r="41" spans="1:37" s="5" customFormat="1" x14ac:dyDescent="0.3">
      <c r="A41" s="5" t="s">
        <v>4</v>
      </c>
      <c r="B41" s="5">
        <v>2025</v>
      </c>
      <c r="C41" s="5" t="s">
        <v>48</v>
      </c>
      <c r="D41" s="5">
        <f t="shared" si="2"/>
        <v>44.524881902107744</v>
      </c>
      <c r="E41" s="5">
        <f t="shared" si="3"/>
        <v>393.45831896169568</v>
      </c>
      <c r="F41" s="5">
        <f t="shared" si="3"/>
        <v>71.226984960157594</v>
      </c>
      <c r="G41" s="5">
        <f t="shared" si="3"/>
        <v>266.43775261414402</v>
      </c>
      <c r="H41" s="5">
        <f t="shared" si="3"/>
        <v>155.72876302235932</v>
      </c>
      <c r="I41" s="5">
        <f t="shared" si="3"/>
        <v>365.20805502550394</v>
      </c>
      <c r="J41" s="5">
        <f t="shared" si="3"/>
        <v>14.17151619916609</v>
      </c>
      <c r="K41" s="5">
        <f t="shared" si="3"/>
        <v>201.53683650727311</v>
      </c>
      <c r="L41" s="5">
        <f t="shared" si="3"/>
        <v>2332.4231849361872</v>
      </c>
      <c r="M41" s="5">
        <f t="shared" si="3"/>
        <v>63.619745750896342</v>
      </c>
      <c r="N41" s="5">
        <f t="shared" si="3"/>
        <v>92.918695934094572</v>
      </c>
      <c r="O41" s="5">
        <f t="shared" si="3"/>
        <v>2083.8326073275371</v>
      </c>
      <c r="P41" s="5">
        <f t="shared" si="3"/>
        <v>172.2659464301471</v>
      </c>
      <c r="Q41" s="5">
        <f t="shared" si="3"/>
        <v>2093.4975978438324</v>
      </c>
      <c r="R41" s="5">
        <f t="shared" si="3"/>
        <v>0</v>
      </c>
      <c r="S41" s="5">
        <f t="shared" si="3"/>
        <v>77.953904734016888</v>
      </c>
      <c r="T41" s="5">
        <f t="shared" si="3"/>
        <v>83.218917803068379</v>
      </c>
      <c r="U41" s="5">
        <f t="shared" si="3"/>
        <v>151.20081093841287</v>
      </c>
      <c r="V41" s="5">
        <f t="shared" si="3"/>
        <v>0</v>
      </c>
      <c r="W41" s="5">
        <f t="shared" si="3"/>
        <v>1487.9673324672221</v>
      </c>
      <c r="X41" s="5">
        <f t="shared" si="3"/>
        <v>217.61523806574252</v>
      </c>
      <c r="Y41" s="5">
        <f t="shared" si="3"/>
        <v>48.812289214540073</v>
      </c>
      <c r="Z41" s="5">
        <f t="shared" si="3"/>
        <v>139.08007316103064</v>
      </c>
      <c r="AA41" s="5">
        <f t="shared" si="3"/>
        <v>4.3854830677290844</v>
      </c>
      <c r="AB41" s="5">
        <f t="shared" si="3"/>
        <v>133.92647759873111</v>
      </c>
      <c r="AC41" s="5">
        <f t="shared" si="3"/>
        <v>330.52056430311234</v>
      </c>
      <c r="AD41" s="5">
        <f t="shared" si="3"/>
        <v>0.63320094937410043</v>
      </c>
      <c r="AE41" s="5">
        <f t="shared" si="3"/>
        <v>327.35516307141938</v>
      </c>
      <c r="AF41" s="5">
        <f t="shared" ref="AF41" si="10">AF10*AF$28</f>
        <v>323.21244646493938</v>
      </c>
      <c r="AG41" s="5">
        <f t="shared" si="4"/>
        <v>116.85374229624705</v>
      </c>
      <c r="AH41" s="5">
        <f t="shared" si="4"/>
        <v>661.59105311461531</v>
      </c>
      <c r="AI41" s="5">
        <f t="shared" si="4"/>
        <v>51.842091090942695</v>
      </c>
      <c r="AJ41" s="5">
        <f t="shared" si="4"/>
        <v>0</v>
      </c>
    </row>
    <row r="42" spans="1:37" s="5" customFormat="1" x14ac:dyDescent="0.3">
      <c r="A42" s="5" t="s">
        <v>4</v>
      </c>
      <c r="B42" s="5">
        <v>2015</v>
      </c>
      <c r="C42" s="5" t="s">
        <v>49</v>
      </c>
      <c r="D42" s="5">
        <f t="shared" si="2"/>
        <v>0</v>
      </c>
      <c r="E42" s="5">
        <f t="shared" si="3"/>
        <v>0.75077357446552651</v>
      </c>
      <c r="F42" s="5">
        <f t="shared" si="3"/>
        <v>4.618473401127989E-3</v>
      </c>
      <c r="G42" s="5">
        <f t="shared" si="3"/>
        <v>0.40782072776825601</v>
      </c>
      <c r="H42" s="5">
        <f t="shared" si="3"/>
        <v>1.9458266881078417E-2</v>
      </c>
      <c r="I42" s="5">
        <f t="shared" si="3"/>
        <v>1.952197196988098</v>
      </c>
      <c r="J42" s="5">
        <f t="shared" si="3"/>
        <v>2.468456518893854E-3</v>
      </c>
      <c r="K42" s="5">
        <f t="shared" si="3"/>
        <v>5.552603267348754E-2</v>
      </c>
      <c r="L42" s="5">
        <f t="shared" si="3"/>
        <v>4.1230811222507038</v>
      </c>
      <c r="M42" s="5">
        <f t="shared" si="3"/>
        <v>0.70853705115298937</v>
      </c>
      <c r="N42" s="5">
        <f t="shared" si="3"/>
        <v>0.28275339998104809</v>
      </c>
      <c r="O42" s="5">
        <f t="shared" si="3"/>
        <v>0.76260956769015686</v>
      </c>
      <c r="P42" s="5">
        <f t="shared" si="3"/>
        <v>0.12347466144957986</v>
      </c>
      <c r="Q42" s="5">
        <f t="shared" si="3"/>
        <v>4.3748398627163692</v>
      </c>
      <c r="R42" s="5">
        <f t="shared" si="3"/>
        <v>4.4098055730735107E-3</v>
      </c>
      <c r="S42" s="5">
        <f t="shared" si="3"/>
        <v>1.1883761761158023E-2</v>
      </c>
      <c r="T42" s="5">
        <f t="shared" si="3"/>
        <v>2.1637948645768408E-2</v>
      </c>
      <c r="U42" s="5">
        <f t="shared" si="3"/>
        <v>0.12690525340674033</v>
      </c>
      <c r="V42" s="5">
        <f t="shared" si="3"/>
        <v>0</v>
      </c>
      <c r="W42" s="5">
        <f t="shared" si="3"/>
        <v>0.40030124830030867</v>
      </c>
      <c r="X42" s="5">
        <f t="shared" si="3"/>
        <v>3.2625799063470726E-2</v>
      </c>
      <c r="Y42" s="5">
        <f t="shared" si="3"/>
        <v>0.14511754896142434</v>
      </c>
      <c r="Z42" s="5">
        <f t="shared" si="3"/>
        <v>5.660957739809809E-2</v>
      </c>
      <c r="AA42" s="5">
        <f t="shared" si="3"/>
        <v>6.2861055776892447E-3</v>
      </c>
      <c r="AB42" s="5">
        <f t="shared" si="3"/>
        <v>1.7436192063506426</v>
      </c>
      <c r="AC42" s="5">
        <f t="shared" si="3"/>
        <v>20.872766769766095</v>
      </c>
      <c r="AD42" s="5">
        <f t="shared" si="3"/>
        <v>1.8678745677926722E-2</v>
      </c>
      <c r="AE42" s="5">
        <f t="shared" si="3"/>
        <v>0.14116591035805623</v>
      </c>
      <c r="AF42" s="5">
        <f t="shared" ref="AF42" si="11">AF11*AF$28</f>
        <v>0.30265619149930467</v>
      </c>
      <c r="AG42" s="5">
        <f t="shared" si="4"/>
        <v>0</v>
      </c>
      <c r="AH42" s="5">
        <f t="shared" si="4"/>
        <v>1.9610996207737457</v>
      </c>
      <c r="AI42" s="5">
        <f t="shared" si="4"/>
        <v>2.4575130499075781E-2</v>
      </c>
      <c r="AJ42" s="5">
        <f t="shared" si="4"/>
        <v>1.1241487397324289E-2</v>
      </c>
    </row>
    <row r="43" spans="1:37" s="5" customFormat="1" x14ac:dyDescent="0.3">
      <c r="A43" s="5" t="s">
        <v>4</v>
      </c>
      <c r="B43" s="5">
        <v>2020</v>
      </c>
      <c r="C43" s="5" t="s">
        <v>49</v>
      </c>
      <c r="D43" s="5">
        <f t="shared" si="2"/>
        <v>3.1299532485169722E-2</v>
      </c>
      <c r="E43" s="5">
        <f t="shared" si="3"/>
        <v>6.6404370983182011</v>
      </c>
      <c r="F43" s="5">
        <f t="shared" si="3"/>
        <v>3.6414886431970685E-3</v>
      </c>
      <c r="G43" s="5">
        <f t="shared" si="3"/>
        <v>3.9064479901660527</v>
      </c>
      <c r="H43" s="5">
        <f t="shared" si="3"/>
        <v>0.20553458951434198</v>
      </c>
      <c r="I43" s="5">
        <f t="shared" si="3"/>
        <v>11.247029378188</v>
      </c>
      <c r="J43" s="5">
        <f t="shared" si="3"/>
        <v>2.5757807153674997E-2</v>
      </c>
      <c r="K43" s="5">
        <f t="shared" si="3"/>
        <v>0.63150154130338076</v>
      </c>
      <c r="L43" s="5">
        <f t="shared" si="3"/>
        <v>49.014395481100557</v>
      </c>
      <c r="M43" s="5">
        <f t="shared" si="3"/>
        <v>2.8645127948604308</v>
      </c>
      <c r="N43" s="5">
        <f t="shared" si="3"/>
        <v>0.44921306287311663</v>
      </c>
      <c r="O43" s="5">
        <f t="shared" si="3"/>
        <v>6.2840017457405777</v>
      </c>
      <c r="P43" s="5">
        <f t="shared" si="3"/>
        <v>1.8716653780462187</v>
      </c>
      <c r="Q43" s="5">
        <f t="shared" si="3"/>
        <v>25.591262723824212</v>
      </c>
      <c r="R43" s="5">
        <f t="shared" si="3"/>
        <v>5.7957444674680426E-2</v>
      </c>
      <c r="S43" s="5">
        <f t="shared" si="3"/>
        <v>9.5799159227985528E-2</v>
      </c>
      <c r="T43" s="5">
        <f t="shared" si="3"/>
        <v>0.69671663885146695</v>
      </c>
      <c r="U43" s="5">
        <f t="shared" si="3"/>
        <v>1.4412810922622652</v>
      </c>
      <c r="V43" s="5">
        <f t="shared" si="3"/>
        <v>1.4467803870967746</v>
      </c>
      <c r="W43" s="5">
        <f t="shared" si="3"/>
        <v>4.6351636035192154</v>
      </c>
      <c r="X43" s="5">
        <f t="shared" si="3"/>
        <v>0.47780386202420139</v>
      </c>
      <c r="Y43" s="5">
        <f t="shared" si="3"/>
        <v>1.0088171679525224</v>
      </c>
      <c r="Z43" s="5">
        <f t="shared" si="3"/>
        <v>0.32329166239198198</v>
      </c>
      <c r="AA43" s="5">
        <f t="shared" si="3"/>
        <v>5.976422435258965E-2</v>
      </c>
      <c r="AB43" s="5">
        <f t="shared" si="3"/>
        <v>30.419171572588098</v>
      </c>
      <c r="AC43" s="5">
        <f t="shared" si="3"/>
        <v>103.97269634979703</v>
      </c>
      <c r="AD43" s="5">
        <f t="shared" si="3"/>
        <v>0.83346439618584445</v>
      </c>
      <c r="AE43" s="5">
        <f t="shared" si="3"/>
        <v>2.7212304136189256</v>
      </c>
      <c r="AF43" s="5">
        <f t="shared" ref="AF43" si="12">AF12*AF$28</f>
        <v>0.45465024055668263</v>
      </c>
      <c r="AG43" s="5">
        <f t="shared" si="4"/>
        <v>1.4863855897674904E-2</v>
      </c>
      <c r="AH43" s="5">
        <f t="shared" si="4"/>
        <v>22.961122317516743</v>
      </c>
      <c r="AI43" s="5">
        <f t="shared" si="4"/>
        <v>0.31316225323475039</v>
      </c>
      <c r="AJ43" s="5">
        <f t="shared" si="4"/>
        <v>0.15286781767310328</v>
      </c>
    </row>
    <row r="44" spans="1:37" s="5" customFormat="1" x14ac:dyDescent="0.3">
      <c r="A44" s="5" t="s">
        <v>4</v>
      </c>
      <c r="B44" s="5">
        <v>2025</v>
      </c>
      <c r="C44" s="5" t="s">
        <v>49</v>
      </c>
      <c r="D44" s="5">
        <f t="shared" si="2"/>
        <v>0.249963945896756</v>
      </c>
      <c r="E44" s="5">
        <f t="shared" si="3"/>
        <v>23.199082490787902</v>
      </c>
      <c r="F44" s="5">
        <f t="shared" si="3"/>
        <v>2.9398359534103163E-2</v>
      </c>
      <c r="G44" s="5">
        <f t="shared" si="3"/>
        <v>22.308666744457867</v>
      </c>
      <c r="H44" s="5">
        <f t="shared" si="3"/>
        <v>1.2198100418564568</v>
      </c>
      <c r="I44" s="5">
        <f t="shared" si="3"/>
        <v>40.307404721884865</v>
      </c>
      <c r="J44" s="5">
        <f t="shared" si="3"/>
        <v>0.19318355365256248</v>
      </c>
      <c r="K44" s="5">
        <f t="shared" si="3"/>
        <v>1.7476293116770463</v>
      </c>
      <c r="L44" s="5">
        <f t="shared" si="3"/>
        <v>223.38869378358632</v>
      </c>
      <c r="M44" s="5">
        <f t="shared" si="3"/>
        <v>17.977005295952019</v>
      </c>
      <c r="N44" s="5">
        <f t="shared" si="3"/>
        <v>1.4684934644177012</v>
      </c>
      <c r="O44" s="5">
        <f t="shared" si="3"/>
        <v>21.858953090141551</v>
      </c>
      <c r="P44" s="5">
        <f t="shared" si="3"/>
        <v>16.164656173424373</v>
      </c>
      <c r="Q44" s="5">
        <f t="shared" si="3"/>
        <v>90.651305184263407</v>
      </c>
      <c r="R44" s="5">
        <f t="shared" si="3"/>
        <v>0.64650899562381281</v>
      </c>
      <c r="S44" s="5">
        <f t="shared" si="3"/>
        <v>0.51457417490952961</v>
      </c>
      <c r="T44" s="5">
        <f t="shared" si="3"/>
        <v>2.6074360806707824</v>
      </c>
      <c r="U44" s="5">
        <f t="shared" si="3"/>
        <v>6.7305107610360491</v>
      </c>
      <c r="V44" s="5">
        <f t="shared" si="3"/>
        <v>6.5521548387096793</v>
      </c>
      <c r="W44" s="5">
        <f t="shared" si="3"/>
        <v>19.171495648309286</v>
      </c>
      <c r="X44" s="5">
        <f t="shared" si="3"/>
        <v>2.2054267958644349</v>
      </c>
      <c r="Y44" s="5">
        <f t="shared" si="3"/>
        <v>5.8214655373887245</v>
      </c>
      <c r="Z44" s="5">
        <f t="shared" si="3"/>
        <v>1.7087507035473304</v>
      </c>
      <c r="AA44" s="5">
        <f t="shared" si="3"/>
        <v>0.2017100348605578</v>
      </c>
      <c r="AB44" s="5">
        <f t="shared" si="3"/>
        <v>77.829091434323814</v>
      </c>
      <c r="AC44" s="5">
        <f t="shared" si="3"/>
        <v>208.47053941136673</v>
      </c>
      <c r="AD44" s="5">
        <f t="shared" si="3"/>
        <v>4.3808908356211331</v>
      </c>
      <c r="AE44" s="5">
        <f t="shared" si="3"/>
        <v>11.173009166815856</v>
      </c>
      <c r="AF44" s="5">
        <f t="shared" ref="AF44" si="13">AF13*AF$28</f>
        <v>3.0767826291403555</v>
      </c>
      <c r="AG44" s="5">
        <f t="shared" si="4"/>
        <v>0.13685301643066361</v>
      </c>
      <c r="AH44" s="5">
        <f t="shared" si="4"/>
        <v>120.04193277858148</v>
      </c>
      <c r="AI44" s="5">
        <f t="shared" si="4"/>
        <v>1.0873641942698704</v>
      </c>
      <c r="AJ44" s="5">
        <f t="shared" si="4"/>
        <v>0.64790353641804799</v>
      </c>
    </row>
    <row r="45" spans="1:37" s="5" customFormat="1" x14ac:dyDescent="0.3">
      <c r="A45" s="5" t="s">
        <v>4</v>
      </c>
      <c r="B45" s="5">
        <v>2015</v>
      </c>
      <c r="C45" s="5" t="s">
        <v>50</v>
      </c>
      <c r="D45" s="5">
        <f t="shared" si="2"/>
        <v>9.6049791842887675</v>
      </c>
      <c r="E45" s="5">
        <f t="shared" si="3"/>
        <v>301.2552075462537</v>
      </c>
      <c r="F45" s="5">
        <f t="shared" si="3"/>
        <v>23.668876829615364</v>
      </c>
      <c r="G45" s="5">
        <f t="shared" si="3"/>
        <v>263.05691017453847</v>
      </c>
      <c r="H45" s="5">
        <f t="shared" si="3"/>
        <v>0</v>
      </c>
      <c r="I45" s="5">
        <f t="shared" si="3"/>
        <v>824.63618443041037</v>
      </c>
      <c r="J45" s="5">
        <f t="shared" si="3"/>
        <v>45.575863977712544</v>
      </c>
      <c r="K45" s="5">
        <f t="shared" si="3"/>
        <v>1.0693239195507118</v>
      </c>
      <c r="L45" s="5">
        <f t="shared" si="3"/>
        <v>20.924795275465485</v>
      </c>
      <c r="M45" s="5">
        <f t="shared" si="3"/>
        <v>149.72015844962775</v>
      </c>
      <c r="N45" s="5">
        <f t="shared" si="3"/>
        <v>109.35969134464133</v>
      </c>
      <c r="O45" s="5">
        <f t="shared" si="3"/>
        <v>1401.8887466521255</v>
      </c>
      <c r="P45" s="5">
        <f t="shared" si="3"/>
        <v>458.10772037804634</v>
      </c>
      <c r="Q45" s="5">
        <f t="shared" si="3"/>
        <v>1360.9243408694056</v>
      </c>
      <c r="R45" s="5">
        <f t="shared" si="3"/>
        <v>0</v>
      </c>
      <c r="S45" s="5">
        <f t="shared" si="3"/>
        <v>57.950252896863695</v>
      </c>
      <c r="T45" s="5">
        <f t="shared" si="3"/>
        <v>144.33220357911247</v>
      </c>
      <c r="U45" s="5">
        <f t="shared" si="3"/>
        <v>2.3432148575458838</v>
      </c>
      <c r="V45" s="5">
        <f t="shared" si="3"/>
        <v>0</v>
      </c>
      <c r="W45" s="5">
        <f t="shared" si="3"/>
        <v>1622.050785497376</v>
      </c>
      <c r="X45" s="5">
        <f t="shared" si="3"/>
        <v>88.096414293662193</v>
      </c>
      <c r="Y45" s="5">
        <f t="shared" si="3"/>
        <v>32.280397955786356</v>
      </c>
      <c r="Z45" s="5">
        <f t="shared" si="3"/>
        <v>91.587320642386459</v>
      </c>
      <c r="AA45" s="5">
        <f t="shared" si="3"/>
        <v>8.7328797310756983</v>
      </c>
      <c r="AB45" s="5">
        <f t="shared" si="3"/>
        <v>1120.979998876189</v>
      </c>
      <c r="AC45" s="5">
        <f t="shared" si="3"/>
        <v>0.24381811618016627</v>
      </c>
      <c r="AD45" s="5">
        <f t="shared" si="3"/>
        <v>9.5526005293506532E-3</v>
      </c>
      <c r="AE45" s="5">
        <f t="shared" si="3"/>
        <v>220.55042877774935</v>
      </c>
      <c r="AF45" s="5">
        <f t="shared" ref="AF45" si="14">AF14*AF$28</f>
        <v>6.2677958374176483E-4</v>
      </c>
      <c r="AG45" s="5">
        <f t="shared" si="4"/>
        <v>0</v>
      </c>
      <c r="AH45" s="5">
        <f t="shared" si="4"/>
        <v>1311.6175861360257</v>
      </c>
      <c r="AI45" s="5">
        <f t="shared" si="4"/>
        <v>50.861987101663573</v>
      </c>
      <c r="AJ45" s="5">
        <f t="shared" si="4"/>
        <v>0</v>
      </c>
    </row>
    <row r="46" spans="1:37" s="5" customFormat="1" x14ac:dyDescent="0.3">
      <c r="A46" s="5" t="s">
        <v>4</v>
      </c>
      <c r="B46" s="5">
        <v>2020</v>
      </c>
      <c r="C46" s="5" t="s">
        <v>50</v>
      </c>
      <c r="D46" s="5">
        <f t="shared" si="2"/>
        <v>8.5128675963877214</v>
      </c>
      <c r="E46" s="5">
        <f t="shared" ref="E46:AE55" si="15">E15*E$28</f>
        <v>327.57987740021298</v>
      </c>
      <c r="F46" s="5">
        <f t="shared" si="15"/>
        <v>18.553118186700537</v>
      </c>
      <c r="G46" s="5">
        <f t="shared" si="15"/>
        <v>356.66461533303357</v>
      </c>
      <c r="H46" s="5">
        <f t="shared" si="15"/>
        <v>125.46456560399481</v>
      </c>
      <c r="I46" s="5">
        <f t="shared" si="15"/>
        <v>802.09885291960154</v>
      </c>
      <c r="J46" s="5">
        <f t="shared" si="15"/>
        <v>47.684569790026735</v>
      </c>
      <c r="K46" s="5">
        <f t="shared" si="15"/>
        <v>0.12654951345640569</v>
      </c>
      <c r="L46" s="5">
        <f t="shared" si="15"/>
        <v>4986.5263045895972</v>
      </c>
      <c r="M46" s="5">
        <f t="shared" si="15"/>
        <v>164.79222472109859</v>
      </c>
      <c r="N46" s="5">
        <f t="shared" si="15"/>
        <v>118.17673284942671</v>
      </c>
      <c r="O46" s="5">
        <f t="shared" si="15"/>
        <v>1574.1432372989782</v>
      </c>
      <c r="P46" s="5">
        <f t="shared" si="15"/>
        <v>474.75969739947487</v>
      </c>
      <c r="Q46" s="5">
        <f t="shared" si="15"/>
        <v>1591.2583388680694</v>
      </c>
      <c r="R46" s="5">
        <f t="shared" si="15"/>
        <v>0</v>
      </c>
      <c r="S46" s="5">
        <f t="shared" si="15"/>
        <v>53.441057920386015</v>
      </c>
      <c r="T46" s="5">
        <f t="shared" si="15"/>
        <v>166.8767949269097</v>
      </c>
      <c r="U46" s="5">
        <f t="shared" si="15"/>
        <v>97.456436120658353</v>
      </c>
      <c r="V46" s="5">
        <f t="shared" si="15"/>
        <v>36.067997419354853</v>
      </c>
      <c r="W46" s="5">
        <f t="shared" si="15"/>
        <v>1578.7361644738305</v>
      </c>
      <c r="X46" s="5">
        <f t="shared" si="15"/>
        <v>91.430230412165599</v>
      </c>
      <c r="Y46" s="5">
        <f t="shared" si="15"/>
        <v>46.517680522255198</v>
      </c>
      <c r="Z46" s="5">
        <f t="shared" si="15"/>
        <v>66.499887640768648</v>
      </c>
      <c r="AA46" s="5">
        <f t="shared" si="15"/>
        <v>9.4616057644422327</v>
      </c>
      <c r="AB46" s="5">
        <f t="shared" si="15"/>
        <v>1222.4464898103777</v>
      </c>
      <c r="AC46" s="5">
        <f t="shared" si="15"/>
        <v>302.28243339841487</v>
      </c>
      <c r="AD46" s="5">
        <f t="shared" si="15"/>
        <v>2.2772717333362717E-2</v>
      </c>
      <c r="AE46" s="5">
        <f t="shared" si="15"/>
        <v>226.31510735888745</v>
      </c>
      <c r="AF46" s="5">
        <f t="shared" ref="AF46" si="16">AF15*AF$28</f>
        <v>288.93904196166818</v>
      </c>
      <c r="AG46" s="5">
        <f t="shared" si="4"/>
        <v>69.933562480459955</v>
      </c>
      <c r="AH46" s="5">
        <f t="shared" si="4"/>
        <v>1167.388072095561</v>
      </c>
      <c r="AI46" s="5">
        <f t="shared" si="4"/>
        <v>48.524960455452863</v>
      </c>
      <c r="AJ46" s="5">
        <f t="shared" si="4"/>
        <v>0</v>
      </c>
    </row>
    <row r="47" spans="1:37" s="5" customFormat="1" x14ac:dyDescent="0.3">
      <c r="A47" s="5" t="s">
        <v>4</v>
      </c>
      <c r="B47" s="5">
        <v>2025</v>
      </c>
      <c r="C47" s="5" t="s">
        <v>50</v>
      </c>
      <c r="D47" s="5">
        <f t="shared" si="2"/>
        <v>15.429977812813311</v>
      </c>
      <c r="E47" s="5">
        <f t="shared" si="15"/>
        <v>326.50414658306346</v>
      </c>
      <c r="F47" s="5">
        <f t="shared" si="15"/>
        <v>18.235420506780635</v>
      </c>
      <c r="G47" s="5">
        <f t="shared" si="15"/>
        <v>384.33556523121007</v>
      </c>
      <c r="H47" s="5">
        <f t="shared" si="15"/>
        <v>115.01388134894741</v>
      </c>
      <c r="I47" s="5">
        <f t="shared" si="15"/>
        <v>767.73406706096671</v>
      </c>
      <c r="J47" s="5">
        <f t="shared" si="15"/>
        <v>49.471195688723519</v>
      </c>
      <c r="K47" s="5">
        <f t="shared" si="15"/>
        <v>290.48003990211299</v>
      </c>
      <c r="L47" s="5">
        <f t="shared" si="15"/>
        <v>4796.0038004917742</v>
      </c>
      <c r="M47" s="5">
        <f t="shared" si="15"/>
        <v>161.38429356406948</v>
      </c>
      <c r="N47" s="5">
        <f t="shared" si="15"/>
        <v>116.0206114929404</v>
      </c>
      <c r="O47" s="5">
        <f t="shared" si="15"/>
        <v>1583.7456015618432</v>
      </c>
      <c r="P47" s="5">
        <f t="shared" si="15"/>
        <v>456.95284702247909</v>
      </c>
      <c r="Q47" s="5">
        <f t="shared" si="15"/>
        <v>1670.0847027981431</v>
      </c>
      <c r="R47" s="5">
        <f t="shared" si="15"/>
        <v>0</v>
      </c>
      <c r="S47" s="5">
        <f t="shared" si="15"/>
        <v>53.314492212303989</v>
      </c>
      <c r="T47" s="5">
        <f t="shared" si="15"/>
        <v>176.00446619950537</v>
      </c>
      <c r="U47" s="5">
        <f t="shared" si="15"/>
        <v>94.262276215715474</v>
      </c>
      <c r="V47" s="5">
        <f t="shared" si="15"/>
        <v>0</v>
      </c>
      <c r="W47" s="5">
        <f t="shared" si="15"/>
        <v>1547.7049584128542</v>
      </c>
      <c r="X47" s="5">
        <f t="shared" si="15"/>
        <v>96.195720648152431</v>
      </c>
      <c r="Y47" s="5">
        <f t="shared" si="15"/>
        <v>49.355979617804167</v>
      </c>
      <c r="Z47" s="5">
        <f t="shared" si="15"/>
        <v>57.281648447302999</v>
      </c>
      <c r="AA47" s="5">
        <f t="shared" si="15"/>
        <v>9.7501195219123513</v>
      </c>
      <c r="AB47" s="5">
        <f t="shared" si="15"/>
        <v>1217.2494124068273</v>
      </c>
      <c r="AC47" s="5">
        <f t="shared" si="15"/>
        <v>229.98340436207229</v>
      </c>
      <c r="AD47" s="5">
        <f t="shared" si="15"/>
        <v>3.5822251985064946E-2</v>
      </c>
      <c r="AE47" s="5">
        <f t="shared" si="15"/>
        <v>223.55873693324807</v>
      </c>
      <c r="AF47" s="5">
        <f t="shared" ref="AF47" si="17">AF16*AF$28</f>
        <v>290.79321266527228</v>
      </c>
      <c r="AG47" s="5">
        <f t="shared" si="4"/>
        <v>75.209087950603958</v>
      </c>
      <c r="AH47" s="5">
        <f t="shared" si="4"/>
        <v>1061.0512006751676</v>
      </c>
      <c r="AI47" s="5">
        <f t="shared" si="4"/>
        <v>48.08772792532347</v>
      </c>
      <c r="AJ47" s="5">
        <f t="shared" si="4"/>
        <v>0</v>
      </c>
    </row>
    <row r="48" spans="1:37" s="5" customFormat="1" x14ac:dyDescent="0.3">
      <c r="A48" s="5" t="s">
        <v>4</v>
      </c>
      <c r="B48" s="5">
        <v>2015</v>
      </c>
      <c r="C48" s="5" t="s">
        <v>51</v>
      </c>
      <c r="D48" s="5">
        <f t="shared" si="2"/>
        <v>0</v>
      </c>
      <c r="E48" s="5">
        <f t="shared" si="15"/>
        <v>8.9519901565841798E-4</v>
      </c>
      <c r="F48" s="5">
        <f t="shared" si="15"/>
        <v>0</v>
      </c>
      <c r="G48" s="5">
        <f t="shared" si="15"/>
        <v>2.4589733359557192E-4</v>
      </c>
      <c r="H48" s="5">
        <f t="shared" si="15"/>
        <v>0</v>
      </c>
      <c r="I48" s="5">
        <f t="shared" si="15"/>
        <v>1.2955914500850133E-3</v>
      </c>
      <c r="J48" s="5">
        <f t="shared" si="15"/>
        <v>0</v>
      </c>
      <c r="K48" s="5">
        <f t="shared" si="15"/>
        <v>0</v>
      </c>
      <c r="L48" s="5">
        <f t="shared" si="15"/>
        <v>1.5223684143694908E-2</v>
      </c>
      <c r="M48" s="5">
        <f t="shared" si="15"/>
        <v>4.9409836203137339E-3</v>
      </c>
      <c r="N48" s="5">
        <f t="shared" si="15"/>
        <v>0</v>
      </c>
      <c r="O48" s="5">
        <f t="shared" si="15"/>
        <v>2.9090580495523815E-4</v>
      </c>
      <c r="P48" s="5">
        <f t="shared" si="15"/>
        <v>0</v>
      </c>
      <c r="Q48" s="5">
        <f t="shared" si="15"/>
        <v>2.6102240177539732E-3</v>
      </c>
      <c r="R48" s="5">
        <f t="shared" si="15"/>
        <v>0</v>
      </c>
      <c r="S48" s="5">
        <f t="shared" si="15"/>
        <v>0</v>
      </c>
      <c r="T48" s="5">
        <f t="shared" si="15"/>
        <v>0</v>
      </c>
      <c r="U48" s="5">
        <f t="shared" si="15"/>
        <v>0</v>
      </c>
      <c r="V48" s="5">
        <f t="shared" si="15"/>
        <v>0</v>
      </c>
      <c r="W48" s="5">
        <f t="shared" si="15"/>
        <v>9.605832747171455E-4</v>
      </c>
      <c r="X48" s="5">
        <f t="shared" si="15"/>
        <v>0</v>
      </c>
      <c r="Y48" s="5">
        <f t="shared" si="15"/>
        <v>0</v>
      </c>
      <c r="Z48" s="5">
        <f t="shared" si="15"/>
        <v>0</v>
      </c>
      <c r="AA48" s="5">
        <f t="shared" si="15"/>
        <v>0</v>
      </c>
      <c r="AB48" s="5">
        <f t="shared" si="15"/>
        <v>3.6755674897975803E-3</v>
      </c>
      <c r="AC48" s="5">
        <f t="shared" si="15"/>
        <v>7.5625966557123538E-3</v>
      </c>
      <c r="AD48" s="5">
        <f t="shared" si="15"/>
        <v>0</v>
      </c>
      <c r="AE48" s="5">
        <f t="shared" si="15"/>
        <v>0</v>
      </c>
      <c r="AF48" s="5">
        <f t="shared" ref="AF48" si="18">AF17*AF$28</f>
        <v>0</v>
      </c>
      <c r="AG48" s="5">
        <f t="shared" si="4"/>
        <v>0</v>
      </c>
      <c r="AH48" s="5">
        <f t="shared" si="4"/>
        <v>1.646253616599157E-3</v>
      </c>
      <c r="AI48" s="5">
        <f t="shared" si="4"/>
        <v>0</v>
      </c>
      <c r="AJ48" s="5">
        <f t="shared" si="4"/>
        <v>0</v>
      </c>
    </row>
    <row r="49" spans="1:36" s="5" customFormat="1" x14ac:dyDescent="0.3">
      <c r="A49" s="5" t="s">
        <v>4</v>
      </c>
      <c r="B49" s="5">
        <v>2020</v>
      </c>
      <c r="C49" s="5" t="s">
        <v>51</v>
      </c>
      <c r="D49" s="5">
        <f t="shared" si="2"/>
        <v>0</v>
      </c>
      <c r="E49" s="5">
        <f t="shared" si="15"/>
        <v>6.7139926174381338E-3</v>
      </c>
      <c r="F49" s="5">
        <f t="shared" si="15"/>
        <v>0</v>
      </c>
      <c r="G49" s="5">
        <f t="shared" si="15"/>
        <v>2.4589733359557191E-3</v>
      </c>
      <c r="H49" s="5">
        <f t="shared" si="15"/>
        <v>0</v>
      </c>
      <c r="I49" s="5">
        <f t="shared" si="15"/>
        <v>2.1506818071411221E-2</v>
      </c>
      <c r="J49" s="5">
        <f t="shared" si="15"/>
        <v>0</v>
      </c>
      <c r="K49" s="5">
        <f t="shared" si="15"/>
        <v>7.7876623665480422E-5</v>
      </c>
      <c r="L49" s="5">
        <f t="shared" si="15"/>
        <v>0.13891611781121602</v>
      </c>
      <c r="M49" s="5">
        <f t="shared" si="15"/>
        <v>1.0151475438099125E-2</v>
      </c>
      <c r="N49" s="5">
        <f t="shared" si="15"/>
        <v>0</v>
      </c>
      <c r="O49" s="5">
        <f t="shared" si="15"/>
        <v>1.3090761222985716E-3</v>
      </c>
      <c r="P49" s="5">
        <f t="shared" si="15"/>
        <v>1.8793707983193281E-4</v>
      </c>
      <c r="Q49" s="5">
        <f t="shared" si="15"/>
        <v>3.529022872003372E-2</v>
      </c>
      <c r="R49" s="5">
        <f t="shared" si="15"/>
        <v>0</v>
      </c>
      <c r="S49" s="5">
        <f t="shared" si="15"/>
        <v>0</v>
      </c>
      <c r="T49" s="5">
        <f t="shared" si="15"/>
        <v>0</v>
      </c>
      <c r="U49" s="5">
        <f t="shared" si="15"/>
        <v>0</v>
      </c>
      <c r="V49" s="5">
        <f t="shared" si="15"/>
        <v>0</v>
      </c>
      <c r="W49" s="5">
        <f t="shared" si="15"/>
        <v>3.0564013286454635E-3</v>
      </c>
      <c r="X49" s="5">
        <f t="shared" si="15"/>
        <v>0</v>
      </c>
      <c r="Y49" s="5">
        <f t="shared" si="15"/>
        <v>5.0040534124629087E-4</v>
      </c>
      <c r="Z49" s="5">
        <f t="shared" si="15"/>
        <v>0</v>
      </c>
      <c r="AA49" s="5">
        <f t="shared" si="15"/>
        <v>0</v>
      </c>
      <c r="AB49" s="5">
        <f t="shared" si="15"/>
        <v>3.150486419826497E-3</v>
      </c>
      <c r="AC49" s="5">
        <f t="shared" si="15"/>
        <v>5.324068045621496E-2</v>
      </c>
      <c r="AD49" s="5">
        <f t="shared" si="15"/>
        <v>8.5291076154916541E-5</v>
      </c>
      <c r="AE49" s="5">
        <f t="shared" si="15"/>
        <v>0</v>
      </c>
      <c r="AF49" s="5">
        <f t="shared" ref="AF49" si="19">AF18*AF$28</f>
        <v>0</v>
      </c>
      <c r="AG49" s="5">
        <f t="shared" si="4"/>
        <v>0</v>
      </c>
      <c r="AH49" s="5">
        <f t="shared" si="4"/>
        <v>1.6050972761841781E-2</v>
      </c>
      <c r="AI49" s="5">
        <f t="shared" si="4"/>
        <v>0</v>
      </c>
      <c r="AJ49" s="5">
        <f t="shared" si="4"/>
        <v>0</v>
      </c>
    </row>
    <row r="50" spans="1:36" s="5" customFormat="1" x14ac:dyDescent="0.3">
      <c r="A50" s="5" t="s">
        <v>4</v>
      </c>
      <c r="B50" s="5">
        <v>2025</v>
      </c>
      <c r="C50" s="5" t="s">
        <v>51</v>
      </c>
      <c r="D50" s="5">
        <f t="shared" si="2"/>
        <v>0</v>
      </c>
      <c r="E50" s="5">
        <f t="shared" si="15"/>
        <v>9.996389008185667E-3</v>
      </c>
      <c r="F50" s="5">
        <f t="shared" si="15"/>
        <v>0</v>
      </c>
      <c r="G50" s="5">
        <f t="shared" si="15"/>
        <v>3.5655113371357927E-3</v>
      </c>
      <c r="H50" s="5">
        <f t="shared" si="15"/>
        <v>1.0632932721900774E-4</v>
      </c>
      <c r="I50" s="5">
        <f t="shared" si="15"/>
        <v>5.6487787223706579E-2</v>
      </c>
      <c r="J50" s="5">
        <f t="shared" si="15"/>
        <v>0</v>
      </c>
      <c r="K50" s="5">
        <f t="shared" si="15"/>
        <v>2.1805454626334518E-3</v>
      </c>
      <c r="L50" s="5">
        <f t="shared" si="15"/>
        <v>0.34982757521865587</v>
      </c>
      <c r="M50" s="5">
        <f t="shared" si="15"/>
        <v>3.8629508304271003E-3</v>
      </c>
      <c r="N50" s="5">
        <f t="shared" si="15"/>
        <v>5.06726523263527E-4</v>
      </c>
      <c r="O50" s="5">
        <f t="shared" si="15"/>
        <v>4.7999457817614298E-3</v>
      </c>
      <c r="P50" s="5">
        <f t="shared" si="15"/>
        <v>3.7587415966386562E-4</v>
      </c>
      <c r="Q50" s="5">
        <f t="shared" si="15"/>
        <v>9.0313751014287472E-2</v>
      </c>
      <c r="R50" s="5">
        <f t="shared" si="15"/>
        <v>0</v>
      </c>
      <c r="S50" s="5">
        <f t="shared" si="15"/>
        <v>7.2906513872135107E-5</v>
      </c>
      <c r="T50" s="5">
        <f t="shared" si="15"/>
        <v>1.898065670681439E-4</v>
      </c>
      <c r="U50" s="5">
        <f t="shared" si="15"/>
        <v>0</v>
      </c>
      <c r="V50" s="5">
        <f t="shared" si="15"/>
        <v>0</v>
      </c>
      <c r="W50" s="5">
        <f t="shared" si="15"/>
        <v>5.0648936303267682E-3</v>
      </c>
      <c r="X50" s="5">
        <f t="shared" si="15"/>
        <v>0</v>
      </c>
      <c r="Y50" s="5">
        <f t="shared" si="15"/>
        <v>1.0008106824925817E-3</v>
      </c>
      <c r="Z50" s="5">
        <f t="shared" si="15"/>
        <v>0</v>
      </c>
      <c r="AA50" s="5">
        <f t="shared" si="15"/>
        <v>0</v>
      </c>
      <c r="AB50" s="5">
        <f t="shared" si="15"/>
        <v>4.9007566530634402E-3</v>
      </c>
      <c r="AC50" s="5">
        <f t="shared" si="15"/>
        <v>4.2955549004446161E-2</v>
      </c>
      <c r="AD50" s="5">
        <f t="shared" si="15"/>
        <v>1.1684877433223568E-2</v>
      </c>
      <c r="AE50" s="5">
        <f t="shared" si="15"/>
        <v>1.0097704603580561E-4</v>
      </c>
      <c r="AF50" s="5">
        <f t="shared" ref="AF50" si="20">AF19*AF$28</f>
        <v>0</v>
      </c>
      <c r="AG50" s="5">
        <f t="shared" si="4"/>
        <v>0</v>
      </c>
      <c r="AH50" s="5">
        <f t="shared" si="4"/>
        <v>1.7697226378440938E-2</v>
      </c>
      <c r="AI50" s="5">
        <f t="shared" si="4"/>
        <v>0</v>
      </c>
      <c r="AJ50" s="5">
        <f t="shared" si="4"/>
        <v>2.4616395760564136E-4</v>
      </c>
    </row>
    <row r="51" spans="1:36" s="5" customFormat="1" x14ac:dyDescent="0.3">
      <c r="A51" s="5" t="s">
        <v>4</v>
      </c>
      <c r="B51" s="5">
        <v>2015</v>
      </c>
      <c r="C51" s="5" t="s">
        <v>52</v>
      </c>
      <c r="D51" s="5">
        <f t="shared" si="2"/>
        <v>1.6427931414868086E-3</v>
      </c>
      <c r="E51" s="5">
        <f t="shared" si="15"/>
        <v>1.4919983594306965E-4</v>
      </c>
      <c r="F51" s="5">
        <f t="shared" si="15"/>
        <v>8.8816796175538256E-5</v>
      </c>
      <c r="G51" s="5">
        <f t="shared" si="15"/>
        <v>2.2130760023601468E-3</v>
      </c>
      <c r="H51" s="5">
        <f t="shared" si="15"/>
        <v>15.01423264995999</v>
      </c>
      <c r="I51" s="5">
        <f t="shared" si="15"/>
        <v>1.1660323050765118E-2</v>
      </c>
      <c r="J51" s="5">
        <f t="shared" si="15"/>
        <v>0</v>
      </c>
      <c r="K51" s="5">
        <f t="shared" si="15"/>
        <v>4.3610909252669037E-3</v>
      </c>
      <c r="L51" s="5">
        <f t="shared" si="15"/>
        <v>75.484100545820581</v>
      </c>
      <c r="M51" s="5">
        <f t="shared" si="15"/>
        <v>6.2885246076720244E-4</v>
      </c>
      <c r="N51" s="5">
        <f t="shared" si="15"/>
        <v>5.06726523263527E-4</v>
      </c>
      <c r="O51" s="5">
        <f t="shared" si="15"/>
        <v>0.6970103086727506</v>
      </c>
      <c r="P51" s="5">
        <f t="shared" si="15"/>
        <v>1.8793707983193281E-4</v>
      </c>
      <c r="Q51" s="5">
        <f t="shared" si="15"/>
        <v>3.5185819759323562E-2</v>
      </c>
      <c r="R51" s="5">
        <f t="shared" si="15"/>
        <v>0</v>
      </c>
      <c r="S51" s="5">
        <f t="shared" si="15"/>
        <v>2.2601019300361883E-3</v>
      </c>
      <c r="T51" s="5">
        <f t="shared" si="15"/>
        <v>1.0755705467194823E-3</v>
      </c>
      <c r="U51" s="5">
        <f t="shared" si="15"/>
        <v>0</v>
      </c>
      <c r="V51" s="5">
        <f t="shared" si="15"/>
        <v>0</v>
      </c>
      <c r="W51" s="5">
        <f t="shared" si="15"/>
        <v>186.62194396054255</v>
      </c>
      <c r="X51" s="5">
        <f t="shared" si="15"/>
        <v>0</v>
      </c>
      <c r="Y51" s="5">
        <f t="shared" si="15"/>
        <v>8.1566070623145415E-2</v>
      </c>
      <c r="Z51" s="5">
        <f t="shared" si="15"/>
        <v>0</v>
      </c>
      <c r="AA51" s="5">
        <f t="shared" si="15"/>
        <v>9.2442729083665355E-5</v>
      </c>
      <c r="AB51" s="5">
        <f t="shared" si="15"/>
        <v>27.101534345487476</v>
      </c>
      <c r="AC51" s="5">
        <f t="shared" si="15"/>
        <v>5.747573458341388E-3</v>
      </c>
      <c r="AD51" s="5">
        <f t="shared" si="15"/>
        <v>0</v>
      </c>
      <c r="AE51" s="5">
        <f t="shared" si="15"/>
        <v>4.8531587865728891</v>
      </c>
      <c r="AF51" s="5">
        <f t="shared" ref="AF51" si="21">AF20*AF$28</f>
        <v>0.1953985352314952</v>
      </c>
      <c r="AG51" s="5">
        <f t="shared" si="4"/>
        <v>0</v>
      </c>
      <c r="AH51" s="5">
        <f t="shared" si="4"/>
        <v>1.111221191204431E-2</v>
      </c>
      <c r="AI51" s="5">
        <f t="shared" si="4"/>
        <v>0.73230475674676521</v>
      </c>
      <c r="AJ51" s="5">
        <f t="shared" si="4"/>
        <v>3.5283500590141927</v>
      </c>
    </row>
    <row r="52" spans="1:36" s="5" customFormat="1" x14ac:dyDescent="0.3">
      <c r="A52" s="5" t="s">
        <v>4</v>
      </c>
      <c r="B52" s="5">
        <v>2020</v>
      </c>
      <c r="C52" s="5" t="s">
        <v>52</v>
      </c>
      <c r="D52" s="5">
        <f t="shared" si="2"/>
        <v>1.8935352525558478E-2</v>
      </c>
      <c r="E52" s="5">
        <f t="shared" si="15"/>
        <v>2.9839967188613931E-4</v>
      </c>
      <c r="F52" s="5">
        <f t="shared" si="15"/>
        <v>7.1053436940430605E-4</v>
      </c>
      <c r="G52" s="5">
        <f t="shared" si="15"/>
        <v>1.8442300019667892E-3</v>
      </c>
      <c r="H52" s="5">
        <f t="shared" si="15"/>
        <v>31.913365283531327</v>
      </c>
      <c r="I52" s="5">
        <f t="shared" si="15"/>
        <v>2.3838882681564245E-2</v>
      </c>
      <c r="J52" s="5">
        <f t="shared" si="15"/>
        <v>0</v>
      </c>
      <c r="K52" s="5">
        <f t="shared" si="15"/>
        <v>8.2995454139012441</v>
      </c>
      <c r="L52" s="5">
        <f t="shared" si="15"/>
        <v>54.990008667587126</v>
      </c>
      <c r="M52" s="5">
        <f t="shared" si="15"/>
        <v>3.5934426329554427E-4</v>
      </c>
      <c r="N52" s="5">
        <f t="shared" si="15"/>
        <v>7.6008978489529051E-4</v>
      </c>
      <c r="O52" s="5">
        <f t="shared" si="15"/>
        <v>2.362882400748922</v>
      </c>
      <c r="P52" s="5">
        <f t="shared" si="15"/>
        <v>3.7587415966386562E-4</v>
      </c>
      <c r="Q52" s="5">
        <f t="shared" si="15"/>
        <v>1.8689203967118446E-2</v>
      </c>
      <c r="R52" s="5">
        <f t="shared" si="15"/>
        <v>0</v>
      </c>
      <c r="S52" s="5">
        <f t="shared" si="15"/>
        <v>4.1556712907117009E-3</v>
      </c>
      <c r="T52" s="5">
        <f t="shared" si="15"/>
        <v>1.0755705467194823E-3</v>
      </c>
      <c r="U52" s="5">
        <f t="shared" si="15"/>
        <v>0</v>
      </c>
      <c r="V52" s="5">
        <f t="shared" si="15"/>
        <v>0</v>
      </c>
      <c r="W52" s="5">
        <f t="shared" si="15"/>
        <v>233.91565021097549</v>
      </c>
      <c r="X52" s="5">
        <f t="shared" si="15"/>
        <v>1.1003967731466457E-2</v>
      </c>
      <c r="Y52" s="5">
        <f t="shared" si="15"/>
        <v>0</v>
      </c>
      <c r="Z52" s="5">
        <f t="shared" si="15"/>
        <v>5.7379574967446629</v>
      </c>
      <c r="AA52" s="5">
        <f t="shared" si="15"/>
        <v>2.311068227091634E-4</v>
      </c>
      <c r="AB52" s="5">
        <f t="shared" si="15"/>
        <v>17.684905463649393</v>
      </c>
      <c r="AC52" s="5">
        <f t="shared" si="15"/>
        <v>6.0500773245698823E-3</v>
      </c>
      <c r="AD52" s="5">
        <f t="shared" si="15"/>
        <v>0</v>
      </c>
      <c r="AE52" s="5">
        <f t="shared" si="15"/>
        <v>5.9290692120843982</v>
      </c>
      <c r="AF52" s="5">
        <f t="shared" ref="AF52:AJ55" si="22">AF21*AF$28</f>
        <v>1.4886015113866914E-3</v>
      </c>
      <c r="AG52" s="5">
        <f t="shared" si="22"/>
        <v>2.9024097314986497E-3</v>
      </c>
      <c r="AH52" s="5">
        <f t="shared" si="22"/>
        <v>4.9387608497974715E-3</v>
      </c>
      <c r="AI52" s="5">
        <f t="shared" si="22"/>
        <v>0.79698513493530487</v>
      </c>
      <c r="AJ52" s="5">
        <f t="shared" si="22"/>
        <v>4.0661362517299837</v>
      </c>
    </row>
    <row r="53" spans="1:36" s="5" customFormat="1" x14ac:dyDescent="0.3">
      <c r="A53" s="5" t="s">
        <v>4</v>
      </c>
      <c r="B53" s="5">
        <v>2025</v>
      </c>
      <c r="C53" s="5" t="s">
        <v>52</v>
      </c>
      <c r="D53" s="5">
        <f t="shared" si="2"/>
        <v>4.867855466616175E-2</v>
      </c>
      <c r="E53" s="5">
        <f t="shared" si="15"/>
        <v>1.4919983594306965E-4</v>
      </c>
      <c r="F53" s="5">
        <f t="shared" si="15"/>
        <v>9.7698475793092068E-4</v>
      </c>
      <c r="G53" s="5">
        <f t="shared" si="15"/>
        <v>3.4425626703380066E-3</v>
      </c>
      <c r="H53" s="5">
        <f t="shared" si="15"/>
        <v>39.840110298381134</v>
      </c>
      <c r="I53" s="5">
        <f t="shared" si="15"/>
        <v>2.7207420451785279E-2</v>
      </c>
      <c r="J53" s="5">
        <f t="shared" si="15"/>
        <v>0</v>
      </c>
      <c r="K53" s="5">
        <f t="shared" si="15"/>
        <v>9.181731806783807</v>
      </c>
      <c r="L53" s="5">
        <f t="shared" si="15"/>
        <v>49.750206881379142</v>
      </c>
      <c r="M53" s="5">
        <f t="shared" si="15"/>
        <v>7.1868852659108854E-4</v>
      </c>
      <c r="N53" s="5">
        <f t="shared" si="15"/>
        <v>1.7482065052591683E-2</v>
      </c>
      <c r="O53" s="5">
        <f t="shared" si="15"/>
        <v>2.6724061772212955</v>
      </c>
      <c r="P53" s="5">
        <f t="shared" si="15"/>
        <v>1.8793707983193281E-4</v>
      </c>
      <c r="Q53" s="5">
        <f t="shared" si="15"/>
        <v>1.4199618656581614E-2</v>
      </c>
      <c r="R53" s="5">
        <f t="shared" si="15"/>
        <v>0</v>
      </c>
      <c r="S53" s="5">
        <f t="shared" si="15"/>
        <v>3.8640452352231604E-3</v>
      </c>
      <c r="T53" s="5">
        <f t="shared" si="15"/>
        <v>2.3409476605071081E-3</v>
      </c>
      <c r="U53" s="5">
        <f t="shared" si="15"/>
        <v>0</v>
      </c>
      <c r="V53" s="5">
        <f t="shared" si="15"/>
        <v>0</v>
      </c>
      <c r="W53" s="5">
        <f t="shared" si="15"/>
        <v>264.84119211173271</v>
      </c>
      <c r="X53" s="5">
        <f t="shared" si="15"/>
        <v>1.8532998284575084E-2</v>
      </c>
      <c r="Y53" s="5">
        <f t="shared" si="15"/>
        <v>0</v>
      </c>
      <c r="Z53" s="5">
        <f t="shared" si="15"/>
        <v>5.7012015152113005</v>
      </c>
      <c r="AA53" s="5">
        <f t="shared" si="15"/>
        <v>2.311068227091634E-4</v>
      </c>
      <c r="AB53" s="5">
        <f t="shared" si="15"/>
        <v>16.317244303398049</v>
      </c>
      <c r="AC53" s="5">
        <f t="shared" si="15"/>
        <v>3.0250386622849413E-4</v>
      </c>
      <c r="AD53" s="5">
        <f t="shared" si="15"/>
        <v>0</v>
      </c>
      <c r="AE53" s="5">
        <f t="shared" si="15"/>
        <v>7.6242718609335025</v>
      </c>
      <c r="AF53" s="5">
        <f t="shared" ref="AF53" si="23">AF22*AF$28</f>
        <v>1.9586861991930152E-3</v>
      </c>
      <c r="AG53" s="5">
        <f t="shared" si="22"/>
        <v>2.5506024913169952E-3</v>
      </c>
      <c r="AH53" s="5">
        <f t="shared" si="22"/>
        <v>8.3547371042407226E-2</v>
      </c>
      <c r="AI53" s="5">
        <f t="shared" si="22"/>
        <v>0.76857014029574844</v>
      </c>
      <c r="AJ53" s="5">
        <f t="shared" si="22"/>
        <v>3.8906213499571614</v>
      </c>
    </row>
    <row r="54" spans="1:36" s="5" customFormat="1" x14ac:dyDescent="0.3">
      <c r="A54" s="5" t="s">
        <v>4</v>
      </c>
      <c r="B54" s="5">
        <v>2015</v>
      </c>
      <c r="C54" s="5" t="s">
        <v>53</v>
      </c>
      <c r="D54" s="5">
        <f t="shared" si="2"/>
        <v>0</v>
      </c>
      <c r="E54" s="5">
        <f t="shared" si="15"/>
        <v>0.22484415276620595</v>
      </c>
      <c r="F54" s="5">
        <f t="shared" si="15"/>
        <v>0</v>
      </c>
      <c r="G54" s="5">
        <f t="shared" si="15"/>
        <v>0</v>
      </c>
      <c r="H54" s="5">
        <f t="shared" si="15"/>
        <v>0</v>
      </c>
      <c r="I54" s="5">
        <f t="shared" si="15"/>
        <v>11.350158457614766</v>
      </c>
      <c r="J54" s="5">
        <f t="shared" si="15"/>
        <v>0</v>
      </c>
      <c r="K54" s="5">
        <f t="shared" si="15"/>
        <v>0</v>
      </c>
      <c r="L54" s="5">
        <f t="shared" si="15"/>
        <v>0</v>
      </c>
      <c r="M54" s="5">
        <f t="shared" si="15"/>
        <v>4.9948852598080656E-2</v>
      </c>
      <c r="N54" s="5">
        <f t="shared" si="15"/>
        <v>0</v>
      </c>
      <c r="O54" s="5">
        <f t="shared" si="15"/>
        <v>6.1672030650510488E-2</v>
      </c>
      <c r="P54" s="5">
        <f t="shared" si="15"/>
        <v>0.20560316533613451</v>
      </c>
      <c r="Q54" s="5">
        <f t="shared" si="15"/>
        <v>3.7956833576571176</v>
      </c>
      <c r="R54" s="5">
        <f t="shared" si="15"/>
        <v>0</v>
      </c>
      <c r="S54" s="5">
        <f t="shared" si="15"/>
        <v>0</v>
      </c>
      <c r="T54" s="5">
        <f t="shared" si="15"/>
        <v>0</v>
      </c>
      <c r="U54" s="5">
        <f t="shared" si="15"/>
        <v>0</v>
      </c>
      <c r="V54" s="5">
        <f t="shared" si="15"/>
        <v>0</v>
      </c>
      <c r="W54" s="5">
        <f t="shared" si="15"/>
        <v>7.7807245252088791E-2</v>
      </c>
      <c r="X54" s="5">
        <f t="shared" si="15"/>
        <v>0</v>
      </c>
      <c r="Y54" s="5">
        <f t="shared" si="15"/>
        <v>0</v>
      </c>
      <c r="Z54" s="5">
        <f t="shared" si="15"/>
        <v>0</v>
      </c>
      <c r="AA54" s="5">
        <f t="shared" si="15"/>
        <v>0</v>
      </c>
      <c r="AB54" s="5">
        <f t="shared" si="15"/>
        <v>13.349136041874841</v>
      </c>
      <c r="AC54" s="5">
        <f t="shared" si="15"/>
        <v>10.120266844674271</v>
      </c>
      <c r="AD54" s="5">
        <f t="shared" si="15"/>
        <v>0</v>
      </c>
      <c r="AE54" s="5">
        <f t="shared" si="15"/>
        <v>6.785657493606137E-2</v>
      </c>
      <c r="AF54" s="5">
        <f t="shared" ref="AF54" si="24">AF23*AF$28</f>
        <v>0</v>
      </c>
      <c r="AG54" s="5">
        <f t="shared" si="22"/>
        <v>0</v>
      </c>
      <c r="AH54" s="5">
        <f t="shared" si="22"/>
        <v>4.0226207121600401</v>
      </c>
      <c r="AI54" s="5">
        <f t="shared" si="22"/>
        <v>0</v>
      </c>
      <c r="AJ54" s="5">
        <f t="shared" si="22"/>
        <v>0</v>
      </c>
    </row>
    <row r="55" spans="1:36" s="5" customFormat="1" x14ac:dyDescent="0.3">
      <c r="A55" s="5" t="s">
        <v>4</v>
      </c>
      <c r="B55" s="5">
        <v>2020</v>
      </c>
      <c r="C55" s="5" t="s">
        <v>53</v>
      </c>
      <c r="D55" s="5">
        <f t="shared" si="2"/>
        <v>4.7727463900037813E-2</v>
      </c>
      <c r="E55" s="5">
        <f t="shared" si="15"/>
        <v>2.2733579002645525</v>
      </c>
      <c r="F55" s="5">
        <f t="shared" si="15"/>
        <v>0</v>
      </c>
      <c r="G55" s="5">
        <f t="shared" si="15"/>
        <v>0</v>
      </c>
      <c r="H55" s="5">
        <f t="shared" si="15"/>
        <v>0</v>
      </c>
      <c r="I55" s="5">
        <f t="shared" si="15"/>
        <v>6.1639058829244595</v>
      </c>
      <c r="J55" s="5">
        <f t="shared" si="15"/>
        <v>0</v>
      </c>
      <c r="K55" s="5">
        <f t="shared" si="15"/>
        <v>0</v>
      </c>
      <c r="L55" s="5">
        <f t="shared" si="15"/>
        <v>44.345481850281125</v>
      </c>
      <c r="M55" s="5">
        <f t="shared" si="15"/>
        <v>2.6682209910352399</v>
      </c>
      <c r="N55" s="5">
        <f t="shared" si="15"/>
        <v>0</v>
      </c>
      <c r="O55" s="5">
        <f t="shared" si="15"/>
        <v>4.490422005289056</v>
      </c>
      <c r="P55" s="5">
        <f t="shared" si="15"/>
        <v>8.7462158212184882</v>
      </c>
      <c r="Q55" s="5">
        <f t="shared" ref="E55:AE56" si="25">Q24*Q$28</f>
        <v>16.454956616881756</v>
      </c>
      <c r="R55" s="5">
        <f t="shared" si="25"/>
        <v>0</v>
      </c>
      <c r="S55" s="5">
        <f t="shared" si="25"/>
        <v>0</v>
      </c>
      <c r="T55" s="5">
        <f t="shared" si="25"/>
        <v>0</v>
      </c>
      <c r="U55" s="5">
        <f t="shared" si="25"/>
        <v>0</v>
      </c>
      <c r="V55" s="5">
        <f t="shared" si="25"/>
        <v>0</v>
      </c>
      <c r="W55" s="5">
        <f t="shared" si="25"/>
        <v>0</v>
      </c>
      <c r="X55" s="5">
        <f t="shared" si="25"/>
        <v>0</v>
      </c>
      <c r="Y55" s="5">
        <f t="shared" si="25"/>
        <v>1.1369209353115728</v>
      </c>
      <c r="Z55" s="5">
        <f t="shared" si="25"/>
        <v>0</v>
      </c>
      <c r="AA55" s="5">
        <f t="shared" si="25"/>
        <v>3.6283771165338652E-2</v>
      </c>
      <c r="AB55" s="5">
        <f t="shared" si="25"/>
        <v>17.377382983669666</v>
      </c>
      <c r="AC55" s="5">
        <f t="shared" si="25"/>
        <v>36.500721506862561</v>
      </c>
      <c r="AD55" s="5">
        <f t="shared" si="25"/>
        <v>0.36189003612531095</v>
      </c>
      <c r="AE55" s="5">
        <f t="shared" si="25"/>
        <v>3.1292786566496158</v>
      </c>
      <c r="AF55" s="5">
        <f t="shared" ref="AF55" si="26">AF24*AF$28</f>
        <v>0</v>
      </c>
      <c r="AG55" s="5">
        <f t="shared" si="22"/>
        <v>0</v>
      </c>
      <c r="AH55" s="5">
        <f t="shared" si="22"/>
        <v>50.288520789658598</v>
      </c>
      <c r="AI55" s="5">
        <f t="shared" si="22"/>
        <v>0</v>
      </c>
      <c r="AJ55" s="5">
        <f t="shared" si="22"/>
        <v>0</v>
      </c>
    </row>
    <row r="56" spans="1:36" s="5" customFormat="1" x14ac:dyDescent="0.3">
      <c r="A56" s="5" t="s">
        <v>4</v>
      </c>
      <c r="B56" s="5">
        <v>2025</v>
      </c>
      <c r="C56" s="5" t="s">
        <v>53</v>
      </c>
      <c r="D56" s="5">
        <f t="shared" si="2"/>
        <v>3.3720490798939758E-3</v>
      </c>
      <c r="E56" s="5">
        <f t="shared" si="25"/>
        <v>8.4840994710667115</v>
      </c>
      <c r="F56" s="5">
        <f t="shared" si="25"/>
        <v>0</v>
      </c>
      <c r="G56" s="5">
        <f t="shared" si="25"/>
        <v>0</v>
      </c>
      <c r="H56" s="5">
        <f t="shared" si="25"/>
        <v>0</v>
      </c>
      <c r="I56" s="5">
        <f t="shared" si="25"/>
        <v>20.078817175127519</v>
      </c>
      <c r="J56" s="5">
        <f t="shared" si="25"/>
        <v>0</v>
      </c>
      <c r="K56" s="5">
        <f t="shared" si="25"/>
        <v>0</v>
      </c>
      <c r="L56" s="5">
        <f t="shared" si="25"/>
        <v>146.17289916642042</v>
      </c>
      <c r="M56" s="5">
        <f t="shared" si="25"/>
        <v>11.050285276667104</v>
      </c>
      <c r="N56" s="5">
        <f t="shared" si="25"/>
        <v>0.70460323059793428</v>
      </c>
      <c r="O56" s="5">
        <f t="shared" si="25"/>
        <v>26.24653989337893</v>
      </c>
      <c r="P56" s="5">
        <f t="shared" si="25"/>
        <v>26.186588892542019</v>
      </c>
      <c r="Q56" s="5">
        <f t="shared" si="25"/>
        <v>60.152299262258175</v>
      </c>
      <c r="R56" s="5">
        <f t="shared" si="25"/>
        <v>0</v>
      </c>
      <c r="S56" s="5">
        <f t="shared" si="25"/>
        <v>0.32851675150784082</v>
      </c>
      <c r="T56" s="5">
        <f t="shared" si="25"/>
        <v>0</v>
      </c>
      <c r="U56" s="5">
        <f t="shared" si="25"/>
        <v>5.3345529735619053</v>
      </c>
      <c r="V56" s="5">
        <f t="shared" si="25"/>
        <v>0</v>
      </c>
      <c r="W56" s="5">
        <f t="shared" si="25"/>
        <v>0</v>
      </c>
      <c r="X56" s="5">
        <f t="shared" si="25"/>
        <v>0</v>
      </c>
      <c r="Y56" s="5">
        <f t="shared" si="25"/>
        <v>3.8476166688427305</v>
      </c>
      <c r="Z56" s="5">
        <f t="shared" si="25"/>
        <v>0.40807188257112414</v>
      </c>
      <c r="AA56" s="5">
        <f t="shared" si="25"/>
        <v>0.18678053411354587</v>
      </c>
      <c r="AB56" s="5">
        <f t="shared" si="25"/>
        <v>46.158126590924667</v>
      </c>
      <c r="AC56" s="5">
        <f t="shared" si="25"/>
        <v>62.624652890489081</v>
      </c>
      <c r="AD56" s="5">
        <f t="shared" si="25"/>
        <v>0.35429913034752331</v>
      </c>
      <c r="AE56" s="5">
        <f t="shared" si="25"/>
        <v>9.7904314524936034</v>
      </c>
      <c r="AF56" s="5">
        <f t="shared" ref="AF56:AJ56" si="27">AF25*AF$28</f>
        <v>0</v>
      </c>
      <c r="AG56" s="5">
        <f t="shared" si="27"/>
        <v>0</v>
      </c>
      <c r="AH56" s="5">
        <f t="shared" si="27"/>
        <v>112.0802387253038</v>
      </c>
      <c r="AI56" s="5">
        <f t="shared" si="27"/>
        <v>0</v>
      </c>
      <c r="AJ56" s="5">
        <f t="shared" si="27"/>
        <v>0</v>
      </c>
    </row>
    <row r="57" spans="1:36" s="8" customFormat="1" x14ac:dyDescent="0.3">
      <c r="A57" s="8" t="s">
        <v>4</v>
      </c>
      <c r="B57" s="8">
        <v>2015</v>
      </c>
      <c r="C57" s="8" t="s">
        <v>54</v>
      </c>
      <c r="D57" s="8">
        <f t="shared" ref="D57:D77" si="28">D5*D$29</f>
        <v>0</v>
      </c>
      <c r="E57" s="8">
        <f t="shared" ref="E57:AE66" si="29">E5*E$29</f>
        <v>1.4709954154247873</v>
      </c>
      <c r="F57" s="8">
        <f t="shared" si="29"/>
        <v>1.0009973906030831</v>
      </c>
      <c r="G57" s="8">
        <f t="shared" si="29"/>
        <v>5.911297204349415</v>
      </c>
      <c r="H57" s="8">
        <f t="shared" si="29"/>
        <v>3.5097122247784069</v>
      </c>
      <c r="I57" s="8">
        <f t="shared" si="29"/>
        <v>4.3188194607724064</v>
      </c>
      <c r="J57" s="8">
        <f t="shared" si="29"/>
        <v>0</v>
      </c>
      <c r="K57" s="8">
        <f t="shared" si="29"/>
        <v>0</v>
      </c>
      <c r="L57" s="8">
        <f t="shared" si="29"/>
        <v>24.093788485463708</v>
      </c>
      <c r="M57" s="8">
        <f t="shared" si="29"/>
        <v>2.0972479172995388E-2</v>
      </c>
      <c r="N57" s="8">
        <f t="shared" si="29"/>
        <v>0.13840261916042831</v>
      </c>
      <c r="O57" s="8">
        <f t="shared" si="29"/>
        <v>0.14601496669954264</v>
      </c>
      <c r="P57" s="8">
        <f t="shared" si="29"/>
        <v>0.59242088760504208</v>
      </c>
      <c r="Q57" s="8">
        <f t="shared" si="29"/>
        <v>49.749103539841784</v>
      </c>
      <c r="R57" s="8">
        <f t="shared" si="29"/>
        <v>0</v>
      </c>
      <c r="S57" s="8">
        <f t="shared" si="29"/>
        <v>13.408092108564537</v>
      </c>
      <c r="T57" s="8">
        <f t="shared" si="29"/>
        <v>5.5782753966179399</v>
      </c>
      <c r="U57" s="8">
        <f t="shared" si="29"/>
        <v>0</v>
      </c>
      <c r="V57" s="8">
        <f t="shared" si="29"/>
        <v>0</v>
      </c>
      <c r="W57" s="8">
        <f t="shared" si="29"/>
        <v>193.76189334258189</v>
      </c>
      <c r="X57" s="8">
        <f t="shared" si="29"/>
        <v>1.1068065974314987E-2</v>
      </c>
      <c r="Y57" s="8">
        <f t="shared" si="29"/>
        <v>4.1680821364985167E-2</v>
      </c>
      <c r="Z57" s="8">
        <f t="shared" si="29"/>
        <v>0</v>
      </c>
      <c r="AA57" s="8">
        <f t="shared" si="29"/>
        <v>0.13106838271912352</v>
      </c>
      <c r="AB57" s="8">
        <f t="shared" si="29"/>
        <v>2.0381269304193035</v>
      </c>
      <c r="AC57" s="8">
        <f t="shared" si="29"/>
        <v>3.9881500096655711E-2</v>
      </c>
      <c r="AD57" s="8">
        <f t="shared" si="29"/>
        <v>0</v>
      </c>
      <c r="AE57" s="8">
        <f t="shared" si="29"/>
        <v>3.0776013107416875E-2</v>
      </c>
      <c r="AF57" s="8">
        <f>AF5*AF$29</f>
        <v>0.15931326241821867</v>
      </c>
      <c r="AG57" s="8">
        <f t="shared" ref="AG57:AJ72" si="30">AG5*AG$29</f>
        <v>0</v>
      </c>
      <c r="AH57" s="8">
        <f t="shared" si="30"/>
        <v>11.546723560386875</v>
      </c>
      <c r="AI57" s="8">
        <f t="shared" si="30"/>
        <v>3.8284013678373377E-2</v>
      </c>
      <c r="AJ57" s="8">
        <f t="shared" si="30"/>
        <v>0.35074695996021782</v>
      </c>
    </row>
    <row r="58" spans="1:36" s="8" customFormat="1" x14ac:dyDescent="0.3">
      <c r="A58" s="8" t="s">
        <v>4</v>
      </c>
      <c r="B58" s="8">
        <v>2020</v>
      </c>
      <c r="C58" s="8" t="s">
        <v>54</v>
      </c>
      <c r="D58" s="8">
        <f t="shared" si="28"/>
        <v>0</v>
      </c>
      <c r="E58" s="8">
        <f t="shared" ref="E58:S58" si="31">E6*E$29</f>
        <v>1.7529892278587564</v>
      </c>
      <c r="F58" s="8">
        <f t="shared" si="31"/>
        <v>9.9386256553492647</v>
      </c>
      <c r="G58" s="8">
        <f t="shared" si="31"/>
        <v>9.4691519221151417</v>
      </c>
      <c r="H58" s="8">
        <f t="shared" si="31"/>
        <v>11.041099641219377</v>
      </c>
      <c r="I58" s="8">
        <f t="shared" si="31"/>
        <v>4.4958657663347088</v>
      </c>
      <c r="J58" s="8">
        <f t="shared" si="31"/>
        <v>0</v>
      </c>
      <c r="K58" s="8">
        <f t="shared" si="31"/>
        <v>4.6385097403692166</v>
      </c>
      <c r="L58" s="8">
        <f t="shared" si="31"/>
        <v>25.01748410152517</v>
      </c>
      <c r="M58" s="8">
        <f t="shared" si="31"/>
        <v>4.8815253247489261E-2</v>
      </c>
      <c r="N58" s="8">
        <f t="shared" si="31"/>
        <v>0.74549504785369092</v>
      </c>
      <c r="O58" s="8">
        <f t="shared" si="31"/>
        <v>35.107794568624954</v>
      </c>
      <c r="P58" s="8">
        <f t="shared" si="31"/>
        <v>4.7666472163865548</v>
      </c>
      <c r="Q58" s="8">
        <f t="shared" si="31"/>
        <v>44.358891203353529</v>
      </c>
      <c r="R58" s="8">
        <f t="shared" si="31"/>
        <v>0</v>
      </c>
      <c r="S58" s="8">
        <f t="shared" si="31"/>
        <v>14.881115855247288</v>
      </c>
      <c r="T58" s="8">
        <f t="shared" si="29"/>
        <v>6.3938807843886361</v>
      </c>
      <c r="U58" s="8">
        <f t="shared" si="29"/>
        <v>0</v>
      </c>
      <c r="V58" s="8">
        <f t="shared" si="29"/>
        <v>7.7718483870967761E-2</v>
      </c>
      <c r="W58" s="8">
        <f t="shared" si="29"/>
        <v>214.74466602238033</v>
      </c>
      <c r="X58" s="8">
        <f t="shared" si="29"/>
        <v>2.009727769020353E-2</v>
      </c>
      <c r="Y58" s="8">
        <f t="shared" si="29"/>
        <v>0.11520115905044513</v>
      </c>
      <c r="Z58" s="8">
        <f t="shared" si="29"/>
        <v>0.10703859842954662</v>
      </c>
      <c r="AA58" s="8">
        <f t="shared" si="29"/>
        <v>0.29876154755976098</v>
      </c>
      <c r="AB58" s="8">
        <f t="shared" si="29"/>
        <v>2.5746342741190107</v>
      </c>
      <c r="AC58" s="8">
        <f t="shared" si="29"/>
        <v>6.6203290160448486E-2</v>
      </c>
      <c r="AD58" s="8">
        <f t="shared" si="29"/>
        <v>0</v>
      </c>
      <c r="AE58" s="8">
        <f t="shared" si="29"/>
        <v>0.10384422487212275</v>
      </c>
      <c r="AF58" s="8">
        <f t="shared" ref="AF58:AJ58" si="32">AF6*AF$29</f>
        <v>4.9459045624843263</v>
      </c>
      <c r="AG58" s="8">
        <f t="shared" si="32"/>
        <v>59.518097390948036</v>
      </c>
      <c r="AH58" s="8">
        <f t="shared" si="32"/>
        <v>11.108970301521039</v>
      </c>
      <c r="AI58" s="8">
        <f t="shared" si="32"/>
        <v>8.5195410720887238E-2</v>
      </c>
      <c r="AJ58" s="8">
        <f t="shared" si="32"/>
        <v>0.53778151879167679</v>
      </c>
    </row>
    <row r="59" spans="1:36" s="8" customFormat="1" x14ac:dyDescent="0.3">
      <c r="A59" s="8" t="s">
        <v>4</v>
      </c>
      <c r="B59" s="8">
        <v>2025</v>
      </c>
      <c r="C59" s="8" t="s">
        <v>54</v>
      </c>
      <c r="D59" s="8">
        <f t="shared" si="28"/>
        <v>0</v>
      </c>
      <c r="E59" s="8">
        <f t="shared" si="29"/>
        <v>1.4788044748460356</v>
      </c>
      <c r="F59" s="8">
        <f t="shared" si="29"/>
        <v>9.1850926435041806</v>
      </c>
      <c r="G59" s="8">
        <f t="shared" si="29"/>
        <v>10.932110534966707</v>
      </c>
      <c r="H59" s="8">
        <f t="shared" si="29"/>
        <v>9.3316639721316008</v>
      </c>
      <c r="I59" s="8">
        <f t="shared" si="29"/>
        <v>3.9070480009715807</v>
      </c>
      <c r="J59" s="8">
        <f t="shared" si="29"/>
        <v>0</v>
      </c>
      <c r="K59" s="8">
        <f t="shared" si="29"/>
        <v>5.3498890749555157</v>
      </c>
      <c r="L59" s="8">
        <f t="shared" si="29"/>
        <v>23.317064979163572</v>
      </c>
      <c r="M59" s="8">
        <f t="shared" si="29"/>
        <v>3.290509663349276E-2</v>
      </c>
      <c r="N59" s="8">
        <f t="shared" si="29"/>
        <v>0.94605236804700066</v>
      </c>
      <c r="O59" s="8">
        <f t="shared" si="29"/>
        <v>58.96069680456506</v>
      </c>
      <c r="P59" s="8">
        <f t="shared" si="29"/>
        <v>6.5044643067226895</v>
      </c>
      <c r="Q59" s="8">
        <f t="shared" si="29"/>
        <v>83.836815588573472</v>
      </c>
      <c r="R59" s="8">
        <f t="shared" si="29"/>
        <v>0</v>
      </c>
      <c r="S59" s="8">
        <f t="shared" si="29"/>
        <v>14.514696911942099</v>
      </c>
      <c r="T59" s="8">
        <f t="shared" si="29"/>
        <v>6.3951502091166832</v>
      </c>
      <c r="U59" s="8">
        <f t="shared" si="29"/>
        <v>5.6738232863661968E-2</v>
      </c>
      <c r="V59" s="8">
        <f t="shared" si="29"/>
        <v>0</v>
      </c>
      <c r="W59" s="8">
        <f t="shared" si="29"/>
        <v>208.52894577851205</v>
      </c>
      <c r="X59" s="8">
        <f t="shared" si="29"/>
        <v>3.4369257499188642E-2</v>
      </c>
      <c r="Y59" s="8">
        <f t="shared" si="29"/>
        <v>0.12156906231454008</v>
      </c>
      <c r="Z59" s="8">
        <f t="shared" si="29"/>
        <v>0.13543659393126306</v>
      </c>
      <c r="AA59" s="8">
        <f t="shared" si="29"/>
        <v>0.35509306523904383</v>
      </c>
      <c r="AB59" s="8">
        <f t="shared" si="29"/>
        <v>2.0676293709078823</v>
      </c>
      <c r="AC59" s="8">
        <f t="shared" si="29"/>
        <v>4.7326046781364782E-2</v>
      </c>
      <c r="AD59" s="8">
        <f t="shared" si="29"/>
        <v>0</v>
      </c>
      <c r="AE59" s="8">
        <f t="shared" si="29"/>
        <v>0.21364509744245522</v>
      </c>
      <c r="AF59" s="8">
        <f t="shared" ref="AF59" si="33">AF7*AF$29</f>
        <v>15.315018760514734</v>
      </c>
      <c r="AG59" s="8">
        <f t="shared" si="30"/>
        <v>51.057990632521921</v>
      </c>
      <c r="AH59" s="8">
        <f t="shared" si="30"/>
        <v>9.8858600828717886</v>
      </c>
      <c r="AI59" s="8">
        <f t="shared" si="30"/>
        <v>0.11943533844731977</v>
      </c>
      <c r="AJ59" s="8">
        <f t="shared" si="30"/>
        <v>0.72755986088227709</v>
      </c>
    </row>
    <row r="60" spans="1:36" s="8" customFormat="1" x14ac:dyDescent="0.3">
      <c r="A60" s="8" t="s">
        <v>4</v>
      </c>
      <c r="B60" s="8">
        <v>2015</v>
      </c>
      <c r="C60" s="8" t="s">
        <v>55</v>
      </c>
      <c r="D60" s="8">
        <f t="shared" si="28"/>
        <v>76.692641291269425</v>
      </c>
      <c r="E60" s="8">
        <f t="shared" si="29"/>
        <v>782.0483785957241</v>
      </c>
      <c r="F60" s="8">
        <f t="shared" si="29"/>
        <v>147.70918013499377</v>
      </c>
      <c r="G60" s="8">
        <f t="shared" si="29"/>
        <v>1010.6478954873423</v>
      </c>
      <c r="H60" s="8">
        <f t="shared" si="29"/>
        <v>0</v>
      </c>
      <c r="I60" s="8">
        <f t="shared" si="29"/>
        <v>388.37605513723582</v>
      </c>
      <c r="J60" s="8">
        <f t="shared" si="29"/>
        <v>21.099379933062838</v>
      </c>
      <c r="K60" s="8">
        <f t="shared" si="29"/>
        <v>0</v>
      </c>
      <c r="L60" s="8">
        <f t="shared" si="29"/>
        <v>0</v>
      </c>
      <c r="M60" s="8">
        <f t="shared" si="29"/>
        <v>258.78520602708608</v>
      </c>
      <c r="N60" s="8">
        <f t="shared" si="29"/>
        <v>87.108368039420057</v>
      </c>
      <c r="O60" s="8">
        <f t="shared" si="29"/>
        <v>4639.3449099696118</v>
      </c>
      <c r="P60" s="8">
        <f t="shared" si="29"/>
        <v>288.88388952731094</v>
      </c>
      <c r="Q60" s="8">
        <f t="shared" si="29"/>
        <v>6858.1002808597141</v>
      </c>
      <c r="R60" s="8">
        <f t="shared" si="29"/>
        <v>0</v>
      </c>
      <c r="S60" s="8">
        <f t="shared" si="29"/>
        <v>159.20829606875756</v>
      </c>
      <c r="T60" s="8">
        <f t="shared" si="29"/>
        <v>188.06083047372974</v>
      </c>
      <c r="U60" s="8">
        <f t="shared" si="29"/>
        <v>0</v>
      </c>
      <c r="V60" s="8">
        <f t="shared" si="29"/>
        <v>0</v>
      </c>
      <c r="W60" s="8">
        <f t="shared" si="29"/>
        <v>3437.6618678511732</v>
      </c>
      <c r="X60" s="8">
        <f t="shared" si="29"/>
        <v>228.23691857550182</v>
      </c>
      <c r="Y60" s="8">
        <f t="shared" si="29"/>
        <v>0</v>
      </c>
      <c r="Z60" s="8">
        <f t="shared" si="29"/>
        <v>122.85883046206052</v>
      </c>
      <c r="AA60" s="8">
        <f t="shared" si="29"/>
        <v>15.835663408864542</v>
      </c>
      <c r="AB60" s="8">
        <f t="shared" si="29"/>
        <v>364.3054229583073</v>
      </c>
      <c r="AC60" s="8">
        <f t="shared" si="29"/>
        <v>0</v>
      </c>
      <c r="AD60" s="8">
        <f t="shared" si="29"/>
        <v>0</v>
      </c>
      <c r="AE60" s="8">
        <f t="shared" si="29"/>
        <v>491.5235067836316</v>
      </c>
      <c r="AF60" s="8">
        <f t="shared" ref="AF60" si="34">AF8*AF$29</f>
        <v>0</v>
      </c>
      <c r="AG60" s="8">
        <f t="shared" si="30"/>
        <v>0</v>
      </c>
      <c r="AH60" s="8">
        <f t="shared" si="30"/>
        <v>374.26550036062662</v>
      </c>
      <c r="AI60" s="8">
        <f t="shared" si="30"/>
        <v>127.70279816173752</v>
      </c>
      <c r="AJ60" s="8">
        <f t="shared" si="30"/>
        <v>0</v>
      </c>
    </row>
    <row r="61" spans="1:36" s="8" customFormat="1" x14ac:dyDescent="0.3">
      <c r="A61" s="8" t="s">
        <v>4</v>
      </c>
      <c r="B61" s="8">
        <v>2020</v>
      </c>
      <c r="C61" s="8" t="s">
        <v>55</v>
      </c>
      <c r="D61" s="8">
        <f t="shared" si="28"/>
        <v>104.07595863682837</v>
      </c>
      <c r="E61" s="8">
        <f t="shared" si="29"/>
        <v>802.86530644181141</v>
      </c>
      <c r="F61" s="8">
        <f t="shared" si="29"/>
        <v>182.8157022919159</v>
      </c>
      <c r="G61" s="8">
        <f t="shared" si="29"/>
        <v>807.01186835183057</v>
      </c>
      <c r="H61" s="8">
        <f t="shared" si="29"/>
        <v>361.5871325363936</v>
      </c>
      <c r="I61" s="8">
        <f t="shared" si="29"/>
        <v>449.45703055623022</v>
      </c>
      <c r="J61" s="8">
        <f t="shared" si="29"/>
        <v>43.047721581811039</v>
      </c>
      <c r="K61" s="8">
        <f t="shared" si="29"/>
        <v>0</v>
      </c>
      <c r="L61" s="8">
        <f t="shared" si="29"/>
        <v>4590.0160879694458</v>
      </c>
      <c r="M61" s="8">
        <f t="shared" si="29"/>
        <v>299.18507120917667</v>
      </c>
      <c r="N61" s="8">
        <f t="shared" si="29"/>
        <v>118.05996369563157</v>
      </c>
      <c r="O61" s="8">
        <f t="shared" si="29"/>
        <v>5355.5916125003932</v>
      </c>
      <c r="P61" s="8">
        <f t="shared" si="29"/>
        <v>346.17508137605046</v>
      </c>
      <c r="Q61" s="8">
        <f t="shared" si="29"/>
        <v>6379.6105950943183</v>
      </c>
      <c r="R61" s="8">
        <f t="shared" si="29"/>
        <v>0</v>
      </c>
      <c r="S61" s="8">
        <f t="shared" si="29"/>
        <v>232.9674986127865</v>
      </c>
      <c r="T61" s="8">
        <f t="shared" si="29"/>
        <v>262.76393686988524</v>
      </c>
      <c r="U61" s="8">
        <f t="shared" si="29"/>
        <v>545.13283589222647</v>
      </c>
      <c r="V61" s="8">
        <f t="shared" si="29"/>
        <v>33.278979338709689</v>
      </c>
      <c r="W61" s="8">
        <f t="shared" si="29"/>
        <v>3823.2214676330705</v>
      </c>
      <c r="X61" s="8">
        <f t="shared" si="29"/>
        <v>308.76700154504141</v>
      </c>
      <c r="Y61" s="8">
        <f t="shared" si="29"/>
        <v>66.842722762611288</v>
      </c>
      <c r="Z61" s="8">
        <f t="shared" si="29"/>
        <v>170.45350684607189</v>
      </c>
      <c r="AA61" s="8">
        <f t="shared" si="29"/>
        <v>18.09970704681275</v>
      </c>
      <c r="AB61" s="8">
        <f t="shared" si="29"/>
        <v>292.87400477906272</v>
      </c>
      <c r="AC61" s="8">
        <f t="shared" si="29"/>
        <v>350.92609328049491</v>
      </c>
      <c r="AD61" s="8">
        <f t="shared" si="29"/>
        <v>0.91487782729572331</v>
      </c>
      <c r="AE61" s="8">
        <f t="shared" si="29"/>
        <v>627.81498155236557</v>
      </c>
      <c r="AF61" s="8">
        <f t="shared" ref="AF61" si="35">AF9*AF$29</f>
        <v>744.32954558671656</v>
      </c>
      <c r="AG61" s="8">
        <f t="shared" si="30"/>
        <v>307.6592925757588</v>
      </c>
      <c r="AH61" s="8">
        <f t="shared" si="30"/>
        <v>471.77943796313144</v>
      </c>
      <c r="AI61" s="8">
        <f t="shared" si="30"/>
        <v>158.71473648133085</v>
      </c>
      <c r="AJ61" s="8">
        <f t="shared" si="30"/>
        <v>0</v>
      </c>
    </row>
    <row r="62" spans="1:36" s="8" customFormat="1" x14ac:dyDescent="0.3">
      <c r="A62" s="8" t="s">
        <v>4</v>
      </c>
      <c r="B62" s="8">
        <v>2025</v>
      </c>
      <c r="C62" s="8" t="s">
        <v>55</v>
      </c>
      <c r="D62" s="8">
        <f t="shared" si="28"/>
        <v>135.03900540363367</v>
      </c>
      <c r="E62" s="8">
        <f t="shared" si="29"/>
        <v>762.72037807928848</v>
      </c>
      <c r="F62" s="8">
        <f t="shared" si="29"/>
        <v>212.70637556536963</v>
      </c>
      <c r="G62" s="8">
        <f t="shared" si="29"/>
        <v>631.66495444494399</v>
      </c>
      <c r="H62" s="8">
        <f t="shared" si="29"/>
        <v>397.14795005609074</v>
      </c>
      <c r="I62" s="8">
        <f t="shared" si="29"/>
        <v>434.72764157396153</v>
      </c>
      <c r="J62" s="8">
        <f t="shared" si="29"/>
        <v>45.980435104986633</v>
      </c>
      <c r="K62" s="8">
        <f t="shared" si="29"/>
        <v>602.2171634270685</v>
      </c>
      <c r="L62" s="8">
        <f t="shared" si="29"/>
        <v>4429.6960193871701</v>
      </c>
      <c r="M62" s="8">
        <f t="shared" si="29"/>
        <v>256.07252432439969</v>
      </c>
      <c r="N62" s="8">
        <f t="shared" si="29"/>
        <v>132.52719309011653</v>
      </c>
      <c r="O62" s="8">
        <f t="shared" si="29"/>
        <v>5255.992529109626</v>
      </c>
      <c r="P62" s="8">
        <f t="shared" si="29"/>
        <v>337.91031231617649</v>
      </c>
      <c r="Q62" s="8">
        <f t="shared" si="29"/>
        <v>5785.1843146216233</v>
      </c>
      <c r="R62" s="8">
        <f t="shared" si="29"/>
        <v>0</v>
      </c>
      <c r="S62" s="8">
        <f t="shared" si="29"/>
        <v>261.88936709167672</v>
      </c>
      <c r="T62" s="8">
        <f t="shared" si="29"/>
        <v>278.28371202420925</v>
      </c>
      <c r="U62" s="8">
        <f t="shared" si="29"/>
        <v>540.80451927091292</v>
      </c>
      <c r="V62" s="8">
        <f t="shared" si="29"/>
        <v>0</v>
      </c>
      <c r="W62" s="8">
        <f t="shared" si="29"/>
        <v>3738.2237091238976</v>
      </c>
      <c r="X62" s="8">
        <f t="shared" si="29"/>
        <v>328.32427412165606</v>
      </c>
      <c r="Y62" s="8">
        <f t="shared" si="29"/>
        <v>56.469118895252237</v>
      </c>
      <c r="Z62" s="8">
        <f t="shared" si="29"/>
        <v>188.73417033500374</v>
      </c>
      <c r="AA62" s="8">
        <f t="shared" si="29"/>
        <v>17.639387450199205</v>
      </c>
      <c r="AB62" s="8">
        <f t="shared" si="29"/>
        <v>209.02369817859821</v>
      </c>
      <c r="AC62" s="8">
        <f t="shared" si="29"/>
        <v>290.50110073071721</v>
      </c>
      <c r="AD62" s="8">
        <f t="shared" si="29"/>
        <v>1.9778838060114881</v>
      </c>
      <c r="AE62" s="8">
        <f t="shared" si="29"/>
        <v>643.69063899763421</v>
      </c>
      <c r="AF62" s="8">
        <f t="shared" ref="AF62" si="36">AF10*AF$29</f>
        <v>872.81093137056303</v>
      </c>
      <c r="AG62" s="8">
        <f t="shared" si="30"/>
        <v>356.87677484186167</v>
      </c>
      <c r="AH62" s="8">
        <f t="shared" si="30"/>
        <v>435.18331966582633</v>
      </c>
      <c r="AI62" s="8">
        <f t="shared" si="30"/>
        <v>163.79788291719038</v>
      </c>
      <c r="AJ62" s="8">
        <f t="shared" si="30"/>
        <v>0</v>
      </c>
    </row>
    <row r="63" spans="1:36" s="8" customFormat="1" x14ac:dyDescent="0.3">
      <c r="A63" s="8" t="s">
        <v>4</v>
      </c>
      <c r="B63" s="8">
        <v>2015</v>
      </c>
      <c r="C63" s="8" t="s">
        <v>56</v>
      </c>
      <c r="D63" s="8">
        <f t="shared" si="28"/>
        <v>0</v>
      </c>
      <c r="E63" s="8">
        <f t="shared" si="29"/>
        <v>1.4553772965822904</v>
      </c>
      <c r="F63" s="8">
        <f t="shared" si="29"/>
        <v>1.3792226897551756E-2</v>
      </c>
      <c r="G63" s="8">
        <f t="shared" si="29"/>
        <v>0.96685270349245611</v>
      </c>
      <c r="H63" s="8">
        <f t="shared" si="29"/>
        <v>4.962352909947064E-2</v>
      </c>
      <c r="I63" s="8">
        <f t="shared" si="29"/>
        <v>2.323809871265484</v>
      </c>
      <c r="J63" s="8">
        <f t="shared" si="29"/>
        <v>8.009072789484508E-3</v>
      </c>
      <c r="K63" s="8">
        <f t="shared" si="29"/>
        <v>0.16591869988879002</v>
      </c>
      <c r="L63" s="8">
        <f t="shared" si="29"/>
        <v>7.8304812577757046</v>
      </c>
      <c r="M63" s="8">
        <f t="shared" si="29"/>
        <v>2.8518955730588722</v>
      </c>
      <c r="N63" s="8">
        <f t="shared" si="29"/>
        <v>0.403282827631953</v>
      </c>
      <c r="O63" s="8">
        <f t="shared" si="29"/>
        <v>1.9235087196123166</v>
      </c>
      <c r="P63" s="8">
        <f t="shared" si="29"/>
        <v>0.24220318802521013</v>
      </c>
      <c r="Q63" s="8">
        <f t="shared" si="29"/>
        <v>12.089459753302348</v>
      </c>
      <c r="R63" s="8">
        <f t="shared" si="29"/>
        <v>2.1373465545432423E-2</v>
      </c>
      <c r="S63" s="8">
        <f t="shared" si="29"/>
        <v>3.9923989143546446E-2</v>
      </c>
      <c r="T63" s="8">
        <f t="shared" si="29"/>
        <v>7.2357209498723193E-2</v>
      </c>
      <c r="U63" s="8">
        <f t="shared" si="29"/>
        <v>0.45390586290929574</v>
      </c>
      <c r="V63" s="8">
        <f t="shared" si="29"/>
        <v>0</v>
      </c>
      <c r="W63" s="8">
        <f t="shared" si="29"/>
        <v>1.0056777353484474</v>
      </c>
      <c r="X63" s="8">
        <f t="shared" si="29"/>
        <v>4.9223767096295605E-2</v>
      </c>
      <c r="Y63" s="8">
        <f t="shared" si="29"/>
        <v>0.16788108605341248</v>
      </c>
      <c r="Z63" s="8">
        <f t="shared" si="29"/>
        <v>7.6820218600797061E-2</v>
      </c>
      <c r="AA63" s="8">
        <f t="shared" si="29"/>
        <v>2.5284113545816739E-2</v>
      </c>
      <c r="AB63" s="8">
        <f t="shared" si="29"/>
        <v>2.7213269643261095</v>
      </c>
      <c r="AC63" s="8">
        <f t="shared" si="29"/>
        <v>18.345490044461627</v>
      </c>
      <c r="AD63" s="8">
        <f t="shared" si="29"/>
        <v>5.8345440937030688E-2</v>
      </c>
      <c r="AE63" s="8">
        <f t="shared" si="29"/>
        <v>0.27757978273657286</v>
      </c>
      <c r="AF63" s="8">
        <f t="shared" ref="AF63" si="37">AF11*AF$29</f>
        <v>0.81730030905920148</v>
      </c>
      <c r="AG63" s="8">
        <f t="shared" si="30"/>
        <v>0</v>
      </c>
      <c r="AH63" s="8">
        <f t="shared" si="30"/>
        <v>1.2899779087790362</v>
      </c>
      <c r="AI63" s="8">
        <f t="shared" si="30"/>
        <v>7.7646450277264314E-2</v>
      </c>
      <c r="AJ63" s="8">
        <f t="shared" si="30"/>
        <v>3.1324858875195462E-2</v>
      </c>
    </row>
    <row r="64" spans="1:36" s="8" customFormat="1" x14ac:dyDescent="0.3">
      <c r="A64" s="8" t="s">
        <v>4</v>
      </c>
      <c r="B64" s="8">
        <v>2020</v>
      </c>
      <c r="C64" s="8" t="s">
        <v>56</v>
      </c>
      <c r="D64" s="8">
        <f t="shared" si="28"/>
        <v>9.4927994322113129E-2</v>
      </c>
      <c r="E64" s="8">
        <f t="shared" si="29"/>
        <v>12.872511394870429</v>
      </c>
      <c r="F64" s="8">
        <f t="shared" si="29"/>
        <v>1.0874640438454269E-2</v>
      </c>
      <c r="G64" s="8">
        <f t="shared" si="29"/>
        <v>9.2613237708971372</v>
      </c>
      <c r="H64" s="8">
        <f t="shared" si="29"/>
        <v>0.52416547403976366</v>
      </c>
      <c r="I64" s="8">
        <f t="shared" si="29"/>
        <v>13.387970196745201</v>
      </c>
      <c r="J64" s="8">
        <f t="shared" si="29"/>
        <v>8.3572933455490522E-2</v>
      </c>
      <c r="K64" s="8">
        <f t="shared" si="29"/>
        <v>1.8870052417927046</v>
      </c>
      <c r="L64" s="8">
        <f t="shared" si="29"/>
        <v>93.087255330657243</v>
      </c>
      <c r="M64" s="8">
        <f t="shared" si="29"/>
        <v>11.529801222588462</v>
      </c>
      <c r="N64" s="8">
        <f t="shared" si="29"/>
        <v>0.64069933099592524</v>
      </c>
      <c r="O64" s="8">
        <f t="shared" si="29"/>
        <v>15.849961322412916</v>
      </c>
      <c r="P64" s="8">
        <f t="shared" si="29"/>
        <v>3.6713874422268908</v>
      </c>
      <c r="Q64" s="8">
        <f t="shared" si="29"/>
        <v>70.719054969879608</v>
      </c>
      <c r="R64" s="8">
        <f t="shared" si="29"/>
        <v>0.28090840431139757</v>
      </c>
      <c r="S64" s="8">
        <f t="shared" si="29"/>
        <v>0.32184123763570571</v>
      </c>
      <c r="T64" s="8">
        <f t="shared" si="29"/>
        <v>2.3298175175436833</v>
      </c>
      <c r="U64" s="8">
        <f t="shared" si="29"/>
        <v>5.155073728755573</v>
      </c>
      <c r="V64" s="8">
        <f t="shared" si="29"/>
        <v>2.365886467741936</v>
      </c>
      <c r="W64" s="8">
        <f t="shared" si="29"/>
        <v>11.644932049424137</v>
      </c>
      <c r="X64" s="8">
        <f t="shared" si="29"/>
        <v>0.72088061280077875</v>
      </c>
      <c r="Y64" s="8">
        <f t="shared" si="29"/>
        <v>1.1670629982195848</v>
      </c>
      <c r="Z64" s="8">
        <f t="shared" si="29"/>
        <v>0.43871262281497853</v>
      </c>
      <c r="AA64" s="8">
        <f t="shared" si="29"/>
        <v>0.24038499128486057</v>
      </c>
      <c r="AB64" s="8">
        <f t="shared" si="29"/>
        <v>47.476256014754554</v>
      </c>
      <c r="AC64" s="8">
        <f t="shared" si="29"/>
        <v>91.383671691474973</v>
      </c>
      <c r="AD64" s="8">
        <f t="shared" si="29"/>
        <v>2.603432186468785</v>
      </c>
      <c r="AE64" s="8">
        <f t="shared" si="29"/>
        <v>5.3508566273017895</v>
      </c>
      <c r="AF64" s="8">
        <f t="shared" ref="AF64" si="38">AF12*AF$29</f>
        <v>1.2277488204686893</v>
      </c>
      <c r="AG64" s="8">
        <f t="shared" si="30"/>
        <v>4.5394908628842164E-2</v>
      </c>
      <c r="AH64" s="8">
        <f t="shared" si="30"/>
        <v>15.103434948747626</v>
      </c>
      <c r="AI64" s="8">
        <f t="shared" si="30"/>
        <v>0.98945302957486125</v>
      </c>
      <c r="AJ64" s="8">
        <f t="shared" si="30"/>
        <v>0.42597235098167258</v>
      </c>
    </row>
    <row r="65" spans="1:36" s="8" customFormat="1" x14ac:dyDescent="0.3">
      <c r="A65" s="8" t="s">
        <v>4</v>
      </c>
      <c r="B65" s="8">
        <v>2025</v>
      </c>
      <c r="C65" s="8" t="s">
        <v>56</v>
      </c>
      <c r="D65" s="8">
        <f t="shared" si="28"/>
        <v>0.75811279443433455</v>
      </c>
      <c r="E65" s="8">
        <f t="shared" si="29"/>
        <v>44.971505533700388</v>
      </c>
      <c r="F65" s="8">
        <f t="shared" si="29"/>
        <v>8.7792828905569831E-2</v>
      </c>
      <c r="G65" s="8">
        <f t="shared" si="29"/>
        <v>52.888912418027033</v>
      </c>
      <c r="H65" s="8">
        <f t="shared" si="29"/>
        <v>3.1108258242028803</v>
      </c>
      <c r="I65" s="8">
        <f t="shared" si="29"/>
        <v>47.980165693466112</v>
      </c>
      <c r="J65" s="8">
        <f t="shared" si="29"/>
        <v>0.62679700091617896</v>
      </c>
      <c r="K65" s="8">
        <f t="shared" si="29"/>
        <v>5.2221340030916368</v>
      </c>
      <c r="L65" s="8">
        <f t="shared" si="29"/>
        <v>424.25577571864375</v>
      </c>
      <c r="M65" s="8">
        <f t="shared" si="29"/>
        <v>72.358307497050589</v>
      </c>
      <c r="N65" s="8">
        <f t="shared" si="29"/>
        <v>2.0944688789917558</v>
      </c>
      <c r="O65" s="8">
        <f t="shared" si="29"/>
        <v>55.134224184775547</v>
      </c>
      <c r="P65" s="8">
        <f t="shared" si="29"/>
        <v>31.707973219537816</v>
      </c>
      <c r="Q65" s="8">
        <f t="shared" si="29"/>
        <v>250.50638194766131</v>
      </c>
      <c r="R65" s="8">
        <f t="shared" si="29"/>
        <v>3.1335027165714315</v>
      </c>
      <c r="S65" s="8">
        <f t="shared" si="29"/>
        <v>1.7287332231604344</v>
      </c>
      <c r="T65" s="8">
        <f t="shared" si="29"/>
        <v>8.719255315384153</v>
      </c>
      <c r="U65" s="8">
        <f t="shared" si="29"/>
        <v>24.073221657868004</v>
      </c>
      <c r="V65" s="8">
        <f t="shared" si="29"/>
        <v>10.714587096774196</v>
      </c>
      <c r="W65" s="8">
        <f t="shared" si="29"/>
        <v>48.164592063350376</v>
      </c>
      <c r="X65" s="8">
        <f t="shared" si="29"/>
        <v>3.3274101497519579</v>
      </c>
      <c r="Y65" s="8">
        <f t="shared" si="29"/>
        <v>6.7346366020771526</v>
      </c>
      <c r="Z65" s="8">
        <f t="shared" si="29"/>
        <v>2.31880555577477</v>
      </c>
      <c r="AA65" s="8">
        <f t="shared" si="29"/>
        <v>0.81132258466135465</v>
      </c>
      <c r="AB65" s="8">
        <f t="shared" si="29"/>
        <v>121.47056212607174</v>
      </c>
      <c r="AC65" s="8">
        <f t="shared" si="29"/>
        <v>183.22890527740191</v>
      </c>
      <c r="AD65" s="8">
        <f t="shared" si="29"/>
        <v>13.68427044881116</v>
      </c>
      <c r="AE65" s="8">
        <f t="shared" si="29"/>
        <v>21.969903705306901</v>
      </c>
      <c r="AF65" s="8">
        <f t="shared" ref="AF65" si="39">AF13*AF$29</f>
        <v>8.3086203564752541</v>
      </c>
      <c r="AG65" s="8">
        <f t="shared" si="30"/>
        <v>0.41795549009750538</v>
      </c>
      <c r="AH65" s="8">
        <f t="shared" si="30"/>
        <v>78.961537583905113</v>
      </c>
      <c r="AI65" s="8">
        <f t="shared" si="30"/>
        <v>3.4355858190388169</v>
      </c>
      <c r="AJ65" s="8">
        <f t="shared" si="30"/>
        <v>1.8054093845149151</v>
      </c>
    </row>
    <row r="66" spans="1:36" s="8" customFormat="1" x14ac:dyDescent="0.3">
      <c r="A66" s="8" t="s">
        <v>4</v>
      </c>
      <c r="B66" s="8">
        <v>2015</v>
      </c>
      <c r="C66" s="8" t="s">
        <v>57</v>
      </c>
      <c r="D66" s="8">
        <f t="shared" si="28"/>
        <v>29.130831583577081</v>
      </c>
      <c r="E66" s="8">
        <f t="shared" si="29"/>
        <v>583.98431225037143</v>
      </c>
      <c r="F66" s="8">
        <f t="shared" si="29"/>
        <v>70.682775733758945</v>
      </c>
      <c r="G66" s="8">
        <f t="shared" si="29"/>
        <v>623.64972512910572</v>
      </c>
      <c r="H66" s="8">
        <f t="shared" si="29"/>
        <v>0</v>
      </c>
      <c r="I66" s="8">
        <f t="shared" si="29"/>
        <v>981.61072484819022</v>
      </c>
      <c r="J66" s="8">
        <f t="shared" si="29"/>
        <v>147.87394845614492</v>
      </c>
      <c r="K66" s="8">
        <f t="shared" si="29"/>
        <v>3.1952730268905691</v>
      </c>
      <c r="L66" s="8">
        <f t="shared" si="29"/>
        <v>39.739993555567771</v>
      </c>
      <c r="M66" s="8">
        <f t="shared" si="29"/>
        <v>602.63081004068795</v>
      </c>
      <c r="N66" s="8">
        <f t="shared" si="29"/>
        <v>155.97649951293468</v>
      </c>
      <c r="O66" s="8">
        <f t="shared" si="29"/>
        <v>3535.9446594398528</v>
      </c>
      <c r="P66" s="8">
        <f t="shared" si="29"/>
        <v>898.606637442227</v>
      </c>
      <c r="Q66" s="8">
        <f t="shared" si="29"/>
        <v>3760.7868087803604</v>
      </c>
      <c r="R66" s="8">
        <f t="shared" si="29"/>
        <v>0</v>
      </c>
      <c r="S66" s="8">
        <f t="shared" si="29"/>
        <v>194.68627140289507</v>
      </c>
      <c r="T66" s="8">
        <f t="shared" si="29"/>
        <v>482.64628328474055</v>
      </c>
      <c r="U66" s="8">
        <f t="shared" si="29"/>
        <v>8.3810475401466391</v>
      </c>
      <c r="V66" s="8">
        <f t="shared" si="29"/>
        <v>0</v>
      </c>
      <c r="W66" s="8">
        <f t="shared" si="29"/>
        <v>4075.0818727284827</v>
      </c>
      <c r="X66" s="8">
        <f t="shared" si="29"/>
        <v>132.91436543129024</v>
      </c>
      <c r="Y66" s="8">
        <f t="shared" si="29"/>
        <v>37.343989791988136</v>
      </c>
      <c r="Z66" s="8">
        <f t="shared" si="29"/>
        <v>124.28564769758908</v>
      </c>
      <c r="AA66" s="8">
        <f t="shared" si="29"/>
        <v>35.1255829183267</v>
      </c>
      <c r="AB66" s="8">
        <f t="shared" si="29"/>
        <v>1749.5523599999606</v>
      </c>
      <c r="AC66" s="8">
        <f t="shared" si="29"/>
        <v>0.21429659385269673</v>
      </c>
      <c r="AD66" s="8">
        <f t="shared" si="29"/>
        <v>2.9838764314828483E-2</v>
      </c>
      <c r="AE66" s="8">
        <f t="shared" si="29"/>
        <v>433.67651543708439</v>
      </c>
      <c r="AF66" s="8">
        <f t="shared" ref="AF66" si="40">AF14*AF$29</f>
        <v>1.6925711810700523E-3</v>
      </c>
      <c r="AG66" s="8">
        <f t="shared" si="30"/>
        <v>0</v>
      </c>
      <c r="AH66" s="8">
        <f t="shared" si="30"/>
        <v>862.75969510105824</v>
      </c>
      <c r="AI66" s="8">
        <f t="shared" si="30"/>
        <v>160.70119150092418</v>
      </c>
      <c r="AJ66" s="8">
        <f t="shared" si="30"/>
        <v>0</v>
      </c>
    </row>
    <row r="67" spans="1:36" s="8" customFormat="1" x14ac:dyDescent="0.3">
      <c r="A67" s="8" t="s">
        <v>4</v>
      </c>
      <c r="B67" s="8">
        <v>2020</v>
      </c>
      <c r="C67" s="8" t="s">
        <v>57</v>
      </c>
      <c r="D67" s="8">
        <f t="shared" si="28"/>
        <v>25.818578831415174</v>
      </c>
      <c r="E67" s="8">
        <f t="shared" ref="E67:AE76" si="41">E15*E$29</f>
        <v>635.01478022169158</v>
      </c>
      <c r="F67" s="8">
        <f t="shared" si="41"/>
        <v>55.405497328526565</v>
      </c>
      <c r="G67" s="8">
        <f t="shared" si="41"/>
        <v>845.57288066730348</v>
      </c>
      <c r="H67" s="8">
        <f t="shared" si="41"/>
        <v>319.96654996322172</v>
      </c>
      <c r="I67" s="8">
        <f t="shared" si="41"/>
        <v>954.78327446684466</v>
      </c>
      <c r="J67" s="8">
        <f t="shared" si="41"/>
        <v>154.71578594170109</v>
      </c>
      <c r="K67" s="8">
        <f t="shared" si="41"/>
        <v>0.37814570451512453</v>
      </c>
      <c r="L67" s="8">
        <f t="shared" si="41"/>
        <v>9470.3207654035923</v>
      </c>
      <c r="M67" s="8">
        <f t="shared" si="41"/>
        <v>663.29659880432507</v>
      </c>
      <c r="N67" s="8">
        <f t="shared" si="41"/>
        <v>168.55198553586658</v>
      </c>
      <c r="O67" s="8">
        <f t="shared" si="41"/>
        <v>3970.4173290592012</v>
      </c>
      <c r="P67" s="8">
        <f t="shared" si="41"/>
        <v>931.27052065651264</v>
      </c>
      <c r="Q67" s="8">
        <f t="shared" si="41"/>
        <v>4397.2932149584103</v>
      </c>
      <c r="R67" s="8">
        <f t="shared" si="41"/>
        <v>0</v>
      </c>
      <c r="S67" s="8">
        <f t="shared" si="41"/>
        <v>179.53744438118218</v>
      </c>
      <c r="T67" s="8">
        <f t="shared" si="41"/>
        <v>558.03530217561774</v>
      </c>
      <c r="U67" s="8">
        <f t="shared" si="41"/>
        <v>348.57538632882614</v>
      </c>
      <c r="V67" s="8">
        <f t="shared" si="41"/>
        <v>58.981161048387115</v>
      </c>
      <c r="W67" s="8">
        <f t="shared" si="41"/>
        <v>3966.2624519462724</v>
      </c>
      <c r="X67" s="8">
        <f t="shared" si="41"/>
        <v>137.94421888682828</v>
      </c>
      <c r="Y67" s="8">
        <f t="shared" si="41"/>
        <v>53.814571584569741</v>
      </c>
      <c r="Z67" s="8">
        <f t="shared" si="41"/>
        <v>90.241548167146746</v>
      </c>
      <c r="AA67" s="8">
        <f t="shared" si="41"/>
        <v>38.05668096364542</v>
      </c>
      <c r="AB67" s="8">
        <f t="shared" si="41"/>
        <v>1907.9146312740188</v>
      </c>
      <c r="AC67" s="8">
        <f t="shared" si="41"/>
        <v>265.68204559056642</v>
      </c>
      <c r="AD67" s="8">
        <f t="shared" si="41"/>
        <v>7.1133482786242902E-2</v>
      </c>
      <c r="AE67" s="8">
        <f t="shared" si="41"/>
        <v>445.0118174518542</v>
      </c>
      <c r="AF67" s="8">
        <f t="shared" ref="AF67" si="42">AF15*AF$29</f>
        <v>780.2581771900858</v>
      </c>
      <c r="AG67" s="8">
        <f t="shared" si="30"/>
        <v>213.5803590094344</v>
      </c>
      <c r="AH67" s="8">
        <f t="shared" si="30"/>
        <v>767.88797877655634</v>
      </c>
      <c r="AI67" s="8">
        <f t="shared" si="30"/>
        <v>153.31722976414048</v>
      </c>
      <c r="AJ67" s="8">
        <f t="shared" si="30"/>
        <v>0</v>
      </c>
    </row>
    <row r="68" spans="1:36" s="8" customFormat="1" x14ac:dyDescent="0.3">
      <c r="A68" s="8" t="s">
        <v>4</v>
      </c>
      <c r="B68" s="8">
        <v>2025</v>
      </c>
      <c r="C68" s="8" t="s">
        <v>57</v>
      </c>
      <c r="D68" s="8">
        <f t="shared" si="28"/>
        <v>46.797403344573667</v>
      </c>
      <c r="E68" s="8">
        <f t="shared" si="41"/>
        <v>632.92947213179525</v>
      </c>
      <c r="F68" s="8">
        <f t="shared" si="41"/>
        <v>54.456751259054592</v>
      </c>
      <c r="G68" s="8">
        <f t="shared" si="41"/>
        <v>911.17457988367846</v>
      </c>
      <c r="H68" s="8">
        <f t="shared" si="41"/>
        <v>293.31464733442078</v>
      </c>
      <c r="I68" s="8">
        <f t="shared" si="41"/>
        <v>913.87694147680338</v>
      </c>
      <c r="J68" s="8">
        <f t="shared" si="41"/>
        <v>160.51261353850754</v>
      </c>
      <c r="K68" s="8">
        <f t="shared" si="41"/>
        <v>867.99053063294036</v>
      </c>
      <c r="L68" s="8">
        <f t="shared" si="41"/>
        <v>9108.4838639971713</v>
      </c>
      <c r="M68" s="8">
        <f t="shared" si="41"/>
        <v>649.57951264178064</v>
      </c>
      <c r="N68" s="8">
        <f t="shared" si="41"/>
        <v>165.47677329290249</v>
      </c>
      <c r="O68" s="8">
        <f t="shared" si="41"/>
        <v>3994.6371030707683</v>
      </c>
      <c r="P68" s="8">
        <f t="shared" si="41"/>
        <v>896.34128190126069</v>
      </c>
      <c r="Q68" s="8">
        <f t="shared" si="41"/>
        <v>4615.1224805169641</v>
      </c>
      <c r="R68" s="8">
        <f t="shared" si="41"/>
        <v>0</v>
      </c>
      <c r="S68" s="8">
        <f t="shared" si="41"/>
        <v>179.11224165018098</v>
      </c>
      <c r="T68" s="8">
        <f t="shared" si="41"/>
        <v>588.55819661995054</v>
      </c>
      <c r="U68" s="8">
        <f t="shared" si="41"/>
        <v>337.15073786863587</v>
      </c>
      <c r="V68" s="8">
        <f t="shared" si="41"/>
        <v>0</v>
      </c>
      <c r="W68" s="8">
        <f t="shared" si="41"/>
        <v>3888.3026824750523</v>
      </c>
      <c r="X68" s="8">
        <f t="shared" si="41"/>
        <v>145.13409279672211</v>
      </c>
      <c r="Y68" s="8">
        <f t="shared" si="41"/>
        <v>57.098094067655801</v>
      </c>
      <c r="Z68" s="8">
        <f t="shared" si="41"/>
        <v>77.732231148640651</v>
      </c>
      <c r="AA68" s="8">
        <f t="shared" si="41"/>
        <v>39.217147410358571</v>
      </c>
      <c r="AB68" s="8">
        <f t="shared" si="41"/>
        <v>1899.8033723348765</v>
      </c>
      <c r="AC68" s="8">
        <f t="shared" si="41"/>
        <v>202.13699034989367</v>
      </c>
      <c r="AD68" s="8">
        <f t="shared" si="41"/>
        <v>0.1118953661806068</v>
      </c>
      <c r="AE68" s="8">
        <f t="shared" si="41"/>
        <v>439.59186371125315</v>
      </c>
      <c r="AF68" s="8">
        <f t="shared" ref="AF68" si="43">AF16*AF$29</f>
        <v>785.26522588648629</v>
      </c>
      <c r="AG68" s="8">
        <f t="shared" si="30"/>
        <v>229.69205965662499</v>
      </c>
      <c r="AH68" s="8">
        <f t="shared" si="30"/>
        <v>697.94139698747642</v>
      </c>
      <c r="AI68" s="8">
        <f t="shared" si="30"/>
        <v>151.93577000295747</v>
      </c>
      <c r="AJ68" s="8">
        <f t="shared" si="30"/>
        <v>0</v>
      </c>
    </row>
    <row r="69" spans="1:36" s="8" customFormat="1" x14ac:dyDescent="0.3">
      <c r="A69" s="8" t="s">
        <v>4</v>
      </c>
      <c r="B69" s="8">
        <v>2015</v>
      </c>
      <c r="C69" s="8" t="s">
        <v>58</v>
      </c>
      <c r="D69" s="8">
        <f t="shared" si="28"/>
        <v>0</v>
      </c>
      <c r="E69" s="8">
        <f t="shared" si="41"/>
        <v>1.7353465380551953E-3</v>
      </c>
      <c r="F69" s="8">
        <f t="shared" si="41"/>
        <v>0</v>
      </c>
      <c r="G69" s="8">
        <f t="shared" si="41"/>
        <v>5.8296816610940976E-4</v>
      </c>
      <c r="H69" s="8">
        <f t="shared" si="41"/>
        <v>0</v>
      </c>
      <c r="I69" s="8">
        <f t="shared" si="41"/>
        <v>1.5422152052465385E-3</v>
      </c>
      <c r="J69" s="8">
        <f t="shared" si="41"/>
        <v>0</v>
      </c>
      <c r="K69" s="8">
        <f t="shared" si="41"/>
        <v>0</v>
      </c>
      <c r="L69" s="8">
        <f t="shared" si="41"/>
        <v>2.891254618255645E-2</v>
      </c>
      <c r="M69" s="8">
        <f t="shared" si="41"/>
        <v>1.9887695767495623E-2</v>
      </c>
      <c r="N69" s="8">
        <f t="shared" si="41"/>
        <v>0</v>
      </c>
      <c r="O69" s="8">
        <f t="shared" si="41"/>
        <v>7.3374355125398302E-4</v>
      </c>
      <c r="P69" s="8">
        <f t="shared" si="41"/>
        <v>0</v>
      </c>
      <c r="Q69" s="8">
        <f t="shared" si="41"/>
        <v>7.2131093251368399E-3</v>
      </c>
      <c r="R69" s="8">
        <f t="shared" si="41"/>
        <v>0</v>
      </c>
      <c r="S69" s="8">
        <f t="shared" si="41"/>
        <v>0</v>
      </c>
      <c r="T69" s="8">
        <f t="shared" si="41"/>
        <v>0</v>
      </c>
      <c r="U69" s="8">
        <f t="shared" si="41"/>
        <v>0</v>
      </c>
      <c r="V69" s="8">
        <f t="shared" si="41"/>
        <v>0</v>
      </c>
      <c r="W69" s="8">
        <f t="shared" si="41"/>
        <v>2.4132755429391189E-3</v>
      </c>
      <c r="X69" s="8">
        <f t="shared" si="41"/>
        <v>0</v>
      </c>
      <c r="Y69" s="8">
        <f t="shared" si="41"/>
        <v>0</v>
      </c>
      <c r="Z69" s="8">
        <f t="shared" si="41"/>
        <v>0</v>
      </c>
      <c r="AA69" s="8">
        <f t="shared" si="41"/>
        <v>0</v>
      </c>
      <c r="AB69" s="8">
        <f t="shared" si="41"/>
        <v>5.7365856505569466E-3</v>
      </c>
      <c r="AC69" s="8">
        <f t="shared" si="41"/>
        <v>6.6469166827759531E-3</v>
      </c>
      <c r="AD69" s="8">
        <f t="shared" si="41"/>
        <v>0</v>
      </c>
      <c r="AE69" s="8">
        <f t="shared" si="41"/>
        <v>0</v>
      </c>
      <c r="AF69" s="8">
        <f t="shared" ref="AF69" si="44">AF17*AF$29</f>
        <v>0</v>
      </c>
      <c r="AG69" s="8">
        <f t="shared" si="30"/>
        <v>0</v>
      </c>
      <c r="AH69" s="8">
        <f t="shared" si="30"/>
        <v>1.0828775729519718E-3</v>
      </c>
      <c r="AI69" s="8">
        <f t="shared" si="30"/>
        <v>0</v>
      </c>
      <c r="AJ69" s="8">
        <f t="shared" si="30"/>
        <v>0</v>
      </c>
    </row>
    <row r="70" spans="1:36" s="8" customFormat="1" x14ac:dyDescent="0.3">
      <c r="A70" s="8" t="s">
        <v>4</v>
      </c>
      <c r="B70" s="8">
        <v>2020</v>
      </c>
      <c r="C70" s="8" t="s">
        <v>58</v>
      </c>
      <c r="D70" s="8">
        <f t="shared" si="28"/>
        <v>0</v>
      </c>
      <c r="E70" s="8">
        <f t="shared" si="41"/>
        <v>1.3015099035413964E-2</v>
      </c>
      <c r="F70" s="8">
        <f t="shared" si="41"/>
        <v>0</v>
      </c>
      <c r="G70" s="8">
        <f t="shared" si="41"/>
        <v>5.8296816610940976E-3</v>
      </c>
      <c r="H70" s="8">
        <f t="shared" si="41"/>
        <v>0</v>
      </c>
      <c r="I70" s="8">
        <f t="shared" si="41"/>
        <v>2.5600772407092541E-2</v>
      </c>
      <c r="J70" s="8">
        <f t="shared" si="41"/>
        <v>0</v>
      </c>
      <c r="K70" s="8">
        <f t="shared" si="41"/>
        <v>2.3270504893238434E-4</v>
      </c>
      <c r="L70" s="8">
        <f t="shared" si="41"/>
        <v>0.2638269839158276</v>
      </c>
      <c r="M70" s="8">
        <f t="shared" si="41"/>
        <v>4.0860174940491011E-2</v>
      </c>
      <c r="N70" s="8">
        <f t="shared" si="41"/>
        <v>0</v>
      </c>
      <c r="O70" s="8">
        <f t="shared" si="41"/>
        <v>3.3018459806429235E-3</v>
      </c>
      <c r="P70" s="8">
        <f t="shared" si="41"/>
        <v>3.6865021008403365E-4</v>
      </c>
      <c r="Q70" s="8">
        <f t="shared" si="41"/>
        <v>9.7521238075850072E-2</v>
      </c>
      <c r="R70" s="8">
        <f t="shared" si="41"/>
        <v>0</v>
      </c>
      <c r="S70" s="8">
        <f t="shared" si="41"/>
        <v>0</v>
      </c>
      <c r="T70" s="8">
        <f t="shared" si="41"/>
        <v>0</v>
      </c>
      <c r="U70" s="8">
        <f t="shared" si="41"/>
        <v>0</v>
      </c>
      <c r="V70" s="8">
        <f t="shared" si="41"/>
        <v>0</v>
      </c>
      <c r="W70" s="8">
        <f t="shared" si="41"/>
        <v>7.6786040002608334E-3</v>
      </c>
      <c r="X70" s="8">
        <f t="shared" si="41"/>
        <v>0</v>
      </c>
      <c r="Y70" s="8">
        <f t="shared" si="41"/>
        <v>5.7890029673590519E-4</v>
      </c>
      <c r="Z70" s="8">
        <f t="shared" si="41"/>
        <v>0</v>
      </c>
      <c r="AA70" s="8">
        <f t="shared" si="41"/>
        <v>0</v>
      </c>
      <c r="AB70" s="8">
        <f t="shared" si="41"/>
        <v>4.9170734147630964E-3</v>
      </c>
      <c r="AC70" s="8">
        <f t="shared" si="41"/>
        <v>4.6794293446742699E-2</v>
      </c>
      <c r="AD70" s="8">
        <f t="shared" si="41"/>
        <v>2.664175385252543E-4</v>
      </c>
      <c r="AE70" s="8">
        <f t="shared" si="41"/>
        <v>0</v>
      </c>
      <c r="AF70" s="8">
        <f t="shared" ref="AF70" si="45">AF18*AF$29</f>
        <v>0</v>
      </c>
      <c r="AG70" s="8">
        <f t="shared" si="30"/>
        <v>0</v>
      </c>
      <c r="AH70" s="8">
        <f t="shared" si="30"/>
        <v>1.0558056336281724E-2</v>
      </c>
      <c r="AI70" s="8">
        <f t="shared" si="30"/>
        <v>0</v>
      </c>
      <c r="AJ70" s="8">
        <f t="shared" si="30"/>
        <v>0</v>
      </c>
    </row>
    <row r="71" spans="1:36" s="8" customFormat="1" x14ac:dyDescent="0.3">
      <c r="A71" s="8" t="s">
        <v>4</v>
      </c>
      <c r="B71" s="8">
        <v>2025</v>
      </c>
      <c r="C71" s="8" t="s">
        <v>58</v>
      </c>
      <c r="D71" s="8">
        <f t="shared" si="28"/>
        <v>0</v>
      </c>
      <c r="E71" s="8">
        <f t="shared" si="41"/>
        <v>1.9378036341616348E-2</v>
      </c>
      <c r="F71" s="8">
        <f t="shared" si="41"/>
        <v>0</v>
      </c>
      <c r="G71" s="8">
        <f t="shared" si="41"/>
        <v>8.453038408586442E-3</v>
      </c>
      <c r="H71" s="8">
        <f t="shared" si="41"/>
        <v>2.7116682568016745E-4</v>
      </c>
      <c r="I71" s="8">
        <f t="shared" si="41"/>
        <v>6.7240582948749072E-2</v>
      </c>
      <c r="J71" s="8">
        <f t="shared" si="41"/>
        <v>0</v>
      </c>
      <c r="K71" s="8">
        <f t="shared" si="41"/>
        <v>6.5157413701067615E-3</v>
      </c>
      <c r="L71" s="8">
        <f t="shared" si="41"/>
        <v>0.66438621748666171</v>
      </c>
      <c r="M71" s="8">
        <f t="shared" si="41"/>
        <v>1.5548562145496578E-2</v>
      </c>
      <c r="N71" s="8">
        <f t="shared" si="41"/>
        <v>7.2272908177769353E-4</v>
      </c>
      <c r="O71" s="8">
        <f t="shared" si="41"/>
        <v>1.2106768595690721E-2</v>
      </c>
      <c r="P71" s="8">
        <f t="shared" si="41"/>
        <v>7.3730042016806731E-4</v>
      </c>
      <c r="Q71" s="8">
        <f t="shared" si="41"/>
        <v>0.24957358264973464</v>
      </c>
      <c r="R71" s="8">
        <f t="shared" si="41"/>
        <v>0</v>
      </c>
      <c r="S71" s="8">
        <f t="shared" si="41"/>
        <v>2.4493244873341377E-4</v>
      </c>
      <c r="T71" s="8">
        <f t="shared" si="41"/>
        <v>6.3471236402388759E-4</v>
      </c>
      <c r="U71" s="8">
        <f t="shared" si="41"/>
        <v>0</v>
      </c>
      <c r="V71" s="8">
        <f t="shared" si="41"/>
        <v>0</v>
      </c>
      <c r="W71" s="8">
        <f t="shared" si="41"/>
        <v>1.2724543771860809E-2</v>
      </c>
      <c r="X71" s="8">
        <f t="shared" si="41"/>
        <v>0</v>
      </c>
      <c r="Y71" s="8">
        <f t="shared" si="41"/>
        <v>1.1578005934718104E-3</v>
      </c>
      <c r="Z71" s="8">
        <f t="shared" si="41"/>
        <v>0</v>
      </c>
      <c r="AA71" s="8">
        <f t="shared" si="41"/>
        <v>0</v>
      </c>
      <c r="AB71" s="8">
        <f t="shared" si="41"/>
        <v>7.6487808674092616E-3</v>
      </c>
      <c r="AC71" s="8">
        <f t="shared" si="41"/>
        <v>3.7754486758167408E-2</v>
      </c>
      <c r="AD71" s="8">
        <f t="shared" si="41"/>
        <v>3.6499202777959844E-2</v>
      </c>
      <c r="AE71" s="8">
        <f t="shared" si="41"/>
        <v>1.9855492327365727E-4</v>
      </c>
      <c r="AF71" s="8">
        <f t="shared" ref="AF71" si="46">AF19*AF$29</f>
        <v>0</v>
      </c>
      <c r="AG71" s="8">
        <f t="shared" si="30"/>
        <v>0</v>
      </c>
      <c r="AH71" s="8">
        <f t="shared" si="30"/>
        <v>1.1640933909233694E-2</v>
      </c>
      <c r="AI71" s="8">
        <f t="shared" si="30"/>
        <v>0</v>
      </c>
      <c r="AJ71" s="8">
        <f t="shared" si="30"/>
        <v>6.8594581478530214E-4</v>
      </c>
    </row>
    <row r="72" spans="1:36" s="8" customFormat="1" x14ac:dyDescent="0.3">
      <c r="A72" s="8" t="s">
        <v>4</v>
      </c>
      <c r="B72" s="8">
        <v>2015</v>
      </c>
      <c r="C72" s="8" t="s">
        <v>59</v>
      </c>
      <c r="D72" s="8">
        <f t="shared" si="28"/>
        <v>4.9824085417683687E-3</v>
      </c>
      <c r="E72" s="8">
        <f t="shared" si="41"/>
        <v>2.8922442300919921E-4</v>
      </c>
      <c r="F72" s="8">
        <f t="shared" si="41"/>
        <v>2.6523513264522608E-4</v>
      </c>
      <c r="G72" s="8">
        <f t="shared" si="41"/>
        <v>5.246713494984687E-3</v>
      </c>
      <c r="H72" s="8">
        <f t="shared" si="41"/>
        <v>38.290111620168041</v>
      </c>
      <c r="I72" s="8">
        <f t="shared" si="41"/>
        <v>1.3879936847218846E-2</v>
      </c>
      <c r="J72" s="8">
        <f t="shared" si="41"/>
        <v>0</v>
      </c>
      <c r="K72" s="8">
        <f t="shared" si="41"/>
        <v>1.3031482740213523E-2</v>
      </c>
      <c r="L72" s="8">
        <f t="shared" si="41"/>
        <v>143.35804148850906</v>
      </c>
      <c r="M72" s="8">
        <f t="shared" si="41"/>
        <v>2.5311612794994432E-3</v>
      </c>
      <c r="N72" s="8">
        <f t="shared" si="41"/>
        <v>7.2272908177769353E-4</v>
      </c>
      <c r="O72" s="8">
        <f t="shared" si="41"/>
        <v>1.7580495488045433</v>
      </c>
      <c r="P72" s="8">
        <f t="shared" si="41"/>
        <v>3.6865021008403365E-4</v>
      </c>
      <c r="Q72" s="8">
        <f t="shared" si="41"/>
        <v>9.72327137028446E-2</v>
      </c>
      <c r="R72" s="8">
        <f t="shared" si="41"/>
        <v>0</v>
      </c>
      <c r="S72" s="8">
        <f t="shared" si="41"/>
        <v>7.5929059107358267E-3</v>
      </c>
      <c r="T72" s="8">
        <f t="shared" si="41"/>
        <v>3.5967033961353634E-3</v>
      </c>
      <c r="U72" s="8">
        <f t="shared" si="41"/>
        <v>0</v>
      </c>
      <c r="V72" s="8">
        <f t="shared" si="41"/>
        <v>0</v>
      </c>
      <c r="W72" s="8">
        <f t="shared" si="41"/>
        <v>468.85073370484059</v>
      </c>
      <c r="X72" s="8">
        <f t="shared" si="41"/>
        <v>0</v>
      </c>
      <c r="Y72" s="8">
        <f t="shared" si="41"/>
        <v>9.4360748367952538E-2</v>
      </c>
      <c r="Z72" s="8">
        <f t="shared" si="41"/>
        <v>0</v>
      </c>
      <c r="AA72" s="8">
        <f t="shared" si="41"/>
        <v>3.7182519920318731E-4</v>
      </c>
      <c r="AB72" s="8">
        <f t="shared" si="41"/>
        <v>42.29830453826375</v>
      </c>
      <c r="AC72" s="8">
        <f t="shared" si="41"/>
        <v>5.0516566789097234E-3</v>
      </c>
      <c r="AD72" s="8">
        <f t="shared" si="41"/>
        <v>0</v>
      </c>
      <c r="AE72" s="8">
        <f t="shared" si="41"/>
        <v>9.5429467223785149</v>
      </c>
      <c r="AF72" s="8">
        <f t="shared" ref="AF72" si="47">AF20*AF$29</f>
        <v>0.52765906569858889</v>
      </c>
      <c r="AG72" s="8">
        <f t="shared" si="30"/>
        <v>0</v>
      </c>
      <c r="AH72" s="8">
        <f t="shared" si="30"/>
        <v>7.3094236174258091E-3</v>
      </c>
      <c r="AI72" s="8">
        <f t="shared" si="30"/>
        <v>2.3137563759704252</v>
      </c>
      <c r="AJ72" s="8">
        <f t="shared" si="30"/>
        <v>9.8318900119226633</v>
      </c>
    </row>
    <row r="73" spans="1:36" s="8" customFormat="1" x14ac:dyDescent="0.3">
      <c r="A73" s="8" t="s">
        <v>4</v>
      </c>
      <c r="B73" s="8">
        <v>2020</v>
      </c>
      <c r="C73" s="8" t="s">
        <v>59</v>
      </c>
      <c r="D73" s="8">
        <f t="shared" si="28"/>
        <v>5.7428814244593306E-2</v>
      </c>
      <c r="E73" s="8">
        <f t="shared" si="41"/>
        <v>5.7844884601839842E-4</v>
      </c>
      <c r="F73" s="8">
        <f t="shared" si="41"/>
        <v>2.1218810611618086E-3</v>
      </c>
      <c r="G73" s="8">
        <f t="shared" si="41"/>
        <v>4.3722612458205728E-3</v>
      </c>
      <c r="H73" s="8">
        <f t="shared" si="41"/>
        <v>81.387197559168413</v>
      </c>
      <c r="I73" s="8">
        <f t="shared" si="41"/>
        <v>2.8376759776536309E-2</v>
      </c>
      <c r="J73" s="8">
        <f t="shared" si="41"/>
        <v>0</v>
      </c>
      <c r="K73" s="8">
        <f t="shared" si="41"/>
        <v>24.800075179870994</v>
      </c>
      <c r="L73" s="8">
        <f t="shared" si="41"/>
        <v>104.43603205202278</v>
      </c>
      <c r="M73" s="8">
        <f t="shared" si="41"/>
        <v>1.4463778739996819E-3</v>
      </c>
      <c r="N73" s="8">
        <f t="shared" si="41"/>
        <v>1.0840936226665402E-3</v>
      </c>
      <c r="O73" s="8">
        <f t="shared" si="41"/>
        <v>5.9598319950604779</v>
      </c>
      <c r="P73" s="8">
        <f t="shared" si="41"/>
        <v>7.3730042016806731E-4</v>
      </c>
      <c r="Q73" s="8">
        <f t="shared" si="41"/>
        <v>5.1645862767979764E-2</v>
      </c>
      <c r="R73" s="8">
        <f t="shared" si="41"/>
        <v>0</v>
      </c>
      <c r="S73" s="8">
        <f t="shared" si="41"/>
        <v>1.3961149577804586E-2</v>
      </c>
      <c r="T73" s="8">
        <f t="shared" si="41"/>
        <v>3.5967033961353634E-3</v>
      </c>
      <c r="U73" s="8">
        <f t="shared" si="41"/>
        <v>0</v>
      </c>
      <c r="V73" s="8">
        <f t="shared" si="41"/>
        <v>0</v>
      </c>
      <c r="W73" s="8">
        <f t="shared" si="41"/>
        <v>587.66681934064809</v>
      </c>
      <c r="X73" s="8">
        <f t="shared" si="41"/>
        <v>1.6602098961472481E-2</v>
      </c>
      <c r="Y73" s="8">
        <f t="shared" si="41"/>
        <v>0</v>
      </c>
      <c r="Z73" s="8">
        <f t="shared" si="41"/>
        <v>7.7865119204514066</v>
      </c>
      <c r="AA73" s="8">
        <f t="shared" si="41"/>
        <v>9.2956299800796825E-4</v>
      </c>
      <c r="AB73" s="8">
        <f t="shared" si="41"/>
        <v>27.601445272282113</v>
      </c>
      <c r="AC73" s="8">
        <f t="shared" si="41"/>
        <v>5.3175333462207623E-3</v>
      </c>
      <c r="AD73" s="8">
        <f t="shared" si="41"/>
        <v>0</v>
      </c>
      <c r="AE73" s="8">
        <f t="shared" si="41"/>
        <v>11.658549429859333</v>
      </c>
      <c r="AF73" s="8">
        <f t="shared" ref="AF73:AJ76" si="48">AF21*AF$29</f>
        <v>4.0198565550413744E-3</v>
      </c>
      <c r="AG73" s="8">
        <f t="shared" si="48"/>
        <v>8.8640945843301271E-3</v>
      </c>
      <c r="AH73" s="8">
        <f t="shared" si="48"/>
        <v>3.2486327188559153E-3</v>
      </c>
      <c r="AI73" s="8">
        <f t="shared" si="48"/>
        <v>2.5181175194085026</v>
      </c>
      <c r="AJ73" s="8">
        <f t="shared" si="48"/>
        <v>11.33045296862362</v>
      </c>
    </row>
    <row r="74" spans="1:36" s="8" customFormat="1" x14ac:dyDescent="0.3">
      <c r="A74" s="8" t="s">
        <v>4</v>
      </c>
      <c r="B74" s="8">
        <v>2025</v>
      </c>
      <c r="C74" s="8" t="s">
        <v>59</v>
      </c>
      <c r="D74" s="8">
        <f t="shared" si="28"/>
        <v>0.14763663205345218</v>
      </c>
      <c r="E74" s="8">
        <f t="shared" si="41"/>
        <v>2.8922442300919921E-4</v>
      </c>
      <c r="F74" s="8">
        <f t="shared" si="41"/>
        <v>2.9175864590974868E-3</v>
      </c>
      <c r="G74" s="8">
        <f t="shared" si="41"/>
        <v>8.1615543255317367E-3</v>
      </c>
      <c r="H74" s="8">
        <f t="shared" si="41"/>
        <v>101.6024132467992</v>
      </c>
      <c r="I74" s="8">
        <f t="shared" si="41"/>
        <v>3.238651931017731E-2</v>
      </c>
      <c r="J74" s="8">
        <f t="shared" si="41"/>
        <v>0</v>
      </c>
      <c r="K74" s="8">
        <f t="shared" si="41"/>
        <v>27.436157974177046</v>
      </c>
      <c r="L74" s="8">
        <f t="shared" si="41"/>
        <v>94.48469506281414</v>
      </c>
      <c r="M74" s="8">
        <f t="shared" si="41"/>
        <v>2.8927557479993637E-3</v>
      </c>
      <c r="N74" s="8">
        <f t="shared" si="41"/>
        <v>2.4934153321330428E-2</v>
      </c>
      <c r="O74" s="8">
        <f t="shared" si="41"/>
        <v>6.7405351335947161</v>
      </c>
      <c r="P74" s="8">
        <f t="shared" si="41"/>
        <v>3.6865021008403365E-4</v>
      </c>
      <c r="Q74" s="8">
        <f t="shared" si="41"/>
        <v>3.9239314728744409E-2</v>
      </c>
      <c r="R74" s="8">
        <f t="shared" si="41"/>
        <v>0</v>
      </c>
      <c r="S74" s="8">
        <f t="shared" si="41"/>
        <v>1.2981419782870929E-2</v>
      </c>
      <c r="T74" s="8">
        <f t="shared" si="41"/>
        <v>7.8281191562946124E-3</v>
      </c>
      <c r="U74" s="8">
        <f t="shared" si="41"/>
        <v>0</v>
      </c>
      <c r="V74" s="8">
        <f t="shared" si="41"/>
        <v>0</v>
      </c>
      <c r="W74" s="8">
        <f t="shared" si="41"/>
        <v>665.36112850214431</v>
      </c>
      <c r="X74" s="8">
        <f t="shared" si="41"/>
        <v>2.7961429829848387E-2</v>
      </c>
      <c r="Y74" s="8">
        <f t="shared" si="41"/>
        <v>0</v>
      </c>
      <c r="Z74" s="8">
        <f t="shared" si="41"/>
        <v>7.7366333898906996</v>
      </c>
      <c r="AA74" s="8">
        <f t="shared" si="41"/>
        <v>9.2956299800796825E-4</v>
      </c>
      <c r="AB74" s="8">
        <f t="shared" si="41"/>
        <v>25.466889068784404</v>
      </c>
      <c r="AC74" s="8">
        <f t="shared" si="41"/>
        <v>2.6587666731103809E-4</v>
      </c>
      <c r="AD74" s="8">
        <f t="shared" si="41"/>
        <v>0</v>
      </c>
      <c r="AE74" s="8">
        <f t="shared" si="41"/>
        <v>14.991889481777489</v>
      </c>
      <c r="AF74" s="8">
        <f t="shared" ref="AF74" si="49">AF22*AF$29</f>
        <v>5.2892849408439141E-3</v>
      </c>
      <c r="AG74" s="8">
        <f t="shared" si="48"/>
        <v>7.7896588771385967E-3</v>
      </c>
      <c r="AH74" s="8">
        <f t="shared" si="48"/>
        <v>5.4956036827312572E-2</v>
      </c>
      <c r="AI74" s="8">
        <f t="shared" si="48"/>
        <v>2.4283388112754154</v>
      </c>
      <c r="AJ74" s="8">
        <f t="shared" si="48"/>
        <v>10.841373602681699</v>
      </c>
    </row>
    <row r="75" spans="1:36" s="8" customFormat="1" x14ac:dyDescent="0.3">
      <c r="A75" s="8" t="s">
        <v>4</v>
      </c>
      <c r="B75" s="8">
        <v>2015</v>
      </c>
      <c r="C75" s="8" t="s">
        <v>60</v>
      </c>
      <c r="D75" s="8">
        <f t="shared" si="28"/>
        <v>0</v>
      </c>
      <c r="E75" s="8">
        <f t="shared" si="41"/>
        <v>0.43586120547486318</v>
      </c>
      <c r="F75" s="8">
        <f t="shared" si="41"/>
        <v>0</v>
      </c>
      <c r="G75" s="8">
        <f t="shared" si="41"/>
        <v>0</v>
      </c>
      <c r="H75" s="8">
        <f t="shared" si="41"/>
        <v>0</v>
      </c>
      <c r="I75" s="8">
        <f t="shared" si="41"/>
        <v>13.510730527082824</v>
      </c>
      <c r="J75" s="8">
        <f t="shared" si="41"/>
        <v>0</v>
      </c>
      <c r="K75" s="8">
        <f t="shared" si="41"/>
        <v>0</v>
      </c>
      <c r="L75" s="8">
        <f t="shared" si="41"/>
        <v>0</v>
      </c>
      <c r="M75" s="8">
        <f t="shared" si="41"/>
        <v>0.20104652448595578</v>
      </c>
      <c r="N75" s="8">
        <f t="shared" si="41"/>
        <v>0</v>
      </c>
      <c r="O75" s="8">
        <f t="shared" si="41"/>
        <v>0.15555363286584439</v>
      </c>
      <c r="P75" s="8">
        <f t="shared" si="41"/>
        <v>0.40330332983193284</v>
      </c>
      <c r="Q75" s="8">
        <f t="shared" si="41"/>
        <v>10.489015056240985</v>
      </c>
      <c r="R75" s="8">
        <f t="shared" si="41"/>
        <v>0</v>
      </c>
      <c r="S75" s="8">
        <f t="shared" si="41"/>
        <v>0</v>
      </c>
      <c r="T75" s="8">
        <f t="shared" si="41"/>
        <v>0</v>
      </c>
      <c r="U75" s="8">
        <f t="shared" si="41"/>
        <v>0</v>
      </c>
      <c r="V75" s="8">
        <f t="shared" si="41"/>
        <v>0</v>
      </c>
      <c r="W75" s="8">
        <f t="shared" si="41"/>
        <v>0.19547531897806864</v>
      </c>
      <c r="X75" s="8">
        <f t="shared" si="41"/>
        <v>0</v>
      </c>
      <c r="Y75" s="8">
        <f t="shared" si="41"/>
        <v>0</v>
      </c>
      <c r="Z75" s="8">
        <f t="shared" si="41"/>
        <v>0</v>
      </c>
      <c r="AA75" s="8">
        <f t="shared" si="41"/>
        <v>0</v>
      </c>
      <c r="AB75" s="8">
        <f t="shared" si="41"/>
        <v>20.834459570587036</v>
      </c>
      <c r="AC75" s="8">
        <f t="shared" si="41"/>
        <v>8.8949039048907785</v>
      </c>
      <c r="AD75" s="8">
        <f t="shared" si="41"/>
        <v>0</v>
      </c>
      <c r="AE75" s="8">
        <f t="shared" si="41"/>
        <v>0.13342890843989769</v>
      </c>
      <c r="AF75" s="8">
        <f t="shared" ref="AF75" si="50">AF23*AF$29</f>
        <v>0</v>
      </c>
      <c r="AG75" s="8">
        <f t="shared" si="48"/>
        <v>0</v>
      </c>
      <c r="AH75" s="8">
        <f t="shared" si="48"/>
        <v>2.6460113495081425</v>
      </c>
      <c r="AI75" s="8">
        <f t="shared" si="48"/>
        <v>0</v>
      </c>
      <c r="AJ75" s="8">
        <f t="shared" si="48"/>
        <v>0</v>
      </c>
    </row>
    <row r="76" spans="1:36" s="8" customFormat="1" x14ac:dyDescent="0.3">
      <c r="A76" s="8" t="s">
        <v>4</v>
      </c>
      <c r="B76" s="8">
        <v>2020</v>
      </c>
      <c r="C76" s="8" t="s">
        <v>60</v>
      </c>
      <c r="D76" s="8">
        <f t="shared" si="28"/>
        <v>0.14475207973979684</v>
      </c>
      <c r="E76" s="8">
        <f t="shared" si="41"/>
        <v>4.4069125333911687</v>
      </c>
      <c r="F76" s="8">
        <f t="shared" si="41"/>
        <v>0</v>
      </c>
      <c r="G76" s="8">
        <f t="shared" si="41"/>
        <v>0</v>
      </c>
      <c r="H76" s="8">
        <f t="shared" si="41"/>
        <v>0</v>
      </c>
      <c r="I76" s="8">
        <f t="shared" si="41"/>
        <v>7.3372430604809313</v>
      </c>
      <c r="J76" s="8">
        <f t="shared" si="41"/>
        <v>0</v>
      </c>
      <c r="K76" s="8">
        <f t="shared" si="41"/>
        <v>0</v>
      </c>
      <c r="L76" s="8">
        <f t="shared" si="41"/>
        <v>84.220138823294462</v>
      </c>
      <c r="M76" s="8">
        <f t="shared" si="41"/>
        <v>10.739717308916138</v>
      </c>
      <c r="N76" s="8">
        <f t="shared" si="41"/>
        <v>0</v>
      </c>
      <c r="O76" s="8">
        <f t="shared" si="41"/>
        <v>11.326065457156483</v>
      </c>
      <c r="P76" s="8">
        <f t="shared" si="41"/>
        <v>17.156243476890758</v>
      </c>
      <c r="Q76" s="8">
        <f t="shared" ref="E76:AE77" si="51">Q24*Q$29</f>
        <v>45.471729710035639</v>
      </c>
      <c r="R76" s="8">
        <f t="shared" si="51"/>
        <v>0</v>
      </c>
      <c r="S76" s="8">
        <f t="shared" si="51"/>
        <v>0</v>
      </c>
      <c r="T76" s="8">
        <f t="shared" si="51"/>
        <v>0</v>
      </c>
      <c r="U76" s="8">
        <f t="shared" si="51"/>
        <v>0</v>
      </c>
      <c r="V76" s="8">
        <f t="shared" si="51"/>
        <v>0</v>
      </c>
      <c r="W76" s="8">
        <f t="shared" si="51"/>
        <v>0</v>
      </c>
      <c r="X76" s="8">
        <f t="shared" si="51"/>
        <v>0</v>
      </c>
      <c r="Y76" s="8">
        <f t="shared" si="51"/>
        <v>1.3152614741839763</v>
      </c>
      <c r="Z76" s="8">
        <f t="shared" si="51"/>
        <v>0</v>
      </c>
      <c r="AA76" s="8">
        <f t="shared" si="51"/>
        <v>0.14594139068725101</v>
      </c>
      <c r="AB76" s="8">
        <f t="shared" si="51"/>
        <v>27.121484272852186</v>
      </c>
      <c r="AC76" s="8">
        <f t="shared" si="51"/>
        <v>32.081210431084479</v>
      </c>
      <c r="AD76" s="8">
        <f t="shared" si="51"/>
        <v>1.130409615962654</v>
      </c>
      <c r="AE76" s="8">
        <f t="shared" si="51"/>
        <v>6.1532170722506381</v>
      </c>
      <c r="AF76" s="8">
        <f t="shared" ref="AF76" si="52">AF24*AF$29</f>
        <v>0</v>
      </c>
      <c r="AG76" s="8">
        <f t="shared" si="48"/>
        <v>0</v>
      </c>
      <c r="AH76" s="8">
        <f t="shared" si="48"/>
        <v>33.078931940357116</v>
      </c>
      <c r="AI76" s="8">
        <f t="shared" si="48"/>
        <v>0</v>
      </c>
      <c r="AJ76" s="8">
        <f t="shared" si="48"/>
        <v>0</v>
      </c>
    </row>
    <row r="77" spans="1:36" s="8" customFormat="1" x14ac:dyDescent="0.3">
      <c r="A77" s="8" t="s">
        <v>4</v>
      </c>
      <c r="B77" s="8">
        <v>2025</v>
      </c>
      <c r="C77" s="8" t="s">
        <v>60</v>
      </c>
      <c r="D77" s="8">
        <f t="shared" si="28"/>
        <v>1.0227049112050864E-2</v>
      </c>
      <c r="E77" s="8">
        <f t="shared" si="51"/>
        <v>16.446457589995102</v>
      </c>
      <c r="F77" s="8">
        <f t="shared" si="51"/>
        <v>0</v>
      </c>
      <c r="G77" s="8">
        <f t="shared" si="51"/>
        <v>0</v>
      </c>
      <c r="H77" s="8">
        <f t="shared" si="51"/>
        <v>0</v>
      </c>
      <c r="I77" s="8">
        <f t="shared" si="51"/>
        <v>23.900942807869807</v>
      </c>
      <c r="J77" s="8">
        <f t="shared" si="51"/>
        <v>0</v>
      </c>
      <c r="K77" s="8">
        <f t="shared" si="51"/>
        <v>0</v>
      </c>
      <c r="L77" s="8">
        <f t="shared" si="51"/>
        <v>277.6089321018689</v>
      </c>
      <c r="M77" s="8">
        <f t="shared" si="51"/>
        <v>44.477927597832711</v>
      </c>
      <c r="N77" s="8">
        <f t="shared" si="51"/>
        <v>1.0049547882118828</v>
      </c>
      <c r="O77" s="8">
        <f t="shared" si="51"/>
        <v>66.200911296563746</v>
      </c>
      <c r="P77" s="8">
        <f t="shared" si="51"/>
        <v>51.366614322478995</v>
      </c>
      <c r="Q77" s="8">
        <f t="shared" si="51"/>
        <v>166.22523882465944</v>
      </c>
      <c r="R77" s="8">
        <f t="shared" si="51"/>
        <v>0</v>
      </c>
      <c r="S77" s="8">
        <f t="shared" si="51"/>
        <v>1.1036656139927625</v>
      </c>
      <c r="T77" s="8">
        <f t="shared" si="51"/>
        <v>0</v>
      </c>
      <c r="U77" s="8">
        <f t="shared" si="51"/>
        <v>19.080257165865753</v>
      </c>
      <c r="V77" s="8">
        <f t="shared" si="51"/>
        <v>0</v>
      </c>
      <c r="W77" s="8">
        <f t="shared" si="51"/>
        <v>0</v>
      </c>
      <c r="X77" s="8">
        <f t="shared" si="51"/>
        <v>0</v>
      </c>
      <c r="Y77" s="8">
        <f t="shared" si="51"/>
        <v>4.4511643816023749</v>
      </c>
      <c r="Z77" s="8">
        <f t="shared" si="51"/>
        <v>0.55376091228347069</v>
      </c>
      <c r="AA77" s="8">
        <f t="shared" si="51"/>
        <v>0.75127281499003995</v>
      </c>
      <c r="AB77" s="8">
        <f t="shared" si="51"/>
        <v>72.040588941184666</v>
      </c>
      <c r="AC77" s="8">
        <f t="shared" si="51"/>
        <v>55.042053543398417</v>
      </c>
      <c r="AD77" s="8">
        <f t="shared" si="51"/>
        <v>1.1066984550339063</v>
      </c>
      <c r="AE77" s="8">
        <f t="shared" si="51"/>
        <v>19.251289695843987</v>
      </c>
      <c r="AF77" s="8">
        <f t="shared" ref="AF77:AJ77" si="53">AF25*AF$29</f>
        <v>0</v>
      </c>
      <c r="AG77" s="8">
        <f t="shared" si="53"/>
        <v>0</v>
      </c>
      <c r="AH77" s="8">
        <f t="shared" si="53"/>
        <v>73.724470921716133</v>
      </c>
      <c r="AI77" s="8">
        <f t="shared" si="53"/>
        <v>0</v>
      </c>
      <c r="AJ77" s="8">
        <f t="shared" si="53"/>
        <v>0</v>
      </c>
    </row>
    <row r="78" spans="1:36" s="5" customFormat="1" x14ac:dyDescent="0.3">
      <c r="A78" s="5" t="s">
        <v>4</v>
      </c>
      <c r="B78" s="5">
        <v>2015</v>
      </c>
      <c r="C78" s="5" t="s">
        <v>61</v>
      </c>
      <c r="D78" s="5">
        <f t="shared" ref="D78:D98" si="54">D5*D$30</f>
        <v>0</v>
      </c>
      <c r="E78" s="5">
        <f t="shared" ref="E78:AE87" si="55">E5*E$30</f>
        <v>0.65955304179586505</v>
      </c>
      <c r="F78" s="5">
        <f t="shared" si="55"/>
        <v>0.44883641642931599</v>
      </c>
      <c r="G78" s="5">
        <f t="shared" si="55"/>
        <v>2.6504844887752519</v>
      </c>
      <c r="H78" s="5">
        <f t="shared" si="55"/>
        <v>1.5736966356333866</v>
      </c>
      <c r="I78" s="5">
        <f t="shared" si="55"/>
        <v>1.9364388486762205</v>
      </c>
      <c r="J78" s="5">
        <f t="shared" si="55"/>
        <v>0</v>
      </c>
      <c r="K78" s="5">
        <f t="shared" si="55"/>
        <v>0</v>
      </c>
      <c r="L78" s="5">
        <f t="shared" si="55"/>
        <v>10.803008050127449</v>
      </c>
      <c r="M78" s="5">
        <f t="shared" si="55"/>
        <v>9.4036414920171934E-3</v>
      </c>
      <c r="N78" s="5">
        <f t="shared" si="55"/>
        <v>6.2051226191604282E-2</v>
      </c>
      <c r="O78" s="5">
        <f t="shared" si="55"/>
        <v>6.1096850979775866E-2</v>
      </c>
      <c r="P78" s="5">
        <f t="shared" si="55"/>
        <v>0.26562292058823533</v>
      </c>
      <c r="Q78" s="5">
        <f t="shared" si="55"/>
        <v>22.30611544727569</v>
      </c>
      <c r="R78" s="5">
        <f t="shared" si="55"/>
        <v>0</v>
      </c>
      <c r="S78" s="5">
        <f t="shared" si="55"/>
        <v>6.0121771700844393</v>
      </c>
      <c r="T78" s="5">
        <f t="shared" si="55"/>
        <v>2.5011702746667202</v>
      </c>
      <c r="U78" s="5">
        <f t="shared" si="55"/>
        <v>0</v>
      </c>
      <c r="V78" s="5">
        <f t="shared" si="55"/>
        <v>0</v>
      </c>
      <c r="W78" s="5">
        <f t="shared" si="55"/>
        <v>86.877433056643568</v>
      </c>
      <c r="X78" s="5">
        <f t="shared" si="55"/>
        <v>4.9625993323751689E-3</v>
      </c>
      <c r="Y78" s="5">
        <f t="shared" si="55"/>
        <v>1.9095425519287834E-2</v>
      </c>
      <c r="Z78" s="5">
        <f t="shared" si="55"/>
        <v>0</v>
      </c>
      <c r="AA78" s="5">
        <f t="shared" si="55"/>
        <v>5.8770773157370518E-2</v>
      </c>
      <c r="AB78" s="5">
        <f t="shared" si="55"/>
        <v>0.91411458953116043</v>
      </c>
      <c r="AC78" s="5">
        <f t="shared" si="55"/>
        <v>2.221771699207423E-2</v>
      </c>
      <c r="AD78" s="5">
        <f t="shared" si="55"/>
        <v>0</v>
      </c>
      <c r="AE78" s="5">
        <f t="shared" si="55"/>
        <v>1.3799053388746801E-2</v>
      </c>
      <c r="AF78" s="5">
        <f>AF5*AF$30</f>
        <v>7.1430891102651189E-2</v>
      </c>
      <c r="AG78" s="5">
        <f t="shared" ref="AG78:AJ93" si="56">AG5*AG$30</f>
        <v>0</v>
      </c>
      <c r="AH78" s="5">
        <f t="shared" si="56"/>
        <v>5.1720618384723487</v>
      </c>
      <c r="AI78" s="5">
        <f t="shared" si="56"/>
        <v>1.7165831423290204E-2</v>
      </c>
      <c r="AJ78" s="5">
        <f t="shared" si="56"/>
        <v>0.15727155575792795</v>
      </c>
    </row>
    <row r="79" spans="1:36" s="5" customFormat="1" x14ac:dyDescent="0.3">
      <c r="A79" s="5" t="s">
        <v>4</v>
      </c>
      <c r="B79" s="5">
        <v>2020</v>
      </c>
      <c r="C79" s="5" t="s">
        <v>61</v>
      </c>
      <c r="D79" s="5">
        <f t="shared" si="54"/>
        <v>0</v>
      </c>
      <c r="E79" s="5">
        <f t="shared" ref="E79:S79" si="57">E6*E$30</f>
        <v>0.78599114949365667</v>
      </c>
      <c r="F79" s="5">
        <f t="shared" si="57"/>
        <v>4.4563723794443293</v>
      </c>
      <c r="G79" s="5">
        <f t="shared" si="57"/>
        <v>4.2457415730943202</v>
      </c>
      <c r="H79" s="5">
        <f t="shared" si="57"/>
        <v>4.9506455932229469</v>
      </c>
      <c r="I79" s="5">
        <f t="shared" si="57"/>
        <v>2.0158215010930287</v>
      </c>
      <c r="J79" s="5">
        <f t="shared" si="57"/>
        <v>0</v>
      </c>
      <c r="K79" s="5">
        <f t="shared" si="57"/>
        <v>2.079760274199288</v>
      </c>
      <c r="L79" s="5">
        <f t="shared" si="57"/>
        <v>11.21716837124921</v>
      </c>
      <c r="M79" s="5">
        <f t="shared" si="57"/>
        <v>2.1887786231419331E-2</v>
      </c>
      <c r="N79" s="5">
        <f t="shared" si="57"/>
        <v>0.33423415047853694</v>
      </c>
      <c r="O79" s="5">
        <f t="shared" si="57"/>
        <v>14.690108428416208</v>
      </c>
      <c r="P79" s="5">
        <f t="shared" si="57"/>
        <v>2.1372149117647061</v>
      </c>
      <c r="Q79" s="5">
        <f t="shared" si="57"/>
        <v>19.889294035272837</v>
      </c>
      <c r="R79" s="5">
        <f t="shared" si="57"/>
        <v>0</v>
      </c>
      <c r="S79" s="5">
        <f t="shared" si="57"/>
        <v>6.6726797732207492</v>
      </c>
      <c r="T79" s="5">
        <f t="shared" si="55"/>
        <v>2.8668689551203426</v>
      </c>
      <c r="U79" s="5">
        <f t="shared" si="55"/>
        <v>0</v>
      </c>
      <c r="V79" s="5">
        <f t="shared" si="55"/>
        <v>3.4917000000000004E-2</v>
      </c>
      <c r="W79" s="5">
        <f t="shared" si="55"/>
        <v>96.285523560842549</v>
      </c>
      <c r="X79" s="5">
        <f t="shared" si="55"/>
        <v>9.0110356298391241E-3</v>
      </c>
      <c r="Y79" s="5">
        <f t="shared" si="55"/>
        <v>5.2777634421364995E-2</v>
      </c>
      <c r="Z79" s="5">
        <f t="shared" si="55"/>
        <v>4.8000839285009644E-2</v>
      </c>
      <c r="AA79" s="5">
        <f t="shared" si="55"/>
        <v>0.13396401767928287</v>
      </c>
      <c r="AB79" s="5">
        <f t="shared" si="55"/>
        <v>1.1547419925386928</v>
      </c>
      <c r="AC79" s="5">
        <f t="shared" si="55"/>
        <v>3.6881410206843226E-2</v>
      </c>
      <c r="AD79" s="5">
        <f t="shared" si="55"/>
        <v>0</v>
      </c>
      <c r="AE79" s="5">
        <f t="shared" si="55"/>
        <v>4.6560676918158565E-2</v>
      </c>
      <c r="AF79" s="5">
        <f t="shared" ref="AF79:AJ79" si="58">AF6*AF$30</f>
        <v>2.2175829233820408</v>
      </c>
      <c r="AG79" s="5">
        <f t="shared" si="58"/>
        <v>26.689641785056686</v>
      </c>
      <c r="AH79" s="5">
        <f t="shared" si="58"/>
        <v>4.9759813734810274</v>
      </c>
      <c r="AI79" s="5">
        <f t="shared" si="58"/>
        <v>3.8200019223659891E-2</v>
      </c>
      <c r="AJ79" s="5">
        <f t="shared" si="58"/>
        <v>0.24113604898477609</v>
      </c>
    </row>
    <row r="80" spans="1:36" s="5" customFormat="1" x14ac:dyDescent="0.3">
      <c r="A80" s="5" t="s">
        <v>4</v>
      </c>
      <c r="B80" s="5">
        <v>2025</v>
      </c>
      <c r="C80" s="5" t="s">
        <v>61</v>
      </c>
      <c r="D80" s="5">
        <f t="shared" si="54"/>
        <v>0</v>
      </c>
      <c r="E80" s="5">
        <f t="shared" si="55"/>
        <v>0.66305440477826549</v>
      </c>
      <c r="F80" s="5">
        <f t="shared" si="55"/>
        <v>4.1184963171561249</v>
      </c>
      <c r="G80" s="5">
        <f t="shared" si="55"/>
        <v>4.9016972757157706</v>
      </c>
      <c r="H80" s="5">
        <f t="shared" si="55"/>
        <v>4.1841630473655052</v>
      </c>
      <c r="I80" s="5">
        <f t="shared" si="55"/>
        <v>1.7518119480204031</v>
      </c>
      <c r="J80" s="5">
        <f t="shared" si="55"/>
        <v>0</v>
      </c>
      <c r="K80" s="5">
        <f t="shared" si="55"/>
        <v>2.3987201476868325</v>
      </c>
      <c r="L80" s="5">
        <f t="shared" si="55"/>
        <v>10.454746078111466</v>
      </c>
      <c r="M80" s="5">
        <f t="shared" si="55"/>
        <v>1.475398923747525E-2</v>
      </c>
      <c r="N80" s="5">
        <f t="shared" si="55"/>
        <v>0.42415172368046999</v>
      </c>
      <c r="O80" s="5">
        <f t="shared" si="55"/>
        <v>24.670847021763162</v>
      </c>
      <c r="P80" s="5">
        <f t="shared" si="55"/>
        <v>2.9163975176470589</v>
      </c>
      <c r="Q80" s="5">
        <f t="shared" si="55"/>
        <v>37.590098196503696</v>
      </c>
      <c r="R80" s="5">
        <f t="shared" si="55"/>
        <v>0</v>
      </c>
      <c r="S80" s="5">
        <f t="shared" si="55"/>
        <v>6.508377828709289</v>
      </c>
      <c r="T80" s="5">
        <f t="shared" si="55"/>
        <v>2.8674381359459513</v>
      </c>
      <c r="U80" s="5">
        <f t="shared" si="55"/>
        <v>2.7341968830102481E-2</v>
      </c>
      <c r="V80" s="5">
        <f t="shared" si="55"/>
        <v>0</v>
      </c>
      <c r="W80" s="5">
        <f t="shared" si="55"/>
        <v>93.498567828371819</v>
      </c>
      <c r="X80" s="5">
        <f t="shared" si="55"/>
        <v>1.541017687421763E-2</v>
      </c>
      <c r="Y80" s="5">
        <f t="shared" si="55"/>
        <v>5.5694991097922857E-2</v>
      </c>
      <c r="Z80" s="5">
        <f t="shared" si="55"/>
        <v>6.0735755830012207E-2</v>
      </c>
      <c r="AA80" s="5">
        <f t="shared" si="55"/>
        <v>0.15922294571713147</v>
      </c>
      <c r="AB80" s="5">
        <f t="shared" si="55"/>
        <v>0.92734664631568864</v>
      </c>
      <c r="AC80" s="5">
        <f t="shared" si="55"/>
        <v>2.6365024163928087E-2</v>
      </c>
      <c r="AD80" s="5">
        <f t="shared" si="55"/>
        <v>0</v>
      </c>
      <c r="AE80" s="5">
        <f t="shared" si="55"/>
        <v>9.5792138363171353E-2</v>
      </c>
      <c r="AF80" s="5">
        <f t="shared" ref="AF80" si="59">AF7*AF$30</f>
        <v>6.86675685823056</v>
      </c>
      <c r="AG80" s="5">
        <f t="shared" si="56"/>
        <v>22.89588444495611</v>
      </c>
      <c r="AH80" s="5">
        <f t="shared" si="56"/>
        <v>4.4281201855832029</v>
      </c>
      <c r="AI80" s="5">
        <f t="shared" si="56"/>
        <v>5.3552558595194089E-2</v>
      </c>
      <c r="AJ80" s="5">
        <f t="shared" si="56"/>
        <v>0.32623082817583232</v>
      </c>
    </row>
    <row r="81" spans="1:36" s="5" customFormat="1" x14ac:dyDescent="0.3">
      <c r="A81" s="5" t="s">
        <v>4</v>
      </c>
      <c r="B81" s="5">
        <v>2015</v>
      </c>
      <c r="C81" s="5" t="s">
        <v>62</v>
      </c>
      <c r="D81" s="5">
        <f t="shared" si="54"/>
        <v>30.565678874666215</v>
      </c>
      <c r="E81" s="5">
        <f t="shared" si="55"/>
        <v>350.64853467635254</v>
      </c>
      <c r="F81" s="5">
        <f t="shared" si="55"/>
        <v>66.231200708285542</v>
      </c>
      <c r="G81" s="5">
        <f t="shared" si="55"/>
        <v>453.15037935017273</v>
      </c>
      <c r="H81" s="5">
        <f t="shared" si="55"/>
        <v>0</v>
      </c>
      <c r="I81" s="5">
        <f t="shared" si="55"/>
        <v>174.13705015788196</v>
      </c>
      <c r="J81" s="5">
        <f t="shared" si="55"/>
        <v>9.4606245872520258</v>
      </c>
      <c r="K81" s="5">
        <f t="shared" si="55"/>
        <v>0</v>
      </c>
      <c r="L81" s="5">
        <f t="shared" si="55"/>
        <v>0</v>
      </c>
      <c r="M81" s="5">
        <f t="shared" si="55"/>
        <v>116.03412647799794</v>
      </c>
      <c r="N81" s="5">
        <f t="shared" si="55"/>
        <v>39.054037280394198</v>
      </c>
      <c r="O81" s="5">
        <f t="shared" si="55"/>
        <v>1941.2350049803692</v>
      </c>
      <c r="P81" s="5">
        <f t="shared" si="55"/>
        <v>129.52646345294119</v>
      </c>
      <c r="Q81" s="5">
        <f t="shared" si="55"/>
        <v>3074.9815721068799</v>
      </c>
      <c r="R81" s="5">
        <f t="shared" si="55"/>
        <v>0</v>
      </c>
      <c r="S81" s="5">
        <f t="shared" si="55"/>
        <v>71.388865407720161</v>
      </c>
      <c r="T81" s="5">
        <f t="shared" si="55"/>
        <v>84.322147181046788</v>
      </c>
      <c r="U81" s="5">
        <f t="shared" si="55"/>
        <v>0</v>
      </c>
      <c r="V81" s="5">
        <f t="shared" si="55"/>
        <v>0</v>
      </c>
      <c r="W81" s="5">
        <f t="shared" si="55"/>
        <v>1541.3517779142333</v>
      </c>
      <c r="X81" s="5">
        <f t="shared" si="55"/>
        <v>102.33480559066254</v>
      </c>
      <c r="Y81" s="5">
        <f t="shared" si="55"/>
        <v>0</v>
      </c>
      <c r="Z81" s="5">
        <f t="shared" si="55"/>
        <v>55.095330677701902</v>
      </c>
      <c r="AA81" s="5">
        <f t="shared" si="55"/>
        <v>7.1006764765936259</v>
      </c>
      <c r="AB81" s="5">
        <f t="shared" si="55"/>
        <v>163.39360282286114</v>
      </c>
      <c r="AC81" s="5">
        <f t="shared" si="55"/>
        <v>0</v>
      </c>
      <c r="AD81" s="5">
        <f t="shared" si="55"/>
        <v>0</v>
      </c>
      <c r="AE81" s="5">
        <f t="shared" si="55"/>
        <v>220.38459264552426</v>
      </c>
      <c r="AF81" s="5">
        <f t="shared" ref="AF81" si="60">AF8*AF$30</f>
        <v>0</v>
      </c>
      <c r="AG81" s="5">
        <f t="shared" si="56"/>
        <v>0</v>
      </c>
      <c r="AH81" s="5">
        <f t="shared" si="56"/>
        <v>167.64273447342313</v>
      </c>
      <c r="AI81" s="5">
        <f t="shared" si="56"/>
        <v>57.259531979667287</v>
      </c>
      <c r="AJ81" s="5">
        <f t="shared" si="56"/>
        <v>0</v>
      </c>
    </row>
    <row r="82" spans="1:36" s="5" customFormat="1" x14ac:dyDescent="0.3">
      <c r="A82" s="5" t="s">
        <v>4</v>
      </c>
      <c r="B82" s="5">
        <v>2020</v>
      </c>
      <c r="C82" s="5" t="s">
        <v>62</v>
      </c>
      <c r="D82" s="5">
        <f t="shared" si="54"/>
        <v>41.479238121226082</v>
      </c>
      <c r="E82" s="5">
        <f t="shared" si="55"/>
        <v>359.98226062665879</v>
      </c>
      <c r="F82" s="5">
        <f t="shared" si="55"/>
        <v>81.972585996728654</v>
      </c>
      <c r="G82" s="5">
        <f t="shared" si="55"/>
        <v>361.84484815790501</v>
      </c>
      <c r="H82" s="5">
        <f t="shared" si="55"/>
        <v>162.12966121368339</v>
      </c>
      <c r="I82" s="5">
        <f t="shared" si="55"/>
        <v>201.52406524168083</v>
      </c>
      <c r="J82" s="5">
        <f t="shared" si="55"/>
        <v>19.301910033094632</v>
      </c>
      <c r="K82" s="5">
        <f t="shared" si="55"/>
        <v>0</v>
      </c>
      <c r="L82" s="5">
        <f t="shared" si="55"/>
        <v>2058.0400121991897</v>
      </c>
      <c r="M82" s="5">
        <f t="shared" si="55"/>
        <v>134.14862049487044</v>
      </c>
      <c r="N82" s="5">
        <f t="shared" si="55"/>
        <v>52.930830036956316</v>
      </c>
      <c r="O82" s="5">
        <f t="shared" si="55"/>
        <v>2240.9331731779175</v>
      </c>
      <c r="P82" s="5">
        <f t="shared" si="55"/>
        <v>155.21403460588238</v>
      </c>
      <c r="Q82" s="5">
        <f t="shared" si="55"/>
        <v>2860.440094742049</v>
      </c>
      <c r="R82" s="5">
        <f t="shared" si="55"/>
        <v>0</v>
      </c>
      <c r="S82" s="5">
        <f t="shared" si="55"/>
        <v>104.46242949336552</v>
      </c>
      <c r="T82" s="5">
        <f t="shared" si="55"/>
        <v>117.81730040647057</v>
      </c>
      <c r="U82" s="5">
        <f t="shared" si="55"/>
        <v>262.69773052407743</v>
      </c>
      <c r="V82" s="5">
        <f t="shared" si="55"/>
        <v>14.951425500000004</v>
      </c>
      <c r="W82" s="5">
        <f t="shared" si="55"/>
        <v>1714.2259573596957</v>
      </c>
      <c r="X82" s="5">
        <f t="shared" si="55"/>
        <v>138.44215595414718</v>
      </c>
      <c r="Y82" s="5">
        <f t="shared" si="55"/>
        <v>30.62296260534125</v>
      </c>
      <c r="Z82" s="5">
        <f t="shared" si="55"/>
        <v>76.438887538965361</v>
      </c>
      <c r="AA82" s="5">
        <f t="shared" si="55"/>
        <v>8.1158686404382472</v>
      </c>
      <c r="AB82" s="5">
        <f t="shared" si="55"/>
        <v>131.35609792854359</v>
      </c>
      <c r="AC82" s="5">
        <f t="shared" si="55"/>
        <v>195.49857971099942</v>
      </c>
      <c r="AD82" s="5">
        <f t="shared" si="55"/>
        <v>0.41023310847628097</v>
      </c>
      <c r="AE82" s="5">
        <f t="shared" si="55"/>
        <v>281.49365606451403</v>
      </c>
      <c r="AF82" s="5">
        <f t="shared" ref="AF82" si="61">AF9*AF$30</f>
        <v>333.73318647958598</v>
      </c>
      <c r="AG82" s="5">
        <f t="shared" si="56"/>
        <v>137.96335351169662</v>
      </c>
      <c r="AH82" s="5">
        <f t="shared" si="56"/>
        <v>211.32162855584028</v>
      </c>
      <c r="AI82" s="5">
        <f t="shared" si="56"/>
        <v>71.164701635489834</v>
      </c>
      <c r="AJ82" s="5">
        <f t="shared" si="56"/>
        <v>0</v>
      </c>
    </row>
    <row r="83" spans="1:36" s="5" customFormat="1" x14ac:dyDescent="0.3">
      <c r="A83" s="5" t="s">
        <v>4</v>
      </c>
      <c r="B83" s="5">
        <v>2025</v>
      </c>
      <c r="C83" s="5" t="s">
        <v>62</v>
      </c>
      <c r="D83" s="5">
        <f t="shared" si="54"/>
        <v>53.819490439060644</v>
      </c>
      <c r="E83" s="5">
        <f t="shared" si="55"/>
        <v>341.9824019346907</v>
      </c>
      <c r="F83" s="5">
        <f t="shared" si="55"/>
        <v>95.375240991297204</v>
      </c>
      <c r="G83" s="5">
        <f t="shared" si="55"/>
        <v>283.22347971734422</v>
      </c>
      <c r="H83" s="5">
        <f t="shared" si="55"/>
        <v>178.074540824049</v>
      </c>
      <c r="I83" s="5">
        <f t="shared" si="55"/>
        <v>194.91981579305317</v>
      </c>
      <c r="J83" s="5">
        <f t="shared" si="55"/>
        <v>20.616891883402207</v>
      </c>
      <c r="K83" s="5">
        <f t="shared" si="55"/>
        <v>270.01502703256227</v>
      </c>
      <c r="L83" s="5">
        <f t="shared" si="55"/>
        <v>1986.1567966336418</v>
      </c>
      <c r="M83" s="5">
        <f t="shared" si="55"/>
        <v>114.81781409053048</v>
      </c>
      <c r="N83" s="5">
        <f t="shared" si="55"/>
        <v>59.417046330901158</v>
      </c>
      <c r="O83" s="5">
        <f t="shared" si="55"/>
        <v>2199.2580593646226</v>
      </c>
      <c r="P83" s="5">
        <f t="shared" si="55"/>
        <v>151.50837172058826</v>
      </c>
      <c r="Q83" s="5">
        <f t="shared" si="55"/>
        <v>2593.9158703105513</v>
      </c>
      <c r="R83" s="5">
        <f t="shared" si="55"/>
        <v>0</v>
      </c>
      <c r="S83" s="5">
        <f t="shared" si="55"/>
        <v>117.43097087696022</v>
      </c>
      <c r="T83" s="5">
        <f t="shared" si="55"/>
        <v>124.7760103168922</v>
      </c>
      <c r="U83" s="5">
        <f t="shared" si="55"/>
        <v>260.6119289018954</v>
      </c>
      <c r="V83" s="5">
        <f t="shared" si="55"/>
        <v>0</v>
      </c>
      <c r="W83" s="5">
        <f t="shared" si="55"/>
        <v>1676.1153312326614</v>
      </c>
      <c r="X83" s="5">
        <f t="shared" si="55"/>
        <v>147.21106897445412</v>
      </c>
      <c r="Y83" s="5">
        <f t="shared" si="55"/>
        <v>25.870455972106829</v>
      </c>
      <c r="Z83" s="5">
        <f t="shared" si="55"/>
        <v>84.636745162569511</v>
      </c>
      <c r="AA83" s="5">
        <f t="shared" si="55"/>
        <v>7.90946235059761</v>
      </c>
      <c r="AB83" s="5">
        <f t="shared" si="55"/>
        <v>93.748632242205488</v>
      </c>
      <c r="AC83" s="5">
        <f t="shared" si="55"/>
        <v>161.83622046008119</v>
      </c>
      <c r="AD83" s="5">
        <f t="shared" si="55"/>
        <v>0.88688718617586193</v>
      </c>
      <c r="AE83" s="5">
        <f t="shared" si="55"/>
        <v>288.61183098548588</v>
      </c>
      <c r="AF83" s="5">
        <f t="shared" ref="AF83" si="62">AF10*AF$30</f>
        <v>391.34006576469778</v>
      </c>
      <c r="AG83" s="5">
        <f t="shared" si="56"/>
        <v>160.03390060288183</v>
      </c>
      <c r="AH83" s="5">
        <f t="shared" si="56"/>
        <v>194.92932593494254</v>
      </c>
      <c r="AI83" s="5">
        <f t="shared" si="56"/>
        <v>73.443888858410361</v>
      </c>
      <c r="AJ83" s="5">
        <f t="shared" si="56"/>
        <v>0</v>
      </c>
    </row>
    <row r="84" spans="1:36" s="5" customFormat="1" x14ac:dyDescent="0.3">
      <c r="A84" s="5" t="s">
        <v>4</v>
      </c>
      <c r="B84" s="5">
        <v>2015</v>
      </c>
      <c r="C84" s="5" t="s">
        <v>63</v>
      </c>
      <c r="D84" s="5">
        <f t="shared" si="54"/>
        <v>0</v>
      </c>
      <c r="E84" s="5">
        <f t="shared" si="55"/>
        <v>0.65255031583106426</v>
      </c>
      <c r="F84" s="5">
        <f t="shared" si="55"/>
        <v>6.1842855469858059E-3</v>
      </c>
      <c r="G84" s="5">
        <f t="shared" si="55"/>
        <v>0.43351366120648477</v>
      </c>
      <c r="H84" s="5">
        <f t="shared" si="55"/>
        <v>2.2250365782346425E-2</v>
      </c>
      <c r="I84" s="5">
        <f t="shared" si="55"/>
        <v>1.041931887296575</v>
      </c>
      <c r="J84" s="5">
        <f t="shared" si="55"/>
        <v>3.5911401753828324E-3</v>
      </c>
      <c r="K84" s="5">
        <f t="shared" si="55"/>
        <v>7.4392669217081847E-2</v>
      </c>
      <c r="L84" s="5">
        <f t="shared" si="55"/>
        <v>3.510977616291421</v>
      </c>
      <c r="M84" s="5">
        <f t="shared" si="55"/>
        <v>1.2787331111644757</v>
      </c>
      <c r="N84" s="5">
        <f t="shared" si="55"/>
        <v>0.18080722827631954</v>
      </c>
      <c r="O84" s="5">
        <f t="shared" si="55"/>
        <v>0.80485123036925854</v>
      </c>
      <c r="P84" s="5">
        <f t="shared" si="55"/>
        <v>0.10859630294117649</v>
      </c>
      <c r="Q84" s="5">
        <f t="shared" si="55"/>
        <v>5.420577774560094</v>
      </c>
      <c r="R84" s="5">
        <f t="shared" si="55"/>
        <v>8.2090864445539188E-3</v>
      </c>
      <c r="S84" s="5">
        <f t="shared" si="55"/>
        <v>1.7901882991556095E-2</v>
      </c>
      <c r="T84" s="5">
        <f t="shared" si="55"/>
        <v>3.2443307059698792E-2</v>
      </c>
      <c r="U84" s="5">
        <f t="shared" si="55"/>
        <v>0.21873575064081985</v>
      </c>
      <c r="V84" s="5">
        <f t="shared" si="55"/>
        <v>0</v>
      </c>
      <c r="W84" s="5">
        <f t="shared" si="55"/>
        <v>0.45091786946371004</v>
      </c>
      <c r="X84" s="5">
        <f t="shared" si="55"/>
        <v>2.20705075571422E-2</v>
      </c>
      <c r="Y84" s="5">
        <f t="shared" si="55"/>
        <v>7.6912130563798226E-2</v>
      </c>
      <c r="Z84" s="5">
        <f t="shared" si="55"/>
        <v>3.4449581935840259E-2</v>
      </c>
      <c r="AA84" s="5">
        <f t="shared" si="55"/>
        <v>1.1337340637450202E-2</v>
      </c>
      <c r="AB84" s="5">
        <f t="shared" si="55"/>
        <v>1.2205347193284304</v>
      </c>
      <c r="AC84" s="5">
        <f t="shared" si="55"/>
        <v>10.220149816354146</v>
      </c>
      <c r="AD84" s="5">
        <f t="shared" si="55"/>
        <v>2.6162216294789029E-2</v>
      </c>
      <c r="AE84" s="5">
        <f t="shared" si="55"/>
        <v>0.12445855895140663</v>
      </c>
      <c r="AF84" s="5">
        <f t="shared" ref="AF84" si="63">AF11*AF$30</f>
        <v>0.36645090614812953</v>
      </c>
      <c r="AG84" s="5">
        <f t="shared" si="56"/>
        <v>0</v>
      </c>
      <c r="AH84" s="5">
        <f t="shared" si="56"/>
        <v>0.57781287302637008</v>
      </c>
      <c r="AI84" s="5">
        <f t="shared" si="56"/>
        <v>3.4815207393715339E-2</v>
      </c>
      <c r="AJ84" s="5">
        <f t="shared" si="56"/>
        <v>1.4045764758041807E-2</v>
      </c>
    </row>
    <row r="85" spans="1:36" s="5" customFormat="1" x14ac:dyDescent="0.3">
      <c r="A85" s="5" t="s">
        <v>4</v>
      </c>
      <c r="B85" s="5">
        <v>2020</v>
      </c>
      <c r="C85" s="5" t="s">
        <v>63</v>
      </c>
      <c r="D85" s="5">
        <f t="shared" si="54"/>
        <v>3.7833337616397296E-2</v>
      </c>
      <c r="E85" s="5">
        <f t="shared" si="55"/>
        <v>5.7716726762108852</v>
      </c>
      <c r="F85" s="5">
        <f t="shared" si="55"/>
        <v>4.8760712966618861E-3</v>
      </c>
      <c r="G85" s="5">
        <f t="shared" si="55"/>
        <v>4.1525563935826471</v>
      </c>
      <c r="H85" s="5">
        <f t="shared" si="55"/>
        <v>0.23502708774467562</v>
      </c>
      <c r="I85" s="5">
        <f t="shared" si="55"/>
        <v>6.0027944741316492</v>
      </c>
      <c r="J85" s="5">
        <f t="shared" si="55"/>
        <v>3.7472767047473036E-2</v>
      </c>
      <c r="K85" s="5">
        <f t="shared" si="55"/>
        <v>0.8460731482206405</v>
      </c>
      <c r="L85" s="5">
        <f t="shared" si="55"/>
        <v>41.737826714469286</v>
      </c>
      <c r="M85" s="5">
        <f t="shared" si="55"/>
        <v>5.1697329761113826</v>
      </c>
      <c r="N85" s="5">
        <f t="shared" si="55"/>
        <v>0.28725019330995921</v>
      </c>
      <c r="O85" s="5">
        <f t="shared" si="55"/>
        <v>6.6320785248222531</v>
      </c>
      <c r="P85" s="5">
        <f t="shared" si="55"/>
        <v>1.6461348264705884</v>
      </c>
      <c r="Q85" s="5">
        <f t="shared" si="55"/>
        <v>31.708458891466226</v>
      </c>
      <c r="R85" s="5">
        <f t="shared" si="55"/>
        <v>0.10789085041413722</v>
      </c>
      <c r="S85" s="5">
        <f t="shared" si="55"/>
        <v>0.14431333896260556</v>
      </c>
      <c r="T85" s="5">
        <f t="shared" si="55"/>
        <v>1.0446365419339272</v>
      </c>
      <c r="U85" s="5">
        <f t="shared" si="55"/>
        <v>2.4842131679921682</v>
      </c>
      <c r="V85" s="5">
        <f t="shared" si="55"/>
        <v>1.0629345000000003</v>
      </c>
      <c r="W85" s="5">
        <f t="shared" si="55"/>
        <v>5.2212630002758003</v>
      </c>
      <c r="X85" s="5">
        <f t="shared" si="55"/>
        <v>0.32322193020075113</v>
      </c>
      <c r="Y85" s="5">
        <f t="shared" si="55"/>
        <v>0.53467191454005947</v>
      </c>
      <c r="Z85" s="5">
        <f t="shared" si="55"/>
        <v>0.19673813380420621</v>
      </c>
      <c r="AA85" s="5">
        <f t="shared" si="55"/>
        <v>0.10778809885458168</v>
      </c>
      <c r="AB85" s="5">
        <f t="shared" si="55"/>
        <v>21.293442342413492</v>
      </c>
      <c r="AC85" s="5">
        <f t="shared" si="55"/>
        <v>50.909232361299047</v>
      </c>
      <c r="AD85" s="5">
        <f t="shared" si="55"/>
        <v>1.1673843727519562</v>
      </c>
      <c r="AE85" s="5">
        <f t="shared" si="55"/>
        <v>2.3991657404731455</v>
      </c>
      <c r="AF85" s="5">
        <f t="shared" ref="AF85" si="64">AF12*AF$30</f>
        <v>0.55048268402215783</v>
      </c>
      <c r="AG85" s="5">
        <f t="shared" si="56"/>
        <v>2.0356394160432983E-2</v>
      </c>
      <c r="AH85" s="5">
        <f t="shared" si="56"/>
        <v>6.7652004587914352</v>
      </c>
      <c r="AI85" s="5">
        <f t="shared" si="56"/>
        <v>0.44365212199630316</v>
      </c>
      <c r="AJ85" s="5">
        <f t="shared" si="56"/>
        <v>0.19100189594329842</v>
      </c>
    </row>
    <row r="86" spans="1:36" s="5" customFormat="1" x14ac:dyDescent="0.3">
      <c r="A86" s="5" t="s">
        <v>4</v>
      </c>
      <c r="B86" s="5">
        <v>2025</v>
      </c>
      <c r="C86" s="5" t="s">
        <v>63</v>
      </c>
      <c r="D86" s="5">
        <f t="shared" si="54"/>
        <v>0.30214414101934967</v>
      </c>
      <c r="E86" s="5">
        <f t="shared" si="55"/>
        <v>20.163960375312438</v>
      </c>
      <c r="F86" s="5">
        <f t="shared" si="55"/>
        <v>3.9365356077928883E-2</v>
      </c>
      <c r="G86" s="5">
        <f t="shared" si="55"/>
        <v>23.71412519895479</v>
      </c>
      <c r="H86" s="5">
        <f t="shared" si="55"/>
        <v>1.3948426024867659</v>
      </c>
      <c r="I86" s="5">
        <f t="shared" si="55"/>
        <v>21.512975399562787</v>
      </c>
      <c r="J86" s="5">
        <f t="shared" si="55"/>
        <v>0.28104575285604777</v>
      </c>
      <c r="K86" s="5">
        <f t="shared" si="55"/>
        <v>2.3414388357651243</v>
      </c>
      <c r="L86" s="5">
        <f t="shared" si="55"/>
        <v>190.22490228826982</v>
      </c>
      <c r="M86" s="5">
        <f t="shared" si="55"/>
        <v>32.444022333208075</v>
      </c>
      <c r="N86" s="5">
        <f t="shared" si="55"/>
        <v>0.93903108878991759</v>
      </c>
      <c r="O86" s="5">
        <f t="shared" si="55"/>
        <v>23.069741102871049</v>
      </c>
      <c r="P86" s="5">
        <f t="shared" si="55"/>
        <v>14.216859379411765</v>
      </c>
      <c r="Q86" s="5">
        <f t="shared" si="55"/>
        <v>112.32009982911228</v>
      </c>
      <c r="R86" s="5">
        <f t="shared" si="55"/>
        <v>1.2035107091033512</v>
      </c>
      <c r="S86" s="5">
        <f t="shared" si="55"/>
        <v>0.77516251628468047</v>
      </c>
      <c r="T86" s="5">
        <f t="shared" si="55"/>
        <v>3.9095133641646398</v>
      </c>
      <c r="U86" s="5">
        <f t="shared" si="55"/>
        <v>11.600806775057766</v>
      </c>
      <c r="V86" s="5">
        <f t="shared" si="55"/>
        <v>4.8138000000000005</v>
      </c>
      <c r="W86" s="5">
        <f t="shared" si="55"/>
        <v>21.595660790153339</v>
      </c>
      <c r="X86" s="5">
        <f t="shared" si="55"/>
        <v>1.4919140729751033</v>
      </c>
      <c r="Y86" s="5">
        <f t="shared" si="55"/>
        <v>3.0853698997032644</v>
      </c>
      <c r="Z86" s="5">
        <f t="shared" si="55"/>
        <v>1.0398549163477089</v>
      </c>
      <c r="AA86" s="5">
        <f t="shared" si="55"/>
        <v>0.36379525398406376</v>
      </c>
      <c r="AB86" s="5">
        <f t="shared" si="55"/>
        <v>54.480420910364764</v>
      </c>
      <c r="AC86" s="5">
        <f t="shared" si="55"/>
        <v>102.07559776725304</v>
      </c>
      <c r="AD86" s="5">
        <f t="shared" si="55"/>
        <v>6.1360551496143545</v>
      </c>
      <c r="AE86" s="5">
        <f t="shared" si="55"/>
        <v>9.8506545703964186</v>
      </c>
      <c r="AF86" s="5">
        <f t="shared" ref="AF86" si="65">AF13*AF$30</f>
        <v>3.7253154375726627</v>
      </c>
      <c r="AG86" s="5">
        <f t="shared" si="56"/>
        <v>0.18742336871972617</v>
      </c>
      <c r="AH86" s="5">
        <f t="shared" si="56"/>
        <v>35.368817232784984</v>
      </c>
      <c r="AI86" s="5">
        <f t="shared" si="56"/>
        <v>1.5404520410351203</v>
      </c>
      <c r="AJ86" s="5">
        <f t="shared" si="56"/>
        <v>0.8095281644488912</v>
      </c>
    </row>
    <row r="87" spans="1:36" s="5" customFormat="1" x14ac:dyDescent="0.3">
      <c r="A87" s="5" t="s">
        <v>4</v>
      </c>
      <c r="B87" s="5">
        <v>2015</v>
      </c>
      <c r="C87" s="5" t="s">
        <v>64</v>
      </c>
      <c r="D87" s="5">
        <f t="shared" si="54"/>
        <v>11.610027097045146</v>
      </c>
      <c r="E87" s="5">
        <f t="shared" si="55"/>
        <v>261.84216855262702</v>
      </c>
      <c r="F87" s="5">
        <f t="shared" si="55"/>
        <v>31.693393071188353</v>
      </c>
      <c r="G87" s="5">
        <f t="shared" si="55"/>
        <v>279.62964231732735</v>
      </c>
      <c r="H87" s="5">
        <f t="shared" si="55"/>
        <v>0</v>
      </c>
      <c r="I87" s="5">
        <f t="shared" si="55"/>
        <v>440.12702062181194</v>
      </c>
      <c r="J87" s="5">
        <f t="shared" si="55"/>
        <v>66.304314013798788</v>
      </c>
      <c r="K87" s="5">
        <f t="shared" si="55"/>
        <v>1.4326588233096085</v>
      </c>
      <c r="L87" s="5">
        <f t="shared" si="55"/>
        <v>17.818346440279587</v>
      </c>
      <c r="M87" s="5">
        <f t="shared" si="55"/>
        <v>270.20763939836917</v>
      </c>
      <c r="N87" s="5">
        <f t="shared" si="55"/>
        <v>69.930273795129352</v>
      </c>
      <c r="O87" s="5">
        <f t="shared" si="55"/>
        <v>1479.5406855454066</v>
      </c>
      <c r="P87" s="5">
        <f t="shared" si="55"/>
        <v>402.90699482647062</v>
      </c>
      <c r="Q87" s="5">
        <f t="shared" si="55"/>
        <v>1686.2322888303656</v>
      </c>
      <c r="R87" s="5">
        <f t="shared" si="55"/>
        <v>0</v>
      </c>
      <c r="S87" s="5">
        <f t="shared" si="55"/>
        <v>87.29715956453559</v>
      </c>
      <c r="T87" s="5">
        <f t="shared" si="55"/>
        <v>216.40748279693562</v>
      </c>
      <c r="U87" s="5">
        <f t="shared" si="55"/>
        <v>4.0387993957608517</v>
      </c>
      <c r="V87" s="5">
        <f t="shared" si="55"/>
        <v>0</v>
      </c>
      <c r="W87" s="5">
        <f t="shared" si="55"/>
        <v>1827.15314394849</v>
      </c>
      <c r="X87" s="5">
        <f t="shared" si="55"/>
        <v>59.594941219458491</v>
      </c>
      <c r="Y87" s="5">
        <f t="shared" si="55"/>
        <v>17.10857301543027</v>
      </c>
      <c r="Z87" s="5">
        <f t="shared" si="55"/>
        <v>55.73517860000787</v>
      </c>
      <c r="AA87" s="5">
        <f t="shared" si="55"/>
        <v>15.750233754980082</v>
      </c>
      <c r="AB87" s="5">
        <f t="shared" si="55"/>
        <v>784.68681884087312</v>
      </c>
      <c r="AC87" s="5">
        <f t="shared" si="55"/>
        <v>0.11938319930407887</v>
      </c>
      <c r="AD87" s="5">
        <f t="shared" si="55"/>
        <v>1.3379763584549641E-2</v>
      </c>
      <c r="AE87" s="5">
        <f t="shared" si="55"/>
        <v>194.44771384373402</v>
      </c>
      <c r="AF87" s="5">
        <f t="shared" ref="AF87" si="66">AF14*AF$30</f>
        <v>7.588939293774363E-4</v>
      </c>
      <c r="AG87" s="5">
        <f t="shared" si="56"/>
        <v>0</v>
      </c>
      <c r="AH87" s="5">
        <f t="shared" si="56"/>
        <v>386.45131421633459</v>
      </c>
      <c r="AI87" s="5">
        <f t="shared" si="56"/>
        <v>72.055390691312383</v>
      </c>
      <c r="AJ87" s="5">
        <f t="shared" si="56"/>
        <v>0</v>
      </c>
    </row>
    <row r="88" spans="1:36" s="5" customFormat="1" x14ac:dyDescent="0.3">
      <c r="A88" s="5" t="s">
        <v>4</v>
      </c>
      <c r="B88" s="5">
        <v>2020</v>
      </c>
      <c r="C88" s="5" t="s">
        <v>64</v>
      </c>
      <c r="D88" s="5">
        <f t="shared" si="54"/>
        <v>10.289936247783503</v>
      </c>
      <c r="E88" s="5">
        <f t="shared" ref="E88:AE97" si="67">E15*E$30</f>
        <v>284.72279756195076</v>
      </c>
      <c r="F88" s="5">
        <f t="shared" si="67"/>
        <v>24.843226470787673</v>
      </c>
      <c r="G88" s="5">
        <f t="shared" si="67"/>
        <v>379.13468513961385</v>
      </c>
      <c r="H88" s="5">
        <f t="shared" si="67"/>
        <v>143.46768365720791</v>
      </c>
      <c r="I88" s="5">
        <f t="shared" si="67"/>
        <v>428.09833602380371</v>
      </c>
      <c r="J88" s="5">
        <f t="shared" si="67"/>
        <v>69.372084542751907</v>
      </c>
      <c r="K88" s="5">
        <f t="shared" si="67"/>
        <v>0.16954850978647687</v>
      </c>
      <c r="L88" s="5">
        <f t="shared" si="67"/>
        <v>4246.2376362135292</v>
      </c>
      <c r="M88" s="5">
        <f t="shared" si="67"/>
        <v>297.40896946802775</v>
      </c>
      <c r="N88" s="5">
        <f t="shared" si="67"/>
        <v>75.568348655358662</v>
      </c>
      <c r="O88" s="5">
        <f t="shared" si="67"/>
        <v>1661.3365147711913</v>
      </c>
      <c r="P88" s="5">
        <f t="shared" si="67"/>
        <v>417.55245422647062</v>
      </c>
      <c r="Q88" s="5">
        <f t="shared" si="67"/>
        <v>1971.6240721771271</v>
      </c>
      <c r="R88" s="5">
        <f t="shared" si="67"/>
        <v>0</v>
      </c>
      <c r="S88" s="5">
        <f t="shared" si="67"/>
        <v>80.50443833051871</v>
      </c>
      <c r="T88" s="5">
        <f t="shared" si="67"/>
        <v>250.21018339513</v>
      </c>
      <c r="U88" s="5">
        <f t="shared" si="67"/>
        <v>167.97733850550816</v>
      </c>
      <c r="V88" s="5">
        <f t="shared" si="67"/>
        <v>26.498782500000008</v>
      </c>
      <c r="W88" s="5">
        <f t="shared" si="67"/>
        <v>1778.3615483401932</v>
      </c>
      <c r="X88" s="5">
        <f t="shared" si="67"/>
        <v>61.850181426584456</v>
      </c>
      <c r="Y88" s="5">
        <f t="shared" si="67"/>
        <v>24.654316059347185</v>
      </c>
      <c r="Z88" s="5">
        <f t="shared" si="67"/>
        <v>40.468299416801464</v>
      </c>
      <c r="AA88" s="5">
        <f t="shared" si="67"/>
        <v>17.064531640936256</v>
      </c>
      <c r="AB88" s="5">
        <f t="shared" si="67"/>
        <v>855.71343668411328</v>
      </c>
      <c r="AC88" s="5">
        <f t="shared" si="67"/>
        <v>148.00969082157354</v>
      </c>
      <c r="AD88" s="5">
        <f t="shared" si="67"/>
        <v>3.1896400688167452E-2</v>
      </c>
      <c r="AE88" s="5">
        <f t="shared" si="67"/>
        <v>199.53012777218669</v>
      </c>
      <c r="AF88" s="5">
        <f t="shared" ref="AF88" si="68">AF15*AF$30</f>
        <v>349.84241764196315</v>
      </c>
      <c r="AG88" s="5">
        <f t="shared" si="56"/>
        <v>95.77563000447266</v>
      </c>
      <c r="AH88" s="5">
        <f t="shared" si="56"/>
        <v>343.9559361130859</v>
      </c>
      <c r="AI88" s="5">
        <f t="shared" si="56"/>
        <v>68.74456117707949</v>
      </c>
      <c r="AJ88" s="5">
        <f t="shared" si="56"/>
        <v>0</v>
      </c>
    </row>
    <row r="89" spans="1:36" s="5" customFormat="1" x14ac:dyDescent="0.3">
      <c r="A89" s="5" t="s">
        <v>4</v>
      </c>
      <c r="B89" s="5">
        <v>2025</v>
      </c>
      <c r="C89" s="5" t="s">
        <v>64</v>
      </c>
      <c r="D89" s="5">
        <f t="shared" si="54"/>
        <v>18.650999349024939</v>
      </c>
      <c r="E89" s="5">
        <f t="shared" si="67"/>
        <v>283.78780396553941</v>
      </c>
      <c r="F89" s="5">
        <f t="shared" si="67"/>
        <v>24.417818982295977</v>
      </c>
      <c r="G89" s="5">
        <f t="shared" si="67"/>
        <v>408.54892032345248</v>
      </c>
      <c r="H89" s="5">
        <f t="shared" si="67"/>
        <v>131.51741343161393</v>
      </c>
      <c r="I89" s="5">
        <f t="shared" si="67"/>
        <v>409.75707099101288</v>
      </c>
      <c r="J89" s="5">
        <f t="shared" si="67"/>
        <v>71.971289347082262</v>
      </c>
      <c r="K89" s="5">
        <f t="shared" si="67"/>
        <v>389.17935393790037</v>
      </c>
      <c r="L89" s="5">
        <f t="shared" si="67"/>
        <v>4083.9996817679225</v>
      </c>
      <c r="M89" s="5">
        <f t="shared" si="67"/>
        <v>291.25850153699895</v>
      </c>
      <c r="N89" s="5">
        <f t="shared" si="67"/>
        <v>74.189612532929033</v>
      </c>
      <c r="O89" s="5">
        <f t="shared" si="67"/>
        <v>1671.470763040367</v>
      </c>
      <c r="P89" s="5">
        <f t="shared" si="67"/>
        <v>401.8912805470589</v>
      </c>
      <c r="Q89" s="5">
        <f t="shared" si="67"/>
        <v>2069.2926611488474</v>
      </c>
      <c r="R89" s="5">
        <f t="shared" si="67"/>
        <v>0</v>
      </c>
      <c r="S89" s="5">
        <f t="shared" si="67"/>
        <v>80.313777785283492</v>
      </c>
      <c r="T89" s="5">
        <f t="shared" si="67"/>
        <v>263.89594661995051</v>
      </c>
      <c r="U89" s="5">
        <f t="shared" si="67"/>
        <v>162.47183778178965</v>
      </c>
      <c r="V89" s="5">
        <f t="shared" si="67"/>
        <v>0</v>
      </c>
      <c r="W89" s="5">
        <f t="shared" si="67"/>
        <v>1743.406560357224</v>
      </c>
      <c r="X89" s="5">
        <f t="shared" si="67"/>
        <v>65.073912071839217</v>
      </c>
      <c r="Y89" s="5">
        <f t="shared" si="67"/>
        <v>26.158611247477751</v>
      </c>
      <c r="Z89" s="5">
        <f t="shared" si="67"/>
        <v>34.858568678727842</v>
      </c>
      <c r="AA89" s="5">
        <f t="shared" si="67"/>
        <v>17.584882231075696</v>
      </c>
      <c r="AB89" s="5">
        <f t="shared" si="67"/>
        <v>852.07547870167809</v>
      </c>
      <c r="AC89" s="5">
        <f t="shared" si="67"/>
        <v>112.6091655113087</v>
      </c>
      <c r="AD89" s="5">
        <f t="shared" si="67"/>
        <v>5.0174113442061151E-2</v>
      </c>
      <c r="AE89" s="5">
        <f t="shared" si="67"/>
        <v>197.09998093120203</v>
      </c>
      <c r="AF89" s="5">
        <f t="shared" ref="AF89" si="69">AF16*AF$30</f>
        <v>352.08741560854401</v>
      </c>
      <c r="AG89" s="5">
        <f t="shared" si="56"/>
        <v>103.00058405495248</v>
      </c>
      <c r="AH89" s="5">
        <f t="shared" si="56"/>
        <v>312.62513958791436</v>
      </c>
      <c r="AI89" s="5">
        <f t="shared" si="56"/>
        <v>68.12514061219963</v>
      </c>
      <c r="AJ89" s="5">
        <f t="shared" si="56"/>
        <v>0</v>
      </c>
    </row>
    <row r="90" spans="1:36" s="5" customFormat="1" x14ac:dyDescent="0.3">
      <c r="A90" s="5" t="s">
        <v>4</v>
      </c>
      <c r="B90" s="5">
        <v>2015</v>
      </c>
      <c r="C90" s="5" t="s">
        <v>65</v>
      </c>
      <c r="D90" s="5">
        <f t="shared" si="54"/>
        <v>0</v>
      </c>
      <c r="E90" s="5">
        <f t="shared" si="67"/>
        <v>7.7808066275564095E-4</v>
      </c>
      <c r="F90" s="5">
        <f t="shared" si="67"/>
        <v>0</v>
      </c>
      <c r="G90" s="5">
        <f t="shared" si="67"/>
        <v>2.6138900283779603E-4</v>
      </c>
      <c r="H90" s="5">
        <f t="shared" si="67"/>
        <v>0</v>
      </c>
      <c r="I90" s="5">
        <f t="shared" si="67"/>
        <v>6.9148651931017727E-4</v>
      </c>
      <c r="J90" s="5">
        <f t="shared" si="67"/>
        <v>0</v>
      </c>
      <c r="K90" s="5">
        <f t="shared" si="67"/>
        <v>0</v>
      </c>
      <c r="L90" s="5">
        <f t="shared" si="67"/>
        <v>1.296360966015294E-2</v>
      </c>
      <c r="M90" s="5">
        <f t="shared" si="67"/>
        <v>8.917246242430097E-3</v>
      </c>
      <c r="N90" s="5">
        <f t="shared" si="67"/>
        <v>0</v>
      </c>
      <c r="O90" s="5">
        <f t="shared" si="67"/>
        <v>3.0701935165716515E-4</v>
      </c>
      <c r="P90" s="5">
        <f t="shared" si="67"/>
        <v>0</v>
      </c>
      <c r="Q90" s="5">
        <f t="shared" si="67"/>
        <v>3.2341577614854625E-3</v>
      </c>
      <c r="R90" s="5">
        <f t="shared" si="67"/>
        <v>0</v>
      </c>
      <c r="S90" s="5">
        <f t="shared" si="67"/>
        <v>0</v>
      </c>
      <c r="T90" s="5">
        <f t="shared" si="67"/>
        <v>0</v>
      </c>
      <c r="U90" s="5">
        <f t="shared" si="67"/>
        <v>0</v>
      </c>
      <c r="V90" s="5">
        <f t="shared" si="67"/>
        <v>0</v>
      </c>
      <c r="W90" s="5">
        <f t="shared" si="67"/>
        <v>1.0820454982767912E-3</v>
      </c>
      <c r="X90" s="5">
        <f t="shared" si="67"/>
        <v>0</v>
      </c>
      <c r="Y90" s="5">
        <f t="shared" si="67"/>
        <v>0</v>
      </c>
      <c r="Z90" s="5">
        <f t="shared" si="67"/>
        <v>0</v>
      </c>
      <c r="AA90" s="5">
        <f t="shared" si="67"/>
        <v>0</v>
      </c>
      <c r="AB90" s="5">
        <f t="shared" si="67"/>
        <v>2.5728999303249386E-3</v>
      </c>
      <c r="AC90" s="5">
        <f t="shared" si="67"/>
        <v>3.702952832012372E-3</v>
      </c>
      <c r="AD90" s="5">
        <f t="shared" si="67"/>
        <v>0</v>
      </c>
      <c r="AE90" s="5">
        <f t="shared" si="67"/>
        <v>0</v>
      </c>
      <c r="AF90" s="5">
        <f t="shared" ref="AF90" si="70">AF17*AF$30</f>
        <v>0</v>
      </c>
      <c r="AG90" s="5">
        <f t="shared" si="56"/>
        <v>0</v>
      </c>
      <c r="AH90" s="5">
        <f t="shared" si="56"/>
        <v>4.8504753244606099E-4</v>
      </c>
      <c r="AI90" s="5">
        <f t="shared" si="56"/>
        <v>0</v>
      </c>
      <c r="AJ90" s="5">
        <f t="shared" si="56"/>
        <v>0</v>
      </c>
    </row>
    <row r="91" spans="1:36" s="5" customFormat="1" x14ac:dyDescent="0.3">
      <c r="A91" s="5" t="s">
        <v>4</v>
      </c>
      <c r="B91" s="5">
        <v>2020</v>
      </c>
      <c r="C91" s="5" t="s">
        <v>65</v>
      </c>
      <c r="D91" s="5">
        <f t="shared" si="54"/>
        <v>0</v>
      </c>
      <c r="E91" s="5">
        <f t="shared" si="67"/>
        <v>5.8356049706673073E-3</v>
      </c>
      <c r="F91" s="5">
        <f t="shared" si="67"/>
        <v>0</v>
      </c>
      <c r="G91" s="5">
        <f t="shared" si="67"/>
        <v>2.6138900283779604E-3</v>
      </c>
      <c r="H91" s="5">
        <f t="shared" si="67"/>
        <v>0</v>
      </c>
      <c r="I91" s="5">
        <f t="shared" si="67"/>
        <v>1.1478676220548944E-2</v>
      </c>
      <c r="J91" s="5">
        <f t="shared" si="67"/>
        <v>0</v>
      </c>
      <c r="K91" s="5">
        <f t="shared" si="67"/>
        <v>1.0433754448398576E-4</v>
      </c>
      <c r="L91" s="5">
        <f t="shared" si="67"/>
        <v>0.11829293814889558</v>
      </c>
      <c r="M91" s="5">
        <f t="shared" si="67"/>
        <v>1.8320887734447289E-2</v>
      </c>
      <c r="N91" s="5">
        <f t="shared" si="67"/>
        <v>0</v>
      </c>
      <c r="O91" s="5">
        <f t="shared" si="67"/>
        <v>1.3815870824572432E-3</v>
      </c>
      <c r="P91" s="5">
        <f t="shared" si="67"/>
        <v>1.6529117647058825E-4</v>
      </c>
      <c r="Q91" s="5">
        <f t="shared" si="67"/>
        <v>4.3725812935283451E-2</v>
      </c>
      <c r="R91" s="5">
        <f t="shared" si="67"/>
        <v>0</v>
      </c>
      <c r="S91" s="5">
        <f t="shared" si="67"/>
        <v>0</v>
      </c>
      <c r="T91" s="5">
        <f t="shared" si="67"/>
        <v>0</v>
      </c>
      <c r="U91" s="5">
        <f t="shared" si="67"/>
        <v>0</v>
      </c>
      <c r="V91" s="5">
        <f t="shared" si="67"/>
        <v>0</v>
      </c>
      <c r="W91" s="5">
        <f t="shared" si="67"/>
        <v>3.4428720399716085E-3</v>
      </c>
      <c r="X91" s="5">
        <f t="shared" si="67"/>
        <v>0</v>
      </c>
      <c r="Y91" s="5">
        <f t="shared" si="67"/>
        <v>2.6521424332344218E-4</v>
      </c>
      <c r="Z91" s="5">
        <f t="shared" si="67"/>
        <v>0</v>
      </c>
      <c r="AA91" s="5">
        <f t="shared" si="67"/>
        <v>0</v>
      </c>
      <c r="AB91" s="5">
        <f t="shared" si="67"/>
        <v>2.2053427974213758E-3</v>
      </c>
      <c r="AC91" s="5">
        <f t="shared" si="67"/>
        <v>2.6068787937367097E-2</v>
      </c>
      <c r="AD91" s="5">
        <f t="shared" si="67"/>
        <v>1.1946217486205037E-4</v>
      </c>
      <c r="AE91" s="5">
        <f t="shared" si="67"/>
        <v>0</v>
      </c>
      <c r="AF91" s="5">
        <f t="shared" ref="AF91" si="71">AF18*AF$30</f>
        <v>0</v>
      </c>
      <c r="AG91" s="5">
        <f t="shared" si="56"/>
        <v>0</v>
      </c>
      <c r="AH91" s="5">
        <f t="shared" si="56"/>
        <v>4.7292134413490948E-3</v>
      </c>
      <c r="AI91" s="5">
        <f t="shared" si="56"/>
        <v>0</v>
      </c>
      <c r="AJ91" s="5">
        <f t="shared" si="56"/>
        <v>0</v>
      </c>
    </row>
    <row r="92" spans="1:36" s="5" customFormat="1" x14ac:dyDescent="0.3">
      <c r="A92" s="5" t="s">
        <v>4</v>
      </c>
      <c r="B92" s="5">
        <v>2025</v>
      </c>
      <c r="C92" s="5" t="s">
        <v>65</v>
      </c>
      <c r="D92" s="5">
        <f t="shared" si="54"/>
        <v>0</v>
      </c>
      <c r="E92" s="5">
        <f t="shared" si="67"/>
        <v>8.6885674007713253E-3</v>
      </c>
      <c r="F92" s="5">
        <f t="shared" si="67"/>
        <v>0</v>
      </c>
      <c r="G92" s="5">
        <f t="shared" si="67"/>
        <v>3.7901405411480426E-3</v>
      </c>
      <c r="H92" s="5">
        <f t="shared" si="67"/>
        <v>1.2158669826418811E-4</v>
      </c>
      <c r="I92" s="5">
        <f t="shared" si="67"/>
        <v>3.0148812241923728E-2</v>
      </c>
      <c r="J92" s="5">
        <f t="shared" si="67"/>
        <v>0</v>
      </c>
      <c r="K92" s="5">
        <f t="shared" si="67"/>
        <v>2.9214512455516014E-3</v>
      </c>
      <c r="L92" s="5">
        <f t="shared" si="67"/>
        <v>0.29789294698226443</v>
      </c>
      <c r="M92" s="5">
        <f t="shared" si="67"/>
        <v>6.9716652440817116E-3</v>
      </c>
      <c r="N92" s="5">
        <f t="shared" si="67"/>
        <v>3.2402729081777693E-4</v>
      </c>
      <c r="O92" s="5">
        <f t="shared" si="67"/>
        <v>5.0658193023432252E-3</v>
      </c>
      <c r="P92" s="5">
        <f t="shared" si="67"/>
        <v>3.305823529411765E-4</v>
      </c>
      <c r="Q92" s="5">
        <f t="shared" si="67"/>
        <v>0.111901858547397</v>
      </c>
      <c r="R92" s="5">
        <f t="shared" si="67"/>
        <v>0</v>
      </c>
      <c r="S92" s="5">
        <f t="shared" si="67"/>
        <v>1.0982750301568156E-4</v>
      </c>
      <c r="T92" s="5">
        <f t="shared" si="67"/>
        <v>2.8459041280437536E-4</v>
      </c>
      <c r="U92" s="5">
        <f t="shared" si="67"/>
        <v>0</v>
      </c>
      <c r="V92" s="5">
        <f t="shared" si="67"/>
        <v>0</v>
      </c>
      <c r="W92" s="5">
        <f t="shared" si="67"/>
        <v>5.7053308090958084E-3</v>
      </c>
      <c r="X92" s="5">
        <f t="shared" si="67"/>
        <v>0</v>
      </c>
      <c r="Y92" s="5">
        <f t="shared" si="67"/>
        <v>5.3042848664688435E-4</v>
      </c>
      <c r="Z92" s="5">
        <f t="shared" si="67"/>
        <v>0</v>
      </c>
      <c r="AA92" s="5">
        <f t="shared" si="67"/>
        <v>0</v>
      </c>
      <c r="AB92" s="5">
        <f t="shared" si="67"/>
        <v>3.4305332404332518E-3</v>
      </c>
      <c r="AC92" s="5">
        <f t="shared" si="67"/>
        <v>2.1032772085830272E-2</v>
      </c>
      <c r="AD92" s="5">
        <f t="shared" si="67"/>
        <v>1.6366317956100902E-2</v>
      </c>
      <c r="AE92" s="5">
        <f t="shared" si="67"/>
        <v>8.9026150895140659E-5</v>
      </c>
      <c r="AF92" s="5">
        <f t="shared" ref="AF92" si="72">AF19*AF$30</f>
        <v>0</v>
      </c>
      <c r="AG92" s="5">
        <f t="shared" si="56"/>
        <v>0</v>
      </c>
      <c r="AH92" s="5">
        <f t="shared" si="56"/>
        <v>5.2142609737951548E-3</v>
      </c>
      <c r="AI92" s="5">
        <f t="shared" si="56"/>
        <v>0</v>
      </c>
      <c r="AJ92" s="5">
        <f t="shared" si="56"/>
        <v>3.0757149105201033E-4</v>
      </c>
    </row>
    <row r="93" spans="1:36" s="5" customFormat="1" x14ac:dyDescent="0.3">
      <c r="A93" s="5" t="s">
        <v>4</v>
      </c>
      <c r="B93" s="5">
        <v>2015</v>
      </c>
      <c r="C93" s="5" t="s">
        <v>66</v>
      </c>
      <c r="D93" s="5">
        <f t="shared" si="54"/>
        <v>1.9857276649490295E-3</v>
      </c>
      <c r="E93" s="5">
        <f t="shared" si="67"/>
        <v>1.296801104592735E-4</v>
      </c>
      <c r="F93" s="5">
        <f t="shared" si="67"/>
        <v>1.1892856821126551E-4</v>
      </c>
      <c r="G93" s="5">
        <f t="shared" si="67"/>
        <v>2.3525010255401641E-3</v>
      </c>
      <c r="H93" s="5">
        <f t="shared" si="67"/>
        <v>17.168649728394684</v>
      </c>
      <c r="I93" s="5">
        <f t="shared" si="67"/>
        <v>6.2233786737915953E-3</v>
      </c>
      <c r="J93" s="5">
        <f t="shared" si="67"/>
        <v>0</v>
      </c>
      <c r="K93" s="5">
        <f t="shared" si="67"/>
        <v>5.8429024911032029E-3</v>
      </c>
      <c r="L93" s="5">
        <f t="shared" si="67"/>
        <v>64.277897898258331</v>
      </c>
      <c r="M93" s="5">
        <f t="shared" si="67"/>
        <v>1.1349222490365579E-3</v>
      </c>
      <c r="N93" s="5">
        <f t="shared" si="67"/>
        <v>3.2402729081777693E-4</v>
      </c>
      <c r="O93" s="5">
        <f t="shared" si="67"/>
        <v>0.73561836657056767</v>
      </c>
      <c r="P93" s="5">
        <f t="shared" si="67"/>
        <v>1.6529117647058825E-4</v>
      </c>
      <c r="Q93" s="5">
        <f t="shared" si="67"/>
        <v>4.359644662482403E-2</v>
      </c>
      <c r="R93" s="5">
        <f t="shared" si="67"/>
        <v>0</v>
      </c>
      <c r="S93" s="5">
        <f t="shared" si="67"/>
        <v>3.4046525934861285E-3</v>
      </c>
      <c r="T93" s="5">
        <f t="shared" si="67"/>
        <v>1.6126790058914606E-3</v>
      </c>
      <c r="U93" s="5">
        <f t="shared" si="67"/>
        <v>0</v>
      </c>
      <c r="V93" s="5">
        <f t="shared" si="67"/>
        <v>0</v>
      </c>
      <c r="W93" s="5">
        <f t="shared" si="67"/>
        <v>210.21960266966985</v>
      </c>
      <c r="X93" s="5">
        <f t="shared" si="67"/>
        <v>0</v>
      </c>
      <c r="Y93" s="5">
        <f t="shared" si="67"/>
        <v>4.3229921661721078E-2</v>
      </c>
      <c r="Z93" s="5">
        <f t="shared" si="67"/>
        <v>0</v>
      </c>
      <c r="AA93" s="5">
        <f t="shared" si="67"/>
        <v>1.6672559760956177E-4</v>
      </c>
      <c r="AB93" s="5">
        <f t="shared" si="67"/>
        <v>18.971093857684483</v>
      </c>
      <c r="AC93" s="5">
        <f t="shared" si="67"/>
        <v>2.8142441523294026E-3</v>
      </c>
      <c r="AD93" s="5">
        <f t="shared" si="67"/>
        <v>0</v>
      </c>
      <c r="AE93" s="5">
        <f t="shared" si="67"/>
        <v>4.2787748643222496</v>
      </c>
      <c r="AF93" s="5">
        <f t="shared" ref="AF93" si="73">AF20*AF$30</f>
        <v>0.23658518248341578</v>
      </c>
      <c r="AG93" s="5">
        <f t="shared" si="56"/>
        <v>0</v>
      </c>
      <c r="AH93" s="5">
        <f t="shared" si="56"/>
        <v>3.2740708440109115E-3</v>
      </c>
      <c r="AI93" s="5">
        <f t="shared" si="56"/>
        <v>1.0374448258780038</v>
      </c>
      <c r="AJ93" s="5">
        <f t="shared" si="56"/>
        <v>4.4085247050788148</v>
      </c>
    </row>
    <row r="94" spans="1:36" s="5" customFormat="1" x14ac:dyDescent="0.3">
      <c r="A94" s="5" t="s">
        <v>4</v>
      </c>
      <c r="B94" s="5">
        <v>2020</v>
      </c>
      <c r="C94" s="5" t="s">
        <v>66</v>
      </c>
      <c r="D94" s="5">
        <f t="shared" si="54"/>
        <v>2.2888124138096707E-2</v>
      </c>
      <c r="E94" s="5">
        <f t="shared" si="67"/>
        <v>2.59360220918547E-4</v>
      </c>
      <c r="F94" s="5">
        <f t="shared" si="67"/>
        <v>9.5142854569012409E-4</v>
      </c>
      <c r="G94" s="5">
        <f t="shared" si="67"/>
        <v>1.9604175212834703E-3</v>
      </c>
      <c r="H94" s="5">
        <f t="shared" si="67"/>
        <v>36.492666856918625</v>
      </c>
      <c r="I94" s="5">
        <f t="shared" si="67"/>
        <v>1.2723351955307261E-2</v>
      </c>
      <c r="J94" s="5">
        <f t="shared" si="67"/>
        <v>0</v>
      </c>
      <c r="K94" s="5">
        <f t="shared" si="67"/>
        <v>11.119565128291814</v>
      </c>
      <c r="L94" s="5">
        <f t="shared" si="67"/>
        <v>46.826313581280559</v>
      </c>
      <c r="M94" s="5">
        <f t="shared" si="67"/>
        <v>6.4852699944946163E-4</v>
      </c>
      <c r="N94" s="5">
        <f t="shared" si="67"/>
        <v>4.860409362266654E-4</v>
      </c>
      <c r="O94" s="5">
        <f t="shared" si="67"/>
        <v>2.493764683835324</v>
      </c>
      <c r="P94" s="5">
        <f t="shared" si="67"/>
        <v>3.305823529411765E-4</v>
      </c>
      <c r="Q94" s="5">
        <f t="shared" si="67"/>
        <v>2.315656957223591E-2</v>
      </c>
      <c r="R94" s="5">
        <f t="shared" si="67"/>
        <v>0</v>
      </c>
      <c r="S94" s="5">
        <f t="shared" si="67"/>
        <v>6.2601676718938492E-3</v>
      </c>
      <c r="T94" s="5">
        <f t="shared" si="67"/>
        <v>1.6126790058914606E-3</v>
      </c>
      <c r="U94" s="5">
        <f t="shared" si="67"/>
        <v>0</v>
      </c>
      <c r="V94" s="5">
        <f t="shared" si="67"/>
        <v>0</v>
      </c>
      <c r="W94" s="5">
        <f t="shared" si="67"/>
        <v>263.49342420291964</v>
      </c>
      <c r="X94" s="5">
        <f t="shared" si="67"/>
        <v>7.4438989985627533E-3</v>
      </c>
      <c r="Y94" s="5">
        <f t="shared" si="67"/>
        <v>0</v>
      </c>
      <c r="Z94" s="5">
        <f t="shared" si="67"/>
        <v>3.4918161557432019</v>
      </c>
      <c r="AA94" s="5">
        <f t="shared" si="67"/>
        <v>4.168139940239044E-4</v>
      </c>
      <c r="AB94" s="5">
        <f t="shared" si="67"/>
        <v>12.379446755236291</v>
      </c>
      <c r="AC94" s="5">
        <f t="shared" si="67"/>
        <v>2.9623622656098974E-3</v>
      </c>
      <c r="AD94" s="5">
        <f t="shared" si="67"/>
        <v>0</v>
      </c>
      <c r="AE94" s="5">
        <f t="shared" si="67"/>
        <v>5.2273485021099733</v>
      </c>
      <c r="AF94" s="5">
        <f t="shared" ref="AF94:AJ97" si="74">AF21*AF$30</f>
        <v>1.8023730822714112E-3</v>
      </c>
      <c r="AG94" s="5">
        <f t="shared" si="74"/>
        <v>3.9749172029247834E-3</v>
      </c>
      <c r="AH94" s="5">
        <f t="shared" si="74"/>
        <v>1.455142597338183E-3</v>
      </c>
      <c r="AI94" s="5">
        <f t="shared" si="74"/>
        <v>1.1290765175600739</v>
      </c>
      <c r="AJ94" s="5">
        <f t="shared" si="74"/>
        <v>5.0804658891971073</v>
      </c>
    </row>
    <row r="95" spans="1:36" s="5" customFormat="1" x14ac:dyDescent="0.3">
      <c r="A95" s="5" t="s">
        <v>4</v>
      </c>
      <c r="B95" s="5">
        <v>2025</v>
      </c>
      <c r="C95" s="5" t="s">
        <v>66</v>
      </c>
      <c r="D95" s="5">
        <f t="shared" si="54"/>
        <v>5.8840246071910705E-2</v>
      </c>
      <c r="E95" s="5">
        <f t="shared" si="67"/>
        <v>1.296801104592735E-4</v>
      </c>
      <c r="F95" s="5">
        <f t="shared" si="67"/>
        <v>1.3082142503239205E-3</v>
      </c>
      <c r="G95" s="5">
        <f t="shared" si="67"/>
        <v>3.6594460397291447E-3</v>
      </c>
      <c r="H95" s="5">
        <f t="shared" si="67"/>
        <v>45.556833625815585</v>
      </c>
      <c r="I95" s="5">
        <f t="shared" si="67"/>
        <v>1.4521216905513721E-2</v>
      </c>
      <c r="J95" s="5">
        <f t="shared" si="67"/>
        <v>0</v>
      </c>
      <c r="K95" s="5">
        <f t="shared" si="67"/>
        <v>12.301500832206404</v>
      </c>
      <c r="L95" s="5">
        <f t="shared" si="67"/>
        <v>42.364401181376678</v>
      </c>
      <c r="M95" s="5">
        <f t="shared" si="67"/>
        <v>1.2970539988989233E-3</v>
      </c>
      <c r="N95" s="5">
        <f t="shared" si="67"/>
        <v>1.1178941533213305E-2</v>
      </c>
      <c r="O95" s="5">
        <f t="shared" si="67"/>
        <v>2.8204332739985478</v>
      </c>
      <c r="P95" s="5">
        <f t="shared" si="67"/>
        <v>1.6529117647058825E-4</v>
      </c>
      <c r="Q95" s="5">
        <f t="shared" si="67"/>
        <v>1.7593818222480916E-2</v>
      </c>
      <c r="R95" s="5">
        <f t="shared" si="67"/>
        <v>0</v>
      </c>
      <c r="S95" s="5">
        <f t="shared" si="67"/>
        <v>5.8208576598311225E-3</v>
      </c>
      <c r="T95" s="5">
        <f t="shared" si="67"/>
        <v>3.509948424587296E-3</v>
      </c>
      <c r="U95" s="5">
        <f t="shared" si="67"/>
        <v>0</v>
      </c>
      <c r="V95" s="5">
        <f t="shared" si="67"/>
        <v>0</v>
      </c>
      <c r="W95" s="5">
        <f t="shared" si="67"/>
        <v>298.32938718107806</v>
      </c>
      <c r="X95" s="5">
        <f t="shared" si="67"/>
        <v>1.2537093050210954E-2</v>
      </c>
      <c r="Y95" s="5">
        <f t="shared" si="67"/>
        <v>0</v>
      </c>
      <c r="Z95" s="5">
        <f t="shared" si="67"/>
        <v>3.4694484177090308</v>
      </c>
      <c r="AA95" s="5">
        <f t="shared" si="67"/>
        <v>4.168139940239044E-4</v>
      </c>
      <c r="AB95" s="5">
        <f t="shared" si="67"/>
        <v>11.422082943066812</v>
      </c>
      <c r="AC95" s="5">
        <f t="shared" si="67"/>
        <v>1.4811811328049488E-4</v>
      </c>
      <c r="AD95" s="5">
        <f t="shared" si="67"/>
        <v>0</v>
      </c>
      <c r="AE95" s="5">
        <f t="shared" si="67"/>
        <v>6.7219195233375943</v>
      </c>
      <c r="AF95" s="5">
        <f t="shared" ref="AF95" si="75">AF22*AF$30</f>
        <v>2.3715435293044885E-3</v>
      </c>
      <c r="AG95" s="5">
        <f t="shared" si="74"/>
        <v>3.4931090571157192E-3</v>
      </c>
      <c r="AH95" s="5">
        <f t="shared" si="74"/>
        <v>2.4616162271637595E-2</v>
      </c>
      <c r="AI95" s="5">
        <f t="shared" si="74"/>
        <v>1.0888214340110907</v>
      </c>
      <c r="AJ95" s="5">
        <f t="shared" si="74"/>
        <v>4.8611674160770235</v>
      </c>
    </row>
    <row r="96" spans="1:36" s="5" customFormat="1" x14ac:dyDescent="0.3">
      <c r="A96" s="5" t="s">
        <v>4</v>
      </c>
      <c r="B96" s="5">
        <v>2015</v>
      </c>
      <c r="C96" s="5" t="s">
        <v>67</v>
      </c>
      <c r="D96" s="5">
        <f t="shared" si="54"/>
        <v>0</v>
      </c>
      <c r="E96" s="5">
        <f t="shared" si="67"/>
        <v>0.19542792646212515</v>
      </c>
      <c r="F96" s="5">
        <f t="shared" si="67"/>
        <v>0</v>
      </c>
      <c r="G96" s="5">
        <f t="shared" si="67"/>
        <v>0</v>
      </c>
      <c r="H96" s="5">
        <f t="shared" si="67"/>
        <v>0</v>
      </c>
      <c r="I96" s="5">
        <f t="shared" si="67"/>
        <v>6.0578368010687385</v>
      </c>
      <c r="J96" s="5">
        <f t="shared" si="67"/>
        <v>0</v>
      </c>
      <c r="K96" s="5">
        <f t="shared" si="67"/>
        <v>0</v>
      </c>
      <c r="L96" s="5">
        <f t="shared" si="67"/>
        <v>0</v>
      </c>
      <c r="M96" s="5">
        <f t="shared" si="67"/>
        <v>9.0145252923475166E-2</v>
      </c>
      <c r="N96" s="5">
        <f t="shared" si="67"/>
        <v>0</v>
      </c>
      <c r="O96" s="5">
        <f t="shared" si="67"/>
        <v>6.5088102551319013E-2</v>
      </c>
      <c r="P96" s="5">
        <f t="shared" si="67"/>
        <v>0.18082854705882356</v>
      </c>
      <c r="Q96" s="5">
        <f t="shared" si="67"/>
        <v>4.7029828504416997</v>
      </c>
      <c r="R96" s="5">
        <f t="shared" si="67"/>
        <v>0</v>
      </c>
      <c r="S96" s="5">
        <f t="shared" si="67"/>
        <v>0</v>
      </c>
      <c r="T96" s="5">
        <f t="shared" si="67"/>
        <v>0</v>
      </c>
      <c r="U96" s="5">
        <f t="shared" si="67"/>
        <v>0</v>
      </c>
      <c r="V96" s="5">
        <f t="shared" si="67"/>
        <v>0</v>
      </c>
      <c r="W96" s="5">
        <f t="shared" si="67"/>
        <v>8.7645685360420084E-2</v>
      </c>
      <c r="X96" s="5">
        <f t="shared" si="67"/>
        <v>0</v>
      </c>
      <c r="Y96" s="5">
        <f t="shared" si="67"/>
        <v>0</v>
      </c>
      <c r="Z96" s="5">
        <f t="shared" si="67"/>
        <v>0</v>
      </c>
      <c r="AA96" s="5">
        <f t="shared" si="67"/>
        <v>0</v>
      </c>
      <c r="AB96" s="5">
        <f t="shared" si="67"/>
        <v>9.3444049898072734</v>
      </c>
      <c r="AC96" s="5">
        <f t="shared" si="67"/>
        <v>4.955291479798956</v>
      </c>
      <c r="AD96" s="5">
        <f t="shared" si="67"/>
        <v>0</v>
      </c>
      <c r="AE96" s="5">
        <f t="shared" si="67"/>
        <v>5.9825573401534521E-2</v>
      </c>
      <c r="AF96" s="5">
        <f t="shared" ref="AF96" si="76">AF23*AF$30</f>
        <v>0</v>
      </c>
      <c r="AG96" s="5">
        <f t="shared" si="74"/>
        <v>0</v>
      </c>
      <c r="AH96" s="5">
        <f t="shared" si="74"/>
        <v>1.18521364553195</v>
      </c>
      <c r="AI96" s="5">
        <f t="shared" si="74"/>
        <v>0</v>
      </c>
      <c r="AJ96" s="5">
        <f t="shared" si="74"/>
        <v>0</v>
      </c>
    </row>
    <row r="97" spans="1:36" s="5" customFormat="1" x14ac:dyDescent="0.3">
      <c r="A97" s="5" t="s">
        <v>4</v>
      </c>
      <c r="B97" s="5">
        <v>2020</v>
      </c>
      <c r="C97" s="5" t="s">
        <v>67</v>
      </c>
      <c r="D97" s="5">
        <f t="shared" si="54"/>
        <v>5.7690614265887598E-2</v>
      </c>
      <c r="E97" s="5">
        <f t="shared" si="67"/>
        <v>1.9759358430679503</v>
      </c>
      <c r="F97" s="5">
        <f t="shared" si="67"/>
        <v>0</v>
      </c>
      <c r="G97" s="5">
        <f t="shared" si="67"/>
        <v>0</v>
      </c>
      <c r="H97" s="5">
        <f t="shared" si="67"/>
        <v>0</v>
      </c>
      <c r="I97" s="5">
        <f t="shared" si="67"/>
        <v>3.2898162642700992</v>
      </c>
      <c r="J97" s="5">
        <f t="shared" si="67"/>
        <v>0</v>
      </c>
      <c r="K97" s="5">
        <f t="shared" si="67"/>
        <v>0</v>
      </c>
      <c r="L97" s="5">
        <f t="shared" si="67"/>
        <v>37.762049676821128</v>
      </c>
      <c r="M97" s="5">
        <f t="shared" si="67"/>
        <v>4.8154751026621145</v>
      </c>
      <c r="N97" s="5">
        <f t="shared" si="67"/>
        <v>0</v>
      </c>
      <c r="O97" s="5">
        <f t="shared" si="67"/>
        <v>4.7391507121800016</v>
      </c>
      <c r="P97" s="5">
        <f t="shared" si="67"/>
        <v>7.6923207705882355</v>
      </c>
      <c r="Q97" s="5">
        <f t="shared" ref="E97:AE98" si="77">Q24*Q$30</f>
        <v>20.388259894714814</v>
      </c>
      <c r="R97" s="5">
        <f t="shared" si="77"/>
        <v>0</v>
      </c>
      <c r="S97" s="5">
        <f t="shared" si="77"/>
        <v>0</v>
      </c>
      <c r="T97" s="5">
        <f t="shared" si="77"/>
        <v>0</v>
      </c>
      <c r="U97" s="5">
        <f t="shared" si="77"/>
        <v>0</v>
      </c>
      <c r="V97" s="5">
        <f t="shared" si="77"/>
        <v>0</v>
      </c>
      <c r="W97" s="5">
        <f t="shared" si="77"/>
        <v>0</v>
      </c>
      <c r="X97" s="5">
        <f t="shared" si="77"/>
        <v>0</v>
      </c>
      <c r="Y97" s="5">
        <f t="shared" si="77"/>
        <v>0.60256676083086058</v>
      </c>
      <c r="Z97" s="5">
        <f t="shared" si="77"/>
        <v>0</v>
      </c>
      <c r="AA97" s="5">
        <f t="shared" si="77"/>
        <v>6.5439797061752999E-2</v>
      </c>
      <c r="AB97" s="5">
        <f t="shared" si="77"/>
        <v>12.164180794399106</v>
      </c>
      <c r="AC97" s="5">
        <f t="shared" si="77"/>
        <v>17.872227784651074</v>
      </c>
      <c r="AD97" s="5">
        <f t="shared" si="77"/>
        <v>0.50687800793967974</v>
      </c>
      <c r="AE97" s="5">
        <f t="shared" si="77"/>
        <v>2.7589204162404086</v>
      </c>
      <c r="AF97" s="5">
        <f t="shared" ref="AF97" si="78">AF24*AF$30</f>
        <v>0</v>
      </c>
      <c r="AG97" s="5">
        <f t="shared" si="74"/>
        <v>0</v>
      </c>
      <c r="AH97" s="5">
        <f t="shared" si="74"/>
        <v>14.816868235512935</v>
      </c>
      <c r="AI97" s="5">
        <f t="shared" si="74"/>
        <v>0</v>
      </c>
      <c r="AJ97" s="5">
        <f t="shared" si="74"/>
        <v>0</v>
      </c>
    </row>
    <row r="98" spans="1:36" s="5" customFormat="1" x14ac:dyDescent="0.3">
      <c r="A98" s="5" t="s">
        <v>4</v>
      </c>
      <c r="B98" s="5">
        <v>2025</v>
      </c>
      <c r="C98" s="5" t="s">
        <v>67</v>
      </c>
      <c r="D98" s="5">
        <f t="shared" si="54"/>
        <v>4.0759673122637971E-3</v>
      </c>
      <c r="E98" s="5">
        <f t="shared" si="77"/>
        <v>7.374129801156128</v>
      </c>
      <c r="F98" s="5">
        <f t="shared" si="77"/>
        <v>0</v>
      </c>
      <c r="G98" s="5">
        <f t="shared" si="77"/>
        <v>0</v>
      </c>
      <c r="H98" s="5">
        <f t="shared" si="77"/>
        <v>0</v>
      </c>
      <c r="I98" s="5">
        <f t="shared" si="77"/>
        <v>10.716519778965266</v>
      </c>
      <c r="J98" s="5">
        <f t="shared" si="77"/>
        <v>0</v>
      </c>
      <c r="K98" s="5">
        <f t="shared" si="77"/>
        <v>0</v>
      </c>
      <c r="L98" s="5">
        <f t="shared" si="77"/>
        <v>124.4723937911691</v>
      </c>
      <c r="M98" s="5">
        <f t="shared" si="77"/>
        <v>19.943015891820256</v>
      </c>
      <c r="N98" s="5">
        <f t="shared" si="77"/>
        <v>0.45055994788211884</v>
      </c>
      <c r="O98" s="5">
        <f t="shared" si="77"/>
        <v>27.700360474240242</v>
      </c>
      <c r="P98" s="5">
        <f t="shared" si="77"/>
        <v>23.031176655882351</v>
      </c>
      <c r="Q98" s="5">
        <f t="shared" si="77"/>
        <v>74.530777514501096</v>
      </c>
      <c r="R98" s="5">
        <f t="shared" si="77"/>
        <v>0</v>
      </c>
      <c r="S98" s="5">
        <f t="shared" si="77"/>
        <v>0.49488272858866111</v>
      </c>
      <c r="T98" s="5">
        <f t="shared" si="77"/>
        <v>0</v>
      </c>
      <c r="U98" s="5">
        <f t="shared" si="77"/>
        <v>9.1947135180087471</v>
      </c>
      <c r="V98" s="5">
        <f t="shared" si="77"/>
        <v>0</v>
      </c>
      <c r="W98" s="5">
        <f t="shared" si="77"/>
        <v>0</v>
      </c>
      <c r="X98" s="5">
        <f t="shared" si="77"/>
        <v>0</v>
      </c>
      <c r="Y98" s="5">
        <f t="shared" si="77"/>
        <v>2.0392323169139468</v>
      </c>
      <c r="Z98" s="5">
        <f t="shared" si="77"/>
        <v>0.24833087262754991</v>
      </c>
      <c r="AA98" s="5">
        <f t="shared" si="77"/>
        <v>0.33686906997011956</v>
      </c>
      <c r="AB98" s="5">
        <f t="shared" si="77"/>
        <v>32.310722363109186</v>
      </c>
      <c r="AC98" s="5">
        <f t="shared" si="77"/>
        <v>30.663559929441327</v>
      </c>
      <c r="AD98" s="5">
        <f t="shared" si="77"/>
        <v>0.49624587437695722</v>
      </c>
      <c r="AE98" s="5">
        <f t="shared" si="77"/>
        <v>8.6317085123401522</v>
      </c>
      <c r="AF98" s="5">
        <f t="shared" ref="AF98:AJ98" si="79">AF25*AF$30</f>
        <v>0</v>
      </c>
      <c r="AG98" s="5">
        <f t="shared" si="79"/>
        <v>0</v>
      </c>
      <c r="AH98" s="5">
        <f t="shared" si="79"/>
        <v>33.023006103992721</v>
      </c>
      <c r="AI98" s="5">
        <f t="shared" si="79"/>
        <v>0</v>
      </c>
      <c r="AJ98" s="5">
        <f t="shared" si="79"/>
        <v>0</v>
      </c>
    </row>
    <row r="99" spans="1:36" s="8" customFormat="1" x14ac:dyDescent="0.3">
      <c r="A99" s="8" t="s">
        <v>4</v>
      </c>
      <c r="B99" s="8">
        <v>2015</v>
      </c>
      <c r="C99" s="8" t="s">
        <v>68</v>
      </c>
      <c r="D99" s="8">
        <f>D5*D$31</f>
        <v>0</v>
      </c>
      <c r="E99" s="8">
        <f t="shared" ref="E99:AE108" si="80">E5*E$31</f>
        <v>2.1966211771728954</v>
      </c>
      <c r="F99" s="8">
        <f t="shared" si="80"/>
        <v>1.988971604201119</v>
      </c>
      <c r="G99" s="8">
        <f t="shared" si="80"/>
        <v>9.2248193442162343</v>
      </c>
      <c r="H99" s="8">
        <f t="shared" si="80"/>
        <v>6.4833706573925891</v>
      </c>
      <c r="I99" s="8">
        <f t="shared" si="80"/>
        <v>4.1185673937333025</v>
      </c>
      <c r="J99" s="8">
        <f t="shared" si="80"/>
        <v>0</v>
      </c>
      <c r="K99" s="8">
        <f t="shared" si="80"/>
        <v>0</v>
      </c>
      <c r="L99" s="8">
        <f t="shared" si="80"/>
        <v>32.416800011329762</v>
      </c>
      <c r="M99" s="8">
        <f t="shared" si="80"/>
        <v>2.2413387517202031E-2</v>
      </c>
      <c r="N99" s="8">
        <f t="shared" si="80"/>
        <v>8.5508025443002011E-2</v>
      </c>
      <c r="O99" s="8">
        <f t="shared" si="80"/>
        <v>0.13299792713458911</v>
      </c>
      <c r="P99" s="8">
        <f t="shared" si="80"/>
        <v>0.44694130451680653</v>
      </c>
      <c r="Q99" s="8">
        <f t="shared" si="80"/>
        <v>82.367961553472668</v>
      </c>
      <c r="R99" s="8">
        <f t="shared" si="80"/>
        <v>0</v>
      </c>
      <c r="S99" s="8">
        <f t="shared" si="80"/>
        <v>31.3306823389626</v>
      </c>
      <c r="T99" s="8">
        <f t="shared" si="80"/>
        <v>16.61840767960911</v>
      </c>
      <c r="U99" s="8">
        <f t="shared" si="80"/>
        <v>0</v>
      </c>
      <c r="V99" s="8">
        <f t="shared" si="80"/>
        <v>0</v>
      </c>
      <c r="W99" s="8">
        <f t="shared" si="80"/>
        <v>525.42544247373507</v>
      </c>
      <c r="X99" s="8">
        <f t="shared" si="80"/>
        <v>1.463335620566554E-2</v>
      </c>
      <c r="Y99" s="8">
        <f t="shared" si="80"/>
        <v>4.7194568545994041E-2</v>
      </c>
      <c r="Z99" s="8">
        <f t="shared" si="80"/>
        <v>0</v>
      </c>
      <c r="AA99" s="8">
        <f t="shared" si="80"/>
        <v>0.48257478212151383</v>
      </c>
      <c r="AB99" s="8">
        <f t="shared" si="80"/>
        <v>3.2028818590314527</v>
      </c>
      <c r="AC99" s="8">
        <f t="shared" si="80"/>
        <v>4.2525202976995941E-2</v>
      </c>
      <c r="AD99" s="8">
        <f t="shared" si="80"/>
        <v>0</v>
      </c>
      <c r="AE99" s="8">
        <f t="shared" si="80"/>
        <v>9.4773491368286444E-2</v>
      </c>
      <c r="AF99" s="8">
        <f>AF5*AF$31</f>
        <v>0.46326021815943652</v>
      </c>
      <c r="AG99" s="8">
        <f t="shared" ref="AG99:AJ114" si="81">AG5*AG$31</f>
        <v>0</v>
      </c>
      <c r="AH99" s="8">
        <f t="shared" si="81"/>
        <v>8.3792122873439627</v>
      </c>
      <c r="AI99" s="8">
        <f t="shared" si="81"/>
        <v>7.4433250277264329E-2</v>
      </c>
      <c r="AJ99" s="8">
        <f t="shared" si="81"/>
        <v>0.90010964729283616</v>
      </c>
    </row>
    <row r="100" spans="1:36" s="8" customFormat="1" x14ac:dyDescent="0.3">
      <c r="A100" s="8" t="s">
        <v>4</v>
      </c>
      <c r="B100" s="8">
        <v>2020</v>
      </c>
      <c r="C100" s="8" t="s">
        <v>68</v>
      </c>
      <c r="D100" s="8">
        <f t="shared" ref="D100:S119" si="82">D6*D$31</f>
        <v>0</v>
      </c>
      <c r="E100" s="8">
        <f t="shared" si="82"/>
        <v>2.6177194169966413</v>
      </c>
      <c r="F100" s="8">
        <f t="shared" si="82"/>
        <v>19.747947795712804</v>
      </c>
      <c r="G100" s="8">
        <f t="shared" si="82"/>
        <v>14.776996115197662</v>
      </c>
      <c r="H100" s="8">
        <f t="shared" si="82"/>
        <v>20.395843549181336</v>
      </c>
      <c r="I100" s="8">
        <f t="shared" si="82"/>
        <v>4.2874045372844325</v>
      </c>
      <c r="J100" s="8">
        <f t="shared" si="82"/>
        <v>0</v>
      </c>
      <c r="K100" s="8">
        <f t="shared" si="82"/>
        <v>11.662415245907473</v>
      </c>
      <c r="L100" s="8">
        <f t="shared" si="82"/>
        <v>33.659579081764115</v>
      </c>
      <c r="M100" s="8">
        <f t="shared" si="82"/>
        <v>5.2169091634866792E-2</v>
      </c>
      <c r="N100" s="8">
        <f t="shared" si="82"/>
        <v>0.46058239292144426</v>
      </c>
      <c r="O100" s="8">
        <f t="shared" si="82"/>
        <v>31.977981500363072</v>
      </c>
      <c r="P100" s="8">
        <f t="shared" si="82"/>
        <v>3.5961114296218475</v>
      </c>
      <c r="Q100" s="8">
        <f t="shared" si="82"/>
        <v>73.443563505950976</v>
      </c>
      <c r="R100" s="8">
        <f t="shared" si="82"/>
        <v>0</v>
      </c>
      <c r="S100" s="8">
        <f t="shared" si="82"/>
        <v>34.772696214716525</v>
      </c>
      <c r="T100" s="8">
        <f t="shared" si="80"/>
        <v>19.048202172702229</v>
      </c>
      <c r="U100" s="8">
        <f t="shared" si="80"/>
        <v>0</v>
      </c>
      <c r="V100" s="8">
        <f t="shared" si="80"/>
        <v>4.5838322580645116E-2</v>
      </c>
      <c r="W100" s="8">
        <f t="shared" si="80"/>
        <v>582.32456969332873</v>
      </c>
      <c r="X100" s="8">
        <f t="shared" si="80"/>
        <v>2.6571094162919012E-2</v>
      </c>
      <c r="Y100" s="8">
        <f t="shared" si="80"/>
        <v>0.13044054362017798</v>
      </c>
      <c r="Z100" s="8">
        <f t="shared" si="80"/>
        <v>6.0082762498520327E-2</v>
      </c>
      <c r="AA100" s="8">
        <f t="shared" si="80"/>
        <v>1.099996701942231</v>
      </c>
      <c r="AB100" s="8">
        <f t="shared" si="80"/>
        <v>4.0459940385164783</v>
      </c>
      <c r="AC100" s="8">
        <f t="shared" si="80"/>
        <v>7.0591836941813257E-2</v>
      </c>
      <c r="AD100" s="8">
        <f t="shared" si="80"/>
        <v>0</v>
      </c>
      <c r="AE100" s="8">
        <f t="shared" si="80"/>
        <v>0.31978410313299233</v>
      </c>
      <c r="AF100" s="8">
        <f t="shared" ref="AF100:AJ100" si="83">AF6*AF$31</f>
        <v>14.381984222992227</v>
      </c>
      <c r="AG100" s="8">
        <f t="shared" si="83"/>
        <v>115.88298670594257</v>
      </c>
      <c r="AH100" s="8">
        <f t="shared" si="83"/>
        <v>8.0615440357113268</v>
      </c>
      <c r="AI100" s="8">
        <f t="shared" si="83"/>
        <v>0.16564019075785585</v>
      </c>
      <c r="AJ100" s="8">
        <f t="shared" si="83"/>
        <v>1.3800898894607239</v>
      </c>
    </row>
    <row r="101" spans="1:36" s="8" customFormat="1" x14ac:dyDescent="0.3">
      <c r="A101" s="8" t="s">
        <v>4</v>
      </c>
      <c r="B101" s="8">
        <v>2025</v>
      </c>
      <c r="C101" s="8" t="s">
        <v>68</v>
      </c>
      <c r="D101" s="8">
        <f t="shared" si="82"/>
        <v>0</v>
      </c>
      <c r="E101" s="8">
        <f t="shared" si="80"/>
        <v>2.2082823591987837</v>
      </c>
      <c r="F101" s="8">
        <f t="shared" si="80"/>
        <v>18.250685387780806</v>
      </c>
      <c r="G101" s="8">
        <f t="shared" si="80"/>
        <v>17.060002441066562</v>
      </c>
      <c r="H101" s="8">
        <f t="shared" si="80"/>
        <v>17.23806184291518</v>
      </c>
      <c r="I101" s="8">
        <f t="shared" si="80"/>
        <v>3.725888671362644</v>
      </c>
      <c r="J101" s="8">
        <f t="shared" si="80"/>
        <v>0</v>
      </c>
      <c r="K101" s="8">
        <f t="shared" si="80"/>
        <v>13.451007199288256</v>
      </c>
      <c r="L101" s="8">
        <f t="shared" si="80"/>
        <v>31.37176342096452</v>
      </c>
      <c r="M101" s="8">
        <f t="shared" si="80"/>
        <v>3.5165832139058356E-2</v>
      </c>
      <c r="N101" s="8">
        <f t="shared" si="80"/>
        <v>0.58449088932057247</v>
      </c>
      <c r="O101" s="8">
        <f t="shared" si="80"/>
        <v>53.704429310688646</v>
      </c>
      <c r="P101" s="8">
        <f t="shared" si="80"/>
        <v>4.9071763390756278</v>
      </c>
      <c r="Q101" s="8">
        <f t="shared" si="80"/>
        <v>138.80587009241128</v>
      </c>
      <c r="R101" s="8">
        <f t="shared" si="80"/>
        <v>0</v>
      </c>
      <c r="S101" s="8">
        <f t="shared" si="80"/>
        <v>33.916485247285884</v>
      </c>
      <c r="T101" s="8">
        <f t="shared" si="80"/>
        <v>19.051983954014435</v>
      </c>
      <c r="U101" s="8">
        <f t="shared" si="80"/>
        <v>4.005664163039302E-2</v>
      </c>
      <c r="V101" s="8">
        <f t="shared" si="80"/>
        <v>0</v>
      </c>
      <c r="W101" s="8">
        <f t="shared" si="80"/>
        <v>565.46935888233008</v>
      </c>
      <c r="X101" s="8">
        <f t="shared" si="80"/>
        <v>4.5440421901803522E-2</v>
      </c>
      <c r="Y101" s="8">
        <f t="shared" si="80"/>
        <v>0.13765082492581596</v>
      </c>
      <c r="Z101" s="8">
        <f t="shared" si="80"/>
        <v>7.6023087243025728E-2</v>
      </c>
      <c r="AA101" s="8">
        <f t="shared" si="80"/>
        <v>1.307401182768924</v>
      </c>
      <c r="AB101" s="8">
        <f t="shared" si="80"/>
        <v>3.2492444432393865</v>
      </c>
      <c r="AC101" s="8">
        <f t="shared" si="80"/>
        <v>5.0463240866035181E-2</v>
      </c>
      <c r="AD101" s="8">
        <f t="shared" si="80"/>
        <v>0</v>
      </c>
      <c r="AE101" s="8">
        <f t="shared" si="80"/>
        <v>0.65791146265984657</v>
      </c>
      <c r="AF101" s="8">
        <f t="shared" ref="AF101" si="84">AF7*AF$31</f>
        <v>44.533887665215317</v>
      </c>
      <c r="AG101" s="8">
        <f t="shared" si="81"/>
        <v>99.410981013659594</v>
      </c>
      <c r="AH101" s="8">
        <f t="shared" si="81"/>
        <v>7.1739589022071533</v>
      </c>
      <c r="AI101" s="8">
        <f t="shared" si="81"/>
        <v>0.23221077375231056</v>
      </c>
      <c r="AJ101" s="8">
        <f t="shared" si="81"/>
        <v>1.86711140657484</v>
      </c>
    </row>
    <row r="102" spans="1:36" s="8" customFormat="1" x14ac:dyDescent="0.3">
      <c r="A102" s="8" t="s">
        <v>4</v>
      </c>
      <c r="B102" s="8">
        <v>2015</v>
      </c>
      <c r="C102" s="8" t="s">
        <v>69</v>
      </c>
      <c r="D102" s="8">
        <f t="shared" si="82"/>
        <v>159.91568378393947</v>
      </c>
      <c r="E102" s="8">
        <f t="shared" si="80"/>
        <v>1167.8241903296598</v>
      </c>
      <c r="F102" s="8">
        <f t="shared" si="80"/>
        <v>293.49663418335956</v>
      </c>
      <c r="G102" s="8">
        <f t="shared" si="80"/>
        <v>1577.1570831565282</v>
      </c>
      <c r="H102" s="8">
        <f t="shared" si="80"/>
        <v>0</v>
      </c>
      <c r="I102" s="8">
        <f t="shared" si="80"/>
        <v>370.36809982997346</v>
      </c>
      <c r="J102" s="8">
        <f t="shared" si="80"/>
        <v>23.529007766953988</v>
      </c>
      <c r="K102" s="8">
        <f t="shared" si="80"/>
        <v>0</v>
      </c>
      <c r="L102" s="8">
        <f t="shared" si="80"/>
        <v>0</v>
      </c>
      <c r="M102" s="8">
        <f t="shared" si="80"/>
        <v>276.56497157820883</v>
      </c>
      <c r="N102" s="8">
        <f t="shared" si="80"/>
        <v>53.817367010802627</v>
      </c>
      <c r="O102" s="8">
        <f t="shared" si="80"/>
        <v>4225.7534979823267</v>
      </c>
      <c r="P102" s="8">
        <f t="shared" si="80"/>
        <v>217.94326489936967</v>
      </c>
      <c r="Q102" s="8">
        <f t="shared" si="80"/>
        <v>11354.732046806035</v>
      </c>
      <c r="R102" s="8">
        <f t="shared" si="80"/>
        <v>0</v>
      </c>
      <c r="S102" s="8">
        <f t="shared" si="80"/>
        <v>372.02194834800963</v>
      </c>
      <c r="T102" s="8">
        <f t="shared" si="80"/>
        <v>560.25766516890189</v>
      </c>
      <c r="U102" s="8">
        <f t="shared" si="80"/>
        <v>0</v>
      </c>
      <c r="V102" s="8">
        <f t="shared" si="80"/>
        <v>0</v>
      </c>
      <c r="W102" s="8">
        <f t="shared" si="80"/>
        <v>9321.9310403685231</v>
      </c>
      <c r="X102" s="8">
        <f t="shared" si="80"/>
        <v>301.75751902359872</v>
      </c>
      <c r="Y102" s="8">
        <f t="shared" si="80"/>
        <v>0</v>
      </c>
      <c r="Z102" s="8">
        <f t="shared" si="80"/>
        <v>68.962953923174084</v>
      </c>
      <c r="AA102" s="8">
        <f t="shared" si="80"/>
        <v>58.304616725597597</v>
      </c>
      <c r="AB102" s="8">
        <f t="shared" si="80"/>
        <v>572.49978542793292</v>
      </c>
      <c r="AC102" s="8">
        <f t="shared" si="80"/>
        <v>0</v>
      </c>
      <c r="AD102" s="8">
        <f t="shared" si="80"/>
        <v>0</v>
      </c>
      <c r="AE102" s="8">
        <f t="shared" si="80"/>
        <v>1513.626819201023</v>
      </c>
      <c r="AF102" s="8">
        <f t="shared" ref="AF102" si="85">AF8*AF$31</f>
        <v>0</v>
      </c>
      <c r="AG102" s="8">
        <f t="shared" si="81"/>
        <v>0</v>
      </c>
      <c r="AH102" s="8">
        <f t="shared" si="81"/>
        <v>271.59653237992865</v>
      </c>
      <c r="AI102" s="8">
        <f t="shared" si="81"/>
        <v>248.2846865674677</v>
      </c>
      <c r="AJ102" s="8">
        <f t="shared" si="81"/>
        <v>0</v>
      </c>
    </row>
    <row r="103" spans="1:36" s="8" customFormat="1" x14ac:dyDescent="0.3">
      <c r="A103" s="8" t="s">
        <v>4</v>
      </c>
      <c r="B103" s="8">
        <v>2020</v>
      </c>
      <c r="C103" s="8" t="s">
        <v>69</v>
      </c>
      <c r="D103" s="8">
        <f t="shared" si="82"/>
        <v>217.01401608620912</v>
      </c>
      <c r="E103" s="8">
        <f t="shared" si="80"/>
        <v>1198.9098783412642</v>
      </c>
      <c r="F103" s="8">
        <f t="shared" si="80"/>
        <v>363.25293559620007</v>
      </c>
      <c r="G103" s="8">
        <f t="shared" si="80"/>
        <v>1259.3747931852433</v>
      </c>
      <c r="H103" s="8">
        <f t="shared" si="80"/>
        <v>667.94747119906447</v>
      </c>
      <c r="I103" s="8">
        <f t="shared" si="80"/>
        <v>428.61691435511312</v>
      </c>
      <c r="J103" s="8">
        <f t="shared" si="80"/>
        <v>48.004736568629291</v>
      </c>
      <c r="K103" s="8">
        <f t="shared" si="80"/>
        <v>0</v>
      </c>
      <c r="L103" s="8">
        <f t="shared" si="80"/>
        <v>6175.6013863183889</v>
      </c>
      <c r="M103" s="8">
        <f t="shared" si="80"/>
        <v>319.74049825294043</v>
      </c>
      <c r="N103" s="8">
        <f t="shared" si="80"/>
        <v>72.939908512745205</v>
      </c>
      <c r="O103" s="8">
        <f t="shared" si="80"/>
        <v>4878.1477621237227</v>
      </c>
      <c r="P103" s="8">
        <f t="shared" si="80"/>
        <v>261.16557619516794</v>
      </c>
      <c r="Q103" s="8">
        <f t="shared" si="80"/>
        <v>10562.512343604873</v>
      </c>
      <c r="R103" s="8">
        <f t="shared" si="80"/>
        <v>0</v>
      </c>
      <c r="S103" s="8">
        <f t="shared" si="80"/>
        <v>544.37504122436667</v>
      </c>
      <c r="T103" s="8">
        <f t="shared" si="80"/>
        <v>782.80793182967045</v>
      </c>
      <c r="U103" s="8">
        <f t="shared" si="80"/>
        <v>384.85849040744029</v>
      </c>
      <c r="V103" s="8">
        <f t="shared" si="80"/>
        <v>19.627925225806436</v>
      </c>
      <c r="W103" s="8">
        <f t="shared" si="80"/>
        <v>10367.455626346953</v>
      </c>
      <c r="X103" s="8">
        <f t="shared" si="80"/>
        <v>408.22827842273637</v>
      </c>
      <c r="Y103" s="8">
        <f t="shared" si="80"/>
        <v>75.685011905044476</v>
      </c>
      <c r="Z103" s="8">
        <f t="shared" si="80"/>
        <v>95.678733831827373</v>
      </c>
      <c r="AA103" s="8">
        <f t="shared" si="80"/>
        <v>66.640497146414333</v>
      </c>
      <c r="AB103" s="8">
        <f t="shared" si="80"/>
        <v>460.24652483040785</v>
      </c>
      <c r="AC103" s="8">
        <f t="shared" si="80"/>
        <v>374.18861653924222</v>
      </c>
      <c r="AD103" s="8">
        <f t="shared" si="80"/>
        <v>1.8159995087120124</v>
      </c>
      <c r="AE103" s="8">
        <f t="shared" si="80"/>
        <v>1933.3309200045396</v>
      </c>
      <c r="AF103" s="8">
        <f t="shared" ref="AF103" si="86">AF9*AF$31</f>
        <v>2164.4040328910119</v>
      </c>
      <c r="AG103" s="8">
        <f t="shared" si="81"/>
        <v>599.01910972272867</v>
      </c>
      <c r="AH103" s="8">
        <f t="shared" si="81"/>
        <v>342.36032783004026</v>
      </c>
      <c r="AI103" s="8">
        <f t="shared" si="81"/>
        <v>308.57928853678379</v>
      </c>
      <c r="AJ103" s="8">
        <f t="shared" si="81"/>
        <v>0</v>
      </c>
    </row>
    <row r="104" spans="1:36" s="8" customFormat="1" x14ac:dyDescent="0.3">
      <c r="A104" s="8" t="s">
        <v>4</v>
      </c>
      <c r="B104" s="8">
        <v>2025</v>
      </c>
      <c r="C104" s="8" t="s">
        <v>69</v>
      </c>
      <c r="D104" s="8">
        <f t="shared" si="82"/>
        <v>281.576622255198</v>
      </c>
      <c r="E104" s="8">
        <f t="shared" si="80"/>
        <v>1138.961901024325</v>
      </c>
      <c r="F104" s="8">
        <f t="shared" si="80"/>
        <v>422.64539848317543</v>
      </c>
      <c r="G104" s="8">
        <f t="shared" si="80"/>
        <v>985.73881322356783</v>
      </c>
      <c r="H104" s="8">
        <f t="shared" si="80"/>
        <v>733.63774609750089</v>
      </c>
      <c r="I104" s="8">
        <f t="shared" si="80"/>
        <v>414.57048760748131</v>
      </c>
      <c r="J104" s="8">
        <f t="shared" si="80"/>
        <v>51.27515681244509</v>
      </c>
      <c r="K104" s="8">
        <f t="shared" si="80"/>
        <v>1514.1299730330961</v>
      </c>
      <c r="L104" s="8">
        <f t="shared" si="80"/>
        <v>5959.8999990430011</v>
      </c>
      <c r="M104" s="8">
        <f t="shared" si="80"/>
        <v>273.66591583417352</v>
      </c>
      <c r="N104" s="8">
        <f t="shared" si="80"/>
        <v>81.878064644887729</v>
      </c>
      <c r="O104" s="8">
        <f t="shared" si="80"/>
        <v>4787.4278041982143</v>
      </c>
      <c r="P104" s="8">
        <f t="shared" si="80"/>
        <v>254.93036953308814</v>
      </c>
      <c r="Q104" s="8">
        <f t="shared" si="80"/>
        <v>9578.3402172239912</v>
      </c>
      <c r="R104" s="8">
        <f t="shared" si="80"/>
        <v>0</v>
      </c>
      <c r="S104" s="8">
        <f t="shared" si="80"/>
        <v>611.95675729734614</v>
      </c>
      <c r="T104" s="8">
        <f t="shared" si="80"/>
        <v>829.04335985582998</v>
      </c>
      <c r="U104" s="8">
        <f t="shared" si="80"/>
        <v>381.80274088877894</v>
      </c>
      <c r="V104" s="8">
        <f t="shared" si="80"/>
        <v>0</v>
      </c>
      <c r="W104" s="8">
        <f t="shared" si="80"/>
        <v>10136.966627176222</v>
      </c>
      <c r="X104" s="8">
        <f t="shared" si="80"/>
        <v>434.08541883814746</v>
      </c>
      <c r="Y104" s="8">
        <f t="shared" si="80"/>
        <v>63.939135918100867</v>
      </c>
      <c r="Z104" s="8">
        <f t="shared" si="80"/>
        <v>105.94001134139609</v>
      </c>
      <c r="AA104" s="8">
        <f t="shared" si="80"/>
        <v>64.945667131474096</v>
      </c>
      <c r="AB104" s="8">
        <f t="shared" si="80"/>
        <v>328.47719198046519</v>
      </c>
      <c r="AC104" s="8">
        <f t="shared" si="80"/>
        <v>309.75811450608933</v>
      </c>
      <c r="AD104" s="8">
        <f t="shared" si="80"/>
        <v>3.9260280584385496</v>
      </c>
      <c r="AE104" s="8">
        <f t="shared" si="80"/>
        <v>1982.2193669454605</v>
      </c>
      <c r="AF104" s="8">
        <f t="shared" ref="AF104" si="87">AF10*AF$31</f>
        <v>2538.0095563997993</v>
      </c>
      <c r="AG104" s="8">
        <f t="shared" si="81"/>
        <v>694.84658225900955</v>
      </c>
      <c r="AH104" s="8">
        <f t="shared" si="81"/>
        <v>315.80330128461577</v>
      </c>
      <c r="AI104" s="8">
        <f t="shared" si="81"/>
        <v>318.46213713345662</v>
      </c>
      <c r="AJ104" s="8">
        <f t="shared" si="81"/>
        <v>0</v>
      </c>
    </row>
    <row r="105" spans="1:36" s="8" customFormat="1" x14ac:dyDescent="0.3">
      <c r="A105" s="8" t="s">
        <v>4</v>
      </c>
      <c r="B105" s="8">
        <v>2015</v>
      </c>
      <c r="C105" s="8" t="s">
        <v>70</v>
      </c>
      <c r="D105" s="8">
        <f t="shared" si="82"/>
        <v>0</v>
      </c>
      <c r="E105" s="8">
        <f t="shared" si="80"/>
        <v>2.1732988131211184</v>
      </c>
      <c r="F105" s="8">
        <f t="shared" si="80"/>
        <v>2.7405014154334443E-2</v>
      </c>
      <c r="G105" s="8">
        <f t="shared" si="80"/>
        <v>1.5088129075328034</v>
      </c>
      <c r="H105" s="8">
        <f t="shared" si="80"/>
        <v>9.1667838237104518E-2</v>
      </c>
      <c r="I105" s="8">
        <f t="shared" si="80"/>
        <v>2.2160610444498428</v>
      </c>
      <c r="J105" s="8">
        <f t="shared" si="80"/>
        <v>8.9313305162388064E-3</v>
      </c>
      <c r="K105" s="8">
        <f t="shared" si="80"/>
        <v>0.41716259822064056</v>
      </c>
      <c r="L105" s="8">
        <f t="shared" si="80"/>
        <v>10.535460003682172</v>
      </c>
      <c r="M105" s="8">
        <f t="shared" si="80"/>
        <v>3.047834264623662</v>
      </c>
      <c r="N105" s="8">
        <f t="shared" si="80"/>
        <v>0.2491565441106795</v>
      </c>
      <c r="O105" s="8">
        <f t="shared" si="80"/>
        <v>1.752030482328268</v>
      </c>
      <c r="P105" s="8">
        <f t="shared" si="80"/>
        <v>0.18272584758403354</v>
      </c>
      <c r="Q105" s="8">
        <f t="shared" si="80"/>
        <v>20.016122609421192</v>
      </c>
      <c r="R105" s="8">
        <f t="shared" si="80"/>
        <v>5.0007642436940149E-2</v>
      </c>
      <c r="S105" s="8">
        <f t="shared" si="80"/>
        <v>9.3290366103739433E-2</v>
      </c>
      <c r="T105" s="8">
        <f t="shared" si="80"/>
        <v>0.21556153479580961</v>
      </c>
      <c r="U105" s="8">
        <f t="shared" si="80"/>
        <v>0.32045313304314416</v>
      </c>
      <c r="V105" s="8">
        <f t="shared" si="80"/>
        <v>0</v>
      </c>
      <c r="W105" s="8">
        <f t="shared" si="80"/>
        <v>2.7271031468875337</v>
      </c>
      <c r="X105" s="8">
        <f t="shared" si="80"/>
        <v>6.5079926283091491E-2</v>
      </c>
      <c r="Y105" s="8">
        <f t="shared" si="80"/>
        <v>0.19008923442136488</v>
      </c>
      <c r="Z105" s="8">
        <f t="shared" si="80"/>
        <v>4.312062206526459E-2</v>
      </c>
      <c r="AA105" s="8">
        <f t="shared" si="80"/>
        <v>9.3092440239043811E-2</v>
      </c>
      <c r="AB105" s="8">
        <f t="shared" si="80"/>
        <v>4.2765191099948172</v>
      </c>
      <c r="AC105" s="8">
        <f t="shared" si="80"/>
        <v>19.561593369418134</v>
      </c>
      <c r="AD105" s="8">
        <f t="shared" si="80"/>
        <v>0.11581359709025354</v>
      </c>
      <c r="AE105" s="8">
        <f t="shared" si="80"/>
        <v>0.85479574795396418</v>
      </c>
      <c r="AF105" s="8">
        <f t="shared" ref="AF105" si="88">AF11*AF$31</f>
        <v>2.3765925932933643</v>
      </c>
      <c r="AG105" s="8">
        <f t="shared" si="81"/>
        <v>0</v>
      </c>
      <c r="AH105" s="8">
        <f t="shared" si="81"/>
        <v>0.93610959742084732</v>
      </c>
      <c r="AI105" s="8">
        <f t="shared" si="81"/>
        <v>0.15096321182994454</v>
      </c>
      <c r="AJ105" s="8">
        <f t="shared" si="81"/>
        <v>8.0387888969438437E-2</v>
      </c>
    </row>
    <row r="106" spans="1:36" s="8" customFormat="1" x14ac:dyDescent="0.3">
      <c r="A106" s="8" t="s">
        <v>4</v>
      </c>
      <c r="B106" s="8">
        <v>2020</v>
      </c>
      <c r="C106" s="8" t="s">
        <v>70</v>
      </c>
      <c r="D106" s="8">
        <f t="shared" si="82"/>
        <v>0.19793913557631984</v>
      </c>
      <c r="E106" s="8">
        <f t="shared" si="80"/>
        <v>19.22237883060048</v>
      </c>
      <c r="F106" s="8">
        <f t="shared" si="80"/>
        <v>2.1607799621686772E-2</v>
      </c>
      <c r="G106" s="8">
        <f t="shared" si="80"/>
        <v>14.452671845354162</v>
      </c>
      <c r="H106" s="8">
        <f t="shared" si="80"/>
        <v>0.96827284870121888</v>
      </c>
      <c r="I106" s="8">
        <f t="shared" si="80"/>
        <v>12.767205950935152</v>
      </c>
      <c r="J106" s="8">
        <f t="shared" si="80"/>
        <v>9.3196492343361456E-2</v>
      </c>
      <c r="K106" s="8">
        <f t="shared" si="80"/>
        <v>4.744420068683274</v>
      </c>
      <c r="L106" s="8">
        <f t="shared" si="80"/>
        <v>125.24352247377297</v>
      </c>
      <c r="M106" s="8">
        <f t="shared" si="80"/>
        <v>12.321953006439722</v>
      </c>
      <c r="N106" s="8">
        <f t="shared" si="80"/>
        <v>0.39583741282099882</v>
      </c>
      <c r="O106" s="8">
        <f t="shared" si="80"/>
        <v>14.436958407024253</v>
      </c>
      <c r="P106" s="8">
        <f t="shared" si="80"/>
        <v>2.7698123532563015</v>
      </c>
      <c r="Q106" s="8">
        <f t="shared" si="80"/>
        <v>117.08722341482996</v>
      </c>
      <c r="R106" s="8">
        <f t="shared" si="80"/>
        <v>0.65724330059978486</v>
      </c>
      <c r="S106" s="8">
        <f t="shared" si="80"/>
        <v>0.75204626417370324</v>
      </c>
      <c r="T106" s="8">
        <f t="shared" si="80"/>
        <v>6.9408293016709219</v>
      </c>
      <c r="U106" s="8">
        <f t="shared" si="80"/>
        <v>3.6394320109899945</v>
      </c>
      <c r="V106" s="8">
        <f t="shared" si="80"/>
        <v>1.395398645161289</v>
      </c>
      <c r="W106" s="8">
        <f t="shared" si="80"/>
        <v>31.577641346780851</v>
      </c>
      <c r="X106" s="8">
        <f t="shared" si="80"/>
        <v>0.95309359497426882</v>
      </c>
      <c r="Y106" s="8">
        <f t="shared" si="80"/>
        <v>1.3214479192878332</v>
      </c>
      <c r="Z106" s="8">
        <f t="shared" si="80"/>
        <v>0.24625758098883332</v>
      </c>
      <c r="AA106" s="8">
        <f t="shared" si="80"/>
        <v>0.88506268550796796</v>
      </c>
      <c r="AB106" s="8">
        <f t="shared" si="80"/>
        <v>74.608130070243845</v>
      </c>
      <c r="AC106" s="8">
        <f t="shared" si="80"/>
        <v>97.441399597428955</v>
      </c>
      <c r="AD106" s="8">
        <f t="shared" si="80"/>
        <v>5.1677190445934142</v>
      </c>
      <c r="AE106" s="8">
        <f t="shared" si="80"/>
        <v>16.47774721860614</v>
      </c>
      <c r="AF106" s="8">
        <f t="shared" ref="AF106" si="89">AF12*AF$31</f>
        <v>3.5701182549524701</v>
      </c>
      <c r="AG106" s="8">
        <f t="shared" si="81"/>
        <v>8.8384841313049953E-2</v>
      </c>
      <c r="AH106" s="8">
        <f t="shared" si="81"/>
        <v>10.960242274944193</v>
      </c>
      <c r="AI106" s="8">
        <f t="shared" si="81"/>
        <v>1.9237325951940851</v>
      </c>
      <c r="AJ106" s="8">
        <f t="shared" si="81"/>
        <v>1.0931579354019254</v>
      </c>
    </row>
    <row r="107" spans="1:36" s="8" customFormat="1" x14ac:dyDescent="0.3">
      <c r="A107" s="8" t="s">
        <v>4</v>
      </c>
      <c r="B107" s="8">
        <v>2025</v>
      </c>
      <c r="C107" s="8" t="s">
        <v>70</v>
      </c>
      <c r="D107" s="8">
        <f t="shared" si="82"/>
        <v>1.5807791186495601</v>
      </c>
      <c r="E107" s="8">
        <f t="shared" si="80"/>
        <v>67.155451600199271</v>
      </c>
      <c r="F107" s="8">
        <f t="shared" si="80"/>
        <v>0.17444345548239809</v>
      </c>
      <c r="G107" s="8">
        <f t="shared" si="80"/>
        <v>82.535295638560314</v>
      </c>
      <c r="H107" s="8">
        <f t="shared" si="80"/>
        <v>5.7465215314538964</v>
      </c>
      <c r="I107" s="8">
        <f t="shared" si="80"/>
        <v>45.755454185086251</v>
      </c>
      <c r="J107" s="8">
        <f t="shared" si="80"/>
        <v>0.69897369257521103</v>
      </c>
      <c r="K107" s="8">
        <f t="shared" si="80"/>
        <v>13.129797849466192</v>
      </c>
      <c r="L107" s="8">
        <f t="shared" si="80"/>
        <v>570.81162820950021</v>
      </c>
      <c r="M107" s="8">
        <f t="shared" si="80"/>
        <v>77.329664873789326</v>
      </c>
      <c r="N107" s="8">
        <f t="shared" si="80"/>
        <v>1.2940065678006258</v>
      </c>
      <c r="O107" s="8">
        <f t="shared" si="80"/>
        <v>50.21908162221186</v>
      </c>
      <c r="P107" s="8">
        <f t="shared" si="80"/>
        <v>23.921511227626041</v>
      </c>
      <c r="Q107" s="8">
        <f t="shared" si="80"/>
        <v>414.75521303896301</v>
      </c>
      <c r="R107" s="8">
        <f t="shared" si="80"/>
        <v>7.3314775787014028</v>
      </c>
      <c r="S107" s="8">
        <f t="shared" si="80"/>
        <v>4.0395300856453558</v>
      </c>
      <c r="T107" s="8">
        <f t="shared" si="80"/>
        <v>25.975795239780428</v>
      </c>
      <c r="U107" s="8">
        <f t="shared" si="80"/>
        <v>16.995460806038182</v>
      </c>
      <c r="V107" s="8">
        <f t="shared" si="80"/>
        <v>6.3194580645161231</v>
      </c>
      <c r="W107" s="8">
        <f t="shared" si="80"/>
        <v>130.608251498187</v>
      </c>
      <c r="X107" s="8">
        <f t="shared" si="80"/>
        <v>4.3992489814085038</v>
      </c>
      <c r="Y107" s="8">
        <f t="shared" si="80"/>
        <v>7.6255279608308575</v>
      </c>
      <c r="Z107" s="8">
        <f t="shared" si="80"/>
        <v>1.3015888243301903</v>
      </c>
      <c r="AA107" s="8">
        <f t="shared" si="80"/>
        <v>2.9871721264940234</v>
      </c>
      <c r="AB107" s="8">
        <f t="shared" si="80"/>
        <v>190.88892552923963</v>
      </c>
      <c r="AC107" s="8">
        <f t="shared" si="80"/>
        <v>195.37495754397835</v>
      </c>
      <c r="AD107" s="8">
        <f t="shared" si="80"/>
        <v>27.162783565953347</v>
      </c>
      <c r="AE107" s="8">
        <f t="shared" si="80"/>
        <v>67.655432557480822</v>
      </c>
      <c r="AF107" s="8">
        <f t="shared" ref="AF107" si="90">AF13*AF$31</f>
        <v>24.16028157681173</v>
      </c>
      <c r="AG107" s="8">
        <f t="shared" si="81"/>
        <v>0.8137681247521048</v>
      </c>
      <c r="AH107" s="8">
        <f t="shared" si="81"/>
        <v>57.300712404728401</v>
      </c>
      <c r="AI107" s="8">
        <f t="shared" si="81"/>
        <v>6.6795979456561936</v>
      </c>
      <c r="AJ107" s="8">
        <f t="shared" si="81"/>
        <v>4.6331589146181447</v>
      </c>
    </row>
    <row r="108" spans="1:36" s="8" customFormat="1" x14ac:dyDescent="0.3">
      <c r="A108" s="8" t="s">
        <v>4</v>
      </c>
      <c r="B108" s="8">
        <v>2015</v>
      </c>
      <c r="C108" s="8" t="s">
        <v>71</v>
      </c>
      <c r="D108" s="8">
        <f t="shared" si="82"/>
        <v>60.742162135089004</v>
      </c>
      <c r="E108" s="8">
        <f t="shared" si="80"/>
        <v>872.05731165074758</v>
      </c>
      <c r="F108" s="8">
        <f t="shared" si="80"/>
        <v>140.4459543654373</v>
      </c>
      <c r="G108" s="8">
        <f t="shared" si="80"/>
        <v>973.23072237902841</v>
      </c>
      <c r="H108" s="8">
        <f t="shared" si="80"/>
        <v>0</v>
      </c>
      <c r="I108" s="8">
        <f t="shared" si="80"/>
        <v>936.09607009958734</v>
      </c>
      <c r="J108" s="8">
        <f t="shared" si="80"/>
        <v>164.90187355234377</v>
      </c>
      <c r="K108" s="8">
        <f t="shared" si="80"/>
        <v>8.0337442302491109</v>
      </c>
      <c r="L108" s="8">
        <f t="shared" si="80"/>
        <v>53.467864728687161</v>
      </c>
      <c r="M108" s="8">
        <f t="shared" si="80"/>
        <v>644.03439211131524</v>
      </c>
      <c r="N108" s="8">
        <f t="shared" si="80"/>
        <v>96.365535347294625</v>
      </c>
      <c r="O108" s="8">
        <f t="shared" si="80"/>
        <v>3220.7199083626138</v>
      </c>
      <c r="P108" s="8">
        <f t="shared" si="80"/>
        <v>677.93764735325612</v>
      </c>
      <c r="Q108" s="8">
        <f t="shared" si="80"/>
        <v>6226.6115615198696</v>
      </c>
      <c r="R108" s="8">
        <f t="shared" si="80"/>
        <v>0</v>
      </c>
      <c r="S108" s="8">
        <f t="shared" si="80"/>
        <v>454.92331613570559</v>
      </c>
      <c r="T108" s="8">
        <f t="shared" si="80"/>
        <v>1437.8660303392112</v>
      </c>
      <c r="U108" s="8">
        <f t="shared" si="80"/>
        <v>5.9169382065466261</v>
      </c>
      <c r="V108" s="8">
        <f t="shared" si="80"/>
        <v>0</v>
      </c>
      <c r="W108" s="8">
        <f t="shared" si="80"/>
        <v>11050.427197825651</v>
      </c>
      <c r="X108" s="8">
        <f t="shared" si="80"/>
        <v>175.72927905558905</v>
      </c>
      <c r="Y108" s="8">
        <f t="shared" si="80"/>
        <v>42.28403923679523</v>
      </c>
      <c r="Z108" s="8">
        <f t="shared" si="80"/>
        <v>69.763853060016601</v>
      </c>
      <c r="AA108" s="8">
        <f t="shared" si="80"/>
        <v>129.32730359561751</v>
      </c>
      <c r="AB108" s="8">
        <f t="shared" si="80"/>
        <v>2749.391822282977</v>
      </c>
      <c r="AC108" s="8">
        <f t="shared" si="80"/>
        <v>0.22850209066305821</v>
      </c>
      <c r="AD108" s="8">
        <f t="shared" si="80"/>
        <v>5.922887157127122E-2</v>
      </c>
      <c r="AE108" s="8">
        <f t="shared" si="80"/>
        <v>1335.4893419414325</v>
      </c>
      <c r="AF108" s="8">
        <f t="shared" ref="AF108" si="91">AF14*AF$31</f>
        <v>4.9217553058107464E-3</v>
      </c>
      <c r="AG108" s="8">
        <f t="shared" si="81"/>
        <v>0</v>
      </c>
      <c r="AH108" s="8">
        <f t="shared" si="81"/>
        <v>626.08640454658132</v>
      </c>
      <c r="AI108" s="8">
        <f t="shared" si="81"/>
        <v>312.44143070609982</v>
      </c>
      <c r="AJ108" s="8">
        <f t="shared" si="81"/>
        <v>0</v>
      </c>
    </row>
    <row r="109" spans="1:36" s="8" customFormat="1" x14ac:dyDescent="0.3">
      <c r="A109" s="8" t="s">
        <v>4</v>
      </c>
      <c r="B109" s="8">
        <v>2020</v>
      </c>
      <c r="C109" s="8" t="s">
        <v>71</v>
      </c>
      <c r="D109" s="8">
        <f t="shared" si="82"/>
        <v>53.835617324413597</v>
      </c>
      <c r="E109" s="8">
        <f t="shared" ref="E109:AE118" si="92">E15*E$31</f>
        <v>948.26054481614449</v>
      </c>
      <c r="F109" s="8">
        <f t="shared" si="92"/>
        <v>110.0901580139852</v>
      </c>
      <c r="G109" s="8">
        <f t="shared" si="92"/>
        <v>1319.5508188600488</v>
      </c>
      <c r="H109" s="8">
        <f t="shared" si="92"/>
        <v>591.06320077557552</v>
      </c>
      <c r="I109" s="8">
        <f t="shared" si="92"/>
        <v>910.51253658975008</v>
      </c>
      <c r="J109" s="8">
        <f t="shared" si="92"/>
        <v>172.53155972552028</v>
      </c>
      <c r="K109" s="8">
        <f t="shared" si="92"/>
        <v>0.95075627224199288</v>
      </c>
      <c r="L109" s="8">
        <f t="shared" si="92"/>
        <v>12741.769293793282</v>
      </c>
      <c r="M109" s="8">
        <f t="shared" si="92"/>
        <v>708.86820700654857</v>
      </c>
      <c r="N109" s="8">
        <f t="shared" si="92"/>
        <v>104.13493295934808</v>
      </c>
      <c r="O109" s="8">
        <f t="shared" si="92"/>
        <v>3616.4599188706288</v>
      </c>
      <c r="P109" s="8">
        <f t="shared" si="92"/>
        <v>702.58032771754176</v>
      </c>
      <c r="Q109" s="8">
        <f t="shared" si="92"/>
        <v>7280.4543739963929</v>
      </c>
      <c r="R109" s="8">
        <f t="shared" si="92"/>
        <v>0</v>
      </c>
      <c r="S109" s="8">
        <f t="shared" si="92"/>
        <v>419.52505936791312</v>
      </c>
      <c r="T109" s="8">
        <f t="shared" si="92"/>
        <v>1662.4597195023423</v>
      </c>
      <c r="U109" s="8">
        <f t="shared" si="92"/>
        <v>246.09083904500739</v>
      </c>
      <c r="V109" s="8">
        <f t="shared" si="92"/>
        <v>34.787059032258036</v>
      </c>
      <c r="W109" s="8">
        <f t="shared" si="92"/>
        <v>10755.340835239705</v>
      </c>
      <c r="X109" s="8">
        <f t="shared" si="92"/>
        <v>182.37936927442163</v>
      </c>
      <c r="Y109" s="8">
        <f t="shared" si="92"/>
        <v>60.933431833827861</v>
      </c>
      <c r="Z109" s="8">
        <f t="shared" si="92"/>
        <v>50.654264775283139</v>
      </c>
      <c r="AA109" s="8">
        <f t="shared" si="92"/>
        <v>140.11918163097607</v>
      </c>
      <c r="AB109" s="8">
        <f t="shared" si="92"/>
        <v>2998.2554422314897</v>
      </c>
      <c r="AC109" s="8">
        <f t="shared" si="92"/>
        <v>283.2938301894452</v>
      </c>
      <c r="AD109" s="8">
        <f t="shared" si="92"/>
        <v>0.14119739919222693</v>
      </c>
      <c r="AE109" s="8">
        <f t="shared" si="92"/>
        <v>1370.3959474170717</v>
      </c>
      <c r="AF109" s="8">
        <f t="shared" ref="AF109" si="93">AF15*AF$31</f>
        <v>2268.879363206283</v>
      </c>
      <c r="AG109" s="8">
        <f t="shared" si="81"/>
        <v>415.84544850563293</v>
      </c>
      <c r="AH109" s="8">
        <f t="shared" si="81"/>
        <v>557.24001301479666</v>
      </c>
      <c r="AI109" s="8">
        <f t="shared" si="81"/>
        <v>298.08524860332722</v>
      </c>
      <c r="AJ109" s="8">
        <f t="shared" si="81"/>
        <v>0</v>
      </c>
    </row>
    <row r="110" spans="1:36" s="8" customFormat="1" x14ac:dyDescent="0.3">
      <c r="A110" s="8" t="s">
        <v>4</v>
      </c>
      <c r="B110" s="8">
        <v>2025</v>
      </c>
      <c r="C110" s="8" t="s">
        <v>71</v>
      </c>
      <c r="D110" s="8">
        <f t="shared" si="82"/>
        <v>97.579619493588098</v>
      </c>
      <c r="E110" s="8">
        <f t="shared" si="92"/>
        <v>945.14657731960176</v>
      </c>
      <c r="F110" s="8">
        <f t="shared" si="92"/>
        <v>108.20500925186877</v>
      </c>
      <c r="G110" s="8">
        <f t="shared" si="92"/>
        <v>1421.9249345616588</v>
      </c>
      <c r="H110" s="8">
        <f t="shared" si="92"/>
        <v>541.83005788501782</v>
      </c>
      <c r="I110" s="8">
        <f t="shared" si="92"/>
        <v>871.50292047121729</v>
      </c>
      <c r="J110" s="8">
        <f t="shared" si="92"/>
        <v>178.99590142568672</v>
      </c>
      <c r="K110" s="8">
        <f t="shared" si="92"/>
        <v>2182.3530755270463</v>
      </c>
      <c r="L110" s="8">
        <f t="shared" si="92"/>
        <v>12254.938653743135</v>
      </c>
      <c r="M110" s="8">
        <f t="shared" si="92"/>
        <v>694.20869225715103</v>
      </c>
      <c r="N110" s="8">
        <f t="shared" si="92"/>
        <v>102.23500268122811</v>
      </c>
      <c r="O110" s="8">
        <f t="shared" si="92"/>
        <v>3638.5205323270211</v>
      </c>
      <c r="P110" s="8">
        <f t="shared" si="92"/>
        <v>676.22859052920148</v>
      </c>
      <c r="Q110" s="8">
        <f t="shared" si="92"/>
        <v>7641.1071555360459</v>
      </c>
      <c r="R110" s="8">
        <f t="shared" si="92"/>
        <v>0</v>
      </c>
      <c r="S110" s="8">
        <f t="shared" si="92"/>
        <v>418.53148835223158</v>
      </c>
      <c r="T110" s="8">
        <f t="shared" si="92"/>
        <v>1753.3913905605932</v>
      </c>
      <c r="U110" s="8">
        <f t="shared" si="92"/>
        <v>238.02514813385895</v>
      </c>
      <c r="V110" s="8">
        <f t="shared" si="92"/>
        <v>0</v>
      </c>
      <c r="W110" s="8">
        <f t="shared" si="92"/>
        <v>10543.936798754869</v>
      </c>
      <c r="X110" s="8">
        <f t="shared" si="92"/>
        <v>191.88527448328622</v>
      </c>
      <c r="Y110" s="8">
        <f t="shared" si="92"/>
        <v>64.651315067062285</v>
      </c>
      <c r="Z110" s="8">
        <f t="shared" si="92"/>
        <v>43.632551725328511</v>
      </c>
      <c r="AA110" s="8">
        <f t="shared" si="92"/>
        <v>144.39185083665336</v>
      </c>
      <c r="AB110" s="8">
        <f t="shared" si="92"/>
        <v>2985.5087365566174</v>
      </c>
      <c r="AC110" s="8">
        <f t="shared" si="92"/>
        <v>215.5364397767253</v>
      </c>
      <c r="AD110" s="8">
        <f t="shared" si="92"/>
        <v>0.22210826839226708</v>
      </c>
      <c r="AE110" s="8">
        <f t="shared" si="92"/>
        <v>1353.7054184242968</v>
      </c>
      <c r="AF110" s="8">
        <f t="shared" ref="AF110" si="94">AF16*AF$31</f>
        <v>2283.4391458396976</v>
      </c>
      <c r="AG110" s="8">
        <f t="shared" si="81"/>
        <v>447.21526833781849</v>
      </c>
      <c r="AH110" s="8">
        <f t="shared" si="81"/>
        <v>506.48126274944161</v>
      </c>
      <c r="AI110" s="8">
        <f t="shared" si="81"/>
        <v>295.39936145951947</v>
      </c>
      <c r="AJ110" s="8">
        <f t="shared" si="81"/>
        <v>0</v>
      </c>
    </row>
    <row r="111" spans="1:36" s="8" customFormat="1" x14ac:dyDescent="0.3">
      <c r="A111" s="8" t="s">
        <v>4</v>
      </c>
      <c r="B111" s="8">
        <v>2015</v>
      </c>
      <c r="C111" s="8" t="s">
        <v>72</v>
      </c>
      <c r="D111" s="8">
        <f t="shared" si="82"/>
        <v>0</v>
      </c>
      <c r="E111" s="8">
        <f t="shared" si="92"/>
        <v>2.5913737835307456E-3</v>
      </c>
      <c r="F111" s="8">
        <f t="shared" si="92"/>
        <v>0</v>
      </c>
      <c r="G111" s="8">
        <f t="shared" si="92"/>
        <v>9.0974549745722233E-4</v>
      </c>
      <c r="H111" s="8">
        <f t="shared" si="92"/>
        <v>0</v>
      </c>
      <c r="I111" s="8">
        <f t="shared" si="92"/>
        <v>1.4707068253582711E-3</v>
      </c>
      <c r="J111" s="8">
        <f t="shared" si="92"/>
        <v>0</v>
      </c>
      <c r="K111" s="8">
        <f t="shared" si="92"/>
        <v>0</v>
      </c>
      <c r="L111" s="8">
        <f t="shared" si="92"/>
        <v>3.8900160013595711E-2</v>
      </c>
      <c r="M111" s="8">
        <f t="shared" si="92"/>
        <v>2.1254074369760543E-2</v>
      </c>
      <c r="N111" s="8">
        <f t="shared" si="92"/>
        <v>0</v>
      </c>
      <c r="O111" s="8">
        <f t="shared" si="92"/>
        <v>6.6833129213361351E-4</v>
      </c>
      <c r="P111" s="8">
        <f t="shared" si="92"/>
        <v>0</v>
      </c>
      <c r="Q111" s="8">
        <f t="shared" si="92"/>
        <v>1.1942508895623727E-2</v>
      </c>
      <c r="R111" s="8">
        <f t="shared" si="92"/>
        <v>0</v>
      </c>
      <c r="S111" s="8">
        <f t="shared" si="92"/>
        <v>0</v>
      </c>
      <c r="T111" s="8">
        <f t="shared" si="92"/>
        <v>0</v>
      </c>
      <c r="U111" s="8">
        <f t="shared" si="92"/>
        <v>0</v>
      </c>
      <c r="V111" s="8">
        <f t="shared" si="92"/>
        <v>0</v>
      </c>
      <c r="W111" s="8">
        <f t="shared" si="92"/>
        <v>6.5440956840669444E-3</v>
      </c>
      <c r="X111" s="8">
        <f t="shared" si="92"/>
        <v>0</v>
      </c>
      <c r="Y111" s="8">
        <f t="shared" si="92"/>
        <v>0</v>
      </c>
      <c r="Z111" s="8">
        <f t="shared" si="92"/>
        <v>0</v>
      </c>
      <c r="AA111" s="8">
        <f t="shared" si="92"/>
        <v>0</v>
      </c>
      <c r="AB111" s="8">
        <f t="shared" si="92"/>
        <v>9.0149469293205348E-3</v>
      </c>
      <c r="AC111" s="8">
        <f t="shared" si="92"/>
        <v>7.0875338294993234E-3</v>
      </c>
      <c r="AD111" s="8">
        <f t="shared" si="92"/>
        <v>0</v>
      </c>
      <c r="AE111" s="8">
        <f t="shared" si="92"/>
        <v>0</v>
      </c>
      <c r="AF111" s="8">
        <f t="shared" ref="AF111" si="95">AF17*AF$31</f>
        <v>0</v>
      </c>
      <c r="AG111" s="8">
        <f t="shared" si="81"/>
        <v>0</v>
      </c>
      <c r="AH111" s="8">
        <f t="shared" si="81"/>
        <v>7.8582127800281003E-4</v>
      </c>
      <c r="AI111" s="8">
        <f t="shared" si="81"/>
        <v>0</v>
      </c>
      <c r="AJ111" s="8">
        <f t="shared" si="81"/>
        <v>0</v>
      </c>
    </row>
    <row r="112" spans="1:36" s="8" customFormat="1" x14ac:dyDescent="0.3">
      <c r="A112" s="8" t="s">
        <v>4</v>
      </c>
      <c r="B112" s="8">
        <v>2020</v>
      </c>
      <c r="C112" s="8" t="s">
        <v>72</v>
      </c>
      <c r="D112" s="8">
        <f t="shared" si="82"/>
        <v>0</v>
      </c>
      <c r="E112" s="8">
        <f t="shared" si="92"/>
        <v>1.9435303376480591E-2</v>
      </c>
      <c r="F112" s="8">
        <f t="shared" si="92"/>
        <v>0</v>
      </c>
      <c r="G112" s="8">
        <f t="shared" si="92"/>
        <v>9.0974549745722229E-3</v>
      </c>
      <c r="H112" s="8">
        <f t="shared" si="92"/>
        <v>0</v>
      </c>
      <c r="I112" s="8">
        <f t="shared" si="92"/>
        <v>2.4413733300947302E-2</v>
      </c>
      <c r="J112" s="8">
        <f t="shared" si="92"/>
        <v>0</v>
      </c>
      <c r="K112" s="8">
        <f t="shared" si="92"/>
        <v>5.8508078291814945E-4</v>
      </c>
      <c r="L112" s="8">
        <f t="shared" si="92"/>
        <v>0.3549639601240609</v>
      </c>
      <c r="M112" s="8">
        <f t="shared" si="92"/>
        <v>4.3667461886962571E-2</v>
      </c>
      <c r="N112" s="8">
        <f t="shared" si="92"/>
        <v>0</v>
      </c>
      <c r="O112" s="8">
        <f t="shared" si="92"/>
        <v>3.0074908146012608E-3</v>
      </c>
      <c r="P112" s="8">
        <f t="shared" si="92"/>
        <v>2.781215336134453E-4</v>
      </c>
      <c r="Q112" s="8">
        <f t="shared" si="92"/>
        <v>0.16146272026883279</v>
      </c>
      <c r="R112" s="8">
        <f t="shared" si="92"/>
        <v>0</v>
      </c>
      <c r="S112" s="8">
        <f t="shared" si="92"/>
        <v>0</v>
      </c>
      <c r="T112" s="8">
        <f t="shared" si="92"/>
        <v>0</v>
      </c>
      <c r="U112" s="8">
        <f t="shared" si="92"/>
        <v>0</v>
      </c>
      <c r="V112" s="8">
        <f t="shared" si="92"/>
        <v>0</v>
      </c>
      <c r="W112" s="8">
        <f t="shared" si="92"/>
        <v>2.0822122631122097E-2</v>
      </c>
      <c r="X112" s="8">
        <f t="shared" si="92"/>
        <v>0</v>
      </c>
      <c r="Y112" s="8">
        <f t="shared" si="92"/>
        <v>6.554801186943618E-4</v>
      </c>
      <c r="Z112" s="8">
        <f t="shared" si="92"/>
        <v>0</v>
      </c>
      <c r="AA112" s="8">
        <f t="shared" si="92"/>
        <v>0</v>
      </c>
      <c r="AB112" s="8">
        <f t="shared" si="92"/>
        <v>7.7270973679890286E-3</v>
      </c>
      <c r="AC112" s="8">
        <f t="shared" si="92"/>
        <v>4.9896238159675234E-2</v>
      </c>
      <c r="AD112" s="8">
        <f t="shared" si="92"/>
        <v>5.2882921045777878E-4</v>
      </c>
      <c r="AE112" s="8">
        <f t="shared" si="92"/>
        <v>0</v>
      </c>
      <c r="AF112" s="8">
        <f t="shared" ref="AF112" si="96">AF18*AF$31</f>
        <v>0</v>
      </c>
      <c r="AG112" s="8">
        <f t="shared" si="81"/>
        <v>0</v>
      </c>
      <c r="AH112" s="8">
        <f t="shared" si="81"/>
        <v>7.6617574605273974E-3</v>
      </c>
      <c r="AI112" s="8">
        <f t="shared" si="81"/>
        <v>0</v>
      </c>
      <c r="AJ112" s="8">
        <f t="shared" si="81"/>
        <v>0</v>
      </c>
    </row>
    <row r="113" spans="1:36" s="8" customFormat="1" x14ac:dyDescent="0.3">
      <c r="A113" s="8" t="s">
        <v>4</v>
      </c>
      <c r="B113" s="8">
        <v>2025</v>
      </c>
      <c r="C113" s="8" t="s">
        <v>72</v>
      </c>
      <c r="D113" s="8">
        <f t="shared" si="82"/>
        <v>0</v>
      </c>
      <c r="E113" s="8">
        <f t="shared" si="92"/>
        <v>2.8937007249426661E-2</v>
      </c>
      <c r="F113" s="8">
        <f t="shared" si="92"/>
        <v>0</v>
      </c>
      <c r="G113" s="8">
        <f t="shared" si="92"/>
        <v>1.3191309713129724E-2</v>
      </c>
      <c r="H113" s="8">
        <f t="shared" si="92"/>
        <v>5.0091714883663673E-4</v>
      </c>
      <c r="I113" s="8">
        <f t="shared" si="92"/>
        <v>6.412281758562062E-2</v>
      </c>
      <c r="J113" s="8">
        <f t="shared" si="92"/>
        <v>0</v>
      </c>
      <c r="K113" s="8">
        <f t="shared" si="92"/>
        <v>1.6382261921708184E-2</v>
      </c>
      <c r="L113" s="8">
        <f t="shared" si="92"/>
        <v>0.89389326031241811</v>
      </c>
      <c r="M113" s="8">
        <f t="shared" si="92"/>
        <v>1.6616821779994607E-2</v>
      </c>
      <c r="N113" s="8">
        <f t="shared" si="92"/>
        <v>4.4651710414100269E-4</v>
      </c>
      <c r="O113" s="8">
        <f t="shared" si="92"/>
        <v>1.1027466320204625E-2</v>
      </c>
      <c r="P113" s="8">
        <f t="shared" si="92"/>
        <v>5.5624306722689061E-4</v>
      </c>
      <c r="Q113" s="8">
        <f t="shared" si="92"/>
        <v>0.41321080778858094</v>
      </c>
      <c r="R113" s="8">
        <f t="shared" si="92"/>
        <v>0</v>
      </c>
      <c r="S113" s="8">
        <f t="shared" si="92"/>
        <v>5.723335343787696E-4</v>
      </c>
      <c r="T113" s="8">
        <f t="shared" si="92"/>
        <v>1.890890656103593E-3</v>
      </c>
      <c r="U113" s="8">
        <f t="shared" si="92"/>
        <v>0</v>
      </c>
      <c r="V113" s="8">
        <f t="shared" si="92"/>
        <v>0</v>
      </c>
      <c r="W113" s="8">
        <f t="shared" si="92"/>
        <v>3.4505231788716617E-2</v>
      </c>
      <c r="X113" s="8">
        <f t="shared" si="92"/>
        <v>0</v>
      </c>
      <c r="Y113" s="8">
        <f t="shared" si="92"/>
        <v>1.3109602373887236E-3</v>
      </c>
      <c r="Z113" s="8">
        <f t="shared" si="92"/>
        <v>0</v>
      </c>
      <c r="AA113" s="8">
        <f t="shared" si="92"/>
        <v>0</v>
      </c>
      <c r="AB113" s="8">
        <f t="shared" si="92"/>
        <v>1.2019929239094045E-2</v>
      </c>
      <c r="AC113" s="8">
        <f t="shared" si="92"/>
        <v>4.0257192151556154E-2</v>
      </c>
      <c r="AD113" s="8">
        <f t="shared" si="92"/>
        <v>7.244960183271569E-2</v>
      </c>
      <c r="AE113" s="8">
        <f t="shared" si="92"/>
        <v>6.1144187979539648E-4</v>
      </c>
      <c r="AF113" s="8">
        <f t="shared" ref="AF113" si="97">AF19*AF$31</f>
        <v>0</v>
      </c>
      <c r="AG113" s="8">
        <f t="shared" si="81"/>
        <v>0</v>
      </c>
      <c r="AH113" s="8">
        <f t="shared" si="81"/>
        <v>8.4475787385302065E-3</v>
      </c>
      <c r="AI113" s="8">
        <f t="shared" si="81"/>
        <v>0</v>
      </c>
      <c r="AJ113" s="8">
        <f t="shared" si="81"/>
        <v>1.7603187365570459E-3</v>
      </c>
    </row>
    <row r="114" spans="1:36" s="8" customFormat="1" x14ac:dyDescent="0.3">
      <c r="A114" s="8" t="s">
        <v>4</v>
      </c>
      <c r="B114" s="8">
        <v>2015</v>
      </c>
      <c r="C114" s="8" t="s">
        <v>73</v>
      </c>
      <c r="D114" s="8">
        <f t="shared" si="82"/>
        <v>1.0389070651795793E-2</v>
      </c>
      <c r="E114" s="8">
        <f t="shared" si="92"/>
        <v>4.318956305884576E-4</v>
      </c>
      <c r="F114" s="8">
        <f t="shared" si="92"/>
        <v>5.2701950296797011E-4</v>
      </c>
      <c r="G114" s="8">
        <f t="shared" si="92"/>
        <v>8.1877094771149999E-3</v>
      </c>
      <c r="H114" s="8">
        <f t="shared" si="92"/>
        <v>70.732006001477302</v>
      </c>
      <c r="I114" s="8">
        <f t="shared" si="92"/>
        <v>1.3236361428224439E-2</v>
      </c>
      <c r="J114" s="8">
        <f t="shared" si="92"/>
        <v>0</v>
      </c>
      <c r="K114" s="8">
        <f t="shared" si="92"/>
        <v>3.2764523843416368E-2</v>
      </c>
      <c r="L114" s="8">
        <f t="shared" si="92"/>
        <v>192.87996006741207</v>
      </c>
      <c r="M114" s="8">
        <f t="shared" si="92"/>
        <v>2.7050640106967964E-3</v>
      </c>
      <c r="N114" s="8">
        <f t="shared" si="92"/>
        <v>4.4651710414100269E-4</v>
      </c>
      <c r="O114" s="8">
        <f t="shared" si="92"/>
        <v>1.6013217759521379</v>
      </c>
      <c r="P114" s="8">
        <f t="shared" si="92"/>
        <v>2.781215336134453E-4</v>
      </c>
      <c r="Q114" s="8">
        <f t="shared" si="92"/>
        <v>0.16098501991300784</v>
      </c>
      <c r="R114" s="8">
        <f t="shared" si="92"/>
        <v>0</v>
      </c>
      <c r="S114" s="8">
        <f t="shared" si="92"/>
        <v>1.7742339565741855E-2</v>
      </c>
      <c r="T114" s="8">
        <f t="shared" si="92"/>
        <v>1.0715047051253694E-2</v>
      </c>
      <c r="U114" s="8">
        <f t="shared" si="92"/>
        <v>0</v>
      </c>
      <c r="V114" s="8">
        <f t="shared" si="92"/>
        <v>0</v>
      </c>
      <c r="W114" s="8">
        <f t="shared" si="92"/>
        <v>1271.3857196649471</v>
      </c>
      <c r="X114" s="8">
        <f t="shared" si="92"/>
        <v>0</v>
      </c>
      <c r="Y114" s="8">
        <f t="shared" si="92"/>
        <v>0.10684325934718096</v>
      </c>
      <c r="Z114" s="8">
        <f t="shared" si="92"/>
        <v>0</v>
      </c>
      <c r="AA114" s="8">
        <f t="shared" si="92"/>
        <v>1.3690064741035855E-3</v>
      </c>
      <c r="AB114" s="8">
        <f t="shared" si="92"/>
        <v>66.471067258564304</v>
      </c>
      <c r="AC114" s="8">
        <f t="shared" si="92"/>
        <v>5.3865257104194859E-3</v>
      </c>
      <c r="AD114" s="8">
        <f t="shared" si="92"/>
        <v>0</v>
      </c>
      <c r="AE114" s="8">
        <f t="shared" si="92"/>
        <v>29.387119626726342</v>
      </c>
      <c r="AF114" s="8">
        <f t="shared" ref="AF114" si="98">AF20*AF$31</f>
        <v>1.5343572165865005</v>
      </c>
      <c r="AG114" s="8">
        <f t="shared" si="81"/>
        <v>0</v>
      </c>
      <c r="AH114" s="8">
        <f t="shared" si="81"/>
        <v>5.3042936265189676E-3</v>
      </c>
      <c r="AI114" s="8">
        <f t="shared" si="81"/>
        <v>4.4984940414048067</v>
      </c>
      <c r="AJ114" s="8">
        <f t="shared" si="81"/>
        <v>25.231235223984324</v>
      </c>
    </row>
    <row r="115" spans="1:36" s="8" customFormat="1" x14ac:dyDescent="0.3">
      <c r="A115" s="8" t="s">
        <v>4</v>
      </c>
      <c r="B115" s="8">
        <v>2020</v>
      </c>
      <c r="C115" s="8" t="s">
        <v>73</v>
      </c>
      <c r="D115" s="8">
        <f t="shared" si="82"/>
        <v>0.11974770909175152</v>
      </c>
      <c r="E115" s="8">
        <f t="shared" si="92"/>
        <v>8.637912611769152E-4</v>
      </c>
      <c r="F115" s="8">
        <f t="shared" si="92"/>
        <v>4.2161560237437608E-3</v>
      </c>
      <c r="G115" s="8">
        <f t="shared" si="92"/>
        <v>6.8230912309291672E-3</v>
      </c>
      <c r="H115" s="8">
        <f t="shared" si="92"/>
        <v>150.34377030038164</v>
      </c>
      <c r="I115" s="8">
        <f t="shared" si="92"/>
        <v>2.7061005586592187E-2</v>
      </c>
      <c r="J115" s="8">
        <f t="shared" si="92"/>
        <v>0</v>
      </c>
      <c r="K115" s="8">
        <f t="shared" si="92"/>
        <v>62.353814277935939</v>
      </c>
      <c r="L115" s="8">
        <f t="shared" si="92"/>
        <v>140.51264569910956</v>
      </c>
      <c r="M115" s="8">
        <f t="shared" si="92"/>
        <v>1.5457508632553123E-3</v>
      </c>
      <c r="N115" s="8">
        <f t="shared" si="92"/>
        <v>6.6977565621150403E-4</v>
      </c>
      <c r="O115" s="8">
        <f t="shared" si="92"/>
        <v>5.4285209203552762</v>
      </c>
      <c r="P115" s="8">
        <f t="shared" si="92"/>
        <v>5.5624306722689061E-4</v>
      </c>
      <c r="Q115" s="8">
        <f t="shared" si="92"/>
        <v>8.5508363692665887E-2</v>
      </c>
      <c r="R115" s="8">
        <f t="shared" si="92"/>
        <v>0</v>
      </c>
      <c r="S115" s="8">
        <f t="shared" si="92"/>
        <v>3.2623011459589867E-2</v>
      </c>
      <c r="T115" s="8">
        <f t="shared" si="92"/>
        <v>1.0715047051253694E-2</v>
      </c>
      <c r="U115" s="8">
        <f t="shared" si="92"/>
        <v>0</v>
      </c>
      <c r="V115" s="8">
        <f t="shared" si="92"/>
        <v>0</v>
      </c>
      <c r="W115" s="8">
        <f t="shared" si="92"/>
        <v>1593.5801062454568</v>
      </c>
      <c r="X115" s="8">
        <f t="shared" si="92"/>
        <v>2.195003430849831E-2</v>
      </c>
      <c r="Y115" s="8">
        <f t="shared" si="92"/>
        <v>0</v>
      </c>
      <c r="Z115" s="8">
        <f t="shared" si="92"/>
        <v>4.3707144270607285</v>
      </c>
      <c r="AA115" s="8">
        <f t="shared" si="92"/>
        <v>3.4225161852589636E-3</v>
      </c>
      <c r="AB115" s="8">
        <f t="shared" si="92"/>
        <v>43.375202508832196</v>
      </c>
      <c r="AC115" s="8">
        <f t="shared" si="92"/>
        <v>5.6700270635994593E-3</v>
      </c>
      <c r="AD115" s="8">
        <f t="shared" si="92"/>
        <v>0</v>
      </c>
      <c r="AE115" s="8">
        <f t="shared" si="92"/>
        <v>35.902032855946295</v>
      </c>
      <c r="AF115" s="8">
        <f t="shared" ref="AF115:AJ118" si="99">AF21*AF$31</f>
        <v>1.1689168851300523E-2</v>
      </c>
      <c r="AG115" s="8">
        <f t="shared" si="99"/>
        <v>1.7258578481246439E-2</v>
      </c>
      <c r="AH115" s="8">
        <f t="shared" si="99"/>
        <v>2.3574638340084302E-3</v>
      </c>
      <c r="AI115" s="8">
        <f t="shared" si="99"/>
        <v>4.8958208280961184</v>
      </c>
      <c r="AJ115" s="8">
        <f t="shared" si="99"/>
        <v>29.076944890449283</v>
      </c>
    </row>
    <row r="116" spans="1:36" s="8" customFormat="1" x14ac:dyDescent="0.3">
      <c r="A116" s="8" t="s">
        <v>4</v>
      </c>
      <c r="B116" s="8">
        <v>2025</v>
      </c>
      <c r="C116" s="8" t="s">
        <v>73</v>
      </c>
      <c r="D116" s="8">
        <f t="shared" si="82"/>
        <v>0.30784456720847536</v>
      </c>
      <c r="E116" s="8">
        <f t="shared" si="92"/>
        <v>4.318956305884576E-4</v>
      </c>
      <c r="F116" s="8">
        <f t="shared" si="92"/>
        <v>5.7972145326476701E-3</v>
      </c>
      <c r="G116" s="8">
        <f t="shared" si="92"/>
        <v>1.2736436964401113E-2</v>
      </c>
      <c r="H116" s="8">
        <f t="shared" si="92"/>
        <v>187.68664282900406</v>
      </c>
      <c r="I116" s="8">
        <f t="shared" si="92"/>
        <v>3.0884843332523691E-2</v>
      </c>
      <c r="J116" s="8">
        <f t="shared" si="92"/>
        <v>0</v>
      </c>
      <c r="K116" s="8">
        <f t="shared" si="92"/>
        <v>68.981609386832744</v>
      </c>
      <c r="L116" s="8">
        <f t="shared" si="92"/>
        <v>127.12369687443008</v>
      </c>
      <c r="M116" s="8">
        <f t="shared" si="92"/>
        <v>3.0915017265106246E-3</v>
      </c>
      <c r="N116" s="8">
        <f t="shared" si="92"/>
        <v>1.5404840092864592E-2</v>
      </c>
      <c r="O116" s="8">
        <f t="shared" si="92"/>
        <v>6.1396254151854412</v>
      </c>
      <c r="P116" s="8">
        <f t="shared" si="92"/>
        <v>2.781215336134453E-4</v>
      </c>
      <c r="Q116" s="8">
        <f t="shared" si="92"/>
        <v>6.4967248392193075E-2</v>
      </c>
      <c r="R116" s="8">
        <f t="shared" si="92"/>
        <v>0</v>
      </c>
      <c r="S116" s="8">
        <f t="shared" si="92"/>
        <v>3.0333677322074787E-2</v>
      </c>
      <c r="T116" s="8">
        <f t="shared" si="92"/>
        <v>2.3320984758610979E-2</v>
      </c>
      <c r="U116" s="8">
        <f t="shared" si="92"/>
        <v>0</v>
      </c>
      <c r="V116" s="8">
        <f t="shared" si="92"/>
        <v>0</v>
      </c>
      <c r="W116" s="8">
        <f t="shared" si="92"/>
        <v>1804.2642922050447</v>
      </c>
      <c r="X116" s="8">
        <f t="shared" si="92"/>
        <v>3.6968478835365574E-2</v>
      </c>
      <c r="Y116" s="8">
        <f t="shared" si="92"/>
        <v>0</v>
      </c>
      <c r="Z116" s="8">
        <f t="shared" si="92"/>
        <v>4.3427166771889691</v>
      </c>
      <c r="AA116" s="8">
        <f t="shared" si="92"/>
        <v>3.4225161852589636E-3</v>
      </c>
      <c r="AB116" s="8">
        <f t="shared" si="92"/>
        <v>40.020783684750739</v>
      </c>
      <c r="AC116" s="8">
        <f t="shared" si="92"/>
        <v>2.8350135317997292E-4</v>
      </c>
      <c r="AD116" s="8">
        <f t="shared" si="92"/>
        <v>0</v>
      </c>
      <c r="AE116" s="8">
        <f t="shared" si="92"/>
        <v>46.166919133951403</v>
      </c>
      <c r="AF116" s="8">
        <f t="shared" ref="AF116" si="100">AF22*AF$31</f>
        <v>1.5380485330658583E-2</v>
      </c>
      <c r="AG116" s="8">
        <f t="shared" si="99"/>
        <v>1.516662957442869E-2</v>
      </c>
      <c r="AH116" s="8">
        <f t="shared" si="99"/>
        <v>3.988042985864261E-2</v>
      </c>
      <c r="AI116" s="8">
        <f t="shared" si="99"/>
        <v>4.7212696144177455</v>
      </c>
      <c r="AJ116" s="8">
        <f t="shared" si="99"/>
        <v>27.821837631284108</v>
      </c>
    </row>
    <row r="117" spans="1:36" s="8" customFormat="1" x14ac:dyDescent="0.3">
      <c r="A117" s="8" t="s">
        <v>4</v>
      </c>
      <c r="B117" s="8">
        <v>2015</v>
      </c>
      <c r="C117" s="8" t="s">
        <v>74</v>
      </c>
      <c r="D117" s="8">
        <f t="shared" si="82"/>
        <v>0</v>
      </c>
      <c r="E117" s="8">
        <f t="shared" si="92"/>
        <v>0.65086671529680551</v>
      </c>
      <c r="F117" s="8">
        <f t="shared" si="92"/>
        <v>0</v>
      </c>
      <c r="G117" s="8">
        <f t="shared" si="92"/>
        <v>0</v>
      </c>
      <c r="H117" s="8">
        <f t="shared" si="92"/>
        <v>0</v>
      </c>
      <c r="I117" s="8">
        <f t="shared" si="92"/>
        <v>12.884274214233669</v>
      </c>
      <c r="J117" s="8">
        <f t="shared" si="92"/>
        <v>0</v>
      </c>
      <c r="K117" s="8">
        <f t="shared" si="92"/>
        <v>0</v>
      </c>
      <c r="L117" s="8">
        <f t="shared" si="92"/>
        <v>0</v>
      </c>
      <c r="M117" s="8">
        <f t="shared" si="92"/>
        <v>0.21485936999248842</v>
      </c>
      <c r="N117" s="8">
        <f t="shared" si="92"/>
        <v>0</v>
      </c>
      <c r="O117" s="8">
        <f t="shared" si="92"/>
        <v>0.14168623393232607</v>
      </c>
      <c r="P117" s="8">
        <f t="shared" si="92"/>
        <v>0.30426495777310913</v>
      </c>
      <c r="Q117" s="8">
        <f t="shared" si="92"/>
        <v>17.366318735660197</v>
      </c>
      <c r="R117" s="8">
        <f t="shared" si="92"/>
        <v>0</v>
      </c>
      <c r="S117" s="8">
        <f t="shared" si="92"/>
        <v>0</v>
      </c>
      <c r="T117" s="8">
        <f t="shared" si="92"/>
        <v>0</v>
      </c>
      <c r="U117" s="8">
        <f t="shared" si="92"/>
        <v>0</v>
      </c>
      <c r="V117" s="8">
        <f t="shared" si="92"/>
        <v>0</v>
      </c>
      <c r="W117" s="8">
        <f t="shared" si="92"/>
        <v>0.53007175040942256</v>
      </c>
      <c r="X117" s="8">
        <f t="shared" si="92"/>
        <v>0</v>
      </c>
      <c r="Y117" s="8">
        <f t="shared" si="92"/>
        <v>0</v>
      </c>
      <c r="Z117" s="8">
        <f t="shared" si="92"/>
        <v>0</v>
      </c>
      <c r="AA117" s="8">
        <f t="shared" si="92"/>
        <v>0</v>
      </c>
      <c r="AB117" s="8">
        <f t="shared" si="92"/>
        <v>32.740999397730853</v>
      </c>
      <c r="AC117" s="8">
        <f t="shared" si="92"/>
        <v>9.4845377706359937</v>
      </c>
      <c r="AD117" s="8">
        <f t="shared" si="92"/>
        <v>0</v>
      </c>
      <c r="AE117" s="8">
        <f t="shared" si="92"/>
        <v>0.41088894322250641</v>
      </c>
      <c r="AF117" s="8">
        <f t="shared" ref="AF117" si="101">AF23*AF$31</f>
        <v>0</v>
      </c>
      <c r="AG117" s="8">
        <f t="shared" si="99"/>
        <v>0</v>
      </c>
      <c r="AH117" s="8">
        <f t="shared" si="99"/>
        <v>1.920154292799866</v>
      </c>
      <c r="AI117" s="8">
        <f t="shared" si="99"/>
        <v>0</v>
      </c>
      <c r="AJ117" s="8">
        <f t="shared" si="99"/>
        <v>0</v>
      </c>
    </row>
    <row r="118" spans="1:36" s="8" customFormat="1" x14ac:dyDescent="0.3">
      <c r="A118" s="8" t="s">
        <v>4</v>
      </c>
      <c r="B118" s="8">
        <v>2020</v>
      </c>
      <c r="C118" s="8" t="s">
        <v>74</v>
      </c>
      <c r="D118" s="8">
        <f t="shared" si="82"/>
        <v>0.30182984209427782</v>
      </c>
      <c r="E118" s="8">
        <f t="shared" si="92"/>
        <v>6.5807937232763285</v>
      </c>
      <c r="F118" s="8">
        <f t="shared" si="92"/>
        <v>0</v>
      </c>
      <c r="G118" s="8">
        <f t="shared" si="92"/>
        <v>0</v>
      </c>
      <c r="H118" s="8">
        <f t="shared" si="92"/>
        <v>0</v>
      </c>
      <c r="I118" s="8">
        <f t="shared" si="92"/>
        <v>6.9970347923245111</v>
      </c>
      <c r="J118" s="8">
        <f t="shared" si="92"/>
        <v>0</v>
      </c>
      <c r="K118" s="8">
        <f t="shared" si="92"/>
        <v>0</v>
      </c>
      <c r="L118" s="8">
        <f t="shared" si="92"/>
        <v>113.31332964960333</v>
      </c>
      <c r="M118" s="8">
        <f t="shared" si="92"/>
        <v>11.477586597386507</v>
      </c>
      <c r="N118" s="8">
        <f t="shared" si="92"/>
        <v>0</v>
      </c>
      <c r="O118" s="8">
        <f t="shared" si="92"/>
        <v>10.316361825374459</v>
      </c>
      <c r="P118" s="8">
        <f t="shared" si="92"/>
        <v>12.943219931302515</v>
      </c>
      <c r="Q118" s="8">
        <f t="shared" ref="E118:AE119" si="102">Q24*Q$31</f>
        <v>75.286053778367801</v>
      </c>
      <c r="R118" s="8">
        <f t="shared" si="102"/>
        <v>0</v>
      </c>
      <c r="S118" s="8">
        <f t="shared" si="102"/>
        <v>0</v>
      </c>
      <c r="T118" s="8">
        <f t="shared" si="102"/>
        <v>0</v>
      </c>
      <c r="U118" s="8">
        <f t="shared" si="102"/>
        <v>0</v>
      </c>
      <c r="V118" s="8">
        <f t="shared" si="102"/>
        <v>0</v>
      </c>
      <c r="W118" s="8">
        <f t="shared" si="102"/>
        <v>0</v>
      </c>
      <c r="X118" s="8">
        <f t="shared" si="102"/>
        <v>0</v>
      </c>
      <c r="Y118" s="8">
        <f t="shared" si="102"/>
        <v>1.4892508296735898</v>
      </c>
      <c r="Z118" s="8">
        <f t="shared" si="102"/>
        <v>0</v>
      </c>
      <c r="AA118" s="8">
        <f t="shared" si="102"/>
        <v>0.53733504108565733</v>
      </c>
      <c r="AB118" s="8">
        <f t="shared" si="102"/>
        <v>42.620951949079043</v>
      </c>
      <c r="AC118" s="8">
        <f t="shared" si="102"/>
        <v>34.2078402774019</v>
      </c>
      <c r="AD118" s="8">
        <f t="shared" si="102"/>
        <v>2.2438223399723554</v>
      </c>
      <c r="AE118" s="8">
        <f t="shared" si="102"/>
        <v>18.948583854859336</v>
      </c>
      <c r="AF118" s="8">
        <f t="shared" ref="AF118" si="103">AF24*AF$31</f>
        <v>0</v>
      </c>
      <c r="AG118" s="8">
        <f t="shared" si="99"/>
        <v>0</v>
      </c>
      <c r="AH118" s="8">
        <f t="shared" si="99"/>
        <v>24.004679034471337</v>
      </c>
      <c r="AI118" s="8">
        <f t="shared" si="99"/>
        <v>0</v>
      </c>
      <c r="AJ118" s="8">
        <f t="shared" si="99"/>
        <v>0</v>
      </c>
    </row>
    <row r="119" spans="1:36" s="8" customFormat="1" ht="13.8" customHeight="1" x14ac:dyDescent="0.3">
      <c r="A119" s="8" t="s">
        <v>4</v>
      </c>
      <c r="B119" s="8">
        <v>2025</v>
      </c>
      <c r="C119" s="8" t="s">
        <v>74</v>
      </c>
      <c r="D119" s="8">
        <f t="shared" si="82"/>
        <v>2.1324934495791367E-2</v>
      </c>
      <c r="E119" s="8">
        <f t="shared" si="102"/>
        <v>24.559313137782052</v>
      </c>
      <c r="F119" s="8">
        <f t="shared" si="102"/>
        <v>0</v>
      </c>
      <c r="G119" s="8">
        <f t="shared" si="102"/>
        <v>0</v>
      </c>
      <c r="H119" s="8">
        <f t="shared" si="102"/>
        <v>0</v>
      </c>
      <c r="I119" s="8">
        <f t="shared" si="102"/>
        <v>22.792720238037415</v>
      </c>
      <c r="J119" s="8">
        <f t="shared" si="102"/>
        <v>0</v>
      </c>
      <c r="K119" s="8">
        <f t="shared" si="102"/>
        <v>0</v>
      </c>
      <c r="L119" s="8">
        <f t="shared" si="102"/>
        <v>373.50677494054162</v>
      </c>
      <c r="M119" s="8">
        <f t="shared" si="102"/>
        <v>47.533771233679921</v>
      </c>
      <c r="N119" s="8">
        <f t="shared" si="102"/>
        <v>0.62088203330806424</v>
      </c>
      <c r="O119" s="8">
        <f t="shared" si="102"/>
        <v>60.299188335817078</v>
      </c>
      <c r="P119" s="8">
        <f t="shared" si="102"/>
        <v>38.75262012909662</v>
      </c>
      <c r="Q119" s="8">
        <f t="shared" si="102"/>
        <v>275.21368439858128</v>
      </c>
      <c r="R119" s="8">
        <f t="shared" si="102"/>
        <v>0</v>
      </c>
      <c r="S119" s="8">
        <f t="shared" si="102"/>
        <v>2.5789349059107356</v>
      </c>
      <c r="T119" s="8">
        <f t="shared" si="102"/>
        <v>0</v>
      </c>
      <c r="U119" s="8">
        <f t="shared" si="102"/>
        <v>13.470476342563595</v>
      </c>
      <c r="V119" s="8">
        <f t="shared" si="102"/>
        <v>0</v>
      </c>
      <c r="W119" s="8">
        <f t="shared" si="102"/>
        <v>0</v>
      </c>
      <c r="X119" s="8">
        <f t="shared" si="102"/>
        <v>0</v>
      </c>
      <c r="Y119" s="8">
        <f t="shared" si="102"/>
        <v>5.0399866326409475</v>
      </c>
      <c r="Z119" s="8">
        <f t="shared" si="102"/>
        <v>0.31083633251785514</v>
      </c>
      <c r="AA119" s="8">
        <f t="shared" si="102"/>
        <v>2.7660775809262947</v>
      </c>
      <c r="AB119" s="8">
        <f t="shared" si="102"/>
        <v>113.2105621047815</v>
      </c>
      <c r="AC119" s="8">
        <f t="shared" si="102"/>
        <v>58.690733636671176</v>
      </c>
      <c r="AD119" s="8">
        <f t="shared" si="102"/>
        <v>2.1967565402416129</v>
      </c>
      <c r="AE119" s="8">
        <f t="shared" si="102"/>
        <v>59.283570339322246</v>
      </c>
      <c r="AF119" s="8">
        <f t="shared" ref="AF119:AJ119" si="104">AF25*AF$31</f>
        <v>0</v>
      </c>
      <c r="AG119" s="8">
        <f t="shared" si="104"/>
        <v>0</v>
      </c>
      <c r="AH119" s="8">
        <f t="shared" si="104"/>
        <v>53.500284248987306</v>
      </c>
      <c r="AI119" s="8">
        <f t="shared" si="104"/>
        <v>0</v>
      </c>
      <c r="AJ119" s="8">
        <f t="shared" si="104"/>
        <v>0</v>
      </c>
    </row>
    <row r="122" spans="1:36" x14ac:dyDescent="0.3">
      <c r="D122" t="s">
        <v>79</v>
      </c>
    </row>
    <row r="123" spans="1:36" x14ac:dyDescent="0.3">
      <c r="D123">
        <f t="shared" ref="D123:AJ123" si="105">D99+D78+D57+D36-D5</f>
        <v>0</v>
      </c>
      <c r="E123">
        <f t="shared" si="105"/>
        <v>0</v>
      </c>
      <c r="F123">
        <f t="shared" si="105"/>
        <v>0</v>
      </c>
      <c r="G123">
        <f t="shared" si="105"/>
        <v>0</v>
      </c>
      <c r="H123">
        <f t="shared" si="105"/>
        <v>0</v>
      </c>
      <c r="I123">
        <f t="shared" si="105"/>
        <v>0</v>
      </c>
      <c r="J123">
        <f t="shared" si="105"/>
        <v>0</v>
      </c>
      <c r="K123">
        <f t="shared" si="105"/>
        <v>0</v>
      </c>
      <c r="L123">
        <f t="shared" si="105"/>
        <v>0</v>
      </c>
      <c r="M123">
        <f t="shared" si="105"/>
        <v>0</v>
      </c>
      <c r="N123">
        <f t="shared" si="105"/>
        <v>0</v>
      </c>
      <c r="O123">
        <f t="shared" si="105"/>
        <v>0</v>
      </c>
      <c r="P123">
        <f t="shared" si="105"/>
        <v>0</v>
      </c>
      <c r="Q123">
        <f t="shared" si="105"/>
        <v>0</v>
      </c>
      <c r="R123">
        <f t="shared" si="105"/>
        <v>0</v>
      </c>
      <c r="S123">
        <f t="shared" si="105"/>
        <v>0</v>
      </c>
      <c r="T123">
        <f t="shared" si="105"/>
        <v>0</v>
      </c>
      <c r="U123">
        <f t="shared" si="105"/>
        <v>0</v>
      </c>
      <c r="V123">
        <f t="shared" si="105"/>
        <v>0</v>
      </c>
      <c r="W123">
        <f t="shared" si="105"/>
        <v>0</v>
      </c>
      <c r="X123">
        <f t="shared" si="105"/>
        <v>0</v>
      </c>
      <c r="Y123">
        <f t="shared" si="105"/>
        <v>0</v>
      </c>
      <c r="Z123">
        <f t="shared" si="105"/>
        <v>0</v>
      </c>
      <c r="AA123">
        <f t="shared" si="105"/>
        <v>0</v>
      </c>
      <c r="AB123">
        <f t="shared" si="105"/>
        <v>0</v>
      </c>
      <c r="AC123">
        <f t="shared" si="105"/>
        <v>0</v>
      </c>
      <c r="AD123">
        <f t="shared" si="105"/>
        <v>0</v>
      </c>
      <c r="AE123">
        <f t="shared" si="105"/>
        <v>0</v>
      </c>
      <c r="AF123">
        <f t="shared" si="105"/>
        <v>0</v>
      </c>
      <c r="AG123">
        <f t="shared" si="105"/>
        <v>0</v>
      </c>
      <c r="AH123">
        <f t="shared" si="105"/>
        <v>0</v>
      </c>
      <c r="AI123">
        <f t="shared" si="105"/>
        <v>0</v>
      </c>
      <c r="AJ123">
        <f t="shared" si="105"/>
        <v>0</v>
      </c>
    </row>
    <row r="124" spans="1:36" x14ac:dyDescent="0.3">
      <c r="D124">
        <f t="shared" ref="D124:AJ124" si="106">D100+D79+D58+D37-D6</f>
        <v>0</v>
      </c>
      <c r="E124">
        <f t="shared" si="106"/>
        <v>0</v>
      </c>
      <c r="F124">
        <f t="shared" si="106"/>
        <v>0</v>
      </c>
      <c r="G124">
        <f t="shared" si="106"/>
        <v>0</v>
      </c>
      <c r="H124">
        <f t="shared" si="106"/>
        <v>0</v>
      </c>
      <c r="I124">
        <f t="shared" si="106"/>
        <v>0</v>
      </c>
      <c r="J124">
        <f t="shared" si="106"/>
        <v>0</v>
      </c>
      <c r="K124">
        <f t="shared" si="106"/>
        <v>0</v>
      </c>
      <c r="L124">
        <f t="shared" si="106"/>
        <v>0</v>
      </c>
      <c r="M124">
        <f t="shared" si="106"/>
        <v>0</v>
      </c>
      <c r="N124">
        <f t="shared" si="106"/>
        <v>0</v>
      </c>
      <c r="O124">
        <f t="shared" si="106"/>
        <v>0</v>
      </c>
      <c r="P124">
        <f t="shared" si="106"/>
        <v>0</v>
      </c>
      <c r="Q124">
        <f t="shared" si="106"/>
        <v>0</v>
      </c>
      <c r="R124">
        <f t="shared" si="106"/>
        <v>0</v>
      </c>
      <c r="S124">
        <f t="shared" si="106"/>
        <v>0</v>
      </c>
      <c r="T124">
        <f t="shared" si="106"/>
        <v>0</v>
      </c>
      <c r="U124">
        <f t="shared" si="106"/>
        <v>0</v>
      </c>
      <c r="V124">
        <f t="shared" si="106"/>
        <v>0</v>
      </c>
      <c r="W124">
        <f t="shared" si="106"/>
        <v>0</v>
      </c>
      <c r="X124">
        <f t="shared" si="106"/>
        <v>0</v>
      </c>
      <c r="Y124">
        <f t="shared" si="106"/>
        <v>0</v>
      </c>
      <c r="Z124">
        <f t="shared" si="106"/>
        <v>0</v>
      </c>
      <c r="AA124">
        <f t="shared" si="106"/>
        <v>0</v>
      </c>
      <c r="AB124">
        <f t="shared" si="106"/>
        <v>0</v>
      </c>
      <c r="AC124">
        <f t="shared" si="106"/>
        <v>0</v>
      </c>
      <c r="AD124">
        <f t="shared" si="106"/>
        <v>0</v>
      </c>
      <c r="AE124">
        <f t="shared" si="106"/>
        <v>0</v>
      </c>
      <c r="AF124">
        <f t="shared" si="106"/>
        <v>0</v>
      </c>
      <c r="AG124">
        <f t="shared" si="106"/>
        <v>0</v>
      </c>
      <c r="AH124">
        <f t="shared" si="106"/>
        <v>0</v>
      </c>
      <c r="AI124">
        <f t="shared" si="106"/>
        <v>0</v>
      </c>
      <c r="AJ124">
        <f t="shared" si="106"/>
        <v>0</v>
      </c>
    </row>
    <row r="125" spans="1:36" x14ac:dyDescent="0.3">
      <c r="D125">
        <f t="shared" ref="D125:AJ125" si="107">D101+D80+D59+D38-D7</f>
        <v>0</v>
      </c>
      <c r="E125">
        <f t="shared" si="107"/>
        <v>0</v>
      </c>
      <c r="F125">
        <f t="shared" si="107"/>
        <v>0</v>
      </c>
      <c r="G125">
        <f t="shared" si="107"/>
        <v>0</v>
      </c>
      <c r="H125">
        <f t="shared" si="107"/>
        <v>0</v>
      </c>
      <c r="I125">
        <f t="shared" si="107"/>
        <v>0</v>
      </c>
      <c r="J125">
        <f t="shared" si="107"/>
        <v>0</v>
      </c>
      <c r="K125">
        <f t="shared" si="107"/>
        <v>0</v>
      </c>
      <c r="L125">
        <f t="shared" si="107"/>
        <v>0</v>
      </c>
      <c r="M125">
        <f t="shared" si="107"/>
        <v>0</v>
      </c>
      <c r="N125">
        <f t="shared" si="107"/>
        <v>0</v>
      </c>
      <c r="O125">
        <f t="shared" si="107"/>
        <v>0</v>
      </c>
      <c r="P125">
        <f t="shared" si="107"/>
        <v>0</v>
      </c>
      <c r="Q125">
        <f t="shared" si="107"/>
        <v>0</v>
      </c>
      <c r="R125">
        <f t="shared" si="107"/>
        <v>0</v>
      </c>
      <c r="S125">
        <f t="shared" si="107"/>
        <v>0</v>
      </c>
      <c r="T125">
        <f t="shared" si="107"/>
        <v>0</v>
      </c>
      <c r="U125">
        <f t="shared" si="107"/>
        <v>0</v>
      </c>
      <c r="V125">
        <f t="shared" si="107"/>
        <v>0</v>
      </c>
      <c r="W125">
        <f t="shared" si="107"/>
        <v>0</v>
      </c>
      <c r="X125">
        <f t="shared" si="107"/>
        <v>0</v>
      </c>
      <c r="Y125">
        <f t="shared" si="107"/>
        <v>0</v>
      </c>
      <c r="Z125">
        <f t="shared" si="107"/>
        <v>0</v>
      </c>
      <c r="AA125">
        <f t="shared" si="107"/>
        <v>0</v>
      </c>
      <c r="AB125">
        <f t="shared" si="107"/>
        <v>0</v>
      </c>
      <c r="AC125">
        <f t="shared" si="107"/>
        <v>0</v>
      </c>
      <c r="AD125">
        <f t="shared" si="107"/>
        <v>0</v>
      </c>
      <c r="AE125">
        <f t="shared" si="107"/>
        <v>0</v>
      </c>
      <c r="AF125">
        <f t="shared" si="107"/>
        <v>0</v>
      </c>
      <c r="AG125">
        <f t="shared" si="107"/>
        <v>0</v>
      </c>
      <c r="AH125">
        <f t="shared" si="107"/>
        <v>0</v>
      </c>
      <c r="AI125">
        <f t="shared" si="107"/>
        <v>0</v>
      </c>
      <c r="AJ125">
        <f t="shared" si="107"/>
        <v>0</v>
      </c>
    </row>
    <row r="126" spans="1:36" x14ac:dyDescent="0.3">
      <c r="D126">
        <f t="shared" ref="D126:AJ126" si="108">D102+D81+D60+D39-D8</f>
        <v>0</v>
      </c>
      <c r="E126">
        <f t="shared" si="108"/>
        <v>0</v>
      </c>
      <c r="F126">
        <f t="shared" si="108"/>
        <v>0</v>
      </c>
      <c r="G126">
        <f t="shared" si="108"/>
        <v>0</v>
      </c>
      <c r="H126">
        <f t="shared" si="108"/>
        <v>0</v>
      </c>
      <c r="I126">
        <f t="shared" si="108"/>
        <v>0</v>
      </c>
      <c r="J126">
        <f t="shared" si="108"/>
        <v>0</v>
      </c>
      <c r="K126">
        <f t="shared" si="108"/>
        <v>0</v>
      </c>
      <c r="L126">
        <f t="shared" si="108"/>
        <v>0</v>
      </c>
      <c r="M126">
        <f t="shared" si="108"/>
        <v>0</v>
      </c>
      <c r="N126">
        <f t="shared" si="108"/>
        <v>0</v>
      </c>
      <c r="O126">
        <f t="shared" si="108"/>
        <v>0</v>
      </c>
      <c r="P126">
        <f t="shared" si="108"/>
        <v>0</v>
      </c>
      <c r="Q126">
        <f t="shared" si="108"/>
        <v>0</v>
      </c>
      <c r="R126">
        <f t="shared" si="108"/>
        <v>0</v>
      </c>
      <c r="S126">
        <f t="shared" si="108"/>
        <v>0</v>
      </c>
      <c r="T126">
        <f t="shared" si="108"/>
        <v>0</v>
      </c>
      <c r="U126">
        <f t="shared" si="108"/>
        <v>0</v>
      </c>
      <c r="V126">
        <f t="shared" si="108"/>
        <v>0</v>
      </c>
      <c r="W126">
        <f t="shared" si="108"/>
        <v>0</v>
      </c>
      <c r="X126">
        <f t="shared" si="108"/>
        <v>0</v>
      </c>
      <c r="Y126">
        <f t="shared" si="108"/>
        <v>0</v>
      </c>
      <c r="Z126">
        <f t="shared" si="108"/>
        <v>0</v>
      </c>
      <c r="AA126">
        <f t="shared" si="108"/>
        <v>0</v>
      </c>
      <c r="AB126">
        <f t="shared" si="108"/>
        <v>0</v>
      </c>
      <c r="AC126">
        <f t="shared" si="108"/>
        <v>0</v>
      </c>
      <c r="AD126">
        <f t="shared" si="108"/>
        <v>0</v>
      </c>
      <c r="AE126">
        <f t="shared" si="108"/>
        <v>0</v>
      </c>
      <c r="AF126">
        <f t="shared" si="108"/>
        <v>0</v>
      </c>
      <c r="AG126">
        <f t="shared" si="108"/>
        <v>0</v>
      </c>
      <c r="AH126">
        <f t="shared" si="108"/>
        <v>0</v>
      </c>
      <c r="AI126">
        <f t="shared" si="108"/>
        <v>0</v>
      </c>
      <c r="AJ126">
        <f t="shared" si="108"/>
        <v>0</v>
      </c>
    </row>
    <row r="127" spans="1:36" x14ac:dyDescent="0.3">
      <c r="D127">
        <f t="shared" ref="D127:AJ127" si="109">D103+D82+D61+D40-D9</f>
        <v>0</v>
      </c>
      <c r="E127">
        <f t="shared" si="109"/>
        <v>0</v>
      </c>
      <c r="F127">
        <f t="shared" si="109"/>
        <v>0</v>
      </c>
      <c r="G127">
        <f t="shared" si="109"/>
        <v>0</v>
      </c>
      <c r="H127">
        <f t="shared" si="109"/>
        <v>0</v>
      </c>
      <c r="I127">
        <f t="shared" si="109"/>
        <v>0</v>
      </c>
      <c r="J127">
        <f t="shared" si="109"/>
        <v>0</v>
      </c>
      <c r="K127">
        <f t="shared" si="109"/>
        <v>0</v>
      </c>
      <c r="L127">
        <f t="shared" si="109"/>
        <v>0</v>
      </c>
      <c r="M127">
        <f t="shared" si="109"/>
        <v>0</v>
      </c>
      <c r="N127">
        <f t="shared" si="109"/>
        <v>0</v>
      </c>
      <c r="O127">
        <f t="shared" si="109"/>
        <v>0</v>
      </c>
      <c r="P127">
        <f t="shared" si="109"/>
        <v>0</v>
      </c>
      <c r="Q127">
        <f t="shared" si="109"/>
        <v>0</v>
      </c>
      <c r="R127">
        <f t="shared" si="109"/>
        <v>0</v>
      </c>
      <c r="S127">
        <f t="shared" si="109"/>
        <v>0</v>
      </c>
      <c r="T127">
        <f t="shared" si="109"/>
        <v>0</v>
      </c>
      <c r="U127">
        <f t="shared" si="109"/>
        <v>0</v>
      </c>
      <c r="V127">
        <f t="shared" si="109"/>
        <v>0</v>
      </c>
      <c r="W127">
        <f t="shared" si="109"/>
        <v>0</v>
      </c>
      <c r="X127">
        <f t="shared" si="109"/>
        <v>0</v>
      </c>
      <c r="Y127">
        <f t="shared" si="109"/>
        <v>0</v>
      </c>
      <c r="Z127">
        <f t="shared" si="109"/>
        <v>0</v>
      </c>
      <c r="AA127">
        <f t="shared" si="109"/>
        <v>0</v>
      </c>
      <c r="AB127">
        <f t="shared" si="109"/>
        <v>0</v>
      </c>
      <c r="AC127">
        <f t="shared" si="109"/>
        <v>0</v>
      </c>
      <c r="AD127">
        <f t="shared" si="109"/>
        <v>0</v>
      </c>
      <c r="AE127">
        <f t="shared" si="109"/>
        <v>0</v>
      </c>
      <c r="AF127">
        <f t="shared" si="109"/>
        <v>0</v>
      </c>
      <c r="AG127">
        <f t="shared" si="109"/>
        <v>0</v>
      </c>
      <c r="AH127">
        <f t="shared" si="109"/>
        <v>0</v>
      </c>
      <c r="AI127">
        <f t="shared" si="109"/>
        <v>0</v>
      </c>
      <c r="AJ127">
        <f t="shared" si="109"/>
        <v>0</v>
      </c>
    </row>
    <row r="128" spans="1:36" x14ac:dyDescent="0.3">
      <c r="D128">
        <f t="shared" ref="D128:AJ128" si="110">D104+D83+D62+D41-D10</f>
        <v>0</v>
      </c>
      <c r="E128">
        <f t="shared" si="110"/>
        <v>0</v>
      </c>
      <c r="F128">
        <f t="shared" si="110"/>
        <v>0</v>
      </c>
      <c r="G128">
        <f t="shared" si="110"/>
        <v>0</v>
      </c>
      <c r="H128">
        <f t="shared" si="110"/>
        <v>0</v>
      </c>
      <c r="I128">
        <f t="shared" si="110"/>
        <v>0</v>
      </c>
      <c r="J128">
        <f t="shared" si="110"/>
        <v>0</v>
      </c>
      <c r="K128">
        <f t="shared" si="110"/>
        <v>0</v>
      </c>
      <c r="L128">
        <f t="shared" si="110"/>
        <v>0</v>
      </c>
      <c r="M128">
        <f t="shared" si="110"/>
        <v>0</v>
      </c>
      <c r="N128">
        <f t="shared" si="110"/>
        <v>0</v>
      </c>
      <c r="O128">
        <f t="shared" si="110"/>
        <v>0</v>
      </c>
      <c r="P128">
        <f t="shared" si="110"/>
        <v>0</v>
      </c>
      <c r="Q128">
        <f t="shared" si="110"/>
        <v>0</v>
      </c>
      <c r="R128">
        <f t="shared" si="110"/>
        <v>0</v>
      </c>
      <c r="S128">
        <f t="shared" si="110"/>
        <v>0</v>
      </c>
      <c r="T128">
        <f t="shared" si="110"/>
        <v>0</v>
      </c>
      <c r="U128">
        <f t="shared" si="110"/>
        <v>0</v>
      </c>
      <c r="V128">
        <f t="shared" si="110"/>
        <v>0</v>
      </c>
      <c r="W128">
        <f t="shared" si="110"/>
        <v>0</v>
      </c>
      <c r="X128">
        <f t="shared" si="110"/>
        <v>0</v>
      </c>
      <c r="Y128">
        <f t="shared" si="110"/>
        <v>0</v>
      </c>
      <c r="Z128">
        <f t="shared" si="110"/>
        <v>0</v>
      </c>
      <c r="AA128">
        <f t="shared" si="110"/>
        <v>0</v>
      </c>
      <c r="AB128">
        <f t="shared" si="110"/>
        <v>0</v>
      </c>
      <c r="AC128">
        <f t="shared" si="110"/>
        <v>0</v>
      </c>
      <c r="AD128">
        <f t="shared" si="110"/>
        <v>0</v>
      </c>
      <c r="AE128">
        <f t="shared" si="110"/>
        <v>0</v>
      </c>
      <c r="AF128">
        <f t="shared" si="110"/>
        <v>0</v>
      </c>
      <c r="AG128">
        <f t="shared" si="110"/>
        <v>0</v>
      </c>
      <c r="AH128">
        <f t="shared" si="110"/>
        <v>0</v>
      </c>
      <c r="AI128">
        <f t="shared" si="110"/>
        <v>0</v>
      </c>
      <c r="AJ128">
        <f t="shared" si="110"/>
        <v>0</v>
      </c>
    </row>
    <row r="129" spans="4:36" x14ac:dyDescent="0.3">
      <c r="D129">
        <f t="shared" ref="D129:AJ129" si="111">D105+D84+D63+D42-D11</f>
        <v>0</v>
      </c>
      <c r="E129">
        <f t="shared" si="111"/>
        <v>0</v>
      </c>
      <c r="F129">
        <f t="shared" si="111"/>
        <v>0</v>
      </c>
      <c r="G129">
        <f t="shared" si="111"/>
        <v>0</v>
      </c>
      <c r="H129">
        <f t="shared" si="111"/>
        <v>0</v>
      </c>
      <c r="I129">
        <f t="shared" si="111"/>
        <v>0</v>
      </c>
      <c r="J129">
        <f t="shared" si="111"/>
        <v>0</v>
      </c>
      <c r="K129">
        <f t="shared" si="111"/>
        <v>0</v>
      </c>
      <c r="L129">
        <f t="shared" si="111"/>
        <v>0</v>
      </c>
      <c r="M129">
        <f t="shared" si="111"/>
        <v>0</v>
      </c>
      <c r="N129">
        <f t="shared" si="111"/>
        <v>0</v>
      </c>
      <c r="O129">
        <f t="shared" si="111"/>
        <v>0</v>
      </c>
      <c r="P129">
        <f t="shared" si="111"/>
        <v>0</v>
      </c>
      <c r="Q129">
        <f t="shared" si="111"/>
        <v>0</v>
      </c>
      <c r="R129">
        <f t="shared" si="111"/>
        <v>0</v>
      </c>
      <c r="S129">
        <f t="shared" si="111"/>
        <v>0</v>
      </c>
      <c r="T129">
        <f t="shared" si="111"/>
        <v>0</v>
      </c>
      <c r="U129">
        <f t="shared" si="111"/>
        <v>0</v>
      </c>
      <c r="V129">
        <f t="shared" si="111"/>
        <v>0</v>
      </c>
      <c r="W129">
        <f t="shared" si="111"/>
        <v>0</v>
      </c>
      <c r="X129">
        <f t="shared" si="111"/>
        <v>0</v>
      </c>
      <c r="Y129">
        <f t="shared" si="111"/>
        <v>0</v>
      </c>
      <c r="Z129">
        <f t="shared" si="111"/>
        <v>0</v>
      </c>
      <c r="AA129">
        <f t="shared" si="111"/>
        <v>0</v>
      </c>
      <c r="AB129">
        <f t="shared" si="111"/>
        <v>0</v>
      </c>
      <c r="AC129">
        <f t="shared" si="111"/>
        <v>0</v>
      </c>
      <c r="AD129">
        <f t="shared" si="111"/>
        <v>0</v>
      </c>
      <c r="AE129">
        <f t="shared" si="111"/>
        <v>0</v>
      </c>
      <c r="AF129">
        <f t="shared" si="111"/>
        <v>0</v>
      </c>
      <c r="AG129">
        <f t="shared" si="111"/>
        <v>0</v>
      </c>
      <c r="AH129">
        <f t="shared" si="111"/>
        <v>0</v>
      </c>
      <c r="AI129">
        <f t="shared" si="111"/>
        <v>0</v>
      </c>
      <c r="AJ129">
        <f t="shared" si="111"/>
        <v>0</v>
      </c>
    </row>
    <row r="130" spans="4:36" x14ac:dyDescent="0.3">
      <c r="D130">
        <f t="shared" ref="D130:AJ130" si="112">D106+D85+D64+D43-D12</f>
        <v>0</v>
      </c>
      <c r="E130">
        <f t="shared" si="112"/>
        <v>0</v>
      </c>
      <c r="F130">
        <f t="shared" si="112"/>
        <v>0</v>
      </c>
      <c r="G130">
        <f t="shared" si="112"/>
        <v>0</v>
      </c>
      <c r="H130">
        <f t="shared" si="112"/>
        <v>0</v>
      </c>
      <c r="I130">
        <f t="shared" si="112"/>
        <v>0</v>
      </c>
      <c r="J130">
        <f t="shared" si="112"/>
        <v>0</v>
      </c>
      <c r="K130">
        <f t="shared" si="112"/>
        <v>0</v>
      </c>
      <c r="L130">
        <f t="shared" si="112"/>
        <v>0</v>
      </c>
      <c r="M130">
        <f t="shared" si="112"/>
        <v>0</v>
      </c>
      <c r="N130">
        <f t="shared" si="112"/>
        <v>0</v>
      </c>
      <c r="O130">
        <f t="shared" si="112"/>
        <v>0</v>
      </c>
      <c r="P130">
        <f t="shared" si="112"/>
        <v>0</v>
      </c>
      <c r="Q130">
        <f t="shared" si="112"/>
        <v>0</v>
      </c>
      <c r="R130">
        <f t="shared" si="112"/>
        <v>0</v>
      </c>
      <c r="S130">
        <f t="shared" si="112"/>
        <v>0</v>
      </c>
      <c r="T130">
        <f t="shared" si="112"/>
        <v>0</v>
      </c>
      <c r="U130">
        <f t="shared" si="112"/>
        <v>0</v>
      </c>
      <c r="V130">
        <f t="shared" si="112"/>
        <v>0</v>
      </c>
      <c r="W130">
        <f t="shared" si="112"/>
        <v>0</v>
      </c>
      <c r="X130">
        <f t="shared" si="112"/>
        <v>0</v>
      </c>
      <c r="Y130">
        <f t="shared" si="112"/>
        <v>0</v>
      </c>
      <c r="Z130">
        <f t="shared" si="112"/>
        <v>0</v>
      </c>
      <c r="AA130">
        <f t="shared" si="112"/>
        <v>0</v>
      </c>
      <c r="AB130">
        <f t="shared" si="112"/>
        <v>0</v>
      </c>
      <c r="AC130">
        <f t="shared" si="112"/>
        <v>0</v>
      </c>
      <c r="AD130">
        <f t="shared" si="112"/>
        <v>0</v>
      </c>
      <c r="AE130">
        <f t="shared" si="112"/>
        <v>0</v>
      </c>
      <c r="AF130">
        <f t="shared" si="112"/>
        <v>0</v>
      </c>
      <c r="AG130">
        <f t="shared" si="112"/>
        <v>0</v>
      </c>
      <c r="AH130">
        <f t="shared" si="112"/>
        <v>0</v>
      </c>
      <c r="AI130">
        <f t="shared" si="112"/>
        <v>0</v>
      </c>
      <c r="AJ130">
        <f t="shared" si="112"/>
        <v>0</v>
      </c>
    </row>
    <row r="131" spans="4:36" x14ac:dyDescent="0.3">
      <c r="D131">
        <f t="shared" ref="D131:AJ131" si="113">D107+D86+D65+D44-D13</f>
        <v>0</v>
      </c>
      <c r="E131">
        <f t="shared" si="113"/>
        <v>0</v>
      </c>
      <c r="F131">
        <f t="shared" si="113"/>
        <v>0</v>
      </c>
      <c r="G131">
        <f t="shared" si="113"/>
        <v>0</v>
      </c>
      <c r="H131">
        <f t="shared" si="113"/>
        <v>0</v>
      </c>
      <c r="I131">
        <f t="shared" si="113"/>
        <v>0</v>
      </c>
      <c r="J131">
        <f t="shared" si="113"/>
        <v>0</v>
      </c>
      <c r="K131">
        <f t="shared" si="113"/>
        <v>0</v>
      </c>
      <c r="L131">
        <f t="shared" si="113"/>
        <v>0</v>
      </c>
      <c r="M131">
        <f t="shared" si="113"/>
        <v>0</v>
      </c>
      <c r="N131">
        <f t="shared" si="113"/>
        <v>0</v>
      </c>
      <c r="O131">
        <f t="shared" si="113"/>
        <v>0</v>
      </c>
      <c r="P131">
        <f t="shared" si="113"/>
        <v>0</v>
      </c>
      <c r="Q131">
        <f t="shared" si="113"/>
        <v>0</v>
      </c>
      <c r="R131">
        <f t="shared" si="113"/>
        <v>0</v>
      </c>
      <c r="S131">
        <f t="shared" si="113"/>
        <v>0</v>
      </c>
      <c r="T131">
        <f t="shared" si="113"/>
        <v>0</v>
      </c>
      <c r="U131">
        <f t="shared" si="113"/>
        <v>0</v>
      </c>
      <c r="V131">
        <f t="shared" si="113"/>
        <v>0</v>
      </c>
      <c r="W131">
        <f t="shared" si="113"/>
        <v>0</v>
      </c>
      <c r="X131">
        <f t="shared" si="113"/>
        <v>0</v>
      </c>
      <c r="Y131">
        <f t="shared" si="113"/>
        <v>0</v>
      </c>
      <c r="Z131">
        <f t="shared" si="113"/>
        <v>0</v>
      </c>
      <c r="AA131">
        <f t="shared" si="113"/>
        <v>0</v>
      </c>
      <c r="AB131">
        <f t="shared" si="113"/>
        <v>0</v>
      </c>
      <c r="AC131">
        <f t="shared" si="113"/>
        <v>0</v>
      </c>
      <c r="AD131">
        <f t="shared" si="113"/>
        <v>0</v>
      </c>
      <c r="AE131">
        <f t="shared" si="113"/>
        <v>0</v>
      </c>
      <c r="AF131">
        <f t="shared" si="113"/>
        <v>0</v>
      </c>
      <c r="AG131">
        <f t="shared" si="113"/>
        <v>0</v>
      </c>
      <c r="AH131">
        <f t="shared" si="113"/>
        <v>0</v>
      </c>
      <c r="AI131">
        <f t="shared" si="113"/>
        <v>0</v>
      </c>
      <c r="AJ131">
        <f t="shared" si="113"/>
        <v>0</v>
      </c>
    </row>
    <row r="132" spans="4:36" x14ac:dyDescent="0.3">
      <c r="D132">
        <f t="shared" ref="D132:AJ132" si="114">D108+D87+D66+D45-D14</f>
        <v>0</v>
      </c>
      <c r="E132">
        <f t="shared" si="114"/>
        <v>0</v>
      </c>
      <c r="F132">
        <f t="shared" si="114"/>
        <v>0</v>
      </c>
      <c r="G132">
        <f t="shared" si="114"/>
        <v>0</v>
      </c>
      <c r="H132">
        <f t="shared" si="114"/>
        <v>0</v>
      </c>
      <c r="I132">
        <f t="shared" si="114"/>
        <v>0</v>
      </c>
      <c r="J132">
        <f t="shared" si="114"/>
        <v>0</v>
      </c>
      <c r="K132">
        <f t="shared" si="114"/>
        <v>0</v>
      </c>
      <c r="L132">
        <f t="shared" si="114"/>
        <v>0</v>
      </c>
      <c r="M132">
        <f t="shared" si="114"/>
        <v>0</v>
      </c>
      <c r="N132">
        <f t="shared" si="114"/>
        <v>0</v>
      </c>
      <c r="O132">
        <f t="shared" si="114"/>
        <v>0</v>
      </c>
      <c r="P132">
        <f t="shared" si="114"/>
        <v>0</v>
      </c>
      <c r="Q132">
        <f t="shared" si="114"/>
        <v>0</v>
      </c>
      <c r="R132">
        <f t="shared" si="114"/>
        <v>0</v>
      </c>
      <c r="S132">
        <f t="shared" si="114"/>
        <v>0</v>
      </c>
      <c r="T132">
        <f t="shared" si="114"/>
        <v>0</v>
      </c>
      <c r="U132">
        <f t="shared" si="114"/>
        <v>0</v>
      </c>
      <c r="V132">
        <f t="shared" si="114"/>
        <v>0</v>
      </c>
      <c r="W132">
        <f t="shared" si="114"/>
        <v>0</v>
      </c>
      <c r="X132">
        <f t="shared" si="114"/>
        <v>0</v>
      </c>
      <c r="Y132">
        <f t="shared" si="114"/>
        <v>0</v>
      </c>
      <c r="Z132">
        <f t="shared" si="114"/>
        <v>0</v>
      </c>
      <c r="AA132">
        <f t="shared" si="114"/>
        <v>0</v>
      </c>
      <c r="AB132">
        <f t="shared" si="114"/>
        <v>0</v>
      </c>
      <c r="AC132">
        <f t="shared" si="114"/>
        <v>0</v>
      </c>
      <c r="AD132">
        <f t="shared" si="114"/>
        <v>0</v>
      </c>
      <c r="AE132">
        <f t="shared" si="114"/>
        <v>0</v>
      </c>
      <c r="AF132">
        <f t="shared" si="114"/>
        <v>0</v>
      </c>
      <c r="AG132">
        <f t="shared" si="114"/>
        <v>0</v>
      </c>
      <c r="AH132">
        <f t="shared" si="114"/>
        <v>0</v>
      </c>
      <c r="AI132">
        <f t="shared" si="114"/>
        <v>0</v>
      </c>
      <c r="AJ132">
        <f t="shared" si="114"/>
        <v>0</v>
      </c>
    </row>
    <row r="133" spans="4:36" x14ac:dyDescent="0.3">
      <c r="D133">
        <f t="shared" ref="D133:AJ133" si="115">D109+D88+D67+D46-D15</f>
        <v>0</v>
      </c>
      <c r="E133">
        <f t="shared" si="115"/>
        <v>0</v>
      </c>
      <c r="F133">
        <f t="shared" si="115"/>
        <v>0</v>
      </c>
      <c r="G133">
        <f t="shared" si="115"/>
        <v>0</v>
      </c>
      <c r="H133">
        <f t="shared" si="115"/>
        <v>0</v>
      </c>
      <c r="I133">
        <f t="shared" si="115"/>
        <v>0</v>
      </c>
      <c r="J133">
        <f t="shared" si="115"/>
        <v>0</v>
      </c>
      <c r="K133">
        <f t="shared" si="115"/>
        <v>0</v>
      </c>
      <c r="L133">
        <f t="shared" si="115"/>
        <v>0</v>
      </c>
      <c r="M133">
        <f t="shared" si="115"/>
        <v>0</v>
      </c>
      <c r="N133">
        <f t="shared" si="115"/>
        <v>0</v>
      </c>
      <c r="O133">
        <f t="shared" si="115"/>
        <v>0</v>
      </c>
      <c r="P133">
        <f t="shared" si="115"/>
        <v>0</v>
      </c>
      <c r="Q133">
        <f t="shared" si="115"/>
        <v>0</v>
      </c>
      <c r="R133">
        <f t="shared" si="115"/>
        <v>0</v>
      </c>
      <c r="S133">
        <f t="shared" si="115"/>
        <v>0</v>
      </c>
      <c r="T133">
        <f t="shared" si="115"/>
        <v>0</v>
      </c>
      <c r="U133">
        <f t="shared" si="115"/>
        <v>0</v>
      </c>
      <c r="V133">
        <f t="shared" si="115"/>
        <v>0</v>
      </c>
      <c r="W133">
        <f t="shared" si="115"/>
        <v>0</v>
      </c>
      <c r="X133">
        <f t="shared" si="115"/>
        <v>0</v>
      </c>
      <c r="Y133">
        <f t="shared" si="115"/>
        <v>0</v>
      </c>
      <c r="Z133">
        <f t="shared" si="115"/>
        <v>0</v>
      </c>
      <c r="AA133">
        <f t="shared" si="115"/>
        <v>0</v>
      </c>
      <c r="AB133">
        <f t="shared" si="115"/>
        <v>0</v>
      </c>
      <c r="AC133">
        <f t="shared" si="115"/>
        <v>0</v>
      </c>
      <c r="AD133">
        <f t="shared" si="115"/>
        <v>0</v>
      </c>
      <c r="AE133">
        <f t="shared" si="115"/>
        <v>0</v>
      </c>
      <c r="AF133">
        <f t="shared" si="115"/>
        <v>0</v>
      </c>
      <c r="AG133">
        <f t="shared" si="115"/>
        <v>0</v>
      </c>
      <c r="AH133">
        <f t="shared" si="115"/>
        <v>0</v>
      </c>
      <c r="AI133">
        <f t="shared" si="115"/>
        <v>0</v>
      </c>
      <c r="AJ133">
        <f t="shared" si="115"/>
        <v>0</v>
      </c>
    </row>
    <row r="134" spans="4:36" x14ac:dyDescent="0.3">
      <c r="D134">
        <f t="shared" ref="D134:AJ134" si="116">D110+D89+D68+D47-D16</f>
        <v>0</v>
      </c>
      <c r="E134">
        <f t="shared" si="116"/>
        <v>0</v>
      </c>
      <c r="F134">
        <f t="shared" si="116"/>
        <v>0</v>
      </c>
      <c r="G134">
        <f t="shared" si="116"/>
        <v>0</v>
      </c>
      <c r="H134">
        <f t="shared" si="116"/>
        <v>0</v>
      </c>
      <c r="I134">
        <f t="shared" si="116"/>
        <v>0</v>
      </c>
      <c r="J134">
        <f t="shared" si="116"/>
        <v>0</v>
      </c>
      <c r="K134">
        <f t="shared" si="116"/>
        <v>0</v>
      </c>
      <c r="L134">
        <f t="shared" si="116"/>
        <v>0</v>
      </c>
      <c r="M134">
        <f t="shared" si="116"/>
        <v>0</v>
      </c>
      <c r="N134">
        <f t="shared" si="116"/>
        <v>0</v>
      </c>
      <c r="O134">
        <f t="shared" si="116"/>
        <v>0</v>
      </c>
      <c r="P134">
        <f t="shared" si="116"/>
        <v>0</v>
      </c>
      <c r="Q134">
        <f t="shared" si="116"/>
        <v>0</v>
      </c>
      <c r="R134">
        <f t="shared" si="116"/>
        <v>0</v>
      </c>
      <c r="S134">
        <f t="shared" si="116"/>
        <v>0</v>
      </c>
      <c r="T134">
        <f t="shared" si="116"/>
        <v>0</v>
      </c>
      <c r="U134">
        <f t="shared" si="116"/>
        <v>0</v>
      </c>
      <c r="V134">
        <f t="shared" si="116"/>
        <v>0</v>
      </c>
      <c r="W134">
        <f t="shared" si="116"/>
        <v>0</v>
      </c>
      <c r="X134">
        <f t="shared" si="116"/>
        <v>0</v>
      </c>
      <c r="Y134">
        <f t="shared" si="116"/>
        <v>0</v>
      </c>
      <c r="Z134">
        <f t="shared" si="116"/>
        <v>0</v>
      </c>
      <c r="AA134">
        <f t="shared" si="116"/>
        <v>0</v>
      </c>
      <c r="AB134">
        <f t="shared" si="116"/>
        <v>0</v>
      </c>
      <c r="AC134">
        <f t="shared" si="116"/>
        <v>0</v>
      </c>
      <c r="AD134">
        <f t="shared" si="116"/>
        <v>0</v>
      </c>
      <c r="AE134">
        <f t="shared" si="116"/>
        <v>0</v>
      </c>
      <c r="AF134">
        <f t="shared" si="116"/>
        <v>0</v>
      </c>
      <c r="AG134">
        <f t="shared" si="116"/>
        <v>0</v>
      </c>
      <c r="AH134">
        <f t="shared" si="116"/>
        <v>0</v>
      </c>
      <c r="AI134">
        <f t="shared" si="116"/>
        <v>0</v>
      </c>
      <c r="AJ134">
        <f t="shared" si="116"/>
        <v>0</v>
      </c>
    </row>
    <row r="135" spans="4:36" x14ac:dyDescent="0.3">
      <c r="D135">
        <f t="shared" ref="D135:AJ135" si="117">D111+D90+D69+D48-D17</f>
        <v>0</v>
      </c>
      <c r="E135">
        <f t="shared" si="117"/>
        <v>0</v>
      </c>
      <c r="F135">
        <f t="shared" si="117"/>
        <v>0</v>
      </c>
      <c r="G135">
        <f t="shared" si="117"/>
        <v>0</v>
      </c>
      <c r="H135">
        <f t="shared" si="117"/>
        <v>0</v>
      </c>
      <c r="I135">
        <f t="shared" si="117"/>
        <v>0</v>
      </c>
      <c r="J135">
        <f t="shared" si="117"/>
        <v>0</v>
      </c>
      <c r="K135">
        <f t="shared" si="117"/>
        <v>0</v>
      </c>
      <c r="L135">
        <f t="shared" si="117"/>
        <v>0</v>
      </c>
      <c r="M135">
        <f t="shared" si="117"/>
        <v>0</v>
      </c>
      <c r="N135">
        <f t="shared" si="117"/>
        <v>0</v>
      </c>
      <c r="O135">
        <f t="shared" si="117"/>
        <v>0</v>
      </c>
      <c r="P135">
        <f t="shared" si="117"/>
        <v>0</v>
      </c>
      <c r="Q135">
        <f t="shared" si="117"/>
        <v>0</v>
      </c>
      <c r="R135">
        <f t="shared" si="117"/>
        <v>0</v>
      </c>
      <c r="S135">
        <f t="shared" si="117"/>
        <v>0</v>
      </c>
      <c r="T135">
        <f t="shared" si="117"/>
        <v>0</v>
      </c>
      <c r="U135">
        <f t="shared" si="117"/>
        <v>0</v>
      </c>
      <c r="V135">
        <f t="shared" si="117"/>
        <v>0</v>
      </c>
      <c r="W135">
        <f t="shared" si="117"/>
        <v>0</v>
      </c>
      <c r="X135">
        <f t="shared" si="117"/>
        <v>0</v>
      </c>
      <c r="Y135">
        <f t="shared" si="117"/>
        <v>0</v>
      </c>
      <c r="Z135">
        <f t="shared" si="117"/>
        <v>0</v>
      </c>
      <c r="AA135">
        <f t="shared" si="117"/>
        <v>0</v>
      </c>
      <c r="AB135">
        <f t="shared" si="117"/>
        <v>0</v>
      </c>
      <c r="AC135">
        <f t="shared" si="117"/>
        <v>0</v>
      </c>
      <c r="AD135">
        <f t="shared" si="117"/>
        <v>0</v>
      </c>
      <c r="AE135">
        <f t="shared" si="117"/>
        <v>0</v>
      </c>
      <c r="AF135">
        <f t="shared" si="117"/>
        <v>0</v>
      </c>
      <c r="AG135">
        <f t="shared" si="117"/>
        <v>0</v>
      </c>
      <c r="AH135">
        <f t="shared" si="117"/>
        <v>0</v>
      </c>
      <c r="AI135">
        <f t="shared" si="117"/>
        <v>0</v>
      </c>
      <c r="AJ135">
        <f t="shared" si="117"/>
        <v>0</v>
      </c>
    </row>
    <row r="136" spans="4:36" x14ac:dyDescent="0.3">
      <c r="D136">
        <f t="shared" ref="D136:AJ136" si="118">D112+D91+D70+D49-D18</f>
        <v>0</v>
      </c>
      <c r="E136">
        <f t="shared" si="118"/>
        <v>0</v>
      </c>
      <c r="F136">
        <f t="shared" si="118"/>
        <v>0</v>
      </c>
      <c r="G136">
        <f t="shared" si="118"/>
        <v>0</v>
      </c>
      <c r="H136">
        <f t="shared" si="118"/>
        <v>0</v>
      </c>
      <c r="I136">
        <f t="shared" si="118"/>
        <v>0</v>
      </c>
      <c r="J136">
        <f t="shared" si="118"/>
        <v>0</v>
      </c>
      <c r="K136">
        <f t="shared" si="118"/>
        <v>0</v>
      </c>
      <c r="L136">
        <f t="shared" si="118"/>
        <v>0</v>
      </c>
      <c r="M136">
        <f t="shared" si="118"/>
        <v>0</v>
      </c>
      <c r="N136">
        <f t="shared" si="118"/>
        <v>0</v>
      </c>
      <c r="O136">
        <f t="shared" si="118"/>
        <v>0</v>
      </c>
      <c r="P136">
        <f t="shared" si="118"/>
        <v>0</v>
      </c>
      <c r="Q136">
        <f t="shared" si="118"/>
        <v>0</v>
      </c>
      <c r="R136">
        <f t="shared" si="118"/>
        <v>0</v>
      </c>
      <c r="S136">
        <f t="shared" si="118"/>
        <v>0</v>
      </c>
      <c r="T136">
        <f t="shared" si="118"/>
        <v>0</v>
      </c>
      <c r="U136">
        <f t="shared" si="118"/>
        <v>0</v>
      </c>
      <c r="V136">
        <f t="shared" si="118"/>
        <v>0</v>
      </c>
      <c r="W136">
        <f t="shared" si="118"/>
        <v>0</v>
      </c>
      <c r="X136">
        <f t="shared" si="118"/>
        <v>0</v>
      </c>
      <c r="Y136">
        <f t="shared" si="118"/>
        <v>0</v>
      </c>
      <c r="Z136">
        <f t="shared" si="118"/>
        <v>0</v>
      </c>
      <c r="AA136">
        <f t="shared" si="118"/>
        <v>0</v>
      </c>
      <c r="AB136">
        <f t="shared" si="118"/>
        <v>0</v>
      </c>
      <c r="AC136">
        <f t="shared" si="118"/>
        <v>0</v>
      </c>
      <c r="AD136">
        <f t="shared" si="118"/>
        <v>0</v>
      </c>
      <c r="AE136">
        <f t="shared" si="118"/>
        <v>0</v>
      </c>
      <c r="AF136">
        <f t="shared" si="118"/>
        <v>0</v>
      </c>
      <c r="AG136">
        <f t="shared" si="118"/>
        <v>0</v>
      </c>
      <c r="AH136">
        <f t="shared" si="118"/>
        <v>0</v>
      </c>
      <c r="AI136">
        <f t="shared" si="118"/>
        <v>0</v>
      </c>
      <c r="AJ136">
        <f t="shared" si="118"/>
        <v>0</v>
      </c>
    </row>
    <row r="137" spans="4:36" x14ac:dyDescent="0.3">
      <c r="D137">
        <f t="shared" ref="D137:AJ137" si="119">D113+D92+D71+D50-D19</f>
        <v>0</v>
      </c>
      <c r="E137">
        <f t="shared" si="119"/>
        <v>0</v>
      </c>
      <c r="F137">
        <f t="shared" si="119"/>
        <v>0</v>
      </c>
      <c r="G137">
        <f t="shared" si="119"/>
        <v>0</v>
      </c>
      <c r="H137">
        <f t="shared" si="119"/>
        <v>0</v>
      </c>
      <c r="I137">
        <f t="shared" si="119"/>
        <v>0</v>
      </c>
      <c r="J137">
        <f t="shared" si="119"/>
        <v>0</v>
      </c>
      <c r="K137">
        <f t="shared" si="119"/>
        <v>0</v>
      </c>
      <c r="L137">
        <f t="shared" si="119"/>
        <v>0</v>
      </c>
      <c r="M137">
        <f t="shared" si="119"/>
        <v>0</v>
      </c>
      <c r="N137">
        <f t="shared" si="119"/>
        <v>0</v>
      </c>
      <c r="O137">
        <f t="shared" si="119"/>
        <v>0</v>
      </c>
      <c r="P137">
        <f t="shared" si="119"/>
        <v>0</v>
      </c>
      <c r="Q137">
        <f t="shared" si="119"/>
        <v>0</v>
      </c>
      <c r="R137">
        <f t="shared" si="119"/>
        <v>0</v>
      </c>
      <c r="S137">
        <f t="shared" si="119"/>
        <v>0</v>
      </c>
      <c r="T137">
        <f t="shared" si="119"/>
        <v>0</v>
      </c>
      <c r="U137">
        <f t="shared" si="119"/>
        <v>0</v>
      </c>
      <c r="V137">
        <f t="shared" si="119"/>
        <v>0</v>
      </c>
      <c r="W137">
        <f t="shared" si="119"/>
        <v>0</v>
      </c>
      <c r="X137">
        <f t="shared" si="119"/>
        <v>0</v>
      </c>
      <c r="Y137">
        <f t="shared" si="119"/>
        <v>0</v>
      </c>
      <c r="Z137">
        <f t="shared" si="119"/>
        <v>0</v>
      </c>
      <c r="AA137">
        <f t="shared" si="119"/>
        <v>0</v>
      </c>
      <c r="AB137">
        <f t="shared" si="119"/>
        <v>0</v>
      </c>
      <c r="AC137">
        <f t="shared" si="119"/>
        <v>0</v>
      </c>
      <c r="AD137">
        <f t="shared" si="119"/>
        <v>0</v>
      </c>
      <c r="AE137">
        <f t="shared" si="119"/>
        <v>0</v>
      </c>
      <c r="AF137">
        <f t="shared" si="119"/>
        <v>0</v>
      </c>
      <c r="AG137">
        <f t="shared" si="119"/>
        <v>0</v>
      </c>
      <c r="AH137">
        <f t="shared" si="119"/>
        <v>0</v>
      </c>
      <c r="AI137">
        <f t="shared" si="119"/>
        <v>0</v>
      </c>
      <c r="AJ137">
        <f t="shared" si="119"/>
        <v>0</v>
      </c>
    </row>
    <row r="138" spans="4:36" x14ac:dyDescent="0.3">
      <c r="D138">
        <f t="shared" ref="D138:AJ138" si="120">D114+D93+D72+D51-D20</f>
        <v>0</v>
      </c>
      <c r="E138">
        <f t="shared" si="120"/>
        <v>0</v>
      </c>
      <c r="F138">
        <f t="shared" si="120"/>
        <v>0</v>
      </c>
      <c r="G138">
        <f t="shared" si="120"/>
        <v>0</v>
      </c>
      <c r="H138">
        <f t="shared" si="120"/>
        <v>0</v>
      </c>
      <c r="I138">
        <f t="shared" si="120"/>
        <v>0</v>
      </c>
      <c r="J138">
        <f t="shared" si="120"/>
        <v>0</v>
      </c>
      <c r="K138">
        <f t="shared" si="120"/>
        <v>0</v>
      </c>
      <c r="L138">
        <f t="shared" si="120"/>
        <v>0</v>
      </c>
      <c r="M138">
        <f t="shared" si="120"/>
        <v>0</v>
      </c>
      <c r="N138">
        <f t="shared" si="120"/>
        <v>0</v>
      </c>
      <c r="O138">
        <f t="shared" si="120"/>
        <v>0</v>
      </c>
      <c r="P138">
        <f t="shared" si="120"/>
        <v>0</v>
      </c>
      <c r="Q138">
        <f t="shared" si="120"/>
        <v>0</v>
      </c>
      <c r="R138">
        <f t="shared" si="120"/>
        <v>0</v>
      </c>
      <c r="S138">
        <f t="shared" si="120"/>
        <v>0</v>
      </c>
      <c r="T138">
        <f t="shared" si="120"/>
        <v>0</v>
      </c>
      <c r="U138">
        <f t="shared" si="120"/>
        <v>0</v>
      </c>
      <c r="V138">
        <f t="shared" si="120"/>
        <v>0</v>
      </c>
      <c r="W138">
        <f t="shared" si="120"/>
        <v>0</v>
      </c>
      <c r="X138">
        <f t="shared" si="120"/>
        <v>0</v>
      </c>
      <c r="Y138">
        <f t="shared" si="120"/>
        <v>0</v>
      </c>
      <c r="Z138">
        <f t="shared" si="120"/>
        <v>0</v>
      </c>
      <c r="AA138">
        <f t="shared" si="120"/>
        <v>0</v>
      </c>
      <c r="AB138">
        <f t="shared" si="120"/>
        <v>0</v>
      </c>
      <c r="AC138">
        <f t="shared" si="120"/>
        <v>0</v>
      </c>
      <c r="AD138">
        <f t="shared" si="120"/>
        <v>0</v>
      </c>
      <c r="AE138">
        <f t="shared" si="120"/>
        <v>0</v>
      </c>
      <c r="AF138">
        <f t="shared" si="120"/>
        <v>0</v>
      </c>
      <c r="AG138">
        <f t="shared" si="120"/>
        <v>0</v>
      </c>
      <c r="AH138">
        <f t="shared" si="120"/>
        <v>0</v>
      </c>
      <c r="AI138">
        <f t="shared" si="120"/>
        <v>0</v>
      </c>
      <c r="AJ138">
        <f t="shared" si="120"/>
        <v>0</v>
      </c>
    </row>
    <row r="139" spans="4:36" x14ac:dyDescent="0.3">
      <c r="D139">
        <f t="shared" ref="D139:AJ139" si="121">D115+D94+D73+D52-D21</f>
        <v>0</v>
      </c>
      <c r="E139">
        <f t="shared" si="121"/>
        <v>0</v>
      </c>
      <c r="F139">
        <f t="shared" si="121"/>
        <v>0</v>
      </c>
      <c r="G139">
        <f t="shared" si="121"/>
        <v>0</v>
      </c>
      <c r="H139">
        <f t="shared" si="121"/>
        <v>0</v>
      </c>
      <c r="I139">
        <f t="shared" si="121"/>
        <v>0</v>
      </c>
      <c r="J139">
        <f t="shared" si="121"/>
        <v>0</v>
      </c>
      <c r="K139">
        <f t="shared" si="121"/>
        <v>0</v>
      </c>
      <c r="L139">
        <f t="shared" si="121"/>
        <v>0</v>
      </c>
      <c r="M139">
        <f t="shared" si="121"/>
        <v>0</v>
      </c>
      <c r="N139">
        <f t="shared" si="121"/>
        <v>0</v>
      </c>
      <c r="O139">
        <f t="shared" si="121"/>
        <v>0</v>
      </c>
      <c r="P139">
        <f t="shared" si="121"/>
        <v>0</v>
      </c>
      <c r="Q139">
        <f t="shared" si="121"/>
        <v>0</v>
      </c>
      <c r="R139">
        <f t="shared" si="121"/>
        <v>0</v>
      </c>
      <c r="S139">
        <f t="shared" si="121"/>
        <v>0</v>
      </c>
      <c r="T139">
        <f t="shared" si="121"/>
        <v>0</v>
      </c>
      <c r="U139">
        <f t="shared" si="121"/>
        <v>0</v>
      </c>
      <c r="V139">
        <f t="shared" si="121"/>
        <v>0</v>
      </c>
      <c r="W139">
        <f t="shared" si="121"/>
        <v>0</v>
      </c>
      <c r="X139">
        <f t="shared" si="121"/>
        <v>0</v>
      </c>
      <c r="Y139">
        <f t="shared" si="121"/>
        <v>0</v>
      </c>
      <c r="Z139">
        <f t="shared" si="121"/>
        <v>0</v>
      </c>
      <c r="AA139">
        <f t="shared" si="121"/>
        <v>0</v>
      </c>
      <c r="AB139">
        <f t="shared" si="121"/>
        <v>0</v>
      </c>
      <c r="AC139">
        <f t="shared" si="121"/>
        <v>0</v>
      </c>
      <c r="AD139">
        <f t="shared" si="121"/>
        <v>0</v>
      </c>
      <c r="AE139">
        <f t="shared" si="121"/>
        <v>0</v>
      </c>
      <c r="AF139">
        <f t="shared" si="121"/>
        <v>0</v>
      </c>
      <c r="AG139">
        <f t="shared" si="121"/>
        <v>0</v>
      </c>
      <c r="AH139">
        <f t="shared" si="121"/>
        <v>0</v>
      </c>
      <c r="AI139">
        <f t="shared" si="121"/>
        <v>0</v>
      </c>
      <c r="AJ139">
        <f t="shared" si="121"/>
        <v>0</v>
      </c>
    </row>
    <row r="140" spans="4:36" x14ac:dyDescent="0.3">
      <c r="D140">
        <f t="shared" ref="D140:AJ140" si="122">D116+D95+D74+D53-D22</f>
        <v>0</v>
      </c>
      <c r="E140">
        <f t="shared" si="122"/>
        <v>0</v>
      </c>
      <c r="F140">
        <f t="shared" si="122"/>
        <v>0</v>
      </c>
      <c r="G140">
        <f t="shared" si="122"/>
        <v>0</v>
      </c>
      <c r="H140">
        <f t="shared" si="122"/>
        <v>0</v>
      </c>
      <c r="I140">
        <f t="shared" si="122"/>
        <v>0</v>
      </c>
      <c r="J140">
        <f t="shared" si="122"/>
        <v>0</v>
      </c>
      <c r="K140">
        <f t="shared" si="122"/>
        <v>0</v>
      </c>
      <c r="L140">
        <f t="shared" si="122"/>
        <v>0</v>
      </c>
      <c r="M140">
        <f t="shared" si="122"/>
        <v>0</v>
      </c>
      <c r="N140">
        <f t="shared" si="122"/>
        <v>0</v>
      </c>
      <c r="O140">
        <f t="shared" si="122"/>
        <v>0</v>
      </c>
      <c r="P140">
        <f t="shared" si="122"/>
        <v>0</v>
      </c>
      <c r="Q140">
        <f t="shared" si="122"/>
        <v>0</v>
      </c>
      <c r="R140">
        <f t="shared" si="122"/>
        <v>0</v>
      </c>
      <c r="S140">
        <f t="shared" si="122"/>
        <v>0</v>
      </c>
      <c r="T140">
        <f t="shared" si="122"/>
        <v>0</v>
      </c>
      <c r="U140">
        <f t="shared" si="122"/>
        <v>0</v>
      </c>
      <c r="V140">
        <f t="shared" si="122"/>
        <v>0</v>
      </c>
      <c r="W140">
        <f t="shared" si="122"/>
        <v>0</v>
      </c>
      <c r="X140">
        <f t="shared" si="122"/>
        <v>0</v>
      </c>
      <c r="Y140">
        <f t="shared" si="122"/>
        <v>0</v>
      </c>
      <c r="Z140">
        <f t="shared" si="122"/>
        <v>0</v>
      </c>
      <c r="AA140">
        <f t="shared" si="122"/>
        <v>0</v>
      </c>
      <c r="AB140">
        <f t="shared" si="122"/>
        <v>0</v>
      </c>
      <c r="AC140">
        <f t="shared" si="122"/>
        <v>0</v>
      </c>
      <c r="AD140">
        <f t="shared" si="122"/>
        <v>0</v>
      </c>
      <c r="AE140">
        <f t="shared" si="122"/>
        <v>0</v>
      </c>
      <c r="AF140">
        <f t="shared" si="122"/>
        <v>0</v>
      </c>
      <c r="AG140">
        <f t="shared" si="122"/>
        <v>0</v>
      </c>
      <c r="AH140">
        <f t="shared" si="122"/>
        <v>0</v>
      </c>
      <c r="AI140">
        <f t="shared" si="122"/>
        <v>0</v>
      </c>
      <c r="AJ140">
        <f t="shared" si="122"/>
        <v>0</v>
      </c>
    </row>
    <row r="141" spans="4:36" x14ac:dyDescent="0.3">
      <c r="D141">
        <f t="shared" ref="D141:AJ141" si="123">D117+D96+D75+D54-D23</f>
        <v>0</v>
      </c>
      <c r="E141">
        <f t="shared" si="123"/>
        <v>0</v>
      </c>
      <c r="F141">
        <f t="shared" si="123"/>
        <v>0</v>
      </c>
      <c r="G141">
        <f t="shared" si="123"/>
        <v>0</v>
      </c>
      <c r="H141">
        <f t="shared" si="123"/>
        <v>0</v>
      </c>
      <c r="I141">
        <f t="shared" si="123"/>
        <v>0</v>
      </c>
      <c r="J141">
        <f t="shared" si="123"/>
        <v>0</v>
      </c>
      <c r="K141">
        <f t="shared" si="123"/>
        <v>0</v>
      </c>
      <c r="L141">
        <f t="shared" si="123"/>
        <v>0</v>
      </c>
      <c r="M141">
        <f t="shared" si="123"/>
        <v>0</v>
      </c>
      <c r="N141">
        <f t="shared" si="123"/>
        <v>0</v>
      </c>
      <c r="O141">
        <f t="shared" si="123"/>
        <v>0</v>
      </c>
      <c r="P141">
        <f t="shared" si="123"/>
        <v>0</v>
      </c>
      <c r="Q141">
        <f t="shared" si="123"/>
        <v>0</v>
      </c>
      <c r="R141">
        <f t="shared" si="123"/>
        <v>0</v>
      </c>
      <c r="S141">
        <f t="shared" si="123"/>
        <v>0</v>
      </c>
      <c r="T141">
        <f t="shared" si="123"/>
        <v>0</v>
      </c>
      <c r="U141">
        <f t="shared" si="123"/>
        <v>0</v>
      </c>
      <c r="V141">
        <f t="shared" si="123"/>
        <v>0</v>
      </c>
      <c r="W141">
        <f t="shared" si="123"/>
        <v>0</v>
      </c>
      <c r="X141">
        <f t="shared" si="123"/>
        <v>0</v>
      </c>
      <c r="Y141">
        <f t="shared" si="123"/>
        <v>0</v>
      </c>
      <c r="Z141">
        <f t="shared" si="123"/>
        <v>0</v>
      </c>
      <c r="AA141">
        <f t="shared" si="123"/>
        <v>0</v>
      </c>
      <c r="AB141">
        <f t="shared" si="123"/>
        <v>0</v>
      </c>
      <c r="AC141">
        <f t="shared" si="123"/>
        <v>0</v>
      </c>
      <c r="AD141">
        <f t="shared" si="123"/>
        <v>0</v>
      </c>
      <c r="AE141">
        <f t="shared" si="123"/>
        <v>0</v>
      </c>
      <c r="AF141">
        <f t="shared" si="123"/>
        <v>0</v>
      </c>
      <c r="AG141">
        <f t="shared" si="123"/>
        <v>0</v>
      </c>
      <c r="AH141">
        <f t="shared" si="123"/>
        <v>0</v>
      </c>
      <c r="AI141">
        <f t="shared" si="123"/>
        <v>0</v>
      </c>
      <c r="AJ141">
        <f t="shared" si="123"/>
        <v>0</v>
      </c>
    </row>
    <row r="142" spans="4:36" x14ac:dyDescent="0.3">
      <c r="D142">
        <f t="shared" ref="D142:AJ142" si="124">D118+D97+D76+D55-D24</f>
        <v>0</v>
      </c>
      <c r="E142">
        <f t="shared" si="124"/>
        <v>0</v>
      </c>
      <c r="F142">
        <f t="shared" si="124"/>
        <v>0</v>
      </c>
      <c r="G142">
        <f t="shared" si="124"/>
        <v>0</v>
      </c>
      <c r="H142">
        <f t="shared" si="124"/>
        <v>0</v>
      </c>
      <c r="I142">
        <f t="shared" si="124"/>
        <v>0</v>
      </c>
      <c r="J142">
        <f t="shared" si="124"/>
        <v>0</v>
      </c>
      <c r="K142">
        <f t="shared" si="124"/>
        <v>0</v>
      </c>
      <c r="L142">
        <f t="shared" si="124"/>
        <v>0</v>
      </c>
      <c r="M142">
        <f t="shared" si="124"/>
        <v>0</v>
      </c>
      <c r="N142">
        <f t="shared" si="124"/>
        <v>0</v>
      </c>
      <c r="O142">
        <f t="shared" si="124"/>
        <v>0</v>
      </c>
      <c r="P142">
        <f t="shared" si="124"/>
        <v>0</v>
      </c>
      <c r="Q142">
        <f t="shared" si="124"/>
        <v>0</v>
      </c>
      <c r="R142">
        <f t="shared" si="124"/>
        <v>0</v>
      </c>
      <c r="S142">
        <f t="shared" si="124"/>
        <v>0</v>
      </c>
      <c r="T142">
        <f t="shared" si="124"/>
        <v>0</v>
      </c>
      <c r="U142">
        <f t="shared" si="124"/>
        <v>0</v>
      </c>
      <c r="V142">
        <f t="shared" si="124"/>
        <v>0</v>
      </c>
      <c r="W142">
        <f t="shared" si="124"/>
        <v>0</v>
      </c>
      <c r="X142">
        <f t="shared" si="124"/>
        <v>0</v>
      </c>
      <c r="Y142">
        <f t="shared" si="124"/>
        <v>0</v>
      </c>
      <c r="Z142">
        <f t="shared" si="124"/>
        <v>0</v>
      </c>
      <c r="AA142">
        <f t="shared" si="124"/>
        <v>0</v>
      </c>
      <c r="AB142">
        <f t="shared" si="124"/>
        <v>0</v>
      </c>
      <c r="AC142">
        <f t="shared" si="124"/>
        <v>0</v>
      </c>
      <c r="AD142">
        <f t="shared" si="124"/>
        <v>0</v>
      </c>
      <c r="AE142">
        <f t="shared" si="124"/>
        <v>0</v>
      </c>
      <c r="AF142">
        <f t="shared" si="124"/>
        <v>0</v>
      </c>
      <c r="AG142">
        <f t="shared" si="124"/>
        <v>0</v>
      </c>
      <c r="AH142">
        <f t="shared" si="124"/>
        <v>0</v>
      </c>
      <c r="AI142">
        <f t="shared" si="124"/>
        <v>0</v>
      </c>
      <c r="AJ142">
        <f t="shared" si="124"/>
        <v>0</v>
      </c>
    </row>
    <row r="143" spans="4:36" x14ac:dyDescent="0.3">
      <c r="D143">
        <f t="shared" ref="D143:AJ143" si="125">D119+D98+D77+D56-D25</f>
        <v>0</v>
      </c>
      <c r="E143">
        <f t="shared" si="125"/>
        <v>0</v>
      </c>
      <c r="F143">
        <f t="shared" si="125"/>
        <v>0</v>
      </c>
      <c r="G143">
        <f t="shared" si="125"/>
        <v>0</v>
      </c>
      <c r="H143">
        <f t="shared" si="125"/>
        <v>0</v>
      </c>
      <c r="I143">
        <f t="shared" si="125"/>
        <v>0</v>
      </c>
      <c r="J143">
        <f t="shared" si="125"/>
        <v>0</v>
      </c>
      <c r="K143">
        <f t="shared" si="125"/>
        <v>0</v>
      </c>
      <c r="L143">
        <f t="shared" si="125"/>
        <v>0</v>
      </c>
      <c r="M143">
        <f t="shared" si="125"/>
        <v>0</v>
      </c>
      <c r="N143">
        <f t="shared" si="125"/>
        <v>0</v>
      </c>
      <c r="O143">
        <f t="shared" si="125"/>
        <v>0</v>
      </c>
      <c r="P143">
        <f t="shared" si="125"/>
        <v>0</v>
      </c>
      <c r="Q143">
        <f t="shared" si="125"/>
        <v>0</v>
      </c>
      <c r="R143">
        <f t="shared" si="125"/>
        <v>0</v>
      </c>
      <c r="S143">
        <f t="shared" si="125"/>
        <v>0</v>
      </c>
      <c r="T143">
        <f t="shared" si="125"/>
        <v>0</v>
      </c>
      <c r="U143">
        <f t="shared" si="125"/>
        <v>0</v>
      </c>
      <c r="V143">
        <f t="shared" si="125"/>
        <v>0</v>
      </c>
      <c r="W143">
        <f t="shared" si="125"/>
        <v>0</v>
      </c>
      <c r="X143">
        <f t="shared" si="125"/>
        <v>0</v>
      </c>
      <c r="Y143">
        <f t="shared" si="125"/>
        <v>0</v>
      </c>
      <c r="Z143">
        <f t="shared" si="125"/>
        <v>0</v>
      </c>
      <c r="AA143">
        <f t="shared" si="125"/>
        <v>0</v>
      </c>
      <c r="AB143">
        <f t="shared" si="125"/>
        <v>0</v>
      </c>
      <c r="AC143">
        <f t="shared" si="125"/>
        <v>0</v>
      </c>
      <c r="AD143">
        <f t="shared" si="125"/>
        <v>0</v>
      </c>
      <c r="AE143">
        <f t="shared" si="125"/>
        <v>0</v>
      </c>
      <c r="AF143">
        <f t="shared" si="125"/>
        <v>0</v>
      </c>
      <c r="AG143">
        <f t="shared" si="125"/>
        <v>0</v>
      </c>
      <c r="AH143">
        <f t="shared" si="125"/>
        <v>0</v>
      </c>
      <c r="AI143">
        <f t="shared" si="125"/>
        <v>0</v>
      </c>
      <c r="AJ143">
        <f t="shared" si="125"/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ftype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Markkanen</dc:creator>
  <cp:lastModifiedBy>Johanna Markkanen</cp:lastModifiedBy>
  <dcterms:created xsi:type="dcterms:W3CDTF">2025-02-13T10:51:47Z</dcterms:created>
  <dcterms:modified xsi:type="dcterms:W3CDTF">2025-03-19T07:01:35Z</dcterms:modified>
</cp:coreProperties>
</file>